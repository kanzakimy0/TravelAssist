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eed6a280b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总览" sheetId="1" r:id="Rebe0081004d34041"/>
    <x:sheet xmlns:r="http://schemas.openxmlformats.org/officeDocument/2006/relationships" name="归组沿革" sheetId="2" r:id="R617d0d197c474f42"/>
    <x:sheet xmlns:r="http://schemas.openxmlformats.org/officeDocument/2006/relationships" name="15处边界" sheetId="3" r:id="R97ccdee0dc0a4ccb"/>
    <x:sheet xmlns:r="http://schemas.openxmlformats.org/officeDocument/2006/relationships" name="269项补查" sheetId="4" r:id="Rc6b0a9b94e804b8d"/>
    <x:sheet xmlns:r="http://schemas.openxmlformats.org/officeDocument/2006/relationships" name="城市Hub覆盖" sheetId="5" r:id="R95d83ce7e5584520"/>
    <x:sheet xmlns:r="http://schemas.openxmlformats.org/officeDocument/2006/relationships" name="轨道组件" sheetId="6" r:id="R68f9e6cc25ac45b2"/>
    <x:sheet xmlns:r="http://schemas.openxmlformats.org/officeDocument/2006/relationships" name="机场97" sheetId="7" r:id="Re0584ad95ff64b31"/>
    <x:sheet xmlns:r="http://schemas.openxmlformats.org/officeDocument/2006/relationships" name="机场规划候选" sheetId="8" r:id="R1cec603359134bf4"/>
    <x:sheet xmlns:r="http://schemas.openxmlformats.org/officeDocument/2006/relationships" name="机场轨道" sheetId="9" r:id="R36e6eb27e0ea4728"/>
    <x:sheet xmlns:r="http://schemas.openxmlformats.org/officeDocument/2006/relationships" name="巴士候选" sheetId="10" r:id="Ra10aae10fe1d46d8"/>
    <x:sheet xmlns:r="http://schemas.openxmlformats.org/officeDocument/2006/relationships" name="Hub范围" sheetId="11" r:id="Rb863c00d77e04ebb"/>
    <x:sheet xmlns:r="http://schemas.openxmlformats.org/officeDocument/2006/relationships" name="Hub组件" sheetId="12" r:id="Redeaea63a4634e30"/>
    <x:sheet xmlns:r="http://schemas.openxmlformats.org/officeDocument/2006/relationships" name="Hub证据" sheetId="13" r:id="R1f2fabbbdc29495c"/>
    <x:sheet xmlns:r="http://schemas.openxmlformats.org/officeDocument/2006/relationships" name="高等级Hub缺口" sheetId="14" r:id="Rc01c0207f2d945c0"/>
    <x:sheet xmlns:r="http://schemas.openxmlformats.org/officeDocument/2006/relationships" name="新干线利用量" sheetId="15" r:id="R2503d9747b2b47aa"/>
    <x:sheet xmlns:r="http://schemas.openxmlformats.org/officeDocument/2006/relationships" name="等级分布" sheetId="16" r:id="Rd249cefdc35d43bd"/>
    <x:sheet xmlns:r="http://schemas.openxmlformats.org/officeDocument/2006/relationships" name="候选变更" sheetId="17" r:id="R7e8ea7b609dd40ee"/>
    <x:sheet xmlns:r="http://schemas.openxmlformats.org/officeDocument/2006/relationships" name="v1轨道映射" sheetId="18" r:id="R376851d05a204784"/>
    <x:sheet xmlns:r="http://schemas.openxmlformats.org/officeDocument/2006/relationships" name="NAV发现原始" sheetId="19" r:id="Rdf413cf26d944c66"/>
    <x:sheet xmlns:r="http://schemas.openxmlformats.org/officeDocument/2006/relationships" name="发现覆盖" sheetId="20" r:id="R253ab72138be47af"/>
    <x:sheet xmlns:r="http://schemas.openxmlformats.org/officeDocument/2006/relationships" name="分页回执" sheetId="21" r:id="R4d09dd991361451f"/>
    <x:sheet xmlns:r="http://schemas.openxmlformats.org/officeDocument/2006/relationships" name="官方URL复核" sheetId="22" r:id="R312502096db14738"/>
    <x:sheet xmlns:r="http://schemas.openxmlformats.org/officeDocument/2006/relationships" name="Ferry港口" sheetId="23" r:id="R6d76e8847e47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.000000"/>
    <x:numFmt numFmtId="203" formatCode="yyyy-mm-dd"/>
  </x:numFmts>
  <x:fonts count="6">
    <x:font>
      <x:sz val="11"/>
      <x:name val="Carlito"/>
    </x:font>
    <x:font>
      <x:sz val="10"/>
      <x:color rgb="FF22313E"/>
      <x:name val="Arial"/>
    </x:font>
    <x:font>
      <x:b/>
      <x:sz val="14"/>
      <x:color rgb="FF17324D"/>
      <x:name val="Arial"/>
    </x:font>
    <x:font>
      <x:sz val="10"/>
      <x:color rgb="FF5E6A73"/>
      <x:name val="Arial"/>
    </x:font>
    <x:font>
      <x:b/>
      <x:sz val="10"/>
      <x:color rgb="FFFFFFFF"/>
      <x:name val="Arial"/>
    </x:font>
    <x:font>
      <x:b/>
      <x:sz val="12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d59e43dd04813" /><Relationship Type="http://schemas.openxmlformats.org/officeDocument/2006/relationships/theme" Target="/xl/theme/theme1.xml" Id="R9e00c5fe23b84b63" /><Relationship Type="http://schemas.openxmlformats.org/officeDocument/2006/relationships/sharedStrings" Target="/xl/sharedStrings.xml" Id="R01b51b23d1a349f5" /><Relationship Type="http://schemas.openxmlformats.org/officeDocument/2006/relationships/worksheet" Target="/xl/worksheets/sheet1.xml" Id="Rebe0081004d34041" /><Relationship Type="http://schemas.openxmlformats.org/officeDocument/2006/relationships/worksheet" Target="/xl/worksheets/sheet2.xml" Id="R617d0d197c474f42" /><Relationship Type="http://schemas.openxmlformats.org/officeDocument/2006/relationships/worksheet" Target="/xl/worksheets/sheet3.xml" Id="R97ccdee0dc0a4ccb" /><Relationship Type="http://schemas.openxmlformats.org/officeDocument/2006/relationships/worksheet" Target="/xl/worksheets/sheet4.xml" Id="Rc6b0a9b94e804b8d" /><Relationship Type="http://schemas.openxmlformats.org/officeDocument/2006/relationships/worksheet" Target="/xl/worksheets/sheet5.xml" Id="R95d83ce7e5584520" /><Relationship Type="http://schemas.openxmlformats.org/officeDocument/2006/relationships/worksheet" Target="/xl/worksheets/sheet6.xml" Id="R68f9e6cc25ac45b2" /><Relationship Type="http://schemas.openxmlformats.org/officeDocument/2006/relationships/worksheet" Target="/xl/worksheets/sheet7.xml" Id="Re0584ad95ff64b31" /><Relationship Type="http://schemas.openxmlformats.org/officeDocument/2006/relationships/worksheet" Target="/xl/worksheets/sheet8.xml" Id="R1cec603359134bf4" /><Relationship Type="http://schemas.openxmlformats.org/officeDocument/2006/relationships/worksheet" Target="/xl/worksheets/sheet9.xml" Id="R36e6eb27e0ea4728" /><Relationship Type="http://schemas.openxmlformats.org/officeDocument/2006/relationships/worksheet" Target="/xl/worksheets/sheet10.xml" Id="Ra10aae10fe1d46d8" /><Relationship Type="http://schemas.openxmlformats.org/officeDocument/2006/relationships/worksheet" Target="/xl/worksheets/sheet11.xml" Id="Rb863c00d77e04ebb" /><Relationship Type="http://schemas.openxmlformats.org/officeDocument/2006/relationships/worksheet" Target="/xl/worksheets/sheet12.xml" Id="Redeaea63a4634e30" /><Relationship Type="http://schemas.openxmlformats.org/officeDocument/2006/relationships/worksheet" Target="/xl/worksheets/sheet13.xml" Id="R1f2fabbbdc29495c" /><Relationship Type="http://schemas.openxmlformats.org/officeDocument/2006/relationships/worksheet" Target="/xl/worksheets/sheet14.xml" Id="Rc01c0207f2d945c0" /><Relationship Type="http://schemas.openxmlformats.org/officeDocument/2006/relationships/worksheet" Target="/xl/worksheets/sheet15.xml" Id="R2503d9747b2b47aa" /><Relationship Type="http://schemas.openxmlformats.org/officeDocument/2006/relationships/worksheet" Target="/xl/worksheets/sheet16.xml" Id="Rd249cefdc35d43bd" /><Relationship Type="http://schemas.openxmlformats.org/officeDocument/2006/relationships/worksheet" Target="/xl/worksheets/sheet17.xml" Id="R7e8ea7b609dd40ee" /><Relationship Type="http://schemas.openxmlformats.org/officeDocument/2006/relationships/worksheet" Target="/xl/worksheets/sheet18.xml" Id="R376851d05a204784" /><Relationship Type="http://schemas.openxmlformats.org/officeDocument/2006/relationships/worksheet" Target="/xl/worksheets/sheet19.xml" Id="Rdf413cf26d944c66" /><Relationship Type="http://schemas.openxmlformats.org/officeDocument/2006/relationships/worksheet" Target="/xl/worksheets/sheet20.xml" Id="R253ab72138be47af" /><Relationship Type="http://schemas.openxmlformats.org/officeDocument/2006/relationships/worksheet" Target="/xl/worksheets/sheet21.xml" Id="R4d09dd991361451f" /><Relationship Type="http://schemas.openxmlformats.org/officeDocument/2006/relationships/worksheet" Target="/xl/worksheets/sheet22.xml" Id="R312502096db14738" /><Relationship Type="http://schemas.openxmlformats.org/officeDocument/2006/relationships/worksheet" Target="/xl/worksheets/sheet23.xml" Id="R6d76e8847e474c68" /></Relationships>
</file>

<file path=xl/tables/table1.xml><?xml version="1.0" encoding="utf-8"?>
<x:table xmlns:x="http://schemas.openxmlformats.org/spreadsheetml/2006/main" id="1" name="Task084Table20" displayName="Task084Table20" ref="A5:M8" headerRowCount="1" totalsRowCount="0" totalsRowShown="0">
  <x:autoFilter ref="A5:M8"/>
  <x:tableColumns count="13">
    <x:tableColumn id="1" name="站名"/>
    <x:tableColumn id="2" name="运营方"/>
    <x:tableColumn id="3" name="模式"/>
    <x:tableColumn id="4" name="归组结论"/>
    <x:tableColumn id="5" name="保留客流（人/日）"/>
    <x:tableColumn id="6" name="客流处理"/>
    <x:tableColumn id="7" name="保留候选 ID"/>
    <x:tableColumn id="8" name="退役候选 ID"/>
    <x:tableColumn id="9" name="源分组代码"/>
    <x:tableColumn id="10" name="原始记录明细"/>
    <x:tableColumn id="11" name="归组依据"/>
    <x:tableColumn id="12" name="官方证据"/>
    <x:tableColumn id="13" name="正式身份重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084Table21" displayName="Task084Table21" ref="A5:L20" headerRowCount="1" totalsRowCount="0" totalsRowShown="0">
  <x:autoFilter ref="A5:L20"/>
  <x:tableColumns count="12">
    <x:tableColumn id="1" name="Hub 名称"/>
    <x:tableColumn id="2" name="本轮边界状态"/>
    <x:tableColumn id="3" name="原状态"/>
    <x:tableColumn id="4" name="期望组件"/>
    <x:tableColumn id="5" name="缺失组件"/>
    <x:tableColumn id="6" name="归组歧义"/>
    <x:tableColumn id="7" name="官方证据数"/>
    <x:tableColumn id="8" name="边界结论"/>
    <x:tableColumn id="9" name="仍需专项核实"/>
    <x:tableColumn id="10" name="官方依据"/>
    <x:tableColumn id="11" name="原版本"/>
    <x:tableColumn id="12" name="正式验收授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084Table22" displayName="Task084Table22" ref="A5:P274" headerRowCount="1" totalsRowCount="0" totalsRowShown="0">
  <x:autoFilter ref="A5:P274"/>
  <x:tableColumns count="16">
    <x:tableColumn id="1" name="站名"/>
    <x:tableColumn id="2" name="运营方"/>
    <x:tableColumn id="3" name="模式"/>
    <x:tableColumn id="4" name="拟等级"/>
    <x:tableColumn id="5" name="本轮处置"/>
    <x:tableColumn id="6" name="当前 Hub 范围"/>
    <x:tableColumn id="7" name="来源相关组件数"/>
    <x:tableColumn id="8" name="来源组件线索"/>
    <x:tableColumn id="9" name="官方边界依据"/>
    <x:tableColumn id="10" name="下一步"/>
    <x:tableColumn id="11" name="候选 ID"/>
    <x:tableColumn id="12" name="源分组代码"/>
    <x:tableColumn id="13" name="源页"/>
    <x:tableColumn id="14" name="源归档 SHA256"/>
    <x:tableColumn id="15" name="原版本"/>
    <x:tableColumn id="16" name="正式验收授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084Table1" displayName="Task084Table1" ref="A5:K28" headerRowCount="1" totalsRowCount="0" totalsRowShown="0">
  <x:autoFilter ref="A5:K28"/>
  <x:tableColumns count="11">
    <x:tableColumn id="1" name="城市/审核圈"/>
    <x:tableColumn id="2" name="原 Hub 数"/>
    <x:tableColumn id="3" name="当前 Hub 数"/>
    <x:tableColumn id="4" name="新增 Hub 数"/>
    <x:tableColumn id="5" name="原期望组件"/>
    <x:tableColumn id="6" name="当前期望组件"/>
    <x:tableColumn id="7" name="已有边界依据"/>
    <x:tableColumn id="8" name="边界待核"/>
    <x:tableColumn id="9" name="归组歧义"/>
    <x:tableColumn id="10" name="缺失组件"/>
    <x:tableColumn id="11" name="正式接收 Hub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sk084Table2" displayName="Task084Table2" ref="A5:AC2276" headerRowCount="1" totalsRowCount="0" totalsRowShown="0">
  <x:autoFilter ref="A5:AC2276"/>
  <x:tableColumns count="29">
    <x:tableColumn id="1" name="站名"/>
    <x:tableColumn id="2" name="运营方"/>
    <x:tableColumn id="3" name="模式"/>
    <x:tableColumn id="4" name="拟等级"/>
    <x:tableColumn id="5" name="利用量"/>
    <x:tableColumn id="6" name="单位"/>
    <x:tableColumn id="7" name="统计期间"/>
    <x:tableColumn id="8" name="人工定级审核"/>
    <x:tableColumn id="9" name="指标类型"/>
    <x:tableColumn id="10" name="线路（可多条）"/>
    <x:tableColumn id="11" name="候选组件 ID"/>
    <x:tableColumn id="12" name="审核状态"/>
    <x:tableColumn id="13" name="纬度"/>
    <x:tableColumn id="14" name="经度"/>
    <x:tableColumn id="15" name="S12 站码"/>
    <x:tableColumn id="16" name="源主线路"/>
    <x:tableColumn id="17" name="入选原因"/>
    <x:tableColumn id="18" name="定级理由"/>
    <x:tableColumn id="19" name="来源 URL"/>
    <x:tableColumn id="20" name="来源清单"/>
    <x:tableColumn id="21" name="身份键"/>
    <x:tableColumn id="22" name="源归组/站码/线路"/>
    <x:tableColumn id="23" name="runtime 授权"/>
    <x:tableColumn id="24" name="源归档 SHA256"/>
    <x:tableColumn id="25" name="S12 数据可用代码"/>
    <x:tableColumn id="26" name="S12 重复代码"/>
    <x:tableColumn id="27" name="拟归属 Hub"/>
    <x:tableColumn id="28" name="拟 parentHub ID"/>
    <x:tableColumn id="29" name="运营方沿革待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sk084Table3" displayName="Task084Table3" ref="A5:AA102" headerRowCount="1" totalsRowCount="0" totalsRowShown="0">
  <x:autoFilter ref="A5:AA102"/>
  <x:tableColumns count="27">
    <x:tableColumn id="1" name="官方机场名"/>
    <x:tableColumn id="2" name="分类"/>
    <x:tableColumn id="3" name="本轮决定"/>
    <x:tableColumn id="4" name="拟等级"/>
    <x:tableColumn id="5" name="年度旅客量"/>
    <x:tableColumn id="6" name="统计期间"/>
    <x:tableColumn id="7" name="单位"/>
    <x:tableColumn id="8" name="官方接入已核"/>
    <x:tableColumn id="9" name="已知轨道组件数"/>
    <x:tableColumn id="10" name="接入审核状态"/>
    <x:tableColumn id="11" name="运营生命周期观察"/>
    <x:tableColumn id="12" name="管理者"/>
    <x:tableColumn id="13" name="官方位置文字"/>
    <x:tableColumn id="14" name="运营时间"/>
    <x:tableColumn id="15" name="当前服务审核"/>
    <x:tableColumn id="16" name="决定理由"/>
    <x:tableColumn id="17" name="决定证据"/>
    <x:tableColumn id="18" name="官方身份来源"/>
    <x:tableColumn id="19" name="官方概况来源"/>
    <x:tableColumn id="20" name="概况页"/>
    <x:tableColumn id="21" name="客流来源"/>
    <x:tableColumn id="22" name="客流表定位"/>
    <x:tableColumn id="23" name="官方接入指南"/>
    <x:tableColumn id="24" name="原候选 ID"/>
    <x:tableColumn id="25" name="runtime 授权"/>
    <x:tableColumn id="26" name="规划纳入状态"/>
    <x:tableColumn id="27" name="年度门槛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sk084Table4" displayName="Task084Table4" ref="A5:I91" headerRowCount="1" totalsRowCount="0" totalsRowShown="0">
  <x:autoFilter ref="A5:I91"/>
  <x:tableColumns count="9">
    <x:tableColumn id="1" name="机场名"/>
    <x:tableColumn id="2" name="年度旅客量"/>
    <x:tableColumn id="3" name="统计期间"/>
    <x:tableColumn id="4" name="拟等级"/>
    <x:tableColumn id="5" name="当前决定"/>
    <x:tableColumn id="6" name="年旅客门槛"/>
    <x:tableColumn id="7" name="规划纳入状态"/>
    <x:tableColumn id="8" name="官方客流来源"/>
    <x:tableColumn id="9" name="原表定位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sk084Table5" displayName="Task084Table5" ref="A5:I26" headerRowCount="1" totalsRowCount="0" totalsRowShown="0">
  <x:autoFilter ref="A5:I26"/>
  <x:tableColumns count="9">
    <x:tableColumn id="1" name="机场"/>
    <x:tableColumn id="2" name="车站"/>
    <x:tableColumn id="3" name="运营方"/>
    <x:tableColumn id="4" name="模式"/>
    <x:tableColumn id="5" name="期望组件数"/>
    <x:tableColumn id="6" name="已存在候选数"/>
    <x:tableColumn id="7" name="当前状态"/>
    <x:tableColumn id="8" name="候选组件 ID"/>
    <x:tableColumn id="9" name="官方接入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sk084Table6" displayName="Task084Table6" ref="A5:Y217" headerRowCount="1" totalsRowCount="0" totalsRowShown="0">
  <x:autoFilter ref="A5:Y217"/>
  <x:tableColumns count="25">
    <x:tableColumn id="1" name="终端名"/>
    <x:tableColumn id="2" name="本轮决定"/>
    <x:tableColumn id="3" name="官方证据条数"/>
    <x:tableColumn id="4" name="完整官方验证"/>
    <x:tableColumn id="5" name="拟等级"/>
    <x:tableColumn id="6" name="利用量"/>
    <x:tableColumn id="7" name="指标类型"/>
    <x:tableColumn id="8" name="统计期间"/>
    <x:tableColumn id="9" name="候选审核 ID"/>
    <x:tableColumn id="10" name="官方身份设施状态"/>
    <x:tableColumn id="11" name="官方坐标状态"/>
    <x:tableColumn id="12" name="运营方及服务状态"/>
    <x:tableColumn id="13" name="物理去重状态"/>
    <x:tableColumn id="14" name="待核字段"/>
    <x:tableColumn id="15" name="纬度"/>
    <x:tableColumn id="16" name="经度"/>
    <x:tableColumn id="17" name="发现地址（非官方）"/>
    <x:tableColumn id="18" name="NAVITIME 发现 ID"/>
    <x:tableColumn id="19" name="NAVITIME 发现 URL"/>
    <x:tableColumn id="20" name="官方设施运营方"/>
    <x:tableColumn id="21" name="官方地址"/>
    <x:tableColumn id="22" name="官方设施与服务证据"/>
    <x:tableColumn id="23" name="官方客流来源"/>
    <x:tableColumn id="24" name="人工定级审核"/>
    <x:tableColumn id="25" name="runtime 授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sk084Table7" displayName="Task084Table7" ref="A5:T266" headerRowCount="1" totalsRowCount="0" totalsRowShown="0">
  <x:autoFilter ref="A5:T266"/>
  <x:tableColumns count="20">
    <x:tableColumn id="1" name="Hub 审核名称"/>
    <x:tableColumn id="2" name="拟 Hub 等级"/>
    <x:tableColumn id="3" name="期望组件数"/>
    <x:tableColumn id="4" name="运营方数"/>
    <x:tableColumn id="5" name="官方边界证据状态"/>
    <x:tableColumn id="6" name="缺失组件数"/>
    <x:tableColumn id="7" name="组件审核状态"/>
    <x:tableColumn id="8" name="区域审核范围"/>
    <x:tableColumn id="9" name="拟 Hub ID"/>
    <x:tableColumn id="10" name="替代原审核范围"/>
    <x:tableColumn id="11" name="原 Hub ID 列表"/>
    <x:tableColumn id="12" name="正式 parentHub 授权"/>
    <x:tableColumn id="13" name="同名合并"/>
    <x:tableColumn id="14" name="仅距离合并"/>
    <x:tableColumn id="15" name="官方边界证据数"/>
    <x:tableColumn id="16" name="证据定位"/>
    <x:tableColumn id="17" name="范围说明"/>
    <x:tableColumn id="18" name="运营方沿革"/>
    <x:tableColumn id="19" name="城市/审核圈"/>
    <x:tableColumn id="20" name="归组歧义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sk084Table8" displayName="Task084Table8" ref="A5:J587" headerRowCount="1" totalsRowCount="0" totalsRowShown="0">
  <x:autoFilter ref="A5:J587"/>
  <x:tableColumns count="10">
    <x:tableColumn id="1" name="所属 Hub"/>
    <x:tableColumn id="2" name="物理站名"/>
    <x:tableColumn id="3" name="运营方"/>
    <x:tableColumn id="4" name="模式"/>
    <x:tableColumn id="5" name="组件拟等级"/>
    <x:tableColumn id="6" name="线路（可多条）"/>
    <x:tableColumn id="7" name="组件状态"/>
    <x:tableColumn id="8" name="候选组件 ID"/>
    <x:tableColumn id="9" name="拟 parentHub ID"/>
    <x:tableColumn id="10" name="正式归属授权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sk084Table9" displayName="Task084Table9" ref="A5:G365" headerRowCount="1" totalsRowCount="0" totalsRowShown="0">
  <x:autoFilter ref="A5:G365"/>
  <x:tableColumns count="7">
    <x:tableColumn id="1" name="Hub 名称"/>
    <x:tableColumn id="2" name="证据定位"/>
    <x:tableColumn id="3" name="核实的边界事实"/>
    <x:tableColumn id="4" name="官方来源 URL"/>
    <x:tableColumn id="5" name="原文 SHA256"/>
    <x:tableColumn id="6" name="读取方式"/>
    <x:tableColumn id="7" name="读取日期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sk084Table10" displayName="Task084Table10" ref="A5:G524" headerRowCount="1" totalsRowCount="0" totalsRowShown="0">
  <x:autoFilter ref="A5:G524"/>
  <x:tableColumns count="7">
    <x:tableColumn id="1" name="站名"/>
    <x:tableColumn id="2" name="运营方"/>
    <x:tableColumn id="3" name="模式"/>
    <x:tableColumn id="4" name="拟等级"/>
    <x:tableColumn id="5" name="当前缺口状态"/>
    <x:tableColumn id="6" name="已列审核范围"/>
    <x:tableColumn id="7" name="候选组件 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sk084Table11" displayName="Task084Table11" ref="A5:R113" headerRowCount="1" totalsRowCount="0" totalsRowShown="0">
  <x:autoFilter ref="A5:R113"/>
  <x:tableColumns count="18">
    <x:tableColumn id="1" name="站名"/>
    <x:tableColumn id="2" name="运营方"/>
    <x:tableColumn id="3" name="利用量"/>
    <x:tableColumn id="4" name="单位"/>
    <x:tableColumn id="5" name="指标类型"/>
    <x:tableColumn id="6" name="拟等级"/>
    <x:tableColumn id="7" name="人工定级审核"/>
    <x:tableColumn id="8" name="fallback 顺序"/>
    <x:tableColumn id="9" name="期间"/>
    <x:tableColumn id="10" name="来源研究状态"/>
    <x:tableColumn id="11" name="原 S12 值"/>
    <x:tableColumn id="12" name="原 S12 指标"/>
    <x:tableColumn id="13" name="官方定量来源"/>
    <x:tableColumn id="14" name="源表定位"/>
    <x:tableColumn id="15" name="统计范围"/>
    <x:tableColumn id="16" name="数值精度"/>
    <x:tableColumn id="17" name="候选组件 ID"/>
    <x:tableColumn id="18" name="人工审核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sk084Table12" displayName="Task084Table12" ref="A5:I105" headerRowCount="1" totalsRowCount="0" totalsRowShown="0">
  <x:autoFilter ref="A5:I105"/>
  <x:tableColumns count="9">
    <x:tableColumn id="1" name="实体范围"/>
    <x:tableColumn id="2" name="统计维度"/>
    <x:tableColumn id="3" name="分组"/>
    <x:tableColumn id="4" name="总计"/>
    <x:tableColumn id="5" name="T0"/>
    <x:tableColumn id="6" name="T1"/>
    <x:tableColumn id="7" name="T2"/>
    <x:tableColumn id="8" name="T3"/>
    <x:tableColumn id="9" name="待定级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sk084Table13" displayName="Task084Table13" ref="A5:I148" headerRowCount="1" totalsRowCount="0" totalsRowShown="0">
  <x:autoFilter ref="A5:I148"/>
  <x:tableColumns count="9">
    <x:tableColumn id="1" name="站名"/>
    <x:tableColumn id="2" name="运营方"/>
    <x:tableColumn id="3" name="原模式"/>
    <x:tableColumn id="4" name="本轮模式"/>
    <x:tableColumn id="5" name="变更决定"/>
    <x:tableColumn id="6" name="原候选 ID"/>
    <x:tableColumn id="7" name="本轮候选 ID"/>
    <x:tableColumn id="8" name="原版本"/>
    <x:tableColumn id="9" name="正式身份重绑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sk084Table14" displayName="Task084Table14" ref="A5:H184" headerRowCount="1" totalsRowCount="0" totalsRowShown="0">
  <x:autoFilter ref="A5:H184"/>
  <x:tableColumns count="8">
    <x:tableColumn id="1" name="旧节点 ID"/>
    <x:tableColumn id="2" name="新候选 ID"/>
    <x:tableColumn id="3" name="判定"/>
    <x:tableColumn id="4" name="理由"/>
    <x:tableColumn id="5" name="旧线路"/>
    <x:tableColumn id="6" name="旧来源引用"/>
    <x:tableColumn id="7" name="归组前中间候选"/>
    <x:tableColumn id="8" name="显式身份决定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sk084Table15" displayName="Task084Table15" ref="A5:I196" headerRowCount="1" totalsRowCount="0" totalsRowShown="0">
  <x:autoFilter ref="A5:I196"/>
  <x:tableColumns count="9">
    <x:tableColumn id="1" name="发现名称"/>
    <x:tableColumn id="2" name="发现地址"/>
    <x:tableColumn id="3" name="发现 ID"/>
    <x:tableColumn id="4" name="物理身份状态"/>
    <x:tableColumn id="5" name="发现 URL"/>
    <x:tableColumn id="6" name="来源分类页"/>
    <x:tableColumn id="7" name="身份授权"/>
    <x:tableColumn id="8" name="坐标授权"/>
    <x:tableColumn id="9" name="客流授权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sk084Table16" displayName="Task084Table16" ref="A5:F52" headerRowCount="1" totalsRowCount="0" totalsRowShown="0">
  <x:autoFilter ref="A5:F52"/>
  <x:tableColumns count="6">
    <x:tableColumn id="1" name="都道府县"/>
    <x:tableColumn id="2" name="代码"/>
    <x:tableColumn id="3" name="遍历状态"/>
    <x:tableColumn id="4" name="页面数"/>
    <x:tableColumn id="5" name="发现记录数"/>
    <x:tableColumn id="6" name="NAVITIME 入口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sk084Table17" displayName="Task084Table17" ref="A5:D63" headerRowCount="1" totalsRowCount="0" totalsRowShown="0">
  <x:autoFilter ref="A5:D63"/>
  <x:tableColumns count="4">
    <x:tableColumn id="1" name="页面 URL"/>
    <x:tableColumn id="2" name="本页记录数"/>
    <x:tableColumn id="3" name="下一页 URL"/>
    <x:tableColumn id="4" name="源页面 SHA256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ask084Table18" displayName="Task084Table18" ref="A5:H77" headerRowCount="1" totalsRowCount="0" totalsRowShown="0">
  <x:autoFilter ref="A5:H77"/>
  <x:tableColumns count="8">
    <x:tableColumn id="1" name="官方 URL"/>
    <x:tableColumn id="2" name="获取状态"/>
    <x:tableColumn id="3" name="HTTP 状态"/>
    <x:tableColumn id="4" name="字节数"/>
    <x:tableColumn id="5" name="获取日期"/>
    <x:tableColumn id="6" name="最终 URL"/>
    <x:tableColumn id="7" name="源文件 SHA256"/>
    <x:tableColumn id="8" name="失败原因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ask084Table19" displayName="Task084Table19" ref="A5:I125" headerRowCount="1" totalsRowCount="0" totalsRowShown="0">
  <x:autoFilter ref="A5:I125"/>
  <x:tableColumns count="9">
    <x:tableColumn id="1" name="港口名"/>
    <x:tableColumn id="2" name="港口码"/>
    <x:tableColumn id="3" name="都道府县"/>
    <x:tableColumn id="4" name="年度旅客量"/>
    <x:tableColumn id="5" name="统计期间"/>
    <x:tableColumn id="6" name="统计范围"/>
    <x:tableColumn id="7" name="源表行"/>
    <x:tableColumn id="8" name="官方来源"/>
    <x:tableColumn id="9" name="源文件 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58a155f6ca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6b7f9f789040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ccd252828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76774a5cd847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583be20da646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0d695e614c4b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d603d25e6747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b042cded4b47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142823eb644f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fb566175cd45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fd1d0da16ce44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68ac3761741453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0c1e798483a4b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790231869e342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5eea29262ed44a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5a6e04ccf8343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62527d6346d416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17f7dc5637674f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3d05fffc101430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8c629a9720dd427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8c0dbbc409604e6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cbe4dbf8fe24581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45" hidden="0" customWidth="1"/>
    <x:col min="4" max="4" width="84" hidden="0" customWidth="1"/>
  </x:cols>
  <x:sheetData>
    <x:row r="1" ht="26" customHeight="1">
      <x:c r="A1" s="2"/>
      <x:c r="B1" s="2"/>
      <x:c r="C1" s="2"/>
      <x:c r="D1" s="2"/>
    </x:row>
    <x:row r="2" ht="26" customHeight="1">
      <x:c r="A2" s="4" t="str">
        <x:v>TASK-084-B v2 纠错成果物审核</x:v>
      </x:c>
      <x:c r="B2" s="5"/>
      <x:c r="C2" s="5"/>
      <x:c r="D2" s="5"/>
    </x:row>
    <x:row r="3" ht="26" customHeight="1">
      <x:c r="A3" s="2" t="str">
        <x:v>截至 2026-09-30。状态：REWORK_IN_PROGRESS。候选均未获 v2 正式 runtime 接收。</x:v>
      </x:c>
      <x:c r="B3" s="2"/>
      <x:c r="C3" s="2"/>
      <x:c r="D3" s="2"/>
    </x:row>
    <x:row r="4" ht="26" customHeight="1">
      <x:c r="A4" s="2"/>
      <x:c r="B4" s="2"/>
      <x:c r="C4" s="2"/>
      <x:c r="D4" s="2"/>
    </x:row>
    <x:row r="5" ht="30" customHeight="1">
      <x:c r="A5" s="8" t="str">
        <x:v>审核项目</x:v>
      </x:c>
      <x:c r="B5" s="8" t="str">
        <x:v>本轮数量</x:v>
      </x:c>
      <x:c r="C5" s="8" t="str">
        <x:v>明细页</x:v>
      </x:c>
      <x:c r="D5" s="8" t="str">
        <x:v>当前边界</x:v>
      </x:c>
    </x:row>
    <x:row r="6" ht="26" customHeight="1">
      <x:c r="A6" s="2" t="str">
        <x:v>轨道组件候选</x:v>
      </x:c>
      <x:c r="B6" s="20" t="n">
        <x:f>COUNTA('轨道组件'!A6:A2276)</x:f>
        <x:v>2271</x:v>
      </x:c>
      <x:c r="C6" s="2" t="str">
        <x:v>轨道组件</x:v>
      </x:c>
      <x:c r="D6" s="2" t="str">
        <x:v>operator × station × mode family；lineRefs 支持多线路</x:v>
      </x:c>
    </x:row>
    <x:row r="7" ht="26" customHeight="1">
      <x:c r="A7" s="2" t="str">
        <x:v>NAVITIME 发现</x:v>
      </x:c>
      <x:c r="B7" s="20" t="n">
        <x:f>COUNTA('NAV发现原始'!A6:A196)</x:f>
        <x:v>191</x:v>
      </x:c>
      <x:c r="C7" s="2" t="str">
        <x:v>NAV发现原始</x:v>
      </x:c>
      <x:c r="D7" s="2" t="str">
        <x:v>仅候选发现，不能作为客流最终来源</x:v>
      </x:c>
    </x:row>
    <x:row r="8" ht="26" customHeight="1">
      <x:c r="A8" s="2" t="str">
        <x:v>巴士跨来源审核记录</x:v>
      </x:c>
      <x:c r="B8" s="20" t="n">
        <x:f>COUNTA('巴士候选'!A6:A217)</x:f>
        <x:v>212</x:v>
      </x:c>
      <x:c r="C8" s="2" t="str">
        <x:v>巴士候选</x:v>
      </x:c>
      <x:c r="D8" s="2" t="str">
        <x:v>尚未完成物理去重，212 不表示 212 个唯一设施</x:v>
      </x:c>
    </x:row>
    <x:row r="9" ht="26" customHeight="1">
      <x:c r="A9" s="2" t="str">
        <x:v>巴士完整官方验证</x:v>
      </x:c>
      <x:c r="B9" s="20" t="n">
        <x:f>COUNTIF('巴士候选'!D6:D217,"是")</x:f>
        <x:v>0</x:v>
      </x:c>
      <x:c r="C9" s="2" t="str">
        <x:v>巴士候选</x:v>
      </x:c>
      <x:c r="D9" s="2" t="str">
        <x:v>42 条有部分官方证据；完整字段验证仍未通过</x:v>
      </x:c>
    </x:row>
    <x:row r="10" ht="26" customHeight="1">
      <x:c r="A10" s="2" t="str">
        <x:v>巴士 ACCEPT</x:v>
      </x:c>
      <x:c r="B10" s="20" t="n">
        <x:f>COUNTIF('巴士候选'!B6:B217,"接收")</x:f>
        <x:v>0</x:v>
      </x:c>
      <x:c r="C10" s="2" t="str">
        <x:v>巴士候选</x:v>
      </x:c>
      <x:c r="D10" s="2" t="str">
        <x:v>211 待审核，1 停用，暂缓 0</x:v>
      </x:c>
    </x:row>
    <x:row r="11" ht="26" customHeight="1">
      <x:c r="A11" s="2" t="str">
        <x:v>官方机场身份</x:v>
      </x:c>
      <x:c r="B11" s="20" t="n">
        <x:f>COUNTA('机场97'!A6:A102)</x:f>
        <x:v>97</x:v>
      </x:c>
      <x:c r="C11" s="2" t="str">
        <x:v>机场97</x:v>
      </x:c>
      <x:c r="D11" s="2" t="str">
        <x:v>A28 / B54 / C7 / D8</x:v>
      </x:c>
    </x:row>
    <x:row r="12" ht="26" customHeight="1">
      <x:c r="A12" s="2" t="str">
        <x:v>机场规划候选</x:v>
      </x:c>
      <x:c r="B12" s="20" t="n">
        <x:f>COUNTA('机场规划候选'!A6:A91)</x:f>
        <x:v>86</x:v>
      </x:c>
      <x:c r="C12" s="2" t="str">
        <x:v>机场规划候选</x:v>
      </x:c>
      <x:c r="D12" s="2" t="str">
        <x:v>年旅客量 ≥1,000；未知年度值不直接纳入，正式 ACCEPT 仍为 0</x:v>
      </x:c>
    </x:row>
    <x:row r="13" ht="26" customHeight="1">
      <x:c r="A13" s="2" t="str">
        <x:v>机场暂缓</x:v>
      </x:c>
      <x:c r="B13" s="20" t="n">
        <x:f>COUNTIF('机场97'!C6:C102,"暂缓：规划相关性不足")</x:f>
        <x:v>9</x:v>
      </x:c>
      <x:c r="C13" s="2" t="str">
        <x:v>机场97</x:v>
      </x:c>
      <x:c r="D13" s="2" t="str">
        <x:v>9 个低于年度门槛；另外礼文保留停用优先状态</x:v>
      </x:c>
    </x:row>
    <x:row r="14" ht="26" customHeight="1">
      <x:c r="A14" s="2" t="str">
        <x:v>机场待审核</x:v>
      </x:c>
      <x:c r="B14" s="20" t="n">
        <x:f>COUNTIF('机场97'!C6:C102,"待审核")</x:f>
        <x:v>87</x:v>
      </x:c>
      <x:c r="C14" s="2" t="str">
        <x:v>机场97</x:v>
      </x:c>
      <x:c r="D14" s="2" t="str">
        <x:v>当前运营服务、身份与接收条件尚待核</x:v>
      </x:c>
    </x:row>
    <x:row r="15" ht="26" customHeight="1">
      <x:c r="A15" s="2" t="str">
        <x:v>机场停用/非活跃</x:v>
      </x:c>
      <x:c r="B15" s="20" t="n">
        <x:f>COUNTIF('机场97'!C6:C102,"停用/非活跃")</x:f>
        <x:v>1</x:v>
      </x:c>
      <x:c r="C15" s="2" t="str">
        <x:v>机场97</x:v>
      </x:c>
      <x:c r="D15" s="2" t="str">
        <x:v>礼文，官方暂停运营依据见明细</x:v>
      </x:c>
    </x:row>
    <x:row r="16" ht="26" customHeight="1">
      <x:c r="A16" s="2" t="str">
        <x:v>机场接入指南待核</x:v>
      </x:c>
      <x:c r="B16" s="20" t="n">
        <x:f>COUNTIF('机场97'!H6:H102,"待核")</x:f>
        <x:v>48</x:v>
      </x:c>
      <x:c r="C16" s="2" t="str">
        <x:v>机场97</x:v>
      </x:c>
      <x:c r="D16" s="2" t="str">
        <x:v>已核 49，待核 48；不能推断未知机场无轨道</x:v>
      </x:c>
    </x:row>
    <x:row r="17" ht="26" customHeight="1">
      <x:c r="A17" s="2" t="str">
        <x:v>已知机场轨道期望组件</x:v>
      </x:c>
      <x:c r="B17" s="20" t="n">
        <x:f>SUM('机场轨道'!E6:E26)</x:f>
        <x:v>21</x:v>
      </x:c>
      <x:c r="C17" s="2" t="str">
        <x:v>机场轨道</x:v>
      </x:c>
      <x:c r="D17" s="2" t="str">
        <x:v>已核 13 个机场的 21 个组件均存在候选，缺失 0</x:v>
      </x:c>
    </x:row>
    <x:row r="18" ht="26" customHeight="1">
      <x:c r="A18" s="2" t="str">
        <x:v>Hub 审核范围</x:v>
      </x:c>
      <x:c r="B18" s="20" t="n">
        <x:f>COUNTA('Hub范围'!A6:A266)</x:f>
        <x:v>261</x:v>
      </x:c>
      <x:c r="C18" s="2" t="str">
        <x:v>Hub范围</x:v>
      </x:c>
      <x:c r="D18" s="2" t="str">
        <x:v>261 范围 / 582 组件；城市增量见城市Hub覆盖；仍待验收</x:v>
      </x:c>
    </x:row>
    <x:row r="19" ht="26" customHeight="1">
      <x:c r="A19" s="2" t="str">
        <x:v>高等级组件 Hub 范围未建立</x:v>
      </x:c>
      <x:c r="B19" s="20" t="n">
        <x:f>COUNTIF('高等级Hub缺口'!E6:E524,"尚未建立 Hub 审核范围")</x:f>
        <x:v>224</x:v>
      </x:c>
      <x:c r="C19" s="2" t="str">
        <x:v>高等级Hub缺口</x:v>
      </x:c>
      <x:c r="D19" s="2" t="str">
        <x:v>519 个高等级组件中，224 个尚无范围；本轮补入 45 个，武藏小杉归组已核实</x:v>
      </x:c>
    </x:row>
    <x:row r="20" ht="26" customHeight="1">
      <x:c r="A20" s="2" t="str">
        <x:v>新干线 S12 定量</x:v>
      </x:c>
      <x:c r="B20" s="20" t="n">
        <x:f>COUNTIF('新干线利用量'!H6:H113,1)</x:f>
        <x:v>48</x:v>
      </x:c>
      <x:c r="C20" s="2" t="str">
        <x:v>新干线利用量</x:v>
      </x:c>
      <x:c r="D20" s="2" t="str">
        <x:v>直接沿用原 S12 组件数值及指标</x:v>
      </x:c>
    </x:row>
    <x:row r="21" ht="26" customHeight="1">
      <x:c r="A21" s="2" t="str">
        <x:v>新干线运营方独立定量</x:v>
      </x:c>
      <x:c r="B21" s="20" t="n">
        <x:f>COUNTIF('新干线利用量'!H6:H113,2)</x:f>
        <x:v>29</x:v>
      </x:c>
      <x:c r="C21" s="2" t="str">
        <x:v>新干线利用量</x:v>
      </x:c>
      <x:c r="D21" s="2" t="str">
        <x:v>29 个 fallback，乘车人数不转换为乘降人数</x:v>
      </x:c>
    </x:row>
    <x:row r="22" ht="26" customHeight="1">
      <x:c r="A22" s="2" t="str">
        <x:v>新干线站区 proxy</x:v>
      </x:c>
      <x:c r="B22" s="20" t="n">
        <x:f>COUNTIF('新干线利用量'!E6:E113,"STATION_COMPLEX_PROXY")</x:f>
        <x:v>18</x:v>
      </x:c>
      <x:c r="C22" s="2" t="str">
        <x:v>新干线利用量</x:v>
      </x:c>
      <x:c r="D22" s="2" t="str">
        <x:v>18 个明确标为 STATION_COMPLEX_PROXY</x:v>
      </x:c>
    </x:row>
    <x:row r="23" ht="26" customHeight="1">
      <x:c r="A23" s="2" t="str">
        <x:v>新干线利用量不可用</x:v>
      </x:c>
      <x:c r="B23" s="20" t="n">
        <x:f>COUNTBLANK('新干线利用量'!C6:C113)</x:f>
        <x:v>13</x:v>
      </x:c>
      <x:c r="C23" s="2" t="str">
        <x:v>新干线利用量</x:v>
      </x:c>
      <x:c r="D23" s="2" t="str">
        <x:v>13 个保留 null，不赋默认 T2/T3</x:v>
      </x:c>
    </x:row>
    <x:row r="24" ht="26" customHeight="1">
      <x:c r="A24" s="2" t="str">
        <x:v>新干线人工定级审核</x:v>
      </x:c>
      <x:c r="B24" s="20" t="n">
        <x:f>COUNTIF('新干线利用量'!G6:G113,"是")</x:f>
        <x:v>60</x:v>
      </x:c>
      <x:c r="C24" s="2" t="str">
        <x:v>新干线利用量</x:v>
      </x:c>
      <x:c r="D24" s="2" t="str">
        <x:v>60 个保持人工审核</x:v>
      </x:c>
    </x:row>
    <x:row r="25" ht="26" customHeight="1">
      <x:c r="A25" s="2"/>
      <x:c r="B25" s="2"/>
      <x:c r="C25" s="2"/>
      <x:c r="D25" s="2"/>
    </x:row>
    <x:row r="26" ht="26" customHeight="1">
      <x:c r="A26" s="2"/>
      <x:c r="B26" s="2"/>
      <x:c r="C26" s="2"/>
      <x:c r="D26" s="2"/>
    </x:row>
    <x:row r="27" ht="26" customHeight="1">
      <x:c r="A27" s="24" t="str">
        <x:v>验收与版本</x:v>
      </x:c>
      <x:c r="B27" s="2"/>
      <x:c r="C27" s="2"/>
      <x:c r="D27" s="2"/>
    </x:row>
    <x:row r="28" ht="36" customHeight="1">
      <x:c r="A28" s="2" t="str">
        <x:v>全国 Master 状态</x:v>
      </x:c>
      <x:c r="B28" s="2"/>
      <x:c r="C28" s="25"/>
      <x:c r="D28" s="26" t="str">
        <x:v>REWORK_IN_PROGRESS</x:v>
      </x:c>
    </x:row>
    <x:row r="29" ht="36" customHeight="1">
      <x:c r="A29" s="2" t="str">
        <x:v>正式接收 v2 节点数</x:v>
      </x:c>
      <x:c r="B29" s="2"/>
      <x:c r="C29" s="25"/>
      <x:c r="D29" s="26" t="n">
        <x:v>0</x:v>
      </x:c>
    </x:row>
    <x:row r="30" ht="36" customHeight="1">
      <x:c r="A30" s="2" t="str">
        <x:v>N03/GSI rights</x:v>
      </x:c>
      <x:c r="B30" s="2"/>
      <x:c r="C30" s="25"/>
      <x:c r="D30" s="26" t="str">
        <x:v>APPROVAL_REQUIRED；未运行生产 join，未赋行政区</x:v>
      </x:c>
    </x:row>
    <x:row r="31" ht="36" customHeight="1">
      <x:c r="A31" s="2" t="str">
        <x:v>TASK-085-B / TASK-086-B</x:v>
      </x:c>
      <x:c r="B31" s="2"/>
      <x:c r="C31" s="25"/>
      <x:c r="D31" s="26" t="str">
        <x:v>未启动、未授权；要求 NATIONAL_MASTER_PASS</x:v>
      </x:c>
    </x:row>
    <x:row r="32" ht="36" customHeight="1">
      <x:c r="A32" s="2" t="str">
        <x:v>PR 操作</x:v>
      </x:c>
      <x:c r="B32" s="2"/>
      <x:c r="C32" s="25"/>
      <x:c r="D32" s="26" t="str">
        <x:v>未新建 PR，未 merge。历史 PR #448 的 v1 质量验收已撤销</x:v>
      </x:c>
    </x:row>
    <x:row r="33" ht="36" customHeight="1">
      <x:c r="A33" s="2" t="str">
        <x:v>规则版本</x:v>
      </x:c>
      <x:c r="B33" s="2"/>
      <x:c r="C33" s="25"/>
      <x:c r="D33" s="26" t="str">
        <x:v>168149d0fc5570f5ed55297937c806bdf290d6b3</x:v>
      </x:c>
    </x:row>
    <x:row r="34" ht="36" customHeight="1">
      <x:c r="A34" s="2" t="str">
        <x:v>本轮代码版本</x:v>
      </x:c>
      <x:c r="B34" s="2"/>
      <x:c r="C34" s="25"/>
      <x:c r="D34" s="26" t="str">
        <x:v>a25ebb928bb1fc8017d8d9e5c050d717ff5b118b</x:v>
      </x:c>
    </x:row>
    <x:row r="35" ht="36" customHeight="1">
      <x:c r="A35" s="2" t="str">
        <x:v>本轮 manifest SHA256</x:v>
      </x:c>
      <x:c r="B35" s="2"/>
      <x:c r="C35" s="25"/>
      <x:c r="D35" s="26" t="str">
        <x:v>b4ad2259b986ab34b7326c15fe5f0d80f4f5a08160c012cdb787c0ede1fb375a</x:v>
      </x:c>
    </x:row>
    <x:row r="36" ht="36" customHeight="1">
      <x:c r="A36" s="2" t="str">
        <x:v>Canonical POI 范围</x:v>
      </x:c>
      <x:c r="B36" s="2"/>
      <x:c r="C36" s="25"/>
      <x:c r="D36" s="26" t="str">
        <x:v>PR #444 已于 2026-09-29 合入；Pilot-100，100 条 runtime 授权；candidate corpus 未授权</x:v>
      </x:c>
    </x:row>
    <x:row r="37" ht="36" customHeight="1">
      <x:c r="A37" s="2" t="str">
        <x:v>后续 Canonical 输入</x:v>
      </x:c>
      <x:c r="B37" s="2"/>
      <x:c r="C37" s="25"/>
      <x:c r="D37" s="26" t="str">
        <x:v>085 启动时读取当时正式 runtime manifest，不永久硬编码 100</x:v>
      </x:c>
    </x:row>
    <x:row r="38" ht="36" customHeight="1">
      <x:c r="A38" s="2" t="str">
        <x:v>空值说明</x:v>
      </x:c>
      <x:c r="B38" s="2"/>
      <x:c r="C38" s="25"/>
      <x:c r="D38" s="26" t="str">
        <x:v>空白表示未知或未核实，不能视为 0。等级为审核建议；Hub 取最高已知组件等级，不相加客流</x:v>
      </x:c>
    </x:row>
    <x:row r="39" ht="36" customHeight="1">
      <x:c r="A39" s="2" t="str">
        <x:v>工作簿范围</x:v>
      </x:c>
      <x:c r="B39" s="2"/>
      <x:c r="C39" s="25"/>
      <x:c r="D39" s="26" t="str">
        <x:v>包含本轮逐条候选、证据来源、身份映射与缺口；不包含 085 接驳边</x:v>
      </x:c>
    </x:row>
    <x:row r="40" ht="42" customHeight="1">
      <x:c r="A40" s="2" t="str">
        <x:v>Exact-head Quality Gate</x:v>
      </x:c>
      <x:c r="B40" s="2"/>
      <x:c r="C40" s="2"/>
      <x:c r="D40" s="26" t="str">
        <x:v>SUCCESS；run 36670555620
https://github.com/kanzakimy0/TravelAssist/actions/runs/36670555620</x:v>
      </x:c>
    </x:row>
    <x:row r="41" ht="26" customHeight="1">
      <x:c r="A41" s="2"/>
      <x:c r="B41" s="2"/>
      <x:c r="C41" s="2"/>
      <x:c r="D41" s="2"/>
    </x:row>
    <x:row r="42" ht="26" customHeight="1">
      <x:c r="A42" s="2" t="str">
        <x:v>各明细页可筛选并冻结表头。来源字段紧邻对应记录。空白坐标及待核状态均按源文件保留。</x:v>
      </x:c>
      <x:c r="B42" s="2"/>
      <x:c r="C42" s="2"/>
      <x:c r="D42" s="2"/>
    </x:row>
    <x:row r="43" ht="26" customHeight="1">
      <x:c r="A43" s="2"/>
      <x:c r="B43" s="2"/>
      <x:c r="C43" s="2"/>
      <x:c r="D43" s="2"/>
    </x:row>
    <x:row r="44" ht="36" customHeight="1">
      <x:c r="A44" s="2" t="str">
        <x:v>武藏小杉 JR 归组</x:v>
      </x:c>
      <x:c r="B44" s="20" t="n">
        <x:f>COUNTIFS('轨道组件'!A6:A2276,"武蔵小杉",'轨道组件'!B6:B2276,"東日本旅客鉄道")</x:f>
        <x:v>1</x:v>
      </x:c>
      <x:c r="C44" s="2" t="str">
        <x:v>归组沿革</x:v>
      </x:c>
      <x:c r="D44" s="26" t="str">
        <x:v>保留 1 个 JR 常规铁路组件、226,904 人/日；东急独立</x:v>
      </x:c>
    </x:row>
    <x:row r="45" ht="36" customHeight="1">
      <x:c r="A45" s="2" t="str">
        <x:v>原 15 处边界补证</x:v>
      </x:c>
      <x:c r="B45" s="20" t="n">
        <x:f>COUNTIF('15处边界'!B6:B20,"有官方换乘依据")</x:f>
        <x:v>15</x:v>
      </x:c>
      <x:c r="C45" s="2" t="str">
        <x:v>15处边界</x:v>
      </x:c>
      <x:c r="D45" s="26" t="str">
        <x:v>15 / 15 已有官方依据；组件及广岛迁站几何仍需验收</x:v>
      </x:c>
    </x:row>
    <x:row r="46" ht="36" customHeight="1">
      <x:c r="A46" s="2" t="str">
        <x:v>269 项补查新增范围归属</x:v>
      </x:c>
      <x:c r="B46" s="20" t="n">
        <x:f>COUNTIF('269项补查'!E6:E274,"已补官方范围，组件待验收")</x:f>
        <x:v>45</x:v>
      </x:c>
      <x:c r="C46" s="2" t="str">
        <x:v>269项补查</x:v>
      </x:c>
      <x:c r="D46" s="26" t="str">
        <x:v>45 个高等级组件补入有依据的 Hub；32 个新增 Hub 范围</x:v>
      </x:c>
    </x:row>
    <x:row r="47" ht="36" customHeight="1">
      <x:c r="A47" s="2" t="str">
        <x:v>269 项补查仍无范围</x:v>
      </x:c>
      <x:c r="B47" s="20" t="n">
        <x:f>COUNTA('269项补查'!A6:A274)-B46</x:f>
        <x:v>224</x:v>
      </x:c>
      <x:c r="C47" s="2" t="str">
        <x:v>269项补查</x:v>
      </x:c>
      <x:c r="D47" s="26" t="str">
        <x:v>37 个多组件线索 + 187 个单组件源记录继续待核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42" hidden="0" customWidth="1"/>
    <x:col min="5" max="5" width="22" hidden="0" customWidth="1"/>
    <x:col min="6" max="6" width="48" hidden="0" customWidth="1"/>
    <x:col min="7" max="7" width="65" hidden="0" customWidth="1"/>
    <x:col min="8" max="8" width="65" hidden="0" customWidth="1"/>
    <x:col min="9" max="9" width="25" hidden="0" customWidth="1"/>
    <x:col min="10" max="10" width="100" hidden="0" customWidth="1"/>
    <x:col min="11" max="11" width="110" hidden="0" customWidth="1"/>
    <x:col min="12" max="12" width="110" hidden="0" customWidth="1"/>
    <x:col min="13" max="13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4" t="str">
        <x:v>武藏小杉及补证时发现的重复分组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</x:row>
    <x:row r="3">
      <x:c r="A3" s="6" t="str">
        <x:v>3 项显式归组；客流为 FY2024 每日乘降人次，保留单一有效主值，不叠加。原始候选、坐标和官方依据可追溯。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6" t="str">
        <x:v>来源：data/transport/nodes/task-084-b-v2-amendment-review/component-identity-lineage.jsonl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5" t="str">
        <x:v>站名</x:v>
      </x:c>
      <x:c r="B5" s="16" t="str">
        <x:v>运营方</x:v>
      </x:c>
      <x:c r="C5" s="16" t="str">
        <x:v>模式</x:v>
      </x:c>
      <x:c r="D5" s="16" t="str">
        <x:v>归组结论</x:v>
      </x:c>
      <x:c r="E5" s="16" t="str">
        <x:v>保留客流（人/日）</x:v>
      </x:c>
      <x:c r="F5" s="16" t="str">
        <x:v>客流处理</x:v>
      </x:c>
      <x:c r="G5" s="16" t="str">
        <x:v>保留候选 ID</x:v>
      </x:c>
      <x:c r="H5" s="16" t="str">
        <x:v>退役候选 ID</x:v>
      </x:c>
      <x:c r="I5" s="16" t="str">
        <x:v>源分组代码</x:v>
      </x:c>
      <x:c r="J5" s="16" t="str">
        <x:v>原始记录明细</x:v>
      </x:c>
      <x:c r="K5" s="16" t="str">
        <x:v>归组依据</x:v>
      </x:c>
      <x:c r="L5" s="16" t="str">
        <x:v>官方证据</x:v>
      </x:c>
      <x:c r="M5" s="17" t="str">
        <x:v>正式身份重绑</x:v>
      </x:c>
    </x:row>
    <x:row r="6" ht="61" customHeight="1">
      <x:c r="A6" s="18" t="str">
        <x:v>武蔵小杉</x:v>
      </x:c>
      <x:c r="B6" s="18" t="str">
        <x:v>東日本旅客鉄道</x:v>
      </x:c>
      <x:c r="C6" s="18" t="str">
        <x:v>conventional_rail</x:v>
      </x:c>
      <x:c r="D6" s="19" t="str">
        <x:v>官方依据已核实；组件最终验收待核</x:v>
      </x:c>
      <x:c r="E6" s="20" t="n">
        <x:v>226904</x:v>
      </x:c>
      <x:c r="F6" s="19" t="str">
        <x:v>保留单一有效 S12 主值；重复观察不参与加总</x:v>
      </x:c>
      <x:c r="G6" s="18" t="str">
        <x:v>transport-node:4c65bd18-bdbc-5ceb-9b29-9ef1e5a0619b</x:v>
      </x:c>
      <x:c r="H6" s="19" t="str">
        <x:v>transport-node:2bacc1da-0a5a-52a8-b8f5-52d8bb0b97e1</x:v>
      </x:c>
      <x:c r="I6" s="19" t="str">
        <x:v>004297
004301</x:v>
      </x:c>
      <x:c r="J6" s="19" t="str">
        <x:v>transport-node:4c65bd18-bdbc-5ceb-9b29-9ef1e5a0619b | 004297 | 南武線 | 35.5765633,139.6598067 | usage=226904 | duplicate=1
transport-node:2bacc1da-0a5a-52a8-b8f5-52d8bb0b97e1 | 004301 | 東海道線 | 35.5748749,139.6633822 | usage=null | duplicate=2</x:v>
      </x:c>
      <x:c r="K6" s="19" t="str">
        <x:v>Official JR station design describes the internal passage between Nambu and Yokosuka platforms. One operator, physical station complex and conventional mode. Duplicate S12 observation is not an independent passenger figure.</x:v>
      </x:c>
      <x:c r="L6" s="19" t="str">
        <x:v>武蔵小杉駅 / project description | JR East architectural designer documents the internal connecting passage between Nambu and Yokosuka platforms. | https://www.jred.co.jp/projects/p158.html
駅構内図 1F/2F | JR East publishes both floors under one Musashi-Kosugi station map. | https://www.jreast.co.jp/estation/stations/1527.html</x:v>
      </x:c>
      <x:c r="M6" s="18" t="str">
        <x:v>否</x:v>
      </x:c>
    </x:row>
    <x:row r="7" ht="61" customHeight="1">
      <x:c r="A7" s="18" t="str">
        <x:v>東京</x:v>
      </x:c>
      <x:c r="B7" s="18" t="str">
        <x:v>東日本旅客鉄道</x:v>
      </x:c>
      <x:c r="C7" s="18" t="str">
        <x:v>conventional_rail</x:v>
      </x:c>
      <x:c r="D7" s="19" t="str">
        <x:v>官方依据已核实；组件最终验收待核</x:v>
      </x:c>
      <x:c r="E7" s="20" t="n">
        <x:v>869128</x:v>
      </x:c>
      <x:c r="F7" s="19" t="str">
        <x:v>保留单一有效 S12 主值；重复观察不参与加总</x:v>
      </x:c>
      <x:c r="G7" s="18" t="str">
        <x:v>transport-node:f5e5010a-739c-5c0c-bfd6-3449c94b23db</x:v>
      </x:c>
      <x:c r="H7" s="19" t="str">
        <x:v>transport-node:a881b713-cb4e-501a-be62-69c1fa610966</x:v>
      </x:c>
      <x:c r="I7" s="19" t="str">
        <x:v>003766
003785</x:v>
      </x:c>
      <x:c r="J7" s="19" t="str">
        <x:v>transport-node:f5e5010a-739c-5c0c-bfd6-3449c94b23db | 003770 | 京葉線 / 東北線 / 東海道線 / 総武線 | 35.680965,139.766685 | usage=869128 | duplicate=1
transport-node:a881b713-cb4e-501a-be62-69c1fa610966 | 003785 | 京葉線 | 35.6776933,139.7652067 | usage=null | duplicate=2</x:v>
      </x:c>
      <x:c r="K7" s="19" t="str">
        <x:v>JR East conventional platforms including Keiyo are linked within Tokyo station. Preserve two source groups under one physical/operator/mode component.</x:v>
      </x:c>
      <x:c r="L7" s="19" t="str">
        <x:v>のりば案内 / 地下京葉 | JR East lists Keiyo and other conventional platforms under Tokyo station and publishes their interchange guidance. | https://www.jreast.co.jp/estation/stations/1039.html
東京駅京葉線連絡通路 | JR East advertising subsidiary identifies the Tokyo station Keiyo connecting passage. | https://www.jeki.co.jp/transit_ad/entry/?cat=st_media&amp;id=153</x:v>
      </x:c>
      <x:c r="M7" s="18" t="str">
        <x:v>否</x:v>
      </x:c>
    </x:row>
    <x:row r="8" ht="75" customHeight="1">
      <x:c r="A8" s="18" t="str">
        <x:v>池袋</x:v>
      </x:c>
      <x:c r="B8" s="18" t="str">
        <x:v>東京地下鉄</x:v>
      </x:c>
      <x:c r="C8" s="18" t="str">
        <x:v>metro</x:v>
      </x:c>
      <x:c r="D8" s="19" t="str">
        <x:v>官方依据已核实；组件最终验收待核</x:v>
      </x:c>
      <x:c r="E8" s="20" t="n">
        <x:v>518135</x:v>
      </x:c>
      <x:c r="F8" s="19" t="str">
        <x:v>保留单一有效 S12 主值；重复观察不参与加总</x:v>
      </x:c>
      <x:c r="G8" s="18" t="str">
        <x:v>transport-node:4ca02af6-f068-57dd-ae7a-24f409143d60</x:v>
      </x:c>
      <x:c r="H8" s="19" t="str">
        <x:v>transport-node:686ab245-2616-5ebc-b8ed-a371815cfe18</x:v>
      </x:c>
      <x:c r="I8" s="19" t="str">
        <x:v>003379
003390</x:v>
      </x:c>
      <x:c r="J8" s="19" t="str">
        <x:v>transport-node:4ca02af6-f068-57dd-ae7a-24f409143d60 | 003389 | 4号線丸ノ内線 / 8号線有楽町線 | 35.730345,139.71115 | usage=518135 | duplicate=1
transport-node:686ab245-2616-5ebc-b8ed-a371815cfe18 | 003379 | 13号線副都心線 / 4号線丸ノ内線 / 8号線有楽町線 | 35.73148,139.70772 | usage=null | duplicate=2</x:v>
      </x:c>
      <x:c r="K8" s="19" t="str">
        <x:v>Metro officially defines Ikebukuro as a three-line station interchange, including designated out-of-gate transfers. Retain a single operator/physical-station/mode component and all line observations.</x:v>
      </x:c>
      <x:c r="L8" s="19" t="str">
        <x:v>池袋駅 / 丸ノ内線・有楽町線・副都心線 | Operator publishes M25/Y09/F09 within one station and one station passenger total. | https://www.tokyometro.jp/station/ikebukuro/index.html
池袋駅 / 改札外乗換 | Official operator FAQ explicitly designates transfers among the three lines at Ikebukuro, including out-of-gate transfers. | https://ssl.tokyometro.jp/support/faq_answer?faqno=OpenFAQ-000204&amp;lang=ja</x:v>
      </x:c>
      <x:c r="M8" s="18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9458a155f6ca4a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12" hidden="0" customWidth="1"/>
    <x:col min="9" max="9" width="100" hidden="0" customWidth="1"/>
    <x:col min="10" max="10" width="110" hidden="0" customWidth="1"/>
    <x:col min="11" max="11" width="45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4" t="str">
        <x:v>原 15 处待核 Hub 的边界补证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</x:row>
    <x:row r="3">
      <x:c r="A3" s="6" t="str">
        <x:v>15 / 15 已附官方依据。完整组件验收仍待审核；广岛迁站后的几何核实单列保留。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6" t="str">
        <x:v>来源：data/transport/nodes/task-084-b-v2-amendment-review/hub-boundary-followup-review.jsonl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5" t="str">
        <x:v>Hub 名称</x:v>
      </x:c>
      <x:c r="B5" s="16" t="str">
        <x:v>本轮边界状态</x:v>
      </x:c>
      <x:c r="C5" s="16" t="str">
        <x:v>原状态</x:v>
      </x:c>
      <x:c r="D5" s="16" t="str">
        <x:v>期望组件</x:v>
      </x:c>
      <x:c r="E5" s="16" t="str">
        <x:v>缺失组件</x:v>
      </x:c>
      <x:c r="F5" s="16" t="str">
        <x:v>归组歧义</x:v>
      </x:c>
      <x:c r="G5" s="16" t="str">
        <x:v>官方证据数</x:v>
      </x:c>
      <x:c r="H5" s="16" t="str">
        <x:v>边界结论</x:v>
      </x:c>
      <x:c r="I5" s="16" t="str">
        <x:v>仍需专项核实</x:v>
      </x:c>
      <x:c r="J5" s="16" t="str">
        <x:v>官方依据</x:v>
      </x:c>
      <x:c r="K5" s="16" t="str">
        <x:v>原版本</x:v>
      </x:c>
      <x:c r="L5" s="17" t="str">
        <x:v>正式验收授权</x:v>
      </x:c>
    </x:row>
    <x:row r="6" ht="89" customHeight="1">
      <x:c r="A6" s="18" t="str">
        <x:v>三ノ宮</x:v>
      </x:c>
      <x:c r="B6" s="19" t="str">
        <x:v>有官方换乘依据</x:v>
      </x:c>
      <x:c r="C6" s="18" t="str">
        <x:v>边界待核</x:v>
      </x:c>
      <x:c r="D6" s="20" t="n">
        <x:v>6</x:v>
      </x:c>
      <x:c r="E6" s="20" t="n">
        <x:v>0</x:v>
      </x:c>
      <x:c r="F6" s="20" t="n">
        <x:v>0</x:v>
      </x:c>
      <x:c r="G6" s="20" t="n">
        <x:v>2</x:v>
      </x:c>
      <x:c r="H6" s="19" t="str">
        <x:v>City official interchange table links JR, Hankyu, Hanshin, subway Sannomiya and Kaigan-line Sannomiya-Hanadokeimae. Port Liner remains a separate AGT component. Components retain operator/mode identities. Boundary evidence review does not authorize runtime import or final acceptance.</x:v>
      </x:c>
      <x:c r="I6" s="19" t="str">
        <x:v>组件字段、身份沿革及正式验收仍待核</x:v>
      </x:c>
      <x:c r="J6" s="19" t="str">
        <x:v>三宮 / 三宮・花時計前 / 換乘 | City official interchange table links JR, Hankyu, Hanshin, subway Sannomiya and Kaigan-line Sannomiya-Hanadokeimae. Port Liner remains a separate AGT component. | https://kotsu.city.kobe.lg.jp/chinese-trad/cnt-subway-map/
三宮駅・三宮花時計前駅 / 乗り換え | City prescribes the out-of-gate transfer between Sannomiya and Sannomiya-Hanadokeimae. Distinct stations retained as components. | https://faq.city.kobe.lg.jp/faq/show/988?site_domain=default</x:v>
      </x:c>
      <x:c r="K6" s="18" t="str">
        <x:v>8cad9588bc6f9241127c06906ae05c940c8bf29e</x:v>
      </x:c>
      <x:c r="L6" s="18" t="str">
        <x:v>否</x:v>
      </x:c>
    </x:row>
    <x:row r="7" ht="89" customHeight="1">
      <x:c r="A7" s="18" t="str">
        <x:v>上野</x:v>
      </x:c>
      <x:c r="B7" s="19" t="str">
        <x:v>有官方换乘依据</x:v>
      </x:c>
      <x:c r="C7" s="18" t="str">
        <x:v>边界待核</x:v>
      </x:c>
      <x:c r="D7" s="20" t="n">
        <x:v>4</x:v>
      </x:c>
      <x:c r="E7" s="20" t="n">
        <x:v>0</x:v>
      </x:c>
      <x:c r="F7" s="20" t="n">
        <x:v>0</x:v>
      </x:c>
      <x:c r="G7" s="20" t="n">
        <x:v>2</x:v>
      </x:c>
      <x:c r="H7" s="19" t="str">
        <x:v>Keisei official station map labels the B1 underground passage toward the subway; Metro Ueno explicitly designates Keisei interchange. Keep Keisei-Ueno a distinct physical component in the documented connected interchange. Components retain operator/mode identities. Boundary evidence review does not authorize runtime import or final acceptance.</x:v>
      </x:c>
      <x:c r="I7" s="19" t="str">
        <x:v>组件字段、身份沿革及正式验收仍待核</x:v>
      </x:c>
      <x:c r="J7" s="19" t="str">
        <x:v>のりかえ鉄道会社 / 構内図 | Metro designates JR East and Keisei interchange. The separate Keisei-Ueno physical station is included with the complementary official underground-passage map. | https://www.tokyometro.jp/station/ueno/index.html
p2 / 地下鉄方面連絡通路 | Keisei official station map labels the B1 underground passage toward the subway; Metro Ueno explicitly designates Keisei interchange. Keep Keisei-Ueno a distinct physical component in the documented connected interchange. | https://www.keisei.co.jp/information/files/info/20180406_173203380209.pdf</x:v>
      </x:c>
      <x:c r="K7" s="18" t="str">
        <x:v>8cad9588bc6f9241127c06906ae05c940c8bf29e</x:v>
      </x:c>
      <x:c r="L7" s="18" t="str">
        <x:v>否</x:v>
      </x:c>
    </x:row>
    <x:row r="8" ht="47" customHeight="1">
      <x:c r="A8" s="18" t="str">
        <x:v>京都</x:v>
      </x:c>
      <x:c r="B8" s="19" t="str">
        <x:v>有官方换乘依据</x:v>
      </x:c>
      <x:c r="C8" s="18" t="str">
        <x:v>边界待核</x:v>
      </x:c>
      <x:c r="D8" s="20" t="n">
        <x:v>4</x:v>
      </x:c>
      <x:c r="E8" s="20" t="n">
        <x:v>0</x:v>
      </x:c>
      <x:c r="F8" s="20" t="n">
        <x:v>0</x:v>
      </x:c>
      <x:c r="G8" s="20" t="n">
        <x:v>1</x:v>
      </x:c>
      <x:c r="H8" s="19" t="str">
        <x:v>Kintetsu lists distinct routes to JR Shinkansen central gate, conventional west gate and Karasuma subway; four components share the station interchange. Components retain operator/mode identities. Boundary evidence review does not authorize runtime import or final acceptance.</x:v>
      </x:c>
      <x:c r="I8" s="19" t="str">
        <x:v>组件字段、身份沿革及正式验收仍待核</x:v>
      </x:c>
      <x:c r="J8" s="19" t="str">
        <x:v>2026-03-14 / のりかえ案内 | Kintetsu lists distinct routes to JR Shinkansen central gate, conventional west gate and Karasuma subway; four components share the station interchange. | https://www.kintetsu.co.jp/soukatsu/kounai/kyoto.html</x:v>
      </x:c>
      <x:c r="K8" s="18" t="str">
        <x:v>8cad9588bc6f9241127c06906ae05c940c8bf29e</x:v>
      </x:c>
      <x:c r="L8" s="18" t="str">
        <x:v>否</x:v>
      </x:c>
    </x:row>
    <x:row r="9" ht="89" customHeight="1">
      <x:c r="A9" s="18" t="str">
        <x:v>仙台</x:v>
      </x:c>
      <x:c r="B9" s="19" t="str">
        <x:v>有官方换乘依据</x:v>
      </x:c>
      <x:c r="C9" s="18" t="str">
        <x:v>边界待核</x:v>
      </x:c>
      <x:c r="D9" s="20" t="n">
        <x:v>4</x:v>
      </x:c>
      <x:c r="E9" s="20" t="n">
        <x:v>0</x:v>
      </x:c>
      <x:c r="F9" s="20" t="n">
        <x:v>0</x:v>
      </x:c>
      <x:c r="G9" s="20" t="n">
        <x:v>2</x:v>
      </x:c>
      <x:c r="H9" s="19" t="str">
        <x:v>The 2026 municipal guide maps the JR Senseki Aoba-dori transfer gate to Sendai subway. Retain Aoba-dori and JR Sendai as distinct physical components. Components retain operator/mode identities. Boundary evidence review does not authorize runtime import or final acceptance.</x:v>
      </x:c>
      <x:c r="I9" s="19" t="str">
        <x:v>组件字段、身份沿革及正式验收仍待核</x:v>
      </x:c>
      <x:c r="J9" s="19" t="str">
        <x:v>仙台駅乗り継ぎガイド / JR・地下鉄連絡通路 | Municipal transfer guide documents the JR/subway Sendai connection. JR conventional, Shinkansen and municipal subway remain separate. | https://www.city.sendai.jp/kokyo/kurashi/machi/kotsu/annai/noritsugi.html
p7 / あおば通駅・JR仙石線のりかえ改札 | The 2026 municipal guide maps the JR Senseki Aoba-dori transfer gate to Sendai subway. Retain Aoba-dori and JR Sendai as distinct physical components. | https://www.city.sendai.jp/kokyo/kurashi/machi/kotsu/annai/documents/noritsugi_r8_small.pdf</x:v>
      </x:c>
      <x:c r="K9" s="18" t="str">
        <x:v>8cad9588bc6f9241127c06906ae05c940c8bf29e</x:v>
      </x:c>
      <x:c r="L9" s="18" t="str">
        <x:v>否</x:v>
      </x:c>
    </x:row>
    <x:row r="10" ht="61" customHeight="1">
      <x:c r="A10" s="18" t="str">
        <x:v>品川</x:v>
      </x:c>
      <x:c r="B10" s="19" t="str">
        <x:v>有官方换乘依据</x:v>
      </x:c>
      <x:c r="C10" s="18" t="str">
        <x:v>边界待核</x:v>
      </x:c>
      <x:c r="D10" s="20" t="n">
        <x:v>3</x:v>
      </x:c>
      <x:c r="E10" s="20" t="n">
        <x:v>0</x:v>
      </x:c>
      <x:c r="F10" s="20" t="n">
        <x:v>0</x:v>
      </x:c>
      <x:c r="G10" s="20" t="n">
        <x:v>2</x:v>
      </x:c>
      <x:c r="H10" s="19" t="str">
        <x:v>Keikyu Shinagawa explicitly lists JR conventional lines and Tokaido Shinkansen. Dedicated JR transfer gate confirms the shared interchange. Components retain operator/mode identities. Boundary evidence review does not authorize runtime import or final acceptance.</x:v>
      </x:c>
      <x:c r="I10" s="19" t="str">
        <x:v>组件字段、身份沿革及正式验收仍待核</x:v>
      </x:c>
      <x:c r="J10" s="19" t="str">
        <x:v>KK01 品川 / 乗り換え | Keikyu Shinagawa explicitly lists JR conventional lines and Tokaido Shinkansen. Dedicated JR transfer gate confirms the shared interchange. | https://www.keikyu.co.jp/ride/kakueki/
JR線のりかえ改札 | Dedicated JR transfer gate relocated on 2025-03-12; rail connection remains. | https://www.keikyu.co.jp/report/2024/report2025030302.html</x:v>
      </x:c>
      <x:c r="K10" s="18" t="str">
        <x:v>8cad9588bc6f9241127c06906ae05c940c8bf29e</x:v>
      </x:c>
      <x:c r="L10" s="18" t="str">
        <x:v>否</x:v>
      </x:c>
    </x:row>
    <x:row r="11" ht="47" customHeight="1">
      <x:c r="A11" s="18" t="str">
        <x:v>大宮</x:v>
      </x:c>
      <x:c r="B11" s="19" t="str">
        <x:v>有官方换乘依据</x:v>
      </x:c>
      <x:c r="C11" s="18" t="str">
        <x:v>边界待核</x:v>
      </x:c>
      <x:c r="D11" s="20" t="n">
        <x:v>4</x:v>
      </x:c>
      <x:c r="E11" s="20" t="n">
        <x:v>0</x:v>
      </x:c>
      <x:c r="F11" s="20" t="n">
        <x:v>0</x:v>
      </x:c>
      <x:c r="G11" s="20" t="n">
        <x:v>1</x:v>
      </x:c>
      <x:c r="H11" s="19" t="str">
        <x:v>Tobu Omiya designates JR and New Shuttle interchange; JR conventional/Shinkansen retained separately. Components retain operator/mode identities. Boundary evidence review does not authorize runtime import or final acceptance.</x:v>
      </x:c>
      <x:c r="I11" s="19" t="str">
        <x:v>组件字段、身份沿革及正式验收仍待核</x:v>
      </x:c>
      <x:c r="J11" s="19" t="str">
        <x:v>乗り換え案内 / 鉄道 | Tobu Omiya designates JR and New Shuttle interchange; JR conventional/Shinkansen retained separately. | https://www.tobu.co.jp/railway/guide/station/info/6102/</x:v>
      </x:c>
      <x:c r="K11" s="18" t="str">
        <x:v>8cad9588bc6f9241127c06906ae05c940c8bf29e</x:v>
      </x:c>
      <x:c r="L11" s="18" t="str">
        <x:v>否</x:v>
      </x:c>
    </x:row>
    <x:row r="12" ht="47" customHeight="1">
      <x:c r="A12" s="18" t="str">
        <x:v>奈良</x:v>
      </x:c>
      <x:c r="B12" s="19" t="str">
        <x:v>有官方换乘依据</x:v>
      </x:c>
      <x:c r="C12" s="18" t="str">
        <x:v>边界待核</x:v>
      </x:c>
      <x:c r="D12" s="20" t="n">
        <x:v>1</x:v>
      </x:c>
      <x:c r="E12" s="20" t="n">
        <x:v>0</x:v>
      </x:c>
      <x:c r="F12" s="20" t="n">
        <x:v>0</x:v>
      </x:c>
      <x:c r="G12" s="20" t="n">
        <x:v>1</x:v>
      </x:c>
      <x:c r="H12" s="19" t="str">
        <x:v>JR Nara is the JR West conventional-line interchange (Yamatoji, Nara and Sakurai service). Kintetsu Nara is a separate station and is excluded from this Hub. Components retain operator/mode identities. Boundary evidence review does not authorize runtime import or final acceptance.</x:v>
      </x:c>
      <x:c r="I12" s="19" t="str">
        <x:v>组件字段、身份沿革及正式验收仍待核</x:v>
      </x:c>
      <x:c r="J12" s="19" t="str">
        <x:v>のりば案内 / 駅構内図 | JR Nara is the JR West conventional-line interchange (Yamatoji, Nara and Sakurai service). Kintetsu Nara is a separate station and is excluded from this Hub. | https://eki.jr-odekake.net/premises?id=0620816</x:v>
      </x:c>
      <x:c r="K12" s="18" t="str">
        <x:v>8cad9588bc6f9241127c06906ae05c940c8bf29e</x:v>
      </x:c>
      <x:c r="L12" s="18" t="str">
        <x:v>否</x:v>
      </x:c>
    </x:row>
    <x:row r="13" ht="75" customHeight="1">
      <x:c r="A13" s="18" t="str">
        <x:v>広島</x:v>
      </x:c>
      <x:c r="B13" s="19" t="str">
        <x:v>有官方换乘依据</x:v>
      </x:c>
      <x:c r="C13" s="18" t="str">
        <x:v>边界待核</x:v>
      </x:c>
      <x:c r="D13" s="20" t="n">
        <x:v>3</x:v>
      </x:c>
      <x:c r="E13" s="20" t="n">
        <x:v>0</x:v>
      </x:c>
      <x:c r="F13" s="20" t="n">
        <x:v>0</x:v>
      </x:c>
      <x:c r="G13" s="20" t="n">
        <x:v>2</x:v>
      </x:c>
      <x:c r="H13" s="19" t="str">
        <x:v>Hiroden station moved into the JR station building second floor on 2025-08-03. JR conventional/Shinkansen and Hiroden tram share the rebuilt complex; FY2024 tram geometry requires relocation review. Components retain operator/mode identities. Boundary evidence review does not authorize runtime import or final acceptance.</x:v>
      </x:c>
      <x:c r="I13" s="19" t="str">
        <x:v>{"coordinatesReplaced":false,"effectiveDate":"2025-08-03","operator":"広島電鉄","reason":"Old tram coordinate is a historical observation, not validated current platform geometry.","sourceGeometryPeriod":"FY2024","stationName":"広島駅","status":"STATION_RELOCATION_GEOMETRY_REVIEW_REQUIRED"}</x:v>
      </x:c>
      <x:c r="J13" s="19" t="str">
        <x:v>2025-08 工事だより / 駅ビル2階乗入れ | Hiroden station moved into the JR station building second floor on 2025-08-03. JR conventional/Shinkansen and Hiroden tram share the rebuilt complex; FY2024 tram geometry requires relocation review. | https://www.hiroden.co.jp/company/csr/pdf/hiroshimastation/news_202508.pdf
2026-06-05 / 構内図・のりば案内 | JR current map and platform list identify conventional and Shinkansen within one station. | https://eki.jr-odekake.net/premises?id=0800613</x:v>
      </x:c>
      <x:c r="K13" s="18" t="str">
        <x:v>8cad9588bc6f9241127c06906ae05c940c8bf29e</x:v>
      </x:c>
      <x:c r="L13" s="18" t="str">
        <x:v>否</x:v>
      </x:c>
    </x:row>
    <x:row r="14" ht="47" customHeight="1">
      <x:c r="A14" s="18" t="str">
        <x:v>札幌</x:v>
      </x:c>
      <x:c r="B14" s="19" t="str">
        <x:v>有官方换乘依据</x:v>
      </x:c>
      <x:c r="C14" s="18" t="str">
        <x:v>边界待核</x:v>
      </x:c>
      <x:c r="D14" s="20" t="n">
        <x:v>2</x:v>
      </x:c>
      <x:c r="E14" s="20" t="n">
        <x:v>0</x:v>
      </x:c>
      <x:c r="F14" s="20" t="n">
        <x:v>0</x:v>
      </x:c>
      <x:c r="G14" s="20" t="n">
        <x:v>1</x:v>
      </x:c>
      <x:c r="H14" s="19" t="str">
        <x:v>City station map locates JR Sapporo and Namboku/Toho subway within the connected station concourse. JR and municipal Metro stay separate. Components retain operator/mode identities. Boundary evidence review does not authorize runtime import or final acceptance.</x:v>
      </x:c>
      <x:c r="I14" s="19" t="str">
        <x:v>组件字段、身份沿革及正式验收仍待核</x:v>
      </x:c>
      <x:c r="J14" s="19" t="str">
        <x:v>さっぽろ駅 構内図 / JR札幌駅 | City station map locates JR Sapporo and Namboku/Toho subway within the connected station concourse. JR and municipal Metro stay separate. | https://www.city.sapporo.jp/st/documents/sapporoshinzyuuhachituika.pdf</x:v>
      </x:c>
      <x:c r="K14" s="18" t="str">
        <x:v>8cad9588bc6f9241127c06906ae05c940c8bf29e</x:v>
      </x:c>
      <x:c r="L14" s="18" t="str">
        <x:v>否</x:v>
      </x:c>
    </x:row>
    <x:row r="15" ht="103" customHeight="1">
      <x:c r="A15" s="18" t="str">
        <x:v>東京</x:v>
      </x:c>
      <x:c r="B15" s="19" t="str">
        <x:v>有官方换乘依据</x:v>
      </x:c>
      <x:c r="C15" s="18" t="str">
        <x:v>边界待核</x:v>
      </x:c>
      <x:c r="D15" s="20" t="n">
        <x:v>4</x:v>
      </x:c>
      <x:c r="E15" s="20" t="n">
        <x:v>0</x:v>
      </x:c>
      <x:c r="F15" s="20" t="n">
        <x:v>0</x:v>
      </x:c>
      <x:c r="G15" s="20" t="n">
        <x:v>3</x:v>
      </x:c>
      <x:c r="H15" s="19" t="str">
        <x:v>Metro Tokyo lists JR East and JR Central connections. Retain JR East conventional/Shinkansen, JR Central Shinkansen and Metro; do not absorb the independent Otemachi scope. Components retain operator/mode identities. Boundary evidence review does not authorize runtime import or final acceptance.</x:v>
      </x:c>
      <x:c r="I15" s="19" t="str">
        <x:v>组件字段、身份沿革及正式验收仍待核</x:v>
      </x:c>
      <x:c r="J15" s="19" t="str">
        <x:v>駅について / のりかえ鉄道会社 | Metro Tokyo lists JR East and JR Central connections. Retain JR East conventional/Shinkansen, JR Central Shinkansen and Metro; do not absorb the independent Otemachi scope. | https://www.tokyometro.jp/station/tokyo/index.html
のりば案内 / 地下京葉 | JR East lists Keiyo and other conventional platforms under Tokyo station and publishes their interchange guidance. | https://www.jreast.co.jp/estation/stations/1039.html
東京駅京葉線連絡通路 | JR East advertising subsidiary identifies the Tokyo station Keiyo connecting passage. | https://www.jeki.co.jp/transit_ad/entry/?cat=st_media&amp;id=153</x:v>
      </x:c>
      <x:c r="K15" s="18" t="str">
        <x:v>8cad9588bc6f9241127c06906ae05c940c8bf29e</x:v>
      </x:c>
      <x:c r="L15" s="18" t="str">
        <x:v>否</x:v>
      </x:c>
    </x:row>
    <x:row r="16" ht="47" customHeight="1">
      <x:c r="A16" s="18" t="str">
        <x:v>横浜</x:v>
      </x:c>
      <x:c r="B16" s="19" t="str">
        <x:v>有官方换乘依据</x:v>
      </x:c>
      <x:c r="C16" s="18" t="str">
        <x:v>边界待核</x:v>
      </x:c>
      <x:c r="D16" s="20" t="n">
        <x:v>6</x:v>
      </x:c>
      <x:c r="E16" s="20" t="n">
        <x:v>0</x:v>
      </x:c>
      <x:c r="F16" s="20" t="n">
        <x:v>0</x:v>
      </x:c>
      <x:c r="G16" s="20" t="n">
        <x:v>1</x:v>
      </x:c>
      <x:c r="H16" s="19" t="str">
        <x:v>Keikyu Yokohama explicitly lists JR, Tokyu, Sotetsu, Yokohama subway and Minatomirai connections. Six operator components retained. Components retain operator/mode identities. Boundary evidence review does not authorize runtime import or final acceptance.</x:v>
      </x:c>
      <x:c r="I16" s="19" t="str">
        <x:v>组件字段、身份沿革及正式验收仍待核</x:v>
      </x:c>
      <x:c r="J16" s="19" t="str">
        <x:v>KK37 横浜 / 乗り換え | Keikyu Yokohama explicitly lists JR, Tokyu, Sotetsu, Yokohama subway and Minatomirai connections. Six operator components retained. | https://www.keikyu.co.jp/ride/kakueki/</x:v>
      </x:c>
      <x:c r="K16" s="18" t="str">
        <x:v>8cad9588bc6f9241127c06906ae05c940c8bf29e</x:v>
      </x:c>
      <x:c r="L16" s="18" t="str">
        <x:v>否</x:v>
      </x:c>
    </x:row>
    <x:row r="17" ht="103" customHeight="1">
      <x:c r="A17" s="18" t="str">
        <x:v>池袋</x:v>
      </x:c>
      <x:c r="B17" s="19" t="str">
        <x:v>有官方换乘依据</x:v>
      </x:c>
      <x:c r="C17" s="18" t="str">
        <x:v>边界待核</x:v>
      </x:c>
      <x:c r="D17" s="20" t="n">
        <x:v>4</x:v>
      </x:c>
      <x:c r="E17" s="20" t="n">
        <x:v>0</x:v>
      </x:c>
      <x:c r="F17" s="20" t="n">
        <x:v>0</x:v>
      </x:c>
      <x:c r="G17" s="20" t="n">
        <x:v>3</x:v>
      </x:c>
      <x:c r="H17" s="19" t="str">
        <x:v>Metro official station guide lists JR East, Tobu and Seibu within the Ikebukuro interchange. Components retain operator/mode identities. Boundary evidence review does not authorize runtime import or final acceptance.</x:v>
      </x:c>
      <x:c r="I17" s="19" t="str">
        <x:v>组件字段、身份沿革及正式验收仍待核</x:v>
      </x:c>
      <x:c r="J17" s="19" t="str">
        <x:v>のりかえ鉄道会社 | Metro official station guide lists JR East, Tobu and Seibu within the Ikebukuro interchange. | https://www.tokyometro.jp/station/ikebukuro/index.html
池袋駅 / 丸ノ内線・有楽町線・副都心線 | Operator publishes M25/Y09/F09 within one station and one station passenger total. | https://www.tokyometro.jp/station/ikebukuro/index.html
池袋駅 / 改札外乗換 | Official operator FAQ explicitly designates transfers among the three lines at Ikebukuro, including out-of-gate transfers. | https://ssl.tokyometro.jp/support/faq_answer?faqno=OpenFAQ-000204&amp;lang=ja</x:v>
      </x:c>
      <x:c r="K17" s="18" t="str">
        <x:v>8cad9588bc6f9241127c06906ae05c940c8bf29e</x:v>
      </x:c>
      <x:c r="L17" s="18" t="str">
        <x:v>否</x:v>
      </x:c>
    </x:row>
    <x:row r="18" ht="47" customHeight="1">
      <x:c r="A18" s="18" t="str">
        <x:v>熊本</x:v>
      </x:c>
      <x:c r="B18" s="19" t="str">
        <x:v>有官方换乘依据</x:v>
      </x:c>
      <x:c r="C18" s="18" t="str">
        <x:v>边界待核</x:v>
      </x:c>
      <x:c r="D18" s="20" t="n">
        <x:v>3</x:v>
      </x:c>
      <x:c r="E18" s="20" t="n">
        <x:v>0</x:v>
      </x:c>
      <x:c r="F18" s="20" t="n">
        <x:v>0</x:v>
      </x:c>
      <x:c r="G18" s="20" t="n">
        <x:v>1</x:v>
      </x:c>
      <x:c r="H18" s="19" t="str">
        <x:v>City tram route map explicitly links Kumamoto-ekimae with JR Kumamoto, including Shinkansen. Tram stop remains a separate station-forecourt component. Components retain operator/mode identities. Boundary evidence review does not authorize runtime import or final acceptance.</x:v>
      </x:c>
      <x:c r="I18" s="19" t="str">
        <x:v>组件字段、身份沿革及正式验收仍待核</x:v>
      </x:c>
      <x:c r="J18" s="19" t="str">
        <x:v>熊本駅前 / JR熊本駅・九州新幹線 | City tram route map explicitly links Kumamoto-ekimae with JR Kumamoto, including Shinkansen. Tram stop remains a separate station-forecourt component. | https://www.kotsu-kumamoto.jp/common/UploadFileDsp.aspx?c_id=56&amp;id=1228&amp;set_doc=1</x:v>
      </x:c>
      <x:c r="K18" s="18" t="str">
        <x:v>8cad9588bc6f9241127c06906ae05c940c8bf29e</x:v>
      </x:c>
      <x:c r="L18" s="18" t="str">
        <x:v>否</x:v>
      </x:c>
    </x:row>
    <x:row r="19" ht="75" customHeight="1">
      <x:c r="A19" s="18" t="str">
        <x:v>金沢</x:v>
      </x:c>
      <x:c r="B19" s="19" t="str">
        <x:v>有官方换乘依据</x:v>
      </x:c>
      <x:c r="C19" s="18" t="str">
        <x:v>边界待核</x:v>
      </x:c>
      <x:c r="D19" s="20" t="n">
        <x:v>3</x:v>
      </x:c>
      <x:c r="E19" s="20" t="n">
        <x:v>0</x:v>
      </x:c>
      <x:c r="F19" s="20" t="n">
        <x:v>0</x:v>
      </x:c>
      <x:c r="G19" s="20" t="n">
        <x:v>2</x:v>
      </x:c>
      <x:c r="H19" s="19" t="str">
        <x:v>Hokutetsu Kanazawa is beneath the Kanazawa east-exit Motenashi Dome; JR Shinkansen and IR conventional share the main station. Keep three operator/mode components. Components retain operator/mode identities. Boundary evidence review does not authorize runtime import or final acceptance.</x:v>
      </x:c>
      <x:c r="I19" s="19" t="str">
        <x:v>组件字段、身份沿革及正式验收仍待核</x:v>
      </x:c>
      <x:c r="J19" s="19" t="str">
        <x:v>駅情報 / もてなしドーム地下 | Hokutetsu Kanazawa is beneath the Kanazawa east-exit Motenashi Dome; JR Shinkansen and IR conventional share the main station. Keep three operator/mode components. | https://www.hokutetsu.co.jp/railway/asanogawasen/hokutetsukanazawa/
p7 / 金沢駅 新幹線接続 | IR guide explicitly details Kanazawa station interchange with Hokuriku Shinkansen. | https://www.ishikawa-railway.jp/uploads/media/BLbaqyJgVAA</x:v>
      </x:c>
      <x:c r="K19" s="18" t="str">
        <x:v>8cad9588bc6f9241127c06906ae05c940c8bf29e</x:v>
      </x:c>
      <x:c r="L19" s="18" t="str">
        <x:v>否</x:v>
      </x:c>
    </x:row>
    <x:row r="20" ht="47" customHeight="1">
      <x:c r="A20" s="18" t="str">
        <x:v>鹿児島中央</x:v>
      </x:c>
      <x:c r="B20" s="19" t="str">
        <x:v>有官方换乘依据</x:v>
      </x:c>
      <x:c r="C20" s="18" t="str">
        <x:v>边界待核</x:v>
      </x:c>
      <x:c r="D20" s="20" t="n">
        <x:v>3</x:v>
      </x:c>
      <x:c r="E20" s="20" t="n">
        <x:v>0</x:v>
      </x:c>
      <x:c r="F20" s="20" t="n">
        <x:v>0</x:v>
      </x:c>
      <x:c r="G20" s="20" t="n">
        <x:v>1</x:v>
      </x:c>
      <x:c r="H20" s="19" t="str">
        <x:v>Municipal tourist transport guide gives the signed route from JR Kagoshima-Chuo to Kagoshima-Chuo-ekimae tram stop. Include designated station-forecourt transfer, not surrounding stops. Components retain operator/mode identities. Boundary evidence review does not authorize runtime import or final acceptance.</x:v>
      </x:c>
      <x:c r="I20" s="19" t="str">
        <x:v>组件字段、身份沿革及正式验收仍待核</x:v>
      </x:c>
      <x:c r="J20" s="19" t="str">
        <x:v>鹿児島中央駅 / 市電乗場への案内 | Municipal tourist transport guide gives the signed route from JR Kagoshima-Chuo to Kagoshima-Chuo-ekimae tram stop. Include designated station-forecourt transfer, not surrounding stops. | https://www.kagoshima-yokanavi.jp/article/to-sakurajima</x:v>
      </x:c>
      <x:c r="K20" s="18" t="str">
        <x:v>8cad9588bc6f9241127c06906ae05c940c8bf29e</x:v>
      </x:c>
      <x:c r="L20" s="18" t="str">
        <x:v>否</x:v>
      </x:c>
    </x:row>
  </x:sheetData>
  <x:conditionalFormatting sqref="B6:B20">
    <x:cfRule type="containsText" dxfId="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246b7f9f789040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3" hidden="0" customWidth="1"/>
    <x:col min="4" max="4" width="14" hidden="0" customWidth="1"/>
    <x:col min="5" max="5" width="48" hidden="0" customWidth="1"/>
    <x:col min="6" max="6" width="40" hidden="0" customWidth="1"/>
    <x:col min="7" max="7" width="20" hidden="0" customWidth="1"/>
    <x:col min="8" max="8" width="100" hidden="0" customWidth="1"/>
    <x:col min="9" max="9" width="110" hidden="0" customWidth="1"/>
    <x:col min="10" max="10" width="110" hidden="0" customWidth="1"/>
    <x:col min="11" max="11" width="65" hidden="0" customWidth="1"/>
    <x:col min="12" max="12" width="24" hidden="0" customWidth="1"/>
    <x:col min="13" max="13" width="90" hidden="0" customWidth="1"/>
    <x:col min="14" max="14" width="68" hidden="0" customWidth="1"/>
    <x:col min="15" max="15" width="45" hidden="0" customWidth="1"/>
    <x:col min="16" max="16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4" t="str">
        <x:v>上一版 269 个高等级缺口逐项补查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</x:row>
    <x:row r="3">
      <x:c r="A3" s="6" t="str">
        <x:v>45 个补入官方 Hub 范围；37 个多组件线索、187 个单组件源记录仍待官方站点核实。S12 分组不构成 Hub 边界证据。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6" t="str">
        <x:v>来源：data/transport/nodes/task-084-b-v2-amendment-review/high-tier-followup-review.jsonl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15" t="str">
        <x:v>站名</x:v>
      </x:c>
      <x:c r="B5" s="16" t="str">
        <x:v>运营方</x:v>
      </x:c>
      <x:c r="C5" s="16" t="str">
        <x:v>模式</x:v>
      </x:c>
      <x:c r="D5" s="16" t="str">
        <x:v>拟等级</x:v>
      </x:c>
      <x:c r="E5" s="16" t="str">
        <x:v>本轮处置</x:v>
      </x:c>
      <x:c r="F5" s="16" t="str">
        <x:v>当前 Hub 范围</x:v>
      </x:c>
      <x:c r="G5" s="16" t="str">
        <x:v>来源相关组件数</x:v>
      </x:c>
      <x:c r="H5" s="16" t="str">
        <x:v>来源组件线索</x:v>
      </x:c>
      <x:c r="I5" s="16" t="str">
        <x:v>官方边界依据</x:v>
      </x:c>
      <x:c r="J5" s="16" t="str">
        <x:v>下一步</x:v>
      </x:c>
      <x:c r="K5" s="16" t="str">
        <x:v>候选 ID</x:v>
      </x:c>
      <x:c r="L5" s="16" t="str">
        <x:v>源分组代码</x:v>
      </x:c>
      <x:c r="M5" s="16" t="str">
        <x:v>源页</x:v>
      </x:c>
      <x:c r="N5" s="16" t="str">
        <x:v>源归档 SHA256</x:v>
      </x:c>
      <x:c r="O5" s="16" t="str">
        <x:v>原版本</x:v>
      </x:c>
      <x:c r="P5" s="17" t="str">
        <x:v>正式验收授权</x:v>
      </x:c>
    </x:row>
    <x:row r="6" ht="28" customHeight="1">
      <x:c r="A6" s="18" t="str">
        <x:v>烏丸御池</x:v>
      </x:c>
      <x:c r="B6" s="18" t="str">
        <x:v>京都市</x:v>
      </x:c>
      <x:c r="C6" s="18" t="str">
        <x:v>metro</x:v>
      </x:c>
      <x:c r="D6" s="18" t="str">
        <x:v>T1</x:v>
      </x:c>
      <x:c r="E6" s="19" t="str">
        <x:v>已补官方范围，组件待验收</x:v>
      </x:c>
      <x:c r="F6" s="19" t="str">
        <x:v>烏丸御池</x:v>
      </x:c>
      <x:c r="G6" s="20" t="n">
        <x:v>1</x:v>
      </x:c>
      <x:c r="H6" s="19" t="str">
        <x:v>烏丸御池 | 京都市 | metro | 東西線 / 烏丸線</x:v>
      </x:c>
      <x:c r="I6" s="19" t="str">
        <x:v>駅案内 / 乗換 | https://www2.city.kyoto.lg.jp/kotsu/tikadia/hyperdia/menu0135</x:v>
      </x:c>
      <x:c r="J6" s="19" t="str">
        <x:v>继续核实组件字段、沿革及最终验收；仅拟归属</x:v>
      </x:c>
      <x:c r="K6" s="18" t="str">
        <x:v>transport-node:5469bc2b-64d5-53a9-8699-dae1d3822a53</x:v>
      </x:c>
      <x:c r="L6" s="19" t="str">
        <x:v>005962</x:v>
      </x:c>
      <x:c r="M6" s="19" t="str">
        <x:v>https://nlftp.mlit.go.jp/ksj/gml/datalist/KsjTmplt-S12-2024.html</x:v>
      </x:c>
      <x:c r="N6" s="18" t="str">
        <x:v>0785e932a32b3ec15e1a1345537ae145eafe1c07bf38d5c16c11ee2b391e7a28</x:v>
      </x:c>
      <x:c r="O6" s="18" t="str">
        <x:v>8cad9588bc6f9241127c06906ae05c940c8bf29e</x:v>
      </x:c>
      <x:c r="P6" s="18" t="str">
        <x:v>否</x:v>
      </x:c>
    </x:row>
    <x:row r="7" ht="28" customHeight="1">
      <x:c r="A7" s="18" t="str">
        <x:v>茅場町</x:v>
      </x:c>
      <x:c r="B7" s="18" t="str">
        <x:v>東京地下鉄</x:v>
      </x:c>
      <x:c r="C7" s="18" t="str">
        <x:v>metro</x:v>
      </x:c>
      <x:c r="D7" s="18" t="str">
        <x:v>T1</x:v>
      </x:c>
      <x:c r="E7" s="19" t="str">
        <x:v>已补官方范围，组件待验收</x:v>
      </x:c>
      <x:c r="F7" s="19" t="str">
        <x:v>茅場町</x:v>
      </x:c>
      <x:c r="G7" s="20" t="n">
        <x:v>1</x:v>
      </x:c>
      <x:c r="H7" s="19" t="str">
        <x:v>茅場町 | 東京地下鉄 | metro | 2号線日比谷線 / 5号線東西線</x:v>
      </x:c>
      <x:c r="I7" s="19" t="str">
        <x:v>駅について / 日比谷線・東西線 | https://www.tokyometro.jp/station/kayabacho/index.html</x:v>
      </x:c>
      <x:c r="J7" s="19" t="str">
        <x:v>继续核实组件字段、沿革及最终验收；仅拟归属</x:v>
      </x:c>
      <x:c r="K7" s="18" t="str">
        <x:v>transport-node:28e3b324-2f73-5a9c-aede-e4ab5fc1ce6e</x:v>
      </x:c>
      <x:c r="L7" s="19" t="str">
        <x:v>003773</x:v>
      </x:c>
      <x:c r="M7" s="19" t="str">
        <x:v>https://nlftp.mlit.go.jp/ksj/gml/datalist/KsjTmplt-S12-2024.html</x:v>
      </x:c>
      <x:c r="N7" s="18" t="str">
        <x:v>0785e932a32b3ec15e1a1345537ae145eafe1c07bf38d5c16c11ee2b391e7a28</x:v>
      </x:c>
      <x:c r="O7" s="18" t="str">
        <x:v>8cad9588bc6f9241127c06906ae05c940c8bf29e</x:v>
      </x:c>
      <x:c r="P7" s="18" t="str">
        <x:v>否</x:v>
      </x:c>
    </x:row>
    <x:row r="8" ht="33" customHeight="1">
      <x:c r="A8" s="18" t="str">
        <x:v>亀戸</x:v>
      </x:c>
      <x:c r="B8" s="18" t="str">
        <x:v>東日本旅客鉄道</x:v>
      </x:c>
      <x:c r="C8" s="18" t="str">
        <x:v>conventional_rail</x:v>
      </x:c>
      <x:c r="D8" s="18" t="str">
        <x:v>T1</x:v>
      </x:c>
      <x:c r="E8" s="19" t="str">
        <x:v>已补官方范围，组件待验收</x:v>
      </x:c>
      <x:c r="F8" s="19" t="str">
        <x:v>亀戸</x:v>
      </x:c>
      <x:c r="G8" s="20" t="n">
        <x:v>2</x:v>
      </x:c>
      <x:c r="H8" s="19" t="str">
        <x:v>亀戸 | 東日本旅客鉄道 | conventional_rail | 総武線
亀戸 | 東武鉄道 | private_rail | 亀戸線</x:v>
      </x:c>
      <x:c r="I8" s="19" t="str">
        <x:v>乗り換え案内 / 鉄道 | https://www.tobu.co.jp/railway/guide/station/info/2106/</x:v>
      </x:c>
      <x:c r="J8" s="19" t="str">
        <x:v>继续核实组件字段、沿革及最终验收；仅拟归属</x:v>
      </x:c>
      <x:c r="K8" s="18" t="str">
        <x:v>transport-node:8728d616-8830-5369-b7dc-8cf7cf094c54</x:v>
      </x:c>
      <x:c r="L8" s="19" t="str">
        <x:v>003635</x:v>
      </x:c>
      <x:c r="M8" s="19" t="str">
        <x:v>https://nlftp.mlit.go.jp/ksj/gml/datalist/KsjTmplt-S12-2024.html</x:v>
      </x:c>
      <x:c r="N8" s="18" t="str">
        <x:v>0785e932a32b3ec15e1a1345537ae145eafe1c07bf38d5c16c11ee2b391e7a28</x:v>
      </x:c>
      <x:c r="O8" s="18" t="str">
        <x:v>8cad9588bc6f9241127c06906ae05c940c8bf29e</x:v>
      </x:c>
      <x:c r="P8" s="18" t="str">
        <x:v>否</x:v>
      </x:c>
    </x:row>
    <x:row r="9" ht="28" customHeight="1">
      <x:c r="A9" s="18" t="str">
        <x:v>京急蒲田</x:v>
      </x:c>
      <x:c r="B9" s="18" t="str">
        <x:v>京浜急行電鉄</x:v>
      </x:c>
      <x:c r="C9" s="18" t="str">
        <x:v>private_rail</x:v>
      </x:c>
      <x:c r="D9" s="18" t="str">
        <x:v>T1</x:v>
      </x:c>
      <x:c r="E9" s="19" t="str">
        <x:v>已补官方范围，组件待验收</x:v>
      </x:c>
      <x:c r="F9" s="19" t="str">
        <x:v>京急蒲田</x:v>
      </x:c>
      <x:c r="G9" s="20" t="n">
        <x:v>1</x:v>
      </x:c>
      <x:c r="H9" s="19" t="str">
        <x:v>京急蒲田 | 京浜急行電鉄 | private_rail | 本線 / 空港線</x:v>
      </x:c>
      <x:c r="I9" s="19" t="str">
        <x:v>駅案内 / 乗換 | https://www.keikyu.co.jp/ride/kakueki/KK11.html</x:v>
      </x:c>
      <x:c r="J9" s="19" t="str">
        <x:v>继续核实组件字段、沿革及最终验收；仅拟归属</x:v>
      </x:c>
      <x:c r="K9" s="18" t="str">
        <x:v>transport-node:b6e7c07f-e16a-5f65-81f5-6dd62f851780</x:v>
      </x:c>
      <x:c r="L9" s="19" t="str">
        <x:v>004331</x:v>
      </x:c>
      <x:c r="M9" s="19" t="str">
        <x:v>https://nlftp.mlit.go.jp/ksj/gml/datalist/KsjTmplt-S12-2024.html</x:v>
      </x:c>
      <x:c r="N9" s="18" t="str">
        <x:v>0785e932a32b3ec15e1a1345537ae145eafe1c07bf38d5c16c11ee2b391e7a28</x:v>
      </x:c>
      <x:c r="O9" s="18" t="str">
        <x:v>8cad9588bc6f9241127c06906ae05c940c8bf29e</x:v>
      </x:c>
      <x:c r="P9" s="18" t="str">
        <x:v>否</x:v>
      </x:c>
    </x:row>
    <x:row r="10" ht="33" customHeight="1">
      <x:c r="A10" s="18" t="str">
        <x:v>金沢八景</x:v>
      </x:c>
      <x:c r="B10" s="18" t="str">
        <x:v>京浜急行電鉄</x:v>
      </x:c>
      <x:c r="C10" s="18" t="str">
        <x:v>private_rail</x:v>
      </x:c>
      <x:c r="D10" s="18" t="str">
        <x:v>T1</x:v>
      </x:c>
      <x:c r="E10" s="19" t="str">
        <x:v>已补官方范围，组件待验收</x:v>
      </x:c>
      <x:c r="F10" s="19" t="str">
        <x:v>金沢八景</x:v>
      </x:c>
      <x:c r="G10" s="20" t="n">
        <x:v>2</x:v>
      </x:c>
      <x:c r="H10" s="19" t="str">
        <x:v>金沢八景 | 京浜急行電鉄 | private_rail | 本線 / 逗子線
金沢八景 | 横浜シーサイドライン | fixed_guideway | 金沢シーサイドライン</x:v>
      </x:c>
      <x:c r="I10" s="19" t="str">
        <x:v>駅案内 / 乗換 | https://www.keikyu.co.jp/ride/kakueki/KK50.html</x:v>
      </x:c>
      <x:c r="J10" s="19" t="str">
        <x:v>继续核实组件字段、沿革及最终验收；仅拟归属</x:v>
      </x:c>
      <x:c r="K10" s="18" t="str">
        <x:v>transport-node:43d1df67-7945-5044-a9ef-fc715a524f6a</x:v>
      </x:c>
      <x:c r="L10" s="19" t="str">
        <x:v>005020</x:v>
      </x:c>
      <x:c r="M10" s="19" t="str">
        <x:v>https://nlftp.mlit.go.jp/ksj/gml/datalist/KsjTmplt-S12-2024.html</x:v>
      </x:c>
      <x:c r="N10" s="18" t="str">
        <x:v>0785e932a32b3ec15e1a1345537ae145eafe1c07bf38d5c16c11ee2b391e7a28</x:v>
      </x:c>
      <x:c r="O10" s="18" t="str">
        <x:v>8cad9588bc6f9241127c06906ae05c940c8bf29e</x:v>
      </x:c>
      <x:c r="P10" s="18" t="str">
        <x:v>否</x:v>
      </x:c>
    </x:row>
    <x:row r="11" ht="33" customHeight="1">
      <x:c r="A11" s="18" t="str">
        <x:v>月島</x:v>
      </x:c>
      <x:c r="B11" s="18" t="str">
        <x:v>東京地下鉄</x:v>
      </x:c>
      <x:c r="C11" s="18" t="str">
        <x:v>metro</x:v>
      </x:c>
      <x:c r="D11" s="18" t="str">
        <x:v>T1</x:v>
      </x:c>
      <x:c r="E11" s="19" t="str">
        <x:v>已补官方范围，组件待验收</x:v>
      </x:c>
      <x:c r="F11" s="19" t="str">
        <x:v>月島</x:v>
      </x:c>
      <x:c r="G11" s="20" t="n">
        <x:v>2</x:v>
      </x:c>
      <x:c r="H11" s="19" t="str">
        <x:v>月島 | 東京地下鉄 | metro | 8号線有楽町線
月島 | 東京都 | metro | 12号線大江戸線</x:v>
      </x:c>
      <x:c r="I11" s="19" t="str">
        <x:v>のりかえ鉄道会社 | https://www.tokyometro.jp/station/tsukishima/index.html</x:v>
      </x:c>
      <x:c r="J11" s="19" t="str">
        <x:v>继续核实组件字段、沿革及最终验收；仅拟归属</x:v>
      </x:c>
      <x:c r="K11" s="18" t="str">
        <x:v>transport-node:02d6dbf5-7540-5dce-8546-5afc5d94abc5</x:v>
      </x:c>
      <x:c r="L11" s="19" t="str">
        <x:v>003889</x:v>
      </x:c>
      <x:c r="M11" s="19" t="str">
        <x:v>https://nlftp.mlit.go.jp/ksj/gml/datalist/KsjTmplt-S12-2024.html</x:v>
      </x:c>
      <x:c r="N11" s="18" t="str">
        <x:v>0785e932a32b3ec15e1a1345537ae145eafe1c07bf38d5c16c11ee2b391e7a28</x:v>
      </x:c>
      <x:c r="O11" s="18" t="str">
        <x:v>8cad9588bc6f9241127c06906ae05c940c8bf29e</x:v>
      </x:c>
      <x:c r="P11" s="18" t="str">
        <x:v>否</x:v>
      </x:c>
    </x:row>
    <x:row r="12" ht="28" customHeight="1">
      <x:c r="A12" s="18" t="str">
        <x:v>原宿</x:v>
      </x:c>
      <x:c r="B12" s="18" t="str">
        <x:v>東日本旅客鉄道</x:v>
      </x:c>
      <x:c r="C12" s="18" t="str">
        <x:v>conventional_rail</x:v>
      </x:c>
      <x:c r="D12" s="18" t="str">
        <x:v>T1</x:v>
      </x:c>
      <x:c r="E12" s="19" t="str">
        <x:v>已补官方范围，组件待验收</x:v>
      </x:c>
      <x:c r="F12" s="19" t="str">
        <x:v>原宿・明治神宮前</x:v>
      </x:c>
      <x:c r="G12" s="20" t="n">
        <x:v>1</x:v>
      </x:c>
      <x:c r="H12" s="19" t="str">
        <x:v>原宿 | 東日本旅客鉄道 | conventional_rail | 山手線</x:v>
      </x:c>
      <x:c r="I12" s="19" t="str">
        <x:v>のりかえ鉄道会社 | https://www.tokyometro.jp/station/meiji-jingumae/index.html</x:v>
      </x:c>
      <x:c r="J12" s="19" t="str">
        <x:v>继续核实组件字段、沿革及最终验收；仅拟归属</x:v>
      </x:c>
      <x:c r="K12" s="18" t="str">
        <x:v>transport-node:227001e9-60e9-53b4-996d-d84b9244fe89</x:v>
      </x:c>
      <x:c r="L12" s="19" t="str">
        <x:v>003828</x:v>
      </x:c>
      <x:c r="M12" s="19" t="str">
        <x:v>https://nlftp.mlit.go.jp/ksj/gml/datalist/KsjTmplt-S12-2024.html</x:v>
      </x:c>
      <x:c r="N12" s="18" t="str">
        <x:v>0785e932a32b3ec15e1a1345537ae145eafe1c07bf38d5c16c11ee2b391e7a28</x:v>
      </x:c>
      <x:c r="O12" s="18" t="str">
        <x:v>8cad9588bc6f9241127c06906ae05c940c8bf29e</x:v>
      </x:c>
      <x:c r="P12" s="18" t="str">
        <x:v>否</x:v>
      </x:c>
    </x:row>
    <x:row r="13" ht="28" customHeight="1">
      <x:c r="A13" s="18" t="str">
        <x:v>三越前</x:v>
      </x:c>
      <x:c r="B13" s="18" t="str">
        <x:v>東京地下鉄</x:v>
      </x:c>
      <x:c r="C13" s="18" t="str">
        <x:v>metro</x:v>
      </x:c>
      <x:c r="D13" s="18" t="str">
        <x:v>T1</x:v>
      </x:c>
      <x:c r="E13" s="19" t="str">
        <x:v>已补官方范围，组件待验收</x:v>
      </x:c>
      <x:c r="F13" s="19" t="str">
        <x:v>三越前・新日本橋</x:v>
      </x:c>
      <x:c r="G13" s="20" t="n">
        <x:v>1</x:v>
      </x:c>
      <x:c r="H13" s="19" t="str">
        <x:v>三越前 | 東京地下鉄 | metro | 11号線半蔵門線 / 3号線銀座線</x:v>
      </x:c>
      <x:c r="I13" s="19" t="str">
        <x:v>のりかえ鉄道会社 / 構内図 | https://www.tokyometro.jp/station/mitsukoshimae/index.html</x:v>
      </x:c>
      <x:c r="J13" s="19" t="str">
        <x:v>继续核实组件字段、沿革及最终验收；仅拟归属</x:v>
      </x:c>
      <x:c r="K13" s="18" t="str">
        <x:v>transport-node:65937356-cd35-5a4a-92d8-58a931059bbb</x:v>
      </x:c>
      <x:c r="L13" s="19" t="str">
        <x:v>003716</x:v>
      </x:c>
      <x:c r="M13" s="19" t="str">
        <x:v>https://nlftp.mlit.go.jp/ksj/gml/datalist/KsjTmplt-S12-2024.html</x:v>
      </x:c>
      <x:c r="N13" s="18" t="str">
        <x:v>0785e932a32b3ec15e1a1345537ae145eafe1c07bf38d5c16c11ee2b391e7a28</x:v>
      </x:c>
      <x:c r="O13" s="18" t="str">
        <x:v>8cad9588bc6f9241127c06906ae05c940c8bf29e</x:v>
      </x:c>
      <x:c r="P13" s="18" t="str">
        <x:v>否</x:v>
      </x:c>
    </x:row>
    <x:row r="14" ht="47" customHeight="1">
      <x:c r="A14" s="18" t="str">
        <x:v>三島</x:v>
      </x:c>
      <x:c r="B14" s="18" t="str">
        <x:v>東海旅客鉄道</x:v>
      </x:c>
      <x:c r="C14" s="18" t="str">
        <x:v>conventional_rail</x:v>
      </x:c>
      <x:c r="D14" s="18" t="str">
        <x:v>T1</x:v>
      </x:c>
      <x:c r="E14" s="19" t="str">
        <x:v>已补官方范围，组件待验收</x:v>
      </x:c>
      <x:c r="F14" s="19" t="str">
        <x:v>三島</x:v>
      </x:c>
      <x:c r="G14" s="20" t="n">
        <x:v>3</x:v>
      </x:c>
      <x:c r="H14" s="19" t="str">
        <x:v>三島 | 伊豆箱根鉄道 | private_rail | 駿豆線
三島 | 東海旅客鉄道 | conventional_rail | 東海道線
三島 | 東海旅客鉄道 | shinkansen | 東海道新幹線</x:v>
      </x:c>
      <x:c r="I14" s="19" t="str">
        <x:v>駅案内 / 乗換 | https://railway.jr-central.co.jp/station-guide/shinkansen/mishima/index.html</x:v>
      </x:c>
      <x:c r="J14" s="19" t="str">
        <x:v>继续核实组件字段、沿革及最终验收；仅拟归属</x:v>
      </x:c>
      <x:c r="K14" s="18" t="str">
        <x:v>transport-node:4dc95cd4-74f2-53b7-93ca-b0d11225ab60</x:v>
      </x:c>
      <x:c r="L14" s="19" t="str">
        <x:v>005601</x:v>
      </x:c>
      <x:c r="M14" s="19" t="str">
        <x:v>https://nlftp.mlit.go.jp/ksj/gml/datalist/KsjTmplt-S12-2024.html</x:v>
      </x:c>
      <x:c r="N14" s="18" t="str">
        <x:v>0785e932a32b3ec15e1a1345537ae145eafe1c07bf38d5c16c11ee2b391e7a28</x:v>
      </x:c>
      <x:c r="O14" s="18" t="str">
        <x:v>8cad9588bc6f9241127c06906ae05c940c8bf29e</x:v>
      </x:c>
      <x:c r="P14" s="18" t="str">
        <x:v>否</x:v>
      </x:c>
    </x:row>
    <x:row r="15" ht="33" customHeight="1">
      <x:c r="A15" s="18" t="str">
        <x:v>住吉</x:v>
      </x:c>
      <x:c r="B15" s="18" t="str">
        <x:v>東京地下鉄</x:v>
      </x:c>
      <x:c r="C15" s="18" t="str">
        <x:v>metro</x:v>
      </x:c>
      <x:c r="D15" s="18" t="str">
        <x:v>T1</x:v>
      </x:c>
      <x:c r="E15" s="19" t="str">
        <x:v>已补官方范围，组件待验收</x:v>
      </x:c>
      <x:c r="F15" s="19" t="str">
        <x:v>住吉</x:v>
      </x:c>
      <x:c r="G15" s="20" t="n">
        <x:v>2</x:v>
      </x:c>
      <x:c r="H15" s="19" t="str">
        <x:v>住吉 | 東京地下鉄 | metro | 11号線半蔵門線
住吉 | 東京都 | metro | 10号線新宿線</x:v>
      </x:c>
      <x:c r="I15" s="19" t="str">
        <x:v>のりかえ鉄道会社 | https://www.tokyometro.jp/station/sumiyoshi/index.html</x:v>
      </x:c>
      <x:c r="J15" s="19" t="str">
        <x:v>继续核实组件字段、沿革及最终验收；仅拟归属</x:v>
      </x:c>
      <x:c r="K15" s="18" t="str">
        <x:v>transport-node:1989516e-4f2c-5793-94bf-18ffc5d93326</x:v>
      </x:c>
      <x:c r="L15" s="19" t="str">
        <x:v>003704</x:v>
      </x:c>
      <x:c r="M15" s="19" t="str">
        <x:v>https://nlftp.mlit.go.jp/ksj/gml/datalist/KsjTmplt-S12-2024.html</x:v>
      </x:c>
      <x:c r="N15" s="18" t="str">
        <x:v>0785e932a32b3ec15e1a1345537ae145eafe1c07bf38d5c16c11ee2b391e7a28</x:v>
      </x:c>
      <x:c r="O15" s="18" t="str">
        <x:v>8cad9588bc6f9241127c06906ae05c940c8bf29e</x:v>
      </x:c>
      <x:c r="P15" s="18" t="str">
        <x:v>否</x:v>
      </x:c>
    </x:row>
    <x:row r="16" ht="28" customHeight="1">
      <x:c r="A16" s="18" t="str">
        <x:v>上前津</x:v>
      </x:c>
      <x:c r="B16" s="18" t="str">
        <x:v>名古屋市</x:v>
      </x:c>
      <x:c r="C16" s="18" t="str">
        <x:v>metro</x:v>
      </x:c>
      <x:c r="D16" s="18" t="str">
        <x:v>T1</x:v>
      </x:c>
      <x:c r="E16" s="19" t="str">
        <x:v>已补官方范围，组件待验收</x:v>
      </x:c>
      <x:c r="F16" s="19" t="str">
        <x:v>上前津</x:v>
      </x:c>
      <x:c r="G16" s="20" t="n">
        <x:v>1</x:v>
      </x:c>
      <x:c r="H16" s="19" t="str">
        <x:v>上前津 | 名古屋市 | metro | 2号線名城線 / 3号線鶴舞線</x:v>
      </x:c>
      <x:c r="I16" s="19" t="str">
        <x:v>駅案内 / 乗換 | https://www.kotsu.city.nagoya.jp/rp/reader/trp0001072.htm</x:v>
      </x:c>
      <x:c r="J16" s="19" t="str">
        <x:v>继续核实组件字段、沿革及最终验收；仅拟归属</x:v>
      </x:c>
      <x:c r="K16" s="18" t="str">
        <x:v>transport-node:97e09de6-2d86-59e5-8e6e-df70b2c102ce</x:v>
      </x:c>
      <x:c r="L16" s="19" t="str">
        <x:v>005506</x:v>
      </x:c>
      <x:c r="M16" s="19" t="str">
        <x:v>https://nlftp.mlit.go.jp/ksj/gml/datalist/KsjTmplt-S12-2024.html</x:v>
      </x:c>
      <x:c r="N16" s="18" t="str">
        <x:v>0785e932a32b3ec15e1a1345537ae145eafe1c07bf38d5c16c11ee2b391e7a28</x:v>
      </x:c>
      <x:c r="O16" s="18" t="str">
        <x:v>8cad9588bc6f9241127c06906ae05c940c8bf29e</x:v>
      </x:c>
      <x:c r="P16" s="18" t="str">
        <x:v>否</x:v>
      </x:c>
    </x:row>
    <x:row r="17" ht="33" customHeight="1">
      <x:c r="A17" s="18" t="str">
        <x:v>上大岡</x:v>
      </x:c>
      <x:c r="B17" s="18" t="str">
        <x:v>京浜急行電鉄</x:v>
      </x:c>
      <x:c r="C17" s="18" t="str">
        <x:v>private_rail</x:v>
      </x:c>
      <x:c r="D17" s="18" t="str">
        <x:v>T1</x:v>
      </x:c>
      <x:c r="E17" s="19" t="str">
        <x:v>已补官方范围，组件待验收</x:v>
      </x:c>
      <x:c r="F17" s="19" t="str">
        <x:v>上大岡</x:v>
      </x:c>
      <x:c r="G17" s="20" t="n">
        <x:v>2</x:v>
      </x:c>
      <x:c r="H17" s="19" t="str">
        <x:v>上大岡 | 京浜急行電鉄 | private_rail | 本線
上大岡 | 横浜市 | metro | 1号線</x:v>
      </x:c>
      <x:c r="I17" s="19" t="str">
        <x:v>駅案内 / 乗換 | https://www.keikyu.co.jp/ride/kakueki/KK44.html</x:v>
      </x:c>
      <x:c r="J17" s="19" t="str">
        <x:v>继续核实组件字段、沿革及最终验收；仅拟归属</x:v>
      </x:c>
      <x:c r="K17" s="18" t="str">
        <x:v>transport-node:10ce4879-071f-53e8-b1a2-080946c86502</x:v>
      </x:c>
      <x:c r="L17" s="19" t="str">
        <x:v>004790</x:v>
      </x:c>
      <x:c r="M17" s="19" t="str">
        <x:v>https://nlftp.mlit.go.jp/ksj/gml/datalist/KsjTmplt-S12-2024.html</x:v>
      </x:c>
      <x:c r="N17" s="18" t="str">
        <x:v>0785e932a32b3ec15e1a1345537ae145eafe1c07bf38d5c16c11ee2b391e7a28</x:v>
      </x:c>
      <x:c r="O17" s="18" t="str">
        <x:v>8cad9588bc6f9241127c06906ae05c940c8bf29e</x:v>
      </x:c>
      <x:c r="P17" s="18" t="str">
        <x:v>否</x:v>
      </x:c>
    </x:row>
    <x:row r="18" ht="28" customHeight="1">
      <x:c r="A18" s="18" t="str">
        <x:v>新越谷</x:v>
      </x:c>
      <x:c r="B18" s="18" t="str">
        <x:v>東武鉄道</x:v>
      </x:c>
      <x:c r="C18" s="18" t="str">
        <x:v>private_rail</x:v>
      </x:c>
      <x:c r="D18" s="18" t="str">
        <x:v>T1</x:v>
      </x:c>
      <x:c r="E18" s="19" t="str">
        <x:v>已补官方范围，组件待验收</x:v>
      </x:c>
      <x:c r="F18" s="19" t="str">
        <x:v>新越谷・南越谷</x:v>
      </x:c>
      <x:c r="G18" s="20" t="n">
        <x:v>1</x:v>
      </x:c>
      <x:c r="H18" s="19" t="str">
        <x:v>新越谷 | 東武鉄道 | private_rail | 伊勢崎線</x:v>
      </x:c>
      <x:c r="I18" s="19" t="str">
        <x:v>乗り換え案内 / 鉄道 | https://www.tobu.co.jp/railway/guide/station/info/1408/</x:v>
      </x:c>
      <x:c r="J18" s="19" t="str">
        <x:v>继续核实组件字段、沿革及最终验收；仅拟归属</x:v>
      </x:c>
      <x:c r="K18" s="18" t="str">
        <x:v>transport-node:8810a2d4-b343-54dd-90d7-6a6eb4ca0a95</x:v>
      </x:c>
      <x:c r="L18" s="19" t="str">
        <x:v>002960</x:v>
      </x:c>
      <x:c r="M18" s="19" t="str">
        <x:v>https://nlftp.mlit.go.jp/ksj/gml/datalist/KsjTmplt-S12-2024.html</x:v>
      </x:c>
      <x:c r="N18" s="18" t="str">
        <x:v>0785e932a32b3ec15e1a1345537ae145eafe1c07bf38d5c16c11ee2b391e7a28</x:v>
      </x:c>
      <x:c r="O18" s="18" t="str">
        <x:v>8cad9588bc6f9241127c06906ae05c940c8bf29e</x:v>
      </x:c>
      <x:c r="P18" s="18" t="str">
        <x:v>否</x:v>
      </x:c>
    </x:row>
    <x:row r="19" ht="75" customHeight="1">
      <x:c r="A19" s="18" t="str">
        <x:v>新横浜</x:v>
      </x:c>
      <x:c r="B19" s="18" t="str">
        <x:v>東日本旅客鉄道</x:v>
      </x:c>
      <x:c r="C19" s="18" t="str">
        <x:v>conventional_rail</x:v>
      </x:c>
      <x:c r="D19" s="18" t="str">
        <x:v>T1</x:v>
      </x:c>
      <x:c r="E19" s="19" t="str">
        <x:v>已补官方范围，组件待验收</x:v>
      </x:c>
      <x:c r="F19" s="19" t="str">
        <x:v>新横浜</x:v>
      </x:c>
      <x:c r="G19" s="20" t="n">
        <x:v>5</x:v>
      </x:c>
      <x:c r="H19" s="19" t="str">
        <x:v>新横浜 | 東急電鉄 | private_rail | 東急新横浜線
新横浜 | 東日本旅客鉄道 | conventional_rail | 横浜線
新横浜 | 東海旅客鉄道 | shinkansen | 東海道新幹線
新横浜 | 横浜市 | metro | 3号線
新横浜 | 相模鉄道 | private_rail | 相鉄新横浜線</x:v>
      </x:c>
      <x:c r="I19" s="19" t="str">
        <x:v>駅案内 / 乗換 | https://www.sotetsu.co.jp/train/stations/shinyokohama/
相鉄・東急からJRへの乗換案内 | https://cdn.sotetsu.co.jp/media/2023/news/train/info-train-2023-03-16-002.pdf</x:v>
      </x:c>
      <x:c r="J19" s="19" t="str">
        <x:v>继续核实组件字段、沿革及最终验收；仅拟归属</x:v>
      </x:c>
      <x:c r="K19" s="18" t="str">
        <x:v>transport-node:7d84f593-2e09-55e7-810f-b3225cb7648e</x:v>
      </x:c>
      <x:c r="L19" s="19" t="str">
        <x:v>004501</x:v>
      </x:c>
      <x:c r="M19" s="19" t="str">
        <x:v>https://nlftp.mlit.go.jp/ksj/gml/datalist/KsjTmplt-S12-2024.html</x:v>
      </x:c>
      <x:c r="N19" s="18" t="str">
        <x:v>0785e932a32b3ec15e1a1345537ae145eafe1c07bf38d5c16c11ee2b391e7a28</x:v>
      </x:c>
      <x:c r="O19" s="18" t="str">
        <x:v>8cad9588bc6f9241127c06906ae05c940c8bf29e</x:v>
      </x:c>
      <x:c r="P19" s="18" t="str">
        <x:v>否</x:v>
      </x:c>
    </x:row>
    <x:row r="20" ht="75" customHeight="1">
      <x:c r="A20" s="18" t="str">
        <x:v>新横浜</x:v>
      </x:c>
      <x:c r="B20" s="18" t="str">
        <x:v>東海旅客鉄道</x:v>
      </x:c>
      <x:c r="C20" s="18" t="str">
        <x:v>shinkansen</x:v>
      </x:c>
      <x:c r="D20" s="18" t="str">
        <x:v>T1</x:v>
      </x:c>
      <x:c r="E20" s="19" t="str">
        <x:v>已补官方范围，组件待验收</x:v>
      </x:c>
      <x:c r="F20" s="19" t="str">
        <x:v>新横浜</x:v>
      </x:c>
      <x:c r="G20" s="20" t="n">
        <x:v>5</x:v>
      </x:c>
      <x:c r="H20" s="19" t="str">
        <x:v>新横浜 | 東急電鉄 | private_rail | 東急新横浜線
新横浜 | 東日本旅客鉄道 | conventional_rail | 横浜線
新横浜 | 東海旅客鉄道 | shinkansen | 東海道新幹線
新横浜 | 横浜市 | metro | 3号線
新横浜 | 相模鉄道 | private_rail | 相鉄新横浜線</x:v>
      </x:c>
      <x:c r="I20" s="19" t="str">
        <x:v>駅案内 / 乗換 | https://www.sotetsu.co.jp/train/stations/shinyokohama/
相鉄・東急からJRへの乗換案内 | https://cdn.sotetsu.co.jp/media/2023/news/train/info-train-2023-03-16-002.pdf</x:v>
      </x:c>
      <x:c r="J20" s="19" t="str">
        <x:v>继续核实组件字段、沿革及最终验收；仅拟归属</x:v>
      </x:c>
      <x:c r="K20" s="18" t="str">
        <x:v>transport-node:7953012b-45a2-5383-8351-16241f2ca000</x:v>
      </x:c>
      <x:c r="L20" s="19" t="str">
        <x:v>004501</x:v>
      </x:c>
      <x:c r="M20" s="19" t="str">
        <x:v>https://nlftp.mlit.go.jp/ksj/gml/datalist/KsjTmplt-S12-2024.html</x:v>
      </x:c>
      <x:c r="N20" s="18" t="str">
        <x:v>0785e932a32b3ec15e1a1345537ae145eafe1c07bf38d5c16c11ee2b391e7a28</x:v>
      </x:c>
      <x:c r="O20" s="18" t="str">
        <x:v>8cad9588bc6f9241127c06906ae05c940c8bf29e</x:v>
      </x:c>
      <x:c r="P20" s="18" t="str">
        <x:v>否</x:v>
      </x:c>
    </x:row>
    <x:row r="21" ht="75" customHeight="1">
      <x:c r="A21" s="18" t="str">
        <x:v>新横浜</x:v>
      </x:c>
      <x:c r="B21" s="18" t="str">
        <x:v>相模鉄道</x:v>
      </x:c>
      <x:c r="C21" s="18" t="str">
        <x:v>private_rail</x:v>
      </x:c>
      <x:c r="D21" s="18" t="str">
        <x:v>T1</x:v>
      </x:c>
      <x:c r="E21" s="19" t="str">
        <x:v>已补官方范围，组件待验收</x:v>
      </x:c>
      <x:c r="F21" s="19" t="str">
        <x:v>新横浜</x:v>
      </x:c>
      <x:c r="G21" s="20" t="n">
        <x:v>5</x:v>
      </x:c>
      <x:c r="H21" s="19" t="str">
        <x:v>新横浜 | 東急電鉄 | private_rail | 東急新横浜線
新横浜 | 東日本旅客鉄道 | conventional_rail | 横浜線
新横浜 | 東海旅客鉄道 | shinkansen | 東海道新幹線
新横浜 | 横浜市 | metro | 3号線
新横浜 | 相模鉄道 | private_rail | 相鉄新横浜線</x:v>
      </x:c>
      <x:c r="I21" s="19" t="str">
        <x:v>駅案内 / 乗換 | https://www.sotetsu.co.jp/train/stations/shinyokohama/
相鉄・東急からJRへの乗換案内 | https://cdn.sotetsu.co.jp/media/2023/news/train/info-train-2023-03-16-002.pdf</x:v>
      </x:c>
      <x:c r="J21" s="19" t="str">
        <x:v>继续核实组件字段、沿革及最终验收；仅拟归属</x:v>
      </x:c>
      <x:c r="K21" s="18" t="str">
        <x:v>transport-node:a01c7bd1-6ea7-5024-b83e-a2a4f2214782</x:v>
      </x:c>
      <x:c r="L21" s="19" t="str">
        <x:v>004501</x:v>
      </x:c>
      <x:c r="M21" s="19" t="str">
        <x:v>https://nlftp.mlit.go.jp/ksj/gml/datalist/KsjTmplt-S12-2024.html</x:v>
      </x:c>
      <x:c r="N21" s="18" t="str">
        <x:v>0785e932a32b3ec15e1a1345537ae145eafe1c07bf38d5c16c11ee2b391e7a28</x:v>
      </x:c>
      <x:c r="O21" s="18" t="str">
        <x:v>8cad9588bc6f9241127c06906ae05c940c8bf29e</x:v>
      </x:c>
      <x:c r="P21" s="18" t="str">
        <x:v>否</x:v>
      </x:c>
    </x:row>
    <x:row r="22" ht="33" customHeight="1">
      <x:c r="A22" s="18" t="str">
        <x:v>神田</x:v>
      </x:c>
      <x:c r="B22" s="18" t="str">
        <x:v>東京地下鉄</x:v>
      </x:c>
      <x:c r="C22" s="18" t="str">
        <x:v>metro</x:v>
      </x:c>
      <x:c r="D22" s="18" t="str">
        <x:v>T1</x:v>
      </x:c>
      <x:c r="E22" s="19" t="str">
        <x:v>已补官方范围，组件待验收</x:v>
      </x:c>
      <x:c r="F22" s="19" t="str">
        <x:v>神田</x:v>
      </x:c>
      <x:c r="G22" s="20" t="n">
        <x:v>2</x:v>
      </x:c>
      <x:c r="H22" s="19" t="str">
        <x:v>神田 | 東京地下鉄 | metro | 3号線銀座線
神田 | 東日本旅客鉄道 | conventional_rail | 中央線 / 東北線</x:v>
      </x:c>
      <x:c r="I22" s="19" t="str">
        <x:v>のりかえ鉄道会社 | https://www.tokyometro.jp/station/kanda/index.html</x:v>
      </x:c>
      <x:c r="J22" s="19" t="str">
        <x:v>继续核实组件字段、沿革及最终验收；仅拟归属</x:v>
      </x:c>
      <x:c r="K22" s="18" t="str">
        <x:v>transport-node:0345ded4-872d-547c-b249-b2ca30584dac</x:v>
      </x:c>
      <x:c r="L22" s="19" t="str">
        <x:v>003677</x:v>
      </x:c>
      <x:c r="M22" s="19" t="str">
        <x:v>https://nlftp.mlit.go.jp/ksj/gml/datalist/KsjTmplt-S12-2024.html</x:v>
      </x:c>
      <x:c r="N22" s="18" t="str">
        <x:v>0785e932a32b3ec15e1a1345537ae145eafe1c07bf38d5c16c11ee2b391e7a28</x:v>
      </x:c>
      <x:c r="O22" s="18" t="str">
        <x:v>8cad9588bc6f9241127c06906ae05c940c8bf29e</x:v>
      </x:c>
      <x:c r="P22" s="18" t="str">
        <x:v>否</x:v>
      </x:c>
    </x:row>
    <x:row r="23" ht="33" customHeight="1">
      <x:c r="A23" s="18" t="str">
        <x:v>神田</x:v>
      </x:c>
      <x:c r="B23" s="18" t="str">
        <x:v>東日本旅客鉄道</x:v>
      </x:c>
      <x:c r="C23" s="18" t="str">
        <x:v>conventional_rail</x:v>
      </x:c>
      <x:c r="D23" s="18" t="str">
        <x:v>T1</x:v>
      </x:c>
      <x:c r="E23" s="19" t="str">
        <x:v>已补官方范围，组件待验收</x:v>
      </x:c>
      <x:c r="F23" s="19" t="str">
        <x:v>神田</x:v>
      </x:c>
      <x:c r="G23" s="20" t="n">
        <x:v>2</x:v>
      </x:c>
      <x:c r="H23" s="19" t="str">
        <x:v>神田 | 東京地下鉄 | metro | 3号線銀座線
神田 | 東日本旅客鉄道 | conventional_rail | 中央線 / 東北線</x:v>
      </x:c>
      <x:c r="I23" s="19" t="str">
        <x:v>のりかえ鉄道会社 | https://www.tokyometro.jp/station/kanda/index.html</x:v>
      </x:c>
      <x:c r="J23" s="19" t="str">
        <x:v>继续核实组件字段、沿革及最终验收；仅拟归属</x:v>
      </x:c>
      <x:c r="K23" s="18" t="str">
        <x:v>transport-node:796854df-1d8c-5af9-b61c-b3ffffccc706</x:v>
      </x:c>
      <x:c r="L23" s="19" t="str">
        <x:v>003677</x:v>
      </x:c>
      <x:c r="M23" s="19" t="str">
        <x:v>https://nlftp.mlit.go.jp/ksj/gml/datalist/KsjTmplt-S12-2024.html</x:v>
      </x:c>
      <x:c r="N23" s="18" t="str">
        <x:v>0785e932a32b3ec15e1a1345537ae145eafe1c07bf38d5c16c11ee2b391e7a28</x:v>
      </x:c>
      <x:c r="O23" s="18" t="str">
        <x:v>8cad9588bc6f9241127c06906ae05c940c8bf29e</x:v>
      </x:c>
      <x:c r="P23" s="18" t="str">
        <x:v>否</x:v>
      </x:c>
    </x:row>
    <x:row r="24" ht="33" customHeight="1">
      <x:c r="A24" s="18" t="str">
        <x:v>水道橋</x:v>
      </x:c>
      <x:c r="B24" s="18" t="str">
        <x:v>東日本旅客鉄道</x:v>
      </x:c>
      <x:c r="C24" s="18" t="str">
        <x:v>conventional_rail</x:v>
      </x:c>
      <x:c r="D24" s="18" t="str">
        <x:v>T1</x:v>
      </x:c>
      <x:c r="E24" s="19" t="str">
        <x:v>已补官方范围，组件待验收</x:v>
      </x:c>
      <x:c r="F24" s="19" t="str">
        <x:v>水道橋</x:v>
      </x:c>
      <x:c r="G24" s="20" t="n">
        <x:v>2</x:v>
      </x:c>
      <x:c r="H24" s="19" t="str">
        <x:v>水道橋 | 東京都 | metro | 6号線三田線
水道橋 | 東日本旅客鉄道 | conventional_rail | 中央線</x:v>
      </x:c>
      <x:c r="I24" s="19" t="str">
        <x:v>乗り換え案内 | https://www.kotsu.metro.tokyo.jp/subway/stations/suidobashi.html</x:v>
      </x:c>
      <x:c r="J24" s="19" t="str">
        <x:v>继续核实组件字段、沿革及最终验收；仅拟归属</x:v>
      </x:c>
      <x:c r="K24" s="18" t="str">
        <x:v>transport-node:4d4604a3-db69-55db-9c27-b8cfbca3868a</x:v>
      </x:c>
      <x:c r="L24" s="19" t="str">
        <x:v>003580</x:v>
      </x:c>
      <x:c r="M24" s="19" t="str">
        <x:v>https://nlftp.mlit.go.jp/ksj/gml/datalist/KsjTmplt-S12-2024.html</x:v>
      </x:c>
      <x:c r="N24" s="18" t="str">
        <x:v>0785e932a32b3ec15e1a1345537ae145eafe1c07bf38d5c16c11ee2b391e7a28</x:v>
      </x:c>
      <x:c r="O24" s="18" t="str">
        <x:v>8cad9588bc6f9241127c06906ae05c940c8bf29e</x:v>
      </x:c>
      <x:c r="P24" s="18" t="str">
        <x:v>否</x:v>
      </x:c>
    </x:row>
    <x:row r="25" ht="33" customHeight="1">
      <x:c r="A25" s="18" t="str">
        <x:v>静岡</x:v>
      </x:c>
      <x:c r="B25" s="18" t="str">
        <x:v>東海旅客鉄道</x:v>
      </x:c>
      <x:c r="C25" s="18" t="str">
        <x:v>conventional_rail</x:v>
      </x:c>
      <x:c r="D25" s="18" t="str">
        <x:v>T1</x:v>
      </x:c>
      <x:c r="E25" s="19" t="str">
        <x:v>已补官方范围，组件待验收</x:v>
      </x:c>
      <x:c r="F25" s="19" t="str">
        <x:v>静岡</x:v>
      </x:c>
      <x:c r="G25" s="20" t="n">
        <x:v>2</x:v>
      </x:c>
      <x:c r="H25" s="19" t="str">
        <x:v>静岡 | 東海旅客鉄道 | conventional_rail | 東海道線
静岡 | 東海旅客鉄道 | shinkansen | 東海道新幹線</x:v>
      </x:c>
      <x:c r="I25" s="19" t="str">
        <x:v>駅案内 / 乗換 | https://railway.jr-central.co.jp/station-guide/shinkansen/shizuoka/index.html</x:v>
      </x:c>
      <x:c r="J25" s="19" t="str">
        <x:v>继续核实组件字段、沿革及最终验收；仅拟归属</x:v>
      </x:c>
      <x:c r="K25" s="18" t="str">
        <x:v>transport-node:0512f82e-d175-561c-8574-e1176256a5b2</x:v>
      </x:c>
      <x:c r="L25" s="19" t="str">
        <x:v>006128</x:v>
      </x:c>
      <x:c r="M25" s="19" t="str">
        <x:v>https://nlftp.mlit.go.jp/ksj/gml/datalist/KsjTmplt-S12-2024.html</x:v>
      </x:c>
      <x:c r="N25" s="18" t="str">
        <x:v>0785e932a32b3ec15e1a1345537ae145eafe1c07bf38d5c16c11ee2b391e7a28</x:v>
      </x:c>
      <x:c r="O25" s="18" t="str">
        <x:v>8cad9588bc6f9241127c06906ae05c940c8bf29e</x:v>
      </x:c>
      <x:c r="P25" s="18" t="str">
        <x:v>否</x:v>
      </x:c>
    </x:row>
    <x:row r="26" ht="33" customHeight="1">
      <x:c r="A26" s="18" t="str">
        <x:v>川越</x:v>
      </x:c>
      <x:c r="B26" s="18" t="str">
        <x:v>東日本旅客鉄道</x:v>
      </x:c>
      <x:c r="C26" s="18" t="str">
        <x:v>conventional_rail</x:v>
      </x:c>
      <x:c r="D26" s="18" t="str">
        <x:v>T1</x:v>
      </x:c>
      <x:c r="E26" s="19" t="str">
        <x:v>已补官方范围，组件待验收</x:v>
      </x:c>
      <x:c r="F26" s="19" t="str">
        <x:v>川越</x:v>
      </x:c>
      <x:c r="G26" s="20" t="n">
        <x:v>2</x:v>
      </x:c>
      <x:c r="H26" s="19" t="str">
        <x:v>川越 | 東日本旅客鉄道 | conventional_rail | 川越線
川越 | 東武鉄道 | private_rail | 東上本線</x:v>
      </x:c>
      <x:c r="I26" s="19" t="str">
        <x:v>乗り換え案内 / 鉄道 | https://www.tobu.co.jp/railway/guide/station/info/7315/</x:v>
      </x:c>
      <x:c r="J26" s="19" t="str">
        <x:v>继续核实组件字段、沿革及最终验收；仅拟归属</x:v>
      </x:c>
      <x:c r="K26" s="18" t="str">
        <x:v>transport-node:467227e4-1d40-5ba3-8baa-82f74b33dfe6</x:v>
      </x:c>
      <x:c r="L26" s="19" t="str">
        <x:v>002909</x:v>
      </x:c>
      <x:c r="M26" s="19" t="str">
        <x:v>https://nlftp.mlit.go.jp/ksj/gml/datalist/KsjTmplt-S12-2024.html</x:v>
      </x:c>
      <x:c r="N26" s="18" t="str">
        <x:v>0785e932a32b3ec15e1a1345537ae145eafe1c07bf38d5c16c11ee2b391e7a28</x:v>
      </x:c>
      <x:c r="O26" s="18" t="str">
        <x:v>8cad9588bc6f9241127c06906ae05c940c8bf29e</x:v>
      </x:c>
      <x:c r="P26" s="18" t="str">
        <x:v>否</x:v>
      </x:c>
    </x:row>
    <x:row r="27" ht="33" customHeight="1">
      <x:c r="A27" s="18" t="str">
        <x:v>川越</x:v>
      </x:c>
      <x:c r="B27" s="18" t="str">
        <x:v>東武鉄道</x:v>
      </x:c>
      <x:c r="C27" s="18" t="str">
        <x:v>private_rail</x:v>
      </x:c>
      <x:c r="D27" s="18" t="str">
        <x:v>T1</x:v>
      </x:c>
      <x:c r="E27" s="19" t="str">
        <x:v>已补官方范围，组件待验收</x:v>
      </x:c>
      <x:c r="F27" s="19" t="str">
        <x:v>川越</x:v>
      </x:c>
      <x:c r="G27" s="20" t="n">
        <x:v>2</x:v>
      </x:c>
      <x:c r="H27" s="19" t="str">
        <x:v>川越 | 東日本旅客鉄道 | conventional_rail | 川越線
川越 | 東武鉄道 | private_rail | 東上本線</x:v>
      </x:c>
      <x:c r="I27" s="19" t="str">
        <x:v>乗り換え案内 / 鉄道 | https://www.tobu.co.jp/railway/guide/station/info/7315/</x:v>
      </x:c>
      <x:c r="J27" s="19" t="str">
        <x:v>继续核实组件字段、沿革及最终验收；仅拟归属</x:v>
      </x:c>
      <x:c r="K27" s="18" t="str">
        <x:v>transport-node:02d9bf87-2c79-5a07-8ca8-97c973934be9</x:v>
      </x:c>
      <x:c r="L27" s="19" t="str">
        <x:v>002909</x:v>
      </x:c>
      <x:c r="M27" s="19" t="str">
        <x:v>https://nlftp.mlit.go.jp/ksj/gml/datalist/KsjTmplt-S12-2024.html</x:v>
      </x:c>
      <x:c r="N27" s="18" t="str">
        <x:v>0785e932a32b3ec15e1a1345537ae145eafe1c07bf38d5c16c11ee2b391e7a28</x:v>
      </x:c>
      <x:c r="O27" s="18" t="str">
        <x:v>8cad9588bc6f9241127c06906ae05c940c8bf29e</x:v>
      </x:c>
      <x:c r="P27" s="18" t="str">
        <x:v>否</x:v>
      </x:c>
    </x:row>
    <x:row r="28" ht="33" customHeight="1">
      <x:c r="A28" s="18" t="str">
        <x:v>浅草橋</x:v>
      </x:c>
      <x:c r="B28" s="18" t="str">
        <x:v>東日本旅客鉄道</x:v>
      </x:c>
      <x:c r="C28" s="18" t="str">
        <x:v>conventional_rail</x:v>
      </x:c>
      <x:c r="D28" s="18" t="str">
        <x:v>T1</x:v>
      </x:c>
      <x:c r="E28" s="19" t="str">
        <x:v>已补官方范围，组件待验收</x:v>
      </x:c>
      <x:c r="F28" s="19" t="str">
        <x:v>浅草橋</x:v>
      </x:c>
      <x:c r="G28" s="20" t="n">
        <x:v>2</x:v>
      </x:c>
      <x:c r="H28" s="19" t="str">
        <x:v>浅草橋 | 東京都 | metro | 1号線浅草線
浅草橋 | 東日本旅客鉄道 | conventional_rail | 総武線</x:v>
      </x:c>
      <x:c r="I28" s="19" t="str">
        <x:v>乗り換え案内 | https://www.kotsu.metro.tokyo.jp/subway/stations/asakusabashi.html</x:v>
      </x:c>
      <x:c r="J28" s="19" t="str">
        <x:v>继续核实组件字段、沿革及最终验收；仅拟归属</x:v>
      </x:c>
      <x:c r="K28" s="18" t="str">
        <x:v>transport-node:7346b547-dcb3-51e8-9a04-f47768ebb81d</x:v>
      </x:c>
      <x:c r="L28" s="19" t="str">
        <x:v>003636</x:v>
      </x:c>
      <x:c r="M28" s="19" t="str">
        <x:v>https://nlftp.mlit.go.jp/ksj/gml/datalist/KsjTmplt-S12-2024.html</x:v>
      </x:c>
      <x:c r="N28" s="18" t="str">
        <x:v>0785e932a32b3ec15e1a1345537ae145eafe1c07bf38d5c16c11ee2b391e7a28</x:v>
      </x:c>
      <x:c r="O28" s="18" t="str">
        <x:v>8cad9588bc6f9241127c06906ae05c940c8bf29e</x:v>
      </x:c>
      <x:c r="P28" s="18" t="str">
        <x:v>否</x:v>
      </x:c>
    </x:row>
    <x:row r="29" ht="33" customHeight="1">
      <x:c r="A29" s="18" t="str">
        <x:v>巣鴨</x:v>
      </x:c>
      <x:c r="B29" s="18" t="str">
        <x:v>東京都</x:v>
      </x:c>
      <x:c r="C29" s="18" t="str">
        <x:v>metro</x:v>
      </x:c>
      <x:c r="D29" s="18" t="str">
        <x:v>T1</x:v>
      </x:c>
      <x:c r="E29" s="19" t="str">
        <x:v>已补官方范围，组件待验收</x:v>
      </x:c>
      <x:c r="F29" s="19" t="str">
        <x:v>巣鴨</x:v>
      </x:c>
      <x:c r="G29" s="20" t="n">
        <x:v>2</x:v>
      </x:c>
      <x:c r="H29" s="19" t="str">
        <x:v>巣鴨 | 東京都 | metro | 6号線三田線
巣鴨 | 東日本旅客鉄道 | conventional_rail | 山手線</x:v>
      </x:c>
      <x:c r="I29" s="19" t="str">
        <x:v>乗り換え案内 | https://www.kotsu.metro.tokyo.jp/subway/stations/sugamo.html</x:v>
      </x:c>
      <x:c r="J29" s="19" t="str">
        <x:v>继续核实组件字段、沿革及最终验收；仅拟归属</x:v>
      </x:c>
      <x:c r="K29" s="18" t="str">
        <x:v>transport-node:58f486f1-ef41-5687-bffe-4ba33922f688</x:v>
      </x:c>
      <x:c r="L29" s="19" t="str">
        <x:v>003354</x:v>
      </x:c>
      <x:c r="M29" s="19" t="str">
        <x:v>https://nlftp.mlit.go.jp/ksj/gml/datalist/KsjTmplt-S12-2024.html</x:v>
      </x:c>
      <x:c r="N29" s="18" t="str">
        <x:v>0785e932a32b3ec15e1a1345537ae145eafe1c07bf38d5c16c11ee2b391e7a28</x:v>
      </x:c>
      <x:c r="O29" s="18" t="str">
        <x:v>8cad9588bc6f9241127c06906ae05c940c8bf29e</x:v>
      </x:c>
      <x:c r="P29" s="18" t="str">
        <x:v>否</x:v>
      </x:c>
    </x:row>
    <x:row r="30" ht="33" customHeight="1">
      <x:c r="A30" s="18" t="str">
        <x:v>巣鴨</x:v>
      </x:c>
      <x:c r="B30" s="18" t="str">
        <x:v>東日本旅客鉄道</x:v>
      </x:c>
      <x:c r="C30" s="18" t="str">
        <x:v>conventional_rail</x:v>
      </x:c>
      <x:c r="D30" s="18" t="str">
        <x:v>T1</x:v>
      </x:c>
      <x:c r="E30" s="19" t="str">
        <x:v>已补官方范围，组件待验收</x:v>
      </x:c>
      <x:c r="F30" s="19" t="str">
        <x:v>巣鴨</x:v>
      </x:c>
      <x:c r="G30" s="20" t="n">
        <x:v>2</x:v>
      </x:c>
      <x:c r="H30" s="19" t="str">
        <x:v>巣鴨 | 東京都 | metro | 6号線三田線
巣鴨 | 東日本旅客鉄道 | conventional_rail | 山手線</x:v>
      </x:c>
      <x:c r="I30" s="19" t="str">
        <x:v>乗り換え案内 | https://www.kotsu.metro.tokyo.jp/subway/stations/sugamo.html</x:v>
      </x:c>
      <x:c r="J30" s="19" t="str">
        <x:v>继续核实组件字段、沿革及最终验收；仅拟归属</x:v>
      </x:c>
      <x:c r="K30" s="18" t="str">
        <x:v>transport-node:be5aee14-e90a-5e69-b519-ff263d5be1c0</x:v>
      </x:c>
      <x:c r="L30" s="19" t="str">
        <x:v>003354</x:v>
      </x:c>
      <x:c r="M30" s="19" t="str">
        <x:v>https://nlftp.mlit.go.jp/ksj/gml/datalist/KsjTmplt-S12-2024.html</x:v>
      </x:c>
      <x:c r="N30" s="18" t="str">
        <x:v>0785e932a32b3ec15e1a1345537ae145eafe1c07bf38d5c16c11ee2b391e7a28</x:v>
      </x:c>
      <x:c r="O30" s="18" t="str">
        <x:v>8cad9588bc6f9241127c06906ae05c940c8bf29e</x:v>
      </x:c>
      <x:c r="P30" s="18" t="str">
        <x:v>否</x:v>
      </x:c>
    </x:row>
    <x:row r="31" ht="33" customHeight="1">
      <x:c r="A31" s="18" t="str">
        <x:v>代々木</x:v>
      </x:c>
      <x:c r="B31" s="18" t="str">
        <x:v>東日本旅客鉄道</x:v>
      </x:c>
      <x:c r="C31" s="18" t="str">
        <x:v>conventional_rail</x:v>
      </x:c>
      <x:c r="D31" s="18" t="str">
        <x:v>T1</x:v>
      </x:c>
      <x:c r="E31" s="19" t="str">
        <x:v>已补官方范围，组件待验收</x:v>
      </x:c>
      <x:c r="F31" s="19" t="str">
        <x:v>代々木</x:v>
      </x:c>
      <x:c r="G31" s="20" t="n">
        <x:v>2</x:v>
      </x:c>
      <x:c r="H31" s="19" t="str">
        <x:v>代々木 | 東京都 | metro | 12号線大江戸線
代々木 | 東日本旅客鉄道 | conventional_rail | 中央線 / 山手線</x:v>
      </x:c>
      <x:c r="I31" s="19" t="str">
        <x:v>乗り換え案内 | https://www.kotsu.metro.tokyo.jp/subway/stations/yoyogi.html</x:v>
      </x:c>
      <x:c r="J31" s="19" t="str">
        <x:v>继续核实组件字段、沿革及最终验收；仅拟归属</x:v>
      </x:c>
      <x:c r="K31" s="18" t="str">
        <x:v>transport-node:db19ed7a-bda5-500b-9fd1-cd883fbe70ed</x:v>
      </x:c>
      <x:c r="L31" s="19" t="str">
        <x:v>003743</x:v>
      </x:c>
      <x:c r="M31" s="19" t="str">
        <x:v>https://nlftp.mlit.go.jp/ksj/gml/datalist/KsjTmplt-S12-2024.html</x:v>
      </x:c>
      <x:c r="N31" s="18" t="str">
        <x:v>0785e932a32b3ec15e1a1345537ae145eafe1c07bf38d5c16c11ee2b391e7a28</x:v>
      </x:c>
      <x:c r="O31" s="18" t="str">
        <x:v>8cad9588bc6f9241127c06906ae05c940c8bf29e</x:v>
      </x:c>
      <x:c r="P31" s="18" t="str">
        <x:v>否</x:v>
      </x:c>
    </x:row>
    <x:row r="32" ht="33" customHeight="1">
      <x:c r="A32" s="18" t="str">
        <x:v>中野坂上</x:v>
      </x:c>
      <x:c r="B32" s="18" t="str">
        <x:v>東京地下鉄</x:v>
      </x:c>
      <x:c r="C32" s="18" t="str">
        <x:v>metro</x:v>
      </x:c>
      <x:c r="D32" s="18" t="str">
        <x:v>T1</x:v>
      </x:c>
      <x:c r="E32" s="19" t="str">
        <x:v>已补官方范围，组件待验收</x:v>
      </x:c>
      <x:c r="F32" s="19" t="str">
        <x:v>中野坂上</x:v>
      </x:c>
      <x:c r="G32" s="20" t="n">
        <x:v>2</x:v>
      </x:c>
      <x:c r="H32" s="19" t="str">
        <x:v>中野坂上 | 東京地下鉄 | metro | 4号線丸ノ内線 / 4号線丸ノ内線分岐線
中野坂上 | 東京都 | metro | 12号線大江戸線</x:v>
      </x:c>
      <x:c r="I32" s="19" t="str">
        <x:v>のりかえ鉄道会社 | https://www.tokyometro.jp/station/nakano-sakaue/index.html</x:v>
      </x:c>
      <x:c r="J32" s="19" t="str">
        <x:v>继续核实组件字段、沿革及最终验收；仅拟归属</x:v>
      </x:c>
      <x:c r="K32" s="18" t="str">
        <x:v>transport-node:1aaadabb-fa15-50c5-b879-b3d1d6a48e72</x:v>
      </x:c>
      <x:c r="L32" s="19" t="str">
        <x:v>003643</x:v>
      </x:c>
      <x:c r="M32" s="19" t="str">
        <x:v>https://nlftp.mlit.go.jp/ksj/gml/datalist/KsjTmplt-S12-2024.html</x:v>
      </x:c>
      <x:c r="N32" s="18" t="str">
        <x:v>0785e932a32b3ec15e1a1345537ae145eafe1c07bf38d5c16c11ee2b391e7a28</x:v>
      </x:c>
      <x:c r="O32" s="18" t="str">
        <x:v>8cad9588bc6f9241127c06906ae05c940c8bf29e</x:v>
      </x:c>
      <x:c r="P32" s="18" t="str">
        <x:v>否</x:v>
      </x:c>
    </x:row>
    <x:row r="33" ht="28" customHeight="1">
      <x:c r="A33" s="18" t="str">
        <x:v>朝霞台</x:v>
      </x:c>
      <x:c r="B33" s="18" t="str">
        <x:v>東武鉄道</x:v>
      </x:c>
      <x:c r="C33" s="18" t="str">
        <x:v>private_rail</x:v>
      </x:c>
      <x:c r="D33" s="18" t="str">
        <x:v>T1</x:v>
      </x:c>
      <x:c r="E33" s="19" t="str">
        <x:v>已补官方范围，组件待验收</x:v>
      </x:c>
      <x:c r="F33" s="19" t="str">
        <x:v>朝霞台・北朝霞</x:v>
      </x:c>
      <x:c r="G33" s="20" t="n">
        <x:v>1</x:v>
      </x:c>
      <x:c r="H33" s="19" t="str">
        <x:v>朝霞台 | 東武鉄道 | private_rail | 東上本線</x:v>
      </x:c>
      <x:c r="I33" s="19" t="str">
        <x:v>乗り換え案内 / 鉄道 | https://www.tobu.co.jp/railway/guide/station/info/7307/</x:v>
      </x:c>
      <x:c r="J33" s="19" t="str">
        <x:v>继续核实组件字段、沿革及最终验收；仅拟归属</x:v>
      </x:c>
      <x:c r="K33" s="18" t="str">
        <x:v>transport-node:1147c523-2bbf-5901-a671-0c0036123b4e</x:v>
      </x:c>
      <x:c r="L33" s="19" t="str">
        <x:v>003061</x:v>
      </x:c>
      <x:c r="M33" s="19" t="str">
        <x:v>https://nlftp.mlit.go.jp/ksj/gml/datalist/KsjTmplt-S12-2024.html</x:v>
      </x:c>
      <x:c r="N33" s="18" t="str">
        <x:v>0785e932a32b3ec15e1a1345537ae145eafe1c07bf38d5c16c11ee2b391e7a28</x:v>
      </x:c>
      <x:c r="O33" s="18" t="str">
        <x:v>8cad9588bc6f9241127c06906ae05c940c8bf29e</x:v>
      </x:c>
      <x:c r="P33" s="18" t="str">
        <x:v>否</x:v>
      </x:c>
    </x:row>
    <x:row r="34" ht="33" customHeight="1">
      <x:c r="A34" s="18" t="str">
        <x:v>東中野</x:v>
      </x:c>
      <x:c r="B34" s="18" t="str">
        <x:v>東日本旅客鉄道</x:v>
      </x:c>
      <x:c r="C34" s="18" t="str">
        <x:v>conventional_rail</x:v>
      </x:c>
      <x:c r="D34" s="18" t="str">
        <x:v>T1</x:v>
      </x:c>
      <x:c r="E34" s="19" t="str">
        <x:v>已补官方范围，组件待验收</x:v>
      </x:c>
      <x:c r="F34" s="19" t="str">
        <x:v>東中野</x:v>
      </x:c>
      <x:c r="G34" s="20" t="n">
        <x:v>2</x:v>
      </x:c>
      <x:c r="H34" s="19" t="str">
        <x:v>東中野 | 東京都 | metro | 12号線大江戸線
東中野 | 東日本旅客鉄道 | conventional_rail | 中央線</x:v>
      </x:c>
      <x:c r="I34" s="19" t="str">
        <x:v>乗り換え案内 | https://www.kotsu.metro.tokyo.jp/subway/stations/higashi-nakano.html</x:v>
      </x:c>
      <x:c r="J34" s="19" t="str">
        <x:v>继续核实组件字段、沿革及最终验收；仅拟归属</x:v>
      </x:c>
      <x:c r="K34" s="18" t="str">
        <x:v>transport-node:34cd5ac6-7035-519f-843f-3099f369ace2</x:v>
      </x:c>
      <x:c r="L34" s="19" t="str">
        <x:v>003549</x:v>
      </x:c>
      <x:c r="M34" s="19" t="str">
        <x:v>https://nlftp.mlit.go.jp/ksj/gml/datalist/KsjTmplt-S12-2024.html</x:v>
      </x:c>
      <x:c r="N34" s="18" t="str">
        <x:v>0785e932a32b3ec15e1a1345537ae145eafe1c07bf38d5c16c11ee2b391e7a28</x:v>
      </x:c>
      <x:c r="O34" s="18" t="str">
        <x:v>8cad9588bc6f9241127c06906ae05c940c8bf29e</x:v>
      </x:c>
      <x:c r="P34" s="18" t="str">
        <x:v>否</x:v>
      </x:c>
    </x:row>
    <x:row r="35" ht="28" customHeight="1">
      <x:c r="A35" s="18" t="str">
        <x:v>南越谷</x:v>
      </x:c>
      <x:c r="B35" s="18" t="str">
        <x:v>東日本旅客鉄道</x:v>
      </x:c>
      <x:c r="C35" s="18" t="str">
        <x:v>conventional_rail</x:v>
      </x:c>
      <x:c r="D35" s="18" t="str">
        <x:v>T1</x:v>
      </x:c>
      <x:c r="E35" s="19" t="str">
        <x:v>已补官方范围，组件待验收</x:v>
      </x:c>
      <x:c r="F35" s="19" t="str">
        <x:v>新越谷・南越谷</x:v>
      </x:c>
      <x:c r="G35" s="20" t="n">
        <x:v>1</x:v>
      </x:c>
      <x:c r="H35" s="19" t="str">
        <x:v>南越谷 | 東日本旅客鉄道 | conventional_rail | 武蔵野線</x:v>
      </x:c>
      <x:c r="I35" s="19" t="str">
        <x:v>乗り換え案内 / 鉄道 | https://www.tobu.co.jp/railway/guide/station/info/1408/</x:v>
      </x:c>
      <x:c r="J35" s="19" t="str">
        <x:v>继续核实组件字段、沿革及最终验收；仅拟归属</x:v>
      </x:c>
      <x:c r="K35" s="18" t="str">
        <x:v>transport-node:b6113a55-618e-531c-bd1d-186013fe7751</x:v>
      </x:c>
      <x:c r="L35" s="19" t="str">
        <x:v>002958</x:v>
      </x:c>
      <x:c r="M35" s="19" t="str">
        <x:v>https://nlftp.mlit.go.jp/ksj/gml/datalist/KsjTmplt-S12-2024.html</x:v>
      </x:c>
      <x:c r="N35" s="18" t="str">
        <x:v>0785e932a32b3ec15e1a1345537ae145eafe1c07bf38d5c16c11ee2b391e7a28</x:v>
      </x:c>
      <x:c r="O35" s="18" t="str">
        <x:v>8cad9588bc6f9241127c06906ae05c940c8bf29e</x:v>
      </x:c>
      <x:c r="P35" s="18" t="str">
        <x:v>否</x:v>
      </x:c>
    </x:row>
    <x:row r="36" ht="33" customHeight="1">
      <x:c r="A36" s="18" t="str">
        <x:v>南流山</x:v>
      </x:c>
      <x:c r="B36" s="18" t="str">
        <x:v>東日本旅客鉄道</x:v>
      </x:c>
      <x:c r="C36" s="18" t="str">
        <x:v>conventional_rail</x:v>
      </x:c>
      <x:c r="D36" s="18" t="str">
        <x:v>T1</x:v>
      </x:c>
      <x:c r="E36" s="19" t="str">
        <x:v>已补官方范围，组件待验收</x:v>
      </x:c>
      <x:c r="F36" s="19" t="str">
        <x:v>南流山</x:v>
      </x:c>
      <x:c r="G36" s="20" t="n">
        <x:v>2</x:v>
      </x:c>
      <x:c r="H36" s="19" t="str">
        <x:v>南流山 | 東日本旅客鉄道 | conventional_rail | 武蔵野線
南流山 | 首都圏新都市鉄道 | private_rail | 常磐新線</x:v>
      </x:c>
      <x:c r="I36" s="19" t="str">
        <x:v>駅案内 / 乗換 | https://www.mir.co.jp/route_map/minami-nagareyama/</x:v>
      </x:c>
      <x:c r="J36" s="19" t="str">
        <x:v>继续核实组件字段、沿革及最终验收；仅拟归属</x:v>
      </x:c>
      <x:c r="K36" s="18" t="str">
        <x:v>transport-node:1816f227-7c97-5c98-ad23-7fa613d62d6c</x:v>
      </x:c>
      <x:c r="L36" s="19" t="str">
        <x:v>003024</x:v>
      </x:c>
      <x:c r="M36" s="19" t="str">
        <x:v>https://nlftp.mlit.go.jp/ksj/gml/datalist/KsjTmplt-S12-2024.html</x:v>
      </x:c>
      <x:c r="N36" s="18" t="str">
        <x:v>0785e932a32b3ec15e1a1345537ae145eafe1c07bf38d5c16c11ee2b391e7a28</x:v>
      </x:c>
      <x:c r="O36" s="18" t="str">
        <x:v>8cad9588bc6f9241127c06906ae05c940c8bf29e</x:v>
      </x:c>
      <x:c r="P36" s="18" t="str">
        <x:v>否</x:v>
      </x:c>
    </x:row>
    <x:row r="37" ht="33" customHeight="1">
      <x:c r="A37" s="18" t="str">
        <x:v>南流山</x:v>
      </x:c>
      <x:c r="B37" s="18" t="str">
        <x:v>首都圏新都市鉄道</x:v>
      </x:c>
      <x:c r="C37" s="18" t="str">
        <x:v>private_rail</x:v>
      </x:c>
      <x:c r="D37" s="18" t="str">
        <x:v>T1</x:v>
      </x:c>
      <x:c r="E37" s="19" t="str">
        <x:v>已补官方范围，组件待验收</x:v>
      </x:c>
      <x:c r="F37" s="19" t="str">
        <x:v>南流山</x:v>
      </x:c>
      <x:c r="G37" s="20" t="n">
        <x:v>2</x:v>
      </x:c>
      <x:c r="H37" s="19" t="str">
        <x:v>南流山 | 東日本旅客鉄道 | conventional_rail | 武蔵野線
南流山 | 首都圏新都市鉄道 | private_rail | 常磐新線</x:v>
      </x:c>
      <x:c r="I37" s="19" t="str">
        <x:v>駅案内 / 乗換 | https://www.mir.co.jp/route_map/minami-nagareyama/</x:v>
      </x:c>
      <x:c r="J37" s="19" t="str">
        <x:v>继续核实组件字段、沿革及最终验收；仅拟归属</x:v>
      </x:c>
      <x:c r="K37" s="18" t="str">
        <x:v>transport-node:4f863bbc-4432-5512-a9e1-33f596045918</x:v>
      </x:c>
      <x:c r="L37" s="19" t="str">
        <x:v>003024</x:v>
      </x:c>
      <x:c r="M37" s="19" t="str">
        <x:v>https://nlftp.mlit.go.jp/ksj/gml/datalist/KsjTmplt-S12-2024.html</x:v>
      </x:c>
      <x:c r="N37" s="18" t="str">
        <x:v>0785e932a32b3ec15e1a1345537ae145eafe1c07bf38d5c16c11ee2b391e7a28</x:v>
      </x:c>
      <x:c r="O37" s="18" t="str">
        <x:v>8cad9588bc6f9241127c06906ae05c940c8bf29e</x:v>
      </x:c>
      <x:c r="P37" s="18" t="str">
        <x:v>否</x:v>
      </x:c>
    </x:row>
    <x:row r="38" ht="33" customHeight="1">
      <x:c r="A38" s="18" t="str">
        <x:v>八丁堀</x:v>
      </x:c>
      <x:c r="B38" s="18" t="str">
        <x:v>東京地下鉄</x:v>
      </x:c>
      <x:c r="C38" s="18" t="str">
        <x:v>metro</x:v>
      </x:c>
      <x:c r="D38" s="18" t="str">
        <x:v>T1</x:v>
      </x:c>
      <x:c r="E38" s="19" t="str">
        <x:v>已补官方范围，组件待验收</x:v>
      </x:c>
      <x:c r="F38" s="19" t="str">
        <x:v>八丁堀</x:v>
      </x:c>
      <x:c r="G38" s="20" t="n">
        <x:v>2</x:v>
      </x:c>
      <x:c r="H38" s="19" t="str">
        <x:v>八丁堀 | 東京地下鉄 | metro | 2号線日比谷線
八丁堀 | 東日本旅客鉄道 | conventional_rail | 京葉線</x:v>
      </x:c>
      <x:c r="I38" s="19" t="str">
        <x:v>のりかえ鉄道会社 | https://www.tokyometro.jp/station/hatchobori/index.html</x:v>
      </x:c>
      <x:c r="J38" s="19" t="str">
        <x:v>继续核实组件字段、沿革及最终验收；仅拟归属</x:v>
      </x:c>
      <x:c r="K38" s="18" t="str">
        <x:v>transport-node:38eaa6ec-7f19-5f86-8937-d52f0244d9d9</x:v>
      </x:c>
      <x:c r="L38" s="19" t="str">
        <x:v>003797</x:v>
      </x:c>
      <x:c r="M38" s="19" t="str">
        <x:v>https://nlftp.mlit.go.jp/ksj/gml/datalist/KsjTmplt-S12-2024.html</x:v>
      </x:c>
      <x:c r="N38" s="18" t="str">
        <x:v>0785e932a32b3ec15e1a1345537ae145eafe1c07bf38d5c16c11ee2b391e7a28</x:v>
      </x:c>
      <x:c r="O38" s="18" t="str">
        <x:v>8cad9588bc6f9241127c06906ae05c940c8bf29e</x:v>
      </x:c>
      <x:c r="P38" s="18" t="str">
        <x:v>否</x:v>
      </x:c>
    </x:row>
    <x:row r="39" ht="33" customHeight="1">
      <x:c r="A39" s="18" t="str">
        <x:v>八丁堀</x:v>
      </x:c>
      <x:c r="B39" s="18" t="str">
        <x:v>東日本旅客鉄道</x:v>
      </x:c>
      <x:c r="C39" s="18" t="str">
        <x:v>conventional_rail</x:v>
      </x:c>
      <x:c r="D39" s="18" t="str">
        <x:v>T1</x:v>
      </x:c>
      <x:c r="E39" s="19" t="str">
        <x:v>已补官方范围，组件待验收</x:v>
      </x:c>
      <x:c r="F39" s="19" t="str">
        <x:v>八丁堀</x:v>
      </x:c>
      <x:c r="G39" s="20" t="n">
        <x:v>2</x:v>
      </x:c>
      <x:c r="H39" s="19" t="str">
        <x:v>八丁堀 | 東京地下鉄 | metro | 2号線日比谷線
八丁堀 | 東日本旅客鉄道 | conventional_rail | 京葉線</x:v>
      </x:c>
      <x:c r="I39" s="19" t="str">
        <x:v>のりかえ鉄道会社 | https://www.tokyometro.jp/station/hatchobori/index.html</x:v>
      </x:c>
      <x:c r="J39" s="19" t="str">
        <x:v>继续核实组件字段、沿革及最终验收；仅拟归属</x:v>
      </x:c>
      <x:c r="K39" s="18" t="str">
        <x:v>transport-node:973ea78f-945d-50a5-bcf5-a56d782b3339</x:v>
      </x:c>
      <x:c r="L39" s="19" t="str">
        <x:v>003797</x:v>
      </x:c>
      <x:c r="M39" s="19" t="str">
        <x:v>https://nlftp.mlit.go.jp/ksj/gml/datalist/KsjTmplt-S12-2024.html</x:v>
      </x:c>
      <x:c r="N39" s="18" t="str">
        <x:v>0785e932a32b3ec15e1a1345537ae145eafe1c07bf38d5c16c11ee2b391e7a28</x:v>
      </x:c>
      <x:c r="O39" s="18" t="str">
        <x:v>8cad9588bc6f9241127c06906ae05c940c8bf29e</x:v>
      </x:c>
      <x:c r="P39" s="18" t="str">
        <x:v>否</x:v>
      </x:c>
    </x:row>
    <x:row r="40" ht="28" customHeight="1">
      <x:c r="A40" s="18" t="str">
        <x:v>尾張一宮</x:v>
      </x:c>
      <x:c r="B40" s="18" t="str">
        <x:v>東海旅客鉄道</x:v>
      </x:c>
      <x:c r="C40" s="18" t="str">
        <x:v>conventional_rail</x:v>
      </x:c>
      <x:c r="D40" s="18" t="str">
        <x:v>T1</x:v>
      </x:c>
      <x:c r="E40" s="19" t="str">
        <x:v>已补官方范围，组件待验收</x:v>
      </x:c>
      <x:c r="F40" s="19" t="str">
        <x:v>尾張一宮・名鉄一宮</x:v>
      </x:c>
      <x:c r="G40" s="20" t="n">
        <x:v>1</x:v>
      </x:c>
      <x:c r="H40" s="19" t="str">
        <x:v>尾張一宮 | 東海旅客鉄道 | conventional_rail | 東海道線</x:v>
      </x:c>
      <x:c r="I40" s="19" t="str">
        <x:v>駅案内 / 乗換 | https://www.meitetsu.co.jp/train/station_info/line10/station/1228.html</x:v>
      </x:c>
      <x:c r="J40" s="19" t="str">
        <x:v>继续核实组件字段、沿革及最终验收；仅拟归属</x:v>
      </x:c>
      <x:c r="K40" s="18" t="str">
        <x:v>transport-node:903bed75-d948-5da2-9e0d-fdaa84122275</x:v>
      </x:c>
      <x:c r="L40" s="19" t="str">
        <x:v>005111</x:v>
      </x:c>
      <x:c r="M40" s="19" t="str">
        <x:v>https://nlftp.mlit.go.jp/ksj/gml/datalist/KsjTmplt-S12-2024.html</x:v>
      </x:c>
      <x:c r="N40" s="18" t="str">
        <x:v>0785e932a32b3ec15e1a1345537ae145eafe1c07bf38d5c16c11ee2b391e7a28</x:v>
      </x:c>
      <x:c r="O40" s="18" t="str">
        <x:v>8cad9588bc6f9241127c06906ae05c940c8bf29e</x:v>
      </x:c>
      <x:c r="P40" s="18" t="str">
        <x:v>否</x:v>
      </x:c>
    </x:row>
    <x:row r="41" ht="28" customHeight="1">
      <x:c r="A41" s="18" t="str">
        <x:v>北朝霞</x:v>
      </x:c>
      <x:c r="B41" s="18" t="str">
        <x:v>東日本旅客鉄道</x:v>
      </x:c>
      <x:c r="C41" s="18" t="str">
        <x:v>conventional_rail</x:v>
      </x:c>
      <x:c r="D41" s="18" t="str">
        <x:v>T1</x:v>
      </x:c>
      <x:c r="E41" s="19" t="str">
        <x:v>已补官方范围，组件待验收</x:v>
      </x:c>
      <x:c r="F41" s="19" t="str">
        <x:v>朝霞台・北朝霞</x:v>
      </x:c>
      <x:c r="G41" s="20" t="n">
        <x:v>1</x:v>
      </x:c>
      <x:c r="H41" s="19" t="str">
        <x:v>北朝霞 | 東日本旅客鉄道 | conventional_rail | 武蔵野線</x:v>
      </x:c>
      <x:c r="I41" s="19" t="str">
        <x:v>乗り換え案内 / 鉄道 | https://www.tobu.co.jp/railway/guide/station/info/7307/</x:v>
      </x:c>
      <x:c r="J41" s="19" t="str">
        <x:v>继续核实组件字段、沿革及最终验收；仅拟归属</x:v>
      </x:c>
      <x:c r="K41" s="18" t="str">
        <x:v>transport-node:94d5b4b1-c338-5534-b810-5026d9701ec7</x:v>
      </x:c>
      <x:c r="L41" s="19" t="str">
        <x:v>003056</x:v>
      </x:c>
      <x:c r="M41" s="19" t="str">
        <x:v>https://nlftp.mlit.go.jp/ksj/gml/datalist/KsjTmplt-S12-2024.html</x:v>
      </x:c>
      <x:c r="N41" s="18" t="str">
        <x:v>0785e932a32b3ec15e1a1345537ae145eafe1c07bf38d5c16c11ee2b391e7a28</x:v>
      </x:c>
      <x:c r="O41" s="18" t="str">
        <x:v>8cad9588bc6f9241127c06906ae05c940c8bf29e</x:v>
      </x:c>
      <x:c r="P41" s="18" t="str">
        <x:v>否</x:v>
      </x:c>
    </x:row>
    <x:row r="42" ht="33" customHeight="1">
      <x:c r="A42" s="18" t="str">
        <x:v>本郷三丁目</x:v>
      </x:c>
      <x:c r="B42" s="18" t="str">
        <x:v>東京地下鉄</x:v>
      </x:c>
      <x:c r="C42" s="18" t="str">
        <x:v>metro</x:v>
      </x:c>
      <x:c r="D42" s="18" t="str">
        <x:v>T1</x:v>
      </x:c>
      <x:c r="E42" s="19" t="str">
        <x:v>已补官方范围，组件待验收</x:v>
      </x:c>
      <x:c r="F42" s="19" t="str">
        <x:v>本郷三丁目</x:v>
      </x:c>
      <x:c r="G42" s="20" t="n">
        <x:v>2</x:v>
      </x:c>
      <x:c r="H42" s="19" t="str">
        <x:v>本郷三丁目 | 東京地下鉄 | metro | 4号線丸ノ内線
本郷三丁目 | 東京都 | metro | 12号線大江戸線</x:v>
      </x:c>
      <x:c r="I42" s="19" t="str">
        <x:v>のりかえ鉄道会社 | https://www.tokyometro.jp/station/hongo-sanchome/index.html</x:v>
      </x:c>
      <x:c r="J42" s="19" t="str">
        <x:v>继续核实组件字段、沿革及最终验收；仅拟归属</x:v>
      </x:c>
      <x:c r="K42" s="18" t="str">
        <x:v>transport-node:64bacb7c-dc52-5364-9697-f509c8e970cf</x:v>
      </x:c>
      <x:c r="L42" s="19" t="str">
        <x:v>003546</x:v>
      </x:c>
      <x:c r="M42" s="19" t="str">
        <x:v>https://nlftp.mlit.go.jp/ksj/gml/datalist/KsjTmplt-S12-2024.html</x:v>
      </x:c>
      <x:c r="N42" s="18" t="str">
        <x:v>0785e932a32b3ec15e1a1345537ae145eafe1c07bf38d5c16c11ee2b391e7a28</x:v>
      </x:c>
      <x:c r="O42" s="18" t="str">
        <x:v>8cad9588bc6f9241127c06906ae05c940c8bf29e</x:v>
      </x:c>
      <x:c r="P42" s="18" t="str">
        <x:v>否</x:v>
      </x:c>
    </x:row>
    <x:row r="43" ht="33" customHeight="1">
      <x:c r="A43" s="18" t="str">
        <x:v>本八幡</x:v>
      </x:c>
      <x:c r="B43" s="18" t="str">
        <x:v>東京都</x:v>
      </x:c>
      <x:c r="C43" s="18" t="str">
        <x:v>metro</x:v>
      </x:c>
      <x:c r="D43" s="18" t="str">
        <x:v>T1</x:v>
      </x:c>
      <x:c r="E43" s="19" t="str">
        <x:v>已补官方范围，组件待验收</x:v>
      </x:c>
      <x:c r="F43" s="19" t="str">
        <x:v>本八幡・京成八幡</x:v>
      </x:c>
      <x:c r="G43" s="20" t="n">
        <x:v>2</x:v>
      </x:c>
      <x:c r="H43" s="19" t="str">
        <x:v>本八幡 | 東京都 | metro | 10号線新宿線
本八幡 | 東日本旅客鉄道 | conventional_rail | 総武線</x:v>
      </x:c>
      <x:c r="I43" s="19" t="str">
        <x:v>乗り換え案内 | https://www.kotsu.metro.tokyo.jp/subway/stations/motoyawata.html</x:v>
      </x:c>
      <x:c r="J43" s="19" t="str">
        <x:v>继续核实组件字段、沿革及最终验收；仅拟归属</x:v>
      </x:c>
      <x:c r="K43" s="18" t="str">
        <x:v>transport-node:675b983f-e9b9-505f-9f83-13529f7606a5</x:v>
      </x:c>
      <x:c r="L43" s="19" t="str">
        <x:v>003449</x:v>
      </x:c>
      <x:c r="M43" s="19" t="str">
        <x:v>https://nlftp.mlit.go.jp/ksj/gml/datalist/KsjTmplt-S12-2024.html</x:v>
      </x:c>
      <x:c r="N43" s="18" t="str">
        <x:v>0785e932a32b3ec15e1a1345537ae145eafe1c07bf38d5c16c11ee2b391e7a28</x:v>
      </x:c>
      <x:c r="O43" s="18" t="str">
        <x:v>8cad9588bc6f9241127c06906ae05c940c8bf29e</x:v>
      </x:c>
      <x:c r="P43" s="18" t="str">
        <x:v>否</x:v>
      </x:c>
    </x:row>
    <x:row r="44" ht="33" customHeight="1">
      <x:c r="A44" s="18" t="str">
        <x:v>本八幡</x:v>
      </x:c>
      <x:c r="B44" s="18" t="str">
        <x:v>東日本旅客鉄道</x:v>
      </x:c>
      <x:c r="C44" s="18" t="str">
        <x:v>conventional_rail</x:v>
      </x:c>
      <x:c r="D44" s="18" t="str">
        <x:v>T1</x:v>
      </x:c>
      <x:c r="E44" s="19" t="str">
        <x:v>已补官方范围，组件待验收</x:v>
      </x:c>
      <x:c r="F44" s="19" t="str">
        <x:v>本八幡・京成八幡</x:v>
      </x:c>
      <x:c r="G44" s="20" t="n">
        <x:v>2</x:v>
      </x:c>
      <x:c r="H44" s="19" t="str">
        <x:v>本八幡 | 東京都 | metro | 10号線新宿線
本八幡 | 東日本旅客鉄道 | conventional_rail | 総武線</x:v>
      </x:c>
      <x:c r="I44" s="19" t="str">
        <x:v>乗り換え案内 | https://www.kotsu.metro.tokyo.jp/subway/stations/motoyawata.html</x:v>
      </x:c>
      <x:c r="J44" s="19" t="str">
        <x:v>继续核实组件字段、沿革及最终验收；仅拟归属</x:v>
      </x:c>
      <x:c r="K44" s="18" t="str">
        <x:v>transport-node:0ddf5d47-53cf-510b-8816-5449fb9a7c17</x:v>
      </x:c>
      <x:c r="L44" s="19" t="str">
        <x:v>003449</x:v>
      </x:c>
      <x:c r="M44" s="19" t="str">
        <x:v>https://nlftp.mlit.go.jp/ksj/gml/datalist/KsjTmplt-S12-2024.html</x:v>
      </x:c>
      <x:c r="N44" s="18" t="str">
        <x:v>0785e932a32b3ec15e1a1345537ae145eafe1c07bf38d5c16c11ee2b391e7a28</x:v>
      </x:c>
      <x:c r="O44" s="18" t="str">
        <x:v>8cad9588bc6f9241127c06906ae05c940c8bf29e</x:v>
      </x:c>
      <x:c r="P44" s="18" t="str">
        <x:v>否</x:v>
      </x:c>
    </x:row>
    <x:row r="45" ht="28" customHeight="1">
      <x:c r="A45" s="18" t="str">
        <x:v>明治神宮前</x:v>
      </x:c>
      <x:c r="B45" s="18" t="str">
        <x:v>東京地下鉄</x:v>
      </x:c>
      <x:c r="C45" s="18" t="str">
        <x:v>metro</x:v>
      </x:c>
      <x:c r="D45" s="18" t="str">
        <x:v>T1</x:v>
      </x:c>
      <x:c r="E45" s="19" t="str">
        <x:v>已补官方范围，组件待验收</x:v>
      </x:c>
      <x:c r="F45" s="19" t="str">
        <x:v>原宿・明治神宮前</x:v>
      </x:c>
      <x:c r="G45" s="20" t="n">
        <x:v>1</x:v>
      </x:c>
      <x:c r="H45" s="19" t="str">
        <x:v>明治神宮前 | 東京地下鉄 | metro | 13号線副都心線 / 9号線千代田線</x:v>
      </x:c>
      <x:c r="I45" s="19" t="str">
        <x:v>のりかえ鉄道会社 | https://www.tokyometro.jp/station/meiji-jingumae/index.html</x:v>
      </x:c>
      <x:c r="J45" s="19" t="str">
        <x:v>继续核实组件字段、沿革及最终验收；仅拟归属</x:v>
      </x:c>
      <x:c r="K45" s="18" t="str">
        <x:v>transport-node:28fff181-3d5b-5b73-a02b-c338099a443b</x:v>
      </x:c>
      <x:c r="L45" s="19" t="str">
        <x:v>003844</x:v>
      </x:c>
      <x:c r="M45" s="19" t="str">
        <x:v>https://nlftp.mlit.go.jp/ksj/gml/datalist/KsjTmplt-S12-2024.html</x:v>
      </x:c>
      <x:c r="N45" s="18" t="str">
        <x:v>0785e932a32b3ec15e1a1345537ae145eafe1c07bf38d5c16c11ee2b391e7a28</x:v>
      </x:c>
      <x:c r="O45" s="18" t="str">
        <x:v>8cad9588bc6f9241127c06906ae05c940c8bf29e</x:v>
      </x:c>
      <x:c r="P45" s="18" t="str">
        <x:v>否</x:v>
      </x:c>
    </x:row>
    <x:row r="46" ht="33" customHeight="1">
      <x:c r="A46" s="18" t="str">
        <x:v>流山おおたかの森</x:v>
      </x:c>
      <x:c r="B46" s="18" t="str">
        <x:v>東武鉄道</x:v>
      </x:c>
      <x:c r="C46" s="18" t="str">
        <x:v>private_rail</x:v>
      </x:c>
      <x:c r="D46" s="18" t="str">
        <x:v>T1</x:v>
      </x:c>
      <x:c r="E46" s="19" t="str">
        <x:v>已补官方范围，组件待验收</x:v>
      </x:c>
      <x:c r="F46" s="19" t="str">
        <x:v>流山おおたかの森</x:v>
      </x:c>
      <x:c r="G46" s="20" t="n">
        <x:v>2</x:v>
      </x:c>
      <x:c r="H46" s="19" t="str">
        <x:v>流山おおたかの森 | 東武鉄道 | private_rail | 野田線
流山おおたかの森 | 首都圏新都市鉄道 | private_rail | 常磐新線</x:v>
      </x:c>
      <x:c r="I46" s="19" t="str">
        <x:v>乗り換え案内 / 鉄道 | https://www.tobu.co.jp/railway/guide/station/info/6320/</x:v>
      </x:c>
      <x:c r="J46" s="19" t="str">
        <x:v>继续核实组件字段、沿革及最终验收；仅拟归属</x:v>
      </x:c>
      <x:c r="K46" s="18" t="str">
        <x:v>transport-node:b578e794-973a-53b7-aad5-251a40a884c2</x:v>
      </x:c>
      <x:c r="L46" s="19" t="str">
        <x:v>002969</x:v>
      </x:c>
      <x:c r="M46" s="19" t="str">
        <x:v>https://nlftp.mlit.go.jp/ksj/gml/datalist/KsjTmplt-S12-2024.html</x:v>
      </x:c>
      <x:c r="N46" s="18" t="str">
        <x:v>0785e932a32b3ec15e1a1345537ae145eafe1c07bf38d5c16c11ee2b391e7a28</x:v>
      </x:c>
      <x:c r="O46" s="18" t="str">
        <x:v>8cad9588bc6f9241127c06906ae05c940c8bf29e</x:v>
      </x:c>
      <x:c r="P46" s="18" t="str">
        <x:v>否</x:v>
      </x:c>
    </x:row>
    <x:row r="47" ht="33" customHeight="1">
      <x:c r="A47" s="18" t="str">
        <x:v>流山おおたかの森</x:v>
      </x:c>
      <x:c r="B47" s="18" t="str">
        <x:v>首都圏新都市鉄道</x:v>
      </x:c>
      <x:c r="C47" s="18" t="str">
        <x:v>private_rail</x:v>
      </x:c>
      <x:c r="D47" s="18" t="str">
        <x:v>T1</x:v>
      </x:c>
      <x:c r="E47" s="19" t="str">
        <x:v>已补官方范围，组件待验收</x:v>
      </x:c>
      <x:c r="F47" s="19" t="str">
        <x:v>流山おおたかの森</x:v>
      </x:c>
      <x:c r="G47" s="20" t="n">
        <x:v>2</x:v>
      </x:c>
      <x:c r="H47" s="19" t="str">
        <x:v>流山おおたかの森 | 東武鉄道 | private_rail | 野田線
流山おおたかの森 | 首都圏新都市鉄道 | private_rail | 常磐新線</x:v>
      </x:c>
      <x:c r="I47" s="19" t="str">
        <x:v>乗り換え案内 / 鉄道 | https://www.tobu.co.jp/railway/guide/station/info/6320/</x:v>
      </x:c>
      <x:c r="J47" s="19" t="str">
        <x:v>继续核实组件字段、沿革及最终验收；仅拟归属</x:v>
      </x:c>
      <x:c r="K47" s="18" t="str">
        <x:v>transport-node:829814d8-7c42-5b15-b802-1e613af124b3</x:v>
      </x:c>
      <x:c r="L47" s="19" t="str">
        <x:v>002969</x:v>
      </x:c>
      <x:c r="M47" s="19" t="str">
        <x:v>https://nlftp.mlit.go.jp/ksj/gml/datalist/KsjTmplt-S12-2024.html</x:v>
      </x:c>
      <x:c r="N47" s="18" t="str">
        <x:v>0785e932a32b3ec15e1a1345537ae145eafe1c07bf38d5c16c11ee2b391e7a28</x:v>
      </x:c>
      <x:c r="O47" s="18" t="str">
        <x:v>8cad9588bc6f9241127c06906ae05c940c8bf29e</x:v>
      </x:c>
      <x:c r="P47" s="18" t="str">
        <x:v>否</x:v>
      </x:c>
    </x:row>
    <x:row r="48" ht="28" customHeight="1">
      <x:c r="A48" s="18" t="str">
        <x:v>溜池山王</x:v>
      </x:c>
      <x:c r="B48" s="18" t="str">
        <x:v>東京地下鉄</x:v>
      </x:c>
      <x:c r="C48" s="18" t="str">
        <x:v>metro</x:v>
      </x:c>
      <x:c r="D48" s="18" t="str">
        <x:v>T1</x:v>
      </x:c>
      <x:c r="E48" s="19" t="str">
        <x:v>已补官方范围，组件待验收</x:v>
      </x:c>
      <x:c r="F48" s="19" t="str">
        <x:v>溜池山王・国会議事堂前</x:v>
      </x:c>
      <x:c r="G48" s="20" t="n">
        <x:v>1</x:v>
      </x:c>
      <x:c r="H48" s="19" t="str">
        <x:v>溜池山王 | 東京地下鉄 | metro | 3号線銀座線 / 7号線南北線</x:v>
      </x:c>
      <x:c r="I48" s="19" t="str">
        <x:v>のりかえ駅 | https://www.tokyometro.jp/station/tameike-sanno/index.html</x:v>
      </x:c>
      <x:c r="J48" s="19" t="str">
        <x:v>继续核实组件字段、沿革及最终验收；仅拟归属</x:v>
      </x:c>
      <x:c r="K48" s="18" t="str">
        <x:v>transport-node:cd73f906-8308-5c75-8cf4-43d983ddec7a</x:v>
      </x:c>
      <x:c r="L48" s="19" t="str">
        <x:v>003810</x:v>
      </x:c>
      <x:c r="M48" s="19" t="str">
        <x:v>https://nlftp.mlit.go.jp/ksj/gml/datalist/KsjTmplt-S12-2024.html</x:v>
      </x:c>
      <x:c r="N48" s="18" t="str">
        <x:v>0785e932a32b3ec15e1a1345537ae145eafe1c07bf38d5c16c11ee2b391e7a28</x:v>
      </x:c>
      <x:c r="O48" s="18" t="str">
        <x:v>8cad9588bc6f9241127c06906ae05c940c8bf29e</x:v>
      </x:c>
      <x:c r="P48" s="18" t="str">
        <x:v>否</x:v>
      </x:c>
    </x:row>
    <x:row r="49" ht="33" customHeight="1">
      <x:c r="A49" s="18" t="str">
        <x:v>六本木</x:v>
      </x:c>
      <x:c r="B49" s="18" t="str">
        <x:v>東京地下鉄</x:v>
      </x:c>
      <x:c r="C49" s="18" t="str">
        <x:v>metro</x:v>
      </x:c>
      <x:c r="D49" s="18" t="str">
        <x:v>T1</x:v>
      </x:c>
      <x:c r="E49" s="19" t="str">
        <x:v>已补官方范围，组件待验收</x:v>
      </x:c>
      <x:c r="F49" s="19" t="str">
        <x:v>六本木</x:v>
      </x:c>
      <x:c r="G49" s="20" t="n">
        <x:v>2</x:v>
      </x:c>
      <x:c r="H49" s="19" t="str">
        <x:v>六本木 | 東京地下鉄 | metro | 2号線日比谷線
六本木 | 東京都 | metro | 12号線大江戸線</x:v>
      </x:c>
      <x:c r="I49" s="19" t="str">
        <x:v>のりかえ鉄道会社 | https://www.tokyometro.jp/station/roppongi/index.html</x:v>
      </x:c>
      <x:c r="J49" s="19" t="str">
        <x:v>继续核实组件字段、沿革及最终验收；仅拟归属</x:v>
      </x:c>
      <x:c r="K49" s="18" t="str">
        <x:v>transport-node:524baff2-6255-52f3-8fc2-0426f895861f</x:v>
      </x:c>
      <x:c r="L49" s="19" t="str">
        <x:v>003892</x:v>
      </x:c>
      <x:c r="M49" s="19" t="str">
        <x:v>https://nlftp.mlit.go.jp/ksj/gml/datalist/KsjTmplt-S12-2024.html</x:v>
      </x:c>
      <x:c r="N49" s="18" t="str">
        <x:v>0785e932a32b3ec15e1a1345537ae145eafe1c07bf38d5c16c11ee2b391e7a28</x:v>
      </x:c>
      <x:c r="O49" s="18" t="str">
        <x:v>8cad9588bc6f9241127c06906ae05c940c8bf29e</x:v>
      </x:c>
      <x:c r="P49" s="18" t="str">
        <x:v>否</x:v>
      </x:c>
    </x:row>
    <x:row r="50" ht="33" customHeight="1">
      <x:c r="A50" s="18" t="str">
        <x:v>六本木</x:v>
      </x:c>
      <x:c r="B50" s="18" t="str">
        <x:v>東京都</x:v>
      </x:c>
      <x:c r="C50" s="18" t="str">
        <x:v>metro</x:v>
      </x:c>
      <x:c r="D50" s="18" t="str">
        <x:v>T1</x:v>
      </x:c>
      <x:c r="E50" s="19" t="str">
        <x:v>已补官方范围，组件待验收</x:v>
      </x:c>
      <x:c r="F50" s="19" t="str">
        <x:v>六本木</x:v>
      </x:c>
      <x:c r="G50" s="20" t="n">
        <x:v>2</x:v>
      </x:c>
      <x:c r="H50" s="19" t="str">
        <x:v>六本木 | 東京地下鉄 | metro | 2号線日比谷線
六本木 | 東京都 | metro | 12号線大江戸線</x:v>
      </x:c>
      <x:c r="I50" s="19" t="str">
        <x:v>のりかえ鉄道会社 | https://www.tokyometro.jp/station/roppongi/index.html</x:v>
      </x:c>
      <x:c r="J50" s="19" t="str">
        <x:v>继续核实组件字段、沿革及最终验收；仅拟归属</x:v>
      </x:c>
      <x:c r="K50" s="18" t="str">
        <x:v>transport-node:13ea294b-64fd-5fa9-a90f-9f32120a3276</x:v>
      </x:c>
      <x:c r="L50" s="19" t="str">
        <x:v>003892</x:v>
      </x:c>
      <x:c r="M50" s="19" t="str">
        <x:v>https://nlftp.mlit.go.jp/ksj/gml/datalist/KsjTmplt-S12-2024.html</x:v>
      </x:c>
      <x:c r="N50" s="18" t="str">
        <x:v>0785e932a32b3ec15e1a1345537ae145eafe1c07bf38d5c16c11ee2b391e7a28</x:v>
      </x:c>
      <x:c r="O50" s="18" t="str">
        <x:v>8cad9588bc6f9241127c06906ae05c940c8bf29e</x:v>
      </x:c>
      <x:c r="P50" s="18" t="str">
        <x:v>否</x:v>
      </x:c>
    </x:row>
    <x:row r="51" ht="33" customHeight="1">
      <x:c r="A51" s="18" t="str">
        <x:v>宇都宮</x:v>
      </x:c>
      <x:c r="B51" s="18" t="str">
        <x:v>東日本旅客鉄道</x:v>
      </x:c>
      <x:c r="C51" s="18" t="str">
        <x:v>conventional_rail</x:v>
      </x:c>
      <x:c r="D51" s="18" t="str">
        <x:v>T1</x:v>
      </x:c>
      <x:c r="E51" s="19" t="str">
        <x:v>多组件线索，官方边界待核</x:v>
      </x:c>
      <x:c r="F51" s="19" t="str"/>
      <x:c r="G51" s="20" t="n">
        <x:v>2</x:v>
      </x:c>
      <x:c r="H51" s="19" t="str">
        <x:v>宇都宮 | 東日本旅客鉄道 | conventional_rail | 日光線 / 東北線
宇都宮 | 東日本旅客鉄道 | shinkansen | 東北新幹線</x:v>
      </x:c>
      <x:c r="I51" s="19" t="str"/>
      <x:c r="J51" s="19" t="str">
        <x:v>核实官方站点图及实际换乘边界；不能按 S12 源组归 Hub。大阪扩审仍冻结。</x:v>
      </x:c>
      <x:c r="K51" s="18" t="str">
        <x:v>transport-node:674ab067-935a-5100-a6a2-32fbfebc14fa</x:v>
      </x:c>
      <x:c r="L51" s="19" t="str">
        <x:v>002113</x:v>
      </x:c>
      <x:c r="M51" s="19" t="str">
        <x:v>https://nlftp.mlit.go.jp/ksj/gml/datalist/KsjTmplt-S12-2024.html</x:v>
      </x:c>
      <x:c r="N51" s="18" t="str">
        <x:v>0785e932a32b3ec15e1a1345537ae145eafe1c07bf38d5c16c11ee2b391e7a28</x:v>
      </x:c>
      <x:c r="O51" s="18" t="str">
        <x:v>8cad9588bc6f9241127c06906ae05c940c8bf29e</x:v>
      </x:c>
      <x:c r="P51" s="18" t="str">
        <x:v>否</x:v>
      </x:c>
    </x:row>
    <x:row r="52" ht="33" customHeight="1">
      <x:c r="A52" s="18" t="str">
        <x:v>岡山</x:v>
      </x:c>
      <x:c r="B52" s="18" t="str">
        <x:v>西日本旅客鉄道</x:v>
      </x:c>
      <x:c r="C52" s="18" t="str">
        <x:v>conventional_rail</x:v>
      </x:c>
      <x:c r="D52" s="18" t="str">
        <x:v>T1</x:v>
      </x:c>
      <x:c r="E52" s="19" t="str">
        <x:v>多组件线索，官方边界待核</x:v>
      </x:c>
      <x:c r="F52" s="19" t="str"/>
      <x:c r="G52" s="20" t="n">
        <x:v>2</x:v>
      </x:c>
      <x:c r="H52" s="19" t="str">
        <x:v>岡山 | 西日本旅客鉄道 | conventional_rail | 吉備線 / 宇野線 / 山陽線 / 津山線
岡山 | 西日本旅客鉄道 | shinkansen | 山陽新幹線</x:v>
      </x:c>
      <x:c r="I52" s="19" t="str"/>
      <x:c r="J52" s="19" t="str">
        <x:v>核实官方站点图及实际换乘边界；不能按 S12 源组归 Hub。大阪扩审仍冻结。</x:v>
      </x:c>
      <x:c r="K52" s="18" t="str">
        <x:v>transport-node:87f72998-3d87-5f22-89d7-8a82e77a81ad</x:v>
      </x:c>
      <x:c r="L52" s="19" t="str">
        <x:v>007310</x:v>
      </x:c>
      <x:c r="M52" s="19" t="str">
        <x:v>https://nlftp.mlit.go.jp/ksj/gml/datalist/KsjTmplt-S12-2024.html</x:v>
      </x:c>
      <x:c r="N52" s="18" t="str">
        <x:v>0785e932a32b3ec15e1a1345537ae145eafe1c07bf38d5c16c11ee2b391e7a28</x:v>
      </x:c>
      <x:c r="O52" s="18" t="str">
        <x:v>8cad9588bc6f9241127c06906ae05c940c8bf29e</x:v>
      </x:c>
      <x:c r="P52" s="18" t="str">
        <x:v>否</x:v>
      </x:c>
    </x:row>
    <x:row r="53" ht="33" customHeight="1">
      <x:c r="A53" s="18" t="str">
        <x:v>鎌倉</x:v>
      </x:c>
      <x:c r="B53" s="18" t="str">
        <x:v>東日本旅客鉄道</x:v>
      </x:c>
      <x:c r="C53" s="18" t="str">
        <x:v>conventional_rail</x:v>
      </x:c>
      <x:c r="D53" s="18" t="str">
        <x:v>T1</x:v>
      </x:c>
      <x:c r="E53" s="19" t="str">
        <x:v>多组件线索，官方边界待核</x:v>
      </x:c>
      <x:c r="F53" s="19" t="str"/>
      <x:c r="G53" s="20" t="n">
        <x:v>2</x:v>
      </x:c>
      <x:c r="H53" s="19" t="str">
        <x:v>鎌倉 | 東日本旅客鉄道 | conventional_rail | 横須賀線
鎌倉 | 江ノ島電鉄 | private_rail | 江ノ島電鉄線</x:v>
      </x:c>
      <x:c r="I53" s="19" t="str"/>
      <x:c r="J53" s="19" t="str">
        <x:v>核实官方站点图及实际换乘边界；不能按 S12 源组归 Hub。大阪扩审仍冻结。</x:v>
      </x:c>
      <x:c r="K53" s="18" t="str">
        <x:v>transport-node:1180b146-f264-55f9-8ad8-8aaa454bb5fc</x:v>
      </x:c>
      <x:c r="L53" s="19" t="str">
        <x:v>005055</x:v>
      </x:c>
      <x:c r="M53" s="19" t="str">
        <x:v>https://nlftp.mlit.go.jp/ksj/gml/datalist/KsjTmplt-S12-2024.html</x:v>
      </x:c>
      <x:c r="N53" s="18" t="str">
        <x:v>0785e932a32b3ec15e1a1345537ae145eafe1c07bf38d5c16c11ee2b391e7a28</x:v>
      </x:c>
      <x:c r="O53" s="18" t="str">
        <x:v>8cad9588bc6f9241127c06906ae05c940c8bf29e</x:v>
      </x:c>
      <x:c r="P53" s="18" t="str">
        <x:v>否</x:v>
      </x:c>
    </x:row>
    <x:row r="54" ht="33" customHeight="1">
      <x:c r="A54" s="18" t="str">
        <x:v>刈谷</x:v>
      </x:c>
      <x:c r="B54" s="18" t="str">
        <x:v>東海旅客鉄道</x:v>
      </x:c>
      <x:c r="C54" s="18" t="str">
        <x:v>conventional_rail</x:v>
      </x:c>
      <x:c r="D54" s="18" t="str">
        <x:v>T1</x:v>
      </x:c>
      <x:c r="E54" s="19" t="str">
        <x:v>多组件线索，官方边界待核</x:v>
      </x:c>
      <x:c r="F54" s="19" t="str"/>
      <x:c r="G54" s="20" t="n">
        <x:v>2</x:v>
      </x:c>
      <x:c r="H54" s="19" t="str">
        <x:v>刈谷 | 名古屋鉄道 | private_rail | 三河線
刈谷 | 東海旅客鉄道 | conventional_rail | 東海道線</x:v>
      </x:c>
      <x:c r="I54" s="19" t="str"/>
      <x:c r="J54" s="19" t="str">
        <x:v>核实官方站点图及实际换乘边界；不能按 S12 源组归 Hub。大阪扩审仍冻结。</x:v>
      </x:c>
      <x:c r="K54" s="18" t="str">
        <x:v>transport-node:5aa89f88-57c8-564a-8217-709af709be66</x:v>
      </x:c>
      <x:c r="L54" s="19" t="str">
        <x:v>006052</x:v>
      </x:c>
      <x:c r="M54" s="19" t="str">
        <x:v>https://nlftp.mlit.go.jp/ksj/gml/datalist/KsjTmplt-S12-2024.html</x:v>
      </x:c>
      <x:c r="N54" s="18" t="str">
        <x:v>0785e932a32b3ec15e1a1345537ae145eafe1c07bf38d5c16c11ee2b391e7a28</x:v>
      </x:c>
      <x:c r="O54" s="18" t="str">
        <x:v>8cad9588bc6f9241127c06906ae05c940c8bf29e</x:v>
      </x:c>
      <x:c r="P54" s="18" t="str">
        <x:v>否</x:v>
      </x:c>
    </x:row>
    <x:row r="55" ht="33" customHeight="1">
      <x:c r="A55" s="18" t="str">
        <x:v>関内</x:v>
      </x:c>
      <x:c r="B55" s="18" t="str">
        <x:v>東日本旅客鉄道</x:v>
      </x:c>
      <x:c r="C55" s="18" t="str">
        <x:v>conventional_rail</x:v>
      </x:c>
      <x:c r="D55" s="18" t="str">
        <x:v>T1</x:v>
      </x:c>
      <x:c r="E55" s="19" t="str">
        <x:v>多组件线索，官方边界待核</x:v>
      </x:c>
      <x:c r="F55" s="19" t="str"/>
      <x:c r="G55" s="20" t="n">
        <x:v>2</x:v>
      </x:c>
      <x:c r="H55" s="19" t="str">
        <x:v>関内 | 東日本旅客鉄道 | conventional_rail | 根岸線
関内 | 横浜市 | metro | 1号線 / 3号線</x:v>
      </x:c>
      <x:c r="I55" s="19" t="str"/>
      <x:c r="J55" s="19" t="str">
        <x:v>核实官方站点图及实际换乘边界；不能按 S12 源组归 Hub。大阪扩审仍冻结。</x:v>
      </x:c>
      <x:c r="K55" s="18" t="str">
        <x:v>transport-node:74bc158f-7748-583c-b40b-0a6117c91751</x:v>
      </x:c>
      <x:c r="L55" s="19" t="str">
        <x:v>004691</x:v>
      </x:c>
      <x:c r="M55" s="19" t="str">
        <x:v>https://nlftp.mlit.go.jp/ksj/gml/datalist/KsjTmplt-S12-2024.html</x:v>
      </x:c>
      <x:c r="N55" s="18" t="str">
        <x:v>0785e932a32b3ec15e1a1345537ae145eafe1c07bf38d5c16c11ee2b391e7a28</x:v>
      </x:c>
      <x:c r="O55" s="18" t="str">
        <x:v>8cad9588bc6f9241127c06906ae05c940c8bf29e</x:v>
      </x:c>
      <x:c r="P55" s="18" t="str">
        <x:v>否</x:v>
      </x:c>
    </x:row>
    <x:row r="56" ht="33" customHeight="1">
      <x:c r="A56" s="18" t="str">
        <x:v>久喜</x:v>
      </x:c>
      <x:c r="B56" s="18" t="str">
        <x:v>東日本旅客鉄道</x:v>
      </x:c>
      <x:c r="C56" s="18" t="str">
        <x:v>conventional_rail</x:v>
      </x:c>
      <x:c r="D56" s="18" t="str">
        <x:v>T1</x:v>
      </x:c>
      <x:c r="E56" s="19" t="str">
        <x:v>多组件线索，官方边界待核</x:v>
      </x:c>
      <x:c r="F56" s="19" t="str"/>
      <x:c r="G56" s="20" t="n">
        <x:v>2</x:v>
      </x:c>
      <x:c r="H56" s="19" t="str">
        <x:v>久喜 | 東日本旅客鉄道 | conventional_rail | 東北線
久喜 | 東武鉄道 | private_rail | 伊勢崎線</x:v>
      </x:c>
      <x:c r="I56" s="19" t="str"/>
      <x:c r="J56" s="19" t="str">
        <x:v>核实官方站点图及实际换乘边界；不能按 S12 源组归 Hub。大阪扩审仍冻结。</x:v>
      </x:c>
      <x:c r="K56" s="18" t="str">
        <x:v>transport-node:b4c50f41-309f-5a2a-84cd-b7eca10f05b5</x:v>
      </x:c>
      <x:c r="L56" s="19" t="str">
        <x:v>002683</x:v>
      </x:c>
      <x:c r="M56" s="19" t="str">
        <x:v>https://nlftp.mlit.go.jp/ksj/gml/datalist/KsjTmplt-S12-2024.html</x:v>
      </x:c>
      <x:c r="N56" s="18" t="str">
        <x:v>0785e932a32b3ec15e1a1345537ae145eafe1c07bf38d5c16c11ee2b391e7a28</x:v>
      </x:c>
      <x:c r="O56" s="18" t="str">
        <x:v>8cad9588bc6f9241127c06906ae05c940c8bf29e</x:v>
      </x:c>
      <x:c r="P56" s="18" t="str">
        <x:v>否</x:v>
      </x:c>
    </x:row>
    <x:row r="57" ht="33" customHeight="1">
      <x:c r="A57" s="18" t="str">
        <x:v>京成高砂</x:v>
      </x:c>
      <x:c r="B57" s="18" t="str">
        <x:v>京成電鉄</x:v>
      </x:c>
      <x:c r="C57" s="18" t="str">
        <x:v>private_rail</x:v>
      </x:c>
      <x:c r="D57" s="18" t="str">
        <x:v>T1</x:v>
      </x:c>
      <x:c r="E57" s="19" t="str">
        <x:v>多组件线索，官方边界待核</x:v>
      </x:c>
      <x:c r="F57" s="19" t="str"/>
      <x:c r="G57" s="20" t="n">
        <x:v>2</x:v>
      </x:c>
      <x:c r="H57" s="19" t="str">
        <x:v>京成高砂 | 京成電鉄 | private_rail | 成田空港線 / 本線 / 金町線
京成高砂 | 北総鉄道 | private_rail | 北総線</x:v>
      </x:c>
      <x:c r="I57" s="19" t="str"/>
      <x:c r="J57" s="19" t="str">
        <x:v>核实官方站点图及实际换乘边界；不能按 S12 源组归 Hub。大阪扩审仍冻结。</x:v>
      </x:c>
      <x:c r="K57" s="18" t="str">
        <x:v>transport-node:0b426df7-9a9d-5738-8472-6841472e9f2e</x:v>
      </x:c>
      <x:c r="L57" s="19" t="str">
        <x:v>003248</x:v>
      </x:c>
      <x:c r="M57" s="19" t="str">
        <x:v>https://nlftp.mlit.go.jp/ksj/gml/datalist/KsjTmplt-S12-2024.html</x:v>
      </x:c>
      <x:c r="N57" s="18" t="str">
        <x:v>0785e932a32b3ec15e1a1345537ae145eafe1c07bf38d5c16c11ee2b391e7a28</x:v>
      </x:c>
      <x:c r="O57" s="18" t="str">
        <x:v>8cad9588bc6f9241127c06906ae05c940c8bf29e</x:v>
      </x:c>
      <x:c r="P57" s="18" t="str">
        <x:v>否</x:v>
      </x:c>
    </x:row>
    <x:row r="58" ht="33" customHeight="1">
      <x:c r="A58" s="18" t="str">
        <x:v>京成津田沼</x:v>
      </x:c>
      <x:c r="B58" s="18" t="str">
        <x:v>京成電鉄</x:v>
      </x:c>
      <x:c r="C58" s="18" t="str">
        <x:v>private_rail</x:v>
      </x:c>
      <x:c r="D58" s="18" t="str">
        <x:v>T1</x:v>
      </x:c>
      <x:c r="E58" s="19" t="str">
        <x:v>多组件线索，官方边界待核</x:v>
      </x:c>
      <x:c r="F58" s="19" t="str"/>
      <x:c r="G58" s="20" t="n">
        <x:v>2</x:v>
      </x:c>
      <x:c r="H58" s="19" t="str">
        <x:v>京成津田沼 | 京成電鉄 | private_rail | 千葉線 / 本線
京成津田沼 | 新京成電鉄 | private_rail | 新京成線</x:v>
      </x:c>
      <x:c r="I58" s="19" t="str"/>
      <x:c r="J58" s="19" t="str">
        <x:v>核实官方站点图及实际换乘边界；不能按 S12 源组归 Hub。大阪扩审仍冻结。</x:v>
      </x:c>
      <x:c r="K58" s="18" t="str">
        <x:v>transport-node:33570fdc-8904-57ec-9efe-7aa0a2ae13e2</x:v>
      </x:c>
      <x:c r="L58" s="19" t="str">
        <x:v>003747</x:v>
      </x:c>
      <x:c r="M58" s="19" t="str">
        <x:v>https://nlftp.mlit.go.jp/ksj/gml/datalist/KsjTmplt-S12-2024.html</x:v>
      </x:c>
      <x:c r="N58" s="18" t="str">
        <x:v>0785e932a32b3ec15e1a1345537ae145eafe1c07bf38d5c16c11ee2b391e7a28</x:v>
      </x:c>
      <x:c r="O58" s="18" t="str">
        <x:v>8cad9588bc6f9241127c06906ae05c940c8bf29e</x:v>
      </x:c>
      <x:c r="P58" s="18" t="str">
        <x:v>否</x:v>
      </x:c>
    </x:row>
    <x:row r="59" ht="33" customHeight="1">
      <x:c r="A59" s="18" t="str">
        <x:v>駒込</x:v>
      </x:c>
      <x:c r="B59" s="18" t="str">
        <x:v>東日本旅客鉄道</x:v>
      </x:c>
      <x:c r="C59" s="18" t="str">
        <x:v>conventional_rail</x:v>
      </x:c>
      <x:c r="D59" s="18" t="str">
        <x:v>T1</x:v>
      </x:c>
      <x:c r="E59" s="19" t="str">
        <x:v>多组件线索，官方边界待核</x:v>
      </x:c>
      <x:c r="F59" s="19" t="str"/>
      <x:c r="G59" s="20" t="n">
        <x:v>2</x:v>
      </x:c>
      <x:c r="H59" s="19" t="str">
        <x:v>駒込 | 東京地下鉄 | metro | 7号線南北線
駒込 | 東日本旅客鉄道 | conventional_rail | 山手線</x:v>
      </x:c>
      <x:c r="I59" s="19" t="str"/>
      <x:c r="J59" s="19" t="str">
        <x:v>核实官方站点图及实际换乘边界；不能按 S12 源组归 Hub。大阪扩审仍冻结。</x:v>
      </x:c>
      <x:c r="K59" s="18" t="str">
        <x:v>transport-node:e73f8019-acf0-5c0e-a533-c432b273ca81</x:v>
      </x:c>
      <x:c r="L59" s="19" t="str">
        <x:v>003343</x:v>
      </x:c>
      <x:c r="M59" s="19" t="str">
        <x:v>https://nlftp.mlit.go.jp/ksj/gml/datalist/KsjTmplt-S12-2024.html</x:v>
      </x:c>
      <x:c r="N59" s="18" t="str">
        <x:v>0785e932a32b3ec15e1a1345537ae145eafe1c07bf38d5c16c11ee2b391e7a28</x:v>
      </x:c>
      <x:c r="O59" s="18" t="str">
        <x:v>8cad9588bc6f9241127c06906ae05c940c8bf29e</x:v>
      </x:c>
      <x:c r="P59" s="18" t="str">
        <x:v>否</x:v>
      </x:c>
    </x:row>
    <x:row r="60" ht="47" customHeight="1">
      <x:c r="A60" s="18" t="str">
        <x:v>熊谷</x:v>
      </x:c>
      <x:c r="B60" s="18" t="str">
        <x:v>東日本旅客鉄道</x:v>
      </x:c>
      <x:c r="C60" s="18" t="str">
        <x:v>conventional_rail</x:v>
      </x:c>
      <x:c r="D60" s="18" t="str">
        <x:v>T1</x:v>
      </x:c>
      <x:c r="E60" s="19" t="str">
        <x:v>多组件线索，官方边界待核</x:v>
      </x:c>
      <x:c r="F60" s="19" t="str"/>
      <x:c r="G60" s="20" t="n">
        <x:v>3</x:v>
      </x:c>
      <x:c r="H60" s="19" t="str">
        <x:v>熊谷 | 東日本旅客鉄道 | conventional_rail | 高崎線
熊谷 | 東日本旅客鉄道 | shinkansen | 上越新幹線
熊谷 | 秩父鉄道 | private_rail | 秩父本線</x:v>
      </x:c>
      <x:c r="I60" s="19" t="str"/>
      <x:c r="J60" s="19" t="str">
        <x:v>核实官方站点图及实际换乘边界；不能按 S12 源组归 Hub。大阪扩审仍冻结。</x:v>
      </x:c>
      <x:c r="K60" s="18" t="str">
        <x:v>transport-node:9551c78d-ffaf-5d9f-ae9d-be5d9a4ff962</x:v>
      </x:c>
      <x:c r="L60" s="19" t="str">
        <x:v>002589</x:v>
      </x:c>
      <x:c r="M60" s="19" t="str">
        <x:v>https://nlftp.mlit.go.jp/ksj/gml/datalist/KsjTmplt-S12-2024.html</x:v>
      </x:c>
      <x:c r="N60" s="18" t="str">
        <x:v>0785e932a32b3ec15e1a1345537ae145eafe1c07bf38d5c16c11ee2b391e7a28</x:v>
      </x:c>
      <x:c r="O60" s="18" t="str">
        <x:v>8cad9588bc6f9241127c06906ae05c940c8bf29e</x:v>
      </x:c>
      <x:c r="P60" s="18" t="str">
        <x:v>否</x:v>
      </x:c>
    </x:row>
    <x:row r="61" ht="33" customHeight="1">
      <x:c r="A61" s="18" t="str">
        <x:v>元町</x:v>
      </x:c>
      <x:c r="B61" s="18" t="str">
        <x:v>西日本旅客鉄道</x:v>
      </x:c>
      <x:c r="C61" s="18" t="str">
        <x:v>conventional_rail</x:v>
      </x:c>
      <x:c r="D61" s="18" t="str">
        <x:v>T1</x:v>
      </x:c>
      <x:c r="E61" s="19" t="str">
        <x:v>多组件线索，官方边界待核</x:v>
      </x:c>
      <x:c r="F61" s="19" t="str"/>
      <x:c r="G61" s="20" t="n">
        <x:v>2</x:v>
      </x:c>
      <x:c r="H61" s="19" t="str">
        <x:v>元町 | 西日本旅客鉄道 | conventional_rail | 東海道線
元町 | 阪神電気鉄道 | private_rail | 本線 / 神戸高速線</x:v>
      </x:c>
      <x:c r="I61" s="19" t="str"/>
      <x:c r="J61" s="19" t="str">
        <x:v>核实官方站点图及实际换乘边界；不能按 S12 源组归 Hub。大阪扩审仍冻结。</x:v>
      </x:c>
      <x:c r="K61" s="18" t="str">
        <x:v>transport-node:0aefa4b5-1af5-5a5f-afd8-f637086ae683</x:v>
      </x:c>
      <x:c r="L61" s="19" t="str">
        <x:v>007160</x:v>
      </x:c>
      <x:c r="M61" s="19" t="str">
        <x:v>https://nlftp.mlit.go.jp/ksj/gml/datalist/KsjTmplt-S12-2024.html</x:v>
      </x:c>
      <x:c r="N61" s="18" t="str">
        <x:v>0785e932a32b3ec15e1a1345537ae145eafe1c07bf38d5c16c11ee2b391e7a28</x:v>
      </x:c>
      <x:c r="O61" s="18" t="str">
        <x:v>8cad9588bc6f9241127c06906ae05c940c8bf29e</x:v>
      </x:c>
      <x:c r="P61" s="18" t="str">
        <x:v>否</x:v>
      </x:c>
    </x:row>
    <x:row r="62" ht="33" customHeight="1">
      <x:c r="A62" s="18" t="str">
        <x:v>御茶ノ水</x:v>
      </x:c>
      <x:c r="B62" s="18" t="str">
        <x:v>東京地下鉄</x:v>
      </x:c>
      <x:c r="C62" s="18" t="str">
        <x:v>metro</x:v>
      </x:c>
      <x:c r="D62" s="18" t="str">
        <x:v>T1</x:v>
      </x:c>
      <x:c r="E62" s="19" t="str">
        <x:v>多组件线索，官方边界待核</x:v>
      </x:c>
      <x:c r="F62" s="19" t="str"/>
      <x:c r="G62" s="20" t="n">
        <x:v>2</x:v>
      </x:c>
      <x:c r="H62" s="19" t="str">
        <x:v>御茶ノ水 | 東京地下鉄 | metro | 4号線丸ノ内線
御茶ノ水 | 東日本旅客鉄道 | conventional_rail | 中央線 / 総武線</x:v>
      </x:c>
      <x:c r="I62" s="19" t="str"/>
      <x:c r="J62" s="19" t="str">
        <x:v>核实官方站点图及实际换乘边界；不能按 S12 源组归 Hub。大阪扩审仍冻结。</x:v>
      </x:c>
      <x:c r="K62" s="18" t="str">
        <x:v>transport-node:5eead8a8-9235-5111-973a-ad7edb818b6c</x:v>
      </x:c>
      <x:c r="L62" s="19" t="str">
        <x:v>003615</x:v>
      </x:c>
      <x:c r="M62" s="19" t="str">
        <x:v>https://nlftp.mlit.go.jp/ksj/gml/datalist/KsjTmplt-S12-2024.html</x:v>
      </x:c>
      <x:c r="N62" s="18" t="str">
        <x:v>0785e932a32b3ec15e1a1345537ae145eafe1c07bf38d5c16c11ee2b391e7a28</x:v>
      </x:c>
      <x:c r="O62" s="18" t="str">
        <x:v>8cad9588bc6f9241127c06906ae05c940c8bf29e</x:v>
      </x:c>
      <x:c r="P62" s="18" t="str">
        <x:v>否</x:v>
      </x:c>
    </x:row>
    <x:row r="63" ht="33" customHeight="1">
      <x:c r="A63" s="18" t="str">
        <x:v>御茶ノ水</x:v>
      </x:c>
      <x:c r="B63" s="18" t="str">
        <x:v>東日本旅客鉄道</x:v>
      </x:c>
      <x:c r="C63" s="18" t="str">
        <x:v>conventional_rail</x:v>
      </x:c>
      <x:c r="D63" s="18" t="str">
        <x:v>T1</x:v>
      </x:c>
      <x:c r="E63" s="19" t="str">
        <x:v>多组件线索，官方边界待核</x:v>
      </x:c>
      <x:c r="F63" s="19" t="str"/>
      <x:c r="G63" s="20" t="n">
        <x:v>2</x:v>
      </x:c>
      <x:c r="H63" s="19" t="str">
        <x:v>御茶ノ水 | 東京地下鉄 | metro | 4号線丸ノ内線
御茶ノ水 | 東日本旅客鉄道 | conventional_rail | 中央線 / 総武線</x:v>
      </x:c>
      <x:c r="I63" s="19" t="str"/>
      <x:c r="J63" s="19" t="str">
        <x:v>核实官方站点图及实际换乘边界；不能按 S12 源组归 Hub。大阪扩审仍冻结。</x:v>
      </x:c>
      <x:c r="K63" s="18" t="str">
        <x:v>transport-node:53fa6ce3-ef67-5f5d-8fa3-f5298195e36b</x:v>
      </x:c>
      <x:c r="L63" s="19" t="str">
        <x:v>003615</x:v>
      </x:c>
      <x:c r="M63" s="19" t="str">
        <x:v>https://nlftp.mlit.go.jp/ksj/gml/datalist/KsjTmplt-S12-2024.html</x:v>
      </x:c>
      <x:c r="N63" s="18" t="str">
        <x:v>0785e932a32b3ec15e1a1345537ae145eafe1c07bf38d5c16c11ee2b391e7a28</x:v>
      </x:c>
      <x:c r="O63" s="18" t="str">
        <x:v>8cad9588bc6f9241127c06906ae05c940c8bf29e</x:v>
      </x:c>
      <x:c r="P63" s="18" t="str">
        <x:v>否</x:v>
      </x:c>
    </x:row>
    <x:row r="64" ht="47" customHeight="1">
      <x:c r="A64" s="18" t="str">
        <x:v>高崎</x:v>
      </x:c>
      <x:c r="B64" s="18" t="str">
        <x:v>東日本旅客鉄道</x:v>
      </x:c>
      <x:c r="C64" s="18" t="str">
        <x:v>conventional_rail</x:v>
      </x:c>
      <x:c r="D64" s="18" t="str">
        <x:v>T1</x:v>
      </x:c>
      <x:c r="E64" s="19" t="str">
        <x:v>多组件线索，官方边界待核</x:v>
      </x:c>
      <x:c r="F64" s="19" t="str"/>
      <x:c r="G64" s="20" t="n">
        <x:v>3</x:v>
      </x:c>
      <x:c r="H64" s="19" t="str">
        <x:v>高崎 | 上信電鉄 | private_rail | 上信線
高崎 | 東日本旅客鉄道 | conventional_rail | 上越線 / 信越線 / 高崎線
高崎 | 東日本旅客鉄道 | shinkansen | 上越新幹線 / 北陸新幹線</x:v>
      </x:c>
      <x:c r="I64" s="19" t="str"/>
      <x:c r="J64" s="19" t="str">
        <x:v>核实官方站点图及实际换乘边界；不能按 S12 源组归 Hub。大阪扩审仍冻结。</x:v>
      </x:c>
      <x:c r="K64" s="18" t="str">
        <x:v>transport-node:8c49fa74-961a-52dd-a105-683fade0b2e3</x:v>
      </x:c>
      <x:c r="L64" s="19" t="str">
        <x:v>002389</x:v>
      </x:c>
      <x:c r="M64" s="19" t="str">
        <x:v>https://nlftp.mlit.go.jp/ksj/gml/datalist/KsjTmplt-S12-2024.html</x:v>
      </x:c>
      <x:c r="N64" s="18" t="str">
        <x:v>0785e932a32b3ec15e1a1345537ae145eafe1c07bf38d5c16c11ee2b391e7a28</x:v>
      </x:c>
      <x:c r="O64" s="18" t="str">
        <x:v>8cad9588bc6f9241127c06906ae05c940c8bf29e</x:v>
      </x:c>
      <x:c r="P64" s="18" t="str">
        <x:v>否</x:v>
      </x:c>
    </x:row>
    <x:row r="65" ht="33" customHeight="1">
      <x:c r="A65" s="18" t="str">
        <x:v>桜木町</x:v>
      </x:c>
      <x:c r="B65" s="18" t="str">
        <x:v>東日本旅客鉄道</x:v>
      </x:c>
      <x:c r="C65" s="18" t="str">
        <x:v>conventional_rail</x:v>
      </x:c>
      <x:c r="D65" s="18" t="str">
        <x:v>T1</x:v>
      </x:c>
      <x:c r="E65" s="19" t="str">
        <x:v>多组件线索，官方边界待核</x:v>
      </x:c>
      <x:c r="F65" s="19" t="str"/>
      <x:c r="G65" s="20" t="n">
        <x:v>2</x:v>
      </x:c>
      <x:c r="H65" s="19" t="str">
        <x:v>桜木町 | 東日本旅客鉄道 | conventional_rail | 根岸線
桜木町 | 横浜市 | metro | 3号線</x:v>
      </x:c>
      <x:c r="I65" s="19" t="str"/>
      <x:c r="J65" s="19" t="str">
        <x:v>核实官方站点图及实际换乘边界；不能按 S12 源组归 Hub。大阪扩审仍冻结。</x:v>
      </x:c>
      <x:c r="K65" s="18" t="str">
        <x:v>transport-node:c5214927-5dda-569f-95ce-a164820832e6</x:v>
      </x:c>
      <x:c r="L65" s="19" t="str">
        <x:v>004675</x:v>
      </x:c>
      <x:c r="M65" s="19" t="str">
        <x:v>https://nlftp.mlit.go.jp/ksj/gml/datalist/KsjTmplt-S12-2024.html</x:v>
      </x:c>
      <x:c r="N65" s="18" t="str">
        <x:v>0785e932a32b3ec15e1a1345537ae145eafe1c07bf38d5c16c11ee2b391e7a28</x:v>
      </x:c>
      <x:c r="O65" s="18" t="str">
        <x:v>8cad9588bc6f9241127c06906ae05c940c8bf29e</x:v>
      </x:c>
      <x:c r="P65" s="18" t="str">
        <x:v>否</x:v>
      </x:c>
    </x:row>
    <x:row r="66" ht="33" customHeight="1">
      <x:c r="A66" s="18" t="str">
        <x:v>三軒茶屋</x:v>
      </x:c>
      <x:c r="B66" s="18" t="str">
        <x:v>東急電鉄</x:v>
      </x:c>
      <x:c r="C66" s="18" t="str">
        <x:v>private_rail</x:v>
      </x:c>
      <x:c r="D66" s="18" t="str">
        <x:v>T1</x:v>
      </x:c>
      <x:c r="E66" s="19" t="str">
        <x:v>多组件线索，官方边界待核</x:v>
      </x:c>
      <x:c r="F66" s="19" t="str"/>
      <x:c r="G66" s="20" t="n">
        <x:v>2</x:v>
      </x:c>
      <x:c r="H66" s="19" t="str">
        <x:v>三軒茶屋 | 東急電鉄 | private_rail | 田園都市線
三軒茶屋 | 東急電鉄 | tram | 世田谷線</x:v>
      </x:c>
      <x:c r="I66" s="19" t="str"/>
      <x:c r="J66" s="19" t="str">
        <x:v>核实官方站点图及实际换乘边界；不能按 S12 源组归 Hub。大阪扩审仍冻结。</x:v>
      </x:c>
      <x:c r="K66" s="18" t="str">
        <x:v>transport-node:bd2084c0-d8d2-5edf-9fd1-e13c0c997748</x:v>
      </x:c>
      <x:c r="L66" s="19" t="str">
        <x:v>004016</x:v>
      </x:c>
      <x:c r="M66" s="19" t="str">
        <x:v>https://nlftp.mlit.go.jp/ksj/gml/datalist/KsjTmplt-S12-2024.html</x:v>
      </x:c>
      <x:c r="N66" s="18" t="str">
        <x:v>0785e932a32b3ec15e1a1345537ae145eafe1c07bf38d5c16c11ee2b391e7a28</x:v>
      </x:c>
      <x:c r="O66" s="18" t="str">
        <x:v>8cad9588bc6f9241127c06906ae05c940c8bf29e</x:v>
      </x:c>
      <x:c r="P66" s="18" t="str">
        <x:v>否</x:v>
      </x:c>
    </x:row>
    <x:row r="67" ht="33" customHeight="1">
      <x:c r="A67" s="18" t="str">
        <x:v>山科</x:v>
      </x:c>
      <x:c r="B67" s="18" t="str">
        <x:v>西日本旅客鉄道</x:v>
      </x:c>
      <x:c r="C67" s="18" t="str">
        <x:v>conventional_rail</x:v>
      </x:c>
      <x:c r="D67" s="18" t="str">
        <x:v>T1</x:v>
      </x:c>
      <x:c r="E67" s="19" t="str">
        <x:v>多组件线索，官方边界待核</x:v>
      </x:c>
      <x:c r="F67" s="19" t="str"/>
      <x:c r="G67" s="20" t="n">
        <x:v>2</x:v>
      </x:c>
      <x:c r="H67" s="19" t="str">
        <x:v>山科 | 京都市 | metro | 東西線
山科 | 西日本旅客鉄道 | conventional_rail | 東海道線 / 湖西線</x:v>
      </x:c>
      <x:c r="I67" s="19" t="str"/>
      <x:c r="J67" s="19" t="str">
        <x:v>核实官方站点图及实际换乘边界；不能按 S12 源组归 Hub。大阪扩审仍冻结。</x:v>
      </x:c>
      <x:c r="K67" s="18" t="str">
        <x:v>transport-node:c3505e6d-bd32-5070-885a-de95e6f96d25</x:v>
      </x:c>
      <x:c r="L67" s="19" t="str">
        <x:v>006043</x:v>
      </x:c>
      <x:c r="M67" s="19" t="str">
        <x:v>https://nlftp.mlit.go.jp/ksj/gml/datalist/KsjTmplt-S12-2024.html</x:v>
      </x:c>
      <x:c r="N67" s="18" t="str">
        <x:v>0785e932a32b3ec15e1a1345537ae145eafe1c07bf38d5c16c11ee2b391e7a28</x:v>
      </x:c>
      <x:c r="O67" s="18" t="str">
        <x:v>8cad9588bc6f9241127c06906ae05c940c8bf29e</x:v>
      </x:c>
      <x:c r="P67" s="18" t="str">
        <x:v>否</x:v>
      </x:c>
    </x:row>
    <x:row r="68" ht="33" customHeight="1">
      <x:c r="A68" s="18" t="str">
        <x:v>住吉</x:v>
      </x:c>
      <x:c r="B68" s="18" t="str">
        <x:v>西日本旅客鉄道</x:v>
      </x:c>
      <x:c r="C68" s="18" t="str">
        <x:v>conventional_rail</x:v>
      </x:c>
      <x:c r="D68" s="18" t="str">
        <x:v>T1</x:v>
      </x:c>
      <x:c r="E68" s="19" t="str">
        <x:v>多组件线索，官方边界待核</x:v>
      </x:c>
      <x:c r="F68" s="19" t="str"/>
      <x:c r="G68" s="20" t="n">
        <x:v>2</x:v>
      </x:c>
      <x:c r="H68" s="19" t="str">
        <x:v>住吉 | 神戸新交通 | fixed_guideway | 六甲アイランド線
住吉 | 西日本旅客鉄道 | conventional_rail | 東海道線</x:v>
      </x:c>
      <x:c r="I68" s="19" t="str"/>
      <x:c r="J68" s="19" t="str">
        <x:v>核实官方站点图及实际换乘边界；不能按 S12 源组归 Hub。大阪扩审仍冻结。</x:v>
      </x:c>
      <x:c r="K68" s="18" t="str">
        <x:v>transport-node:ea20f594-8483-5a30-aaf7-056263c82db5</x:v>
      </x:c>
      <x:c r="L68" s="19" t="str">
        <x:v>006974</x:v>
      </x:c>
      <x:c r="M68" s="19" t="str">
        <x:v>https://nlftp.mlit.go.jp/ksj/gml/datalist/KsjTmplt-S12-2024.html</x:v>
      </x:c>
      <x:c r="N68" s="18" t="str">
        <x:v>0785e932a32b3ec15e1a1345537ae145eafe1c07bf38d5c16c11ee2b391e7a28</x:v>
      </x:c>
      <x:c r="O68" s="18" t="str">
        <x:v>8cad9588bc6f9241127c06906ae05c940c8bf29e</x:v>
      </x:c>
      <x:c r="P68" s="18" t="str">
        <x:v>否</x:v>
      </x:c>
    </x:row>
    <x:row r="69" ht="75" customHeight="1">
      <x:c r="A69" s="18" t="str">
        <x:v>小田原</x:v>
      </x:c>
      <x:c r="B69" s="18" t="str">
        <x:v>小田急電鉄</x:v>
      </x:c>
      <x:c r="C69" s="18" t="str">
        <x:v>private_rail</x:v>
      </x:c>
      <x:c r="D69" s="18" t="str">
        <x:v>T1</x:v>
      </x:c>
      <x:c r="E69" s="19" t="str">
        <x:v>多组件线索，官方边界待核</x:v>
      </x:c>
      <x:c r="F69" s="19" t="str"/>
      <x:c r="G69" s="20" t="n">
        <x:v>5</x:v>
      </x:c>
      <x:c r="H69" s="19" t="str">
        <x:v>小田原 | 伊豆箱根鉄道 | private_rail | 大雄山線
小田原 | 小田急箱根 | private_rail | 鉄道線
小田原 | 小田急電鉄 | private_rail | 小田原線
小田原 | 東日本旅客鉄道 | conventional_rail | 東海道線
小田原 | 東海旅客鉄道 | shinkansen | 東海道新幹線</x:v>
      </x:c>
      <x:c r="I69" s="19" t="str"/>
      <x:c r="J69" s="19" t="str">
        <x:v>核实官方站点图及实际换乘边界；不能按 S12 源组归 Hub。大阪扩审仍冻结。</x:v>
      </x:c>
      <x:c r="K69" s="18" t="str">
        <x:v>transport-node:3b0eea9d-0501-53eb-b14a-c311953137b7</x:v>
      </x:c>
      <x:c r="L69" s="19" t="str">
        <x:v>005215</x:v>
      </x:c>
      <x:c r="M69" s="19" t="str">
        <x:v>https://nlftp.mlit.go.jp/ksj/gml/datalist/KsjTmplt-S12-2024.html</x:v>
      </x:c>
      <x:c r="N69" s="18" t="str">
        <x:v>0785e932a32b3ec15e1a1345537ae145eafe1c07bf38d5c16c11ee2b391e7a28</x:v>
      </x:c>
      <x:c r="O69" s="18" t="str">
        <x:v>8cad9588bc6f9241127c06906ae05c940c8bf29e</x:v>
      </x:c>
      <x:c r="P69" s="18" t="str">
        <x:v>否</x:v>
      </x:c>
    </x:row>
    <x:row r="70" ht="75" customHeight="1">
      <x:c r="A70" s="18" t="str">
        <x:v>小田原</x:v>
      </x:c>
      <x:c r="B70" s="18" t="str">
        <x:v>東日本旅客鉄道</x:v>
      </x:c>
      <x:c r="C70" s="18" t="str">
        <x:v>conventional_rail</x:v>
      </x:c>
      <x:c r="D70" s="18" t="str">
        <x:v>T1</x:v>
      </x:c>
      <x:c r="E70" s="19" t="str">
        <x:v>多组件线索，官方边界待核</x:v>
      </x:c>
      <x:c r="F70" s="19" t="str"/>
      <x:c r="G70" s="20" t="n">
        <x:v>5</x:v>
      </x:c>
      <x:c r="H70" s="19" t="str">
        <x:v>小田原 | 伊豆箱根鉄道 | private_rail | 大雄山線
小田原 | 小田急箱根 | private_rail | 鉄道線
小田原 | 小田急電鉄 | private_rail | 小田原線
小田原 | 東日本旅客鉄道 | conventional_rail | 東海道線
小田原 | 東海旅客鉄道 | shinkansen | 東海道新幹線</x:v>
      </x:c>
      <x:c r="I70" s="19" t="str"/>
      <x:c r="J70" s="19" t="str">
        <x:v>核实官方站点图及实际换乘边界；不能按 S12 源组归 Hub。大阪扩审仍冻结。</x:v>
      </x:c>
      <x:c r="K70" s="18" t="str">
        <x:v>transport-node:a0c2ffc9-a29a-51cb-aa2a-7079e8fbb645</x:v>
      </x:c>
      <x:c r="L70" s="19" t="str">
        <x:v>005215</x:v>
      </x:c>
      <x:c r="M70" s="19" t="str">
        <x:v>https://nlftp.mlit.go.jp/ksj/gml/datalist/KsjTmplt-S12-2024.html</x:v>
      </x:c>
      <x:c r="N70" s="18" t="str">
        <x:v>0785e932a32b3ec15e1a1345537ae145eafe1c07bf38d5c16c11ee2b391e7a28</x:v>
      </x:c>
      <x:c r="O70" s="18" t="str">
        <x:v>8cad9588bc6f9241127c06906ae05c940c8bf29e</x:v>
      </x:c>
      <x:c r="P70" s="18" t="str">
        <x:v>否</x:v>
      </x:c>
    </x:row>
    <x:row r="71" ht="33" customHeight="1">
      <x:c r="A71" s="18" t="str">
        <x:v>松戸</x:v>
      </x:c>
      <x:c r="B71" s="18" t="str">
        <x:v>新京成電鉄</x:v>
      </x:c>
      <x:c r="C71" s="18" t="str">
        <x:v>private_rail</x:v>
      </x:c>
      <x:c r="D71" s="18" t="str">
        <x:v>T1</x:v>
      </x:c>
      <x:c r="E71" s="19" t="str">
        <x:v>多组件线索，官方边界待核</x:v>
      </x:c>
      <x:c r="F71" s="19" t="str"/>
      <x:c r="G71" s="20" t="n">
        <x:v>2</x:v>
      </x:c>
      <x:c r="H71" s="19" t="str">
        <x:v>松戸 | 新京成電鉄 | private_rail | 新京成線
松戸 | 東日本旅客鉄道 | conventional_rail | 常磐線</x:v>
      </x:c>
      <x:c r="I71" s="19" t="str"/>
      <x:c r="J71" s="19" t="str">
        <x:v>核实官方站点图及实际换乘边界；不能按 S12 源组归 Hub。大阪扩审仍冻结。</x:v>
      </x:c>
      <x:c r="K71" s="18" t="str">
        <x:v>transport-node:0581b84a-713c-574e-8478-09a484f40ac9</x:v>
      </x:c>
      <x:c r="L71" s="19" t="str">
        <x:v>003136</x:v>
      </x:c>
      <x:c r="M71" s="19" t="str">
        <x:v>https://nlftp.mlit.go.jp/ksj/gml/datalist/KsjTmplt-S12-2024.html</x:v>
      </x:c>
      <x:c r="N71" s="18" t="str">
        <x:v>0785e932a32b3ec15e1a1345537ae145eafe1c07bf38d5c16c11ee2b391e7a28</x:v>
      </x:c>
      <x:c r="O71" s="18" t="str">
        <x:v>8cad9588bc6f9241127c06906ae05c940c8bf29e</x:v>
      </x:c>
      <x:c r="P71" s="18" t="str">
        <x:v>否</x:v>
      </x:c>
    </x:row>
    <x:row r="72" ht="33" customHeight="1">
      <x:c r="A72" s="18" t="str">
        <x:v>松戸</x:v>
      </x:c>
      <x:c r="B72" s="18" t="str">
        <x:v>東日本旅客鉄道</x:v>
      </x:c>
      <x:c r="C72" s="18" t="str">
        <x:v>conventional_rail</x:v>
      </x:c>
      <x:c r="D72" s="18" t="str">
        <x:v>T1</x:v>
      </x:c>
      <x:c r="E72" s="19" t="str">
        <x:v>多组件线索，官方边界待核</x:v>
      </x:c>
      <x:c r="F72" s="19" t="str"/>
      <x:c r="G72" s="20" t="n">
        <x:v>2</x:v>
      </x:c>
      <x:c r="H72" s="19" t="str">
        <x:v>松戸 | 新京成電鉄 | private_rail | 新京成線
松戸 | 東日本旅客鉄道 | conventional_rail | 常磐線</x:v>
      </x:c>
      <x:c r="I72" s="19" t="str"/>
      <x:c r="J72" s="19" t="str">
        <x:v>核实官方站点图及实际换乘边界；不能按 S12 源组归 Hub。大阪扩审仍冻结。</x:v>
      </x:c>
      <x:c r="K72" s="18" t="str">
        <x:v>transport-node:939b0f91-eecc-5274-bf09-6b4388930aac</x:v>
      </x:c>
      <x:c r="L72" s="19" t="str">
        <x:v>003136</x:v>
      </x:c>
      <x:c r="M72" s="19" t="str">
        <x:v>https://nlftp.mlit.go.jp/ksj/gml/datalist/KsjTmplt-S12-2024.html</x:v>
      </x:c>
      <x:c r="N72" s="18" t="str">
        <x:v>0785e932a32b3ec15e1a1345537ae145eafe1c07bf38d5c16c11ee2b391e7a28</x:v>
      </x:c>
      <x:c r="O72" s="18" t="str">
        <x:v>8cad9588bc6f9241127c06906ae05c940c8bf29e</x:v>
      </x:c>
      <x:c r="P72" s="18" t="str">
        <x:v>否</x:v>
      </x:c>
    </x:row>
    <x:row r="73" ht="33" customHeight="1">
      <x:c r="A73" s="18" t="str">
        <x:v>新潟</x:v>
      </x:c>
      <x:c r="B73" s="18" t="str">
        <x:v>東日本旅客鉄道</x:v>
      </x:c>
      <x:c r="C73" s="18" t="str">
        <x:v>conventional_rail</x:v>
      </x:c>
      <x:c r="D73" s="18" t="str">
        <x:v>T1</x:v>
      </x:c>
      <x:c r="E73" s="19" t="str">
        <x:v>多组件线索，官方边界待核</x:v>
      </x:c>
      <x:c r="F73" s="19" t="str"/>
      <x:c r="G73" s="20" t="n">
        <x:v>2</x:v>
      </x:c>
      <x:c r="H73" s="19" t="str">
        <x:v>新潟 | 東日本旅客鉄道 | conventional_rail | 信越線 / 白新線 / 越後線
新潟 | 東日本旅客鉄道 | shinkansen | 上越新幹線</x:v>
      </x:c>
      <x:c r="I73" s="19" t="str"/>
      <x:c r="J73" s="19" t="str">
        <x:v>核实官方站点图及实际换乘边界；不能按 S12 源组归 Hub。大阪扩审仍冻结。</x:v>
      </x:c>
      <x:c r="K73" s="18" t="str">
        <x:v>transport-node:33b4368b-a315-52a8-b1b0-71b7c18c2f4b</x:v>
      </x:c>
      <x:c r="L73" s="19" t="str">
        <x:v>001296</x:v>
      </x:c>
      <x:c r="M73" s="19" t="str">
        <x:v>https://nlftp.mlit.go.jp/ksj/gml/datalist/KsjTmplt-S12-2024.html</x:v>
      </x:c>
      <x:c r="N73" s="18" t="str">
        <x:v>0785e932a32b3ec15e1a1345537ae145eafe1c07bf38d5c16c11ee2b391e7a28</x:v>
      </x:c>
      <x:c r="O73" s="18" t="str">
        <x:v>8cad9588bc6f9241127c06906ae05c940c8bf29e</x:v>
      </x:c>
      <x:c r="P73" s="18" t="str">
        <x:v>否</x:v>
      </x:c>
    </x:row>
    <x:row r="74" ht="33" customHeight="1">
      <x:c r="A74" s="18" t="str">
        <x:v>新杉田</x:v>
      </x:c>
      <x:c r="B74" s="18" t="str">
        <x:v>東日本旅客鉄道</x:v>
      </x:c>
      <x:c r="C74" s="18" t="str">
        <x:v>conventional_rail</x:v>
      </x:c>
      <x:c r="D74" s="18" t="str">
        <x:v>T1</x:v>
      </x:c>
      <x:c r="E74" s="19" t="str">
        <x:v>多组件线索，官方边界待核</x:v>
      </x:c>
      <x:c r="F74" s="19" t="str"/>
      <x:c r="G74" s="20" t="n">
        <x:v>2</x:v>
      </x:c>
      <x:c r="H74" s="19" t="str">
        <x:v>新杉田 | 東日本旅客鉄道 | conventional_rail | 根岸線
新杉田 | 横浜シーサイドライン | fixed_guideway | 金沢シーサイドライン</x:v>
      </x:c>
      <x:c r="I74" s="19" t="str"/>
      <x:c r="J74" s="19" t="str">
        <x:v>核实官方站点图及实际换乘边界；不能按 S12 源组归 Hub。大阪扩审仍冻结。</x:v>
      </x:c>
      <x:c r="K74" s="18" t="str">
        <x:v>transport-node:e0614225-e019-5797-b609-cb9dd9d875f0</x:v>
      </x:c>
      <x:c r="L74" s="19" t="str">
        <x:v>004872</x:v>
      </x:c>
      <x:c r="M74" s="19" t="str">
        <x:v>https://nlftp.mlit.go.jp/ksj/gml/datalist/KsjTmplt-S12-2024.html</x:v>
      </x:c>
      <x:c r="N74" s="18" t="str">
        <x:v>0785e932a32b3ec15e1a1345537ae145eafe1c07bf38d5c16c11ee2b391e7a28</x:v>
      </x:c>
      <x:c r="O74" s="18" t="str">
        <x:v>8cad9588bc6f9241127c06906ae05c940c8bf29e</x:v>
      </x:c>
      <x:c r="P74" s="18" t="str">
        <x:v>否</x:v>
      </x:c>
    </x:row>
    <x:row r="75" ht="33" customHeight="1">
      <x:c r="A75" s="18" t="str">
        <x:v>水戸</x:v>
      </x:c>
      <x:c r="B75" s="18" t="str">
        <x:v>東日本旅客鉄道</x:v>
      </x:c>
      <x:c r="C75" s="18" t="str">
        <x:v>conventional_rail</x:v>
      </x:c>
      <x:c r="D75" s="18" t="str">
        <x:v>T1</x:v>
      </x:c>
      <x:c r="E75" s="19" t="str">
        <x:v>多组件线索，官方边界待核</x:v>
      </x:c>
      <x:c r="F75" s="19" t="str"/>
      <x:c r="G75" s="20" t="n">
        <x:v>2</x:v>
      </x:c>
      <x:c r="H75" s="19" t="str">
        <x:v>水戸 | 東日本旅客鉄道 | conventional_rail | 常磐線 / 水郡線
水戸 | 鹿島臨海鉄道 | private_rail | 大洗鹿島線</x:v>
      </x:c>
      <x:c r="I75" s="19" t="str"/>
      <x:c r="J75" s="19" t="str">
        <x:v>核实官方站点图及实际换乘边界；不能按 S12 源组归 Hub。大阪扩审仍冻结。</x:v>
      </x:c>
      <x:c r="K75" s="18" t="str">
        <x:v>transport-node:911abb0f-6d9d-55f3-8f0e-20f3530233c4</x:v>
      </x:c>
      <x:c r="L75" s="19" t="str">
        <x:v>002319</x:v>
      </x:c>
      <x:c r="M75" s="19" t="str">
        <x:v>https://nlftp.mlit.go.jp/ksj/gml/datalist/KsjTmplt-S12-2024.html</x:v>
      </x:c>
      <x:c r="N75" s="18" t="str">
        <x:v>0785e932a32b3ec15e1a1345537ae145eafe1c07bf38d5c16c11ee2b391e7a28</x:v>
      </x:c>
      <x:c r="O75" s="18" t="str">
        <x:v>8cad9588bc6f9241127c06906ae05c940c8bf29e</x:v>
      </x:c>
      <x:c r="P75" s="18" t="str">
        <x:v>否</x:v>
      </x:c>
    </x:row>
    <x:row r="76" ht="33" customHeight="1">
      <x:c r="A76" s="18" t="str">
        <x:v>西九条</x:v>
      </x:c>
      <x:c r="B76" s="18" t="str">
        <x:v>西日本旅客鉄道</x:v>
      </x:c>
      <x:c r="C76" s="18" t="str">
        <x:v>conventional_rail</x:v>
      </x:c>
      <x:c r="D76" s="18" t="str">
        <x:v>T1</x:v>
      </x:c>
      <x:c r="E76" s="19" t="str">
        <x:v>多组件线索，官方边界待核</x:v>
      </x:c>
      <x:c r="F76" s="19" t="str"/>
      <x:c r="G76" s="20" t="n">
        <x:v>2</x:v>
      </x:c>
      <x:c r="H76" s="19" t="str">
        <x:v>西九条 | 西日本旅客鉄道 | conventional_rail | 大阪環状線 / 桜島線
西九条 | 阪神電気鉄道 | private_rail | 阪神なんば線</x:v>
      </x:c>
      <x:c r="I76" s="19" t="str"/>
      <x:c r="J76" s="19" t="str">
        <x:v>核实官方站点图及实际换乘边界；不能按 S12 源组归 Hub。大阪扩审仍冻结。</x:v>
      </x:c>
      <x:c r="K76" s="18" t="str">
        <x:v>transport-node:785eb566-fb89-5df1-aabb-efce74a9a4a1</x:v>
      </x:c>
      <x:c r="L76" s="19" t="str">
        <x:v>007187</x:v>
      </x:c>
      <x:c r="M76" s="19" t="str">
        <x:v>https://nlftp.mlit.go.jp/ksj/gml/datalist/KsjTmplt-S12-2024.html</x:v>
      </x:c>
      <x:c r="N76" s="18" t="str">
        <x:v>0785e932a32b3ec15e1a1345537ae145eafe1c07bf38d5c16c11ee2b391e7a28</x:v>
      </x:c>
      <x:c r="O76" s="18" t="str">
        <x:v>8cad9588bc6f9241127c06906ae05c940c8bf29e</x:v>
      </x:c>
      <x:c r="P76" s="18" t="str">
        <x:v>否</x:v>
      </x:c>
    </x:row>
    <x:row r="77" ht="33" customHeight="1">
      <x:c r="A77" s="18" t="str">
        <x:v>西明石</x:v>
      </x:c>
      <x:c r="B77" s="18" t="str">
        <x:v>西日本旅客鉄道</x:v>
      </x:c>
      <x:c r="C77" s="18" t="str">
        <x:v>conventional_rail</x:v>
      </x:c>
      <x:c r="D77" s="18" t="str">
        <x:v>T1</x:v>
      </x:c>
      <x:c r="E77" s="19" t="str">
        <x:v>多组件线索，官方边界待核</x:v>
      </x:c>
      <x:c r="F77" s="19" t="str"/>
      <x:c r="G77" s="20" t="n">
        <x:v>2</x:v>
      </x:c>
      <x:c r="H77" s="19" t="str">
        <x:v>西明石 | 西日本旅客鉄道 | conventional_rail | 山陽線
西明石 | 西日本旅客鉄道 | shinkansen | 山陽新幹線</x:v>
      </x:c>
      <x:c r="I77" s="19" t="str"/>
      <x:c r="J77" s="19" t="str">
        <x:v>核实官方站点图及实际换乘边界；不能按 S12 源组归 Hub。大阪扩审仍冻结。</x:v>
      </x:c>
      <x:c r="K77" s="18" t="str">
        <x:v>transport-node:a8d923cd-c9d8-5115-bf1f-a88ad0c01439</x:v>
      </x:c>
      <x:c r="L77" s="19" t="str">
        <x:v>007307</x:v>
      </x:c>
      <x:c r="M77" s="19" t="str">
        <x:v>https://nlftp.mlit.go.jp/ksj/gml/datalist/KsjTmplt-S12-2024.html</x:v>
      </x:c>
      <x:c r="N77" s="18" t="str">
        <x:v>0785e932a32b3ec15e1a1345537ae145eafe1c07bf38d5c16c11ee2b391e7a28</x:v>
      </x:c>
      <x:c r="O77" s="18" t="str">
        <x:v>8cad9588bc6f9241127c06906ae05c940c8bf29e</x:v>
      </x:c>
      <x:c r="P77" s="18" t="str">
        <x:v>否</x:v>
      </x:c>
    </x:row>
    <x:row r="78" ht="33" customHeight="1">
      <x:c r="A78" s="18" t="str">
        <x:v>川西能勢口</x:v>
      </x:c>
      <x:c r="B78" s="18" t="str">
        <x:v>阪急電鉄</x:v>
      </x:c>
      <x:c r="C78" s="18" t="str">
        <x:v>private_rail</x:v>
      </x:c>
      <x:c r="D78" s="18" t="str">
        <x:v>T1</x:v>
      </x:c>
      <x:c r="E78" s="19" t="str">
        <x:v>多组件线索，官方边界待核</x:v>
      </x:c>
      <x:c r="F78" s="19" t="str"/>
      <x:c r="G78" s="20" t="n">
        <x:v>2</x:v>
      </x:c>
      <x:c r="H78" s="19" t="str">
        <x:v>川西能勢口 | 能勢電鉄 | private_rail | 妙見線
川西能勢口 | 阪急電鉄 | private_rail | 宝塚線</x:v>
      </x:c>
      <x:c r="I78" s="19" t="str"/>
      <x:c r="J78" s="19" t="str">
        <x:v>核实官方站点图及实际换乘边界；不能按 S12 源组归 Hub。大阪扩审仍冻结。</x:v>
      </x:c>
      <x:c r="K78" s="18" t="str">
        <x:v>transport-node:134170ea-0739-506e-81e3-47021ef69d53</x:v>
      </x:c>
      <x:c r="L78" s="19" t="str">
        <x:v>006501</x:v>
      </x:c>
      <x:c r="M78" s="19" t="str">
        <x:v>https://nlftp.mlit.go.jp/ksj/gml/datalist/KsjTmplt-S12-2024.html</x:v>
      </x:c>
      <x:c r="N78" s="18" t="str">
        <x:v>0785e932a32b3ec15e1a1345537ae145eafe1c07bf38d5c16c11ee2b391e7a28</x:v>
      </x:c>
      <x:c r="O78" s="18" t="str">
        <x:v>8cad9588bc6f9241127c06906ae05c940c8bf29e</x:v>
      </x:c>
      <x:c r="P78" s="18" t="str">
        <x:v>否</x:v>
      </x:c>
    </x:row>
    <x:row r="79" ht="33" customHeight="1">
      <x:c r="A79" s="18" t="str">
        <x:v>大船</x:v>
      </x:c>
      <x:c r="B79" s="18" t="str">
        <x:v>東日本旅客鉄道</x:v>
      </x:c>
      <x:c r="C79" s="18" t="str">
        <x:v>conventional_rail</x:v>
      </x:c>
      <x:c r="D79" s="18" t="str">
        <x:v>T1</x:v>
      </x:c>
      <x:c r="E79" s="19" t="str">
        <x:v>多组件线索，官方边界待核</x:v>
      </x:c>
      <x:c r="F79" s="19" t="str"/>
      <x:c r="G79" s="20" t="n">
        <x:v>2</x:v>
      </x:c>
      <x:c r="H79" s="19" t="str">
        <x:v>大船 | 東日本旅客鉄道 | conventional_rail | 東海道線 / 根岸線 / 横須賀線
大船 | 湘南モノレール | fixed_guideway | 江の島線</x:v>
      </x:c>
      <x:c r="I79" s="19" t="str"/>
      <x:c r="J79" s="19" t="str">
        <x:v>核实官方站点图及实际换乘边界；不能按 S12 源组归 Hub。大阪扩审仍冻结。</x:v>
      </x:c>
      <x:c r="K79" s="18" t="str">
        <x:v>transport-node:434a9770-6df0-5681-bfa4-3b22ac1c7a16</x:v>
      </x:c>
      <x:c r="L79" s="19" t="str">
        <x:v>004961</x:v>
      </x:c>
      <x:c r="M79" s="19" t="str">
        <x:v>https://nlftp.mlit.go.jp/ksj/gml/datalist/KsjTmplt-S12-2024.html</x:v>
      </x:c>
      <x:c r="N79" s="18" t="str">
        <x:v>0785e932a32b3ec15e1a1345537ae145eafe1c07bf38d5c16c11ee2b391e7a28</x:v>
      </x:c>
      <x:c r="O79" s="18" t="str">
        <x:v>8cad9588bc6f9241127c06906ae05c940c8bf29e</x:v>
      </x:c>
      <x:c r="P79" s="18" t="str">
        <x:v>否</x:v>
      </x:c>
    </x:row>
    <x:row r="80" ht="33" customHeight="1">
      <x:c r="A80" s="18" t="str">
        <x:v>中山</x:v>
      </x:c>
      <x:c r="B80" s="18" t="str">
        <x:v>東日本旅客鉄道</x:v>
      </x:c>
      <x:c r="C80" s="18" t="str">
        <x:v>conventional_rail</x:v>
      </x:c>
      <x:c r="D80" s="18" t="str">
        <x:v>T1</x:v>
      </x:c>
      <x:c r="E80" s="19" t="str">
        <x:v>多组件线索，官方边界待核</x:v>
      </x:c>
      <x:c r="F80" s="19" t="str"/>
      <x:c r="G80" s="20" t="n">
        <x:v>2</x:v>
      </x:c>
      <x:c r="H80" s="19" t="str">
        <x:v>中山 | 東日本旅客鉄道 | conventional_rail | 横浜線
中山 | 横浜市 | metro | 4号線</x:v>
      </x:c>
      <x:c r="I80" s="19" t="str"/>
      <x:c r="J80" s="19" t="str">
        <x:v>核实官方站点图及实际换乘边界；不能按 S12 源组归 Hub。大阪扩审仍冻结。</x:v>
      </x:c>
      <x:c r="K80" s="18" t="str">
        <x:v>transport-node:b34b1965-b9fa-54cd-ae28-b9d191d0ac0f</x:v>
      </x:c>
      <x:c r="L80" s="19" t="str">
        <x:v>004473</x:v>
      </x:c>
      <x:c r="M80" s="19" t="str">
        <x:v>https://nlftp.mlit.go.jp/ksj/gml/datalist/KsjTmplt-S12-2024.html</x:v>
      </x:c>
      <x:c r="N80" s="18" t="str">
        <x:v>0785e932a32b3ec15e1a1345537ae145eafe1c07bf38d5c16c11ee2b391e7a28</x:v>
      </x:c>
      <x:c r="O80" s="18" t="str">
        <x:v>8cad9588bc6f9241127c06906ae05c940c8bf29e</x:v>
      </x:c>
      <x:c r="P80" s="18" t="str">
        <x:v>否</x:v>
      </x:c>
    </x:row>
    <x:row r="81" ht="33" customHeight="1">
      <x:c r="A81" s="18" t="str">
        <x:v>長津田</x:v>
      </x:c>
      <x:c r="B81" s="18" t="str">
        <x:v>東急電鉄</x:v>
      </x:c>
      <x:c r="C81" s="18" t="str">
        <x:v>private_rail</x:v>
      </x:c>
      <x:c r="D81" s="18" t="str">
        <x:v>T1</x:v>
      </x:c>
      <x:c r="E81" s="19" t="str">
        <x:v>多组件线索，官方边界待核</x:v>
      </x:c>
      <x:c r="F81" s="19" t="str"/>
      <x:c r="G81" s="20" t="n">
        <x:v>2</x:v>
      </x:c>
      <x:c r="H81" s="19" t="str">
        <x:v>長津田 | 東急電鉄 | private_rail | こどもの国線 / 田園都市線
長津田 | 東日本旅客鉄道 | conventional_rail | 横浜線</x:v>
      </x:c>
      <x:c r="I81" s="19" t="str"/>
      <x:c r="J81" s="19" t="str">
        <x:v>核实官方站点图及实际换乘边界；不能按 S12 源组归 Hub。大阪扩审仍冻结。</x:v>
      </x:c>
      <x:c r="K81" s="18" t="str">
        <x:v>transport-node:ae6628d1-8aff-53fc-98b7-0b0a41265aa1</x:v>
      </x:c>
      <x:c r="L81" s="19" t="str">
        <x:v>004430</x:v>
      </x:c>
      <x:c r="M81" s="19" t="str">
        <x:v>https://nlftp.mlit.go.jp/ksj/gml/datalist/KsjTmplt-S12-2024.html</x:v>
      </x:c>
      <x:c r="N81" s="18" t="str">
        <x:v>0785e932a32b3ec15e1a1345537ae145eafe1c07bf38d5c16c11ee2b391e7a28</x:v>
      </x:c>
      <x:c r="O81" s="18" t="str">
        <x:v>8cad9588bc6f9241127c06906ae05c940c8bf29e</x:v>
      </x:c>
      <x:c r="P81" s="18" t="str">
        <x:v>否</x:v>
      </x:c>
    </x:row>
    <x:row r="82" ht="33" customHeight="1">
      <x:c r="A82" s="18" t="str">
        <x:v>長津田</x:v>
      </x:c>
      <x:c r="B82" s="18" t="str">
        <x:v>東日本旅客鉄道</x:v>
      </x:c>
      <x:c r="C82" s="18" t="str">
        <x:v>conventional_rail</x:v>
      </x:c>
      <x:c r="D82" s="18" t="str">
        <x:v>T1</x:v>
      </x:c>
      <x:c r="E82" s="19" t="str">
        <x:v>多组件线索，官方边界待核</x:v>
      </x:c>
      <x:c r="F82" s="19" t="str"/>
      <x:c r="G82" s="20" t="n">
        <x:v>2</x:v>
      </x:c>
      <x:c r="H82" s="19" t="str">
        <x:v>長津田 | 東急電鉄 | private_rail | こどもの国線 / 田園都市線
長津田 | 東日本旅客鉄道 | conventional_rail | 横浜線</x:v>
      </x:c>
      <x:c r="I82" s="19" t="str"/>
      <x:c r="J82" s="19" t="str">
        <x:v>核实官方站点图及实际换乘边界；不能按 S12 源组归 Hub。大阪扩审仍冻结。</x:v>
      </x:c>
      <x:c r="K82" s="18" t="str">
        <x:v>transport-node:3ae4954f-d99b-5e4b-a83f-b388c8cd38d6</x:v>
      </x:c>
      <x:c r="L82" s="19" t="str">
        <x:v>004430</x:v>
      </x:c>
      <x:c r="M82" s="19" t="str">
        <x:v>https://nlftp.mlit.go.jp/ksj/gml/datalist/KsjTmplt-S12-2024.html</x:v>
      </x:c>
      <x:c r="N82" s="18" t="str">
        <x:v>0785e932a32b3ec15e1a1345537ae145eafe1c07bf38d5c16c11ee2b391e7a28</x:v>
      </x:c>
      <x:c r="O82" s="18" t="str">
        <x:v>8cad9588bc6f9241127c06906ae05c940c8bf29e</x:v>
      </x:c>
      <x:c r="P82" s="18" t="str">
        <x:v>否</x:v>
      </x:c>
    </x:row>
    <x:row r="83" ht="33" customHeight="1">
      <x:c r="A83" s="18" t="str">
        <x:v>東川口</x:v>
      </x:c>
      <x:c r="B83" s="18" t="str">
        <x:v>東日本旅客鉄道</x:v>
      </x:c>
      <x:c r="C83" s="18" t="str">
        <x:v>conventional_rail</x:v>
      </x:c>
      <x:c r="D83" s="18" t="str">
        <x:v>T1</x:v>
      </x:c>
      <x:c r="E83" s="19" t="str">
        <x:v>多组件线索，官方边界待核</x:v>
      </x:c>
      <x:c r="F83" s="19" t="str"/>
      <x:c r="G83" s="20" t="n">
        <x:v>2</x:v>
      </x:c>
      <x:c r="H83" s="19" t="str">
        <x:v>東川口 | 埼玉高速鉄道 | private_rail | 埼玉高速鉄道線
東川口 | 東日本旅客鉄道 | conventional_rail | 武蔵野線</x:v>
      </x:c>
      <x:c r="I83" s="19" t="str"/>
      <x:c r="J83" s="19" t="str">
        <x:v>核实官方站点图及实际换乘边界；不能按 S12 源组归 Hub。大阪扩审仍冻结。</x:v>
      </x:c>
      <x:c r="K83" s="18" t="str">
        <x:v>transport-node:aeb9f94c-1d09-5301-84bc-a874a715b363</x:v>
      </x:c>
      <x:c r="L83" s="19" t="str">
        <x:v>002956</x:v>
      </x:c>
      <x:c r="M83" s="19" t="str">
        <x:v>https://nlftp.mlit.go.jp/ksj/gml/datalist/KsjTmplt-S12-2024.html</x:v>
      </x:c>
      <x:c r="N83" s="18" t="str">
        <x:v>0785e932a32b3ec15e1a1345537ae145eafe1c07bf38d5c16c11ee2b391e7a28</x:v>
      </x:c>
      <x:c r="O83" s="18" t="str">
        <x:v>8cad9588bc6f9241127c06906ae05c940c8bf29e</x:v>
      </x:c>
      <x:c r="P83" s="18" t="str">
        <x:v>否</x:v>
      </x:c>
    </x:row>
    <x:row r="84" ht="33" customHeight="1">
      <x:c r="A84" s="18" t="str">
        <x:v>姫路</x:v>
      </x:c>
      <x:c r="B84" s="18" t="str">
        <x:v>西日本旅客鉄道</x:v>
      </x:c>
      <x:c r="C84" s="18" t="str">
        <x:v>conventional_rail</x:v>
      </x:c>
      <x:c r="D84" s="18" t="str">
        <x:v>T1</x:v>
      </x:c>
      <x:c r="E84" s="19" t="str">
        <x:v>多组件线索，官方边界待核</x:v>
      </x:c>
      <x:c r="F84" s="19" t="str"/>
      <x:c r="G84" s="20" t="n">
        <x:v>2</x:v>
      </x:c>
      <x:c r="H84" s="19" t="str">
        <x:v>姫路 | 西日本旅客鉄道 | conventional_rail | 姫新線 / 山陽線 / 播但線
姫路 | 西日本旅客鉄道 | shinkansen | 山陽新幹線</x:v>
      </x:c>
      <x:c r="I84" s="19" t="str"/>
      <x:c r="J84" s="19" t="str">
        <x:v>核实官方站点图及实际换乘边界；不能按 S12 源组归 Hub。大阪扩审仍冻结。</x:v>
      </x:c>
      <x:c r="K84" s="18" t="str">
        <x:v>transport-node:4b9e1404-d9ae-533d-a302-305e0ff223a1</x:v>
      </x:c>
      <x:c r="L84" s="19" t="str">
        <x:v>006509</x:v>
      </x:c>
      <x:c r="M84" s="19" t="str">
        <x:v>https://nlftp.mlit.go.jp/ksj/gml/datalist/KsjTmplt-S12-2024.html</x:v>
      </x:c>
      <x:c r="N84" s="18" t="str">
        <x:v>0785e932a32b3ec15e1a1345537ae145eafe1c07bf38d5c16c11ee2b391e7a28</x:v>
      </x:c>
      <x:c r="O84" s="18" t="str">
        <x:v>8cad9588bc6f9241127c06906ae05c940c8bf29e</x:v>
      </x:c>
      <x:c r="P84" s="18" t="str">
        <x:v>否</x:v>
      </x:c>
    </x:row>
    <x:row r="85" ht="33" customHeight="1">
      <x:c r="A85" s="18" t="str">
        <x:v>浜松</x:v>
      </x:c>
      <x:c r="B85" s="18" t="str">
        <x:v>東海旅客鉄道</x:v>
      </x:c>
      <x:c r="C85" s="18" t="str">
        <x:v>conventional_rail</x:v>
      </x:c>
      <x:c r="D85" s="18" t="str">
        <x:v>T1</x:v>
      </x:c>
      <x:c r="E85" s="19" t="str">
        <x:v>多组件线索，官方边界待核</x:v>
      </x:c>
      <x:c r="F85" s="19" t="str"/>
      <x:c r="G85" s="20" t="n">
        <x:v>2</x:v>
      </x:c>
      <x:c r="H85" s="19" t="str">
        <x:v>浜松 | 東海旅客鉄道 | conventional_rail | 東海道線
浜松 | 東海旅客鉄道 | shinkansen | 東海道新幹線</x:v>
      </x:c>
      <x:c r="I85" s="19" t="str"/>
      <x:c r="J85" s="19" t="str">
        <x:v>核实官方站点图及实际换乘边界；不能按 S12 源组归 Hub。大阪扩审仍冻结。</x:v>
      </x:c>
      <x:c r="K85" s="18" t="str">
        <x:v>transport-node:4749b2f7-24e5-59db-92d5-c10f5663f76f</x:v>
      </x:c>
      <x:c r="L85" s="19" t="str">
        <x:v>007059</x:v>
      </x:c>
      <x:c r="M85" s="19" t="str">
        <x:v>https://nlftp.mlit.go.jp/ksj/gml/datalist/KsjTmplt-S12-2024.html</x:v>
      </x:c>
      <x:c r="N85" s="18" t="str">
        <x:v>0785e932a32b3ec15e1a1345537ae145eafe1c07bf38d5c16c11ee2b391e7a28</x:v>
      </x:c>
      <x:c r="O85" s="18" t="str">
        <x:v>8cad9588bc6f9241127c06906ae05c940c8bf29e</x:v>
      </x:c>
      <x:c r="P85" s="18" t="str">
        <x:v>否</x:v>
      </x:c>
    </x:row>
    <x:row r="86" ht="33" customHeight="1">
      <x:c r="A86" s="18" t="str">
        <x:v>福島</x:v>
      </x:c>
      <x:c r="B86" s="18" t="str">
        <x:v>西日本旅客鉄道</x:v>
      </x:c>
      <x:c r="C86" s="18" t="str">
        <x:v>conventional_rail</x:v>
      </x:c>
      <x:c r="D86" s="18" t="str">
        <x:v>T1</x:v>
      </x:c>
      <x:c r="E86" s="19" t="str">
        <x:v>多组件线索，官方边界待核</x:v>
      </x:c>
      <x:c r="F86" s="19" t="str"/>
      <x:c r="G86" s="20" t="n">
        <x:v>2</x:v>
      </x:c>
      <x:c r="H86" s="19" t="str">
        <x:v>福島 | 西日本旅客鉄道 | conventional_rail | 大阪環状線 / 東海道線
福島 | 阪神電気鉄道 | private_rail | 本線</x:v>
      </x:c>
      <x:c r="I86" s="19" t="str"/>
      <x:c r="J86" s="19" t="str">
        <x:v>核实官方站点图及实际换乘边界；不能按 S12 源组归 Hub。大阪扩审仍冻结。</x:v>
      </x:c>
      <x:c r="K86" s="18" t="str">
        <x:v>transport-node:dda94a48-80f8-5ecb-b2c2-15c688e6fd8b</x:v>
      </x:c>
      <x:c r="L86" s="19" t="str">
        <x:v>007091</x:v>
      </x:c>
      <x:c r="M86" s="19" t="str">
        <x:v>https://nlftp.mlit.go.jp/ksj/gml/datalist/KsjTmplt-S12-2024.html</x:v>
      </x:c>
      <x:c r="N86" s="18" t="str">
        <x:v>0785e932a32b3ec15e1a1345537ae145eafe1c07bf38d5c16c11ee2b391e7a28</x:v>
      </x:c>
      <x:c r="O86" s="18" t="str">
        <x:v>8cad9588bc6f9241127c06906ae05c940c8bf29e</x:v>
      </x:c>
      <x:c r="P86" s="18" t="str">
        <x:v>否</x:v>
      </x:c>
    </x:row>
    <x:row r="87" ht="47" customHeight="1">
      <x:c r="A87" s="18" t="str">
        <x:v>豊橋</x:v>
      </x:c>
      <x:c r="B87" s="18" t="str">
        <x:v>東海旅客鉄道</x:v>
      </x:c>
      <x:c r="C87" s="18" t="str">
        <x:v>conventional_rail</x:v>
      </x:c>
      <x:c r="D87" s="18" t="str">
        <x:v>T1</x:v>
      </x:c>
      <x:c r="E87" s="19" t="str">
        <x:v>多组件线索，官方边界待核</x:v>
      </x:c>
      <x:c r="F87" s="19" t="str"/>
      <x:c r="G87" s="20" t="n">
        <x:v>3</x:v>
      </x:c>
      <x:c r="H87" s="19" t="str">
        <x:v>豊橋 | 名古屋鉄道 | private_rail | 名古屋本線
豊橋 | 東海旅客鉄道 | conventional_rail | 東海道線 / 飯田線
豊橋 | 東海旅客鉄道 | shinkansen | 東海道新幹線</x:v>
      </x:c>
      <x:c r="I87" s="19" t="str"/>
      <x:c r="J87" s="19" t="str">
        <x:v>核实官方站点图及实际换乘边界；不能按 S12 源组归 Hub。大阪扩审仍冻结。</x:v>
      </x:c>
      <x:c r="K87" s="18" t="str">
        <x:v>transport-node:53d976b4-69b7-5e5f-b3c6-2a80823b7ee0</x:v>
      </x:c>
      <x:c r="L87" s="19" t="str">
        <x:v>006786</x:v>
      </x:c>
      <x:c r="M87" s="19" t="str">
        <x:v>https://nlftp.mlit.go.jp/ksj/gml/datalist/KsjTmplt-S12-2024.html</x:v>
      </x:c>
      <x:c r="N87" s="18" t="str">
        <x:v>0785e932a32b3ec15e1a1345537ae145eafe1c07bf38d5c16c11ee2b391e7a28</x:v>
      </x:c>
      <x:c r="O87" s="18" t="str">
        <x:v>8cad9588bc6f9241127c06906ae05c940c8bf29e</x:v>
      </x:c>
      <x:c r="P87" s="18" t="str">
        <x:v>否</x:v>
      </x:c>
    </x:row>
    <x:row r="88" ht="28" customHeight="1">
      <x:c r="A88" s="18" t="str">
        <x:v>さいたま新都心</x:v>
      </x:c>
      <x:c r="B88" s="18" t="str">
        <x:v>東日本旅客鉄道</x:v>
      </x:c>
      <x:c r="C88" s="18" t="str">
        <x:v>conventional_rail</x:v>
      </x:c>
      <x:c r="D88" s="18" t="str">
        <x:v>T1</x:v>
      </x:c>
      <x:c r="E88" s="19" t="str">
        <x:v>单组件源记录，官方站点待核</x:v>
      </x:c>
      <x:c r="F88" s="19" t="str"/>
      <x:c r="G88" s="20" t="n">
        <x:v>1</x:v>
      </x:c>
      <x:c r="H88" s="19" t="str">
        <x:v>さいたま新都心 | 東日本旅客鉄道 | conventional_rail | 東北線</x:v>
      </x:c>
      <x:c r="I88" s="19" t="str"/>
      <x:c r="J88" s="19" t="str">
        <x:v>核实官方站点图及实际换乘边界；不能按 S12 源组归 Hub。大阪扩审仍冻结。</x:v>
      </x:c>
      <x:c r="K88" s="18" t="str">
        <x:v>transport-node:c6d3a205-28ea-5f67-b096-cdfeca7e1fe6</x:v>
      </x:c>
      <x:c r="L88" s="19" t="str">
        <x:v>002934</x:v>
      </x:c>
      <x:c r="M88" s="19" t="str">
        <x:v>https://nlftp.mlit.go.jp/ksj/gml/datalist/KsjTmplt-S12-2024.html</x:v>
      </x:c>
      <x:c r="N88" s="18" t="str">
        <x:v>0785e932a32b3ec15e1a1345537ae145eafe1c07bf38d5c16c11ee2b391e7a28</x:v>
      </x:c>
      <x:c r="O88" s="18" t="str">
        <x:v>8cad9588bc6f9241127c06906ae05c940c8bf29e</x:v>
      </x:c>
      <x:c r="P88" s="18" t="str">
        <x:v>否</x:v>
      </x:c>
    </x:row>
    <x:row r="89" ht="28" customHeight="1">
      <x:c r="A89" s="18" t="str">
        <x:v>せんげん台</x:v>
      </x:c>
      <x:c r="B89" s="18" t="str">
        <x:v>東武鉄道</x:v>
      </x:c>
      <x:c r="C89" s="18" t="str">
        <x:v>private_rail</x:v>
      </x:c>
      <x:c r="D89" s="18" t="str">
        <x:v>T1</x:v>
      </x:c>
      <x:c r="E89" s="19" t="str">
        <x:v>单组件源记录，官方站点待核</x:v>
      </x:c>
      <x:c r="F89" s="19" t="str"/>
      <x:c r="G89" s="20" t="n">
        <x:v>1</x:v>
      </x:c>
      <x:c r="H89" s="19" t="str">
        <x:v>せんげん台 | 東武鉄道 | private_rail | 伊勢崎線</x:v>
      </x:c>
      <x:c r="I89" s="19" t="str"/>
      <x:c r="J89" s="19" t="str">
        <x:v>核实官方站点图及实际换乘边界；不能按 S12 源组归 Hub。大阪扩审仍冻结。</x:v>
      </x:c>
      <x:c r="K89" s="18" t="str">
        <x:v>transport-node:84cd1215-4d34-5924-a89f-7610251dd924</x:v>
      </x:c>
      <x:c r="L89" s="19" t="str">
        <x:v>002856</x:v>
      </x:c>
      <x:c r="M89" s="19" t="str">
        <x:v>https://nlftp.mlit.go.jp/ksj/gml/datalist/KsjTmplt-S12-2024.html</x:v>
      </x:c>
      <x:c r="N89" s="18" t="str">
        <x:v>0785e932a32b3ec15e1a1345537ae145eafe1c07bf38d5c16c11ee2b391e7a28</x:v>
      </x:c>
      <x:c r="O89" s="18" t="str">
        <x:v>8cad9588bc6f9241127c06906ae05c940c8bf29e</x:v>
      </x:c>
      <x:c r="P89" s="18" t="str">
        <x:v>否</x:v>
      </x:c>
    </x:row>
    <x:row r="90" ht="28" customHeight="1">
      <x:c r="A90" s="18" t="str">
        <x:v>たまプラーザ</x:v>
      </x:c>
      <x:c r="B90" s="18" t="str">
        <x:v>東急電鉄</x:v>
      </x:c>
      <x:c r="C90" s="18" t="str">
        <x:v>private_rail</x:v>
      </x:c>
      <x:c r="D90" s="18" t="str">
        <x:v>T1</x:v>
      </x:c>
      <x:c r="E90" s="19" t="str">
        <x:v>单组件源记录，官方站点待核</x:v>
      </x:c>
      <x:c r="F90" s="19" t="str"/>
      <x:c r="G90" s="20" t="n">
        <x:v>1</x:v>
      </x:c>
      <x:c r="H90" s="19" t="str">
        <x:v>たまプラーザ | 東急電鉄 | private_rail | 田園都市線</x:v>
      </x:c>
      <x:c r="I90" s="19" t="str"/>
      <x:c r="J90" s="19" t="str">
        <x:v>核实官方站点图及实际换乘边界；不能按 S12 源组归 Hub。大阪扩审仍冻结。</x:v>
      </x:c>
      <x:c r="K90" s="18" t="str">
        <x:v>transport-node:1300fd39-acc3-5ef3-a57e-92b8267c9536</x:v>
      </x:c>
      <x:c r="L90" s="19" t="str">
        <x:v>004296</x:v>
      </x:c>
      <x:c r="M90" s="19" t="str">
        <x:v>https://nlftp.mlit.go.jp/ksj/gml/datalist/KsjTmplt-S12-2024.html</x:v>
      </x:c>
      <x:c r="N90" s="18" t="str">
        <x:v>0785e932a32b3ec15e1a1345537ae145eafe1c07bf38d5c16c11ee2b391e7a28</x:v>
      </x:c>
      <x:c r="O90" s="18" t="str">
        <x:v>8cad9588bc6f9241127c06906ae05c940c8bf29e</x:v>
      </x:c>
      <x:c r="P90" s="18" t="str">
        <x:v>否</x:v>
      </x:c>
    </x:row>
    <x:row r="91" ht="28" customHeight="1">
      <x:c r="A91" s="18" t="str">
        <x:v>ひばりヶ丘</x:v>
      </x:c>
      <x:c r="B91" s="18" t="str">
        <x:v>西武鉄道</x:v>
      </x:c>
      <x:c r="C91" s="18" t="str">
        <x:v>private_rail</x:v>
      </x:c>
      <x:c r="D91" s="18" t="str">
        <x:v>T1</x:v>
      </x:c>
      <x:c r="E91" s="19" t="str">
        <x:v>单组件源记录，官方站点待核</x:v>
      </x:c>
      <x:c r="F91" s="19" t="str"/>
      <x:c r="G91" s="20" t="n">
        <x:v>1</x:v>
      </x:c>
      <x:c r="H91" s="19" t="str">
        <x:v>ひばりヶ丘 | 西武鉄道 | private_rail | 池袋線</x:v>
      </x:c>
      <x:c r="I91" s="19" t="str"/>
      <x:c r="J91" s="19" t="str">
        <x:v>核实官方站点图及实际换乘边界；不能按 S12 源组归 Hub。大阪扩审仍冻结。</x:v>
      </x:c>
      <x:c r="K91" s="18" t="str">
        <x:v>transport-node:85d52eed-f790-5c87-9b7e-7f206e6d76d3</x:v>
      </x:c>
      <x:c r="L91" s="19" t="str">
        <x:v>003242</x:v>
      </x:c>
      <x:c r="M91" s="19" t="str">
        <x:v>https://nlftp.mlit.go.jp/ksj/gml/datalist/KsjTmplt-S12-2024.html</x:v>
      </x:c>
      <x:c r="N91" s="18" t="str">
        <x:v>0785e932a32b3ec15e1a1345537ae145eafe1c07bf38d5c16c11ee2b391e7a28</x:v>
      </x:c>
      <x:c r="O91" s="18" t="str">
        <x:v>8cad9588bc6f9241127c06906ae05c940c8bf29e</x:v>
      </x:c>
      <x:c r="P91" s="18" t="str">
        <x:v>否</x:v>
      </x:c>
    </x:row>
    <x:row r="92" ht="28" customHeight="1">
      <x:c r="A92" s="18" t="str">
        <x:v>ふじみ野</x:v>
      </x:c>
      <x:c r="B92" s="18" t="str">
        <x:v>東武鉄道</x:v>
      </x:c>
      <x:c r="C92" s="18" t="str">
        <x:v>private_rail</x:v>
      </x:c>
      <x:c r="D92" s="18" t="str">
        <x:v>T1</x:v>
      </x:c>
      <x:c r="E92" s="19" t="str">
        <x:v>单组件源记录，官方站点待核</x:v>
      </x:c>
      <x:c r="F92" s="19" t="str"/>
      <x:c r="G92" s="20" t="n">
        <x:v>1</x:v>
      </x:c>
      <x:c r="H92" s="19" t="str">
        <x:v>ふじみ野 | 東武鉄道 | private_rail | 東上本線</x:v>
      </x:c>
      <x:c r="I92" s="19" t="str"/>
      <x:c r="J92" s="19" t="str">
        <x:v>核实官方站点图及实际换乘边界；不能按 S12 源组归 Hub。大阪扩审仍冻结。</x:v>
      </x:c>
      <x:c r="K92" s="18" t="str">
        <x:v>transport-node:af421e68-db4f-5197-8410-bc1113c49bd9</x:v>
      </x:c>
      <x:c r="L92" s="19" t="str">
        <x:v>002987</x:v>
      </x:c>
      <x:c r="M92" s="19" t="str">
        <x:v>https://nlftp.mlit.go.jp/ksj/gml/datalist/KsjTmplt-S12-2024.html</x:v>
      </x:c>
      <x:c r="N92" s="18" t="str">
        <x:v>0785e932a32b3ec15e1a1345537ae145eafe1c07bf38d5c16c11ee2b391e7a28</x:v>
      </x:c>
      <x:c r="O92" s="18" t="str">
        <x:v>8cad9588bc6f9241127c06906ae05c940c8bf29e</x:v>
      </x:c>
      <x:c r="P92" s="18" t="str">
        <x:v>否</x:v>
      </x:c>
    </x:row>
    <x:row r="93" ht="28" customHeight="1">
      <x:c r="A93" s="18" t="str">
        <x:v>みなとみらい</x:v>
      </x:c>
      <x:c r="B93" s="18" t="str">
        <x:v>横浜高速鉄道</x:v>
      </x:c>
      <x:c r="C93" s="18" t="str">
        <x:v>private_rail</x:v>
      </x:c>
      <x:c r="D93" s="18" t="str">
        <x:v>T1</x:v>
      </x:c>
      <x:c r="E93" s="19" t="str">
        <x:v>单组件源记录，官方站点待核</x:v>
      </x:c>
      <x:c r="F93" s="19" t="str"/>
      <x:c r="G93" s="20" t="n">
        <x:v>1</x:v>
      </x:c>
      <x:c r="H93" s="19" t="str">
        <x:v>みなとみらい | 横浜高速鉄道 | private_rail | みなとみらい21線</x:v>
      </x:c>
      <x:c r="I93" s="19" t="str"/>
      <x:c r="J93" s="19" t="str">
        <x:v>核实官方站点图及实际换乘边界；不能按 S12 源组归 Hub。大阪扩审仍冻结。</x:v>
      </x:c>
      <x:c r="K93" s="18" t="str">
        <x:v>transport-node:0039173b-d993-5e1c-9fc2-bb4badd03903</x:v>
      </x:c>
      <x:c r="L93" s="19" t="str">
        <x:v>004656</x:v>
      </x:c>
      <x:c r="M93" s="19" t="str">
        <x:v>https://nlftp.mlit.go.jp/ksj/gml/datalist/KsjTmplt-S12-2024.html</x:v>
      </x:c>
      <x:c r="N93" s="18" t="str">
        <x:v>0785e932a32b3ec15e1a1345537ae145eafe1c07bf38d5c16c11ee2b391e7a28</x:v>
      </x:c>
      <x:c r="O93" s="18" t="str">
        <x:v>8cad9588bc6f9241127c06906ae05c940c8bf29e</x:v>
      </x:c>
      <x:c r="P93" s="18" t="str">
        <x:v>否</x:v>
      </x:c>
    </x:row>
    <x:row r="94" ht="28" customHeight="1">
      <x:c r="A94" s="18" t="str">
        <x:v>ユニバーサルシティ</x:v>
      </x:c>
      <x:c r="B94" s="18" t="str">
        <x:v>西日本旅客鉄道</x:v>
      </x:c>
      <x:c r="C94" s="18" t="str">
        <x:v>conventional_rail</x:v>
      </x:c>
      <x:c r="D94" s="18" t="str">
        <x:v>T1</x:v>
      </x:c>
      <x:c r="E94" s="19" t="str">
        <x:v>单组件源记录，官方站点待核</x:v>
      </x:c>
      <x:c r="F94" s="19" t="str"/>
      <x:c r="G94" s="20" t="n">
        <x:v>1</x:v>
      </x:c>
      <x:c r="H94" s="19" t="str">
        <x:v>ユニバーサルシティ | 西日本旅客鉄道 | conventional_rail | 桜島線</x:v>
      </x:c>
      <x:c r="I94" s="19" t="str"/>
      <x:c r="J94" s="19" t="str">
        <x:v>核实官方站点图及实际换乘边界；不能按 S12 源组归 Hub。大阪扩审仍冻结。</x:v>
      </x:c>
      <x:c r="K94" s="18" t="str">
        <x:v>transport-node:d6d63ccf-1868-5f91-8dd8-0e49aff817d2</x:v>
      </x:c>
      <x:c r="L94" s="19" t="str">
        <x:v>007300</x:v>
      </x:c>
      <x:c r="M94" s="19" t="str">
        <x:v>https://nlftp.mlit.go.jp/ksj/gml/datalist/KsjTmplt-S12-2024.html</x:v>
      </x:c>
      <x:c r="N94" s="18" t="str">
        <x:v>0785e932a32b3ec15e1a1345537ae145eafe1c07bf38d5c16c11ee2b391e7a28</x:v>
      </x:c>
      <x:c r="O94" s="18" t="str">
        <x:v>8cad9588bc6f9241127c06906ae05c940c8bf29e</x:v>
      </x:c>
      <x:c r="P94" s="18" t="str">
        <x:v>否</x:v>
      </x:c>
    </x:row>
    <x:row r="95" ht="28" customHeight="1">
      <x:c r="A95" s="18" t="str">
        <x:v>阿佐ヶ谷</x:v>
      </x:c>
      <x:c r="B95" s="18" t="str">
        <x:v>東日本旅客鉄道</x:v>
      </x:c>
      <x:c r="C95" s="18" t="str">
        <x:v>conventional_rail</x:v>
      </x:c>
      <x:c r="D95" s="18" t="str">
        <x:v>T1</x:v>
      </x:c>
      <x:c r="E95" s="19" t="str">
        <x:v>单组件源记录，官方站点待核</x:v>
      </x:c>
      <x:c r="F95" s="19" t="str"/>
      <x:c r="G95" s="20" t="n">
        <x:v>1</x:v>
      </x:c>
      <x:c r="H95" s="19" t="str">
        <x:v>阿佐ヶ谷 | 東日本旅客鉄道 | conventional_rail | 中央線</x:v>
      </x:c>
      <x:c r="I95" s="19" t="str"/>
      <x:c r="J95" s="19" t="str">
        <x:v>核实官方站点图及实际换乘边界；不能按 S12 源组归 Hub。大阪扩审仍冻结。</x:v>
      </x:c>
      <x:c r="K95" s="18" t="str">
        <x:v>transport-node:9e315ee4-e642-5411-871e-80baca570774</x:v>
      </x:c>
      <x:c r="L95" s="19" t="str">
        <x:v>003574</x:v>
      </x:c>
      <x:c r="M95" s="19" t="str">
        <x:v>https://nlftp.mlit.go.jp/ksj/gml/datalist/KsjTmplt-S12-2024.html</x:v>
      </x:c>
      <x:c r="N95" s="18" t="str">
        <x:v>0785e932a32b3ec15e1a1345537ae145eafe1c07bf38d5c16c11ee2b391e7a28</x:v>
      </x:c>
      <x:c r="O95" s="18" t="str">
        <x:v>8cad9588bc6f9241127c06906ae05c940c8bf29e</x:v>
      </x:c>
      <x:c r="P95" s="18" t="str">
        <x:v>否</x:v>
      </x:c>
    </x:row>
    <x:row r="96" ht="28" customHeight="1">
      <x:c r="A96" s="18" t="str">
        <x:v>稲毛</x:v>
      </x:c>
      <x:c r="B96" s="18" t="str">
        <x:v>東日本旅客鉄道</x:v>
      </x:c>
      <x:c r="C96" s="18" t="str">
        <x:v>conventional_rail</x:v>
      </x:c>
      <x:c r="D96" s="18" t="str">
        <x:v>T1</x:v>
      </x:c>
      <x:c r="E96" s="19" t="str">
        <x:v>单组件源记录，官方站点待核</x:v>
      </x:c>
      <x:c r="F96" s="19" t="str"/>
      <x:c r="G96" s="20" t="n">
        <x:v>1</x:v>
      </x:c>
      <x:c r="H96" s="19" t="str">
        <x:v>稲毛 | 東日本旅客鉄道 | conventional_rail | 総武線</x:v>
      </x:c>
      <x:c r="I96" s="19" t="str"/>
      <x:c r="J96" s="19" t="str">
        <x:v>核实官方站点图及实际换乘边界；不能按 S12 源组归 Hub。大阪扩审仍冻结。</x:v>
      </x:c>
      <x:c r="K96" s="18" t="str">
        <x:v>transport-node:4e18fdb6-de03-5423-955d-ab9e2e316210</x:v>
      </x:c>
      <x:c r="L96" s="19" t="str">
        <x:v>004047</x:v>
      </x:c>
      <x:c r="M96" s="19" t="str">
        <x:v>https://nlftp.mlit.go.jp/ksj/gml/datalist/KsjTmplt-S12-2024.html</x:v>
      </x:c>
      <x:c r="N96" s="18" t="str">
        <x:v>0785e932a32b3ec15e1a1345537ae145eafe1c07bf38d5c16c11ee2b391e7a28</x:v>
      </x:c>
      <x:c r="O96" s="18" t="str">
        <x:v>8cad9588bc6f9241127c06906ae05c940c8bf29e</x:v>
      </x:c>
      <x:c r="P96" s="18" t="str">
        <x:v>否</x:v>
      </x:c>
    </x:row>
    <x:row r="97" ht="28" customHeight="1">
      <x:c r="A97" s="18" t="str">
        <x:v>茨木</x:v>
      </x:c>
      <x:c r="B97" s="18" t="str">
        <x:v>西日本旅客鉄道</x:v>
      </x:c>
      <x:c r="C97" s="18" t="str">
        <x:v>conventional_rail</x:v>
      </x:c>
      <x:c r="D97" s="18" t="str">
        <x:v>T1</x:v>
      </x:c>
      <x:c r="E97" s="19" t="str">
        <x:v>单组件源记录，官方站点待核</x:v>
      </x:c>
      <x:c r="F97" s="19" t="str"/>
      <x:c r="G97" s="20" t="n">
        <x:v>1</x:v>
      </x:c>
      <x:c r="H97" s="19" t="str">
        <x:v>茨木 | 西日本旅客鉄道 | conventional_rail | 東海道線</x:v>
      </x:c>
      <x:c r="I97" s="19" t="str"/>
      <x:c r="J97" s="19" t="str">
        <x:v>核实官方站点图及实际换乘边界；不能按 S12 源组归 Hub。大阪扩审仍冻结。</x:v>
      </x:c>
      <x:c r="K97" s="18" t="str">
        <x:v>transport-node:a50e2c7b-ebe2-5ed8-9d7d-56d57deca82a</x:v>
      </x:c>
      <x:c r="L97" s="19" t="str">
        <x:v>006567</x:v>
      </x:c>
      <x:c r="M97" s="19" t="str">
        <x:v>https://nlftp.mlit.go.jp/ksj/gml/datalist/KsjTmplt-S12-2024.html</x:v>
      </x:c>
      <x:c r="N97" s="18" t="str">
        <x:v>0785e932a32b3ec15e1a1345537ae145eafe1c07bf38d5c16c11ee2b391e7a28</x:v>
      </x:c>
      <x:c r="O97" s="18" t="str">
        <x:v>8cad9588bc6f9241127c06906ae05c940c8bf29e</x:v>
      </x:c>
      <x:c r="P97" s="18" t="str">
        <x:v>否</x:v>
      </x:c>
    </x:row>
    <x:row r="98" ht="28" customHeight="1">
      <x:c r="A98" s="18" t="str">
        <x:v>茨木市</x:v>
      </x:c>
      <x:c r="B98" s="18" t="str">
        <x:v>阪急電鉄</x:v>
      </x:c>
      <x:c r="C98" s="18" t="str">
        <x:v>private_rail</x:v>
      </x:c>
      <x:c r="D98" s="18" t="str">
        <x:v>T1</x:v>
      </x:c>
      <x:c r="E98" s="19" t="str">
        <x:v>单组件源记录，官方站点待核</x:v>
      </x:c>
      <x:c r="F98" s="19" t="str"/>
      <x:c r="G98" s="20" t="n">
        <x:v>1</x:v>
      </x:c>
      <x:c r="H98" s="19" t="str">
        <x:v>茨木市 | 阪急電鉄 | private_rail | 京都線</x:v>
      </x:c>
      <x:c r="I98" s="19" t="str"/>
      <x:c r="J98" s="19" t="str">
        <x:v>核实官方站点图及实际换乘边界；不能按 S12 源组归 Hub。大阪扩审仍冻结。</x:v>
      </x:c>
      <x:c r="K98" s="18" t="str">
        <x:v>transport-node:5ad6e012-0f3d-59b1-8547-cc431862a68d</x:v>
      </x:c>
      <x:c r="L98" s="19" t="str">
        <x:v>006562</x:v>
      </x:c>
      <x:c r="M98" s="19" t="str">
        <x:v>https://nlftp.mlit.go.jp/ksj/gml/datalist/KsjTmplt-S12-2024.html</x:v>
      </x:c>
      <x:c r="N98" s="18" t="str">
        <x:v>0785e932a32b3ec15e1a1345537ae145eafe1c07bf38d5c16c11ee2b391e7a28</x:v>
      </x:c>
      <x:c r="O98" s="18" t="str">
        <x:v>8cad9588bc6f9241127c06906ae05c940c8bf29e</x:v>
      </x:c>
      <x:c r="P98" s="18" t="str">
        <x:v>否</x:v>
      </x:c>
    </x:row>
    <x:row r="99" ht="28" customHeight="1">
      <x:c r="A99" s="18" t="str">
        <x:v>羽田空港第1・第2ターミナル</x:v>
      </x:c>
      <x:c r="B99" s="18" t="str">
        <x:v>京浜急行電鉄</x:v>
      </x:c>
      <x:c r="C99" s="18" t="str">
        <x:v>private_rail</x:v>
      </x:c>
      <x:c r="D99" s="18" t="str">
        <x:v>T1</x:v>
      </x:c>
      <x:c r="E99" s="19" t="str">
        <x:v>单组件源记录，官方站点待核</x:v>
      </x:c>
      <x:c r="F99" s="19" t="str"/>
      <x:c r="G99" s="20" t="n">
        <x:v>1</x:v>
      </x:c>
      <x:c r="H99" s="19" t="str">
        <x:v>羽田空港第1・第2ターミナル | 京浜急行電鉄 | private_rail | 空港線</x:v>
      </x:c>
      <x:c r="I99" s="19" t="str"/>
      <x:c r="J99" s="19" t="str">
        <x:v>核实官方站点图及实际换乘边界；不能按 S12 源组归 Hub。大阪扩审仍冻结。</x:v>
      </x:c>
      <x:c r="K99" s="18" t="str">
        <x:v>transport-node:bf55d1d9-f26a-59dc-89d0-411d76053637</x:v>
      </x:c>
      <x:c r="L99" s="19" t="str">
        <x:v>004368</x:v>
      </x:c>
      <x:c r="M99" s="19" t="str">
        <x:v>https://nlftp.mlit.go.jp/ksj/gml/datalist/KsjTmplt-S12-2024.html</x:v>
      </x:c>
      <x:c r="N99" s="18" t="str">
        <x:v>0785e932a32b3ec15e1a1345537ae145eafe1c07bf38d5c16c11ee2b391e7a28</x:v>
      </x:c>
      <x:c r="O99" s="18" t="str">
        <x:v>8cad9588bc6f9241127c06906ae05c940c8bf29e</x:v>
      </x:c>
      <x:c r="P99" s="18" t="str">
        <x:v>否</x:v>
      </x:c>
    </x:row>
    <x:row r="100" ht="28" customHeight="1">
      <x:c r="A100" s="18" t="str">
        <x:v>浦安</x:v>
      </x:c>
      <x:c r="B100" s="18" t="str">
        <x:v>東京地下鉄</x:v>
      </x:c>
      <x:c r="C100" s="18" t="str">
        <x:v>metro</x:v>
      </x:c>
      <x:c r="D100" s="18" t="str">
        <x:v>T1</x:v>
      </x:c>
      <x:c r="E100" s="19" t="str">
        <x:v>单组件源记录，官方站点待核</x:v>
      </x:c>
      <x:c r="F100" s="19" t="str"/>
      <x:c r="G100" s="20" t="n">
        <x:v>1</x:v>
      </x:c>
      <x:c r="H100" s="19" t="str">
        <x:v>浦安 | 東京地下鉄 | metro | 5号線東西線</x:v>
      </x:c>
      <x:c r="I100" s="19" t="str"/>
      <x:c r="J100" s="19" t="str">
        <x:v>核实官方站点图及实际换乘边界；不能按 S12 源组归 Hub。大阪扩审仍冻结。</x:v>
      </x:c>
      <x:c r="K100" s="18" t="str">
        <x:v>transport-node:adcd35a1-a413-5533-b24f-c8c018b4bbcc</x:v>
      </x:c>
      <x:c r="L100" s="19" t="str">
        <x:v>003875</x:v>
      </x:c>
      <x:c r="M100" s="19" t="str">
        <x:v>https://nlftp.mlit.go.jp/ksj/gml/datalist/KsjTmplt-S12-2024.html</x:v>
      </x:c>
      <x:c r="N100" s="18" t="str">
        <x:v>0785e932a32b3ec15e1a1345537ae145eafe1c07bf38d5c16c11ee2b391e7a28</x:v>
      </x:c>
      <x:c r="O100" s="18" t="str">
        <x:v>8cad9588bc6f9241127c06906ae05c940c8bf29e</x:v>
      </x:c>
      <x:c r="P100" s="18" t="str">
        <x:v>否</x:v>
      </x:c>
    </x:row>
    <x:row r="101" ht="28" customHeight="1">
      <x:c r="A101" s="18" t="str">
        <x:v>浦和</x:v>
      </x:c>
      <x:c r="B101" s="18" t="str">
        <x:v>東日本旅客鉄道</x:v>
      </x:c>
      <x:c r="C101" s="18" t="str">
        <x:v>conventional_rail</x:v>
      </x:c>
      <x:c r="D101" s="18" t="str">
        <x:v>T1</x:v>
      </x:c>
      <x:c r="E101" s="19" t="str">
        <x:v>单组件源记录，官方站点待核</x:v>
      </x:c>
      <x:c r="F101" s="19" t="str"/>
      <x:c r="G101" s="20" t="n">
        <x:v>1</x:v>
      </x:c>
      <x:c r="H101" s="19" t="str">
        <x:v>浦和 | 東日本旅客鉄道 | conventional_rail | 東北線</x:v>
      </x:c>
      <x:c r="I101" s="19" t="str"/>
      <x:c r="J101" s="19" t="str">
        <x:v>核实官方站点图及实际换乘边界；不能按 S12 源组归 Hub。大阪扩审仍冻结。</x:v>
      </x:c>
      <x:c r="K101" s="18" t="str">
        <x:v>transport-node:2df3776d-e526-5a1d-89d4-f4f85db80430</x:v>
      </x:c>
      <x:c r="L101" s="19" t="str">
        <x:v>002989</x:v>
      </x:c>
      <x:c r="M101" s="19" t="str">
        <x:v>https://nlftp.mlit.go.jp/ksj/gml/datalist/KsjTmplt-S12-2024.html</x:v>
      </x:c>
      <x:c r="N101" s="18" t="str">
        <x:v>0785e932a32b3ec15e1a1345537ae145eafe1c07bf38d5c16c11ee2b391e7a28</x:v>
      </x:c>
      <x:c r="O101" s="18" t="str">
        <x:v>8cad9588bc6f9241127c06906ae05c940c8bf29e</x:v>
      </x:c>
      <x:c r="P101" s="18" t="str">
        <x:v>否</x:v>
      </x:c>
    </x:row>
    <x:row r="102" ht="28" customHeight="1">
      <x:c r="A102" s="18" t="str">
        <x:v>越谷レイクタウン</x:v>
      </x:c>
      <x:c r="B102" s="18" t="str">
        <x:v>東日本旅客鉄道</x:v>
      </x:c>
      <x:c r="C102" s="18" t="str">
        <x:v>conventional_rail</x:v>
      </x:c>
      <x:c r="D102" s="18" t="str">
        <x:v>T1</x:v>
      </x:c>
      <x:c r="E102" s="19" t="str">
        <x:v>单组件源记录，官方站点待核</x:v>
      </x:c>
      <x:c r="F102" s="19" t="str"/>
      <x:c r="G102" s="20" t="n">
        <x:v>1</x:v>
      </x:c>
      <x:c r="H102" s="19" t="str">
        <x:v>越谷レイクタウン | 東日本旅客鉄道 | conventional_rail | 武蔵野線</x:v>
      </x:c>
      <x:c r="I102" s="19" t="str"/>
      <x:c r="J102" s="19" t="str">
        <x:v>核实官方站点图及实际换乘边界；不能按 S12 源组归 Hub。大阪扩审仍冻结。</x:v>
      </x:c>
      <x:c r="K102" s="18" t="str">
        <x:v>transport-node:82f53760-f056-5f41-81c3-d127b943c9c0</x:v>
      </x:c>
      <x:c r="L102" s="19" t="str">
        <x:v>002957</x:v>
      </x:c>
      <x:c r="M102" s="19" t="str">
        <x:v>https://nlftp.mlit.go.jp/ksj/gml/datalist/KsjTmplt-S12-2024.html</x:v>
      </x:c>
      <x:c r="N102" s="18" t="str">
        <x:v>0785e932a32b3ec15e1a1345537ae145eafe1c07bf38d5c16c11ee2b391e7a28</x:v>
      </x:c>
      <x:c r="O102" s="18" t="str">
        <x:v>8cad9588bc6f9241127c06906ae05c940c8bf29e</x:v>
      </x:c>
      <x:c r="P102" s="18" t="str">
        <x:v>否</x:v>
      </x:c>
    </x:row>
    <x:row r="103" ht="28" customHeight="1">
      <x:c r="A103" s="18" t="str">
        <x:v>横須賀中央</x:v>
      </x:c>
      <x:c r="B103" s="18" t="str">
        <x:v>京浜急行電鉄</x:v>
      </x:c>
      <x:c r="C103" s="18" t="str">
        <x:v>private_rail</x:v>
      </x:c>
      <x:c r="D103" s="18" t="str">
        <x:v>T1</x:v>
      </x:c>
      <x:c r="E103" s="19" t="str">
        <x:v>单组件源记录，官方站点待核</x:v>
      </x:c>
      <x:c r="F103" s="19" t="str"/>
      <x:c r="G103" s="20" t="n">
        <x:v>1</x:v>
      </x:c>
      <x:c r="H103" s="19" t="str">
        <x:v>横須賀中央 | 京浜急行電鉄 | private_rail | 本線</x:v>
      </x:c>
      <x:c r="I103" s="19" t="str"/>
      <x:c r="J103" s="19" t="str">
        <x:v>核实官方站点图及实际换乘边界；不能按 S12 源组归 Hub。大阪扩审仍冻结。</x:v>
      </x:c>
      <x:c r="K103" s="18" t="str">
        <x:v>transport-node:f66d6d5d-f049-5dda-bd0d-5c8ece453694</x:v>
      </x:c>
      <x:c r="L103" s="19" t="str">
        <x:v>005163</x:v>
      </x:c>
      <x:c r="M103" s="19" t="str">
        <x:v>https://nlftp.mlit.go.jp/ksj/gml/datalist/KsjTmplt-S12-2024.html</x:v>
      </x:c>
      <x:c r="N103" s="18" t="str">
        <x:v>0785e932a32b3ec15e1a1345537ae145eafe1c07bf38d5c16c11ee2b391e7a28</x:v>
      </x:c>
      <x:c r="O103" s="18" t="str">
        <x:v>8cad9588bc6f9241127c06906ae05c940c8bf29e</x:v>
      </x:c>
      <x:c r="P103" s="18" t="str">
        <x:v>否</x:v>
      </x:c>
    </x:row>
    <x:row r="104" ht="28" customHeight="1">
      <x:c r="A104" s="18" t="str">
        <x:v>花小金井</x:v>
      </x:c>
      <x:c r="B104" s="18" t="str">
        <x:v>西武鉄道</x:v>
      </x:c>
      <x:c r="C104" s="18" t="str">
        <x:v>private_rail</x:v>
      </x:c>
      <x:c r="D104" s="18" t="str">
        <x:v>T1</x:v>
      </x:c>
      <x:c r="E104" s="19" t="str">
        <x:v>单组件源记录，官方站点待核</x:v>
      </x:c>
      <x:c r="F104" s="19" t="str"/>
      <x:c r="G104" s="20" t="n">
        <x:v>1</x:v>
      </x:c>
      <x:c r="H104" s="19" t="str">
        <x:v>花小金井 | 西武鉄道 | private_rail | 新宿線</x:v>
      </x:c>
      <x:c r="I104" s="19" t="str"/>
      <x:c r="J104" s="19" t="str">
        <x:v>核实官方站点图及实际换乘边界；不能按 S12 源组归 Hub。大阪扩审仍冻结。</x:v>
      </x:c>
      <x:c r="K104" s="18" t="str">
        <x:v>transport-node:e6d4f638-32d5-5141-bd9c-1bae6d7ad8da</x:v>
      </x:c>
      <x:c r="L104" s="19" t="str">
        <x:v>003430</x:v>
      </x:c>
      <x:c r="M104" s="19" t="str">
        <x:v>https://nlftp.mlit.go.jp/ksj/gml/datalist/KsjTmplt-S12-2024.html</x:v>
      </x:c>
      <x:c r="N104" s="18" t="str">
        <x:v>0785e932a32b3ec15e1a1345537ae145eafe1c07bf38d5c16c11ee2b391e7a28</x:v>
      </x:c>
      <x:c r="O104" s="18" t="str">
        <x:v>8cad9588bc6f9241127c06906ae05c940c8bf29e</x:v>
      </x:c>
      <x:c r="P104" s="18" t="str">
        <x:v>否</x:v>
      </x:c>
    </x:row>
    <x:row r="105" ht="28" customHeight="1">
      <x:c r="A105" s="18" t="str">
        <x:v>我孫子</x:v>
      </x:c>
      <x:c r="B105" s="18" t="str">
        <x:v>東日本旅客鉄道</x:v>
      </x:c>
      <x:c r="C105" s="18" t="str">
        <x:v>conventional_rail</x:v>
      </x:c>
      <x:c r="D105" s="18" t="str">
        <x:v>T1</x:v>
      </x:c>
      <x:c r="E105" s="19" t="str">
        <x:v>单组件源记录，官方站点待核</x:v>
      </x:c>
      <x:c r="F105" s="19" t="str"/>
      <x:c r="G105" s="20" t="n">
        <x:v>1</x:v>
      </x:c>
      <x:c r="H105" s="19" t="str">
        <x:v>我孫子 | 東日本旅客鉄道 | conventional_rail | 常磐線 / 成田線</x:v>
      </x:c>
      <x:c r="I105" s="19" t="str"/>
      <x:c r="J105" s="19" t="str">
        <x:v>核实官方站点图及实际换乘边界；不能按 S12 源组归 Hub。大阪扩审仍冻结。</x:v>
      </x:c>
      <x:c r="K105" s="18" t="str">
        <x:v>transport-node:b0ea2105-34d6-5b56-ba1c-c5c1d77dba54</x:v>
      </x:c>
      <x:c r="L105" s="19" t="str">
        <x:v>002965</x:v>
      </x:c>
      <x:c r="M105" s="19" t="str">
        <x:v>https://nlftp.mlit.go.jp/ksj/gml/datalist/KsjTmplt-S12-2024.html</x:v>
      </x:c>
      <x:c r="N105" s="18" t="str">
        <x:v>0785e932a32b3ec15e1a1345537ae145eafe1c07bf38d5c16c11ee2b391e7a28</x:v>
      </x:c>
      <x:c r="O105" s="18" t="str">
        <x:v>8cad9588bc6f9241127c06906ae05c940c8bf29e</x:v>
      </x:c>
      <x:c r="P105" s="18" t="str">
        <x:v>否</x:v>
      </x:c>
    </x:row>
    <x:row r="106" ht="28" customHeight="1">
      <x:c r="A106" s="18" t="str">
        <x:v>海浜幕張</x:v>
      </x:c>
      <x:c r="B106" s="18" t="str">
        <x:v>東日本旅客鉄道</x:v>
      </x:c>
      <x:c r="C106" s="18" t="str">
        <x:v>conventional_rail</x:v>
      </x:c>
      <x:c r="D106" s="18" t="str">
        <x:v>T1</x:v>
      </x:c>
      <x:c r="E106" s="19" t="str">
        <x:v>单组件源记录，官方站点待核</x:v>
      </x:c>
      <x:c r="F106" s="19" t="str"/>
      <x:c r="G106" s="20" t="n">
        <x:v>1</x:v>
      </x:c>
      <x:c r="H106" s="19" t="str">
        <x:v>海浜幕張 | 東日本旅客鉄道 | conventional_rail | 京葉線</x:v>
      </x:c>
      <x:c r="I106" s="19" t="str"/>
      <x:c r="J106" s="19" t="str">
        <x:v>核实官方站点图及实际换乘边界；不能按 S12 源组归 Hub。大阪扩审仍冻结。</x:v>
      </x:c>
      <x:c r="K106" s="18" t="str">
        <x:v>transport-node:b549e4fa-75db-5fda-94e5-a1daca0a7793</x:v>
      </x:c>
      <x:c r="L106" s="19" t="str">
        <x:v>003984</x:v>
      </x:c>
      <x:c r="M106" s="19" t="str">
        <x:v>https://nlftp.mlit.go.jp/ksj/gml/datalist/KsjTmplt-S12-2024.html</x:v>
      </x:c>
      <x:c r="N106" s="18" t="str">
        <x:v>0785e932a32b3ec15e1a1345537ae145eafe1c07bf38d5c16c11ee2b391e7a28</x:v>
      </x:c>
      <x:c r="O106" s="18" t="str">
        <x:v>8cad9588bc6f9241127c06906ae05c940c8bf29e</x:v>
      </x:c>
      <x:c r="P106" s="18" t="str">
        <x:v>否</x:v>
      </x:c>
    </x:row>
    <x:row r="107" ht="28" customHeight="1">
      <x:c r="A107" s="18" t="str">
        <x:v>外苑前</x:v>
      </x:c>
      <x:c r="B107" s="18" t="str">
        <x:v>東京地下鉄</x:v>
      </x:c>
      <x:c r="C107" s="18" t="str">
        <x:v>metro</x:v>
      </x:c>
      <x:c r="D107" s="18" t="str">
        <x:v>T1</x:v>
      </x:c>
      <x:c r="E107" s="19" t="str">
        <x:v>单组件源记录，官方站点待核</x:v>
      </x:c>
      <x:c r="F107" s="19" t="str"/>
      <x:c r="G107" s="20" t="n">
        <x:v>1</x:v>
      </x:c>
      <x:c r="H107" s="19" t="str">
        <x:v>外苑前 | 東京地下鉄 | metro | 3号線銀座線</x:v>
      </x:c>
      <x:c r="I107" s="19" t="str"/>
      <x:c r="J107" s="19" t="str">
        <x:v>核实官方站点图及实际换乘边界；不能按 S12 源组归 Hub。大阪扩审仍冻结。</x:v>
      </x:c>
      <x:c r="K107" s="18" t="str">
        <x:v>transport-node:279e7b53-5532-53be-b4b6-ac7590c434b5</x:v>
      </x:c>
      <x:c r="L107" s="19" t="str">
        <x:v>003834</x:v>
      </x:c>
      <x:c r="M107" s="19" t="str">
        <x:v>https://nlftp.mlit.go.jp/ksj/gml/datalist/KsjTmplt-S12-2024.html</x:v>
      </x:c>
      <x:c r="N107" s="18" t="str">
        <x:v>0785e932a32b3ec15e1a1345537ae145eafe1c07bf38d5c16c11ee2b391e7a28</x:v>
      </x:c>
      <x:c r="O107" s="18" t="str">
        <x:v>8cad9588bc6f9241127c06906ae05c940c8bf29e</x:v>
      </x:c>
      <x:c r="P107" s="18" t="str">
        <x:v>否</x:v>
      </x:c>
    </x:row>
    <x:row r="108" ht="28" customHeight="1">
      <x:c r="A108" s="18" t="str">
        <x:v>学芸大学</x:v>
      </x:c>
      <x:c r="B108" s="18" t="str">
        <x:v>東急電鉄</x:v>
      </x:c>
      <x:c r="C108" s="18" t="str">
        <x:v>private_rail</x:v>
      </x:c>
      <x:c r="D108" s="18" t="str">
        <x:v>T1</x:v>
      </x:c>
      <x:c r="E108" s="19" t="str">
        <x:v>单组件源记录，官方站点待核</x:v>
      </x:c>
      <x:c r="F108" s="19" t="str"/>
      <x:c r="G108" s="20" t="n">
        <x:v>1</x:v>
      </x:c>
      <x:c r="H108" s="19" t="str">
        <x:v>学芸大学 | 東急電鉄 | private_rail | 東横線</x:v>
      </x:c>
      <x:c r="I108" s="19" t="str"/>
      <x:c r="J108" s="19" t="str">
        <x:v>核实官方站点图及实际换乘边界；不能按 S12 源组归 Hub。大阪扩审仍冻结。</x:v>
      </x:c>
      <x:c r="K108" s="18" t="str">
        <x:v>transport-node:cfbe78eb-cd46-52b3-92a7-13a676429c18</x:v>
      </x:c>
      <x:c r="L108" s="19" t="str">
        <x:v>004094</x:v>
      </x:c>
      <x:c r="M108" s="19" t="str">
        <x:v>https://nlftp.mlit.go.jp/ksj/gml/datalist/KsjTmplt-S12-2024.html</x:v>
      </x:c>
      <x:c r="N108" s="18" t="str">
        <x:v>0785e932a32b3ec15e1a1345537ae145eafe1c07bf38d5c16c11ee2b391e7a28</x:v>
      </x:c>
      <x:c r="O108" s="18" t="str">
        <x:v>8cad9588bc6f9241127c06906ae05c940c8bf29e</x:v>
      </x:c>
      <x:c r="P108" s="18" t="str">
        <x:v>否</x:v>
      </x:c>
    </x:row>
    <x:row r="109" ht="28" customHeight="1">
      <x:c r="A109" s="18" t="str">
        <x:v>葛西</x:v>
      </x:c>
      <x:c r="B109" s="18" t="str">
        <x:v>東京地下鉄</x:v>
      </x:c>
      <x:c r="C109" s="18" t="str">
        <x:v>metro</x:v>
      </x:c>
      <x:c r="D109" s="18" t="str">
        <x:v>T1</x:v>
      </x:c>
      <x:c r="E109" s="19" t="str">
        <x:v>单组件源记录，官方站点待核</x:v>
      </x:c>
      <x:c r="F109" s="19" t="str"/>
      <x:c r="G109" s="20" t="n">
        <x:v>1</x:v>
      </x:c>
      <x:c r="H109" s="19" t="str">
        <x:v>葛西 | 東京地下鉄 | metro | 5号線東西線</x:v>
      </x:c>
      <x:c r="I109" s="19" t="str"/>
      <x:c r="J109" s="19" t="str">
        <x:v>核实官方站点图及实际换乘边界；不能按 S12 源组归 Hub。大阪扩审仍冻结。</x:v>
      </x:c>
      <x:c r="K109" s="18" t="str">
        <x:v>transport-node:98133273-3fe7-58c7-8c2b-52b788095359</x:v>
      </x:c>
      <x:c r="L109" s="19" t="str">
        <x:v>003894</x:v>
      </x:c>
      <x:c r="M109" s="19" t="str">
        <x:v>https://nlftp.mlit.go.jp/ksj/gml/datalist/KsjTmplt-S12-2024.html</x:v>
      </x:c>
      <x:c r="N109" s="18" t="str">
        <x:v>0785e932a32b3ec15e1a1345537ae145eafe1c07bf38d5c16c11ee2b391e7a28</x:v>
      </x:c>
      <x:c r="O109" s="18" t="str">
        <x:v>8cad9588bc6f9241127c06906ae05c940c8bf29e</x:v>
      </x:c>
      <x:c r="P109" s="18" t="str">
        <x:v>否</x:v>
      </x:c>
    </x:row>
    <x:row r="110" ht="28" customHeight="1">
      <x:c r="A110" s="18" t="str">
        <x:v>鴨居</x:v>
      </x:c>
      <x:c r="B110" s="18" t="str">
        <x:v>東日本旅客鉄道</x:v>
      </x:c>
      <x:c r="C110" s="18" t="str">
        <x:v>conventional_rail</x:v>
      </x:c>
      <x:c r="D110" s="18" t="str">
        <x:v>T1</x:v>
      </x:c>
      <x:c r="E110" s="19" t="str">
        <x:v>单组件源记录，官方站点待核</x:v>
      </x:c>
      <x:c r="F110" s="19" t="str"/>
      <x:c r="G110" s="20" t="n">
        <x:v>1</x:v>
      </x:c>
      <x:c r="H110" s="19" t="str">
        <x:v>鴨居 | 東日本旅客鉄道 | conventional_rail | 横浜線</x:v>
      </x:c>
      <x:c r="I110" s="19" t="str"/>
      <x:c r="J110" s="19" t="str">
        <x:v>核实官方站点图及实际换乘边界；不能按 S12 源组归 Hub。大阪扩审仍冻结。</x:v>
      </x:c>
      <x:c r="K110" s="18" t="str">
        <x:v>transport-node:6e0641e5-167f-5c3c-ae98-f51d71633d9a</x:v>
      </x:c>
      <x:c r="L110" s="19" t="str">
        <x:v>004485</x:v>
      </x:c>
      <x:c r="M110" s="19" t="str">
        <x:v>https://nlftp.mlit.go.jp/ksj/gml/datalist/KsjTmplt-S12-2024.html</x:v>
      </x:c>
      <x:c r="N110" s="18" t="str">
        <x:v>0785e932a32b3ec15e1a1345537ae145eafe1c07bf38d5c16c11ee2b391e7a28</x:v>
      </x:c>
      <x:c r="O110" s="18" t="str">
        <x:v>8cad9588bc6f9241127c06906ae05c940c8bf29e</x:v>
      </x:c>
      <x:c r="P110" s="18" t="str">
        <x:v>否</x:v>
      </x:c>
    </x:row>
    <x:row r="111" ht="28" customHeight="1">
      <x:c r="A111" s="18" t="str">
        <x:v>茅ヶ崎</x:v>
      </x:c>
      <x:c r="B111" s="18" t="str">
        <x:v>東日本旅客鉄道</x:v>
      </x:c>
      <x:c r="C111" s="18" t="str">
        <x:v>conventional_rail</x:v>
      </x:c>
      <x:c r="D111" s="18" t="str">
        <x:v>T1</x:v>
      </x:c>
      <x:c r="E111" s="19" t="str">
        <x:v>单组件源记录，官方站点待核</x:v>
      </x:c>
      <x:c r="F111" s="19" t="str"/>
      <x:c r="G111" s="20" t="n">
        <x:v>1</x:v>
      </x:c>
      <x:c r="H111" s="19" t="str">
        <x:v>茅ヶ崎 | 東日本旅客鉄道 | conventional_rail | 東海道線 / 相模線</x:v>
      </x:c>
      <x:c r="I111" s="19" t="str"/>
      <x:c r="J111" s="19" t="str">
        <x:v>核实官方站点图及实际换乘边界；不能按 S12 源组归 Hub。大阪扩审仍冻结。</x:v>
      </x:c>
      <x:c r="K111" s="18" t="str">
        <x:v>transport-node:b2a96155-102e-53c7-a7ed-5682d3556333</x:v>
      </x:c>
      <x:c r="L111" s="19" t="str">
        <x:v>005023</x:v>
      </x:c>
      <x:c r="M111" s="19" t="str">
        <x:v>https://nlftp.mlit.go.jp/ksj/gml/datalist/KsjTmplt-S12-2024.html</x:v>
      </x:c>
      <x:c r="N111" s="18" t="str">
        <x:v>0785e932a32b3ec15e1a1345537ae145eafe1c07bf38d5c16c11ee2b391e7a28</x:v>
      </x:c>
      <x:c r="O111" s="18" t="str">
        <x:v>8cad9588bc6f9241127c06906ae05c940c8bf29e</x:v>
      </x:c>
      <x:c r="P111" s="18" t="str">
        <x:v>否</x:v>
      </x:c>
    </x:row>
    <x:row r="112" ht="28" customHeight="1">
      <x:c r="A112" s="18" t="str">
        <x:v>岐阜</x:v>
      </x:c>
      <x:c r="B112" s="18" t="str">
        <x:v>東海旅客鉄道</x:v>
      </x:c>
      <x:c r="C112" s="18" t="str">
        <x:v>conventional_rail</x:v>
      </x:c>
      <x:c r="D112" s="18" t="str">
        <x:v>T1</x:v>
      </x:c>
      <x:c r="E112" s="19" t="str">
        <x:v>单组件源记录，官方站点待核</x:v>
      </x:c>
      <x:c r="F112" s="19" t="str"/>
      <x:c r="G112" s="20" t="n">
        <x:v>1</x:v>
      </x:c>
      <x:c r="H112" s="19" t="str">
        <x:v>岐阜 | 東海旅客鉄道 | conventional_rail | 東海道線 / 高山線</x:v>
      </x:c>
      <x:c r="I112" s="19" t="str"/>
      <x:c r="J112" s="19" t="str">
        <x:v>核实官方站点图及实际换乘边界；不能按 S12 源组归 Hub。大阪扩审仍冻结。</x:v>
      </x:c>
      <x:c r="K112" s="18" t="str">
        <x:v>transport-node:1b5bed43-c5cd-512f-aec2-bf57634c09f0</x:v>
      </x:c>
      <x:c r="L112" s="19" t="str">
        <x:v>004788</x:v>
      </x:c>
      <x:c r="M112" s="19" t="str">
        <x:v>https://nlftp.mlit.go.jp/ksj/gml/datalist/KsjTmplt-S12-2024.html</x:v>
      </x:c>
      <x:c r="N112" s="18" t="str">
        <x:v>0785e932a32b3ec15e1a1345537ae145eafe1c07bf38d5c16c11ee2b391e7a28</x:v>
      </x:c>
      <x:c r="O112" s="18" t="str">
        <x:v>8cad9588bc6f9241127c06906ae05c940c8bf29e</x:v>
      </x:c>
      <x:c r="P112" s="18" t="str">
        <x:v>否</x:v>
      </x:c>
    </x:row>
    <x:row r="113" ht="28" customHeight="1">
      <x:c r="A113" s="18" t="str">
        <x:v>亀有</x:v>
      </x:c>
      <x:c r="B113" s="18" t="str">
        <x:v>東日本旅客鉄道</x:v>
      </x:c>
      <x:c r="C113" s="18" t="str">
        <x:v>conventional_rail</x:v>
      </x:c>
      <x:c r="D113" s="18" t="str">
        <x:v>T1</x:v>
      </x:c>
      <x:c r="E113" s="19" t="str">
        <x:v>单组件源记录，官方站点待核</x:v>
      </x:c>
      <x:c r="F113" s="19" t="str"/>
      <x:c r="G113" s="20" t="n">
        <x:v>1</x:v>
      </x:c>
      <x:c r="H113" s="19" t="str">
        <x:v>亀有 | 東日本旅客鉄道 | conventional_rail | 常磐線</x:v>
      </x:c>
      <x:c r="I113" s="19" t="str"/>
      <x:c r="J113" s="19" t="str">
        <x:v>核实官方站点图及实际换乘边界；不能按 S12 源组归 Hub。大阪扩审仍冻结。</x:v>
      </x:c>
      <x:c r="K113" s="18" t="str">
        <x:v>transport-node:fd9b5cf4-bf79-541a-9c17-d669ebbe86f1</x:v>
      </x:c>
      <x:c r="L113" s="19" t="str">
        <x:v>003199</x:v>
      </x:c>
      <x:c r="M113" s="19" t="str">
        <x:v>https://nlftp.mlit.go.jp/ksj/gml/datalist/KsjTmplt-S12-2024.html</x:v>
      </x:c>
      <x:c r="N113" s="18" t="str">
        <x:v>0785e932a32b3ec15e1a1345537ae145eafe1c07bf38d5c16c11ee2b391e7a28</x:v>
      </x:c>
      <x:c r="O113" s="18" t="str">
        <x:v>8cad9588bc6f9241127c06906ae05c940c8bf29e</x:v>
      </x:c>
      <x:c r="P113" s="18" t="str">
        <x:v>否</x:v>
      </x:c>
    </x:row>
    <x:row r="114" ht="28" customHeight="1">
      <x:c r="A114" s="18" t="str">
        <x:v>京王稲田堤</x:v>
      </x:c>
      <x:c r="B114" s="18" t="str">
        <x:v>京王電鉄</x:v>
      </x:c>
      <x:c r="C114" s="18" t="str">
        <x:v>private_rail</x:v>
      </x:c>
      <x:c r="D114" s="18" t="str">
        <x:v>T1</x:v>
      </x:c>
      <x:c r="E114" s="19" t="str">
        <x:v>单组件源记录，官方站点待核</x:v>
      </x:c>
      <x:c r="F114" s="19" t="str"/>
      <x:c r="G114" s="20" t="n">
        <x:v>1</x:v>
      </x:c>
      <x:c r="H114" s="19" t="str">
        <x:v>京王稲田堤 | 京王電鉄 | private_rail | 相模原線</x:v>
      </x:c>
      <x:c r="I114" s="19" t="str"/>
      <x:c r="J114" s="19" t="str">
        <x:v>核实官方站点图及实际换乘边界；不能按 S12 源组归 Hub。大阪扩审仍冻结。</x:v>
      </x:c>
      <x:c r="K114" s="18" t="str">
        <x:v>transport-node:b7e81fc0-4ef0-50af-855d-8996070c703c</x:v>
      </x:c>
      <x:c r="L114" s="19" t="str">
        <x:v>004066</x:v>
      </x:c>
      <x:c r="M114" s="19" t="str">
        <x:v>https://nlftp.mlit.go.jp/ksj/gml/datalist/KsjTmplt-S12-2024.html</x:v>
      </x:c>
      <x:c r="N114" s="18" t="str">
        <x:v>0785e932a32b3ec15e1a1345537ae145eafe1c07bf38d5c16c11ee2b391e7a28</x:v>
      </x:c>
      <x:c r="O114" s="18" t="str">
        <x:v>8cad9588bc6f9241127c06906ae05c940c8bf29e</x:v>
      </x:c>
      <x:c r="P114" s="18" t="str">
        <x:v>否</x:v>
      </x:c>
    </x:row>
    <x:row r="115" ht="28" customHeight="1">
      <x:c r="A115" s="18" t="str">
        <x:v>京急川崎</x:v>
      </x:c>
      <x:c r="B115" s="18" t="str">
        <x:v>京浜急行電鉄</x:v>
      </x:c>
      <x:c r="C115" s="18" t="str">
        <x:v>private_rail</x:v>
      </x:c>
      <x:c r="D115" s="18" t="str">
        <x:v>T1</x:v>
      </x:c>
      <x:c r="E115" s="19" t="str">
        <x:v>单组件源记录，官方站点待核</x:v>
      </x:c>
      <x:c r="F115" s="19" t="str"/>
      <x:c r="G115" s="20" t="n">
        <x:v>1</x:v>
      </x:c>
      <x:c r="H115" s="19" t="str">
        <x:v>京急川崎 | 京浜急行電鉄 | private_rail | 大師線 / 本線</x:v>
      </x:c>
      <x:c r="I115" s="19" t="str"/>
      <x:c r="J115" s="19" t="str">
        <x:v>核实官方站点图及实际换乘边界；不能按 S12 源组归 Hub。大阪扩审仍冻结。</x:v>
      </x:c>
      <x:c r="K115" s="18" t="str">
        <x:v>transport-node:5e32edf2-6382-54b0-8ec8-12ffa8d5641a</x:v>
      </x:c>
      <x:c r="L115" s="19" t="str">
        <x:v>004424</x:v>
      </x:c>
      <x:c r="M115" s="19" t="str">
        <x:v>https://nlftp.mlit.go.jp/ksj/gml/datalist/KsjTmplt-S12-2024.html</x:v>
      </x:c>
      <x:c r="N115" s="18" t="str">
        <x:v>0785e932a32b3ec15e1a1345537ae145eafe1c07bf38d5c16c11ee2b391e7a28</x:v>
      </x:c>
      <x:c r="O115" s="18" t="str">
        <x:v>8cad9588bc6f9241127c06906ae05c940c8bf29e</x:v>
      </x:c>
      <x:c r="P115" s="18" t="str">
        <x:v>否</x:v>
      </x:c>
    </x:row>
    <x:row r="116" ht="28" customHeight="1">
      <x:c r="A116" s="18" t="str">
        <x:v>京橋</x:v>
      </x:c>
      <x:c r="B116" s="18" t="str">
        <x:v>東京地下鉄</x:v>
      </x:c>
      <x:c r="C116" s="18" t="str">
        <x:v>metro</x:v>
      </x:c>
      <x:c r="D116" s="18" t="str">
        <x:v>T1</x:v>
      </x:c>
      <x:c r="E116" s="19" t="str">
        <x:v>单组件源记录，官方站点待核</x:v>
      </x:c>
      <x:c r="F116" s="19" t="str"/>
      <x:c r="G116" s="20" t="n">
        <x:v>1</x:v>
      </x:c>
      <x:c r="H116" s="19" t="str">
        <x:v>京橋 | 東京地下鉄 | metro | 3号線銀座線</x:v>
      </x:c>
      <x:c r="I116" s="19" t="str"/>
      <x:c r="J116" s="19" t="str">
        <x:v>核实官方站点图及实际换乘边界；不能按 S12 源组归 Hub。大阪扩审仍冻结。</x:v>
      </x:c>
      <x:c r="K116" s="18" t="str">
        <x:v>transport-node:3bee18cd-3901-5c7b-811b-22a6af2891ca</x:v>
      </x:c>
      <x:c r="L116" s="19" t="str">
        <x:v>003792</x:v>
      </x:c>
      <x:c r="M116" s="19" t="str">
        <x:v>https://nlftp.mlit.go.jp/ksj/gml/datalist/KsjTmplt-S12-2024.html</x:v>
      </x:c>
      <x:c r="N116" s="18" t="str">
        <x:v>0785e932a32b3ec15e1a1345537ae145eafe1c07bf38d5c16c11ee2b391e7a28</x:v>
      </x:c>
      <x:c r="O116" s="18" t="str">
        <x:v>8cad9588bc6f9241127c06906ae05c940c8bf29e</x:v>
      </x:c>
      <x:c r="P116" s="18" t="str">
        <x:v>否</x:v>
      </x:c>
    </x:row>
    <x:row r="117" ht="28" customHeight="1">
      <x:c r="A117" s="18" t="str">
        <x:v>近鉄奈良</x:v>
      </x:c>
      <x:c r="B117" s="18" t="str">
        <x:v>近畿日本鉄道</x:v>
      </x:c>
      <x:c r="C117" s="18" t="str">
        <x:v>private_rail</x:v>
      </x:c>
      <x:c r="D117" s="18" t="str">
        <x:v>T1</x:v>
      </x:c>
      <x:c r="E117" s="19" t="str">
        <x:v>单组件源记录，官方站点待核</x:v>
      </x:c>
      <x:c r="F117" s="19" t="str"/>
      <x:c r="G117" s="20" t="n">
        <x:v>1</x:v>
      </x:c>
      <x:c r="H117" s="19" t="str">
        <x:v>近鉄奈良 | 近畿日本鉄道 | private_rail | 奈良線</x:v>
      </x:c>
      <x:c r="I117" s="19" t="str"/>
      <x:c r="J117" s="19" t="str">
        <x:v>核实官方站点图及实际换乘边界；不能按 S12 源组归 Hub。大阪扩审仍冻结。</x:v>
      </x:c>
      <x:c r="K117" s="18" t="str">
        <x:v>transport-node:807ffe4c-83b6-5dab-b8d4-d0944dba4ad3</x:v>
      </x:c>
      <x:c r="L117" s="19" t="str">
        <x:v>007183</x:v>
      </x:c>
      <x:c r="M117" s="19" t="str">
        <x:v>https://nlftp.mlit.go.jp/ksj/gml/datalist/KsjTmplt-S12-2024.html</x:v>
      </x:c>
      <x:c r="N117" s="18" t="str">
        <x:v>0785e932a32b3ec15e1a1345537ae145eafe1c07bf38d5c16c11ee2b391e7a28</x:v>
      </x:c>
      <x:c r="O117" s="18" t="str">
        <x:v>8cad9588bc6f9241127c06906ae05c940c8bf29e</x:v>
      </x:c>
      <x:c r="P117" s="18" t="str">
        <x:v>否</x:v>
      </x:c>
    </x:row>
    <x:row r="118" ht="28" customHeight="1">
      <x:c r="A118" s="18" t="str">
        <x:v>金沢文庫</x:v>
      </x:c>
      <x:c r="B118" s="18" t="str">
        <x:v>京浜急行電鉄</x:v>
      </x:c>
      <x:c r="C118" s="18" t="str">
        <x:v>private_rail</x:v>
      </x:c>
      <x:c r="D118" s="18" t="str">
        <x:v>T1</x:v>
      </x:c>
      <x:c r="E118" s="19" t="str">
        <x:v>单组件源记录，官方站点待核</x:v>
      </x:c>
      <x:c r="F118" s="19" t="str"/>
      <x:c r="G118" s="20" t="n">
        <x:v>1</x:v>
      </x:c>
      <x:c r="H118" s="19" t="str">
        <x:v>金沢文庫 | 京浜急行電鉄 | private_rail | 本線</x:v>
      </x:c>
      <x:c r="I118" s="19" t="str"/>
      <x:c r="J118" s="19" t="str">
        <x:v>核实官方站点图及实际换乘边界；不能按 S12 源组归 Hub。大阪扩审仍冻结。</x:v>
      </x:c>
      <x:c r="K118" s="18" t="str">
        <x:v>transport-node:473249f2-3b1e-51ed-8f0c-2302ab1c8a25</x:v>
      </x:c>
      <x:c r="L118" s="19" t="str">
        <x:v>004986</x:v>
      </x:c>
      <x:c r="M118" s="19" t="str">
        <x:v>https://nlftp.mlit.go.jp/ksj/gml/datalist/KsjTmplt-S12-2024.html</x:v>
      </x:c>
      <x:c r="N118" s="18" t="str">
        <x:v>0785e932a32b3ec15e1a1345537ae145eafe1c07bf38d5c16c11ee2b391e7a28</x:v>
      </x:c>
      <x:c r="O118" s="18" t="str">
        <x:v>8cad9588bc6f9241127c06906ae05c940c8bf29e</x:v>
      </x:c>
      <x:c r="P118" s="18" t="str">
        <x:v>否</x:v>
      </x:c>
    </x:row>
    <x:row r="119" ht="28" customHeight="1">
      <x:c r="A119" s="18" t="str">
        <x:v>金町</x:v>
      </x:c>
      <x:c r="B119" s="18" t="str">
        <x:v>東日本旅客鉄道</x:v>
      </x:c>
      <x:c r="C119" s="18" t="str">
        <x:v>conventional_rail</x:v>
      </x:c>
      <x:c r="D119" s="18" t="str">
        <x:v>T1</x:v>
      </x:c>
      <x:c r="E119" s="19" t="str">
        <x:v>单组件源记录，官方站点待核</x:v>
      </x:c>
      <x:c r="F119" s="19" t="str"/>
      <x:c r="G119" s="20" t="n">
        <x:v>1</x:v>
      </x:c>
      <x:c r="H119" s="19" t="str">
        <x:v>金町 | 東日本旅客鉄道 | conventional_rail | 常磐線</x:v>
      </x:c>
      <x:c r="I119" s="19" t="str"/>
      <x:c r="J119" s="19" t="str">
        <x:v>核实官方站点图及实际换乘边界；不能按 S12 源组归 Hub。大阪扩审仍冻结。</x:v>
      </x:c>
      <x:c r="K119" s="18" t="str">
        <x:v>transport-node:9a0fef74-6024-546a-a2c5-8677a895b962</x:v>
      </x:c>
      <x:c r="L119" s="19" t="str">
        <x:v>003191</x:v>
      </x:c>
      <x:c r="M119" s="19" t="str">
        <x:v>https://nlftp.mlit.go.jp/ksj/gml/datalist/KsjTmplt-S12-2024.html</x:v>
      </x:c>
      <x:c r="N119" s="18" t="str">
        <x:v>0785e932a32b3ec15e1a1345537ae145eafe1c07bf38d5c16c11ee2b391e7a28</x:v>
      </x:c>
      <x:c r="O119" s="18" t="str">
        <x:v>8cad9588bc6f9241127c06906ae05c940c8bf29e</x:v>
      </x:c>
      <x:c r="P119" s="18" t="str">
        <x:v>否</x:v>
      </x:c>
    </x:row>
    <x:row r="120" ht="28" customHeight="1">
      <x:c r="A120" s="18" t="str">
        <x:v>駒沢大学</x:v>
      </x:c>
      <x:c r="B120" s="18" t="str">
        <x:v>東急電鉄</x:v>
      </x:c>
      <x:c r="C120" s="18" t="str">
        <x:v>private_rail</x:v>
      </x:c>
      <x:c r="D120" s="18" t="str">
        <x:v>T1</x:v>
      </x:c>
      <x:c r="E120" s="19" t="str">
        <x:v>单组件源记录，官方站点待核</x:v>
      </x:c>
      <x:c r="F120" s="19" t="str"/>
      <x:c r="G120" s="20" t="n">
        <x:v>1</x:v>
      </x:c>
      <x:c r="H120" s="19" t="str">
        <x:v>駒沢大学 | 東急電鉄 | private_rail | 田園都市線</x:v>
      </x:c>
      <x:c r="I120" s="19" t="str"/>
      <x:c r="J120" s="19" t="str">
        <x:v>核实官方站点图及实际换乘边界；不能按 S12 源组归 Hub。大阪扩审仍冻结。</x:v>
      </x:c>
      <x:c r="K120" s="18" t="str">
        <x:v>transport-node:b133fba4-8823-5a85-8a74-61025b0a7ac0</x:v>
      </x:c>
      <x:c r="L120" s="19" t="str">
        <x:v>004069</x:v>
      </x:c>
      <x:c r="M120" s="19" t="str">
        <x:v>https://nlftp.mlit.go.jp/ksj/gml/datalist/KsjTmplt-S12-2024.html</x:v>
      </x:c>
      <x:c r="N120" s="18" t="str">
        <x:v>0785e932a32b3ec15e1a1345537ae145eafe1c07bf38d5c16c11ee2b391e7a28</x:v>
      </x:c>
      <x:c r="O120" s="18" t="str">
        <x:v>8cad9588bc6f9241127c06906ae05c940c8bf29e</x:v>
      </x:c>
      <x:c r="P120" s="18" t="str">
        <x:v>否</x:v>
      </x:c>
    </x:row>
    <x:row r="121" ht="28" customHeight="1">
      <x:c r="A121" s="18" t="str">
        <x:v>経堂</x:v>
      </x:c>
      <x:c r="B121" s="18" t="str">
        <x:v>小田急電鉄</x:v>
      </x:c>
      <x:c r="C121" s="18" t="str">
        <x:v>private_rail</x:v>
      </x:c>
      <x:c r="D121" s="18" t="str">
        <x:v>T1</x:v>
      </x:c>
      <x:c r="E121" s="19" t="str">
        <x:v>单组件源记录，官方站点待核</x:v>
      </x:c>
      <x:c r="F121" s="19" t="str"/>
      <x:c r="G121" s="20" t="n">
        <x:v>1</x:v>
      </x:c>
      <x:c r="H121" s="19" t="str">
        <x:v>経堂 | 小田急電鉄 | private_rail | 小田原線</x:v>
      </x:c>
      <x:c r="I121" s="19" t="str"/>
      <x:c r="J121" s="19" t="str">
        <x:v>核实官方站点图及实际换乘边界；不能按 S12 源组归 Hub。大阪扩审仍冻结。</x:v>
      </x:c>
      <x:c r="K121" s="18" t="str">
        <x:v>transport-node:fd8b7df5-e532-5c59-9244-e3ed2ddc37b6</x:v>
      </x:c>
      <x:c r="L121" s="19" t="str">
        <x:v>003970</x:v>
      </x:c>
      <x:c r="M121" s="19" t="str">
        <x:v>https://nlftp.mlit.go.jp/ksj/gml/datalist/KsjTmplt-S12-2024.html</x:v>
      </x:c>
      <x:c r="N121" s="18" t="str">
        <x:v>0785e932a32b3ec15e1a1345537ae145eafe1c07bf38d5c16c11ee2b391e7a28</x:v>
      </x:c>
      <x:c r="O121" s="18" t="str">
        <x:v>8cad9588bc6f9241127c06906ae05c940c8bf29e</x:v>
      </x:c>
      <x:c r="P121" s="18" t="str">
        <x:v>否</x:v>
      </x:c>
    </x:row>
    <x:row r="122" ht="28" customHeight="1">
      <x:c r="A122" s="18" t="str">
        <x:v>元住吉</x:v>
      </x:c>
      <x:c r="B122" s="18" t="str">
        <x:v>東急電鉄</x:v>
      </x:c>
      <x:c r="C122" s="18" t="str">
        <x:v>private_rail</x:v>
      </x:c>
      <x:c r="D122" s="18" t="str">
        <x:v>T1</x:v>
      </x:c>
      <x:c r="E122" s="19" t="str">
        <x:v>单组件源记录，官方站点待核</x:v>
      </x:c>
      <x:c r="F122" s="19" t="str"/>
      <x:c r="G122" s="20" t="n">
        <x:v>1</x:v>
      </x:c>
      <x:c r="H122" s="19" t="str">
        <x:v>元住吉 | 東急電鉄 | private_rail | 東横線</x:v>
      </x:c>
      <x:c r="I122" s="19" t="str"/>
      <x:c r="J122" s="19" t="str">
        <x:v>核实官方站点图及实际换乘边界；不能按 S12 源组归 Hub。大阪扩审仍冻结。</x:v>
      </x:c>
      <x:c r="K122" s="18" t="str">
        <x:v>transport-node:029ef9ce-a11f-5edc-86d6-c1dca12fb221</x:v>
      </x:c>
      <x:c r="L122" s="19" t="str">
        <x:v>004322</x:v>
      </x:c>
      <x:c r="M122" s="19" t="str">
        <x:v>https://nlftp.mlit.go.jp/ksj/gml/datalist/KsjTmplt-S12-2024.html</x:v>
      </x:c>
      <x:c r="N122" s="18" t="str">
        <x:v>0785e932a32b3ec15e1a1345537ae145eafe1c07bf38d5c16c11ee2b391e7a28</x:v>
      </x:c>
      <x:c r="O122" s="18" t="str">
        <x:v>8cad9588bc6f9241127c06906ae05c940c8bf29e</x:v>
      </x:c>
      <x:c r="P122" s="18" t="str">
        <x:v>否</x:v>
      </x:c>
    </x:row>
    <x:row r="123" ht="28" customHeight="1">
      <x:c r="A123" s="18" t="str">
        <x:v>元町・中華街</x:v>
      </x:c>
      <x:c r="B123" s="18" t="str">
        <x:v>横浜高速鉄道</x:v>
      </x:c>
      <x:c r="C123" s="18" t="str">
        <x:v>private_rail</x:v>
      </x:c>
      <x:c r="D123" s="18" t="str">
        <x:v>T1</x:v>
      </x:c>
      <x:c r="E123" s="19" t="str">
        <x:v>单组件源记录，官方站点待核</x:v>
      </x:c>
      <x:c r="F123" s="19" t="str"/>
      <x:c r="G123" s="20" t="n">
        <x:v>1</x:v>
      </x:c>
      <x:c r="H123" s="19" t="str">
        <x:v>元町・中華街 | 横浜高速鉄道 | private_rail | みなとみらい21線</x:v>
      </x:c>
      <x:c r="I123" s="19" t="str"/>
      <x:c r="J123" s="19" t="str">
        <x:v>核实官方站点图及实际换乘边界；不能按 S12 源组归 Hub。大阪扩审仍冻结。</x:v>
      </x:c>
      <x:c r="K123" s="18" t="str">
        <x:v>transport-node:5feb1952-10b6-536f-b46a-5cadde08e3e8</x:v>
      </x:c>
      <x:c r="L123" s="19" t="str">
        <x:v>004704</x:v>
      </x:c>
      <x:c r="M123" s="19" t="str">
        <x:v>https://nlftp.mlit.go.jp/ksj/gml/datalist/KsjTmplt-S12-2024.html</x:v>
      </x:c>
      <x:c r="N123" s="18" t="str">
        <x:v>0785e932a32b3ec15e1a1345537ae145eafe1c07bf38d5c16c11ee2b391e7a28</x:v>
      </x:c>
      <x:c r="O123" s="18" t="str">
        <x:v>8cad9588bc6f9241127c06906ae05c940c8bf29e</x:v>
      </x:c>
      <x:c r="P123" s="18" t="str">
        <x:v>否</x:v>
      </x:c>
    </x:row>
    <x:row r="124" ht="28" customHeight="1">
      <x:c r="A124" s="18" t="str">
        <x:v>戸田公園</x:v>
      </x:c>
      <x:c r="B124" s="18" t="str">
        <x:v>東日本旅客鉄道</x:v>
      </x:c>
      <x:c r="C124" s="18" t="str">
        <x:v>conventional_rail</x:v>
      </x:c>
      <x:c r="D124" s="18" t="str">
        <x:v>T1</x:v>
      </x:c>
      <x:c r="E124" s="19" t="str">
        <x:v>单组件源记录，官方站点待核</x:v>
      </x:c>
      <x:c r="F124" s="19" t="str"/>
      <x:c r="G124" s="20" t="n">
        <x:v>1</x:v>
      </x:c>
      <x:c r="H124" s="19" t="str">
        <x:v>戸田公園 | 東日本旅客鉄道 | conventional_rail | 東北線</x:v>
      </x:c>
      <x:c r="I124" s="19" t="str"/>
      <x:c r="J124" s="19" t="str">
        <x:v>核实官方站点图及实际换乘边界；不能按 S12 源组归 Hub。大阪扩审仍冻结。</x:v>
      </x:c>
      <x:c r="K124" s="18" t="str">
        <x:v>transport-node:db7d3123-ba09-5877-be8b-33470ea1f69d</x:v>
      </x:c>
      <x:c r="L124" s="19" t="str">
        <x:v>003072</x:v>
      </x:c>
      <x:c r="M124" s="19" t="str">
        <x:v>https://nlftp.mlit.go.jp/ksj/gml/datalist/KsjTmplt-S12-2024.html</x:v>
      </x:c>
      <x:c r="N124" s="18" t="str">
        <x:v>0785e932a32b3ec15e1a1345537ae145eafe1c07bf38d5c16c11ee2b391e7a28</x:v>
      </x:c>
      <x:c r="O124" s="18" t="str">
        <x:v>8cad9588bc6f9241127c06906ae05c940c8bf29e</x:v>
      </x:c>
      <x:c r="P124" s="18" t="str">
        <x:v>否</x:v>
      </x:c>
    </x:row>
    <x:row r="125" ht="28" customHeight="1">
      <x:c r="A125" s="18" t="str">
        <x:v>虎ノ門</x:v>
      </x:c>
      <x:c r="B125" s="18" t="str">
        <x:v>東京地下鉄</x:v>
      </x:c>
      <x:c r="C125" s="18" t="str">
        <x:v>metro</x:v>
      </x:c>
      <x:c r="D125" s="18" t="str">
        <x:v>T1</x:v>
      </x:c>
      <x:c r="E125" s="19" t="str">
        <x:v>单组件源记录，官方站点待核</x:v>
      </x:c>
      <x:c r="F125" s="19" t="str"/>
      <x:c r="G125" s="20" t="n">
        <x:v>1</x:v>
      </x:c>
      <x:c r="H125" s="19" t="str">
        <x:v>虎ノ門 | 東京地下鉄 | metro | 3号線銀座線</x:v>
      </x:c>
      <x:c r="I125" s="19" t="str"/>
      <x:c r="J125" s="19" t="str">
        <x:v>核实官方站点图及实际换乘边界；不能按 S12 源组归 Hub。大阪扩审仍冻结。</x:v>
      </x:c>
      <x:c r="K125" s="18" t="str">
        <x:v>transport-node:2df7c1a7-7114-5598-80c4-affa2c3298a4</x:v>
      </x:c>
      <x:c r="L125" s="19" t="str">
        <x:v>003835</x:v>
      </x:c>
      <x:c r="M125" s="19" t="str">
        <x:v>https://nlftp.mlit.go.jp/ksj/gml/datalist/KsjTmplt-S12-2024.html</x:v>
      </x:c>
      <x:c r="N125" s="18" t="str">
        <x:v>0785e932a32b3ec15e1a1345537ae145eafe1c07bf38d5c16c11ee2b391e7a28</x:v>
      </x:c>
      <x:c r="O125" s="18" t="str">
        <x:v>8cad9588bc6f9241127c06906ae05c940c8bf29e</x:v>
      </x:c>
      <x:c r="P125" s="18" t="str">
        <x:v>否</x:v>
      </x:c>
    </x:row>
    <x:row r="126" ht="28" customHeight="1">
      <x:c r="A126" s="18" t="str">
        <x:v>虎ノ門ヒルズ</x:v>
      </x:c>
      <x:c r="B126" s="18" t="str">
        <x:v>東京地下鉄</x:v>
      </x:c>
      <x:c r="C126" s="18" t="str">
        <x:v>metro</x:v>
      </x:c>
      <x:c r="D126" s="18" t="str">
        <x:v>T1</x:v>
      </x:c>
      <x:c r="E126" s="19" t="str">
        <x:v>单组件源记录，官方站点待核</x:v>
      </x:c>
      <x:c r="F126" s="19" t="str"/>
      <x:c r="G126" s="20" t="n">
        <x:v>1</x:v>
      </x:c>
      <x:c r="H126" s="19" t="str">
        <x:v>虎ノ門ヒルズ | 東京地下鉄 | metro | 2号線日比谷線</x:v>
      </x:c>
      <x:c r="I126" s="19" t="str"/>
      <x:c r="J126" s="19" t="str">
        <x:v>核实官方站点图及实际换乘边界；不能按 S12 源组归 Hub。大阪扩审仍冻结。</x:v>
      </x:c>
      <x:c r="K126" s="18" t="str">
        <x:v>transport-node:882df26e-80e1-5438-a7a5-9a029ebe3b8a</x:v>
      </x:c>
      <x:c r="L126" s="19" t="str">
        <x:v>003866</x:v>
      </x:c>
      <x:c r="M126" s="19" t="str">
        <x:v>https://nlftp.mlit.go.jp/ksj/gml/datalist/KsjTmplt-S12-2024.html</x:v>
      </x:c>
      <x:c r="N126" s="18" t="str">
        <x:v>0785e932a32b3ec15e1a1345537ae145eafe1c07bf38d5c16c11ee2b391e7a28</x:v>
      </x:c>
      <x:c r="O126" s="18" t="str">
        <x:v>8cad9588bc6f9241127c06906ae05c940c8bf29e</x:v>
      </x:c>
      <x:c r="P126" s="18" t="str">
        <x:v>否</x:v>
      </x:c>
    </x:row>
    <x:row r="127" ht="28" customHeight="1">
      <x:c r="A127" s="18" t="str">
        <x:v>御徒町</x:v>
      </x:c>
      <x:c r="B127" s="18" t="str">
        <x:v>東日本旅客鉄道</x:v>
      </x:c>
      <x:c r="C127" s="18" t="str">
        <x:v>conventional_rail</x:v>
      </x:c>
      <x:c r="D127" s="18" t="str">
        <x:v>T1</x:v>
      </x:c>
      <x:c r="E127" s="19" t="str">
        <x:v>单组件源记录，官方站点待核</x:v>
      </x:c>
      <x:c r="F127" s="19" t="str"/>
      <x:c r="G127" s="20" t="n">
        <x:v>1</x:v>
      </x:c>
      <x:c r="H127" s="19" t="str">
        <x:v>御徒町 | 東日本旅客鉄道 | conventional_rail | 東北線</x:v>
      </x:c>
      <x:c r="I127" s="19" t="str"/>
      <x:c r="J127" s="19" t="str">
        <x:v>核实官方站点图及实际换乘边界；不能按 S12 源组归 Hub。大阪扩审仍冻结。</x:v>
      </x:c>
      <x:c r="K127" s="18" t="str">
        <x:v>transport-node:0bfa5c3a-a3ae-5335-a9ba-0c5136869600</x:v>
      </x:c>
      <x:c r="L127" s="19" t="str">
        <x:v>003555</x:v>
      </x:c>
      <x:c r="M127" s="19" t="str">
        <x:v>https://nlftp.mlit.go.jp/ksj/gml/datalist/KsjTmplt-S12-2024.html</x:v>
      </x:c>
      <x:c r="N127" s="18" t="str">
        <x:v>0785e932a32b3ec15e1a1345537ae145eafe1c07bf38d5c16c11ee2b391e7a28</x:v>
      </x:c>
      <x:c r="O127" s="18" t="str">
        <x:v>8cad9588bc6f9241127c06906ae05c940c8bf29e</x:v>
      </x:c>
      <x:c r="P127" s="18" t="str">
        <x:v>否</x:v>
      </x:c>
    </x:row>
    <x:row r="128" ht="28" customHeight="1">
      <x:c r="A128" s="18" t="str">
        <x:v>光が丘</x:v>
      </x:c>
      <x:c r="B128" s="18" t="str">
        <x:v>東京都</x:v>
      </x:c>
      <x:c r="C128" s="18" t="str">
        <x:v>metro</x:v>
      </x:c>
      <x:c r="D128" s="18" t="str">
        <x:v>T1</x:v>
      </x:c>
      <x:c r="E128" s="19" t="str">
        <x:v>单组件源记录，官方站点待核</x:v>
      </x:c>
      <x:c r="F128" s="19" t="str"/>
      <x:c r="G128" s="20" t="n">
        <x:v>1</x:v>
      </x:c>
      <x:c r="H128" s="19" t="str">
        <x:v>光が丘 | 東京都 | metro | 12号線大江戸線</x:v>
      </x:c>
      <x:c r="I128" s="19" t="str"/>
      <x:c r="J128" s="19" t="str">
        <x:v>核实官方站点图及实际换乘边界；不能按 S12 源组归 Hub。大阪扩审仍冻结。</x:v>
      </x:c>
      <x:c r="K128" s="18" t="str">
        <x:v>transport-node:8be550ab-e213-55b4-88de-32b107b44c86</x:v>
      </x:c>
      <x:c r="L128" s="19" t="str">
        <x:v>003225</x:v>
      </x:c>
      <x:c r="M128" s="19" t="str">
        <x:v>https://nlftp.mlit.go.jp/ksj/gml/datalist/KsjTmplt-S12-2024.html</x:v>
      </x:c>
      <x:c r="N128" s="18" t="str">
        <x:v>0785e932a32b3ec15e1a1345537ae145eafe1c07bf38d5c16c11ee2b391e7a28</x:v>
      </x:c>
      <x:c r="O128" s="18" t="str">
        <x:v>8cad9588bc6f9241127c06906ae05c940c8bf29e</x:v>
      </x:c>
      <x:c r="P128" s="18" t="str">
        <x:v>否</x:v>
      </x:c>
    </x:row>
    <x:row r="129" ht="28" customHeight="1">
      <x:c r="A129" s="18" t="str">
        <x:v>向ヶ丘遊園</x:v>
      </x:c>
      <x:c r="B129" s="18" t="str">
        <x:v>小田急電鉄</x:v>
      </x:c>
      <x:c r="C129" s="18" t="str">
        <x:v>private_rail</x:v>
      </x:c>
      <x:c r="D129" s="18" t="str">
        <x:v>T1</x:v>
      </x:c>
      <x:c r="E129" s="19" t="str">
        <x:v>单组件源记录，官方站点待核</x:v>
      </x:c>
      <x:c r="F129" s="19" t="str"/>
      <x:c r="G129" s="20" t="n">
        <x:v>1</x:v>
      </x:c>
      <x:c r="H129" s="19" t="str">
        <x:v>向ヶ丘遊園 | 小田急電鉄 | private_rail | 小田原線</x:v>
      </x:c>
      <x:c r="I129" s="19" t="str"/>
      <x:c r="J129" s="19" t="str">
        <x:v>核实官方站点图及实际换乘边界；不能按 S12 源组归 Hub。大阪扩审仍冻结。</x:v>
      </x:c>
      <x:c r="K129" s="18" t="str">
        <x:v>transport-node:64b9c03a-0ac2-54a0-93a1-1aa5db6ab047</x:v>
      </x:c>
      <x:c r="L129" s="19" t="str">
        <x:v>004150</x:v>
      </x:c>
      <x:c r="M129" s="19" t="str">
        <x:v>https://nlftp.mlit.go.jp/ksj/gml/datalist/KsjTmplt-S12-2024.html</x:v>
      </x:c>
      <x:c r="N129" s="18" t="str">
        <x:v>0785e932a32b3ec15e1a1345537ae145eafe1c07bf38d5c16c11ee2b391e7a28</x:v>
      </x:c>
      <x:c r="O129" s="18" t="str">
        <x:v>8cad9588bc6f9241127c06906ae05c940c8bf29e</x:v>
      </x:c>
      <x:c r="P129" s="18" t="str">
        <x:v>否</x:v>
      </x:c>
    </x:row>
    <x:row r="130" ht="28" customHeight="1">
      <x:c r="A130" s="18" t="str">
        <x:v>広尾</x:v>
      </x:c>
      <x:c r="B130" s="18" t="str">
        <x:v>東京地下鉄</x:v>
      </x:c>
      <x:c r="C130" s="18" t="str">
        <x:v>metro</x:v>
      </x:c>
      <x:c r="D130" s="18" t="str">
        <x:v>T1</x:v>
      </x:c>
      <x:c r="E130" s="19" t="str">
        <x:v>单组件源记录，官方站点待核</x:v>
      </x:c>
      <x:c r="F130" s="19" t="str"/>
      <x:c r="G130" s="20" t="n">
        <x:v>1</x:v>
      </x:c>
      <x:c r="H130" s="19" t="str">
        <x:v>広尾 | 東京地下鉄 | metro | 2号線日比谷線</x:v>
      </x:c>
      <x:c r="I130" s="19" t="str"/>
      <x:c r="J130" s="19" t="str">
        <x:v>核实官方站点图及实际换乘边界；不能按 S12 源组归 Hub。大阪扩审仍冻结。</x:v>
      </x:c>
      <x:c r="K130" s="18" t="str">
        <x:v>transport-node:498bf027-56c6-5bd7-a4e8-5454a73f613f</x:v>
      </x:c>
      <x:c r="L130" s="19" t="str">
        <x:v>003969</x:v>
      </x:c>
      <x:c r="M130" s="19" t="str">
        <x:v>https://nlftp.mlit.go.jp/ksj/gml/datalist/KsjTmplt-S12-2024.html</x:v>
      </x:c>
      <x:c r="N130" s="18" t="str">
        <x:v>0785e932a32b3ec15e1a1345537ae145eafe1c07bf38d5c16c11ee2b391e7a28</x:v>
      </x:c>
      <x:c r="O130" s="18" t="str">
        <x:v>8cad9588bc6f9241127c06906ae05c940c8bf29e</x:v>
      </x:c>
      <x:c r="P130" s="18" t="str">
        <x:v>否</x:v>
      </x:c>
    </x:row>
    <x:row r="131" ht="28" customHeight="1">
      <x:c r="A131" s="18" t="str">
        <x:v>港南台</x:v>
      </x:c>
      <x:c r="B131" s="18" t="str">
        <x:v>東日本旅客鉄道</x:v>
      </x:c>
      <x:c r="C131" s="18" t="str">
        <x:v>conventional_rail</x:v>
      </x:c>
      <x:c r="D131" s="18" t="str">
        <x:v>T1</x:v>
      </x:c>
      <x:c r="E131" s="19" t="str">
        <x:v>单组件源记录，官方站点待核</x:v>
      </x:c>
      <x:c r="F131" s="19" t="str"/>
      <x:c r="G131" s="20" t="n">
        <x:v>1</x:v>
      </x:c>
      <x:c r="H131" s="19" t="str">
        <x:v>港南台 | 東日本旅客鉄道 | conventional_rail | 根岸線</x:v>
      </x:c>
      <x:c r="I131" s="19" t="str"/>
      <x:c r="J131" s="19" t="str">
        <x:v>核实官方站点图及实际换乘边界；不能按 S12 源组归 Hub。大阪扩审仍冻结。</x:v>
      </x:c>
      <x:c r="K131" s="18" t="str">
        <x:v>transport-node:d6d69e93-69c6-5a27-ada2-da25133d65a6</x:v>
      </x:c>
      <x:c r="L131" s="19" t="str">
        <x:v>004900</x:v>
      </x:c>
      <x:c r="M131" s="19" t="str">
        <x:v>https://nlftp.mlit.go.jp/ksj/gml/datalist/KsjTmplt-S12-2024.html</x:v>
      </x:c>
      <x:c r="N131" s="18" t="str">
        <x:v>0785e932a32b3ec15e1a1345537ae145eafe1c07bf38d5c16c11ee2b391e7a28</x:v>
      </x:c>
      <x:c r="O131" s="18" t="str">
        <x:v>8cad9588bc6f9241127c06906ae05c940c8bf29e</x:v>
      </x:c>
      <x:c r="P131" s="18" t="str">
        <x:v>否</x:v>
      </x:c>
    </x:row>
    <x:row r="132" ht="28" customHeight="1">
      <x:c r="A132" s="18" t="str">
        <x:v>甲子園</x:v>
      </x:c>
      <x:c r="B132" s="18" t="str">
        <x:v>阪神電気鉄道</x:v>
      </x:c>
      <x:c r="C132" s="18" t="str">
        <x:v>private_rail</x:v>
      </x:c>
      <x:c r="D132" s="18" t="str">
        <x:v>T1</x:v>
      </x:c>
      <x:c r="E132" s="19" t="str">
        <x:v>单组件源记录，官方站点待核</x:v>
      </x:c>
      <x:c r="F132" s="19" t="str"/>
      <x:c r="G132" s="20" t="n">
        <x:v>1</x:v>
      </x:c>
      <x:c r="H132" s="19" t="str">
        <x:v>甲子園 | 阪神電気鉄道 | private_rail | 本線</x:v>
      </x:c>
      <x:c r="I132" s="19" t="str"/>
      <x:c r="J132" s="19" t="str">
        <x:v>核实官方站点图及实际换乘边界；不能按 S12 源组归 Hub。大阪扩审仍冻结。</x:v>
      </x:c>
      <x:c r="K132" s="18" t="str">
        <x:v>transport-node:b5ba13c6-306c-5891-a372-4573e2bff07a</x:v>
      </x:c>
      <x:c r="L132" s="19" t="str">
        <x:v>006954</x:v>
      </x:c>
      <x:c r="M132" s="19" t="str">
        <x:v>https://nlftp.mlit.go.jp/ksj/gml/datalist/KsjTmplt-S12-2024.html</x:v>
      </x:c>
      <x:c r="N132" s="18" t="str">
        <x:v>0785e932a32b3ec15e1a1345537ae145eafe1c07bf38d5c16c11ee2b391e7a28</x:v>
      </x:c>
      <x:c r="O132" s="18" t="str">
        <x:v>8cad9588bc6f9241127c06906ae05c940c8bf29e</x:v>
      </x:c>
      <x:c r="P132" s="18" t="str">
        <x:v>否</x:v>
      </x:c>
    </x:row>
    <x:row r="133" ht="28" customHeight="1">
      <x:c r="A133" s="18" t="str">
        <x:v>綱島</x:v>
      </x:c>
      <x:c r="B133" s="18" t="str">
        <x:v>東急電鉄</x:v>
      </x:c>
      <x:c r="C133" s="18" t="str">
        <x:v>private_rail</x:v>
      </x:c>
      <x:c r="D133" s="18" t="str">
        <x:v>T1</x:v>
      </x:c>
      <x:c r="E133" s="19" t="str">
        <x:v>单组件源记录，官方站点待核</x:v>
      </x:c>
      <x:c r="F133" s="19" t="str"/>
      <x:c r="G133" s="20" t="n">
        <x:v>1</x:v>
      </x:c>
      <x:c r="H133" s="19" t="str">
        <x:v>綱島 | 東急電鉄 | private_rail | 東横線</x:v>
      </x:c>
      <x:c r="I133" s="19" t="str"/>
      <x:c r="J133" s="19" t="str">
        <x:v>核实官方站点图及实际换乘边界；不能按 S12 源组归 Hub。大阪扩审仍冻结。</x:v>
      </x:c>
      <x:c r="K133" s="18" t="str">
        <x:v>transport-node:335fed7b-62d9-536d-ab67-c578149ec155</x:v>
      </x:c>
      <x:c r="L133" s="19" t="str">
        <x:v>004406</x:v>
      </x:c>
      <x:c r="M133" s="19" t="str">
        <x:v>https://nlftp.mlit.go.jp/ksj/gml/datalist/KsjTmplt-S12-2024.html</x:v>
      </x:c>
      <x:c r="N133" s="18" t="str">
        <x:v>0785e932a32b3ec15e1a1345537ae145eafe1c07bf38d5c16c11ee2b391e7a28</x:v>
      </x:c>
      <x:c r="O133" s="18" t="str">
        <x:v>8cad9588bc6f9241127c06906ae05c940c8bf29e</x:v>
      </x:c>
      <x:c r="P133" s="18" t="str">
        <x:v>否</x:v>
      </x:c>
    </x:row>
    <x:row r="134" ht="28" customHeight="1">
      <x:c r="A134" s="18" t="str">
        <x:v>行徳</x:v>
      </x:c>
      <x:c r="B134" s="18" t="str">
        <x:v>東京地下鉄</x:v>
      </x:c>
      <x:c r="C134" s="18" t="str">
        <x:v>metro</x:v>
      </x:c>
      <x:c r="D134" s="18" t="str">
        <x:v>T1</x:v>
      </x:c>
      <x:c r="E134" s="19" t="str">
        <x:v>单组件源记录，官方站点待核</x:v>
      </x:c>
      <x:c r="F134" s="19" t="str"/>
      <x:c r="G134" s="20" t="n">
        <x:v>1</x:v>
      </x:c>
      <x:c r="H134" s="19" t="str">
        <x:v>行徳 | 東京地下鉄 | metro | 5号線東西線</x:v>
      </x:c>
      <x:c r="I134" s="19" t="str"/>
      <x:c r="J134" s="19" t="str">
        <x:v>核实官方站点图及实际换乘边界；不能按 S12 源组归 Hub。大阪扩审仍冻结。</x:v>
      </x:c>
      <x:c r="K134" s="18" t="str">
        <x:v>transport-node:e2859a97-04f8-5f70-9c95-8c7d534bc34c</x:v>
      </x:c>
      <x:c r="L134" s="19" t="str">
        <x:v>003755</x:v>
      </x:c>
      <x:c r="M134" s="19" t="str">
        <x:v>https://nlftp.mlit.go.jp/ksj/gml/datalist/KsjTmplt-S12-2024.html</x:v>
      </x:c>
      <x:c r="N134" s="18" t="str">
        <x:v>0785e932a32b3ec15e1a1345537ae145eafe1c07bf38d5c16c11ee2b391e7a28</x:v>
      </x:c>
      <x:c r="O134" s="18" t="str">
        <x:v>8cad9588bc6f9241127c06906ae05c940c8bf29e</x:v>
      </x:c>
      <x:c r="P134" s="18" t="str">
        <x:v>否</x:v>
      </x:c>
    </x:row>
    <x:row r="135" ht="28" customHeight="1">
      <x:c r="A135" s="18" t="str">
        <x:v>高円寺</x:v>
      </x:c>
      <x:c r="B135" s="18" t="str">
        <x:v>東日本旅客鉄道</x:v>
      </x:c>
      <x:c r="C135" s="18" t="str">
        <x:v>conventional_rail</x:v>
      </x:c>
      <x:c r="D135" s="18" t="str">
        <x:v>T1</x:v>
      </x:c>
      <x:c r="E135" s="19" t="str">
        <x:v>单组件源记录，官方站点待核</x:v>
      </x:c>
      <x:c r="F135" s="19" t="str"/>
      <x:c r="G135" s="20" t="n">
        <x:v>1</x:v>
      </x:c>
      <x:c r="H135" s="19" t="str">
        <x:v>高円寺 | 東日本旅客鉄道 | conventional_rail | 中央線</x:v>
      </x:c>
      <x:c r="I135" s="19" t="str"/>
      <x:c r="J135" s="19" t="str">
        <x:v>核实官方站点图及实际换乘边界；不能按 S12 源组归 Hub。大阪扩审仍冻结。</x:v>
      </x:c>
      <x:c r="K135" s="18" t="str">
        <x:v>transport-node:912fa7f1-8f44-5fae-b7f1-918949f36e51</x:v>
      </x:c>
      <x:c r="L135" s="19" t="str">
        <x:v>003573</x:v>
      </x:c>
      <x:c r="M135" s="19" t="str">
        <x:v>https://nlftp.mlit.go.jp/ksj/gml/datalist/KsjTmplt-S12-2024.html</x:v>
      </x:c>
      <x:c r="N135" s="18" t="str">
        <x:v>0785e932a32b3ec15e1a1345537ae145eafe1c07bf38d5c16c11ee2b391e7a28</x:v>
      </x:c>
      <x:c r="O135" s="18" t="str">
        <x:v>8cad9588bc6f9241127c06906ae05c940c8bf29e</x:v>
      </x:c>
      <x:c r="P135" s="18" t="str">
        <x:v>否</x:v>
      </x:c>
    </x:row>
    <x:row r="136" ht="28" customHeight="1">
      <x:c r="A136" s="18" t="str">
        <x:v>高槻</x:v>
      </x:c>
      <x:c r="B136" s="18" t="str">
        <x:v>西日本旅客鉄道</x:v>
      </x:c>
      <x:c r="C136" s="18" t="str">
        <x:v>conventional_rail</x:v>
      </x:c>
      <x:c r="D136" s="18" t="str">
        <x:v>T1</x:v>
      </x:c>
      <x:c r="E136" s="19" t="str">
        <x:v>单组件源记录，官方站点待核</x:v>
      </x:c>
      <x:c r="F136" s="19" t="str"/>
      <x:c r="G136" s="20" t="n">
        <x:v>1</x:v>
      </x:c>
      <x:c r="H136" s="19" t="str">
        <x:v>高槻 | 西日本旅客鉄道 | conventional_rail | 東海道線</x:v>
      </x:c>
      <x:c r="I136" s="19" t="str"/>
      <x:c r="J136" s="19" t="str">
        <x:v>核实官方站点图及实际换乘边界；不能按 S12 源组归 Hub。大阪扩审仍冻结。</x:v>
      </x:c>
      <x:c r="K136" s="18" t="str">
        <x:v>transport-node:e2732add-c1d8-56e3-881c-242dc2937150</x:v>
      </x:c>
      <x:c r="L136" s="19" t="str">
        <x:v>006432</x:v>
      </x:c>
      <x:c r="M136" s="19" t="str">
        <x:v>https://nlftp.mlit.go.jp/ksj/gml/datalist/KsjTmplt-S12-2024.html</x:v>
      </x:c>
      <x:c r="N136" s="18" t="str">
        <x:v>0785e932a32b3ec15e1a1345537ae145eafe1c07bf38d5c16c11ee2b391e7a28</x:v>
      </x:c>
      <x:c r="O136" s="18" t="str">
        <x:v>8cad9588bc6f9241127c06906ae05c940c8bf29e</x:v>
      </x:c>
      <x:c r="P136" s="18" t="str">
        <x:v>否</x:v>
      </x:c>
    </x:row>
    <x:row r="137" ht="28" customHeight="1">
      <x:c r="A137" s="18" t="str">
        <x:v>高槻市</x:v>
      </x:c>
      <x:c r="B137" s="18" t="str">
        <x:v>阪急電鉄</x:v>
      </x:c>
      <x:c r="C137" s="18" t="str">
        <x:v>private_rail</x:v>
      </x:c>
      <x:c r="D137" s="18" t="str">
        <x:v>T1</x:v>
      </x:c>
      <x:c r="E137" s="19" t="str">
        <x:v>单组件源记录，官方站点待核</x:v>
      </x:c>
      <x:c r="F137" s="19" t="str"/>
      <x:c r="G137" s="20" t="n">
        <x:v>1</x:v>
      </x:c>
      <x:c r="H137" s="19" t="str">
        <x:v>高槻市 | 阪急電鉄 | private_rail | 京都線</x:v>
      </x:c>
      <x:c r="I137" s="19" t="str"/>
      <x:c r="J137" s="19" t="str">
        <x:v>核实官方站点图及实际换乘边界；不能按 S12 源组归 Hub。大阪扩审仍冻结。</x:v>
      </x:c>
      <x:c r="K137" s="18" t="str">
        <x:v>transport-node:d971fc34-979d-56b6-b32e-a4db8926ea69</x:v>
      </x:c>
      <x:c r="L137" s="19" t="str">
        <x:v>006440</x:v>
      </x:c>
      <x:c r="M137" s="19" t="str">
        <x:v>https://nlftp.mlit.go.jp/ksj/gml/datalist/KsjTmplt-S12-2024.html</x:v>
      </x:c>
      <x:c r="N137" s="18" t="str">
        <x:v>0785e932a32b3ec15e1a1345537ae145eafe1c07bf38d5c16c11ee2b391e7a28</x:v>
      </x:c>
      <x:c r="O137" s="18" t="str">
        <x:v>8cad9588bc6f9241127c06906ae05c940c8bf29e</x:v>
      </x:c>
      <x:c r="P137" s="18" t="str">
        <x:v>否</x:v>
      </x:c>
    </x:row>
    <x:row r="138" ht="28" customHeight="1">
      <x:c r="A138" s="18" t="str">
        <x:v>麹町</x:v>
      </x:c>
      <x:c r="B138" s="18" t="str">
        <x:v>東京地下鉄</x:v>
      </x:c>
      <x:c r="C138" s="18" t="str">
        <x:v>metro</x:v>
      </x:c>
      <x:c r="D138" s="18" t="str">
        <x:v>T1</x:v>
      </x:c>
      <x:c r="E138" s="19" t="str">
        <x:v>单组件源记录，官方站点待核</x:v>
      </x:c>
      <x:c r="F138" s="19" t="str"/>
      <x:c r="G138" s="20" t="n">
        <x:v>1</x:v>
      </x:c>
      <x:c r="H138" s="19" t="str">
        <x:v>麹町 | 東京地下鉄 | metro | 8号線有楽町線</x:v>
      </x:c>
      <x:c r="I138" s="19" t="str"/>
      <x:c r="J138" s="19" t="str">
        <x:v>核实官方站点图及实际换乘边界；不能按 S12 源组归 Hub。大阪扩审仍冻结。</x:v>
      </x:c>
      <x:c r="K138" s="18" t="str">
        <x:v>transport-node:a545198a-76c9-5586-8ab2-854b89630bc5</x:v>
      </x:c>
      <x:c r="L138" s="19" t="str">
        <x:v>003737</x:v>
      </x:c>
      <x:c r="M138" s="19" t="str">
        <x:v>https://nlftp.mlit.go.jp/ksj/gml/datalist/KsjTmplt-S12-2024.html</x:v>
      </x:c>
      <x:c r="N138" s="18" t="str">
        <x:v>0785e932a32b3ec15e1a1345537ae145eafe1c07bf38d5c16c11ee2b391e7a28</x:v>
      </x:c>
      <x:c r="O138" s="18" t="str">
        <x:v>8cad9588bc6f9241127c06906ae05c940c8bf29e</x:v>
      </x:c>
      <x:c r="P138" s="18" t="str">
        <x:v>否</x:v>
      </x:c>
    </x:row>
    <x:row r="139" ht="28" customHeight="1">
      <x:c r="A139" s="18" t="str">
        <x:v>国際展示場</x:v>
      </x:c>
      <x:c r="B139" s="18" t="str">
        <x:v>東京臨海高速鉄道</x:v>
      </x:c>
      <x:c r="C139" s="18" t="str">
        <x:v>private_rail</x:v>
      </x:c>
      <x:c r="D139" s="18" t="str">
        <x:v>T1</x:v>
      </x:c>
      <x:c r="E139" s="19" t="str">
        <x:v>单组件源记录，官方站点待核</x:v>
      </x:c>
      <x:c r="F139" s="19" t="str"/>
      <x:c r="G139" s="20" t="n">
        <x:v>1</x:v>
      </x:c>
      <x:c r="H139" s="19" t="str">
        <x:v>国際展示場 | 東京臨海高速鉄道 | private_rail | 臨海副都心線</x:v>
      </x:c>
      <x:c r="I139" s="19" t="str"/>
      <x:c r="J139" s="19" t="str">
        <x:v>核实官方站点图及实际换乘边界；不能按 S12 源组归 Hub。大阪扩审仍冻结。</x:v>
      </x:c>
      <x:c r="K139" s="18" t="str">
        <x:v>transport-node:308d1f22-653a-5549-8ed9-4424f6f14cf9</x:v>
      </x:c>
      <x:c r="L139" s="19" t="str">
        <x:v>004065</x:v>
      </x:c>
      <x:c r="M139" s="19" t="str">
        <x:v>https://nlftp.mlit.go.jp/ksj/gml/datalist/KsjTmplt-S12-2024.html</x:v>
      </x:c>
      <x:c r="N139" s="18" t="str">
        <x:v>0785e932a32b3ec15e1a1345537ae145eafe1c07bf38d5c16c11ee2b391e7a28</x:v>
      </x:c>
      <x:c r="O139" s="18" t="str">
        <x:v>8cad9588bc6f9241127c06906ae05c940c8bf29e</x:v>
      </x:c>
      <x:c r="P139" s="18" t="str">
        <x:v>否</x:v>
      </x:c>
    </x:row>
    <x:row r="140" ht="28" customHeight="1">
      <x:c r="A140" s="18" t="str">
        <x:v>国立</x:v>
      </x:c>
      <x:c r="B140" s="18" t="str">
        <x:v>東日本旅客鉄道</x:v>
      </x:c>
      <x:c r="C140" s="18" t="str">
        <x:v>conventional_rail</x:v>
      </x:c>
      <x:c r="D140" s="18" t="str">
        <x:v>T1</x:v>
      </x:c>
      <x:c r="E140" s="19" t="str">
        <x:v>单组件源记录，官方站点待核</x:v>
      </x:c>
      <x:c r="F140" s="19" t="str"/>
      <x:c r="G140" s="20" t="n">
        <x:v>1</x:v>
      </x:c>
      <x:c r="H140" s="19" t="str">
        <x:v>国立 | 東日本旅客鉄道 | conventional_rail | 中央線</x:v>
      </x:c>
      <x:c r="I140" s="19" t="str"/>
      <x:c r="J140" s="19" t="str">
        <x:v>核实官方站点图及实际换乘边界；不能按 S12 源组归 Hub。大阪扩审仍冻结。</x:v>
      </x:c>
      <x:c r="K140" s="18" t="str">
        <x:v>transport-node:b62ffaf7-aa60-59e3-a823-f97a2e867949</x:v>
      </x:c>
      <x:c r="L140" s="19" t="str">
        <x:v>003622</x:v>
      </x:c>
      <x:c r="M140" s="19" t="str">
        <x:v>https://nlftp.mlit.go.jp/ksj/gml/datalist/KsjTmplt-S12-2024.html</x:v>
      </x:c>
      <x:c r="N140" s="18" t="str">
        <x:v>0785e932a32b3ec15e1a1345537ae145eafe1c07bf38d5c16c11ee2b391e7a28</x:v>
      </x:c>
      <x:c r="O140" s="18" t="str">
        <x:v>8cad9588bc6f9241127c06906ae05c940c8bf29e</x:v>
      </x:c>
      <x:c r="P140" s="18" t="str">
        <x:v>否</x:v>
      </x:c>
    </x:row>
    <x:row r="141" ht="28" customHeight="1">
      <x:c r="A141" s="18" t="str">
        <x:v>堺東</x:v>
      </x:c>
      <x:c r="B141" s="18" t="str">
        <x:v>南海電気鉄道</x:v>
      </x:c>
      <x:c r="C141" s="18" t="str">
        <x:v>private_rail</x:v>
      </x:c>
      <x:c r="D141" s="18" t="str">
        <x:v>T1</x:v>
      </x:c>
      <x:c r="E141" s="19" t="str">
        <x:v>单组件源记录，官方站点待核</x:v>
      </x:c>
      <x:c r="F141" s="19" t="str"/>
      <x:c r="G141" s="20" t="n">
        <x:v>1</x:v>
      </x:c>
      <x:c r="H141" s="19" t="str">
        <x:v>堺東 | 南海電気鉄道 | private_rail | 高野線</x:v>
      </x:c>
      <x:c r="I141" s="19" t="str"/>
      <x:c r="J141" s="19" t="str">
        <x:v>核实官方站点图及实际换乘边界；不能按 S12 源组归 Hub。大阪扩审仍冻结。</x:v>
      </x:c>
      <x:c r="K141" s="18" t="str">
        <x:v>transport-node:c42fa712-4d73-5fe1-9f93-df28a3559a9b</x:v>
      </x:c>
      <x:c r="L141" s="19" t="str">
        <x:v>007667</x:v>
      </x:c>
      <x:c r="M141" s="19" t="str">
        <x:v>https://nlftp.mlit.go.jp/ksj/gml/datalist/KsjTmplt-S12-2024.html</x:v>
      </x:c>
      <x:c r="N141" s="18" t="str">
        <x:v>0785e932a32b3ec15e1a1345537ae145eafe1c07bf38d5c16c11ee2b391e7a28</x:v>
      </x:c>
      <x:c r="O141" s="18" t="str">
        <x:v>8cad9588bc6f9241127c06906ae05c940c8bf29e</x:v>
      </x:c>
      <x:c r="P141" s="18" t="str">
        <x:v>否</x:v>
      </x:c>
    </x:row>
    <x:row r="142" ht="28" customHeight="1">
      <x:c r="A142" s="18" t="str">
        <x:v>鷺沼</x:v>
      </x:c>
      <x:c r="B142" s="18" t="str">
        <x:v>東急電鉄</x:v>
      </x:c>
      <x:c r="C142" s="18" t="str">
        <x:v>private_rail</x:v>
      </x:c>
      <x:c r="D142" s="18" t="str">
        <x:v>T1</x:v>
      </x:c>
      <x:c r="E142" s="19" t="str">
        <x:v>单组件源记录，官方站点待核</x:v>
      </x:c>
      <x:c r="F142" s="19" t="str"/>
      <x:c r="G142" s="20" t="n">
        <x:v>1</x:v>
      </x:c>
      <x:c r="H142" s="19" t="str">
        <x:v>鷺沼 | 東急電鉄 | private_rail | 田園都市線</x:v>
      </x:c>
      <x:c r="I142" s="19" t="str"/>
      <x:c r="J142" s="19" t="str">
        <x:v>核实官方站点图及实际换乘边界；不能按 S12 源组归 Hub。大阪扩审仍冻结。</x:v>
      </x:c>
      <x:c r="K142" s="18" t="str">
        <x:v>transport-node:7dfdedec-c628-5b96-ab8e-98e06bc83db7</x:v>
      </x:c>
      <x:c r="L142" s="19" t="str">
        <x:v>004290</x:v>
      </x:c>
      <x:c r="M142" s="19" t="str">
        <x:v>https://nlftp.mlit.go.jp/ksj/gml/datalist/KsjTmplt-S12-2024.html</x:v>
      </x:c>
      <x:c r="N142" s="18" t="str">
        <x:v>0785e932a32b3ec15e1a1345537ae145eafe1c07bf38d5c16c11ee2b391e7a28</x:v>
      </x:c>
      <x:c r="O142" s="18" t="str">
        <x:v>8cad9588bc6f9241127c06906ae05c940c8bf29e</x:v>
      </x:c>
      <x:c r="P142" s="18" t="str">
        <x:v>否</x:v>
      </x:c>
    </x:row>
    <x:row r="143" ht="28" customHeight="1">
      <x:c r="A143" s="18" t="str">
        <x:v>桜新町</x:v>
      </x:c>
      <x:c r="B143" s="18" t="str">
        <x:v>東急電鉄</x:v>
      </x:c>
      <x:c r="C143" s="18" t="str">
        <x:v>private_rail</x:v>
      </x:c>
      <x:c r="D143" s="18" t="str">
        <x:v>T1</x:v>
      </x:c>
      <x:c r="E143" s="19" t="str">
        <x:v>单组件源记录，官方站点待核</x:v>
      </x:c>
      <x:c r="F143" s="19" t="str"/>
      <x:c r="G143" s="20" t="n">
        <x:v>1</x:v>
      </x:c>
      <x:c r="H143" s="19" t="str">
        <x:v>桜新町 | 東急電鉄 | private_rail | 田園都市線</x:v>
      </x:c>
      <x:c r="I143" s="19" t="str"/>
      <x:c r="J143" s="19" t="str">
        <x:v>核实官方站点图及实际换乘边界；不能按 S12 源组归 Hub。大阪扩审仍冻结。</x:v>
      </x:c>
      <x:c r="K143" s="18" t="str">
        <x:v>transport-node:4338a4f8-03fc-52e3-9303-4ad56f458cee</x:v>
      </x:c>
      <x:c r="L143" s="19" t="str">
        <x:v>004078</x:v>
      </x:c>
      <x:c r="M143" s="19" t="str">
        <x:v>https://nlftp.mlit.go.jp/ksj/gml/datalist/KsjTmplt-S12-2024.html</x:v>
      </x:c>
      <x:c r="N143" s="18" t="str">
        <x:v>0785e932a32b3ec15e1a1345537ae145eafe1c07bf38d5c16c11ee2b391e7a28</x:v>
      </x:c>
      <x:c r="O143" s="18" t="str">
        <x:v>8cad9588bc6f9241127c06906ae05c940c8bf29e</x:v>
      </x:c>
      <x:c r="P143" s="18" t="str">
        <x:v>否</x:v>
      </x:c>
    </x:row>
    <x:row r="144" ht="28" customHeight="1">
      <x:c r="A144" s="18" t="str">
        <x:v>笹塚</x:v>
      </x:c>
      <x:c r="B144" s="18" t="str">
        <x:v>京王電鉄</x:v>
      </x:c>
      <x:c r="C144" s="18" t="str">
        <x:v>private_rail</x:v>
      </x:c>
      <x:c r="D144" s="18" t="str">
        <x:v>T1</x:v>
      </x:c>
      <x:c r="E144" s="19" t="str">
        <x:v>单组件源记录，官方站点待核</x:v>
      </x:c>
      <x:c r="F144" s="19" t="str"/>
      <x:c r="G144" s="20" t="n">
        <x:v>1</x:v>
      </x:c>
      <x:c r="H144" s="19" t="str">
        <x:v>笹塚 | 京王電鉄 | private_rail | 京王線</x:v>
      </x:c>
      <x:c r="I144" s="19" t="str"/>
      <x:c r="J144" s="19" t="str">
        <x:v>核实官方站点图及实际换乘边界；不能按 S12 源组归 Hub。大阪扩审仍冻结。</x:v>
      </x:c>
      <x:c r="K144" s="18" t="str">
        <x:v>transport-node:beb78db7-626e-5a8e-8045-935a482e8922</x:v>
      </x:c>
      <x:c r="L144" s="19" t="str">
        <x:v>003806</x:v>
      </x:c>
      <x:c r="M144" s="19" t="str">
        <x:v>https://nlftp.mlit.go.jp/ksj/gml/datalist/KsjTmplt-S12-2024.html</x:v>
      </x:c>
      <x:c r="N144" s="18" t="str">
        <x:v>0785e932a32b3ec15e1a1345537ae145eafe1c07bf38d5c16c11ee2b391e7a28</x:v>
      </x:c>
      <x:c r="O144" s="18" t="str">
        <x:v>8cad9588bc6f9241127c06906ae05c940c8bf29e</x:v>
      </x:c>
      <x:c r="P144" s="18" t="str">
        <x:v>否</x:v>
      </x:c>
    </x:row>
    <x:row r="145" ht="28" customHeight="1">
      <x:c r="A145" s="18" t="str">
        <x:v>三ツ境</x:v>
      </x:c>
      <x:c r="B145" s="18" t="str">
        <x:v>相模鉄道</x:v>
      </x:c>
      <x:c r="C145" s="18" t="str">
        <x:v>private_rail</x:v>
      </x:c>
      <x:c r="D145" s="18" t="str">
        <x:v>T1</x:v>
      </x:c>
      <x:c r="E145" s="19" t="str">
        <x:v>单组件源记录，官方站点待核</x:v>
      </x:c>
      <x:c r="F145" s="19" t="str"/>
      <x:c r="G145" s="20" t="n">
        <x:v>1</x:v>
      </x:c>
      <x:c r="H145" s="19" t="str">
        <x:v>三ツ境 | 相模鉄道 | private_rail | 相鉄本線</x:v>
      </x:c>
      <x:c r="I145" s="19" t="str"/>
      <x:c r="J145" s="19" t="str">
        <x:v>核实官方站点图及实际换乘边界；不能按 S12 源组归 Hub。大阪扩审仍冻结。</x:v>
      </x:c>
      <x:c r="K145" s="18" t="str">
        <x:v>transport-node:12769a75-e699-5ff5-868f-8ef158d936c3</x:v>
      </x:c>
      <x:c r="L145" s="19" t="str">
        <x:v>004623</x:v>
      </x:c>
      <x:c r="M145" s="19" t="str">
        <x:v>https://nlftp.mlit.go.jp/ksj/gml/datalist/KsjTmplt-S12-2024.html</x:v>
      </x:c>
      <x:c r="N145" s="18" t="str">
        <x:v>0785e932a32b3ec15e1a1345537ae145eafe1c07bf38d5c16c11ee2b391e7a28</x:v>
      </x:c>
      <x:c r="O145" s="18" t="str">
        <x:v>8cad9588bc6f9241127c06906ae05c940c8bf29e</x:v>
      </x:c>
      <x:c r="P145" s="18" t="str">
        <x:v>否</x:v>
      </x:c>
    </x:row>
    <x:row r="146" ht="28" customHeight="1">
      <x:c r="A146" s="18" t="str">
        <x:v>三鷹</x:v>
      </x:c>
      <x:c r="B146" s="18" t="str">
        <x:v>東日本旅客鉄道</x:v>
      </x:c>
      <x:c r="C146" s="18" t="str">
        <x:v>conventional_rail</x:v>
      </x:c>
      <x:c r="D146" s="18" t="str">
        <x:v>T1</x:v>
      </x:c>
      <x:c r="E146" s="19" t="str">
        <x:v>单组件源记录，官方站点待核</x:v>
      </x:c>
      <x:c r="F146" s="19" t="str"/>
      <x:c r="G146" s="20" t="n">
        <x:v>1</x:v>
      </x:c>
      <x:c r="H146" s="19" t="str">
        <x:v>三鷹 | 東日本旅客鉄道 | conventional_rail | 中央線</x:v>
      </x:c>
      <x:c r="I146" s="19" t="str"/>
      <x:c r="J146" s="19" t="str">
        <x:v>核实官方站点图及实际换乘边界；不能按 S12 源组归 Hub。大阪扩审仍冻结。</x:v>
      </x:c>
      <x:c r="K146" s="18" t="str">
        <x:v>transport-node:14e09547-d30c-5eff-bbd6-30e42deb088a</x:v>
      </x:c>
      <x:c r="L146" s="19" t="str">
        <x:v>003587</x:v>
      </x:c>
      <x:c r="M146" s="19" t="str">
        <x:v>https://nlftp.mlit.go.jp/ksj/gml/datalist/KsjTmplt-S12-2024.html</x:v>
      </x:c>
      <x:c r="N146" s="18" t="str">
        <x:v>0785e932a32b3ec15e1a1345537ae145eafe1c07bf38d5c16c11ee2b391e7a28</x:v>
      </x:c>
      <x:c r="O146" s="18" t="str">
        <x:v>8cad9588bc6f9241127c06906ae05c940c8bf29e</x:v>
      </x:c>
      <x:c r="P146" s="18" t="str">
        <x:v>否</x:v>
      </x:c>
    </x:row>
    <x:row r="147" ht="28" customHeight="1">
      <x:c r="A147" s="18" t="str">
        <x:v>市川</x:v>
      </x:c>
      <x:c r="B147" s="18" t="str">
        <x:v>東日本旅客鉄道</x:v>
      </x:c>
      <x:c r="C147" s="18" t="str">
        <x:v>conventional_rail</x:v>
      </x:c>
      <x:c r="D147" s="18" t="str">
        <x:v>T1</x:v>
      </x:c>
      <x:c r="E147" s="19" t="str">
        <x:v>单组件源记录，官方站点待核</x:v>
      </x:c>
      <x:c r="F147" s="19" t="str"/>
      <x:c r="G147" s="20" t="n">
        <x:v>1</x:v>
      </x:c>
      <x:c r="H147" s="19" t="str">
        <x:v>市川 | 東日本旅客鉄道 | conventional_rail | 総武線</x:v>
      </x:c>
      <x:c r="I147" s="19" t="str"/>
      <x:c r="J147" s="19" t="str">
        <x:v>核实官方站点图及实际换乘边界；不能按 S12 源组归 Hub。大阪扩审仍冻结。</x:v>
      </x:c>
      <x:c r="K147" s="18" t="str">
        <x:v>transport-node:2c092284-4e83-5b06-9d97-526734e4a284</x:v>
      </x:c>
      <x:c r="L147" s="19" t="str">
        <x:v>003403</x:v>
      </x:c>
      <x:c r="M147" s="19" t="str">
        <x:v>https://nlftp.mlit.go.jp/ksj/gml/datalist/KsjTmplt-S12-2024.html</x:v>
      </x:c>
      <x:c r="N147" s="18" t="str">
        <x:v>0785e932a32b3ec15e1a1345537ae145eafe1c07bf38d5c16c11ee2b391e7a28</x:v>
      </x:c>
      <x:c r="O147" s="18" t="str">
        <x:v>8cad9588bc6f9241127c06906ae05c940c8bf29e</x:v>
      </x:c>
      <x:c r="P147" s="18" t="str">
        <x:v>否</x:v>
      </x:c>
    </x:row>
    <x:row r="148" ht="28" customHeight="1">
      <x:c r="A148" s="18" t="str">
        <x:v>志木</x:v>
      </x:c>
      <x:c r="B148" s="18" t="str">
        <x:v>東武鉄道</x:v>
      </x:c>
      <x:c r="C148" s="18" t="str">
        <x:v>private_rail</x:v>
      </x:c>
      <x:c r="D148" s="18" t="str">
        <x:v>T1</x:v>
      </x:c>
      <x:c r="E148" s="19" t="str">
        <x:v>单组件源记录，官方站点待核</x:v>
      </x:c>
      <x:c r="F148" s="19" t="str"/>
      <x:c r="G148" s="20" t="n">
        <x:v>1</x:v>
      </x:c>
      <x:c r="H148" s="19" t="str">
        <x:v>志木 | 東武鉄道 | private_rail | 東上本線</x:v>
      </x:c>
      <x:c r="I148" s="19" t="str"/>
      <x:c r="J148" s="19" t="str">
        <x:v>核实官方站点图及实际换乘边界；不能按 S12 源组归 Hub。大阪扩审仍冻结。</x:v>
      </x:c>
      <x:c r="K148" s="18" t="str">
        <x:v>transport-node:ce6c03c4-0fbd-5d66-9842-250c30f47905</x:v>
      </x:c>
      <x:c r="L148" s="19" t="str">
        <x:v>003049</x:v>
      </x:c>
      <x:c r="M148" s="19" t="str">
        <x:v>https://nlftp.mlit.go.jp/ksj/gml/datalist/KsjTmplt-S12-2024.html</x:v>
      </x:c>
      <x:c r="N148" s="18" t="str">
        <x:v>0785e932a32b3ec15e1a1345537ae145eafe1c07bf38d5c16c11ee2b391e7a28</x:v>
      </x:c>
      <x:c r="O148" s="18" t="str">
        <x:v>8cad9588bc6f9241127c06906ae05c940c8bf29e</x:v>
      </x:c>
      <x:c r="P148" s="18" t="str">
        <x:v>否</x:v>
      </x:c>
    </x:row>
    <x:row r="149" ht="28" customHeight="1">
      <x:c r="A149" s="18" t="str">
        <x:v>自由が丘</x:v>
      </x:c>
      <x:c r="B149" s="18" t="str">
        <x:v>東急電鉄</x:v>
      </x:c>
      <x:c r="C149" s="18" t="str">
        <x:v>private_rail</x:v>
      </x:c>
      <x:c r="D149" s="18" t="str">
        <x:v>T1</x:v>
      </x:c>
      <x:c r="E149" s="19" t="str">
        <x:v>单组件源记录，官方站点待核</x:v>
      </x:c>
      <x:c r="F149" s="19" t="str"/>
      <x:c r="G149" s="20" t="n">
        <x:v>1</x:v>
      </x:c>
      <x:c r="H149" s="19" t="str">
        <x:v>自由が丘 | 東急電鉄 | private_rail | 大井町線 / 東横線</x:v>
      </x:c>
      <x:c r="I149" s="19" t="str"/>
      <x:c r="J149" s="19" t="str">
        <x:v>核实官方站点图及实际换乘边界；不能按 S12 源组归 Hub。大阪扩审仍冻结。</x:v>
      </x:c>
      <x:c r="K149" s="18" t="str">
        <x:v>transport-node:15fe9bda-de63-54bf-94ec-5caccfa92c2e</x:v>
      </x:c>
      <x:c r="L149" s="19" t="str">
        <x:v>004196</x:v>
      </x:c>
      <x:c r="M149" s="19" t="str">
        <x:v>https://nlftp.mlit.go.jp/ksj/gml/datalist/KsjTmplt-S12-2024.html</x:v>
      </x:c>
      <x:c r="N149" s="18" t="str">
        <x:v>0785e932a32b3ec15e1a1345537ae145eafe1c07bf38d5c16c11ee2b391e7a28</x:v>
      </x:c>
      <x:c r="O149" s="18" t="str">
        <x:v>8cad9588bc6f9241127c06906ae05c940c8bf29e</x:v>
      </x:c>
      <x:c r="P149" s="18" t="str">
        <x:v>否</x:v>
      </x:c>
    </x:row>
    <x:row r="150" ht="28" customHeight="1">
      <x:c r="A150" s="18" t="str">
        <x:v>秋津</x:v>
      </x:c>
      <x:c r="B150" s="18" t="str">
        <x:v>西武鉄道</x:v>
      </x:c>
      <x:c r="C150" s="18" t="str">
        <x:v>private_rail</x:v>
      </x:c>
      <x:c r="D150" s="18" t="str">
        <x:v>T1</x:v>
      </x:c>
      <x:c r="E150" s="19" t="str">
        <x:v>单组件源记录，官方站点待核</x:v>
      </x:c>
      <x:c r="F150" s="19" t="str"/>
      <x:c r="G150" s="20" t="n">
        <x:v>1</x:v>
      </x:c>
      <x:c r="H150" s="19" t="str">
        <x:v>秋津 | 西武鉄道 | private_rail | 池袋線</x:v>
      </x:c>
      <x:c r="I150" s="19" t="str"/>
      <x:c r="J150" s="19" t="str">
        <x:v>核实官方站点图及实际换乘边界；不能按 S12 源组归 Hub。大阪扩审仍冻结。</x:v>
      </x:c>
      <x:c r="K150" s="18" t="str">
        <x:v>transport-node:d577f989-1008-5a6a-9979-a4128f0f9884</x:v>
      </x:c>
      <x:c r="L150" s="19" t="str">
        <x:v>003151</x:v>
      </x:c>
      <x:c r="M150" s="19" t="str">
        <x:v>https://nlftp.mlit.go.jp/ksj/gml/datalist/KsjTmplt-S12-2024.html</x:v>
      </x:c>
      <x:c r="N150" s="18" t="str">
        <x:v>0785e932a32b3ec15e1a1345537ae145eafe1c07bf38d5c16c11ee2b391e7a28</x:v>
      </x:c>
      <x:c r="O150" s="18" t="str">
        <x:v>8cad9588bc6f9241127c06906ae05c940c8bf29e</x:v>
      </x:c>
      <x:c r="P150" s="18" t="str">
        <x:v>否</x:v>
      </x:c>
    </x:row>
    <x:row r="151" ht="28" customHeight="1">
      <x:c r="A151" s="18" t="str">
        <x:v>住道</x:v>
      </x:c>
      <x:c r="B151" s="18" t="str">
        <x:v>西日本旅客鉄道</x:v>
      </x:c>
      <x:c r="C151" s="18" t="str">
        <x:v>conventional_rail</x:v>
      </x:c>
      <x:c r="D151" s="18" t="str">
        <x:v>T1</x:v>
      </x:c>
      <x:c r="E151" s="19" t="str">
        <x:v>单组件源记录，官方站点待核</x:v>
      </x:c>
      <x:c r="F151" s="19" t="str"/>
      <x:c r="G151" s="20" t="n">
        <x:v>1</x:v>
      </x:c>
      <x:c r="H151" s="19" t="str">
        <x:v>住道 | 西日本旅客鉄道 | conventional_rail | 片町線</x:v>
      </x:c>
      <x:c r="I151" s="19" t="str"/>
      <x:c r="J151" s="19" t="str">
        <x:v>核实官方站点图及实际换乘边界；不能按 S12 源组归 Hub。大阪扩审仍冻结。</x:v>
      </x:c>
      <x:c r="K151" s="18" t="str">
        <x:v>transport-node:d9c35d92-87b3-57e1-a97c-2b3d3739834a</x:v>
      </x:c>
      <x:c r="L151" s="19" t="str">
        <x:v>007043</x:v>
      </x:c>
      <x:c r="M151" s="19" t="str">
        <x:v>https://nlftp.mlit.go.jp/ksj/gml/datalist/KsjTmplt-S12-2024.html</x:v>
      </x:c>
      <x:c r="N151" s="18" t="str">
        <x:v>0785e932a32b3ec15e1a1345537ae145eafe1c07bf38d5c16c11ee2b391e7a28</x:v>
      </x:c>
      <x:c r="O151" s="18" t="str">
        <x:v>8cad9588bc6f9241127c06906ae05c940c8bf29e</x:v>
      </x:c>
      <x:c r="P151" s="18" t="str">
        <x:v>否</x:v>
      </x:c>
    </x:row>
    <x:row r="152" ht="28" customHeight="1">
      <x:c r="A152" s="18" t="str">
        <x:v>十三</x:v>
      </x:c>
      <x:c r="B152" s="18" t="str">
        <x:v>阪急電鉄</x:v>
      </x:c>
      <x:c r="C152" s="18" t="str">
        <x:v>private_rail</x:v>
      </x:c>
      <x:c r="D152" s="18" t="str">
        <x:v>T1</x:v>
      </x:c>
      <x:c r="E152" s="19" t="str">
        <x:v>单组件源记录，官方站点待核</x:v>
      </x:c>
      <x:c r="F152" s="19" t="str"/>
      <x:c r="G152" s="20" t="n">
        <x:v>1</x:v>
      </x:c>
      <x:c r="H152" s="19" t="str">
        <x:v>十三 | 阪急電鉄 | private_rail | 京都線 / 宝塚線 / 神戸線</x:v>
      </x:c>
      <x:c r="I152" s="19" t="str"/>
      <x:c r="J152" s="19" t="str">
        <x:v>核实官方站点图及实际换乘边界；不能按 S12 源组归 Hub。大阪扩审仍冻结。</x:v>
      </x:c>
      <x:c r="K152" s="18" t="str">
        <x:v>transport-node:ed714553-5af7-5098-9f4d-ce5734cbec50</x:v>
      </x:c>
      <x:c r="L152" s="19" t="str">
        <x:v>006967</x:v>
      </x:c>
      <x:c r="M152" s="19" t="str">
        <x:v>https://nlftp.mlit.go.jp/ksj/gml/datalist/KsjTmplt-S12-2024.html</x:v>
      </x:c>
      <x:c r="N152" s="18" t="str">
        <x:v>0785e932a32b3ec15e1a1345537ae145eafe1c07bf38d5c16c11ee2b391e7a28</x:v>
      </x:c>
      <x:c r="O152" s="18" t="str">
        <x:v>8cad9588bc6f9241127c06906ae05c940c8bf29e</x:v>
      </x:c>
      <x:c r="P152" s="18" t="str">
        <x:v>否</x:v>
      </x:c>
    </x:row>
    <x:row r="153" ht="28" customHeight="1">
      <x:c r="A153" s="18" t="str">
        <x:v>十条</x:v>
      </x:c>
      <x:c r="B153" s="18" t="str">
        <x:v>東日本旅客鉄道</x:v>
      </x:c>
      <x:c r="C153" s="18" t="str">
        <x:v>conventional_rail</x:v>
      </x:c>
      <x:c r="D153" s="18" t="str">
        <x:v>T1</x:v>
      </x:c>
      <x:c r="E153" s="19" t="str">
        <x:v>单组件源记录，官方站点待核</x:v>
      </x:c>
      <x:c r="F153" s="19" t="str"/>
      <x:c r="G153" s="20" t="n">
        <x:v>1</x:v>
      </x:c>
      <x:c r="H153" s="19" t="str">
        <x:v>十条 | 東日本旅客鉄道 | conventional_rail | 赤羽線</x:v>
      </x:c>
      <x:c r="I153" s="19" t="str"/>
      <x:c r="J153" s="19" t="str">
        <x:v>核实官方站点图及实际换乘边界；不能按 S12 源组归 Hub。大阪扩审仍冻结。</x:v>
      </x:c>
      <x:c r="K153" s="18" t="str">
        <x:v>transport-node:6b21aa6f-f9e9-5517-9f7f-5735bd0211ed</x:v>
      </x:c>
      <x:c r="L153" s="19" t="str">
        <x:v>003218</x:v>
      </x:c>
      <x:c r="M153" s="19" t="str">
        <x:v>https://nlftp.mlit.go.jp/ksj/gml/datalist/KsjTmplt-S12-2024.html</x:v>
      </x:c>
      <x:c r="N153" s="18" t="str">
        <x:v>0785e932a32b3ec15e1a1345537ae145eafe1c07bf38d5c16c11ee2b391e7a28</x:v>
      </x:c>
      <x:c r="O153" s="18" t="str">
        <x:v>8cad9588bc6f9241127c06906ae05c940c8bf29e</x:v>
      </x:c>
      <x:c r="P153" s="18" t="str">
        <x:v>否</x:v>
      </x:c>
    </x:row>
    <x:row r="154" ht="28" customHeight="1">
      <x:c r="A154" s="18" t="str">
        <x:v>春日部</x:v>
      </x:c>
      <x:c r="B154" s="18" t="str">
        <x:v>東武鉄道</x:v>
      </x:c>
      <x:c r="C154" s="18" t="str">
        <x:v>private_rail</x:v>
      </x:c>
      <x:c r="D154" s="18" t="str">
        <x:v>T1</x:v>
      </x:c>
      <x:c r="E154" s="19" t="str">
        <x:v>单组件源记录，官方站点待核</x:v>
      </x:c>
      <x:c r="F154" s="19" t="str"/>
      <x:c r="G154" s="20" t="n">
        <x:v>1</x:v>
      </x:c>
      <x:c r="H154" s="19" t="str">
        <x:v>春日部 | 東武鉄道 | private_rail | 伊勢崎線 / 野田線</x:v>
      </x:c>
      <x:c r="I154" s="19" t="str"/>
      <x:c r="J154" s="19" t="str">
        <x:v>核实官方站点图及实际换乘边界；不能按 S12 源组归 Hub。大阪扩审仍冻结。</x:v>
      </x:c>
      <x:c r="K154" s="18" t="str">
        <x:v>transport-node:b4de0503-57b0-5587-a4e0-8e1125f496aa</x:v>
      </x:c>
      <x:c r="L154" s="19" t="str">
        <x:v>002785</x:v>
      </x:c>
      <x:c r="M154" s="19" t="str">
        <x:v>https://nlftp.mlit.go.jp/ksj/gml/datalist/KsjTmplt-S12-2024.html</x:v>
      </x:c>
      <x:c r="N154" s="18" t="str">
        <x:v>0785e932a32b3ec15e1a1345537ae145eafe1c07bf38d5c16c11ee2b391e7a28</x:v>
      </x:c>
      <x:c r="O154" s="18" t="str">
        <x:v>8cad9588bc6f9241127c06906ae05c940c8bf29e</x:v>
      </x:c>
      <x:c r="P154" s="18" t="str">
        <x:v>否</x:v>
      </x:c>
    </x:row>
    <x:row r="155" ht="28" customHeight="1">
      <x:c r="A155" s="18" t="str">
        <x:v>初台</x:v>
      </x:c>
      <x:c r="B155" s="18" t="str">
        <x:v>京王電鉄</x:v>
      </x:c>
      <x:c r="C155" s="18" t="str">
        <x:v>private_rail</x:v>
      </x:c>
      <x:c r="D155" s="18" t="str">
        <x:v>T1</x:v>
      </x:c>
      <x:c r="E155" s="19" t="str">
        <x:v>单组件源记录，官方站点待核</x:v>
      </x:c>
      <x:c r="F155" s="19" t="str"/>
      <x:c r="G155" s="20" t="n">
        <x:v>1</x:v>
      </x:c>
      <x:c r="H155" s="19" t="str">
        <x:v>初台 | 京王電鉄 | private_rail | 京王線</x:v>
      </x:c>
      <x:c r="I155" s="19" t="str"/>
      <x:c r="J155" s="19" t="str">
        <x:v>核实官方站点图及实际换乘边界；不能按 S12 源组归 Hub。大阪扩审仍冻结。</x:v>
      </x:c>
      <x:c r="K155" s="18" t="str">
        <x:v>transport-node:cd28b702-abea-5763-93da-355025eea909</x:v>
      </x:c>
      <x:c r="L155" s="19" t="str">
        <x:v>003764</x:v>
      </x:c>
      <x:c r="M155" s="19" t="str">
        <x:v>https://nlftp.mlit.go.jp/ksj/gml/datalist/KsjTmplt-S12-2024.html</x:v>
      </x:c>
      <x:c r="N155" s="18" t="str">
        <x:v>0785e932a32b3ec15e1a1345537ae145eafe1c07bf38d5c16c11ee2b391e7a28</x:v>
      </x:c>
      <x:c r="O155" s="18" t="str">
        <x:v>8cad9588bc6f9241127c06906ae05c940c8bf29e</x:v>
      </x:c>
      <x:c r="P155" s="18" t="str">
        <x:v>否</x:v>
      </x:c>
    </x:row>
    <x:row r="156" ht="28" customHeight="1">
      <x:c r="A156" s="18" t="str">
        <x:v>勝どき</x:v>
      </x:c>
      <x:c r="B156" s="18" t="str">
        <x:v>東京都</x:v>
      </x:c>
      <x:c r="C156" s="18" t="str">
        <x:v>metro</x:v>
      </x:c>
      <x:c r="D156" s="18" t="str">
        <x:v>T1</x:v>
      </x:c>
      <x:c r="E156" s="19" t="str">
        <x:v>单组件源记录，官方站点待核</x:v>
      </x:c>
      <x:c r="F156" s="19" t="str"/>
      <x:c r="G156" s="20" t="n">
        <x:v>1</x:v>
      </x:c>
      <x:c r="H156" s="19" t="str">
        <x:v>勝どき | 東京都 | metro | 12号線大江戸線</x:v>
      </x:c>
      <x:c r="I156" s="19" t="str"/>
      <x:c r="J156" s="19" t="str">
        <x:v>核实官方站点图及实际换乘边界；不能按 S12 源组归 Hub。大阪扩审仍冻结。</x:v>
      </x:c>
      <x:c r="K156" s="18" t="str">
        <x:v>transport-node:e910bade-3b42-53a6-946b-503843c89199</x:v>
      </x:c>
      <x:c r="L156" s="19" t="str">
        <x:v>003927</x:v>
      </x:c>
      <x:c r="M156" s="19" t="str">
        <x:v>https://nlftp.mlit.go.jp/ksj/gml/datalist/KsjTmplt-S12-2024.html</x:v>
      </x:c>
      <x:c r="N156" s="18" t="str">
        <x:v>0785e932a32b3ec15e1a1345537ae145eafe1c07bf38d5c16c11ee2b391e7a28</x:v>
      </x:c>
      <x:c r="O156" s="18" t="str">
        <x:v>8cad9588bc6f9241127c06906ae05c940c8bf29e</x:v>
      </x:c>
      <x:c r="P156" s="18" t="str">
        <x:v>否</x:v>
      </x:c>
    </x:row>
    <x:row r="157" ht="28" customHeight="1">
      <x:c r="A157" s="18" t="str">
        <x:v>小岩</x:v>
      </x:c>
      <x:c r="B157" s="18" t="str">
        <x:v>東日本旅客鉄道</x:v>
      </x:c>
      <x:c r="C157" s="18" t="str">
        <x:v>conventional_rail</x:v>
      </x:c>
      <x:c r="D157" s="18" t="str">
        <x:v>T1</x:v>
      </x:c>
      <x:c r="E157" s="19" t="str">
        <x:v>单组件源记录，官方站点待核</x:v>
      </x:c>
      <x:c r="F157" s="19" t="str"/>
      <x:c r="G157" s="20" t="n">
        <x:v>1</x:v>
      </x:c>
      <x:c r="H157" s="19" t="str">
        <x:v>小岩 | 東日本旅客鉄道 | conventional_rail | 総武線</x:v>
      </x:c>
      <x:c r="I157" s="19" t="str"/>
      <x:c r="J157" s="19" t="str">
        <x:v>核实官方站点图及实际换乘边界；不能按 S12 源组归 Hub。大阪扩审仍冻结。</x:v>
      </x:c>
      <x:c r="K157" s="18" t="str">
        <x:v>transport-node:84d62ce8-11cb-5de6-8fa8-6ec546ad4c7e</x:v>
      </x:c>
      <x:c r="L157" s="19" t="str">
        <x:v>003360</x:v>
      </x:c>
      <x:c r="M157" s="19" t="str">
        <x:v>https://nlftp.mlit.go.jp/ksj/gml/datalist/KsjTmplt-S12-2024.html</x:v>
      </x:c>
      <x:c r="N157" s="18" t="str">
        <x:v>0785e932a32b3ec15e1a1345537ae145eafe1c07bf38d5c16c11ee2b391e7a28</x:v>
      </x:c>
      <x:c r="O157" s="18" t="str">
        <x:v>8cad9588bc6f9241127c06906ae05c940c8bf29e</x:v>
      </x:c>
      <x:c r="P157" s="18" t="str">
        <x:v>否</x:v>
      </x:c>
    </x:row>
    <x:row r="158" ht="28" customHeight="1">
      <x:c r="A158" s="18" t="str">
        <x:v>小田急相模原</x:v>
      </x:c>
      <x:c r="B158" s="18" t="str">
        <x:v>小田急電鉄</x:v>
      </x:c>
      <x:c r="C158" s="18" t="str">
        <x:v>private_rail</x:v>
      </x:c>
      <x:c r="D158" s="18" t="str">
        <x:v>T1</x:v>
      </x:c>
      <x:c r="E158" s="19" t="str">
        <x:v>单组件源记录，官方站点待核</x:v>
      </x:c>
      <x:c r="F158" s="19" t="str"/>
      <x:c r="G158" s="20" t="n">
        <x:v>1</x:v>
      </x:c>
      <x:c r="H158" s="19" t="str">
        <x:v>小田急相模原 | 小田急電鉄 | private_rail | 小田原線</x:v>
      </x:c>
      <x:c r="I158" s="19" t="str"/>
      <x:c r="J158" s="19" t="str">
        <x:v>核实官方站点图及实际换乘边界；不能按 S12 源组归 Hub。大阪扩审仍冻结。</x:v>
      </x:c>
      <x:c r="K158" s="18" t="str">
        <x:v>transport-node:d6fbb3df-8968-5e9d-8133-d6509652d6fc</x:v>
      </x:c>
      <x:c r="L158" s="19" t="str">
        <x:v>004470</x:v>
      </x:c>
      <x:c r="M158" s="19" t="str">
        <x:v>https://nlftp.mlit.go.jp/ksj/gml/datalist/KsjTmplt-S12-2024.html</x:v>
      </x:c>
      <x:c r="N158" s="18" t="str">
        <x:v>0785e932a32b3ec15e1a1345537ae145eafe1c07bf38d5c16c11ee2b391e7a28</x:v>
      </x:c>
      <x:c r="O158" s="18" t="str">
        <x:v>8cad9588bc6f9241127c06906ae05c940c8bf29e</x:v>
      </x:c>
      <x:c r="P158" s="18" t="str">
        <x:v>否</x:v>
      </x:c>
    </x:row>
    <x:row r="159" ht="28" customHeight="1">
      <x:c r="A159" s="18" t="str">
        <x:v>上板橋</x:v>
      </x:c>
      <x:c r="B159" s="18" t="str">
        <x:v>東武鉄道</x:v>
      </x:c>
      <x:c r="C159" s="18" t="str">
        <x:v>private_rail</x:v>
      </x:c>
      <x:c r="D159" s="18" t="str">
        <x:v>T1</x:v>
      </x:c>
      <x:c r="E159" s="19" t="str">
        <x:v>单组件源记录，官方站点待核</x:v>
      </x:c>
      <x:c r="F159" s="19" t="str"/>
      <x:c r="G159" s="20" t="n">
        <x:v>1</x:v>
      </x:c>
      <x:c r="H159" s="19" t="str">
        <x:v>上板橋 | 東武鉄道 | private_rail | 東上本線</x:v>
      </x:c>
      <x:c r="I159" s="19" t="str"/>
      <x:c r="J159" s="19" t="str">
        <x:v>核实官方站点图及实际换乘边界；不能按 S12 源组归 Hub。大阪扩审仍冻结。</x:v>
      </x:c>
      <x:c r="K159" s="18" t="str">
        <x:v>transport-node:1f6300b2-30e9-5139-b7cd-a7ed5f78eae1</x:v>
      </x:c>
      <x:c r="L159" s="19" t="str">
        <x:v>003212</x:v>
      </x:c>
      <x:c r="M159" s="19" t="str">
        <x:v>https://nlftp.mlit.go.jp/ksj/gml/datalist/KsjTmplt-S12-2024.html</x:v>
      </x:c>
      <x:c r="N159" s="18" t="str">
        <x:v>0785e932a32b3ec15e1a1345537ae145eafe1c07bf38d5c16c11ee2b391e7a28</x:v>
      </x:c>
      <x:c r="O159" s="18" t="str">
        <x:v>8cad9588bc6f9241127c06906ae05c940c8bf29e</x:v>
      </x:c>
      <x:c r="P159" s="18" t="str">
        <x:v>否</x:v>
      </x:c>
    </x:row>
    <x:row r="160" ht="28" customHeight="1">
      <x:c r="A160" s="18" t="str">
        <x:v>上尾</x:v>
      </x:c>
      <x:c r="B160" s="18" t="str">
        <x:v>東日本旅客鉄道</x:v>
      </x:c>
      <x:c r="C160" s="18" t="str">
        <x:v>conventional_rail</x:v>
      </x:c>
      <x:c r="D160" s="18" t="str">
        <x:v>T1</x:v>
      </x:c>
      <x:c r="E160" s="19" t="str">
        <x:v>单组件源记录，官方站点待核</x:v>
      </x:c>
      <x:c r="F160" s="19" t="str"/>
      <x:c r="G160" s="20" t="n">
        <x:v>1</x:v>
      </x:c>
      <x:c r="H160" s="19" t="str">
        <x:v>上尾 | 東日本旅客鉄道 | conventional_rail | 高崎線</x:v>
      </x:c>
      <x:c r="I160" s="19" t="str"/>
      <x:c r="J160" s="19" t="str">
        <x:v>核实官方站点图及实际换乘边界；不能按 S12 源组归 Hub。大阪扩审仍冻结。</x:v>
      </x:c>
      <x:c r="K160" s="18" t="str">
        <x:v>transport-node:be3579cc-05a3-5676-a30d-80593e1afdc5</x:v>
      </x:c>
      <x:c r="L160" s="19" t="str">
        <x:v>002796</x:v>
      </x:c>
      <x:c r="M160" s="19" t="str">
        <x:v>https://nlftp.mlit.go.jp/ksj/gml/datalist/KsjTmplt-S12-2024.html</x:v>
      </x:c>
      <x:c r="N160" s="18" t="str">
        <x:v>0785e932a32b3ec15e1a1345537ae145eafe1c07bf38d5c16c11ee2b391e7a28</x:v>
      </x:c>
      <x:c r="O160" s="18" t="str">
        <x:v>8cad9588bc6f9241127c06906ae05c940c8bf29e</x:v>
      </x:c>
      <x:c r="P160" s="18" t="str">
        <x:v>否</x:v>
      </x:c>
    </x:row>
    <x:row r="161" ht="28" customHeight="1">
      <x:c r="A161" s="18" t="str">
        <x:v>上福岡</x:v>
      </x:c>
      <x:c r="B161" s="18" t="str">
        <x:v>東武鉄道</x:v>
      </x:c>
      <x:c r="C161" s="18" t="str">
        <x:v>private_rail</x:v>
      </x:c>
      <x:c r="D161" s="18" t="str">
        <x:v>T1</x:v>
      </x:c>
      <x:c r="E161" s="19" t="str">
        <x:v>单组件源记录，官方站点待核</x:v>
      </x:c>
      <x:c r="F161" s="19" t="str"/>
      <x:c r="G161" s="20" t="n">
        <x:v>1</x:v>
      </x:c>
      <x:c r="H161" s="19" t="str">
        <x:v>上福岡 | 東武鉄道 | private_rail | 東上本線</x:v>
      </x:c>
      <x:c r="I161" s="19" t="str"/>
      <x:c r="J161" s="19" t="str">
        <x:v>核实官方站点图及实际换乘边界；不能按 S12 源组归 Hub。大阪扩审仍冻结。</x:v>
      </x:c>
      <x:c r="K161" s="18" t="str">
        <x:v>transport-node:f486e24d-713d-56d6-a811-2b73c12a4760</x:v>
      </x:c>
      <x:c r="L161" s="19" t="str">
        <x:v>002964</x:v>
      </x:c>
      <x:c r="M161" s="19" t="str">
        <x:v>https://nlftp.mlit.go.jp/ksj/gml/datalist/KsjTmplt-S12-2024.html</x:v>
      </x:c>
      <x:c r="N161" s="18" t="str">
        <x:v>0785e932a32b3ec15e1a1345537ae145eafe1c07bf38d5c16c11ee2b391e7a28</x:v>
      </x:c>
      <x:c r="O161" s="18" t="str">
        <x:v>8cad9588bc6f9241127c06906ae05c940c8bf29e</x:v>
      </x:c>
      <x:c r="P161" s="18" t="str">
        <x:v>否</x:v>
      </x:c>
    </x:row>
    <x:row r="162" ht="28" customHeight="1">
      <x:c r="A162" s="18" t="str">
        <x:v>新浦安</x:v>
      </x:c>
      <x:c r="B162" s="18" t="str">
        <x:v>東日本旅客鉄道</x:v>
      </x:c>
      <x:c r="C162" s="18" t="str">
        <x:v>conventional_rail</x:v>
      </x:c>
      <x:c r="D162" s="18" t="str">
        <x:v>T1</x:v>
      </x:c>
      <x:c r="E162" s="19" t="str">
        <x:v>单组件源记录，官方站点待核</x:v>
      </x:c>
      <x:c r="F162" s="19" t="str"/>
      <x:c r="G162" s="20" t="n">
        <x:v>1</x:v>
      </x:c>
      <x:c r="H162" s="19" t="str">
        <x:v>新浦安 | 東日本旅客鉄道 | conventional_rail | 京葉線</x:v>
      </x:c>
      <x:c r="I162" s="19" t="str"/>
      <x:c r="J162" s="19" t="str">
        <x:v>核实官方站点图及实际换乘边界；不能按 S12 源组归 Hub。大阪扩审仍冻结。</x:v>
      </x:c>
      <x:c r="K162" s="18" t="str">
        <x:v>transport-node:9c6dbeb4-d305-59af-b79f-6d3e85884908</x:v>
      </x:c>
      <x:c r="L162" s="19" t="str">
        <x:v>003978</x:v>
      </x:c>
      <x:c r="M162" s="19" t="str">
        <x:v>https://nlftp.mlit.go.jp/ksj/gml/datalist/KsjTmplt-S12-2024.html</x:v>
      </x:c>
      <x:c r="N162" s="18" t="str">
        <x:v>0785e932a32b3ec15e1a1345537ae145eafe1c07bf38d5c16c11ee2b391e7a28</x:v>
      </x:c>
      <x:c r="O162" s="18" t="str">
        <x:v>8cad9588bc6f9241127c06906ae05c940c8bf29e</x:v>
      </x:c>
      <x:c r="P162" s="18" t="str">
        <x:v>否</x:v>
      </x:c>
    </x:row>
    <x:row r="163" ht="28" customHeight="1">
      <x:c r="A163" s="18" t="str">
        <x:v>新御茶ノ水</x:v>
      </x:c>
      <x:c r="B163" s="18" t="str">
        <x:v>東京地下鉄</x:v>
      </x:c>
      <x:c r="C163" s="18" t="str">
        <x:v>metro</x:v>
      </x:c>
      <x:c r="D163" s="18" t="str">
        <x:v>T1</x:v>
      </x:c>
      <x:c r="E163" s="19" t="str">
        <x:v>单组件源记录，官方站点待核</x:v>
      </x:c>
      <x:c r="F163" s="19" t="str"/>
      <x:c r="G163" s="20" t="n">
        <x:v>1</x:v>
      </x:c>
      <x:c r="H163" s="19" t="str">
        <x:v>新御茶ノ水 | 東京地下鉄 | metro | 9号線千代田線</x:v>
      </x:c>
      <x:c r="I163" s="19" t="str"/>
      <x:c r="J163" s="19" t="str">
        <x:v>核实官方站点图及实际换乘边界；不能按 S12 源组归 Hub。大阪扩审仍冻结。</x:v>
      </x:c>
      <x:c r="K163" s="18" t="str">
        <x:v>transport-node:8101a647-4614-5a47-99cb-6f5f569d6860</x:v>
      </x:c>
      <x:c r="L163" s="19" t="str">
        <x:v>003645</x:v>
      </x:c>
      <x:c r="M163" s="19" t="str">
        <x:v>https://nlftp.mlit.go.jp/ksj/gml/datalist/KsjTmplt-S12-2024.html</x:v>
      </x:c>
      <x:c r="N163" s="18" t="str">
        <x:v>0785e932a32b3ec15e1a1345537ae145eafe1c07bf38d5c16c11ee2b391e7a28</x:v>
      </x:c>
      <x:c r="O163" s="18" t="str">
        <x:v>8cad9588bc6f9241127c06906ae05c940c8bf29e</x:v>
      </x:c>
      <x:c r="P163" s="18" t="str">
        <x:v>否</x:v>
      </x:c>
    </x:row>
    <x:row r="164" ht="28" customHeight="1">
      <x:c r="A164" s="18" t="str">
        <x:v>新秋津</x:v>
      </x:c>
      <x:c r="B164" s="18" t="str">
        <x:v>東日本旅客鉄道</x:v>
      </x:c>
      <x:c r="C164" s="18" t="str">
        <x:v>conventional_rail</x:v>
      </x:c>
      <x:c r="D164" s="18" t="str">
        <x:v>T1</x:v>
      </x:c>
      <x:c r="E164" s="19" t="str">
        <x:v>单组件源记录，官方站点待核</x:v>
      </x:c>
      <x:c r="F164" s="19" t="str"/>
      <x:c r="G164" s="20" t="n">
        <x:v>1</x:v>
      </x:c>
      <x:c r="H164" s="19" t="str">
        <x:v>新秋津 | 東日本旅客鉄道 | conventional_rail | 武蔵野線</x:v>
      </x:c>
      <x:c r="I164" s="19" t="str"/>
      <x:c r="J164" s="19" t="str">
        <x:v>核实官方站点图及实际换乘边界；不能按 S12 源组归 Hub。大阪扩审仍冻结。</x:v>
      </x:c>
      <x:c r="K164" s="18" t="str">
        <x:v>transport-node:26296a64-cbfc-54d5-b350-854399c133b1</x:v>
      </x:c>
      <x:c r="L164" s="19" t="str">
        <x:v>003152</x:v>
      </x:c>
      <x:c r="M164" s="19" t="str">
        <x:v>https://nlftp.mlit.go.jp/ksj/gml/datalist/KsjTmplt-S12-2024.html</x:v>
      </x:c>
      <x:c r="N164" s="18" t="str">
        <x:v>0785e932a32b3ec15e1a1345537ae145eafe1c07bf38d5c16c11ee2b391e7a28</x:v>
      </x:c>
      <x:c r="O164" s="18" t="str">
        <x:v>8cad9588bc6f9241127c06906ae05c940c8bf29e</x:v>
      </x:c>
      <x:c r="P164" s="18" t="str">
        <x:v>否</x:v>
      </x:c>
    </x:row>
    <x:row r="165" ht="28" customHeight="1">
      <x:c r="A165" s="18" t="str">
        <x:v>新小岩</x:v>
      </x:c>
      <x:c r="B165" s="18" t="str">
        <x:v>東日本旅客鉄道</x:v>
      </x:c>
      <x:c r="C165" s="18" t="str">
        <x:v>conventional_rail</x:v>
      </x:c>
      <x:c r="D165" s="18" t="str">
        <x:v>T1</x:v>
      </x:c>
      <x:c r="E165" s="19" t="str">
        <x:v>单组件源记录，官方站点待核</x:v>
      </x:c>
      <x:c r="F165" s="19" t="str"/>
      <x:c r="G165" s="20" t="n">
        <x:v>1</x:v>
      </x:c>
      <x:c r="H165" s="19" t="str">
        <x:v>新小岩 | 東日本旅客鉄道 | conventional_rail | 総武線</x:v>
      </x:c>
      <x:c r="I165" s="19" t="str"/>
      <x:c r="J165" s="19" t="str">
        <x:v>核实官方站点图及实际换乘边界；不能按 S12 源组归 Hub。大阪扩审仍冻结。</x:v>
      </x:c>
      <x:c r="K165" s="18" t="str">
        <x:v>transport-node:8d91b760-8603-502c-8c2d-cc9026ba45ee</x:v>
      </x:c>
      <x:c r="L165" s="19" t="str">
        <x:v>003486</x:v>
      </x:c>
      <x:c r="M165" s="19" t="str">
        <x:v>https://nlftp.mlit.go.jp/ksj/gml/datalist/KsjTmplt-S12-2024.html</x:v>
      </x:c>
      <x:c r="N165" s="18" t="str">
        <x:v>0785e932a32b3ec15e1a1345537ae145eafe1c07bf38d5c16c11ee2b391e7a28</x:v>
      </x:c>
      <x:c r="O165" s="18" t="str">
        <x:v>8cad9588bc6f9241127c06906ae05c940c8bf29e</x:v>
      </x:c>
      <x:c r="P165" s="18" t="str">
        <x:v>否</x:v>
      </x:c>
    </x:row>
    <x:row r="166" ht="28" customHeight="1">
      <x:c r="A166" s="18" t="str">
        <x:v>新松戸</x:v>
      </x:c>
      <x:c r="B166" s="18" t="str">
        <x:v>東日本旅客鉄道</x:v>
      </x:c>
      <x:c r="C166" s="18" t="str">
        <x:v>conventional_rail</x:v>
      </x:c>
      <x:c r="D166" s="18" t="str">
        <x:v>T1</x:v>
      </x:c>
      <x:c r="E166" s="19" t="str">
        <x:v>单组件源记录，官方站点待核</x:v>
      </x:c>
      <x:c r="F166" s="19" t="str"/>
      <x:c r="G166" s="20" t="n">
        <x:v>1</x:v>
      </x:c>
      <x:c r="H166" s="19" t="str">
        <x:v>新松戸 | 東日本旅客鉄道 | conventional_rail | 常磐線 / 武蔵野線</x:v>
      </x:c>
      <x:c r="I166" s="19" t="str"/>
      <x:c r="J166" s="19" t="str">
        <x:v>核实官方站点图及实际换乘边界；不能按 S12 源组归 Hub。大阪扩审仍冻结。</x:v>
      </x:c>
      <x:c r="K166" s="18" t="str">
        <x:v>transport-node:ce84f910-8f51-5355-b745-58ef9589599f</x:v>
      </x:c>
      <x:c r="L166" s="19" t="str">
        <x:v>003045</x:v>
      </x:c>
      <x:c r="M166" s="19" t="str">
        <x:v>https://nlftp.mlit.go.jp/ksj/gml/datalist/KsjTmplt-S12-2024.html</x:v>
      </x:c>
      <x:c r="N166" s="18" t="str">
        <x:v>0785e932a32b3ec15e1a1345537ae145eafe1c07bf38d5c16c11ee2b391e7a28</x:v>
      </x:c>
      <x:c r="O166" s="18" t="str">
        <x:v>8cad9588bc6f9241127c06906ae05c940c8bf29e</x:v>
      </x:c>
      <x:c r="P166" s="18" t="str">
        <x:v>否</x:v>
      </x:c>
    </x:row>
    <x:row r="167" ht="28" customHeight="1">
      <x:c r="A167" s="18" t="str">
        <x:v>新川崎</x:v>
      </x:c>
      <x:c r="B167" s="18" t="str">
        <x:v>東日本旅客鉄道</x:v>
      </x:c>
      <x:c r="C167" s="18" t="str">
        <x:v>conventional_rail</x:v>
      </x:c>
      <x:c r="D167" s="18" t="str">
        <x:v>T1</x:v>
      </x:c>
      <x:c r="E167" s="19" t="str">
        <x:v>单组件源记录，官方站点待核</x:v>
      </x:c>
      <x:c r="F167" s="19" t="str"/>
      <x:c r="G167" s="20" t="n">
        <x:v>1</x:v>
      </x:c>
      <x:c r="H167" s="19" t="str">
        <x:v>新川崎 | 東日本旅客鉄道 | conventional_rail | 東海道線</x:v>
      </x:c>
      <x:c r="I167" s="19" t="str"/>
      <x:c r="J167" s="19" t="str">
        <x:v>核实官方站点图及实际换乘边界；不能按 S12 源组归 Hub。大阪扩审仍冻结。</x:v>
      </x:c>
      <x:c r="K167" s="18" t="str">
        <x:v>transport-node:c0cbc553-6076-5615-aa93-e0e3ad919ce4</x:v>
      </x:c>
      <x:c r="L167" s="19" t="str">
        <x:v>004358</x:v>
      </x:c>
      <x:c r="M167" s="19" t="str">
        <x:v>https://nlftp.mlit.go.jp/ksj/gml/datalist/KsjTmplt-S12-2024.html</x:v>
      </x:c>
      <x:c r="N167" s="18" t="str">
        <x:v>0785e932a32b3ec15e1a1345537ae145eafe1c07bf38d5c16c11ee2b391e7a28</x:v>
      </x:c>
      <x:c r="O167" s="18" t="str">
        <x:v>8cad9588bc6f9241127c06906ae05c940c8bf29e</x:v>
      </x:c>
      <x:c r="P167" s="18" t="str">
        <x:v>否</x:v>
      </x:c>
    </x:row>
    <x:row r="168" ht="28" customHeight="1">
      <x:c r="A168" s="18" t="str">
        <x:v>新大久保</x:v>
      </x:c>
      <x:c r="B168" s="18" t="str">
        <x:v>東日本旅客鉄道</x:v>
      </x:c>
      <x:c r="C168" s="18" t="str">
        <x:v>conventional_rail</x:v>
      </x:c>
      <x:c r="D168" s="18" t="str">
        <x:v>T1</x:v>
      </x:c>
      <x:c r="E168" s="19" t="str">
        <x:v>单组件源记录，官方站点待核</x:v>
      </x:c>
      <x:c r="F168" s="19" t="str"/>
      <x:c r="G168" s="20" t="n">
        <x:v>1</x:v>
      </x:c>
      <x:c r="H168" s="19" t="str">
        <x:v>新大久保 | 東日本旅客鉄道 | conventional_rail | 山手線</x:v>
      </x:c>
      <x:c r="I168" s="19" t="str"/>
      <x:c r="J168" s="19" t="str">
        <x:v>核实官方站点图及实际换乘边界；不能按 S12 源组归 Hub。大阪扩审仍冻结。</x:v>
      </x:c>
      <x:c r="K168" s="18" t="str">
        <x:v>transport-node:89200fc7-d5e0-5971-a4c6-e16bb5383386</x:v>
      </x:c>
      <x:c r="L168" s="19" t="str">
        <x:v>003601</x:v>
      </x:c>
      <x:c r="M168" s="19" t="str">
        <x:v>https://nlftp.mlit.go.jp/ksj/gml/datalist/KsjTmplt-S12-2024.html</x:v>
      </x:c>
      <x:c r="N168" s="18" t="str">
        <x:v>0785e932a32b3ec15e1a1345537ae145eafe1c07bf38d5c16c11ee2b391e7a28</x:v>
      </x:c>
      <x:c r="O168" s="18" t="str">
        <x:v>8cad9588bc6f9241127c06906ae05c940c8bf29e</x:v>
      </x:c>
      <x:c r="P168" s="18" t="str">
        <x:v>否</x:v>
      </x:c>
    </x:row>
    <x:row r="169" ht="28" customHeight="1">
      <x:c r="A169" s="18" t="str">
        <x:v>新津田沼</x:v>
      </x:c>
      <x:c r="B169" s="18" t="str">
        <x:v>新京成電鉄</x:v>
      </x:c>
      <x:c r="C169" s="18" t="str">
        <x:v>private_rail</x:v>
      </x:c>
      <x:c r="D169" s="18" t="str">
        <x:v>T1</x:v>
      </x:c>
      <x:c r="E169" s="19" t="str">
        <x:v>单组件源记录，官方站点待核</x:v>
      </x:c>
      <x:c r="F169" s="19" t="str"/>
      <x:c r="G169" s="20" t="n">
        <x:v>1</x:v>
      </x:c>
      <x:c r="H169" s="19" t="str">
        <x:v>新津田沼 | 新京成電鉄 | private_rail | 新京成線</x:v>
      </x:c>
      <x:c r="I169" s="19" t="str"/>
      <x:c r="J169" s="19" t="str">
        <x:v>核实官方站点图及实际换乘边界；不能按 S12 源组归 Hub。大阪扩审仍冻结。</x:v>
      </x:c>
      <x:c r="K169" s="18" t="str">
        <x:v>transport-node:f1a3b1b1-3d86-5518-aefd-3ea13fcef709</x:v>
      </x:c>
      <x:c r="L169" s="19" t="str">
        <x:v>003694</x:v>
      </x:c>
      <x:c r="M169" s="19" t="str">
        <x:v>https://nlftp.mlit.go.jp/ksj/gml/datalist/KsjTmplt-S12-2024.html</x:v>
      </x:c>
      <x:c r="N169" s="18" t="str">
        <x:v>0785e932a32b3ec15e1a1345537ae145eafe1c07bf38d5c16c11ee2b391e7a28</x:v>
      </x:c>
      <x:c r="O169" s="18" t="str">
        <x:v>8cad9588bc6f9241127c06906ae05c940c8bf29e</x:v>
      </x:c>
      <x:c r="P169" s="18" t="str">
        <x:v>否</x:v>
      </x:c>
    </x:row>
    <x:row r="170" ht="28" customHeight="1">
      <x:c r="A170" s="18" t="str">
        <x:v>森下</x:v>
      </x:c>
      <x:c r="B170" s="18" t="str">
        <x:v>東京都</x:v>
      </x:c>
      <x:c r="C170" s="18" t="str">
        <x:v>metro</x:v>
      </x:c>
      <x:c r="D170" s="18" t="str">
        <x:v>T1</x:v>
      </x:c>
      <x:c r="E170" s="19" t="str">
        <x:v>单组件源记录，官方站点待核</x:v>
      </x:c>
      <x:c r="F170" s="19" t="str"/>
      <x:c r="G170" s="20" t="n">
        <x:v>1</x:v>
      </x:c>
      <x:c r="H170" s="19" t="str">
        <x:v>森下 | 東京都 | metro | 10号線新宿線 / 12号線大江戸線</x:v>
      </x:c>
      <x:c r="I170" s="19" t="str"/>
      <x:c r="J170" s="19" t="str">
        <x:v>核实官方站点图及实际换乘边界；不能按 S12 源组归 Hub。大阪扩审仍冻结。</x:v>
      </x:c>
      <x:c r="K170" s="18" t="str">
        <x:v>transport-node:c8c9cd19-7927-5a3f-9071-952297dc5bbe</x:v>
      </x:c>
      <x:c r="L170" s="19" t="str">
        <x:v>003711</x:v>
      </x:c>
      <x:c r="M170" s="19" t="str">
        <x:v>https://nlftp.mlit.go.jp/ksj/gml/datalist/KsjTmplt-S12-2024.html</x:v>
      </x:c>
      <x:c r="N170" s="18" t="str">
        <x:v>0785e932a32b3ec15e1a1345537ae145eafe1c07bf38d5c16c11ee2b391e7a28</x:v>
      </x:c>
      <x:c r="O170" s="18" t="str">
        <x:v>8cad9588bc6f9241127c06906ae05c940c8bf29e</x:v>
      </x:c>
      <x:c r="P170" s="18" t="str">
        <x:v>否</x:v>
      </x:c>
    </x:row>
    <x:row r="171" ht="28" customHeight="1">
      <x:c r="A171" s="18" t="str">
        <x:v>神谷町</x:v>
      </x:c>
      <x:c r="B171" s="18" t="str">
        <x:v>東京地下鉄</x:v>
      </x:c>
      <x:c r="C171" s="18" t="str">
        <x:v>metro</x:v>
      </x:c>
      <x:c r="D171" s="18" t="str">
        <x:v>T1</x:v>
      </x:c>
      <x:c r="E171" s="19" t="str">
        <x:v>单组件源记录，官方站点待核</x:v>
      </x:c>
      <x:c r="F171" s="19" t="str"/>
      <x:c r="G171" s="20" t="n">
        <x:v>1</x:v>
      </x:c>
      <x:c r="H171" s="19" t="str">
        <x:v>神谷町 | 東京地下鉄 | metro | 2号線日比谷線</x:v>
      </x:c>
      <x:c r="I171" s="19" t="str"/>
      <x:c r="J171" s="19" t="str">
        <x:v>核实官方站点图及实际换乘边界；不能按 S12 源组归 Hub。大阪扩审仍冻结。</x:v>
      </x:c>
      <x:c r="K171" s="18" t="str">
        <x:v>transport-node:30d0db79-bd94-5e7c-b395-e7331ce1cea3</x:v>
      </x:c>
      <x:c r="L171" s="19" t="str">
        <x:v>003900</x:v>
      </x:c>
      <x:c r="M171" s="19" t="str">
        <x:v>https://nlftp.mlit.go.jp/ksj/gml/datalist/KsjTmplt-S12-2024.html</x:v>
      </x:c>
      <x:c r="N171" s="18" t="str">
        <x:v>0785e932a32b3ec15e1a1345537ae145eafe1c07bf38d5c16c11ee2b391e7a28</x:v>
      </x:c>
      <x:c r="O171" s="18" t="str">
        <x:v>8cad9588bc6f9241127c06906ae05c940c8bf29e</x:v>
      </x:c>
      <x:c r="P171" s="18" t="str">
        <x:v>否</x:v>
      </x:c>
    </x:row>
    <x:row r="172" ht="28" customHeight="1">
      <x:c r="A172" s="18" t="str">
        <x:v>逗子</x:v>
      </x:c>
      <x:c r="B172" s="18" t="str">
        <x:v>東日本旅客鉄道</x:v>
      </x:c>
      <x:c r="C172" s="18" t="str">
        <x:v>conventional_rail</x:v>
      </x:c>
      <x:c r="D172" s="18" t="str">
        <x:v>T1</x:v>
      </x:c>
      <x:c r="E172" s="19" t="str">
        <x:v>单组件源记录，官方站点待核</x:v>
      </x:c>
      <x:c r="F172" s="19" t="str"/>
      <x:c r="G172" s="20" t="n">
        <x:v>1</x:v>
      </x:c>
      <x:c r="H172" s="19" t="str">
        <x:v>逗子 | 東日本旅客鉄道 | conventional_rail | 横須賀線</x:v>
      </x:c>
      <x:c r="I172" s="19" t="str"/>
      <x:c r="J172" s="19" t="str">
        <x:v>核实官方站点图及实际换乘边界；不能按 S12 源组归 Hub。大阪扩审仍冻结。</x:v>
      </x:c>
      <x:c r="K172" s="18" t="str">
        <x:v>transport-node:0575d6aa-2caa-5db3-99b4-a46b320a2445</x:v>
      </x:c>
      <x:c r="L172" s="19" t="str">
        <x:v>005121</x:v>
      </x:c>
      <x:c r="M172" s="19" t="str">
        <x:v>https://nlftp.mlit.go.jp/ksj/gml/datalist/KsjTmplt-S12-2024.html</x:v>
      </x:c>
      <x:c r="N172" s="18" t="str">
        <x:v>0785e932a32b3ec15e1a1345537ae145eafe1c07bf38d5c16c11ee2b391e7a28</x:v>
      </x:c>
      <x:c r="O172" s="18" t="str">
        <x:v>8cad9588bc6f9241127c06906ae05c940c8bf29e</x:v>
      </x:c>
      <x:c r="P172" s="18" t="str">
        <x:v>否</x:v>
      </x:c>
    </x:row>
    <x:row r="173" ht="28" customHeight="1">
      <x:c r="A173" s="18" t="str">
        <x:v>垂水</x:v>
      </x:c>
      <x:c r="B173" s="18" t="str">
        <x:v>西日本旅客鉄道</x:v>
      </x:c>
      <x:c r="C173" s="18" t="str">
        <x:v>conventional_rail</x:v>
      </x:c>
      <x:c r="D173" s="18" t="str">
        <x:v>T1</x:v>
      </x:c>
      <x:c r="E173" s="19" t="str">
        <x:v>单组件源记录，官方站点待核</x:v>
      </x:c>
      <x:c r="F173" s="19" t="str"/>
      <x:c r="G173" s="20" t="n">
        <x:v>1</x:v>
      </x:c>
      <x:c r="H173" s="19" t="str">
        <x:v>垂水 | 西日本旅客鉄道 | conventional_rail | 山陽線</x:v>
      </x:c>
      <x:c r="I173" s="19" t="str"/>
      <x:c r="J173" s="19" t="str">
        <x:v>核实官方站点图及实际换乘边界；不能按 S12 源组归 Hub。大阪扩审仍冻结。</x:v>
      </x:c>
      <x:c r="K173" s="18" t="str">
        <x:v>transport-node:4e210535-4240-5ba7-9526-74bc26ee6b4f</x:v>
      </x:c>
      <x:c r="L173" s="19" t="str">
        <x:v>007516</x:v>
      </x:c>
      <x:c r="M173" s="19" t="str">
        <x:v>https://nlftp.mlit.go.jp/ksj/gml/datalist/KsjTmplt-S12-2024.html</x:v>
      </x:c>
      <x:c r="N173" s="18" t="str">
        <x:v>0785e932a32b3ec15e1a1345537ae145eafe1c07bf38d5c16c11ee2b391e7a28</x:v>
      </x:c>
      <x:c r="O173" s="18" t="str">
        <x:v>8cad9588bc6f9241127c06906ae05c940c8bf29e</x:v>
      </x:c>
      <x:c r="P173" s="18" t="str">
        <x:v>否</x:v>
      </x:c>
    </x:row>
    <x:row r="174" ht="28" customHeight="1">
      <x:c r="A174" s="18" t="str">
        <x:v>瑞江</x:v>
      </x:c>
      <x:c r="B174" s="18" t="str">
        <x:v>東京都</x:v>
      </x:c>
      <x:c r="C174" s="18" t="str">
        <x:v>metro</x:v>
      </x:c>
      <x:c r="D174" s="18" t="str">
        <x:v>T1</x:v>
      </x:c>
      <x:c r="E174" s="19" t="str">
        <x:v>单组件源记录，官方站点待核</x:v>
      </x:c>
      <x:c r="F174" s="19" t="str"/>
      <x:c r="G174" s="20" t="n">
        <x:v>1</x:v>
      </x:c>
      <x:c r="H174" s="19" t="str">
        <x:v>瑞江 | 東京都 | metro | 10号線新宿線</x:v>
      </x:c>
      <x:c r="I174" s="19" t="str"/>
      <x:c r="J174" s="19" t="str">
        <x:v>核实官方站点图及实际换乘边界；不能按 S12 源组归 Hub。大阪扩审仍冻结。</x:v>
      </x:c>
      <x:c r="K174" s="18" t="str">
        <x:v>transport-node:ebae635a-e8a8-514b-b88e-de1cbc883125</x:v>
      </x:c>
      <x:c r="L174" s="19" t="str">
        <x:v>003667</x:v>
      </x:c>
      <x:c r="M174" s="19" t="str">
        <x:v>https://nlftp.mlit.go.jp/ksj/gml/datalist/KsjTmplt-S12-2024.html</x:v>
      </x:c>
      <x:c r="N174" s="18" t="str">
        <x:v>0785e932a32b3ec15e1a1345537ae145eafe1c07bf38d5c16c11ee2b391e7a28</x:v>
      </x:c>
      <x:c r="O174" s="18" t="str">
        <x:v>8cad9588bc6f9241127c06906ae05c940c8bf29e</x:v>
      </x:c>
      <x:c r="P174" s="18" t="str">
        <x:v>否</x:v>
      </x:c>
    </x:row>
    <x:row r="175" ht="28" customHeight="1">
      <x:c r="A175" s="18" t="str">
        <x:v>成城学園前</x:v>
      </x:c>
      <x:c r="B175" s="18" t="str">
        <x:v>小田急電鉄</x:v>
      </x:c>
      <x:c r="C175" s="18" t="str">
        <x:v>private_rail</x:v>
      </x:c>
      <x:c r="D175" s="18" t="str">
        <x:v>T1</x:v>
      </x:c>
      <x:c r="E175" s="19" t="str">
        <x:v>单组件源记录，官方站点待核</x:v>
      </x:c>
      <x:c r="F175" s="19" t="str"/>
      <x:c r="G175" s="20" t="n">
        <x:v>1</x:v>
      </x:c>
      <x:c r="H175" s="19" t="str">
        <x:v>成城学園前 | 小田急電鉄 | private_rail | 小田原線</x:v>
      </x:c>
      <x:c r="I175" s="19" t="str"/>
      <x:c r="J175" s="19" t="str">
        <x:v>核实官方站点图及实际换乘边界；不能按 S12 源组归 Hub。大阪扩审仍冻结。</x:v>
      </x:c>
      <x:c r="K175" s="18" t="str">
        <x:v>transport-node:91022036-e215-53a7-8ccd-fd0db08b0461</x:v>
      </x:c>
      <x:c r="L175" s="19" t="str">
        <x:v>004036</x:v>
      </x:c>
      <x:c r="M175" s="19" t="str">
        <x:v>https://nlftp.mlit.go.jp/ksj/gml/datalist/KsjTmplt-S12-2024.html</x:v>
      </x:c>
      <x:c r="N175" s="18" t="str">
        <x:v>0785e932a32b3ec15e1a1345537ae145eafe1c07bf38d5c16c11ee2b391e7a28</x:v>
      </x:c>
      <x:c r="O175" s="18" t="str">
        <x:v>8cad9588bc6f9241127c06906ae05c940c8bf29e</x:v>
      </x:c>
      <x:c r="P175" s="18" t="str">
        <x:v>否</x:v>
      </x:c>
    </x:row>
    <x:row r="176" ht="28" customHeight="1">
      <x:c r="A176" s="18" t="str">
        <x:v>成増</x:v>
      </x:c>
      <x:c r="B176" s="18" t="str">
        <x:v>東武鉄道</x:v>
      </x:c>
      <x:c r="C176" s="18" t="str">
        <x:v>private_rail</x:v>
      </x:c>
      <x:c r="D176" s="18" t="str">
        <x:v>T1</x:v>
      </x:c>
      <x:c r="E176" s="19" t="str">
        <x:v>单组件源记录，官方站点待核</x:v>
      </x:c>
      <x:c r="F176" s="19" t="str"/>
      <x:c r="G176" s="20" t="n">
        <x:v>1</x:v>
      </x:c>
      <x:c r="H176" s="19" t="str">
        <x:v>成増 | 東武鉄道 | private_rail | 東上本線</x:v>
      </x:c>
      <x:c r="I176" s="19" t="str"/>
      <x:c r="J176" s="19" t="str">
        <x:v>核实官方站点图及实际换乘边界；不能按 S12 源组归 Hub。大阪扩审仍冻结。</x:v>
      </x:c>
      <x:c r="K176" s="18" t="str">
        <x:v>transport-node:bf2f43fd-a9b8-52ed-b7ef-27080447aba0</x:v>
      </x:c>
      <x:c r="L176" s="19" t="str">
        <x:v>003156</x:v>
      </x:c>
      <x:c r="M176" s="19" t="str">
        <x:v>https://nlftp.mlit.go.jp/ksj/gml/datalist/KsjTmplt-S12-2024.html</x:v>
      </x:c>
      <x:c r="N176" s="18" t="str">
        <x:v>0785e932a32b3ec15e1a1345537ae145eafe1c07bf38d5c16c11ee2b391e7a28</x:v>
      </x:c>
      <x:c r="O176" s="18" t="str">
        <x:v>8cad9588bc6f9241127c06906ae05c940c8bf29e</x:v>
      </x:c>
      <x:c r="P176" s="18" t="str">
        <x:v>否</x:v>
      </x:c>
    </x:row>
    <x:row r="177" ht="28" customHeight="1">
      <x:c r="A177" s="18" t="str">
        <x:v>清瀬</x:v>
      </x:c>
      <x:c r="B177" s="18" t="str">
        <x:v>西武鉄道</x:v>
      </x:c>
      <x:c r="C177" s="18" t="str">
        <x:v>private_rail</x:v>
      </x:c>
      <x:c r="D177" s="18" t="str">
        <x:v>T1</x:v>
      </x:c>
      <x:c r="E177" s="19" t="str">
        <x:v>单组件源记录，官方站点待核</x:v>
      </x:c>
      <x:c r="F177" s="19" t="str"/>
      <x:c r="G177" s="20" t="n">
        <x:v>1</x:v>
      </x:c>
      <x:c r="H177" s="19" t="str">
        <x:v>清瀬 | 西武鉄道 | private_rail | 池袋線</x:v>
      </x:c>
      <x:c r="I177" s="19" t="str"/>
      <x:c r="J177" s="19" t="str">
        <x:v>核实官方站点图及实际换乘边界；不能按 S12 源组归 Hub。大阪扩审仍冻结。</x:v>
      </x:c>
      <x:c r="K177" s="18" t="str">
        <x:v>transport-node:48dd92f7-5160-503c-b965-5e2d1ee73cdd</x:v>
      </x:c>
      <x:c r="L177" s="19" t="str">
        <x:v>003179</x:v>
      </x:c>
      <x:c r="M177" s="19" t="str">
        <x:v>https://nlftp.mlit.go.jp/ksj/gml/datalist/KsjTmplt-S12-2024.html</x:v>
      </x:c>
      <x:c r="N177" s="18" t="str">
        <x:v>0785e932a32b3ec15e1a1345537ae145eafe1c07bf38d5c16c11ee2b391e7a28</x:v>
      </x:c>
      <x:c r="O177" s="18" t="str">
        <x:v>8cad9588bc6f9241127c06906ae05c940c8bf29e</x:v>
      </x:c>
      <x:c r="P177" s="18" t="str">
        <x:v>否</x:v>
      </x:c>
    </x:row>
    <x:row r="178" ht="28" customHeight="1">
      <x:c r="A178" s="18" t="str">
        <x:v>聖蹟桜ヶ丘</x:v>
      </x:c>
      <x:c r="B178" s="18" t="str">
        <x:v>京王電鉄</x:v>
      </x:c>
      <x:c r="C178" s="18" t="str">
        <x:v>private_rail</x:v>
      </x:c>
      <x:c r="D178" s="18" t="str">
        <x:v>T1</x:v>
      </x:c>
      <x:c r="E178" s="19" t="str">
        <x:v>单组件源记录，官方站点待核</x:v>
      </x:c>
      <x:c r="F178" s="19" t="str"/>
      <x:c r="G178" s="20" t="n">
        <x:v>1</x:v>
      </x:c>
      <x:c r="H178" s="19" t="str">
        <x:v>聖蹟桜ヶ丘 | 京王電鉄 | private_rail | 京王線</x:v>
      </x:c>
      <x:c r="I178" s="19" t="str"/>
      <x:c r="J178" s="19" t="str">
        <x:v>核实官方站点图及实际换乘边界；不能按 S12 源组归 Hub。大阪扩审仍冻结。</x:v>
      </x:c>
      <x:c r="K178" s="18" t="str">
        <x:v>transport-node:269dd987-7430-50e0-a137-8709f3ef2cf6</x:v>
      </x:c>
      <x:c r="L178" s="19" t="str">
        <x:v>003971</x:v>
      </x:c>
      <x:c r="M178" s="19" t="str">
        <x:v>https://nlftp.mlit.go.jp/ksj/gml/datalist/KsjTmplt-S12-2024.html</x:v>
      </x:c>
      <x:c r="N178" s="18" t="str">
        <x:v>0785e932a32b3ec15e1a1345537ae145eafe1c07bf38d5c16c11ee2b391e7a28</x:v>
      </x:c>
      <x:c r="O178" s="18" t="str">
        <x:v>8cad9588bc6f9241127c06906ae05c940c8bf29e</x:v>
      </x:c>
      <x:c r="P178" s="18" t="str">
        <x:v>否</x:v>
      </x:c>
    </x:row>
    <x:row r="179" ht="28" customHeight="1">
      <x:c r="A179" s="18" t="str">
        <x:v>西荻窪</x:v>
      </x:c>
      <x:c r="B179" s="18" t="str">
        <x:v>東日本旅客鉄道</x:v>
      </x:c>
      <x:c r="C179" s="18" t="str">
        <x:v>conventional_rail</x:v>
      </x:c>
      <x:c r="D179" s="18" t="str">
        <x:v>T1</x:v>
      </x:c>
      <x:c r="E179" s="19" t="str">
        <x:v>单组件源记录，官方站点待核</x:v>
      </x:c>
      <x:c r="F179" s="19" t="str"/>
      <x:c r="G179" s="20" t="n">
        <x:v>1</x:v>
      </x:c>
      <x:c r="H179" s="19" t="str">
        <x:v>西荻窪 | 東日本旅客鉄道 | conventional_rail | 中央線</x:v>
      </x:c>
      <x:c r="I179" s="19" t="str"/>
      <x:c r="J179" s="19" t="str">
        <x:v>核实官方站点图及实际换乘边界；不能按 S12 源组归 Hub。大阪扩审仍冻结。</x:v>
      </x:c>
      <x:c r="K179" s="18" t="str">
        <x:v>transport-node:1c232402-6079-5b62-8255-2d5d02bd8eb3</x:v>
      </x:c>
      <x:c r="L179" s="19" t="str">
        <x:v>003579</x:v>
      </x:c>
      <x:c r="M179" s="19" t="str">
        <x:v>https://nlftp.mlit.go.jp/ksj/gml/datalist/KsjTmplt-S12-2024.html</x:v>
      </x:c>
      <x:c r="N179" s="18" t="str">
        <x:v>0785e932a32b3ec15e1a1345537ae145eafe1c07bf38d5c16c11ee2b391e7a28</x:v>
      </x:c>
      <x:c r="O179" s="18" t="str">
        <x:v>8cad9588bc6f9241127c06906ae05c940c8bf29e</x:v>
      </x:c>
      <x:c r="P179" s="18" t="str">
        <x:v>否</x:v>
      </x:c>
    </x:row>
    <x:row r="180" ht="28" customHeight="1">
      <x:c r="A180" s="18" t="str">
        <x:v>西葛西</x:v>
      </x:c>
      <x:c r="B180" s="18" t="str">
        <x:v>東京地下鉄</x:v>
      </x:c>
      <x:c r="C180" s="18" t="str">
        <x:v>metro</x:v>
      </x:c>
      <x:c r="D180" s="18" t="str">
        <x:v>T1</x:v>
      </x:c>
      <x:c r="E180" s="19" t="str">
        <x:v>单组件源记录，官方站点待核</x:v>
      </x:c>
      <x:c r="F180" s="19" t="str"/>
      <x:c r="G180" s="20" t="n">
        <x:v>1</x:v>
      </x:c>
      <x:c r="H180" s="19" t="str">
        <x:v>西葛西 | 東京地下鉄 | metro | 5号線東西線</x:v>
      </x:c>
      <x:c r="I180" s="19" t="str"/>
      <x:c r="J180" s="19" t="str">
        <x:v>核实官方站点图及实际换乘边界；不能按 S12 源组归 Hub。大阪扩审仍冻结。</x:v>
      </x:c>
      <x:c r="K180" s="18" t="str">
        <x:v>transport-node:9bfc8c87-56ec-57f5-868f-1092209c0fd8</x:v>
      </x:c>
      <x:c r="L180" s="19" t="str">
        <x:v>003890</x:v>
      </x:c>
      <x:c r="M180" s="19" t="str">
        <x:v>https://nlftp.mlit.go.jp/ksj/gml/datalist/KsjTmplt-S12-2024.html</x:v>
      </x:c>
      <x:c r="N180" s="18" t="str">
        <x:v>0785e932a32b3ec15e1a1345537ae145eafe1c07bf38d5c16c11ee2b391e7a28</x:v>
      </x:c>
      <x:c r="O180" s="18" t="str">
        <x:v>8cad9588bc6f9241127c06906ae05c940c8bf29e</x:v>
      </x:c>
      <x:c r="P180" s="18" t="str">
        <x:v>否</x:v>
      </x:c>
    </x:row>
    <x:row r="181" ht="28" customHeight="1">
      <x:c r="A181" s="18" t="str">
        <x:v>西宮北口</x:v>
      </x:c>
      <x:c r="B181" s="18" t="str">
        <x:v>阪急電鉄</x:v>
      </x:c>
      <x:c r="C181" s="18" t="str">
        <x:v>private_rail</x:v>
      </x:c>
      <x:c r="D181" s="18" t="str">
        <x:v>T1</x:v>
      </x:c>
      <x:c r="E181" s="19" t="str">
        <x:v>单组件源记录，官方站点待核</x:v>
      </x:c>
      <x:c r="F181" s="19" t="str"/>
      <x:c r="G181" s="20" t="n">
        <x:v>1</x:v>
      </x:c>
      <x:c r="H181" s="19" t="str">
        <x:v>西宮北口 | 阪急電鉄 | private_rail | 今津線 / 神戸線</x:v>
      </x:c>
      <x:c r="I181" s="19" t="str"/>
      <x:c r="J181" s="19" t="str">
        <x:v>核实官方站点图及实际换乘边界；不能按 S12 源组归 Hub。大阪扩审仍冻结。</x:v>
      </x:c>
      <x:c r="K181" s="18" t="str">
        <x:v>transport-node:ec2de7d5-4eef-52b6-932e-c7a1d42223de</x:v>
      </x:c>
      <x:c r="L181" s="19" t="str">
        <x:v>006852</x:v>
      </x:c>
      <x:c r="M181" s="19" t="str">
        <x:v>https://nlftp.mlit.go.jp/ksj/gml/datalist/KsjTmplt-S12-2024.html</x:v>
      </x:c>
      <x:c r="N181" s="18" t="str">
        <x:v>0785e932a32b3ec15e1a1345537ae145eafe1c07bf38d5c16c11ee2b391e7a28</x:v>
      </x:c>
      <x:c r="O181" s="18" t="str">
        <x:v>8cad9588bc6f9241127c06906ae05c940c8bf29e</x:v>
      </x:c>
      <x:c r="P181" s="18" t="str">
        <x:v>否</x:v>
      </x:c>
    </x:row>
    <x:row r="182" ht="28" customHeight="1">
      <x:c r="A182" s="18" t="str">
        <x:v>西国分寺</x:v>
      </x:c>
      <x:c r="B182" s="18" t="str">
        <x:v>東日本旅客鉄道</x:v>
      </x:c>
      <x:c r="C182" s="18" t="str">
        <x:v>conventional_rail</x:v>
      </x:c>
      <x:c r="D182" s="18" t="str">
        <x:v>T1</x:v>
      </x:c>
      <x:c r="E182" s="19" t="str">
        <x:v>单组件源记录，官方站点待核</x:v>
      </x:c>
      <x:c r="F182" s="19" t="str"/>
      <x:c r="G182" s="20" t="n">
        <x:v>1</x:v>
      </x:c>
      <x:c r="H182" s="19" t="str">
        <x:v>西国分寺 | 東日本旅客鉄道 | conventional_rail | 中央線 / 武蔵野線</x:v>
      </x:c>
      <x:c r="I182" s="19" t="str"/>
      <x:c r="J182" s="19" t="str">
        <x:v>核实官方站点图及实际换乘边界；不能按 S12 源组归 Hub。大阪扩审仍冻结。</x:v>
      </x:c>
      <x:c r="K182" s="18" t="str">
        <x:v>transport-node:d18e8376-c8ac-5bf1-a642-9d5c166c648a</x:v>
      </x:c>
      <x:c r="L182" s="19" t="str">
        <x:v>003611</x:v>
      </x:c>
      <x:c r="M182" s="19" t="str">
        <x:v>https://nlftp.mlit.go.jp/ksj/gml/datalist/KsjTmplt-S12-2024.html</x:v>
      </x:c>
      <x:c r="N182" s="18" t="str">
        <x:v>0785e932a32b3ec15e1a1345537ae145eafe1c07bf38d5c16c11ee2b391e7a28</x:v>
      </x:c>
      <x:c r="O182" s="18" t="str">
        <x:v>8cad9588bc6f9241127c06906ae05c940c8bf29e</x:v>
      </x:c>
      <x:c r="P182" s="18" t="str">
        <x:v>否</x:v>
      </x:c>
    </x:row>
    <x:row r="183" ht="28" customHeight="1">
      <x:c r="A183" s="18" t="str">
        <x:v>西新井</x:v>
      </x:c>
      <x:c r="B183" s="18" t="str">
        <x:v>東武鉄道</x:v>
      </x:c>
      <x:c r="C183" s="18" t="str">
        <x:v>private_rail</x:v>
      </x:c>
      <x:c r="D183" s="18" t="str">
        <x:v>T1</x:v>
      </x:c>
      <x:c r="E183" s="19" t="str">
        <x:v>单组件源记录，官方站点待核</x:v>
      </x:c>
      <x:c r="F183" s="19" t="str"/>
      <x:c r="G183" s="20" t="n">
        <x:v>1</x:v>
      </x:c>
      <x:c r="H183" s="19" t="str">
        <x:v>西新井 | 東武鉄道 | private_rail | 伊勢崎線 / 大師線</x:v>
      </x:c>
      <x:c r="I183" s="19" t="str"/>
      <x:c r="J183" s="19" t="str">
        <x:v>核实官方站点图及实际换乘边界；不能按 S12 源组归 Hub。大阪扩审仍冻结。</x:v>
      </x:c>
      <x:c r="K183" s="18" t="str">
        <x:v>transport-node:93d8f17d-c69a-530e-aafc-f19f75d2281e</x:v>
      </x:c>
      <x:c r="L183" s="19" t="str">
        <x:v>003159</x:v>
      </x:c>
      <x:c r="M183" s="19" t="str">
        <x:v>https://nlftp.mlit.go.jp/ksj/gml/datalist/KsjTmplt-S12-2024.html</x:v>
      </x:c>
      <x:c r="N183" s="18" t="str">
        <x:v>0785e932a32b3ec15e1a1345537ae145eafe1c07bf38d5c16c11ee2b391e7a28</x:v>
      </x:c>
      <x:c r="O183" s="18" t="str">
        <x:v>8cad9588bc6f9241127c06906ae05c940c8bf29e</x:v>
      </x:c>
      <x:c r="P183" s="18" t="str">
        <x:v>否</x:v>
      </x:c>
    </x:row>
    <x:row r="184" ht="28" customHeight="1">
      <x:c r="A184" s="18" t="str">
        <x:v>西新宿</x:v>
      </x:c>
      <x:c r="B184" s="18" t="str">
        <x:v>東京地下鉄</x:v>
      </x:c>
      <x:c r="C184" s="18" t="str">
        <x:v>metro</x:v>
      </x:c>
      <x:c r="D184" s="18" t="str">
        <x:v>T1</x:v>
      </x:c>
      <x:c r="E184" s="19" t="str">
        <x:v>单组件源记录，官方站点待核</x:v>
      </x:c>
      <x:c r="F184" s="19" t="str"/>
      <x:c r="G184" s="20" t="n">
        <x:v>1</x:v>
      </x:c>
      <x:c r="H184" s="19" t="str">
        <x:v>西新宿 | 東京地下鉄 | metro | 4号線丸ノ内線</x:v>
      </x:c>
      <x:c r="I184" s="19" t="str"/>
      <x:c r="J184" s="19" t="str">
        <x:v>核实官方站点图及实际换乘边界；不能按 S12 源组归 Hub。大阪扩审仍冻结。</x:v>
      </x:c>
      <x:c r="K184" s="18" t="str">
        <x:v>transport-node:36d3682f-68bb-5af6-967e-e05dd2d96fc2</x:v>
      </x:c>
      <x:c r="L184" s="19" t="str">
        <x:v>003662</x:v>
      </x:c>
      <x:c r="M184" s="19" t="str">
        <x:v>https://nlftp.mlit.go.jp/ksj/gml/datalist/KsjTmplt-S12-2024.html</x:v>
      </x:c>
      <x:c r="N184" s="18" t="str">
        <x:v>0785e932a32b3ec15e1a1345537ae145eafe1c07bf38d5c16c11ee2b391e7a28</x:v>
      </x:c>
      <x:c r="O184" s="18" t="str">
        <x:v>8cad9588bc6f9241127c06906ae05c940c8bf29e</x:v>
      </x:c>
      <x:c r="P184" s="18" t="str">
        <x:v>否</x:v>
      </x:c>
    </x:row>
    <x:row r="185" ht="28" customHeight="1">
      <x:c r="A185" s="18" t="str">
        <x:v>西川口</x:v>
      </x:c>
      <x:c r="B185" s="18" t="str">
        <x:v>東日本旅客鉄道</x:v>
      </x:c>
      <x:c r="C185" s="18" t="str">
        <x:v>conventional_rail</x:v>
      </x:c>
      <x:c r="D185" s="18" t="str">
        <x:v>T1</x:v>
      </x:c>
      <x:c r="E185" s="19" t="str">
        <x:v>单组件源记录，官方站点待核</x:v>
      </x:c>
      <x:c r="F185" s="19" t="str"/>
      <x:c r="G185" s="20" t="n">
        <x:v>1</x:v>
      </x:c>
      <x:c r="H185" s="19" t="str">
        <x:v>西川口 | 東日本旅客鉄道 | conventional_rail | 東北線</x:v>
      </x:c>
      <x:c r="I185" s="19" t="str"/>
      <x:c r="J185" s="19" t="str">
        <x:v>核实官方站点图及实际换乘边界；不能按 S12 源组归 Hub。大阪扩审仍冻结。</x:v>
      </x:c>
      <x:c r="K185" s="18" t="str">
        <x:v>transport-node:201b3414-3e9c-5af2-af06-6c7013559856</x:v>
      </x:c>
      <x:c r="L185" s="19" t="str">
        <x:v>003055</x:v>
      </x:c>
      <x:c r="M185" s="19" t="str">
        <x:v>https://nlftp.mlit.go.jp/ksj/gml/datalist/KsjTmplt-S12-2024.html</x:v>
      </x:c>
      <x:c r="N185" s="18" t="str">
        <x:v>0785e932a32b3ec15e1a1345537ae145eafe1c07bf38d5c16c11ee2b391e7a28</x:v>
      </x:c>
      <x:c r="O185" s="18" t="str">
        <x:v>8cad9588bc6f9241127c06906ae05c940c8bf29e</x:v>
      </x:c>
      <x:c r="P185" s="18" t="str">
        <x:v>否</x:v>
      </x:c>
    </x:row>
    <x:row r="186" ht="28" customHeight="1">
      <x:c r="A186" s="18" t="str">
        <x:v>西八王子</x:v>
      </x:c>
      <x:c r="B186" s="18" t="str">
        <x:v>東日本旅客鉄道</x:v>
      </x:c>
      <x:c r="C186" s="18" t="str">
        <x:v>conventional_rail</x:v>
      </x:c>
      <x:c r="D186" s="18" t="str">
        <x:v>T1</x:v>
      </x:c>
      <x:c r="E186" s="19" t="str">
        <x:v>单组件源记录，官方站点待核</x:v>
      </x:c>
      <x:c r="F186" s="19" t="str"/>
      <x:c r="G186" s="20" t="n">
        <x:v>1</x:v>
      </x:c>
      <x:c r="H186" s="19" t="str">
        <x:v>西八王子 | 東日本旅客鉄道 | conventional_rail | 中央線</x:v>
      </x:c>
      <x:c r="I186" s="19" t="str"/>
      <x:c r="J186" s="19" t="str">
        <x:v>核实官方站点图及实际换乘边界；不能按 S12 源组归 Hub。大阪扩审仍冻结。</x:v>
      </x:c>
      <x:c r="K186" s="18" t="str">
        <x:v>transport-node:610b1e02-0942-5ee8-a11f-663acfd2f22a</x:v>
      </x:c>
      <x:c r="L186" s="19" t="str">
        <x:v>003942</x:v>
      </x:c>
      <x:c r="M186" s="19" t="str">
        <x:v>https://nlftp.mlit.go.jp/ksj/gml/datalist/KsjTmplt-S12-2024.html</x:v>
      </x:c>
      <x:c r="N186" s="18" t="str">
        <x:v>0785e932a32b3ec15e1a1345537ae145eafe1c07bf38d5c16c11ee2b391e7a28</x:v>
      </x:c>
      <x:c r="O186" s="18" t="str">
        <x:v>8cad9588bc6f9241127c06906ae05c940c8bf29e</x:v>
      </x:c>
      <x:c r="P186" s="18" t="str">
        <x:v>否</x:v>
      </x:c>
    </x:row>
    <x:row r="187" ht="28" customHeight="1">
      <x:c r="A187" s="18" t="str">
        <x:v>西武新宿</x:v>
      </x:c>
      <x:c r="B187" s="18" t="str">
        <x:v>西武鉄道</x:v>
      </x:c>
      <x:c r="C187" s="18" t="str">
        <x:v>private_rail</x:v>
      </x:c>
      <x:c r="D187" s="18" t="str">
        <x:v>T1</x:v>
      </x:c>
      <x:c r="E187" s="19" t="str">
        <x:v>单组件源记录，官方站点待核</x:v>
      </x:c>
      <x:c r="F187" s="19" t="str"/>
      <x:c r="G187" s="20" t="n">
        <x:v>1</x:v>
      </x:c>
      <x:c r="H187" s="19" t="str">
        <x:v>西武新宿 | 西武鉄道 | private_rail | 新宿線</x:v>
      </x:c>
      <x:c r="I187" s="19" t="str"/>
      <x:c r="J187" s="19" t="str">
        <x:v>核实官方站点图及实际换乘边界；不能按 S12 源组归 Hub。大阪扩审仍冻结。</x:v>
      </x:c>
      <x:c r="K187" s="18" t="str">
        <x:v>transport-node:26c5d3dc-4a78-5f81-8d79-3d5546533fc3</x:v>
      </x:c>
      <x:c r="L187" s="19" t="str">
        <x:v>003648</x:v>
      </x:c>
      <x:c r="M187" s="19" t="str">
        <x:v>https://nlftp.mlit.go.jp/ksj/gml/datalist/KsjTmplt-S12-2024.html</x:v>
      </x:c>
      <x:c r="N187" s="18" t="str">
        <x:v>0785e932a32b3ec15e1a1345537ae145eafe1c07bf38d5c16c11ee2b391e7a28</x:v>
      </x:c>
      <x:c r="O187" s="18" t="str">
        <x:v>8cad9588bc6f9241127c06906ae05c940c8bf29e</x:v>
      </x:c>
      <x:c r="P187" s="18" t="str">
        <x:v>否</x:v>
      </x:c>
    </x:row>
    <x:row r="188" ht="28" customHeight="1">
      <x:c r="A188" s="18" t="str">
        <x:v>青葉台</x:v>
      </x:c>
      <x:c r="B188" s="18" t="str">
        <x:v>東急電鉄</x:v>
      </x:c>
      <x:c r="C188" s="18" t="str">
        <x:v>private_rail</x:v>
      </x:c>
      <x:c r="D188" s="18" t="str">
        <x:v>T1</x:v>
      </x:c>
      <x:c r="E188" s="19" t="str">
        <x:v>单组件源记录，官方站点待核</x:v>
      </x:c>
      <x:c r="F188" s="19" t="str"/>
      <x:c r="G188" s="20" t="n">
        <x:v>1</x:v>
      </x:c>
      <x:c r="H188" s="19" t="str">
        <x:v>青葉台 | 東急電鉄 | private_rail | 田園都市線</x:v>
      </x:c>
      <x:c r="I188" s="19" t="str"/>
      <x:c r="J188" s="19" t="str">
        <x:v>核实官方站点图及实际换乘边界；不能按 S12 源组归 Hub。大阪扩审仍冻结。</x:v>
      </x:c>
      <x:c r="K188" s="18" t="str">
        <x:v>transport-node:8982789b-3546-546d-a35c-bc8ffbf60b27</x:v>
      </x:c>
      <x:c r="L188" s="19" t="str">
        <x:v>004392</x:v>
      </x:c>
      <x:c r="M188" s="19" t="str">
        <x:v>https://nlftp.mlit.go.jp/ksj/gml/datalist/KsjTmplt-S12-2024.html</x:v>
      </x:c>
      <x:c r="N188" s="18" t="str">
        <x:v>0785e932a32b3ec15e1a1345537ae145eafe1c07bf38d5c16c11ee2b391e7a28</x:v>
      </x:c>
      <x:c r="O188" s="18" t="str">
        <x:v>8cad9588bc6f9241127c06906ae05c940c8bf29e</x:v>
      </x:c>
      <x:c r="P188" s="18" t="str">
        <x:v>否</x:v>
      </x:c>
    </x:row>
    <x:row r="189" ht="28" customHeight="1">
      <x:c r="A189" s="18" t="str">
        <x:v>石神井公園</x:v>
      </x:c>
      <x:c r="B189" s="18" t="str">
        <x:v>西武鉄道</x:v>
      </x:c>
      <x:c r="C189" s="18" t="str">
        <x:v>private_rail</x:v>
      </x:c>
      <x:c r="D189" s="18" t="str">
        <x:v>T1</x:v>
      </x:c>
      <x:c r="E189" s="19" t="str">
        <x:v>单组件源记录，官方站点待核</x:v>
      </x:c>
      <x:c r="F189" s="19" t="str"/>
      <x:c r="G189" s="20" t="n">
        <x:v>1</x:v>
      </x:c>
      <x:c r="H189" s="19" t="str">
        <x:v>石神井公園 | 西武鉄道 | private_rail | 池袋線</x:v>
      </x:c>
      <x:c r="I189" s="19" t="str"/>
      <x:c r="J189" s="19" t="str">
        <x:v>核实官方站点图及实际换乘边界；不能按 S12 源组归 Hub。大阪扩审仍冻结。</x:v>
      </x:c>
      <x:c r="K189" s="18" t="str">
        <x:v>transport-node:b8a8e5f2-75fd-5f0c-8f7f-34ad9ac462f2</x:v>
      </x:c>
      <x:c r="L189" s="19" t="str">
        <x:v>003292</x:v>
      </x:c>
      <x:c r="M189" s="19" t="str">
        <x:v>https://nlftp.mlit.go.jp/ksj/gml/datalist/KsjTmplt-S12-2024.html</x:v>
      </x:c>
      <x:c r="N189" s="18" t="str">
        <x:v>0785e932a32b3ec15e1a1345537ae145eafe1c07bf38d5c16c11ee2b391e7a28</x:v>
      </x:c>
      <x:c r="O189" s="18" t="str">
        <x:v>8cad9588bc6f9241127c06906ae05c940c8bf29e</x:v>
      </x:c>
      <x:c r="P189" s="18" t="str">
        <x:v>否</x:v>
      </x:c>
    </x:row>
    <x:row r="190" ht="28" customHeight="1">
      <x:c r="A190" s="18" t="str">
        <x:v>石川町</x:v>
      </x:c>
      <x:c r="B190" s="18" t="str">
        <x:v>東日本旅客鉄道</x:v>
      </x:c>
      <x:c r="C190" s="18" t="str">
        <x:v>conventional_rail</x:v>
      </x:c>
      <x:c r="D190" s="18" t="str">
        <x:v>T1</x:v>
      </x:c>
      <x:c r="E190" s="19" t="str">
        <x:v>单组件源记录，官方站点待核</x:v>
      </x:c>
      <x:c r="F190" s="19" t="str"/>
      <x:c r="G190" s="20" t="n">
        <x:v>1</x:v>
      </x:c>
      <x:c r="H190" s="19" t="str">
        <x:v>石川町 | 東日本旅客鉄道 | conventional_rail | 根岸線</x:v>
      </x:c>
      <x:c r="I190" s="19" t="str"/>
      <x:c r="J190" s="19" t="str">
        <x:v>核实官方站点图及实际换乘边界；不能按 S12 源组归 Hub。大阪扩审仍冻结。</x:v>
      </x:c>
      <x:c r="K190" s="18" t="str">
        <x:v>transport-node:2c65bc69-aef9-522c-9cdb-443fa2d4b60f</x:v>
      </x:c>
      <x:c r="L190" s="19" t="str">
        <x:v>004716</x:v>
      </x:c>
      <x:c r="M190" s="19" t="str">
        <x:v>https://nlftp.mlit.go.jp/ksj/gml/datalist/KsjTmplt-S12-2024.html</x:v>
      </x:c>
      <x:c r="N190" s="18" t="str">
        <x:v>0785e932a32b3ec15e1a1345537ae145eafe1c07bf38d5c16c11ee2b391e7a28</x:v>
      </x:c>
      <x:c r="O190" s="18" t="str">
        <x:v>8cad9588bc6f9241127c06906ae05c940c8bf29e</x:v>
      </x:c>
      <x:c r="P190" s="18" t="str">
        <x:v>否</x:v>
      </x:c>
    </x:row>
    <x:row r="191" ht="28" customHeight="1">
      <x:c r="A191" s="18" t="str">
        <x:v>赤羽</x:v>
      </x:c>
      <x:c r="B191" s="18" t="str">
        <x:v>東日本旅客鉄道</x:v>
      </x:c>
      <x:c r="C191" s="18" t="str">
        <x:v>conventional_rail</x:v>
      </x:c>
      <x:c r="D191" s="18" t="str">
        <x:v>T1</x:v>
      </x:c>
      <x:c r="E191" s="19" t="str">
        <x:v>单组件源记录，官方站点待核</x:v>
      </x:c>
      <x:c r="F191" s="19" t="str"/>
      <x:c r="G191" s="20" t="n">
        <x:v>1</x:v>
      </x:c>
      <x:c r="H191" s="19" t="str">
        <x:v>赤羽 | 東日本旅客鉄道 | conventional_rail | 東北線 / 赤羽線</x:v>
      </x:c>
      <x:c r="I191" s="19" t="str"/>
      <x:c r="J191" s="19" t="str">
        <x:v>核实官方站点图及实际换乘边界；不能按 S12 源组归 Hub。大阪扩审仍冻结。</x:v>
      </x:c>
      <x:c r="K191" s="18" t="str">
        <x:v>transport-node:96b38df7-cb30-52bf-b584-df98ede3b32b</x:v>
      </x:c>
      <x:c r="L191" s="19" t="str">
        <x:v>003155</x:v>
      </x:c>
      <x:c r="M191" s="19" t="str">
        <x:v>https://nlftp.mlit.go.jp/ksj/gml/datalist/KsjTmplt-S12-2024.html</x:v>
      </x:c>
      <x:c r="N191" s="18" t="str">
        <x:v>0785e932a32b3ec15e1a1345537ae145eafe1c07bf38d5c16c11ee2b391e7a28</x:v>
      </x:c>
      <x:c r="O191" s="18" t="str">
        <x:v>8cad9588bc6f9241127c06906ae05c940c8bf29e</x:v>
      </x:c>
      <x:c r="P191" s="18" t="str">
        <x:v>否</x:v>
      </x:c>
    </x:row>
    <x:row r="192" ht="28" customHeight="1">
      <x:c r="A192" s="18" t="str">
        <x:v>赤坂</x:v>
      </x:c>
      <x:c r="B192" s="18" t="str">
        <x:v>東京地下鉄</x:v>
      </x:c>
      <x:c r="C192" s="18" t="str">
        <x:v>metro</x:v>
      </x:c>
      <x:c r="D192" s="18" t="str">
        <x:v>T1</x:v>
      </x:c>
      <x:c r="E192" s="19" t="str">
        <x:v>单组件源记录，官方站点待核</x:v>
      </x:c>
      <x:c r="F192" s="19" t="str"/>
      <x:c r="G192" s="20" t="n">
        <x:v>1</x:v>
      </x:c>
      <x:c r="H192" s="19" t="str">
        <x:v>赤坂 | 東京地下鉄 | metro | 9号線千代田線</x:v>
      </x:c>
      <x:c r="I192" s="19" t="str"/>
      <x:c r="J192" s="19" t="str">
        <x:v>核实官方站点图及实际换乘边界；不能按 S12 源组归 Hub。大阪扩审仍冻结。</x:v>
      </x:c>
      <x:c r="K192" s="18" t="str">
        <x:v>transport-node:887f073f-690e-51ad-b637-0f07d6480975</x:v>
      </x:c>
      <x:c r="L192" s="19" t="str">
        <x:v>003822</x:v>
      </x:c>
      <x:c r="M192" s="19" t="str">
        <x:v>https://nlftp.mlit.go.jp/ksj/gml/datalist/KsjTmplt-S12-2024.html</x:v>
      </x:c>
      <x:c r="N192" s="18" t="str">
        <x:v>0785e932a32b3ec15e1a1345537ae145eafe1c07bf38d5c16c11ee2b391e7a28</x:v>
      </x:c>
      <x:c r="O192" s="18" t="str">
        <x:v>8cad9588bc6f9241127c06906ae05c940c8bf29e</x:v>
      </x:c>
      <x:c r="P192" s="18" t="str">
        <x:v>否</x:v>
      </x:c>
    </x:row>
    <x:row r="193" ht="28" customHeight="1">
      <x:c r="A193" s="18" t="str">
        <x:v>仙川</x:v>
      </x:c>
      <x:c r="B193" s="18" t="str">
        <x:v>京王電鉄</x:v>
      </x:c>
      <x:c r="C193" s="18" t="str">
        <x:v>private_rail</x:v>
      </x:c>
      <x:c r="D193" s="18" t="str">
        <x:v>T1</x:v>
      </x:c>
      <x:c r="E193" s="19" t="str">
        <x:v>单组件源记录，官方站点待核</x:v>
      </x:c>
      <x:c r="F193" s="19" t="str"/>
      <x:c r="G193" s="20" t="n">
        <x:v>1</x:v>
      </x:c>
      <x:c r="H193" s="19" t="str">
        <x:v>仙川 | 京王電鉄 | private_rail | 京王線</x:v>
      </x:c>
      <x:c r="I193" s="19" t="str"/>
      <x:c r="J193" s="19" t="str">
        <x:v>核实官方站点图及实际换乘边界；不能按 S12 源组归 Hub。大阪扩审仍冻结。</x:v>
      </x:c>
      <x:c r="K193" s="18" t="str">
        <x:v>transport-node:6fd67080-17c4-5509-af01-2c795bdcd9e2</x:v>
      </x:c>
      <x:c r="L193" s="19" t="str">
        <x:v>003903</x:v>
      </x:c>
      <x:c r="M193" s="19" t="str">
        <x:v>https://nlftp.mlit.go.jp/ksj/gml/datalist/KsjTmplt-S12-2024.html</x:v>
      </x:c>
      <x:c r="N193" s="18" t="str">
        <x:v>0785e932a32b3ec15e1a1345537ae145eafe1c07bf38d5c16c11ee2b391e7a28</x:v>
      </x:c>
      <x:c r="O193" s="18" t="str">
        <x:v>8cad9588bc6f9241127c06906ae05c940c8bf29e</x:v>
      </x:c>
      <x:c r="P193" s="18" t="str">
        <x:v>否</x:v>
      </x:c>
    </x:row>
    <x:row r="194" ht="28" customHeight="1">
      <x:c r="A194" s="18" t="str">
        <x:v>千歳烏山</x:v>
      </x:c>
      <x:c r="B194" s="18" t="str">
        <x:v>京王電鉄</x:v>
      </x:c>
      <x:c r="C194" s="18" t="str">
        <x:v>private_rail</x:v>
      </x:c>
      <x:c r="D194" s="18" t="str">
        <x:v>T1</x:v>
      </x:c>
      <x:c r="E194" s="19" t="str">
        <x:v>单组件源记录，官方站点待核</x:v>
      </x:c>
      <x:c r="F194" s="19" t="str"/>
      <x:c r="G194" s="20" t="n">
        <x:v>1</x:v>
      </x:c>
      <x:c r="H194" s="19" t="str">
        <x:v>千歳烏山 | 京王電鉄 | private_rail | 京王線</x:v>
      </x:c>
      <x:c r="I194" s="19" t="str"/>
      <x:c r="J194" s="19" t="str">
        <x:v>核实官方站点图及实际换乘边界；不能按 S12 源组归 Hub。大阪扩审仍冻结。</x:v>
      </x:c>
      <x:c r="K194" s="18" t="str">
        <x:v>transport-node:3e64bd0b-3301-5592-bdb8-55001e97d01b</x:v>
      </x:c>
      <x:c r="L194" s="19" t="str">
        <x:v>003861</x:v>
      </x:c>
      <x:c r="M194" s="19" t="str">
        <x:v>https://nlftp.mlit.go.jp/ksj/gml/datalist/KsjTmplt-S12-2024.html</x:v>
      </x:c>
      <x:c r="N194" s="18" t="str">
        <x:v>0785e932a32b3ec15e1a1345537ae145eafe1c07bf38d5c16c11ee2b391e7a28</x:v>
      </x:c>
      <x:c r="O194" s="18" t="str">
        <x:v>8cad9588bc6f9241127c06906ae05c940c8bf29e</x:v>
      </x:c>
      <x:c r="P194" s="18" t="str">
        <x:v>否</x:v>
      </x:c>
    </x:row>
    <x:row r="195" ht="28" customHeight="1">
      <x:c r="A195" s="18" t="str">
        <x:v>千歳船橋</x:v>
      </x:c>
      <x:c r="B195" s="18" t="str">
        <x:v>小田急電鉄</x:v>
      </x:c>
      <x:c r="C195" s="18" t="str">
        <x:v>private_rail</x:v>
      </x:c>
      <x:c r="D195" s="18" t="str">
        <x:v>T1</x:v>
      </x:c>
      <x:c r="E195" s="19" t="str">
        <x:v>单组件源记录，官方站点待核</x:v>
      </x:c>
      <x:c r="F195" s="19" t="str"/>
      <x:c r="G195" s="20" t="n">
        <x:v>1</x:v>
      </x:c>
      <x:c r="H195" s="19" t="str">
        <x:v>千歳船橋 | 小田急電鉄 | private_rail | 小田原線</x:v>
      </x:c>
      <x:c r="I195" s="19" t="str"/>
      <x:c r="J195" s="19" t="str">
        <x:v>核实官方站点图及实际换乘边界；不能按 S12 源组归 Hub。大阪扩审仍冻结。</x:v>
      </x:c>
      <x:c r="K195" s="18" t="str">
        <x:v>transport-node:3ea91d55-43d0-52e6-9db3-5087a76f839d</x:v>
      </x:c>
      <x:c r="L195" s="19" t="str">
        <x:v>003988</x:v>
      </x:c>
      <x:c r="M195" s="19" t="str">
        <x:v>https://nlftp.mlit.go.jp/ksj/gml/datalist/KsjTmplt-S12-2024.html</x:v>
      </x:c>
      <x:c r="N195" s="18" t="str">
        <x:v>0785e932a32b3ec15e1a1345537ae145eafe1c07bf38d5c16c11ee2b391e7a28</x:v>
      </x:c>
      <x:c r="O195" s="18" t="str">
        <x:v>8cad9588bc6f9241127c06906ae05c940c8bf29e</x:v>
      </x:c>
      <x:c r="P195" s="18" t="str">
        <x:v>否</x:v>
      </x:c>
    </x:row>
    <x:row r="196" ht="28" customHeight="1">
      <x:c r="A196" s="18" t="str">
        <x:v>千里中央</x:v>
      </x:c>
      <x:c r="B196" s="18" t="str">
        <x:v>北大阪急行電鉄</x:v>
      </x:c>
      <x:c r="C196" s="18" t="str">
        <x:v>private_rail</x:v>
      </x:c>
      <x:c r="D196" s="18" t="str">
        <x:v>T1</x:v>
      </x:c>
      <x:c r="E196" s="19" t="str">
        <x:v>单组件源记录，官方站点待核</x:v>
      </x:c>
      <x:c r="F196" s="19" t="str"/>
      <x:c r="G196" s="20" t="n">
        <x:v>1</x:v>
      </x:c>
      <x:c r="H196" s="19" t="str">
        <x:v>千里中央 | 北大阪急行電鉄 | private_rail | 南北線</x:v>
      </x:c>
      <x:c r="I196" s="19" t="str"/>
      <x:c r="J196" s="19" t="str">
        <x:v>核实官方站点图及实际换乘边界；不能按 S12 源组归 Hub。大阪扩审仍冻结。</x:v>
      </x:c>
      <x:c r="K196" s="18" t="str">
        <x:v>transport-node:30a94998-b769-534f-8588-8b468c696734</x:v>
      </x:c>
      <x:c r="L196" s="19" t="str">
        <x:v>006587</x:v>
      </x:c>
      <x:c r="M196" s="19" t="str">
        <x:v>https://nlftp.mlit.go.jp/ksj/gml/datalist/KsjTmplt-S12-2024.html</x:v>
      </x:c>
      <x:c r="N196" s="18" t="str">
        <x:v>0785e932a32b3ec15e1a1345537ae145eafe1c07bf38d5c16c11ee2b391e7a28</x:v>
      </x:c>
      <x:c r="O196" s="18" t="str">
        <x:v>8cad9588bc6f9241127c06906ae05c940c8bf29e</x:v>
      </x:c>
      <x:c r="P196" s="18" t="str">
        <x:v>否</x:v>
      </x:c>
    </x:row>
    <x:row r="197" ht="28" customHeight="1">
      <x:c r="A197" s="18" t="str">
        <x:v>川口</x:v>
      </x:c>
      <x:c r="B197" s="18" t="str">
        <x:v>東日本旅客鉄道</x:v>
      </x:c>
      <x:c r="C197" s="18" t="str">
        <x:v>conventional_rail</x:v>
      </x:c>
      <x:c r="D197" s="18" t="str">
        <x:v>T1</x:v>
      </x:c>
      <x:c r="E197" s="19" t="str">
        <x:v>单组件源记录，官方站点待核</x:v>
      </x:c>
      <x:c r="F197" s="19" t="str"/>
      <x:c r="G197" s="20" t="n">
        <x:v>1</x:v>
      </x:c>
      <x:c r="H197" s="19" t="str">
        <x:v>川口 | 東日本旅客鉄道 | conventional_rail | 東北線</x:v>
      </x:c>
      <x:c r="I197" s="19" t="str"/>
      <x:c r="J197" s="19" t="str">
        <x:v>核实官方站点图及实际换乘边界；不能按 S12 源组归 Hub。大阪扩审仍冻结。</x:v>
      </x:c>
      <x:c r="K197" s="18" t="str">
        <x:v>transport-node:6104894b-22e5-5ede-84ca-fd86d8cbc289</x:v>
      </x:c>
      <x:c r="L197" s="19" t="str">
        <x:v>003086</x:v>
      </x:c>
      <x:c r="M197" s="19" t="str">
        <x:v>https://nlftp.mlit.go.jp/ksj/gml/datalist/KsjTmplt-S12-2024.html</x:v>
      </x:c>
      <x:c r="N197" s="18" t="str">
        <x:v>0785e932a32b3ec15e1a1345537ae145eafe1c07bf38d5c16c11ee2b391e7a28</x:v>
      </x:c>
      <x:c r="O197" s="18" t="str">
        <x:v>8cad9588bc6f9241127c06906ae05c940c8bf29e</x:v>
      </x:c>
      <x:c r="P197" s="18" t="str">
        <x:v>否</x:v>
      </x:c>
    </x:row>
    <x:row r="198" ht="28" customHeight="1">
      <x:c r="A198" s="18" t="str">
        <x:v>船堀</x:v>
      </x:c>
      <x:c r="B198" s="18" t="str">
        <x:v>東京都</x:v>
      </x:c>
      <x:c r="C198" s="18" t="str">
        <x:v>metro</x:v>
      </x:c>
      <x:c r="D198" s="18" t="str">
        <x:v>T1</x:v>
      </x:c>
      <x:c r="E198" s="19" t="str">
        <x:v>单组件源记录，官方站点待核</x:v>
      </x:c>
      <x:c r="F198" s="19" t="str"/>
      <x:c r="G198" s="20" t="n">
        <x:v>1</x:v>
      </x:c>
      <x:c r="H198" s="19" t="str">
        <x:v>船堀 | 東京都 | metro | 10号線新宿線</x:v>
      </x:c>
      <x:c r="I198" s="19" t="str"/>
      <x:c r="J198" s="19" t="str">
        <x:v>核实官方站点图及实际换乘边界；不能按 S12 源组归 Hub。大阪扩审仍冻结。</x:v>
      </x:c>
      <x:c r="K198" s="18" t="str">
        <x:v>transport-node:b8e251ad-db0e-5fab-8255-2aab712742b9</x:v>
      </x:c>
      <x:c r="L198" s="19" t="str">
        <x:v>003745</x:v>
      </x:c>
      <x:c r="M198" s="19" t="str">
        <x:v>https://nlftp.mlit.go.jp/ksj/gml/datalist/KsjTmplt-S12-2024.html</x:v>
      </x:c>
      <x:c r="N198" s="18" t="str">
        <x:v>0785e932a32b3ec15e1a1345537ae145eafe1c07bf38d5c16c11ee2b391e7a28</x:v>
      </x:c>
      <x:c r="O198" s="18" t="str">
        <x:v>8cad9588bc6f9241127c06906ae05c940c8bf29e</x:v>
      </x:c>
      <x:c r="P198" s="18" t="str">
        <x:v>否</x:v>
      </x:c>
    </x:row>
    <x:row r="199" ht="28" customHeight="1">
      <x:c r="A199" s="18" t="str">
        <x:v>蘇我</x:v>
      </x:c>
      <x:c r="B199" s="18" t="str">
        <x:v>東日本旅客鉄道</x:v>
      </x:c>
      <x:c r="C199" s="18" t="str">
        <x:v>conventional_rail</x:v>
      </x:c>
      <x:c r="D199" s="18" t="str">
        <x:v>T1</x:v>
      </x:c>
      <x:c r="E199" s="19" t="str">
        <x:v>单组件源记录，官方站点待核</x:v>
      </x:c>
      <x:c r="F199" s="19" t="str"/>
      <x:c r="G199" s="20" t="n">
        <x:v>1</x:v>
      </x:c>
      <x:c r="H199" s="19" t="str">
        <x:v>蘇我 | 東日本旅客鉄道 | conventional_rail | 京葉線 / 内房線 / 外房線</x:v>
      </x:c>
      <x:c r="I199" s="19" t="str"/>
      <x:c r="J199" s="19" t="str">
        <x:v>核实官方站点图及实际换乘边界；不能按 S12 源组归 Hub。大阪扩审仍冻结。</x:v>
      </x:c>
      <x:c r="K199" s="18" t="str">
        <x:v>transport-node:3d01e8a4-0c90-5195-bfdf-17a33907b824</x:v>
      </x:c>
      <x:c r="L199" s="19" t="str">
        <x:v>004281</x:v>
      </x:c>
      <x:c r="M199" s="19" t="str">
        <x:v>https://nlftp.mlit.go.jp/ksj/gml/datalist/KsjTmplt-S12-2024.html</x:v>
      </x:c>
      <x:c r="N199" s="18" t="str">
        <x:v>0785e932a32b3ec15e1a1345537ae145eafe1c07bf38d5c16c11ee2b391e7a28</x:v>
      </x:c>
      <x:c r="O199" s="18" t="str">
        <x:v>8cad9588bc6f9241127c06906ae05c940c8bf29e</x:v>
      </x:c>
      <x:c r="P199" s="18" t="str">
        <x:v>否</x:v>
      </x:c>
    </x:row>
    <x:row r="200" ht="28" customHeight="1">
      <x:c r="A200" s="18" t="str">
        <x:v>早稲田</x:v>
      </x:c>
      <x:c r="B200" s="18" t="str">
        <x:v>東京地下鉄</x:v>
      </x:c>
      <x:c r="C200" s="18" t="str">
        <x:v>metro</x:v>
      </x:c>
      <x:c r="D200" s="18" t="str">
        <x:v>T1</x:v>
      </x:c>
      <x:c r="E200" s="19" t="str">
        <x:v>单组件源记录，官方站点待核</x:v>
      </x:c>
      <x:c r="F200" s="19" t="str"/>
      <x:c r="G200" s="20" t="n">
        <x:v>1</x:v>
      </x:c>
      <x:c r="H200" s="19" t="str">
        <x:v>早稲田 | 東京地下鉄 | metro | 5号線東西線</x:v>
      </x:c>
      <x:c r="I200" s="19" t="str"/>
      <x:c r="J200" s="19" t="str">
        <x:v>核实官方站点图及实际换乘边界；不能按 S12 源组归 Hub。大阪扩审仍冻结。</x:v>
      </x:c>
      <x:c r="K200" s="18" t="str">
        <x:v>transport-node:34d50f2c-1e31-5db3-87a3-8b007d8abf60</x:v>
      </x:c>
      <x:c r="L200" s="19" t="str">
        <x:v>003570</x:v>
      </x:c>
      <x:c r="M200" s="19" t="str">
        <x:v>https://nlftp.mlit.go.jp/ksj/gml/datalist/KsjTmplt-S12-2024.html</x:v>
      </x:c>
      <x:c r="N200" s="18" t="str">
        <x:v>0785e932a32b3ec15e1a1345537ae145eafe1c07bf38d5c16c11ee2b391e7a28</x:v>
      </x:c>
      <x:c r="O200" s="18" t="str">
        <x:v>8cad9588bc6f9241127c06906ae05c940c8bf29e</x:v>
      </x:c>
      <x:c r="P200" s="18" t="str">
        <x:v>否</x:v>
      </x:c>
    </x:row>
    <x:row r="201" ht="28" customHeight="1">
      <x:c r="A201" s="18" t="str">
        <x:v>相模原</x:v>
      </x:c>
      <x:c r="B201" s="18" t="str">
        <x:v>東日本旅客鉄道</x:v>
      </x:c>
      <x:c r="C201" s="18" t="str">
        <x:v>conventional_rail</x:v>
      </x:c>
      <x:c r="D201" s="18" t="str">
        <x:v>T1</x:v>
      </x:c>
      <x:c r="E201" s="19" t="str">
        <x:v>单组件源记录，官方站点待核</x:v>
      </x:c>
      <x:c r="F201" s="19" t="str"/>
      <x:c r="G201" s="20" t="n">
        <x:v>1</x:v>
      </x:c>
      <x:c r="H201" s="19" t="str">
        <x:v>相模原 | 東日本旅客鉄道 | conventional_rail | 横浜線</x:v>
      </x:c>
      <x:c r="I201" s="19" t="str"/>
      <x:c r="J201" s="19" t="str">
        <x:v>核实官方站点图及实际换乘边界；不能按 S12 源组归 Hub。大阪扩审仍冻结。</x:v>
      </x:c>
      <x:c r="K201" s="18" t="str">
        <x:v>transport-node:7eb2d076-2d17-5b75-b85a-c19514afc146</x:v>
      </x:c>
      <x:c r="L201" s="19" t="str">
        <x:v>004284</x:v>
      </x:c>
      <x:c r="M201" s="19" t="str">
        <x:v>https://nlftp.mlit.go.jp/ksj/gml/datalist/KsjTmplt-S12-2024.html</x:v>
      </x:c>
      <x:c r="N201" s="18" t="str">
        <x:v>0785e932a32b3ec15e1a1345537ae145eafe1c07bf38d5c16c11ee2b391e7a28</x:v>
      </x:c>
      <x:c r="O201" s="18" t="str">
        <x:v>8cad9588bc6f9241127c06906ae05c940c8bf29e</x:v>
      </x:c>
      <x:c r="P201" s="18" t="str">
        <x:v>否</x:v>
      </x:c>
    </x:row>
    <x:row r="202" ht="28" customHeight="1">
      <x:c r="A202" s="18" t="str">
        <x:v>草加</x:v>
      </x:c>
      <x:c r="B202" s="18" t="str">
        <x:v>東武鉄道</x:v>
      </x:c>
      <x:c r="C202" s="18" t="str">
        <x:v>private_rail</x:v>
      </x:c>
      <x:c r="D202" s="18" t="str">
        <x:v>T1</x:v>
      </x:c>
      <x:c r="E202" s="19" t="str">
        <x:v>单组件源记录，官方站点待核</x:v>
      </x:c>
      <x:c r="F202" s="19" t="str"/>
      <x:c r="G202" s="20" t="n">
        <x:v>1</x:v>
      </x:c>
      <x:c r="H202" s="19" t="str">
        <x:v>草加 | 東武鉄道 | private_rail | 伊勢崎線</x:v>
      </x:c>
      <x:c r="I202" s="19" t="str"/>
      <x:c r="J202" s="19" t="str">
        <x:v>核实官方站点图及实际换乘边界；不能按 S12 源组归 Hub。大阪扩审仍冻结。</x:v>
      </x:c>
      <x:c r="K202" s="18" t="str">
        <x:v>transport-node:6a2ffe28-eee2-5312-a744-af3775fa6f23</x:v>
      </x:c>
      <x:c r="L202" s="19" t="str">
        <x:v>003040</x:v>
      </x:c>
      <x:c r="M202" s="19" t="str">
        <x:v>https://nlftp.mlit.go.jp/ksj/gml/datalist/KsjTmplt-S12-2024.html</x:v>
      </x:c>
      <x:c r="N202" s="18" t="str">
        <x:v>0785e932a32b3ec15e1a1345537ae145eafe1c07bf38d5c16c11ee2b391e7a28</x:v>
      </x:c>
      <x:c r="O202" s="18" t="str">
        <x:v>8cad9588bc6f9241127c06906ae05c940c8bf29e</x:v>
      </x:c>
      <x:c r="P202" s="18" t="str">
        <x:v>否</x:v>
      </x:c>
    </x:row>
    <x:row r="203" ht="28" customHeight="1">
      <x:c r="A203" s="18" t="str">
        <x:v>草津</x:v>
      </x:c>
      <x:c r="B203" s="18" t="str">
        <x:v>西日本旅客鉄道</x:v>
      </x:c>
      <x:c r="C203" s="18" t="str">
        <x:v>conventional_rail</x:v>
      </x:c>
      <x:c r="D203" s="18" t="str">
        <x:v>T1</x:v>
      </x:c>
      <x:c r="E203" s="19" t="str">
        <x:v>单组件源记录，官方站点待核</x:v>
      </x:c>
      <x:c r="F203" s="19" t="str"/>
      <x:c r="G203" s="20" t="n">
        <x:v>1</x:v>
      </x:c>
      <x:c r="H203" s="19" t="str">
        <x:v>草津 | 西日本旅客鉄道 | conventional_rail | 東海道線 / 草津線</x:v>
      </x:c>
      <x:c r="I203" s="19" t="str"/>
      <x:c r="J203" s="19" t="str">
        <x:v>核实官方站点图及实际换乘边界；不能按 S12 源组归 Hub。大阪扩审仍冻结。</x:v>
      </x:c>
      <x:c r="K203" s="18" t="str">
        <x:v>transport-node:a4fc7524-9e99-5312-812a-fb3655ac9d96</x:v>
      </x:c>
      <x:c r="L203" s="19" t="str">
        <x:v>005901</x:v>
      </x:c>
      <x:c r="M203" s="19" t="str">
        <x:v>https://nlftp.mlit.go.jp/ksj/gml/datalist/KsjTmplt-S12-2024.html</x:v>
      </x:c>
      <x:c r="N203" s="18" t="str">
        <x:v>0785e932a32b3ec15e1a1345537ae145eafe1c07bf38d5c16c11ee2b391e7a28</x:v>
      </x:c>
      <x:c r="O203" s="18" t="str">
        <x:v>8cad9588bc6f9241127c06906ae05c940c8bf29e</x:v>
      </x:c>
      <x:c r="P203" s="18" t="str">
        <x:v>否</x:v>
      </x:c>
    </x:row>
    <x:row r="204" ht="28" customHeight="1">
      <x:c r="A204" s="18" t="str">
        <x:v>大久保</x:v>
      </x:c>
      <x:c r="B204" s="18" t="str">
        <x:v>東日本旅客鉄道</x:v>
      </x:c>
      <x:c r="C204" s="18" t="str">
        <x:v>conventional_rail</x:v>
      </x:c>
      <x:c r="D204" s="18" t="str">
        <x:v>T1</x:v>
      </x:c>
      <x:c r="E204" s="19" t="str">
        <x:v>单组件源记录，官方站点待核</x:v>
      </x:c>
      <x:c r="F204" s="19" t="str"/>
      <x:c r="G204" s="20" t="n">
        <x:v>1</x:v>
      </x:c>
      <x:c r="H204" s="19" t="str">
        <x:v>大久保 | 東日本旅客鉄道 | conventional_rail | 中央線</x:v>
      </x:c>
      <x:c r="I204" s="19" t="str"/>
      <x:c r="J204" s="19" t="str">
        <x:v>核实官方站点图及实际换乘边界；不能按 S12 源组归 Hub。大阪扩审仍冻结。</x:v>
      </x:c>
      <x:c r="K204" s="18" t="str">
        <x:v>transport-node:d36be1aa-09e0-5aee-81c3-96618787021e</x:v>
      </x:c>
      <x:c r="L204" s="19" t="str">
        <x:v>003604</x:v>
      </x:c>
      <x:c r="M204" s="19" t="str">
        <x:v>https://nlftp.mlit.go.jp/ksj/gml/datalist/KsjTmplt-S12-2024.html</x:v>
      </x:c>
      <x:c r="N204" s="18" t="str">
        <x:v>0785e932a32b3ec15e1a1345537ae145eafe1c07bf38d5c16c11ee2b391e7a28</x:v>
      </x:c>
      <x:c r="O204" s="18" t="str">
        <x:v>8cad9588bc6f9241127c06906ae05c940c8bf29e</x:v>
      </x:c>
      <x:c r="P204" s="18" t="str">
        <x:v>否</x:v>
      </x:c>
    </x:row>
    <x:row r="205" ht="28" customHeight="1">
      <x:c r="A205" s="18" t="str">
        <x:v>大森</x:v>
      </x:c>
      <x:c r="B205" s="18" t="str">
        <x:v>東日本旅客鉄道</x:v>
      </x:c>
      <x:c r="C205" s="18" t="str">
        <x:v>conventional_rail</x:v>
      </x:c>
      <x:c r="D205" s="18" t="str">
        <x:v>T1</x:v>
      </x:c>
      <x:c r="E205" s="19" t="str">
        <x:v>单组件源记录，官方站点待核</x:v>
      </x:c>
      <x:c r="F205" s="19" t="str"/>
      <x:c r="G205" s="20" t="n">
        <x:v>1</x:v>
      </x:c>
      <x:c r="H205" s="19" t="str">
        <x:v>大森 | 東日本旅客鉄道 | conventional_rail | 東海道線</x:v>
      </x:c>
      <x:c r="I205" s="19" t="str"/>
      <x:c r="J205" s="19" t="str">
        <x:v>核实官方站点图及实际换乘边界；不能按 S12 源组归 Hub。大阪扩审仍冻结。</x:v>
      </x:c>
      <x:c r="K205" s="18" t="str">
        <x:v>transport-node:1f093a4f-9c95-5681-b3cc-d514ce6a4b34</x:v>
      </x:c>
      <x:c r="L205" s="19" t="str">
        <x:v>004264</x:v>
      </x:c>
      <x:c r="M205" s="19" t="str">
        <x:v>https://nlftp.mlit.go.jp/ksj/gml/datalist/KsjTmplt-S12-2024.html</x:v>
      </x:c>
      <x:c r="N205" s="18" t="str">
        <x:v>0785e932a32b3ec15e1a1345537ae145eafe1c07bf38d5c16c11ee2b391e7a28</x:v>
      </x:c>
      <x:c r="O205" s="18" t="str">
        <x:v>8cad9588bc6f9241127c06906ae05c940c8bf29e</x:v>
      </x:c>
      <x:c r="P205" s="18" t="str">
        <x:v>否</x:v>
      </x:c>
    </x:row>
    <x:row r="206" ht="28" customHeight="1">
      <x:c r="A206" s="18" t="str">
        <x:v>大泉学園</x:v>
      </x:c>
      <x:c r="B206" s="18" t="str">
        <x:v>西武鉄道</x:v>
      </x:c>
      <x:c r="C206" s="18" t="str">
        <x:v>private_rail</x:v>
      </x:c>
      <x:c r="D206" s="18" t="str">
        <x:v>T1</x:v>
      </x:c>
      <x:c r="E206" s="19" t="str">
        <x:v>单组件源记录，官方站点待核</x:v>
      </x:c>
      <x:c r="F206" s="19" t="str"/>
      <x:c r="G206" s="20" t="n">
        <x:v>1</x:v>
      </x:c>
      <x:c r="H206" s="19" t="str">
        <x:v>大泉学園 | 西武鉄道 | private_rail | 池袋線</x:v>
      </x:c>
      <x:c r="I206" s="19" t="str"/>
      <x:c r="J206" s="19" t="str">
        <x:v>核实官方站点图及实际换乘边界；不能按 S12 源组归 Hub。大阪扩审仍冻结。</x:v>
      </x:c>
      <x:c r="K206" s="18" t="str">
        <x:v>transport-node:cd6e5757-82cb-52ac-bedd-5c7e10a3d3d8</x:v>
      </x:c>
      <x:c r="L206" s="19" t="str">
        <x:v>003263</x:v>
      </x:c>
      <x:c r="M206" s="19" t="str">
        <x:v>https://nlftp.mlit.go.jp/ksj/gml/datalist/KsjTmplt-S12-2024.html</x:v>
      </x:c>
      <x:c r="N206" s="18" t="str">
        <x:v>0785e932a32b3ec15e1a1345537ae145eafe1c07bf38d5c16c11ee2b391e7a28</x:v>
      </x:c>
      <x:c r="O206" s="18" t="str">
        <x:v>8cad9588bc6f9241127c06906ae05c940c8bf29e</x:v>
      </x:c>
      <x:c r="P206" s="18" t="str">
        <x:v>否</x:v>
      </x:c>
    </x:row>
    <x:row r="207" ht="28" customHeight="1">
      <x:c r="A207" s="18" t="str">
        <x:v>大塚</x:v>
      </x:c>
      <x:c r="B207" s="18" t="str">
        <x:v>東日本旅客鉄道</x:v>
      </x:c>
      <x:c r="C207" s="18" t="str">
        <x:v>conventional_rail</x:v>
      </x:c>
      <x:c r="D207" s="18" t="str">
        <x:v>T1</x:v>
      </x:c>
      <x:c r="E207" s="19" t="str">
        <x:v>单组件源记录，官方站点待核</x:v>
      </x:c>
      <x:c r="F207" s="19" t="str"/>
      <x:c r="G207" s="20" t="n">
        <x:v>1</x:v>
      </x:c>
      <x:c r="H207" s="19" t="str">
        <x:v>大塚 | 東日本旅客鉄道 | conventional_rail | 山手線</x:v>
      </x:c>
      <x:c r="I207" s="19" t="str"/>
      <x:c r="J207" s="19" t="str">
        <x:v>核实官方站点图及实际换乘边界；不能按 S12 源组归 Hub。大阪扩审仍冻结。</x:v>
      </x:c>
      <x:c r="K207" s="18" t="str">
        <x:v>transport-node:0403011e-ae38-5b6f-92b3-0fd3abc4de37</x:v>
      </x:c>
      <x:c r="L207" s="19" t="str">
        <x:v>003375</x:v>
      </x:c>
      <x:c r="M207" s="19" t="str">
        <x:v>https://nlftp.mlit.go.jp/ksj/gml/datalist/KsjTmplt-S12-2024.html</x:v>
      </x:c>
      <x:c r="N207" s="18" t="str">
        <x:v>0785e932a32b3ec15e1a1345537ae145eafe1c07bf38d5c16c11ee2b391e7a28</x:v>
      </x:c>
      <x:c r="O207" s="18" t="str">
        <x:v>8cad9588bc6f9241127c06906ae05c940c8bf29e</x:v>
      </x:c>
      <x:c r="P207" s="18" t="str">
        <x:v>否</x:v>
      </x:c>
    </x:row>
    <x:row r="208" ht="28" customHeight="1">
      <x:c r="A208" s="18" t="str">
        <x:v>淡路町</x:v>
      </x:c>
      <x:c r="B208" s="18" t="str">
        <x:v>東京地下鉄</x:v>
      </x:c>
      <x:c r="C208" s="18" t="str">
        <x:v>metro</x:v>
      </x:c>
      <x:c r="D208" s="18" t="str">
        <x:v>T1</x:v>
      </x:c>
      <x:c r="E208" s="19" t="str">
        <x:v>单组件源记录，官方站点待核</x:v>
      </x:c>
      <x:c r="F208" s="19" t="str"/>
      <x:c r="G208" s="20" t="n">
        <x:v>1</x:v>
      </x:c>
      <x:c r="H208" s="19" t="str">
        <x:v>淡路町 | 東京地下鉄 | metro | 4号線丸ノ内線</x:v>
      </x:c>
      <x:c r="I208" s="19" t="str"/>
      <x:c r="J208" s="19" t="str">
        <x:v>核实官方站点图及实际换乘边界；不能按 S12 源组归 Hub。大阪扩审仍冻结。</x:v>
      </x:c>
      <x:c r="K208" s="18" t="str">
        <x:v>transport-node:ecbb113a-7ae7-566d-b4d5-b2c0d9ba3918</x:v>
      </x:c>
      <x:c r="L208" s="19" t="str">
        <x:v>003661</x:v>
      </x:c>
      <x:c r="M208" s="19" t="str">
        <x:v>https://nlftp.mlit.go.jp/ksj/gml/datalist/KsjTmplt-S12-2024.html</x:v>
      </x:c>
      <x:c r="N208" s="18" t="str">
        <x:v>0785e932a32b3ec15e1a1345537ae145eafe1c07bf38d5c16c11ee2b391e7a28</x:v>
      </x:c>
      <x:c r="O208" s="18" t="str">
        <x:v>8cad9588bc6f9241127c06906ae05c940c8bf29e</x:v>
      </x:c>
      <x:c r="P208" s="18" t="str">
        <x:v>否</x:v>
      </x:c>
    </x:row>
    <x:row r="209" ht="28" customHeight="1">
      <x:c r="A209" s="18" t="str">
        <x:v>地下鉄成増</x:v>
      </x:c>
      <x:c r="B209" s="18" t="str">
        <x:v>東京地下鉄</x:v>
      </x:c>
      <x:c r="C209" s="18" t="str">
        <x:v>metro</x:v>
      </x:c>
      <x:c r="D209" s="18" t="str">
        <x:v>T1</x:v>
      </x:c>
      <x:c r="E209" s="19" t="str">
        <x:v>单组件源记录，官方站点待核</x:v>
      </x:c>
      <x:c r="F209" s="19" t="str"/>
      <x:c r="G209" s="20" t="n">
        <x:v>1</x:v>
      </x:c>
      <x:c r="H209" s="19" t="str">
        <x:v>地下鉄成増 | 東京地下鉄 | metro | 8号線有楽町線</x:v>
      </x:c>
      <x:c r="I209" s="19" t="str"/>
      <x:c r="J209" s="19" t="str">
        <x:v>核实官方站点图及实际换乘边界；不能按 S12 源组归 Hub。大阪扩审仍冻结。</x:v>
      </x:c>
      <x:c r="K209" s="18" t="str">
        <x:v>transport-node:f12cdaa4-0426-586b-9cfd-e784f1c0a5d0</x:v>
      </x:c>
      <x:c r="L209" s="19" t="str">
        <x:v>003163</x:v>
      </x:c>
      <x:c r="M209" s="19" t="str">
        <x:v>https://nlftp.mlit.go.jp/ksj/gml/datalist/KsjTmplt-S12-2024.html</x:v>
      </x:c>
      <x:c r="N209" s="18" t="str">
        <x:v>0785e932a32b3ec15e1a1345537ae145eafe1c07bf38d5c16c11ee2b391e7a28</x:v>
      </x:c>
      <x:c r="O209" s="18" t="str">
        <x:v>8cad9588bc6f9241127c06906ae05c940c8bf29e</x:v>
      </x:c>
      <x:c r="P209" s="18" t="str">
        <x:v>否</x:v>
      </x:c>
    </x:row>
    <x:row r="210" ht="28" customHeight="1">
      <x:c r="A210" s="18" t="str">
        <x:v>池尻大橋</x:v>
      </x:c>
      <x:c r="B210" s="18" t="str">
        <x:v>東急電鉄</x:v>
      </x:c>
      <x:c r="C210" s="18" t="str">
        <x:v>private_rail</x:v>
      </x:c>
      <x:c r="D210" s="18" t="str">
        <x:v>T1</x:v>
      </x:c>
      <x:c r="E210" s="19" t="str">
        <x:v>单组件源记录，官方站点待核</x:v>
      </x:c>
      <x:c r="F210" s="19" t="str"/>
      <x:c r="G210" s="20" t="n">
        <x:v>1</x:v>
      </x:c>
      <x:c r="H210" s="19" t="str">
        <x:v>池尻大橋 | 東急電鉄 | private_rail | 田園都市線</x:v>
      </x:c>
      <x:c r="I210" s="19" t="str"/>
      <x:c r="J210" s="19" t="str">
        <x:v>核实官方站点图及实际换乘边界；不能按 S12 源组归 Hub。大阪扩审仍冻结。</x:v>
      </x:c>
      <x:c r="K210" s="18" t="str">
        <x:v>transport-node:f93fcc35-d6b7-5a7a-a0bf-e1de385e1e81</x:v>
      </x:c>
      <x:c r="L210" s="19" t="str">
        <x:v>003972</x:v>
      </x:c>
      <x:c r="M210" s="19" t="str">
        <x:v>https://nlftp.mlit.go.jp/ksj/gml/datalist/KsjTmplt-S12-2024.html</x:v>
      </x:c>
      <x:c r="N210" s="18" t="str">
        <x:v>0785e932a32b3ec15e1a1345537ae145eafe1c07bf38d5c16c11ee2b391e7a28</x:v>
      </x:c>
      <x:c r="O210" s="18" t="str">
        <x:v>8cad9588bc6f9241127c06906ae05c940c8bf29e</x:v>
      </x:c>
      <x:c r="P210" s="18" t="str">
        <x:v>否</x:v>
      </x:c>
    </x:row>
    <x:row r="211" ht="28" customHeight="1">
      <x:c r="A211" s="18" t="str">
        <x:v>築地</x:v>
      </x:c>
      <x:c r="B211" s="18" t="str">
        <x:v>東京地下鉄</x:v>
      </x:c>
      <x:c r="C211" s="18" t="str">
        <x:v>metro</x:v>
      </x:c>
      <x:c r="D211" s="18" t="str">
        <x:v>T1</x:v>
      </x:c>
      <x:c r="E211" s="19" t="str">
        <x:v>单组件源记录，官方站点待核</x:v>
      </x:c>
      <x:c r="F211" s="19" t="str"/>
      <x:c r="G211" s="20" t="n">
        <x:v>1</x:v>
      </x:c>
      <x:c r="H211" s="19" t="str">
        <x:v>築地 | 東京地下鉄 | metro | 2号線日比谷線</x:v>
      </x:c>
      <x:c r="I211" s="19" t="str"/>
      <x:c r="J211" s="19" t="str">
        <x:v>核实官方站点图及实际换乘边界；不能按 S12 源组归 Hub。大阪扩审仍冻结。</x:v>
      </x:c>
      <x:c r="K211" s="18" t="str">
        <x:v>transport-node:ef25573a-82df-5236-959f-55321118c9a3</x:v>
      </x:c>
      <x:c r="L211" s="19" t="str">
        <x:v>003860</x:v>
      </x:c>
      <x:c r="M211" s="19" t="str">
        <x:v>https://nlftp.mlit.go.jp/ksj/gml/datalist/KsjTmplt-S12-2024.html</x:v>
      </x:c>
      <x:c r="N211" s="18" t="str">
        <x:v>0785e932a32b3ec15e1a1345537ae145eafe1c07bf38d5c16c11ee2b391e7a28</x:v>
      </x:c>
      <x:c r="O211" s="18" t="str">
        <x:v>8cad9588bc6f9241127c06906ae05c940c8bf29e</x:v>
      </x:c>
      <x:c r="P211" s="18" t="str">
        <x:v>否</x:v>
      </x:c>
    </x:row>
    <x:row r="212" ht="28" customHeight="1">
      <x:c r="A212" s="18" t="str">
        <x:v>竹ノ塚</x:v>
      </x:c>
      <x:c r="B212" s="18" t="str">
        <x:v>東武鉄道</x:v>
      </x:c>
      <x:c r="C212" s="18" t="str">
        <x:v>private_rail</x:v>
      </x:c>
      <x:c r="D212" s="18" t="str">
        <x:v>T1</x:v>
      </x:c>
      <x:c r="E212" s="19" t="str">
        <x:v>单组件源记录，官方站点待核</x:v>
      </x:c>
      <x:c r="F212" s="19" t="str"/>
      <x:c r="G212" s="20" t="n">
        <x:v>1</x:v>
      </x:c>
      <x:c r="H212" s="19" t="str">
        <x:v>竹ノ塚 | 東武鉄道 | private_rail | 伊勢崎線</x:v>
      </x:c>
      <x:c r="I212" s="19" t="str"/>
      <x:c r="J212" s="19" t="str">
        <x:v>核实官方站点图及实际换乘边界；不能按 S12 源组归 Hub。大阪扩审仍冻结。</x:v>
      </x:c>
      <x:c r="K212" s="18" t="str">
        <x:v>transport-node:f2976d35-73db-5623-a143-9c6dceb646c2</x:v>
      </x:c>
      <x:c r="L212" s="19" t="str">
        <x:v>003101</x:v>
      </x:c>
      <x:c r="M212" s="19" t="str">
        <x:v>https://nlftp.mlit.go.jp/ksj/gml/datalist/KsjTmplt-S12-2024.html</x:v>
      </x:c>
      <x:c r="N212" s="18" t="str">
        <x:v>0785e932a32b3ec15e1a1345537ae145eafe1c07bf38d5c16c11ee2b391e7a28</x:v>
      </x:c>
      <x:c r="O212" s="18" t="str">
        <x:v>8cad9588bc6f9241127c06906ae05c940c8bf29e</x:v>
      </x:c>
      <x:c r="P212" s="18" t="str">
        <x:v>否</x:v>
      </x:c>
    </x:row>
    <x:row r="213" ht="28" customHeight="1">
      <x:c r="A213" s="18" t="str">
        <x:v>朝霞</x:v>
      </x:c>
      <x:c r="B213" s="18" t="str">
        <x:v>東武鉄道</x:v>
      </x:c>
      <x:c r="C213" s="18" t="str">
        <x:v>private_rail</x:v>
      </x:c>
      <x:c r="D213" s="18" t="str">
        <x:v>T1</x:v>
      </x:c>
      <x:c r="E213" s="19" t="str">
        <x:v>单组件源记录，官方站点待核</x:v>
      </x:c>
      <x:c r="F213" s="19" t="str"/>
      <x:c r="G213" s="20" t="n">
        <x:v>1</x:v>
      </x:c>
      <x:c r="H213" s="19" t="str">
        <x:v>朝霞 | 東武鉄道 | private_rail | 東上本線</x:v>
      </x:c>
      <x:c r="I213" s="19" t="str"/>
      <x:c r="J213" s="19" t="str">
        <x:v>核实官方站点图及实际换乘边界；不能按 S12 源组归 Hub。大阪扩审仍冻结。</x:v>
      </x:c>
      <x:c r="K213" s="18" t="str">
        <x:v>transport-node:38be5789-8a53-56ed-9101-da60d88efd66</x:v>
      </x:c>
      <x:c r="L213" s="19" t="str">
        <x:v>003097</x:v>
      </x:c>
      <x:c r="M213" s="19" t="str">
        <x:v>https://nlftp.mlit.go.jp/ksj/gml/datalist/KsjTmplt-S12-2024.html</x:v>
      </x:c>
      <x:c r="N213" s="18" t="str">
        <x:v>0785e932a32b3ec15e1a1345537ae145eafe1c07bf38d5c16c11ee2b391e7a28</x:v>
      </x:c>
      <x:c r="O213" s="18" t="str">
        <x:v>8cad9588bc6f9241127c06906ae05c940c8bf29e</x:v>
      </x:c>
      <x:c r="P213" s="18" t="str">
        <x:v>否</x:v>
      </x:c>
    </x:row>
    <x:row r="214" ht="28" customHeight="1">
      <x:c r="A214" s="18" t="str">
        <x:v>津田沼</x:v>
      </x:c>
      <x:c r="B214" s="18" t="str">
        <x:v>東日本旅客鉄道</x:v>
      </x:c>
      <x:c r="C214" s="18" t="str">
        <x:v>conventional_rail</x:v>
      </x:c>
      <x:c r="D214" s="18" t="str">
        <x:v>T1</x:v>
      </x:c>
      <x:c r="E214" s="19" t="str">
        <x:v>单组件源记录，官方站点待核</x:v>
      </x:c>
      <x:c r="F214" s="19" t="str"/>
      <x:c r="G214" s="20" t="n">
        <x:v>1</x:v>
      </x:c>
      <x:c r="H214" s="19" t="str">
        <x:v>津田沼 | 東日本旅客鉄道 | conventional_rail | 総武線</x:v>
      </x:c>
      <x:c r="I214" s="19" t="str"/>
      <x:c r="J214" s="19" t="str">
        <x:v>核实官方站点图及实际换乘边界；不能按 S12 源组归 Hub。大阪扩审仍冻结。</x:v>
      </x:c>
      <x:c r="K214" s="18" t="str">
        <x:v>transport-node:da8c1f59-3eb7-5b7d-8789-a82553c279e4</x:v>
      </x:c>
      <x:c r="L214" s="19" t="str">
        <x:v>003681</x:v>
      </x:c>
      <x:c r="M214" s="19" t="str">
        <x:v>https://nlftp.mlit.go.jp/ksj/gml/datalist/KsjTmplt-S12-2024.html</x:v>
      </x:c>
      <x:c r="N214" s="18" t="str">
        <x:v>0785e932a32b3ec15e1a1345537ae145eafe1c07bf38d5c16c11ee2b391e7a28</x:v>
      </x:c>
      <x:c r="O214" s="18" t="str">
        <x:v>8cad9588bc6f9241127c06906ae05c940c8bf29e</x:v>
      </x:c>
      <x:c r="P214" s="18" t="str">
        <x:v>否</x:v>
      </x:c>
    </x:row>
    <x:row r="215" ht="28" customHeight="1">
      <x:c r="A215" s="18" t="str">
        <x:v>辻堂</x:v>
      </x:c>
      <x:c r="B215" s="18" t="str">
        <x:v>東日本旅客鉄道</x:v>
      </x:c>
      <x:c r="C215" s="18" t="str">
        <x:v>conventional_rail</x:v>
      </x:c>
      <x:c r="D215" s="18" t="str">
        <x:v>T1</x:v>
      </x:c>
      <x:c r="E215" s="19" t="str">
        <x:v>单组件源记录，官方站点待核</x:v>
      </x:c>
      <x:c r="F215" s="19" t="str"/>
      <x:c r="G215" s="20" t="n">
        <x:v>1</x:v>
      </x:c>
      <x:c r="H215" s="19" t="str">
        <x:v>辻堂 | 東日本旅客鉄道 | conventional_rail | 東海道線</x:v>
      </x:c>
      <x:c r="I215" s="19" t="str"/>
      <x:c r="J215" s="19" t="str">
        <x:v>核实官方站点图及实际换乘边界；不能按 S12 源组归 Hub。大阪扩审仍冻结。</x:v>
      </x:c>
      <x:c r="K215" s="18" t="str">
        <x:v>transport-node:a1c40205-0202-575e-8824-37841b4fa1cf</x:v>
      </x:c>
      <x:c r="L215" s="19" t="str">
        <x:v>005004</x:v>
      </x:c>
      <x:c r="M215" s="19" t="str">
        <x:v>https://nlftp.mlit.go.jp/ksj/gml/datalist/KsjTmplt-S12-2024.html</x:v>
      </x:c>
      <x:c r="N215" s="18" t="str">
        <x:v>0785e932a32b3ec15e1a1345537ae145eafe1c07bf38d5c16c11ee2b391e7a28</x:v>
      </x:c>
      <x:c r="O215" s="18" t="str">
        <x:v>8cad9588bc6f9241127c06906ae05c940c8bf29e</x:v>
      </x:c>
      <x:c r="P215" s="18" t="str">
        <x:v>否</x:v>
      </x:c>
    </x:row>
    <x:row r="216" ht="28" customHeight="1">
      <x:c r="A216" s="18" t="str">
        <x:v>鶴ヶ峰</x:v>
      </x:c>
      <x:c r="B216" s="18" t="str">
        <x:v>相模鉄道</x:v>
      </x:c>
      <x:c r="C216" s="18" t="str">
        <x:v>private_rail</x:v>
      </x:c>
      <x:c r="D216" s="18" t="str">
        <x:v>T1</x:v>
      </x:c>
      <x:c r="E216" s="19" t="str">
        <x:v>单组件源记录，官方站点待核</x:v>
      </x:c>
      <x:c r="F216" s="19" t="str"/>
      <x:c r="G216" s="20" t="n">
        <x:v>1</x:v>
      </x:c>
      <x:c r="H216" s="19" t="str">
        <x:v>鶴ヶ峰 | 相模鉄道 | private_rail | 相鉄本線</x:v>
      </x:c>
      <x:c r="I216" s="19" t="str"/>
      <x:c r="J216" s="19" t="str">
        <x:v>核实官方站点图及实际换乘边界；不能按 S12 源组归 Hub。大阪扩审仍冻结。</x:v>
      </x:c>
      <x:c r="K216" s="18" t="str">
        <x:v>transport-node:b33f9268-a02a-5f62-9231-734e254a65b4</x:v>
      </x:c>
      <x:c r="L216" s="19" t="str">
        <x:v>004604</x:v>
      </x:c>
      <x:c r="M216" s="19" t="str">
        <x:v>https://nlftp.mlit.go.jp/ksj/gml/datalist/KsjTmplt-S12-2024.html</x:v>
      </x:c>
      <x:c r="N216" s="18" t="str">
        <x:v>0785e932a32b3ec15e1a1345537ae145eafe1c07bf38d5c16c11ee2b391e7a28</x:v>
      </x:c>
      <x:c r="O216" s="18" t="str">
        <x:v>8cad9588bc6f9241127c06906ae05c940c8bf29e</x:v>
      </x:c>
      <x:c r="P216" s="18" t="str">
        <x:v>否</x:v>
      </x:c>
    </x:row>
    <x:row r="217" ht="28" customHeight="1">
      <x:c r="A217" s="18" t="str">
        <x:v>鶴見</x:v>
      </x:c>
      <x:c r="B217" s="18" t="str">
        <x:v>東日本旅客鉄道</x:v>
      </x:c>
      <x:c r="C217" s="18" t="str">
        <x:v>conventional_rail</x:v>
      </x:c>
      <x:c r="D217" s="18" t="str">
        <x:v>T1</x:v>
      </x:c>
      <x:c r="E217" s="19" t="str">
        <x:v>单组件源记录，官方站点待核</x:v>
      </x:c>
      <x:c r="F217" s="19" t="str"/>
      <x:c r="G217" s="20" t="n">
        <x:v>1</x:v>
      </x:c>
      <x:c r="H217" s="19" t="str">
        <x:v>鶴見 | 東日本旅客鉄道 | conventional_rail | 東海道線 / 鶴見線</x:v>
      </x:c>
      <x:c r="I217" s="19" t="str"/>
      <x:c r="J217" s="19" t="str">
        <x:v>核实官方站点图及实际换乘边界；不能按 S12 源组归 Hub。大阪扩审仍冻结。</x:v>
      </x:c>
      <x:c r="K217" s="18" t="str">
        <x:v>transport-node:cc3ca3d6-7c28-5a59-ae98-d6ebd3e21013</x:v>
      </x:c>
      <x:c r="L217" s="19" t="str">
        <x:v>004496</x:v>
      </x:c>
      <x:c r="M217" s="19" t="str">
        <x:v>https://nlftp.mlit.go.jp/ksj/gml/datalist/KsjTmplt-S12-2024.html</x:v>
      </x:c>
      <x:c r="N217" s="18" t="str">
        <x:v>0785e932a32b3ec15e1a1345537ae145eafe1c07bf38d5c16c11ee2b391e7a28</x:v>
      </x:c>
      <x:c r="O217" s="18" t="str">
        <x:v>8cad9588bc6f9241127c06906ae05c940c8bf29e</x:v>
      </x:c>
      <x:c r="P217" s="18" t="str">
        <x:v>否</x:v>
      </x:c>
    </x:row>
    <x:row r="218" ht="28" customHeight="1">
      <x:c r="A218" s="18" t="str">
        <x:v>鶴川</x:v>
      </x:c>
      <x:c r="B218" s="18" t="str">
        <x:v>小田急電鉄</x:v>
      </x:c>
      <x:c r="C218" s="18" t="str">
        <x:v>private_rail</x:v>
      </x:c>
      <x:c r="D218" s="18" t="str">
        <x:v>T1</x:v>
      </x:c>
      <x:c r="E218" s="19" t="str">
        <x:v>单组件源记录，官方站点待核</x:v>
      </x:c>
      <x:c r="F218" s="19" t="str"/>
      <x:c r="G218" s="20" t="n">
        <x:v>1</x:v>
      </x:c>
      <x:c r="H218" s="19" t="str">
        <x:v>鶴川 | 小田急電鉄 | private_rail | 小田原線</x:v>
      </x:c>
      <x:c r="I218" s="19" t="str"/>
      <x:c r="J218" s="19" t="str">
        <x:v>核实官方站点图及实际换乘边界；不能按 S12 源组归 Hub。大阪扩审仍冻结。</x:v>
      </x:c>
      <x:c r="K218" s="18" t="str">
        <x:v>transport-node:2b19ce0b-b466-504a-be9c-44b61fd54671</x:v>
      </x:c>
      <x:c r="L218" s="19" t="str">
        <x:v>004278</x:v>
      </x:c>
      <x:c r="M218" s="19" t="str">
        <x:v>https://nlftp.mlit.go.jp/ksj/gml/datalist/KsjTmplt-S12-2024.html</x:v>
      </x:c>
      <x:c r="N218" s="18" t="str">
        <x:v>0785e932a32b3ec15e1a1345537ae145eafe1c07bf38d5c16c11ee2b391e7a28</x:v>
      </x:c>
      <x:c r="O218" s="18" t="str">
        <x:v>8cad9588bc6f9241127c06906ae05c940c8bf29e</x:v>
      </x:c>
      <x:c r="P218" s="18" t="str">
        <x:v>否</x:v>
      </x:c>
    </x:row>
    <x:row r="219" ht="28" customHeight="1">
      <x:c r="A219" s="18" t="str">
        <x:v>田端</x:v>
      </x:c>
      <x:c r="B219" s="18" t="str">
        <x:v>東日本旅客鉄道</x:v>
      </x:c>
      <x:c r="C219" s="18" t="str">
        <x:v>conventional_rail</x:v>
      </x:c>
      <x:c r="D219" s="18" t="str">
        <x:v>T1</x:v>
      </x:c>
      <x:c r="E219" s="19" t="str">
        <x:v>单组件源记录，官方站点待核</x:v>
      </x:c>
      <x:c r="F219" s="19" t="str"/>
      <x:c r="G219" s="20" t="n">
        <x:v>1</x:v>
      </x:c>
      <x:c r="H219" s="19" t="str">
        <x:v>田端 | 東日本旅客鉄道 | conventional_rail | 山手線 / 東北線</x:v>
      </x:c>
      <x:c r="I219" s="19" t="str"/>
      <x:c r="J219" s="19" t="str">
        <x:v>核实官方站点图及实际换乘边界；不能按 S12 源组归 Hub。大阪扩审仍冻结。</x:v>
      </x:c>
      <x:c r="K219" s="18" t="str">
        <x:v>transport-node:957450fc-c070-5b33-ad4c-25fa22b13fa7</x:v>
      </x:c>
      <x:c r="L219" s="19" t="str">
        <x:v>003335</x:v>
      </x:c>
      <x:c r="M219" s="19" t="str">
        <x:v>https://nlftp.mlit.go.jp/ksj/gml/datalist/KsjTmplt-S12-2024.html</x:v>
      </x:c>
      <x:c r="N219" s="18" t="str">
        <x:v>0785e932a32b3ec15e1a1345537ae145eafe1c07bf38d5c16c11ee2b391e7a28</x:v>
      </x:c>
      <x:c r="O219" s="18" t="str">
        <x:v>8cad9588bc6f9241127c06906ae05c940c8bf29e</x:v>
      </x:c>
      <x:c r="P219" s="18" t="str">
        <x:v>否</x:v>
      </x:c>
    </x:row>
    <x:row r="220" ht="28" customHeight="1">
      <x:c r="A220" s="18" t="str">
        <x:v>田無</x:v>
      </x:c>
      <x:c r="B220" s="18" t="str">
        <x:v>西武鉄道</x:v>
      </x:c>
      <x:c r="C220" s="18" t="str">
        <x:v>private_rail</x:v>
      </x:c>
      <x:c r="D220" s="18" t="str">
        <x:v>T1</x:v>
      </x:c>
      <x:c r="E220" s="19" t="str">
        <x:v>单组件源记录，官方站点待核</x:v>
      </x:c>
      <x:c r="F220" s="19" t="str"/>
      <x:c r="G220" s="20" t="n">
        <x:v>1</x:v>
      </x:c>
      <x:c r="H220" s="19" t="str">
        <x:v>田無 | 西武鉄道 | private_rail | 新宿線</x:v>
      </x:c>
      <x:c r="I220" s="19" t="str"/>
      <x:c r="J220" s="19" t="str">
        <x:v>核实官方站点图及实际换乘边界；不能按 S12 源组归 Hub。大阪扩审仍冻结。</x:v>
      </x:c>
      <x:c r="K220" s="18" t="str">
        <x:v>transport-node:1ef7450b-f4ad-51d9-86c7-406e5774a1ba</x:v>
      </x:c>
      <x:c r="L220" s="19" t="str">
        <x:v>003423</x:v>
      </x:c>
      <x:c r="M220" s="19" t="str">
        <x:v>https://nlftp.mlit.go.jp/ksj/gml/datalist/KsjTmplt-S12-2024.html</x:v>
      </x:c>
      <x:c r="N220" s="18" t="str">
        <x:v>0785e932a32b3ec15e1a1345537ae145eafe1c07bf38d5c16c11ee2b391e7a28</x:v>
      </x:c>
      <x:c r="O220" s="18" t="str">
        <x:v>8cad9588bc6f9241127c06906ae05c940c8bf29e</x:v>
      </x:c>
      <x:c r="P220" s="18" t="str">
        <x:v>否</x:v>
      </x:c>
    </x:row>
    <x:row r="221" ht="28" customHeight="1">
      <x:c r="A221" s="18" t="str">
        <x:v>東浦和</x:v>
      </x:c>
      <x:c r="B221" s="18" t="str">
        <x:v>東日本旅客鉄道</x:v>
      </x:c>
      <x:c r="C221" s="18" t="str">
        <x:v>conventional_rail</x:v>
      </x:c>
      <x:c r="D221" s="18" t="str">
        <x:v>T1</x:v>
      </x:c>
      <x:c r="E221" s="19" t="str">
        <x:v>单组件源记录，官方站点待核</x:v>
      </x:c>
      <x:c r="F221" s="19" t="str"/>
      <x:c r="G221" s="20" t="n">
        <x:v>1</x:v>
      </x:c>
      <x:c r="H221" s="19" t="str">
        <x:v>東浦和 | 東日本旅客鉄道 | conventional_rail | 武蔵野線</x:v>
      </x:c>
      <x:c r="I221" s="19" t="str"/>
      <x:c r="J221" s="19" t="str">
        <x:v>核实官方站点图及实际换乘边界；不能按 S12 源组归 Hub。大阪扩审仍冻结。</x:v>
      </x:c>
      <x:c r="K221" s="18" t="str">
        <x:v>transport-node:71f6bb38-cd9e-521e-8acd-48e401811377</x:v>
      </x:c>
      <x:c r="L221" s="19" t="str">
        <x:v>002980</x:v>
      </x:c>
      <x:c r="M221" s="19" t="str">
        <x:v>https://nlftp.mlit.go.jp/ksj/gml/datalist/KsjTmplt-S12-2024.html</x:v>
      </x:c>
      <x:c r="N221" s="18" t="str">
        <x:v>0785e932a32b3ec15e1a1345537ae145eafe1c07bf38d5c16c11ee2b391e7a28</x:v>
      </x:c>
      <x:c r="O221" s="18" t="str">
        <x:v>8cad9588bc6f9241127c06906ae05c940c8bf29e</x:v>
      </x:c>
      <x:c r="P221" s="18" t="str">
        <x:v>否</x:v>
      </x:c>
    </x:row>
    <x:row r="222" ht="28" customHeight="1">
      <x:c r="A222" s="18" t="str">
        <x:v>東久留米</x:v>
      </x:c>
      <x:c r="B222" s="18" t="str">
        <x:v>西武鉄道</x:v>
      </x:c>
      <x:c r="C222" s="18" t="str">
        <x:v>private_rail</x:v>
      </x:c>
      <x:c r="D222" s="18" t="str">
        <x:v>T1</x:v>
      </x:c>
      <x:c r="E222" s="19" t="str">
        <x:v>单组件源记录，官方站点待核</x:v>
      </x:c>
      <x:c r="F222" s="19" t="str"/>
      <x:c r="G222" s="20" t="n">
        <x:v>1</x:v>
      </x:c>
      <x:c r="H222" s="19" t="str">
        <x:v>東久留米 | 西武鉄道 | private_rail | 池袋線</x:v>
      </x:c>
      <x:c r="I222" s="19" t="str"/>
      <x:c r="J222" s="19" t="str">
        <x:v>核实官方站点图及实际换乘边界；不能按 S12 源组归 Hub。大阪扩审仍冻结。</x:v>
      </x:c>
      <x:c r="K222" s="18" t="str">
        <x:v>transport-node:9a4177a4-e9ac-5d1f-ac48-5c0f8773364e</x:v>
      </x:c>
      <x:c r="L222" s="19" t="str">
        <x:v>003217</x:v>
      </x:c>
      <x:c r="M222" s="19" t="str">
        <x:v>https://nlftp.mlit.go.jp/ksj/gml/datalist/KsjTmplt-S12-2024.html</x:v>
      </x:c>
      <x:c r="N222" s="18" t="str">
        <x:v>0785e932a32b3ec15e1a1345537ae145eafe1c07bf38d5c16c11ee2b391e7a28</x:v>
      </x:c>
      <x:c r="O222" s="18" t="str">
        <x:v>8cad9588bc6f9241127c06906ae05c940c8bf29e</x:v>
      </x:c>
      <x:c r="P222" s="18" t="str">
        <x:v>否</x:v>
      </x:c>
    </x:row>
    <x:row r="223" ht="28" customHeight="1">
      <x:c r="A223" s="18" t="str">
        <x:v>東戸塚</x:v>
      </x:c>
      <x:c r="B223" s="18" t="str">
        <x:v>東日本旅客鉄道</x:v>
      </x:c>
      <x:c r="C223" s="18" t="str">
        <x:v>conventional_rail</x:v>
      </x:c>
      <x:c r="D223" s="18" t="str">
        <x:v>T1</x:v>
      </x:c>
      <x:c r="E223" s="19" t="str">
        <x:v>单组件源记录，官方站点待核</x:v>
      </x:c>
      <x:c r="F223" s="19" t="str"/>
      <x:c r="G223" s="20" t="n">
        <x:v>1</x:v>
      </x:c>
      <x:c r="H223" s="19" t="str">
        <x:v>東戸塚 | 東日本旅客鉄道 | conventional_rail | 東海道線</x:v>
      </x:c>
      <x:c r="I223" s="19" t="str"/>
      <x:c r="J223" s="19" t="str">
        <x:v>核实官方站点图及实际换乘边界；不能按 S12 源组归 Hub。大阪扩审仍冻结。</x:v>
      </x:c>
      <x:c r="K223" s="18" t="str">
        <x:v>transport-node:e62de55d-9e83-5e60-a091-df59e9dbac04</x:v>
      </x:c>
      <x:c r="L223" s="19" t="str">
        <x:v>004741</x:v>
      </x:c>
      <x:c r="M223" s="19" t="str">
        <x:v>https://nlftp.mlit.go.jp/ksj/gml/datalist/KsjTmplt-S12-2024.html</x:v>
      </x:c>
      <x:c r="N223" s="18" t="str">
        <x:v>0785e932a32b3ec15e1a1345537ae145eafe1c07bf38d5c16c11ee2b391e7a28</x:v>
      </x:c>
      <x:c r="O223" s="18" t="str">
        <x:v>8cad9588bc6f9241127c06906ae05c940c8bf29e</x:v>
      </x:c>
      <x:c r="P223" s="18" t="str">
        <x:v>否</x:v>
      </x:c>
    </x:row>
    <x:row r="224" ht="28" customHeight="1">
      <x:c r="A224" s="18" t="str">
        <x:v>東小金井</x:v>
      </x:c>
      <x:c r="B224" s="18" t="str">
        <x:v>東日本旅客鉄道</x:v>
      </x:c>
      <x:c r="C224" s="18" t="str">
        <x:v>conventional_rail</x:v>
      </x:c>
      <x:c r="D224" s="18" t="str">
        <x:v>T1</x:v>
      </x:c>
      <x:c r="E224" s="19" t="str">
        <x:v>单组件源记录，官方站点待核</x:v>
      </x:c>
      <x:c r="F224" s="19" t="str"/>
      <x:c r="G224" s="20" t="n">
        <x:v>1</x:v>
      </x:c>
      <x:c r="H224" s="19" t="str">
        <x:v>東小金井 | 東日本旅客鉄道 | conventional_rail | 中央線</x:v>
      </x:c>
      <x:c r="I224" s="19" t="str"/>
      <x:c r="J224" s="19" t="str">
        <x:v>核实官方站点图及实际换乘边界；不能按 S12 源组归 Hub。大阪扩审仍冻结。</x:v>
      </x:c>
      <x:c r="K224" s="18" t="str">
        <x:v>transport-node:e8ed1075-4481-5d12-9900-9fad019a0a4a</x:v>
      </x:c>
      <x:c r="L224" s="19" t="str">
        <x:v>003594</x:v>
      </x:c>
      <x:c r="M224" s="19" t="str">
        <x:v>https://nlftp.mlit.go.jp/ksj/gml/datalist/KsjTmplt-S12-2024.html</x:v>
      </x:c>
      <x:c r="N224" s="18" t="str">
        <x:v>0785e932a32b3ec15e1a1345537ae145eafe1c07bf38d5c16c11ee2b391e7a28</x:v>
      </x:c>
      <x:c r="O224" s="18" t="str">
        <x:v>8cad9588bc6f9241127c06906ae05c940c8bf29e</x:v>
      </x:c>
      <x:c r="P224" s="18" t="str">
        <x:v>否</x:v>
      </x:c>
    </x:row>
    <x:row r="225" ht="28" customHeight="1">
      <x:c r="A225" s="18" t="str">
        <x:v>東神奈川</x:v>
      </x:c>
      <x:c r="B225" s="18" t="str">
        <x:v>東日本旅客鉄道</x:v>
      </x:c>
      <x:c r="C225" s="18" t="str">
        <x:v>conventional_rail</x:v>
      </x:c>
      <x:c r="D225" s="18" t="str">
        <x:v>T1</x:v>
      </x:c>
      <x:c r="E225" s="19" t="str">
        <x:v>单组件源记录，官方站点待核</x:v>
      </x:c>
      <x:c r="F225" s="19" t="str"/>
      <x:c r="G225" s="20" t="n">
        <x:v>1</x:v>
      </x:c>
      <x:c r="H225" s="19" t="str">
        <x:v>東神奈川 | 東日本旅客鉄道 | conventional_rail | 東海道線 / 横浜線</x:v>
      </x:c>
      <x:c r="I225" s="19" t="str"/>
      <x:c r="J225" s="19" t="str">
        <x:v>核实官方站点图及实际换乘边界；不能按 S12 源组归 Hub。大阪扩审仍冻结。</x:v>
      </x:c>
      <x:c r="K225" s="18" t="str">
        <x:v>transport-node:8386ac2a-edd1-521c-8fcc-db1c2cda2b20</x:v>
      </x:c>
      <x:c r="L225" s="19" t="str">
        <x:v>004596</x:v>
      </x:c>
      <x:c r="M225" s="19" t="str">
        <x:v>https://nlftp.mlit.go.jp/ksj/gml/datalist/KsjTmplt-S12-2024.html</x:v>
      </x:c>
      <x:c r="N225" s="18" t="str">
        <x:v>0785e932a32b3ec15e1a1345537ae145eafe1c07bf38d5c16c11ee2b391e7a28</x:v>
      </x:c>
      <x:c r="O225" s="18" t="str">
        <x:v>8cad9588bc6f9241127c06906ae05c940c8bf29e</x:v>
      </x:c>
      <x:c r="P225" s="18" t="str">
        <x:v>否</x:v>
      </x:c>
    </x:row>
    <x:row r="226" ht="28" customHeight="1">
      <x:c r="A226" s="18" t="str">
        <x:v>東大宮</x:v>
      </x:c>
      <x:c r="B226" s="18" t="str">
        <x:v>東日本旅客鉄道</x:v>
      </x:c>
      <x:c r="C226" s="18" t="str">
        <x:v>conventional_rail</x:v>
      </x:c>
      <x:c r="D226" s="18" t="str">
        <x:v>T1</x:v>
      </x:c>
      <x:c r="E226" s="19" t="str">
        <x:v>单组件源记录，官方站点待核</x:v>
      </x:c>
      <x:c r="F226" s="19" t="str"/>
      <x:c r="G226" s="20" t="n">
        <x:v>1</x:v>
      </x:c>
      <x:c r="H226" s="19" t="str">
        <x:v>東大宮 | 東日本旅客鉄道 | conventional_rail | 東北線</x:v>
      </x:c>
      <x:c r="I226" s="19" t="str"/>
      <x:c r="J226" s="19" t="str">
        <x:v>核实官方站点图及实际换乘边界；不能按 S12 源组归 Hub。大阪扩审仍冻结。</x:v>
      </x:c>
      <x:c r="K226" s="18" t="str">
        <x:v>transport-node:c6429fe4-643f-53ae-9384-36b95a4b30b9</x:v>
      </x:c>
      <x:c r="L226" s="19" t="str">
        <x:v>002838</x:v>
      </x:c>
      <x:c r="M226" s="19" t="str">
        <x:v>https://nlftp.mlit.go.jp/ksj/gml/datalist/KsjTmplt-S12-2024.html</x:v>
      </x:c>
      <x:c r="N226" s="18" t="str">
        <x:v>0785e932a32b3ec15e1a1345537ae145eafe1c07bf38d5c16c11ee2b391e7a28</x:v>
      </x:c>
      <x:c r="O226" s="18" t="str">
        <x:v>8cad9588bc6f9241127c06906ae05c940c8bf29e</x:v>
      </x:c>
      <x:c r="P226" s="18" t="str">
        <x:v>否</x:v>
      </x:c>
    </x:row>
    <x:row r="227" ht="28" customHeight="1">
      <x:c r="A227" s="18" t="str">
        <x:v>東武練馬</x:v>
      </x:c>
      <x:c r="B227" s="18" t="str">
        <x:v>東武鉄道</x:v>
      </x:c>
      <x:c r="C227" s="18" t="str">
        <x:v>private_rail</x:v>
      </x:c>
      <x:c r="D227" s="18" t="str">
        <x:v>T1</x:v>
      </x:c>
      <x:c r="E227" s="19" t="str">
        <x:v>单组件源记录，官方站点待核</x:v>
      </x:c>
      <x:c r="F227" s="19" t="str"/>
      <x:c r="G227" s="20" t="n">
        <x:v>1</x:v>
      </x:c>
      <x:c r="H227" s="19" t="str">
        <x:v>東武練馬 | 東武鉄道 | private_rail | 東上本線</x:v>
      </x:c>
      <x:c r="I227" s="19" t="str"/>
      <x:c r="J227" s="19" t="str">
        <x:v>核实官方站点图及实际换乘边界；不能按 S12 源组归 Hub。大阪扩审仍冻结。</x:v>
      </x:c>
      <x:c r="K227" s="18" t="str">
        <x:v>transport-node:29f669b2-b5ba-598f-87f0-33f80f8ee4dc</x:v>
      </x:c>
      <x:c r="L227" s="19" t="str">
        <x:v>003194</x:v>
      </x:c>
      <x:c r="M227" s="19" t="str">
        <x:v>https://nlftp.mlit.go.jp/ksj/gml/datalist/KsjTmplt-S12-2024.html</x:v>
      </x:c>
      <x:c r="N227" s="18" t="str">
        <x:v>0785e932a32b3ec15e1a1345537ae145eafe1c07bf38d5c16c11ee2b391e7a28</x:v>
      </x:c>
      <x:c r="O227" s="18" t="str">
        <x:v>8cad9588bc6f9241127c06906ae05c940c8bf29e</x:v>
      </x:c>
      <x:c r="P227" s="18" t="str">
        <x:v>否</x:v>
      </x:c>
    </x:row>
    <x:row r="228" ht="28" customHeight="1">
      <x:c r="A228" s="18" t="str">
        <x:v>東陽町</x:v>
      </x:c>
      <x:c r="B228" s="18" t="str">
        <x:v>東京地下鉄</x:v>
      </x:c>
      <x:c r="C228" s="18" t="str">
        <x:v>metro</x:v>
      </x:c>
      <x:c r="D228" s="18" t="str">
        <x:v>T1</x:v>
      </x:c>
      <x:c r="E228" s="19" t="str">
        <x:v>单组件源记录，官方站点待核</x:v>
      </x:c>
      <x:c r="F228" s="19" t="str"/>
      <x:c r="G228" s="20" t="n">
        <x:v>1</x:v>
      </x:c>
      <x:c r="H228" s="19" t="str">
        <x:v>東陽町 | 東京地下鉄 | metro | 5号線東西線</x:v>
      </x:c>
      <x:c r="I228" s="19" t="str"/>
      <x:c r="J228" s="19" t="str">
        <x:v>核实官方站点图及实际换乘边界；不能按 S12 源组归 Hub。大阪扩审仍冻结。</x:v>
      </x:c>
      <x:c r="K228" s="18" t="str">
        <x:v>transport-node:bf5cb8c3-5c3c-5edf-b857-efb39cdf4cc7</x:v>
      </x:c>
      <x:c r="L228" s="19" t="str">
        <x:v>003839</x:v>
      </x:c>
      <x:c r="M228" s="19" t="str">
        <x:v>https://nlftp.mlit.go.jp/ksj/gml/datalist/KsjTmplt-S12-2024.html</x:v>
      </x:c>
      <x:c r="N228" s="18" t="str">
        <x:v>0785e932a32b3ec15e1a1345537ae145eafe1c07bf38d5c16c11ee2b391e7a28</x:v>
      </x:c>
      <x:c r="O228" s="18" t="str">
        <x:v>8cad9588bc6f9241127c06906ae05c940c8bf29e</x:v>
      </x:c>
      <x:c r="P228" s="18" t="str">
        <x:v>否</x:v>
      </x:c>
    </x:row>
    <x:row r="229" ht="28" customHeight="1">
      <x:c r="A229" s="18" t="str">
        <x:v>南浦和</x:v>
      </x:c>
      <x:c r="B229" s="18" t="str">
        <x:v>東日本旅客鉄道</x:v>
      </x:c>
      <x:c r="C229" s="18" t="str">
        <x:v>conventional_rail</x:v>
      </x:c>
      <x:c r="D229" s="18" t="str">
        <x:v>T1</x:v>
      </x:c>
      <x:c r="E229" s="19" t="str">
        <x:v>单组件源记录，官方站点待核</x:v>
      </x:c>
      <x:c r="F229" s="19" t="str"/>
      <x:c r="G229" s="20" t="n">
        <x:v>1</x:v>
      </x:c>
      <x:c r="H229" s="19" t="str">
        <x:v>南浦和 | 東日本旅客鉄道 | conventional_rail | 東北線 / 武蔵野線</x:v>
      </x:c>
      <x:c r="I229" s="19" t="str"/>
      <x:c r="J229" s="19" t="str">
        <x:v>核实官方站点图及实际换乘边界；不能按 S12 源组归 Hub。大阪扩审仍冻结。</x:v>
      </x:c>
      <x:c r="K229" s="18" t="str">
        <x:v>transport-node:ffc7dacd-e487-5094-b506-eb17fe11f5de</x:v>
      </x:c>
      <x:c r="L229" s="19" t="str">
        <x:v>003004</x:v>
      </x:c>
      <x:c r="M229" s="19" t="str">
        <x:v>https://nlftp.mlit.go.jp/ksj/gml/datalist/KsjTmplt-S12-2024.html</x:v>
      </x:c>
      <x:c r="N229" s="18" t="str">
        <x:v>0785e932a32b3ec15e1a1345537ae145eafe1c07bf38d5c16c11ee2b391e7a28</x:v>
      </x:c>
      <x:c r="O229" s="18" t="str">
        <x:v>8cad9588bc6f9241127c06906ae05c940c8bf29e</x:v>
      </x:c>
      <x:c r="P229" s="18" t="str">
        <x:v>否</x:v>
      </x:c>
    </x:row>
    <x:row r="230" ht="28" customHeight="1">
      <x:c r="A230" s="18" t="str">
        <x:v>南行徳</x:v>
      </x:c>
      <x:c r="B230" s="18" t="str">
        <x:v>東京地下鉄</x:v>
      </x:c>
      <x:c r="C230" s="18" t="str">
        <x:v>metro</x:v>
      </x:c>
      <x:c r="D230" s="18" t="str">
        <x:v>T1</x:v>
      </x:c>
      <x:c r="E230" s="19" t="str">
        <x:v>单组件源记录，官方站点待核</x:v>
      </x:c>
      <x:c r="F230" s="19" t="str"/>
      <x:c r="G230" s="20" t="n">
        <x:v>1</x:v>
      </x:c>
      <x:c r="H230" s="19" t="str">
        <x:v>南行徳 | 東京地下鉄 | metro | 5号線東西線</x:v>
      </x:c>
      <x:c r="I230" s="19" t="str"/>
      <x:c r="J230" s="19" t="str">
        <x:v>核实官方站点图及实际换乘边界；不能按 S12 源组归 Hub。大阪扩审仍冻结。</x:v>
      </x:c>
      <x:c r="K230" s="18" t="str">
        <x:v>transport-node:e1810678-112a-5eb0-b565-d6dbfb90a070</x:v>
      </x:c>
      <x:c r="L230" s="19" t="str">
        <x:v>003819</x:v>
      </x:c>
      <x:c r="M230" s="19" t="str">
        <x:v>https://nlftp.mlit.go.jp/ksj/gml/datalist/KsjTmplt-S12-2024.html</x:v>
      </x:c>
      <x:c r="N230" s="18" t="str">
        <x:v>0785e932a32b3ec15e1a1345537ae145eafe1c07bf38d5c16c11ee2b391e7a28</x:v>
      </x:c>
      <x:c r="O230" s="18" t="str">
        <x:v>8cad9588bc6f9241127c06906ae05c940c8bf29e</x:v>
      </x:c>
      <x:c r="P230" s="18" t="str">
        <x:v>否</x:v>
      </x:c>
    </x:row>
    <x:row r="231" ht="28" customHeight="1">
      <x:c r="A231" s="18" t="str">
        <x:v>南砂町</x:v>
      </x:c>
      <x:c r="B231" s="18" t="str">
        <x:v>東京地下鉄</x:v>
      </x:c>
      <x:c r="C231" s="18" t="str">
        <x:v>metro</x:v>
      </x:c>
      <x:c r="D231" s="18" t="str">
        <x:v>T1</x:v>
      </x:c>
      <x:c r="E231" s="19" t="str">
        <x:v>单组件源记录，官方站点待核</x:v>
      </x:c>
      <x:c r="F231" s="19" t="str"/>
      <x:c r="G231" s="20" t="n">
        <x:v>1</x:v>
      </x:c>
      <x:c r="H231" s="19" t="str">
        <x:v>南砂町 | 東京地下鉄 | metro | 5号線東西線</x:v>
      </x:c>
      <x:c r="I231" s="19" t="str"/>
      <x:c r="J231" s="19" t="str">
        <x:v>核实官方站点图及实际换乘边界；不能按 S12 源组归 Hub。大阪扩审仍冻结。</x:v>
      </x:c>
      <x:c r="K231" s="18" t="str">
        <x:v>transport-node:0e5141cf-646a-5b45-9b3f-7437bd791471</x:v>
      </x:c>
      <x:c r="L231" s="19" t="str">
        <x:v>003854</x:v>
      </x:c>
      <x:c r="M231" s="19" t="str">
        <x:v>https://nlftp.mlit.go.jp/ksj/gml/datalist/KsjTmplt-S12-2024.html</x:v>
      </x:c>
      <x:c r="N231" s="18" t="str">
        <x:v>0785e932a32b3ec15e1a1345537ae145eafe1c07bf38d5c16c11ee2b391e7a28</x:v>
      </x:c>
      <x:c r="O231" s="18" t="str">
        <x:v>8cad9588bc6f9241127c06906ae05c940c8bf29e</x:v>
      </x:c>
      <x:c r="P231" s="18" t="str">
        <x:v>否</x:v>
      </x:c>
    </x:row>
    <x:row r="232" ht="28" customHeight="1">
      <x:c r="A232" s="18" t="str">
        <x:v>南草津</x:v>
      </x:c>
      <x:c r="B232" s="18" t="str">
        <x:v>西日本旅客鉄道</x:v>
      </x:c>
      <x:c r="C232" s="18" t="str">
        <x:v>conventional_rail</x:v>
      </x:c>
      <x:c r="D232" s="18" t="str">
        <x:v>T1</x:v>
      </x:c>
      <x:c r="E232" s="19" t="str">
        <x:v>单组件源记录，官方站点待核</x:v>
      </x:c>
      <x:c r="F232" s="19" t="str"/>
      <x:c r="G232" s="20" t="n">
        <x:v>1</x:v>
      </x:c>
      <x:c r="H232" s="19" t="str">
        <x:v>南草津 | 西日本旅客鉄道 | conventional_rail | 東海道線</x:v>
      </x:c>
      <x:c r="I232" s="19" t="str"/>
      <x:c r="J232" s="19" t="str">
        <x:v>核实官方站点图及实际换乘边界；不能按 S12 源组归 Hub。大阪扩审仍冻结。</x:v>
      </x:c>
      <x:c r="K232" s="18" t="str">
        <x:v>transport-node:bbfedb59-c4de-57f0-a75e-9e42f30029af</x:v>
      </x:c>
      <x:c r="L232" s="19" t="str">
        <x:v>005991</x:v>
      </x:c>
      <x:c r="M232" s="19" t="str">
        <x:v>https://nlftp.mlit.go.jp/ksj/gml/datalist/KsjTmplt-S12-2024.html</x:v>
      </x:c>
      <x:c r="N232" s="18" t="str">
        <x:v>0785e932a32b3ec15e1a1345537ae145eafe1c07bf38d5c16c11ee2b391e7a28</x:v>
      </x:c>
      <x:c r="O232" s="18" t="str">
        <x:v>8cad9588bc6f9241127c06906ae05c940c8bf29e</x:v>
      </x:c>
      <x:c r="P232" s="18" t="str">
        <x:v>否</x:v>
      </x:c>
    </x:row>
    <x:row r="233" ht="28" customHeight="1">
      <x:c r="A233" s="18" t="str">
        <x:v>南大沢</x:v>
      </x:c>
      <x:c r="B233" s="18" t="str">
        <x:v>京王電鉄</x:v>
      </x:c>
      <x:c r="C233" s="18" t="str">
        <x:v>private_rail</x:v>
      </x:c>
      <x:c r="D233" s="18" t="str">
        <x:v>T1</x:v>
      </x:c>
      <x:c r="E233" s="19" t="str">
        <x:v>单组件源记录，官方站点待核</x:v>
      </x:c>
      <x:c r="F233" s="19" t="str"/>
      <x:c r="G233" s="20" t="n">
        <x:v>1</x:v>
      </x:c>
      <x:c r="H233" s="19" t="str">
        <x:v>南大沢 | 京王電鉄 | private_rail | 相模原線</x:v>
      </x:c>
      <x:c r="I233" s="19" t="str"/>
      <x:c r="J233" s="19" t="str">
        <x:v>核实官方站点图及实际换乘边界；不能按 S12 源组归 Hub。大阪扩审仍冻结。</x:v>
      </x:c>
      <x:c r="K233" s="18" t="str">
        <x:v>transport-node:0445dd99-abaf-5dfd-8299-a092cdcbb9a2</x:v>
      </x:c>
      <x:c r="L233" s="19" t="str">
        <x:v>004163</x:v>
      </x:c>
      <x:c r="M233" s="19" t="str">
        <x:v>https://nlftp.mlit.go.jp/ksj/gml/datalist/KsjTmplt-S12-2024.html</x:v>
      </x:c>
      <x:c r="N233" s="18" t="str">
        <x:v>0785e932a32b3ec15e1a1345537ae145eafe1c07bf38d5c16c11ee2b391e7a28</x:v>
      </x:c>
      <x:c r="O233" s="18" t="str">
        <x:v>8cad9588bc6f9241127c06906ae05c940c8bf29e</x:v>
      </x:c>
      <x:c r="P233" s="18" t="str">
        <x:v>否</x:v>
      </x:c>
    </x:row>
    <x:row r="234" ht="28" customHeight="1">
      <x:c r="A234" s="18" t="str">
        <x:v>南柏</x:v>
      </x:c>
      <x:c r="B234" s="18" t="str">
        <x:v>東日本旅客鉄道</x:v>
      </x:c>
      <x:c r="C234" s="18" t="str">
        <x:v>conventional_rail</x:v>
      </x:c>
      <x:c r="D234" s="18" t="str">
        <x:v>T1</x:v>
      </x:c>
      <x:c r="E234" s="19" t="str">
        <x:v>单组件源记录，官方站点待核</x:v>
      </x:c>
      <x:c r="F234" s="19" t="str"/>
      <x:c r="G234" s="20" t="n">
        <x:v>1</x:v>
      </x:c>
      <x:c r="H234" s="19" t="str">
        <x:v>南柏 | 東日本旅客鉄道 | conventional_rail | 常磐線</x:v>
      </x:c>
      <x:c r="I234" s="19" t="str"/>
      <x:c r="J234" s="19" t="str">
        <x:v>核实官方站点图及实际换乘边界；不能按 S12 源组归 Hub。大阪扩审仍冻结。</x:v>
      </x:c>
      <x:c r="K234" s="18" t="str">
        <x:v>transport-node:26e75d45-c98d-5c97-bbe4-d78c0ca374fc</x:v>
      </x:c>
      <x:c r="L234" s="19" t="str">
        <x:v>003012</x:v>
      </x:c>
      <x:c r="M234" s="19" t="str">
        <x:v>https://nlftp.mlit.go.jp/ksj/gml/datalist/KsjTmplt-S12-2024.html</x:v>
      </x:c>
      <x:c r="N234" s="18" t="str">
        <x:v>0785e932a32b3ec15e1a1345537ae145eafe1c07bf38d5c16c11ee2b391e7a28</x:v>
      </x:c>
      <x:c r="O234" s="18" t="str">
        <x:v>8cad9588bc6f9241127c06906ae05c940c8bf29e</x:v>
      </x:c>
      <x:c r="P234" s="18" t="str">
        <x:v>否</x:v>
      </x:c>
    </x:row>
    <x:row r="235" ht="28" customHeight="1">
      <x:c r="A235" s="18" t="str">
        <x:v>二子玉川</x:v>
      </x:c>
      <x:c r="B235" s="18" t="str">
        <x:v>東急電鉄</x:v>
      </x:c>
      <x:c r="C235" s="18" t="str">
        <x:v>private_rail</x:v>
      </x:c>
      <x:c r="D235" s="18" t="str">
        <x:v>T1</x:v>
      </x:c>
      <x:c r="E235" s="19" t="str">
        <x:v>单组件源记录，官方站点待核</x:v>
      </x:c>
      <x:c r="F235" s="19" t="str"/>
      <x:c r="G235" s="20" t="n">
        <x:v>1</x:v>
      </x:c>
      <x:c r="H235" s="19" t="str">
        <x:v>二子玉川 | 東急電鉄 | private_rail | 大井町線 / 田園都市線</x:v>
      </x:c>
      <x:c r="I235" s="19" t="str"/>
      <x:c r="J235" s="19" t="str">
        <x:v>核实官方站点图及实际换乘边界；不能按 S12 源组归 Hub。大阪扩审仍冻结。</x:v>
      </x:c>
      <x:c r="K235" s="18" t="str">
        <x:v>transport-node:94751651-d16b-5b2e-9d54-c8d07bf7b66a</x:v>
      </x:c>
      <x:c r="L235" s="19" t="str">
        <x:v>004177</x:v>
      </x:c>
      <x:c r="M235" s="19" t="str">
        <x:v>https://nlftp.mlit.go.jp/ksj/gml/datalist/KsjTmplt-S12-2024.html</x:v>
      </x:c>
      <x:c r="N235" s="18" t="str">
        <x:v>0785e932a32b3ec15e1a1345537ae145eafe1c07bf38d5c16c11ee2b391e7a28</x:v>
      </x:c>
      <x:c r="O235" s="18" t="str">
        <x:v>8cad9588bc6f9241127c06906ae05c940c8bf29e</x:v>
      </x:c>
      <x:c r="P235" s="18" t="str">
        <x:v>否</x:v>
      </x:c>
    </x:row>
    <x:row r="236" ht="28" customHeight="1">
      <x:c r="A236" s="18" t="str">
        <x:v>二俣川</x:v>
      </x:c>
      <x:c r="B236" s="18" t="str">
        <x:v>相模鉄道</x:v>
      </x:c>
      <x:c r="C236" s="18" t="str">
        <x:v>private_rail</x:v>
      </x:c>
      <x:c r="D236" s="18" t="str">
        <x:v>T1</x:v>
      </x:c>
      <x:c r="E236" s="19" t="str">
        <x:v>单组件源记录，官方站点待核</x:v>
      </x:c>
      <x:c r="F236" s="19" t="str"/>
      <x:c r="G236" s="20" t="n">
        <x:v>1</x:v>
      </x:c>
      <x:c r="H236" s="19" t="str">
        <x:v>二俣川 | 相模鉄道 | private_rail | 相鉄いずみ野線 / 相鉄本線</x:v>
      </x:c>
      <x:c r="I236" s="19" t="str"/>
      <x:c r="J236" s="19" t="str">
        <x:v>核实官方站点图及实际换乘边界；不能按 S12 源组归 Hub。大阪扩审仍冻结。</x:v>
      </x:c>
      <x:c r="K236" s="18" t="str">
        <x:v>transport-node:06841e25-a7bc-5b85-ab79-7bcaaf739352</x:v>
      </x:c>
      <x:c r="L236" s="19" t="str">
        <x:v>004642</x:v>
      </x:c>
      <x:c r="M236" s="19" t="str">
        <x:v>https://nlftp.mlit.go.jp/ksj/gml/datalist/KsjTmplt-S12-2024.html</x:v>
      </x:c>
      <x:c r="N236" s="18" t="str">
        <x:v>0785e932a32b3ec15e1a1345537ae145eafe1c07bf38d5c16c11ee2b391e7a28</x:v>
      </x:c>
      <x:c r="O236" s="18" t="str">
        <x:v>8cad9588bc6f9241127c06906ae05c940c8bf29e</x:v>
      </x:c>
      <x:c r="P236" s="18" t="str">
        <x:v>否</x:v>
      </x:c>
    </x:row>
    <x:row r="237" ht="28" customHeight="1">
      <x:c r="A237" s="18" t="str">
        <x:v>尼崎</x:v>
      </x:c>
      <x:c r="B237" s="18" t="str">
        <x:v>西日本旅客鉄道</x:v>
      </x:c>
      <x:c r="C237" s="18" t="str">
        <x:v>conventional_rail</x:v>
      </x:c>
      <x:c r="D237" s="18" t="str">
        <x:v>T1</x:v>
      </x:c>
      <x:c r="E237" s="19" t="str">
        <x:v>单组件源记录，官方站点待核</x:v>
      </x:c>
      <x:c r="F237" s="19" t="str"/>
      <x:c r="G237" s="20" t="n">
        <x:v>1</x:v>
      </x:c>
      <x:c r="H237" s="19" t="str">
        <x:v>尼崎 | 西日本旅客鉄道 | conventional_rail | JR東西線 / 東海道線 / 福知山線</x:v>
      </x:c>
      <x:c r="I237" s="19" t="str"/>
      <x:c r="J237" s="19" t="str">
        <x:v>核实官方站点图及实际换乘边界；不能按 S12 源组归 Hub。大阪扩审仍冻结。</x:v>
      </x:c>
      <x:c r="K237" s="18" t="str">
        <x:v>transport-node:2055a55a-71bc-59cf-a523-d8de7713d97c</x:v>
      </x:c>
      <x:c r="L237" s="19" t="str">
        <x:v>006918</x:v>
      </x:c>
      <x:c r="M237" s="19" t="str">
        <x:v>https://nlftp.mlit.go.jp/ksj/gml/datalist/KsjTmplt-S12-2024.html</x:v>
      </x:c>
      <x:c r="N237" s="18" t="str">
        <x:v>0785e932a32b3ec15e1a1345537ae145eafe1c07bf38d5c16c11ee2b391e7a28</x:v>
      </x:c>
      <x:c r="O237" s="18" t="str">
        <x:v>8cad9588bc6f9241127c06906ae05c940c8bf29e</x:v>
      </x:c>
      <x:c r="P237" s="18" t="str">
        <x:v>否</x:v>
      </x:c>
    </x:row>
    <x:row r="238" ht="28" customHeight="1">
      <x:c r="A238" s="18" t="str">
        <x:v>尼崎</x:v>
      </x:c>
      <x:c r="B238" s="18" t="str">
        <x:v>阪神電気鉄道</x:v>
      </x:c>
      <x:c r="C238" s="18" t="str">
        <x:v>private_rail</x:v>
      </x:c>
      <x:c r="D238" s="18" t="str">
        <x:v>T1</x:v>
      </x:c>
      <x:c r="E238" s="19" t="str">
        <x:v>单组件源记录，官方站点待核</x:v>
      </x:c>
      <x:c r="F238" s="19" t="str"/>
      <x:c r="G238" s="20" t="n">
        <x:v>1</x:v>
      </x:c>
      <x:c r="H238" s="19" t="str">
        <x:v>尼崎 | 阪神電気鉄道 | private_rail | 本線 / 阪神なんば線</x:v>
      </x:c>
      <x:c r="I238" s="19" t="str"/>
      <x:c r="J238" s="19" t="str">
        <x:v>核实官方站点图及实际换乘边界；不能按 S12 源组归 Hub。大阪扩审仍冻结。</x:v>
      </x:c>
      <x:c r="K238" s="18" t="str">
        <x:v>transport-node:36f19c97-3e7f-5be5-b5c4-64f6d13a8739</x:v>
      </x:c>
      <x:c r="L238" s="19" t="str">
        <x:v>006981</x:v>
      </x:c>
      <x:c r="M238" s="19" t="str">
        <x:v>https://nlftp.mlit.go.jp/ksj/gml/datalist/KsjTmplt-S12-2024.html</x:v>
      </x:c>
      <x:c r="N238" s="18" t="str">
        <x:v>0785e932a32b3ec15e1a1345537ae145eafe1c07bf38d5c16c11ee2b391e7a28</x:v>
      </x:c>
      <x:c r="O238" s="18" t="str">
        <x:v>8cad9588bc6f9241127c06906ae05c940c8bf29e</x:v>
      </x:c>
      <x:c r="P238" s="18" t="str">
        <x:v>否</x:v>
      </x:c>
    </x:row>
    <x:row r="239" ht="28" customHeight="1">
      <x:c r="A239" s="18" t="str">
        <x:v>馬喰町</x:v>
      </x:c>
      <x:c r="B239" s="18" t="str">
        <x:v>東日本旅客鉄道</x:v>
      </x:c>
      <x:c r="C239" s="18" t="str">
        <x:v>conventional_rail</x:v>
      </x:c>
      <x:c r="D239" s="18" t="str">
        <x:v>T1</x:v>
      </x:c>
      <x:c r="E239" s="19" t="str">
        <x:v>单组件源记录，官方站点待核</x:v>
      </x:c>
      <x:c r="F239" s="19" t="str"/>
      <x:c r="G239" s="20" t="n">
        <x:v>1</x:v>
      </x:c>
      <x:c r="H239" s="19" t="str">
        <x:v>馬喰町 | 東日本旅客鉄道 | conventional_rail | 総武線</x:v>
      </x:c>
      <x:c r="I239" s="19" t="str"/>
      <x:c r="J239" s="19" t="str">
        <x:v>核实官方站点图及实际换乘边界；不能按 S12 源组归 Hub。大阪扩审仍冻结。</x:v>
      </x:c>
      <x:c r="K239" s="18" t="str">
        <x:v>transport-node:1710e86a-b9a7-5b66-beb6-419d07fa1e5d</x:v>
      </x:c>
      <x:c r="L239" s="19" t="str">
        <x:v>003668</x:v>
      </x:c>
      <x:c r="M239" s="19" t="str">
        <x:v>https://nlftp.mlit.go.jp/ksj/gml/datalist/KsjTmplt-S12-2024.html</x:v>
      </x:c>
      <x:c r="N239" s="18" t="str">
        <x:v>0785e932a32b3ec15e1a1345537ae145eafe1c07bf38d5c16c11ee2b391e7a28</x:v>
      </x:c>
      <x:c r="O239" s="18" t="str">
        <x:v>8cad9588bc6f9241127c06906ae05c940c8bf29e</x:v>
      </x:c>
      <x:c r="P239" s="18" t="str">
        <x:v>否</x:v>
      </x:c>
    </x:row>
    <x:row r="240" ht="28" customHeight="1">
      <x:c r="A240" s="18" t="str">
        <x:v>八王子</x:v>
      </x:c>
      <x:c r="B240" s="18" t="str">
        <x:v>東日本旅客鉄道</x:v>
      </x:c>
      <x:c r="C240" s="18" t="str">
        <x:v>conventional_rail</x:v>
      </x:c>
      <x:c r="D240" s="18" t="str">
        <x:v>T1</x:v>
      </x:c>
      <x:c r="E240" s="19" t="str">
        <x:v>单组件源记录，官方站点待核</x:v>
      </x:c>
      <x:c r="F240" s="19" t="str"/>
      <x:c r="G240" s="20" t="n">
        <x:v>1</x:v>
      </x:c>
      <x:c r="H240" s="19" t="str">
        <x:v>八王子 | 東日本旅客鉄道 | conventional_rail | 中央線 / 八高線 / 横浜線</x:v>
      </x:c>
      <x:c r="I240" s="19" t="str"/>
      <x:c r="J240" s="19" t="str">
        <x:v>核实官方站点图及实际换乘边界；不能按 S12 源组归 Hub。大阪扩审仍冻结。</x:v>
      </x:c>
      <x:c r="K240" s="18" t="str">
        <x:v>transport-node:c245614b-2157-5015-95b7-cdaca7489dfa</x:v>
      </x:c>
      <x:c r="L240" s="19" t="str">
        <x:v>003947</x:v>
      </x:c>
      <x:c r="M240" s="19" t="str">
        <x:v>https://nlftp.mlit.go.jp/ksj/gml/datalist/KsjTmplt-S12-2024.html</x:v>
      </x:c>
      <x:c r="N240" s="18" t="str">
        <x:v>0785e932a32b3ec15e1a1345537ae145eafe1c07bf38d5c16c11ee2b391e7a28</x:v>
      </x:c>
      <x:c r="O240" s="18" t="str">
        <x:v>8cad9588bc6f9241127c06906ae05c940c8bf29e</x:v>
      </x:c>
      <x:c r="P240" s="18" t="str">
        <x:v>否</x:v>
      </x:c>
    </x:row>
    <x:row r="241" ht="28" customHeight="1">
      <x:c r="A241" s="18" t="str">
        <x:v>八潮</x:v>
      </x:c>
      <x:c r="B241" s="18" t="str">
        <x:v>首都圏新都市鉄道</x:v>
      </x:c>
      <x:c r="C241" s="18" t="str">
        <x:v>private_rail</x:v>
      </x:c>
      <x:c r="D241" s="18" t="str">
        <x:v>T1</x:v>
      </x:c>
      <x:c r="E241" s="19" t="str">
        <x:v>单组件源记录，官方站点待核</x:v>
      </x:c>
      <x:c r="F241" s="19" t="str"/>
      <x:c r="G241" s="20" t="n">
        <x:v>1</x:v>
      </x:c>
      <x:c r="H241" s="19" t="str">
        <x:v>八潮 | 首都圏新都市鉄道 | private_rail | 常磐新線</x:v>
      </x:c>
      <x:c r="I241" s="19" t="str"/>
      <x:c r="J241" s="19" t="str">
        <x:v>核实官方站点图及实际换乘边界；不能按 S12 源组归 Hub。大阪扩审仍冻结。</x:v>
      </x:c>
      <x:c r="K241" s="18" t="str">
        <x:v>transport-node:76556541-e416-53c5-9fec-81dd1919b282</x:v>
      </x:c>
      <x:c r="L241" s="19" t="str">
        <x:v>003073</x:v>
      </x:c>
      <x:c r="M241" s="19" t="str">
        <x:v>https://nlftp.mlit.go.jp/ksj/gml/datalist/KsjTmplt-S12-2024.html</x:v>
      </x:c>
      <x:c r="N241" s="18" t="str">
        <x:v>0785e932a32b3ec15e1a1345537ae145eafe1c07bf38d5c16c11ee2b391e7a28</x:v>
      </x:c>
      <x:c r="O241" s="18" t="str">
        <x:v>8cad9588bc6f9241127c06906ae05c940c8bf29e</x:v>
      </x:c>
      <x:c r="P241" s="18" t="str">
        <x:v>否</x:v>
      </x:c>
    </x:row>
    <x:row r="242" ht="28" customHeight="1">
      <x:c r="A242" s="18" t="str">
        <x:v>半蔵門</x:v>
      </x:c>
      <x:c r="B242" s="18" t="str">
        <x:v>東京地下鉄</x:v>
      </x:c>
      <x:c r="C242" s="18" t="str">
        <x:v>metro</x:v>
      </x:c>
      <x:c r="D242" s="18" t="str">
        <x:v>T1</x:v>
      </x:c>
      <x:c r="E242" s="19" t="str">
        <x:v>单组件源记录，官方站点待核</x:v>
      </x:c>
      <x:c r="F242" s="19" t="str"/>
      <x:c r="G242" s="20" t="n">
        <x:v>1</x:v>
      </x:c>
      <x:c r="H242" s="19" t="str">
        <x:v>半蔵門 | 東京地下鉄 | metro | 11号線半蔵門線</x:v>
      </x:c>
      <x:c r="I242" s="19" t="str"/>
      <x:c r="J242" s="19" t="str">
        <x:v>核实官方站点图及实际换乘边界；不能按 S12 源组归 Hub。大阪扩审仍冻结。</x:v>
      </x:c>
      <x:c r="K242" s="18" t="str">
        <x:v>transport-node:7bb26c65-d463-540d-be7f-237abde553a7</x:v>
      </x:c>
      <x:c r="L242" s="19" t="str">
        <x:v>003729</x:v>
      </x:c>
      <x:c r="M242" s="19" t="str">
        <x:v>https://nlftp.mlit.go.jp/ksj/gml/datalist/KsjTmplt-S12-2024.html</x:v>
      </x:c>
      <x:c r="N242" s="18" t="str">
        <x:v>0785e932a32b3ec15e1a1345537ae145eafe1c07bf38d5c16c11ee2b391e7a28</x:v>
      </x:c>
      <x:c r="O242" s="18" t="str">
        <x:v>8cad9588bc6f9241127c06906ae05c940c8bf29e</x:v>
      </x:c>
      <x:c r="P242" s="18" t="str">
        <x:v>否</x:v>
      </x:c>
    </x:row>
    <x:row r="243" ht="28" customHeight="1">
      <x:c r="A243" s="18" t="str">
        <x:v>板橋</x:v>
      </x:c>
      <x:c r="B243" s="18" t="str">
        <x:v>東日本旅客鉄道</x:v>
      </x:c>
      <x:c r="C243" s="18" t="str">
        <x:v>conventional_rail</x:v>
      </x:c>
      <x:c r="D243" s="18" t="str">
        <x:v>T1</x:v>
      </x:c>
      <x:c r="E243" s="19" t="str">
        <x:v>单组件源记录，官方站点待核</x:v>
      </x:c>
      <x:c r="F243" s="19" t="str"/>
      <x:c r="G243" s="20" t="n">
        <x:v>1</x:v>
      </x:c>
      <x:c r="H243" s="19" t="str">
        <x:v>板橋 | 東日本旅客鉄道 | conventional_rail | 赤羽線</x:v>
      </x:c>
      <x:c r="I243" s="19" t="str"/>
      <x:c r="J243" s="19" t="str">
        <x:v>核实官方站点图及实际换乘边界；不能按 S12 源组归 Hub。大阪扩审仍冻结。</x:v>
      </x:c>
      <x:c r="K243" s="18" t="str">
        <x:v>transport-node:1a28479f-9d6a-5c9c-b8ea-04d7c07eaceb</x:v>
      </x:c>
      <x:c r="L243" s="19" t="str">
        <x:v>003286</x:v>
      </x:c>
      <x:c r="M243" s="19" t="str">
        <x:v>https://nlftp.mlit.go.jp/ksj/gml/datalist/KsjTmplt-S12-2024.html</x:v>
      </x:c>
      <x:c r="N243" s="18" t="str">
        <x:v>0785e932a32b3ec15e1a1345537ae145eafe1c07bf38d5c16c11ee2b391e7a28</x:v>
      </x:c>
      <x:c r="O243" s="18" t="str">
        <x:v>8cad9588bc6f9241127c06906ae05c940c8bf29e</x:v>
      </x:c>
      <x:c r="P243" s="18" t="str">
        <x:v>否</x:v>
      </x:c>
    </x:row>
    <x:row r="244" ht="28" customHeight="1">
      <x:c r="A244" s="18" t="str">
        <x:v>府中</x:v>
      </x:c>
      <x:c r="B244" s="18" t="str">
        <x:v>京王電鉄</x:v>
      </x:c>
      <x:c r="C244" s="18" t="str">
        <x:v>private_rail</x:v>
      </x:c>
      <x:c r="D244" s="18" t="str">
        <x:v>T1</x:v>
      </x:c>
      <x:c r="E244" s="19" t="str">
        <x:v>单组件源记录，官方站点待核</x:v>
      </x:c>
      <x:c r="F244" s="19" t="str"/>
      <x:c r="G244" s="20" t="n">
        <x:v>1</x:v>
      </x:c>
      <x:c r="H244" s="19" t="str">
        <x:v>府中 | 京王電鉄 | private_rail | 京王線</x:v>
      </x:c>
      <x:c r="I244" s="19" t="str"/>
      <x:c r="J244" s="19" t="str">
        <x:v>核实官方站点图及实际换乘边界；不能按 S12 源组归 Hub。大阪扩审仍冻结。</x:v>
      </x:c>
      <x:c r="K244" s="18" t="str">
        <x:v>transport-node:85ecaa6d-315c-5370-82b4-499659596431</x:v>
      </x:c>
      <x:c r="L244" s="19" t="str">
        <x:v>003821</x:v>
      </x:c>
      <x:c r="M244" s="19" t="str">
        <x:v>https://nlftp.mlit.go.jp/ksj/gml/datalist/KsjTmplt-S12-2024.html</x:v>
      </x:c>
      <x:c r="N244" s="18" t="str">
        <x:v>0785e932a32b3ec15e1a1345537ae145eafe1c07bf38d5c16c11ee2b391e7a28</x:v>
      </x:c>
      <x:c r="O244" s="18" t="str">
        <x:v>8cad9588bc6f9241127c06906ae05c940c8bf29e</x:v>
      </x:c>
      <x:c r="P244" s="18" t="str">
        <x:v>否</x:v>
      </x:c>
    </x:row>
    <x:row r="245" ht="28" customHeight="1">
      <x:c r="A245" s="18" t="str">
        <x:v>武蔵浦和</x:v>
      </x:c>
      <x:c r="B245" s="18" t="str">
        <x:v>東日本旅客鉄道</x:v>
      </x:c>
      <x:c r="C245" s="18" t="str">
        <x:v>conventional_rail</x:v>
      </x:c>
      <x:c r="D245" s="18" t="str">
        <x:v>T1</x:v>
      </x:c>
      <x:c r="E245" s="19" t="str">
        <x:v>单组件源记录，官方站点待核</x:v>
      </x:c>
      <x:c r="F245" s="19" t="str"/>
      <x:c r="G245" s="20" t="n">
        <x:v>1</x:v>
      </x:c>
      <x:c r="H245" s="19" t="str">
        <x:v>武蔵浦和 | 東日本旅客鉄道 | conventional_rail | 東北線 / 武蔵野線</x:v>
      </x:c>
      <x:c r="I245" s="19" t="str"/>
      <x:c r="J245" s="19" t="str">
        <x:v>核实官方站点图及实际换乘边界；不能按 S12 源组归 Hub。大阪扩审仍冻结。</x:v>
      </x:c>
      <x:c r="K245" s="18" t="str">
        <x:v>transport-node:e86d3399-1230-5120-8788-cb0dbfedced3</x:v>
      </x:c>
      <x:c r="L245" s="19" t="str">
        <x:v>003006</x:v>
      </x:c>
      <x:c r="M245" s="19" t="str">
        <x:v>https://nlftp.mlit.go.jp/ksj/gml/datalist/KsjTmplt-S12-2024.html</x:v>
      </x:c>
      <x:c r="N245" s="18" t="str">
        <x:v>0785e932a32b3ec15e1a1345537ae145eafe1c07bf38d5c16c11ee2b391e7a28</x:v>
      </x:c>
      <x:c r="O245" s="18" t="str">
        <x:v>8cad9588bc6f9241127c06906ae05c940c8bf29e</x:v>
      </x:c>
      <x:c r="P245" s="18" t="str">
        <x:v>否</x:v>
      </x:c>
    </x:row>
    <x:row r="246" ht="28" customHeight="1">
      <x:c r="A246" s="18" t="str">
        <x:v>武蔵小金井</x:v>
      </x:c>
      <x:c r="B246" s="18" t="str">
        <x:v>東日本旅客鉄道</x:v>
      </x:c>
      <x:c r="C246" s="18" t="str">
        <x:v>conventional_rail</x:v>
      </x:c>
      <x:c r="D246" s="18" t="str">
        <x:v>T1</x:v>
      </x:c>
      <x:c r="E246" s="19" t="str">
        <x:v>单组件源记录，官方站点待核</x:v>
      </x:c>
      <x:c r="F246" s="19" t="str"/>
      <x:c r="G246" s="20" t="n">
        <x:v>1</x:v>
      </x:c>
      <x:c r="H246" s="19" t="str">
        <x:v>武蔵小金井 | 東日本旅客鉄道 | conventional_rail | 中央線</x:v>
      </x:c>
      <x:c r="I246" s="19" t="str"/>
      <x:c r="J246" s="19" t="str">
        <x:v>核实官方站点图及实际换乘边界；不能按 S12 源组归 Hub。大阪扩审仍冻结。</x:v>
      </x:c>
      <x:c r="K246" s="18" t="str">
        <x:v>transport-node:4239db45-7fda-5cad-9110-93d66f6bfc1b</x:v>
      </x:c>
      <x:c r="L246" s="19" t="str">
        <x:v>003600</x:v>
      </x:c>
      <x:c r="M246" s="19" t="str">
        <x:v>https://nlftp.mlit.go.jp/ksj/gml/datalist/KsjTmplt-S12-2024.html</x:v>
      </x:c>
      <x:c r="N246" s="18" t="str">
        <x:v>0785e932a32b3ec15e1a1345537ae145eafe1c07bf38d5c16c11ee2b391e7a28</x:v>
      </x:c>
      <x:c r="O246" s="18" t="str">
        <x:v>8cad9588bc6f9241127c06906ae05c940c8bf29e</x:v>
      </x:c>
      <x:c r="P246" s="18" t="str">
        <x:v>否</x:v>
      </x:c>
    </x:row>
    <x:row r="247" ht="28" customHeight="1">
      <x:c r="A247" s="18" t="str">
        <x:v>武蔵小山</x:v>
      </x:c>
      <x:c r="B247" s="18" t="str">
        <x:v>東急電鉄</x:v>
      </x:c>
      <x:c r="C247" s="18" t="str">
        <x:v>private_rail</x:v>
      </x:c>
      <x:c r="D247" s="18" t="str">
        <x:v>T1</x:v>
      </x:c>
      <x:c r="E247" s="19" t="str">
        <x:v>单组件源记录，官方站点待核</x:v>
      </x:c>
      <x:c r="F247" s="19" t="str"/>
      <x:c r="G247" s="20" t="n">
        <x:v>1</x:v>
      </x:c>
      <x:c r="H247" s="19" t="str">
        <x:v>武蔵小山 | 東急電鉄 | private_rail | 目黒線</x:v>
      </x:c>
      <x:c r="I247" s="19" t="str"/>
      <x:c r="J247" s="19" t="str">
        <x:v>核实官方站点图及实际换乘边界；不能按 S12 源组归 Hub。大阪扩审仍冻结。</x:v>
      </x:c>
      <x:c r="K247" s="18" t="str">
        <x:v>transport-node:36390b80-2921-5b15-8bf8-cc1995732a40</x:v>
      </x:c>
      <x:c r="L247" s="19" t="str">
        <x:v>004133</x:v>
      </x:c>
      <x:c r="M247" s="19" t="str">
        <x:v>https://nlftp.mlit.go.jp/ksj/gml/datalist/KsjTmplt-S12-2024.html</x:v>
      </x:c>
      <x:c r="N247" s="18" t="str">
        <x:v>0785e932a32b3ec15e1a1345537ae145eafe1c07bf38d5c16c11ee2b391e7a28</x:v>
      </x:c>
      <x:c r="O247" s="18" t="str">
        <x:v>8cad9588bc6f9241127c06906ae05c940c8bf29e</x:v>
      </x:c>
      <x:c r="P247" s="18" t="str">
        <x:v>否</x:v>
      </x:c>
    </x:row>
    <x:row r="248" ht="28" customHeight="1">
      <x:c r="A248" s="18" t="str">
        <x:v>武蔵新城</x:v>
      </x:c>
      <x:c r="B248" s="18" t="str">
        <x:v>東日本旅客鉄道</x:v>
      </x:c>
      <x:c r="C248" s="18" t="str">
        <x:v>conventional_rail</x:v>
      </x:c>
      <x:c r="D248" s="18" t="str">
        <x:v>T1</x:v>
      </x:c>
      <x:c r="E248" s="19" t="str">
        <x:v>单组件源记录，官方站点待核</x:v>
      </x:c>
      <x:c r="F248" s="19" t="str"/>
      <x:c r="G248" s="20" t="n">
        <x:v>1</x:v>
      </x:c>
      <x:c r="H248" s="19" t="str">
        <x:v>武蔵新城 | 東日本旅客鉄道 | conventional_rail | 南武線</x:v>
      </x:c>
      <x:c r="I248" s="19" t="str"/>
      <x:c r="J248" s="19" t="str">
        <x:v>核实官方站点图及实际换乘边界；不能按 S12 源组归 Hub。大阪扩审仍冻结。</x:v>
      </x:c>
      <x:c r="K248" s="18" t="str">
        <x:v>transport-node:4b66f645-37b3-51db-aac1-50f2e680aaaf</x:v>
      </x:c>
      <x:c r="L248" s="19" t="str">
        <x:v>004269</x:v>
      </x:c>
      <x:c r="M248" s="19" t="str">
        <x:v>https://nlftp.mlit.go.jp/ksj/gml/datalist/KsjTmplt-S12-2024.html</x:v>
      </x:c>
      <x:c r="N248" s="18" t="str">
        <x:v>0785e932a32b3ec15e1a1345537ae145eafe1c07bf38d5c16c11ee2b391e7a28</x:v>
      </x:c>
      <x:c r="O248" s="18" t="str">
        <x:v>8cad9588bc6f9241127c06906ae05c940c8bf29e</x:v>
      </x:c>
      <x:c r="P248" s="18" t="str">
        <x:v>否</x:v>
      </x:c>
    </x:row>
    <x:row r="249" ht="28" customHeight="1">
      <x:c r="A249" s="18" t="str">
        <x:v>武蔵中原</x:v>
      </x:c>
      <x:c r="B249" s="18" t="str">
        <x:v>東日本旅客鉄道</x:v>
      </x:c>
      <x:c r="C249" s="18" t="str">
        <x:v>conventional_rail</x:v>
      </x:c>
      <x:c r="D249" s="18" t="str">
        <x:v>T1</x:v>
      </x:c>
      <x:c r="E249" s="19" t="str">
        <x:v>单组件源记录，官方站点待核</x:v>
      </x:c>
      <x:c r="F249" s="19" t="str"/>
      <x:c r="G249" s="20" t="n">
        <x:v>1</x:v>
      </x:c>
      <x:c r="H249" s="19" t="str">
        <x:v>武蔵中原 | 東日本旅客鉄道 | conventional_rail | 南武線</x:v>
      </x:c>
      <x:c r="I249" s="19" t="str"/>
      <x:c r="J249" s="19" t="str">
        <x:v>核实官方站点图及实际换乘边界；不能按 S12 源组归 Hub。大阪扩审仍冻结。</x:v>
      </x:c>
      <x:c r="K249" s="18" t="str">
        <x:v>transport-node:e452ec1b-3f88-51db-babf-c045ea69f98f</x:v>
      </x:c>
      <x:c r="L249" s="19" t="str">
        <x:v>004286</x:v>
      </x:c>
      <x:c r="M249" s="19" t="str">
        <x:v>https://nlftp.mlit.go.jp/ksj/gml/datalist/KsjTmplt-S12-2024.html</x:v>
      </x:c>
      <x:c r="N249" s="18" t="str">
        <x:v>0785e932a32b3ec15e1a1345537ae145eafe1c07bf38d5c16c11ee2b391e7a28</x:v>
      </x:c>
      <x:c r="O249" s="18" t="str">
        <x:v>8cad9588bc6f9241127c06906ae05c940c8bf29e</x:v>
      </x:c>
      <x:c r="P249" s="18" t="str">
        <x:v>否</x:v>
      </x:c>
    </x:row>
    <x:row r="250" ht="28" customHeight="1">
      <x:c r="A250" s="18" t="str">
        <x:v>舞浜</x:v>
      </x:c>
      <x:c r="B250" s="18" t="str">
        <x:v>東日本旅客鉄道</x:v>
      </x:c>
      <x:c r="C250" s="18" t="str">
        <x:v>conventional_rail</x:v>
      </x:c>
      <x:c r="D250" s="18" t="str">
        <x:v>T1</x:v>
      </x:c>
      <x:c r="E250" s="19" t="str">
        <x:v>单组件源记录，官方站点待核</x:v>
      </x:c>
      <x:c r="F250" s="19" t="str"/>
      <x:c r="G250" s="20" t="n">
        <x:v>1</x:v>
      </x:c>
      <x:c r="H250" s="19" t="str">
        <x:v>舞浜 | 東日本旅客鉄道 | conventional_rail | 京葉線</x:v>
      </x:c>
      <x:c r="I250" s="19" t="str"/>
      <x:c r="J250" s="19" t="str">
        <x:v>核实官方站点图及实际换乘边界；不能按 S12 源组归 Hub。大阪扩审仍冻结。</x:v>
      </x:c>
      <x:c r="K250" s="18" t="str">
        <x:v>transport-node:ff116e1b-dde4-5c33-8296-a9b0a386902b</x:v>
      </x:c>
      <x:c r="L250" s="19" t="str">
        <x:v>004055</x:v>
      </x:c>
      <x:c r="M250" s="19" t="str">
        <x:v>https://nlftp.mlit.go.jp/ksj/gml/datalist/KsjTmplt-S12-2024.html</x:v>
      </x:c>
      <x:c r="N250" s="18" t="str">
        <x:v>0785e932a32b3ec15e1a1345537ae145eafe1c07bf38d5c16c11ee2b391e7a28</x:v>
      </x:c>
      <x:c r="O250" s="18" t="str">
        <x:v>8cad9588bc6f9241127c06906ae05c940c8bf29e</x:v>
      </x:c>
      <x:c r="P250" s="18" t="str">
        <x:v>否</x:v>
      </x:c>
    </x:row>
    <x:row r="251" ht="28" customHeight="1">
      <x:c r="A251" s="18" t="str">
        <x:v>福岡空港</x:v>
      </x:c>
      <x:c r="B251" s="18" t="str">
        <x:v>福岡市</x:v>
      </x:c>
      <x:c r="C251" s="18" t="str">
        <x:v>metro</x:v>
      </x:c>
      <x:c r="D251" s="18" t="str">
        <x:v>T1</x:v>
      </x:c>
      <x:c r="E251" s="19" t="str">
        <x:v>单组件源记录，官方站点待核</x:v>
      </x:c>
      <x:c r="F251" s="19" t="str"/>
      <x:c r="G251" s="20" t="n">
        <x:v>1</x:v>
      </x:c>
      <x:c r="H251" s="19" t="str">
        <x:v>福岡空港 | 福岡市 | metro | 1号線(空港線)</x:v>
      </x:c>
      <x:c r="I251" s="19" t="str"/>
      <x:c r="J251" s="19" t="str">
        <x:v>核实官方站点图及实际换乘边界；不能按 S12 源组归 Hub。大阪扩审仍冻结。</x:v>
      </x:c>
      <x:c r="K251" s="18" t="str">
        <x:v>transport-node:77ce3771-37e7-578b-8df6-f7da85cfc745</x:v>
      </x:c>
      <x:c r="L251" s="19" t="str">
        <x:v>009015</x:v>
      </x:c>
      <x:c r="M251" s="19" t="str">
        <x:v>https://nlftp.mlit.go.jp/ksj/gml/datalist/KsjTmplt-S12-2024.html</x:v>
      </x:c>
      <x:c r="N251" s="18" t="str">
        <x:v>0785e932a32b3ec15e1a1345537ae145eafe1c07bf38d5c16c11ee2b391e7a28</x:v>
      </x:c>
      <x:c r="O251" s="18" t="str">
        <x:v>8cad9588bc6f9241127c06906ae05c940c8bf29e</x:v>
      </x:c>
      <x:c r="P251" s="18" t="str">
        <x:v>否</x:v>
      </x:c>
    </x:row>
    <x:row r="252" ht="28" customHeight="1">
      <x:c r="A252" s="18" t="str">
        <x:v>淵野辺</x:v>
      </x:c>
      <x:c r="B252" s="18" t="str">
        <x:v>東日本旅客鉄道</x:v>
      </x:c>
      <x:c r="C252" s="18" t="str">
        <x:v>conventional_rail</x:v>
      </x:c>
      <x:c r="D252" s="18" t="str">
        <x:v>T1</x:v>
      </x:c>
      <x:c r="E252" s="19" t="str">
        <x:v>单组件源记录，官方站点待核</x:v>
      </x:c>
      <x:c r="F252" s="19" t="str"/>
      <x:c r="G252" s="20" t="n">
        <x:v>1</x:v>
      </x:c>
      <x:c r="H252" s="19" t="str">
        <x:v>淵野辺 | 東日本旅客鉄道 | conventional_rail | 横浜線</x:v>
      </x:c>
      <x:c r="I252" s="19" t="str"/>
      <x:c r="J252" s="19" t="str">
        <x:v>核实官方站点图及实际换乘边界；不能按 S12 源组归 Hub。大阪扩审仍冻结。</x:v>
      </x:c>
      <x:c r="K252" s="18" t="str">
        <x:v>transport-node:2e811af0-fe8a-5f2a-92ad-bea3c9c0033c</x:v>
      </x:c>
      <x:c r="L252" s="19" t="str">
        <x:v>004315</x:v>
      </x:c>
      <x:c r="M252" s="19" t="str">
        <x:v>https://nlftp.mlit.go.jp/ksj/gml/datalist/KsjTmplt-S12-2024.html</x:v>
      </x:c>
      <x:c r="N252" s="18" t="str">
        <x:v>0785e932a32b3ec15e1a1345537ae145eafe1c07bf38d5c16c11ee2b391e7a28</x:v>
      </x:c>
      <x:c r="O252" s="18" t="str">
        <x:v>8cad9588bc6f9241127c06906ae05c940c8bf29e</x:v>
      </x:c>
      <x:c r="P252" s="18" t="str">
        <x:v>否</x:v>
      </x:c>
    </x:row>
    <x:row r="253" ht="28" customHeight="1">
      <x:c r="A253" s="18" t="str">
        <x:v>平井</x:v>
      </x:c>
      <x:c r="B253" s="18" t="str">
        <x:v>東日本旅客鉄道</x:v>
      </x:c>
      <x:c r="C253" s="18" t="str">
        <x:v>conventional_rail</x:v>
      </x:c>
      <x:c r="D253" s="18" t="str">
        <x:v>T1</x:v>
      </x:c>
      <x:c r="E253" s="19" t="str">
        <x:v>单组件源记录，官方站点待核</x:v>
      </x:c>
      <x:c r="F253" s="19" t="str"/>
      <x:c r="G253" s="20" t="n">
        <x:v>1</x:v>
      </x:c>
      <x:c r="H253" s="19" t="str">
        <x:v>平井 | 東日本旅客鉄道 | conventional_rail | 総武線</x:v>
      </x:c>
      <x:c r="I253" s="19" t="str"/>
      <x:c r="J253" s="19" t="str">
        <x:v>核实官方站点图及实际换乘边界；不能按 S12 源组归 Hub。大阪扩审仍冻结。</x:v>
      </x:c>
      <x:c r="K253" s="18" t="str">
        <x:v>transport-node:f2183b03-d05e-5fe6-a542-1c59602bdfb6</x:v>
      </x:c>
      <x:c r="L253" s="19" t="str">
        <x:v>003561</x:v>
      </x:c>
      <x:c r="M253" s="19" t="str">
        <x:v>https://nlftp.mlit.go.jp/ksj/gml/datalist/KsjTmplt-S12-2024.html</x:v>
      </x:c>
      <x:c r="N253" s="18" t="str">
        <x:v>0785e932a32b3ec15e1a1345537ae145eafe1c07bf38d5c16c11ee2b391e7a28</x:v>
      </x:c>
      <x:c r="O253" s="18" t="str">
        <x:v>8cad9588bc6f9241127c06906ae05c940c8bf29e</x:v>
      </x:c>
      <x:c r="P253" s="18" t="str">
        <x:v>否</x:v>
      </x:c>
    </x:row>
    <x:row r="254" ht="28" customHeight="1">
      <x:c r="A254" s="18" t="str">
        <x:v>平塚</x:v>
      </x:c>
      <x:c r="B254" s="18" t="str">
        <x:v>東日本旅客鉄道</x:v>
      </x:c>
      <x:c r="C254" s="18" t="str">
        <x:v>conventional_rail</x:v>
      </x:c>
      <x:c r="D254" s="18" t="str">
        <x:v>T1</x:v>
      </x:c>
      <x:c r="E254" s="19" t="str">
        <x:v>单组件源记录，官方站点待核</x:v>
      </x:c>
      <x:c r="F254" s="19" t="str"/>
      <x:c r="G254" s="20" t="n">
        <x:v>1</x:v>
      </x:c>
      <x:c r="H254" s="19" t="str">
        <x:v>平塚 | 東日本旅客鉄道 | conventional_rail | 東海道線</x:v>
      </x:c>
      <x:c r="I254" s="19" t="str"/>
      <x:c r="J254" s="19" t="str">
        <x:v>核实官方站点图及实际换乘边界；不能按 S12 源组归 Hub。大阪扩审仍冻结。</x:v>
      </x:c>
      <x:c r="K254" s="18" t="str">
        <x:v>transport-node:388a17d0-76c4-5e4f-8ad2-7b5cf1572cda</x:v>
      </x:c>
      <x:c r="L254" s="19" t="str">
        <x:v>005034</x:v>
      </x:c>
      <x:c r="M254" s="19" t="str">
        <x:v>https://nlftp.mlit.go.jp/ksj/gml/datalist/KsjTmplt-S12-2024.html</x:v>
      </x:c>
      <x:c r="N254" s="18" t="str">
        <x:v>0785e932a32b3ec15e1a1345537ae145eafe1c07bf38d5c16c11ee2b391e7a28</x:v>
      </x:c>
      <x:c r="O254" s="18" t="str">
        <x:v>8cad9588bc6f9241127c06906ae05c940c8bf29e</x:v>
      </x:c>
      <x:c r="P254" s="18" t="str">
        <x:v>否</x:v>
      </x:c>
    </x:row>
    <x:row r="255" ht="28" customHeight="1">
      <x:c r="A255" s="18" t="str">
        <x:v>保谷</x:v>
      </x:c>
      <x:c r="B255" s="18" t="str">
        <x:v>西武鉄道</x:v>
      </x:c>
      <x:c r="C255" s="18" t="str">
        <x:v>private_rail</x:v>
      </x:c>
      <x:c r="D255" s="18" t="str">
        <x:v>T1</x:v>
      </x:c>
      <x:c r="E255" s="19" t="str">
        <x:v>单组件源记录，官方站点待核</x:v>
      </x:c>
      <x:c r="F255" s="19" t="str"/>
      <x:c r="G255" s="20" t="n">
        <x:v>1</x:v>
      </x:c>
      <x:c r="H255" s="19" t="str">
        <x:v>保谷 | 西武鉄道 | private_rail | 池袋線</x:v>
      </x:c>
      <x:c r="I255" s="19" t="str"/>
      <x:c r="J255" s="19" t="str">
        <x:v>核实官方站点图及实际换乘边界；不能按 S12 源组归 Hub。大阪扩审仍冻结。</x:v>
      </x:c>
      <x:c r="K255" s="18" t="str">
        <x:v>transport-node:b4f6bb8b-99b3-5ba4-b199-2417b44f8d0b</x:v>
      </x:c>
      <x:c r="L255" s="19" t="str">
        <x:v>003271</x:v>
      </x:c>
      <x:c r="M255" s="19" t="str">
        <x:v>https://nlftp.mlit.go.jp/ksj/gml/datalist/KsjTmplt-S12-2024.html</x:v>
      </x:c>
      <x:c r="N255" s="18" t="str">
        <x:v>0785e932a32b3ec15e1a1345537ae145eafe1c07bf38d5c16c11ee2b391e7a28</x:v>
      </x:c>
      <x:c r="O255" s="18" t="str">
        <x:v>8cad9588bc6f9241127c06906ae05c940c8bf29e</x:v>
      </x:c>
      <x:c r="P255" s="18" t="str">
        <x:v>否</x:v>
      </x:c>
    </x:row>
    <x:row r="256" ht="28" customHeight="1">
      <x:c r="A256" s="18" t="str">
        <x:v>保土ヶ谷</x:v>
      </x:c>
      <x:c r="B256" s="18" t="str">
        <x:v>東日本旅客鉄道</x:v>
      </x:c>
      <x:c r="C256" s="18" t="str">
        <x:v>conventional_rail</x:v>
      </x:c>
      <x:c r="D256" s="18" t="str">
        <x:v>T1</x:v>
      </x:c>
      <x:c r="E256" s="19" t="str">
        <x:v>单组件源记录，官方站点待核</x:v>
      </x:c>
      <x:c r="F256" s="19" t="str"/>
      <x:c r="G256" s="20" t="n">
        <x:v>1</x:v>
      </x:c>
      <x:c r="H256" s="19" t="str">
        <x:v>保土ヶ谷 | 東日本旅客鉄道 | conventional_rail | 東海道線</x:v>
      </x:c>
      <x:c r="I256" s="19" t="str"/>
      <x:c r="J256" s="19" t="str">
        <x:v>核实官方站点图及实际换乘边界；不能按 S12 源组归 Hub。大阪扩审仍冻结。</x:v>
      </x:c>
      <x:c r="K256" s="18" t="str">
        <x:v>transport-node:6a6e67c9-1024-562d-88ec-30143e44b6d4</x:v>
      </x:c>
      <x:c r="L256" s="19" t="str">
        <x:v>004685</x:v>
      </x:c>
      <x:c r="M256" s="19" t="str">
        <x:v>https://nlftp.mlit.go.jp/ksj/gml/datalist/KsjTmplt-S12-2024.html</x:v>
      </x:c>
      <x:c r="N256" s="18" t="str">
        <x:v>0785e932a32b3ec15e1a1345537ae145eafe1c07bf38d5c16c11ee2b391e7a28</x:v>
      </x:c>
      <x:c r="O256" s="18" t="str">
        <x:v>8cad9588bc6f9241127c06906ae05c940c8bf29e</x:v>
      </x:c>
      <x:c r="P256" s="18" t="str">
        <x:v>否</x:v>
      </x:c>
    </x:row>
    <x:row r="257" ht="28" customHeight="1">
      <x:c r="A257" s="18" t="str">
        <x:v>豊田</x:v>
      </x:c>
      <x:c r="B257" s="18" t="str">
        <x:v>東日本旅客鉄道</x:v>
      </x:c>
      <x:c r="C257" s="18" t="str">
        <x:v>conventional_rail</x:v>
      </x:c>
      <x:c r="D257" s="18" t="str">
        <x:v>T1</x:v>
      </x:c>
      <x:c r="E257" s="19" t="str">
        <x:v>单组件源记录，官方站点待核</x:v>
      </x:c>
      <x:c r="F257" s="19" t="str"/>
      <x:c r="G257" s="20" t="n">
        <x:v>1</x:v>
      </x:c>
      <x:c r="H257" s="19" t="str">
        <x:v>豊田 | 東日本旅客鉄道 | conventional_rail | 中央線</x:v>
      </x:c>
      <x:c r="I257" s="19" t="str"/>
      <x:c r="J257" s="19" t="str">
        <x:v>核实官方站点图及实际换乘边界；不能按 S12 源组归 Hub。大阪扩审仍冻结。</x:v>
      </x:c>
      <x:c r="K257" s="18" t="str">
        <x:v>transport-node:893c7fed-fb73-5abb-8245-cf0ca110f2ab</x:v>
      </x:c>
      <x:c r="L257" s="19" t="str">
        <x:v>003921</x:v>
      </x:c>
      <x:c r="M257" s="19" t="str">
        <x:v>https://nlftp.mlit.go.jp/ksj/gml/datalist/KsjTmplt-S12-2024.html</x:v>
      </x:c>
      <x:c r="N257" s="18" t="str">
        <x:v>0785e932a32b3ec15e1a1345537ae145eafe1c07bf38d5c16c11ee2b391e7a28</x:v>
      </x:c>
      <x:c r="O257" s="18" t="str">
        <x:v>8cad9588bc6f9241127c06906ae05c940c8bf29e</x:v>
      </x:c>
      <x:c r="P257" s="18" t="str">
        <x:v>否</x:v>
      </x:c>
    </x:row>
    <x:row r="258" ht="28" customHeight="1">
      <x:c r="A258" s="18" t="str">
        <x:v>北浦和</x:v>
      </x:c>
      <x:c r="B258" s="18" t="str">
        <x:v>東日本旅客鉄道</x:v>
      </x:c>
      <x:c r="C258" s="18" t="str">
        <x:v>conventional_rail</x:v>
      </x:c>
      <x:c r="D258" s="18" t="str">
        <x:v>T1</x:v>
      </x:c>
      <x:c r="E258" s="19" t="str">
        <x:v>单组件源记录，官方站点待核</x:v>
      </x:c>
      <x:c r="F258" s="19" t="str"/>
      <x:c r="G258" s="20" t="n">
        <x:v>1</x:v>
      </x:c>
      <x:c r="H258" s="19" t="str">
        <x:v>北浦和 | 東日本旅客鉄道 | conventional_rail | 東北線</x:v>
      </x:c>
      <x:c r="I258" s="19" t="str"/>
      <x:c r="J258" s="19" t="str">
        <x:v>核实官方站点图及实际换乘边界；不能按 S12 源组归 Hub。大阪扩审仍冻结。</x:v>
      </x:c>
      <x:c r="K258" s="18" t="str">
        <x:v>transport-node:b5dc5e4e-a099-59c0-a85f-1aa661d8d0b3</x:v>
      </x:c>
      <x:c r="L258" s="19" t="str">
        <x:v>002968</x:v>
      </x:c>
      <x:c r="M258" s="19" t="str">
        <x:v>https://nlftp.mlit.go.jp/ksj/gml/datalist/KsjTmplt-S12-2024.html</x:v>
      </x:c>
      <x:c r="N258" s="18" t="str">
        <x:v>0785e932a32b3ec15e1a1345537ae145eafe1c07bf38d5c16c11ee2b391e7a28</x:v>
      </x:c>
      <x:c r="O258" s="18" t="str">
        <x:v>8cad9588bc6f9241127c06906ae05c940c8bf29e</x:v>
      </x:c>
      <x:c r="P258" s="18" t="str">
        <x:v>否</x:v>
      </x:c>
    </x:row>
    <x:row r="259" ht="28" customHeight="1">
      <x:c r="A259" s="18" t="str">
        <x:v>本厚木</x:v>
      </x:c>
      <x:c r="B259" s="18" t="str">
        <x:v>小田急電鉄</x:v>
      </x:c>
      <x:c r="C259" s="18" t="str">
        <x:v>private_rail</x:v>
      </x:c>
      <x:c r="D259" s="18" t="str">
        <x:v>T1</x:v>
      </x:c>
      <x:c r="E259" s="19" t="str">
        <x:v>单组件源记录，官方站点待核</x:v>
      </x:c>
      <x:c r="F259" s="19" t="str"/>
      <x:c r="G259" s="20" t="n">
        <x:v>1</x:v>
      </x:c>
      <x:c r="H259" s="19" t="str">
        <x:v>本厚木 | 小田急電鉄 | private_rail | 小田原線</x:v>
      </x:c>
      <x:c r="I259" s="19" t="str"/>
      <x:c r="J259" s="19" t="str">
        <x:v>核实官方站点图及实际换乘边界；不能按 S12 源组归 Hub。大阪扩审仍冻结。</x:v>
      </x:c>
      <x:c r="K259" s="18" t="str">
        <x:v>transport-node:cbde6d57-356f-5f6f-b4fe-c82122fcbb56</x:v>
      </x:c>
      <x:c r="L259" s="19" t="str">
        <x:v>004715</x:v>
      </x:c>
      <x:c r="M259" s="19" t="str">
        <x:v>https://nlftp.mlit.go.jp/ksj/gml/datalist/KsjTmplt-S12-2024.html</x:v>
      </x:c>
      <x:c r="N259" s="18" t="str">
        <x:v>0785e932a32b3ec15e1a1345537ae145eafe1c07bf38d5c16c11ee2b391e7a28</x:v>
      </x:c>
      <x:c r="O259" s="18" t="str">
        <x:v>8cad9588bc6f9241127c06906ae05c940c8bf29e</x:v>
      </x:c>
      <x:c r="P259" s="18" t="str">
        <x:v>否</x:v>
      </x:c>
    </x:row>
    <x:row r="260" ht="28" customHeight="1">
      <x:c r="A260" s="18" t="str">
        <x:v>枚方市</x:v>
      </x:c>
      <x:c r="B260" s="18" t="str">
        <x:v>京阪電気鉄道</x:v>
      </x:c>
      <x:c r="C260" s="18" t="str">
        <x:v>private_rail</x:v>
      </x:c>
      <x:c r="D260" s="18" t="str">
        <x:v>T1</x:v>
      </x:c>
      <x:c r="E260" s="19" t="str">
        <x:v>单组件源记录，官方站点待核</x:v>
      </x:c>
      <x:c r="F260" s="19" t="str"/>
      <x:c r="G260" s="20" t="n">
        <x:v>1</x:v>
      </x:c>
      <x:c r="H260" s="19" t="str">
        <x:v>枚方市 | 京阪電気鉄道 | private_rail | 交野線 / 京阪本線</x:v>
      </x:c>
      <x:c r="I260" s="19" t="str"/>
      <x:c r="J260" s="19" t="str">
        <x:v>核实官方站点图及实际换乘边界；不能按 S12 源组归 Hub。大阪扩审仍冻结。</x:v>
      </x:c>
      <x:c r="K260" s="18" t="str">
        <x:v>transport-node:7af95f7e-f40c-564e-9001-e6ffd0f9ddf4</x:v>
      </x:c>
      <x:c r="L260" s="19" t="str">
        <x:v>006563</x:v>
      </x:c>
      <x:c r="M260" s="19" t="str">
        <x:v>https://nlftp.mlit.go.jp/ksj/gml/datalist/KsjTmplt-S12-2024.html</x:v>
      </x:c>
      <x:c r="N260" s="18" t="str">
        <x:v>0785e932a32b3ec15e1a1345537ae145eafe1c07bf38d5c16c11ee2b391e7a28</x:v>
      </x:c>
      <x:c r="O260" s="18" t="str">
        <x:v>8cad9588bc6f9241127c06906ae05c940c8bf29e</x:v>
      </x:c>
      <x:c r="P260" s="18" t="str">
        <x:v>否</x:v>
      </x:c>
    </x:row>
    <x:row r="261" ht="28" customHeight="1">
      <x:c r="A261" s="18" t="str">
        <x:v>幕張本郷</x:v>
      </x:c>
      <x:c r="B261" s="18" t="str">
        <x:v>東日本旅客鉄道</x:v>
      </x:c>
      <x:c r="C261" s="18" t="str">
        <x:v>conventional_rail</x:v>
      </x:c>
      <x:c r="D261" s="18" t="str">
        <x:v>T1</x:v>
      </x:c>
      <x:c r="E261" s="19" t="str">
        <x:v>单组件源记录，官方站点待核</x:v>
      </x:c>
      <x:c r="F261" s="19" t="str"/>
      <x:c r="G261" s="20" t="n">
        <x:v>1</x:v>
      </x:c>
      <x:c r="H261" s="19" t="str">
        <x:v>幕張本郷 | 東日本旅客鉄道 | conventional_rail | 総武線</x:v>
      </x:c>
      <x:c r="I261" s="19" t="str"/>
      <x:c r="J261" s="19" t="str">
        <x:v>核实官方站点图及实际换乘边界；不能按 S12 源组归 Hub。大阪扩审仍冻结。</x:v>
      </x:c>
      <x:c r="K261" s="18" t="str">
        <x:v>transport-node:2e3a2a45-eb03-5ae0-baa2-3f770853b6d7</x:v>
      </x:c>
      <x:c r="L261" s="19" t="str">
        <x:v>003815</x:v>
      </x:c>
      <x:c r="M261" s="19" t="str">
        <x:v>https://nlftp.mlit.go.jp/ksj/gml/datalist/KsjTmplt-S12-2024.html</x:v>
      </x:c>
      <x:c r="N261" s="18" t="str">
        <x:v>0785e932a32b3ec15e1a1345537ae145eafe1c07bf38d5c16c11ee2b391e7a28</x:v>
      </x:c>
      <x:c r="O261" s="18" t="str">
        <x:v>8cad9588bc6f9241127c06906ae05c940c8bf29e</x:v>
      </x:c>
      <x:c r="P261" s="18" t="str">
        <x:v>否</x:v>
      </x:c>
    </x:row>
    <x:row r="262" ht="28" customHeight="1">
      <x:c r="A262" s="18" t="str">
        <x:v>妙典</x:v>
      </x:c>
      <x:c r="B262" s="18" t="str">
        <x:v>東京地下鉄</x:v>
      </x:c>
      <x:c r="C262" s="18" t="str">
        <x:v>metro</x:v>
      </x:c>
      <x:c r="D262" s="18" t="str">
        <x:v>T1</x:v>
      </x:c>
      <x:c r="E262" s="19" t="str">
        <x:v>单组件源记录，官方站点待核</x:v>
      </x:c>
      <x:c r="F262" s="19" t="str"/>
      <x:c r="G262" s="20" t="n">
        <x:v>1</x:v>
      </x:c>
      <x:c r="H262" s="19" t="str">
        <x:v>妙典 | 東京地下鉄 | metro | 5号線東西線</x:v>
      </x:c>
      <x:c r="I262" s="19" t="str"/>
      <x:c r="J262" s="19" t="str">
        <x:v>核实官方站点图及实际换乘边界；不能按 S12 源组归 Hub。大阪扩审仍冻结。</x:v>
      </x:c>
      <x:c r="K262" s="18" t="str">
        <x:v>transport-node:28a218a0-4388-587d-a21d-f6919e1fcc06</x:v>
      </x:c>
      <x:c r="L262" s="19" t="str">
        <x:v>003686</x:v>
      </x:c>
      <x:c r="M262" s="19" t="str">
        <x:v>https://nlftp.mlit.go.jp/ksj/gml/datalist/KsjTmplt-S12-2024.html</x:v>
      </x:c>
      <x:c r="N262" s="18" t="str">
        <x:v>0785e932a32b3ec15e1a1345537ae145eafe1c07bf38d5c16c11ee2b391e7a28</x:v>
      </x:c>
      <x:c r="O262" s="18" t="str">
        <x:v>8cad9588bc6f9241127c06906ae05c940c8bf29e</x:v>
      </x:c>
      <x:c r="P262" s="18" t="str">
        <x:v>否</x:v>
      </x:c>
    </x:row>
    <x:row r="263" ht="28" customHeight="1">
      <x:c r="A263" s="18" t="str">
        <x:v>明石</x:v>
      </x:c>
      <x:c r="B263" s="18" t="str">
        <x:v>西日本旅客鉄道</x:v>
      </x:c>
      <x:c r="C263" s="18" t="str">
        <x:v>conventional_rail</x:v>
      </x:c>
      <x:c r="D263" s="18" t="str">
        <x:v>T1</x:v>
      </x:c>
      <x:c r="E263" s="19" t="str">
        <x:v>单组件源记录，官方站点待核</x:v>
      </x:c>
      <x:c r="F263" s="19" t="str"/>
      <x:c r="G263" s="20" t="n">
        <x:v>1</x:v>
      </x:c>
      <x:c r="H263" s="19" t="str">
        <x:v>明石 | 西日本旅客鉄道 | conventional_rail | 山陽線</x:v>
      </x:c>
      <x:c r="I263" s="19" t="str"/>
      <x:c r="J263" s="19" t="str">
        <x:v>核实官方站点图及实际换乘边界；不能按 S12 源组归 Hub。大阪扩审仍冻结。</x:v>
      </x:c>
      <x:c r="K263" s="18" t="str">
        <x:v>transport-node:a679d940-5a63-5dd2-a4f6-6cc1f2a3dbd8</x:v>
      </x:c>
      <x:c r="L263" s="19" t="str">
        <x:v>007428</x:v>
      </x:c>
      <x:c r="M263" s="19" t="str">
        <x:v>https://nlftp.mlit.go.jp/ksj/gml/datalist/KsjTmplt-S12-2024.html</x:v>
      </x:c>
      <x:c r="N263" s="18" t="str">
        <x:v>0785e932a32b3ec15e1a1345537ae145eafe1c07bf38d5c16c11ee2b391e7a28</x:v>
      </x:c>
      <x:c r="O263" s="18" t="str">
        <x:v>8cad9588bc6f9241127c06906ae05c940c8bf29e</x:v>
      </x:c>
      <x:c r="P263" s="18" t="str">
        <x:v>否</x:v>
      </x:c>
    </x:row>
    <x:row r="264" ht="28" customHeight="1">
      <x:c r="A264" s="18" t="str">
        <x:v>木場</x:v>
      </x:c>
      <x:c r="B264" s="18" t="str">
        <x:v>東京地下鉄</x:v>
      </x:c>
      <x:c r="C264" s="18" t="str">
        <x:v>metro</x:v>
      </x:c>
      <x:c r="D264" s="18" t="str">
        <x:v>T1</x:v>
      </x:c>
      <x:c r="E264" s="19" t="str">
        <x:v>单组件源记录，官方站点待核</x:v>
      </x:c>
      <x:c r="F264" s="19" t="str"/>
      <x:c r="G264" s="20" t="n">
        <x:v>1</x:v>
      </x:c>
      <x:c r="H264" s="19" t="str">
        <x:v>木場 | 東京地下鉄 | metro | 5号線東西線</x:v>
      </x:c>
      <x:c r="I264" s="19" t="str"/>
      <x:c r="J264" s="19" t="str">
        <x:v>核实官方站点图及实际换乘边界；不能按 S12 源组归 Hub。大阪扩审仍冻结。</x:v>
      </x:c>
      <x:c r="K264" s="18" t="str">
        <x:v>transport-node:acf171da-ea71-577c-85cd-e1bb0b7066fe</x:v>
      </x:c>
      <x:c r="L264" s="19" t="str">
        <x:v>003840</x:v>
      </x:c>
      <x:c r="M264" s="19" t="str">
        <x:v>https://nlftp.mlit.go.jp/ksj/gml/datalist/KsjTmplt-S12-2024.html</x:v>
      </x:c>
      <x:c r="N264" s="18" t="str">
        <x:v>0785e932a32b3ec15e1a1345537ae145eafe1c07bf38d5c16c11ee2b391e7a28</x:v>
      </x:c>
      <x:c r="O264" s="18" t="str">
        <x:v>8cad9588bc6f9241127c06906ae05c940c8bf29e</x:v>
      </x:c>
      <x:c r="P264" s="18" t="str">
        <x:v>否</x:v>
      </x:c>
    </x:row>
    <x:row r="265" ht="28" customHeight="1">
      <x:c r="A265" s="18" t="str">
        <x:v>目白</x:v>
      </x:c>
      <x:c r="B265" s="18" t="str">
        <x:v>東日本旅客鉄道</x:v>
      </x:c>
      <x:c r="C265" s="18" t="str">
        <x:v>conventional_rail</x:v>
      </x:c>
      <x:c r="D265" s="18" t="str">
        <x:v>T1</x:v>
      </x:c>
      <x:c r="E265" s="19" t="str">
        <x:v>单组件源记录，官方站点待核</x:v>
      </x:c>
      <x:c r="F265" s="19" t="str"/>
      <x:c r="G265" s="20" t="n">
        <x:v>1</x:v>
      </x:c>
      <x:c r="H265" s="19" t="str">
        <x:v>目白 | 東日本旅客鉄道 | conventional_rail | 山手線</x:v>
      </x:c>
      <x:c r="I265" s="19" t="str"/>
      <x:c r="J265" s="19" t="str">
        <x:v>核实官方站点图及实际换乘边界；不能按 S12 源组归 Hub。大阪扩审仍冻结。</x:v>
      </x:c>
      <x:c r="K265" s="18" t="str">
        <x:v>transport-node:abb98360-91cf-5e55-9b34-d61a94b147bf</x:v>
      </x:c>
      <x:c r="L265" s="19" t="str">
        <x:v>003470</x:v>
      </x:c>
      <x:c r="M265" s="19" t="str">
        <x:v>https://nlftp.mlit.go.jp/ksj/gml/datalist/KsjTmplt-S12-2024.html</x:v>
      </x:c>
      <x:c r="N265" s="18" t="str">
        <x:v>0785e932a32b3ec15e1a1345537ae145eafe1c07bf38d5c16c11ee2b391e7a28</x:v>
      </x:c>
      <x:c r="O265" s="18" t="str">
        <x:v>8cad9588bc6f9241127c06906ae05c940c8bf29e</x:v>
      </x:c>
      <x:c r="P265" s="18" t="str">
        <x:v>否</x:v>
      </x:c>
    </x:row>
    <x:row r="266" ht="28" customHeight="1">
      <x:c r="A266" s="18" t="str">
        <x:v>矢場町</x:v>
      </x:c>
      <x:c r="B266" s="18" t="str">
        <x:v>名古屋市</x:v>
      </x:c>
      <x:c r="C266" s="18" t="str">
        <x:v>metro</x:v>
      </x:c>
      <x:c r="D266" s="18" t="str">
        <x:v>T1</x:v>
      </x:c>
      <x:c r="E266" s="19" t="str">
        <x:v>单组件源记录，官方站点待核</x:v>
      </x:c>
      <x:c r="F266" s="19" t="str"/>
      <x:c r="G266" s="20" t="n">
        <x:v>1</x:v>
      </x:c>
      <x:c r="H266" s="19" t="str">
        <x:v>矢場町 | 名古屋市 | metro | 2号線名城線</x:v>
      </x:c>
      <x:c r="I266" s="19" t="str"/>
      <x:c r="J266" s="19" t="str">
        <x:v>核实官方站点图及实际换乘边界；不能按 S12 源组归 Hub。大阪扩审仍冻结。</x:v>
      </x:c>
      <x:c r="K266" s="18" t="str">
        <x:v>transport-node:14b3331f-d850-5f2a-91c1-df47408490fb</x:v>
      </x:c>
      <x:c r="L266" s="19" t="str">
        <x:v>005485</x:v>
      </x:c>
      <x:c r="M266" s="19" t="str">
        <x:v>https://nlftp.mlit.go.jp/ksj/gml/datalist/KsjTmplt-S12-2024.html</x:v>
      </x:c>
      <x:c r="N266" s="18" t="str">
        <x:v>0785e932a32b3ec15e1a1345537ae145eafe1c07bf38d5c16c11ee2b391e7a28</x:v>
      </x:c>
      <x:c r="O266" s="18" t="str">
        <x:v>8cad9588bc6f9241127c06906ae05c940c8bf29e</x:v>
      </x:c>
      <x:c r="P266" s="18" t="str">
        <x:v>否</x:v>
      </x:c>
    </x:row>
    <x:row r="267" ht="28" customHeight="1">
      <x:c r="A267" s="18" t="str">
        <x:v>与野</x:v>
      </x:c>
      <x:c r="B267" s="18" t="str">
        <x:v>東日本旅客鉄道</x:v>
      </x:c>
      <x:c r="C267" s="18" t="str">
        <x:v>conventional_rail</x:v>
      </x:c>
      <x:c r="D267" s="18" t="str">
        <x:v>T1</x:v>
      </x:c>
      <x:c r="E267" s="19" t="str">
        <x:v>单组件源记录，官方站点待核</x:v>
      </x:c>
      <x:c r="F267" s="19" t="str"/>
      <x:c r="G267" s="20" t="n">
        <x:v>1</x:v>
      </x:c>
      <x:c r="H267" s="19" t="str">
        <x:v>与野 | 東日本旅客鉄道 | conventional_rail | 東北線 / 武蔵野線</x:v>
      </x:c>
      <x:c r="I267" s="19" t="str"/>
      <x:c r="J267" s="19" t="str">
        <x:v>核实官方站点图及实际换乘边界；不能按 S12 源组归 Hub。大阪扩审仍冻结。</x:v>
      </x:c>
      <x:c r="K267" s="18" t="str">
        <x:v>transport-node:16578c71-e02e-5eb8-8f77-5e7de46032aa</x:v>
      </x:c>
      <x:c r="L267" s="19" t="str">
        <x:v>002947</x:v>
      </x:c>
      <x:c r="M267" s="19" t="str">
        <x:v>https://nlftp.mlit.go.jp/ksj/gml/datalist/KsjTmplt-S12-2024.html</x:v>
      </x:c>
      <x:c r="N267" s="18" t="str">
        <x:v>0785e932a32b3ec15e1a1345537ae145eafe1c07bf38d5c16c11ee2b391e7a28</x:v>
      </x:c>
      <x:c r="O267" s="18" t="str">
        <x:v>8cad9588bc6f9241127c06906ae05c940c8bf29e</x:v>
      </x:c>
      <x:c r="P267" s="18" t="str">
        <x:v>否</x:v>
      </x:c>
    </x:row>
    <x:row r="268" ht="28" customHeight="1">
      <x:c r="A268" s="18" t="str">
        <x:v>用賀</x:v>
      </x:c>
      <x:c r="B268" s="18" t="str">
        <x:v>東急電鉄</x:v>
      </x:c>
      <x:c r="C268" s="18" t="str">
        <x:v>private_rail</x:v>
      </x:c>
      <x:c r="D268" s="18" t="str">
        <x:v>T1</x:v>
      </x:c>
      <x:c r="E268" s="19" t="str">
        <x:v>单组件源记录，官方站点待核</x:v>
      </x:c>
      <x:c r="F268" s="19" t="str"/>
      <x:c r="G268" s="20" t="n">
        <x:v>1</x:v>
      </x:c>
      <x:c r="H268" s="19" t="str">
        <x:v>用賀 | 東急電鉄 | private_rail | 田園都市線</x:v>
      </x:c>
      <x:c r="I268" s="19" t="str"/>
      <x:c r="J268" s="19" t="str">
        <x:v>核实官方站点图及实际换乘边界；不能按 S12 源组归 Hub。大阪扩审仍冻结。</x:v>
      </x:c>
      <x:c r="K268" s="18" t="str">
        <x:v>transport-node:edd70981-8408-5551-8ad9-884ddb414659</x:v>
      </x:c>
      <x:c r="L268" s="19" t="str">
        <x:v>004109</x:v>
      </x:c>
      <x:c r="M268" s="19" t="str">
        <x:v>https://nlftp.mlit.go.jp/ksj/gml/datalist/KsjTmplt-S12-2024.html</x:v>
      </x:c>
      <x:c r="N268" s="18" t="str">
        <x:v>0785e932a32b3ec15e1a1345537ae145eafe1c07bf38d5c16c11ee2b391e7a28</x:v>
      </x:c>
      <x:c r="O268" s="18" t="str">
        <x:v>8cad9588bc6f9241127c06906ae05c940c8bf29e</x:v>
      </x:c>
      <x:c r="P268" s="18" t="str">
        <x:v>否</x:v>
      </x:c>
    </x:row>
    <x:row r="269" ht="28" customHeight="1">
      <x:c r="A269" s="18" t="str">
        <x:v>両国</x:v>
      </x:c>
      <x:c r="B269" s="18" t="str">
        <x:v>東日本旅客鉄道</x:v>
      </x:c>
      <x:c r="C269" s="18" t="str">
        <x:v>conventional_rail</x:v>
      </x:c>
      <x:c r="D269" s="18" t="str">
        <x:v>T1</x:v>
      </x:c>
      <x:c r="E269" s="19" t="str">
        <x:v>单组件源记录，官方站点待核</x:v>
      </x:c>
      <x:c r="F269" s="19" t="str"/>
      <x:c r="G269" s="20" t="n">
        <x:v>1</x:v>
      </x:c>
      <x:c r="H269" s="19" t="str">
        <x:v>両国 | 東日本旅客鉄道 | conventional_rail | 総武線</x:v>
      </x:c>
      <x:c r="I269" s="19" t="str"/>
      <x:c r="J269" s="19" t="str">
        <x:v>核实官方站点图及实际换乘边界；不能按 S12 源组归 Hub。大阪扩审仍冻结。</x:v>
      </x:c>
      <x:c r="K269" s="18" t="str">
        <x:v>transport-node:404dfb74-2d95-540f-a6e9-0134d30efdbb</x:v>
      </x:c>
      <x:c r="L269" s="19" t="str">
        <x:v>003654</x:v>
      </x:c>
      <x:c r="M269" s="19" t="str">
        <x:v>https://nlftp.mlit.go.jp/ksj/gml/datalist/KsjTmplt-S12-2024.html</x:v>
      </x:c>
      <x:c r="N269" s="18" t="str">
        <x:v>0785e932a32b3ec15e1a1345537ae145eafe1c07bf38d5c16c11ee2b391e7a28</x:v>
      </x:c>
      <x:c r="O269" s="18" t="str">
        <x:v>8cad9588bc6f9241127c06906ae05c940c8bf29e</x:v>
      </x:c>
      <x:c r="P269" s="18" t="str">
        <x:v>否</x:v>
      </x:c>
    </x:row>
    <x:row r="270" ht="28" customHeight="1">
      <x:c r="A270" s="18" t="str">
        <x:v>六甲道</x:v>
      </x:c>
      <x:c r="B270" s="18" t="str">
        <x:v>西日本旅客鉄道</x:v>
      </x:c>
      <x:c r="C270" s="18" t="str">
        <x:v>conventional_rail</x:v>
      </x:c>
      <x:c r="D270" s="18" t="str">
        <x:v>T1</x:v>
      </x:c>
      <x:c r="E270" s="19" t="str">
        <x:v>单组件源记录，官方站点待核</x:v>
      </x:c>
      <x:c r="F270" s="19" t="str"/>
      <x:c r="G270" s="20" t="n">
        <x:v>1</x:v>
      </x:c>
      <x:c r="H270" s="19" t="str">
        <x:v>六甲道 | 西日本旅客鉄道 | conventional_rail | 東海道線</x:v>
      </x:c>
      <x:c r="I270" s="19" t="str"/>
      <x:c r="J270" s="19" t="str">
        <x:v>核实官方站点图及实际换乘边界；不能按 S12 源组归 Hub。大阪扩审仍冻结。</x:v>
      </x:c>
      <x:c r="K270" s="18" t="str">
        <x:v>transport-node:74d834cf-a26e-5560-ade9-f7ef368fdb75</x:v>
      </x:c>
      <x:c r="L270" s="19" t="str">
        <x:v>007004</x:v>
      </x:c>
      <x:c r="M270" s="19" t="str">
        <x:v>https://nlftp.mlit.go.jp/ksj/gml/datalist/KsjTmplt-S12-2024.html</x:v>
      </x:c>
      <x:c r="N270" s="18" t="str">
        <x:v>0785e932a32b3ec15e1a1345537ae145eafe1c07bf38d5c16c11ee2b391e7a28</x:v>
      </x:c>
      <x:c r="O270" s="18" t="str">
        <x:v>8cad9588bc6f9241127c06906ae05c940c8bf29e</x:v>
      </x:c>
      <x:c r="P270" s="18" t="str">
        <x:v>否</x:v>
      </x:c>
    </x:row>
    <x:row r="271" ht="28" customHeight="1">
      <x:c r="A271" s="18" t="str">
        <x:v>六本木一丁目</x:v>
      </x:c>
      <x:c r="B271" s="18" t="str">
        <x:v>東京地下鉄</x:v>
      </x:c>
      <x:c r="C271" s="18" t="str">
        <x:v>metro</x:v>
      </x:c>
      <x:c r="D271" s="18" t="str">
        <x:v>T1</x:v>
      </x:c>
      <x:c r="E271" s="19" t="str">
        <x:v>单组件源记录，官方站点待核</x:v>
      </x:c>
      <x:c r="F271" s="19" t="str"/>
      <x:c r="G271" s="20" t="n">
        <x:v>1</x:v>
      </x:c>
      <x:c r="H271" s="19" t="str">
        <x:v>六本木一丁目 | 東京地下鉄 | metro | 7号線南北線</x:v>
      </x:c>
      <x:c r="I271" s="19" t="str"/>
      <x:c r="J271" s="19" t="str">
        <x:v>核实官方站点图及实际换乘边界；不能按 S12 源组归 Hub。大阪扩审仍冻结。</x:v>
      </x:c>
      <x:c r="K271" s="18" t="str">
        <x:v>transport-node:b13dfd18-3d28-52b8-9ebf-d4ed378a10c9</x:v>
      </x:c>
      <x:c r="L271" s="19" t="str">
        <x:v>003884</x:v>
      </x:c>
      <x:c r="M271" s="19" t="str">
        <x:v>https://nlftp.mlit.go.jp/ksj/gml/datalist/KsjTmplt-S12-2024.html</x:v>
      </x:c>
      <x:c r="N271" s="18" t="str">
        <x:v>0785e932a32b3ec15e1a1345537ae145eafe1c07bf38d5c16c11ee2b391e7a28</x:v>
      </x:c>
      <x:c r="O271" s="18" t="str">
        <x:v>8cad9588bc6f9241127c06906ae05c940c8bf29e</x:v>
      </x:c>
      <x:c r="P271" s="18" t="str">
        <x:v>否</x:v>
      </x:c>
    </x:row>
    <x:row r="272" ht="28" customHeight="1">
      <x:c r="A272" s="18" t="str">
        <x:v>蕨</x:v>
      </x:c>
      <x:c r="B272" s="18" t="str">
        <x:v>東日本旅客鉄道</x:v>
      </x:c>
      <x:c r="C272" s="18" t="str">
        <x:v>conventional_rail</x:v>
      </x:c>
      <x:c r="D272" s="18" t="str">
        <x:v>T1</x:v>
      </x:c>
      <x:c r="E272" s="19" t="str">
        <x:v>单组件源记录，官方站点待核</x:v>
      </x:c>
      <x:c r="F272" s="19" t="str"/>
      <x:c r="G272" s="20" t="n">
        <x:v>1</x:v>
      </x:c>
      <x:c r="H272" s="19" t="str">
        <x:v>蕨 | 東日本旅客鉄道 | conventional_rail | 東北線</x:v>
      </x:c>
      <x:c r="I272" s="19" t="str"/>
      <x:c r="J272" s="19" t="str">
        <x:v>核实官方站点图及实际换乘边界；不能按 S12 源组归 Hub。大阪扩审仍冻结。</x:v>
      </x:c>
      <x:c r="K272" s="18" t="str">
        <x:v>transport-node:fa5424cb-0069-54c3-8d71-c9b05488cccd</x:v>
      </x:c>
      <x:c r="L272" s="19" t="str">
        <x:v>003041</x:v>
      </x:c>
      <x:c r="M272" s="19" t="str">
        <x:v>https://nlftp.mlit.go.jp/ksj/gml/datalist/KsjTmplt-S12-2024.html</x:v>
      </x:c>
      <x:c r="N272" s="18" t="str">
        <x:v>0785e932a32b3ec15e1a1345537ae145eafe1c07bf38d5c16c11ee2b391e7a28</x:v>
      </x:c>
      <x:c r="O272" s="18" t="str">
        <x:v>8cad9588bc6f9241127c06906ae05c940c8bf29e</x:v>
      </x:c>
      <x:c r="P272" s="18" t="str">
        <x:v>否</x:v>
      </x:c>
    </x:row>
    <x:row r="273" ht="28" customHeight="1">
      <x:c r="A273" s="18" t="str">
        <x:v>獨協大学前</x:v>
      </x:c>
      <x:c r="B273" s="18" t="str">
        <x:v>東武鉄道</x:v>
      </x:c>
      <x:c r="C273" s="18" t="str">
        <x:v>private_rail</x:v>
      </x:c>
      <x:c r="D273" s="18" t="str">
        <x:v>T1</x:v>
      </x:c>
      <x:c r="E273" s="19" t="str">
        <x:v>单组件源记录，官方站点待核</x:v>
      </x:c>
      <x:c r="F273" s="19" t="str"/>
      <x:c r="G273" s="20" t="n">
        <x:v>1</x:v>
      </x:c>
      <x:c r="H273" s="19" t="str">
        <x:v>獨協大学前 | 東武鉄道 | private_rail | 伊勢崎線</x:v>
      </x:c>
      <x:c r="I273" s="19" t="str"/>
      <x:c r="J273" s="19" t="str">
        <x:v>核实官方站点图及实际换乘边界；不能按 S12 源组归 Hub。大阪扩审仍冻结。</x:v>
      </x:c>
      <x:c r="K273" s="18" t="str">
        <x:v>transport-node:ed1191e6-8bb1-5458-98ed-30e3cb1aba74</x:v>
      </x:c>
      <x:c r="L273" s="19" t="str">
        <x:v>003016</x:v>
      </x:c>
      <x:c r="M273" s="19" t="str">
        <x:v>https://nlftp.mlit.go.jp/ksj/gml/datalist/KsjTmplt-S12-2024.html</x:v>
      </x:c>
      <x:c r="N273" s="18" t="str">
        <x:v>0785e932a32b3ec15e1a1345537ae145eafe1c07bf38d5c16c11ee2b391e7a28</x:v>
      </x:c>
      <x:c r="O273" s="18" t="str">
        <x:v>8cad9588bc6f9241127c06906ae05c940c8bf29e</x:v>
      </x:c>
      <x:c r="P273" s="18" t="str">
        <x:v>否</x:v>
      </x:c>
    </x:row>
    <x:row r="274" ht="28" customHeight="1">
      <x:c r="A274" s="18" t="str">
        <x:v>茗荷谷</x:v>
      </x:c>
      <x:c r="B274" s="18" t="str">
        <x:v>東京地下鉄</x:v>
      </x:c>
      <x:c r="C274" s="18" t="str">
        <x:v>metro</x:v>
      </x:c>
      <x:c r="D274" s="18" t="str">
        <x:v>T1</x:v>
      </x:c>
      <x:c r="E274" s="19" t="str">
        <x:v>单组件源记录，官方站点待核</x:v>
      </x:c>
      <x:c r="F274" s="19" t="str"/>
      <x:c r="G274" s="20" t="n">
        <x:v>1</x:v>
      </x:c>
      <x:c r="H274" s="19" t="str">
        <x:v>茗荷谷 | 東京地下鉄 | metro | 4号線丸ノ内線</x:v>
      </x:c>
      <x:c r="I274" s="19" t="str"/>
      <x:c r="J274" s="19" t="str">
        <x:v>核实官方站点图及实际换乘边界；不能按 S12 源组归 Hub。大阪扩审仍冻结。</x:v>
      </x:c>
      <x:c r="K274" s="18" t="str">
        <x:v>transport-node:17402ab8-770c-5510-a8bc-dbabd4e63bad</x:v>
      </x:c>
      <x:c r="L274" s="19" t="str">
        <x:v>003484</x:v>
      </x:c>
      <x:c r="M274" s="19" t="str">
        <x:v>https://nlftp.mlit.go.jp/ksj/gml/datalist/KsjTmplt-S12-2024.html</x:v>
      </x:c>
      <x:c r="N274" s="18" t="str">
        <x:v>0785e932a32b3ec15e1a1345537ae145eafe1c07bf38d5c16c11ee2b391e7a28</x:v>
      </x:c>
      <x:c r="O274" s="18" t="str">
        <x:v>8cad9588bc6f9241127c06906ae05c940c8bf29e</x:v>
      </x:c>
      <x:c r="P274" s="18" t="str">
        <x:v>否</x:v>
      </x:c>
    </x:row>
  </x:sheetData>
  <x:conditionalFormatting sqref="E6:E274">
    <x:cfRule type="containsText" dxfId="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acccd2528284d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6" hidden="0" customWidth="1"/>
    <x:col min="4" max="4" width="16" hidden="0" customWidth="1"/>
    <x:col min="5" max="5" width="18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4" t="str">
        <x:v>各城市 Hub 覆盖与本轮增量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</x:row>
    <x:row r="3">
      <x:c r="A3" s="6" t="str">
        <x:v>原 Hub 数为 104 范围基线；上版 229→本版 261。大阪仍 52。城市标签不代表 N03 行政赋值。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6" t="str">
        <x:v>来源：data/transport/nodes/task-084-b-v2-amendment-review/hub-city-coverage-review.jsonl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5" t="str">
        <x:v>城市/审核圈</x:v>
      </x:c>
      <x:c r="B5" s="16" t="str">
        <x:v>原 Hub 数</x:v>
      </x:c>
      <x:c r="C5" s="16" t="str">
        <x:v>当前 Hub 数</x:v>
      </x:c>
      <x:c r="D5" s="16" t="str">
        <x:v>新增 Hub 数</x:v>
      </x:c>
      <x:c r="E5" s="16" t="str">
        <x:v>原期望组件</x:v>
      </x:c>
      <x:c r="F5" s="16" t="str">
        <x:v>当前期望组件</x:v>
      </x:c>
      <x:c r="G5" s="16" t="str">
        <x:v>已有边界依据</x:v>
      </x:c>
      <x:c r="H5" s="16" t="str">
        <x:v>边界待核</x:v>
      </x:c>
      <x:c r="I5" s="16" t="str">
        <x:v>归组歧义</x:v>
      </x:c>
      <x:c r="J5" s="16" t="str">
        <x:v>缺失组件</x:v>
      </x:c>
      <x:c r="K5" s="17" t="str">
        <x:v>正式接收 Hub</x:v>
      </x:c>
    </x:row>
    <x:row r="6" ht="28" customHeight="1">
      <x:c r="A6" s="18" t="str">
        <x:v>东京23区</x:v>
      </x:c>
      <x:c r="B6" s="20" t="n">
        <x:v>33</x:v>
      </x:c>
      <x:c r="C6" s="20" t="n">
        <x:f>COUNTIFS('Hub范围'!$S$6:$S$266,$A6)</x:f>
        <x:v>81</x:v>
      </x:c>
      <x:c r="D6" s="20" t="n">
        <x:f>C6-B6</x:f>
        <x:v>48</x:v>
      </x:c>
      <x:c r="E6" s="20" t="n">
        <x:v>98</x:v>
      </x:c>
      <x:c r="F6" s="20" t="n">
        <x:f>SUMIFS('Hub范围'!$C$6:$C$266,'Hub范围'!$S$6:$S$266,$A6)</x:f>
        <x:v>195</x:v>
      </x:c>
      <x:c r="G6" s="20" t="n">
        <x:f>COUNTIFS('Hub范围'!$S$6:$S$266,$A6,'Hub范围'!$E$6:$E$266,"有官方换乘依据")</x:f>
        <x:v>81</x:v>
      </x:c>
      <x:c r="H6" s="20" t="n">
        <x:f>C6-G6</x:f>
        <x:v>0</x:v>
      </x:c>
      <x:c r="I6" s="20" t="n">
        <x:f>SUMIFS('Hub范围'!$T$6:$T$266,'Hub范围'!$S$6:$S$266,$A6)</x:f>
        <x:v>0</x:v>
      </x:c>
      <x:c r="J6" s="20" t="n">
        <x:f>SUMIFS('Hub范围'!$F$6:$F$266,'Hub范围'!$S$6:$S$266,$A6)</x:f>
        <x:v>0</x:v>
      </x:c>
      <x:c r="K6" s="20" t="n">
        <x:v>0</x:v>
      </x:c>
    </x:row>
    <x:row r="7" ht="28" customHeight="1">
      <x:c r="A7" s="18" t="str">
        <x:v>东京多摩</x:v>
      </x:c>
      <x:c r="B7" s="20" t="n">
        <x:v>0</x:v>
      </x:c>
      <x:c r="C7" s="20" t="n">
        <x:f>COUNTIFS('Hub范围'!$S$6:$S$266,$A7)</x:f>
        <x:v>17</x:v>
      </x:c>
      <x:c r="D7" s="20" t="n">
        <x:f>C7-B7</x:f>
        <x:v>17</x:v>
      </x:c>
      <x:c r="E7" s="20" t="n">
        <x:v>0</x:v>
      </x:c>
      <x:c r="F7" s="20" t="n">
        <x:f>SUMIFS('Hub范围'!$C$6:$C$266,'Hub范围'!$S$6:$S$266,$A7)</x:f>
        <x:v>31</x:v>
      </x:c>
      <x:c r="G7" s="20" t="n">
        <x:f>COUNTIFS('Hub范围'!$S$6:$S$266,$A7,'Hub范围'!$E$6:$E$266,"有官方换乘依据")</x:f>
        <x:v>17</x:v>
      </x:c>
      <x:c r="H7" s="20" t="n">
        <x:f>C7-G7</x:f>
        <x:v>0</x:v>
      </x:c>
      <x:c r="I7" s="20" t="n">
        <x:f>SUMIFS('Hub范围'!$T$6:$T$266,'Hub范围'!$S$6:$S$266,$A7)</x:f>
        <x:v>0</x:v>
      </x:c>
      <x:c r="J7" s="20" t="n">
        <x:f>SUMIFS('Hub范围'!$F$6:$F$266,'Hub范围'!$S$6:$S$266,$A7)</x:f>
        <x:v>0</x:v>
      </x:c>
      <x:c r="K7" s="20" t="n">
        <x:v>0</x:v>
      </x:c>
    </x:row>
    <x:row r="8" ht="28" customHeight="1">
      <x:c r="A8" s="18" t="str">
        <x:v>横滨圈</x:v>
      </x:c>
      <x:c r="B8" s="20" t="n">
        <x:v>1</x:v>
      </x:c>
      <x:c r="C8" s="20" t="n">
        <x:f>COUNTIFS('Hub范围'!$S$6:$S$266,$A8)</x:f>
        <x:v>8</x:v>
      </x:c>
      <x:c r="D8" s="20" t="n">
        <x:f>C8-B8</x:f>
        <x:v>7</x:v>
      </x:c>
      <x:c r="E8" s="20" t="n">
        <x:v>6</x:v>
      </x:c>
      <x:c r="F8" s="20" t="n">
        <x:f>SUMIFS('Hub范围'!$C$6:$C$266,'Hub范围'!$S$6:$S$266,$A8)</x:f>
        <x:v>23</x:v>
      </x:c>
      <x:c r="G8" s="20" t="n">
        <x:f>COUNTIFS('Hub范围'!$S$6:$S$266,$A8,'Hub范围'!$E$6:$E$266,"有官方换乘依据")</x:f>
        <x:v>8</x:v>
      </x:c>
      <x:c r="H8" s="20" t="n">
        <x:f>C8-G8</x:f>
        <x:v>0</x:v>
      </x:c>
      <x:c r="I8" s="20" t="n">
        <x:f>SUMIFS('Hub范围'!$T$6:$T$266,'Hub范围'!$S$6:$S$266,$A8)</x:f>
        <x:v>0</x:v>
      </x:c>
      <x:c r="J8" s="20" t="n">
        <x:f>SUMIFS('Hub范围'!$F$6:$F$266,'Hub范围'!$S$6:$S$266,$A8)</x:f>
        <x:v>0</x:v>
      </x:c>
      <x:c r="K8" s="20" t="n">
        <x:v>0</x:v>
      </x:c>
    </x:row>
    <x:row r="9" ht="28" customHeight="1">
      <x:c r="A9" s="18" t="str">
        <x:v>川崎圈</x:v>
      </x:c>
      <x:c r="B9" s="20" t="n">
        <x:v>0</x:v>
      </x:c>
      <x:c r="C9" s="20" t="n">
        <x:f>COUNTIFS('Hub范围'!$S$6:$S$266,$A9)</x:f>
        <x:v>5</x:v>
      </x:c>
      <x:c r="D9" s="20" t="n">
        <x:f>C9-B9</x:f>
        <x:v>5</x:v>
      </x:c>
      <x:c r="E9" s="20" t="n">
        <x:v>0</x:v>
      </x:c>
      <x:c r="F9" s="20" t="n">
        <x:f>SUMIFS('Hub范围'!$C$6:$C$266,'Hub范围'!$S$6:$S$266,$A9)</x:f>
        <x:v>8</x:v>
      </x:c>
      <x:c r="G9" s="20" t="n">
        <x:f>COUNTIFS('Hub范围'!$S$6:$S$266,$A9,'Hub范围'!$E$6:$E$266,"有官方换乘依据")</x:f>
        <x:v>5</x:v>
      </x:c>
      <x:c r="H9" s="20" t="n">
        <x:f>C9-G9</x:f>
        <x:v>0</x:v>
      </x:c>
      <x:c r="I9" s="20" t="n">
        <x:f>SUMIFS('Hub范围'!$T$6:$T$266,'Hub范围'!$S$6:$S$266,$A9)</x:f>
        <x:v>0</x:v>
      </x:c>
      <x:c r="J9" s="20" t="n">
        <x:f>SUMIFS('Hub范围'!$F$6:$F$266,'Hub范围'!$S$6:$S$266,$A9)</x:f>
        <x:v>0</x:v>
      </x:c>
      <x:c r="K9" s="20" t="n">
        <x:v>0</x:v>
      </x:c>
    </x:row>
    <x:row r="10" ht="28" customHeight="1">
      <x:c r="A10" s="18" t="str">
        <x:v>神奈川其他</x:v>
      </x:c>
      <x:c r="B10" s="20" t="n">
        <x:v>0</x:v>
      </x:c>
      <x:c r="C10" s="20" t="n">
        <x:f>COUNTIFS('Hub范围'!$S$6:$S$266,$A10)</x:f>
        <x:v>9</x:v>
      </x:c>
      <x:c r="D10" s="20" t="n">
        <x:f>C10-B10</x:f>
        <x:v>9</x:v>
      </x:c>
      <x:c r="E10" s="20" t="n">
        <x:v>0</x:v>
      </x:c>
      <x:c r="F10" s="20" t="n">
        <x:f>SUMIFS('Hub范围'!$C$6:$C$266,'Hub范围'!$S$6:$S$266,$A10)</x:f>
        <x:v>20</x:v>
      </x:c>
      <x:c r="G10" s="20" t="n">
        <x:f>COUNTIFS('Hub范围'!$S$6:$S$266,$A10,'Hub范围'!$E$6:$E$266,"有官方换乘依据")</x:f>
        <x:v>9</x:v>
      </x:c>
      <x:c r="H10" s="20" t="n">
        <x:f>C10-G10</x:f>
        <x:v>0</x:v>
      </x:c>
      <x:c r="I10" s="20" t="n">
        <x:f>SUMIFS('Hub范围'!$T$6:$T$266,'Hub范围'!$S$6:$S$266,$A10)</x:f>
        <x:v>0</x:v>
      </x:c>
      <x:c r="J10" s="20" t="n">
        <x:f>SUMIFS('Hub范围'!$F$6:$F$266,'Hub范围'!$S$6:$S$266,$A10)</x:f>
        <x:v>0</x:v>
      </x:c>
      <x:c r="K10" s="20" t="n">
        <x:v>0</x:v>
      </x:c>
    </x:row>
    <x:row r="11" ht="28" customHeight="1">
      <x:c r="A11" s="18" t="str">
        <x:v>千叶圈</x:v>
      </x:c>
      <x:c r="B11" s="20" t="n">
        <x:v>1</x:v>
      </x:c>
      <x:c r="C11" s="20" t="n">
        <x:f>COUNTIFS('Hub范围'!$S$6:$S$266,$A11)</x:f>
        <x:v>7</x:v>
      </x:c>
      <x:c r="D11" s="20" t="n">
        <x:f>C11-B11</x:f>
        <x:v>6</x:v>
      </x:c>
      <x:c r="E11" s="20" t="n">
        <x:v>3</x:v>
      </x:c>
      <x:c r="F11" s="20" t="n">
        <x:f>SUMIFS('Hub范围'!$C$6:$C$266,'Hub范围'!$S$6:$S$266,$A11)</x:f>
        <x:v>18</x:v>
      </x:c>
      <x:c r="G11" s="20" t="n">
        <x:f>COUNTIFS('Hub范围'!$S$6:$S$266,$A11,'Hub范围'!$E$6:$E$266,"有官方换乘依据")</x:f>
        <x:v>7</x:v>
      </x:c>
      <x:c r="H11" s="20" t="n">
        <x:f>C11-G11</x:f>
        <x:v>0</x:v>
      </x:c>
      <x:c r="I11" s="20" t="n">
        <x:f>SUMIFS('Hub范围'!$T$6:$T$266,'Hub范围'!$S$6:$S$266,$A11)</x:f>
        <x:v>0</x:v>
      </x:c>
      <x:c r="J11" s="20" t="n">
        <x:f>SUMIFS('Hub范围'!$F$6:$F$266,'Hub范围'!$S$6:$S$266,$A11)</x:f>
        <x:v>0</x:v>
      </x:c>
      <x:c r="K11" s="20" t="n">
        <x:v>0</x:v>
      </x:c>
    </x:row>
    <x:row r="12" ht="28" customHeight="1">
      <x:c r="A12" s="18" t="str">
        <x:v>埼玉圈</x:v>
      </x:c>
      <x:c r="B12" s="20" t="n">
        <x:v>1</x:v>
      </x:c>
      <x:c r="C12" s="20" t="n">
        <x:f>COUNTIFS('Hub范围'!$S$6:$S$266,$A12)</x:f>
        <x:v>8</x:v>
      </x:c>
      <x:c r="D12" s="20" t="n">
        <x:f>C12-B12</x:f>
        <x:v>7</x:v>
      </x:c>
      <x:c r="E12" s="20" t="n">
        <x:v>4</x:v>
      </x:c>
      <x:c r="F12" s="20" t="n">
        <x:f>SUMIFS('Hub范围'!$C$6:$C$266,'Hub范围'!$S$6:$S$266,$A12)</x:f>
        <x:v>16</x:v>
      </x:c>
      <x:c r="G12" s="20" t="n">
        <x:f>COUNTIFS('Hub范围'!$S$6:$S$266,$A12,'Hub范围'!$E$6:$E$266,"有官方换乘依据")</x:f>
        <x:v>8</x:v>
      </x:c>
      <x:c r="H12" s="20" t="n">
        <x:f>C12-G12</x:f>
        <x:v>0</x:v>
      </x:c>
      <x:c r="I12" s="20" t="n">
        <x:f>SUMIFS('Hub范围'!$T$6:$T$266,'Hub范围'!$S$6:$S$266,$A12)</x:f>
        <x:v>0</x:v>
      </x:c>
      <x:c r="J12" s="20" t="n">
        <x:f>SUMIFS('Hub范围'!$F$6:$F$266,'Hub范围'!$S$6:$S$266,$A12)</x:f>
        <x:v>0</x:v>
      </x:c>
      <x:c r="K12" s="20" t="n">
        <x:v>0</x:v>
      </x:c>
    </x:row>
    <x:row r="13" ht="28" customHeight="1">
      <x:c r="A13" s="18" t="str">
        <x:v>名古屋圈</x:v>
      </x:c>
      <x:c r="B13" s="20" t="n">
        <x:v>1</x:v>
      </x:c>
      <x:c r="C13" s="20" t="n">
        <x:f>COUNTIFS('Hub范围'!$S$6:$S$266,$A13)</x:f>
        <x:v>24</x:v>
      </x:c>
      <x:c r="D13" s="20" t="n">
        <x:f>C13-B13</x:f>
        <x:v>23</x:v>
      </x:c>
      <x:c r="E13" s="20" t="n">
        <x:v>6</x:v>
      </x:c>
      <x:c r="F13" s="20" t="n">
        <x:f>SUMIFS('Hub范围'!$C$6:$C$266,'Hub范围'!$S$6:$S$266,$A13)</x:f>
        <x:v>46</x:v>
      </x:c>
      <x:c r="G13" s="20" t="n">
        <x:f>COUNTIFS('Hub范围'!$S$6:$S$266,$A13,'Hub范围'!$E$6:$E$266,"有官方换乘依据")</x:f>
        <x:v>24</x:v>
      </x:c>
      <x:c r="H13" s="20" t="n">
        <x:f>C13-G13</x:f>
        <x:v>0</x:v>
      </x:c>
      <x:c r="I13" s="20" t="n">
        <x:f>SUMIFS('Hub范围'!$T$6:$T$266,'Hub范围'!$S$6:$S$266,$A13)</x:f>
        <x:v>0</x:v>
      </x:c>
      <x:c r="J13" s="20" t="n">
        <x:f>SUMIFS('Hub范围'!$F$6:$F$266,'Hub范围'!$S$6:$S$266,$A13)</x:f>
        <x:v>0</x:v>
      </x:c>
      <x:c r="K13" s="20" t="n">
        <x:v>0</x:v>
      </x:c>
    </x:row>
    <x:row r="14" ht="28" customHeight="1">
      <x:c r="A14" s="18" t="str">
        <x:v>神户</x:v>
      </x:c>
      <x:c r="B14" s="20" t="n">
        <x:v>1</x:v>
      </x:c>
      <x:c r="C14" s="20" t="n">
        <x:f>COUNTIFS('Hub范围'!$S$6:$S$266,$A14)</x:f>
        <x:v>8</x:v>
      </x:c>
      <x:c r="D14" s="20" t="n">
        <x:f>C14-B14</x:f>
        <x:v>7</x:v>
      </x:c>
      <x:c r="E14" s="20" t="n">
        <x:v>5</x:v>
      </x:c>
      <x:c r="F14" s="20" t="n">
        <x:f>SUMIFS('Hub范围'!$C$6:$C$266,'Hub范围'!$S$6:$S$266,$A14)</x:f>
        <x:v>20</x:v>
      </x:c>
      <x:c r="G14" s="20" t="n">
        <x:f>COUNTIFS('Hub范围'!$S$6:$S$266,$A14,'Hub范围'!$E$6:$E$266,"有官方换乘依据")</x:f>
        <x:v>8</x:v>
      </x:c>
      <x:c r="H14" s="20" t="n">
        <x:f>C14-G14</x:f>
        <x:v>0</x:v>
      </x:c>
      <x:c r="I14" s="20" t="n">
        <x:f>SUMIFS('Hub范围'!$T$6:$T$266,'Hub范围'!$S$6:$S$266,$A14)</x:f>
        <x:v>0</x:v>
      </x:c>
      <x:c r="J14" s="20" t="n">
        <x:f>SUMIFS('Hub范围'!$F$6:$F$266,'Hub范围'!$S$6:$S$266,$A14)</x:f>
        <x:v>0</x:v>
      </x:c>
      <x:c r="K14" s="20" t="n">
        <x:v>0</x:v>
      </x:c>
    </x:row>
    <x:row r="15" ht="28" customHeight="1">
      <x:c r="A15" s="18" t="str">
        <x:v>福冈</x:v>
      </x:c>
      <x:c r="B15" s="20" t="n">
        <x:v>1</x:v>
      </x:c>
      <x:c r="C15" s="20" t="n">
        <x:f>COUNTIFS('Hub范围'!$S$6:$S$266,$A15)</x:f>
        <x:v>6</x:v>
      </x:c>
      <x:c r="D15" s="20" t="n">
        <x:f>C15-B15</x:f>
        <x:v>5</x:v>
      </x:c>
      <x:c r="E15" s="20" t="n">
        <x:v>4</x:v>
      </x:c>
      <x:c r="F15" s="20" t="n">
        <x:f>SUMIFS('Hub范围'!$C$6:$C$266,'Hub范围'!$S$6:$S$266,$A15)</x:f>
        <x:v>14</x:v>
      </x:c>
      <x:c r="G15" s="20" t="n">
        <x:f>COUNTIFS('Hub范围'!$S$6:$S$266,$A15,'Hub范围'!$E$6:$E$266,"有官方换乘依据")</x:f>
        <x:v>6</x:v>
      </x:c>
      <x:c r="H15" s="20" t="n">
        <x:f>C15-G15</x:f>
        <x:v>0</x:v>
      </x:c>
      <x:c r="I15" s="20" t="n">
        <x:f>SUMIFS('Hub范围'!$T$6:$T$266,'Hub范围'!$S$6:$S$266,$A15)</x:f>
        <x:v>0</x:v>
      </x:c>
      <x:c r="J15" s="20" t="n">
        <x:f>SUMIFS('Hub范围'!$F$6:$F$266,'Hub范围'!$S$6:$S$266,$A15)</x:f>
        <x:v>0</x:v>
      </x:c>
      <x:c r="K15" s="20" t="n">
        <x:v>0</x:v>
      </x:c>
    </x:row>
    <x:row r="16" ht="28" customHeight="1">
      <x:c r="A16" s="18" t="str">
        <x:v>札幌</x:v>
      </x:c>
      <x:c r="B16" s="20" t="n">
        <x:v>1</x:v>
      </x:c>
      <x:c r="C16" s="20" t="n">
        <x:f>COUNTIFS('Hub范围'!$S$6:$S$266,$A16)</x:f>
        <x:v>4</x:v>
      </x:c>
      <x:c r="D16" s="20" t="n">
        <x:f>C16-B16</x:f>
        <x:v>3</x:v>
      </x:c>
      <x:c r="E16" s="20" t="n">
        <x:v>2</x:v>
      </x:c>
      <x:c r="F16" s="20" t="n">
        <x:f>SUMIFS('Hub范围'!$C$6:$C$266,'Hub范围'!$S$6:$S$266,$A16)</x:f>
        <x:v>7</x:v>
      </x:c>
      <x:c r="G16" s="20" t="n">
        <x:f>COUNTIFS('Hub范围'!$S$6:$S$266,$A16,'Hub范围'!$E$6:$E$266,"有官方换乘依据")</x:f>
        <x:v>4</x:v>
      </x:c>
      <x:c r="H16" s="20" t="n">
        <x:f>C16-G16</x:f>
        <x:v>0</x:v>
      </x:c>
      <x:c r="I16" s="20" t="n">
        <x:f>SUMIFS('Hub范围'!$T$6:$T$266,'Hub范围'!$S$6:$S$266,$A16)</x:f>
        <x:v>0</x:v>
      </x:c>
      <x:c r="J16" s="20" t="n">
        <x:f>SUMIFS('Hub范围'!$F$6:$F$266,'Hub范围'!$S$6:$S$266,$A16)</x:f>
        <x:v>0</x:v>
      </x:c>
      <x:c r="K16" s="20" t="n">
        <x:v>0</x:v>
      </x:c>
    </x:row>
    <x:row r="17" ht="28" customHeight="1">
      <x:c r="A17" s="18" t="str">
        <x:v>仙台</x:v>
      </x:c>
      <x:c r="B17" s="20" t="n">
        <x:v>1</x:v>
      </x:c>
      <x:c r="C17" s="20" t="n">
        <x:f>COUNTIFS('Hub范围'!$S$6:$S$266,$A17)</x:f>
        <x:v>3</x:v>
      </x:c>
      <x:c r="D17" s="20" t="n">
        <x:f>C17-B17</x:f>
        <x:v>2</x:v>
      </x:c>
      <x:c r="E17" s="20" t="n">
        <x:v>3</x:v>
      </x:c>
      <x:c r="F17" s="20" t="n">
        <x:f>SUMIFS('Hub范围'!$C$6:$C$266,'Hub范围'!$S$6:$S$266,$A17)</x:f>
        <x:v>8</x:v>
      </x:c>
      <x:c r="G17" s="20" t="n">
        <x:f>COUNTIFS('Hub范围'!$S$6:$S$266,$A17,'Hub范围'!$E$6:$E$266,"有官方换乘依据")</x:f>
        <x:v>3</x:v>
      </x:c>
      <x:c r="H17" s="20" t="n">
        <x:f>C17-G17</x:f>
        <x:v>0</x:v>
      </x:c>
      <x:c r="I17" s="20" t="n">
        <x:f>SUMIFS('Hub范围'!$T$6:$T$266,'Hub范围'!$S$6:$S$266,$A17)</x:f>
        <x:v>0</x:v>
      </x:c>
      <x:c r="J17" s="20" t="n">
        <x:f>SUMIFS('Hub范围'!$F$6:$F$266,'Hub范围'!$S$6:$S$266,$A17)</x:f>
        <x:v>0</x:v>
      </x:c>
      <x:c r="K17" s="20" t="n">
        <x:v>0</x:v>
      </x:c>
    </x:row>
    <x:row r="18" ht="28" customHeight="1">
      <x:c r="A18" s="18" t="str">
        <x:v>广岛</x:v>
      </x:c>
      <x:c r="B18" s="20" t="n">
        <x:v>1</x:v>
      </x:c>
      <x:c r="C18" s="20" t="n">
        <x:f>COUNTIFS('Hub范围'!$S$6:$S$266,$A18)</x:f>
        <x:v>4</x:v>
      </x:c>
      <x:c r="D18" s="20" t="n">
        <x:f>C18-B18</x:f>
        <x:v>3</x:v>
      </x:c>
      <x:c r="E18" s="20" t="n">
        <x:v>3</x:v>
      </x:c>
      <x:c r="F18" s="20" t="n">
        <x:f>SUMIFS('Hub范围'!$C$6:$C$266,'Hub范围'!$S$6:$S$266,$A18)</x:f>
        <x:v>9</x:v>
      </x:c>
      <x:c r="G18" s="20" t="n">
        <x:f>COUNTIFS('Hub范围'!$S$6:$S$266,$A18,'Hub范围'!$E$6:$E$266,"有官方换乘依据")</x:f>
        <x:v>4</x:v>
      </x:c>
      <x:c r="H18" s="20" t="n">
        <x:f>C18-G18</x:f>
        <x:v>0</x:v>
      </x:c>
      <x:c r="I18" s="20" t="n">
        <x:f>SUMIFS('Hub范围'!$T$6:$T$266,'Hub范围'!$S$6:$S$266,$A18)</x:f>
        <x:v>0</x:v>
      </x:c>
      <x:c r="J18" s="20" t="n">
        <x:f>SUMIFS('Hub范围'!$F$6:$F$266,'Hub范围'!$S$6:$S$266,$A18)</x:f>
        <x:v>0</x:v>
      </x:c>
      <x:c r="K18" s="20" t="n">
        <x:v>0</x:v>
      </x:c>
    </x:row>
    <x:row r="19" ht="28" customHeight="1">
      <x:c r="A19" s="18" t="str">
        <x:v>京都</x:v>
      </x:c>
      <x:c r="B19" s="20" t="n">
        <x:v>5</x:v>
      </x:c>
      <x:c r="C19" s="20" t="n">
        <x:f>COUNTIFS('Hub范围'!$S$6:$S$266,$A19)</x:f>
        <x:v>9</x:v>
      </x:c>
      <x:c r="D19" s="20" t="n">
        <x:f>C19-B19</x:f>
        <x:v>4</x:v>
      </x:c>
      <x:c r="E19" s="20" t="n">
        <x:v>12</x:v>
      </x:c>
      <x:c r="F19" s="20" t="n">
        <x:f>SUMIFS('Hub范围'!$C$6:$C$266,'Hub范围'!$S$6:$S$266,$A19)</x:f>
        <x:v>19</x:v>
      </x:c>
      <x:c r="G19" s="20" t="n">
        <x:f>COUNTIFS('Hub范围'!$S$6:$S$266,$A19,'Hub范围'!$E$6:$E$266,"有官方换乘依据")</x:f>
        <x:v>9</x:v>
      </x:c>
      <x:c r="H19" s="20" t="n">
        <x:f>C19-G19</x:f>
        <x:v>0</x:v>
      </x:c>
      <x:c r="I19" s="20" t="n">
        <x:f>SUMIFS('Hub范围'!$T$6:$T$266,'Hub范围'!$S$6:$S$266,$A19)</x:f>
        <x:v>0</x:v>
      </x:c>
      <x:c r="J19" s="20" t="n">
        <x:f>SUMIFS('Hub范围'!$F$6:$F$266,'Hub范围'!$S$6:$S$266,$A19)</x:f>
        <x:v>0</x:v>
      </x:c>
      <x:c r="K19" s="20" t="n">
        <x:v>0</x:v>
      </x:c>
    </x:row>
    <x:row r="20" ht="28" customHeight="1">
      <x:c r="A20" s="18" t="str">
        <x:v>奈良</x:v>
      </x:c>
      <x:c r="B20" s="20" t="n">
        <x:v>1</x:v>
      </x:c>
      <x:c r="C20" s="20" t="n">
        <x:f>COUNTIFS('Hub范围'!$S$6:$S$266,$A20)</x:f>
        <x:v>4</x:v>
      </x:c>
      <x:c r="D20" s="20" t="n">
        <x:f>C20-B20</x:f>
        <x:v>3</x:v>
      </x:c>
      <x:c r="E20" s="20" t="n">
        <x:v>1</x:v>
      </x:c>
      <x:c r="F20" s="20" t="n">
        <x:f>SUMIFS('Hub范围'!$C$6:$C$266,'Hub范围'!$S$6:$S$266,$A20)</x:f>
        <x:v>4</x:v>
      </x:c>
      <x:c r="G20" s="20" t="n">
        <x:f>COUNTIFS('Hub范围'!$S$6:$S$266,$A20,'Hub范围'!$E$6:$E$266,"有官方换乘依据")</x:f>
        <x:v>4</x:v>
      </x:c>
      <x:c r="H20" s="20" t="n">
        <x:f>C20-G20</x:f>
        <x:v>0</x:v>
      </x:c>
      <x:c r="I20" s="20" t="n">
        <x:f>SUMIFS('Hub范围'!$T$6:$T$266,'Hub范围'!$S$6:$S$266,$A20)</x:f>
        <x:v>0</x:v>
      </x:c>
      <x:c r="J20" s="20" t="n">
        <x:f>SUMIFS('Hub范围'!$F$6:$F$266,'Hub范围'!$S$6:$S$266,$A20)</x:f>
        <x:v>0</x:v>
      </x:c>
      <x:c r="K20" s="20" t="n">
        <x:v>0</x:v>
      </x:c>
    </x:row>
    <x:row r="21" ht="28" customHeight="1">
      <x:c r="A21" s="18" t="str">
        <x:v>三重主要城市</x:v>
      </x:c>
      <x:c r="B21" s="20" t="n">
        <x:v>0</x:v>
      </x:c>
      <x:c r="C21" s="20" t="n">
        <x:f>COUNTIFS('Hub范围'!$S$6:$S$266,$A21)</x:f>
        <x:v>5</x:v>
      </x:c>
      <x:c r="D21" s="20" t="n">
        <x:f>C21-B21</x:f>
        <x:v>5</x:v>
      </x:c>
      <x:c r="E21" s="20" t="n">
        <x:v>0</x:v>
      </x:c>
      <x:c r="F21" s="20" t="n">
        <x:f>SUMIFS('Hub范围'!$C$6:$C$266,'Hub范围'!$S$6:$S$266,$A21)</x:f>
        <x:v>13</x:v>
      </x:c>
      <x:c r="G21" s="20" t="n">
        <x:f>COUNTIFS('Hub范围'!$S$6:$S$266,$A21,'Hub范围'!$E$6:$E$266,"有官方换乘依据")</x:f>
        <x:v>5</x:v>
      </x:c>
      <x:c r="H21" s="20" t="n">
        <x:f>C21-G21</x:f>
        <x:v>0</x:v>
      </x:c>
      <x:c r="I21" s="20" t="n">
        <x:f>SUMIFS('Hub范围'!$T$6:$T$266,'Hub范围'!$S$6:$S$266,$A21)</x:f>
        <x:v>0</x:v>
      </x:c>
      <x:c r="J21" s="20" t="n">
        <x:f>SUMIFS('Hub范围'!$F$6:$F$266,'Hub范围'!$S$6:$S$266,$A21)</x:f>
        <x:v>0</x:v>
      </x:c>
      <x:c r="K21" s="20" t="n">
        <x:v>0</x:v>
      </x:c>
    </x:row>
    <x:row r="22" ht="28" customHeight="1">
      <x:c r="A22" s="18" t="str">
        <x:v>大阪圈</x:v>
      </x:c>
      <x:c r="B22" s="20" t="n">
        <x:v>52</x:v>
      </x:c>
      <x:c r="C22" s="20" t="n">
        <x:f>COUNTIFS('Hub范围'!$S$6:$S$266,$A22)</x:f>
        <x:v>52</x:v>
      </x:c>
      <x:c r="D22" s="20" t="n">
        <x:f>C22-B22</x:f>
        <x:v>0</x:v>
      </x:c>
      <x:c r="E22" s="20" t="n">
        <x:v>112</x:v>
      </x:c>
      <x:c r="F22" s="20" t="n">
        <x:f>SUMIFS('Hub范围'!$C$6:$C$266,'Hub范围'!$S$6:$S$266,$A22)</x:f>
        <x:v>112</x:v>
      </x:c>
      <x:c r="G22" s="20" t="n">
        <x:f>COUNTIFS('Hub范围'!$S$6:$S$266,$A22,'Hub范围'!$E$6:$E$266,"有官方换乘依据")</x:f>
        <x:v>52</x:v>
      </x:c>
      <x:c r="H22" s="20" t="n">
        <x:f>C22-G22</x:f>
        <x:v>0</x:v>
      </x:c>
      <x:c r="I22" s="20" t="n">
        <x:f>SUMIFS('Hub范围'!$T$6:$T$266,'Hub范围'!$S$6:$S$266,$A22)</x:f>
        <x:v>0</x:v>
      </x:c>
      <x:c r="J22" s="20" t="n">
        <x:f>SUMIFS('Hub范围'!$F$6:$F$266,'Hub范围'!$S$6:$S$266,$A22)</x:f>
        <x:v>0</x:v>
      </x:c>
      <x:c r="K22" s="20" t="n">
        <x:v>0</x:v>
      </x:c>
    </x:row>
    <x:row r="23" ht="28" customHeight="1">
      <x:c r="A23" s="18" t="str">
        <x:v>阪神其他</x:v>
      </x:c>
      <x:c r="B23" s="20" t="n">
        <x:v>1</x:v>
      </x:c>
      <x:c r="C23" s="20" t="n">
        <x:f>COUNTIFS('Hub范围'!$S$6:$S$266,$A23)</x:f>
        <x:v>1</x:v>
      </x:c>
      <x:c r="D23" s="20" t="n">
        <x:f>C23-B23</x:f>
        <x:v>0</x:v>
      </x:c>
      <x:c r="E23" s="20" t="n">
        <x:v>2</x:v>
      </x:c>
      <x:c r="F23" s="20" t="n">
        <x:f>SUMIFS('Hub范围'!$C$6:$C$266,'Hub范围'!$S$6:$S$266,$A23)</x:f>
        <x:v>2</x:v>
      </x:c>
      <x:c r="G23" s="20" t="n">
        <x:f>COUNTIFS('Hub范围'!$S$6:$S$266,$A23,'Hub范围'!$E$6:$E$266,"有官方换乘依据")</x:f>
        <x:v>1</x:v>
      </x:c>
      <x:c r="H23" s="20" t="n">
        <x:f>C23-G23</x:f>
        <x:v>0</x:v>
      </x:c>
      <x:c r="I23" s="20" t="n">
        <x:f>SUMIFS('Hub范围'!$T$6:$T$266,'Hub范围'!$S$6:$S$266,$A23)</x:f>
        <x:v>0</x:v>
      </x:c>
      <x:c r="J23" s="20" t="n">
        <x:f>SUMIFS('Hub范围'!$F$6:$F$266,'Hub范围'!$S$6:$S$266,$A23)</x:f>
        <x:v>0</x:v>
      </x:c>
      <x:c r="K23" s="20" t="n">
        <x:v>0</x:v>
      </x:c>
    </x:row>
    <x:row r="24" ht="28" customHeight="1">
      <x:c r="A24" s="18" t="str">
        <x:v>北九州</x:v>
      </x:c>
      <x:c r="B24" s="20" t="n">
        <x:v>0</x:v>
      </x:c>
      <x:c r="C24" s="20" t="n">
        <x:f>COUNTIFS('Hub范围'!$S$6:$S$266,$A24)</x:f>
        <x:v>1</x:v>
      </x:c>
      <x:c r="D24" s="20" t="n">
        <x:f>C24-B24</x:f>
        <x:v>1</x:v>
      </x:c>
      <x:c r="E24" s="20" t="n">
        <x:v>0</x:v>
      </x:c>
      <x:c r="F24" s="20" t="n">
        <x:f>SUMIFS('Hub范围'!$C$6:$C$266,'Hub范围'!$S$6:$S$266,$A24)</x:f>
        <x:v>3</x:v>
      </x:c>
      <x:c r="G24" s="20" t="n">
        <x:f>COUNTIFS('Hub范围'!$S$6:$S$266,$A24,'Hub范围'!$E$6:$E$266,"有官方换乘依据")</x:f>
        <x:v>1</x:v>
      </x:c>
      <x:c r="H24" s="20" t="n">
        <x:f>C24-G24</x:f>
        <x:v>0</x:v>
      </x:c>
      <x:c r="I24" s="20" t="n">
        <x:f>SUMIFS('Hub范围'!$T$6:$T$266,'Hub范围'!$S$6:$S$266,$A24)</x:f>
        <x:v>0</x:v>
      </x:c>
      <x:c r="J24" s="20" t="n">
        <x:f>SUMIFS('Hub范围'!$F$6:$F$266,'Hub范围'!$S$6:$S$266,$A24)</x:f>
        <x:v>0</x:v>
      </x:c>
      <x:c r="K24" s="20" t="n">
        <x:v>0</x:v>
      </x:c>
    </x:row>
    <x:row r="25" ht="28" customHeight="1">
      <x:c r="A25" s="18" t="str">
        <x:v>金泽</x:v>
      </x:c>
      <x:c r="B25" s="20" t="n">
        <x:v>1</x:v>
      </x:c>
      <x:c r="C25" s="20" t="n">
        <x:f>COUNTIFS('Hub范围'!$S$6:$S$266,$A25)</x:f>
        <x:v>1</x:v>
      </x:c>
      <x:c r="D25" s="20" t="n">
        <x:f>C25-B25</x:f>
        <x:v>0</x:v>
      </x:c>
      <x:c r="E25" s="20" t="n">
        <x:v>3</x:v>
      </x:c>
      <x:c r="F25" s="20" t="n">
        <x:f>SUMIFS('Hub范围'!$C$6:$C$266,'Hub范围'!$S$6:$S$266,$A25)</x:f>
        <x:v>3</x:v>
      </x:c>
      <x:c r="G25" s="20" t="n">
        <x:f>COUNTIFS('Hub范围'!$S$6:$S$266,$A25,'Hub范围'!$E$6:$E$266,"有官方换乘依据")</x:f>
        <x:v>1</x:v>
      </x:c>
      <x:c r="H25" s="20" t="n">
        <x:f>C25-G25</x:f>
        <x:v>0</x:v>
      </x:c>
      <x:c r="I25" s="20" t="n">
        <x:f>SUMIFS('Hub范围'!$T$6:$T$266,'Hub范围'!$S$6:$S$266,$A25)</x:f>
        <x:v>0</x:v>
      </x:c>
      <x:c r="J25" s="20" t="n">
        <x:f>SUMIFS('Hub范围'!$F$6:$F$266,'Hub范围'!$S$6:$S$266,$A25)</x:f>
        <x:v>0</x:v>
      </x:c>
      <x:c r="K25" s="20" t="n">
        <x:v>0</x:v>
      </x:c>
    </x:row>
    <x:row r="26" ht="28" customHeight="1">
      <x:c r="A26" s="18" t="str">
        <x:v>静冈圈</x:v>
      </x:c>
      <x:c r="B26" s="20" t="n">
        <x:v>0</x:v>
      </x:c>
      <x:c r="C26" s="20" t="n">
        <x:f>COUNTIFS('Hub范围'!$S$6:$S$266,$A26)</x:f>
        <x:v>2</x:v>
      </x:c>
      <x:c r="D26" s="20" t="n">
        <x:f>C26-B26</x:f>
        <x:v>2</x:v>
      </x:c>
      <x:c r="E26" s="20" t="n">
        <x:v>0</x:v>
      </x:c>
      <x:c r="F26" s="20" t="n">
        <x:f>SUMIFS('Hub范围'!$C$6:$C$266,'Hub范围'!$S$6:$S$266,$A26)</x:f>
        <x:v>5</x:v>
      </x:c>
      <x:c r="G26" s="20" t="n">
        <x:f>COUNTIFS('Hub范围'!$S$6:$S$266,$A26,'Hub范围'!$E$6:$E$266,"有官方换乘依据")</x:f>
        <x:v>2</x:v>
      </x:c>
      <x:c r="H26" s="20" t="n">
        <x:f>C26-G26</x:f>
        <x:v>0</x:v>
      </x:c>
      <x:c r="I26" s="20" t="n">
        <x:f>SUMIFS('Hub范围'!$T$6:$T$266,'Hub范围'!$S$6:$S$266,$A26)</x:f>
        <x:v>0</x:v>
      </x:c>
      <x:c r="J26" s="20" t="n">
        <x:f>SUMIFS('Hub范围'!$F$6:$F$266,'Hub范围'!$S$6:$S$266,$A26)</x:f>
        <x:v>0</x:v>
      </x:c>
      <x:c r="K26" s="20" t="n">
        <x:v>0</x:v>
      </x:c>
    </x:row>
    <x:row r="27" ht="28" customHeight="1">
      <x:c r="A27" s="18" t="str">
        <x:v>鹿儿岛</x:v>
      </x:c>
      <x:c r="B27" s="20" t="n">
        <x:v>1</x:v>
      </x:c>
      <x:c r="C27" s="20" t="n">
        <x:f>COUNTIFS('Hub范围'!$S$6:$S$266,$A27)</x:f>
        <x:v>1</x:v>
      </x:c>
      <x:c r="D27" s="20" t="n">
        <x:f>C27-B27</x:f>
        <x:v>0</x:v>
      </x:c>
      <x:c r="E27" s="20" t="n">
        <x:v>3</x:v>
      </x:c>
      <x:c r="F27" s="20" t="n">
        <x:f>SUMIFS('Hub范围'!$C$6:$C$266,'Hub范围'!$S$6:$S$266,$A27)</x:f>
        <x:v>3</x:v>
      </x:c>
      <x:c r="G27" s="20" t="n">
        <x:f>COUNTIFS('Hub范围'!$S$6:$S$266,$A27,'Hub范围'!$E$6:$E$266,"有官方换乘依据")</x:f>
        <x:v>1</x:v>
      </x:c>
      <x:c r="H27" s="20" t="n">
        <x:f>C27-G27</x:f>
        <x:v>0</x:v>
      </x:c>
      <x:c r="I27" s="20" t="n">
        <x:f>SUMIFS('Hub范围'!$T$6:$T$266,'Hub范围'!$S$6:$S$266,$A27)</x:f>
        <x:v>0</x:v>
      </x:c>
      <x:c r="J27" s="20" t="n">
        <x:f>SUMIFS('Hub范围'!$F$6:$F$266,'Hub范围'!$S$6:$S$266,$A27)</x:f>
        <x:v>0</x:v>
      </x:c>
      <x:c r="K27" s="20" t="n">
        <x:v>0</x:v>
      </x:c>
    </x:row>
    <x:row r="28" ht="28" customHeight="1">
      <x:c r="A28" s="18" t="str">
        <x:v>熊本</x:v>
      </x:c>
      <x:c r="B28" s="20" t="n">
        <x:v>1</x:v>
      </x:c>
      <x:c r="C28" s="20" t="n">
        <x:f>COUNTIFS('Hub范围'!$S$6:$S$266,$A28)</x:f>
        <x:v>1</x:v>
      </x:c>
      <x:c r="D28" s="20" t="n">
        <x:f>C28-B28</x:f>
        <x:v>0</x:v>
      </x:c>
      <x:c r="E28" s="20" t="n">
        <x:v>3</x:v>
      </x:c>
      <x:c r="F28" s="20" t="n">
        <x:f>SUMIFS('Hub范围'!$C$6:$C$266,'Hub范围'!$S$6:$S$266,$A28)</x:f>
        <x:v>3</x:v>
      </x:c>
      <x:c r="G28" s="20" t="n">
        <x:f>COUNTIFS('Hub范围'!$S$6:$S$266,$A28,'Hub范围'!$E$6:$E$266,"有官方换乘依据")</x:f>
        <x:v>1</x:v>
      </x:c>
      <x:c r="H28" s="20" t="n">
        <x:f>C28-G28</x:f>
        <x:v>0</x:v>
      </x:c>
      <x:c r="I28" s="20" t="n">
        <x:f>SUMIFS('Hub范围'!$T$6:$T$266,'Hub范围'!$S$6:$S$266,$A28)</x:f>
        <x:v>0</x:v>
      </x:c>
      <x:c r="J28" s="20" t="n">
        <x:f>SUMIFS('Hub范围'!$F$6:$F$266,'Hub范围'!$S$6:$S$266,$A28)</x:f>
        <x:v>0</x:v>
      </x:c>
      <x:c r="K28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76774a5cd847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3" hidden="0" customWidth="1"/>
    <x:col min="4" max="4" width="15" hidden="0" customWidth="1"/>
    <x:col min="5" max="5" width="17" hidden="0" customWidth="1"/>
    <x:col min="6" max="6" width="20" hidden="0" customWidth="1"/>
    <x:col min="7" max="7" width="14" hidden="0" customWidth="1"/>
    <x:col min="8" max="8" width="16" hidden="0" customWidth="1"/>
    <x:col min="9" max="9" width="36" hidden="0" customWidth="1"/>
    <x:col min="10" max="10" width="44" hidden="0" customWidth="1"/>
    <x:col min="11" max="11" width="58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28" hidden="0" customWidth="1"/>
    <x:col min="17" max="17" width="46" hidden="0" customWidth="1"/>
    <x:col min="18" max="18" width="65" hidden="0" customWidth="1"/>
    <x:col min="19" max="19" width="85" hidden="0" customWidth="1"/>
    <x:col min="20" max="20" width="85" hidden="0" customWidth="1"/>
    <x:col min="21" max="21" width="96" hidden="0" customWidth="1"/>
    <x:col min="22" max="22" width="80" hidden="0" customWidth="1"/>
    <x:col min="23" max="23" width="15" hidden="0" customWidth="1"/>
    <x:col min="24" max="24" width="68" hidden="0" customWidth="1"/>
    <x:col min="25" max="25" width="18" hidden="0" customWidth="1"/>
    <x:col min="26" max="26" width="16" hidden="0" customWidth="1"/>
    <x:col min="27" max="27" width="40" hidden="0" customWidth="1"/>
    <x:col min="28" max="28" width="65" hidden="0" customWidth="1"/>
    <x:col min="29" max="29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7" customHeight="1">
      <x:c r="A2" s="4" t="str">
        <x:v>轨道组件候选全表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6" t="str">
        <x:v>2,271 个候选；operator × physical station × mode family。拟等级尚未验收。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>
      <x:c r="A4" s="6" t="str">
        <x:v>来源：data/transport/nodes/task-084-b-v2-amendment-review/rail-components.jsonl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4" customHeight="1">
      <x:c r="A5" s="15" t="str">
        <x:v>站名</x:v>
      </x:c>
      <x:c r="B5" s="16" t="str">
        <x:v>运营方</x:v>
      </x:c>
      <x:c r="C5" s="16" t="str">
        <x:v>模式</x:v>
      </x:c>
      <x:c r="D5" s="16" t="str">
        <x:v>拟等级</x:v>
      </x:c>
      <x:c r="E5" s="16" t="str">
        <x:v>利用量</x:v>
      </x:c>
      <x:c r="F5" s="16" t="str">
        <x:v>单位</x:v>
      </x:c>
      <x:c r="G5" s="16" t="str">
        <x:v>统计期间</x:v>
      </x:c>
      <x:c r="H5" s="16" t="str">
        <x:v>人工定级审核</x:v>
      </x:c>
      <x:c r="I5" s="16" t="str">
        <x:v>指标类型</x:v>
      </x:c>
      <x:c r="J5" s="16" t="str">
        <x:v>线路（可多条）</x:v>
      </x:c>
      <x:c r="K5" s="16" t="str">
        <x:v>候选组件 ID</x:v>
      </x:c>
      <x:c r="L5" s="16" t="str">
        <x:v>审核状态</x:v>
      </x:c>
      <x:c r="M5" s="16" t="str">
        <x:v>纬度</x:v>
      </x:c>
      <x:c r="N5" s="16" t="str">
        <x:v>经度</x:v>
      </x:c>
      <x:c r="O5" s="16" t="str">
        <x:v>S12 站码</x:v>
      </x:c>
      <x:c r="P5" s="16" t="str">
        <x:v>源主线路</x:v>
      </x:c>
      <x:c r="Q5" s="16" t="str">
        <x:v>入选原因</x:v>
      </x:c>
      <x:c r="R5" s="16" t="str">
        <x:v>定级理由</x:v>
      </x:c>
      <x:c r="S5" s="16" t="str">
        <x:v>来源 URL</x:v>
      </x:c>
      <x:c r="T5" s="16" t="str">
        <x:v>来源清单</x:v>
      </x:c>
      <x:c r="U5" s="16" t="str">
        <x:v>身份键</x:v>
      </x:c>
      <x:c r="V5" s="16" t="str">
        <x:v>源归组/站码/线路</x:v>
      </x:c>
      <x:c r="W5" s="16" t="str">
        <x:v>runtime 授权</x:v>
      </x:c>
      <x:c r="X5" s="16" t="str">
        <x:v>源归档 SHA256</x:v>
      </x:c>
      <x:c r="Y5" s="16" t="str">
        <x:v>S12 数据可用代码</x:v>
      </x:c>
      <x:c r="Z5" s="16" t="str">
        <x:v>S12 重复代码</x:v>
      </x:c>
      <x:c r="AA5" s="16" t="str">
        <x:v>拟归属 Hub</x:v>
      </x:c>
      <x:c r="AB5" s="16" t="str">
        <x:v>拟 parentHub ID</x:v>
      </x:c>
      <x:c r="AC5" s="17" t="str">
        <x:v>运营方沿革待核</x:v>
      </x:c>
    </x:row>
    <x:row r="6" ht="28" customHeight="1">
      <x:c r="A6" s="18" t="str">
        <x:v>JR俊徳道</x:v>
      </x:c>
      <x:c r="B6" s="18" t="str">
        <x:v>西日本旅客鉄道</x:v>
      </x:c>
      <x:c r="C6" s="18" t="str">
        <x:v>conventional_rail</x:v>
      </x:c>
      <x:c r="D6" s="19" t="str">
        <x:v>T2</x:v>
      </x:c>
      <x:c r="E6" s="20" t="n">
        <x:v>13006</x:v>
      </x:c>
      <x:c r="F6" s="18" t="str">
        <x:v>persons/day</x:v>
      </x:c>
      <x:c r="G6" s="18" t="str">
        <x:v>FY2024</x:v>
      </x:c>
      <x:c r="H6" s="18" t="str">
        <x:v>否</x:v>
      </x:c>
      <x:c r="I6" s="19" t="str">
        <x:v>DAILY_ENTRIES_EXITS</x:v>
      </x:c>
      <x:c r="J6" s="19" t="str">
        <x:v>おおさか東線</x:v>
      </x:c>
      <x:c r="K6" s="18" t="str">
        <x:v>transport-node:3d8f6d30-2468-5db0-b61a-7e04715e6163</x:v>
      </x:c>
      <x:c r="L6" s="19" t="str">
        <x:v>组件待审核</x:v>
      </x:c>
      <x:c r="M6" s="21" t="n">
        <x:v>34.6585367</x:v>
      </x:c>
      <x:c r="N6" s="21" t="n">
        <x:v>135.57246</x:v>
      </x:c>
      <x:c r="O6" s="18" t="str">
        <x:v>007376</x:v>
      </x:c>
      <x:c r="P6" s="18" t="str">
        <x:v>おおさか東線</x:v>
      </x:c>
      <x:c r="Q6" s="19" t="str">
        <x:v>S12_061_GE_10000</x:v>
      </x:c>
      <x:c r="R6" s="19" t="str">
        <x:v>S12_061 usage threshold</x:v>
      </x:c>
      <x:c r="S6" s="19" t="str">
        <x:v>https://nlftp.mlit.go.jp/ksj/gml/datalist/KsjTmplt-S12-2024.html</x:v>
      </x:c>
      <x:c r="T6" s="19" t="str">
        <x:v>https://nlftp.mlit.go.jp/ksj/gml/datalist/KsjTmplt-S12-2024.html</x:v>
      </x:c>
      <x:c r="U6" s="19" t="str">
        <x:v>station-component|JR俊徳道|西日本旅客鉄道|conventional_rail|34.6585|135.5725|</x:v>
      </x:c>
      <x:c r="V6" s="19" t="str">
        <x:v>007376 / 007376 / おおさか東線</x:v>
      </x:c>
      <x:c r="W6" s="18" t="str">
        <x:v>否</x:v>
      </x:c>
      <x:c r="X6" s="18" t="str">
        <x:v>0785e932a32b3ec15e1a1345537ae145eafe1c07bf38d5c16c11ee2b391e7a28</x:v>
      </x:c>
      <x:c r="Y6" s="20" t="n">
        <x:v>1</x:v>
      </x:c>
      <x:c r="Z6" s="20" t="n">
        <x:v>1</x:v>
      </x:c>
      <x:c r="AA6" s="19"/>
      <x:c r="AB6" s="18"/>
      <x:c r="AC6" s="19"/>
    </x:row>
    <x:row r="7" ht="28" customHeight="1">
      <x:c r="A7" s="18" t="str">
        <x:v>JR河内永和</x:v>
      </x:c>
      <x:c r="B7" s="18" t="str">
        <x:v>西日本旅客鉄道</x:v>
      </x:c>
      <x:c r="C7" s="18" t="str">
        <x:v>conventional_rail</x:v>
      </x:c>
      <x:c r="D7" s="19" t="str">
        <x:v>T2</x:v>
      </x:c>
      <x:c r="E7" s="20" t="n">
        <x:v>19620</x:v>
      </x:c>
      <x:c r="F7" s="18" t="str">
        <x:v>persons/day</x:v>
      </x:c>
      <x:c r="G7" s="18" t="str">
        <x:v>FY2024</x:v>
      </x:c>
      <x:c r="H7" s="18" t="str">
        <x:v>否</x:v>
      </x:c>
      <x:c r="I7" s="19" t="str">
        <x:v>DAILY_ENTRIES_EXITS</x:v>
      </x:c>
      <x:c r="J7" s="19" t="str">
        <x:v>おおさか東線</x:v>
      </x:c>
      <x:c r="K7" s="18" t="str">
        <x:v>transport-node:b5b0f79a-57a8-5275-9ca8-f90586408f2e</x:v>
      </x:c>
      <x:c r="L7" s="19" t="str">
        <x:v>组件待审核</x:v>
      </x:c>
      <x:c r="M7" s="21" t="n">
        <x:v>34.66433</x:v>
      </x:c>
      <x:c r="N7" s="21" t="n">
        <x:v>135.572315</x:v>
      </x:c>
      <x:c r="O7" s="18" t="str">
        <x:v>007344</x:v>
      </x:c>
      <x:c r="P7" s="18" t="str">
        <x:v>おおさか東線</x:v>
      </x:c>
      <x:c r="Q7" s="19" t="str">
        <x:v>S12_061_GE_10000</x:v>
      </x:c>
      <x:c r="R7" s="19" t="str">
        <x:v>S12_061 usage threshold</x:v>
      </x:c>
      <x:c r="S7" s="19" t="str">
        <x:v>https://nlftp.mlit.go.jp/ksj/gml/datalist/KsjTmplt-S12-2024.html</x:v>
      </x:c>
      <x:c r="T7" s="19" t="str">
        <x:v>https://nlftp.mlit.go.jp/ksj/gml/datalist/KsjTmplt-S12-2024.html</x:v>
      </x:c>
      <x:c r="U7" s="19" t="str">
        <x:v>station-component|JR河内永和|西日本旅客鉄道|conventional_rail|34.6643|135.5723|</x:v>
      </x:c>
      <x:c r="V7" s="19" t="str">
        <x:v>007344 / 007344 / おおさか東線</x:v>
      </x:c>
      <x:c r="W7" s="18" t="str">
        <x:v>否</x:v>
      </x:c>
      <x:c r="X7" s="18" t="str">
        <x:v>0785e932a32b3ec15e1a1345537ae145eafe1c07bf38d5c16c11ee2b391e7a28</x:v>
      </x:c>
      <x:c r="Y7" s="20" t="n">
        <x:v>1</x:v>
      </x:c>
      <x:c r="Z7" s="20" t="n">
        <x:v>1</x:v>
      </x:c>
      <x:c r="AA7" s="19"/>
      <x:c r="AB7" s="18"/>
      <x:c r="AC7" s="19"/>
    </x:row>
    <x:row r="8" ht="28" customHeight="1">
      <x:c r="A8" s="18" t="str">
        <x:v>JR淡路</x:v>
      </x:c>
      <x:c r="B8" s="18" t="str">
        <x:v>西日本旅客鉄道</x:v>
      </x:c>
      <x:c r="C8" s="18" t="str">
        <x:v>conventional_rail</x:v>
      </x:c>
      <x:c r="D8" s="19" t="str">
        <x:v>T2</x:v>
      </x:c>
      <x:c r="E8" s="20" t="n">
        <x:v>21860</x:v>
      </x:c>
      <x:c r="F8" s="18" t="str">
        <x:v>persons/day</x:v>
      </x:c>
      <x:c r="G8" s="18" t="str">
        <x:v>FY2024</x:v>
      </x:c>
      <x:c r="H8" s="18" t="str">
        <x:v>否</x:v>
      </x:c>
      <x:c r="I8" s="19" t="str">
        <x:v>DAILY_ENTRIES_EXITS</x:v>
      </x:c>
      <x:c r="J8" s="19" t="str">
        <x:v>おおさか東線</x:v>
      </x:c>
      <x:c r="K8" s="18" t="str">
        <x:v>transport-node:99dcca09-ce97-54ae-9ad2-8c97e8525bf0</x:v>
      </x:c>
      <x:c r="L8" s="19" t="str">
        <x:v>组件待审核</x:v>
      </x:c>
      <x:c r="M8" s="21" t="n">
        <x:v>34.7408014</x:v>
      </x:c>
      <x:c r="N8" s="21" t="n">
        <x:v>135.5198148</x:v>
      </x:c>
      <x:c r="O8" s="18" t="str">
        <x:v>006872</x:v>
      </x:c>
      <x:c r="P8" s="18" t="str">
        <x:v>おおさか東線</x:v>
      </x:c>
      <x:c r="Q8" s="19" t="str">
        <x:v>S12_061_GE_10000</x:v>
      </x:c>
      <x:c r="R8" s="19" t="str">
        <x:v>S12_061 usage threshold</x:v>
      </x:c>
      <x:c r="S8" s="19" t="str">
        <x:v>https://nlftp.mlit.go.jp/ksj/gml/datalist/KsjTmplt-S12-2024.html</x:v>
      </x:c>
      <x:c r="T8" s="19" t="str">
        <x:v>https://nlftp.mlit.go.jp/ksj/gml/datalist/KsjTmplt-S12-2024.html</x:v>
      </x:c>
      <x:c r="U8" s="19" t="str">
        <x:v>station-component|JR淡路|西日本旅客鉄道|conventional_rail|34.7408|135.5198|</x:v>
      </x:c>
      <x:c r="V8" s="19" t="str">
        <x:v>006872 / 006872 / おおさか東線</x:v>
      </x:c>
      <x:c r="W8" s="18" t="str">
        <x:v>否</x:v>
      </x:c>
      <x:c r="X8" s="18" t="str">
        <x:v>0785e932a32b3ec15e1a1345537ae145eafe1c07bf38d5c16c11ee2b391e7a28</x:v>
      </x:c>
      <x:c r="Y8" s="20" t="n">
        <x:v>1</x:v>
      </x:c>
      <x:c r="Z8" s="20" t="n">
        <x:v>1</x:v>
      </x:c>
      <x:c r="AA8" s="19"/>
      <x:c r="AB8" s="18"/>
      <x:c r="AC8" s="19"/>
    </x:row>
    <x:row r="9" ht="28" customHeight="1">
      <x:c r="A9" s="18" t="str">
        <x:v>JR総持寺</x:v>
      </x:c>
      <x:c r="B9" s="18" t="str">
        <x:v>西日本旅客鉄道</x:v>
      </x:c>
      <x:c r="C9" s="18" t="str">
        <x:v>conventional_rail</x:v>
      </x:c>
      <x:c r="D9" s="19" t="str">
        <x:v>T2</x:v>
      </x:c>
      <x:c r="E9" s="20" t="n">
        <x:v>21052</x:v>
      </x:c>
      <x:c r="F9" s="18" t="str">
        <x:v>persons/day</x:v>
      </x:c>
      <x:c r="G9" s="18" t="str">
        <x:v>FY2024</x:v>
      </x:c>
      <x:c r="H9" s="18" t="str">
        <x:v>否</x:v>
      </x:c>
      <x:c r="I9" s="19" t="str">
        <x:v>DAILY_ENTRIES_EXITS</x:v>
      </x:c>
      <x:c r="J9" s="19" t="str">
        <x:v>東海道線</x:v>
      </x:c>
      <x:c r="K9" s="18" t="str">
        <x:v>transport-node:464a3b6f-24f2-566a-a636-b79f989282d6</x:v>
      </x:c>
      <x:c r="L9" s="19" t="str">
        <x:v>组件待审核</x:v>
      </x:c>
      <x:c r="M9" s="21" t="n">
        <x:v>34.8285201</x:v>
      </x:c>
      <x:c r="N9" s="21" t="n">
        <x:v>135.5776748</x:v>
      </x:c>
      <x:c r="O9" s="18" t="str">
        <x:v>006498</x:v>
      </x:c>
      <x:c r="P9" s="18" t="str">
        <x:v>東海道線</x:v>
      </x:c>
      <x:c r="Q9" s="19" t="str">
        <x:v>S12_061_GE_10000</x:v>
      </x:c>
      <x:c r="R9" s="19" t="str">
        <x:v>S12_061 usage threshold</x:v>
      </x:c>
      <x:c r="S9" s="19" t="str">
        <x:v>https://nlftp.mlit.go.jp/ksj/gml/datalist/KsjTmplt-S12-2024.html</x:v>
      </x:c>
      <x:c r="T9" s="19" t="str">
        <x:v>https://nlftp.mlit.go.jp/ksj/gml/datalist/KsjTmplt-S12-2024.html</x:v>
      </x:c>
      <x:c r="U9" s="19" t="str">
        <x:v>station-component|JR総持寺|西日本旅客鉄道|conventional_rail|34.8285|135.5777|</x:v>
      </x:c>
      <x:c r="V9" s="19" t="str">
        <x:v>006498 / 006498 / 東海道線</x:v>
      </x:c>
      <x:c r="W9" s="18" t="str">
        <x:v>否</x:v>
      </x:c>
      <x:c r="X9" s="18" t="str">
        <x:v>0785e932a32b3ec15e1a1345537ae145eafe1c07bf38d5c16c11ee2b391e7a28</x:v>
      </x:c>
      <x:c r="Y9" s="20" t="n">
        <x:v>1</x:v>
      </x:c>
      <x:c r="Z9" s="20" t="n">
        <x:v>1</x:v>
      </x:c>
      <x:c r="AA9" s="19"/>
      <x:c r="AB9" s="18"/>
      <x:c r="AC9" s="19"/>
    </x:row>
    <x:row r="10" ht="28" customHeight="1">
      <x:c r="A10" s="18" t="str">
        <x:v>JR野江</x:v>
      </x:c>
      <x:c r="B10" s="18" t="str">
        <x:v>西日本旅客鉄道</x:v>
      </x:c>
      <x:c r="C10" s="18" t="str">
        <x:v>conventional_rail</x:v>
      </x:c>
      <x:c r="D10" s="19" t="str">
        <x:v>T2</x:v>
      </x:c>
      <x:c r="E10" s="20" t="n">
        <x:v>14148</x:v>
      </x:c>
      <x:c r="F10" s="18" t="str">
        <x:v>persons/day</x:v>
      </x:c>
      <x:c r="G10" s="18" t="str">
        <x:v>FY2024</x:v>
      </x:c>
      <x:c r="H10" s="18" t="str">
        <x:v>否</x:v>
      </x:c>
      <x:c r="I10" s="19" t="str">
        <x:v>DAILY_ENTRIES_EXITS</x:v>
      </x:c>
      <x:c r="J10" s="19" t="str">
        <x:v>おおさか東線</x:v>
      </x:c>
      <x:c r="K10" s="18" t="str">
        <x:v>transport-node:57af2602-97db-571c-a485-a7ae1d6be58f</x:v>
      </x:c>
      <x:c r="L10" s="19" t="str">
        <x:v>组件待审核</x:v>
      </x:c>
      <x:c r="M10" s="21" t="n">
        <x:v>34.706841</x:v>
      </x:c>
      <x:c r="N10" s="21" t="n">
        <x:v>135.541391</x:v>
      </x:c>
      <x:c r="O10" s="18" t="str">
        <x:v>007041</x:v>
      </x:c>
      <x:c r="P10" s="18" t="str">
        <x:v>おおさか東線</x:v>
      </x:c>
      <x:c r="Q10" s="19" t="str">
        <x:v>S12_061_GE_10000</x:v>
      </x:c>
      <x:c r="R10" s="19" t="str">
        <x:v>S12_061 usage threshold</x:v>
      </x:c>
      <x:c r="S10" s="19" t="str">
        <x:v>https://nlftp.mlit.go.jp/ksj/gml/datalist/KsjTmplt-S12-2024.html</x:v>
      </x:c>
      <x:c r="T10" s="19" t="str">
        <x:v>https://nlftp.mlit.go.jp/ksj/gml/datalist/KsjTmplt-S12-2024.html</x:v>
      </x:c>
      <x:c r="U10" s="19" t="str">
        <x:v>station-component|JR野江|西日本旅客鉄道|conventional_rail|34.7068|135.5414|</x:v>
      </x:c>
      <x:c r="V10" s="19" t="str">
        <x:v>007041 / 007041 / おおさか東線</x:v>
      </x:c>
      <x:c r="W10" s="18" t="str">
        <x:v>否</x:v>
      </x:c>
      <x:c r="X10" s="18" t="str">
        <x:v>0785e932a32b3ec15e1a1345537ae145eafe1c07bf38d5c16c11ee2b391e7a28</x:v>
      </x:c>
      <x:c r="Y10" s="20" t="n">
        <x:v>1</x:v>
      </x:c>
      <x:c r="Z10" s="20" t="n">
        <x:v>1</x:v>
      </x:c>
      <x:c r="AA10" s="19"/>
      <x:c r="AB10" s="18"/>
      <x:c r="AC10" s="19"/>
    </x:row>
    <x:row r="11" ht="33" customHeight="1">
      <x:c r="A11" s="18" t="str">
        <x:v>JR難波</x:v>
      </x:c>
      <x:c r="B11" s="18" t="str">
        <x:v>西日本旅客鉄道</x:v>
      </x:c>
      <x:c r="C11" s="18" t="str">
        <x:v>conventional_rail</x:v>
      </x:c>
      <x:c r="D11" s="19" t="str">
        <x:v>T2</x:v>
      </x:c>
      <x:c r="E11" s="20" t="n">
        <x:v>38084</x:v>
      </x:c>
      <x:c r="F11" s="18" t="str">
        <x:v>persons/day</x:v>
      </x:c>
      <x:c r="G11" s="18" t="str">
        <x:v>FY2024</x:v>
      </x:c>
      <x:c r="H11" s="18" t="str">
        <x:v>否</x:v>
      </x:c>
      <x:c r="I11" s="19" t="str">
        <x:v>DAILY_ENTRIES_EXITS</x:v>
      </x:c>
      <x:c r="J11" s="19" t="str">
        <x:v>関西線</x:v>
      </x:c>
      <x:c r="K11" s="18" t="str">
        <x:v>transport-node:8fc0013a-4172-595a-8feb-1682f2e85d59</x:v>
      </x:c>
      <x:c r="L11" s="19" t="str">
        <x:v>组件待审核</x:v>
      </x:c>
      <x:c r="M11" s="21" t="n">
        <x:v>34.666365</x:v>
      </x:c>
      <x:c r="N11" s="21" t="n">
        <x:v>135.49529</x:v>
      </x:c>
      <x:c r="O11" s="18" t="str">
        <x:v>007321</x:v>
      </x:c>
      <x:c r="P11" s="18" t="str">
        <x:v>関西線</x:v>
      </x:c>
      <x:c r="Q11" s="19" t="str">
        <x:v>S12_061_GE_10000
OFFICIAL_HUB_COMPONENT_REVIEW</x:v>
      </x:c>
      <x:c r="R11" s="19" t="str">
        <x:v>S12_061 usage threshold</x:v>
      </x:c>
      <x:c r="S11" s="19" t="str">
        <x:v>https://nlftp.mlit.go.jp/ksj/gml/datalist/KsjTmplt-S12-2024.html</x:v>
      </x:c>
      <x:c r="T11" s="19" t="str">
        <x:v>https://nlftp.mlit.go.jp/ksj/gml/datalist/KsjTmplt-S12-2024.html
https://subway.osakametro.co.jp/station_guide/M/m20/index.php</x:v>
      </x:c>
      <x:c r="U11" s="19" t="str">
        <x:v>station-component|JR難波|西日本旅客鉄道|conventional_rail|34.6664|135.4953|</x:v>
      </x:c>
      <x:c r="V11" s="19" t="str">
        <x:v>007321 / 007321 / 関西線</x:v>
      </x:c>
      <x:c r="W11" s="18" t="str">
        <x:v>否</x:v>
      </x:c>
      <x:c r="X11" s="18" t="str">
        <x:v>0785e932a32b3ec15e1a1345537ae145eafe1c07bf38d5c16c11ee2b391e7a28</x:v>
      </x:c>
      <x:c r="Y11" s="20" t="n">
        <x:v>1</x:v>
      </x:c>
      <x:c r="Z11" s="20" t="n">
        <x:v>1</x:v>
      </x:c>
      <x:c r="AA11" s="19" t="str">
        <x:v>なんば・大阪難波</x:v>
      </x:c>
      <x:c r="AB11" s="18" t="str">
        <x:v>transport-hub-review:58068a40-9f72-57b2-9003-7470fd60b33f</x:v>
      </x:c>
      <x:c r="AC11" s="19"/>
    </x:row>
    <x:row r="12" ht="28" customHeight="1">
      <x:c r="A12" s="18" t="str">
        <x:v>YRP野比</x:v>
      </x:c>
      <x:c r="B12" s="18" t="str">
        <x:v>京浜急行電鉄</x:v>
      </x:c>
      <x:c r="C12" s="18" t="str">
        <x:v>private_rail</x:v>
      </x:c>
      <x:c r="D12" s="19" t="str">
        <x:v>T2</x:v>
      </x:c>
      <x:c r="E12" s="20" t="n">
        <x:v>14623</x:v>
      </x:c>
      <x:c r="F12" s="18" t="str">
        <x:v>persons/day</x:v>
      </x:c>
      <x:c r="G12" s="18" t="str">
        <x:v>FY2024</x:v>
      </x:c>
      <x:c r="H12" s="18" t="str">
        <x:v>否</x:v>
      </x:c>
      <x:c r="I12" s="19" t="str">
        <x:v>DAILY_ENTRIES_EXITS</x:v>
      </x:c>
      <x:c r="J12" s="19" t="str">
        <x:v>久里浜線</x:v>
      </x:c>
      <x:c r="K12" s="18" t="str">
        <x:v>transport-node:f281f254-87c5-56b7-b2a3-21cc89ee7e15</x:v>
      </x:c>
      <x:c r="L12" s="19" t="str">
        <x:v>组件待审核</x:v>
      </x:c>
      <x:c r="M12" s="21" t="n">
        <x:v>35.21257</x:v>
      </x:c>
      <x:c r="N12" s="21" t="n">
        <x:v>139.685255</x:v>
      </x:c>
      <x:c r="O12" s="18" t="str">
        <x:v>005320</x:v>
      </x:c>
      <x:c r="P12" s="18" t="str">
        <x:v>久里浜線</x:v>
      </x:c>
      <x:c r="Q12" s="19" t="str">
        <x:v>S12_061_GE_10000</x:v>
      </x:c>
      <x:c r="R12" s="19" t="str">
        <x:v>S12_061 usage threshold</x:v>
      </x:c>
      <x:c r="S12" s="19" t="str">
        <x:v>https://nlftp.mlit.go.jp/ksj/gml/datalist/KsjTmplt-S12-2024.html</x:v>
      </x:c>
      <x:c r="T12" s="19" t="str">
        <x:v>https://nlftp.mlit.go.jp/ksj/gml/datalist/KsjTmplt-S12-2024.html</x:v>
      </x:c>
      <x:c r="U12" s="19" t="str">
        <x:v>station-component|YRP野比|京浜急行電鉄|private_rail|35.2126|139.6853|</x:v>
      </x:c>
      <x:c r="V12" s="19" t="str">
        <x:v>005320 / 005320 / 久里浜線</x:v>
      </x:c>
      <x:c r="W12" s="18" t="str">
        <x:v>否</x:v>
      </x:c>
      <x:c r="X12" s="18" t="str">
        <x:v>0785e932a32b3ec15e1a1345537ae145eafe1c07bf38d5c16c11ee2b391e7a28</x:v>
      </x:c>
      <x:c r="Y12" s="20" t="n">
        <x:v>1</x:v>
      </x:c>
      <x:c r="Z12" s="20" t="n">
        <x:v>1</x:v>
      </x:c>
      <x:c r="AA12" s="19"/>
      <x:c r="AB12" s="18"/>
      <x:c r="AC12" s="19"/>
    </x:row>
    <x:row r="13" ht="33" customHeight="1">
      <x:c r="A13" s="18" t="str">
        <x:v>あおば通</x:v>
      </x:c>
      <x:c r="B13" s="18" t="str">
        <x:v>東日本旅客鉄道</x:v>
      </x:c>
      <x:c r="C13" s="18" t="str">
        <x:v>conventional_rail</x:v>
      </x:c>
      <x:c r="D13" s="19" t="str">
        <x:v>T2</x:v>
      </x:c>
      <x:c r="E13" s="20" t="n">
        <x:v>40968</x:v>
      </x:c>
      <x:c r="F13" s="18" t="str">
        <x:v>persons/day</x:v>
      </x:c>
      <x:c r="G13" s="18" t="str">
        <x:v>FY2024</x:v>
      </x:c>
      <x:c r="H13" s="18" t="str">
        <x:v>否</x:v>
      </x:c>
      <x:c r="I13" s="19" t="str">
        <x:v>DAILY_ENTRIES_EXITS</x:v>
      </x:c>
      <x:c r="J13" s="19" t="str">
        <x:v>仙石線</x:v>
      </x:c>
      <x:c r="K13" s="18" t="str">
        <x:v>transport-node:f2e9893e-bfc6-5882-9d82-9c8461570cdc</x:v>
      </x:c>
      <x:c r="L13" s="19" t="str">
        <x:v>组件待审核</x:v>
      </x:c>
      <x:c r="M13" s="21" t="n">
        <x:v>38.2606567</x:v>
      </x:c>
      <x:c r="N13" s="21" t="n">
        <x:v>140.8786233</x:v>
      </x:c>
      <x:c r="O13" s="18" t="str">
        <x:v>001175</x:v>
      </x:c>
      <x:c r="P13" s="18" t="str">
        <x:v>仙石線</x:v>
      </x:c>
      <x:c r="Q13" s="19" t="str">
        <x:v>S12_061_GE_10000
OFFICIAL_HUB_COMPONENT_REVIEW</x:v>
      </x:c>
      <x:c r="R13" s="19" t="str">
        <x:v>S12_061 usage threshold</x:v>
      </x:c>
      <x:c r="S13" s="19" t="str">
        <x:v>https://nlftp.mlit.go.jp/ksj/gml/datalist/KsjTmplt-S12-2024.html</x:v>
      </x:c>
      <x:c r="T13" s="19" t="str">
        <x:v>https://nlftp.mlit.go.jp/ksj/gml/datalist/KsjTmplt-S12-2024.html
https://www.city.sendai.jp/kokyo/kurashi/machi/kotsu/annai/noritsugi.html</x:v>
      </x:c>
      <x:c r="U13" s="19" t="str">
        <x:v>station-component|あおば通|東日本旅客鉄道|conventional_rail|38.2607|140.8786|</x:v>
      </x:c>
      <x:c r="V13" s="19" t="str">
        <x:v>001175 / 001175 / 仙石線</x:v>
      </x:c>
      <x:c r="W13" s="18" t="str">
        <x:v>否</x:v>
      </x:c>
      <x:c r="X13" s="18" t="str">
        <x:v>0785e932a32b3ec15e1a1345537ae145eafe1c07bf38d5c16c11ee2b391e7a28</x:v>
      </x:c>
      <x:c r="Y13" s="20" t="n">
        <x:v>1</x:v>
      </x:c>
      <x:c r="Z13" s="20" t="n">
        <x:v>1</x:v>
      </x:c>
      <x:c r="AA13" s="19" t="str">
        <x:v>仙台</x:v>
      </x:c>
      <x:c r="AB13" s="18" t="str">
        <x:v>transport-hub-review:e264a5e6-b8fb-5e8c-bc0c-130a70bcf617</x:v>
      </x:c>
      <x:c r="AC13" s="19"/>
    </x:row>
    <x:row r="14" ht="33" customHeight="1">
      <x:c r="A14" s="18" t="str">
        <x:v>あざみ野</x:v>
      </x:c>
      <x:c r="B14" s="18" t="str">
        <x:v>東急電鉄</x:v>
      </x:c>
      <x:c r="C14" s="18" t="str">
        <x:v>private_rail</x:v>
      </x:c>
      <x:c r="D14" s="19" t="str">
        <x:v>T1</x:v>
      </x:c>
      <x:c r="E14" s="20" t="n">
        <x:v>118219</x:v>
      </x:c>
      <x:c r="F14" s="18" t="str">
        <x:v>persons/day</x:v>
      </x:c>
      <x:c r="G14" s="18" t="str">
        <x:v>FY2024</x:v>
      </x:c>
      <x:c r="H14" s="18" t="str">
        <x:v>否</x:v>
      </x:c>
      <x:c r="I14" s="19" t="str">
        <x:v>DAILY_ENTRIES_EXITS</x:v>
      </x:c>
      <x:c r="J14" s="19" t="str">
        <x:v>田園都市線</x:v>
      </x:c>
      <x:c r="K14" s="18" t="str">
        <x:v>transport-node:f894d672-85dd-5125-b9a7-c938bffdaff4</x:v>
      </x:c>
      <x:c r="L14" s="19" t="str">
        <x:v>组件待审核</x:v>
      </x:c>
      <x:c r="M14" s="21" t="n">
        <x:v>35.56878</x:v>
      </x:c>
      <x:c r="N14" s="21" t="n">
        <x:v>139.5535467</x:v>
      </x:c>
      <x:c r="O14" s="18" t="str">
        <x:v>004314</x:v>
      </x:c>
      <x:c r="P14" s="18" t="str">
        <x:v>田園都市線</x:v>
      </x:c>
      <x:c r="Q14" s="19" t="str">
        <x:v>S12_061_GE_10000
OFFICIAL_HUB_COMPONENT_REVIEW</x:v>
      </x:c>
      <x:c r="R14" s="19" t="str">
        <x:v>S12_061 usage threshold</x:v>
      </x:c>
      <x:c r="S14" s="19" t="str">
        <x:v>https://nlftp.mlit.go.jp/ksj/gml/datalist/KsjTmplt-S12-2024.html</x:v>
      </x:c>
      <x:c r="T14" s="19" t="str">
        <x:v>https://nlftp.mlit.go.jp/ksj/gml/datalist/KsjTmplt-S12-2024.html
https://www.tokyu.co.jp/area/azamino/station/</x:v>
      </x:c>
      <x:c r="U14" s="19" t="str">
        <x:v>station-component|あざみ野|東急電鉄|private_rail|35.5688|139.5535|</x:v>
      </x:c>
      <x:c r="V14" s="19" t="str">
        <x:v>004314 / 004314 / 田園都市線</x:v>
      </x:c>
      <x:c r="W14" s="18" t="str">
        <x:v>否</x:v>
      </x:c>
      <x:c r="X14" s="18" t="str">
        <x:v>0785e932a32b3ec15e1a1345537ae145eafe1c07bf38d5c16c11ee2b391e7a28</x:v>
      </x:c>
      <x:c r="Y14" s="20" t="n">
        <x:v>1</x:v>
      </x:c>
      <x:c r="Z14" s="20" t="n">
        <x:v>1</x:v>
      </x:c>
      <x:c r="AA14" s="19" t="str">
        <x:v>あざみ野</x:v>
      </x:c>
      <x:c r="AB14" s="18" t="str">
        <x:v>transport-hub-review:11caf9f2-f8ab-512c-b72d-d074ed0fdd4f</x:v>
      </x:c>
      <x:c r="AC14" s="19"/>
    </x:row>
    <x:row r="15" ht="33" customHeight="1">
      <x:c r="A15" s="18" t="str">
        <x:v>あざみ野</x:v>
      </x:c>
      <x:c r="B15" s="18" t="str">
        <x:v>横浜市</x:v>
      </x:c>
      <x:c r="C15" s="18" t="str">
        <x:v>metro</x:v>
      </x:c>
      <x:c r="D15" s="19" t="str">
        <x:v>T2</x:v>
      </x:c>
      <x:c r="E15" s="20" t="n">
        <x:v>38206</x:v>
      </x:c>
      <x:c r="F15" s="18" t="str">
        <x:v>persons/day</x:v>
      </x:c>
      <x:c r="G15" s="18" t="str">
        <x:v>FY2024</x:v>
      </x:c>
      <x:c r="H15" s="18" t="str">
        <x:v>否</x:v>
      </x:c>
      <x:c r="I15" s="19" t="str">
        <x:v>DAILY_ENTRIES_EXITS</x:v>
      </x:c>
      <x:c r="J15" s="19" t="str">
        <x:v>3号線</x:v>
      </x:c>
      <x:c r="K15" s="18" t="str">
        <x:v>transport-node:57b2dabf-a59d-599b-89ce-426a00c1e259</x:v>
      </x:c>
      <x:c r="L15" s="19" t="str">
        <x:v>组件待审核</x:v>
      </x:c>
      <x:c r="M15" s="21" t="n">
        <x:v>35.567955</x:v>
      </x:c>
      <x:c r="N15" s="21" t="n">
        <x:v>139.554155</x:v>
      </x:c>
      <x:c r="O15" s="18" t="str">
        <x:v>004316</x:v>
      </x:c>
      <x:c r="P15" s="18" t="str">
        <x:v>3号線</x:v>
      </x:c>
      <x:c r="Q15" s="19" t="str">
        <x:v>S12_061_GE_10000
OFFICIAL_HUB_COMPONENT_REVIEW</x:v>
      </x:c>
      <x:c r="R15" s="19" t="str">
        <x:v>S12_061 usage threshold</x:v>
      </x:c>
      <x:c r="S15" s="19" t="str">
        <x:v>https://nlftp.mlit.go.jp/ksj/gml/datalist/KsjTmplt-S12-2024.html</x:v>
      </x:c>
      <x:c r="T15" s="19" t="str">
        <x:v>https://nlftp.mlit.go.jp/ksj/gml/datalist/KsjTmplt-S12-2024.html
https://www.tokyu.co.jp/area/azamino/station/</x:v>
      </x:c>
      <x:c r="U15" s="19" t="str">
        <x:v>station-component|あざみ野|横浜市|metro|35.5680|139.5542|</x:v>
      </x:c>
      <x:c r="V15" s="19" t="str">
        <x:v>004314 / 004316 / 3号線</x:v>
      </x:c>
      <x:c r="W15" s="18" t="str">
        <x:v>否</x:v>
      </x:c>
      <x:c r="X15" s="18" t="str">
        <x:v>0785e932a32b3ec15e1a1345537ae145eafe1c07bf38d5c16c11ee2b391e7a28</x:v>
      </x:c>
      <x:c r="Y15" s="20" t="n">
        <x:v>1</x:v>
      </x:c>
      <x:c r="Z15" s="20" t="n">
        <x:v>1</x:v>
      </x:c>
      <x:c r="AA15" s="19" t="str">
        <x:v>あざみ野</x:v>
      </x:c>
      <x:c r="AB15" s="18" t="str">
        <x:v>transport-hub-review:11caf9f2-f8ab-512c-b72d-d074ed0fdd4f</x:v>
      </x:c>
      <x:c r="AC15" s="19"/>
    </x:row>
    <x:row r="16" ht="28" customHeight="1">
      <x:c r="A16" s="18" t="str">
        <x:v>いずみ中央</x:v>
      </x:c>
      <x:c r="B16" s="18" t="str">
        <x:v>相模鉄道</x:v>
      </x:c>
      <x:c r="C16" s="18" t="str">
        <x:v>private_rail</x:v>
      </x:c>
      <x:c r="D16" s="19" t="str">
        <x:v>T2</x:v>
      </x:c>
      <x:c r="E16" s="20" t="n">
        <x:v>15694</x:v>
      </x:c>
      <x:c r="F16" s="18" t="str">
        <x:v>persons/day</x:v>
      </x:c>
      <x:c r="G16" s="18" t="str">
        <x:v>FY2024</x:v>
      </x:c>
      <x:c r="H16" s="18" t="str">
        <x:v>否</x:v>
      </x:c>
      <x:c r="I16" s="19" t="str">
        <x:v>DAILY_ENTRIES_EXITS</x:v>
      </x:c>
      <x:c r="J16" s="19" t="str">
        <x:v>相鉄いずみ野線</x:v>
      </x:c>
      <x:c r="K16" s="18" t="str">
        <x:v>transport-node:0f8a3f44-c5d9-56f2-9523-02bea0ca260c</x:v>
      </x:c>
      <x:c r="L16" s="19" t="str">
        <x:v>组件待审核</x:v>
      </x:c>
      <x:c r="M16" s="21" t="n">
        <x:v>35.4151</x:v>
      </x:c>
      <x:c r="N16" s="21" t="n">
        <x:v>139.487185</x:v>
      </x:c>
      <x:c r="O16" s="18" t="str">
        <x:v>004773</x:v>
      </x:c>
      <x:c r="P16" s="18" t="str">
        <x:v>相鉄いずみ野線</x:v>
      </x:c>
      <x:c r="Q16" s="19" t="str">
        <x:v>S12_061_GE_10000</x:v>
      </x:c>
      <x:c r="R16" s="19" t="str">
        <x:v>S12_061 usage threshold</x:v>
      </x:c>
      <x:c r="S16" s="19" t="str">
        <x:v>https://nlftp.mlit.go.jp/ksj/gml/datalist/KsjTmplt-S12-2024.html</x:v>
      </x:c>
      <x:c r="T16" s="19" t="str">
        <x:v>https://nlftp.mlit.go.jp/ksj/gml/datalist/KsjTmplt-S12-2024.html</x:v>
      </x:c>
      <x:c r="U16" s="19" t="str">
        <x:v>station-component|いずみ中央|相模鉄道|private_rail|35.4151|139.4872|</x:v>
      </x:c>
      <x:c r="V16" s="19" t="str">
        <x:v>004773 / 004773 / 相鉄いずみ野線</x:v>
      </x:c>
      <x:c r="W16" s="18" t="str">
        <x:v>否</x:v>
      </x:c>
      <x:c r="X16" s="18" t="str">
        <x:v>0785e932a32b3ec15e1a1345537ae145eafe1c07bf38d5c16c11ee2b391e7a28</x:v>
      </x:c>
      <x:c r="Y16" s="20" t="n">
        <x:v>1</x:v>
      </x:c>
      <x:c r="Z16" s="20" t="n">
        <x:v>1</x:v>
      </x:c>
      <x:c r="AA16" s="19"/>
      <x:c r="AB16" s="18"/>
      <x:c r="AC16" s="19"/>
    </x:row>
    <x:row r="17" ht="28" customHeight="1">
      <x:c r="A17" s="18" t="str">
        <x:v>いずみ野</x:v>
      </x:c>
      <x:c r="B17" s="18" t="str">
        <x:v>相模鉄道</x:v>
      </x:c>
      <x:c r="C17" s="18" t="str">
        <x:v>private_rail</x:v>
      </x:c>
      <x:c r="D17" s="19" t="str">
        <x:v>T2</x:v>
      </x:c>
      <x:c r="E17" s="20" t="n">
        <x:v>12933</x:v>
      </x:c>
      <x:c r="F17" s="18" t="str">
        <x:v>persons/day</x:v>
      </x:c>
      <x:c r="G17" s="18" t="str">
        <x:v>FY2024</x:v>
      </x:c>
      <x:c r="H17" s="18" t="str">
        <x:v>否</x:v>
      </x:c>
      <x:c r="I17" s="19" t="str">
        <x:v>DAILY_ENTRIES_EXITS</x:v>
      </x:c>
      <x:c r="J17" s="19" t="str">
        <x:v>相鉄いずみ野線</x:v>
      </x:c>
      <x:c r="K17" s="18" t="str">
        <x:v>transport-node:1d37a240-ef87-57f9-afc3-337a4b2329e4</x:v>
      </x:c>
      <x:c r="L17" s="19" t="str">
        <x:v>组件待审核</x:v>
      </x:c>
      <x:c r="M17" s="21" t="n">
        <x:v>35.429495</x:v>
      </x:c>
      <x:c r="N17" s="21" t="n">
        <x:v>139.49512</x:v>
      </x:c>
      <x:c r="O17" s="18" t="str">
        <x:v>004745</x:v>
      </x:c>
      <x:c r="P17" s="18" t="str">
        <x:v>相鉄いずみ野線</x:v>
      </x:c>
      <x:c r="Q17" s="19" t="str">
        <x:v>S12_061_GE_10000</x:v>
      </x:c>
      <x:c r="R17" s="19" t="str">
        <x:v>S12_061 usage threshold</x:v>
      </x:c>
      <x:c r="S17" s="19" t="str">
        <x:v>https://nlftp.mlit.go.jp/ksj/gml/datalist/KsjTmplt-S12-2024.html</x:v>
      </x:c>
      <x:c r="T17" s="19" t="str">
        <x:v>https://nlftp.mlit.go.jp/ksj/gml/datalist/KsjTmplt-S12-2024.html</x:v>
      </x:c>
      <x:c r="U17" s="19" t="str">
        <x:v>station-component|いずみ野|相模鉄道|private_rail|35.4295|139.4951|</x:v>
      </x:c>
      <x:c r="V17" s="19" t="str">
        <x:v>004745 / 004745 / 相鉄いずみ野線</x:v>
      </x:c>
      <x:c r="W17" s="18" t="str">
        <x:v>否</x:v>
      </x:c>
      <x:c r="X17" s="18" t="str">
        <x:v>0785e932a32b3ec15e1a1345537ae145eafe1c07bf38d5c16c11ee2b391e7a28</x:v>
      </x:c>
      <x:c r="Y17" s="20" t="n">
        <x:v>1</x:v>
      </x:c>
      <x:c r="Z17" s="20" t="n">
        <x:v>1</x:v>
      </x:c>
      <x:c r="AA17" s="19"/>
      <x:c r="AB17" s="18"/>
      <x:c r="AC17" s="19"/>
    </x:row>
    <x:row r="18" ht="28" customHeight="1">
      <x:c r="A18" s="18" t="str">
        <x:v>いりなか</x:v>
      </x:c>
      <x:c r="B18" s="18" t="str">
        <x:v>名古屋市</x:v>
      </x:c>
      <x:c r="C18" s="18" t="str">
        <x:v>metro</x:v>
      </x:c>
      <x:c r="D18" s="19" t="str">
        <x:v>T2</x:v>
      </x:c>
      <x:c r="E18" s="20" t="n">
        <x:v>13382</x:v>
      </x:c>
      <x:c r="F18" s="18" t="str">
        <x:v>persons/day</x:v>
      </x:c>
      <x:c r="G18" s="18" t="str">
        <x:v>FY2024</x:v>
      </x:c>
      <x:c r="H18" s="18" t="str">
        <x:v>否</x:v>
      </x:c>
      <x:c r="I18" s="19" t="str">
        <x:v>DAILY_ENTRIES_EXITS</x:v>
      </x:c>
      <x:c r="J18" s="19" t="str">
        <x:v>3号線鶴舞線</x:v>
      </x:c>
      <x:c r="K18" s="18" t="str">
        <x:v>transport-node:9a4c7487-38c4-52be-ad9e-027b6dadf7de</x:v>
      </x:c>
      <x:c r="L18" s="19" t="str">
        <x:v>组件待审核</x:v>
      </x:c>
      <x:c r="M18" s="21" t="n">
        <x:v>35.14387</x:v>
      </x:c>
      <x:c r="N18" s="21" t="n">
        <x:v>136.95454</x:v>
      </x:c>
      <x:c r="O18" s="18" t="str">
        <x:v>005548</x:v>
      </x:c>
      <x:c r="P18" s="18" t="str">
        <x:v>3号線鶴舞線</x:v>
      </x:c>
      <x:c r="Q18" s="19" t="str">
        <x:v>S12_061_GE_10000</x:v>
      </x:c>
      <x:c r="R18" s="19" t="str">
        <x:v>S12_061 usage threshold</x:v>
      </x:c>
      <x:c r="S18" s="19" t="str">
        <x:v>https://nlftp.mlit.go.jp/ksj/gml/datalist/KsjTmplt-S12-2024.html</x:v>
      </x:c>
      <x:c r="T18" s="19" t="str">
        <x:v>https://nlftp.mlit.go.jp/ksj/gml/datalist/KsjTmplt-S12-2024.html</x:v>
      </x:c>
      <x:c r="U18" s="19" t="str">
        <x:v>station-component|いりなか|名古屋市|metro|35.1439|136.9545|</x:v>
      </x:c>
      <x:c r="V18" s="19" t="str">
        <x:v>005548 / 005548 / 3号線鶴舞線</x:v>
      </x:c>
      <x:c r="W18" s="18" t="str">
        <x:v>否</x:v>
      </x:c>
      <x:c r="X18" s="18" t="str">
        <x:v>0785e932a32b3ec15e1a1345537ae145eafe1c07bf38d5c16c11ee2b391e7a28</x:v>
      </x:c>
      <x:c r="Y18" s="20" t="n">
        <x:v>1</x:v>
      </x:c>
      <x:c r="Z18" s="20" t="n">
        <x:v>1</x:v>
      </x:c>
      <x:c r="AA18" s="19"/>
      <x:c r="AB18" s="18"/>
      <x:c r="AC18" s="19"/>
    </x:row>
    <x:row r="19" ht="33" customHeight="1">
      <x:c r="A19" s="18" t="str">
        <x:v>いわき</x:v>
      </x:c>
      <x:c r="B19" s="18" t="str">
        <x:v>東日本旅客鉄道</x:v>
      </x:c>
      <x:c r="C19" s="18" t="str">
        <x:v>conventional_rail</x:v>
      </x:c>
      <x:c r="D19" s="19" t="str">
        <x:v>T2</x:v>
      </x:c>
      <x:c r="E19" s="20" t="n">
        <x:v>10234</x:v>
      </x:c>
      <x:c r="F19" s="18" t="str">
        <x:v>persons/day</x:v>
      </x:c>
      <x:c r="G19" s="18" t="str">
        <x:v>FY2024</x:v>
      </x:c>
      <x:c r="H19" s="18" t="str">
        <x:v>否</x:v>
      </x:c>
      <x:c r="I19" s="19" t="str">
        <x:v>DAILY_ENTRIES_EXITS</x:v>
      </x:c>
      <x:c r="J19" s="19" t="str">
        <x:v>常磐線
磐越東線</x:v>
      </x:c>
      <x:c r="K19" s="18" t="str">
        <x:v>transport-node:babdcdae-0dab-55ea-a54f-657ada4887ab</x:v>
      </x:c>
      <x:c r="L19" s="19" t="str">
        <x:v>组件待审核</x:v>
      </x:c>
      <x:c r="M19" s="21" t="n">
        <x:v>37.05822</x:v>
      </x:c>
      <x:c r="N19" s="21" t="n">
        <x:v>140.892355</x:v>
      </x:c>
      <x:c r="O19" s="18" t="str">
        <x:v>001657</x:v>
      </x:c>
      <x:c r="P19" s="18" t="str">
        <x:v>常磐線</x:v>
      </x:c>
      <x:c r="Q19" s="19" t="str">
        <x:v>S12_061_GE_10000</x:v>
      </x:c>
      <x:c r="R19" s="19" t="str">
        <x:v>S12_061 usage threshold</x:v>
      </x:c>
      <x:c r="S19" s="19" t="str">
        <x:v>https://nlftp.mlit.go.jp/ksj/gml/datalist/KsjTmplt-S12-2024.html</x:v>
      </x:c>
      <x:c r="T19" s="19" t="str">
        <x:v>https://nlftp.mlit.go.jp/ksj/gml/datalist/KsjTmplt-S12-2024.html</x:v>
      </x:c>
      <x:c r="U19" s="19" t="str">
        <x:v>station-component|いわき|東日本旅客鉄道|conventional_rail|37.0582|140.8924|</x:v>
      </x:c>
      <x:c r="V19" s="19" t="str">
        <x:v>001657 / 001657 / 常磐線
001657 / 001658 / 磐越東線</x:v>
      </x:c>
      <x:c r="W19" s="18" t="str">
        <x:v>否</x:v>
      </x:c>
      <x:c r="X19" s="18" t="str">
        <x:v>0785e932a32b3ec15e1a1345537ae145eafe1c07bf38d5c16c11ee2b391e7a28</x:v>
      </x:c>
      <x:c r="Y19" s="20" t="n">
        <x:v>1</x:v>
      </x:c>
      <x:c r="Z19" s="20" t="n">
        <x:v>1</x:v>
      </x:c>
      <x:c r="AA19" s="19"/>
      <x:c r="AB19" s="18"/>
      <x:c r="AC19" s="19"/>
    </x:row>
    <x:row r="20" ht="33" customHeight="1">
      <x:c r="A20" s="18" t="str">
        <x:v>いわて沼宮内</x:v>
      </x:c>
      <x:c r="B20" s="18" t="str">
        <x:v>東日本旅客鉄道</x:v>
      </x:c>
      <x:c r="C20" s="18" t="str">
        <x:v>shinkansen</x:v>
      </x:c>
      <x:c r="D20" s="19" t="str">
        <x:v>T3</x:v>
      </x:c>
      <x:c r="E20" s="20" t="n">
        <x:v>150</x:v>
      </x:c>
      <x:c r="F20" s="18" t="str">
        <x:v>persons/day</x:v>
      </x:c>
      <x:c r="G20" s="18" t="str">
        <x:v>FY2024</x:v>
      </x:c>
      <x:c r="H20" s="18" t="str">
        <x:v>否</x:v>
      </x:c>
      <x:c r="I20" s="19" t="str">
        <x:v>DAILY_ENTRIES_EXITS</x:v>
      </x:c>
      <x:c r="J20" s="19" t="str">
        <x:v>東北新幹線</x:v>
      </x:c>
      <x:c r="K20" s="18" t="str">
        <x:v>transport-node:ac02da15-3621-58cb-aa0a-18898e72bf37</x:v>
      </x:c>
      <x:c r="L20" s="19" t="str">
        <x:v>组件待审核</x:v>
      </x:c>
      <x:c r="M20" s="21" t="n">
        <x:v>39.960615</x:v>
      </x:c>
      <x:c r="N20" s="21" t="n">
        <x:v>141.21742</x:v>
      </x:c>
      <x:c r="O20" s="18" t="str">
        <x:v>000733</x:v>
      </x:c>
      <x:c r="P20" s="18" t="str">
        <x:v>東北新幹線</x:v>
      </x:c>
      <x:c r="Q20" s="19" t="str">
        <x:v>SHINKANSEN</x:v>
      </x:c>
      <x:c r="R20" s="19" t="str">
        <x:v>S12_061 usage threshold; low-flow inclusion justified by Shinkansen inventory</x:v>
      </x:c>
      <x:c r="S20" s="19" t="str">
        <x:v>https://nlftp.mlit.go.jp/ksj/gml/datalist/KsjTmplt-S12-2024.html</x:v>
      </x:c>
      <x:c r="T20" s="19" t="str">
        <x:v>https://nlftp.mlit.go.jp/ksj/gml/datalist/KsjTmplt-S12-2024.html</x:v>
      </x:c>
      <x:c r="U20" s="19" t="str">
        <x:v>station-component|いわて沼宮内|東日本旅客鉄道|shinkansen|39.9606|141.2174|</x:v>
      </x:c>
      <x:c r="V20" s="19" t="str">
        <x:v>000733 / 000733 / 東北新幹線</x:v>
      </x:c>
      <x:c r="W20" s="18" t="str">
        <x:v>否</x:v>
      </x:c>
      <x:c r="X20" s="18" t="str">
        <x:v>0785e932a32b3ec15e1a1345537ae145eafe1c07bf38d5c16c11ee2b391e7a28</x:v>
      </x:c>
      <x:c r="Y20" s="20" t="n">
        <x:v>1</x:v>
      </x:c>
      <x:c r="Z20" s="20" t="n">
        <x:v>1</x:v>
      </x:c>
      <x:c r="AA20" s="19"/>
      <x:c r="AB20" s="18"/>
      <x:c r="AC20" s="19"/>
    </x:row>
    <x:row r="21" ht="28" customHeight="1">
      <x:c r="A21" s="18" t="str">
        <x:v>おごと温泉</x:v>
      </x:c>
      <x:c r="B21" s="18" t="str">
        <x:v>西日本旅客鉄道</x:v>
      </x:c>
      <x:c r="C21" s="18" t="str">
        <x:v>conventional_rail</x:v>
      </x:c>
      <x:c r="D21" s="19" t="str">
        <x:v>T2</x:v>
      </x:c>
      <x:c r="E21" s="20" t="n">
        <x:v>10894</x:v>
      </x:c>
      <x:c r="F21" s="18" t="str">
        <x:v>persons/day</x:v>
      </x:c>
      <x:c r="G21" s="18" t="str">
        <x:v>FY2024</x:v>
      </x:c>
      <x:c r="H21" s="18" t="str">
        <x:v>否</x:v>
      </x:c>
      <x:c r="I21" s="19" t="str">
        <x:v>DAILY_ENTRIES_EXITS</x:v>
      </x:c>
      <x:c r="J21" s="19" t="str">
        <x:v>湖西線</x:v>
      </x:c>
      <x:c r="K21" s="18" t="str">
        <x:v>transport-node:f518750f-720d-500a-ae89-94184624153d</x:v>
      </x:c>
      <x:c r="L21" s="19" t="str">
        <x:v>组件待审核</x:v>
      </x:c>
      <x:c r="M21" s="21" t="n">
        <x:v>35.096895</x:v>
      </x:c>
      <x:c r="N21" s="21" t="n">
        <x:v>135.8945625</x:v>
      </x:c>
      <x:c r="O21" s="18" t="str">
        <x:v>005708</x:v>
      </x:c>
      <x:c r="P21" s="18" t="str">
        <x:v>湖西線</x:v>
      </x:c>
      <x:c r="Q21" s="19" t="str">
        <x:v>S12_061_GE_10000</x:v>
      </x:c>
      <x:c r="R21" s="19" t="str">
        <x:v>S12_061 usage threshold</x:v>
      </x:c>
      <x:c r="S21" s="19" t="str">
        <x:v>https://nlftp.mlit.go.jp/ksj/gml/datalist/KsjTmplt-S12-2024.html</x:v>
      </x:c>
      <x:c r="T21" s="19" t="str">
        <x:v>https://nlftp.mlit.go.jp/ksj/gml/datalist/KsjTmplt-S12-2024.html</x:v>
      </x:c>
      <x:c r="U21" s="19" t="str">
        <x:v>station-component|おごと温泉|西日本旅客鉄道|conventional_rail|35.0969|135.8946|</x:v>
      </x:c>
      <x:c r="V21" s="19" t="str">
        <x:v>005708 / 005708 / 湖西線</x:v>
      </x:c>
      <x:c r="W21" s="18" t="str">
        <x:v>否</x:v>
      </x:c>
      <x:c r="X21" s="18" t="str">
        <x:v>0785e932a32b3ec15e1a1345537ae145eafe1c07bf38d5c16c11ee2b391e7a28</x:v>
      </x:c>
      <x:c r="Y21" s="20" t="n">
        <x:v>1</x:v>
      </x:c>
      <x:c r="Z21" s="20" t="n">
        <x:v>1</x:v>
      </x:c>
      <x:c r="AA21" s="19"/>
      <x:c r="AB21" s="18"/>
      <x:c r="AC21" s="19"/>
    </x:row>
    <x:row r="22" ht="28" customHeight="1">
      <x:c r="A22" s="18" t="str">
        <x:v>おもろまち</x:v>
      </x:c>
      <x:c r="B22" s="18" t="str">
        <x:v>沖縄都市モノレール</x:v>
      </x:c>
      <x:c r="C22" s="18" t="str">
        <x:v>fixed_guideway</x:v>
      </x:c>
      <x:c r="D22" s="19" t="str">
        <x:v>T2</x:v>
      </x:c>
      <x:c r="E22" s="20" t="n">
        <x:v>11563</x:v>
      </x:c>
      <x:c r="F22" s="18" t="str">
        <x:v>persons/day</x:v>
      </x:c>
      <x:c r="G22" s="18" t="str">
        <x:v>FY2024</x:v>
      </x:c>
      <x:c r="H22" s="18" t="str">
        <x:v>否</x:v>
      </x:c>
      <x:c r="I22" s="19" t="str">
        <x:v>DAILY_ENTRIES_EXITS</x:v>
      </x:c>
      <x:c r="J22" s="19" t="str">
        <x:v>沖縄都市モノレール線</x:v>
      </x:c>
      <x:c r="K22" s="18" t="str">
        <x:v>transport-node:6716a348-cc7f-51ee-9a50-7f3caebcfeba</x:v>
      </x:c>
      <x:c r="L22" s="19" t="str">
        <x:v>组件待审核</x:v>
      </x:c>
      <x:c r="M22" s="21" t="n">
        <x:v>26.22266</x:v>
      </x:c>
      <x:c r="N22" s="21" t="n">
        <x:v>127.69848</x:v>
      </x:c>
      <x:c r="O22" s="18" t="str">
        <x:v>010131</x:v>
      </x:c>
      <x:c r="P22" s="18" t="str">
        <x:v>沖縄都市モノレール線</x:v>
      </x:c>
      <x:c r="Q22" s="19" t="str">
        <x:v>S12_061_GE_10000</x:v>
      </x:c>
      <x:c r="R22" s="19" t="str">
        <x:v>S12_061 usage threshold</x:v>
      </x:c>
      <x:c r="S22" s="19" t="str">
        <x:v>https://nlftp.mlit.go.jp/ksj/gml/datalist/KsjTmplt-S12-2024.html</x:v>
      </x:c>
      <x:c r="T22" s="19" t="str">
        <x:v>https://nlftp.mlit.go.jp/ksj/gml/datalist/KsjTmplt-S12-2024.html</x:v>
      </x:c>
      <x:c r="U22" s="19" t="str">
        <x:v>station-component|おもろまち|沖縄都市モノレール|fixed_guideway|26.2227|127.6985|</x:v>
      </x:c>
      <x:c r="V22" s="19" t="str">
        <x:v>010131 / 010131 / 沖縄都市モノレール線</x:v>
      </x:c>
      <x:c r="W22" s="18" t="str">
        <x:v>否</x:v>
      </x:c>
      <x:c r="X22" s="18" t="str">
        <x:v>0785e932a32b3ec15e1a1345537ae145eafe1c07bf38d5c16c11ee2b391e7a28</x:v>
      </x:c>
      <x:c r="Y22" s="20" t="n">
        <x:v>1</x:v>
      </x:c>
      <x:c r="Z22" s="20" t="n">
        <x:v>1</x:v>
      </x:c>
      <x:c r="AA22" s="19"/>
      <x:c r="AB22" s="18"/>
      <x:c r="AC22" s="19"/>
    </x:row>
    <x:row r="23" ht="28" customHeight="1">
      <x:c r="A23" s="18" t="str">
        <x:v>お台場海浜公園</x:v>
      </x:c>
      <x:c r="B23" s="18" t="str">
        <x:v>ゆりかもめ</x:v>
      </x:c>
      <x:c r="C23" s="18" t="str">
        <x:v>fixed_guideway</x:v>
      </x:c>
      <x:c r="D23" s="19" t="str">
        <x:v>T2</x:v>
      </x:c>
      <x:c r="E23" s="20" t="n">
        <x:v>13435</x:v>
      </x:c>
      <x:c r="F23" s="18" t="str">
        <x:v>persons/day</x:v>
      </x:c>
      <x:c r="G23" s="18" t="str">
        <x:v>FY2024</x:v>
      </x:c>
      <x:c r="H23" s="18" t="str">
        <x:v>否</x:v>
      </x:c>
      <x:c r="I23" s="19" t="str">
        <x:v>DAILY_ENTRIES_EXITS</x:v>
      </x:c>
      <x:c r="J23" s="19" t="str">
        <x:v>東京臨海新交通臨海線</x:v>
      </x:c>
      <x:c r="K23" s="18" t="str">
        <x:v>transport-node:99164d0c-1078-5dae-8065-01766a1732b2</x:v>
      </x:c>
      <x:c r="L23" s="19" t="str">
        <x:v>组件待审核</x:v>
      </x:c>
      <x:c r="M23" s="21" t="n">
        <x:v>35.629805</x:v>
      </x:c>
      <x:c r="N23" s="21" t="n">
        <x:v>139.77853</x:v>
      </x:c>
      <x:c r="O23" s="18" t="str">
        <x:v>004091</x:v>
      </x:c>
      <x:c r="P23" s="18" t="str">
        <x:v>東京臨海新交通臨海線</x:v>
      </x:c>
      <x:c r="Q23" s="19" t="str">
        <x:v>S12_061_GE_10000</x:v>
      </x:c>
      <x:c r="R23" s="19" t="str">
        <x:v>S12_061 usage threshold</x:v>
      </x:c>
      <x:c r="S23" s="19" t="str">
        <x:v>https://nlftp.mlit.go.jp/ksj/gml/datalist/KsjTmplt-S12-2024.html</x:v>
      </x:c>
      <x:c r="T23" s="19" t="str">
        <x:v>https://nlftp.mlit.go.jp/ksj/gml/datalist/KsjTmplt-S12-2024.html</x:v>
      </x:c>
      <x:c r="U23" s="19" t="str">
        <x:v>station-component|お台場海浜公園|ゆりかもめ|fixed_guideway|35.6298|139.7785|</x:v>
      </x:c>
      <x:c r="V23" s="19" t="str">
        <x:v>004091 / 004091 / 東京臨海新交通臨海線</x:v>
      </x:c>
      <x:c r="W23" s="18" t="str">
        <x:v>否</x:v>
      </x:c>
      <x:c r="X23" s="18" t="str">
        <x:v>0785e932a32b3ec15e1a1345537ae145eafe1c07bf38d5c16c11ee2b391e7a28</x:v>
      </x:c>
      <x:c r="Y23" s="20" t="n">
        <x:v>1</x:v>
      </x:c>
      <x:c r="Z23" s="20" t="n">
        <x:v>1</x:v>
      </x:c>
      <x:c r="AA23" s="19"/>
      <x:c r="AB23" s="18"/>
      <x:c r="AC23" s="19"/>
    </x:row>
    <x:row r="24" ht="28" customHeight="1">
      <x:c r="A24" s="18" t="str">
        <x:v>お花茶屋</x:v>
      </x:c>
      <x:c r="B24" s="18" t="str">
        <x:v>京成電鉄</x:v>
      </x:c>
      <x:c r="C24" s="18" t="str">
        <x:v>private_rail</x:v>
      </x:c>
      <x:c r="D24" s="19" t="str">
        <x:v>T2</x:v>
      </x:c>
      <x:c r="E24" s="20" t="n">
        <x:v>32727</x:v>
      </x:c>
      <x:c r="F24" s="18" t="str">
        <x:v>persons/day</x:v>
      </x:c>
      <x:c r="G24" s="18" t="str">
        <x:v>FY2024</x:v>
      </x:c>
      <x:c r="H24" s="18" t="str">
        <x:v>否</x:v>
      </x:c>
      <x:c r="I24" s="19" t="str">
        <x:v>DAILY_ENTRIES_EXITS</x:v>
      </x:c>
      <x:c r="J24" s="19" t="str">
        <x:v>本線</x:v>
      </x:c>
      <x:c r="K24" s="18" t="str">
        <x:v>transport-node:f7e9d9e0-7665-5e50-bd51-165dcf6020cb</x:v>
      </x:c>
      <x:c r="L24" s="19" t="str">
        <x:v>组件待审核</x:v>
      </x:c>
      <x:c r="M24" s="21" t="n">
        <x:v>35.747615</x:v>
      </x:c>
      <x:c r="N24" s="21" t="n">
        <x:v>139.839885</x:v>
      </x:c>
      <x:c r="O24" s="18" t="str">
        <x:v>003274</x:v>
      </x:c>
      <x:c r="P24" s="18" t="str">
        <x:v>本線</x:v>
      </x:c>
      <x:c r="Q24" s="19" t="str">
        <x:v>S12_061_GE_10000</x:v>
      </x:c>
      <x:c r="R24" s="19" t="str">
        <x:v>S12_061 usage threshold</x:v>
      </x:c>
      <x:c r="S24" s="19" t="str">
        <x:v>https://nlftp.mlit.go.jp/ksj/gml/datalist/KsjTmplt-S12-2024.html</x:v>
      </x:c>
      <x:c r="T24" s="19" t="str">
        <x:v>https://nlftp.mlit.go.jp/ksj/gml/datalist/KsjTmplt-S12-2024.html</x:v>
      </x:c>
      <x:c r="U24" s="19" t="str">
        <x:v>station-component|お花茶屋|京成電鉄|private_rail|35.7476|139.8399|</x:v>
      </x:c>
      <x:c r="V24" s="19" t="str">
        <x:v>003274 / 003274 / 本線</x:v>
      </x:c>
      <x:c r="W24" s="18" t="str">
        <x:v>否</x:v>
      </x:c>
      <x:c r="X24" s="18" t="str">
        <x:v>0785e932a32b3ec15e1a1345537ae145eafe1c07bf38d5c16c11ee2b391e7a28</x:v>
      </x:c>
      <x:c r="Y24" s="20" t="n">
        <x:v>1</x:v>
      </x:c>
      <x:c r="Z24" s="20" t="n">
        <x:v>1</x:v>
      </x:c>
      <x:c r="AA24" s="19"/>
      <x:c r="AB24" s="18"/>
      <x:c r="AC24" s="19"/>
    </x:row>
    <x:row r="25" ht="28" customHeight="1">
      <x:c r="A25" s="18" t="str">
        <x:v>かしわ台</x:v>
      </x:c>
      <x:c r="B25" s="18" t="str">
        <x:v>相模鉄道</x:v>
      </x:c>
      <x:c r="C25" s="18" t="str">
        <x:v>private_rail</x:v>
      </x:c>
      <x:c r="D25" s="19" t="str">
        <x:v>T2</x:v>
      </x:c>
      <x:c r="E25" s="20" t="n">
        <x:v>17548</x:v>
      </x:c>
      <x:c r="F25" s="18" t="str">
        <x:v>persons/day</x:v>
      </x:c>
      <x:c r="G25" s="18" t="str">
        <x:v>FY2024</x:v>
      </x:c>
      <x:c r="H25" s="18" t="str">
        <x:v>否</x:v>
      </x:c>
      <x:c r="I25" s="19" t="str">
        <x:v>DAILY_ENTRIES_EXITS</x:v>
      </x:c>
      <x:c r="J25" s="19" t="str">
        <x:v>相鉄本線</x:v>
      </x:c>
      <x:c r="K25" s="18" t="str">
        <x:v>transport-node:8a55ff0a-04de-5d78-8d53-ce530ac896df</x:v>
      </x:c>
      <x:c r="L25" s="19" t="str">
        <x:v>组件待审核</x:v>
      </x:c>
      <x:c r="M25" s="21" t="n">
        <x:v>35.466845</x:v>
      </x:c>
      <x:c r="N25" s="21" t="n">
        <x:v>139.415885</x:v>
      </x:c>
      <x:c r="O25" s="18" t="str">
        <x:v>004626</x:v>
      </x:c>
      <x:c r="P25" s="18" t="str">
        <x:v>相鉄本線</x:v>
      </x:c>
      <x:c r="Q25" s="19" t="str">
        <x:v>S12_061_GE_10000</x:v>
      </x:c>
      <x:c r="R25" s="19" t="str">
        <x:v>S12_061 usage threshold</x:v>
      </x:c>
      <x:c r="S25" s="19" t="str">
        <x:v>https://nlftp.mlit.go.jp/ksj/gml/datalist/KsjTmplt-S12-2024.html</x:v>
      </x:c>
      <x:c r="T25" s="19" t="str">
        <x:v>https://nlftp.mlit.go.jp/ksj/gml/datalist/KsjTmplt-S12-2024.html</x:v>
      </x:c>
      <x:c r="U25" s="19" t="str">
        <x:v>station-component|かしわ台|相模鉄道|private_rail|35.4668|139.4159|</x:v>
      </x:c>
      <x:c r="V25" s="19" t="str">
        <x:v>004626 / 004626 / 相鉄本線</x:v>
      </x:c>
      <x:c r="W25" s="18" t="str">
        <x:v>否</x:v>
      </x:c>
      <x:c r="X25" s="18" t="str">
        <x:v>0785e932a32b3ec15e1a1345537ae145eafe1c07bf38d5c16c11ee2b391e7a28</x:v>
      </x:c>
      <x:c r="Y25" s="20" t="n">
        <x:v>1</x:v>
      </x:c>
      <x:c r="Z25" s="20" t="n">
        <x:v>1</x:v>
      </x:c>
      <x:c r="AA25" s="19"/>
      <x:c r="AB25" s="18"/>
      <x:c r="AC25" s="19"/>
    </x:row>
    <x:row r="26" ht="33" customHeight="1">
      <x:c r="A26" s="18" t="str">
        <x:v>くりこま高原</x:v>
      </x:c>
      <x:c r="B26" s="18" t="str">
        <x:v>東日本旅客鉄道</x:v>
      </x:c>
      <x:c r="C26" s="18" t="str">
        <x:v>shinkansen</x:v>
      </x:c>
      <x:c r="D26" s="19" t="str">
        <x:v>T3</x:v>
      </x:c>
      <x:c r="E26" s="20" t="n">
        <x:v>1822</x:v>
      </x:c>
      <x:c r="F26" s="18" t="str">
        <x:v>persons/day</x:v>
      </x:c>
      <x:c r="G26" s="18" t="str">
        <x:v>FY2024</x:v>
      </x:c>
      <x:c r="H26" s="18" t="str">
        <x:v>否</x:v>
      </x:c>
      <x:c r="I26" s="19" t="str">
        <x:v>DAILY_ENTRIES_EXITS</x:v>
      </x:c>
      <x:c r="J26" s="19" t="str">
        <x:v>東北新幹線</x:v>
      </x:c>
      <x:c r="K26" s="18" t="str">
        <x:v>transport-node:fa5eb315-ac54-5011-9d3b-419d2b945e7e</x:v>
      </x:c>
      <x:c r="L26" s="19" t="str">
        <x:v>组件待审核</x:v>
      </x:c>
      <x:c r="M26" s="21" t="n">
        <x:v>38.7482286</x:v>
      </x:c>
      <x:c r="N26" s="21" t="n">
        <x:v>141.0712186</x:v>
      </x:c>
      <x:c r="O26" s="18" t="str">
        <x:v>001011</x:v>
      </x:c>
      <x:c r="P26" s="18" t="str">
        <x:v>東北新幹線</x:v>
      </x:c>
      <x:c r="Q26" s="19" t="str">
        <x:v>SHINKANSEN</x:v>
      </x:c>
      <x:c r="R26" s="19" t="str">
        <x:v>S12_061 usage threshold; low-flow inclusion justified by Shinkansen inventory</x:v>
      </x:c>
      <x:c r="S26" s="19" t="str">
        <x:v>https://nlftp.mlit.go.jp/ksj/gml/datalist/KsjTmplt-S12-2024.html</x:v>
      </x:c>
      <x:c r="T26" s="19" t="str">
        <x:v>https://nlftp.mlit.go.jp/ksj/gml/datalist/KsjTmplt-S12-2024.html</x:v>
      </x:c>
      <x:c r="U26" s="19" t="str">
        <x:v>station-component|くりこま高原|東日本旅客鉄道|shinkansen|38.7482|141.0712|</x:v>
      </x:c>
      <x:c r="V26" s="19" t="str">
        <x:v>001011 / 001011 / 東北新幹線</x:v>
      </x:c>
      <x:c r="W26" s="18" t="str">
        <x:v>否</x:v>
      </x:c>
      <x:c r="X26" s="18" t="str">
        <x:v>0785e932a32b3ec15e1a1345537ae145eafe1c07bf38d5c16c11ee2b391e7a28</x:v>
      </x:c>
      <x:c r="Y26" s="20" t="n">
        <x:v>1</x:v>
      </x:c>
      <x:c r="Z26" s="20" t="n">
        <x:v>1</x:v>
      </x:c>
      <x:c r="AA26" s="19"/>
      <x:c r="AB26" s="18"/>
      <x:c r="AC26" s="19"/>
    </x:row>
    <x:row r="27" ht="28" customHeight="1">
      <x:c r="A27" s="18" t="str">
        <x:v>こどもの国</x:v>
      </x:c>
      <x:c r="B27" s="18" t="str">
        <x:v>東急電鉄</x:v>
      </x:c>
      <x:c r="C27" s="18" t="str">
        <x:v>private_rail</x:v>
      </x:c>
      <x:c r="D27" s="19" t="str">
        <x:v>T2</x:v>
      </x:c>
      <x:c r="E27" s="20" t="n">
        <x:v>10174</x:v>
      </x:c>
      <x:c r="F27" s="18" t="str">
        <x:v>persons/day</x:v>
      </x:c>
      <x:c r="G27" s="18" t="str">
        <x:v>FY2024</x:v>
      </x:c>
      <x:c r="H27" s="18" t="str">
        <x:v>否</x:v>
      </x:c>
      <x:c r="I27" s="19" t="str">
        <x:v>DAILY_ENTRIES_EXITS</x:v>
      </x:c>
      <x:c r="J27" s="19" t="str">
        <x:v>こどもの国線</x:v>
      </x:c>
      <x:c r="K27" s="18" t="str">
        <x:v>transport-node:23e29e08-2f80-54b5-9220-caaef82e9a67</x:v>
      </x:c>
      <x:c r="L27" s="19" t="str">
        <x:v>组件待审核</x:v>
      </x:c>
      <x:c r="M27" s="21" t="n">
        <x:v>35.558</x:v>
      </x:c>
      <x:c r="N27" s="21" t="n">
        <x:v>139.486665</x:v>
      </x:c>
      <x:c r="O27" s="18" t="str">
        <x:v>004341</x:v>
      </x:c>
      <x:c r="P27" s="18" t="str">
        <x:v>こどもの国線</x:v>
      </x:c>
      <x:c r="Q27" s="19" t="str">
        <x:v>S12_061_GE_10000</x:v>
      </x:c>
      <x:c r="R27" s="19" t="str">
        <x:v>S12_061 usage threshold</x:v>
      </x:c>
      <x:c r="S27" s="19" t="str">
        <x:v>https://nlftp.mlit.go.jp/ksj/gml/datalist/KsjTmplt-S12-2024.html</x:v>
      </x:c>
      <x:c r="T27" s="19" t="str">
        <x:v>https://nlftp.mlit.go.jp/ksj/gml/datalist/KsjTmplt-S12-2024.html</x:v>
      </x:c>
      <x:c r="U27" s="19" t="str">
        <x:v>station-component|こどもの国|東急電鉄|private_rail|35.5580|139.4867|</x:v>
      </x:c>
      <x:c r="V27" s="19" t="str">
        <x:v>004341 / 004341 / こどもの国線</x:v>
      </x:c>
      <x:c r="W27" s="18" t="str">
        <x:v>否</x:v>
      </x:c>
      <x:c r="X27" s="18" t="str">
        <x:v>0785e932a32b3ec15e1a1345537ae145eafe1c07bf38d5c16c11ee2b391e7a28</x:v>
      </x:c>
      <x:c r="Y27" s="20" t="n">
        <x:v>1</x:v>
      </x:c>
      <x:c r="Z27" s="20" t="n">
        <x:v>1</x:v>
      </x:c>
      <x:c r="AA27" s="19"/>
      <x:c r="AB27" s="18"/>
      <x:c r="AC27" s="19"/>
    </x:row>
    <x:row r="28" ht="28" customHeight="1">
      <x:c r="A28" s="18" t="str">
        <x:v>さいたま新都心</x:v>
      </x:c>
      <x:c r="B28" s="18" t="str">
        <x:v>東日本旅客鉄道</x:v>
      </x:c>
      <x:c r="C28" s="18" t="str">
        <x:v>conventional_rail</x:v>
      </x:c>
      <x:c r="D28" s="19" t="str">
        <x:v>T1</x:v>
      </x:c>
      <x:c r="E28" s="20" t="n">
        <x:v>107440</x:v>
      </x:c>
      <x:c r="F28" s="18" t="str">
        <x:v>persons/day</x:v>
      </x:c>
      <x:c r="G28" s="18" t="str">
        <x:v>FY2024</x:v>
      </x:c>
      <x:c r="H28" s="18" t="str">
        <x:v>否</x:v>
      </x:c>
      <x:c r="I28" s="19" t="str">
        <x:v>DAILY_ENTRIES_EXITS</x:v>
      </x:c>
      <x:c r="J28" s="19" t="str">
        <x:v>東北線</x:v>
      </x:c>
      <x:c r="K28" s="18" t="str">
        <x:v>transport-node:c6d3a205-28ea-5f67-b096-cdfeca7e1fe6</x:v>
      </x:c>
      <x:c r="L28" s="19" t="str">
        <x:v>组件待审核</x:v>
      </x:c>
      <x:c r="M28" s="21" t="n">
        <x:v>35.893595</x:v>
      </x:c>
      <x:c r="N28" s="21" t="n">
        <x:v>139.6339</x:v>
      </x:c>
      <x:c r="O28" s="18" t="str">
        <x:v>002934</x:v>
      </x:c>
      <x:c r="P28" s="18" t="str">
        <x:v>東北線</x:v>
      </x:c>
      <x:c r="Q28" s="19" t="str">
        <x:v>S12_061_GE_10000</x:v>
      </x:c>
      <x:c r="R28" s="19" t="str">
        <x:v>S12_061 usage threshold</x:v>
      </x:c>
      <x:c r="S28" s="19" t="str">
        <x:v>https://nlftp.mlit.go.jp/ksj/gml/datalist/KsjTmplt-S12-2024.html</x:v>
      </x:c>
      <x:c r="T28" s="19" t="str">
        <x:v>https://nlftp.mlit.go.jp/ksj/gml/datalist/KsjTmplt-S12-2024.html</x:v>
      </x:c>
      <x:c r="U28" s="19" t="str">
        <x:v>station-component|さいたま新都心|東日本旅客鉄道|conventional_rail|35.8936|139.6339|</x:v>
      </x:c>
      <x:c r="V28" s="19" t="str">
        <x:v>002934 / 002934 / 東北線</x:v>
      </x:c>
      <x:c r="W28" s="18" t="str">
        <x:v>否</x:v>
      </x:c>
      <x:c r="X28" s="18" t="str">
        <x:v>0785e932a32b3ec15e1a1345537ae145eafe1c07bf38d5c16c11ee2b391e7a28</x:v>
      </x:c>
      <x:c r="Y28" s="20" t="n">
        <x:v>1</x:v>
      </x:c>
      <x:c r="Z28" s="20" t="n">
        <x:v>1</x:v>
      </x:c>
      <x:c r="AA28" s="19"/>
      <x:c r="AB28" s="18"/>
      <x:c r="AC28" s="19"/>
    </x:row>
    <x:row r="29" ht="28" customHeight="1">
      <x:c r="A29" s="18" t="str">
        <x:v>さがみ野</x:v>
      </x:c>
      <x:c r="B29" s="18" t="str">
        <x:v>相模鉄道</x:v>
      </x:c>
      <x:c r="C29" s="18" t="str">
        <x:v>private_rail</x:v>
      </x:c>
      <x:c r="D29" s="19" t="str">
        <x:v>T2</x:v>
      </x:c>
      <x:c r="E29" s="20" t="n">
        <x:v>33888</x:v>
      </x:c>
      <x:c r="F29" s="18" t="str">
        <x:v>persons/day</x:v>
      </x:c>
      <x:c r="G29" s="18" t="str">
        <x:v>FY2024</x:v>
      </x:c>
      <x:c r="H29" s="18" t="str">
        <x:v>否</x:v>
      </x:c>
      <x:c r="I29" s="19" t="str">
        <x:v>DAILY_ENTRIES_EXITS</x:v>
      </x:c>
      <x:c r="J29" s="19" t="str">
        <x:v>相鉄本線</x:v>
      </x:c>
      <x:c r="K29" s="18" t="str">
        <x:v>transport-node:40d537f8-d2d7-57c1-a5b3-826efc04cd97</x:v>
      </x:c>
      <x:c r="L29" s="19" t="str">
        <x:v>组件待审核</x:v>
      </x:c>
      <x:c r="M29" s="21" t="n">
        <x:v>35.47151</x:v>
      </x:c>
      <x:c r="N29" s="21" t="n">
        <x:v>139.428696</x:v>
      </x:c>
      <x:c r="O29" s="18" t="str">
        <x:v>004611</x:v>
      </x:c>
      <x:c r="P29" s="18" t="str">
        <x:v>相鉄本線</x:v>
      </x:c>
      <x:c r="Q29" s="19" t="str">
        <x:v>S12_061_GE_10000</x:v>
      </x:c>
      <x:c r="R29" s="19" t="str">
        <x:v>S12_061 usage threshold</x:v>
      </x:c>
      <x:c r="S29" s="19" t="str">
        <x:v>https://nlftp.mlit.go.jp/ksj/gml/datalist/KsjTmplt-S12-2024.html</x:v>
      </x:c>
      <x:c r="T29" s="19" t="str">
        <x:v>https://nlftp.mlit.go.jp/ksj/gml/datalist/KsjTmplt-S12-2024.html</x:v>
      </x:c>
      <x:c r="U29" s="19" t="str">
        <x:v>station-component|さがみ野|相模鉄道|private_rail|35.4715|139.4287|</x:v>
      </x:c>
      <x:c r="V29" s="19" t="str">
        <x:v>004611 / 004611 / 相鉄本線</x:v>
      </x:c>
      <x:c r="W29" s="18" t="str">
        <x:v>否</x:v>
      </x:c>
      <x:c r="X29" s="18" t="str">
        <x:v>0785e932a32b3ec15e1a1345537ae145eafe1c07bf38d5c16c11ee2b391e7a28</x:v>
      </x:c>
      <x:c r="Y29" s="20" t="n">
        <x:v>1</x:v>
      </x:c>
      <x:c r="Z29" s="20" t="n">
        <x:v>1</x:v>
      </x:c>
      <x:c r="AA29" s="19"/>
      <x:c r="AB29" s="18"/>
      <x:c r="AC29" s="19"/>
    </x:row>
    <x:row r="30" ht="28" customHeight="1">
      <x:c r="A30" s="18" t="str">
        <x:v>さくら夙川</x:v>
      </x:c>
      <x:c r="B30" s="18" t="str">
        <x:v>西日本旅客鉄道</x:v>
      </x:c>
      <x:c r="C30" s="18" t="str">
        <x:v>conventional_rail</x:v>
      </x:c>
      <x:c r="D30" s="19" t="str">
        <x:v>T2</x:v>
      </x:c>
      <x:c r="E30" s="20" t="n">
        <x:v>16002</x:v>
      </x:c>
      <x:c r="F30" s="18" t="str">
        <x:v>persons/day</x:v>
      </x:c>
      <x:c r="G30" s="18" t="str">
        <x:v>FY2024</x:v>
      </x:c>
      <x:c r="H30" s="18" t="str">
        <x:v>否</x:v>
      </x:c>
      <x:c r="I30" s="19" t="str">
        <x:v>DAILY_ENTRIES_EXITS</x:v>
      </x:c>
      <x:c r="J30" s="19" t="str">
        <x:v>東海道線</x:v>
      </x:c>
      <x:c r="K30" s="18" t="str">
        <x:v>transport-node:133abe06-b87e-50c1-99b7-5725de77f293</x:v>
      </x:c>
      <x:c r="L30" s="19" t="str">
        <x:v>组件待审核</x:v>
      </x:c>
      <x:c r="M30" s="21" t="n">
        <x:v>34.739035</x:v>
      </x:c>
      <x:c r="N30" s="21" t="n">
        <x:v>135.3312675</x:v>
      </x:c>
      <x:c r="O30" s="18" t="str">
        <x:v>006880</x:v>
      </x:c>
      <x:c r="P30" s="18" t="str">
        <x:v>東海道線</x:v>
      </x:c>
      <x:c r="Q30" s="19" t="str">
        <x:v>S12_061_GE_10000</x:v>
      </x:c>
      <x:c r="R30" s="19" t="str">
        <x:v>S12_061 usage threshold</x:v>
      </x:c>
      <x:c r="S30" s="19" t="str">
        <x:v>https://nlftp.mlit.go.jp/ksj/gml/datalist/KsjTmplt-S12-2024.html</x:v>
      </x:c>
      <x:c r="T30" s="19" t="str">
        <x:v>https://nlftp.mlit.go.jp/ksj/gml/datalist/KsjTmplt-S12-2024.html</x:v>
      </x:c>
      <x:c r="U30" s="19" t="str">
        <x:v>station-component|さくら夙川|西日本旅客鉄道|conventional_rail|34.7390|135.3313|</x:v>
      </x:c>
      <x:c r="V30" s="19" t="str">
        <x:v>006880 / 006880 / 東海道線</x:v>
      </x:c>
      <x:c r="W30" s="18" t="str">
        <x:v>否</x:v>
      </x:c>
      <x:c r="X30" s="18" t="str">
        <x:v>0785e932a32b3ec15e1a1345537ae145eafe1c07bf38d5c16c11ee2b391e7a28</x:v>
      </x:c>
      <x:c r="Y30" s="20" t="n">
        <x:v>1</x:v>
      </x:c>
      <x:c r="Z30" s="20" t="n">
        <x:v>1</x:v>
      </x:c>
      <x:c r="AA30" s="19"/>
      <x:c r="AB30" s="18"/>
      <x:c r="AC30" s="19"/>
    </x:row>
    <x:row r="31" ht="33" customHeight="1">
      <x:c r="A31" s="18" t="str">
        <x:v>さっぽろ</x:v>
      </x:c>
      <x:c r="B31" s="18" t="str">
        <x:v>札幌市</x:v>
      </x:c>
      <x:c r="C31" s="18" t="str">
        <x:v>metro</x:v>
      </x:c>
      <x:c r="D31" s="19" t="str">
        <x:v>T1</x:v>
      </x:c>
      <x:c r="E31" s="20" t="n">
        <x:v>161272</x:v>
      </x:c>
      <x:c r="F31" s="18" t="str">
        <x:v>persons/day</x:v>
      </x:c>
      <x:c r="G31" s="18" t="str">
        <x:v>FY2024</x:v>
      </x:c>
      <x:c r="H31" s="18" t="str">
        <x:v>否</x:v>
      </x:c>
      <x:c r="I31" s="19" t="str">
        <x:v>DAILY_ENTRIES_EXITS</x:v>
      </x:c>
      <x:c r="J31" s="19" t="str">
        <x:v>南北線
東豊線</x:v>
      </x:c>
      <x:c r="K31" s="18" t="str">
        <x:v>transport-node:3dddce3a-15dd-5d20-a731-caecbfdb75f4</x:v>
      </x:c>
      <x:c r="L31" s="19" t="str">
        <x:v>组件待审核</x:v>
      </x:c>
      <x:c r="M31" s="21" t="n">
        <x:v>43.06586</x:v>
      </x:c>
      <x:c r="N31" s="21" t="n">
        <x:v>141.350665</x:v>
      </x:c>
      <x:c r="O31" s="18" t="str">
        <x:v>000229</x:v>
      </x:c>
      <x:c r="P31" s="18" t="str">
        <x:v>南北線</x:v>
      </x:c>
      <x:c r="Q31" s="19" t="str">
        <x:v>S12_061_GE_10000
OFFICIAL_HUB_COMPONENT_REVIEW</x:v>
      </x:c>
      <x:c r="R31" s="19" t="str">
        <x:v>S12_061 usage threshold</x:v>
      </x:c>
      <x:c r="S31" s="19" t="str">
        <x:v>https://nlftp.mlit.go.jp/ksj/gml/datalist/KsjTmplt-S12-2024.html</x:v>
      </x:c>
      <x:c r="T31" s="19" t="str">
        <x:v>https://nlftp.mlit.go.jp/ksj/gml/datalist/KsjTmplt-S12-2024.html
https://www.city.sapporo.jp/st/documents/sapporoshinzyuuhachituika.pdf</x:v>
      </x:c>
      <x:c r="U31" s="19" t="str">
        <x:v>station-component|さっぽろ|札幌市|metro|43.0659|141.3507|</x:v>
      </x:c>
      <x:c r="V31" s="19" t="str">
        <x:v>000228 / 000228 / 東豊線
000228 / 000229 / 南北線</x:v>
      </x:c>
      <x:c r="W31" s="18" t="str">
        <x:v>否</x:v>
      </x:c>
      <x:c r="X31" s="18" t="str">
        <x:v>0785e932a32b3ec15e1a1345537ae145eafe1c07bf38d5c16c11ee2b391e7a28</x:v>
      </x:c>
      <x:c r="Y31" s="20" t="n">
        <x:v>1</x:v>
      </x:c>
      <x:c r="Z31" s="20" t="n">
        <x:v>1</x:v>
      </x:c>
      <x:c r="AA31" s="19" t="str">
        <x:v>札幌</x:v>
      </x:c>
      <x:c r="AB31" s="18" t="str">
        <x:v>transport-hub-review:9eab907a-6cf8-5c28-9afb-ca17ea88d288</x:v>
      </x:c>
      <x:c r="AC31" s="19"/>
    </x:row>
    <x:row r="32" ht="33" customHeight="1">
      <x:c r="A32" s="18" t="str">
        <x:v>すすきの</x:v>
      </x:c>
      <x:c r="B32" s="18" t="str">
        <x:v>一般社団法人札幌市交通事業振興公社</x:v>
      </x:c>
      <x:c r="C32" s="18" t="str">
        <x:v>tram</x:v>
      </x:c>
      <x:c r="D32" s="19" t="str">
        <x:v>T3</x:v>
      </x:c>
      <x:c r="E32" s="20" t="n">
        <x:v>4812</x:v>
      </x:c>
      <x:c r="F32" s="18" t="str">
        <x:v>persons/day</x:v>
      </x:c>
      <x:c r="G32" s="18" t="str">
        <x:v>FY2024</x:v>
      </x:c>
      <x:c r="H32" s="18" t="str">
        <x:v>否</x:v>
      </x:c>
      <x:c r="I32" s="19" t="str">
        <x:v>DAILY_ENTRIES_EXITS</x:v>
      </x:c>
      <x:c r="J32" s="19" t="str">
        <x:v>山鼻線
都心線</x:v>
      </x:c>
      <x:c r="K32" s="18" t="str">
        <x:v>transport-node:c22af0fe-ee2e-5692-826e-c20d566e6bb0</x:v>
      </x:c>
      <x:c r="L32" s="19" t="str">
        <x:v>组件待审核</x:v>
      </x:c>
      <x:c r="M32" s="21" t="n">
        <x:v>43.05556</x:v>
      </x:c>
      <x:c r="N32" s="21" t="n">
        <x:v>141.35273</x:v>
      </x:c>
      <x:c r="O32" s="18" t="str">
        <x:v>000251</x:v>
      </x:c>
      <x:c r="P32" s="18" t="str">
        <x:v>山鼻線</x:v>
      </x:c>
      <x:c r="Q32" s="19" t="str">
        <x:v>OFFICIAL_HUB_COMPONENT_REVIEW</x:v>
      </x:c>
      <x:c r="R32" s="19" t="str">
        <x:v>S12_061 usage threshold; low-flow inclusion justified by official Hub component review</x:v>
      </x:c>
      <x:c r="S32" s="19" t="str">
        <x:v>https://nlftp.mlit.go.jp/ksj/gml/datalist/KsjTmplt-S12-2024.html</x:v>
      </x:c>
      <x:c r="T32" s="19" t="str">
        <x:v>https://nlftp.mlit.go.jp/ksj/gml/datalist/KsjTmplt-S12-2024.html
https://www.city.sapporo.jp/st/subway/ekikonaizu/documents/n08sususkino20240202.pdf</x:v>
      </x:c>
      <x:c r="U32" s="19" t="str">
        <x:v>station-component|すすきの|一般社団法人札幌市交通事業振興公社|tram|43.0556|141.3527|</x:v>
      </x:c>
      <x:c r="V32" s="19" t="str">
        <x:v>000251 / 000251 / 山鼻線
000251 / 000252 / 都心線</x:v>
      </x:c>
      <x:c r="W32" s="18" t="str">
        <x:v>否</x:v>
      </x:c>
      <x:c r="X32" s="18" t="str">
        <x:v>0785e932a32b3ec15e1a1345537ae145eafe1c07bf38d5c16c11ee2b391e7a28</x:v>
      </x:c>
      <x:c r="Y32" s="20" t="n">
        <x:v>1</x:v>
      </x:c>
      <x:c r="Z32" s="20" t="n">
        <x:v>1</x:v>
      </x:c>
      <x:c r="AA32" s="19" t="str">
        <x:v>すすきの</x:v>
      </x:c>
      <x:c r="AB32" s="18" t="str">
        <x:v>transport-hub-review:adcf37b5-db00-59d6-8503-e542fe151a53</x:v>
      </x:c>
      <x:c r="AC32" s="19"/>
    </x:row>
    <x:row r="33" ht="33" customHeight="1">
      <x:c r="A33" s="18" t="str">
        <x:v>すすきの</x:v>
      </x:c>
      <x:c r="B33" s="18" t="str">
        <x:v>札幌市</x:v>
      </x:c>
      <x:c r="C33" s="18" t="str">
        <x:v>metro</x:v>
      </x:c>
      <x:c r="D33" s="19" t="str">
        <x:v>T2</x:v>
      </x:c>
      <x:c r="E33" s="20" t="n">
        <x:v>39970</x:v>
      </x:c>
      <x:c r="F33" s="18" t="str">
        <x:v>persons/day</x:v>
      </x:c>
      <x:c r="G33" s="18" t="str">
        <x:v>FY2024</x:v>
      </x:c>
      <x:c r="H33" s="18" t="str">
        <x:v>否</x:v>
      </x:c>
      <x:c r="I33" s="19" t="str">
        <x:v>DAILY_ENTRIES_EXITS</x:v>
      </x:c>
      <x:c r="J33" s="19" t="str">
        <x:v>南北線</x:v>
      </x:c>
      <x:c r="K33" s="18" t="str">
        <x:v>transport-node:1a4b90cc-3aea-5f3f-9fd8-59a7fd0635e3</x:v>
      </x:c>
      <x:c r="L33" s="19" t="str">
        <x:v>组件待审核</x:v>
      </x:c>
      <x:c r="M33" s="21" t="n">
        <x:v>43.0553</x:v>
      </x:c>
      <x:c r="N33" s="21" t="n">
        <x:v>141.353365</x:v>
      </x:c>
      <x:c r="O33" s="18" t="str">
        <x:v>000253</x:v>
      </x:c>
      <x:c r="P33" s="18" t="str">
        <x:v>南北線</x:v>
      </x:c>
      <x:c r="Q33" s="19" t="str">
        <x:v>S12_061_GE_10000
OFFICIAL_HUB_COMPONENT_REVIEW</x:v>
      </x:c>
      <x:c r="R33" s="19" t="str">
        <x:v>S12_061 usage threshold</x:v>
      </x:c>
      <x:c r="S33" s="19" t="str">
        <x:v>https://nlftp.mlit.go.jp/ksj/gml/datalist/KsjTmplt-S12-2024.html</x:v>
      </x:c>
      <x:c r="T33" s="19" t="str">
        <x:v>https://nlftp.mlit.go.jp/ksj/gml/datalist/KsjTmplt-S12-2024.html
https://www.city.sapporo.jp/st/subway/ekikonaizu/documents/n08sususkino20240202.pdf</x:v>
      </x:c>
      <x:c r="U33" s="19" t="str">
        <x:v>station-component|すすきの|札幌市|metro|43.0553|141.3534|</x:v>
      </x:c>
      <x:c r="V33" s="19" t="str">
        <x:v>000251 / 000253 / 南北線</x:v>
      </x:c>
      <x:c r="W33" s="18" t="str">
        <x:v>否</x:v>
      </x:c>
      <x:c r="X33" s="18" t="str">
        <x:v>0785e932a32b3ec15e1a1345537ae145eafe1c07bf38d5c16c11ee2b391e7a28</x:v>
      </x:c>
      <x:c r="Y33" s="20" t="n">
        <x:v>1</x:v>
      </x:c>
      <x:c r="Z33" s="20" t="n">
        <x:v>1</x:v>
      </x:c>
      <x:c r="AA33" s="19" t="str">
        <x:v>すすきの</x:v>
      </x:c>
      <x:c r="AB33" s="18" t="str">
        <x:v>transport-hub-review:adcf37b5-db00-59d6-8503-e542fe151a53</x:v>
      </x:c>
      <x:c r="AC33" s="19"/>
    </x:row>
    <x:row r="34" ht="28" customHeight="1">
      <x:c r="A34" s="18" t="str">
        <x:v>すずかけ台</x:v>
      </x:c>
      <x:c r="B34" s="18" t="str">
        <x:v>東急電鉄</x:v>
      </x:c>
      <x:c r="C34" s="18" t="str">
        <x:v>private_rail</x:v>
      </x:c>
      <x:c r="D34" s="19" t="str">
        <x:v>T2</x:v>
      </x:c>
      <x:c r="E34" s="20" t="n">
        <x:v>10465</x:v>
      </x:c>
      <x:c r="F34" s="18" t="str">
        <x:v>persons/day</x:v>
      </x:c>
      <x:c r="G34" s="18" t="str">
        <x:v>FY2024</x:v>
      </x:c>
      <x:c r="H34" s="18" t="str">
        <x:v>否</x:v>
      </x:c>
      <x:c r="I34" s="19" t="str">
        <x:v>DAILY_ENTRIES_EXITS</x:v>
      </x:c>
      <x:c r="J34" s="19" t="str">
        <x:v>田園都市線</x:v>
      </x:c>
      <x:c r="K34" s="18" t="str">
        <x:v>transport-node:3656a00b-7311-545e-a964-84a4f9b9307c</x:v>
      </x:c>
      <x:c r="L34" s="19" t="str">
        <x:v>组件待审核</x:v>
      </x:c>
      <x:c r="M34" s="21" t="n">
        <x:v>35.5170975</x:v>
      </x:c>
      <x:c r="N34" s="21" t="n">
        <x:v>139.4817475</x:v>
      </x:c>
      <x:c r="O34" s="18" t="str">
        <x:v>004466</x:v>
      </x:c>
      <x:c r="P34" s="18" t="str">
        <x:v>田園都市線</x:v>
      </x:c>
      <x:c r="Q34" s="19" t="str">
        <x:v>S12_061_GE_10000</x:v>
      </x:c>
      <x:c r="R34" s="19" t="str">
        <x:v>S12_061 usage threshold</x:v>
      </x:c>
      <x:c r="S34" s="19" t="str">
        <x:v>https://nlftp.mlit.go.jp/ksj/gml/datalist/KsjTmplt-S12-2024.html</x:v>
      </x:c>
      <x:c r="T34" s="19" t="str">
        <x:v>https://nlftp.mlit.go.jp/ksj/gml/datalist/KsjTmplt-S12-2024.html</x:v>
      </x:c>
      <x:c r="U34" s="19" t="str">
        <x:v>station-component|すずかけ台|東急電鉄|private_rail|35.5171|139.4817|</x:v>
      </x:c>
      <x:c r="V34" s="19" t="str">
        <x:v>004466 / 004466 / 田園都市線</x:v>
      </x:c>
      <x:c r="W34" s="18" t="str">
        <x:v>否</x:v>
      </x:c>
      <x:c r="X34" s="18" t="str">
        <x:v>0785e932a32b3ec15e1a1345537ae145eafe1c07bf38d5c16c11ee2b391e7a28</x:v>
      </x:c>
      <x:c r="Y34" s="20" t="n">
        <x:v>1</x:v>
      </x:c>
      <x:c r="Z34" s="20" t="n">
        <x:v>1</x:v>
      </x:c>
      <x:c r="AA34" s="19"/>
      <x:c r="AB34" s="18"/>
      <x:c r="AC34" s="19"/>
    </x:row>
    <x:row r="35" ht="28" customHeight="1">
      <x:c r="A35" s="18" t="str">
        <x:v>せんげん台</x:v>
      </x:c>
      <x:c r="B35" s="18" t="str">
        <x:v>東武鉄道</x:v>
      </x:c>
      <x:c r="C35" s="18" t="str">
        <x:v>private_rail</x:v>
      </x:c>
      <x:c r="D35" s="19" t="str">
        <x:v>T1</x:v>
      </x:c>
      <x:c r="E35" s="20" t="n">
        <x:v>51014</x:v>
      </x:c>
      <x:c r="F35" s="18" t="str">
        <x:v>persons/day</x:v>
      </x:c>
      <x:c r="G35" s="18" t="str">
        <x:v>FY2024</x:v>
      </x:c>
      <x:c r="H35" s="18" t="str">
        <x:v>否</x:v>
      </x:c>
      <x:c r="I35" s="19" t="str">
        <x:v>DAILY_ENTRIES_EXITS</x:v>
      </x:c>
      <x:c r="J35" s="19" t="str">
        <x:v>伊勢崎線</x:v>
      </x:c>
      <x:c r="K35" s="18" t="str">
        <x:v>transport-node:84cd1215-4d34-5924-a89f-7610251dd924</x:v>
      </x:c>
      <x:c r="L35" s="19" t="str">
        <x:v>组件待审核</x:v>
      </x:c>
      <x:c r="M35" s="21" t="n">
        <x:v>35.935955</x:v>
      </x:c>
      <x:c r="N35" s="21" t="n">
        <x:v>139.774595</x:v>
      </x:c>
      <x:c r="O35" s="18" t="str">
        <x:v>002856</x:v>
      </x:c>
      <x:c r="P35" s="18" t="str">
        <x:v>伊勢崎線</x:v>
      </x:c>
      <x:c r="Q35" s="19" t="str">
        <x:v>S12_061_GE_10000</x:v>
      </x:c>
      <x:c r="R35" s="19" t="str">
        <x:v>S12_061 usage threshold</x:v>
      </x:c>
      <x:c r="S35" s="19" t="str">
        <x:v>https://nlftp.mlit.go.jp/ksj/gml/datalist/KsjTmplt-S12-2024.html</x:v>
      </x:c>
      <x:c r="T35" s="19" t="str">
        <x:v>https://nlftp.mlit.go.jp/ksj/gml/datalist/KsjTmplt-S12-2024.html</x:v>
      </x:c>
      <x:c r="U35" s="19" t="str">
        <x:v>station-component|せんげん台|東武鉄道|private_rail|35.9360|139.7746|</x:v>
      </x:c>
      <x:c r="V35" s="19" t="str">
        <x:v>002856 / 002856 / 伊勢崎線</x:v>
      </x:c>
      <x:c r="W35" s="18" t="str">
        <x:v>否</x:v>
      </x:c>
      <x:c r="X35" s="18" t="str">
        <x:v>0785e932a32b3ec15e1a1345537ae145eafe1c07bf38d5c16c11ee2b391e7a28</x:v>
      </x:c>
      <x:c r="Y35" s="20" t="n">
        <x:v>1</x:v>
      </x:c>
      <x:c r="Z35" s="20" t="n">
        <x:v>1</x:v>
      </x:c>
      <x:c r="AA35" s="19"/>
      <x:c r="AB35" s="18"/>
      <x:c r="AC35" s="19"/>
    </x:row>
    <x:row r="36" ht="28" customHeight="1">
      <x:c r="A36" s="18" t="str">
        <x:v>たまプラーザ</x:v>
      </x:c>
      <x:c r="B36" s="18" t="str">
        <x:v>東急電鉄</x:v>
      </x:c>
      <x:c r="C36" s="18" t="str">
        <x:v>private_rail</x:v>
      </x:c>
      <x:c r="D36" s="19" t="str">
        <x:v>T1</x:v>
      </x:c>
      <x:c r="E36" s="20" t="n">
        <x:v>78780</x:v>
      </x:c>
      <x:c r="F36" s="18" t="str">
        <x:v>persons/day</x:v>
      </x:c>
      <x:c r="G36" s="18" t="str">
        <x:v>FY2024</x:v>
      </x:c>
      <x:c r="H36" s="18" t="str">
        <x:v>否</x:v>
      </x:c>
      <x:c r="I36" s="19" t="str">
        <x:v>DAILY_ENTRIES_EXITS</x:v>
      </x:c>
      <x:c r="J36" s="19" t="str">
        <x:v>田園都市線</x:v>
      </x:c>
      <x:c r="K36" s="18" t="str">
        <x:v>transport-node:1300fd39-acc3-5ef3-a57e-92b8267c9536</x:v>
      </x:c>
      <x:c r="L36" s="19" t="str">
        <x:v>组件待审核</x:v>
      </x:c>
      <x:c r="M36" s="21" t="n">
        <x:v>35.577405</x:v>
      </x:c>
      <x:c r="N36" s="21" t="n">
        <x:v>139.55865</x:v>
      </x:c>
      <x:c r="O36" s="18" t="str">
        <x:v>004296</x:v>
      </x:c>
      <x:c r="P36" s="18" t="str">
        <x:v>田園都市線</x:v>
      </x:c>
      <x:c r="Q36" s="19" t="str">
        <x:v>S12_061_GE_10000</x:v>
      </x:c>
      <x:c r="R36" s="19" t="str">
        <x:v>S12_061 usage threshold</x:v>
      </x:c>
      <x:c r="S36" s="19" t="str">
        <x:v>https://nlftp.mlit.go.jp/ksj/gml/datalist/KsjTmplt-S12-2024.html</x:v>
      </x:c>
      <x:c r="T36" s="19" t="str">
        <x:v>https://nlftp.mlit.go.jp/ksj/gml/datalist/KsjTmplt-S12-2024.html</x:v>
      </x:c>
      <x:c r="U36" s="19" t="str">
        <x:v>station-component|たまプラーザ|東急電鉄|private_rail|35.5774|139.5587|</x:v>
      </x:c>
      <x:c r="V36" s="19" t="str">
        <x:v>004296 / 004296 / 田園都市線</x:v>
      </x:c>
      <x:c r="W36" s="18" t="str">
        <x:v>否</x:v>
      </x:c>
      <x:c r="X36" s="18" t="str">
        <x:v>0785e932a32b3ec15e1a1345537ae145eafe1c07bf38d5c16c11ee2b391e7a28</x:v>
      </x:c>
      <x:c r="Y36" s="20" t="n">
        <x:v>1</x:v>
      </x:c>
      <x:c r="Z36" s="20" t="n">
        <x:v>1</x:v>
      </x:c>
      <x:c r="AA36" s="19"/>
      <x:c r="AB36" s="18"/>
      <x:c r="AC36" s="19"/>
    </x:row>
    <x:row r="37" ht="28" customHeight="1">
      <x:c r="A37" s="18" t="str">
        <x:v>つきみ野</x:v>
      </x:c>
      <x:c r="B37" s="18" t="str">
        <x:v>東急電鉄</x:v>
      </x:c>
      <x:c r="C37" s="18" t="str">
        <x:v>private_rail</x:v>
      </x:c>
      <x:c r="D37" s="19" t="str">
        <x:v>T2</x:v>
      </x:c>
      <x:c r="E37" s="20" t="n">
        <x:v>10708</x:v>
      </x:c>
      <x:c r="F37" s="18" t="str">
        <x:v>persons/day</x:v>
      </x:c>
      <x:c r="G37" s="18" t="str">
        <x:v>FY2024</x:v>
      </x:c>
      <x:c r="H37" s="18" t="str">
        <x:v>否</x:v>
      </x:c>
      <x:c r="I37" s="19" t="str">
        <x:v>DAILY_ENTRIES_EXITS</x:v>
      </x:c>
      <x:c r="J37" s="19" t="str">
        <x:v>田園都市線</x:v>
      </x:c>
      <x:c r="K37" s="18" t="str">
        <x:v>transport-node:5ad7ff86-48e1-5010-8d63-a02f907895ce</x:v>
      </x:c>
      <x:c r="L37" s="19" t="str">
        <x:v>组件待审核</x:v>
      </x:c>
      <x:c r="M37" s="21" t="n">
        <x:v>35.5105167</x:v>
      </x:c>
      <x:c r="N37" s="21" t="n">
        <x:v>139.4585567</x:v>
      </x:c>
      <x:c r="O37" s="18" t="str">
        <x:v>004486</x:v>
      </x:c>
      <x:c r="P37" s="18" t="str">
        <x:v>田園都市線</x:v>
      </x:c>
      <x:c r="Q37" s="19" t="str">
        <x:v>S12_061_GE_10000</x:v>
      </x:c>
      <x:c r="R37" s="19" t="str">
        <x:v>S12_061 usage threshold</x:v>
      </x:c>
      <x:c r="S37" s="19" t="str">
        <x:v>https://nlftp.mlit.go.jp/ksj/gml/datalist/KsjTmplt-S12-2024.html</x:v>
      </x:c>
      <x:c r="T37" s="19" t="str">
        <x:v>https://nlftp.mlit.go.jp/ksj/gml/datalist/KsjTmplt-S12-2024.html</x:v>
      </x:c>
      <x:c r="U37" s="19" t="str">
        <x:v>station-component|つきみ野|東急電鉄|private_rail|35.5105|139.4586|</x:v>
      </x:c>
      <x:c r="V37" s="19" t="str">
        <x:v>004486 / 004486 / 田園都市線</x:v>
      </x:c>
      <x:c r="W37" s="18" t="str">
        <x:v>否</x:v>
      </x:c>
      <x:c r="X37" s="18" t="str">
        <x:v>0785e932a32b3ec15e1a1345537ae145eafe1c07bf38d5c16c11ee2b391e7a28</x:v>
      </x:c>
      <x:c r="Y37" s="20" t="n">
        <x:v>1</x:v>
      </x:c>
      <x:c r="Z37" s="20" t="n">
        <x:v>1</x:v>
      </x:c>
      <x:c r="AA37" s="19"/>
      <x:c r="AB37" s="18"/>
      <x:c r="AC37" s="19"/>
    </x:row>
    <x:row r="38" ht="28" customHeight="1">
      <x:c r="A38" s="18" t="str">
        <x:v>つくし野</x:v>
      </x:c>
      <x:c r="B38" s="18" t="str">
        <x:v>東急電鉄</x:v>
      </x:c>
      <x:c r="C38" s="18" t="str">
        <x:v>private_rail</x:v>
      </x:c>
      <x:c r="D38" s="19" t="str">
        <x:v>T2</x:v>
      </x:c>
      <x:c r="E38" s="20" t="n">
        <x:v>10686</x:v>
      </x:c>
      <x:c r="F38" s="18" t="str">
        <x:v>persons/day</x:v>
      </x:c>
      <x:c r="G38" s="18" t="str">
        <x:v>FY2024</x:v>
      </x:c>
      <x:c r="H38" s="18" t="str">
        <x:v>否</x:v>
      </x:c>
      <x:c r="I38" s="19" t="str">
        <x:v>DAILY_ENTRIES_EXITS</x:v>
      </x:c>
      <x:c r="J38" s="19" t="str">
        <x:v>田園都市線</x:v>
      </x:c>
      <x:c r="K38" s="18" t="str">
        <x:v>transport-node:d0e5080d-d4b1-5b88-bde4-1822f5d8577c</x:v>
      </x:c>
      <x:c r="L38" s="19" t="str">
        <x:v>组件待审核</x:v>
      </x:c>
      <x:c r="M38" s="21" t="n">
        <x:v>35.527065</x:v>
      </x:c>
      <x:c r="N38" s="21" t="n">
        <x:v>139.48494</x:v>
      </x:c>
      <x:c r="O38" s="18" t="str">
        <x:v>004441</x:v>
      </x:c>
      <x:c r="P38" s="18" t="str">
        <x:v>田園都市線</x:v>
      </x:c>
      <x:c r="Q38" s="19" t="str">
        <x:v>S12_061_GE_10000</x:v>
      </x:c>
      <x:c r="R38" s="19" t="str">
        <x:v>S12_061 usage threshold</x:v>
      </x:c>
      <x:c r="S38" s="19" t="str">
        <x:v>https://nlftp.mlit.go.jp/ksj/gml/datalist/KsjTmplt-S12-2024.html</x:v>
      </x:c>
      <x:c r="T38" s="19" t="str">
        <x:v>https://nlftp.mlit.go.jp/ksj/gml/datalist/KsjTmplt-S12-2024.html</x:v>
      </x:c>
      <x:c r="U38" s="19" t="str">
        <x:v>station-component|つくし野|東急電鉄|private_rail|35.5271|139.4849|</x:v>
      </x:c>
      <x:c r="V38" s="19" t="str">
        <x:v>004441 / 004441 / 田園都市線</x:v>
      </x:c>
      <x:c r="W38" s="18" t="str">
        <x:v>否</x:v>
      </x:c>
      <x:c r="X38" s="18" t="str">
        <x:v>0785e932a32b3ec15e1a1345537ae145eafe1c07bf38d5c16c11ee2b391e7a28</x:v>
      </x:c>
      <x:c r="Y38" s="20" t="n">
        <x:v>1</x:v>
      </x:c>
      <x:c r="Z38" s="20" t="n">
        <x:v>1</x:v>
      </x:c>
      <x:c r="AA38" s="19"/>
      <x:c r="AB38" s="18"/>
      <x:c r="AC38" s="19"/>
    </x:row>
    <x:row r="39" ht="28" customHeight="1">
      <x:c r="A39" s="18" t="str">
        <x:v>つくば</x:v>
      </x:c>
      <x:c r="B39" s="18" t="str">
        <x:v>首都圏新都市鉄道</x:v>
      </x:c>
      <x:c r="C39" s="18" t="str">
        <x:v>private_rail</x:v>
      </x:c>
      <x:c r="D39" s="19" t="str">
        <x:v>T2</x:v>
      </x:c>
      <x:c r="E39" s="20" t="n">
        <x:v>35590</x:v>
      </x:c>
      <x:c r="F39" s="18" t="str">
        <x:v>persons/day</x:v>
      </x:c>
      <x:c r="G39" s="18" t="str">
        <x:v>FY2024</x:v>
      </x:c>
      <x:c r="H39" s="18" t="str">
        <x:v>否</x:v>
      </x:c>
      <x:c r="I39" s="19" t="str">
        <x:v>DAILY_ENTRIES_EXITS</x:v>
      </x:c>
      <x:c r="J39" s="19" t="str">
        <x:v>常磐新線</x:v>
      </x:c>
      <x:c r="K39" s="18" t="str">
        <x:v>transport-node:d59d9d7d-3ab2-56d3-891c-43ab46f4fc16</x:v>
      </x:c>
      <x:c r="L39" s="19" t="str">
        <x:v>组件待审核</x:v>
      </x:c>
      <x:c r="M39" s="21" t="n">
        <x:v>36.082425</x:v>
      </x:c>
      <x:c r="N39" s="21" t="n">
        <x:v>140.110545</x:v>
      </x:c>
      <x:c r="O39" s="18" t="str">
        <x:v>002655</x:v>
      </x:c>
      <x:c r="P39" s="18" t="str">
        <x:v>常磐新線</x:v>
      </x:c>
      <x:c r="Q39" s="19" t="str">
        <x:v>S12_061_GE_10000</x:v>
      </x:c>
      <x:c r="R39" s="19" t="str">
        <x:v>S12_061 usage threshold</x:v>
      </x:c>
      <x:c r="S39" s="19" t="str">
        <x:v>https://nlftp.mlit.go.jp/ksj/gml/datalist/KsjTmplt-S12-2024.html</x:v>
      </x:c>
      <x:c r="T39" s="19" t="str">
        <x:v>https://nlftp.mlit.go.jp/ksj/gml/datalist/KsjTmplt-S12-2024.html</x:v>
      </x:c>
      <x:c r="U39" s="19" t="str">
        <x:v>station-component|つくば|首都圏新都市鉄道|private_rail|36.0824|140.1105|</x:v>
      </x:c>
      <x:c r="V39" s="19" t="str">
        <x:v>002655 / 002655 / 常磐新線</x:v>
      </x:c>
      <x:c r="W39" s="18" t="str">
        <x:v>否</x:v>
      </x:c>
      <x:c r="X39" s="18" t="str">
        <x:v>0785e932a32b3ec15e1a1345537ae145eafe1c07bf38d5c16c11ee2b391e7a28</x:v>
      </x:c>
      <x:c r="Y39" s="20" t="n">
        <x:v>1</x:v>
      </x:c>
      <x:c r="Z39" s="20" t="n">
        <x:v>1</x:v>
      </x:c>
      <x:c r="AA39" s="19"/>
      <x:c r="AB39" s="18"/>
      <x:c r="AC39" s="19"/>
    </x:row>
    <x:row r="40" ht="28" customHeight="1">
      <x:c r="A40" s="18" t="str">
        <x:v>つつじヶ丘</x:v>
      </x:c>
      <x:c r="B40" s="18" t="str">
        <x:v>京王電鉄</x:v>
      </x:c>
      <x:c r="C40" s="18" t="str">
        <x:v>private_rail</x:v>
      </x:c>
      <x:c r="D40" s="19" t="str">
        <x:v>T2</x:v>
      </x:c>
      <x:c r="E40" s="20" t="n">
        <x:v>40628</x:v>
      </x:c>
      <x:c r="F40" s="18" t="str">
        <x:v>persons/day</x:v>
      </x:c>
      <x:c r="G40" s="18" t="str">
        <x:v>FY2024</x:v>
      </x:c>
      <x:c r="H40" s="18" t="str">
        <x:v>否</x:v>
      </x:c>
      <x:c r="I40" s="19" t="str">
        <x:v>DAILY_ENTRIES_EXITS</x:v>
      </x:c>
      <x:c r="J40" s="19" t="str">
        <x:v>京王線</x:v>
      </x:c>
      <x:c r="K40" s="18" t="str">
        <x:v>transport-node:2ca7440b-4f82-5aa1-9c8a-1ffe7a8dfefc</x:v>
      </x:c>
      <x:c r="L40" s="19" t="str">
        <x:v>组件待审核</x:v>
      </x:c>
      <x:c r="M40" s="21" t="n">
        <x:v>35.658</x:v>
      </x:c>
      <x:c r="N40" s="21" t="n">
        <x:v>139.57519</x:v>
      </x:c>
      <x:c r="O40" s="18" t="str">
        <x:v>003933</x:v>
      </x:c>
      <x:c r="P40" s="18" t="str">
        <x:v>京王線</x:v>
      </x:c>
      <x:c r="Q40" s="19" t="str">
        <x:v>S12_061_GE_10000</x:v>
      </x:c>
      <x:c r="R40" s="19" t="str">
        <x:v>S12_061 usage threshold</x:v>
      </x:c>
      <x:c r="S40" s="19" t="str">
        <x:v>https://nlftp.mlit.go.jp/ksj/gml/datalist/KsjTmplt-S12-2024.html</x:v>
      </x:c>
      <x:c r="T40" s="19" t="str">
        <x:v>https://nlftp.mlit.go.jp/ksj/gml/datalist/KsjTmplt-S12-2024.html</x:v>
      </x:c>
      <x:c r="U40" s="19" t="str">
        <x:v>station-component|つつじヶ丘|京王電鉄|private_rail|35.6580|139.5752|</x:v>
      </x:c>
      <x:c r="V40" s="19" t="str">
        <x:v>003933 / 003933 / 京王線</x:v>
      </x:c>
      <x:c r="W40" s="18" t="str">
        <x:v>否</x:v>
      </x:c>
      <x:c r="X40" s="18" t="str">
        <x:v>0785e932a32b3ec15e1a1345537ae145eafe1c07bf38d5c16c11ee2b391e7a28</x:v>
      </x:c>
      <x:c r="Y40" s="20" t="n">
        <x:v>1</x:v>
      </x:c>
      <x:c r="Z40" s="20" t="n">
        <x:v>1</x:v>
      </x:c>
      <x:c r="AA40" s="19"/>
      <x:c r="AB40" s="18"/>
      <x:c r="AC40" s="19"/>
    </x:row>
    <x:row r="41" ht="33" customHeight="1">
      <x:c r="A41" s="18" t="str">
        <x:v>とうきょうスカイツリー</x:v>
      </x:c>
      <x:c r="B41" s="18" t="str">
        <x:v>東武鉄道</x:v>
      </x:c>
      <x:c r="C41" s="18" t="str">
        <x:v>private_rail</x:v>
      </x:c>
      <x:c r="D41" s="19"/>
      <x:c r="E41" s="20"/>
      <x:c r="F41" s="18"/>
      <x:c r="G41" s="18" t="str">
        <x:v>FY2024</x:v>
      </x:c>
      <x:c r="H41" s="18" t="str">
        <x:v>是</x:v>
      </x:c>
      <x:c r="I41" s="19" t="str">
        <x:v>USAGE_DATA_UNAVAILABLE</x:v>
      </x:c>
      <x:c r="J41" s="19" t="str">
        <x:v>伊勢崎線</x:v>
      </x:c>
      <x:c r="K41" s="18" t="str">
        <x:v>transport-node:8f44c269-3917-5afa-a579-77a687fd3b81</x:v>
      </x:c>
      <x:c r="L41" s="19" t="str">
        <x:v>组件待审核</x:v>
      </x:c>
      <x:c r="M41" s="21" t="n">
        <x:v>35.710465</x:v>
      </x:c>
      <x:c r="N41" s="21" t="n">
        <x:v>139.809395</x:v>
      </x:c>
      <x:c r="O41" s="18" t="str">
        <x:v>003524</x:v>
      </x:c>
      <x:c r="P41" s="18" t="str">
        <x:v>伊勢崎線</x:v>
      </x:c>
      <x:c r="Q41" s="19" t="str">
        <x:v>OFFICIAL_HUB_COMPONENT_REVIEW</x:v>
      </x:c>
      <x:c r="R41" s="19" t="str">
        <x:v>Official S12 usage unavailable; manual tier review required</x:v>
      </x:c>
      <x:c r="S41" s="19" t="str">
        <x:v>https://nlftp.mlit.go.jp/ksj/gml/datalist/KsjTmplt-S12-2024.html</x:v>
      </x:c>
      <x:c r="T41" s="19" t="str">
        <x:v>https://nlftp.mlit.go.jp/ksj/gml/datalist/KsjTmplt-S12-2024.html
https://www.tokyometro.jp/station/oshiage/index.html</x:v>
      </x:c>
      <x:c r="U41" s="19" t="str">
        <x:v>station-component|とうきょうスカイツリー|東武鉄道|private_rail|35.7105|139.8094|</x:v>
      </x:c>
      <x:c r="V41" s="19" t="str">
        <x:v>003524 / 003524 / 伊勢崎線</x:v>
      </x:c>
      <x:c r="W41" s="18" t="str">
        <x:v>否</x:v>
      </x:c>
      <x:c r="X41" s="18" t="str">
        <x:v>0785e932a32b3ec15e1a1345537ae145eafe1c07bf38d5c16c11ee2b391e7a28</x:v>
      </x:c>
      <x:c r="Y41" s="20" t="n">
        <x:v>1</x:v>
      </x:c>
      <x:c r="Z41" s="20" t="n">
        <x:v>2</x:v>
      </x:c>
      <x:c r="AA41" s="19" t="str">
        <x:v>押上・とうきょうスカイツリー</x:v>
      </x:c>
      <x:c r="AB41" s="18" t="str">
        <x:v>transport-hub-review:26958e45-17bf-5070-bf9c-0a77198b34a2</x:v>
      </x:c>
      <x:c r="AC41" s="19"/>
    </x:row>
    <x:row r="42" ht="28" customHeight="1">
      <x:c r="A42" s="18" t="str">
        <x:v>ときわ台</x:v>
      </x:c>
      <x:c r="B42" s="18" t="str">
        <x:v>東武鉄道</x:v>
      </x:c>
      <x:c r="C42" s="18" t="str">
        <x:v>private_rail</x:v>
      </x:c>
      <x:c r="D42" s="19" t="str">
        <x:v>T2</x:v>
      </x:c>
      <x:c r="E42" s="20" t="n">
        <x:v>43271</x:v>
      </x:c>
      <x:c r="F42" s="18" t="str">
        <x:v>persons/day</x:v>
      </x:c>
      <x:c r="G42" s="18" t="str">
        <x:v>FY2024</x:v>
      </x:c>
      <x:c r="H42" s="18" t="str">
        <x:v>否</x:v>
      </x:c>
      <x:c r="I42" s="19" t="str">
        <x:v>DAILY_ENTRIES_EXITS</x:v>
      </x:c>
      <x:c r="J42" s="19" t="str">
        <x:v>東上本線</x:v>
      </x:c>
      <x:c r="K42" s="18" t="str">
        <x:v>transport-node:c8261cb6-610b-5adb-9c5a-b901ba18095e</x:v>
      </x:c>
      <x:c r="L42" s="19" t="str">
        <x:v>组件待审核</x:v>
      </x:c>
      <x:c r="M42" s="21" t="n">
        <x:v>35.758905</x:v>
      </x:c>
      <x:c r="N42" s="21" t="n">
        <x:v>139.68876</x:v>
      </x:c>
      <x:c r="O42" s="18" t="str">
        <x:v>003223</x:v>
      </x:c>
      <x:c r="P42" s="18" t="str">
        <x:v>東上本線</x:v>
      </x:c>
      <x:c r="Q42" s="19" t="str">
        <x:v>S12_061_GE_10000</x:v>
      </x:c>
      <x:c r="R42" s="19" t="str">
        <x:v>S12_061 usage threshold</x:v>
      </x:c>
      <x:c r="S42" s="19" t="str">
        <x:v>https://nlftp.mlit.go.jp/ksj/gml/datalist/KsjTmplt-S12-2024.html</x:v>
      </x:c>
      <x:c r="T42" s="19" t="str">
        <x:v>https://nlftp.mlit.go.jp/ksj/gml/datalist/KsjTmplt-S12-2024.html</x:v>
      </x:c>
      <x:c r="U42" s="19" t="str">
        <x:v>station-component|ときわ台|東武鉄道|private_rail|35.7589|139.6888|</x:v>
      </x:c>
      <x:c r="V42" s="19" t="str">
        <x:v>003223 / 003223 / 東上本線</x:v>
      </x:c>
      <x:c r="W42" s="18" t="str">
        <x:v>否</x:v>
      </x:c>
      <x:c r="X42" s="18" t="str">
        <x:v>0785e932a32b3ec15e1a1345537ae145eafe1c07bf38d5c16c11ee2b391e7a28</x:v>
      </x:c>
      <x:c r="Y42" s="20" t="n">
        <x:v>1</x:v>
      </x:c>
      <x:c r="Z42" s="20" t="n">
        <x:v>1</x:v>
      </x:c>
      <x:c r="AA42" s="19"/>
      <x:c r="AB42" s="18"/>
      <x:c r="AC42" s="19"/>
    </x:row>
    <x:row r="43" ht="28" customHeight="1">
      <x:c r="A43" s="18" t="str">
        <x:v>はりま勝原</x:v>
      </x:c>
      <x:c r="B43" s="18" t="str">
        <x:v>西日本旅客鉄道</x:v>
      </x:c>
      <x:c r="C43" s="18" t="str">
        <x:v>conventional_rail</x:v>
      </x:c>
      <x:c r="D43" s="19" t="str">
        <x:v>T2</x:v>
      </x:c>
      <x:c r="E43" s="20" t="n">
        <x:v>10738</x:v>
      </x:c>
      <x:c r="F43" s="18" t="str">
        <x:v>persons/day</x:v>
      </x:c>
      <x:c r="G43" s="18" t="str">
        <x:v>FY2024</x:v>
      </x:c>
      <x:c r="H43" s="18" t="str">
        <x:v>否</x:v>
      </x:c>
      <x:c r="I43" s="19" t="str">
        <x:v>DAILY_ENTRIES_EXITS</x:v>
      </x:c>
      <x:c r="J43" s="19" t="str">
        <x:v>山陽線</x:v>
      </x:c>
      <x:c r="K43" s="18" t="str">
        <x:v>transport-node:d2ddd9e8-3aea-57ed-9b89-ca372229d3b5</x:v>
      </x:c>
      <x:c r="L43" s="19" t="str">
        <x:v>组件待审核</x:v>
      </x:c>
      <x:c r="M43" s="21" t="n">
        <x:v>34.81016</x:v>
      </x:c>
      <x:c r="N43" s="21" t="n">
        <x:v>134.6142833</x:v>
      </x:c>
      <x:c r="O43" s="18" t="str">
        <x:v>006588</x:v>
      </x:c>
      <x:c r="P43" s="18" t="str">
        <x:v>山陽線</x:v>
      </x:c>
      <x:c r="Q43" s="19" t="str">
        <x:v>S12_061_GE_10000</x:v>
      </x:c>
      <x:c r="R43" s="19" t="str">
        <x:v>S12_061 usage threshold</x:v>
      </x:c>
      <x:c r="S43" s="19" t="str">
        <x:v>https://nlftp.mlit.go.jp/ksj/gml/datalist/KsjTmplt-S12-2024.html</x:v>
      </x:c>
      <x:c r="T43" s="19" t="str">
        <x:v>https://nlftp.mlit.go.jp/ksj/gml/datalist/KsjTmplt-S12-2024.html</x:v>
      </x:c>
      <x:c r="U43" s="19" t="str">
        <x:v>station-component|はりま勝原|西日本旅客鉄道|conventional_rail|34.8102|134.6143|</x:v>
      </x:c>
      <x:c r="V43" s="19" t="str">
        <x:v>006588 / 006588 / 山陽線</x:v>
      </x:c>
      <x:c r="W43" s="18" t="str">
        <x:v>否</x:v>
      </x:c>
      <x:c r="X43" s="18" t="str">
        <x:v>0785e932a32b3ec15e1a1345537ae145eafe1c07bf38d5c16c11ee2b391e7a28</x:v>
      </x:c>
      <x:c r="Y43" s="20" t="n">
        <x:v>1</x:v>
      </x:c>
      <x:c r="Z43" s="20" t="n">
        <x:v>1</x:v>
      </x:c>
      <x:c r="AA43" s="19"/>
      <x:c r="AB43" s="18"/>
      <x:c r="AC43" s="19"/>
    </x:row>
    <x:row r="44" ht="28" customHeight="1">
      <x:c r="A44" s="18" t="str">
        <x:v>ひばりが丘</x:v>
      </x:c>
      <x:c r="B44" s="18" t="str">
        <x:v>札幌市</x:v>
      </x:c>
      <x:c r="C44" s="18" t="str">
        <x:v>metro</x:v>
      </x:c>
      <x:c r="D44" s="19" t="str">
        <x:v>T2</x:v>
      </x:c>
      <x:c r="E44" s="20" t="n">
        <x:v>10766</x:v>
      </x:c>
      <x:c r="F44" s="18" t="str">
        <x:v>persons/day</x:v>
      </x:c>
      <x:c r="G44" s="18" t="str">
        <x:v>FY2024</x:v>
      </x:c>
      <x:c r="H44" s="18" t="str">
        <x:v>否</x:v>
      </x:c>
      <x:c r="I44" s="19" t="str">
        <x:v>DAILY_ENTRIES_EXITS</x:v>
      </x:c>
      <x:c r="J44" s="19" t="str">
        <x:v>東西線</x:v>
      </x:c>
      <x:c r="K44" s="18" t="str">
        <x:v>transport-node:7dbe62e9-74e2-5947-a3a8-11615a6f20e0</x:v>
      </x:c>
      <x:c r="L44" s="19" t="str">
        <x:v>组件待审核</x:v>
      </x:c>
      <x:c r="M44" s="21" t="n">
        <x:v>43.032105</x:v>
      </x:c>
      <x:c r="N44" s="21" t="n">
        <x:v>141.46447</x:v>
      </x:c>
      <x:c r="O44" s="18" t="str">
        <x:v>000289</x:v>
      </x:c>
      <x:c r="P44" s="18" t="str">
        <x:v>東西線</x:v>
      </x:c>
      <x:c r="Q44" s="19" t="str">
        <x:v>S12_061_GE_10000</x:v>
      </x:c>
      <x:c r="R44" s="19" t="str">
        <x:v>S12_061 usage threshold</x:v>
      </x:c>
      <x:c r="S44" s="19" t="str">
        <x:v>https://nlftp.mlit.go.jp/ksj/gml/datalist/KsjTmplt-S12-2024.html</x:v>
      </x:c>
      <x:c r="T44" s="19" t="str">
        <x:v>https://nlftp.mlit.go.jp/ksj/gml/datalist/KsjTmplt-S12-2024.html</x:v>
      </x:c>
      <x:c r="U44" s="19" t="str">
        <x:v>station-component|ひばりが丘|札幌市|metro|43.0321|141.4645|</x:v>
      </x:c>
      <x:c r="V44" s="19" t="str">
        <x:v>000289 / 000289 / 東西線</x:v>
      </x:c>
      <x:c r="W44" s="18" t="str">
        <x:v>否</x:v>
      </x:c>
      <x:c r="X44" s="18" t="str">
        <x:v>0785e932a32b3ec15e1a1345537ae145eafe1c07bf38d5c16c11ee2b391e7a28</x:v>
      </x:c>
      <x:c r="Y44" s="20" t="n">
        <x:v>1</x:v>
      </x:c>
      <x:c r="Z44" s="20" t="n">
        <x:v>1</x:v>
      </x:c>
      <x:c r="AA44" s="19"/>
      <x:c r="AB44" s="18"/>
      <x:c r="AC44" s="19"/>
    </x:row>
    <x:row r="45" ht="28" customHeight="1">
      <x:c r="A45" s="18" t="str">
        <x:v>ひばりヶ丘</x:v>
      </x:c>
      <x:c r="B45" s="18" t="str">
        <x:v>西武鉄道</x:v>
      </x:c>
      <x:c r="C45" s="18" t="str">
        <x:v>private_rail</x:v>
      </x:c>
      <x:c r="D45" s="19" t="str">
        <x:v>T1</x:v>
      </x:c>
      <x:c r="E45" s="20" t="n">
        <x:v>68792</x:v>
      </x:c>
      <x:c r="F45" s="18" t="str">
        <x:v>persons/day</x:v>
      </x:c>
      <x:c r="G45" s="18" t="str">
        <x:v>FY2024</x:v>
      </x:c>
      <x:c r="H45" s="18" t="str">
        <x:v>否</x:v>
      </x:c>
      <x:c r="I45" s="19" t="str">
        <x:v>DAILY_ENTRIES_EXITS</x:v>
      </x:c>
      <x:c r="J45" s="19" t="str">
        <x:v>池袋線</x:v>
      </x:c>
      <x:c r="K45" s="18" t="str">
        <x:v>transport-node:85d52eed-f790-5c87-9b7e-7f206e6d76d3</x:v>
      </x:c>
      <x:c r="L45" s="19" t="str">
        <x:v>组件待审核</x:v>
      </x:c>
      <x:c r="M45" s="21" t="n">
        <x:v>35.7514375</x:v>
      </x:c>
      <x:c r="N45" s="21" t="n">
        <x:v>139.545765</x:v>
      </x:c>
      <x:c r="O45" s="18" t="str">
        <x:v>003242</x:v>
      </x:c>
      <x:c r="P45" s="18" t="str">
        <x:v>池袋線</x:v>
      </x:c>
      <x:c r="Q45" s="19" t="str">
        <x:v>S12_061_GE_10000</x:v>
      </x:c>
      <x:c r="R45" s="19" t="str">
        <x:v>S12_061 usage threshold</x:v>
      </x:c>
      <x:c r="S45" s="19" t="str">
        <x:v>https://nlftp.mlit.go.jp/ksj/gml/datalist/KsjTmplt-S12-2024.html</x:v>
      </x:c>
      <x:c r="T45" s="19" t="str">
        <x:v>https://nlftp.mlit.go.jp/ksj/gml/datalist/KsjTmplt-S12-2024.html</x:v>
      </x:c>
      <x:c r="U45" s="19" t="str">
        <x:v>station-component|ひばりヶ丘|西武鉄道|private_rail|35.7514|139.5458|</x:v>
      </x:c>
      <x:c r="V45" s="19" t="str">
        <x:v>003242 / 003242 / 池袋線</x:v>
      </x:c>
      <x:c r="W45" s="18" t="str">
        <x:v>否</x:v>
      </x:c>
      <x:c r="X45" s="18" t="str">
        <x:v>0785e932a32b3ec15e1a1345537ae145eafe1c07bf38d5c16c11ee2b391e7a28</x:v>
      </x:c>
      <x:c r="Y45" s="20" t="n">
        <x:v>1</x:v>
      </x:c>
      <x:c r="Z45" s="20" t="n">
        <x:v>1</x:v>
      </x:c>
      <x:c r="AA45" s="19"/>
      <x:c r="AB45" s="18"/>
      <x:c r="AC45" s="19"/>
    </x:row>
    <x:row r="46" ht="28" customHeight="1">
      <x:c r="A46" s="18" t="str">
        <x:v>ふじみ野</x:v>
      </x:c>
      <x:c r="B46" s="18" t="str">
        <x:v>東武鉄道</x:v>
      </x:c>
      <x:c r="C46" s="18" t="str">
        <x:v>private_rail</x:v>
      </x:c>
      <x:c r="D46" s="19" t="str">
        <x:v>T1</x:v>
      </x:c>
      <x:c r="E46" s="20" t="n">
        <x:v>62055</x:v>
      </x:c>
      <x:c r="F46" s="18" t="str">
        <x:v>persons/day</x:v>
      </x:c>
      <x:c r="G46" s="18" t="str">
        <x:v>FY2024</x:v>
      </x:c>
      <x:c r="H46" s="18" t="str">
        <x:v>否</x:v>
      </x:c>
      <x:c r="I46" s="19" t="str">
        <x:v>DAILY_ENTRIES_EXITS</x:v>
      </x:c>
      <x:c r="J46" s="19" t="str">
        <x:v>東上本線</x:v>
      </x:c>
      <x:c r="K46" s="18" t="str">
        <x:v>transport-node:af421e68-db4f-5197-8410-bc1113c49bd9</x:v>
      </x:c>
      <x:c r="L46" s="19" t="str">
        <x:v>组件待审核</x:v>
      </x:c>
      <x:c r="M46" s="21" t="n">
        <x:v>35.860745</x:v>
      </x:c>
      <x:c r="N46" s="21" t="n">
        <x:v>139.52309</x:v>
      </x:c>
      <x:c r="O46" s="18" t="str">
        <x:v>002987</x:v>
      </x:c>
      <x:c r="P46" s="18" t="str">
        <x:v>東上本線</x:v>
      </x:c>
      <x:c r="Q46" s="19" t="str">
        <x:v>S12_061_GE_10000</x:v>
      </x:c>
      <x:c r="R46" s="19" t="str">
        <x:v>S12_061 usage threshold</x:v>
      </x:c>
      <x:c r="S46" s="19" t="str">
        <x:v>https://nlftp.mlit.go.jp/ksj/gml/datalist/KsjTmplt-S12-2024.html</x:v>
      </x:c>
      <x:c r="T46" s="19" t="str">
        <x:v>https://nlftp.mlit.go.jp/ksj/gml/datalist/KsjTmplt-S12-2024.html</x:v>
      </x:c>
      <x:c r="U46" s="19" t="str">
        <x:v>station-component|ふじみ野|東武鉄道|private_rail|35.8607|139.5231|</x:v>
      </x:c>
      <x:c r="V46" s="19" t="str">
        <x:v>002987 / 002987 / 東上本線</x:v>
      </x:c>
      <x:c r="W46" s="18" t="str">
        <x:v>否</x:v>
      </x:c>
      <x:c r="X46" s="18" t="str">
        <x:v>0785e932a32b3ec15e1a1345537ae145eafe1c07bf38d5c16c11ee2b391e7a28</x:v>
      </x:c>
      <x:c r="Y46" s="20" t="n">
        <x:v>1</x:v>
      </x:c>
      <x:c r="Z46" s="20" t="n">
        <x:v>1</x:v>
      </x:c>
      <x:c r="AA46" s="19"/>
      <x:c r="AB46" s="18"/>
      <x:c r="AC46" s="19"/>
    </x:row>
    <x:row r="47" ht="28" customHeight="1">
      <x:c r="A47" s="18" t="str">
        <x:v>みずほ台</x:v>
      </x:c>
      <x:c r="B47" s="18" t="str">
        <x:v>東武鉄道</x:v>
      </x:c>
      <x:c r="C47" s="18" t="str">
        <x:v>private_rail</x:v>
      </x:c>
      <x:c r="D47" s="19" t="str">
        <x:v>T2</x:v>
      </x:c>
      <x:c r="E47" s="20" t="n">
        <x:v>38575</x:v>
      </x:c>
      <x:c r="F47" s="18" t="str">
        <x:v>persons/day</x:v>
      </x:c>
      <x:c r="G47" s="18" t="str">
        <x:v>FY2024</x:v>
      </x:c>
      <x:c r="H47" s="18" t="str">
        <x:v>否</x:v>
      </x:c>
      <x:c r="I47" s="19" t="str">
        <x:v>DAILY_ENTRIES_EXITS</x:v>
      </x:c>
      <x:c r="J47" s="19" t="str">
        <x:v>東上本線</x:v>
      </x:c>
      <x:c r="K47" s="18" t="str">
        <x:v>transport-node:e87b67a4-f9e2-55cf-b7f4-361834dc2c10</x:v>
      </x:c>
      <x:c r="L47" s="19" t="str">
        <x:v>组件待审核</x:v>
      </x:c>
      <x:c r="M47" s="21" t="n">
        <x:v>35.8382</x:v>
      </x:c>
      <x:c r="N47" s="21" t="n">
        <x:v>139.550785</x:v>
      </x:c>
      <x:c r="O47" s="18" t="str">
        <x:v>003025</x:v>
      </x:c>
      <x:c r="P47" s="18" t="str">
        <x:v>東上本線</x:v>
      </x:c>
      <x:c r="Q47" s="19" t="str">
        <x:v>S12_061_GE_10000</x:v>
      </x:c>
      <x:c r="R47" s="19" t="str">
        <x:v>S12_061 usage threshold</x:v>
      </x:c>
      <x:c r="S47" s="19" t="str">
        <x:v>https://nlftp.mlit.go.jp/ksj/gml/datalist/KsjTmplt-S12-2024.html</x:v>
      </x:c>
      <x:c r="T47" s="19" t="str">
        <x:v>https://nlftp.mlit.go.jp/ksj/gml/datalist/KsjTmplt-S12-2024.html</x:v>
      </x:c>
      <x:c r="U47" s="19" t="str">
        <x:v>station-component|みずほ台|東武鉄道|private_rail|35.8382|139.5508|</x:v>
      </x:c>
      <x:c r="V47" s="19" t="str">
        <x:v>003025 / 003025 / 東上本線</x:v>
      </x:c>
      <x:c r="W47" s="18" t="str">
        <x:v>否</x:v>
      </x:c>
      <x:c r="X47" s="18" t="str">
        <x:v>0785e932a32b3ec15e1a1345537ae145eafe1c07bf38d5c16c11ee2b391e7a28</x:v>
      </x:c>
      <x:c r="Y47" s="20" t="n">
        <x:v>1</x:v>
      </x:c>
      <x:c r="Z47" s="20" t="n">
        <x:v>1</x:v>
      </x:c>
      <x:c r="AA47" s="19"/>
      <x:c r="AB47" s="18"/>
      <x:c r="AC47" s="19"/>
    </x:row>
    <x:row r="48" ht="28" customHeight="1">
      <x:c r="A48" s="18" t="str">
        <x:v>みどりの</x:v>
      </x:c>
      <x:c r="B48" s="18" t="str">
        <x:v>首都圏新都市鉄道</x:v>
      </x:c>
      <x:c r="C48" s="18" t="str">
        <x:v>private_rail</x:v>
      </x:c>
      <x:c r="D48" s="19" t="str">
        <x:v>T2</x:v>
      </x:c>
      <x:c r="E48" s="20" t="n">
        <x:v>11096</x:v>
      </x:c>
      <x:c r="F48" s="18" t="str">
        <x:v>persons/day</x:v>
      </x:c>
      <x:c r="G48" s="18" t="str">
        <x:v>FY2024</x:v>
      </x:c>
      <x:c r="H48" s="18" t="str">
        <x:v>否</x:v>
      </x:c>
      <x:c r="I48" s="19" t="str">
        <x:v>DAILY_ENTRIES_EXITS</x:v>
      </x:c>
      <x:c r="J48" s="19" t="str">
        <x:v>常磐新線</x:v>
      </x:c>
      <x:c r="K48" s="18" t="str">
        <x:v>transport-node:7bd41b26-db87-5109-8c16-eebe25acb4f3</x:v>
      </x:c>
      <x:c r="L48" s="19" t="str">
        <x:v>组件待审核</x:v>
      </x:c>
      <x:c r="M48" s="21" t="n">
        <x:v>36.02992</x:v>
      </x:c>
      <x:c r="N48" s="21" t="n">
        <x:v>140.056205</x:v>
      </x:c>
      <x:c r="O48" s="18" t="str">
        <x:v>002724</x:v>
      </x:c>
      <x:c r="P48" s="18" t="str">
        <x:v>常磐新線</x:v>
      </x:c>
      <x:c r="Q48" s="19" t="str">
        <x:v>S12_061_GE_10000</x:v>
      </x:c>
      <x:c r="R48" s="19" t="str">
        <x:v>S12_061 usage threshold</x:v>
      </x:c>
      <x:c r="S48" s="19" t="str">
        <x:v>https://nlftp.mlit.go.jp/ksj/gml/datalist/KsjTmplt-S12-2024.html</x:v>
      </x:c>
      <x:c r="T48" s="19" t="str">
        <x:v>https://nlftp.mlit.go.jp/ksj/gml/datalist/KsjTmplt-S12-2024.html</x:v>
      </x:c>
      <x:c r="U48" s="19" t="str">
        <x:v>station-component|みどりの|首都圏新都市鉄道|private_rail|36.0299|140.0562|</x:v>
      </x:c>
      <x:c r="V48" s="19" t="str">
        <x:v>002724 / 002724 / 常磐新線</x:v>
      </x:c>
      <x:c r="W48" s="18" t="str">
        <x:v>否</x:v>
      </x:c>
      <x:c r="X48" s="18" t="str">
        <x:v>0785e932a32b3ec15e1a1345537ae145eafe1c07bf38d5c16c11ee2b391e7a28</x:v>
      </x:c>
      <x:c r="Y48" s="20" t="n">
        <x:v>1</x:v>
      </x:c>
      <x:c r="Z48" s="20" t="n">
        <x:v>1</x:v>
      </x:c>
      <x:c r="AA48" s="19"/>
      <x:c r="AB48" s="18"/>
      <x:c r="AC48" s="19"/>
    </x:row>
    <x:row r="49" ht="28" customHeight="1">
      <x:c r="A49" s="18" t="str">
        <x:v>みなとじま</x:v>
      </x:c>
      <x:c r="B49" s="18" t="str">
        <x:v>神戸新交通</x:v>
      </x:c>
      <x:c r="C49" s="18" t="str">
        <x:v>fixed_guideway</x:v>
      </x:c>
      <x:c r="D49" s="19" t="str">
        <x:v>T2</x:v>
      </x:c>
      <x:c r="E49" s="20" t="n">
        <x:v>14143</x:v>
      </x:c>
      <x:c r="F49" s="18" t="str">
        <x:v>persons/day</x:v>
      </x:c>
      <x:c r="G49" s="18" t="str">
        <x:v>FY2024</x:v>
      </x:c>
      <x:c r="H49" s="18" t="str">
        <x:v>否</x:v>
      </x:c>
      <x:c r="I49" s="19" t="str">
        <x:v>DAILY_ENTRIES_EXITS</x:v>
      </x:c>
      <x:c r="J49" s="19" t="str">
        <x:v>ポートアイランド線</x:v>
      </x:c>
      <x:c r="K49" s="18" t="str">
        <x:v>transport-node:e819dc45-3669-5d30-bff1-4a3f9d22f85b</x:v>
      </x:c>
      <x:c r="L49" s="19" t="str">
        <x:v>组件待审核</x:v>
      </x:c>
      <x:c r="M49" s="21" t="n">
        <x:v>34.669065</x:v>
      </x:c>
      <x:c r="N49" s="21" t="n">
        <x:v>135.209995</x:v>
      </x:c>
      <x:c r="O49" s="18" t="str">
        <x:v>007289</x:v>
      </x:c>
      <x:c r="P49" s="18" t="str">
        <x:v>ポートアイランド線</x:v>
      </x:c>
      <x:c r="Q49" s="19" t="str">
        <x:v>S12_061_GE_10000</x:v>
      </x:c>
      <x:c r="R49" s="19" t="str">
        <x:v>S12_061 usage threshold</x:v>
      </x:c>
      <x:c r="S49" s="19" t="str">
        <x:v>https://nlftp.mlit.go.jp/ksj/gml/datalist/KsjTmplt-S12-2024.html</x:v>
      </x:c>
      <x:c r="T49" s="19" t="str">
        <x:v>https://nlftp.mlit.go.jp/ksj/gml/datalist/KsjTmplt-S12-2024.html</x:v>
      </x:c>
      <x:c r="U49" s="19" t="str">
        <x:v>station-component|みなとじま|神戸新交通|fixed_guideway|34.6691|135.2100|</x:v>
      </x:c>
      <x:c r="V49" s="19" t="str">
        <x:v>007289 / 007289 / ポートアイランド線</x:v>
      </x:c>
      <x:c r="W49" s="18" t="str">
        <x:v>否</x:v>
      </x:c>
      <x:c r="X49" s="18" t="str">
        <x:v>0785e932a32b3ec15e1a1345537ae145eafe1c07bf38d5c16c11ee2b391e7a28</x:v>
      </x:c>
      <x:c r="Y49" s="20" t="n">
        <x:v>1</x:v>
      </x:c>
      <x:c r="Z49" s="20" t="n">
        <x:v>1</x:v>
      </x:c>
      <x:c r="AA49" s="19"/>
      <x:c r="AB49" s="18"/>
      <x:c r="AC49" s="19"/>
    </x:row>
    <x:row r="50" ht="28" customHeight="1">
      <x:c r="A50" s="18" t="str">
        <x:v>みなとみらい</x:v>
      </x:c>
      <x:c r="B50" s="18" t="str">
        <x:v>横浜高速鉄道</x:v>
      </x:c>
      <x:c r="C50" s="18" t="str">
        <x:v>private_rail</x:v>
      </x:c>
      <x:c r="D50" s="19" t="str">
        <x:v>T1</x:v>
      </x:c>
      <x:c r="E50" s="20" t="n">
        <x:v>85853</x:v>
      </x:c>
      <x:c r="F50" s="18" t="str">
        <x:v>persons/day</x:v>
      </x:c>
      <x:c r="G50" s="18" t="str">
        <x:v>FY2024</x:v>
      </x:c>
      <x:c r="H50" s="18" t="str">
        <x:v>否</x:v>
      </x:c>
      <x:c r="I50" s="19" t="str">
        <x:v>DAILY_ENTRIES_EXITS</x:v>
      </x:c>
      <x:c r="J50" s="19" t="str">
        <x:v>みなとみらい21線</x:v>
      </x:c>
      <x:c r="K50" s="18" t="str">
        <x:v>transport-node:0039173b-d993-5e1c-9fc2-bb4badd03903</x:v>
      </x:c>
      <x:c r="L50" s="19" t="str">
        <x:v>组件待审核</x:v>
      </x:c>
      <x:c r="M50" s="21" t="n">
        <x:v>35.457675</x:v>
      </x:c>
      <x:c r="N50" s="21" t="n">
        <x:v>139.63246</x:v>
      </x:c>
      <x:c r="O50" s="18" t="str">
        <x:v>004656</x:v>
      </x:c>
      <x:c r="P50" s="18" t="str">
        <x:v>みなとみらい21線</x:v>
      </x:c>
      <x:c r="Q50" s="19" t="str">
        <x:v>S12_061_GE_10000</x:v>
      </x:c>
      <x:c r="R50" s="19" t="str">
        <x:v>S12_061 usage threshold</x:v>
      </x:c>
      <x:c r="S50" s="19" t="str">
        <x:v>https://nlftp.mlit.go.jp/ksj/gml/datalist/KsjTmplt-S12-2024.html</x:v>
      </x:c>
      <x:c r="T50" s="19" t="str">
        <x:v>https://nlftp.mlit.go.jp/ksj/gml/datalist/KsjTmplt-S12-2024.html</x:v>
      </x:c>
      <x:c r="U50" s="19" t="str">
        <x:v>station-component|みなとみらい|横浜高速鉄道|private_rail|35.4577|139.6325|</x:v>
      </x:c>
      <x:c r="V50" s="19" t="str">
        <x:v>004656 / 004656 / みなとみらい21線</x:v>
      </x:c>
      <x:c r="W50" s="18" t="str">
        <x:v>否</x:v>
      </x:c>
      <x:c r="X50" s="18" t="str">
        <x:v>0785e932a32b3ec15e1a1345537ae145eafe1c07bf38d5c16c11ee2b391e7a28</x:v>
      </x:c>
      <x:c r="Y50" s="20" t="n">
        <x:v>1</x:v>
      </x:c>
      <x:c r="Z50" s="20" t="n">
        <x:v>1</x:v>
      </x:c>
      <x:c r="AA50" s="19"/>
      <x:c r="AB50" s="18"/>
      <x:c r="AC50" s="19"/>
    </x:row>
    <x:row r="51" ht="28" customHeight="1">
      <x:c r="A51" s="18" t="str">
        <x:v>みらい平</x:v>
      </x:c>
      <x:c r="B51" s="18" t="str">
        <x:v>首都圏新都市鉄道</x:v>
      </x:c>
      <x:c r="C51" s="18" t="str">
        <x:v>private_rail</x:v>
      </x:c>
      <x:c r="D51" s="19" t="str">
        <x:v>T2</x:v>
      </x:c>
      <x:c r="E51" s="20" t="n">
        <x:v>11885</x:v>
      </x:c>
      <x:c r="F51" s="18" t="str">
        <x:v>persons/day</x:v>
      </x:c>
      <x:c r="G51" s="18" t="str">
        <x:v>FY2024</x:v>
      </x:c>
      <x:c r="H51" s="18" t="str">
        <x:v>否</x:v>
      </x:c>
      <x:c r="I51" s="19" t="str">
        <x:v>DAILY_ENTRIES_EXITS</x:v>
      </x:c>
      <x:c r="J51" s="19" t="str">
        <x:v>常磐新線</x:v>
      </x:c>
      <x:c r="K51" s="18" t="str">
        <x:v>transport-node:bb6fbb0c-4205-5e89-9762-0152d04718a7</x:v>
      </x:c>
      <x:c r="L51" s="19" t="str">
        <x:v>组件待审核</x:v>
      </x:c>
      <x:c r="M51" s="21" t="n">
        <x:v>35.994405</x:v>
      </x:c>
      <x:c r="N51" s="21" t="n">
        <x:v>140.038345</x:v>
      </x:c>
      <x:c r="O51" s="18" t="str">
        <x:v>002765</x:v>
      </x:c>
      <x:c r="P51" s="18" t="str">
        <x:v>常磐新線</x:v>
      </x:c>
      <x:c r="Q51" s="19" t="str">
        <x:v>S12_061_GE_10000</x:v>
      </x:c>
      <x:c r="R51" s="19" t="str">
        <x:v>S12_061 usage threshold</x:v>
      </x:c>
      <x:c r="S51" s="19" t="str">
        <x:v>https://nlftp.mlit.go.jp/ksj/gml/datalist/KsjTmplt-S12-2024.html</x:v>
      </x:c>
      <x:c r="T51" s="19" t="str">
        <x:v>https://nlftp.mlit.go.jp/ksj/gml/datalist/KsjTmplt-S12-2024.html</x:v>
      </x:c>
      <x:c r="U51" s="19" t="str">
        <x:v>station-component|みらい平|首都圏新都市鉄道|private_rail|35.9944|140.0383|</x:v>
      </x:c>
      <x:c r="V51" s="19" t="str">
        <x:v>002765 / 002765 / 常磐新線</x:v>
      </x:c>
      <x:c r="W51" s="18" t="str">
        <x:v>否</x:v>
      </x:c>
      <x:c r="X51" s="18" t="str">
        <x:v>0785e932a32b3ec15e1a1345537ae145eafe1c07bf38d5c16c11ee2b391e7a28</x:v>
      </x:c>
      <x:c r="Y51" s="20" t="n">
        <x:v>1</x:v>
      </x:c>
      <x:c r="Z51" s="20" t="n">
        <x:v>1</x:v>
      </x:c>
      <x:c r="AA51" s="19"/>
      <x:c r="AB51" s="18"/>
      <x:c r="AC51" s="19"/>
    </x:row>
    <x:row r="52" ht="28" customHeight="1">
      <x:c r="A52" s="18" t="str">
        <x:v>めじろ台</x:v>
      </x:c>
      <x:c r="B52" s="18" t="str">
        <x:v>京王電鉄</x:v>
      </x:c>
      <x:c r="C52" s="18" t="str">
        <x:v>private_rail</x:v>
      </x:c>
      <x:c r="D52" s="19" t="str">
        <x:v>T2</x:v>
      </x:c>
      <x:c r="E52" s="20" t="n">
        <x:v>14183</x:v>
      </x:c>
      <x:c r="F52" s="18" t="str">
        <x:v>persons/day</x:v>
      </x:c>
      <x:c r="G52" s="18" t="str">
        <x:v>FY2024</x:v>
      </x:c>
      <x:c r="H52" s="18" t="str">
        <x:v>否</x:v>
      </x:c>
      <x:c r="I52" s="19" t="str">
        <x:v>DAILY_ENTRIES_EXITS</x:v>
      </x:c>
      <x:c r="J52" s="19" t="str">
        <x:v>高尾線</x:v>
      </x:c>
      <x:c r="K52" s="18" t="str">
        <x:v>transport-node:8012f21f-3dbe-5efe-ad84-bf35ac3c4faf</x:v>
      </x:c>
      <x:c r="L52" s="19" t="str">
        <x:v>组件待审核</x:v>
      </x:c>
      <x:c r="M52" s="21" t="n">
        <x:v>35.643644</x:v>
      </x:c>
      <x:c r="N52" s="21" t="n">
        <x:v>139.308514</x:v>
      </x:c>
      <x:c r="O52" s="18" t="str">
        <x:v>004019</x:v>
      </x:c>
      <x:c r="P52" s="18" t="str">
        <x:v>高尾線</x:v>
      </x:c>
      <x:c r="Q52" s="19" t="str">
        <x:v>S12_061_GE_10000</x:v>
      </x:c>
      <x:c r="R52" s="19" t="str">
        <x:v>S12_061 usage threshold</x:v>
      </x:c>
      <x:c r="S52" s="19" t="str">
        <x:v>https://nlftp.mlit.go.jp/ksj/gml/datalist/KsjTmplt-S12-2024.html</x:v>
      </x:c>
      <x:c r="T52" s="19" t="str">
        <x:v>https://nlftp.mlit.go.jp/ksj/gml/datalist/KsjTmplt-S12-2024.html</x:v>
      </x:c>
      <x:c r="U52" s="19" t="str">
        <x:v>station-component|めじろ台|京王電鉄|private_rail|35.6436|139.3085|</x:v>
      </x:c>
      <x:c r="V52" s="19" t="str">
        <x:v>004019 / 004019 / 高尾線</x:v>
      </x:c>
      <x:c r="W52" s="18" t="str">
        <x:v>否</x:v>
      </x:c>
      <x:c r="X52" s="18" t="str">
        <x:v>0785e932a32b3ec15e1a1345537ae145eafe1c07bf38d5c16c11ee2b391e7a28</x:v>
      </x:c>
      <x:c r="Y52" s="20" t="n">
        <x:v>1</x:v>
      </x:c>
      <x:c r="Z52" s="20" t="n">
        <x:v>1</x:v>
      </x:c>
      <x:c r="AA52" s="19"/>
      <x:c r="AB52" s="18"/>
      <x:c r="AC52" s="19"/>
    </x:row>
    <x:row r="53" ht="28" customHeight="1">
      <x:c r="A53" s="18" t="str">
        <x:v>りんくうタウン</x:v>
      </x:c>
      <x:c r="B53" s="18" t="str">
        <x:v>南海電気鉄道</x:v>
      </x:c>
      <x:c r="C53" s="18" t="str">
        <x:v>private_rail</x:v>
      </x:c>
      <x:c r="D53" s="19" t="str">
        <x:v>T2</x:v>
      </x:c>
      <x:c r="E53" s="20" t="n">
        <x:v>23482</x:v>
      </x:c>
      <x:c r="F53" s="18" t="str">
        <x:v>persons/day</x:v>
      </x:c>
      <x:c r="G53" s="18" t="str">
        <x:v>FY2024</x:v>
      </x:c>
      <x:c r="H53" s="18" t="str">
        <x:v>否</x:v>
      </x:c>
      <x:c r="I53" s="19" t="str">
        <x:v>DAILY_ENTRIES_EXITS</x:v>
      </x:c>
      <x:c r="J53" s="19" t="str">
        <x:v>空港線</x:v>
      </x:c>
      <x:c r="K53" s="18" t="str">
        <x:v>transport-node:f1d2d4d1-7f88-5e25-bc24-ff0e0df2a42c</x:v>
      </x:c>
      <x:c r="L53" s="19" t="str">
        <x:v>组件待审核</x:v>
      </x:c>
      <x:c r="M53" s="21" t="n">
        <x:v>34.410965</x:v>
      </x:c>
      <x:c r="N53" s="21" t="n">
        <x:v>135.29945</x:v>
      </x:c>
      <x:c r="O53" s="18" t="str">
        <x:v>007997</x:v>
      </x:c>
      <x:c r="P53" s="18" t="str">
        <x:v>空港線</x:v>
      </x:c>
      <x:c r="Q53" s="19" t="str">
        <x:v>S12_061_GE_10000</x:v>
      </x:c>
      <x:c r="R53" s="19" t="str">
        <x:v>S12_061 usage threshold</x:v>
      </x:c>
      <x:c r="S53" s="19" t="str">
        <x:v>https://nlftp.mlit.go.jp/ksj/gml/datalist/KsjTmplt-S12-2024.html</x:v>
      </x:c>
      <x:c r="T53" s="19" t="str">
        <x:v>https://nlftp.mlit.go.jp/ksj/gml/datalist/KsjTmplt-S12-2024.html</x:v>
      </x:c>
      <x:c r="U53" s="19" t="str">
        <x:v>station-component|りんくうタウン|南海電気鉄道|private_rail|34.4110|135.2995|</x:v>
      </x:c>
      <x:c r="V53" s="19" t="str">
        <x:v>007996 / 007997 / 空港線</x:v>
      </x:c>
      <x:c r="W53" s="18" t="str">
        <x:v>否</x:v>
      </x:c>
      <x:c r="X53" s="18" t="str">
        <x:v>0785e932a32b3ec15e1a1345537ae145eafe1c07bf38d5c16c11ee2b391e7a28</x:v>
      </x:c>
      <x:c r="Y53" s="20" t="n">
        <x:v>1</x:v>
      </x:c>
      <x:c r="Z53" s="20" t="n">
        <x:v>1</x:v>
      </x:c>
      <x:c r="AA53" s="19"/>
      <x:c r="AB53" s="18"/>
      <x:c r="AC53" s="19"/>
    </x:row>
    <x:row r="54" ht="28" customHeight="1">
      <x:c r="A54" s="18" t="str">
        <x:v>アイランドセンター</x:v>
      </x:c>
      <x:c r="B54" s="18" t="str">
        <x:v>神戸新交通</x:v>
      </x:c>
      <x:c r="C54" s="18" t="str">
        <x:v>fixed_guideway</x:v>
      </x:c>
      <x:c r="D54" s="19" t="str">
        <x:v>T2</x:v>
      </x:c>
      <x:c r="E54" s="20" t="n">
        <x:v>19960</x:v>
      </x:c>
      <x:c r="F54" s="18" t="str">
        <x:v>persons/day</x:v>
      </x:c>
      <x:c r="G54" s="18" t="str">
        <x:v>FY2024</x:v>
      </x:c>
      <x:c r="H54" s="18" t="str">
        <x:v>否</x:v>
      </x:c>
      <x:c r="I54" s="19" t="str">
        <x:v>DAILY_ENTRIES_EXITS</x:v>
      </x:c>
      <x:c r="J54" s="19" t="str">
        <x:v>六甲アイランド線</x:v>
      </x:c>
      <x:c r="K54" s="18" t="str">
        <x:v>transport-node:796f1015-5e53-55ab-99fd-974a5234391a</x:v>
      </x:c>
      <x:c r="L54" s="19" t="str">
        <x:v>组件待审核</x:v>
      </x:c>
      <x:c r="M54" s="21" t="n">
        <x:v>34.689135</x:v>
      </x:c>
      <x:c r="N54" s="21" t="n">
        <x:v>135.269295</x:v>
      </x:c>
      <x:c r="O54" s="18" t="str">
        <x:v>007158</x:v>
      </x:c>
      <x:c r="P54" s="18" t="str">
        <x:v>六甲アイランド線</x:v>
      </x:c>
      <x:c r="Q54" s="19" t="str">
        <x:v>S12_061_GE_10000</x:v>
      </x:c>
      <x:c r="R54" s="19" t="str">
        <x:v>S12_061 usage threshold</x:v>
      </x:c>
      <x:c r="S54" s="19" t="str">
        <x:v>https://nlftp.mlit.go.jp/ksj/gml/datalist/KsjTmplt-S12-2024.html</x:v>
      </x:c>
      <x:c r="T54" s="19" t="str">
        <x:v>https://nlftp.mlit.go.jp/ksj/gml/datalist/KsjTmplt-S12-2024.html</x:v>
      </x:c>
      <x:c r="U54" s="19" t="str">
        <x:v>station-component|アイランドセンター|神戸新交通|fixed_guideway|34.6891|135.2693|</x:v>
      </x:c>
      <x:c r="V54" s="19" t="str">
        <x:v>007158 / 007158 / 六甲アイランド線</x:v>
      </x:c>
      <x:c r="W54" s="18" t="str">
        <x:v>否</x:v>
      </x:c>
      <x:c r="X54" s="18" t="str">
        <x:v>0785e932a32b3ec15e1a1345537ae145eafe1c07bf38d5c16c11ee2b391e7a28</x:v>
      </x:c>
      <x:c r="Y54" s="20" t="n">
        <x:v>1</x:v>
      </x:c>
      <x:c r="Z54" s="20" t="n">
        <x:v>1</x:v>
      </x:c>
      <x:c r="AA54" s="19"/>
      <x:c r="AB54" s="18"/>
      <x:c r="AC54" s="19"/>
    </x:row>
    <x:row r="55" ht="33" customHeight="1">
      <x:c r="A55" s="18" t="str">
        <x:v>コスモスクエア</x:v>
      </x:c>
      <x:c r="B55" s="18" t="str">
        <x:v>大阪市高速電気軌道</x:v>
      </x:c>
      <x:c r="C55" s="18" t="str">
        <x:v>fixed_guideway</x:v>
      </x:c>
      <x:c r="D55" s="19"/>
      <x:c r="E55" s="20"/>
      <x:c r="F55" s="18"/>
      <x:c r="G55" s="18" t="str">
        <x:v>FY2024</x:v>
      </x:c>
      <x:c r="H55" s="18" t="str">
        <x:v>是</x:v>
      </x:c>
      <x:c r="I55" s="19" t="str">
        <x:v>USAGE_DATA_UNAVAILABLE</x:v>
      </x:c>
      <x:c r="J55" s="19" t="str">
        <x:v>南港ポートタウン線</x:v>
      </x:c>
      <x:c r="K55" s="18" t="str">
        <x:v>transport-node:79f3e20b-6bd8-5ae7-8d0f-f96f4920566d</x:v>
      </x:c>
      <x:c r="L55" s="19" t="str">
        <x:v>组件待审核</x:v>
      </x:c>
      <x:c r="M55" s="21" t="n">
        <x:v>34.642575</x:v>
      </x:c>
      <x:c r="N55" s="21" t="n">
        <x:v>135.41222</x:v>
      </x:c>
      <x:c r="O55" s="18" t="str">
        <x:v>007465</x:v>
      </x:c>
      <x:c r="P55" s="18" t="str">
        <x:v>南港ポートタウン線</x:v>
      </x:c>
      <x:c r="Q55" s="19" t="str">
        <x:v>OFFICIAL_HUB_COMPONENT_REVIEW</x:v>
      </x:c>
      <x:c r="R55" s="19" t="str">
        <x:v>Official S12 usage unavailable; manual tier review required</x:v>
      </x:c>
      <x:c r="S55" s="19" t="str">
        <x:v>https://nlftp.mlit.go.jp/ksj/gml/datalist/KsjTmplt-S12-2024.html</x:v>
      </x:c>
      <x:c r="T55" s="19" t="str">
        <x:v>https://nlftp.mlit.go.jp/ksj/gml/datalist/KsjTmplt-S12-2024.html
https://subway.osakametro.co.jp/station_guide/C/c10/index.php</x:v>
      </x:c>
      <x:c r="U55" s="19" t="str">
        <x:v>station-component|コスモスクエア|大阪市高速電気軌道|fixed_guideway|34.6426|135.4122|</x:v>
      </x:c>
      <x:c r="V55" s="19" t="str">
        <x:v>007464 / 007465 / 南港ポートタウン線</x:v>
      </x:c>
      <x:c r="W55" s="18" t="str">
        <x:v>否</x:v>
      </x:c>
      <x:c r="X55" s="18" t="str">
        <x:v>0785e932a32b3ec15e1a1345537ae145eafe1c07bf38d5c16c11ee2b391e7a28</x:v>
      </x:c>
      <x:c r="Y55" s="20" t="n">
        <x:v>1</x:v>
      </x:c>
      <x:c r="Z55" s="20" t="n">
        <x:v>2</x:v>
      </x:c>
      <x:c r="AA55" s="19" t="str">
        <x:v>コスモスクエア</x:v>
      </x:c>
      <x:c r="AB55" s="18" t="str">
        <x:v>transport-hub-review:be0d5534-6c38-573c-ad71-f477715e2b14</x:v>
      </x:c>
      <x:c r="AC55" s="19"/>
    </x:row>
    <x:row r="56" ht="33" customHeight="1">
      <x:c r="A56" s="18" t="str">
        <x:v>コスモスクエア</x:v>
      </x:c>
      <x:c r="B56" s="18" t="str">
        <x:v>大阪市高速電気軌道</x:v>
      </x:c>
      <x:c r="C56" s="18" t="str">
        <x:v>metro</x:v>
      </x:c>
      <x:c r="D56" s="19" t="str">
        <x:v>T2</x:v>
      </x:c>
      <x:c r="E56" s="20" t="n">
        <x:v>27047</x:v>
      </x:c>
      <x:c r="F56" s="18" t="str">
        <x:v>persons/day</x:v>
      </x:c>
      <x:c r="G56" s="18" t="str">
        <x:v>FY2024</x:v>
      </x:c>
      <x:c r="H56" s="18" t="str">
        <x:v>否</x:v>
      </x:c>
      <x:c r="I56" s="19" t="str">
        <x:v>DAILY_ENTRIES_EXITS</x:v>
      </x:c>
      <x:c r="J56" s="19" t="str">
        <x:v>4号線(中央線)</x:v>
      </x:c>
      <x:c r="K56" s="18" t="str">
        <x:v>transport-node:a81c1438-f36e-5e54-a707-2e72a8f43789</x:v>
      </x:c>
      <x:c r="L56" s="19" t="str">
        <x:v>组件待审核</x:v>
      </x:c>
      <x:c r="M56" s="21" t="n">
        <x:v>34.642575</x:v>
      </x:c>
      <x:c r="N56" s="21" t="n">
        <x:v>135.41222</x:v>
      </x:c>
      <x:c r="O56" s="18" t="str">
        <x:v>007464</x:v>
      </x:c>
      <x:c r="P56" s="18" t="str">
        <x:v>4号線(中央線)</x:v>
      </x:c>
      <x:c r="Q56" s="19" t="str">
        <x:v>S12_061_GE_10000
OFFICIAL_HUB_COMPONENT_REVIEW</x:v>
      </x:c>
      <x:c r="R56" s="19" t="str">
        <x:v>S12_061 usage threshold</x:v>
      </x:c>
      <x:c r="S56" s="19" t="str">
        <x:v>https://nlftp.mlit.go.jp/ksj/gml/datalist/KsjTmplt-S12-2024.html</x:v>
      </x:c>
      <x:c r="T56" s="19" t="str">
        <x:v>https://nlftp.mlit.go.jp/ksj/gml/datalist/KsjTmplt-S12-2024.html
https://subway.osakametro.co.jp/station_guide/C/c10/index.php</x:v>
      </x:c>
      <x:c r="U56" s="19" t="str">
        <x:v>station-component|コスモスクエア|大阪市高速電気軌道|metro|34.6426|135.4122|</x:v>
      </x:c>
      <x:c r="V56" s="19" t="str">
        <x:v>007464 / 007464 / 4号線(中央線)</x:v>
      </x:c>
      <x:c r="W56" s="18" t="str">
        <x:v>否</x:v>
      </x:c>
      <x:c r="X56" s="18" t="str">
        <x:v>0785e932a32b3ec15e1a1345537ae145eafe1c07bf38d5c16c11ee2b391e7a28</x:v>
      </x:c>
      <x:c r="Y56" s="20" t="n">
        <x:v>1</x:v>
      </x:c>
      <x:c r="Z56" s="20" t="n">
        <x:v>1</x:v>
      </x:c>
      <x:c r="AA56" s="19" t="str">
        <x:v>コスモスクエア</x:v>
      </x:c>
      <x:c r="AB56" s="18" t="str">
        <x:v>transport-hub-review:be0d5534-6c38-573c-ad71-f477715e2b14</x:v>
      </x:c>
      <x:c r="AC56" s="19"/>
    </x:row>
    <x:row r="57" ht="33" customHeight="1">
      <x:c r="A57" s="18" t="str">
        <x:v>センター北</x:v>
      </x:c>
      <x:c r="B57" s="18" t="str">
        <x:v>横浜市</x:v>
      </x:c>
      <x:c r="C57" s="18" t="str">
        <x:v>metro</x:v>
      </x:c>
      <x:c r="D57" s="19" t="str">
        <x:v>T2</x:v>
      </x:c>
      <x:c r="E57" s="20" t="n">
        <x:v>36901</x:v>
      </x:c>
      <x:c r="F57" s="18" t="str">
        <x:v>persons/day</x:v>
      </x:c>
      <x:c r="G57" s="18" t="str">
        <x:v>FY2024</x:v>
      </x:c>
      <x:c r="H57" s="18" t="str">
        <x:v>否</x:v>
      </x:c>
      <x:c r="I57" s="19" t="str">
        <x:v>DAILY_ENTRIES_EXITS</x:v>
      </x:c>
      <x:c r="J57" s="19" t="str">
        <x:v>3号線
4号線</x:v>
      </x:c>
      <x:c r="K57" s="18" t="str">
        <x:v>transport-node:77386ca8-681d-52f6-9b6e-c7579e8c22cc</x:v>
      </x:c>
      <x:c r="L57" s="19" t="str">
        <x:v>组件待审核</x:v>
      </x:c>
      <x:c r="M57" s="21" t="n">
        <x:v>35.553205</x:v>
      </x:c>
      <x:c r="N57" s="21" t="n">
        <x:v>139.578215</x:v>
      </x:c>
      <x:c r="O57" s="18" t="str">
        <x:v>004353</x:v>
      </x:c>
      <x:c r="P57" s="18" t="str">
        <x:v>3号線</x:v>
      </x:c>
      <x:c r="Q57" s="19" t="str">
        <x:v>S12_061_GE_10000</x:v>
      </x:c>
      <x:c r="R57" s="19" t="str">
        <x:v>S12_061 usage threshold</x:v>
      </x:c>
      <x:c r="S57" s="19" t="str">
        <x:v>https://nlftp.mlit.go.jp/ksj/gml/datalist/KsjTmplt-S12-2024.html</x:v>
      </x:c>
      <x:c r="T57" s="19" t="str">
        <x:v>https://nlftp.mlit.go.jp/ksj/gml/datalist/KsjTmplt-S12-2024.html</x:v>
      </x:c>
      <x:c r="U57" s="19" t="str">
        <x:v>station-component|センター北|横浜市|metro|35.5532|139.5782|</x:v>
      </x:c>
      <x:c r="V57" s="19" t="str">
        <x:v>004353 / 004353 / 3号線
004353 / 004354 / 4号線</x:v>
      </x:c>
      <x:c r="W57" s="18" t="str">
        <x:v>否</x:v>
      </x:c>
      <x:c r="X57" s="18" t="str">
        <x:v>0785e932a32b3ec15e1a1345537ae145eafe1c07bf38d5c16c11ee2b391e7a28</x:v>
      </x:c>
      <x:c r="Y57" s="20" t="n">
        <x:v>1</x:v>
      </x:c>
      <x:c r="Z57" s="20" t="n">
        <x:v>1</x:v>
      </x:c>
      <x:c r="AA57" s="19"/>
      <x:c r="AB57" s="18"/>
      <x:c r="AC57" s="19"/>
    </x:row>
    <x:row r="58" ht="33" customHeight="1">
      <x:c r="A58" s="18" t="str">
        <x:v>センター南</x:v>
      </x:c>
      <x:c r="B58" s="18" t="str">
        <x:v>横浜市</x:v>
      </x:c>
      <x:c r="C58" s="18" t="str">
        <x:v>metro</x:v>
      </x:c>
      <x:c r="D58" s="19" t="str">
        <x:v>T2</x:v>
      </x:c>
      <x:c r="E58" s="20" t="n">
        <x:v>40843</x:v>
      </x:c>
      <x:c r="F58" s="18" t="str">
        <x:v>persons/day</x:v>
      </x:c>
      <x:c r="G58" s="18" t="str">
        <x:v>FY2024</x:v>
      </x:c>
      <x:c r="H58" s="18" t="str">
        <x:v>否</x:v>
      </x:c>
      <x:c r="I58" s="19" t="str">
        <x:v>DAILY_ENTRIES_EXITS</x:v>
      </x:c>
      <x:c r="J58" s="19" t="str">
        <x:v>3号線
4号線</x:v>
      </x:c>
      <x:c r="K58" s="18" t="str">
        <x:v>transport-node:a3ade725-6377-58ec-9214-be02eec87f6e</x:v>
      </x:c>
      <x:c r="L58" s="19" t="str">
        <x:v>组件待审核</x:v>
      </x:c>
      <x:c r="M58" s="21" t="n">
        <x:v>35.5451675</x:v>
      </x:c>
      <x:c r="N58" s="21" t="n">
        <x:v>139.574215</x:v>
      </x:c>
      <x:c r="O58" s="18" t="str">
        <x:v>004380</x:v>
      </x:c>
      <x:c r="P58" s="18" t="str">
        <x:v>3号線</x:v>
      </x:c>
      <x:c r="Q58" s="19" t="str">
        <x:v>S12_061_GE_10000</x:v>
      </x:c>
      <x:c r="R58" s="19" t="str">
        <x:v>S12_061 usage threshold</x:v>
      </x:c>
      <x:c r="S58" s="19" t="str">
        <x:v>https://nlftp.mlit.go.jp/ksj/gml/datalist/KsjTmplt-S12-2024.html</x:v>
      </x:c>
      <x:c r="T58" s="19" t="str">
        <x:v>https://nlftp.mlit.go.jp/ksj/gml/datalist/KsjTmplt-S12-2024.html</x:v>
      </x:c>
      <x:c r="U58" s="19" t="str">
        <x:v>station-component|センター南|横浜市|metro|35.5452|139.5742|</x:v>
      </x:c>
      <x:c r="V58" s="19" t="str">
        <x:v>004380 / 004380 / 3号線
004380 / 004381 / 4号線</x:v>
      </x:c>
      <x:c r="W58" s="18" t="str">
        <x:v>否</x:v>
      </x:c>
      <x:c r="X58" s="18" t="str">
        <x:v>0785e932a32b3ec15e1a1345537ae145eafe1c07bf38d5c16c11ee2b391e7a28</x:v>
      </x:c>
      <x:c r="Y58" s="20" t="n">
        <x:v>1</x:v>
      </x:c>
      <x:c r="Z58" s="20" t="n">
        <x:v>1</x:v>
      </x:c>
      <x:c r="AA58" s="19"/>
      <x:c r="AB58" s="18"/>
      <x:c r="AC58" s="19"/>
    </x:row>
    <x:row r="59" ht="28" customHeight="1">
      <x:c r="A59" s="18" t="str">
        <x:v>トレードセンター前</x:v>
      </x:c>
      <x:c r="B59" s="18" t="str">
        <x:v>大阪市高速電気軌道</x:v>
      </x:c>
      <x:c r="C59" s="18" t="str">
        <x:v>fixed_guideway</x:v>
      </x:c>
      <x:c r="D59" s="19" t="str">
        <x:v>T2</x:v>
      </x:c>
      <x:c r="E59" s="20" t="n">
        <x:v>13206</x:v>
      </x:c>
      <x:c r="F59" s="18" t="str">
        <x:v>persons/day</x:v>
      </x:c>
      <x:c r="G59" s="18" t="str">
        <x:v>FY2024</x:v>
      </x:c>
      <x:c r="H59" s="18" t="str">
        <x:v>否</x:v>
      </x:c>
      <x:c r="I59" s="19" t="str">
        <x:v>DAILY_ENTRIES_EXITS</x:v>
      </x:c>
      <x:c r="J59" s="19" t="str">
        <x:v>南港ポートタウン線</x:v>
      </x:c>
      <x:c r="K59" s="18" t="str">
        <x:v>transport-node:8a6bd61c-8705-5d62-8638-2166f9839b85</x:v>
      </x:c>
      <x:c r="L59" s="19" t="str">
        <x:v>组件待审核</x:v>
      </x:c>
      <x:c r="M59" s="21" t="n">
        <x:v>34.638755</x:v>
      </x:c>
      <x:c r="N59" s="21" t="n">
        <x:v>135.41184</x:v>
      </x:c>
      <x:c r="O59" s="18" t="str">
        <x:v>007473</x:v>
      </x:c>
      <x:c r="P59" s="18" t="str">
        <x:v>南港ポートタウン線</x:v>
      </x:c>
      <x:c r="Q59" s="19" t="str">
        <x:v>S12_061_GE_10000</x:v>
      </x:c>
      <x:c r="R59" s="19" t="str">
        <x:v>S12_061 usage threshold</x:v>
      </x:c>
      <x:c r="S59" s="19" t="str">
        <x:v>https://nlftp.mlit.go.jp/ksj/gml/datalist/KsjTmplt-S12-2024.html</x:v>
      </x:c>
      <x:c r="T59" s="19" t="str">
        <x:v>https://nlftp.mlit.go.jp/ksj/gml/datalist/KsjTmplt-S12-2024.html</x:v>
      </x:c>
      <x:c r="U59" s="19" t="str">
        <x:v>station-component|トレードセンター前|大阪市高速電気軌道|fixed_guideway|34.6388|135.4118|</x:v>
      </x:c>
      <x:c r="V59" s="19" t="str">
        <x:v>007473 / 007473 / 南港ポートタウン線</x:v>
      </x:c>
      <x:c r="W59" s="18" t="str">
        <x:v>否</x:v>
      </x:c>
      <x:c r="X59" s="18" t="str">
        <x:v>0785e932a32b3ec15e1a1345537ae145eafe1c07bf38d5c16c11ee2b391e7a28</x:v>
      </x:c>
      <x:c r="Y59" s="20" t="n">
        <x:v>1</x:v>
      </x:c>
      <x:c r="Z59" s="20" t="n">
        <x:v>1</x:v>
      </x:c>
      <x:c r="AA59" s="19"/>
      <x:c r="AB59" s="18"/>
      <x:c r="AC59" s="19"/>
    </x:row>
    <x:row r="60" ht="33" customHeight="1">
      <x:c r="A60" s="18" t="str">
        <x:v>ドーム前</x:v>
      </x:c>
      <x:c r="B60" s="18" t="str">
        <x:v>阪神電気鉄道</x:v>
      </x:c>
      <x:c r="C60" s="18" t="str">
        <x:v>private_rail</x:v>
      </x:c>
      <x:c r="D60" s="19" t="str">
        <x:v>T2</x:v>
      </x:c>
      <x:c r="E60" s="20" t="n">
        <x:v>11608</x:v>
      </x:c>
      <x:c r="F60" s="18" t="str">
        <x:v>persons/day</x:v>
      </x:c>
      <x:c r="G60" s="18" t="str">
        <x:v>FY2024</x:v>
      </x:c>
      <x:c r="H60" s="18" t="str">
        <x:v>否</x:v>
      </x:c>
      <x:c r="I60" s="19" t="str">
        <x:v>DAILY_ENTRIES_EXITS</x:v>
      </x:c>
      <x:c r="J60" s="19" t="str">
        <x:v>阪神なんば線</x:v>
      </x:c>
      <x:c r="K60" s="18" t="str">
        <x:v>transport-node:85b6b83b-1077-5d34-b27f-37afb2bc07b7</x:v>
      </x:c>
      <x:c r="L60" s="19" t="str">
        <x:v>组件待审核</x:v>
      </x:c>
      <x:c r="M60" s="21" t="n">
        <x:v>34.6704433</x:v>
      </x:c>
      <x:c r="N60" s="21" t="n">
        <x:v>135.47867</x:v>
      </x:c>
      <x:c r="O60" s="18" t="str">
        <x:v>007283</x:v>
      </x:c>
      <x:c r="P60" s="18" t="str">
        <x:v>阪神なんば線</x:v>
      </x:c>
      <x:c r="Q60" s="19" t="str">
        <x:v>S12_061_GE_10000
OFFICIAL_HUB_COMPONENT_REVIEW</x:v>
      </x:c>
      <x:c r="R60" s="19" t="str">
        <x:v>S12_061 usage threshold</x:v>
      </x:c>
      <x:c r="S60" s="19" t="str">
        <x:v>https://nlftp.mlit.go.jp/ksj/gml/datalist/KsjTmplt-S12-2024.html</x:v>
      </x:c>
      <x:c r="T60" s="19" t="str">
        <x:v>https://nlftp.mlit.go.jp/ksj/gml/datalist/KsjTmplt-S12-2024.html
https://subway.osakametro.co.jp/station_guide/N/n12/index.php</x:v>
      </x:c>
      <x:c r="U60" s="19" t="str">
        <x:v>station-component|ドーム前|阪神電気鉄道|private_rail|34.6704|135.4787|</x:v>
      </x:c>
      <x:c r="V60" s="19" t="str">
        <x:v>007283 / 007283 / 阪神なんば線</x:v>
      </x:c>
      <x:c r="W60" s="18" t="str">
        <x:v>否</x:v>
      </x:c>
      <x:c r="X60" s="18" t="str">
        <x:v>0785e932a32b3ec15e1a1345537ae145eafe1c07bf38d5c16c11ee2b391e7a28</x:v>
      </x:c>
      <x:c r="Y60" s="20" t="n">
        <x:v>1</x:v>
      </x:c>
      <x:c r="Z60" s="20" t="n">
        <x:v>1</x:v>
      </x:c>
      <x:c r="AA60" s="19" t="str">
        <x:v>ドーム前千代崎・ドーム前</x:v>
      </x:c>
      <x:c r="AB60" s="18" t="str">
        <x:v>transport-hub-review:3440e1e0-6b65-5267-a74e-92c58a4d076e</x:v>
      </x:c>
      <x:c r="AC60" s="19"/>
    </x:row>
    <x:row r="61" ht="33" customHeight="1">
      <x:c r="A61" s="18" t="str">
        <x:v>ドーム前千代崎</x:v>
      </x:c>
      <x:c r="B61" s="18" t="str">
        <x:v>大阪市高速電気軌道</x:v>
      </x:c>
      <x:c r="C61" s="18" t="str">
        <x:v>metro</x:v>
      </x:c>
      <x:c r="D61" s="19" t="str">
        <x:v>T2</x:v>
      </x:c>
      <x:c r="E61" s="20" t="n">
        <x:v>10964</x:v>
      </x:c>
      <x:c r="F61" s="18" t="str">
        <x:v>persons/day</x:v>
      </x:c>
      <x:c r="G61" s="18" t="str">
        <x:v>FY2024</x:v>
      </x:c>
      <x:c r="H61" s="18" t="str">
        <x:v>否</x:v>
      </x:c>
      <x:c r="I61" s="19" t="str">
        <x:v>DAILY_ENTRIES_EXITS</x:v>
      </x:c>
      <x:c r="J61" s="19" t="str">
        <x:v>7号線(長堀鶴見緑地線)</x:v>
      </x:c>
      <x:c r="K61" s="18" t="str">
        <x:v>transport-node:d58859e0-1a64-58b1-a1ac-c7215310b22f</x:v>
      </x:c>
      <x:c r="L61" s="19" t="str">
        <x:v>组件待审核</x:v>
      </x:c>
      <x:c r="M61" s="21" t="n">
        <x:v>34.670855</x:v>
      </x:c>
      <x:c r="N61" s="21" t="n">
        <x:v>135.479345</x:v>
      </x:c>
      <x:c r="O61" s="18" t="str">
        <x:v>007280</x:v>
      </x:c>
      <x:c r="P61" s="18" t="str">
        <x:v>7号線(長堀鶴見緑地線)</x:v>
      </x:c>
      <x:c r="Q61" s="19" t="str">
        <x:v>S12_061_GE_10000
OFFICIAL_HUB_COMPONENT_REVIEW</x:v>
      </x:c>
      <x:c r="R61" s="19" t="str">
        <x:v>S12_061 usage threshold</x:v>
      </x:c>
      <x:c r="S61" s="19" t="str">
        <x:v>https://nlftp.mlit.go.jp/ksj/gml/datalist/KsjTmplt-S12-2024.html</x:v>
      </x:c>
      <x:c r="T61" s="19" t="str">
        <x:v>https://nlftp.mlit.go.jp/ksj/gml/datalist/KsjTmplt-S12-2024.html
https://subway.osakametro.co.jp/station_guide/N/n12/index.php</x:v>
      </x:c>
      <x:c r="U61" s="19" t="str">
        <x:v>station-component|ドーム前千代崎|大阪市高速電気軌道|metro|34.6709|135.4793|</x:v>
      </x:c>
      <x:c r="V61" s="19" t="str">
        <x:v>007280 / 007280 / 7号線(長堀鶴見緑地線)</x:v>
      </x:c>
      <x:c r="W61" s="18" t="str">
        <x:v>否</x:v>
      </x:c>
      <x:c r="X61" s="18" t="str">
        <x:v>0785e932a32b3ec15e1a1345537ae145eafe1c07bf38d5c16c11ee2b391e7a28</x:v>
      </x:c>
      <x:c r="Y61" s="20" t="n">
        <x:v>1</x:v>
      </x:c>
      <x:c r="Z61" s="20" t="n">
        <x:v>1</x:v>
      </x:c>
      <x:c r="AA61" s="19" t="str">
        <x:v>ドーム前千代崎・ドーム前</x:v>
      </x:c>
      <x:c r="AB61" s="18" t="str">
        <x:v>transport-hub-review:3440e1e0-6b65-5267-a74e-92c58a4d076e</x:v>
      </x:c>
      <x:c r="AC61" s="19"/>
    </x:row>
    <x:row r="62" ht="33" customHeight="1">
      <x:c r="A62" s="18" t="str">
        <x:v>ナゴヤドーム前矢田</x:v>
      </x:c>
      <x:c r="B62" s="18" t="str">
        <x:v>名古屋ガイドウェイバス</x:v>
      </x:c>
      <x:c r="C62" s="18" t="str">
        <x:v>fixed_guideway</x:v>
      </x:c>
      <x:c r="D62" s="19" t="str">
        <x:v>T3</x:v>
      </x:c>
      <x:c r="E62" s="20" t="n">
        <x:v>975</x:v>
      </x:c>
      <x:c r="F62" s="18" t="str">
        <x:v>persons/day</x:v>
      </x:c>
      <x:c r="G62" s="18" t="str">
        <x:v>FY2024</x:v>
      </x:c>
      <x:c r="H62" s="18" t="str">
        <x:v>否</x:v>
      </x:c>
      <x:c r="I62" s="19" t="str">
        <x:v>DAILY_ENTRIES_EXITS</x:v>
      </x:c>
      <x:c r="J62" s="19" t="str">
        <x:v>ガイドウェイバス志段味線</x:v>
      </x:c>
      <x:c r="K62" s="18" t="str">
        <x:v>transport-node:4de65118-cae9-5797-8178-3823405c3e69</x:v>
      </x:c>
      <x:c r="L62" s="19" t="str">
        <x:v>组件待审核</x:v>
      </x:c>
      <x:c r="M62" s="21" t="n">
        <x:v>35.190205</x:v>
      </x:c>
      <x:c r="N62" s="21" t="n">
        <x:v>136.94742</x:v>
      </x:c>
      <x:c r="O62" s="18" t="str">
        <x:v>005392</x:v>
      </x:c>
      <x:c r="P62" s="18" t="str">
        <x:v>ガイドウェイバス志段味線</x:v>
      </x:c>
      <x:c r="Q62" s="19" t="str">
        <x:v>OFFICIAL_HUB_COMPONENT_REVIEW</x:v>
      </x:c>
      <x:c r="R62" s="19" t="str">
        <x:v>S12_061 usage threshold; low-flow inclusion justified by official Hub component review</x:v>
      </x:c>
      <x:c r="S62" s="19" t="str">
        <x:v>https://nlftp.mlit.go.jp/ksj/gml/datalist/KsjTmplt-S12-2024.html</x:v>
      </x:c>
      <x:c r="T62" s="19" t="str">
        <x:v>https://nlftp.mlit.go.jp/ksj/gml/datalist/KsjTmplt-S12-2024.html
https://www.kotsu.city.nagoya.jp/rp/ticket/TRP0001550.htm</x:v>
      </x:c>
      <x:c r="U62" s="19" t="str">
        <x:v>station-component|ナゴヤドーム前矢田|名古屋ガイドウェイバス|fixed_guideway|35.1902|136.9474|</x:v>
      </x:c>
      <x:c r="V62" s="19" t="str">
        <x:v>005392 / 005392 / ガイドウェイバス志段味線</x:v>
      </x:c>
      <x:c r="W62" s="18" t="str">
        <x:v>否</x:v>
      </x:c>
      <x:c r="X62" s="18" t="str">
        <x:v>0785e932a32b3ec15e1a1345537ae145eafe1c07bf38d5c16c11ee2b391e7a28</x:v>
      </x:c>
      <x:c r="Y62" s="20" t="n">
        <x:v>1</x:v>
      </x:c>
      <x:c r="Z62" s="20" t="n">
        <x:v>1</x:v>
      </x:c>
      <x:c r="AA62" s="19" t="str">
        <x:v>ナゴヤドーム前矢田</x:v>
      </x:c>
      <x:c r="AB62" s="18" t="str">
        <x:v>transport-hub-review:5aa97137-51b7-5fd0-8a8f-5c600ff2f6f4</x:v>
      </x:c>
      <x:c r="AC62" s="19"/>
    </x:row>
    <x:row r="63" ht="33" customHeight="1">
      <x:c r="A63" s="18" t="str">
        <x:v>ナゴヤドーム前矢田</x:v>
      </x:c>
      <x:c r="B63" s="18" t="str">
        <x:v>名古屋市</x:v>
      </x:c>
      <x:c r="C63" s="18" t="str">
        <x:v>metro</x:v>
      </x:c>
      <x:c r="D63" s="19" t="str">
        <x:v>T2</x:v>
      </x:c>
      <x:c r="E63" s="20" t="n">
        <x:v>21750</x:v>
      </x:c>
      <x:c r="F63" s="18" t="str">
        <x:v>persons/day</x:v>
      </x:c>
      <x:c r="G63" s="18" t="str">
        <x:v>FY2024</x:v>
      </x:c>
      <x:c r="H63" s="18" t="str">
        <x:v>否</x:v>
      </x:c>
      <x:c r="I63" s="19" t="str">
        <x:v>DAILY_ENTRIES_EXITS</x:v>
      </x:c>
      <x:c r="J63" s="19" t="str">
        <x:v>4号線名城線</x:v>
      </x:c>
      <x:c r="K63" s="18" t="str">
        <x:v>transport-node:32c56303-d088-53c9-a516-a7b7740d1b12</x:v>
      </x:c>
      <x:c r="L63" s="19" t="str">
        <x:v>组件待审核</x:v>
      </x:c>
      <x:c r="M63" s="21" t="n">
        <x:v>35.190925</x:v>
      </x:c>
      <x:c r="N63" s="21" t="n">
        <x:v>136.94399</x:v>
      </x:c>
      <x:c r="O63" s="18" t="str">
        <x:v>005389</x:v>
      </x:c>
      <x:c r="P63" s="18" t="str">
        <x:v>4号線名城線</x:v>
      </x:c>
      <x:c r="Q63" s="19" t="str">
        <x:v>S12_061_GE_10000
OFFICIAL_HUB_COMPONENT_REVIEW</x:v>
      </x:c>
      <x:c r="R63" s="19" t="str">
        <x:v>S12_061 usage threshold</x:v>
      </x:c>
      <x:c r="S63" s="19" t="str">
        <x:v>https://nlftp.mlit.go.jp/ksj/gml/datalist/KsjTmplt-S12-2024.html</x:v>
      </x:c>
      <x:c r="T63" s="19" t="str">
        <x:v>https://nlftp.mlit.go.jp/ksj/gml/datalist/KsjTmplt-S12-2024.html
https://www.kotsu.city.nagoya.jp/rp/ticket/TRP0001550.htm</x:v>
      </x:c>
      <x:c r="U63" s="19" t="str">
        <x:v>station-component|ナゴヤドーム前矢田|名古屋市|metro|35.1909|136.9440|</x:v>
      </x:c>
      <x:c r="V63" s="19" t="str">
        <x:v>005389 / 005389 / 4号線名城線</x:v>
      </x:c>
      <x:c r="W63" s="18" t="str">
        <x:v>否</x:v>
      </x:c>
      <x:c r="X63" s="18" t="str">
        <x:v>0785e932a32b3ec15e1a1345537ae145eafe1c07bf38d5c16c11ee2b391e7a28</x:v>
      </x:c>
      <x:c r="Y63" s="20" t="n">
        <x:v>1</x:v>
      </x:c>
      <x:c r="Z63" s="20" t="n">
        <x:v>1</x:v>
      </x:c>
      <x:c r="AA63" s="19" t="str">
        <x:v>ナゴヤドーム前矢田</x:v>
      </x:c>
      <x:c r="AB63" s="18" t="str">
        <x:v>transport-hub-review:5aa97137-51b7-5fd0-8a8f-5c600ff2f6f4</x:v>
      </x:c>
      <x:c r="AC63" s="19"/>
    </x:row>
    <x:row r="64" ht="33" customHeight="1">
      <x:c r="A64" s="18" t="str">
        <x:v>ハーバーランド</x:v>
      </x:c>
      <x:c r="B64" s="18" t="str">
        <x:v>神戸市</x:v>
      </x:c>
      <x:c r="C64" s="18" t="str">
        <x:v>metro</x:v>
      </x:c>
      <x:c r="D64" s="19" t="str">
        <x:v>T2</x:v>
      </x:c>
      <x:c r="E64" s="20" t="n">
        <x:v>12700</x:v>
      </x:c>
      <x:c r="F64" s="18" t="str">
        <x:v>persons/day</x:v>
      </x:c>
      <x:c r="G64" s="18" t="str">
        <x:v>FY2024</x:v>
      </x:c>
      <x:c r="H64" s="18" t="str">
        <x:v>否</x:v>
      </x:c>
      <x:c r="I64" s="19" t="str">
        <x:v>DAILY_ENTRIES_EXITS</x:v>
      </x:c>
      <x:c r="J64" s="19" t="str">
        <x:v>海岸線</x:v>
      </x:c>
      <x:c r="K64" s="18" t="str">
        <x:v>transport-node:b4df321e-cf51-5062-8192-822fad367cb9</x:v>
      </x:c>
      <x:c r="L64" s="19" t="str">
        <x:v>组件待审核</x:v>
      </x:c>
      <x:c r="M64" s="21" t="n">
        <x:v>34.67808</x:v>
      </x:c>
      <x:c r="N64" s="21" t="n">
        <x:v>135.178545</x:v>
      </x:c>
      <x:c r="O64" s="18" t="str">
        <x:v>007238</x:v>
      </x:c>
      <x:c r="P64" s="18" t="str">
        <x:v>海岸線</x:v>
      </x:c>
      <x:c r="Q64" s="19" t="str">
        <x:v>S12_061_GE_10000
OFFICIAL_HUB_COMPONENT_REVIEW</x:v>
      </x:c>
      <x:c r="R64" s="19" t="str">
        <x:v>S12_061 usage threshold</x:v>
      </x:c>
      <x:c r="S64" s="19" t="str">
        <x:v>https://nlftp.mlit.go.jp/ksj/gml/datalist/KsjTmplt-S12-2024.html</x:v>
      </x:c>
      <x:c r="T64" s="19" t="str">
        <x:v>https://kotsu.city.kobe.lg.jp/chinese-trad/cnt-subway-map/
https://nlftp.mlit.go.jp/ksj/gml/datalist/KsjTmplt-S12-2024.html</x:v>
      </x:c>
      <x:c r="U64" s="19" t="str">
        <x:v>station-component|ハーバーランド|神戸市|metro|34.6781|135.1785|</x:v>
      </x:c>
      <x:c r="V64" s="19" t="str">
        <x:v>007238 / 007238 / 海岸線</x:v>
      </x:c>
      <x:c r="W64" s="18" t="str">
        <x:v>否</x:v>
      </x:c>
      <x:c r="X64" s="18" t="str">
        <x:v>0785e932a32b3ec15e1a1345537ae145eafe1c07bf38d5c16c11ee2b391e7a28</x:v>
      </x:c>
      <x:c r="Y64" s="20" t="n">
        <x:v>1</x:v>
      </x:c>
      <x:c r="Z64" s="20" t="n">
        <x:v>1</x:v>
      </x:c>
      <x:c r="AA64" s="19" t="str">
        <x:v>神戸・ハーバーランド</x:v>
      </x:c>
      <x:c r="AB64" s="18" t="str">
        <x:v>transport-hub-review:ef2b178f-c070-5236-934d-cca402fa7af5</x:v>
      </x:c>
      <x:c r="AC64" s="19"/>
    </x:row>
    <x:row r="65" ht="28" customHeight="1">
      <x:c r="A65" s="18" t="str">
        <x:v>バスセンター前</x:v>
      </x:c>
      <x:c r="B65" s="18" t="str">
        <x:v>札幌市</x:v>
      </x:c>
      <x:c r="C65" s="18" t="str">
        <x:v>metro</x:v>
      </x:c>
      <x:c r="D65" s="19" t="str">
        <x:v>T2</x:v>
      </x:c>
      <x:c r="E65" s="20" t="n">
        <x:v>21716</x:v>
      </x:c>
      <x:c r="F65" s="18" t="str">
        <x:v>persons/day</x:v>
      </x:c>
      <x:c r="G65" s="18" t="str">
        <x:v>FY2024</x:v>
      </x:c>
      <x:c r="H65" s="18" t="str">
        <x:v>否</x:v>
      </x:c>
      <x:c r="I65" s="19" t="str">
        <x:v>DAILY_ENTRIES_EXITS</x:v>
      </x:c>
      <x:c r="J65" s="19" t="str">
        <x:v>東西線</x:v>
      </x:c>
      <x:c r="K65" s="18" t="str">
        <x:v>transport-node:4b940243-158d-52eb-a4db-7705cc1afe45</x:v>
      </x:c>
      <x:c r="L65" s="19" t="str">
        <x:v>组件待审核</x:v>
      </x:c>
      <x:c r="M65" s="21" t="n">
        <x:v>43.061525</x:v>
      </x:c>
      <x:c r="N65" s="21" t="n">
        <x:v>141.361925</x:v>
      </x:c>
      <x:c r="O65" s="18" t="str">
        <x:v>000230</x:v>
      </x:c>
      <x:c r="P65" s="18" t="str">
        <x:v>東西線</x:v>
      </x:c>
      <x:c r="Q65" s="19" t="str">
        <x:v>S12_061_GE_10000</x:v>
      </x:c>
      <x:c r="R65" s="19" t="str">
        <x:v>S12_061 usage threshold</x:v>
      </x:c>
      <x:c r="S65" s="19" t="str">
        <x:v>https://nlftp.mlit.go.jp/ksj/gml/datalist/KsjTmplt-S12-2024.html</x:v>
      </x:c>
      <x:c r="T65" s="19" t="str">
        <x:v>https://nlftp.mlit.go.jp/ksj/gml/datalist/KsjTmplt-S12-2024.html</x:v>
      </x:c>
      <x:c r="U65" s="19" t="str">
        <x:v>station-component|バスセンター前|札幌市|metro|43.0615|141.3619|</x:v>
      </x:c>
      <x:c r="V65" s="19" t="str">
        <x:v>000230 / 000230 / 東西線</x:v>
      </x:c>
      <x:c r="W65" s="18" t="str">
        <x:v>否</x:v>
      </x:c>
      <x:c r="X65" s="18" t="str">
        <x:v>0785e932a32b3ec15e1a1345537ae145eafe1c07bf38d5c16c11ee2b391e7a28</x:v>
      </x:c>
      <x:c r="Y65" s="20" t="n">
        <x:v>1</x:v>
      </x:c>
      <x:c r="Z65" s="20" t="n">
        <x:v>1</x:v>
      </x:c>
      <x:c r="AA65" s="19"/>
      <x:c r="AB65" s="18"/>
      <x:c r="AC65" s="19"/>
    </x:row>
    <x:row r="66" ht="28" customHeight="1">
      <x:c r="A66" s="18" t="str">
        <x:v>ベイサイド･ステーション</x:v>
      </x:c>
      <x:c r="B66" s="18" t="str">
        <x:v>舞浜リゾートライン</x:v>
      </x:c>
      <x:c r="C66" s="18" t="str">
        <x:v>fixed_guideway</x:v>
      </x:c>
      <x:c r="D66" s="19" t="str">
        <x:v>T2</x:v>
      </x:c>
      <x:c r="E66" s="20" t="n">
        <x:v>24879</x:v>
      </x:c>
      <x:c r="F66" s="18" t="str">
        <x:v>persons/day</x:v>
      </x:c>
      <x:c r="G66" s="18" t="str">
        <x:v>FY2024</x:v>
      </x:c>
      <x:c r="H66" s="18" t="str">
        <x:v>否</x:v>
      </x:c>
      <x:c r="I66" s="19" t="str">
        <x:v>DAILY_ENTRIES_EXITS</x:v>
      </x:c>
      <x:c r="J66" s="19" t="str">
        <x:v>ディズニーリゾートライン</x:v>
      </x:c>
      <x:c r="K66" s="18" t="str">
        <x:v>transport-node:14d95b72-0084-528d-9df7-b8f8ca9ebefd</x:v>
      </x:c>
      <x:c r="L66" s="19" t="str">
        <x:v>组件待审核</x:v>
      </x:c>
      <x:c r="M66" s="21" t="n">
        <x:v>35.627855</x:v>
      </x:c>
      <x:c r="N66" s="21" t="n">
        <x:v>139.876345</x:v>
      </x:c>
      <x:c r="O66" s="18" t="str">
        <x:v>004098</x:v>
      </x:c>
      <x:c r="P66" s="18" t="str">
        <x:v>ディズニーリゾートライン</x:v>
      </x:c>
      <x:c r="Q66" s="19" t="str">
        <x:v>S12_061_GE_10000</x:v>
      </x:c>
      <x:c r="R66" s="19" t="str">
        <x:v>S12_061 usage threshold</x:v>
      </x:c>
      <x:c r="S66" s="19" t="str">
        <x:v>https://nlftp.mlit.go.jp/ksj/gml/datalist/KsjTmplt-S12-2024.html</x:v>
      </x:c>
      <x:c r="T66" s="19" t="str">
        <x:v>https://nlftp.mlit.go.jp/ksj/gml/datalist/KsjTmplt-S12-2024.html</x:v>
      </x:c>
      <x:c r="U66" s="19" t="str">
        <x:v>station-component|ベイサイド･ステーション|舞浜リゾートライン|fixed_guideway|35.6279|139.8763|</x:v>
      </x:c>
      <x:c r="V66" s="19" t="str">
        <x:v>004098 / 004098 / ディズニーリゾートライン</x:v>
      </x:c>
      <x:c r="W66" s="18" t="str">
        <x:v>否</x:v>
      </x:c>
      <x:c r="X66" s="18" t="str">
        <x:v>0785e932a32b3ec15e1a1345537ae145eafe1c07bf38d5c16c11ee2b391e7a28</x:v>
      </x:c>
      <x:c r="Y66" s="20" t="n">
        <x:v>1</x:v>
      </x:c>
      <x:c r="Z66" s="20" t="n">
        <x:v>1</x:v>
      </x:c>
      <x:c r="AA66" s="19"/>
      <x:c r="AB66" s="18"/>
      <x:c r="AC66" s="19"/>
    </x:row>
    <x:row r="67" ht="28" customHeight="1">
      <x:c r="A67" s="18" t="str">
        <x:v>ポートタウン東</x:v>
      </x:c>
      <x:c r="B67" s="18" t="str">
        <x:v>大阪市高速電気軌道</x:v>
      </x:c>
      <x:c r="C67" s="18" t="str">
        <x:v>fixed_guideway</x:v>
      </x:c>
      <x:c r="D67" s="19" t="str">
        <x:v>T2</x:v>
      </x:c>
      <x:c r="E67" s="20" t="n">
        <x:v>13129</x:v>
      </x:c>
      <x:c r="F67" s="18" t="str">
        <x:v>persons/day</x:v>
      </x:c>
      <x:c r="G67" s="18" t="str">
        <x:v>FY2024</x:v>
      </x:c>
      <x:c r="H67" s="18" t="str">
        <x:v>否</x:v>
      </x:c>
      <x:c r="I67" s="19" t="str">
        <x:v>DAILY_ENTRIES_EXITS</x:v>
      </x:c>
      <x:c r="J67" s="19" t="str">
        <x:v>南港ポートタウン線</x:v>
      </x:c>
      <x:c r="K67" s="18" t="str">
        <x:v>transport-node:8403b016-2231-55a4-b64f-7271e9a61a5f</x:v>
      </x:c>
      <x:c r="L67" s="19" t="str">
        <x:v>组件待审核</x:v>
      </x:c>
      <x:c r="M67" s="21" t="n">
        <x:v>34.63088</x:v>
      </x:c>
      <x:c r="N67" s="21" t="n">
        <x:v>135.429025</x:v>
      </x:c>
      <x:c r="O67" s="18" t="str">
        <x:v>007507</x:v>
      </x:c>
      <x:c r="P67" s="18" t="str">
        <x:v>南港ポートタウン線</x:v>
      </x:c>
      <x:c r="Q67" s="19" t="str">
        <x:v>S12_061_GE_10000</x:v>
      </x:c>
      <x:c r="R67" s="19" t="str">
        <x:v>S12_061 usage threshold</x:v>
      </x:c>
      <x:c r="S67" s="19" t="str">
        <x:v>https://nlftp.mlit.go.jp/ksj/gml/datalist/KsjTmplt-S12-2024.html</x:v>
      </x:c>
      <x:c r="T67" s="19" t="str">
        <x:v>https://nlftp.mlit.go.jp/ksj/gml/datalist/KsjTmplt-S12-2024.html</x:v>
      </x:c>
      <x:c r="U67" s="19" t="str">
        <x:v>station-component|ポートタウン東|大阪市高速電気軌道|fixed_guideway|34.6309|135.4290|</x:v>
      </x:c>
      <x:c r="V67" s="19" t="str">
        <x:v>007507 / 007507 / 南港ポートタウン線</x:v>
      </x:c>
      <x:c r="W67" s="18" t="str">
        <x:v>否</x:v>
      </x:c>
      <x:c r="X67" s="18" t="str">
        <x:v>0785e932a32b3ec15e1a1345537ae145eafe1c07bf38d5c16c11ee2b391e7a28</x:v>
      </x:c>
      <x:c r="Y67" s="20" t="n">
        <x:v>1</x:v>
      </x:c>
      <x:c r="Z67" s="20" t="n">
        <x:v>1</x:v>
      </x:c>
      <x:c r="AA67" s="19"/>
      <x:c r="AB67" s="18"/>
      <x:c r="AC67" s="19"/>
    </x:row>
    <x:row r="68" ht="33" customHeight="1">
      <x:c r="A68" s="18" t="str">
        <x:v>モノレール浜松町</x:v>
      </x:c>
      <x:c r="B68" s="18" t="str">
        <x:v>東京モノレール</x:v>
      </x:c>
      <x:c r="C68" s="18" t="str">
        <x:v>fixed_guideway</x:v>
      </x:c>
      <x:c r="D68" s="19" t="str">
        <x:v>T1</x:v>
      </x:c>
      <x:c r="E68" s="20" t="n">
        <x:v>94252</x:v>
      </x:c>
      <x:c r="F68" s="18" t="str">
        <x:v>persons/day</x:v>
      </x:c>
      <x:c r="G68" s="18" t="str">
        <x:v>FY2024</x:v>
      </x:c>
      <x:c r="H68" s="18" t="str">
        <x:v>否</x:v>
      </x:c>
      <x:c r="I68" s="19" t="str">
        <x:v>DAILY_ENTRIES_EXITS</x:v>
      </x:c>
      <x:c r="J68" s="19" t="str">
        <x:v>東京モノレール羽田空港線</x:v>
      </x:c>
      <x:c r="K68" s="18" t="str">
        <x:v>transport-node:ba9746c4-c5b1-508d-af0f-b53c36267121</x:v>
      </x:c>
      <x:c r="L68" s="19" t="str">
        <x:v>组件待审核</x:v>
      </x:c>
      <x:c r="M68" s="21" t="n">
        <x:v>35.655745</x:v>
      </x:c>
      <x:c r="N68" s="21" t="n">
        <x:v>139.75667</x:v>
      </x:c>
      <x:c r="O68" s="18" t="str">
        <x:v>003946</x:v>
      </x:c>
      <x:c r="P68" s="18" t="str">
        <x:v>東京モノレール羽田空港線</x:v>
      </x:c>
      <x:c r="Q68" s="19" t="str">
        <x:v>S12_061_GE_10000
OFFICIAL_HUB_COMPONENT_REVIEW</x:v>
      </x:c>
      <x:c r="R68" s="19" t="str">
        <x:v>S12_061 usage threshold</x:v>
      </x:c>
      <x:c r="S68" s="19" t="str">
        <x:v>https://nlftp.mlit.go.jp/ksj/gml/datalist/KsjTmplt-S12-2024.html</x:v>
      </x:c>
      <x:c r="T68" s="19" t="str">
        <x:v>https://nlftp.mlit.go.jp/ksj/gml/datalist/KsjTmplt-S12-2024.html
https://www.kotsu.metro.tokyo.jp/subway/stations/daimon.html</x:v>
      </x:c>
      <x:c r="U68" s="19" t="str">
        <x:v>station-component|モノレール浜松町|東京モノレール|fixed_guideway|35.6557|139.7567|</x:v>
      </x:c>
      <x:c r="V68" s="19" t="str">
        <x:v>003946 / 003946 / 東京モノレール羽田空港線</x:v>
      </x:c>
      <x:c r="W68" s="18" t="str">
        <x:v>否</x:v>
      </x:c>
      <x:c r="X68" s="18" t="str">
        <x:v>0785e932a32b3ec15e1a1345537ae145eafe1c07bf38d5c16c11ee2b391e7a28</x:v>
      </x:c>
      <x:c r="Y68" s="20" t="n">
        <x:v>1</x:v>
      </x:c>
      <x:c r="Z68" s="20" t="n">
        <x:v>1</x:v>
      </x:c>
      <x:c r="AA68" s="19" t="str">
        <x:v>浜松町・大門</x:v>
      </x:c>
      <x:c r="AB68" s="18" t="str">
        <x:v>transport-hub-review:f5527a45-84f9-5ed7-92ba-fde5ceafd3da</x:v>
      </x:c>
      <x:c r="AC68" s="19"/>
    </x:row>
    <x:row r="69" ht="28" customHeight="1">
      <x:c r="A69" s="18" t="str">
        <x:v>ユニバーサルシティ</x:v>
      </x:c>
      <x:c r="B69" s="18" t="str">
        <x:v>西日本旅客鉄道</x:v>
      </x:c>
      <x:c r="C69" s="18" t="str">
        <x:v>conventional_rail</x:v>
      </x:c>
      <x:c r="D69" s="19" t="str">
        <x:v>T1</x:v>
      </x:c>
      <x:c r="E69" s="20" t="n">
        <x:v>70634</x:v>
      </x:c>
      <x:c r="F69" s="18" t="str">
        <x:v>persons/day</x:v>
      </x:c>
      <x:c r="G69" s="18" t="str">
        <x:v>FY2024</x:v>
      </x:c>
      <x:c r="H69" s="18" t="str">
        <x:v>否</x:v>
      </x:c>
      <x:c r="I69" s="19" t="str">
        <x:v>DAILY_ENTRIES_EXITS</x:v>
      </x:c>
      <x:c r="J69" s="19" t="str">
        <x:v>桜島線</x:v>
      </x:c>
      <x:c r="K69" s="18" t="str">
        <x:v>transport-node:d6d63ccf-1868-5f91-8dd8-0e49aff817d2</x:v>
      </x:c>
      <x:c r="L69" s="19" t="str">
        <x:v>组件待审核</x:v>
      </x:c>
      <x:c r="M69" s="21" t="n">
        <x:v>34.66784</x:v>
      </x:c>
      <x:c r="N69" s="21" t="n">
        <x:v>135.438565</x:v>
      </x:c>
      <x:c r="O69" s="18" t="str">
        <x:v>007300</x:v>
      </x:c>
      <x:c r="P69" s="18" t="str">
        <x:v>桜島線</x:v>
      </x:c>
      <x:c r="Q69" s="19" t="str">
        <x:v>S12_061_GE_10000</x:v>
      </x:c>
      <x:c r="R69" s="19" t="str">
        <x:v>S12_061 usage threshold</x:v>
      </x:c>
      <x:c r="S69" s="19" t="str">
        <x:v>https://nlftp.mlit.go.jp/ksj/gml/datalist/KsjTmplt-S12-2024.html</x:v>
      </x:c>
      <x:c r="T69" s="19" t="str">
        <x:v>https://nlftp.mlit.go.jp/ksj/gml/datalist/KsjTmplt-S12-2024.html</x:v>
      </x:c>
      <x:c r="U69" s="19" t="str">
        <x:v>station-component|ユニバーサルシティ|西日本旅客鉄道|conventional_rail|34.6678|135.4386|</x:v>
      </x:c>
      <x:c r="V69" s="19" t="str">
        <x:v>007300 / 007300 / 桜島線</x:v>
      </x:c>
      <x:c r="W69" s="18" t="str">
        <x:v>否</x:v>
      </x:c>
      <x:c r="X69" s="18" t="str">
        <x:v>0785e932a32b3ec15e1a1345537ae145eafe1c07bf38d5c16c11ee2b391e7a28</x:v>
      </x:c>
      <x:c r="Y69" s="20" t="n">
        <x:v>1</x:v>
      </x:c>
      <x:c r="Z69" s="20" t="n">
        <x:v>1</x:v>
      </x:c>
      <x:c r="AA69" s="19"/>
      <x:c r="AB69" s="18"/>
      <x:c r="AC69" s="19"/>
    </x:row>
    <x:row r="70" ht="28" customHeight="1">
      <x:c r="A70" s="18" t="str">
        <x:v>ユーカリが丘</x:v>
      </x:c>
      <x:c r="B70" s="18" t="str">
        <x:v>京成電鉄</x:v>
      </x:c>
      <x:c r="C70" s="18" t="str">
        <x:v>private_rail</x:v>
      </x:c>
      <x:c r="D70" s="19" t="str">
        <x:v>T2</x:v>
      </x:c>
      <x:c r="E70" s="20" t="n">
        <x:v>19438</x:v>
      </x:c>
      <x:c r="F70" s="18" t="str">
        <x:v>persons/day</x:v>
      </x:c>
      <x:c r="G70" s="18" t="str">
        <x:v>FY2024</x:v>
      </x:c>
      <x:c r="H70" s="18" t="str">
        <x:v>否</x:v>
      </x:c>
      <x:c r="I70" s="19" t="str">
        <x:v>DAILY_ENTRIES_EXITS</x:v>
      </x:c>
      <x:c r="J70" s="19" t="str">
        <x:v>本線</x:v>
      </x:c>
      <x:c r="K70" s="18" t="str">
        <x:v>transport-node:d02cb56b-d9a7-5b55-94ff-3757506e0823</x:v>
      </x:c>
      <x:c r="L70" s="19" t="str">
        <x:v>组件待审核</x:v>
      </x:c>
      <x:c r="M70" s="21" t="n">
        <x:v>35.72183</x:v>
      </x:c>
      <x:c r="N70" s="21" t="n">
        <x:v>140.156385</x:v>
      </x:c>
      <x:c r="O70" s="18" t="str">
        <x:v>003458</x:v>
      </x:c>
      <x:c r="P70" s="18" t="str">
        <x:v>本線</x:v>
      </x:c>
      <x:c r="Q70" s="19" t="str">
        <x:v>S12_061_GE_10000</x:v>
      </x:c>
      <x:c r="R70" s="19" t="str">
        <x:v>S12_061 usage threshold</x:v>
      </x:c>
      <x:c r="S70" s="19" t="str">
        <x:v>https://nlftp.mlit.go.jp/ksj/gml/datalist/KsjTmplt-S12-2024.html</x:v>
      </x:c>
      <x:c r="T70" s="19" t="str">
        <x:v>https://nlftp.mlit.go.jp/ksj/gml/datalist/KsjTmplt-S12-2024.html</x:v>
      </x:c>
      <x:c r="U70" s="19" t="str">
        <x:v>station-component|ユーカリが丘|京成電鉄|private_rail|35.7218|140.1564|</x:v>
      </x:c>
      <x:c r="V70" s="19" t="str">
        <x:v>003452 / 003458 / 本線</x:v>
      </x:c>
      <x:c r="W70" s="18" t="str">
        <x:v>否</x:v>
      </x:c>
      <x:c r="X70" s="18" t="str">
        <x:v>0785e932a32b3ec15e1a1345537ae145eafe1c07bf38d5c16c11ee2b391e7a28</x:v>
      </x:c>
      <x:c r="Y70" s="20" t="n">
        <x:v>1</x:v>
      </x:c>
      <x:c r="Z70" s="20" t="n">
        <x:v>1</x:v>
      </x:c>
      <x:c r="AA70" s="19"/>
      <x:c r="AB70" s="18"/>
      <x:c r="AC70" s="19"/>
    </x:row>
    <x:row r="71" ht="33" customHeight="1">
      <x:c r="A71" s="18" t="str">
        <x:v>リゾートゲートウェイ･ステーション</x:v>
      </x:c>
      <x:c r="B71" s="18" t="str">
        <x:v>舞浜リゾートライン</x:v>
      </x:c>
      <x:c r="C71" s="18" t="str">
        <x:v>fixed_guideway</x:v>
      </x:c>
      <x:c r="D71" s="19" t="str">
        <x:v>T2</x:v>
      </x:c>
      <x:c r="E71" s="20" t="n">
        <x:v>44725</x:v>
      </x:c>
      <x:c r="F71" s="18" t="str">
        <x:v>persons/day</x:v>
      </x:c>
      <x:c r="G71" s="18" t="str">
        <x:v>FY2024</x:v>
      </x:c>
      <x:c r="H71" s="18" t="str">
        <x:v>否</x:v>
      </x:c>
      <x:c r="I71" s="19" t="str">
        <x:v>DAILY_ENTRIES_EXITS</x:v>
      </x:c>
      <x:c r="J71" s="19" t="str">
        <x:v>ディズニーリゾートライン</x:v>
      </x:c>
      <x:c r="K71" s="18" t="str">
        <x:v>transport-node:8e0ded07-9984-5c19-9b39-e6d0317461db</x:v>
      </x:c>
      <x:c r="L71" s="19" t="str">
        <x:v>组件待审核</x:v>
      </x:c>
      <x:c r="M71" s="21" t="n">
        <x:v>35.63511</x:v>
      </x:c>
      <x:c r="N71" s="21" t="n">
        <x:v>139.88495</x:v>
      </x:c>
      <x:c r="O71" s="18" t="str">
        <x:v>004063</x:v>
      </x:c>
      <x:c r="P71" s="18" t="str">
        <x:v>ディズニーリゾートライン</x:v>
      </x:c>
      <x:c r="Q71" s="19" t="str">
        <x:v>S12_061_GE_10000</x:v>
      </x:c>
      <x:c r="R71" s="19" t="str">
        <x:v>S12_061 usage threshold</x:v>
      </x:c>
      <x:c r="S71" s="19" t="str">
        <x:v>https://nlftp.mlit.go.jp/ksj/gml/datalist/KsjTmplt-S12-2024.html</x:v>
      </x:c>
      <x:c r="T71" s="19" t="str">
        <x:v>https://nlftp.mlit.go.jp/ksj/gml/datalist/KsjTmplt-S12-2024.html</x:v>
      </x:c>
      <x:c r="U71" s="19" t="str">
        <x:v>station-component|リゾートゲートウェイ･ステーション|舞浜リゾートライン|fixed_guideway|35.6351|139.8850|</x:v>
      </x:c>
      <x:c r="V71" s="19" t="str">
        <x:v>004063 / 004063 / ディズニーリゾートライン</x:v>
      </x:c>
      <x:c r="W71" s="18" t="str">
        <x:v>否</x:v>
      </x:c>
      <x:c r="X71" s="18" t="str">
        <x:v>0785e932a32b3ec15e1a1345537ae145eafe1c07bf38d5c16c11ee2b391e7a28</x:v>
      </x:c>
      <x:c r="Y71" s="20" t="n">
        <x:v>1</x:v>
      </x:c>
      <x:c r="Z71" s="20" t="n">
        <x:v>1</x:v>
      </x:c>
      <x:c r="AA71" s="19"/>
      <x:c r="AB71" s="18"/>
      <x:c r="AC71" s="19"/>
    </x:row>
    <x:row r="72" ht="28" customHeight="1">
      <x:c r="A72" s="18" t="str">
        <x:v>一ノ割</x:v>
      </x:c>
      <x:c r="B72" s="18" t="str">
        <x:v>東武鉄道</x:v>
      </x:c>
      <x:c r="C72" s="18" t="str">
        <x:v>private_rail</x:v>
      </x:c>
      <x:c r="D72" s="19" t="str">
        <x:v>T2</x:v>
      </x:c>
      <x:c r="E72" s="20" t="n">
        <x:v>16354</x:v>
      </x:c>
      <x:c r="F72" s="18" t="str">
        <x:v>persons/day</x:v>
      </x:c>
      <x:c r="G72" s="18" t="str">
        <x:v>FY2024</x:v>
      </x:c>
      <x:c r="H72" s="18" t="str">
        <x:v>否</x:v>
      </x:c>
      <x:c r="I72" s="19" t="str">
        <x:v>DAILY_ENTRIES_EXITS</x:v>
      </x:c>
      <x:c r="J72" s="19" t="str">
        <x:v>伊勢崎線</x:v>
      </x:c>
      <x:c r="K72" s="18" t="str">
        <x:v>transport-node:68fd0d97-d36f-52b1-bf20-61ea0bdcaf62</x:v>
      </x:c>
      <x:c r="L72" s="19" t="str">
        <x:v>组件待审核</x:v>
      </x:c>
      <x:c r="M72" s="21" t="n">
        <x:v>35.964875</x:v>
      </x:c>
      <x:c r="N72" s="21" t="n">
        <x:v>139.76604</x:v>
      </x:c>
      <x:c r="O72" s="18" t="str">
        <x:v>002810</x:v>
      </x:c>
      <x:c r="P72" s="18" t="str">
        <x:v>伊勢崎線</x:v>
      </x:c>
      <x:c r="Q72" s="19" t="str">
        <x:v>S12_061_GE_10000</x:v>
      </x:c>
      <x:c r="R72" s="19" t="str">
        <x:v>S12_061 usage threshold</x:v>
      </x:c>
      <x:c r="S72" s="19" t="str">
        <x:v>https://nlftp.mlit.go.jp/ksj/gml/datalist/KsjTmplt-S12-2024.html</x:v>
      </x:c>
      <x:c r="T72" s="19" t="str">
        <x:v>https://nlftp.mlit.go.jp/ksj/gml/datalist/KsjTmplt-S12-2024.html</x:v>
      </x:c>
      <x:c r="U72" s="19" t="str">
        <x:v>station-component|一ノ割|東武鉄道|private_rail|35.9649|139.7660|</x:v>
      </x:c>
      <x:c r="V72" s="19" t="str">
        <x:v>002810 / 002810 / 伊勢崎線</x:v>
      </x:c>
      <x:c r="W72" s="18" t="str">
        <x:v>否</x:v>
      </x:c>
      <x:c r="X72" s="18" t="str">
        <x:v>0785e932a32b3ec15e1a1345537ae145eafe1c07bf38d5c16c11ee2b391e7a28</x:v>
      </x:c>
      <x:c r="Y72" s="20" t="n">
        <x:v>1</x:v>
      </x:c>
      <x:c r="Z72" s="20" t="n">
        <x:v>1</x:v>
      </x:c>
      <x:c r="AA72" s="19"/>
      <x:c r="AB72" s="18"/>
      <x:c r="AC72" s="19"/>
    </x:row>
    <x:row r="73" ht="33" customHeight="1">
      <x:c r="A73" s="18" t="str">
        <x:v>一ノ関</x:v>
      </x:c>
      <x:c r="B73" s="18" t="str">
        <x:v>東日本旅客鉄道</x:v>
      </x:c>
      <x:c r="C73" s="18" t="str">
        <x:v>shinkansen</x:v>
      </x:c>
      <x:c r="D73" s="19"/>
      <x:c r="E73" s="20" t="n">
        <x:v>2082</x:v>
      </x:c>
      <x:c r="F73" s="18" t="str">
        <x:v>boardings/day</x:v>
      </x:c>
      <x:c r="G73" s="18" t="str">
        <x:v>FY2024</x:v>
      </x:c>
      <x:c r="H73" s="18" t="str">
        <x:v>是</x:v>
      </x:c>
      <x:c r="I73" s="19" t="str">
        <x:v>DAILY_SHINKANSEN_BOARDINGS</x:v>
      </x:c>
      <x:c r="J73" s="19" t="str">
        <x:v>東北新幹線</x:v>
      </x:c>
      <x:c r="K73" s="18" t="str">
        <x:v>transport-node:5b9d4ce7-46b5-542c-af2d-7fde9d1e5048</x:v>
      </x:c>
      <x:c r="L73" s="19" t="str">
        <x:v>组件待审核</x:v>
      </x:c>
      <x:c r="M73" s="21" t="n">
        <x:v>38.926445</x:v>
      </x:c>
      <x:c r="N73" s="21" t="n">
        <x:v>141.1391</x:v>
      </x:c>
      <x:c r="O73" s="18" t="str">
        <x:v>000977</x:v>
      </x:c>
      <x:c r="P73" s="18" t="str">
        <x:v>東北新幹線</x:v>
      </x:c>
      <x:c r="Q73" s="19" t="str">
        <x:v>SHINKANSEN</x:v>
      </x:c>
      <x:c r="R73" s="19" t="str">
        <x:v>Official fallback retained in published scope/unit; tier remains null pending metric/manual review.</x:v>
      </x:c>
      <x:c r="S73" s="19" t="str">
        <x:v>https://www.jreast.co.jp/company/data/passenger/2024_shinkansen.html/</x:v>
      </x:c>
      <x:c r="T73" s="19" t="str">
        <x:v>https://nlftp.mlit.go.jp/ksj/gml/datalist/KsjTmplt-S12-2024.html
https://www.jreast.co.jp/company/data/passenger/2024_shinkansen.html/</x:v>
      </x:c>
      <x:c r="U73" s="19" t="str">
        <x:v>station-component|一ノ関|東日本旅客鉄道|shinkansen|38.9264|141.1391|</x:v>
      </x:c>
      <x:c r="V73" s="19" t="str">
        <x:v>000975 / 000977 / 東北新幹線</x:v>
      </x:c>
      <x:c r="W73" s="18" t="str">
        <x:v>否</x:v>
      </x:c>
      <x:c r="X73" s="18" t="str">
        <x:v>0785e932a32b3ec15e1a1345537ae145eafe1c07bf38d5c16c11ee2b391e7a28</x:v>
      </x:c>
      <x:c r="Y73" s="20" t="n">
        <x:v>1</x:v>
      </x:c>
      <x:c r="Z73" s="20" t="n">
        <x:v>2</x:v>
      </x:c>
      <x:c r="AA73" s="19"/>
      <x:c r="AB73" s="18"/>
      <x:c r="AC73" s="19"/>
    </x:row>
    <x:row r="74" ht="28" customHeight="1">
      <x:c r="A74" s="18" t="str">
        <x:v>一之江</x:v>
      </x:c>
      <x:c r="B74" s="18" t="str">
        <x:v>東京都</x:v>
      </x:c>
      <x:c r="C74" s="18" t="str">
        <x:v>metro</x:v>
      </x:c>
      <x:c r="D74" s="19" t="str">
        <x:v>T2</x:v>
      </x:c>
      <x:c r="E74" s="20" t="n">
        <x:v>43043</x:v>
      </x:c>
      <x:c r="F74" s="18" t="str">
        <x:v>persons/day</x:v>
      </x:c>
      <x:c r="G74" s="18" t="str">
        <x:v>FY2024</x:v>
      </x:c>
      <x:c r="H74" s="18" t="str">
        <x:v>否</x:v>
      </x:c>
      <x:c r="I74" s="19" t="str">
        <x:v>DAILY_ENTRIES_EXITS</x:v>
      </x:c>
      <x:c r="J74" s="19" t="str">
        <x:v>10号線新宿線</x:v>
      </x:c>
      <x:c r="K74" s="18" t="str">
        <x:v>transport-node:ea0e5924-14c6-5e2e-9b41-ef6666157b7f</x:v>
      </x:c>
      <x:c r="L74" s="19" t="str">
        <x:v>组件待审核</x:v>
      </x:c>
      <x:c r="M74" s="21" t="n">
        <x:v>35.68594</x:v>
      </x:c>
      <x:c r="N74" s="21" t="n">
        <x:v>139.88289</x:v>
      </x:c>
      <x:c r="O74" s="18" t="str">
        <x:v>003724</x:v>
      </x:c>
      <x:c r="P74" s="18" t="str">
        <x:v>10号線新宿線</x:v>
      </x:c>
      <x:c r="Q74" s="19" t="str">
        <x:v>S12_061_GE_10000</x:v>
      </x:c>
      <x:c r="R74" s="19" t="str">
        <x:v>S12_061 usage threshold</x:v>
      </x:c>
      <x:c r="S74" s="19" t="str">
        <x:v>https://nlftp.mlit.go.jp/ksj/gml/datalist/KsjTmplt-S12-2024.html</x:v>
      </x:c>
      <x:c r="T74" s="19" t="str">
        <x:v>https://nlftp.mlit.go.jp/ksj/gml/datalist/KsjTmplt-S12-2024.html</x:v>
      </x:c>
      <x:c r="U74" s="19" t="str">
        <x:v>station-component|一之江|東京都|metro|35.6859|139.8829|</x:v>
      </x:c>
      <x:c r="V74" s="19" t="str">
        <x:v>003724 / 003724 / 10号線新宿線</x:v>
      </x:c>
      <x:c r="W74" s="18" t="str">
        <x:v>否</x:v>
      </x:c>
      <x:c r="X74" s="18" t="str">
        <x:v>0785e932a32b3ec15e1a1345537ae145eafe1c07bf38d5c16c11ee2b391e7a28</x:v>
      </x:c>
      <x:c r="Y74" s="20" t="n">
        <x:v>1</x:v>
      </x:c>
      <x:c r="Z74" s="20" t="n">
        <x:v>1</x:v>
      </x:c>
      <x:c r="AA74" s="19"/>
      <x:c r="AB74" s="18"/>
      <x:c r="AC74" s="19"/>
    </x:row>
    <x:row r="75" ht="28" customHeight="1">
      <x:c r="A75" s="18" t="str">
        <x:v>一橋学園</x:v>
      </x:c>
      <x:c r="B75" s="18" t="str">
        <x:v>西武鉄道</x:v>
      </x:c>
      <x:c r="C75" s="18" t="str">
        <x:v>private_rail</x:v>
      </x:c>
      <x:c r="D75" s="19" t="str">
        <x:v>T2</x:v>
      </x:c>
      <x:c r="E75" s="20" t="n">
        <x:v>20370</x:v>
      </x:c>
      <x:c r="F75" s="18" t="str">
        <x:v>persons/day</x:v>
      </x:c>
      <x:c r="G75" s="18" t="str">
        <x:v>FY2024</x:v>
      </x:c>
      <x:c r="H75" s="18" t="str">
        <x:v>否</x:v>
      </x:c>
      <x:c r="I75" s="19" t="str">
        <x:v>DAILY_ENTRIES_EXITS</x:v>
      </x:c>
      <x:c r="J75" s="19" t="str">
        <x:v>多摩湖線</x:v>
      </x:c>
      <x:c r="K75" s="18" t="str">
        <x:v>transport-node:bd34d81c-11f6-5e04-bd10-7d1a6c98fc5a</x:v>
      </x:c>
      <x:c r="L75" s="19" t="str">
        <x:v>组件待审核</x:v>
      </x:c>
      <x:c r="M75" s="21" t="n">
        <x:v>35.722105</x:v>
      </x:c>
      <x:c r="N75" s="21" t="n">
        <x:v>139.480065</x:v>
      </x:c>
      <x:c r="O75" s="18" t="str">
        <x:v>003455</x:v>
      </x:c>
      <x:c r="P75" s="18" t="str">
        <x:v>多摩湖線</x:v>
      </x:c>
      <x:c r="Q75" s="19" t="str">
        <x:v>S12_061_GE_10000</x:v>
      </x:c>
      <x:c r="R75" s="19" t="str">
        <x:v>S12_061 usage threshold</x:v>
      </x:c>
      <x:c r="S75" s="19" t="str">
        <x:v>https://nlftp.mlit.go.jp/ksj/gml/datalist/KsjTmplt-S12-2024.html</x:v>
      </x:c>
      <x:c r="T75" s="19" t="str">
        <x:v>https://nlftp.mlit.go.jp/ksj/gml/datalist/KsjTmplt-S12-2024.html</x:v>
      </x:c>
      <x:c r="U75" s="19" t="str">
        <x:v>station-component|一橋学園|西武鉄道|private_rail|35.7221|139.4801|</x:v>
      </x:c>
      <x:c r="V75" s="19" t="str">
        <x:v>003455 / 003455 / 多摩湖線</x:v>
      </x:c>
      <x:c r="W75" s="18" t="str">
        <x:v>否</x:v>
      </x:c>
      <x:c r="X75" s="18" t="str">
        <x:v>0785e932a32b3ec15e1a1345537ae145eafe1c07bf38d5c16c11ee2b391e7a28</x:v>
      </x:c>
      <x:c r="Y75" s="20" t="n">
        <x:v>1</x:v>
      </x:c>
      <x:c r="Z75" s="20" t="n">
        <x:v>1</x:v>
      </x:c>
      <x:c r="AA75" s="19"/>
      <x:c r="AB75" s="18"/>
      <x:c r="AC75" s="19"/>
    </x:row>
    <x:row r="76" ht="28" customHeight="1">
      <x:c r="A76" s="18" t="str">
        <x:v>一社</x:v>
      </x:c>
      <x:c r="B76" s="18" t="str">
        <x:v>名古屋市</x:v>
      </x:c>
      <x:c r="C76" s="18" t="str">
        <x:v>metro</x:v>
      </x:c>
      <x:c r="D76" s="19" t="str">
        <x:v>T2</x:v>
      </x:c>
      <x:c r="E76" s="20" t="n">
        <x:v>26167</x:v>
      </x:c>
      <x:c r="F76" s="18" t="str">
        <x:v>persons/day</x:v>
      </x:c>
      <x:c r="G76" s="18" t="str">
        <x:v>FY2024</x:v>
      </x:c>
      <x:c r="H76" s="18" t="str">
        <x:v>否</x:v>
      </x:c>
      <x:c r="I76" s="19" t="str">
        <x:v>DAILY_ENTRIES_EXITS</x:v>
      </x:c>
      <x:c r="J76" s="19" t="str">
        <x:v>1号線東山線</x:v>
      </x:c>
      <x:c r="K76" s="18" t="str">
        <x:v>transport-node:e736d5db-ed2b-5c34-b302-2d981d6cd589</x:v>
      </x:c>
      <x:c r="L76" s="19" t="str">
        <x:v>组件待审核</x:v>
      </x:c>
      <x:c r="M76" s="21" t="n">
        <x:v>35.1683</x:v>
      </x:c>
      <x:c r="N76" s="21" t="n">
        <x:v>136.99599</x:v>
      </x:c>
      <x:c r="O76" s="18" t="str">
        <x:v>005470</x:v>
      </x:c>
      <x:c r="P76" s="18" t="str">
        <x:v>1号線東山線</x:v>
      </x:c>
      <x:c r="Q76" s="19" t="str">
        <x:v>S12_061_GE_10000</x:v>
      </x:c>
      <x:c r="R76" s="19" t="str">
        <x:v>S12_061 usage threshold</x:v>
      </x:c>
      <x:c r="S76" s="19" t="str">
        <x:v>https://nlftp.mlit.go.jp/ksj/gml/datalist/KsjTmplt-S12-2024.html</x:v>
      </x:c>
      <x:c r="T76" s="19" t="str">
        <x:v>https://nlftp.mlit.go.jp/ksj/gml/datalist/KsjTmplt-S12-2024.html</x:v>
      </x:c>
      <x:c r="U76" s="19" t="str">
        <x:v>station-component|一社|名古屋市|metro|35.1683|136.9960|</x:v>
      </x:c>
      <x:c r="V76" s="19" t="str">
        <x:v>005470 / 005470 / 1号線東山線</x:v>
      </x:c>
      <x:c r="W76" s="18" t="str">
        <x:v>否</x:v>
      </x:c>
      <x:c r="X76" s="18" t="str">
        <x:v>0785e932a32b3ec15e1a1345537ae145eafe1c07bf38d5c16c11ee2b391e7a28</x:v>
      </x:c>
      <x:c r="Y76" s="20" t="n">
        <x:v>1</x:v>
      </x:c>
      <x:c r="Z76" s="20" t="n">
        <x:v>1</x:v>
      </x:c>
      <x:c r="AA76" s="19"/>
      <x:c r="AB76" s="18"/>
      <x:c r="AC76" s="19"/>
    </x:row>
    <x:row r="77" ht="33" customHeight="1">
      <x:c r="A77" s="18" t="str">
        <x:v>七戸十和田</x:v>
      </x:c>
      <x:c r="B77" s="18" t="str">
        <x:v>東日本旅客鉄道</x:v>
      </x:c>
      <x:c r="C77" s="18" t="str">
        <x:v>shinkansen</x:v>
      </x:c>
      <x:c r="D77" s="19" t="str">
        <x:v>T3</x:v>
      </x:c>
      <x:c r="E77" s="20" t="n">
        <x:v>1434</x:v>
      </x:c>
      <x:c r="F77" s="18" t="str">
        <x:v>persons/day</x:v>
      </x:c>
      <x:c r="G77" s="18" t="str">
        <x:v>FY2024</x:v>
      </x:c>
      <x:c r="H77" s="18" t="str">
        <x:v>否</x:v>
      </x:c>
      <x:c r="I77" s="19" t="str">
        <x:v>DAILY_ENTRIES_EXITS</x:v>
      </x:c>
      <x:c r="J77" s="19" t="str">
        <x:v>東北新幹線</x:v>
      </x:c>
      <x:c r="K77" s="18" t="str">
        <x:v>transport-node:ddd9c52c-3531-5ad0-93b1-d104df45204a</x:v>
      </x:c>
      <x:c r="L77" s="19" t="str">
        <x:v>组件待审核</x:v>
      </x:c>
      <x:c r="M77" s="21" t="n">
        <x:v>40.719931</x:v>
      </x:c>
      <x:c r="N77" s="21" t="n">
        <x:v>141.1539085</x:v>
      </x:c>
      <x:c r="O77" s="18" t="str">
        <x:v>000561</x:v>
      </x:c>
      <x:c r="P77" s="18" t="str">
        <x:v>東北新幹線</x:v>
      </x:c>
      <x:c r="Q77" s="19" t="str">
        <x:v>SHINKANSEN</x:v>
      </x:c>
      <x:c r="R77" s="19" t="str">
        <x:v>S12_061 usage threshold; low-flow inclusion justified by Shinkansen inventory</x:v>
      </x:c>
      <x:c r="S77" s="19" t="str">
        <x:v>https://nlftp.mlit.go.jp/ksj/gml/datalist/KsjTmplt-S12-2024.html</x:v>
      </x:c>
      <x:c r="T77" s="19" t="str">
        <x:v>https://nlftp.mlit.go.jp/ksj/gml/datalist/KsjTmplt-S12-2024.html</x:v>
      </x:c>
      <x:c r="U77" s="19" t="str">
        <x:v>station-component|七戸十和田|東日本旅客鉄道|shinkansen|40.7199|141.1539|</x:v>
      </x:c>
      <x:c r="V77" s="19" t="str">
        <x:v>000561 / 000561 / 東北新幹線</x:v>
      </x:c>
      <x:c r="W77" s="18" t="str">
        <x:v>否</x:v>
      </x:c>
      <x:c r="X77" s="18" t="str">
        <x:v>0785e932a32b3ec15e1a1345537ae145eafe1c07bf38d5c16c11ee2b391e7a28</x:v>
      </x:c>
      <x:c r="Y77" s="20" t="n">
        <x:v>1</x:v>
      </x:c>
      <x:c r="Z77" s="20" t="n">
        <x:v>1</x:v>
      </x:c>
      <x:c r="AA77" s="19"/>
      <x:c r="AB77" s="18"/>
      <x:c r="AC77" s="19"/>
    </x:row>
    <x:row r="78" ht="28" customHeight="1">
      <x:c r="A78" s="18" t="str">
        <x:v>七条</x:v>
      </x:c>
      <x:c r="B78" s="18" t="str">
        <x:v>京阪電気鉄道</x:v>
      </x:c>
      <x:c r="C78" s="18" t="str">
        <x:v>private_rail</x:v>
      </x:c>
      <x:c r="D78" s="19" t="str">
        <x:v>T2</x:v>
      </x:c>
      <x:c r="E78" s="20" t="n">
        <x:v>14462</x:v>
      </x:c>
      <x:c r="F78" s="18" t="str">
        <x:v>persons/day</x:v>
      </x:c>
      <x:c r="G78" s="18" t="str">
        <x:v>FY2024</x:v>
      </x:c>
      <x:c r="H78" s="18" t="str">
        <x:v>否</x:v>
      </x:c>
      <x:c r="I78" s="19" t="str">
        <x:v>DAILY_ENTRIES_EXITS</x:v>
      </x:c>
      <x:c r="J78" s="19" t="str">
        <x:v>京阪本線</x:v>
      </x:c>
      <x:c r="K78" s="18" t="str">
        <x:v>transport-node:2ddf5082-d2fd-5227-a051-804a7eec9cf7</x:v>
      </x:c>
      <x:c r="L78" s="19" t="str">
        <x:v>组件待审核</x:v>
      </x:c>
      <x:c r="M78" s="21" t="n">
        <x:v>34.9901</x:v>
      </x:c>
      <x:c r="N78" s="21" t="n">
        <x:v>135.767635</x:v>
      </x:c>
      <x:c r="O78" s="18" t="str">
        <x:v>006056</x:v>
      </x:c>
      <x:c r="P78" s="18" t="str">
        <x:v>京阪本線</x:v>
      </x:c>
      <x:c r="Q78" s="19" t="str">
        <x:v>S12_061_GE_10000</x:v>
      </x:c>
      <x:c r="R78" s="19" t="str">
        <x:v>S12_061 usage threshold</x:v>
      </x:c>
      <x:c r="S78" s="19" t="str">
        <x:v>https://nlftp.mlit.go.jp/ksj/gml/datalist/KsjTmplt-S12-2024.html</x:v>
      </x:c>
      <x:c r="T78" s="19" t="str">
        <x:v>https://nlftp.mlit.go.jp/ksj/gml/datalist/KsjTmplt-S12-2024.html</x:v>
      </x:c>
      <x:c r="U78" s="19" t="str">
        <x:v>station-component|七条|京阪電気鉄道|private_rail|34.9901|135.7676|</x:v>
      </x:c>
      <x:c r="V78" s="19" t="str">
        <x:v>006056 / 006056 / 京阪本線</x:v>
      </x:c>
      <x:c r="W78" s="18" t="str">
        <x:v>否</x:v>
      </x:c>
      <x:c r="X78" s="18" t="str">
        <x:v>0785e932a32b3ec15e1a1345537ae145eafe1c07bf38d5c16c11ee2b391e7a28</x:v>
      </x:c>
      <x:c r="Y78" s="20" t="n">
        <x:v>1</x:v>
      </x:c>
      <x:c r="Z78" s="20" t="n">
        <x:v>1</x:v>
      </x:c>
      <x:c r="AA78" s="19"/>
      <x:c r="AB78" s="18"/>
      <x:c r="AC78" s="19"/>
    </x:row>
    <x:row r="79" ht="28" customHeight="1">
      <x:c r="A79" s="18" t="str">
        <x:v>七道</x:v>
      </x:c>
      <x:c r="B79" s="18" t="str">
        <x:v>南海電気鉄道</x:v>
      </x:c>
      <x:c r="C79" s="18" t="str">
        <x:v>private_rail</x:v>
      </x:c>
      <x:c r="D79" s="19" t="str">
        <x:v>T2</x:v>
      </x:c>
      <x:c r="E79" s="20" t="n">
        <x:v>11321</x:v>
      </x:c>
      <x:c r="F79" s="18" t="str">
        <x:v>persons/day</x:v>
      </x:c>
      <x:c r="G79" s="18" t="str">
        <x:v>FY2024</x:v>
      </x:c>
      <x:c r="H79" s="18" t="str">
        <x:v>否</x:v>
      </x:c>
      <x:c r="I79" s="19" t="str">
        <x:v>DAILY_ENTRIES_EXITS</x:v>
      </x:c>
      <x:c r="J79" s="19" t="str">
        <x:v>南海本線</x:v>
      </x:c>
      <x:c r="K79" s="18" t="str">
        <x:v>transport-node:705e299a-ce45-546e-8a74-22eb7a19f490</x:v>
      </x:c>
      <x:c r="L79" s="19" t="str">
        <x:v>组件待审核</x:v>
      </x:c>
      <x:c r="M79" s="21" t="n">
        <x:v>34.59219</x:v>
      </x:c>
      <x:c r="N79" s="21" t="n">
        <x:v>135.48051</x:v>
      </x:c>
      <x:c r="O79" s="18" t="str">
        <x:v>007626</x:v>
      </x:c>
      <x:c r="P79" s="18" t="str">
        <x:v>南海本線</x:v>
      </x:c>
      <x:c r="Q79" s="19" t="str">
        <x:v>S12_061_GE_10000</x:v>
      </x:c>
      <x:c r="R79" s="19" t="str">
        <x:v>S12_061 usage threshold</x:v>
      </x:c>
      <x:c r="S79" s="19" t="str">
        <x:v>https://nlftp.mlit.go.jp/ksj/gml/datalist/KsjTmplt-S12-2024.html</x:v>
      </x:c>
      <x:c r="T79" s="19" t="str">
        <x:v>https://nlftp.mlit.go.jp/ksj/gml/datalist/KsjTmplt-S12-2024.html</x:v>
      </x:c>
      <x:c r="U79" s="19" t="str">
        <x:v>station-component|七道|南海電気鉄道|private_rail|34.5922|135.4805|</x:v>
      </x:c>
      <x:c r="V79" s="19" t="str">
        <x:v>007626 / 007626 / 南海本線</x:v>
      </x:c>
      <x:c r="W79" s="18" t="str">
        <x:v>否</x:v>
      </x:c>
      <x:c r="X79" s="18" t="str">
        <x:v>0785e932a32b3ec15e1a1345537ae145eafe1c07bf38d5c16c11ee2b391e7a28</x:v>
      </x:c>
      <x:c r="Y79" s="20" t="n">
        <x:v>1</x:v>
      </x:c>
      <x:c r="Z79" s="20" t="n">
        <x:v>1</x:v>
      </x:c>
      <x:c r="AA79" s="19"/>
      <x:c r="AB79" s="18"/>
      <x:c r="AC79" s="19"/>
    </x:row>
    <x:row r="80" ht="28" customHeight="1">
      <x:c r="A80" s="18" t="str">
        <x:v>七里</x:v>
      </x:c>
      <x:c r="B80" s="18" t="str">
        <x:v>東武鉄道</x:v>
      </x:c>
      <x:c r="C80" s="18" t="str">
        <x:v>private_rail</x:v>
      </x:c>
      <x:c r="D80" s="19" t="str">
        <x:v>T2</x:v>
      </x:c>
      <x:c r="E80" s="20" t="n">
        <x:v>18353</x:v>
      </x:c>
      <x:c r="F80" s="18" t="str">
        <x:v>persons/day</x:v>
      </x:c>
      <x:c r="G80" s="18" t="str">
        <x:v>FY2024</x:v>
      </x:c>
      <x:c r="H80" s="18" t="str">
        <x:v>否</x:v>
      </x:c>
      <x:c r="I80" s="19" t="str">
        <x:v>DAILY_ENTRIES_EXITS</x:v>
      </x:c>
      <x:c r="J80" s="19" t="str">
        <x:v>野田線</x:v>
      </x:c>
      <x:c r="K80" s="18" t="str">
        <x:v>transport-node:d1427d42-1bbf-5028-97bc-88caf9c11175</x:v>
      </x:c>
      <x:c r="L80" s="19" t="str">
        <x:v>组件待审核</x:v>
      </x:c>
      <x:c r="M80" s="21" t="n">
        <x:v>35.93649</x:v>
      </x:c>
      <x:c r="N80" s="21" t="n">
        <x:v>139.66601</x:v>
      </x:c>
      <x:c r="O80" s="18" t="str">
        <x:v>002854</x:v>
      </x:c>
      <x:c r="P80" s="18" t="str">
        <x:v>野田線</x:v>
      </x:c>
      <x:c r="Q80" s="19" t="str">
        <x:v>S12_061_GE_10000</x:v>
      </x:c>
      <x:c r="R80" s="19" t="str">
        <x:v>S12_061 usage threshold</x:v>
      </x:c>
      <x:c r="S80" s="19" t="str">
        <x:v>https://nlftp.mlit.go.jp/ksj/gml/datalist/KsjTmplt-S12-2024.html</x:v>
      </x:c>
      <x:c r="T80" s="19" t="str">
        <x:v>https://nlftp.mlit.go.jp/ksj/gml/datalist/KsjTmplt-S12-2024.html</x:v>
      </x:c>
      <x:c r="U80" s="19" t="str">
        <x:v>station-component|七里|東武鉄道|private_rail|35.9365|139.6660|</x:v>
      </x:c>
      <x:c r="V80" s="19" t="str">
        <x:v>002854 / 002854 / 野田線</x:v>
      </x:c>
      <x:c r="W80" s="18" t="str">
        <x:v>否</x:v>
      </x:c>
      <x:c r="X80" s="18" t="str">
        <x:v>0785e932a32b3ec15e1a1345537ae145eafe1c07bf38d5c16c11ee2b391e7a28</x:v>
      </x:c>
      <x:c r="Y80" s="20" t="n">
        <x:v>1</x:v>
      </x:c>
      <x:c r="Z80" s="20" t="n">
        <x:v>1</x:v>
      </x:c>
      <x:c r="AA80" s="19"/>
      <x:c r="AB80" s="18"/>
      <x:c r="AC80" s="19"/>
    </x:row>
    <x:row r="81" ht="28" customHeight="1">
      <x:c r="A81" s="18" t="str">
        <x:v>七隈</x:v>
      </x:c>
      <x:c r="B81" s="18" t="str">
        <x:v>福岡市</x:v>
      </x:c>
      <x:c r="C81" s="18" t="str">
        <x:v>metro</x:v>
      </x:c>
      <x:c r="D81" s="19" t="str">
        <x:v>T2</x:v>
      </x:c>
      <x:c r="E81" s="20" t="n">
        <x:v>10395</x:v>
      </x:c>
      <x:c r="F81" s="18" t="str">
        <x:v>persons/day</x:v>
      </x:c>
      <x:c r="G81" s="18" t="str">
        <x:v>FY2024</x:v>
      </x:c>
      <x:c r="H81" s="18" t="str">
        <x:v>否</x:v>
      </x:c>
      <x:c r="I81" s="19" t="str">
        <x:v>DAILY_ENTRIES_EXITS</x:v>
      </x:c>
      <x:c r="J81" s="19" t="str">
        <x:v>3号線(七隈線)</x:v>
      </x:c>
      <x:c r="K81" s="18" t="str">
        <x:v>transport-node:2cefeb36-1b30-5a4b-ba43-bd77322f291c</x:v>
      </x:c>
      <x:c r="L81" s="19" t="str">
        <x:v>组件待审核</x:v>
      </x:c>
      <x:c r="M81" s="21" t="n">
        <x:v>33.55293</x:v>
      </x:c>
      <x:c r="N81" s="21" t="n">
        <x:v>130.3617</x:v>
      </x:c>
      <x:c r="O81" s="18" t="str">
        <x:v>009157</x:v>
      </x:c>
      <x:c r="P81" s="18" t="str">
        <x:v>3号線(七隈線)</x:v>
      </x:c>
      <x:c r="Q81" s="19" t="str">
        <x:v>S12_061_GE_10000</x:v>
      </x:c>
      <x:c r="R81" s="19" t="str">
        <x:v>S12_061 usage threshold</x:v>
      </x:c>
      <x:c r="S81" s="19" t="str">
        <x:v>https://nlftp.mlit.go.jp/ksj/gml/datalist/KsjTmplt-S12-2024.html</x:v>
      </x:c>
      <x:c r="T81" s="19" t="str">
        <x:v>https://nlftp.mlit.go.jp/ksj/gml/datalist/KsjTmplt-S12-2024.html</x:v>
      </x:c>
      <x:c r="U81" s="19" t="str">
        <x:v>station-component|七隈|福岡市|metro|33.5529|130.3617|</x:v>
      </x:c>
      <x:c r="V81" s="19" t="str">
        <x:v>009157 / 009157 / 3号線(七隈線)</x:v>
      </x:c>
      <x:c r="W81" s="18" t="str">
        <x:v>否</x:v>
      </x:c>
      <x:c r="X81" s="18" t="str">
        <x:v>0785e932a32b3ec15e1a1345537ae145eafe1c07bf38d5c16c11ee2b391e7a28</x:v>
      </x:c>
      <x:c r="Y81" s="20" t="n">
        <x:v>1</x:v>
      </x:c>
      <x:c r="Z81" s="20" t="n">
        <x:v>1</x:v>
      </x:c>
      <x:c r="AA81" s="19"/>
      <x:c r="AB81" s="18"/>
      <x:c r="AC81" s="19"/>
    </x:row>
    <x:row r="82" ht="33" customHeight="1">
      <x:c r="A82" s="18" t="str">
        <x:v>万博記念公園</x:v>
      </x:c>
      <x:c r="B82" s="18" t="str">
        <x:v>大阪モノレール</x:v>
      </x:c>
      <x:c r="C82" s="18" t="str">
        <x:v>fixed_guideway</x:v>
      </x:c>
      <x:c r="D82" s="19" t="str">
        <x:v>T2</x:v>
      </x:c>
      <x:c r="E82" s="20" t="n">
        <x:v>20247</x:v>
      </x:c>
      <x:c r="F82" s="18" t="str">
        <x:v>persons/day</x:v>
      </x:c>
      <x:c r="G82" s="18" t="str">
        <x:v>FY2024</x:v>
      </x:c>
      <x:c r="H82" s="18" t="str">
        <x:v>否</x:v>
      </x:c>
      <x:c r="I82" s="19" t="str">
        <x:v>DAILY_ENTRIES_EXITS</x:v>
      </x:c>
      <x:c r="J82" s="19" t="str">
        <x:v>国際文化公園都市モノレール線(彩都線)
大阪モノレール線</x:v>
      </x:c>
      <x:c r="K82" s="18" t="str">
        <x:v>transport-node:a8d73ed2-2e82-5736-a308-94bd96d6d835</x:v>
      </x:c>
      <x:c r="L82" s="19" t="str">
        <x:v>组件待审核</x:v>
      </x:c>
      <x:c r="M82" s="21" t="n">
        <x:v>34.80678</x:v>
      </x:c>
      <x:c r="N82" s="21" t="n">
        <x:v>135.53016</x:v>
      </x:c>
      <x:c r="O82" s="18" t="str">
        <x:v>006601</x:v>
      </x:c>
      <x:c r="P82" s="18" t="str">
        <x:v>国際文化公園都市モノレール線(彩都線)</x:v>
      </x:c>
      <x:c r="Q82" s="19" t="str">
        <x:v>S12_061_GE_10000</x:v>
      </x:c>
      <x:c r="R82" s="19" t="str">
        <x:v>S12_061 usage threshold</x:v>
      </x:c>
      <x:c r="S82" s="19" t="str">
        <x:v>https://nlftp.mlit.go.jp/ksj/gml/datalist/KsjTmplt-S12-2024.html</x:v>
      </x:c>
      <x:c r="T82" s="19" t="str">
        <x:v>https://nlftp.mlit.go.jp/ksj/gml/datalist/KsjTmplt-S12-2024.html</x:v>
      </x:c>
      <x:c r="U82" s="19" t="str">
        <x:v>station-component|万博記念公園|大阪モノレール|fixed_guideway|34.8068|135.5302|</x:v>
      </x:c>
      <x:c r="V82" s="19" t="str">
        <x:v>006601 / 006601 / 国際文化公園都市モノレール線(彩都線)
006601 / 006602 / 大阪モノレール線</x:v>
      </x:c>
      <x:c r="W82" s="18" t="str">
        <x:v>否</x:v>
      </x:c>
      <x:c r="X82" s="18" t="str">
        <x:v>0785e932a32b3ec15e1a1345537ae145eafe1c07bf38d5c16c11ee2b391e7a28</x:v>
      </x:c>
      <x:c r="Y82" s="20" t="n">
        <x:v>1</x:v>
      </x:c>
      <x:c r="Z82" s="20" t="n">
        <x:v>1</x:v>
      </x:c>
      <x:c r="AA82" s="19"/>
      <x:c r="AB82" s="18"/>
      <x:c r="AC82" s="19"/>
    </x:row>
    <x:row r="83" ht="28" customHeight="1">
      <x:c r="A83" s="18" t="str">
        <x:v>三ツ境</x:v>
      </x:c>
      <x:c r="B83" s="18" t="str">
        <x:v>相模鉄道</x:v>
      </x:c>
      <x:c r="C83" s="18" t="str">
        <x:v>private_rail</x:v>
      </x:c>
      <x:c r="D83" s="19" t="str">
        <x:v>T1</x:v>
      </x:c>
      <x:c r="E83" s="20" t="n">
        <x:v>51434</x:v>
      </x:c>
      <x:c r="F83" s="18" t="str">
        <x:v>persons/day</x:v>
      </x:c>
      <x:c r="G83" s="18" t="str">
        <x:v>FY2024</x:v>
      </x:c>
      <x:c r="H83" s="18" t="str">
        <x:v>否</x:v>
      </x:c>
      <x:c r="I83" s="19" t="str">
        <x:v>DAILY_ENTRIES_EXITS</x:v>
      </x:c>
      <x:c r="J83" s="19" t="str">
        <x:v>相鉄本線</x:v>
      </x:c>
      <x:c r="K83" s="18" t="str">
        <x:v>transport-node:12769a75-e699-5ff5-868f-8ef158d936c3</x:v>
      </x:c>
      <x:c r="L83" s="19" t="str">
        <x:v>组件待审核</x:v>
      </x:c>
      <x:c r="M83" s="21" t="n">
        <x:v>35.467785</x:v>
      </x:c>
      <x:c r="N83" s="21" t="n">
        <x:v>139.50257</x:v>
      </x:c>
      <x:c r="O83" s="18" t="str">
        <x:v>004623</x:v>
      </x:c>
      <x:c r="P83" s="18" t="str">
        <x:v>相鉄本線</x:v>
      </x:c>
      <x:c r="Q83" s="19" t="str">
        <x:v>S12_061_GE_10000</x:v>
      </x:c>
      <x:c r="R83" s="19" t="str">
        <x:v>S12_061 usage threshold</x:v>
      </x:c>
      <x:c r="S83" s="19" t="str">
        <x:v>https://nlftp.mlit.go.jp/ksj/gml/datalist/KsjTmplt-S12-2024.html</x:v>
      </x:c>
      <x:c r="T83" s="19" t="str">
        <x:v>https://nlftp.mlit.go.jp/ksj/gml/datalist/KsjTmplt-S12-2024.html</x:v>
      </x:c>
      <x:c r="U83" s="19" t="str">
        <x:v>station-component|三ツ境|相模鉄道|private_rail|35.4678|139.5026|</x:v>
      </x:c>
      <x:c r="V83" s="19" t="str">
        <x:v>004623 / 004623 / 相鉄本線</x:v>
      </x:c>
      <x:c r="W83" s="18" t="str">
        <x:v>否</x:v>
      </x:c>
      <x:c r="X83" s="18" t="str">
        <x:v>0785e932a32b3ec15e1a1345537ae145eafe1c07bf38d5c16c11ee2b391e7a28</x:v>
      </x:c>
      <x:c r="Y83" s="20" t="n">
        <x:v>1</x:v>
      </x:c>
      <x:c r="Z83" s="20" t="n">
        <x:v>1</x:v>
      </x:c>
      <x:c r="AA83" s="19"/>
      <x:c r="AB83" s="18"/>
      <x:c r="AC83" s="19"/>
    </x:row>
    <x:row r="84" ht="33" customHeight="1">
      <x:c r="A84" s="18" t="str">
        <x:v>三ノ宮</x:v>
      </x:c>
      <x:c r="B84" s="18" t="str">
        <x:v>西日本旅客鉄道</x:v>
      </x:c>
      <x:c r="C84" s="18" t="str">
        <x:v>conventional_rail</x:v>
      </x:c>
      <x:c r="D84" s="19" t="str">
        <x:v>T0</x:v>
      </x:c>
      <x:c r="E84" s="20" t="n">
        <x:v>239340</x:v>
      </x:c>
      <x:c r="F84" s="18" t="str">
        <x:v>persons/day</x:v>
      </x:c>
      <x:c r="G84" s="18" t="str">
        <x:v>FY2024</x:v>
      </x:c>
      <x:c r="H84" s="18" t="str">
        <x:v>否</x:v>
      </x:c>
      <x:c r="I84" s="19" t="str">
        <x:v>DAILY_ENTRIES_EXITS</x:v>
      </x:c>
      <x:c r="J84" s="19" t="str">
        <x:v>東海道線</x:v>
      </x:c>
      <x:c r="K84" s="18" t="str">
        <x:v>transport-node:c442566a-4e17-5db5-a153-ea92231c423d</x:v>
      </x:c>
      <x:c r="L84" s="19" t="str">
        <x:v>组件待审核</x:v>
      </x:c>
      <x:c r="M84" s="21" t="n">
        <x:v>34.694795</x:v>
      </x:c>
      <x:c r="N84" s="21" t="n">
        <x:v>135.19504</x:v>
      </x:c>
      <x:c r="O84" s="18" t="str">
        <x:v>007105</x:v>
      </x:c>
      <x:c r="P84" s="18" t="str">
        <x:v>東海道線</x:v>
      </x:c>
      <x:c r="Q84" s="19" t="str">
        <x:v>S12_061_GE_10000
OFFICIAL_HUB_COMPONENT_REVIEW</x:v>
      </x:c>
      <x:c r="R84" s="19" t="str">
        <x:v>S12_061 usage threshold</x:v>
      </x:c>
      <x:c r="S84" s="19" t="str">
        <x:v>https://nlftp.mlit.go.jp/ksj/gml/datalist/KsjTmplt-S12-2024.html</x:v>
      </x:c>
      <x:c r="T84" s="19" t="str">
        <x:v>https://kotsu.city.kobe.lg.jp/chinese-trad/cnt-subway-map/
https://nlftp.mlit.go.jp/ksj/gml/datalist/KsjTmplt-S12-2024.html</x:v>
      </x:c>
      <x:c r="U84" s="19" t="str">
        <x:v>station-component|三ノ宮|西日本旅客鉄道|conventional_rail|34.6948|135.1950|</x:v>
      </x:c>
      <x:c r="V84" s="19" t="str">
        <x:v>007105 / 007105 / 東海道線</x:v>
      </x:c>
      <x:c r="W84" s="18" t="str">
        <x:v>否</x:v>
      </x:c>
      <x:c r="X84" s="18" t="str">
        <x:v>0785e932a32b3ec15e1a1345537ae145eafe1c07bf38d5c16c11ee2b391e7a28</x:v>
      </x:c>
      <x:c r="Y84" s="20" t="n">
        <x:v>1</x:v>
      </x:c>
      <x:c r="Z84" s="20" t="n">
        <x:v>1</x:v>
      </x:c>
      <x:c r="AA84" s="19" t="str">
        <x:v>三ノ宮</x:v>
      </x:c>
      <x:c r="AB84" s="18" t="str">
        <x:v>transport-hub-review:842e847d-eb2e-565f-829e-04fdc20c430b</x:v>
      </x:c>
      <x:c r="AC84" s="19"/>
    </x:row>
    <x:row r="85" ht="28" customHeight="1">
      <x:c r="A85" s="18" t="str">
        <x:v>三ノ輪</x:v>
      </x:c>
      <x:c r="B85" s="18" t="str">
        <x:v>東京地下鉄</x:v>
      </x:c>
      <x:c r="C85" s="18" t="str">
        <x:v>metro</x:v>
      </x:c>
      <x:c r="D85" s="19" t="str">
        <x:v>T2</x:v>
      </x:c>
      <x:c r="E85" s="20" t="n">
        <x:v>46924</x:v>
      </x:c>
      <x:c r="F85" s="18" t="str">
        <x:v>persons/day</x:v>
      </x:c>
      <x:c r="G85" s="18" t="str">
        <x:v>FY2024</x:v>
      </x:c>
      <x:c r="H85" s="18" t="str">
        <x:v>否</x:v>
      </x:c>
      <x:c r="I85" s="19" t="str">
        <x:v>DAILY_ENTRIES_EXITS</x:v>
      </x:c>
      <x:c r="J85" s="19" t="str">
        <x:v>2号線日比谷線</x:v>
      </x:c>
      <x:c r="K85" s="18" t="str">
        <x:v>transport-node:3348f1e8-ab31-5031-be13-29bc87bb174d</x:v>
      </x:c>
      <x:c r="L85" s="19" t="str">
        <x:v>组件待审核</x:v>
      </x:c>
      <x:c r="M85" s="21" t="n">
        <x:v>35.729285</x:v>
      </x:c>
      <x:c r="N85" s="21" t="n">
        <x:v>139.791165</x:v>
      </x:c>
      <x:c r="O85" s="18" t="str">
        <x:v>003399</x:v>
      </x:c>
      <x:c r="P85" s="18" t="str">
        <x:v>2号線日比谷線</x:v>
      </x:c>
      <x:c r="Q85" s="19" t="str">
        <x:v>S12_061_GE_10000</x:v>
      </x:c>
      <x:c r="R85" s="19" t="str">
        <x:v>S12_061 usage threshold</x:v>
      </x:c>
      <x:c r="S85" s="19" t="str">
        <x:v>https://nlftp.mlit.go.jp/ksj/gml/datalist/KsjTmplt-S12-2024.html</x:v>
      </x:c>
      <x:c r="T85" s="19" t="str">
        <x:v>https://nlftp.mlit.go.jp/ksj/gml/datalist/KsjTmplt-S12-2024.html</x:v>
      </x:c>
      <x:c r="U85" s="19" t="str">
        <x:v>station-component|三ノ輪|東京地下鉄|metro|35.7293|139.7912|</x:v>
      </x:c>
      <x:c r="V85" s="19" t="str">
        <x:v>003399 / 003399 / 2号線日比谷線</x:v>
      </x:c>
      <x:c r="W85" s="18" t="str">
        <x:v>否</x:v>
      </x:c>
      <x:c r="X85" s="18" t="str">
        <x:v>0785e932a32b3ec15e1a1345537ae145eafe1c07bf38d5c16c11ee2b391e7a28</x:v>
      </x:c>
      <x:c r="Y85" s="20" t="n">
        <x:v>1</x:v>
      </x:c>
      <x:c r="Z85" s="20" t="n">
        <x:v>1</x:v>
      </x:c>
      <x:c r="AA85" s="19"/>
      <x:c r="AB85" s="18"/>
      <x:c r="AC85" s="19"/>
    </x:row>
    <x:row r="86" ht="33" customHeight="1">
      <x:c r="A86" s="18" t="str">
        <x:v>三原</x:v>
      </x:c>
      <x:c r="B86" s="18" t="str">
        <x:v>西日本旅客鉄道</x:v>
      </x:c>
      <x:c r="C86" s="18" t="str">
        <x:v>conventional_rail</x:v>
      </x:c>
      <x:c r="D86" s="19" t="str">
        <x:v>T2</x:v>
      </x:c>
      <x:c r="E86" s="20" t="n">
        <x:v>11146</x:v>
      </x:c>
      <x:c r="F86" s="18" t="str">
        <x:v>persons/day</x:v>
      </x:c>
      <x:c r="G86" s="18" t="str">
        <x:v>FY2024</x:v>
      </x:c>
      <x:c r="H86" s="18" t="str">
        <x:v>否</x:v>
      </x:c>
      <x:c r="I86" s="19" t="str">
        <x:v>DAILY_ENTRIES_EXITS</x:v>
      </x:c>
      <x:c r="J86" s="19" t="str">
        <x:v>呉線
山陽線</x:v>
      </x:c>
      <x:c r="K86" s="18" t="str">
        <x:v>transport-node:e2b87e23-4be4-5b2b-8ada-c0bde232a909</x:v>
      </x:c>
      <x:c r="L86" s="19" t="str">
        <x:v>组件待审核</x:v>
      </x:c>
      <x:c r="M86" s="21" t="n">
        <x:v>34.4005967</x:v>
      </x:c>
      <x:c r="N86" s="21" t="n">
        <x:v>133.0826233</x:v>
      </x:c>
      <x:c r="O86" s="18" t="str">
        <x:v>008020</x:v>
      </x:c>
      <x:c r="P86" s="18" t="str">
        <x:v>山陽線</x:v>
      </x:c>
      <x:c r="Q86" s="19" t="str">
        <x:v>S12_061_GE_10000</x:v>
      </x:c>
      <x:c r="R86" s="19" t="str">
        <x:v>S12_061 usage threshold</x:v>
      </x:c>
      <x:c r="S86" s="19" t="str">
        <x:v>https://nlftp.mlit.go.jp/ksj/gml/datalist/KsjTmplt-S12-2024.html</x:v>
      </x:c>
      <x:c r="T86" s="19" t="str">
        <x:v>https://nlftp.mlit.go.jp/ksj/gml/datalist/KsjTmplt-S12-2024.html</x:v>
      </x:c>
      <x:c r="U86" s="19" t="str">
        <x:v>station-component|三原|西日本旅客鉄道|conventional_rail|34.4006|133.0826|</x:v>
      </x:c>
      <x:c r="V86" s="19" t="str">
        <x:v>008019 / 008019 / 呉線
008019 / 008020 / 山陽線</x:v>
      </x:c>
      <x:c r="W86" s="18" t="str">
        <x:v>否</x:v>
      </x:c>
      <x:c r="X86" s="18" t="str">
        <x:v>0785e932a32b3ec15e1a1345537ae145eafe1c07bf38d5c16c11ee2b391e7a28</x:v>
      </x:c>
      <x:c r="Y86" s="20" t="n">
        <x:v>1</x:v>
      </x:c>
      <x:c r="Z86" s="20" t="n">
        <x:v>1</x:v>
      </x:c>
      <x:c r="AA86" s="19"/>
      <x:c r="AB86" s="18"/>
      <x:c r="AC86" s="19"/>
    </x:row>
    <x:row r="87" ht="28" customHeight="1">
      <x:c r="A87" s="18" t="str">
        <x:v>三原</x:v>
      </x:c>
      <x:c r="B87" s="18" t="str">
        <x:v>西日本旅客鉄道</x:v>
      </x:c>
      <x:c r="C87" s="18" t="str">
        <x:v>shinkansen</x:v>
      </x:c>
      <x:c r="D87" s="19"/>
      <x:c r="E87" s="20"/>
      <x:c r="F87" s="18"/>
      <x:c r="G87" s="18" t="str">
        <x:v>FY2024</x:v>
      </x:c>
      <x:c r="H87" s="18" t="str">
        <x:v>是</x:v>
      </x:c>
      <x:c r="I87" s="19" t="str">
        <x:v>USAGE_DATA_UNAVAILABLE</x:v>
      </x:c>
      <x:c r="J87" s="19" t="str">
        <x:v>山陽新幹線</x:v>
      </x:c>
      <x:c r="K87" s="18" t="str">
        <x:v>transport-node:2f3cd377-a4a4-5306-a8d4-c41c660ce506</x:v>
      </x:c>
      <x:c r="L87" s="19" t="str">
        <x:v>组件待审核</x:v>
      </x:c>
      <x:c r="M87" s="21" t="n">
        <x:v>34.400825</x:v>
      </x:c>
      <x:c r="N87" s="21" t="n">
        <x:v>133.08329</x:v>
      </x:c>
      <x:c r="O87" s="18" t="str">
        <x:v>008017</x:v>
      </x:c>
      <x:c r="P87" s="18" t="str">
        <x:v>山陽新幹線</x:v>
      </x:c>
      <x:c r="Q87" s="19" t="str">
        <x:v>SHINKANSEN</x:v>
      </x:c>
      <x:c r="R87" s="19" t="str">
        <x:v>Official S12 usage unavailable; manual tier review required</x:v>
      </x:c>
      <x:c r="S87" s="19" t="str">
        <x:v>https://nlftp.mlit.go.jp/ksj/gml/datalist/KsjTmplt-S12-2024.html</x:v>
      </x:c>
      <x:c r="T87" s="19" t="str">
        <x:v>https://nlftp.mlit.go.jp/ksj/gml/datalist/KsjTmplt-S12-2024.html</x:v>
      </x:c>
      <x:c r="U87" s="19" t="str">
        <x:v>station-component|三原|西日本旅客鉄道|shinkansen|34.4008|133.0833|</x:v>
      </x:c>
      <x:c r="V87" s="19" t="str">
        <x:v>008019 / 008017 / 山陽新幹線</x:v>
      </x:c>
      <x:c r="W87" s="18" t="str">
        <x:v>否</x:v>
      </x:c>
      <x:c r="X87" s="18" t="str">
        <x:v>0785e932a32b3ec15e1a1345537ae145eafe1c07bf38d5c16c11ee2b391e7a28</x:v>
      </x:c>
      <x:c r="Y87" s="20" t="n">
        <x:v>1</x:v>
      </x:c>
      <x:c r="Z87" s="20" t="n">
        <x:v>2</x:v>
      </x:c>
      <x:c r="AA87" s="19"/>
      <x:c r="AB87" s="18"/>
      <x:c r="AC87" s="19"/>
    </x:row>
    <x:row r="88" ht="28" customHeight="1">
      <x:c r="A88" s="18" t="str">
        <x:v>三咲</x:v>
      </x:c>
      <x:c r="B88" s="18" t="str">
        <x:v>新京成電鉄</x:v>
      </x:c>
      <x:c r="C88" s="18" t="str">
        <x:v>private_rail</x:v>
      </x:c>
      <x:c r="D88" s="19" t="str">
        <x:v>T2</x:v>
      </x:c>
      <x:c r="E88" s="20" t="n">
        <x:v>13851</x:v>
      </x:c>
      <x:c r="F88" s="18" t="str">
        <x:v>persons/day</x:v>
      </x:c>
      <x:c r="G88" s="18" t="str">
        <x:v>FY2024</x:v>
      </x:c>
      <x:c r="H88" s="18" t="str">
        <x:v>否</x:v>
      </x:c>
      <x:c r="I88" s="19" t="str">
        <x:v>DAILY_ENTRIES_EXITS</x:v>
      </x:c>
      <x:c r="J88" s="19" t="str">
        <x:v>新京成線</x:v>
      </x:c>
      <x:c r="K88" s="18" t="str">
        <x:v>transport-node:0894174e-3eaf-5ecd-8719-f091deec7cf9</x:v>
      </x:c>
      <x:c r="L88" s="19" t="str">
        <x:v>组件待审核</x:v>
      </x:c>
      <x:c r="M88" s="21" t="n">
        <x:v>35.74918</x:v>
      </x:c>
      <x:c r="N88" s="21" t="n">
        <x:v>140.02854</x:v>
      </x:c>
      <x:c r="O88" s="18" t="str">
        <x:v>003265</x:v>
      </x:c>
      <x:c r="P88" s="18" t="str">
        <x:v>新京成線</x:v>
      </x:c>
      <x:c r="Q88" s="19" t="str">
        <x:v>S12_061_GE_10000</x:v>
      </x:c>
      <x:c r="R88" s="19" t="str">
        <x:v>S12_061 usage threshold</x:v>
      </x:c>
      <x:c r="S88" s="19" t="str">
        <x:v>https://nlftp.mlit.go.jp/ksj/gml/datalist/KsjTmplt-S12-2024.html</x:v>
      </x:c>
      <x:c r="T88" s="19" t="str">
        <x:v>https://nlftp.mlit.go.jp/ksj/gml/datalist/KsjTmplt-S12-2024.html</x:v>
      </x:c>
      <x:c r="U88" s="19" t="str">
        <x:v>station-component|三咲|新京成電鉄|private_rail|35.7492|140.0285|</x:v>
      </x:c>
      <x:c r="V88" s="19" t="str">
        <x:v>003265 / 003265 / 新京成線</x:v>
      </x:c>
      <x:c r="W88" s="18" t="str">
        <x:v>否</x:v>
      </x:c>
      <x:c r="X88" s="18" t="str">
        <x:v>0785e932a32b3ec15e1a1345537ae145eafe1c07bf38d5c16c11ee2b391e7a28</x:v>
      </x:c>
      <x:c r="Y88" s="20" t="n">
        <x:v>1</x:v>
      </x:c>
      <x:c r="Z88" s="20" t="n">
        <x:v>1</x:v>
      </x:c>
      <x:c r="AA88" s="19"/>
      <x:c r="AB88" s="18"/>
      <x:c r="AC88" s="19"/>
    </x:row>
    <x:row r="89" ht="28" customHeight="1">
      <x:c r="A89" s="18" t="str">
        <x:v>三国</x:v>
      </x:c>
      <x:c r="B89" s="18" t="str">
        <x:v>阪急電鉄</x:v>
      </x:c>
      <x:c r="C89" s="18" t="str">
        <x:v>private_rail</x:v>
      </x:c>
      <x:c r="D89" s="19" t="str">
        <x:v>T2</x:v>
      </x:c>
      <x:c r="E89" s="20" t="n">
        <x:v>24390</x:v>
      </x:c>
      <x:c r="F89" s="18" t="str">
        <x:v>persons/day</x:v>
      </x:c>
      <x:c r="G89" s="18" t="str">
        <x:v>FY2024</x:v>
      </x:c>
      <x:c r="H89" s="18" t="str">
        <x:v>否</x:v>
      </x:c>
      <x:c r="I89" s="19" t="str">
        <x:v>DAILY_ENTRIES_EXITS</x:v>
      </x:c>
      <x:c r="J89" s="19" t="str">
        <x:v>宝塚線</x:v>
      </x:c>
      <x:c r="K89" s="18" t="str">
        <x:v>transport-node:e0453576-4aed-572c-82ec-6b49ef59743c</x:v>
      </x:c>
      <x:c r="L89" s="19" t="str">
        <x:v>组件待审核</x:v>
      </x:c>
      <x:c r="M89" s="21" t="n">
        <x:v>34.7374767</x:v>
      </x:c>
      <x:c r="N89" s="21" t="n">
        <x:v>135.4829503</x:v>
      </x:c>
      <x:c r="O89" s="18" t="str">
        <x:v>006889</x:v>
      </x:c>
      <x:c r="P89" s="18" t="str">
        <x:v>宝塚線</x:v>
      </x:c>
      <x:c r="Q89" s="19" t="str">
        <x:v>S12_061_GE_10000</x:v>
      </x:c>
      <x:c r="R89" s="19" t="str">
        <x:v>S12_061 usage threshold</x:v>
      </x:c>
      <x:c r="S89" s="19" t="str">
        <x:v>https://nlftp.mlit.go.jp/ksj/gml/datalist/KsjTmplt-S12-2024.html</x:v>
      </x:c>
      <x:c r="T89" s="19" t="str">
        <x:v>https://nlftp.mlit.go.jp/ksj/gml/datalist/KsjTmplt-S12-2024.html</x:v>
      </x:c>
      <x:c r="U89" s="19" t="str">
        <x:v>station-component|三国|阪急電鉄|private_rail|34.7375|135.4830|</x:v>
      </x:c>
      <x:c r="V89" s="19" t="str">
        <x:v>006889 / 006889 / 宝塚線</x:v>
      </x:c>
      <x:c r="W89" s="18" t="str">
        <x:v>否</x:v>
      </x:c>
      <x:c r="X89" s="18" t="str">
        <x:v>0785e932a32b3ec15e1a1345537ae145eafe1c07bf38d5c16c11ee2b391e7a28</x:v>
      </x:c>
      <x:c r="Y89" s="20" t="n">
        <x:v>1</x:v>
      </x:c>
      <x:c r="Z89" s="20" t="n">
        <x:v>1</x:v>
      </x:c>
      <x:c r="AA89" s="19"/>
      <x:c r="AB89" s="18"/>
      <x:c r="AC89" s="19"/>
    </x:row>
    <x:row r="90" ht="28" customHeight="1">
      <x:c r="A90" s="18" t="str">
        <x:v>三国ヶ丘</x:v>
      </x:c>
      <x:c r="B90" s="18" t="str">
        <x:v>南海電気鉄道</x:v>
      </x:c>
      <x:c r="C90" s="18" t="str">
        <x:v>private_rail</x:v>
      </x:c>
      <x:c r="D90" s="19" t="str">
        <x:v>T2</x:v>
      </x:c>
      <x:c r="E90" s="20" t="n">
        <x:v>37099</x:v>
      </x:c>
      <x:c r="F90" s="18" t="str">
        <x:v>persons/day</x:v>
      </x:c>
      <x:c r="G90" s="18" t="str">
        <x:v>FY2024</x:v>
      </x:c>
      <x:c r="H90" s="18" t="str">
        <x:v>否</x:v>
      </x:c>
      <x:c r="I90" s="19" t="str">
        <x:v>DAILY_ENTRIES_EXITS</x:v>
      </x:c>
      <x:c r="J90" s="19" t="str">
        <x:v>高野線</x:v>
      </x:c>
      <x:c r="K90" s="18" t="str">
        <x:v>transport-node:74b39ae0-2ea3-595a-8f90-ced4627d88d5</x:v>
      </x:c>
      <x:c r="L90" s="19" t="str">
        <x:v>组件待审核</x:v>
      </x:c>
      <x:c r="M90" s="21" t="n">
        <x:v>34.565375</x:v>
      </x:c>
      <x:c r="N90" s="21" t="n">
        <x:v>135.4925</x:v>
      </x:c>
      <x:c r="O90" s="18" t="str">
        <x:v>007696</x:v>
      </x:c>
      <x:c r="P90" s="18" t="str">
        <x:v>高野線</x:v>
      </x:c>
      <x:c r="Q90" s="19" t="str">
        <x:v>S12_061_GE_10000</x:v>
      </x:c>
      <x:c r="R90" s="19" t="str">
        <x:v>S12_061 usage threshold</x:v>
      </x:c>
      <x:c r="S90" s="19" t="str">
        <x:v>https://nlftp.mlit.go.jp/ksj/gml/datalist/KsjTmplt-S12-2024.html</x:v>
      </x:c>
      <x:c r="T90" s="19" t="str">
        <x:v>https://nlftp.mlit.go.jp/ksj/gml/datalist/KsjTmplt-S12-2024.html</x:v>
      </x:c>
      <x:c r="U90" s="19" t="str">
        <x:v>station-component|三国ヶ丘|南海電気鉄道|private_rail|34.5654|135.4925|</x:v>
      </x:c>
      <x:c r="V90" s="19" t="str">
        <x:v>007693 / 007696 / 高野線</x:v>
      </x:c>
      <x:c r="W90" s="18" t="str">
        <x:v>否</x:v>
      </x:c>
      <x:c r="X90" s="18" t="str">
        <x:v>0785e932a32b3ec15e1a1345537ae145eafe1c07bf38d5c16c11ee2b391e7a28</x:v>
      </x:c>
      <x:c r="Y90" s="20" t="n">
        <x:v>1</x:v>
      </x:c>
      <x:c r="Z90" s="20" t="n">
        <x:v>1</x:v>
      </x:c>
      <x:c r="AA90" s="19"/>
      <x:c r="AB90" s="18"/>
      <x:c r="AC90" s="19"/>
    </x:row>
    <x:row r="91" ht="28" customHeight="1">
      <x:c r="A91" s="18" t="str">
        <x:v>三国ヶ丘</x:v>
      </x:c>
      <x:c r="B91" s="18" t="str">
        <x:v>西日本旅客鉄道</x:v>
      </x:c>
      <x:c r="C91" s="18" t="str">
        <x:v>conventional_rail</x:v>
      </x:c>
      <x:c r="D91" s="19" t="str">
        <x:v>T2</x:v>
      </x:c>
      <x:c r="E91" s="20" t="n">
        <x:v>46296</x:v>
      </x:c>
      <x:c r="F91" s="18" t="str">
        <x:v>persons/day</x:v>
      </x:c>
      <x:c r="G91" s="18" t="str">
        <x:v>FY2024</x:v>
      </x:c>
      <x:c r="H91" s="18" t="str">
        <x:v>否</x:v>
      </x:c>
      <x:c r="I91" s="19" t="str">
        <x:v>DAILY_ENTRIES_EXITS</x:v>
      </x:c>
      <x:c r="J91" s="19" t="str">
        <x:v>阪和線</x:v>
      </x:c>
      <x:c r="K91" s="18" t="str">
        <x:v>transport-node:d19d23c4-3369-5f9e-8bd5-3c488fe4a0e3</x:v>
      </x:c>
      <x:c r="L91" s="19" t="str">
        <x:v>组件待审核</x:v>
      </x:c>
      <x:c r="M91" s="21" t="n">
        <x:v>34.5662</x:v>
      </x:c>
      <x:c r="N91" s="21" t="n">
        <x:v>135.49277</x:v>
      </x:c>
      <x:c r="O91" s="18" t="str">
        <x:v>007693</x:v>
      </x:c>
      <x:c r="P91" s="18" t="str">
        <x:v>阪和線</x:v>
      </x:c>
      <x:c r="Q91" s="19" t="str">
        <x:v>S12_061_GE_10000</x:v>
      </x:c>
      <x:c r="R91" s="19" t="str">
        <x:v>S12_061 usage threshold</x:v>
      </x:c>
      <x:c r="S91" s="19" t="str">
        <x:v>https://nlftp.mlit.go.jp/ksj/gml/datalist/KsjTmplt-S12-2024.html</x:v>
      </x:c>
      <x:c r="T91" s="19" t="str">
        <x:v>https://nlftp.mlit.go.jp/ksj/gml/datalist/KsjTmplt-S12-2024.html</x:v>
      </x:c>
      <x:c r="U91" s="19" t="str">
        <x:v>station-component|三国ヶ丘|西日本旅客鉄道|conventional_rail|34.5662|135.4928|</x:v>
      </x:c>
      <x:c r="V91" s="19" t="str">
        <x:v>007693 / 007693 / 阪和線</x:v>
      </x:c>
      <x:c r="W91" s="18" t="str">
        <x:v>否</x:v>
      </x:c>
      <x:c r="X91" s="18" t="str">
        <x:v>0785e932a32b3ec15e1a1345537ae145eafe1c07bf38d5c16c11ee2b391e7a28</x:v>
      </x:c>
      <x:c r="Y91" s="20" t="n">
        <x:v>1</x:v>
      </x:c>
      <x:c r="Z91" s="20" t="n">
        <x:v>1</x:v>
      </x:c>
      <x:c r="AA91" s="19"/>
      <x:c r="AB91" s="18"/>
      <x:c r="AC91" s="19"/>
    </x:row>
    <x:row r="92" ht="33" customHeight="1">
      <x:c r="A92" s="18" t="str">
        <x:v>三宮</x:v>
      </x:c>
      <x:c r="B92" s="18" t="str">
        <x:v>神戸市</x:v>
      </x:c>
      <x:c r="C92" s="18" t="str">
        <x:v>metro</x:v>
      </x:c>
      <x:c r="D92" s="19" t="str">
        <x:v>T1</x:v>
      </x:c>
      <x:c r="E92" s="20" t="n">
        <x:v>99917</x:v>
      </x:c>
      <x:c r="F92" s="18" t="str">
        <x:v>persons/day</x:v>
      </x:c>
      <x:c r="G92" s="18" t="str">
        <x:v>FY2024</x:v>
      </x:c>
      <x:c r="H92" s="18" t="str">
        <x:v>否</x:v>
      </x:c>
      <x:c r="I92" s="19" t="str">
        <x:v>DAILY_ENTRIES_EXITS</x:v>
      </x:c>
      <x:c r="J92" s="19" t="str">
        <x:v>山手線</x:v>
      </x:c>
      <x:c r="K92" s="18" t="str">
        <x:v>transport-node:5eff6373-6615-53d4-b017-7c420a1184ac</x:v>
      </x:c>
      <x:c r="L92" s="19" t="str">
        <x:v>组件待审核</x:v>
      </x:c>
      <x:c r="M92" s="21" t="n">
        <x:v>34.693885</x:v>
      </x:c>
      <x:c r="N92" s="21" t="n">
        <x:v>135.192415</x:v>
      </x:c>
      <x:c r="O92" s="18" t="str">
        <x:v>007115</x:v>
      </x:c>
      <x:c r="P92" s="18" t="str">
        <x:v>山手線</x:v>
      </x:c>
      <x:c r="Q92" s="19" t="str">
        <x:v>S12_061_GE_10000
OFFICIAL_HUB_COMPONENT_REVIEW</x:v>
      </x:c>
      <x:c r="R92" s="19" t="str">
        <x:v>S12_061 usage threshold</x:v>
      </x:c>
      <x:c r="S92" s="19" t="str">
        <x:v>https://nlftp.mlit.go.jp/ksj/gml/datalist/KsjTmplt-S12-2024.html</x:v>
      </x:c>
      <x:c r="T92" s="19" t="str">
        <x:v>https://kotsu.city.kobe.lg.jp/chinese-trad/cnt-subway-map/
https://nlftp.mlit.go.jp/ksj/gml/datalist/KsjTmplt-S12-2024.html</x:v>
      </x:c>
      <x:c r="U92" s="19" t="str">
        <x:v>station-component|三宮|神戸市|metro|34.6939|135.1924|</x:v>
      </x:c>
      <x:c r="V92" s="19" t="str">
        <x:v>007108 / 007115 / 山手線</x:v>
      </x:c>
      <x:c r="W92" s="18" t="str">
        <x:v>否</x:v>
      </x:c>
      <x:c r="X92" s="18" t="str">
        <x:v>0785e932a32b3ec15e1a1345537ae145eafe1c07bf38d5c16c11ee2b391e7a28</x:v>
      </x:c>
      <x:c r="Y92" s="20" t="n">
        <x:v>1</x:v>
      </x:c>
      <x:c r="Z92" s="20" t="n">
        <x:v>1</x:v>
      </x:c>
      <x:c r="AA92" s="19" t="str">
        <x:v>三ノ宮</x:v>
      </x:c>
      <x:c r="AB92" s="18" t="str">
        <x:v>transport-hub-review:842e847d-eb2e-565f-829e-04fdc20c430b</x:v>
      </x:c>
      <x:c r="AC92" s="19"/>
    </x:row>
    <x:row r="93" ht="33" customHeight="1">
      <x:c r="A93" s="18" t="str">
        <x:v>三宮</x:v>
      </x:c>
      <x:c r="B93" s="18" t="str">
        <x:v>神戸新交通</x:v>
      </x:c>
      <x:c r="C93" s="18" t="str">
        <x:v>fixed_guideway</x:v>
      </x:c>
      <x:c r="D93" s="19" t="str">
        <x:v>T1</x:v>
      </x:c>
      <x:c r="E93" s="20" t="n">
        <x:v>69871</x:v>
      </x:c>
      <x:c r="F93" s="18" t="str">
        <x:v>persons/day</x:v>
      </x:c>
      <x:c r="G93" s="18" t="str">
        <x:v>FY2024</x:v>
      </x:c>
      <x:c r="H93" s="18" t="str">
        <x:v>否</x:v>
      </x:c>
      <x:c r="I93" s="19" t="str">
        <x:v>DAILY_ENTRIES_EXITS</x:v>
      </x:c>
      <x:c r="J93" s="19" t="str">
        <x:v>ポートアイランド線</x:v>
      </x:c>
      <x:c r="K93" s="18" t="str">
        <x:v>transport-node:d7c94818-e1b3-5dbb-baf2-8f05cb2702a1</x:v>
      </x:c>
      <x:c r="L93" s="19" t="str">
        <x:v>组件待审核</x:v>
      </x:c>
      <x:c r="M93" s="21" t="n">
        <x:v>34.69451</x:v>
      </x:c>
      <x:c r="N93" s="21" t="n">
        <x:v>135.195295</x:v>
      </x:c>
      <x:c r="O93" s="18" t="str">
        <x:v>007108</x:v>
      </x:c>
      <x:c r="P93" s="18" t="str">
        <x:v>ポートアイランド線</x:v>
      </x:c>
      <x:c r="Q93" s="19" t="str">
        <x:v>S12_061_GE_10000
OFFICIAL_HUB_COMPONENT_REVIEW</x:v>
      </x:c>
      <x:c r="R93" s="19" t="str">
        <x:v>S12_061 usage threshold</x:v>
      </x:c>
      <x:c r="S93" s="19" t="str">
        <x:v>https://nlftp.mlit.go.jp/ksj/gml/datalist/KsjTmplt-S12-2024.html</x:v>
      </x:c>
      <x:c r="T93" s="19" t="str">
        <x:v>https://kotsu.city.kobe.lg.jp/chinese-trad/cnt-subway-map/
https://nlftp.mlit.go.jp/ksj/gml/datalist/KsjTmplt-S12-2024.html</x:v>
      </x:c>
      <x:c r="U93" s="19" t="str">
        <x:v>station-component|三宮|神戸新交通|fixed_guideway|34.6945|135.1953|</x:v>
      </x:c>
      <x:c r="V93" s="19" t="str">
        <x:v>007108 / 007108 / ポートアイランド線</x:v>
      </x:c>
      <x:c r="W93" s="18" t="str">
        <x:v>否</x:v>
      </x:c>
      <x:c r="X93" s="18" t="str">
        <x:v>0785e932a32b3ec15e1a1345537ae145eafe1c07bf38d5c16c11ee2b391e7a28</x:v>
      </x:c>
      <x:c r="Y93" s="20" t="n">
        <x:v>1</x:v>
      </x:c>
      <x:c r="Z93" s="20" t="n">
        <x:v>1</x:v>
      </x:c>
      <x:c r="AA93" s="19" t="str">
        <x:v>三ノ宮</x:v>
      </x:c>
      <x:c r="AB93" s="18" t="str">
        <x:v>transport-hub-review:842e847d-eb2e-565f-829e-04fdc20c430b</x:v>
      </x:c>
      <x:c r="AC93" s="19"/>
    </x:row>
    <x:row r="94" ht="33" customHeight="1">
      <x:c r="A94" s="18" t="str">
        <x:v>三宮・花時計前</x:v>
      </x:c>
      <x:c r="B94" s="18" t="str">
        <x:v>神戸市</x:v>
      </x:c>
      <x:c r="C94" s="18" t="str">
        <x:v>metro</x:v>
      </x:c>
      <x:c r="D94" s="19" t="str">
        <x:v>T2</x:v>
      </x:c>
      <x:c r="E94" s="20" t="n">
        <x:v>13043</x:v>
      </x:c>
      <x:c r="F94" s="18" t="str">
        <x:v>persons/day</x:v>
      </x:c>
      <x:c r="G94" s="18" t="str">
        <x:v>FY2024</x:v>
      </x:c>
      <x:c r="H94" s="18" t="str">
        <x:v>否</x:v>
      </x:c>
      <x:c r="I94" s="19" t="str">
        <x:v>DAILY_ENTRIES_EXITS</x:v>
      </x:c>
      <x:c r="J94" s="19" t="str">
        <x:v>海岸線</x:v>
      </x:c>
      <x:c r="K94" s="18" t="str">
        <x:v>transport-node:416574e4-78a2-5ea4-afdc-612af883fc2b</x:v>
      </x:c>
      <x:c r="L94" s="19" t="str">
        <x:v>组件待审核</x:v>
      </x:c>
      <x:c r="M94" s="21" t="n">
        <x:v>34.691805</x:v>
      </x:c>
      <x:c r="N94" s="21" t="n">
        <x:v>135.195975</x:v>
      </x:c>
      <x:c r="O94" s="18" t="str">
        <x:v>007139</x:v>
      </x:c>
      <x:c r="P94" s="18" t="str">
        <x:v>海岸線</x:v>
      </x:c>
      <x:c r="Q94" s="19" t="str">
        <x:v>S12_061_GE_10000
OFFICIAL_HUB_COMPONENT_REVIEW</x:v>
      </x:c>
      <x:c r="R94" s="19" t="str">
        <x:v>S12_061 usage threshold</x:v>
      </x:c>
      <x:c r="S94" s="19" t="str">
        <x:v>https://nlftp.mlit.go.jp/ksj/gml/datalist/KsjTmplt-S12-2024.html</x:v>
      </x:c>
      <x:c r="T94" s="19" t="str">
        <x:v>https://kotsu.city.kobe.lg.jp/chinese-trad/cnt-subway-map/
https://nlftp.mlit.go.jp/ksj/gml/datalist/KsjTmplt-S12-2024.html</x:v>
      </x:c>
      <x:c r="U94" s="19" t="str">
        <x:v>station-component|三宮・花時計前|神戸市|metro|34.6918|135.1960|</x:v>
      </x:c>
      <x:c r="V94" s="19" t="str">
        <x:v>007139 / 007139 / 海岸線</x:v>
      </x:c>
      <x:c r="W94" s="18" t="str">
        <x:v>否</x:v>
      </x:c>
      <x:c r="X94" s="18" t="str">
        <x:v>0785e932a32b3ec15e1a1345537ae145eafe1c07bf38d5c16c11ee2b391e7a28</x:v>
      </x:c>
      <x:c r="Y94" s="20" t="n">
        <x:v>1</x:v>
      </x:c>
      <x:c r="Z94" s="20" t="n">
        <x:v>1</x:v>
      </x:c>
      <x:c r="AA94" s="19" t="str">
        <x:v>三ノ宮</x:v>
      </x:c>
      <x:c r="AB94" s="18" t="str">
        <x:v>transport-hub-review:842e847d-eb2e-565f-829e-04fdc20c430b</x:v>
      </x:c>
      <x:c r="AC94" s="19"/>
    </x:row>
    <x:row r="95" ht="33" customHeight="1">
      <x:c r="A95" s="18" t="str">
        <x:v>三島</x:v>
      </x:c>
      <x:c r="B95" s="18" t="str">
        <x:v>伊豆箱根鉄道</x:v>
      </x:c>
      <x:c r="C95" s="18" t="str">
        <x:v>private_rail</x:v>
      </x:c>
      <x:c r="D95" s="19" t="str">
        <x:v>T2</x:v>
      </x:c>
      <x:c r="E95" s="20" t="n">
        <x:v>15417</x:v>
      </x:c>
      <x:c r="F95" s="18" t="str">
        <x:v>persons/day</x:v>
      </x:c>
      <x:c r="G95" s="18" t="str">
        <x:v>FY2024</x:v>
      </x:c>
      <x:c r="H95" s="18" t="str">
        <x:v>否</x:v>
      </x:c>
      <x:c r="I95" s="19" t="str">
        <x:v>DAILY_ENTRIES_EXITS</x:v>
      </x:c>
      <x:c r="J95" s="19" t="str">
        <x:v>駿豆線</x:v>
      </x:c>
      <x:c r="K95" s="18" t="str">
        <x:v>transport-node:276068f7-72c2-51af-a376-6874ed841287</x:v>
      </x:c>
      <x:c r="L95" s="19" t="str">
        <x:v>组件待审核</x:v>
      </x:c>
      <x:c r="M95" s="21" t="n">
        <x:v>35.125855</x:v>
      </x:c>
      <x:c r="N95" s="21" t="n">
        <x:v>138.910635</x:v>
      </x:c>
      <x:c r="O95" s="18" t="str">
        <x:v>005603</x:v>
      </x:c>
      <x:c r="P95" s="18" t="str">
        <x:v>駿豆線</x:v>
      </x:c>
      <x:c r="Q95" s="19" t="str">
        <x:v>S12_061_GE_10000
OFFICIAL_HUB_COMPONENT_REVIEW</x:v>
      </x:c>
      <x:c r="R95" s="19" t="str">
        <x:v>S12_061 usage threshold</x:v>
      </x:c>
      <x:c r="S95" s="19" t="str">
        <x:v>https://nlftp.mlit.go.jp/ksj/gml/datalist/KsjTmplt-S12-2024.html</x:v>
      </x:c>
      <x:c r="T95" s="19" t="str">
        <x:v>https://nlftp.mlit.go.jp/ksj/gml/datalist/KsjTmplt-S12-2024.html
https://railway.jr-central.co.jp/station-guide/shinkansen/mishima/index.html</x:v>
      </x:c>
      <x:c r="U95" s="19" t="str">
        <x:v>station-component|三島|伊豆箱根鉄道|private_rail|35.1259|138.9106|</x:v>
      </x:c>
      <x:c r="V95" s="19" t="str">
        <x:v>005601 / 005603 / 駿豆線</x:v>
      </x:c>
      <x:c r="W95" s="18" t="str">
        <x:v>否</x:v>
      </x:c>
      <x:c r="X95" s="18" t="str">
        <x:v>0785e932a32b3ec15e1a1345537ae145eafe1c07bf38d5c16c11ee2b391e7a28</x:v>
      </x:c>
      <x:c r="Y95" s="20" t="n">
        <x:v>1</x:v>
      </x:c>
      <x:c r="Z95" s="20" t="n">
        <x:v>1</x:v>
      </x:c>
      <x:c r="AA95" s="19" t="str">
        <x:v>三島</x:v>
      </x:c>
      <x:c r="AB95" s="18" t="str">
        <x:v>transport-hub-review:7b1b93ba-93c8-511c-95ad-bec0000f73d6</x:v>
      </x:c>
      <x:c r="AC95" s="19"/>
    </x:row>
    <x:row r="96" ht="33" customHeight="1">
      <x:c r="A96" s="18" t="str">
        <x:v>三島</x:v>
      </x:c>
      <x:c r="B96" s="18" t="str">
        <x:v>東海旅客鉄道</x:v>
      </x:c>
      <x:c r="C96" s="18" t="str">
        <x:v>conventional_rail</x:v>
      </x:c>
      <x:c r="D96" s="19" t="str">
        <x:v>T1</x:v>
      </x:c>
      <x:c r="E96" s="20" t="n">
        <x:v>58118</x:v>
      </x:c>
      <x:c r="F96" s="18" t="str">
        <x:v>persons/day</x:v>
      </x:c>
      <x:c r="G96" s="18" t="str">
        <x:v>FY2024</x:v>
      </x:c>
      <x:c r="H96" s="18" t="str">
        <x:v>否</x:v>
      </x:c>
      <x:c r="I96" s="19" t="str">
        <x:v>DAILY_ENTRIES_EXITS</x:v>
      </x:c>
      <x:c r="J96" s="19" t="str">
        <x:v>東海道線</x:v>
      </x:c>
      <x:c r="K96" s="18" t="str">
        <x:v>transport-node:4dc95cd4-74f2-53b7-93ca-b0d11225ab60</x:v>
      </x:c>
      <x:c r="L96" s="19" t="str">
        <x:v>组件待审核</x:v>
      </x:c>
      <x:c r="M96" s="21" t="n">
        <x:v>35.1261533</x:v>
      </x:c>
      <x:c r="N96" s="21" t="n">
        <x:v>138.9106033</x:v>
      </x:c>
      <x:c r="O96" s="18" t="str">
        <x:v>005601</x:v>
      </x:c>
      <x:c r="P96" s="18" t="str">
        <x:v>東海道線</x:v>
      </x:c>
      <x:c r="Q96" s="19" t="str">
        <x:v>S12_061_GE_10000
OFFICIAL_HUB_COMPONENT_REVIEW</x:v>
      </x:c>
      <x:c r="R96" s="19" t="str">
        <x:v>S12_061 usage threshold</x:v>
      </x:c>
      <x:c r="S96" s="19" t="str">
        <x:v>https://nlftp.mlit.go.jp/ksj/gml/datalist/KsjTmplt-S12-2024.html</x:v>
      </x:c>
      <x:c r="T96" s="19" t="str">
        <x:v>https://nlftp.mlit.go.jp/ksj/gml/datalist/KsjTmplt-S12-2024.html
https://railway.jr-central.co.jp/station-guide/shinkansen/mishima/index.html</x:v>
      </x:c>
      <x:c r="U96" s="19" t="str">
        <x:v>station-component|三島|東海旅客鉄道|conventional_rail|35.1262|138.9106|</x:v>
      </x:c>
      <x:c r="V96" s="19" t="str">
        <x:v>005601 / 005601 / 東海道線</x:v>
      </x:c>
      <x:c r="W96" s="18" t="str">
        <x:v>否</x:v>
      </x:c>
      <x:c r="X96" s="18" t="str">
        <x:v>0785e932a32b3ec15e1a1345537ae145eafe1c07bf38d5c16c11ee2b391e7a28</x:v>
      </x:c>
      <x:c r="Y96" s="20" t="n">
        <x:v>1</x:v>
      </x:c>
      <x:c r="Z96" s="20" t="n">
        <x:v>1</x:v>
      </x:c>
      <x:c r="AA96" s="19" t="str">
        <x:v>三島</x:v>
      </x:c>
      <x:c r="AB96" s="18" t="str">
        <x:v>transport-hub-review:7b1b93ba-93c8-511c-95ad-bec0000f73d6</x:v>
      </x:c>
      <x:c r="AC96" s="19"/>
    </x:row>
    <x:row r="97" ht="33" customHeight="1">
      <x:c r="A97" s="18" t="str">
        <x:v>三島</x:v>
      </x:c>
      <x:c r="B97" s="18" t="str">
        <x:v>東海旅客鉄道</x:v>
      </x:c>
      <x:c r="C97" s="18" t="str">
        <x:v>shinkansen</x:v>
      </x:c>
      <x:c r="D97" s="19"/>
      <x:c r="E97" s="20"/>
      <x:c r="F97" s="18"/>
      <x:c r="G97" s="18" t="str">
        <x:v>FY2024</x:v>
      </x:c>
      <x:c r="H97" s="18" t="str">
        <x:v>是</x:v>
      </x:c>
      <x:c r="I97" s="19" t="str">
        <x:v>USAGE_DATA_UNAVAILABLE</x:v>
      </x:c>
      <x:c r="J97" s="19" t="str">
        <x:v>東海道新幹線</x:v>
      </x:c>
      <x:c r="K97" s="18" t="str">
        <x:v>transport-node:1f63e456-30af-5ed1-9525-29b15785b5ef</x:v>
      </x:c>
      <x:c r="L97" s="19" t="str">
        <x:v>组件待审核</x:v>
      </x:c>
      <x:c r="M97" s="21" t="n">
        <x:v>35.12671</x:v>
      </x:c>
      <x:c r="N97" s="21" t="n">
        <x:v>138.90969</x:v>
      </x:c>
      <x:c r="O97" s="18" t="str">
        <x:v>005600</x:v>
      </x:c>
      <x:c r="P97" s="18" t="str">
        <x:v>東海道新幹線</x:v>
      </x:c>
      <x:c r="Q97" s="19" t="str">
        <x:v>SHINKANSEN
OFFICIAL_HUB_COMPONENT_REVIEW</x:v>
      </x:c>
      <x:c r="R97" s="19" t="str">
        <x:v>Official S12 usage unavailable; manual tier review required</x:v>
      </x:c>
      <x:c r="S97" s="19" t="str">
        <x:v>https://nlftp.mlit.go.jp/ksj/gml/datalist/KsjTmplt-S12-2024.html</x:v>
      </x:c>
      <x:c r="T97" s="19" t="str">
        <x:v>https://nlftp.mlit.go.jp/ksj/gml/datalist/KsjTmplt-S12-2024.html
https://railway.jr-central.co.jp/station-guide/shinkansen/mishima/index.html</x:v>
      </x:c>
      <x:c r="U97" s="19" t="str">
        <x:v>station-component|三島|東海旅客鉄道|shinkansen|35.1267|138.9097|</x:v>
      </x:c>
      <x:c r="V97" s="19" t="str">
        <x:v>005601 / 005600 / 東海道新幹線</x:v>
      </x:c>
      <x:c r="W97" s="18" t="str">
        <x:v>否</x:v>
      </x:c>
      <x:c r="X97" s="18" t="str">
        <x:v>0785e932a32b3ec15e1a1345537ae145eafe1c07bf38d5c16c11ee2b391e7a28</x:v>
      </x:c>
      <x:c r="Y97" s="20" t="n">
        <x:v>1</x:v>
      </x:c>
      <x:c r="Z97" s="20" t="n">
        <x:v>2</x:v>
      </x:c>
      <x:c r="AA97" s="19" t="str">
        <x:v>三島</x:v>
      </x:c>
      <x:c r="AB97" s="18" t="str">
        <x:v>transport-hub-review:7b1b93ba-93c8-511c-95ad-bec0000f73d6</x:v>
      </x:c>
      <x:c r="AC97" s="19"/>
    </x:row>
    <x:row r="98" ht="28" customHeight="1">
      <x:c r="A98" s="18" t="str">
        <x:v>三崎口</x:v>
      </x:c>
      <x:c r="B98" s="18" t="str">
        <x:v>京浜急行電鉄</x:v>
      </x:c>
      <x:c r="C98" s="18" t="str">
        <x:v>private_rail</x:v>
      </x:c>
      <x:c r="D98" s="19" t="str">
        <x:v>T2</x:v>
      </x:c>
      <x:c r="E98" s="20" t="n">
        <x:v>13451</x:v>
      </x:c>
      <x:c r="F98" s="18" t="str">
        <x:v>persons/day</x:v>
      </x:c>
      <x:c r="G98" s="18" t="str">
        <x:v>FY2024</x:v>
      </x:c>
      <x:c r="H98" s="18" t="str">
        <x:v>否</x:v>
      </x:c>
      <x:c r="I98" s="19" t="str">
        <x:v>DAILY_ENTRIES_EXITS</x:v>
      </x:c>
      <x:c r="J98" s="19" t="str">
        <x:v>久里浜線</x:v>
      </x:c>
      <x:c r="K98" s="18" t="str">
        <x:v>transport-node:151ff2d1-0107-5150-95b2-d0ceb34797f3</x:v>
      </x:c>
      <x:c r="L98" s="19" t="str">
        <x:v>组件待审核</x:v>
      </x:c>
      <x:c r="M98" s="21" t="n">
        <x:v>35.178218</x:v>
      </x:c>
      <x:c r="N98" s="21" t="n">
        <x:v>139.633358</x:v>
      </x:c>
      <x:c r="O98" s="18" t="str">
        <x:v>005419</x:v>
      </x:c>
      <x:c r="P98" s="18" t="str">
        <x:v>久里浜線</x:v>
      </x:c>
      <x:c r="Q98" s="19" t="str">
        <x:v>S12_061_GE_10000</x:v>
      </x:c>
      <x:c r="R98" s="19" t="str">
        <x:v>S12_061 usage threshold</x:v>
      </x:c>
      <x:c r="S98" s="19" t="str">
        <x:v>https://nlftp.mlit.go.jp/ksj/gml/datalist/KsjTmplt-S12-2024.html</x:v>
      </x:c>
      <x:c r="T98" s="19" t="str">
        <x:v>https://nlftp.mlit.go.jp/ksj/gml/datalist/KsjTmplt-S12-2024.html</x:v>
      </x:c>
      <x:c r="U98" s="19" t="str">
        <x:v>station-component|三崎口|京浜急行電鉄|private_rail|35.1782|139.6334|</x:v>
      </x:c>
      <x:c r="V98" s="19" t="str">
        <x:v>005419 / 005419 / 久里浜線</x:v>
      </x:c>
      <x:c r="W98" s="18" t="str">
        <x:v>否</x:v>
      </x:c>
      <x:c r="X98" s="18" t="str">
        <x:v>0785e932a32b3ec15e1a1345537ae145eafe1c07bf38d5c16c11ee2b391e7a28</x:v>
      </x:c>
      <x:c r="Y98" s="20" t="n">
        <x:v>1</x:v>
      </x:c>
      <x:c r="Z98" s="20" t="n">
        <x:v>1</x:v>
      </x:c>
      <x:c r="AA98" s="19"/>
      <x:c r="AB98" s="18"/>
      <x:c r="AC98" s="19"/>
    </x:row>
    <x:row r="99" ht="28" customHeight="1">
      <x:c r="A99" s="18" t="str">
        <x:v>三日市町</x:v>
      </x:c>
      <x:c r="B99" s="18" t="str">
        <x:v>南海電気鉄道</x:v>
      </x:c>
      <x:c r="C99" s="18" t="str">
        <x:v>private_rail</x:v>
      </x:c>
      <x:c r="D99" s="19" t="str">
        <x:v>T2</x:v>
      </x:c>
      <x:c r="E99" s="20" t="n">
        <x:v>12193</x:v>
      </x:c>
      <x:c r="F99" s="18" t="str">
        <x:v>persons/day</x:v>
      </x:c>
      <x:c r="G99" s="18" t="str">
        <x:v>FY2024</x:v>
      </x:c>
      <x:c r="H99" s="18" t="str">
        <x:v>否</x:v>
      </x:c>
      <x:c r="I99" s="19" t="str">
        <x:v>DAILY_ENTRIES_EXITS</x:v>
      </x:c>
      <x:c r="J99" s="19" t="str">
        <x:v>高野線</x:v>
      </x:c>
      <x:c r="K99" s="18" t="str">
        <x:v>transport-node:2005bac3-48c7-5b17-a356-b30bcf0b076f</x:v>
      </x:c>
      <x:c r="L99" s="19" t="str">
        <x:v>组件待审核</x:v>
      </x:c>
      <x:c r="M99" s="21" t="n">
        <x:v>34.436655</x:v>
      </x:c>
      <x:c r="N99" s="21" t="n">
        <x:v>135.57134</x:v>
      </x:c>
      <x:c r="O99" s="18" t="str">
        <x:v>007957</x:v>
      </x:c>
      <x:c r="P99" s="18" t="str">
        <x:v>高野線</x:v>
      </x:c>
      <x:c r="Q99" s="19" t="str">
        <x:v>S12_061_GE_10000</x:v>
      </x:c>
      <x:c r="R99" s="19" t="str">
        <x:v>S12_061 usage threshold</x:v>
      </x:c>
      <x:c r="S99" s="19" t="str">
        <x:v>https://nlftp.mlit.go.jp/ksj/gml/datalist/KsjTmplt-S12-2024.html</x:v>
      </x:c>
      <x:c r="T99" s="19" t="str">
        <x:v>https://nlftp.mlit.go.jp/ksj/gml/datalist/KsjTmplt-S12-2024.html</x:v>
      </x:c>
      <x:c r="U99" s="19" t="str">
        <x:v>station-component|三日市町|南海電気鉄道|private_rail|34.4367|135.5713|</x:v>
      </x:c>
      <x:c r="V99" s="19" t="str">
        <x:v>007957 / 007957 / 高野線</x:v>
      </x:c>
      <x:c r="W99" s="18" t="str">
        <x:v>否</x:v>
      </x:c>
      <x:c r="X99" s="18" t="str">
        <x:v>0785e932a32b3ec15e1a1345537ae145eafe1c07bf38d5c16c11ee2b391e7a28</x:v>
      </x:c>
      <x:c r="Y99" s="20" t="n">
        <x:v>1</x:v>
      </x:c>
      <x:c r="Z99" s="20" t="n">
        <x:v>1</x:v>
      </x:c>
      <x:c r="AA99" s="19"/>
      <x:c r="AB99" s="18"/>
      <x:c r="AC99" s="19"/>
    </x:row>
    <x:row r="100" ht="33" customHeight="1">
      <x:c r="A100" s="18" t="str">
        <x:v>三条</x:v>
      </x:c>
      <x:c r="B100" s="18" t="str">
        <x:v>京阪電気鉄道</x:v>
      </x:c>
      <x:c r="C100" s="18" t="str">
        <x:v>private_rail</x:v>
      </x:c>
      <x:c r="D100" s="19" t="str">
        <x:v>T2</x:v>
      </x:c>
      <x:c r="E100" s="20" t="n">
        <x:v>35079</x:v>
      </x:c>
      <x:c r="F100" s="18" t="str">
        <x:v>persons/day</x:v>
      </x:c>
      <x:c r="G100" s="18" t="str">
        <x:v>FY2024</x:v>
      </x:c>
      <x:c r="H100" s="18" t="str">
        <x:v>否</x:v>
      </x:c>
      <x:c r="I100" s="19" t="str">
        <x:v>DAILY_ENTRIES_EXITS</x:v>
      </x:c>
      <x:c r="J100" s="19" t="str">
        <x:v>京阪本線
鴨東線</x:v>
      </x:c>
      <x:c r="K100" s="18" t="str">
        <x:v>transport-node:114ee0c9-d96d-5edc-90b6-b726a1fd7194</x:v>
      </x:c>
      <x:c r="L100" s="19" t="str">
        <x:v>组件待审核</x:v>
      </x:c>
      <x:c r="M100" s="21" t="n">
        <x:v>35.0088667</x:v>
      </x:c>
      <x:c r="N100" s="21" t="n">
        <x:v>135.7723367</x:v>
      </x:c>
      <x:c r="O100" s="18" t="str">
        <x:v>005972</x:v>
      </x:c>
      <x:c r="P100" s="18" t="str">
        <x:v>京阪本線</x:v>
      </x:c>
      <x:c r="Q100" s="19" t="str">
        <x:v>S12_061_GE_10000</x:v>
      </x:c>
      <x:c r="R100" s="19" t="str">
        <x:v>S12_061 usage threshold</x:v>
      </x:c>
      <x:c r="S100" s="19" t="str">
        <x:v>https://nlftp.mlit.go.jp/ksj/gml/datalist/KsjTmplt-S12-2024.html</x:v>
      </x:c>
      <x:c r="T100" s="19" t="str">
        <x:v>https://nlftp.mlit.go.jp/ksj/gml/datalist/KsjTmplt-S12-2024.html</x:v>
      </x:c>
      <x:c r="U100" s="19" t="str">
        <x:v>station-component|三条|京阪電気鉄道|private_rail|35.0089|135.7723|</x:v>
      </x:c>
      <x:c r="V100" s="19" t="str">
        <x:v>005971 / 005971 / 鴨東線
005971 / 005972 / 京阪本線</x:v>
      </x:c>
      <x:c r="W100" s="18" t="str">
        <x:v>否</x:v>
      </x:c>
      <x:c r="X100" s="18" t="str">
        <x:v>0785e932a32b3ec15e1a1345537ae145eafe1c07bf38d5c16c11ee2b391e7a28</x:v>
      </x:c>
      <x:c r="Y100" s="20" t="n">
        <x:v>1</x:v>
      </x:c>
      <x:c r="Z100" s="20" t="n">
        <x:v>1</x:v>
      </x:c>
      <x:c r="AA100" s="19"/>
      <x:c r="AB100" s="18"/>
      <x:c r="AC100" s="19"/>
    </x:row>
    <x:row r="101" ht="28" customHeight="1">
      <x:c r="A101" s="18" t="str">
        <x:v>三条京阪</x:v>
      </x:c>
      <x:c r="B101" s="18" t="str">
        <x:v>京都市</x:v>
      </x:c>
      <x:c r="C101" s="18" t="str">
        <x:v>metro</x:v>
      </x:c>
      <x:c r="D101" s="19" t="str">
        <x:v>T2</x:v>
      </x:c>
      <x:c r="E101" s="20" t="n">
        <x:v>24994</x:v>
      </x:c>
      <x:c r="F101" s="18" t="str">
        <x:v>persons/day</x:v>
      </x:c>
      <x:c r="G101" s="18" t="str">
        <x:v>FY2024</x:v>
      </x:c>
      <x:c r="H101" s="18" t="str">
        <x:v>否</x:v>
      </x:c>
      <x:c r="I101" s="19" t="str">
        <x:v>DAILY_ENTRIES_EXITS</x:v>
      </x:c>
      <x:c r="J101" s="19" t="str">
        <x:v>東西線</x:v>
      </x:c>
      <x:c r="K101" s="18" t="str">
        <x:v>transport-node:106fd58e-4caf-5b56-ab39-df24c9e5114b</x:v>
      </x:c>
      <x:c r="L101" s="19" t="str">
        <x:v>组件待审核</x:v>
      </x:c>
      <x:c r="M101" s="21" t="n">
        <x:v>35.0092175</x:v>
      </x:c>
      <x:c r="N101" s="21" t="n">
        <x:v>135.7736925</x:v>
      </x:c>
      <x:c r="O101" s="18" t="str">
        <x:v>005970</x:v>
      </x:c>
      <x:c r="P101" s="18" t="str">
        <x:v>東西線</x:v>
      </x:c>
      <x:c r="Q101" s="19" t="str">
        <x:v>S12_061_GE_10000</x:v>
      </x:c>
      <x:c r="R101" s="19" t="str">
        <x:v>S12_061 usage threshold</x:v>
      </x:c>
      <x:c r="S101" s="19" t="str">
        <x:v>https://nlftp.mlit.go.jp/ksj/gml/datalist/KsjTmplt-S12-2024.html</x:v>
      </x:c>
      <x:c r="T101" s="19" t="str">
        <x:v>https://nlftp.mlit.go.jp/ksj/gml/datalist/KsjTmplt-S12-2024.html</x:v>
      </x:c>
      <x:c r="U101" s="19" t="str">
        <x:v>station-component|三条京阪|京都市|metro|35.0092|135.7737|</x:v>
      </x:c>
      <x:c r="V101" s="19" t="str">
        <x:v>005970 / 005970 / 東西線</x:v>
      </x:c>
      <x:c r="W101" s="18" t="str">
        <x:v>否</x:v>
      </x:c>
      <x:c r="X101" s="18" t="str">
        <x:v>0785e932a32b3ec15e1a1345537ae145eafe1c07bf38d5c16c11ee2b391e7a28</x:v>
      </x:c>
      <x:c r="Y101" s="20" t="n">
        <x:v>1</x:v>
      </x:c>
      <x:c r="Z101" s="20" t="n">
        <x:v>1</x:v>
      </x:c>
      <x:c r="AA101" s="19"/>
      <x:c r="AB101" s="18"/>
      <x:c r="AC101" s="19"/>
    </x:row>
    <x:row r="102" ht="28" customHeight="1">
      <x:c r="A102" s="18" t="str">
        <x:v>三河安城</x:v>
      </x:c>
      <x:c r="B102" s="18" t="str">
        <x:v>東海旅客鉄道</x:v>
      </x:c>
      <x:c r="C102" s="18" t="str">
        <x:v>conventional_rail</x:v>
      </x:c>
      <x:c r="D102" s="19" t="str">
        <x:v>T2</x:v>
      </x:c>
      <x:c r="E102" s="20" t="n">
        <x:v>13729</x:v>
      </x:c>
      <x:c r="F102" s="18" t="str">
        <x:v>persons/day</x:v>
      </x:c>
      <x:c r="G102" s="18" t="str">
        <x:v>FY2024</x:v>
      </x:c>
      <x:c r="H102" s="18" t="str">
        <x:v>否</x:v>
      </x:c>
      <x:c r="I102" s="19" t="str">
        <x:v>DAILY_ENTRIES_EXITS</x:v>
      </x:c>
      <x:c r="J102" s="19" t="str">
        <x:v>東海道線</x:v>
      </x:c>
      <x:c r="K102" s="18" t="str">
        <x:v>transport-node:fd2470c5-6999-5424-a80c-78b02d681e33</x:v>
      </x:c>
      <x:c r="L102" s="19" t="str">
        <x:v>组件待审核</x:v>
      </x:c>
      <x:c r="M102" s="21" t="n">
        <x:v>34.970475</x:v>
      </x:c>
      <x:c r="N102" s="21" t="n">
        <x:v>137.06095</x:v>
      </x:c>
      <x:c r="O102" s="18" t="str">
        <x:v>006133</x:v>
      </x:c>
      <x:c r="P102" s="18" t="str">
        <x:v>東海道線</x:v>
      </x:c>
      <x:c r="Q102" s="19" t="str">
        <x:v>S12_061_GE_10000</x:v>
      </x:c>
      <x:c r="R102" s="19" t="str">
        <x:v>S12_061 usage threshold</x:v>
      </x:c>
      <x:c r="S102" s="19" t="str">
        <x:v>https://nlftp.mlit.go.jp/ksj/gml/datalist/KsjTmplt-S12-2024.html</x:v>
      </x:c>
      <x:c r="T102" s="19" t="str">
        <x:v>https://nlftp.mlit.go.jp/ksj/gml/datalist/KsjTmplt-S12-2024.html</x:v>
      </x:c>
      <x:c r="U102" s="19" t="str">
        <x:v>station-component|三河安城|東海旅客鉄道|conventional_rail|34.9705|137.0609|</x:v>
      </x:c>
      <x:c r="V102" s="19" t="str">
        <x:v>006133 / 006133 / 東海道線</x:v>
      </x:c>
      <x:c r="W102" s="18" t="str">
        <x:v>否</x:v>
      </x:c>
      <x:c r="X102" s="18" t="str">
        <x:v>0785e932a32b3ec15e1a1345537ae145eafe1c07bf38d5c16c11ee2b391e7a28</x:v>
      </x:c>
      <x:c r="Y102" s="20" t="n">
        <x:v>1</x:v>
      </x:c>
      <x:c r="Z102" s="20" t="n">
        <x:v>1</x:v>
      </x:c>
      <x:c r="AA102" s="19"/>
      <x:c r="AB102" s="18"/>
      <x:c r="AC102" s="19"/>
    </x:row>
    <x:row r="103" ht="33" customHeight="1">
      <x:c r="A103" s="18" t="str">
        <x:v>三河安城</x:v>
      </x:c>
      <x:c r="B103" s="18" t="str">
        <x:v>東海旅客鉄道</x:v>
      </x:c>
      <x:c r="C103" s="18" t="str">
        <x:v>shinkansen</x:v>
      </x:c>
      <x:c r="D103" s="19" t="str">
        <x:v>T3</x:v>
      </x:c>
      <x:c r="E103" s="20" t="n">
        <x:v>3621</x:v>
      </x:c>
      <x:c r="F103" s="18" t="str">
        <x:v>persons/day</x:v>
      </x:c>
      <x:c r="G103" s="18" t="str">
        <x:v>FY2024</x:v>
      </x:c>
      <x:c r="H103" s="18" t="str">
        <x:v>否</x:v>
      </x:c>
      <x:c r="I103" s="19" t="str">
        <x:v>DAILY_ENTRIES_EXITS</x:v>
      </x:c>
      <x:c r="J103" s="19" t="str">
        <x:v>東海道新幹線</x:v>
      </x:c>
      <x:c r="K103" s="18" t="str">
        <x:v>transport-node:748700ae-fc0b-5d4a-bbea-11baeab8d488</x:v>
      </x:c>
      <x:c r="L103" s="19" t="str">
        <x:v>组件待审核</x:v>
      </x:c>
      <x:c r="M103" s="21" t="n">
        <x:v>34.9690267</x:v>
      </x:c>
      <x:c r="N103" s="21" t="n">
        <x:v>137.0603033</x:v>
      </x:c>
      <x:c r="O103" s="18" t="str">
        <x:v>006138</x:v>
      </x:c>
      <x:c r="P103" s="18" t="str">
        <x:v>東海道新幹線</x:v>
      </x:c>
      <x:c r="Q103" s="19" t="str">
        <x:v>SHINKANSEN</x:v>
      </x:c>
      <x:c r="R103" s="19" t="str">
        <x:v>S12_061 usage threshold; low-flow inclusion justified by Shinkansen inventory</x:v>
      </x:c>
      <x:c r="S103" s="19" t="str">
        <x:v>https://nlftp.mlit.go.jp/ksj/gml/datalist/KsjTmplt-S12-2024.html</x:v>
      </x:c>
      <x:c r="T103" s="19" t="str">
        <x:v>https://nlftp.mlit.go.jp/ksj/gml/datalist/KsjTmplt-S12-2024.html</x:v>
      </x:c>
      <x:c r="U103" s="19" t="str">
        <x:v>station-component|三河安城|東海旅客鉄道|shinkansen|34.9690|137.0603|</x:v>
      </x:c>
      <x:c r="V103" s="19" t="str">
        <x:v>006133 / 006138 / 東海道新幹線</x:v>
      </x:c>
      <x:c r="W103" s="18" t="str">
        <x:v>否</x:v>
      </x:c>
      <x:c r="X103" s="18" t="str">
        <x:v>0785e932a32b3ec15e1a1345537ae145eafe1c07bf38d5c16c11ee2b391e7a28</x:v>
      </x:c>
      <x:c r="Y103" s="20" t="n">
        <x:v>1</x:v>
      </x:c>
      <x:c r="Z103" s="20" t="n">
        <x:v>1</x:v>
      </x:c>
      <x:c r="AA103" s="19"/>
      <x:c r="AB103" s="18"/>
      <x:c r="AC103" s="19"/>
    </x:row>
    <x:row r="104" ht="28" customHeight="1">
      <x:c r="A104" s="18" t="str">
        <x:v>三河島</x:v>
      </x:c>
      <x:c r="B104" s="18" t="str">
        <x:v>東日本旅客鉄道</x:v>
      </x:c>
      <x:c r="C104" s="18" t="str">
        <x:v>conventional_rail</x:v>
      </x:c>
      <x:c r="D104" s="19" t="str">
        <x:v>T2</x:v>
      </x:c>
      <x:c r="E104" s="20" t="n">
        <x:v>24202</x:v>
      </x:c>
      <x:c r="F104" s="18" t="str">
        <x:v>persons/day</x:v>
      </x:c>
      <x:c r="G104" s="18" t="str">
        <x:v>FY2024</x:v>
      </x:c>
      <x:c r="H104" s="18" t="str">
        <x:v>否</x:v>
      </x:c>
      <x:c r="I104" s="19" t="str">
        <x:v>DAILY_ENTRIES_EXITS</x:v>
      </x:c>
      <x:c r="J104" s="19" t="str">
        <x:v>常磐線</x:v>
      </x:c>
      <x:c r="K104" s="18" t="str">
        <x:v>transport-node:08361c11-9857-504f-820b-1c6187417d2b</x:v>
      </x:c>
      <x:c r="L104" s="19" t="str">
        <x:v>组件待审核</x:v>
      </x:c>
      <x:c r="M104" s="21" t="n">
        <x:v>35.7333533</x:v>
      </x:c>
      <x:c r="N104" s="21" t="n">
        <x:v>139.7772867</x:v>
      </x:c>
      <x:c r="O104" s="18" t="str">
        <x:v>003359</x:v>
      </x:c>
      <x:c r="P104" s="18" t="str">
        <x:v>常磐線</x:v>
      </x:c>
      <x:c r="Q104" s="19" t="str">
        <x:v>S12_061_GE_10000</x:v>
      </x:c>
      <x:c r="R104" s="19" t="str">
        <x:v>S12_061 usage threshold</x:v>
      </x:c>
      <x:c r="S104" s="19" t="str">
        <x:v>https://nlftp.mlit.go.jp/ksj/gml/datalist/KsjTmplt-S12-2024.html</x:v>
      </x:c>
      <x:c r="T104" s="19" t="str">
        <x:v>https://nlftp.mlit.go.jp/ksj/gml/datalist/KsjTmplt-S12-2024.html</x:v>
      </x:c>
      <x:c r="U104" s="19" t="str">
        <x:v>station-component|三河島|東日本旅客鉄道|conventional_rail|35.7334|139.7773|</x:v>
      </x:c>
      <x:c r="V104" s="19" t="str">
        <x:v>003359 / 003359 / 常磐線</x:v>
      </x:c>
      <x:c r="W104" s="18" t="str">
        <x:v>否</x:v>
      </x:c>
      <x:c r="X104" s="18" t="str">
        <x:v>0785e932a32b3ec15e1a1345537ae145eafe1c07bf38d5c16c11ee2b391e7a28</x:v>
      </x:c>
      <x:c r="Y104" s="20" t="n">
        <x:v>1</x:v>
      </x:c>
      <x:c r="Z104" s="20" t="n">
        <x:v>1</x:v>
      </x:c>
      <x:c r="AA104" s="19"/>
      <x:c r="AB104" s="18"/>
      <x:c r="AC104" s="19"/>
    </x:row>
    <x:row r="105" ht="33" customHeight="1">
      <x:c r="A105" s="18" t="str">
        <x:v>三田</x:v>
      </x:c>
      <x:c r="B105" s="18" t="str">
        <x:v>東京都</x:v>
      </x:c>
      <x:c r="C105" s="18" t="str">
        <x:v>metro</x:v>
      </x:c>
      <x:c r="D105" s="19" t="str">
        <x:v>T1</x:v>
      </x:c>
      <x:c r="E105" s="20" t="n">
        <x:v>107560</x:v>
      </x:c>
      <x:c r="F105" s="18" t="str">
        <x:v>persons/day</x:v>
      </x:c>
      <x:c r="G105" s="18" t="str">
        <x:v>FY2024</x:v>
      </x:c>
      <x:c r="H105" s="18" t="str">
        <x:v>否</x:v>
      </x:c>
      <x:c r="I105" s="19" t="str">
        <x:v>DAILY_ENTRIES_EXITS</x:v>
      </x:c>
      <x:c r="J105" s="19" t="str">
        <x:v>1号線浅草線
6号線三田線</x:v>
      </x:c>
      <x:c r="K105" s="18" t="str">
        <x:v>transport-node:01119a57-6ae4-5453-9fc7-b76035c8b2da</x:v>
      </x:c>
      <x:c r="L105" s="19" t="str">
        <x:v>组件待审核</x:v>
      </x:c>
      <x:c r="M105" s="21" t="n">
        <x:v>35.647842</x:v>
      </x:c>
      <x:c r="N105" s="21" t="n">
        <x:v>139.749344</x:v>
      </x:c>
      <x:c r="O105" s="18" t="str">
        <x:v>003987</x:v>
      </x:c>
      <x:c r="P105" s="18" t="str">
        <x:v>1号線浅草線</x:v>
      </x:c>
      <x:c r="Q105" s="19" t="str">
        <x:v>S12_061_GE_10000
OFFICIAL_HUB_COMPONENT_REVIEW</x:v>
      </x:c>
      <x:c r="R105" s="19" t="str">
        <x:v>S12_061 usage threshold</x:v>
      </x:c>
      <x:c r="S105" s="19" t="str">
        <x:v>https://nlftp.mlit.go.jp/ksj/gml/datalist/KsjTmplt-S12-2024.html</x:v>
      </x:c>
      <x:c r="T105" s="19" t="str">
        <x:v>https://nlftp.mlit.go.jp/ksj/gml/datalist/KsjTmplt-S12-2024.html
https://www.kotsu.metro.tokyo.jp/subway/stations/mita.html</x:v>
      </x:c>
      <x:c r="U105" s="19" t="str">
        <x:v>station-component|三田|東京都|metro|35.6478|139.7493|</x:v>
      </x:c>
      <x:c r="V105" s="19" t="str">
        <x:v>003986 / 003986 / 6号線三田線
003986 / 003987 / 1号線浅草線</x:v>
      </x:c>
      <x:c r="W105" s="18" t="str">
        <x:v>否</x:v>
      </x:c>
      <x:c r="X105" s="18" t="str">
        <x:v>0785e932a32b3ec15e1a1345537ae145eafe1c07bf38d5c16c11ee2b391e7a28</x:v>
      </x:c>
      <x:c r="Y105" s="20" t="n">
        <x:v>1</x:v>
      </x:c>
      <x:c r="Z105" s="20" t="n">
        <x:v>1</x:v>
      </x:c>
      <x:c r="AA105" s="19" t="str">
        <x:v>田町・三田</x:v>
      </x:c>
      <x:c r="AB105" s="18" t="str">
        <x:v>transport-hub-review:adffa6bc-9aa0-55f7-8dcb-c88ca553d44b</x:v>
      </x:c>
      <x:c r="AC105" s="19"/>
    </x:row>
    <x:row r="106" ht="28" customHeight="1">
      <x:c r="A106" s="18" t="str">
        <x:v>三田</x:v>
      </x:c>
      <x:c r="B106" s="18" t="str">
        <x:v>神戸電鉄</x:v>
      </x:c>
      <x:c r="C106" s="18" t="str">
        <x:v>private_rail</x:v>
      </x:c>
      <x:c r="D106" s="19" t="str">
        <x:v>T2</x:v>
      </x:c>
      <x:c r="E106" s="20" t="n">
        <x:v>10307</x:v>
      </x:c>
      <x:c r="F106" s="18" t="str">
        <x:v>persons/day</x:v>
      </x:c>
      <x:c r="G106" s="18" t="str">
        <x:v>FY2024</x:v>
      </x:c>
      <x:c r="H106" s="18" t="str">
        <x:v>否</x:v>
      </x:c>
      <x:c r="I106" s="19" t="str">
        <x:v>DAILY_ENTRIES_EXITS</x:v>
      </x:c>
      <x:c r="J106" s="19" t="str">
        <x:v>三田線</x:v>
      </x:c>
      <x:c r="K106" s="18" t="str">
        <x:v>transport-node:3d10c607-1102-5140-956a-b504902e3fe9</x:v>
      </x:c>
      <x:c r="L106" s="19" t="str">
        <x:v>组件待审核</x:v>
      </x:c>
      <x:c r="M106" s="21" t="n">
        <x:v>34.88836</x:v>
      </x:c>
      <x:c r="N106" s="21" t="n">
        <x:v>135.230015</x:v>
      </x:c>
      <x:c r="O106" s="18" t="str">
        <x:v>006341</x:v>
      </x:c>
      <x:c r="P106" s="18" t="str">
        <x:v>三田線</x:v>
      </x:c>
      <x:c r="Q106" s="19" t="str">
        <x:v>S12_061_GE_10000</x:v>
      </x:c>
      <x:c r="R106" s="19" t="str">
        <x:v>S12_061 usage threshold</x:v>
      </x:c>
      <x:c r="S106" s="19" t="str">
        <x:v>https://nlftp.mlit.go.jp/ksj/gml/datalist/KsjTmplt-S12-2024.html</x:v>
      </x:c>
      <x:c r="T106" s="19" t="str">
        <x:v>https://nlftp.mlit.go.jp/ksj/gml/datalist/KsjTmplt-S12-2024.html</x:v>
      </x:c>
      <x:c r="U106" s="19" t="str">
        <x:v>station-component|三田|神戸電鉄|private_rail|34.8884|135.2300|</x:v>
      </x:c>
      <x:c r="V106" s="19" t="str">
        <x:v>006340 / 006341 / 三田線</x:v>
      </x:c>
      <x:c r="W106" s="18" t="str">
        <x:v>否</x:v>
      </x:c>
      <x:c r="X106" s="18" t="str">
        <x:v>0785e932a32b3ec15e1a1345537ae145eafe1c07bf38d5c16c11ee2b391e7a28</x:v>
      </x:c>
      <x:c r="Y106" s="20" t="n">
        <x:v>1</x:v>
      </x:c>
      <x:c r="Z106" s="20" t="n">
        <x:v>1</x:v>
      </x:c>
      <x:c r="AA106" s="19"/>
      <x:c r="AB106" s="18"/>
      <x:c r="AC106" s="19"/>
    </x:row>
    <x:row r="107" ht="28" customHeight="1">
      <x:c r="A107" s="18" t="str">
        <x:v>三田</x:v>
      </x:c>
      <x:c r="B107" s="18" t="str">
        <x:v>西日本旅客鉄道</x:v>
      </x:c>
      <x:c r="C107" s="18" t="str">
        <x:v>conventional_rail</x:v>
      </x:c>
      <x:c r="D107" s="19" t="str">
        <x:v>T2</x:v>
      </x:c>
      <x:c r="E107" s="20" t="n">
        <x:v>29636</x:v>
      </x:c>
      <x:c r="F107" s="18" t="str">
        <x:v>persons/day</x:v>
      </x:c>
      <x:c r="G107" s="18" t="str">
        <x:v>FY2024</x:v>
      </x:c>
      <x:c r="H107" s="18" t="str">
        <x:v>否</x:v>
      </x:c>
      <x:c r="I107" s="19" t="str">
        <x:v>DAILY_ENTRIES_EXITS</x:v>
      </x:c>
      <x:c r="J107" s="19" t="str">
        <x:v>福知山線</x:v>
      </x:c>
      <x:c r="K107" s="18" t="str">
        <x:v>transport-node:a7d8da1f-badf-50b3-a595-30a541c7dd36</x:v>
      </x:c>
      <x:c r="L107" s="19" t="str">
        <x:v>组件待审核</x:v>
      </x:c>
      <x:c r="M107" s="21" t="n">
        <x:v>34.88869</x:v>
      </x:c>
      <x:c r="N107" s="21" t="n">
        <x:v>135.229915</x:v>
      </x:c>
      <x:c r="O107" s="18" t="str">
        <x:v>006340</x:v>
      </x:c>
      <x:c r="P107" s="18" t="str">
        <x:v>福知山線</x:v>
      </x:c>
      <x:c r="Q107" s="19" t="str">
        <x:v>S12_061_GE_10000</x:v>
      </x:c>
      <x:c r="R107" s="19" t="str">
        <x:v>S12_061 usage threshold</x:v>
      </x:c>
      <x:c r="S107" s="19" t="str">
        <x:v>https://nlftp.mlit.go.jp/ksj/gml/datalist/KsjTmplt-S12-2024.html</x:v>
      </x:c>
      <x:c r="T107" s="19" t="str">
        <x:v>https://nlftp.mlit.go.jp/ksj/gml/datalist/KsjTmplt-S12-2024.html</x:v>
      </x:c>
      <x:c r="U107" s="19" t="str">
        <x:v>station-component|三田|西日本旅客鉄道|conventional_rail|34.8887|135.2299|</x:v>
      </x:c>
      <x:c r="V107" s="19" t="str">
        <x:v>006340 / 006340 / 福知山線</x:v>
      </x:c>
      <x:c r="W107" s="18" t="str">
        <x:v>否</x:v>
      </x:c>
      <x:c r="X107" s="18" t="str">
        <x:v>0785e932a32b3ec15e1a1345537ae145eafe1c07bf38d5c16c11ee2b391e7a28</x:v>
      </x:c>
      <x:c r="Y107" s="20" t="n">
        <x:v>1</x:v>
      </x:c>
      <x:c r="Z107" s="20" t="n">
        <x:v>1</x:v>
      </x:c>
      <x:c r="AA107" s="19"/>
      <x:c r="AB107" s="18"/>
      <x:c r="AC107" s="19"/>
    </x:row>
    <x:row r="108" ht="33" customHeight="1">
      <x:c r="A108" s="18" t="str">
        <x:v>三越前</x:v>
      </x:c>
      <x:c r="B108" s="18" t="str">
        <x:v>東京地下鉄</x:v>
      </x:c>
      <x:c r="C108" s="18" t="str">
        <x:v>metro</x:v>
      </x:c>
      <x:c r="D108" s="19" t="str">
        <x:v>T1</x:v>
      </x:c>
      <x:c r="E108" s="20" t="n">
        <x:v>117531</x:v>
      </x:c>
      <x:c r="F108" s="18" t="str">
        <x:v>persons/day</x:v>
      </x:c>
      <x:c r="G108" s="18" t="str">
        <x:v>FY2024</x:v>
      </x:c>
      <x:c r="H108" s="18" t="str">
        <x:v>否</x:v>
      </x:c>
      <x:c r="I108" s="19" t="str">
        <x:v>DAILY_ENTRIES_EXITS</x:v>
      </x:c>
      <x:c r="J108" s="19" t="str">
        <x:v>11号線半蔵門線
3号線銀座線</x:v>
      </x:c>
      <x:c r="K108" s="18" t="str">
        <x:v>transport-node:65937356-cd35-5a4a-92d8-58a931059bbb</x:v>
      </x:c>
      <x:c r="L108" s="19" t="str">
        <x:v>组件待审核</x:v>
      </x:c>
      <x:c r="M108" s="21" t="n">
        <x:v>35.6848625</x:v>
      </x:c>
      <x:c r="N108" s="21" t="n">
        <x:v>139.7734375</x:v>
      </x:c>
      <x:c r="O108" s="18" t="str">
        <x:v>003735</x:v>
      </x:c>
      <x:c r="P108" s="18" t="str">
        <x:v>11号線半蔵門線</x:v>
      </x:c>
      <x:c r="Q108" s="19" t="str">
        <x:v>S12_061_GE_10000
OFFICIAL_HUB_COMPONENT_REVIEW</x:v>
      </x:c>
      <x:c r="R108" s="19" t="str">
        <x:v>S12_061 usage threshold</x:v>
      </x:c>
      <x:c r="S108" s="19" t="str">
        <x:v>https://nlftp.mlit.go.jp/ksj/gml/datalist/KsjTmplt-S12-2024.html</x:v>
      </x:c>
      <x:c r="T108" s="19" t="str">
        <x:v>https://nlftp.mlit.go.jp/ksj/gml/datalist/KsjTmplt-S12-2024.html
https://www.tokyometro.jp/station/mitsukoshimae/index.html</x:v>
      </x:c>
      <x:c r="U108" s="19" t="str">
        <x:v>station-component|三越前|東京地下鉄|metro|35.6849|139.7734|</x:v>
      </x:c>
      <x:c r="V108" s="19" t="str">
        <x:v>003716 / 003716 / 3号線銀座線
003716 / 003735 / 11号線半蔵門線</x:v>
      </x:c>
      <x:c r="W108" s="18" t="str">
        <x:v>否</x:v>
      </x:c>
      <x:c r="X108" s="18" t="str">
        <x:v>0785e932a32b3ec15e1a1345537ae145eafe1c07bf38d5c16c11ee2b391e7a28</x:v>
      </x:c>
      <x:c r="Y108" s="20" t="n">
        <x:v>1</x:v>
      </x:c>
      <x:c r="Z108" s="20" t="n">
        <x:v>1</x:v>
      </x:c>
      <x:c r="AA108" s="19" t="str">
        <x:v>三越前・新日本橋</x:v>
      </x:c>
      <x:c r="AB108" s="18" t="str">
        <x:v>transport-hub-review:a90316a3-3ae2-50f0-beba-8a434a833ff7</x:v>
      </x:c>
      <x:c r="AC108" s="19"/>
    </x:row>
    <x:row r="109" ht="28" customHeight="1">
      <x:c r="A109" s="18" t="str">
        <x:v>三軒茶屋</x:v>
      </x:c>
      <x:c r="B109" s="18" t="str">
        <x:v>東急電鉄</x:v>
      </x:c>
      <x:c r="C109" s="18" t="str">
        <x:v>private_rail</x:v>
      </x:c>
      <x:c r="D109" s="19" t="str">
        <x:v>T1</x:v>
      </x:c>
      <x:c r="E109" s="20" t="n">
        <x:v>136375</x:v>
      </x:c>
      <x:c r="F109" s="18" t="str">
        <x:v>persons/day</x:v>
      </x:c>
      <x:c r="G109" s="18" t="str">
        <x:v>FY2024</x:v>
      </x:c>
      <x:c r="H109" s="18" t="str">
        <x:v>否</x:v>
      </x:c>
      <x:c r="I109" s="19" t="str">
        <x:v>DAILY_ENTRIES_EXITS</x:v>
      </x:c>
      <x:c r="J109" s="19" t="str">
        <x:v>田園都市線</x:v>
      </x:c>
      <x:c r="K109" s="18" t="str">
        <x:v>transport-node:bd2084c0-d8d2-5edf-9fd1-e13c0c997748</x:v>
      </x:c>
      <x:c r="L109" s="19" t="str">
        <x:v>组件待审核</x:v>
      </x:c>
      <x:c r="M109" s="21" t="n">
        <x:v>35.6433433</x:v>
      </x:c>
      <x:c r="N109" s="21" t="n">
        <x:v>139.6711583</x:v>
      </x:c>
      <x:c r="O109" s="18" t="str">
        <x:v>004022</x:v>
      </x:c>
      <x:c r="P109" s="18" t="str">
        <x:v>田園都市線</x:v>
      </x:c>
      <x:c r="Q109" s="19" t="str">
        <x:v>S12_061_GE_10000</x:v>
      </x:c>
      <x:c r="R109" s="19" t="str">
        <x:v>S12_061 usage threshold</x:v>
      </x:c>
      <x:c r="S109" s="19" t="str">
        <x:v>https://nlftp.mlit.go.jp/ksj/gml/datalist/KsjTmplt-S12-2024.html</x:v>
      </x:c>
      <x:c r="T109" s="19" t="str">
        <x:v>https://nlftp.mlit.go.jp/ksj/gml/datalist/KsjTmplt-S12-2024.html</x:v>
      </x:c>
      <x:c r="U109" s="19" t="str">
        <x:v>station-component|三軒茶屋|東急電鉄|private_rail|35.6433|139.6712|</x:v>
      </x:c>
      <x:c r="V109" s="19" t="str">
        <x:v>004016 / 004022 / 田園都市線</x:v>
      </x:c>
      <x:c r="W109" s="18" t="str">
        <x:v>否</x:v>
      </x:c>
      <x:c r="X109" s="18" t="str">
        <x:v>0785e932a32b3ec15e1a1345537ae145eafe1c07bf38d5c16c11ee2b391e7a28</x:v>
      </x:c>
      <x:c r="Y109" s="20" t="n">
        <x:v>1</x:v>
      </x:c>
      <x:c r="Z109" s="20" t="n">
        <x:v>1</x:v>
      </x:c>
      <x:c r="AA109" s="19"/>
      <x:c r="AB109" s="18"/>
      <x:c r="AC109" s="19"/>
    </x:row>
    <x:row r="110" ht="28" customHeight="1">
      <x:c r="A110" s="18" t="str">
        <x:v>三軒茶屋</x:v>
      </x:c>
      <x:c r="B110" s="18" t="str">
        <x:v>東急電鉄</x:v>
      </x:c>
      <x:c r="C110" s="18" t="str">
        <x:v>tram</x:v>
      </x:c>
      <x:c r="D110" s="19" t="str">
        <x:v>T2</x:v>
      </x:c>
      <x:c r="E110" s="20" t="n">
        <x:v>30839</x:v>
      </x:c>
      <x:c r="F110" s="18" t="str">
        <x:v>persons/day</x:v>
      </x:c>
      <x:c r="G110" s="18" t="str">
        <x:v>FY2024</x:v>
      </x:c>
      <x:c r="H110" s="18" t="str">
        <x:v>否</x:v>
      </x:c>
      <x:c r="I110" s="19" t="str">
        <x:v>DAILY_ENTRIES_EXITS</x:v>
      </x:c>
      <x:c r="J110" s="19" t="str">
        <x:v>世田谷線</x:v>
      </x:c>
      <x:c r="K110" s="18" t="str">
        <x:v>transport-node:2bc582ad-1f6a-5e78-bb67-68f61a2fb140</x:v>
      </x:c>
      <x:c r="L110" s="19" t="str">
        <x:v>组件待审核</x:v>
      </x:c>
      <x:c r="M110" s="21" t="n">
        <x:v>35.644105</x:v>
      </x:c>
      <x:c r="N110" s="21" t="n">
        <x:v>139.669185</x:v>
      </x:c>
      <x:c r="O110" s="18" t="str">
        <x:v>004016</x:v>
      </x:c>
      <x:c r="P110" s="18" t="str">
        <x:v>世田谷線</x:v>
      </x:c>
      <x:c r="Q110" s="19" t="str">
        <x:v>S12_061_GE_10000</x:v>
      </x:c>
      <x:c r="R110" s="19" t="str">
        <x:v>S12_061 usage threshold</x:v>
      </x:c>
      <x:c r="S110" s="19" t="str">
        <x:v>https://nlftp.mlit.go.jp/ksj/gml/datalist/KsjTmplt-S12-2024.html</x:v>
      </x:c>
      <x:c r="T110" s="19" t="str">
        <x:v>https://nlftp.mlit.go.jp/ksj/gml/datalist/KsjTmplt-S12-2024.html</x:v>
      </x:c>
      <x:c r="U110" s="19" t="str">
        <x:v>station-component|三軒茶屋|東急電鉄|tram|35.6441|139.6692|</x:v>
      </x:c>
      <x:c r="V110" s="19" t="str">
        <x:v>004016 / 004016 / 世田谷線</x:v>
      </x:c>
      <x:c r="W110" s="18" t="str">
        <x:v>否</x:v>
      </x:c>
      <x:c r="X110" s="18" t="str">
        <x:v>0785e932a32b3ec15e1a1345537ae145eafe1c07bf38d5c16c11ee2b391e7a28</x:v>
      </x:c>
      <x:c r="Y110" s="20" t="n">
        <x:v>1</x:v>
      </x:c>
      <x:c r="Z110" s="20" t="n">
        <x:v>1</x:v>
      </x:c>
      <x:c r="AA110" s="19"/>
      <x:c r="AB110" s="18"/>
      <x:c r="AC110" s="19"/>
    </x:row>
    <x:row r="111" ht="28" customHeight="1">
      <x:c r="A111" s="18" t="str">
        <x:v>三郷</x:v>
      </x:c>
      <x:c r="B111" s="18" t="str">
        <x:v>東日本旅客鉄道</x:v>
      </x:c>
      <x:c r="C111" s="18" t="str">
        <x:v>conventional_rail</x:v>
      </x:c>
      <x:c r="D111" s="19" t="str">
        <x:v>T2</x:v>
      </x:c>
      <x:c r="E111" s="20" t="n">
        <x:v>26538</x:v>
      </x:c>
      <x:c r="F111" s="18" t="str">
        <x:v>persons/day</x:v>
      </x:c>
      <x:c r="G111" s="18" t="str">
        <x:v>FY2024</x:v>
      </x:c>
      <x:c r="H111" s="18" t="str">
        <x:v>否</x:v>
      </x:c>
      <x:c r="I111" s="19" t="str">
        <x:v>DAILY_ENTRIES_EXITS</x:v>
      </x:c>
      <x:c r="J111" s="19" t="str">
        <x:v>武蔵野線</x:v>
      </x:c>
      <x:c r="K111" s="18" t="str">
        <x:v>transport-node:e757d116-4757-50db-abab-7b232c23ae4c</x:v>
      </x:c>
      <x:c r="L111" s="19" t="str">
        <x:v>组件待审核</x:v>
      </x:c>
      <x:c r="M111" s="21" t="n">
        <x:v>35.844835</x:v>
      </x:c>
      <x:c r="N111" s="21" t="n">
        <x:v>139.886835</x:v>
      </x:c>
      <x:c r="O111" s="18" t="str">
        <x:v>003010</x:v>
      </x:c>
      <x:c r="P111" s="18" t="str">
        <x:v>武蔵野線</x:v>
      </x:c>
      <x:c r="Q111" s="19" t="str">
        <x:v>S12_061_GE_10000</x:v>
      </x:c>
      <x:c r="R111" s="19" t="str">
        <x:v>S12_061 usage threshold</x:v>
      </x:c>
      <x:c r="S111" s="19" t="str">
        <x:v>https://nlftp.mlit.go.jp/ksj/gml/datalist/KsjTmplt-S12-2024.html</x:v>
      </x:c>
      <x:c r="T111" s="19" t="str">
        <x:v>https://nlftp.mlit.go.jp/ksj/gml/datalist/KsjTmplt-S12-2024.html</x:v>
      </x:c>
      <x:c r="U111" s="19" t="str">
        <x:v>station-component|三郷|東日本旅客鉄道|conventional_rail|35.8448|139.8868|</x:v>
      </x:c>
      <x:c r="V111" s="19" t="str">
        <x:v>003010 / 003010 / 武蔵野線</x:v>
      </x:c>
      <x:c r="W111" s="18" t="str">
        <x:v>否</x:v>
      </x:c>
      <x:c r="X111" s="18" t="str">
        <x:v>0785e932a32b3ec15e1a1345537ae145eafe1c07bf38d5c16c11ee2b391e7a28</x:v>
      </x:c>
      <x:c r="Y111" s="20" t="n">
        <x:v>1</x:v>
      </x:c>
      <x:c r="Z111" s="20" t="n">
        <x:v>1</x:v>
      </x:c>
      <x:c r="AA111" s="19"/>
      <x:c r="AB111" s="18"/>
      <x:c r="AC111" s="19"/>
    </x:row>
    <x:row r="112" ht="28" customHeight="1">
      <x:c r="A112" s="18" t="str">
        <x:v>三郷中央</x:v>
      </x:c>
      <x:c r="B112" s="18" t="str">
        <x:v>首都圏新都市鉄道</x:v>
      </x:c>
      <x:c r="C112" s="18" t="str">
        <x:v>private_rail</x:v>
      </x:c>
      <x:c r="D112" s="19" t="str">
        <x:v>T2</x:v>
      </x:c>
      <x:c r="E112" s="20" t="n">
        <x:v>30722</x:v>
      </x:c>
      <x:c r="F112" s="18" t="str">
        <x:v>persons/day</x:v>
      </x:c>
      <x:c r="G112" s="18" t="str">
        <x:v>FY2024</x:v>
      </x:c>
      <x:c r="H112" s="18" t="str">
        <x:v>否</x:v>
      </x:c>
      <x:c r="I112" s="19" t="str">
        <x:v>DAILY_ENTRIES_EXITS</x:v>
      </x:c>
      <x:c r="J112" s="19" t="str">
        <x:v>常磐新線</x:v>
      </x:c>
      <x:c r="K112" s="18" t="str">
        <x:v>transport-node:7379f647-688a-5816-af49-28b9c63f3a77</x:v>
      </x:c>
      <x:c r="L112" s="19" t="str">
        <x:v>组件待审核</x:v>
      </x:c>
      <x:c r="M112" s="21" t="n">
        <x:v>35.824485</x:v>
      </x:c>
      <x:c r="N112" s="21" t="n">
        <x:v>139.87837</x:v>
      </x:c>
      <x:c r="O112" s="18" t="str">
        <x:v>003047</x:v>
      </x:c>
      <x:c r="P112" s="18" t="str">
        <x:v>常磐新線</x:v>
      </x:c>
      <x:c r="Q112" s="19" t="str">
        <x:v>S12_061_GE_10000</x:v>
      </x:c>
      <x:c r="R112" s="19" t="str">
        <x:v>S12_061 usage threshold</x:v>
      </x:c>
      <x:c r="S112" s="19" t="str">
        <x:v>https://nlftp.mlit.go.jp/ksj/gml/datalist/KsjTmplt-S12-2024.html</x:v>
      </x:c>
      <x:c r="T112" s="19" t="str">
        <x:v>https://nlftp.mlit.go.jp/ksj/gml/datalist/KsjTmplt-S12-2024.html</x:v>
      </x:c>
      <x:c r="U112" s="19" t="str">
        <x:v>station-component|三郷中央|首都圏新都市鉄道|private_rail|35.8245|139.8784|</x:v>
      </x:c>
      <x:c r="V112" s="19" t="str">
        <x:v>003047 / 003047 / 常磐新線</x:v>
      </x:c>
      <x:c r="W112" s="18" t="str">
        <x:v>否</x:v>
      </x:c>
      <x:c r="X112" s="18" t="str">
        <x:v>0785e932a32b3ec15e1a1345537ae145eafe1c07bf38d5c16c11ee2b391e7a28</x:v>
      </x:c>
      <x:c r="Y112" s="20" t="n">
        <x:v>1</x:v>
      </x:c>
      <x:c r="Z112" s="20" t="n">
        <x:v>1</x:v>
      </x:c>
      <x:c r="AA112" s="19"/>
      <x:c r="AB112" s="18"/>
      <x:c r="AC112" s="19"/>
    </x:row>
    <x:row r="113" ht="28" customHeight="1">
      <x:c r="A113" s="18" t="str">
        <x:v>三鷹</x:v>
      </x:c>
      <x:c r="B113" s="18" t="str">
        <x:v>東日本旅客鉄道</x:v>
      </x:c>
      <x:c r="C113" s="18" t="str">
        <x:v>conventional_rail</x:v>
      </x:c>
      <x:c r="D113" s="19" t="str">
        <x:v>T1</x:v>
      </x:c>
      <x:c r="E113" s="20" t="n">
        <x:v>173686</x:v>
      </x:c>
      <x:c r="F113" s="18" t="str">
        <x:v>persons/day</x:v>
      </x:c>
      <x:c r="G113" s="18" t="str">
        <x:v>FY2024</x:v>
      </x:c>
      <x:c r="H113" s="18" t="str">
        <x:v>否</x:v>
      </x:c>
      <x:c r="I113" s="19" t="str">
        <x:v>DAILY_ENTRIES_EXITS</x:v>
      </x:c>
      <x:c r="J113" s="19" t="str">
        <x:v>中央線</x:v>
      </x:c>
      <x:c r="K113" s="18" t="str">
        <x:v>transport-node:14e09547-d30c-5eff-bbd6-30e42deb088a</x:v>
      </x:c>
      <x:c r="L113" s="19" t="str">
        <x:v>组件待审核</x:v>
      </x:c>
      <x:c r="M113" s="21" t="n">
        <x:v>35.702694</x:v>
      </x:c>
      <x:c r="N113" s="21" t="n">
        <x:v>139.560708</x:v>
      </x:c>
      <x:c r="O113" s="18" t="str">
        <x:v>003587</x:v>
      </x:c>
      <x:c r="P113" s="18" t="str">
        <x:v>中央線</x:v>
      </x:c>
      <x:c r="Q113" s="19" t="str">
        <x:v>S12_061_GE_10000</x:v>
      </x:c>
      <x:c r="R113" s="19" t="str">
        <x:v>S12_061 usage threshold</x:v>
      </x:c>
      <x:c r="S113" s="19" t="str">
        <x:v>https://nlftp.mlit.go.jp/ksj/gml/datalist/KsjTmplt-S12-2024.html</x:v>
      </x:c>
      <x:c r="T113" s="19" t="str">
        <x:v>https://nlftp.mlit.go.jp/ksj/gml/datalist/KsjTmplt-S12-2024.html</x:v>
      </x:c>
      <x:c r="U113" s="19" t="str">
        <x:v>station-component|三鷹|東日本旅客鉄道|conventional_rail|35.7027|139.5607|</x:v>
      </x:c>
      <x:c r="V113" s="19" t="str">
        <x:v>003587 / 003587 / 中央線</x:v>
      </x:c>
      <x:c r="W113" s="18" t="str">
        <x:v>否</x:v>
      </x:c>
      <x:c r="X113" s="18" t="str">
        <x:v>0785e932a32b3ec15e1a1345537ae145eafe1c07bf38d5c16c11ee2b391e7a28</x:v>
      </x:c>
      <x:c r="Y113" s="20" t="n">
        <x:v>1</x:v>
      </x:c>
      <x:c r="Z113" s="20" t="n">
        <x:v>1</x:v>
      </x:c>
      <x:c r="AA113" s="19"/>
      <x:c r="AB113" s="18"/>
      <x:c r="AC113" s="19"/>
    </x:row>
    <x:row r="114" ht="28" customHeight="1">
      <x:c r="A114" s="18" t="str">
        <x:v>三鷹台</x:v>
      </x:c>
      <x:c r="B114" s="18" t="str">
        <x:v>京王電鉄</x:v>
      </x:c>
      <x:c r="C114" s="18" t="str">
        <x:v>private_rail</x:v>
      </x:c>
      <x:c r="D114" s="19" t="str">
        <x:v>T2</x:v>
      </x:c>
      <x:c r="E114" s="20" t="n">
        <x:v>19570</x:v>
      </x:c>
      <x:c r="F114" s="18" t="str">
        <x:v>persons/day</x:v>
      </x:c>
      <x:c r="G114" s="18" t="str">
        <x:v>FY2024</x:v>
      </x:c>
      <x:c r="H114" s="18" t="str">
        <x:v>否</x:v>
      </x:c>
      <x:c r="I114" s="19" t="str">
        <x:v>DAILY_ENTRIES_EXITS</x:v>
      </x:c>
      <x:c r="J114" s="19" t="str">
        <x:v>井の頭線</x:v>
      </x:c>
      <x:c r="K114" s="18" t="str">
        <x:v>transport-node:42f4c929-649e-57fd-8af8-5894a803b055</x:v>
      </x:c>
      <x:c r="L114" s="19" t="str">
        <x:v>组件待审核</x:v>
      </x:c>
      <x:c r="M114" s="21" t="n">
        <x:v>35.69205</x:v>
      </x:c>
      <x:c r="N114" s="21" t="n">
        <x:v>139.589295</x:v>
      </x:c>
      <x:c r="O114" s="18" t="str">
        <x:v>003674</x:v>
      </x:c>
      <x:c r="P114" s="18" t="str">
        <x:v>井の頭線</x:v>
      </x:c>
      <x:c r="Q114" s="19" t="str">
        <x:v>S12_061_GE_10000</x:v>
      </x:c>
      <x:c r="R114" s="19" t="str">
        <x:v>S12_061 usage threshold</x:v>
      </x:c>
      <x:c r="S114" s="19" t="str">
        <x:v>https://nlftp.mlit.go.jp/ksj/gml/datalist/KsjTmplt-S12-2024.html</x:v>
      </x:c>
      <x:c r="T114" s="19" t="str">
        <x:v>https://nlftp.mlit.go.jp/ksj/gml/datalist/KsjTmplt-S12-2024.html</x:v>
      </x:c>
      <x:c r="U114" s="19" t="str">
        <x:v>station-component|三鷹台|京王電鉄|private_rail|35.6921|139.5893|</x:v>
      </x:c>
      <x:c r="V114" s="19" t="str">
        <x:v>003674 / 003674 / 井の頭線</x:v>
      </x:c>
      <x:c r="W114" s="18" t="str">
        <x:v>否</x:v>
      </x:c>
      <x:c r="X114" s="18" t="str">
        <x:v>0785e932a32b3ec15e1a1345537ae145eafe1c07bf38d5c16c11ee2b391e7a28</x:v>
      </x:c>
      <x:c r="Y114" s="20" t="n">
        <x:v>1</x:v>
      </x:c>
      <x:c r="Z114" s="20" t="n">
        <x:v>1</x:v>
      </x:c>
      <x:c r="AA114" s="19"/>
      <x:c r="AB114" s="18"/>
      <x:c r="AC114" s="19"/>
    </x:row>
    <x:row r="115" ht="28" customHeight="1">
      <x:c r="A115" s="18" t="str">
        <x:v>上中里</x:v>
      </x:c>
      <x:c r="B115" s="18" t="str">
        <x:v>東日本旅客鉄道</x:v>
      </x:c>
      <x:c r="C115" s="18" t="str">
        <x:v>conventional_rail</x:v>
      </x:c>
      <x:c r="D115" s="19" t="str">
        <x:v>T2</x:v>
      </x:c>
      <x:c r="E115" s="20" t="n">
        <x:v>14482</x:v>
      </x:c>
      <x:c r="F115" s="18" t="str">
        <x:v>persons/day</x:v>
      </x:c>
      <x:c r="G115" s="18" t="str">
        <x:v>FY2024</x:v>
      </x:c>
      <x:c r="H115" s="18" t="str">
        <x:v>否</x:v>
      </x:c>
      <x:c r="I115" s="19" t="str">
        <x:v>DAILY_ENTRIES_EXITS</x:v>
      </x:c>
      <x:c r="J115" s="19" t="str">
        <x:v>東北線</x:v>
      </x:c>
      <x:c r="K115" s="18" t="str">
        <x:v>transport-node:b6f60bab-35ff-504d-bab1-aaa3e5e54a19</x:v>
      </x:c>
      <x:c r="L115" s="19" t="str">
        <x:v>组件待审核</x:v>
      </x:c>
      <x:c r="M115" s="21" t="n">
        <x:v>35.746888</x:v>
      </x:c>
      <x:c r="N115" s="21" t="n">
        <x:v>139.746286</x:v>
      </x:c>
      <x:c r="O115" s="18" t="str">
        <x:v>003277</x:v>
      </x:c>
      <x:c r="P115" s="18" t="str">
        <x:v>東北線</x:v>
      </x:c>
      <x:c r="Q115" s="19" t="str">
        <x:v>S12_061_GE_10000</x:v>
      </x:c>
      <x:c r="R115" s="19" t="str">
        <x:v>S12_061 usage threshold</x:v>
      </x:c>
      <x:c r="S115" s="19" t="str">
        <x:v>https://nlftp.mlit.go.jp/ksj/gml/datalist/KsjTmplt-S12-2024.html</x:v>
      </x:c>
      <x:c r="T115" s="19" t="str">
        <x:v>https://nlftp.mlit.go.jp/ksj/gml/datalist/KsjTmplt-S12-2024.html</x:v>
      </x:c>
      <x:c r="U115" s="19" t="str">
        <x:v>station-component|上中里|東日本旅客鉄道|conventional_rail|35.7469|139.7463|</x:v>
      </x:c>
      <x:c r="V115" s="19" t="str">
        <x:v>003277 / 003277 / 東北線</x:v>
      </x:c>
      <x:c r="W115" s="18" t="str">
        <x:v>否</x:v>
      </x:c>
      <x:c r="X115" s="18" t="str">
        <x:v>0785e932a32b3ec15e1a1345537ae145eafe1c07bf38d5c16c11ee2b391e7a28</x:v>
      </x:c>
      <x:c r="Y115" s="20" t="n">
        <x:v>1</x:v>
      </x:c>
      <x:c r="Z115" s="20" t="n">
        <x:v>1</x:v>
      </x:c>
      <x:c r="AA115" s="19"/>
      <x:c r="AB115" s="18"/>
      <x:c r="AC115" s="19"/>
    </x:row>
    <x:row r="116" ht="28" customHeight="1">
      <x:c r="A116" s="18" t="str">
        <x:v>上井草</x:v>
      </x:c>
      <x:c r="B116" s="18" t="str">
        <x:v>西武鉄道</x:v>
      </x:c>
      <x:c r="C116" s="18" t="str">
        <x:v>private_rail</x:v>
      </x:c>
      <x:c r="D116" s="19" t="str">
        <x:v>T2</x:v>
      </x:c>
      <x:c r="E116" s="20" t="n">
        <x:v>18819</x:v>
      </x:c>
      <x:c r="F116" s="18" t="str">
        <x:v>persons/day</x:v>
      </x:c>
      <x:c r="G116" s="18" t="str">
        <x:v>FY2024</x:v>
      </x:c>
      <x:c r="H116" s="18" t="str">
        <x:v>否</x:v>
      </x:c>
      <x:c r="I116" s="19" t="str">
        <x:v>DAILY_ENTRIES_EXITS</x:v>
      </x:c>
      <x:c r="J116" s="19" t="str">
        <x:v>新宿線</x:v>
      </x:c>
      <x:c r="K116" s="18" t="str">
        <x:v>transport-node:58a832d3-db4c-559c-a81e-2f2d624ff870</x:v>
      </x:c>
      <x:c r="L116" s="19" t="str">
        <x:v>组件待审核</x:v>
      </x:c>
      <x:c r="M116" s="21" t="n">
        <x:v>35.725255</x:v>
      </x:c>
      <x:c r="N116" s="21" t="n">
        <x:v>139.602955</x:v>
      </x:c>
      <x:c r="O116" s="18" t="str">
        <x:v>003437</x:v>
      </x:c>
      <x:c r="P116" s="18" t="str">
        <x:v>新宿線</x:v>
      </x:c>
      <x:c r="Q116" s="19" t="str">
        <x:v>S12_061_GE_10000</x:v>
      </x:c>
      <x:c r="R116" s="19" t="str">
        <x:v>S12_061 usage threshold</x:v>
      </x:c>
      <x:c r="S116" s="19" t="str">
        <x:v>https://nlftp.mlit.go.jp/ksj/gml/datalist/KsjTmplt-S12-2024.html</x:v>
      </x:c>
      <x:c r="T116" s="19" t="str">
        <x:v>https://nlftp.mlit.go.jp/ksj/gml/datalist/KsjTmplt-S12-2024.html</x:v>
      </x:c>
      <x:c r="U116" s="19" t="str">
        <x:v>station-component|上井草|西武鉄道|private_rail|35.7253|139.6030|</x:v>
      </x:c>
      <x:c r="V116" s="19" t="str">
        <x:v>003437 / 003437 / 新宿線</x:v>
      </x:c>
      <x:c r="W116" s="18" t="str">
        <x:v>否</x:v>
      </x:c>
      <x:c r="X116" s="18" t="str">
        <x:v>0785e932a32b3ec15e1a1345537ae145eafe1c07bf38d5c16c11ee2b391e7a28</x:v>
      </x:c>
      <x:c r="Y116" s="20" t="n">
        <x:v>1</x:v>
      </x:c>
      <x:c r="Z116" s="20" t="n">
        <x:v>1</x:v>
      </x:c>
      <x:c r="AA116" s="19"/>
      <x:c r="AB116" s="18"/>
      <x:c r="AC116" s="19"/>
    </x:row>
    <x:row r="117" ht="33" customHeight="1">
      <x:c r="A117" s="18" t="str">
        <x:v>上前津</x:v>
      </x:c>
      <x:c r="B117" s="18" t="str">
        <x:v>名古屋市</x:v>
      </x:c>
      <x:c r="C117" s="18" t="str">
        <x:v>metro</x:v>
      </x:c>
      <x:c r="D117" s="19" t="str">
        <x:v>T1</x:v>
      </x:c>
      <x:c r="E117" s="20" t="n">
        <x:v>50720</x:v>
      </x:c>
      <x:c r="F117" s="18" t="str">
        <x:v>persons/day</x:v>
      </x:c>
      <x:c r="G117" s="18" t="str">
        <x:v>FY2024</x:v>
      </x:c>
      <x:c r="H117" s="18" t="str">
        <x:v>否</x:v>
      </x:c>
      <x:c r="I117" s="19" t="str">
        <x:v>DAILY_ENTRIES_EXITS</x:v>
      </x:c>
      <x:c r="J117" s="19" t="str">
        <x:v>2号線名城線
3号線鶴舞線</x:v>
      </x:c>
      <x:c r="K117" s="18" t="str">
        <x:v>transport-node:97e09de6-2d86-59e5-8e6e-df70b2c102ce</x:v>
      </x:c>
      <x:c r="L117" s="19" t="str">
        <x:v>组件待审核</x:v>
      </x:c>
      <x:c r="M117" s="21" t="n">
        <x:v>35.1575167</x:v>
      </x:c>
      <x:c r="N117" s="21" t="n">
        <x:v>136.90678</x:v>
      </x:c>
      <x:c r="O117" s="18" t="str">
        <x:v>005506</x:v>
      </x:c>
      <x:c r="P117" s="18" t="str">
        <x:v>2号線名城線</x:v>
      </x:c>
      <x:c r="Q117" s="19" t="str">
        <x:v>S12_061_GE_10000
OFFICIAL_HUB_COMPONENT_REVIEW</x:v>
      </x:c>
      <x:c r="R117" s="19" t="str">
        <x:v>S12_061 usage threshold</x:v>
      </x:c>
      <x:c r="S117" s="19" t="str">
        <x:v>https://nlftp.mlit.go.jp/ksj/gml/datalist/KsjTmplt-S12-2024.html</x:v>
      </x:c>
      <x:c r="T117" s="19" t="str">
        <x:v>https://nlftp.mlit.go.jp/ksj/gml/datalist/KsjTmplt-S12-2024.html
https://www.kotsu.city.nagoya.jp/rp/reader/trp0001072.htm</x:v>
      </x:c>
      <x:c r="U117" s="19" t="str">
        <x:v>station-component|上前津|名古屋市|metro|35.1575|136.9068|</x:v>
      </x:c>
      <x:c r="V117" s="19" t="str">
        <x:v>005506 / 005506 / 2号線名城線
005506 / 005507 / 3号線鶴舞線</x:v>
      </x:c>
      <x:c r="W117" s="18" t="str">
        <x:v>否</x:v>
      </x:c>
      <x:c r="X117" s="18" t="str">
        <x:v>0785e932a32b3ec15e1a1345537ae145eafe1c07bf38d5c16c11ee2b391e7a28</x:v>
      </x:c>
      <x:c r="Y117" s="20" t="n">
        <x:v>1</x:v>
      </x:c>
      <x:c r="Z117" s="20" t="n">
        <x:v>1</x:v>
      </x:c>
      <x:c r="AA117" s="19" t="str">
        <x:v>上前津</x:v>
      </x:c>
      <x:c r="AB117" s="18" t="str">
        <x:v>transport-hub-review:1306b718-57c6-5530-8bde-50f8d921ca43</x:v>
      </x:c>
      <x:c r="AC117" s="19"/>
    </x:row>
    <x:row r="118" ht="28" customHeight="1">
      <x:c r="A118" s="18" t="str">
        <x:v>上北台</x:v>
      </x:c>
      <x:c r="B118" s="18" t="str">
        <x:v>多摩都市モノレール</x:v>
      </x:c>
      <x:c r="C118" s="18" t="str">
        <x:v>fixed_guideway</x:v>
      </x:c>
      <x:c r="D118" s="19" t="str">
        <x:v>T2</x:v>
      </x:c>
      <x:c r="E118" s="20" t="n">
        <x:v>13333</x:v>
      </x:c>
      <x:c r="F118" s="18" t="str">
        <x:v>persons/day</x:v>
      </x:c>
      <x:c r="G118" s="18" t="str">
        <x:v>FY2024</x:v>
      </x:c>
      <x:c r="H118" s="18" t="str">
        <x:v>否</x:v>
      </x:c>
      <x:c r="I118" s="19" t="str">
        <x:v>DAILY_ENTRIES_EXITS</x:v>
      </x:c>
      <x:c r="J118" s="19" t="str">
        <x:v>多摩都市モノレール線</x:v>
      </x:c>
      <x:c r="K118" s="18" t="str">
        <x:v>transport-node:10ffac61-b7ad-5196-b160-d724a6d75229</x:v>
      </x:c>
      <x:c r="L118" s="19" t="str">
        <x:v>组件待审核</x:v>
      </x:c>
      <x:c r="M118" s="21" t="n">
        <x:v>35.74576</x:v>
      </x:c>
      <x:c r="N118" s="21" t="n">
        <x:v>139.415865</x:v>
      </x:c>
      <x:c r="O118" s="18" t="str">
        <x:v>003283</x:v>
      </x:c>
      <x:c r="P118" s="18" t="str">
        <x:v>多摩都市モノレール線</x:v>
      </x:c>
      <x:c r="Q118" s="19" t="str">
        <x:v>S12_061_GE_10000</x:v>
      </x:c>
      <x:c r="R118" s="19" t="str">
        <x:v>S12_061 usage threshold</x:v>
      </x:c>
      <x:c r="S118" s="19" t="str">
        <x:v>https://nlftp.mlit.go.jp/ksj/gml/datalist/KsjTmplt-S12-2024.html</x:v>
      </x:c>
      <x:c r="T118" s="19" t="str">
        <x:v>https://nlftp.mlit.go.jp/ksj/gml/datalist/KsjTmplt-S12-2024.html</x:v>
      </x:c>
      <x:c r="U118" s="19" t="str">
        <x:v>station-component|上北台|多摩都市モノレール|fixed_guideway|35.7458|139.4159|</x:v>
      </x:c>
      <x:c r="V118" s="19" t="str">
        <x:v>003283 / 003283 / 多摩都市モノレール線</x:v>
      </x:c>
      <x:c r="W118" s="18" t="str">
        <x:v>否</x:v>
      </x:c>
      <x:c r="X118" s="18" t="str">
        <x:v>0785e932a32b3ec15e1a1345537ae145eafe1c07bf38d5c16c11ee2b391e7a28</x:v>
      </x:c>
      <x:c r="Y118" s="20" t="n">
        <x:v>1</x:v>
      </x:c>
      <x:c r="Z118" s="20" t="n">
        <x:v>1</x:v>
      </x:c>
      <x:c r="AA118" s="19"/>
      <x:c r="AB118" s="18"/>
      <x:c r="AC118" s="19"/>
    </x:row>
    <x:row r="119" ht="28" customHeight="1">
      <x:c r="A119" s="18" t="str">
        <x:v>上北沢</x:v>
      </x:c>
      <x:c r="B119" s="18" t="str">
        <x:v>京王電鉄</x:v>
      </x:c>
      <x:c r="C119" s="18" t="str">
        <x:v>private_rail</x:v>
      </x:c>
      <x:c r="D119" s="19" t="str">
        <x:v>T2</x:v>
      </x:c>
      <x:c r="E119" s="20" t="n">
        <x:v>14678</x:v>
      </x:c>
      <x:c r="F119" s="18" t="str">
        <x:v>persons/day</x:v>
      </x:c>
      <x:c r="G119" s="18" t="str">
        <x:v>FY2024</x:v>
      </x:c>
      <x:c r="H119" s="18" t="str">
        <x:v>否</x:v>
      </x:c>
      <x:c r="I119" s="19" t="str">
        <x:v>DAILY_ENTRIES_EXITS</x:v>
      </x:c>
      <x:c r="J119" s="19" t="str">
        <x:v>京王線</x:v>
      </x:c>
      <x:c r="K119" s="18" t="str">
        <x:v>transport-node:8a724291-043e-5b7c-b93e-b026b41bbacb</x:v>
      </x:c>
      <x:c r="L119" s="19" t="str">
        <x:v>组件待审核</x:v>
      </x:c>
      <x:c r="M119" s="21" t="n">
        <x:v>35.668845</x:v>
      </x:c>
      <x:c r="N119" s="21" t="n">
        <x:v>139.623415</x:v>
      </x:c>
      <x:c r="O119" s="18" t="str">
        <x:v>003849</x:v>
      </x:c>
      <x:c r="P119" s="18" t="str">
        <x:v>京王線</x:v>
      </x:c>
      <x:c r="Q119" s="19" t="str">
        <x:v>S12_061_GE_10000</x:v>
      </x:c>
      <x:c r="R119" s="19" t="str">
        <x:v>S12_061 usage threshold</x:v>
      </x:c>
      <x:c r="S119" s="19" t="str">
        <x:v>https://nlftp.mlit.go.jp/ksj/gml/datalist/KsjTmplt-S12-2024.html</x:v>
      </x:c>
      <x:c r="T119" s="19" t="str">
        <x:v>https://nlftp.mlit.go.jp/ksj/gml/datalist/KsjTmplt-S12-2024.html</x:v>
      </x:c>
      <x:c r="U119" s="19" t="str">
        <x:v>station-component|上北沢|京王電鉄|private_rail|35.6688|139.6234|</x:v>
      </x:c>
      <x:c r="V119" s="19" t="str">
        <x:v>003849 / 003849 / 京王線</x:v>
      </x:c>
      <x:c r="W119" s="18" t="str">
        <x:v>否</x:v>
      </x:c>
      <x:c r="X119" s="18" t="str">
        <x:v>0785e932a32b3ec15e1a1345537ae145eafe1c07bf38d5c16c11ee2b391e7a28</x:v>
      </x:c>
      <x:c r="Y119" s="20" t="n">
        <x:v>1</x:v>
      </x:c>
      <x:c r="Z119" s="20" t="n">
        <x:v>1</x:v>
      </x:c>
      <x:c r="AA119" s="19"/>
      <x:c r="AB119" s="18"/>
      <x:c r="AC119" s="19"/>
    </x:row>
    <x:row r="120" ht="33" customHeight="1">
      <x:c r="A120" s="18" t="str">
        <x:v>上大岡</x:v>
      </x:c>
      <x:c r="B120" s="18" t="str">
        <x:v>京浜急行電鉄</x:v>
      </x:c>
      <x:c r="C120" s="18" t="str">
        <x:v>private_rail</x:v>
      </x:c>
      <x:c r="D120" s="19" t="str">
        <x:v>T1</x:v>
      </x:c>
      <x:c r="E120" s="20" t="n">
        <x:v>126823</x:v>
      </x:c>
      <x:c r="F120" s="18" t="str">
        <x:v>persons/day</x:v>
      </x:c>
      <x:c r="G120" s="18" t="str">
        <x:v>FY2024</x:v>
      </x:c>
      <x:c r="H120" s="18" t="str">
        <x:v>否</x:v>
      </x:c>
      <x:c r="I120" s="19" t="str">
        <x:v>DAILY_ENTRIES_EXITS</x:v>
      </x:c>
      <x:c r="J120" s="19" t="str">
        <x:v>本線</x:v>
      </x:c>
      <x:c r="K120" s="18" t="str">
        <x:v>transport-node:10ce4879-071f-53e8-b1a2-080946c86502</x:v>
      </x:c>
      <x:c r="L120" s="19" t="str">
        <x:v>组件待审核</x:v>
      </x:c>
      <x:c r="M120" s="21" t="n">
        <x:v>35.409345</x:v>
      </x:c>
      <x:c r="N120" s="21" t="n">
        <x:v>139.59661</x:v>
      </x:c>
      <x:c r="O120" s="18" t="str">
        <x:v>004790</x:v>
      </x:c>
      <x:c r="P120" s="18" t="str">
        <x:v>本線</x:v>
      </x:c>
      <x:c r="Q120" s="19" t="str">
        <x:v>S12_061_GE_10000
OFFICIAL_HUB_COMPONENT_REVIEW</x:v>
      </x:c>
      <x:c r="R120" s="19" t="str">
        <x:v>S12_061 usage threshold</x:v>
      </x:c>
      <x:c r="S120" s="19" t="str">
        <x:v>https://nlftp.mlit.go.jp/ksj/gml/datalist/KsjTmplt-S12-2024.html</x:v>
      </x:c>
      <x:c r="T120" s="19" t="str">
        <x:v>https://nlftp.mlit.go.jp/ksj/gml/datalist/KsjTmplt-S12-2024.html
https://www.keikyu.co.jp/ride/kakueki/KK44.html</x:v>
      </x:c>
      <x:c r="U120" s="19" t="str">
        <x:v>station-component|上大岡|京浜急行電鉄|private_rail|35.4093|139.5966|</x:v>
      </x:c>
      <x:c r="V120" s="19" t="str">
        <x:v>004790 / 004790 / 本線</x:v>
      </x:c>
      <x:c r="W120" s="18" t="str">
        <x:v>否</x:v>
      </x:c>
      <x:c r="X120" s="18" t="str">
        <x:v>0785e932a32b3ec15e1a1345537ae145eafe1c07bf38d5c16c11ee2b391e7a28</x:v>
      </x:c>
      <x:c r="Y120" s="20" t="n">
        <x:v>1</x:v>
      </x:c>
      <x:c r="Z120" s="20" t="n">
        <x:v>1</x:v>
      </x:c>
      <x:c r="AA120" s="19" t="str">
        <x:v>上大岡</x:v>
      </x:c>
      <x:c r="AB120" s="18" t="str">
        <x:v>transport-hub-review:0a359709-d4fe-595c-b7ae-e9c6f6b1dcd2</x:v>
      </x:c>
      <x:c r="AC120" s="19"/>
    </x:row>
    <x:row r="121" ht="33" customHeight="1">
      <x:c r="A121" s="18" t="str">
        <x:v>上大岡</x:v>
      </x:c>
      <x:c r="B121" s="18" t="str">
        <x:v>横浜市</x:v>
      </x:c>
      <x:c r="C121" s="18" t="str">
        <x:v>metro</x:v>
      </x:c>
      <x:c r="D121" s="19" t="str">
        <x:v>T2</x:v>
      </x:c>
      <x:c r="E121" s="20" t="n">
        <x:v>33405</x:v>
      </x:c>
      <x:c r="F121" s="18" t="str">
        <x:v>persons/day</x:v>
      </x:c>
      <x:c r="G121" s="18" t="str">
        <x:v>FY2024</x:v>
      </x:c>
      <x:c r="H121" s="18" t="str">
        <x:v>否</x:v>
      </x:c>
      <x:c r="I121" s="19" t="str">
        <x:v>DAILY_ENTRIES_EXITS</x:v>
      </x:c>
      <x:c r="J121" s="19" t="str">
        <x:v>1号線</x:v>
      </x:c>
      <x:c r="K121" s="18" t="str">
        <x:v>transport-node:47dc45ab-16be-5296-9a24-72cb809113be</x:v>
      </x:c>
      <x:c r="L121" s="19" t="str">
        <x:v>组件待审核</x:v>
      </x:c>
      <x:c r="M121" s="21" t="n">
        <x:v>35.409205</x:v>
      </x:c>
      <x:c r="N121" s="21" t="n">
        <x:v>139.59598</x:v>
      </x:c>
      <x:c r="O121" s="18" t="str">
        <x:v>004791</x:v>
      </x:c>
      <x:c r="P121" s="18" t="str">
        <x:v>1号線</x:v>
      </x:c>
      <x:c r="Q121" s="19" t="str">
        <x:v>S12_061_GE_10000
OFFICIAL_HUB_COMPONENT_REVIEW</x:v>
      </x:c>
      <x:c r="R121" s="19" t="str">
        <x:v>S12_061 usage threshold</x:v>
      </x:c>
      <x:c r="S121" s="19" t="str">
        <x:v>https://nlftp.mlit.go.jp/ksj/gml/datalist/KsjTmplt-S12-2024.html</x:v>
      </x:c>
      <x:c r="T121" s="19" t="str">
        <x:v>https://nlftp.mlit.go.jp/ksj/gml/datalist/KsjTmplt-S12-2024.html
https://www.keikyu.co.jp/ride/kakueki/KK44.html</x:v>
      </x:c>
      <x:c r="U121" s="19" t="str">
        <x:v>station-component|上大岡|横浜市|metro|35.4092|139.5960|</x:v>
      </x:c>
      <x:c r="V121" s="19" t="str">
        <x:v>004790 / 004791 / 1号線</x:v>
      </x:c>
      <x:c r="W121" s="18" t="str">
        <x:v>否</x:v>
      </x:c>
      <x:c r="X121" s="18" t="str">
        <x:v>0785e932a32b3ec15e1a1345537ae145eafe1c07bf38d5c16c11ee2b391e7a28</x:v>
      </x:c>
      <x:c r="Y121" s="20" t="n">
        <x:v>1</x:v>
      </x:c>
      <x:c r="Z121" s="20" t="n">
        <x:v>1</x:v>
      </x:c>
      <x:c r="AA121" s="19" t="str">
        <x:v>上大岡</x:v>
      </x:c>
      <x:c r="AB121" s="18" t="str">
        <x:v>transport-hub-review:0a359709-d4fe-595c-b7ae-e9c6f6b1dcd2</x:v>
      </x:c>
      <x:c r="AC121" s="19"/>
    </x:row>
    <x:row r="122" ht="33" customHeight="1">
      <x:c r="A122" s="18" t="str">
        <x:v>上小田井</x:v>
      </x:c>
      <x:c r="B122" s="18" t="str">
        <x:v>名古屋市</x:v>
      </x:c>
      <x:c r="C122" s="18" t="str">
        <x:v>metro</x:v>
      </x:c>
      <x:c r="D122" s="19"/>
      <x:c r="E122" s="20"/>
      <x:c r="F122" s="18"/>
      <x:c r="G122" s="18" t="str">
        <x:v>FY2024</x:v>
      </x:c>
      <x:c r="H122" s="18" t="str">
        <x:v>是</x:v>
      </x:c>
      <x:c r="I122" s="19" t="str">
        <x:v>USAGE_DATA_UNAVAILABLE</x:v>
      </x:c>
      <x:c r="J122" s="19" t="str">
        <x:v>3号線鶴舞線</x:v>
      </x:c>
      <x:c r="K122" s="18" t="str">
        <x:v>transport-node:dc54c122-e7ac-5385-a3c6-98303c3f8ecb</x:v>
      </x:c>
      <x:c r="L122" s="19" t="str">
        <x:v>组件待审核</x:v>
      </x:c>
      <x:c r="M122" s="21" t="n">
        <x:v>35.2233</x:v>
      </x:c>
      <x:c r="N122" s="21" t="n">
        <x:v>136.877015</x:v>
      </x:c>
      <x:c r="O122" s="18" t="str">
        <x:v>005297</x:v>
      </x:c>
      <x:c r="P122" s="18" t="str">
        <x:v>3号線鶴舞線</x:v>
      </x:c>
      <x:c r="Q122" s="19" t="str">
        <x:v>OFFICIAL_HUB_COMPONENT_REVIEW</x:v>
      </x:c>
      <x:c r="R122" s="19" t="str">
        <x:v>Official S12 usage unavailable; manual tier review required</x:v>
      </x:c>
      <x:c r="S122" s="19" t="str">
        <x:v>https://nlftp.mlit.go.jp/ksj/gml/datalist/KsjTmplt-S12-2024.html</x:v>
      </x:c>
      <x:c r="T122" s="19" t="str">
        <x:v>https://nlftp.mlit.go.jp/ksj/gml/datalist/KsjTmplt-S12-2024.html
https://www.kotsu.city.nagoya.jp/rp/ticket/TRP0001550.htm</x:v>
      </x:c>
      <x:c r="U122" s="19" t="str">
        <x:v>station-component|上小田井|名古屋市|metro|35.2233|136.8770|</x:v>
      </x:c>
      <x:c r="V122" s="19" t="str">
        <x:v>005297 / 005297 / 3号線鶴舞線</x:v>
      </x:c>
      <x:c r="W122" s="18" t="str">
        <x:v>否</x:v>
      </x:c>
      <x:c r="X122" s="18" t="str">
        <x:v>0785e932a32b3ec15e1a1345537ae145eafe1c07bf38d5c16c11ee2b391e7a28</x:v>
      </x:c>
      <x:c r="Y122" s="20" t="n">
        <x:v>1</x:v>
      </x:c>
      <x:c r="Z122" s="20" t="n">
        <x:v>2</x:v>
      </x:c>
      <x:c r="AA122" s="19" t="str">
        <x:v>上小田井</x:v>
      </x:c>
      <x:c r="AB122" s="18" t="str">
        <x:v>transport-hub-review:8c567c76-4a10-5e7f-ba6d-637f75d8aa8d</x:v>
      </x:c>
      <x:c r="AC122" s="19"/>
    </x:row>
    <x:row r="123" ht="33" customHeight="1">
      <x:c r="A123" s="18" t="str">
        <x:v>上小田井</x:v>
      </x:c>
      <x:c r="B123" s="18" t="str">
        <x:v>名古屋鉄道</x:v>
      </x:c>
      <x:c r="C123" s="18" t="str">
        <x:v>private_rail</x:v>
      </x:c>
      <x:c r="D123" s="19" t="str">
        <x:v>T2</x:v>
      </x:c>
      <x:c r="E123" s="20" t="n">
        <x:v>36759</x:v>
      </x:c>
      <x:c r="F123" s="18" t="str">
        <x:v>persons/day</x:v>
      </x:c>
      <x:c r="G123" s="18" t="str">
        <x:v>FY2024</x:v>
      </x:c>
      <x:c r="H123" s="18" t="str">
        <x:v>否</x:v>
      </x:c>
      <x:c r="I123" s="19" t="str">
        <x:v>DAILY_ENTRIES_EXITS</x:v>
      </x:c>
      <x:c r="J123" s="19" t="str">
        <x:v>犬山線</x:v>
      </x:c>
      <x:c r="K123" s="18" t="str">
        <x:v>transport-node:b226e157-d2c9-557e-a389-1d70bb683886</x:v>
      </x:c>
      <x:c r="L123" s="19" t="str">
        <x:v>组件待审核</x:v>
      </x:c>
      <x:c r="M123" s="21" t="n">
        <x:v>35.2233</x:v>
      </x:c>
      <x:c r="N123" s="21" t="n">
        <x:v>136.877015</x:v>
      </x:c>
      <x:c r="O123" s="18" t="str">
        <x:v>005298</x:v>
      </x:c>
      <x:c r="P123" s="18" t="str">
        <x:v>犬山線</x:v>
      </x:c>
      <x:c r="Q123" s="19" t="str">
        <x:v>S12_061_GE_10000
OFFICIAL_HUB_COMPONENT_REVIEW</x:v>
      </x:c>
      <x:c r="R123" s="19" t="str">
        <x:v>S12_061 usage threshold</x:v>
      </x:c>
      <x:c r="S123" s="19" t="str">
        <x:v>https://nlftp.mlit.go.jp/ksj/gml/datalist/KsjTmplt-S12-2024.html</x:v>
      </x:c>
      <x:c r="T123" s="19" t="str">
        <x:v>https://nlftp.mlit.go.jp/ksj/gml/datalist/KsjTmplt-S12-2024.html
https://www.kotsu.city.nagoya.jp/rp/ticket/TRP0001550.htm</x:v>
      </x:c>
      <x:c r="U123" s="19" t="str">
        <x:v>station-component|上小田井|名古屋鉄道|private_rail|35.2233|136.8770|</x:v>
      </x:c>
      <x:c r="V123" s="19" t="str">
        <x:v>005297 / 005298 / 犬山線</x:v>
      </x:c>
      <x:c r="W123" s="18" t="str">
        <x:v>否</x:v>
      </x:c>
      <x:c r="X123" s="18" t="str">
        <x:v>0785e932a32b3ec15e1a1345537ae145eafe1c07bf38d5c16c11ee2b391e7a28</x:v>
      </x:c>
      <x:c r="Y123" s="20" t="n">
        <x:v>1</x:v>
      </x:c>
      <x:c r="Z123" s="20" t="n">
        <x:v>1</x:v>
      </x:c>
      <x:c r="AA123" s="19" t="str">
        <x:v>上小田井</x:v>
      </x:c>
      <x:c r="AB123" s="18" t="str">
        <x:v>transport-hub-review:8c567c76-4a10-5e7f-ba6d-637f75d8aa8d</x:v>
      </x:c>
      <x:c r="AC123" s="19"/>
    </x:row>
    <x:row r="124" ht="28" customHeight="1">
      <x:c r="A124" s="18" t="str">
        <x:v>上尾</x:v>
      </x:c>
      <x:c r="B124" s="18" t="str">
        <x:v>東日本旅客鉄道</x:v>
      </x:c>
      <x:c r="C124" s="18" t="str">
        <x:v>conventional_rail</x:v>
      </x:c>
      <x:c r="D124" s="19" t="str">
        <x:v>T1</x:v>
      </x:c>
      <x:c r="E124" s="20" t="n">
        <x:v>77362</x:v>
      </x:c>
      <x:c r="F124" s="18" t="str">
        <x:v>persons/day</x:v>
      </x:c>
      <x:c r="G124" s="18" t="str">
        <x:v>FY2024</x:v>
      </x:c>
      <x:c r="H124" s="18" t="str">
        <x:v>否</x:v>
      </x:c>
      <x:c r="I124" s="19" t="str">
        <x:v>DAILY_ENTRIES_EXITS</x:v>
      </x:c>
      <x:c r="J124" s="19" t="str">
        <x:v>高崎線</x:v>
      </x:c>
      <x:c r="K124" s="18" t="str">
        <x:v>transport-node:be3579cc-05a3-5676-a30d-80593e1afdc5</x:v>
      </x:c>
      <x:c r="L124" s="19" t="str">
        <x:v>组件待审核</x:v>
      </x:c>
      <x:c r="M124" s="21" t="n">
        <x:v>35.97302</x:v>
      </x:c>
      <x:c r="N124" s="21" t="n">
        <x:v>139.58881</x:v>
      </x:c>
      <x:c r="O124" s="18" t="str">
        <x:v>002796</x:v>
      </x:c>
      <x:c r="P124" s="18" t="str">
        <x:v>高崎線</x:v>
      </x:c>
      <x:c r="Q124" s="19" t="str">
        <x:v>S12_061_GE_10000</x:v>
      </x:c>
      <x:c r="R124" s="19" t="str">
        <x:v>S12_061 usage threshold</x:v>
      </x:c>
      <x:c r="S124" s="19" t="str">
        <x:v>https://nlftp.mlit.go.jp/ksj/gml/datalist/KsjTmplt-S12-2024.html</x:v>
      </x:c>
      <x:c r="T124" s="19" t="str">
        <x:v>https://nlftp.mlit.go.jp/ksj/gml/datalist/KsjTmplt-S12-2024.html</x:v>
      </x:c>
      <x:c r="U124" s="19" t="str">
        <x:v>station-component|上尾|東日本旅客鉄道|conventional_rail|35.9730|139.5888|</x:v>
      </x:c>
      <x:c r="V124" s="19" t="str">
        <x:v>002796 / 002796 / 高崎線</x:v>
      </x:c>
      <x:c r="W124" s="18" t="str">
        <x:v>否</x:v>
      </x:c>
      <x:c r="X124" s="18" t="str">
        <x:v>0785e932a32b3ec15e1a1345537ae145eafe1c07bf38d5c16c11ee2b391e7a28</x:v>
      </x:c>
      <x:c r="Y124" s="20" t="n">
        <x:v>1</x:v>
      </x:c>
      <x:c r="Z124" s="20" t="n">
        <x:v>1</x:v>
      </x:c>
      <x:c r="AA124" s="19"/>
      <x:c r="AB124" s="18"/>
      <x:c r="AC124" s="19"/>
    </x:row>
    <x:row r="125" ht="28" customHeight="1">
      <x:c r="A125" s="18" t="str">
        <x:v>上新庄</x:v>
      </x:c>
      <x:c r="B125" s="18" t="str">
        <x:v>阪急電鉄</x:v>
      </x:c>
      <x:c r="C125" s="18" t="str">
        <x:v>private_rail</x:v>
      </x:c>
      <x:c r="D125" s="19" t="str">
        <x:v>T2</x:v>
      </x:c>
      <x:c r="E125" s="20" t="n">
        <x:v>43041</x:v>
      </x:c>
      <x:c r="F125" s="18" t="str">
        <x:v>persons/day</x:v>
      </x:c>
      <x:c r="G125" s="18" t="str">
        <x:v>FY2024</x:v>
      </x:c>
      <x:c r="H125" s="18" t="str">
        <x:v>否</x:v>
      </x:c>
      <x:c r="I125" s="19" t="str">
        <x:v>DAILY_ENTRIES_EXITS</x:v>
      </x:c>
      <x:c r="J125" s="19" t="str">
        <x:v>京都線</x:v>
      </x:c>
      <x:c r="K125" s="18" t="str">
        <x:v>transport-node:578a1e57-8831-5c67-a90e-43427a2d30b1</x:v>
      </x:c>
      <x:c r="L125" s="19" t="str">
        <x:v>组件待审核</x:v>
      </x:c>
      <x:c r="M125" s="21" t="n">
        <x:v>34.750065</x:v>
      </x:c>
      <x:c r="N125" s="21" t="n">
        <x:v>135.533015</x:v>
      </x:c>
      <x:c r="O125" s="18" t="str">
        <x:v>006833</x:v>
      </x:c>
      <x:c r="P125" s="18" t="str">
        <x:v>京都線</x:v>
      </x:c>
      <x:c r="Q125" s="19" t="str">
        <x:v>S12_061_GE_10000</x:v>
      </x:c>
      <x:c r="R125" s="19" t="str">
        <x:v>S12_061 usage threshold</x:v>
      </x:c>
      <x:c r="S125" s="19" t="str">
        <x:v>https://nlftp.mlit.go.jp/ksj/gml/datalist/KsjTmplt-S12-2024.html</x:v>
      </x:c>
      <x:c r="T125" s="19" t="str">
        <x:v>https://nlftp.mlit.go.jp/ksj/gml/datalist/KsjTmplt-S12-2024.html</x:v>
      </x:c>
      <x:c r="U125" s="19" t="str">
        <x:v>station-component|上新庄|阪急電鉄|private_rail|34.7501|135.5330|</x:v>
      </x:c>
      <x:c r="V125" s="19" t="str">
        <x:v>006833 / 006833 / 京都線</x:v>
      </x:c>
      <x:c r="W125" s="18" t="str">
        <x:v>否</x:v>
      </x:c>
      <x:c r="X125" s="18" t="str">
        <x:v>0785e932a32b3ec15e1a1345537ae145eafe1c07bf38d5c16c11ee2b391e7a28</x:v>
      </x:c>
      <x:c r="Y125" s="20" t="n">
        <x:v>1</x:v>
      </x:c>
      <x:c r="Z125" s="20" t="n">
        <x:v>1</x:v>
      </x:c>
      <x:c r="AA125" s="19"/>
      <x:c r="AB125" s="18"/>
      <x:c r="AC125" s="19"/>
    </x:row>
    <x:row r="126" ht="28" customHeight="1">
      <x:c r="A126" s="18" t="str">
        <x:v>上星川</x:v>
      </x:c>
      <x:c r="B126" s="18" t="str">
        <x:v>相模鉄道</x:v>
      </x:c>
      <x:c r="C126" s="18" t="str">
        <x:v>private_rail</x:v>
      </x:c>
      <x:c r="D126" s="19" t="str">
        <x:v>T2</x:v>
      </x:c>
      <x:c r="E126" s="20" t="n">
        <x:v>22607</x:v>
      </x:c>
      <x:c r="F126" s="18" t="str">
        <x:v>persons/day</x:v>
      </x:c>
      <x:c r="G126" s="18" t="str">
        <x:v>FY2024</x:v>
      </x:c>
      <x:c r="H126" s="18" t="str">
        <x:v>否</x:v>
      </x:c>
      <x:c r="I126" s="19" t="str">
        <x:v>DAILY_ENTRIES_EXITS</x:v>
      </x:c>
      <x:c r="J126" s="19" t="str">
        <x:v>相鉄本線</x:v>
      </x:c>
      <x:c r="K126" s="18" t="str">
        <x:v>transport-node:e99f8f81-96bb-5054-ae65-d7317a056f77</x:v>
      </x:c>
      <x:c r="L126" s="19" t="str">
        <x:v>组件待审核</x:v>
      </x:c>
      <x:c r="M126" s="21" t="n">
        <x:v>35.4673702</x:v>
      </x:c>
      <x:c r="N126" s="21" t="n">
        <x:v>139.5804537</x:v>
      </x:c>
      <x:c r="O126" s="18" t="str">
        <x:v>004624</x:v>
      </x:c>
      <x:c r="P126" s="18" t="str">
        <x:v>相鉄本線</x:v>
      </x:c>
      <x:c r="Q126" s="19" t="str">
        <x:v>S12_061_GE_10000</x:v>
      </x:c>
      <x:c r="R126" s="19" t="str">
        <x:v>S12_061 usage threshold</x:v>
      </x:c>
      <x:c r="S126" s="19" t="str">
        <x:v>https://nlftp.mlit.go.jp/ksj/gml/datalist/KsjTmplt-S12-2024.html</x:v>
      </x:c>
      <x:c r="T126" s="19" t="str">
        <x:v>https://nlftp.mlit.go.jp/ksj/gml/datalist/KsjTmplt-S12-2024.html</x:v>
      </x:c>
      <x:c r="U126" s="19" t="str">
        <x:v>station-component|上星川|相模鉄道|private_rail|35.4674|139.5805|</x:v>
      </x:c>
      <x:c r="V126" s="19" t="str">
        <x:v>004624 / 004624 / 相鉄本線</x:v>
      </x:c>
      <x:c r="W126" s="18" t="str">
        <x:v>否</x:v>
      </x:c>
      <x:c r="X126" s="18" t="str">
        <x:v>0785e932a32b3ec15e1a1345537ae145eafe1c07bf38d5c16c11ee2b391e7a28</x:v>
      </x:c>
      <x:c r="Y126" s="20" t="n">
        <x:v>1</x:v>
      </x:c>
      <x:c r="Z126" s="20" t="n">
        <x:v>1</x:v>
      </x:c>
      <x:c r="AA126" s="19"/>
      <x:c r="AB126" s="18"/>
      <x:c r="AC126" s="19"/>
    </x:row>
    <x:row r="127" ht="28" customHeight="1">
      <x:c r="A127" s="18" t="str">
        <x:v>上板橋</x:v>
      </x:c>
      <x:c r="B127" s="18" t="str">
        <x:v>東武鉄道</x:v>
      </x:c>
      <x:c r="C127" s="18" t="str">
        <x:v>private_rail</x:v>
      </x:c>
      <x:c r="D127" s="19" t="str">
        <x:v>T1</x:v>
      </x:c>
      <x:c r="E127" s="20" t="n">
        <x:v>51233</x:v>
      </x:c>
      <x:c r="F127" s="18" t="str">
        <x:v>persons/day</x:v>
      </x:c>
      <x:c r="G127" s="18" t="str">
        <x:v>FY2024</x:v>
      </x:c>
      <x:c r="H127" s="18" t="str">
        <x:v>否</x:v>
      </x:c>
      <x:c r="I127" s="19" t="str">
        <x:v>DAILY_ENTRIES_EXITS</x:v>
      </x:c>
      <x:c r="J127" s="19" t="str">
        <x:v>東上本線</x:v>
      </x:c>
      <x:c r="K127" s="18" t="str">
        <x:v>transport-node:1f6300b2-30e9-5139-b7cd-a7ed5f78eae1</x:v>
      </x:c>
      <x:c r="L127" s="19" t="str">
        <x:v>组件待审核</x:v>
      </x:c>
      <x:c r="M127" s="21" t="n">
        <x:v>35.763615</x:v>
      </x:c>
      <x:c r="N127" s="21" t="n">
        <x:v>139.676205</x:v>
      </x:c>
      <x:c r="O127" s="18" t="str">
        <x:v>003212</x:v>
      </x:c>
      <x:c r="P127" s="18" t="str">
        <x:v>東上本線</x:v>
      </x:c>
      <x:c r="Q127" s="19" t="str">
        <x:v>S12_061_GE_10000</x:v>
      </x:c>
      <x:c r="R127" s="19" t="str">
        <x:v>S12_061 usage threshold</x:v>
      </x:c>
      <x:c r="S127" s="19" t="str">
        <x:v>https://nlftp.mlit.go.jp/ksj/gml/datalist/KsjTmplt-S12-2024.html</x:v>
      </x:c>
      <x:c r="T127" s="19" t="str">
        <x:v>https://nlftp.mlit.go.jp/ksj/gml/datalist/KsjTmplt-S12-2024.html</x:v>
      </x:c>
      <x:c r="U127" s="19" t="str">
        <x:v>station-component|上板橋|東武鉄道|private_rail|35.7636|139.6762|</x:v>
      </x:c>
      <x:c r="V127" s="19" t="str">
        <x:v>003212 / 003212 / 東上本線</x:v>
      </x:c>
      <x:c r="W127" s="18" t="str">
        <x:v>否</x:v>
      </x:c>
      <x:c r="X127" s="18" t="str">
        <x:v>0785e932a32b3ec15e1a1345537ae145eafe1c07bf38d5c16c11ee2b391e7a28</x:v>
      </x:c>
      <x:c r="Y127" s="20" t="n">
        <x:v>1</x:v>
      </x:c>
      <x:c r="Z127" s="20" t="n">
        <x:v>1</x:v>
      </x:c>
      <x:c r="AA127" s="19"/>
      <x:c r="AB127" s="18"/>
      <x:c r="AC127" s="19"/>
    </x:row>
    <x:row r="128" ht="33" customHeight="1">
      <x:c r="A128" s="18" t="str">
        <x:v>上毛高原</x:v>
      </x:c>
      <x:c r="B128" s="18" t="str">
        <x:v>東日本旅客鉄道</x:v>
      </x:c>
      <x:c r="C128" s="18" t="str">
        <x:v>shinkansen</x:v>
      </x:c>
      <x:c r="D128" s="19" t="str">
        <x:v>T3</x:v>
      </x:c>
      <x:c r="E128" s="20" t="n">
        <x:v>1488</x:v>
      </x:c>
      <x:c r="F128" s="18" t="str">
        <x:v>persons/day</x:v>
      </x:c>
      <x:c r="G128" s="18" t="str">
        <x:v>FY2024</x:v>
      </x:c>
      <x:c r="H128" s="18" t="str">
        <x:v>否</x:v>
      </x:c>
      <x:c r="I128" s="19" t="str">
        <x:v>DAILY_ENTRIES_EXITS</x:v>
      </x:c>
      <x:c r="J128" s="19" t="str">
        <x:v>上越新幹線</x:v>
      </x:c>
      <x:c r="K128" s="18" t="str">
        <x:v>transport-node:1a3c7478-360a-5849-9b80-5fe6d7d532c3</x:v>
      </x:c>
      <x:c r="L128" s="19" t="str">
        <x:v>组件待审核</x:v>
      </x:c>
      <x:c r="M128" s="21" t="n">
        <x:v>36.69299</x:v>
      </x:c>
      <x:c r="N128" s="21" t="n">
        <x:v>138.9775975</x:v>
      </x:c>
      <x:c r="O128" s="18" t="str">
        <x:v>001952</x:v>
      </x:c>
      <x:c r="P128" s="18" t="str">
        <x:v>上越新幹線</x:v>
      </x:c>
      <x:c r="Q128" s="19" t="str">
        <x:v>SHINKANSEN</x:v>
      </x:c>
      <x:c r="R128" s="19" t="str">
        <x:v>S12_061 usage threshold; low-flow inclusion justified by Shinkansen inventory</x:v>
      </x:c>
      <x:c r="S128" s="19" t="str">
        <x:v>https://nlftp.mlit.go.jp/ksj/gml/datalist/KsjTmplt-S12-2024.html</x:v>
      </x:c>
      <x:c r="T128" s="19" t="str">
        <x:v>https://nlftp.mlit.go.jp/ksj/gml/datalist/KsjTmplt-S12-2024.html</x:v>
      </x:c>
      <x:c r="U128" s="19" t="str">
        <x:v>station-component|上毛高原|東日本旅客鉄道|shinkansen|36.6930|138.9776|</x:v>
      </x:c>
      <x:c r="V128" s="19" t="str">
        <x:v>001952 / 001952 / 上越新幹線</x:v>
      </x:c>
      <x:c r="W128" s="18" t="str">
        <x:v>否</x:v>
      </x:c>
      <x:c r="X128" s="18" t="str">
        <x:v>0785e932a32b3ec15e1a1345537ae145eafe1c07bf38d5c16c11ee2b391e7a28</x:v>
      </x:c>
      <x:c r="Y128" s="20" t="n">
        <x:v>1</x:v>
      </x:c>
      <x:c r="Z128" s="20" t="n">
        <x:v>1</x:v>
      </x:c>
      <x:c r="AA128" s="19"/>
      <x:c r="AB128" s="18"/>
      <x:c r="AC128" s="19"/>
    </x:row>
    <x:row r="129" ht="28" customHeight="1">
      <x:c r="A129" s="18" t="str">
        <x:v>上永谷</x:v>
      </x:c>
      <x:c r="B129" s="18" t="str">
        <x:v>横浜市</x:v>
      </x:c>
      <x:c r="C129" s="18" t="str">
        <x:v>metro</x:v>
      </x:c>
      <x:c r="D129" s="19" t="str">
        <x:v>T2</x:v>
      </x:c>
      <x:c r="E129" s="20" t="n">
        <x:v>16384</x:v>
      </x:c>
      <x:c r="F129" s="18" t="str">
        <x:v>persons/day</x:v>
      </x:c>
      <x:c r="G129" s="18" t="str">
        <x:v>FY2024</x:v>
      </x:c>
      <x:c r="H129" s="18" t="str">
        <x:v>否</x:v>
      </x:c>
      <x:c r="I129" s="19" t="str">
        <x:v>DAILY_ENTRIES_EXITS</x:v>
      </x:c>
      <x:c r="J129" s="19" t="str">
        <x:v>1号線</x:v>
      </x:c>
      <x:c r="K129" s="18" t="str">
        <x:v>transport-node:ebcf89cd-0f34-5a63-baaa-08995b6d5261</x:v>
      </x:c>
      <x:c r="L129" s="19" t="str">
        <x:v>组件待审核</x:v>
      </x:c>
      <x:c r="M129" s="21" t="n">
        <x:v>35.40137</x:v>
      </x:c>
      <x:c r="N129" s="21" t="n">
        <x:v>139.57279</x:v>
      </x:c>
      <x:c r="O129" s="18" t="str">
        <x:v>004815</x:v>
      </x:c>
      <x:c r="P129" s="18" t="str">
        <x:v>1号線</x:v>
      </x:c>
      <x:c r="Q129" s="19" t="str">
        <x:v>S12_061_GE_10000</x:v>
      </x:c>
      <x:c r="R129" s="19" t="str">
        <x:v>S12_061 usage threshold</x:v>
      </x:c>
      <x:c r="S129" s="19" t="str">
        <x:v>https://nlftp.mlit.go.jp/ksj/gml/datalist/KsjTmplt-S12-2024.html</x:v>
      </x:c>
      <x:c r="T129" s="19" t="str">
        <x:v>https://nlftp.mlit.go.jp/ksj/gml/datalist/KsjTmplt-S12-2024.html</x:v>
      </x:c>
      <x:c r="U129" s="19" t="str">
        <x:v>station-component|上永谷|横浜市|metro|35.4014|139.5728|</x:v>
      </x:c>
      <x:c r="V129" s="19" t="str">
        <x:v>004815 / 004815 / 1号線</x:v>
      </x:c>
      <x:c r="W129" s="18" t="str">
        <x:v>否</x:v>
      </x:c>
      <x:c r="X129" s="18" t="str">
        <x:v>0785e932a32b3ec15e1a1345537ae145eafe1c07bf38d5c16c11ee2b391e7a28</x:v>
      </x:c>
      <x:c r="Y129" s="20" t="n">
        <x:v>1</x:v>
      </x:c>
      <x:c r="Z129" s="20" t="n">
        <x:v>1</x:v>
      </x:c>
      <x:c r="AA129" s="19"/>
      <x:c r="AB129" s="18"/>
      <x:c r="AC129" s="19"/>
    </x:row>
    <x:row r="130" ht="28" customHeight="1">
      <x:c r="A130" s="18" t="str">
        <x:v>上溝</x:v>
      </x:c>
      <x:c r="B130" s="18" t="str">
        <x:v>東日本旅客鉄道</x:v>
      </x:c>
      <x:c r="C130" s="18" t="str">
        <x:v>conventional_rail</x:v>
      </x:c>
      <x:c r="D130" s="19" t="str">
        <x:v>T2</x:v>
      </x:c>
      <x:c r="E130" s="20" t="n">
        <x:v>12044</x:v>
      </x:c>
      <x:c r="F130" s="18" t="str">
        <x:v>persons/day</x:v>
      </x:c>
      <x:c r="G130" s="18" t="str">
        <x:v>FY2024</x:v>
      </x:c>
      <x:c r="H130" s="18" t="str">
        <x:v>否</x:v>
      </x:c>
      <x:c r="I130" s="19" t="str">
        <x:v>DAILY_ENTRIES_EXITS</x:v>
      </x:c>
      <x:c r="J130" s="19" t="str">
        <x:v>相模線</x:v>
      </x:c>
      <x:c r="K130" s="18" t="str">
        <x:v>transport-node:c8951b44-3306-5a1d-bba8-1ff7d783edce</x:v>
      </x:c>
      <x:c r="L130" s="19" t="str">
        <x:v>组件待审核</x:v>
      </x:c>
      <x:c r="M130" s="21" t="n">
        <x:v>35.5576167</x:v>
      </x:c>
      <x:c r="N130" s="21" t="n">
        <x:v>139.36315</x:v>
      </x:c>
      <x:c r="O130" s="18" t="str">
        <x:v>004342</x:v>
      </x:c>
      <x:c r="P130" s="18" t="str">
        <x:v>相模線</x:v>
      </x:c>
      <x:c r="Q130" s="19" t="str">
        <x:v>S12_061_GE_10000</x:v>
      </x:c>
      <x:c r="R130" s="19" t="str">
        <x:v>S12_061 usage threshold</x:v>
      </x:c>
      <x:c r="S130" s="19" t="str">
        <x:v>https://nlftp.mlit.go.jp/ksj/gml/datalist/KsjTmplt-S12-2024.html</x:v>
      </x:c>
      <x:c r="T130" s="19" t="str">
        <x:v>https://nlftp.mlit.go.jp/ksj/gml/datalist/KsjTmplt-S12-2024.html</x:v>
      </x:c>
      <x:c r="U130" s="19" t="str">
        <x:v>station-component|上溝|東日本旅客鉄道|conventional_rail|35.5576|139.3631|</x:v>
      </x:c>
      <x:c r="V130" s="19" t="str">
        <x:v>004342 / 004342 / 相模線</x:v>
      </x:c>
      <x:c r="W130" s="18" t="str">
        <x:v>否</x:v>
      </x:c>
      <x:c r="X130" s="18" t="str">
        <x:v>0785e932a32b3ec15e1a1345537ae145eafe1c07bf38d5c16c11ee2b391e7a28</x:v>
      </x:c>
      <x:c r="Y130" s="20" t="n">
        <x:v>1</x:v>
      </x:c>
      <x:c r="Z130" s="20" t="n">
        <x:v>1</x:v>
      </x:c>
      <x:c r="AA130" s="19"/>
      <x:c r="AB130" s="18"/>
      <x:c r="AC130" s="19"/>
    </x:row>
    <x:row r="131" ht="33" customHeight="1">
      <x:c r="A131" s="18" t="str">
        <x:v>上田</x:v>
      </x:c>
      <x:c r="B131" s="18" t="str">
        <x:v>東日本旅客鉄道</x:v>
      </x:c>
      <x:c r="C131" s="18" t="str">
        <x:v>shinkansen</x:v>
      </x:c>
      <x:c r="D131" s="19" t="str">
        <x:v>T3</x:v>
      </x:c>
      <x:c r="E131" s="20" t="n">
        <x:v>5600</x:v>
      </x:c>
      <x:c r="F131" s="18" t="str">
        <x:v>persons/day</x:v>
      </x:c>
      <x:c r="G131" s="18" t="str">
        <x:v>FY2024</x:v>
      </x:c>
      <x:c r="H131" s="18" t="str">
        <x:v>否</x:v>
      </x:c>
      <x:c r="I131" s="19" t="str">
        <x:v>DAILY_ENTRIES_EXITS</x:v>
      </x:c>
      <x:c r="J131" s="19" t="str">
        <x:v>北陸新幹線</x:v>
      </x:c>
      <x:c r="K131" s="18" t="str">
        <x:v>transport-node:797b213f-8507-56d7-b426-597d0ee54c79</x:v>
      </x:c>
      <x:c r="L131" s="19" t="str">
        <x:v>组件待审核</x:v>
      </x:c>
      <x:c r="M131" s="21" t="n">
        <x:v>36.39614</x:v>
      </x:c>
      <x:c r="N131" s="21" t="n">
        <x:v>138.25023</x:v>
      </x:c>
      <x:c r="O131" s="18" t="str">
        <x:v>002273</x:v>
      </x:c>
      <x:c r="P131" s="18" t="str">
        <x:v>北陸新幹線</x:v>
      </x:c>
      <x:c r="Q131" s="19" t="str">
        <x:v>SHINKANSEN</x:v>
      </x:c>
      <x:c r="R131" s="19" t="str">
        <x:v>S12_061 usage threshold; low-flow inclusion justified by Shinkansen inventory</x:v>
      </x:c>
      <x:c r="S131" s="19" t="str">
        <x:v>https://nlftp.mlit.go.jp/ksj/gml/datalist/KsjTmplt-S12-2024.html</x:v>
      </x:c>
      <x:c r="T131" s="19" t="str">
        <x:v>https://nlftp.mlit.go.jp/ksj/gml/datalist/KsjTmplt-S12-2024.html</x:v>
      </x:c>
      <x:c r="U131" s="19" t="str">
        <x:v>station-component|上田|東日本旅客鉄道|shinkansen|36.3961|138.2502|</x:v>
      </x:c>
      <x:c r="V131" s="19" t="str">
        <x:v>002275 / 002273 / 北陸新幹線</x:v>
      </x:c>
      <x:c r="W131" s="18" t="str">
        <x:v>否</x:v>
      </x:c>
      <x:c r="X131" s="18" t="str">
        <x:v>0785e932a32b3ec15e1a1345537ae145eafe1c07bf38d5c16c11ee2b391e7a28</x:v>
      </x:c>
      <x:c r="Y131" s="20" t="n">
        <x:v>1</x:v>
      </x:c>
      <x:c r="Z131" s="20" t="n">
        <x:v>1</x:v>
      </x:c>
      <x:c r="AA131" s="19"/>
      <x:c r="AB131" s="18"/>
      <x:c r="AC131" s="19"/>
    </x:row>
    <x:row r="132" ht="28" customHeight="1">
      <x:c r="A132" s="18" t="str">
        <x:v>上石神井</x:v>
      </x:c>
      <x:c r="B132" s="18" t="str">
        <x:v>西武鉄道</x:v>
      </x:c>
      <x:c r="C132" s="18" t="str">
        <x:v>private_rail</x:v>
      </x:c>
      <x:c r="D132" s="19" t="str">
        <x:v>T2</x:v>
      </x:c>
      <x:c r="E132" s="20" t="n">
        <x:v>41728</x:v>
      </x:c>
      <x:c r="F132" s="18" t="str">
        <x:v>persons/day</x:v>
      </x:c>
      <x:c r="G132" s="18" t="str">
        <x:v>FY2024</x:v>
      </x:c>
      <x:c r="H132" s="18" t="str">
        <x:v>否</x:v>
      </x:c>
      <x:c r="I132" s="19" t="str">
        <x:v>DAILY_ENTRIES_EXITS</x:v>
      </x:c>
      <x:c r="J132" s="19" t="str">
        <x:v>新宿線</x:v>
      </x:c>
      <x:c r="K132" s="18" t="str">
        <x:v>transport-node:89599d16-3a82-5341-be6c-09bf2daccafe</x:v>
      </x:c>
      <x:c r="L132" s="19" t="str">
        <x:v>组件待审核</x:v>
      </x:c>
      <x:c r="M132" s="21" t="n">
        <x:v>35.726195</x:v>
      </x:c>
      <x:c r="N132" s="21" t="n">
        <x:v>139.59229</x:v>
      </x:c>
      <x:c r="O132" s="18" t="str">
        <x:v>003427</x:v>
      </x:c>
      <x:c r="P132" s="18" t="str">
        <x:v>新宿線</x:v>
      </x:c>
      <x:c r="Q132" s="19" t="str">
        <x:v>S12_061_GE_10000</x:v>
      </x:c>
      <x:c r="R132" s="19" t="str">
        <x:v>S12_061 usage threshold</x:v>
      </x:c>
      <x:c r="S132" s="19" t="str">
        <x:v>https://nlftp.mlit.go.jp/ksj/gml/datalist/KsjTmplt-S12-2024.html</x:v>
      </x:c>
      <x:c r="T132" s="19" t="str">
        <x:v>https://nlftp.mlit.go.jp/ksj/gml/datalist/KsjTmplt-S12-2024.html</x:v>
      </x:c>
      <x:c r="U132" s="19" t="str">
        <x:v>station-component|上石神井|西武鉄道|private_rail|35.7262|139.5923|</x:v>
      </x:c>
      <x:c r="V132" s="19" t="str">
        <x:v>003427 / 003427 / 新宿線</x:v>
      </x:c>
      <x:c r="W132" s="18" t="str">
        <x:v>否</x:v>
      </x:c>
      <x:c r="X132" s="18" t="str">
        <x:v>0785e932a32b3ec15e1a1345537ae145eafe1c07bf38d5c16c11ee2b391e7a28</x:v>
      </x:c>
      <x:c r="Y132" s="20" t="n">
        <x:v>1</x:v>
      </x:c>
      <x:c r="Z132" s="20" t="n">
        <x:v>1</x:v>
      </x:c>
      <x:c r="AA132" s="19"/>
      <x:c r="AB132" s="18"/>
      <x:c r="AC132" s="19"/>
    </x:row>
    <x:row r="133" ht="28" customHeight="1">
      <x:c r="A133" s="18" t="str">
        <x:v>上社</x:v>
      </x:c>
      <x:c r="B133" s="18" t="str">
        <x:v>名古屋市</x:v>
      </x:c>
      <x:c r="C133" s="18" t="str">
        <x:v>metro</x:v>
      </x:c>
      <x:c r="D133" s="19" t="str">
        <x:v>T2</x:v>
      </x:c>
      <x:c r="E133" s="20" t="n">
        <x:v>19826</x:v>
      </x:c>
      <x:c r="F133" s="18" t="str">
        <x:v>persons/day</x:v>
      </x:c>
      <x:c r="G133" s="18" t="str">
        <x:v>FY2024</x:v>
      </x:c>
      <x:c r="H133" s="18" t="str">
        <x:v>否</x:v>
      </x:c>
      <x:c r="I133" s="19" t="str">
        <x:v>DAILY_ENTRIES_EXITS</x:v>
      </x:c>
      <x:c r="J133" s="19" t="str">
        <x:v>1号線東山線</x:v>
      </x:c>
      <x:c r="K133" s="18" t="str">
        <x:v>transport-node:513a2ccb-9573-5444-af08-b80e2ac1e209</x:v>
      </x:c>
      <x:c r="L133" s="19" t="str">
        <x:v>组件待审核</x:v>
      </x:c>
      <x:c r="M133" s="21" t="n">
        <x:v>35.17348</x:v>
      </x:c>
      <x:c r="N133" s="21" t="n">
        <x:v>137.00659</x:v>
      </x:c>
      <x:c r="O133" s="18" t="str">
        <x:v>005437</x:v>
      </x:c>
      <x:c r="P133" s="18" t="str">
        <x:v>1号線東山線</x:v>
      </x:c>
      <x:c r="Q133" s="19" t="str">
        <x:v>S12_061_GE_10000</x:v>
      </x:c>
      <x:c r="R133" s="19" t="str">
        <x:v>S12_061 usage threshold</x:v>
      </x:c>
      <x:c r="S133" s="19" t="str">
        <x:v>https://nlftp.mlit.go.jp/ksj/gml/datalist/KsjTmplt-S12-2024.html</x:v>
      </x:c>
      <x:c r="T133" s="19" t="str">
        <x:v>https://nlftp.mlit.go.jp/ksj/gml/datalist/KsjTmplt-S12-2024.html</x:v>
      </x:c>
      <x:c r="U133" s="19" t="str">
        <x:v>station-component|上社|名古屋市|metro|35.1735|137.0066|</x:v>
      </x:c>
      <x:c r="V133" s="19" t="str">
        <x:v>005437 / 005437 / 1号線東山線</x:v>
      </x:c>
      <x:c r="W133" s="18" t="str">
        <x:v>否</x:v>
      </x:c>
      <x:c r="X133" s="18" t="str">
        <x:v>0785e932a32b3ec15e1a1345537ae145eafe1c07bf38d5c16c11ee2b391e7a28</x:v>
      </x:c>
      <x:c r="Y133" s="20" t="n">
        <x:v>1</x:v>
      </x:c>
      <x:c r="Z133" s="20" t="n">
        <x:v>1</x:v>
      </x:c>
      <x:c r="AA133" s="19"/>
      <x:c r="AB133" s="18"/>
      <x:c r="AC133" s="19"/>
    </x:row>
    <x:row r="134" ht="28" customHeight="1">
      <x:c r="A134" s="18" t="str">
        <x:v>上福岡</x:v>
      </x:c>
      <x:c r="B134" s="18" t="str">
        <x:v>東武鉄道</x:v>
      </x:c>
      <x:c r="C134" s="18" t="str">
        <x:v>private_rail</x:v>
      </x:c>
      <x:c r="D134" s="19" t="str">
        <x:v>T1</x:v>
      </x:c>
      <x:c r="E134" s="20" t="n">
        <x:v>51582</x:v>
      </x:c>
      <x:c r="F134" s="18" t="str">
        <x:v>persons/day</x:v>
      </x:c>
      <x:c r="G134" s="18" t="str">
        <x:v>FY2024</x:v>
      </x:c>
      <x:c r="H134" s="18" t="str">
        <x:v>否</x:v>
      </x:c>
      <x:c r="I134" s="19" t="str">
        <x:v>DAILY_ENTRIES_EXITS</x:v>
      </x:c>
      <x:c r="J134" s="19" t="str">
        <x:v>東上本線</x:v>
      </x:c>
      <x:c r="K134" s="18" t="str">
        <x:v>transport-node:f486e24d-713d-56d6-a811-2b73c12a4760</x:v>
      </x:c>
      <x:c r="L134" s="19" t="str">
        <x:v>组件待审核</x:v>
      </x:c>
      <x:c r="M134" s="21" t="n">
        <x:v>35.87387</x:v>
      </x:c>
      <x:c r="N134" s="21" t="n">
        <x:v>139.51187</x:v>
      </x:c>
      <x:c r="O134" s="18" t="str">
        <x:v>002964</x:v>
      </x:c>
      <x:c r="P134" s="18" t="str">
        <x:v>東上本線</x:v>
      </x:c>
      <x:c r="Q134" s="19" t="str">
        <x:v>S12_061_GE_10000</x:v>
      </x:c>
      <x:c r="R134" s="19" t="str">
        <x:v>S12_061 usage threshold</x:v>
      </x:c>
      <x:c r="S134" s="19" t="str">
        <x:v>https://nlftp.mlit.go.jp/ksj/gml/datalist/KsjTmplt-S12-2024.html</x:v>
      </x:c>
      <x:c r="T134" s="19" t="str">
        <x:v>https://nlftp.mlit.go.jp/ksj/gml/datalist/KsjTmplt-S12-2024.html</x:v>
      </x:c>
      <x:c r="U134" s="19" t="str">
        <x:v>station-component|上福岡|東武鉄道|private_rail|35.8739|139.5119|</x:v>
      </x:c>
      <x:c r="V134" s="19" t="str">
        <x:v>002964 / 002964 / 東上本線</x:v>
      </x:c>
      <x:c r="W134" s="18" t="str">
        <x:v>否</x:v>
      </x:c>
      <x:c r="X134" s="18" t="str">
        <x:v>0785e932a32b3ec15e1a1345537ae145eafe1c07bf38d5c16c11ee2b391e7a28</x:v>
      </x:c>
      <x:c r="Y134" s="20" t="n">
        <x:v>1</x:v>
      </x:c>
      <x:c r="Z134" s="20" t="n">
        <x:v>1</x:v>
      </x:c>
      <x:c r="AA134" s="19"/>
      <x:c r="AB134" s="18"/>
      <x:c r="AC134" s="19"/>
    </x:row>
    <x:row r="135" ht="33" customHeight="1">
      <x:c r="A135" s="18" t="str">
        <x:v>上越妙高</x:v>
      </x:c>
      <x:c r="B135" s="18" t="str">
        <x:v>東日本旅客鉄道</x:v>
      </x:c>
      <x:c r="C135" s="18" t="str">
        <x:v>shinkansen</x:v>
      </x:c>
      <x:c r="D135" s="19" t="str">
        <x:v>T3</x:v>
      </x:c>
      <x:c r="E135" s="20" t="n">
        <x:v>4136</x:v>
      </x:c>
      <x:c r="F135" s="18" t="str">
        <x:v>persons/day</x:v>
      </x:c>
      <x:c r="G135" s="18" t="str">
        <x:v>FY2024</x:v>
      </x:c>
      <x:c r="H135" s="18" t="str">
        <x:v>否</x:v>
      </x:c>
      <x:c r="I135" s="19" t="str">
        <x:v>DAILY_ENTRIES_EXITS</x:v>
      </x:c>
      <x:c r="J135" s="19" t="str">
        <x:v>北陸新幹線</x:v>
      </x:c>
      <x:c r="K135" s="18" t="str">
        <x:v>transport-node:a8bc32ee-fba6-5ac8-a499-2d8e64d9acb1</x:v>
      </x:c>
      <x:c r="L135" s="19" t="str">
        <x:v>组件待审核</x:v>
      </x:c>
      <x:c r="M135" s="21" t="n">
        <x:v>37.0813672</x:v>
      </x:c>
      <x:c r="N135" s="21" t="n">
        <x:v>138.2484713</x:v>
      </x:c>
      <x:c r="O135" s="18" t="str">
        <x:v>001644</x:v>
      </x:c>
      <x:c r="P135" s="18" t="str">
        <x:v>北陸新幹線</x:v>
      </x:c>
      <x:c r="Q135" s="19" t="str">
        <x:v>SHINKANSEN</x:v>
      </x:c>
      <x:c r="R135" s="19" t="str">
        <x:v>S12_061 usage threshold; low-flow inclusion justified by Shinkansen inventory</x:v>
      </x:c>
      <x:c r="S135" s="19" t="str">
        <x:v>https://nlftp.mlit.go.jp/ksj/gml/datalist/KsjTmplt-S12-2024.html</x:v>
      </x:c>
      <x:c r="T135" s="19" t="str">
        <x:v>https://nlftp.mlit.go.jp/ksj/gml/datalist/KsjTmplt-S12-2024.html</x:v>
      </x:c>
      <x:c r="U135" s="19" t="str">
        <x:v>station-component|上越妙高|東日本旅客鉄道|shinkansen|37.0814|138.2485|</x:v>
      </x:c>
      <x:c r="V135" s="19" t="str">
        <x:v>001643 / 001644 / 北陸新幹線</x:v>
      </x:c>
      <x:c r="W135" s="18" t="str">
        <x:v>否</x:v>
      </x:c>
      <x:c r="X135" s="18" t="str">
        <x:v>0785e932a32b3ec15e1a1345537ae145eafe1c07bf38d5c16c11ee2b391e7a28</x:v>
      </x:c>
      <x:c r="Y135" s="20" t="n">
        <x:v>1</x:v>
      </x:c>
      <x:c r="Z135" s="20" t="n">
        <x:v>1</x:v>
      </x:c>
      <x:c r="AA135" s="19"/>
      <x:c r="AB135" s="18"/>
      <x:c r="AC135" s="19"/>
    </x:row>
    <x:row r="136" ht="28" customHeight="1">
      <x:c r="A136" s="18" t="str">
        <x:v>上越妙高</x:v>
      </x:c>
      <x:c r="B136" s="18" t="str">
        <x:v>西日本旅客鉄道</x:v>
      </x:c>
      <x:c r="C136" s="18" t="str">
        <x:v>shinkansen</x:v>
      </x:c>
      <x:c r="D136" s="19"/>
      <x:c r="E136" s="20"/>
      <x:c r="F136" s="18"/>
      <x:c r="G136" s="18" t="str">
        <x:v>FY2024</x:v>
      </x:c>
      <x:c r="H136" s="18" t="str">
        <x:v>是</x:v>
      </x:c>
      <x:c r="I136" s="19" t="str">
        <x:v>USAGE_DATA_UNAVAILABLE</x:v>
      </x:c>
      <x:c r="J136" s="19" t="str">
        <x:v>北陸新幹線</x:v>
      </x:c>
      <x:c r="K136" s="18" t="str">
        <x:v>transport-node:b6540568-67c5-5f51-b4b9-c369402f2f82</x:v>
      </x:c>
      <x:c r="L136" s="19" t="str">
        <x:v>组件待审核</x:v>
      </x:c>
      <x:c r="M136" s="21" t="n">
        <x:v>37.0813672</x:v>
      </x:c>
      <x:c r="N136" s="21" t="n">
        <x:v>138.2484713</x:v>
      </x:c>
      <x:c r="O136" s="18" t="str">
        <x:v>001643</x:v>
      </x:c>
      <x:c r="P136" s="18" t="str">
        <x:v>北陸新幹線</x:v>
      </x:c>
      <x:c r="Q136" s="19" t="str">
        <x:v>SHINKANSEN</x:v>
      </x:c>
      <x:c r="R136" s="19" t="str">
        <x:v>Official S12 usage unavailable; manual tier review required</x:v>
      </x:c>
      <x:c r="S136" s="19" t="str">
        <x:v>https://nlftp.mlit.go.jp/ksj/gml/datalist/KsjTmplt-S12-2024.html</x:v>
      </x:c>
      <x:c r="T136" s="19" t="str">
        <x:v>https://nlftp.mlit.go.jp/ksj/gml/datalist/KsjTmplt-S12-2024.html</x:v>
      </x:c>
      <x:c r="U136" s="19" t="str">
        <x:v>station-component|上越妙高|西日本旅客鉄道|shinkansen|37.0814|138.2485|</x:v>
      </x:c>
      <x:c r="V136" s="19" t="str">
        <x:v>001643 / 001643 / 北陸新幹線</x:v>
      </x:c>
      <x:c r="W136" s="18" t="str">
        <x:v>否</x:v>
      </x:c>
      <x:c r="X136" s="18" t="str">
        <x:v>0785e932a32b3ec15e1a1345537ae145eafe1c07bf38d5c16c11ee2b391e7a28</x:v>
      </x:c>
      <x:c r="Y136" s="20" t="n">
        <x:v>1</x:v>
      </x:c>
      <x:c r="Z136" s="20" t="n">
        <x:v>2</x:v>
      </x:c>
      <x:c r="AA136" s="19"/>
      <x:c r="AB136" s="18"/>
      <x:c r="AC136" s="19"/>
    </x:row>
    <x:row r="137" ht="33" customHeight="1">
      <x:c r="A137" s="18" t="str">
        <x:v>上野</x:v>
      </x:c>
      <x:c r="B137" s="18" t="str">
        <x:v>東京地下鉄</x:v>
      </x:c>
      <x:c r="C137" s="18" t="str">
        <x:v>metro</x:v>
      </x:c>
      <x:c r="D137" s="19" t="str">
        <x:v>T1</x:v>
      </x:c>
      <x:c r="E137" s="20" t="n">
        <x:v>189373</x:v>
      </x:c>
      <x:c r="F137" s="18" t="str">
        <x:v>persons/day</x:v>
      </x:c>
      <x:c r="G137" s="18" t="str">
        <x:v>FY2024</x:v>
      </x:c>
      <x:c r="H137" s="18" t="str">
        <x:v>否</x:v>
      </x:c>
      <x:c r="I137" s="19" t="str">
        <x:v>DAILY_ENTRIES_EXITS</x:v>
      </x:c>
      <x:c r="J137" s="19" t="str">
        <x:v>2号線日比谷線
3号線銀座線</x:v>
      </x:c>
      <x:c r="K137" s="18" t="str">
        <x:v>transport-node:2b228db8-21f5-5adc-aad5-f79486ed788a</x:v>
      </x:c>
      <x:c r="L137" s="19" t="str">
        <x:v>组件待审核</x:v>
      </x:c>
      <x:c r="M137" s="21" t="n">
        <x:v>35.711462</x:v>
      </x:c>
      <x:c r="N137" s="21" t="n">
        <x:v>139.776986</x:v>
      </x:c>
      <x:c r="O137" s="18" t="str">
        <x:v>003517</x:v>
      </x:c>
      <x:c r="P137" s="18" t="str">
        <x:v>2号線日比谷線</x:v>
      </x:c>
      <x:c r="Q137" s="19" t="str">
        <x:v>S12_061_GE_10000
OFFICIAL_HUB_COMPONENT_REVIEW</x:v>
      </x:c>
      <x:c r="R137" s="19" t="str">
        <x:v>S12_061 usage threshold</x:v>
      </x:c>
      <x:c r="S137" s="19" t="str">
        <x:v>https://nlftp.mlit.go.jp/ksj/gml/datalist/KsjTmplt-S12-2024.html</x:v>
      </x:c>
      <x:c r="T137" s="19" t="str">
        <x:v>https://nlftp.mlit.go.jp/ksj/gml/datalist/KsjTmplt-S12-2024.html
https://www.tokyometro.jp/station/ueno/index.html</x:v>
      </x:c>
      <x:c r="U137" s="19" t="str">
        <x:v>station-component|上野|東京地下鉄|metro|35.7115|139.7770|</x:v>
      </x:c>
      <x:c r="V137" s="19" t="str">
        <x:v>003505 / 003515 / 3号線銀座線
003505 / 003517 / 2号線日比谷線</x:v>
      </x:c>
      <x:c r="W137" s="18" t="str">
        <x:v>否</x:v>
      </x:c>
      <x:c r="X137" s="18" t="str">
        <x:v>0785e932a32b3ec15e1a1345537ae145eafe1c07bf38d5c16c11ee2b391e7a28</x:v>
      </x:c>
      <x:c r="Y137" s="20" t="n">
        <x:v>1</x:v>
      </x:c>
      <x:c r="Z137" s="20" t="n">
        <x:v>1</x:v>
      </x:c>
      <x:c r="AA137" s="19" t="str">
        <x:v>上野</x:v>
      </x:c>
      <x:c r="AB137" s="18" t="str">
        <x:v>transport-hub-review:f32052ff-b00a-5a75-8c54-b702651b3f28</x:v>
      </x:c>
      <x:c r="AC137" s="19"/>
    </x:row>
    <x:row r="138" ht="33" customHeight="1">
      <x:c r="A138" s="18" t="str">
        <x:v>上野</x:v>
      </x:c>
      <x:c r="B138" s="18" t="str">
        <x:v>東日本旅客鉄道</x:v>
      </x:c>
      <x:c r="C138" s="18" t="str">
        <x:v>conventional_rail</x:v>
      </x:c>
      <x:c r="D138" s="19" t="str">
        <x:v>T0</x:v>
      </x:c>
      <x:c r="E138" s="20" t="n">
        <x:v>340084</x:v>
      </x:c>
      <x:c r="F138" s="18" t="str">
        <x:v>persons/day</x:v>
      </x:c>
      <x:c r="G138" s="18" t="str">
        <x:v>FY2024</x:v>
      </x:c>
      <x:c r="H138" s="18" t="str">
        <x:v>否</x:v>
      </x:c>
      <x:c r="I138" s="19" t="str">
        <x:v>DAILY_ENTRIES_EXITS</x:v>
      </x:c>
      <x:c r="J138" s="19" t="str">
        <x:v>東北線</x:v>
      </x:c>
      <x:c r="K138" s="18" t="str">
        <x:v>transport-node:09929bc6-6d53-5549-803b-d457698499fd</x:v>
      </x:c>
      <x:c r="L138" s="19" t="str">
        <x:v>组件待审核</x:v>
      </x:c>
      <x:c r="M138" s="21" t="n">
        <x:v>35.71339</x:v>
      </x:c>
      <x:c r="N138" s="21" t="n">
        <x:v>139.776185</x:v>
      </x:c>
      <x:c r="O138" s="18" t="str">
        <x:v>003504</x:v>
      </x:c>
      <x:c r="P138" s="18" t="str">
        <x:v>東北線</x:v>
      </x:c>
      <x:c r="Q138" s="19" t="str">
        <x:v>S12_061_GE_10000
OFFICIAL_HUB_COMPONENT_REVIEW</x:v>
      </x:c>
      <x:c r="R138" s="19" t="str">
        <x:v>S12_061 usage threshold</x:v>
      </x:c>
      <x:c r="S138" s="19" t="str">
        <x:v>https://nlftp.mlit.go.jp/ksj/gml/datalist/KsjTmplt-S12-2024.html</x:v>
      </x:c>
      <x:c r="T138" s="19" t="str">
        <x:v>https://nlftp.mlit.go.jp/ksj/gml/datalist/KsjTmplt-S12-2024.html
https://www.tokyometro.jp/station/ueno/index.html</x:v>
      </x:c>
      <x:c r="U138" s="19" t="str">
        <x:v>station-component|上野|東日本旅客鉄道|conventional_rail|35.7134|139.7762|</x:v>
      </x:c>
      <x:c r="V138" s="19" t="str">
        <x:v>003505 / 003504 / 東北線</x:v>
      </x:c>
      <x:c r="W138" s="18" t="str">
        <x:v>否</x:v>
      </x:c>
      <x:c r="X138" s="18" t="str">
        <x:v>0785e932a32b3ec15e1a1345537ae145eafe1c07bf38d5c16c11ee2b391e7a28</x:v>
      </x:c>
      <x:c r="Y138" s="20" t="n">
        <x:v>1</x:v>
      </x:c>
      <x:c r="Z138" s="20" t="n">
        <x:v>1</x:v>
      </x:c>
      <x:c r="AA138" s="19" t="str">
        <x:v>上野</x:v>
      </x:c>
      <x:c r="AB138" s="18" t="str">
        <x:v>transport-hub-review:f32052ff-b00a-5a75-8c54-b702651b3f28</x:v>
      </x:c>
      <x:c r="AC138" s="19"/>
    </x:row>
    <x:row r="139" ht="47" customHeight="1">
      <x:c r="A139" s="18" t="str">
        <x:v>上野</x:v>
      </x:c>
      <x:c r="B139" s="18" t="str">
        <x:v>東日本旅客鉄道</x:v>
      </x:c>
      <x:c r="C139" s="18" t="str">
        <x:v>shinkansen</x:v>
      </x:c>
      <x:c r="D139" s="19"/>
      <x:c r="E139" s="20" t="n">
        <x:v>12622</x:v>
      </x:c>
      <x:c r="F139" s="18" t="str">
        <x:v>boardings/day</x:v>
      </x:c>
      <x:c r="G139" s="18" t="str">
        <x:v>FY2024</x:v>
      </x:c>
      <x:c r="H139" s="18" t="str">
        <x:v>是</x:v>
      </x:c>
      <x:c r="I139" s="19" t="str">
        <x:v>DAILY_SHINKANSEN_BOARDINGS</x:v>
      </x:c>
      <x:c r="J139" s="19" t="str">
        <x:v>東北新幹線</x:v>
      </x:c>
      <x:c r="K139" s="18" t="str">
        <x:v>transport-node:e389dcee-bad4-5376-8ae2-45b5cee54e2d</x:v>
      </x:c>
      <x:c r="L139" s="19" t="str">
        <x:v>组件待审核</x:v>
      </x:c>
      <x:c r="M139" s="21" t="n">
        <x:v>35.713315</x:v>
      </x:c>
      <x:c r="N139" s="21" t="n">
        <x:v>139.777385</x:v>
      </x:c>
      <x:c r="O139" s="18" t="str">
        <x:v>003505</x:v>
      </x:c>
      <x:c r="P139" s="18" t="str">
        <x:v>東北新幹線</x:v>
      </x:c>
      <x:c r="Q139" s="19" t="str">
        <x:v>SHINKANSEN
OFFICIAL_HUB_COMPONENT_REVIEW</x:v>
      </x:c>
      <x:c r="R139" s="19" t="str">
        <x:v>Official fallback retained in published scope/unit; tier remains null pending metric/manual review.</x:v>
      </x:c>
      <x:c r="S139" s="19" t="str">
        <x:v>https://www.jreast.co.jp/company/data/passenger/2024_shinkansen.html/</x:v>
      </x:c>
      <x:c r="T139" s="19" t="str">
        <x:v>https://nlftp.mlit.go.jp/ksj/gml/datalist/KsjTmplt-S12-2024.html
https://www.jreast.co.jp/company/data/passenger/2024_shinkansen.html/
https://www.tokyometro.jp/station/ueno/index.html</x:v>
      </x:c>
      <x:c r="U139" s="19" t="str">
        <x:v>station-component|上野|東日本旅客鉄道|shinkansen|35.7133|139.7774|</x:v>
      </x:c>
      <x:c r="V139" s="19" t="str">
        <x:v>003505 / 003505 / 東北新幹線</x:v>
      </x:c>
      <x:c r="W139" s="18" t="str">
        <x:v>否</x:v>
      </x:c>
      <x:c r="X139" s="18" t="str">
        <x:v>0785e932a32b3ec15e1a1345537ae145eafe1c07bf38d5c16c11ee2b391e7a28</x:v>
      </x:c>
      <x:c r="Y139" s="20" t="n">
        <x:v>1</x:v>
      </x:c>
      <x:c r="Z139" s="20" t="n">
        <x:v>2</x:v>
      </x:c>
      <x:c r="AA139" s="19" t="str">
        <x:v>上野</x:v>
      </x:c>
      <x:c r="AB139" s="18" t="str">
        <x:v>transport-hub-review:f32052ff-b00a-5a75-8c54-b702651b3f28</x:v>
      </x:c>
      <x:c r="AC139" s="19"/>
    </x:row>
    <x:row r="140" ht="28" customHeight="1">
      <x:c r="A140" s="18" t="str">
        <x:v>上野広小路</x:v>
      </x:c>
      <x:c r="B140" s="18" t="str">
        <x:v>東京地下鉄</x:v>
      </x:c>
      <x:c r="C140" s="18" t="str">
        <x:v>metro</x:v>
      </x:c>
      <x:c r="D140" s="19" t="str">
        <x:v>T2</x:v>
      </x:c>
      <x:c r="E140" s="20" t="n">
        <x:v>25666</x:v>
      </x:c>
      <x:c r="F140" s="18" t="str">
        <x:v>persons/day</x:v>
      </x:c>
      <x:c r="G140" s="18" t="str">
        <x:v>FY2024</x:v>
      </x:c>
      <x:c r="H140" s="18" t="str">
        <x:v>否</x:v>
      </x:c>
      <x:c r="I140" s="19" t="str">
        <x:v>DAILY_ENTRIES_EXITS</x:v>
      </x:c>
      <x:c r="J140" s="19" t="str">
        <x:v>3号線銀座線</x:v>
      </x:c>
      <x:c r="K140" s="18" t="str">
        <x:v>transport-node:a4d2661b-6ad6-571a-b837-f1a13bfc20be</x:v>
      </x:c>
      <x:c r="L140" s="19" t="str">
        <x:v>组件待审核</x:v>
      </x:c>
      <x:c r="M140" s="21" t="n">
        <x:v>35.7076</x:v>
      </x:c>
      <x:c r="N140" s="21" t="n">
        <x:v>139.7729667</x:v>
      </x:c>
      <x:c r="O140" s="18" t="str">
        <x:v>003545</x:v>
      </x:c>
      <x:c r="P140" s="18" t="str">
        <x:v>3号線銀座線</x:v>
      </x:c>
      <x:c r="Q140" s="19" t="str">
        <x:v>S12_061_GE_10000</x:v>
      </x:c>
      <x:c r="R140" s="19" t="str">
        <x:v>S12_061 usage threshold</x:v>
      </x:c>
      <x:c r="S140" s="19" t="str">
        <x:v>https://nlftp.mlit.go.jp/ksj/gml/datalist/KsjTmplt-S12-2024.html</x:v>
      </x:c>
      <x:c r="T140" s="19" t="str">
        <x:v>https://nlftp.mlit.go.jp/ksj/gml/datalist/KsjTmplt-S12-2024.html</x:v>
      </x:c>
      <x:c r="U140" s="19" t="str">
        <x:v>station-component|上野広小路|東京地下鉄|metro|35.7076|139.7730|</x:v>
      </x:c>
      <x:c r="V140" s="19" t="str">
        <x:v>003545 / 003545 / 3号線銀座線</x:v>
      </x:c>
      <x:c r="W140" s="18" t="str">
        <x:v>否</x:v>
      </x:c>
      <x:c r="X140" s="18" t="str">
        <x:v>0785e932a32b3ec15e1a1345537ae145eafe1c07bf38d5c16c11ee2b391e7a28</x:v>
      </x:c>
      <x:c r="Y140" s="20" t="n">
        <x:v>1</x:v>
      </x:c>
      <x:c r="Z140" s="20" t="n">
        <x:v>1</x:v>
      </x:c>
      <x:c r="AA140" s="19"/>
      <x:c r="AB140" s="18"/>
      <x:c r="AC140" s="19"/>
    </x:row>
    <x:row r="141" ht="28" customHeight="1">
      <x:c r="A141" s="18" t="str">
        <x:v>上野御徒町</x:v>
      </x:c>
      <x:c r="B141" s="18" t="str">
        <x:v>東京都</x:v>
      </x:c>
      <x:c r="C141" s="18" t="str">
        <x:v>metro</x:v>
      </x:c>
      <x:c r="D141" s="19" t="str">
        <x:v>T2</x:v>
      </x:c>
      <x:c r="E141" s="20" t="n">
        <x:v>34438</x:v>
      </x:c>
      <x:c r="F141" s="18" t="str">
        <x:v>persons/day</x:v>
      </x:c>
      <x:c r="G141" s="18" t="str">
        <x:v>FY2024</x:v>
      </x:c>
      <x:c r="H141" s="18" t="str">
        <x:v>否</x:v>
      </x:c>
      <x:c r="I141" s="19" t="str">
        <x:v>DAILY_ENTRIES_EXITS</x:v>
      </x:c>
      <x:c r="J141" s="19" t="str">
        <x:v>12号線大江戸線</x:v>
      </x:c>
      <x:c r="K141" s="18" t="str">
        <x:v>transport-node:f66edac9-ae06-5e61-b425-d8493ebd6dd8</x:v>
      </x:c>
      <x:c r="L141" s="19" t="str">
        <x:v>组件待审核</x:v>
      </x:c>
      <x:c r="M141" s="21" t="n">
        <x:v>35.707974</x:v>
      </x:c>
      <x:c r="N141" s="21" t="n">
        <x:v>139.772914</x:v>
      </x:c>
      <x:c r="O141" s="18" t="str">
        <x:v>003543</x:v>
      </x:c>
      <x:c r="P141" s="18" t="str">
        <x:v>12号線大江戸線</x:v>
      </x:c>
      <x:c r="Q141" s="19" t="str">
        <x:v>S12_061_GE_10000</x:v>
      </x:c>
      <x:c r="R141" s="19" t="str">
        <x:v>S12_061 usage threshold</x:v>
      </x:c>
      <x:c r="S141" s="19" t="str">
        <x:v>https://nlftp.mlit.go.jp/ksj/gml/datalist/KsjTmplt-S12-2024.html</x:v>
      </x:c>
      <x:c r="T141" s="19" t="str">
        <x:v>https://nlftp.mlit.go.jp/ksj/gml/datalist/KsjTmplt-S12-2024.html</x:v>
      </x:c>
      <x:c r="U141" s="19" t="str">
        <x:v>station-component|上野御徒町|東京都|metro|35.7080|139.7729|</x:v>
      </x:c>
      <x:c r="V141" s="19" t="str">
        <x:v>003543 / 003543 / 12号線大江戸線</x:v>
      </x:c>
      <x:c r="W141" s="18" t="str">
        <x:v>否</x:v>
      </x:c>
      <x:c r="X141" s="18" t="str">
        <x:v>0785e932a32b3ec15e1a1345537ae145eafe1c07bf38d5c16c11ee2b391e7a28</x:v>
      </x:c>
      <x:c r="Y141" s="20" t="n">
        <x:v>1</x:v>
      </x:c>
      <x:c r="Z141" s="20" t="n">
        <x:v>1</x:v>
      </x:c>
      <x:c r="AA141" s="19"/>
      <x:c r="AB141" s="18"/>
      <x:c r="AC141" s="19"/>
    </x:row>
    <x:row r="142" ht="28" customHeight="1">
      <x:c r="A142" s="18" t="str">
        <x:v>上野毛</x:v>
      </x:c>
      <x:c r="B142" s="18" t="str">
        <x:v>東急電鉄</x:v>
      </x:c>
      <x:c r="C142" s="18" t="str">
        <x:v>private_rail</x:v>
      </x:c>
      <x:c r="D142" s="19" t="str">
        <x:v>T2</x:v>
      </x:c>
      <x:c r="E142" s="20" t="n">
        <x:v>22230</x:v>
      </x:c>
      <x:c r="F142" s="18" t="str">
        <x:v>persons/day</x:v>
      </x:c>
      <x:c r="G142" s="18" t="str">
        <x:v>FY2024</x:v>
      </x:c>
      <x:c r="H142" s="18" t="str">
        <x:v>否</x:v>
      </x:c>
      <x:c r="I142" s="19" t="str">
        <x:v>DAILY_ENTRIES_EXITS</x:v>
      </x:c>
      <x:c r="J142" s="19" t="str">
        <x:v>大井町線</x:v>
      </x:c>
      <x:c r="K142" s="18" t="str">
        <x:v>transport-node:c23d7b5e-36bc-5278-ac86-76436797d41c</x:v>
      </x:c>
      <x:c r="L142" s="19" t="str">
        <x:v>组件待审核</x:v>
      </x:c>
      <x:c r="M142" s="21" t="n">
        <x:v>35.61199</x:v>
      </x:c>
      <x:c r="N142" s="21" t="n">
        <x:v>139.6389133</x:v>
      </x:c>
      <x:c r="O142" s="18" t="str">
        <x:v>004175</x:v>
      </x:c>
      <x:c r="P142" s="18" t="str">
        <x:v>大井町線</x:v>
      </x:c>
      <x:c r="Q142" s="19" t="str">
        <x:v>S12_061_GE_10000</x:v>
      </x:c>
      <x:c r="R142" s="19" t="str">
        <x:v>S12_061 usage threshold</x:v>
      </x:c>
      <x:c r="S142" s="19" t="str">
        <x:v>https://nlftp.mlit.go.jp/ksj/gml/datalist/KsjTmplt-S12-2024.html</x:v>
      </x:c>
      <x:c r="T142" s="19" t="str">
        <x:v>https://nlftp.mlit.go.jp/ksj/gml/datalist/KsjTmplt-S12-2024.html</x:v>
      </x:c>
      <x:c r="U142" s="19" t="str">
        <x:v>station-component|上野毛|東急電鉄|private_rail|35.6120|139.6389|</x:v>
      </x:c>
      <x:c r="V142" s="19" t="str">
        <x:v>004175 / 004175 / 大井町線</x:v>
      </x:c>
      <x:c r="W142" s="18" t="str">
        <x:v>否</x:v>
      </x:c>
      <x:c r="X142" s="18" t="str">
        <x:v>0785e932a32b3ec15e1a1345537ae145eafe1c07bf38d5c16c11ee2b391e7a28</x:v>
      </x:c>
      <x:c r="Y142" s="20" t="n">
        <x:v>1</x:v>
      </x:c>
      <x:c r="Z142" s="20" t="n">
        <x:v>1</x:v>
      </x:c>
      <x:c r="AA142" s="19"/>
      <x:c r="AB142" s="18"/>
      <x:c r="AC142" s="19"/>
    </x:row>
    <x:row r="143" ht="28" customHeight="1">
      <x:c r="A143" s="18" t="str">
        <x:v>上野芝</x:v>
      </x:c>
      <x:c r="B143" s="18" t="str">
        <x:v>西日本旅客鉄道</x:v>
      </x:c>
      <x:c r="C143" s="18" t="str">
        <x:v>conventional_rail</x:v>
      </x:c>
      <x:c r="D143" s="19" t="str">
        <x:v>T2</x:v>
      </x:c>
      <x:c r="E143" s="20" t="n">
        <x:v>15434</x:v>
      </x:c>
      <x:c r="F143" s="18" t="str">
        <x:v>persons/day</x:v>
      </x:c>
      <x:c r="G143" s="18" t="str">
        <x:v>FY2024</x:v>
      </x:c>
      <x:c r="H143" s="18" t="str">
        <x:v>否</x:v>
      </x:c>
      <x:c r="I143" s="19" t="str">
        <x:v>DAILY_ENTRIES_EXITS</x:v>
      </x:c>
      <x:c r="J143" s="19" t="str">
        <x:v>阪和線</x:v>
      </x:c>
      <x:c r="K143" s="18" t="str">
        <x:v>transport-node:66aafc43-9070-53b6-8d2b-a731a0992934</x:v>
      </x:c>
      <x:c r="L143" s="19" t="str">
        <x:v>组件待审核</x:v>
      </x:c>
      <x:c r="M143" s="21" t="n">
        <x:v>34.5491833</x:v>
      </x:c>
      <x:c r="N143" s="21" t="n">
        <x:v>135.47773</x:v>
      </x:c>
      <x:c r="O143" s="18" t="str">
        <x:v>007735</x:v>
      </x:c>
      <x:c r="P143" s="18" t="str">
        <x:v>阪和線</x:v>
      </x:c>
      <x:c r="Q143" s="19" t="str">
        <x:v>S12_061_GE_10000</x:v>
      </x:c>
      <x:c r="R143" s="19" t="str">
        <x:v>S12_061 usage threshold</x:v>
      </x:c>
      <x:c r="S143" s="19" t="str">
        <x:v>https://nlftp.mlit.go.jp/ksj/gml/datalist/KsjTmplt-S12-2024.html</x:v>
      </x:c>
      <x:c r="T143" s="19" t="str">
        <x:v>https://nlftp.mlit.go.jp/ksj/gml/datalist/KsjTmplt-S12-2024.html</x:v>
      </x:c>
      <x:c r="U143" s="19" t="str">
        <x:v>station-component|上野芝|西日本旅客鉄道|conventional_rail|34.5492|135.4777|</x:v>
      </x:c>
      <x:c r="V143" s="19" t="str">
        <x:v>007735 / 007735 / 阪和線</x:v>
      </x:c>
      <x:c r="W143" s="18" t="str">
        <x:v>否</x:v>
      </x:c>
      <x:c r="X143" s="18" t="str">
        <x:v>0785e932a32b3ec15e1a1345537ae145eafe1c07bf38d5c16c11ee2b391e7a28</x:v>
      </x:c>
      <x:c r="Y143" s="20" t="n">
        <x:v>1</x:v>
      </x:c>
      <x:c r="Z143" s="20" t="n">
        <x:v>1</x:v>
      </x:c>
      <x:c r="AA143" s="19"/>
      <x:c r="AB143" s="18"/>
      <x:c r="AC143" s="19"/>
    </x:row>
    <x:row r="144" ht="33" customHeight="1">
      <x:c r="A144" s="18" t="str">
        <x:v>上飯田</x:v>
      </x:c>
      <x:c r="B144" s="18" t="str">
        <x:v>名古屋市</x:v>
      </x:c>
      <x:c r="C144" s="18" t="str">
        <x:v>metro</x:v>
      </x:c>
      <x:c r="D144" s="19"/>
      <x:c r="E144" s="20"/>
      <x:c r="F144" s="18"/>
      <x:c r="G144" s="18" t="str">
        <x:v>FY2024</x:v>
      </x:c>
      <x:c r="H144" s="18" t="str">
        <x:v>是</x:v>
      </x:c>
      <x:c r="I144" s="19" t="str">
        <x:v>USAGE_DATA_UNAVAILABLE</x:v>
      </x:c>
      <x:c r="J144" s="19" t="str">
        <x:v>上飯田線</x:v>
      </x:c>
      <x:c r="K144" s="18" t="str">
        <x:v>transport-node:86e5d446-9d63-5348-ab34-2e5f9fbbccb5</x:v>
      </x:c>
      <x:c r="L144" s="19" t="str">
        <x:v>组件待审核</x:v>
      </x:c>
      <x:c r="M144" s="21" t="n">
        <x:v>35.203605</x:v>
      </x:c>
      <x:c r="N144" s="21" t="n">
        <x:v>136.92968</x:v>
      </x:c>
      <x:c r="O144" s="18" t="str">
        <x:v>005339</x:v>
      </x:c>
      <x:c r="P144" s="18" t="str">
        <x:v>上飯田線</x:v>
      </x:c>
      <x:c r="Q144" s="19" t="str">
        <x:v>OFFICIAL_HUB_COMPONENT_REVIEW</x:v>
      </x:c>
      <x:c r="R144" s="19" t="str">
        <x:v>Official S12 usage unavailable; manual tier review required</x:v>
      </x:c>
      <x:c r="S144" s="19" t="str">
        <x:v>https://nlftp.mlit.go.jp/ksj/gml/datalist/KsjTmplt-S12-2024.html</x:v>
      </x:c>
      <x:c r="T144" s="19" t="str">
        <x:v>https://nlftp.mlit.go.jp/ksj/gml/datalist/KsjTmplt-S12-2024.html
https://www.kotsu.city.nagoya.jp/rp/ticket/TRP0001550.htm</x:v>
      </x:c>
      <x:c r="U144" s="19" t="str">
        <x:v>station-component|上飯田|名古屋市|metro|35.2036|136.9297|</x:v>
      </x:c>
      <x:c r="V144" s="19" t="str">
        <x:v>005339 / 005339 / 上飯田線</x:v>
      </x:c>
      <x:c r="W144" s="18" t="str">
        <x:v>否</x:v>
      </x:c>
      <x:c r="X144" s="18" t="str">
        <x:v>0785e932a32b3ec15e1a1345537ae145eafe1c07bf38d5c16c11ee2b391e7a28</x:v>
      </x:c>
      <x:c r="Y144" s="20" t="n">
        <x:v>1</x:v>
      </x:c>
      <x:c r="Z144" s="20" t="n">
        <x:v>2</x:v>
      </x:c>
      <x:c r="AA144" s="19" t="str">
        <x:v>上飯田</x:v>
      </x:c>
      <x:c r="AB144" s="18" t="str">
        <x:v>transport-hub-review:c5083c28-37d7-565e-bbc2-78257b56f982</x:v>
      </x:c>
      <x:c r="AC144" s="19"/>
    </x:row>
    <x:row r="145" ht="33" customHeight="1">
      <x:c r="A145" s="18" t="str">
        <x:v>上飯田</x:v>
      </x:c>
      <x:c r="B145" s="18" t="str">
        <x:v>名古屋鉄道</x:v>
      </x:c>
      <x:c r="C145" s="18" t="str">
        <x:v>private_rail</x:v>
      </x:c>
      <x:c r="D145" s="19" t="str">
        <x:v>T3</x:v>
      </x:c>
      <x:c r="E145" s="20" t="n">
        <x:v>8934</x:v>
      </x:c>
      <x:c r="F145" s="18" t="str">
        <x:v>persons/day</x:v>
      </x:c>
      <x:c r="G145" s="18" t="str">
        <x:v>FY2024</x:v>
      </x:c>
      <x:c r="H145" s="18" t="str">
        <x:v>否</x:v>
      </x:c>
      <x:c r="I145" s="19" t="str">
        <x:v>DAILY_ENTRIES_EXITS</x:v>
      </x:c>
      <x:c r="J145" s="19" t="str">
        <x:v>小牧線</x:v>
      </x:c>
      <x:c r="K145" s="18" t="str">
        <x:v>transport-node:bee62e26-eb5d-5b7a-84a8-890a76131979</x:v>
      </x:c>
      <x:c r="L145" s="19" t="str">
        <x:v>组件待审核</x:v>
      </x:c>
      <x:c r="M145" s="21" t="n">
        <x:v>35.203605</x:v>
      </x:c>
      <x:c r="N145" s="21" t="n">
        <x:v>136.92968</x:v>
      </x:c>
      <x:c r="O145" s="18" t="str">
        <x:v>005340</x:v>
      </x:c>
      <x:c r="P145" s="18" t="str">
        <x:v>小牧線</x:v>
      </x:c>
      <x:c r="Q145" s="19" t="str">
        <x:v>OFFICIAL_HUB_COMPONENT_REVIEW</x:v>
      </x:c>
      <x:c r="R145" s="19" t="str">
        <x:v>S12_061 usage threshold; low-flow inclusion justified by official Hub component review</x:v>
      </x:c>
      <x:c r="S145" s="19" t="str">
        <x:v>https://nlftp.mlit.go.jp/ksj/gml/datalist/KsjTmplt-S12-2024.html</x:v>
      </x:c>
      <x:c r="T145" s="19" t="str">
        <x:v>https://nlftp.mlit.go.jp/ksj/gml/datalist/KsjTmplt-S12-2024.html
https://www.kotsu.city.nagoya.jp/rp/ticket/TRP0001550.htm</x:v>
      </x:c>
      <x:c r="U145" s="19" t="str">
        <x:v>station-component|上飯田|名古屋鉄道|private_rail|35.2036|136.9297|</x:v>
      </x:c>
      <x:c r="V145" s="19" t="str">
        <x:v>005339 / 005340 / 小牧線</x:v>
      </x:c>
      <x:c r="W145" s="18" t="str">
        <x:v>否</x:v>
      </x:c>
      <x:c r="X145" s="18" t="str">
        <x:v>0785e932a32b3ec15e1a1345537ae145eafe1c07bf38d5c16c11ee2b391e7a28</x:v>
      </x:c>
      <x:c r="Y145" s="20" t="n">
        <x:v>1</x:v>
      </x:c>
      <x:c r="Z145" s="20" t="n">
        <x:v>1</x:v>
      </x:c>
      <x:c r="AA145" s="19" t="str">
        <x:v>上飯田</x:v>
      </x:c>
      <x:c r="AB145" s="18" t="str">
        <x:v>transport-hub-review:c5083c28-37d7-565e-bbc2-78257b56f982</x:v>
      </x:c>
      <x:c r="AC145" s="19"/>
    </x:row>
    <x:row r="146" ht="28" customHeight="1">
      <x:c r="A146" s="18" t="str">
        <x:v>下丸子</x:v>
      </x:c>
      <x:c r="B146" s="18" t="str">
        <x:v>東急電鉄</x:v>
      </x:c>
      <x:c r="C146" s="18" t="str">
        <x:v>private_rail</x:v>
      </x:c>
      <x:c r="D146" s="19" t="str">
        <x:v>T2</x:v>
      </x:c>
      <x:c r="E146" s="20" t="n">
        <x:v>31438</x:v>
      </x:c>
      <x:c r="F146" s="18" t="str">
        <x:v>persons/day</x:v>
      </x:c>
      <x:c r="G146" s="18" t="str">
        <x:v>FY2024</x:v>
      </x:c>
      <x:c r="H146" s="18" t="str">
        <x:v>否</x:v>
      </x:c>
      <x:c r="I146" s="19" t="str">
        <x:v>DAILY_ENTRIES_EXITS</x:v>
      </x:c>
      <x:c r="J146" s="19" t="str">
        <x:v>東急多摩川線</x:v>
      </x:c>
      <x:c r="K146" s="18" t="str">
        <x:v>transport-node:e5a43e34-2fc9-56ae-a82d-be5016c47300</x:v>
      </x:c>
      <x:c r="L146" s="19" t="str">
        <x:v>组件待审核</x:v>
      </x:c>
      <x:c r="M146" s="21" t="n">
        <x:v>35.571325</x:v>
      </x:c>
      <x:c r="N146" s="21" t="n">
        <x:v>139.68549</x:v>
      </x:c>
      <x:c r="O146" s="18" t="str">
        <x:v>004310</x:v>
      </x:c>
      <x:c r="P146" s="18" t="str">
        <x:v>東急多摩川線</x:v>
      </x:c>
      <x:c r="Q146" s="19" t="str">
        <x:v>S12_061_GE_10000</x:v>
      </x:c>
      <x:c r="R146" s="19" t="str">
        <x:v>S12_061 usage threshold</x:v>
      </x:c>
      <x:c r="S146" s="19" t="str">
        <x:v>https://nlftp.mlit.go.jp/ksj/gml/datalist/KsjTmplt-S12-2024.html</x:v>
      </x:c>
      <x:c r="T146" s="19" t="str">
        <x:v>https://nlftp.mlit.go.jp/ksj/gml/datalist/KsjTmplt-S12-2024.html</x:v>
      </x:c>
      <x:c r="U146" s="19" t="str">
        <x:v>station-component|下丸子|東急電鉄|private_rail|35.5713|139.6855|</x:v>
      </x:c>
      <x:c r="V146" s="19" t="str">
        <x:v>004310 / 004310 / 東急多摩川線</x:v>
      </x:c>
      <x:c r="W146" s="18" t="str">
        <x:v>否</x:v>
      </x:c>
      <x:c r="X146" s="18" t="str">
        <x:v>0785e932a32b3ec15e1a1345537ae145eafe1c07bf38d5c16c11ee2b391e7a28</x:v>
      </x:c>
      <x:c r="Y146" s="20" t="n">
        <x:v>1</x:v>
      </x:c>
      <x:c r="Z146" s="20" t="n">
        <x:v>1</x:v>
      </x:c>
      <x:c r="AA146" s="19"/>
      <x:c r="AB146" s="18"/>
      <x:c r="AC146" s="19"/>
    </x:row>
    <x:row r="147" ht="28" customHeight="1">
      <x:c r="A147" s="18" t="str">
        <x:v>下井草</x:v>
      </x:c>
      <x:c r="B147" s="18" t="str">
        <x:v>西武鉄道</x:v>
      </x:c>
      <x:c r="C147" s="18" t="str">
        <x:v>private_rail</x:v>
      </x:c>
      <x:c r="D147" s="19" t="str">
        <x:v>T2</x:v>
      </x:c>
      <x:c r="E147" s="20" t="n">
        <x:v>22499</x:v>
      </x:c>
      <x:c r="F147" s="18" t="str">
        <x:v>persons/day</x:v>
      </x:c>
      <x:c r="G147" s="18" t="str">
        <x:v>FY2024</x:v>
      </x:c>
      <x:c r="H147" s="18" t="str">
        <x:v>否</x:v>
      </x:c>
      <x:c r="I147" s="19" t="str">
        <x:v>DAILY_ENTRIES_EXITS</x:v>
      </x:c>
      <x:c r="J147" s="19" t="str">
        <x:v>新宿線</x:v>
      </x:c>
      <x:c r="K147" s="18" t="str">
        <x:v>transport-node:878ae71a-1523-597a-bb7b-fa2fd56d205e</x:v>
      </x:c>
      <x:c r="L147" s="19" t="str">
        <x:v>组件待审核</x:v>
      </x:c>
      <x:c r="M147" s="21" t="n">
        <x:v>35.72387</x:v>
      </x:c>
      <x:c r="N147" s="21" t="n">
        <x:v>139.624735</x:v>
      </x:c>
      <x:c r="O147" s="18" t="str">
        <x:v>003444</x:v>
      </x:c>
      <x:c r="P147" s="18" t="str">
        <x:v>新宿線</x:v>
      </x:c>
      <x:c r="Q147" s="19" t="str">
        <x:v>S12_061_GE_10000</x:v>
      </x:c>
      <x:c r="R147" s="19" t="str">
        <x:v>S12_061 usage threshold</x:v>
      </x:c>
      <x:c r="S147" s="19" t="str">
        <x:v>https://nlftp.mlit.go.jp/ksj/gml/datalist/KsjTmplt-S12-2024.html</x:v>
      </x:c>
      <x:c r="T147" s="19" t="str">
        <x:v>https://nlftp.mlit.go.jp/ksj/gml/datalist/KsjTmplt-S12-2024.html</x:v>
      </x:c>
      <x:c r="U147" s="19" t="str">
        <x:v>station-component|下井草|西武鉄道|private_rail|35.7239|139.6247|</x:v>
      </x:c>
      <x:c r="V147" s="19" t="str">
        <x:v>003444 / 003444 / 新宿線</x:v>
      </x:c>
      <x:c r="W147" s="18" t="str">
        <x:v>否</x:v>
      </x:c>
      <x:c r="X147" s="18" t="str">
        <x:v>0785e932a32b3ec15e1a1345537ae145eafe1c07bf38d5c16c11ee2b391e7a28</x:v>
      </x:c>
      <x:c r="Y147" s="20" t="n">
        <x:v>1</x:v>
      </x:c>
      <x:c r="Z147" s="20" t="n">
        <x:v>1</x:v>
      </x:c>
      <x:c r="AA147" s="19"/>
      <x:c r="AB147" s="18"/>
      <x:c r="AC147" s="19"/>
    </x:row>
    <x:row r="148" ht="33" customHeight="1">
      <x:c r="A148" s="18" t="str">
        <x:v>下北沢</x:v>
      </x:c>
      <x:c r="B148" s="18" t="str">
        <x:v>京王電鉄</x:v>
      </x:c>
      <x:c r="C148" s="18" t="str">
        <x:v>private_rail</x:v>
      </x:c>
      <x:c r="D148" s="19" t="str">
        <x:v>T1</x:v>
      </x:c>
      <x:c r="E148" s="20" t="n">
        <x:v>107602</x:v>
      </x:c>
      <x:c r="F148" s="18" t="str">
        <x:v>persons/day</x:v>
      </x:c>
      <x:c r="G148" s="18" t="str">
        <x:v>FY2024</x:v>
      </x:c>
      <x:c r="H148" s="18" t="str">
        <x:v>否</x:v>
      </x:c>
      <x:c r="I148" s="19" t="str">
        <x:v>DAILY_ENTRIES_EXITS</x:v>
      </x:c>
      <x:c r="J148" s="19" t="str">
        <x:v>井の頭線</x:v>
      </x:c>
      <x:c r="K148" s="18" t="str">
        <x:v>transport-node:cc63fdf9-389d-5583-a5e5-ae093e46d1b4</x:v>
      </x:c>
      <x:c r="L148" s="19" t="str">
        <x:v>组件待审核</x:v>
      </x:c>
      <x:c r="M148" s="21" t="n">
        <x:v>35.661605</x:v>
      </x:c>
      <x:c r="N148" s="21" t="n">
        <x:v>139.66657</x:v>
      </x:c>
      <x:c r="O148" s="18" t="str">
        <x:v>003908</x:v>
      </x:c>
      <x:c r="P148" s="18" t="str">
        <x:v>井の頭線</x:v>
      </x:c>
      <x:c r="Q148" s="19" t="str">
        <x:v>S12_061_GE_10000
OFFICIAL_HUB_COMPONENT_REVIEW</x:v>
      </x:c>
      <x:c r="R148" s="19" t="str">
        <x:v>S12_061 usage threshold</x:v>
      </x:c>
      <x:c r="S148" s="19" t="str">
        <x:v>https://nlftp.mlit.go.jp/ksj/gml/datalist/KsjTmplt-S12-2024.html</x:v>
      </x:c>
      <x:c r="T148" s="19" t="str">
        <x:v>https://nlftp.mlit.go.jp/ksj/gml/datalist/KsjTmplt-S12-2024.html
https://www.keio.co.jp/train/station/</x:v>
      </x:c>
      <x:c r="U148" s="19" t="str">
        <x:v>station-component|下北沢|京王電鉄|private_rail|35.6616|139.6666|</x:v>
      </x:c>
      <x:c r="V148" s="19" t="str">
        <x:v>003908 / 003908 / 井の頭線</x:v>
      </x:c>
      <x:c r="W148" s="18" t="str">
        <x:v>否</x:v>
      </x:c>
      <x:c r="X148" s="18" t="str">
        <x:v>0785e932a32b3ec15e1a1345537ae145eafe1c07bf38d5c16c11ee2b391e7a28</x:v>
      </x:c>
      <x:c r="Y148" s="20" t="n">
        <x:v>1</x:v>
      </x:c>
      <x:c r="Z148" s="20" t="n">
        <x:v>1</x:v>
      </x:c>
      <x:c r="AA148" s="19" t="str">
        <x:v>下北沢</x:v>
      </x:c>
      <x:c r="AB148" s="18" t="str">
        <x:v>transport-hub-review:6feffcda-6b4b-56f2-afed-77bb060af911</x:v>
      </x:c>
      <x:c r="AC148" s="19"/>
    </x:row>
    <x:row r="149" ht="33" customHeight="1">
      <x:c r="A149" s="18" t="str">
        <x:v>下北沢</x:v>
      </x:c>
      <x:c r="B149" s="18" t="str">
        <x:v>小田急電鉄</x:v>
      </x:c>
      <x:c r="C149" s="18" t="str">
        <x:v>private_rail</x:v>
      </x:c>
      <x:c r="D149" s="19" t="str">
        <x:v>T1</x:v>
      </x:c>
      <x:c r="E149" s="20" t="n">
        <x:v>121505</x:v>
      </x:c>
      <x:c r="F149" s="18" t="str">
        <x:v>persons/day</x:v>
      </x:c>
      <x:c r="G149" s="18" t="str">
        <x:v>FY2024</x:v>
      </x:c>
      <x:c r="H149" s="18" t="str">
        <x:v>否</x:v>
      </x:c>
      <x:c r="I149" s="19" t="str">
        <x:v>DAILY_ENTRIES_EXITS</x:v>
      </x:c>
      <x:c r="J149" s="19" t="str">
        <x:v>小田原線</x:v>
      </x:c>
      <x:c r="K149" s="18" t="str">
        <x:v>transport-node:70bf1834-c017-5c58-a6c0-8023c42df362</x:v>
      </x:c>
      <x:c r="L149" s="19" t="str">
        <x:v>组件待审核</x:v>
      </x:c>
      <x:c r="M149" s="21" t="n">
        <x:v>35.661445</x:v>
      </x:c>
      <x:c r="N149" s="21" t="n">
        <x:v>139.667345</x:v>
      </x:c>
      <x:c r="O149" s="18" t="str">
        <x:v>003909</x:v>
      </x:c>
      <x:c r="P149" s="18" t="str">
        <x:v>小田原線</x:v>
      </x:c>
      <x:c r="Q149" s="19" t="str">
        <x:v>S12_061_GE_10000
OFFICIAL_HUB_COMPONENT_REVIEW</x:v>
      </x:c>
      <x:c r="R149" s="19" t="str">
        <x:v>S12_061 usage threshold</x:v>
      </x:c>
      <x:c r="S149" s="19" t="str">
        <x:v>https://nlftp.mlit.go.jp/ksj/gml/datalist/KsjTmplt-S12-2024.html</x:v>
      </x:c>
      <x:c r="T149" s="19" t="str">
        <x:v>https://nlftp.mlit.go.jp/ksj/gml/datalist/KsjTmplt-S12-2024.html
https://www.keio.co.jp/train/station/</x:v>
      </x:c>
      <x:c r="U149" s="19" t="str">
        <x:v>station-component|下北沢|小田急電鉄|private_rail|35.6614|139.6673|</x:v>
      </x:c>
      <x:c r="V149" s="19" t="str">
        <x:v>003908 / 003909 / 小田原線</x:v>
      </x:c>
      <x:c r="W149" s="18" t="str">
        <x:v>否</x:v>
      </x:c>
      <x:c r="X149" s="18" t="str">
        <x:v>0785e932a32b3ec15e1a1345537ae145eafe1c07bf38d5c16c11ee2b391e7a28</x:v>
      </x:c>
      <x:c r="Y149" s="20" t="n">
        <x:v>1</x:v>
      </x:c>
      <x:c r="Z149" s="20" t="n">
        <x:v>1</x:v>
      </x:c>
      <x:c r="AA149" s="19" t="str">
        <x:v>下北沢</x:v>
      </x:c>
      <x:c r="AB149" s="18" t="str">
        <x:v>transport-hub-review:6feffcda-6b4b-56f2-afed-77bb060af911</x:v>
      </x:c>
      <x:c r="AC149" s="19"/>
    </x:row>
    <x:row r="150" ht="28" customHeight="1">
      <x:c r="A150" s="18" t="str">
        <x:v>下大利</x:v>
      </x:c>
      <x:c r="B150" s="18" t="str">
        <x:v>西日本鉄道</x:v>
      </x:c>
      <x:c r="C150" s="18" t="str">
        <x:v>private_rail</x:v>
      </x:c>
      <x:c r="D150" s="19" t="str">
        <x:v>T2</x:v>
      </x:c>
      <x:c r="E150" s="20" t="n">
        <x:v>15869</x:v>
      </x:c>
      <x:c r="F150" s="18" t="str">
        <x:v>persons/day</x:v>
      </x:c>
      <x:c r="G150" s="18" t="str">
        <x:v>FY2024</x:v>
      </x:c>
      <x:c r="H150" s="18" t="str">
        <x:v>否</x:v>
      </x:c>
      <x:c r="I150" s="19" t="str">
        <x:v>DAILY_ENTRIES_EXITS</x:v>
      </x:c>
      <x:c r="J150" s="19" t="str">
        <x:v>天神大牟田線</x:v>
      </x:c>
      <x:c r="K150" s="18" t="str">
        <x:v>transport-node:9dcb7260-03e6-5e5c-8cb1-548280f9de3f</x:v>
      </x:c>
      <x:c r="L150" s="19" t="str">
        <x:v>组件待审核</x:v>
      </x:c>
      <x:c r="M150" s="21" t="n">
        <x:v>33.522495</x:v>
      </x:c>
      <x:c r="N150" s="21" t="n">
        <x:v>130.489185</x:v>
      </x:c>
      <x:c r="O150" s="18" t="str">
        <x:v>009222</x:v>
      </x:c>
      <x:c r="P150" s="18" t="str">
        <x:v>天神大牟田線</x:v>
      </x:c>
      <x:c r="Q150" s="19" t="str">
        <x:v>S12_061_GE_10000</x:v>
      </x:c>
      <x:c r="R150" s="19" t="str">
        <x:v>S12_061 usage threshold</x:v>
      </x:c>
      <x:c r="S150" s="19" t="str">
        <x:v>https://nlftp.mlit.go.jp/ksj/gml/datalist/KsjTmplt-S12-2024.html</x:v>
      </x:c>
      <x:c r="T150" s="19" t="str">
        <x:v>https://nlftp.mlit.go.jp/ksj/gml/datalist/KsjTmplt-S12-2024.html</x:v>
      </x:c>
      <x:c r="U150" s="19" t="str">
        <x:v>station-component|下大利|西日本鉄道|private_rail|33.5225|130.4892|</x:v>
      </x:c>
      <x:c r="V150" s="19" t="str">
        <x:v>009222 / 009222 / 天神大牟田線</x:v>
      </x:c>
      <x:c r="W150" s="18" t="str">
        <x:v>否</x:v>
      </x:c>
      <x:c r="X150" s="18" t="str">
        <x:v>0785e932a32b3ec15e1a1345537ae145eafe1c07bf38d5c16c11ee2b391e7a28</x:v>
      </x:c>
      <x:c r="Y150" s="20" t="n">
        <x:v>1</x:v>
      </x:c>
      <x:c r="Z150" s="20" t="n">
        <x:v>1</x:v>
      </x:c>
      <x:c r="AA150" s="19"/>
      <x:c r="AB150" s="18"/>
      <x:c r="AC150" s="19"/>
    </x:row>
    <x:row r="151" ht="28" customHeight="1">
      <x:c r="A151" s="18" t="str">
        <x:v>下曽根</x:v>
      </x:c>
      <x:c r="B151" s="18" t="str">
        <x:v>九州旅客鉄道</x:v>
      </x:c>
      <x:c r="C151" s="18" t="str">
        <x:v>conventional_rail</x:v>
      </x:c>
      <x:c r="D151" s="19" t="str">
        <x:v>T2</x:v>
      </x:c>
      <x:c r="E151" s="20" t="n">
        <x:v>12632</x:v>
      </x:c>
      <x:c r="F151" s="18" t="str">
        <x:v>persons/day</x:v>
      </x:c>
      <x:c r="G151" s="18" t="str">
        <x:v>FY2024</x:v>
      </x:c>
      <x:c r="H151" s="18" t="str">
        <x:v>否</x:v>
      </x:c>
      <x:c r="I151" s="19" t="str">
        <x:v>DAILY_ENTRIES_EXITS</x:v>
      </x:c>
      <x:c r="J151" s="19" t="str">
        <x:v>日豊線</x:v>
      </x:c>
      <x:c r="K151" s="18" t="str">
        <x:v>transport-node:ed89cfc1-a4a7-5a33-8499-8ba125df74f1</x:v>
      </x:c>
      <x:c r="L151" s="19" t="str">
        <x:v>组件待审核</x:v>
      </x:c>
      <x:c r="M151" s="21" t="n">
        <x:v>33.8321425</x:v>
      </x:c>
      <x:c r="N151" s="21" t="n">
        <x:v>130.934925</x:v>
      </x:c>
      <x:c r="O151" s="18" t="str">
        <x:v>008779</x:v>
      </x:c>
      <x:c r="P151" s="18" t="str">
        <x:v>日豊線</x:v>
      </x:c>
      <x:c r="Q151" s="19" t="str">
        <x:v>S12_061_GE_10000</x:v>
      </x:c>
      <x:c r="R151" s="19" t="str">
        <x:v>S12_061 usage threshold</x:v>
      </x:c>
      <x:c r="S151" s="19" t="str">
        <x:v>https://nlftp.mlit.go.jp/ksj/gml/datalist/KsjTmplt-S12-2024.html</x:v>
      </x:c>
      <x:c r="T151" s="19" t="str">
        <x:v>https://nlftp.mlit.go.jp/ksj/gml/datalist/KsjTmplt-S12-2024.html</x:v>
      </x:c>
      <x:c r="U151" s="19" t="str">
        <x:v>station-component|下曽根|九州旅客鉄道|conventional_rail|33.8321|130.9349|</x:v>
      </x:c>
      <x:c r="V151" s="19" t="str">
        <x:v>008779 / 008779 / 日豊線</x:v>
      </x:c>
      <x:c r="W151" s="18" t="str">
        <x:v>否</x:v>
      </x:c>
      <x:c r="X151" s="18" t="str">
        <x:v>0785e932a32b3ec15e1a1345537ae145eafe1c07bf38d5c16c11ee2b391e7a28</x:v>
      </x:c>
      <x:c r="Y151" s="20" t="n">
        <x:v>1</x:v>
      </x:c>
      <x:c r="Z151" s="20" t="n">
        <x:v>1</x:v>
      </x:c>
      <x:c r="AA151" s="19"/>
      <x:c r="AB151" s="18"/>
      <x:c r="AC151" s="19"/>
    </x:row>
    <x:row r="152" ht="28" customHeight="1">
      <x:c r="A152" s="18" t="str">
        <x:v>下板橋</x:v>
      </x:c>
      <x:c r="B152" s="18" t="str">
        <x:v>東武鉄道</x:v>
      </x:c>
      <x:c r="C152" s="18" t="str">
        <x:v>private_rail</x:v>
      </x:c>
      <x:c r="D152" s="19" t="str">
        <x:v>T2</x:v>
      </x:c>
      <x:c r="E152" s="20" t="n">
        <x:v>16048</x:v>
      </x:c>
      <x:c r="F152" s="18" t="str">
        <x:v>persons/day</x:v>
      </x:c>
      <x:c r="G152" s="18" t="str">
        <x:v>FY2024</x:v>
      </x:c>
      <x:c r="H152" s="18" t="str">
        <x:v>否</x:v>
      </x:c>
      <x:c r="I152" s="19" t="str">
        <x:v>DAILY_ENTRIES_EXITS</x:v>
      </x:c>
      <x:c r="J152" s="19" t="str">
        <x:v>東上本線</x:v>
      </x:c>
      <x:c r="K152" s="18" t="str">
        <x:v>transport-node:f050baeb-7d26-5be0-8fb2-d47ec367f651</x:v>
      </x:c>
      <x:c r="L152" s="19" t="str">
        <x:v>组件待审核</x:v>
      </x:c>
      <x:c r="M152" s="21" t="n">
        <x:v>35.7450675</x:v>
      </x:c>
      <x:c r="N152" s="21" t="n">
        <x:v>139.715615</x:v>
      </x:c>
      <x:c r="O152" s="18" t="str">
        <x:v>003285</x:v>
      </x:c>
      <x:c r="P152" s="18" t="str">
        <x:v>東上本線</x:v>
      </x:c>
      <x:c r="Q152" s="19" t="str">
        <x:v>S12_061_GE_10000</x:v>
      </x:c>
      <x:c r="R152" s="19" t="str">
        <x:v>S12_061 usage threshold</x:v>
      </x:c>
      <x:c r="S152" s="19" t="str">
        <x:v>https://nlftp.mlit.go.jp/ksj/gml/datalist/KsjTmplt-S12-2024.html</x:v>
      </x:c>
      <x:c r="T152" s="19" t="str">
        <x:v>https://nlftp.mlit.go.jp/ksj/gml/datalist/KsjTmplt-S12-2024.html</x:v>
      </x:c>
      <x:c r="U152" s="19" t="str">
        <x:v>station-component|下板橋|東武鉄道|private_rail|35.7451|139.7156|</x:v>
      </x:c>
      <x:c r="V152" s="19" t="str">
        <x:v>003285 / 003285 / 東上本線</x:v>
      </x:c>
      <x:c r="W152" s="18" t="str">
        <x:v>否</x:v>
      </x:c>
      <x:c r="X152" s="18" t="str">
        <x:v>0785e932a32b3ec15e1a1345537ae145eafe1c07bf38d5c16c11ee2b391e7a28</x:v>
      </x:c>
      <x:c r="Y152" s="20" t="n">
        <x:v>1</x:v>
      </x:c>
      <x:c r="Z152" s="20" t="n">
        <x:v>1</x:v>
      </x:c>
      <x:c r="AA152" s="19"/>
      <x:c r="AB152" s="18"/>
      <x:c r="AC152" s="19"/>
    </x:row>
    <x:row r="153" ht="28" customHeight="1">
      <x:c r="A153" s="18" t="str">
        <x:v>下祗園</x:v>
      </x:c>
      <x:c r="B153" s="18" t="str">
        <x:v>西日本旅客鉄道</x:v>
      </x:c>
      <x:c r="C153" s="18" t="str">
        <x:v>conventional_rail</x:v>
      </x:c>
      <x:c r="D153" s="19" t="str">
        <x:v>T2</x:v>
      </x:c>
      <x:c r="E153" s="20" t="n">
        <x:v>10866</x:v>
      </x:c>
      <x:c r="F153" s="18" t="str">
        <x:v>persons/day</x:v>
      </x:c>
      <x:c r="G153" s="18" t="str">
        <x:v>FY2024</x:v>
      </x:c>
      <x:c r="H153" s="18" t="str">
        <x:v>否</x:v>
      </x:c>
      <x:c r="I153" s="19" t="str">
        <x:v>DAILY_ENTRIES_EXITS</x:v>
      </x:c>
      <x:c r="J153" s="19" t="str">
        <x:v>可部線</x:v>
      </x:c>
      <x:c r="K153" s="18" t="str">
        <x:v>transport-node:6c951e16-f956-56bd-9a70-915375fa1488</x:v>
      </x:c>
      <x:c r="L153" s="19" t="str">
        <x:v>组件待审核</x:v>
      </x:c>
      <x:c r="M153" s="21" t="n">
        <x:v>34.439405</x:v>
      </x:c>
      <x:c r="N153" s="21" t="n">
        <x:v>132.46229</x:v>
      </x:c>
      <x:c r="O153" s="18" t="str">
        <x:v>007953</x:v>
      </x:c>
      <x:c r="P153" s="18" t="str">
        <x:v>可部線</x:v>
      </x:c>
      <x:c r="Q153" s="19" t="str">
        <x:v>S12_061_GE_10000</x:v>
      </x:c>
      <x:c r="R153" s="19" t="str">
        <x:v>S12_061 usage threshold</x:v>
      </x:c>
      <x:c r="S153" s="19" t="str">
        <x:v>https://nlftp.mlit.go.jp/ksj/gml/datalist/KsjTmplt-S12-2024.html</x:v>
      </x:c>
      <x:c r="T153" s="19" t="str">
        <x:v>https://nlftp.mlit.go.jp/ksj/gml/datalist/KsjTmplt-S12-2024.html</x:v>
      </x:c>
      <x:c r="U153" s="19" t="str">
        <x:v>station-component|下祗園|西日本旅客鉄道|conventional_rail|34.4394|132.4623|</x:v>
      </x:c>
      <x:c r="V153" s="19" t="str">
        <x:v>007953 / 007953 / 可部線</x:v>
      </x:c>
      <x:c r="W153" s="18" t="str">
        <x:v>否</x:v>
      </x:c>
      <x:c r="X153" s="18" t="str">
        <x:v>0785e932a32b3ec15e1a1345537ae145eafe1c07bf38d5c16c11ee2b391e7a28</x:v>
      </x:c>
      <x:c r="Y153" s="20" t="n">
        <x:v>1</x:v>
      </x:c>
      <x:c r="Z153" s="20" t="n">
        <x:v>1</x:v>
      </x:c>
      <x:c r="AA153" s="19"/>
      <x:c r="AB153" s="18"/>
      <x:c r="AC153" s="19"/>
    </x:row>
    <x:row r="154" ht="28" customHeight="1">
      <x:c r="A154" s="18" t="str">
        <x:v>下総中山</x:v>
      </x:c>
      <x:c r="B154" s="18" t="str">
        <x:v>東日本旅客鉄道</x:v>
      </x:c>
      <x:c r="C154" s="18" t="str">
        <x:v>conventional_rail</x:v>
      </x:c>
      <x:c r="D154" s="19" t="str">
        <x:v>T2</x:v>
      </x:c>
      <x:c r="E154" s="20" t="n">
        <x:v>44298</x:v>
      </x:c>
      <x:c r="F154" s="18" t="str">
        <x:v>persons/day</x:v>
      </x:c>
      <x:c r="G154" s="18" t="str">
        <x:v>FY2024</x:v>
      </x:c>
      <x:c r="H154" s="18" t="str">
        <x:v>否</x:v>
      </x:c>
      <x:c r="I154" s="19" t="str">
        <x:v>DAILY_ENTRIES_EXITS</x:v>
      </x:c>
      <x:c r="J154" s="19" t="str">
        <x:v>総武線</x:v>
      </x:c>
      <x:c r="K154" s="18" t="str">
        <x:v>transport-node:ce266bc7-56c4-5fb3-850b-2fffa999309f</x:v>
      </x:c>
      <x:c r="L154" s="19" t="str">
        <x:v>组件待审核</x:v>
      </x:c>
      <x:c r="M154" s="21" t="n">
        <x:v>35.714285</x:v>
      </x:c>
      <x:c r="N154" s="21" t="n">
        <x:v>139.94307</x:v>
      </x:c>
      <x:c r="O154" s="18" t="str">
        <x:v>003498</x:v>
      </x:c>
      <x:c r="P154" s="18" t="str">
        <x:v>総武線</x:v>
      </x:c>
      <x:c r="Q154" s="19" t="str">
        <x:v>S12_061_GE_10000</x:v>
      </x:c>
      <x:c r="R154" s="19" t="str">
        <x:v>S12_061 usage threshold</x:v>
      </x:c>
      <x:c r="S154" s="19" t="str">
        <x:v>https://nlftp.mlit.go.jp/ksj/gml/datalist/KsjTmplt-S12-2024.html</x:v>
      </x:c>
      <x:c r="T154" s="19" t="str">
        <x:v>https://nlftp.mlit.go.jp/ksj/gml/datalist/KsjTmplt-S12-2024.html</x:v>
      </x:c>
      <x:c r="U154" s="19" t="str">
        <x:v>station-component|下総中山|東日本旅客鉄道|conventional_rail|35.7143|139.9431|</x:v>
      </x:c>
      <x:c r="V154" s="19" t="str">
        <x:v>003498 / 003498 / 総武線</x:v>
      </x:c>
      <x:c r="W154" s="18" t="str">
        <x:v>否</x:v>
      </x:c>
      <x:c r="X154" s="18" t="str">
        <x:v>0785e932a32b3ec15e1a1345537ae145eafe1c07bf38d5c16c11ee2b391e7a28</x:v>
      </x:c>
      <x:c r="Y154" s="20" t="n">
        <x:v>1</x:v>
      </x:c>
      <x:c r="Z154" s="20" t="n">
        <x:v>1</x:v>
      </x:c>
      <x:c r="AA154" s="19"/>
      <x:c r="AB154" s="18"/>
      <x:c r="AC154" s="19"/>
    </x:row>
    <x:row r="155" ht="28" customHeight="1">
      <x:c r="A155" s="18" t="str">
        <x:v>下落合</x:v>
      </x:c>
      <x:c r="B155" s="18" t="str">
        <x:v>西武鉄道</x:v>
      </x:c>
      <x:c r="C155" s="18" t="str">
        <x:v>private_rail</x:v>
      </x:c>
      <x:c r="D155" s="19" t="str">
        <x:v>T2</x:v>
      </x:c>
      <x:c r="E155" s="20" t="n">
        <x:v>11882</x:v>
      </x:c>
      <x:c r="F155" s="18" t="str">
        <x:v>persons/day</x:v>
      </x:c>
      <x:c r="G155" s="18" t="str">
        <x:v>FY2024</x:v>
      </x:c>
      <x:c r="H155" s="18" t="str">
        <x:v>否</x:v>
      </x:c>
      <x:c r="I155" s="19" t="str">
        <x:v>DAILY_ENTRIES_EXITS</x:v>
      </x:c>
      <x:c r="J155" s="19" t="str">
        <x:v>新宿線</x:v>
      </x:c>
      <x:c r="K155" s="18" t="str">
        <x:v>transport-node:7f7e5c49-e37b-5e67-bda5-92958cadd46a</x:v>
      </x:c>
      <x:c r="L155" s="19" t="str">
        <x:v>组件待审核</x:v>
      </x:c>
      <x:c r="M155" s="21" t="n">
        <x:v>35.715695</x:v>
      </x:c>
      <x:c r="N155" s="21" t="n">
        <x:v>139.69529</x:v>
      </x:c>
      <x:c r="O155" s="18" t="str">
        <x:v>003491</x:v>
      </x:c>
      <x:c r="P155" s="18" t="str">
        <x:v>新宿線</x:v>
      </x:c>
      <x:c r="Q155" s="19" t="str">
        <x:v>S12_061_GE_10000</x:v>
      </x:c>
      <x:c r="R155" s="19" t="str">
        <x:v>S12_061 usage threshold</x:v>
      </x:c>
      <x:c r="S155" s="19" t="str">
        <x:v>https://nlftp.mlit.go.jp/ksj/gml/datalist/KsjTmplt-S12-2024.html</x:v>
      </x:c>
      <x:c r="T155" s="19" t="str">
        <x:v>https://nlftp.mlit.go.jp/ksj/gml/datalist/KsjTmplt-S12-2024.html</x:v>
      </x:c>
      <x:c r="U155" s="19" t="str">
        <x:v>station-component|下落合|西武鉄道|private_rail|35.7157|139.6953|</x:v>
      </x:c>
      <x:c r="V155" s="19" t="str">
        <x:v>003491 / 003491 / 新宿線</x:v>
      </x:c>
      <x:c r="W155" s="18" t="str">
        <x:v>否</x:v>
      </x:c>
      <x:c r="X155" s="18" t="str">
        <x:v>0785e932a32b3ec15e1a1345537ae145eafe1c07bf38d5c16c11ee2b391e7a28</x:v>
      </x:c>
      <x:c r="Y155" s="20" t="n">
        <x:v>1</x:v>
      </x:c>
      <x:c r="Z155" s="20" t="n">
        <x:v>1</x:v>
      </x:c>
      <x:c r="AA155" s="19"/>
      <x:c r="AB155" s="18"/>
      <x:c r="AC155" s="19"/>
    </x:row>
    <x:row r="156" ht="28" customHeight="1">
      <x:c r="A156" s="18" t="str">
        <x:v>下赤塚</x:v>
      </x:c>
      <x:c r="B156" s="18" t="str">
        <x:v>東武鉄道</x:v>
      </x:c>
      <x:c r="C156" s="18" t="str">
        <x:v>private_rail</x:v>
      </x:c>
      <x:c r="D156" s="19" t="str">
        <x:v>T2</x:v>
      </x:c>
      <x:c r="E156" s="20" t="n">
        <x:v>14727</x:v>
      </x:c>
      <x:c r="F156" s="18" t="str">
        <x:v>persons/day</x:v>
      </x:c>
      <x:c r="G156" s="18" t="str">
        <x:v>FY2024</x:v>
      </x:c>
      <x:c r="H156" s="18" t="str">
        <x:v>否</x:v>
      </x:c>
      <x:c r="I156" s="19" t="str">
        <x:v>DAILY_ENTRIES_EXITS</x:v>
      </x:c>
      <x:c r="J156" s="19" t="str">
        <x:v>東上本線</x:v>
      </x:c>
      <x:c r="K156" s="18" t="str">
        <x:v>transport-node:12fee29b-7e36-537e-9aac-bd6668d45f84</x:v>
      </x:c>
      <x:c r="L156" s="19" t="str">
        <x:v>组件待审核</x:v>
      </x:c>
      <x:c r="M156" s="21" t="n">
        <x:v>35.770485</x:v>
      </x:c>
      <x:c r="N156" s="21" t="n">
        <x:v>139.64485</x:v>
      </x:c>
      <x:c r="O156" s="18" t="str">
        <x:v>003184</x:v>
      </x:c>
      <x:c r="P156" s="18" t="str">
        <x:v>東上本線</x:v>
      </x:c>
      <x:c r="Q156" s="19" t="str">
        <x:v>S12_061_GE_10000</x:v>
      </x:c>
      <x:c r="R156" s="19" t="str">
        <x:v>S12_061 usage threshold</x:v>
      </x:c>
      <x:c r="S156" s="19" t="str">
        <x:v>https://nlftp.mlit.go.jp/ksj/gml/datalist/KsjTmplt-S12-2024.html</x:v>
      </x:c>
      <x:c r="T156" s="19" t="str">
        <x:v>https://nlftp.mlit.go.jp/ksj/gml/datalist/KsjTmplt-S12-2024.html</x:v>
      </x:c>
      <x:c r="U156" s="19" t="str">
        <x:v>station-component|下赤塚|東武鉄道|private_rail|35.7705|139.6448|</x:v>
      </x:c>
      <x:c r="V156" s="19" t="str">
        <x:v>003184 / 003184 / 東上本線</x:v>
      </x:c>
      <x:c r="W156" s="18" t="str">
        <x:v>否</x:v>
      </x:c>
      <x:c r="X156" s="18" t="str">
        <x:v>0785e932a32b3ec15e1a1345537ae145eafe1c07bf38d5c16c11ee2b391e7a28</x:v>
      </x:c>
      <x:c r="Y156" s="20" t="n">
        <x:v>1</x:v>
      </x:c>
      <x:c r="Z156" s="20" t="n">
        <x:v>1</x:v>
      </x:c>
      <x:c r="AA156" s="19"/>
      <x:c r="AB156" s="18"/>
      <x:c r="AC156" s="19"/>
    </x:row>
    <x:row r="157" ht="28" customHeight="1">
      <x:c r="A157" s="18" t="str">
        <x:v>下関</x:v>
      </x:c>
      <x:c r="B157" s="18" t="str">
        <x:v>西日本旅客鉄道</x:v>
      </x:c>
      <x:c r="C157" s="18" t="str">
        <x:v>conventional_rail</x:v>
      </x:c>
      <x:c r="D157" s="19" t="str">
        <x:v>T2</x:v>
      </x:c>
      <x:c r="E157" s="20" t="n">
        <x:v>17176</x:v>
      </x:c>
      <x:c r="F157" s="18" t="str">
        <x:v>persons/day</x:v>
      </x:c>
      <x:c r="G157" s="18" t="str">
        <x:v>FY2024</x:v>
      </x:c>
      <x:c r="H157" s="18" t="str">
        <x:v>否</x:v>
      </x:c>
      <x:c r="I157" s="19" t="str">
        <x:v>DAILY_ENTRIES_EXITS</x:v>
      </x:c>
      <x:c r="J157" s="19" t="str">
        <x:v>山陽線</x:v>
      </x:c>
      <x:c r="K157" s="18" t="str">
        <x:v>transport-node:cc212461-bd23-5804-a254-0d6b70e43c28</x:v>
      </x:c>
      <x:c r="L157" s="19" t="str">
        <x:v>组件待审核</x:v>
      </x:c>
      <x:c r="M157" s="21" t="n">
        <x:v>33.94915</x:v>
      </x:c>
      <x:c r="N157" s="21" t="n">
        <x:v>130.9216067</x:v>
      </x:c>
      <x:c r="O157" s="18" t="str">
        <x:v>008631</x:v>
      </x:c>
      <x:c r="P157" s="18" t="str">
        <x:v>山陽線</x:v>
      </x:c>
      <x:c r="Q157" s="19" t="str">
        <x:v>S12_061_GE_10000</x:v>
      </x:c>
      <x:c r="R157" s="19" t="str">
        <x:v>S12_061 usage threshold</x:v>
      </x:c>
      <x:c r="S157" s="19" t="str">
        <x:v>https://nlftp.mlit.go.jp/ksj/gml/datalist/KsjTmplt-S12-2024.html</x:v>
      </x:c>
      <x:c r="T157" s="19" t="str">
        <x:v>https://nlftp.mlit.go.jp/ksj/gml/datalist/KsjTmplt-S12-2024.html</x:v>
      </x:c>
      <x:c r="U157" s="19" t="str">
        <x:v>station-component|下関|西日本旅客鉄道|conventional_rail|33.9492|130.9216|</x:v>
      </x:c>
      <x:c r="V157" s="19" t="str">
        <x:v>008630 / 008631 / 山陽線</x:v>
      </x:c>
      <x:c r="W157" s="18" t="str">
        <x:v>否</x:v>
      </x:c>
      <x:c r="X157" s="18" t="str">
        <x:v>0785e932a32b3ec15e1a1345537ae145eafe1c07bf38d5c16c11ee2b391e7a28</x:v>
      </x:c>
      <x:c r="Y157" s="20" t="n">
        <x:v>1</x:v>
      </x:c>
      <x:c r="Z157" s="20" t="n">
        <x:v>1</x:v>
      </x:c>
      <x:c r="AA157" s="19"/>
      <x:c r="AB157" s="18"/>
      <x:c r="AC157" s="19"/>
    </x:row>
    <x:row r="158" ht="33" customHeight="1">
      <x:c r="A158" s="18" t="str">
        <x:v>下高井戸</x:v>
      </x:c>
      <x:c r="B158" s="18" t="str">
        <x:v>京王電鉄</x:v>
      </x:c>
      <x:c r="C158" s="18" t="str">
        <x:v>private_rail</x:v>
      </x:c>
      <x:c r="D158" s="19" t="str">
        <x:v>T2</x:v>
      </x:c>
      <x:c r="E158" s="20" t="n">
        <x:v>39216</x:v>
      </x:c>
      <x:c r="F158" s="18" t="str">
        <x:v>persons/day</x:v>
      </x:c>
      <x:c r="G158" s="18" t="str">
        <x:v>FY2024</x:v>
      </x:c>
      <x:c r="H158" s="18" t="str">
        <x:v>否</x:v>
      </x:c>
      <x:c r="I158" s="19" t="str">
        <x:v>DAILY_ENTRIES_EXITS</x:v>
      </x:c>
      <x:c r="J158" s="19" t="str">
        <x:v>京王線</x:v>
      </x:c>
      <x:c r="K158" s="18" t="str">
        <x:v>transport-node:9affd101-56b9-5549-9eb2-a1220a128a54</x:v>
      </x:c>
      <x:c r="L158" s="19" t="str">
        <x:v>组件待审核</x:v>
      </x:c>
      <x:c r="M158" s="21" t="n">
        <x:v>35.6661167</x:v>
      </x:c>
      <x:c r="N158" s="21" t="n">
        <x:v>139.6420256</x:v>
      </x:c>
      <x:c r="O158" s="18" t="str">
        <x:v>003874</x:v>
      </x:c>
      <x:c r="P158" s="18" t="str">
        <x:v>京王線</x:v>
      </x:c>
      <x:c r="Q158" s="19" t="str">
        <x:v>S12_061_GE_10000
OFFICIAL_HUB_COMPONENT_REVIEW</x:v>
      </x:c>
      <x:c r="R158" s="19" t="str">
        <x:v>S12_061 usage threshold</x:v>
      </x:c>
      <x:c r="S158" s="19" t="str">
        <x:v>https://nlftp.mlit.go.jp/ksj/gml/datalist/KsjTmplt-S12-2024.html</x:v>
      </x:c>
      <x:c r="T158" s="19" t="str">
        <x:v>https://nlftp.mlit.go.jp/ksj/gml/datalist/KsjTmplt-S12-2024.html
https://www.keio.co.jp/train/station/</x:v>
      </x:c>
      <x:c r="U158" s="19" t="str">
        <x:v>station-component|下高井戸|京王電鉄|private_rail|35.6661|139.6420|</x:v>
      </x:c>
      <x:c r="V158" s="19" t="str">
        <x:v>003874 / 003874 / 京王線</x:v>
      </x:c>
      <x:c r="W158" s="18" t="str">
        <x:v>否</x:v>
      </x:c>
      <x:c r="X158" s="18" t="str">
        <x:v>0785e932a32b3ec15e1a1345537ae145eafe1c07bf38d5c16c11ee2b391e7a28</x:v>
      </x:c>
      <x:c r="Y158" s="20" t="n">
        <x:v>1</x:v>
      </x:c>
      <x:c r="Z158" s="20" t="n">
        <x:v>1</x:v>
      </x:c>
      <x:c r="AA158" s="19" t="str">
        <x:v>下高井戸</x:v>
      </x:c>
      <x:c r="AB158" s="18" t="str">
        <x:v>transport-hub-review:f5cd0b59-6549-5ff3-a9a6-cd804791e792</x:v>
      </x:c>
      <x:c r="AC158" s="19"/>
    </x:row>
    <x:row r="159" ht="33" customHeight="1">
      <x:c r="A159" s="18" t="str">
        <x:v>下高井戸</x:v>
      </x:c>
      <x:c r="B159" s="18" t="str">
        <x:v>東急電鉄</x:v>
      </x:c>
      <x:c r="C159" s="18" t="str">
        <x:v>tram</x:v>
      </x:c>
      <x:c r="D159" s="19" t="str">
        <x:v>T2</x:v>
      </x:c>
      <x:c r="E159" s="20" t="n">
        <x:v>16566</x:v>
      </x:c>
      <x:c r="F159" s="18" t="str">
        <x:v>persons/day</x:v>
      </x:c>
      <x:c r="G159" s="18" t="str">
        <x:v>FY2024</x:v>
      </x:c>
      <x:c r="H159" s="18" t="str">
        <x:v>否</x:v>
      </x:c>
      <x:c r="I159" s="19" t="str">
        <x:v>DAILY_ENTRIES_EXITS</x:v>
      </x:c>
      <x:c r="J159" s="19" t="str">
        <x:v>世田谷線</x:v>
      </x:c>
      <x:c r="K159" s="18" t="str">
        <x:v>transport-node:fc9d31a3-a893-5f78-b586-df0650504393</x:v>
      </x:c>
      <x:c r="L159" s="19" t="str">
        <x:v>组件待审核</x:v>
      </x:c>
      <x:c r="M159" s="21" t="n">
        <x:v>35.665855</x:v>
      </x:c>
      <x:c r="N159" s="21" t="n">
        <x:v>139.64156</x:v>
      </x:c>
      <x:c r="O159" s="18" t="str">
        <x:v>003877</x:v>
      </x:c>
      <x:c r="P159" s="18" t="str">
        <x:v>世田谷線</x:v>
      </x:c>
      <x:c r="Q159" s="19" t="str">
        <x:v>S12_061_GE_10000
OFFICIAL_HUB_COMPONENT_REVIEW</x:v>
      </x:c>
      <x:c r="R159" s="19" t="str">
        <x:v>S12_061 usage threshold</x:v>
      </x:c>
      <x:c r="S159" s="19" t="str">
        <x:v>https://nlftp.mlit.go.jp/ksj/gml/datalist/KsjTmplt-S12-2024.html</x:v>
      </x:c>
      <x:c r="T159" s="19" t="str">
        <x:v>https://nlftp.mlit.go.jp/ksj/gml/datalist/KsjTmplt-S12-2024.html
https://www.keio.co.jp/train/station/</x:v>
      </x:c>
      <x:c r="U159" s="19" t="str">
        <x:v>station-component|下高井戸|東急電鉄|tram|35.6659|139.6416|</x:v>
      </x:c>
      <x:c r="V159" s="19" t="str">
        <x:v>003874 / 003877 / 世田谷線</x:v>
      </x:c>
      <x:c r="W159" s="18" t="str">
        <x:v>否</x:v>
      </x:c>
      <x:c r="X159" s="18" t="str">
        <x:v>0785e932a32b3ec15e1a1345537ae145eafe1c07bf38d5c16c11ee2b391e7a28</x:v>
      </x:c>
      <x:c r="Y159" s="20" t="n">
        <x:v>1</x:v>
      </x:c>
      <x:c r="Z159" s="20" t="n">
        <x:v>1</x:v>
      </x:c>
      <x:c r="AA159" s="19" t="str">
        <x:v>下高井戸</x:v>
      </x:c>
      <x:c r="AB159" s="18" t="str">
        <x:v>transport-hub-review:f5cd0b59-6549-5ff3-a9a6-cd804791e792</x:v>
      </x:c>
      <x:c r="AC159" s="19"/>
    </x:row>
    <x:row r="160" ht="28" customHeight="1">
      <x:c r="A160" s="18" t="str">
        <x:v>不動前</x:v>
      </x:c>
      <x:c r="B160" s="18" t="str">
        <x:v>東急電鉄</x:v>
      </x:c>
      <x:c r="C160" s="18" t="str">
        <x:v>private_rail</x:v>
      </x:c>
      <x:c r="D160" s="19" t="str">
        <x:v>T2</x:v>
      </x:c>
      <x:c r="E160" s="20" t="n">
        <x:v>29015</x:v>
      </x:c>
      <x:c r="F160" s="18" t="str">
        <x:v>persons/day</x:v>
      </x:c>
      <x:c r="G160" s="18" t="str">
        <x:v>FY2024</x:v>
      </x:c>
      <x:c r="H160" s="18" t="str">
        <x:v>否</x:v>
      </x:c>
      <x:c r="I160" s="19" t="str">
        <x:v>DAILY_ENTRIES_EXITS</x:v>
      </x:c>
      <x:c r="J160" s="19" t="str">
        <x:v>目黒線</x:v>
      </x:c>
      <x:c r="K160" s="18" t="str">
        <x:v>transport-node:1c10ae88-9af0-57b6-b1b5-ec4e0980009e</x:v>
      </x:c>
      <x:c r="L160" s="19" t="str">
        <x:v>组件待审核</x:v>
      </x:c>
      <x:c r="M160" s="21" t="n">
        <x:v>35.6254233</x:v>
      </x:c>
      <x:c r="N160" s="21" t="n">
        <x:v>139.71315</x:v>
      </x:c>
      <x:c r="O160" s="18" t="str">
        <x:v>004114</x:v>
      </x:c>
      <x:c r="P160" s="18" t="str">
        <x:v>目黒線</x:v>
      </x:c>
      <x:c r="Q160" s="19" t="str">
        <x:v>S12_061_GE_10000</x:v>
      </x:c>
      <x:c r="R160" s="19" t="str">
        <x:v>S12_061 usage threshold</x:v>
      </x:c>
      <x:c r="S160" s="19" t="str">
        <x:v>https://nlftp.mlit.go.jp/ksj/gml/datalist/KsjTmplt-S12-2024.html</x:v>
      </x:c>
      <x:c r="T160" s="19" t="str">
        <x:v>https://nlftp.mlit.go.jp/ksj/gml/datalist/KsjTmplt-S12-2024.html</x:v>
      </x:c>
      <x:c r="U160" s="19" t="str">
        <x:v>station-component|不動前|東急電鉄|private_rail|35.6254|139.7132|</x:v>
      </x:c>
      <x:c r="V160" s="19" t="str">
        <x:v>004114 / 004114 / 目黒線</x:v>
      </x:c>
      <x:c r="W160" s="18" t="str">
        <x:v>否</x:v>
      </x:c>
      <x:c r="X160" s="18" t="str">
        <x:v>0785e932a32b3ec15e1a1345537ae145eafe1c07bf38d5c16c11ee2b391e7a28</x:v>
      </x:c>
      <x:c r="Y160" s="20" t="n">
        <x:v>1</x:v>
      </x:c>
      <x:c r="Z160" s="20" t="n">
        <x:v>1</x:v>
      </x:c>
      <x:c r="AA160" s="19"/>
      <x:c r="AB160" s="18"/>
      <x:c r="AC160" s="19"/>
    </x:row>
    <x:row r="161" ht="33" customHeight="1">
      <x:c r="A161" s="18" t="str">
        <x:v>与野</x:v>
      </x:c>
      <x:c r="B161" s="18" t="str">
        <x:v>東日本旅客鉄道</x:v>
      </x:c>
      <x:c r="C161" s="18" t="str">
        <x:v>conventional_rail</x:v>
      </x:c>
      <x:c r="D161" s="19" t="str">
        <x:v>T1</x:v>
      </x:c>
      <x:c r="E161" s="20" t="n">
        <x:v>51106</x:v>
      </x:c>
      <x:c r="F161" s="18" t="str">
        <x:v>persons/day</x:v>
      </x:c>
      <x:c r="G161" s="18" t="str">
        <x:v>FY2024</x:v>
      </x:c>
      <x:c r="H161" s="18" t="str">
        <x:v>否</x:v>
      </x:c>
      <x:c r="I161" s="19" t="str">
        <x:v>DAILY_ENTRIES_EXITS</x:v>
      </x:c>
      <x:c r="J161" s="19" t="str">
        <x:v>東北線
武蔵野線</x:v>
      </x:c>
      <x:c r="K161" s="18" t="str">
        <x:v>transport-node:16578c71-e02e-5eb8-8f77-5e7de46032aa</x:v>
      </x:c>
      <x:c r="L161" s="19" t="str">
        <x:v>组件待审核</x:v>
      </x:c>
      <x:c r="M161" s="21" t="n">
        <x:v>35.884375</x:v>
      </x:c>
      <x:c r="N161" s="21" t="n">
        <x:v>139.63899</x:v>
      </x:c>
      <x:c r="O161" s="18" t="str">
        <x:v>002947</x:v>
      </x:c>
      <x:c r="P161" s="18" t="str">
        <x:v>東北線</x:v>
      </x:c>
      <x:c r="Q161" s="19" t="str">
        <x:v>S12_061_GE_10000</x:v>
      </x:c>
      <x:c r="R161" s="19" t="str">
        <x:v>S12_061 usage threshold</x:v>
      </x:c>
      <x:c r="S161" s="19" t="str">
        <x:v>https://nlftp.mlit.go.jp/ksj/gml/datalist/KsjTmplt-S12-2024.html</x:v>
      </x:c>
      <x:c r="T161" s="19" t="str">
        <x:v>https://nlftp.mlit.go.jp/ksj/gml/datalist/KsjTmplt-S12-2024.html</x:v>
      </x:c>
      <x:c r="U161" s="19" t="str">
        <x:v>station-component|与野|東日本旅客鉄道|conventional_rail|35.8844|139.6390|</x:v>
      </x:c>
      <x:c r="V161" s="19" t="str">
        <x:v>002947 / 002947 / 東北線
002947 / 002948 / 武蔵野線</x:v>
      </x:c>
      <x:c r="W161" s="18" t="str">
        <x:v>否</x:v>
      </x:c>
      <x:c r="X161" s="18" t="str">
        <x:v>0785e932a32b3ec15e1a1345537ae145eafe1c07bf38d5c16c11ee2b391e7a28</x:v>
      </x:c>
      <x:c r="Y161" s="20" t="n">
        <x:v>1</x:v>
      </x:c>
      <x:c r="Z161" s="20" t="n">
        <x:v>1</x:v>
      </x:c>
      <x:c r="AA161" s="19"/>
      <x:c r="AB161" s="18"/>
      <x:c r="AC161" s="19"/>
    </x:row>
    <x:row r="162" ht="28" customHeight="1">
      <x:c r="A162" s="18" t="str">
        <x:v>与野本町</x:v>
      </x:c>
      <x:c r="B162" s="18" t="str">
        <x:v>東日本旅客鉄道</x:v>
      </x:c>
      <x:c r="C162" s="18" t="str">
        <x:v>conventional_rail</x:v>
      </x:c>
      <x:c r="D162" s="19" t="str">
        <x:v>T2</x:v>
      </x:c>
      <x:c r="E162" s="20" t="n">
        <x:v>29304</x:v>
      </x:c>
      <x:c r="F162" s="18" t="str">
        <x:v>persons/day</x:v>
      </x:c>
      <x:c r="G162" s="18" t="str">
        <x:v>FY2024</x:v>
      </x:c>
      <x:c r="H162" s="18" t="str">
        <x:v>否</x:v>
      </x:c>
      <x:c r="I162" s="19" t="str">
        <x:v>DAILY_ENTRIES_EXITS</x:v>
      </x:c>
      <x:c r="J162" s="19" t="str">
        <x:v>東北線</x:v>
      </x:c>
      <x:c r="K162" s="18" t="str">
        <x:v>transport-node:2c70fbec-12fa-5b32-8aca-e58bb8fdb13a</x:v>
      </x:c>
      <x:c r="L162" s="19" t="str">
        <x:v>组件待审核</x:v>
      </x:c>
      <x:c r="M162" s="21" t="n">
        <x:v>35.880925</x:v>
      </x:c>
      <x:c r="N162" s="21" t="n">
        <x:v>139.626005</x:v>
      </x:c>
      <x:c r="O162" s="18" t="str">
        <x:v>002951</x:v>
      </x:c>
      <x:c r="P162" s="18" t="str">
        <x:v>東北線</x:v>
      </x:c>
      <x:c r="Q162" s="19" t="str">
        <x:v>S12_061_GE_10000</x:v>
      </x:c>
      <x:c r="R162" s="19" t="str">
        <x:v>S12_061 usage threshold</x:v>
      </x:c>
      <x:c r="S162" s="19" t="str">
        <x:v>https://nlftp.mlit.go.jp/ksj/gml/datalist/KsjTmplt-S12-2024.html</x:v>
      </x:c>
      <x:c r="T162" s="19" t="str">
        <x:v>https://nlftp.mlit.go.jp/ksj/gml/datalist/KsjTmplt-S12-2024.html</x:v>
      </x:c>
      <x:c r="U162" s="19" t="str">
        <x:v>station-component|与野本町|東日本旅客鉄道|conventional_rail|35.8809|139.6260|</x:v>
      </x:c>
      <x:c r="V162" s="19" t="str">
        <x:v>002951 / 002951 / 東北線</x:v>
      </x:c>
      <x:c r="W162" s="18" t="str">
        <x:v>否</x:v>
      </x:c>
      <x:c r="X162" s="18" t="str">
        <x:v>0785e932a32b3ec15e1a1345537ae145eafe1c07bf38d5c16c11ee2b391e7a28</x:v>
      </x:c>
      <x:c r="Y162" s="20" t="n">
        <x:v>1</x:v>
      </x:c>
      <x:c r="Z162" s="20" t="n">
        <x:v>1</x:v>
      </x:c>
      <x:c r="AA162" s="19"/>
      <x:c r="AB162" s="18"/>
      <x:c r="AC162" s="19"/>
    </x:row>
    <x:row r="163" ht="28" customHeight="1">
      <x:c r="A163" s="18" t="str">
        <x:v>両国</x:v>
      </x:c>
      <x:c r="B163" s="18" t="str">
        <x:v>東京都</x:v>
      </x:c>
      <x:c r="C163" s="18" t="str">
        <x:v>metro</x:v>
      </x:c>
      <x:c r="D163" s="19" t="str">
        <x:v>T2</x:v>
      </x:c>
      <x:c r="E163" s="20" t="n">
        <x:v>32508</x:v>
      </x:c>
      <x:c r="F163" s="18" t="str">
        <x:v>persons/day</x:v>
      </x:c>
      <x:c r="G163" s="18" t="str">
        <x:v>FY2024</x:v>
      </x:c>
      <x:c r="H163" s="18" t="str">
        <x:v>否</x:v>
      </x:c>
      <x:c r="I163" s="19" t="str">
        <x:v>DAILY_ENTRIES_EXITS</x:v>
      </x:c>
      <x:c r="J163" s="19" t="str">
        <x:v>12号線大江戸線</x:v>
      </x:c>
      <x:c r="K163" s="18" t="str">
        <x:v>transport-node:0fe82d25-ff80-5ce3-a143-7f33136d3990</x:v>
      </x:c>
      <x:c r="L163" s="19" t="str">
        <x:v>组件待审核</x:v>
      </x:c>
      <x:c r="M163" s="21" t="n">
        <x:v>35.69682</x:v>
      </x:c>
      <x:c r="N163" s="21" t="n">
        <x:v>139.7974267</x:v>
      </x:c>
      <x:c r="O163" s="18" t="str">
        <x:v>003646</x:v>
      </x:c>
      <x:c r="P163" s="18" t="str">
        <x:v>12号線大江戸線</x:v>
      </x:c>
      <x:c r="Q163" s="19" t="str">
        <x:v>S12_061_GE_10000</x:v>
      </x:c>
      <x:c r="R163" s="19" t="str">
        <x:v>S12_061 usage threshold</x:v>
      </x:c>
      <x:c r="S163" s="19" t="str">
        <x:v>https://nlftp.mlit.go.jp/ksj/gml/datalist/KsjTmplt-S12-2024.html</x:v>
      </x:c>
      <x:c r="T163" s="19" t="str">
        <x:v>https://nlftp.mlit.go.jp/ksj/gml/datalist/KsjTmplt-S12-2024.html</x:v>
      </x:c>
      <x:c r="U163" s="19" t="str">
        <x:v>station-component|両国|東京都|metro|35.6968|139.7974|</x:v>
      </x:c>
      <x:c r="V163" s="19" t="str">
        <x:v>003646 / 003646 / 12号線大江戸線</x:v>
      </x:c>
      <x:c r="W163" s="18" t="str">
        <x:v>否</x:v>
      </x:c>
      <x:c r="X163" s="18" t="str">
        <x:v>0785e932a32b3ec15e1a1345537ae145eafe1c07bf38d5c16c11ee2b391e7a28</x:v>
      </x:c>
      <x:c r="Y163" s="20" t="n">
        <x:v>1</x:v>
      </x:c>
      <x:c r="Z163" s="20" t="n">
        <x:v>1</x:v>
      </x:c>
      <x:c r="AA163" s="19"/>
      <x:c r="AB163" s="18"/>
      <x:c r="AC163" s="19"/>
    </x:row>
    <x:row r="164" ht="28" customHeight="1">
      <x:c r="A164" s="18" t="str">
        <x:v>両国</x:v>
      </x:c>
      <x:c r="B164" s="18" t="str">
        <x:v>東日本旅客鉄道</x:v>
      </x:c>
      <x:c r="C164" s="18" t="str">
        <x:v>conventional_rail</x:v>
      </x:c>
      <x:c r="D164" s="19" t="str">
        <x:v>T1</x:v>
      </x:c>
      <x:c r="E164" s="20" t="n">
        <x:v>72096</x:v>
      </x:c>
      <x:c r="F164" s="18" t="str">
        <x:v>persons/day</x:v>
      </x:c>
      <x:c r="G164" s="18" t="str">
        <x:v>FY2024</x:v>
      </x:c>
      <x:c r="H164" s="18" t="str">
        <x:v>否</x:v>
      </x:c>
      <x:c r="I164" s="19" t="str">
        <x:v>DAILY_ENTRIES_EXITS</x:v>
      </x:c>
      <x:c r="J164" s="19" t="str">
        <x:v>総武線</x:v>
      </x:c>
      <x:c r="K164" s="18" t="str">
        <x:v>transport-node:404dfb74-2d95-540f-a6e9-0134d30efdbb</x:v>
      </x:c>
      <x:c r="L164" s="19" t="str">
        <x:v>组件待审核</x:v>
      </x:c>
      <x:c r="M164" s="21" t="n">
        <x:v>35.695755</x:v>
      </x:c>
      <x:c r="N164" s="21" t="n">
        <x:v>139.79335</x:v>
      </x:c>
      <x:c r="O164" s="18" t="str">
        <x:v>003654</x:v>
      </x:c>
      <x:c r="P164" s="18" t="str">
        <x:v>総武線</x:v>
      </x:c>
      <x:c r="Q164" s="19" t="str">
        <x:v>S12_061_GE_10000</x:v>
      </x:c>
      <x:c r="R164" s="19" t="str">
        <x:v>S12_061 usage threshold</x:v>
      </x:c>
      <x:c r="S164" s="19" t="str">
        <x:v>https://nlftp.mlit.go.jp/ksj/gml/datalist/KsjTmplt-S12-2024.html</x:v>
      </x:c>
      <x:c r="T164" s="19" t="str">
        <x:v>https://nlftp.mlit.go.jp/ksj/gml/datalist/KsjTmplt-S12-2024.html</x:v>
      </x:c>
      <x:c r="U164" s="19" t="str">
        <x:v>station-component|両国|東日本旅客鉄道|conventional_rail|35.6958|139.7934|</x:v>
      </x:c>
      <x:c r="V164" s="19" t="str">
        <x:v>003654 / 003654 / 総武線</x:v>
      </x:c>
      <x:c r="W164" s="18" t="str">
        <x:v>否</x:v>
      </x:c>
      <x:c r="X164" s="18" t="str">
        <x:v>0785e932a32b3ec15e1a1345537ae145eafe1c07bf38d5c16c11ee2b391e7a28</x:v>
      </x:c>
      <x:c r="Y164" s="20" t="n">
        <x:v>1</x:v>
      </x:c>
      <x:c r="Z164" s="20" t="n">
        <x:v>1</x:v>
      </x:c>
      <x:c r="AA164" s="19"/>
      <x:c r="AB164" s="18"/>
      <x:c r="AC164" s="19"/>
    </x:row>
    <x:row r="165" ht="28" customHeight="1">
      <x:c r="A165" s="18" t="str">
        <x:v>中の島</x:v>
      </x:c>
      <x:c r="B165" s="18" t="str">
        <x:v>札幌市</x:v>
      </x:c>
      <x:c r="C165" s="18" t="str">
        <x:v>metro</x:v>
      </x:c>
      <x:c r="D165" s="19" t="str">
        <x:v>T2</x:v>
      </x:c>
      <x:c r="E165" s="20" t="n">
        <x:v>11890</x:v>
      </x:c>
      <x:c r="F165" s="18" t="str">
        <x:v>persons/day</x:v>
      </x:c>
      <x:c r="G165" s="18" t="str">
        <x:v>FY2024</x:v>
      </x:c>
      <x:c r="H165" s="18" t="str">
        <x:v>否</x:v>
      </x:c>
      <x:c r="I165" s="19" t="str">
        <x:v>DAILY_ENTRIES_EXITS</x:v>
      </x:c>
      <x:c r="J165" s="19" t="str">
        <x:v>南北線</x:v>
      </x:c>
      <x:c r="K165" s="18" t="str">
        <x:v>transport-node:fb6359a7-dc3a-56ba-bc53-0e646ebef3d5</x:v>
      </x:c>
      <x:c r="L165" s="19" t="str">
        <x:v>组件待审核</x:v>
      </x:c>
      <x:c r="M165" s="21" t="n">
        <x:v>43.03745</x:v>
      </x:c>
      <x:c r="N165" s="21" t="n">
        <x:v>141.361195</x:v>
      </x:c>
      <x:c r="O165" s="18" t="str">
        <x:v>000280</x:v>
      </x:c>
      <x:c r="P165" s="18" t="str">
        <x:v>南北線</x:v>
      </x:c>
      <x:c r="Q165" s="19" t="str">
        <x:v>S12_061_GE_10000</x:v>
      </x:c>
      <x:c r="R165" s="19" t="str">
        <x:v>S12_061 usage threshold</x:v>
      </x:c>
      <x:c r="S165" s="19" t="str">
        <x:v>https://nlftp.mlit.go.jp/ksj/gml/datalist/KsjTmplt-S12-2024.html</x:v>
      </x:c>
      <x:c r="T165" s="19" t="str">
        <x:v>https://nlftp.mlit.go.jp/ksj/gml/datalist/KsjTmplt-S12-2024.html</x:v>
      </x:c>
      <x:c r="U165" s="19" t="str">
        <x:v>station-component|中の島|札幌市|metro|43.0374|141.3612|</x:v>
      </x:c>
      <x:c r="V165" s="19" t="str">
        <x:v>000280 / 000280 / 南北線</x:v>
      </x:c>
      <x:c r="W165" s="18" t="str">
        <x:v>否</x:v>
      </x:c>
      <x:c r="X165" s="18" t="str">
        <x:v>0785e932a32b3ec15e1a1345537ae145eafe1c07bf38d5c16c11ee2b391e7a28</x:v>
      </x:c>
      <x:c r="Y165" s="20" t="n">
        <x:v>1</x:v>
      </x:c>
      <x:c r="Z165" s="20" t="n">
        <x:v>1</x:v>
      </x:c>
      <x:c r="AA165" s="19"/>
      <x:c r="AB165" s="18"/>
      <x:c r="AC165" s="19"/>
    </x:row>
    <x:row r="166" ht="33" customHeight="1">
      <x:c r="A166" s="18" t="str">
        <x:v>中井</x:v>
      </x:c>
      <x:c r="B166" s="18" t="str">
        <x:v>東京都</x:v>
      </x:c>
      <x:c r="C166" s="18" t="str">
        <x:v>metro</x:v>
      </x:c>
      <x:c r="D166" s="19" t="str">
        <x:v>T2</x:v>
      </x:c>
      <x:c r="E166" s="20" t="n">
        <x:v>17393</x:v>
      </x:c>
      <x:c r="F166" s="18" t="str">
        <x:v>persons/day</x:v>
      </x:c>
      <x:c r="G166" s="18" t="str">
        <x:v>FY2024</x:v>
      </x:c>
      <x:c r="H166" s="18" t="str">
        <x:v>否</x:v>
      </x:c>
      <x:c r="I166" s="19" t="str">
        <x:v>DAILY_ENTRIES_EXITS</x:v>
      </x:c>
      <x:c r="J166" s="19" t="str">
        <x:v>12号線大江戸線</x:v>
      </x:c>
      <x:c r="K166" s="18" t="str">
        <x:v>transport-node:98fa294f-c913-53a0-8a6a-1216410ee12a</x:v>
      </x:c>
      <x:c r="L166" s="19" t="str">
        <x:v>组件待审核</x:v>
      </x:c>
      <x:c r="M166" s="21" t="n">
        <x:v>35.713865</x:v>
      </x:c>
      <x:c r="N166" s="21" t="n">
        <x:v>139.68631</x:v>
      </x:c>
      <x:c r="O166" s="18" t="str">
        <x:v>003503</x:v>
      </x:c>
      <x:c r="P166" s="18" t="str">
        <x:v>12号線大江戸線</x:v>
      </x:c>
      <x:c r="Q166" s="19" t="str">
        <x:v>S12_061_GE_10000
OFFICIAL_HUB_COMPONENT_REVIEW</x:v>
      </x:c>
      <x:c r="R166" s="19" t="str">
        <x:v>S12_061 usage threshold</x:v>
      </x:c>
      <x:c r="S166" s="19" t="str">
        <x:v>https://nlftp.mlit.go.jp/ksj/gml/datalist/KsjTmplt-S12-2024.html</x:v>
      </x:c>
      <x:c r="T166" s="19" t="str">
        <x:v>https://nlftp.mlit.go.jp/ksj/gml/datalist/KsjTmplt-S12-2024.html
https://www.seiburailway.jp/railway/station/</x:v>
      </x:c>
      <x:c r="U166" s="19" t="str">
        <x:v>station-component|中井|東京都|metro|35.7139|139.6863|</x:v>
      </x:c>
      <x:c r="V166" s="19" t="str">
        <x:v>003495 / 003503 / 12号線大江戸線</x:v>
      </x:c>
      <x:c r="W166" s="18" t="str">
        <x:v>否</x:v>
      </x:c>
      <x:c r="X166" s="18" t="str">
        <x:v>0785e932a32b3ec15e1a1345537ae145eafe1c07bf38d5c16c11ee2b391e7a28</x:v>
      </x:c>
      <x:c r="Y166" s="20" t="n">
        <x:v>1</x:v>
      </x:c>
      <x:c r="Z166" s="20" t="n">
        <x:v>1</x:v>
      </x:c>
      <x:c r="AA166" s="19" t="str">
        <x:v>中井</x:v>
      </x:c>
      <x:c r="AB166" s="18" t="str">
        <x:v>transport-hub-review:e4debfa2-1eec-5a7f-93f9-5e0319eacdea</x:v>
      </x:c>
      <x:c r="AC166" s="19"/>
    </x:row>
    <x:row r="167" ht="33" customHeight="1">
      <x:c r="A167" s="18" t="str">
        <x:v>中井</x:v>
      </x:c>
      <x:c r="B167" s="18" t="str">
        <x:v>西武鉄道</x:v>
      </x:c>
      <x:c r="C167" s="18" t="str">
        <x:v>private_rail</x:v>
      </x:c>
      <x:c r="D167" s="19" t="str">
        <x:v>T2</x:v>
      </x:c>
      <x:c r="E167" s="20" t="n">
        <x:v>27638</x:v>
      </x:c>
      <x:c r="F167" s="18" t="str">
        <x:v>persons/day</x:v>
      </x:c>
      <x:c r="G167" s="18" t="str">
        <x:v>FY2024</x:v>
      </x:c>
      <x:c r="H167" s="18" t="str">
        <x:v>否</x:v>
      </x:c>
      <x:c r="I167" s="19" t="str">
        <x:v>DAILY_ENTRIES_EXITS</x:v>
      </x:c>
      <x:c r="J167" s="19" t="str">
        <x:v>新宿線</x:v>
      </x:c>
      <x:c r="K167" s="18" t="str">
        <x:v>transport-node:8e8a412c-8b3b-5133-9061-908d3b1d28f4</x:v>
      </x:c>
      <x:c r="L167" s="19" t="str">
        <x:v>组件待审核</x:v>
      </x:c>
      <x:c r="M167" s="21" t="n">
        <x:v>35.71507</x:v>
      </x:c>
      <x:c r="N167" s="21" t="n">
        <x:v>139.686645</x:v>
      </x:c>
      <x:c r="O167" s="18" t="str">
        <x:v>003495</x:v>
      </x:c>
      <x:c r="P167" s="18" t="str">
        <x:v>新宿線</x:v>
      </x:c>
      <x:c r="Q167" s="19" t="str">
        <x:v>S12_061_GE_10000
OFFICIAL_HUB_COMPONENT_REVIEW</x:v>
      </x:c>
      <x:c r="R167" s="19" t="str">
        <x:v>S12_061 usage threshold</x:v>
      </x:c>
      <x:c r="S167" s="19" t="str">
        <x:v>https://nlftp.mlit.go.jp/ksj/gml/datalist/KsjTmplt-S12-2024.html</x:v>
      </x:c>
      <x:c r="T167" s="19" t="str">
        <x:v>https://nlftp.mlit.go.jp/ksj/gml/datalist/KsjTmplt-S12-2024.html
https://www.seiburailway.jp/railway/station/</x:v>
      </x:c>
      <x:c r="U167" s="19" t="str">
        <x:v>station-component|中井|西武鉄道|private_rail|35.7151|139.6866|</x:v>
      </x:c>
      <x:c r="V167" s="19" t="str">
        <x:v>003495 / 003495 / 新宿線</x:v>
      </x:c>
      <x:c r="W167" s="18" t="str">
        <x:v>否</x:v>
      </x:c>
      <x:c r="X167" s="18" t="str">
        <x:v>0785e932a32b3ec15e1a1345537ae145eafe1c07bf38d5c16c11ee2b391e7a28</x:v>
      </x:c>
      <x:c r="Y167" s="20" t="n">
        <x:v>1</x:v>
      </x:c>
      <x:c r="Z167" s="20" t="n">
        <x:v>1</x:v>
      </x:c>
      <x:c r="AA167" s="19" t="str">
        <x:v>中井</x:v>
      </x:c>
      <x:c r="AB167" s="18" t="str">
        <x:v>transport-hub-review:e4debfa2-1eec-5a7f-93f9-5e0319eacdea</x:v>
      </x:c>
      <x:c r="AC167" s="19"/>
    </x:row>
    <x:row r="168" ht="28" customHeight="1">
      <x:c r="A168" s="18" t="str">
        <x:v>中央大学・明星大学</x:v>
      </x:c>
      <x:c r="B168" s="18" t="str">
        <x:v>多摩都市モノレール</x:v>
      </x:c>
      <x:c r="C168" s="18" t="str">
        <x:v>fixed_guideway</x:v>
      </x:c>
      <x:c r="D168" s="19" t="str">
        <x:v>T2</x:v>
      </x:c>
      <x:c r="E168" s="20" t="n">
        <x:v>27913</x:v>
      </x:c>
      <x:c r="F168" s="18" t="str">
        <x:v>persons/day</x:v>
      </x:c>
      <x:c r="G168" s="18" t="str">
        <x:v>FY2024</x:v>
      </x:c>
      <x:c r="H168" s="18" t="str">
        <x:v>否</x:v>
      </x:c>
      <x:c r="I168" s="19" t="str">
        <x:v>DAILY_ENTRIES_EXITS</x:v>
      </x:c>
      <x:c r="J168" s="19" t="str">
        <x:v>多摩都市モノレール線</x:v>
      </x:c>
      <x:c r="K168" s="18" t="str">
        <x:v>transport-node:eb12acec-7022-5488-90ea-b38c4c5407ff</x:v>
      </x:c>
      <x:c r="L168" s="19" t="str">
        <x:v>组件待审核</x:v>
      </x:c>
      <x:c r="M168" s="21" t="n">
        <x:v>35.641885</x:v>
      </x:c>
      <x:c r="N168" s="21" t="n">
        <x:v>139.408725</x:v>
      </x:c>
      <x:c r="O168" s="18" t="str">
        <x:v>004031</x:v>
      </x:c>
      <x:c r="P168" s="18" t="str">
        <x:v>多摩都市モノレール線</x:v>
      </x:c>
      <x:c r="Q168" s="19" t="str">
        <x:v>S12_061_GE_10000</x:v>
      </x:c>
      <x:c r="R168" s="19" t="str">
        <x:v>S12_061 usage threshold</x:v>
      </x:c>
      <x:c r="S168" s="19" t="str">
        <x:v>https://nlftp.mlit.go.jp/ksj/gml/datalist/KsjTmplt-S12-2024.html</x:v>
      </x:c>
      <x:c r="T168" s="19" t="str">
        <x:v>https://nlftp.mlit.go.jp/ksj/gml/datalist/KsjTmplt-S12-2024.html</x:v>
      </x:c>
      <x:c r="U168" s="19" t="str">
        <x:v>station-component|中央大学・明星大学|多摩都市モノレール|fixed_guideway|35.6419|139.4087|</x:v>
      </x:c>
      <x:c r="V168" s="19" t="str">
        <x:v>004031 / 004031 / 多摩都市モノレール線</x:v>
      </x:c>
      <x:c r="W168" s="18" t="str">
        <x:v>否</x:v>
      </x:c>
      <x:c r="X168" s="18" t="str">
        <x:v>0785e932a32b3ec15e1a1345537ae145eafe1c07bf38d5c16c11ee2b391e7a28</x:v>
      </x:c>
      <x:c r="Y168" s="20" t="n">
        <x:v>1</x:v>
      </x:c>
      <x:c r="Z168" s="20" t="n">
        <x:v>1</x:v>
      </x:c>
      <x:c r="AA168" s="19"/>
      <x:c r="AB168" s="18"/>
      <x:c r="AC168" s="19"/>
    </x:row>
    <x:row r="169" ht="33" customHeight="1">
      <x:c r="A169" s="18" t="str">
        <x:v>中央林間</x:v>
      </x:c>
      <x:c r="B169" s="18" t="str">
        <x:v>小田急電鉄</x:v>
      </x:c>
      <x:c r="C169" s="18" t="str">
        <x:v>private_rail</x:v>
      </x:c>
      <x:c r="D169" s="19" t="str">
        <x:v>T1</x:v>
      </x:c>
      <x:c r="E169" s="20" t="n">
        <x:v>91179</x:v>
      </x:c>
      <x:c r="F169" s="18" t="str">
        <x:v>persons/day</x:v>
      </x:c>
      <x:c r="G169" s="18" t="str">
        <x:v>FY2024</x:v>
      </x:c>
      <x:c r="H169" s="18" t="str">
        <x:v>否</x:v>
      </x:c>
      <x:c r="I169" s="19" t="str">
        <x:v>DAILY_ENTRIES_EXITS</x:v>
      </x:c>
      <x:c r="J169" s="19" t="str">
        <x:v>江ノ島線</x:v>
      </x:c>
      <x:c r="K169" s="18" t="str">
        <x:v>transport-node:87baf807-99a2-599c-b543-9255d5c0b162</x:v>
      </x:c>
      <x:c r="L169" s="19" t="str">
        <x:v>组件待审核</x:v>
      </x:c>
      <x:c r="M169" s="21" t="n">
        <x:v>35.508005</x:v>
      </x:c>
      <x:c r="N169" s="21" t="n">
        <x:v>139.4441</x:v>
      </x:c>
      <x:c r="O169" s="18" t="str">
        <x:v>004498</x:v>
      </x:c>
      <x:c r="P169" s="18" t="str">
        <x:v>江ノ島線</x:v>
      </x:c>
      <x:c r="Q169" s="19" t="str">
        <x:v>S12_061_GE_10000
OFFICIAL_HUB_COMPONENT_REVIEW</x:v>
      </x:c>
      <x:c r="R169" s="19" t="str">
        <x:v>S12_061 usage threshold</x:v>
      </x:c>
      <x:c r="S169" s="19" t="str">
        <x:v>https://nlftp.mlit.go.jp/ksj/gml/datalist/KsjTmplt-S12-2024.html</x:v>
      </x:c>
      <x:c r="T169" s="19" t="str">
        <x:v>https://nlftp.mlit.go.jp/ksj/gml/datalist/KsjTmplt-S12-2024.html
https://www.tokyu.co.jp/area/chuo-rinkan/station/</x:v>
      </x:c>
      <x:c r="U169" s="19" t="str">
        <x:v>station-component|中央林間|小田急電鉄|private_rail|35.5080|139.4441|</x:v>
      </x:c>
      <x:c r="V169" s="19" t="str">
        <x:v>004498 / 004498 / 江ノ島線</x:v>
      </x:c>
      <x:c r="W169" s="18" t="str">
        <x:v>否</x:v>
      </x:c>
      <x:c r="X169" s="18" t="str">
        <x:v>0785e932a32b3ec15e1a1345537ae145eafe1c07bf38d5c16c11ee2b391e7a28</x:v>
      </x:c>
      <x:c r="Y169" s="20" t="n">
        <x:v>1</x:v>
      </x:c>
      <x:c r="Z169" s="20" t="n">
        <x:v>1</x:v>
      </x:c>
      <x:c r="AA169" s="19" t="str">
        <x:v>中央林間</x:v>
      </x:c>
      <x:c r="AB169" s="18" t="str">
        <x:v>transport-hub-review:793153d5-8069-525e-94f7-0a72bd4b090b</x:v>
      </x:c>
      <x:c r="AC169" s="19"/>
    </x:row>
    <x:row r="170" ht="33" customHeight="1">
      <x:c r="A170" s="18" t="str">
        <x:v>中央林間</x:v>
      </x:c>
      <x:c r="B170" s="18" t="str">
        <x:v>東急電鉄</x:v>
      </x:c>
      <x:c r="C170" s="18" t="str">
        <x:v>private_rail</x:v>
      </x:c>
      <x:c r="D170" s="19" t="str">
        <x:v>T1</x:v>
      </x:c>
      <x:c r="E170" s="20" t="n">
        <x:v>95830</x:v>
      </x:c>
      <x:c r="F170" s="18" t="str">
        <x:v>persons/day</x:v>
      </x:c>
      <x:c r="G170" s="18" t="str">
        <x:v>FY2024</x:v>
      </x:c>
      <x:c r="H170" s="18" t="str">
        <x:v>否</x:v>
      </x:c>
      <x:c r="I170" s="19" t="str">
        <x:v>DAILY_ENTRIES_EXITS</x:v>
      </x:c>
      <x:c r="J170" s="19" t="str">
        <x:v>田園都市線</x:v>
      </x:c>
      <x:c r="K170" s="18" t="str">
        <x:v>transport-node:096abaa2-6a6e-50b2-913f-577d2f832636</x:v>
      </x:c>
      <x:c r="L170" s="19" t="str">
        <x:v>组件待审核</x:v>
      </x:c>
      <x:c r="M170" s="21" t="n">
        <x:v>35.50781</x:v>
      </x:c>
      <x:c r="N170" s="21" t="n">
        <x:v>139.445115</x:v>
      </x:c>
      <x:c r="O170" s="18" t="str">
        <x:v>004500</x:v>
      </x:c>
      <x:c r="P170" s="18" t="str">
        <x:v>田園都市線</x:v>
      </x:c>
      <x:c r="Q170" s="19" t="str">
        <x:v>S12_061_GE_10000
OFFICIAL_HUB_COMPONENT_REVIEW</x:v>
      </x:c>
      <x:c r="R170" s="19" t="str">
        <x:v>S12_061 usage threshold</x:v>
      </x:c>
      <x:c r="S170" s="19" t="str">
        <x:v>https://nlftp.mlit.go.jp/ksj/gml/datalist/KsjTmplt-S12-2024.html</x:v>
      </x:c>
      <x:c r="T170" s="19" t="str">
        <x:v>https://nlftp.mlit.go.jp/ksj/gml/datalist/KsjTmplt-S12-2024.html
https://www.tokyu.co.jp/area/chuo-rinkan/station/</x:v>
      </x:c>
      <x:c r="U170" s="19" t="str">
        <x:v>station-component|中央林間|東急電鉄|private_rail|35.5078|139.4451|</x:v>
      </x:c>
      <x:c r="V170" s="19" t="str">
        <x:v>004498 / 004500 / 田園都市線</x:v>
      </x:c>
      <x:c r="W170" s="18" t="str">
        <x:v>否</x:v>
      </x:c>
      <x:c r="X170" s="18" t="str">
        <x:v>0785e932a32b3ec15e1a1345537ae145eafe1c07bf38d5c16c11ee2b391e7a28</x:v>
      </x:c>
      <x:c r="Y170" s="20" t="n">
        <x:v>1</x:v>
      </x:c>
      <x:c r="Z170" s="20" t="n">
        <x:v>1</x:v>
      </x:c>
      <x:c r="AA170" s="19" t="str">
        <x:v>中央林間</x:v>
      </x:c>
      <x:c r="AB170" s="18" t="str">
        <x:v>transport-hub-review:793153d5-8069-525e-94f7-0a72bd4b090b</x:v>
      </x:c>
      <x:c r="AC170" s="19"/>
    </x:row>
    <x:row r="171" ht="28" customHeight="1">
      <x:c r="A171" s="18" t="str">
        <x:v>中山</x:v>
      </x:c>
      <x:c r="B171" s="18" t="str">
        <x:v>東日本旅客鉄道</x:v>
      </x:c>
      <x:c r="C171" s="18" t="str">
        <x:v>conventional_rail</x:v>
      </x:c>
      <x:c r="D171" s="19" t="str">
        <x:v>T1</x:v>
      </x:c>
      <x:c r="E171" s="20" t="n">
        <x:v>76398</x:v>
      </x:c>
      <x:c r="F171" s="18" t="str">
        <x:v>persons/day</x:v>
      </x:c>
      <x:c r="G171" s="18" t="str">
        <x:v>FY2024</x:v>
      </x:c>
      <x:c r="H171" s="18" t="str">
        <x:v>否</x:v>
      </x:c>
      <x:c r="I171" s="19" t="str">
        <x:v>DAILY_ENTRIES_EXITS</x:v>
      </x:c>
      <x:c r="J171" s="19" t="str">
        <x:v>横浜線</x:v>
      </x:c>
      <x:c r="K171" s="18" t="str">
        <x:v>transport-node:b34b1965-b9fa-54cd-ae28-b9d191d0ac0f</x:v>
      </x:c>
      <x:c r="L171" s="19" t="str">
        <x:v>组件待审核</x:v>
      </x:c>
      <x:c r="M171" s="21" t="n">
        <x:v>35.51468</x:v>
      </x:c>
      <x:c r="N171" s="21" t="n">
        <x:v>139.5393875</x:v>
      </x:c>
      <x:c r="O171" s="18" t="str">
        <x:v>004473</x:v>
      </x:c>
      <x:c r="P171" s="18" t="str">
        <x:v>横浜線</x:v>
      </x:c>
      <x:c r="Q171" s="19" t="str">
        <x:v>S12_061_GE_10000</x:v>
      </x:c>
      <x:c r="R171" s="19" t="str">
        <x:v>S12_061 usage threshold</x:v>
      </x:c>
      <x:c r="S171" s="19" t="str">
        <x:v>https://nlftp.mlit.go.jp/ksj/gml/datalist/KsjTmplt-S12-2024.html</x:v>
      </x:c>
      <x:c r="T171" s="19" t="str">
        <x:v>https://nlftp.mlit.go.jp/ksj/gml/datalist/KsjTmplt-S12-2024.html</x:v>
      </x:c>
      <x:c r="U171" s="19" t="str">
        <x:v>station-component|中山|東日本旅客鉄道|conventional_rail|35.5147|139.5394|</x:v>
      </x:c>
      <x:c r="V171" s="19" t="str">
        <x:v>004473 / 004473 / 横浜線</x:v>
      </x:c>
      <x:c r="W171" s="18" t="str">
        <x:v>否</x:v>
      </x:c>
      <x:c r="X171" s="18" t="str">
        <x:v>0785e932a32b3ec15e1a1345537ae145eafe1c07bf38d5c16c11ee2b391e7a28</x:v>
      </x:c>
      <x:c r="Y171" s="20" t="n">
        <x:v>1</x:v>
      </x:c>
      <x:c r="Z171" s="20" t="n">
        <x:v>1</x:v>
      </x:c>
      <x:c r="AA171" s="19"/>
      <x:c r="AB171" s="18"/>
      <x:c r="AC171" s="19"/>
    </x:row>
    <x:row r="172" ht="28" customHeight="1">
      <x:c r="A172" s="18" t="str">
        <x:v>中山</x:v>
      </x:c>
      <x:c r="B172" s="18" t="str">
        <x:v>横浜市</x:v>
      </x:c>
      <x:c r="C172" s="18" t="str">
        <x:v>metro</x:v>
      </x:c>
      <x:c r="D172" s="19" t="str">
        <x:v>T2</x:v>
      </x:c>
      <x:c r="E172" s="20" t="n">
        <x:v>14209</x:v>
      </x:c>
      <x:c r="F172" s="18" t="str">
        <x:v>persons/day</x:v>
      </x:c>
      <x:c r="G172" s="18" t="str">
        <x:v>FY2024</x:v>
      </x:c>
      <x:c r="H172" s="18" t="str">
        <x:v>否</x:v>
      </x:c>
      <x:c r="I172" s="19" t="str">
        <x:v>DAILY_ENTRIES_EXITS</x:v>
      </x:c>
      <x:c r="J172" s="19" t="str">
        <x:v>4号線</x:v>
      </x:c>
      <x:c r="K172" s="18" t="str">
        <x:v>transport-node:b09aee56-828e-5940-a6e2-68456aa6cb54</x:v>
      </x:c>
      <x:c r="L172" s="19" t="str">
        <x:v>组件待审核</x:v>
      </x:c>
      <x:c r="M172" s="21" t="n">
        <x:v>35.51474</x:v>
      </x:c>
      <x:c r="N172" s="21" t="n">
        <x:v>139.540265</x:v>
      </x:c>
      <x:c r="O172" s="18" t="str">
        <x:v>004474</x:v>
      </x:c>
      <x:c r="P172" s="18" t="str">
        <x:v>4号線</x:v>
      </x:c>
      <x:c r="Q172" s="19" t="str">
        <x:v>S12_061_GE_10000</x:v>
      </x:c>
      <x:c r="R172" s="19" t="str">
        <x:v>S12_061 usage threshold</x:v>
      </x:c>
      <x:c r="S172" s="19" t="str">
        <x:v>https://nlftp.mlit.go.jp/ksj/gml/datalist/KsjTmplt-S12-2024.html</x:v>
      </x:c>
      <x:c r="T172" s="19" t="str">
        <x:v>https://nlftp.mlit.go.jp/ksj/gml/datalist/KsjTmplt-S12-2024.html</x:v>
      </x:c>
      <x:c r="U172" s="19" t="str">
        <x:v>station-component|中山|横浜市|metro|35.5147|139.5403|</x:v>
      </x:c>
      <x:c r="V172" s="19" t="str">
        <x:v>004473 / 004474 / 4号線</x:v>
      </x:c>
      <x:c r="W172" s="18" t="str">
        <x:v>否</x:v>
      </x:c>
      <x:c r="X172" s="18" t="str">
        <x:v>0785e932a32b3ec15e1a1345537ae145eafe1c07bf38d5c16c11ee2b391e7a28</x:v>
      </x:c>
      <x:c r="Y172" s="20" t="n">
        <x:v>1</x:v>
      </x:c>
      <x:c r="Z172" s="20" t="n">
        <x:v>1</x:v>
      </x:c>
      <x:c r="AA172" s="19"/>
      <x:c r="AB172" s="18"/>
      <x:c r="AC172" s="19"/>
    </x:row>
    <x:row r="173" ht="28" customHeight="1">
      <x:c r="A173" s="18" t="str">
        <x:v>中山寺</x:v>
      </x:c>
      <x:c r="B173" s="18" t="str">
        <x:v>西日本旅客鉄道</x:v>
      </x:c>
      <x:c r="C173" s="18" t="str">
        <x:v>conventional_rail</x:v>
      </x:c>
      <x:c r="D173" s="19" t="str">
        <x:v>T2</x:v>
      </x:c>
      <x:c r="E173" s="20" t="n">
        <x:v>18200</x:v>
      </x:c>
      <x:c r="F173" s="18" t="str">
        <x:v>persons/day</x:v>
      </x:c>
      <x:c r="G173" s="18" t="str">
        <x:v>FY2024</x:v>
      </x:c>
      <x:c r="H173" s="18" t="str">
        <x:v>否</x:v>
      </x:c>
      <x:c r="I173" s="19" t="str">
        <x:v>DAILY_ENTRIES_EXITS</x:v>
      </x:c>
      <x:c r="J173" s="19" t="str">
        <x:v>福知山線</x:v>
      </x:c>
      <x:c r="K173" s="18" t="str">
        <x:v>transport-node:7adb8964-315b-50a6-a5f4-6f44956deeea</x:v>
      </x:c>
      <x:c r="L173" s="19" t="str">
        <x:v>组件待审核</x:v>
      </x:c>
      <x:c r="M173" s="21" t="n">
        <x:v>34.8166</x:v>
      </x:c>
      <x:c r="N173" s="21" t="n">
        <x:v>135.374005</x:v>
      </x:c>
      <x:c r="O173" s="18" t="str">
        <x:v>006561</x:v>
      </x:c>
      <x:c r="P173" s="18" t="str">
        <x:v>福知山線</x:v>
      </x:c>
      <x:c r="Q173" s="19" t="str">
        <x:v>S12_061_GE_10000</x:v>
      </x:c>
      <x:c r="R173" s="19" t="str">
        <x:v>S12_061 usage threshold</x:v>
      </x:c>
      <x:c r="S173" s="19" t="str">
        <x:v>https://nlftp.mlit.go.jp/ksj/gml/datalist/KsjTmplt-S12-2024.html</x:v>
      </x:c>
      <x:c r="T173" s="19" t="str">
        <x:v>https://nlftp.mlit.go.jp/ksj/gml/datalist/KsjTmplt-S12-2024.html</x:v>
      </x:c>
      <x:c r="U173" s="19" t="str">
        <x:v>station-component|中山寺|西日本旅客鉄道|conventional_rail|34.8166|135.3740|</x:v>
      </x:c>
      <x:c r="V173" s="19" t="str">
        <x:v>006561 / 006561 / 福知山線</x:v>
      </x:c>
      <x:c r="W173" s="18" t="str">
        <x:v>否</x:v>
      </x:c>
      <x:c r="X173" s="18" t="str">
        <x:v>0785e932a32b3ec15e1a1345537ae145eafe1c07bf38d5c16c11ee2b391e7a28</x:v>
      </x:c>
      <x:c r="Y173" s="20" t="n">
        <x:v>1</x:v>
      </x:c>
      <x:c r="Z173" s="20" t="n">
        <x:v>1</x:v>
      </x:c>
      <x:c r="AA173" s="19"/>
      <x:c r="AB173" s="18"/>
      <x:c r="AC173" s="19"/>
    </x:row>
    <x:row r="174" ht="28" customHeight="1">
      <x:c r="A174" s="18" t="str">
        <x:v>中島公園</x:v>
      </x:c>
      <x:c r="B174" s="18" t="str">
        <x:v>札幌市</x:v>
      </x:c>
      <x:c r="C174" s="18" t="str">
        <x:v>metro</x:v>
      </x:c>
      <x:c r="D174" s="19" t="str">
        <x:v>T2</x:v>
      </x:c>
      <x:c r="E174" s="20" t="n">
        <x:v>20840</x:v>
      </x:c>
      <x:c r="F174" s="18" t="str">
        <x:v>persons/day</x:v>
      </x:c>
      <x:c r="G174" s="18" t="str">
        <x:v>FY2024</x:v>
      </x:c>
      <x:c r="H174" s="18" t="str">
        <x:v>否</x:v>
      </x:c>
      <x:c r="I174" s="19" t="str">
        <x:v>DAILY_ENTRIES_EXITS</x:v>
      </x:c>
      <x:c r="J174" s="19" t="str">
        <x:v>南北線</x:v>
      </x:c>
      <x:c r="K174" s="18" t="str">
        <x:v>transport-node:5d660ab7-ff4b-5898-85b9-e586eebc41b3</x:v>
      </x:c>
      <x:c r="L174" s="19" t="str">
        <x:v>组件待审核</x:v>
      </x:c>
      <x:c r="M174" s="21" t="n">
        <x:v>43.048475</x:v>
      </x:c>
      <x:c r="N174" s="21" t="n">
        <x:v>141.355055</x:v>
      </x:c>
      <x:c r="O174" s="18" t="str">
        <x:v>000262</x:v>
      </x:c>
      <x:c r="P174" s="18" t="str">
        <x:v>南北線</x:v>
      </x:c>
      <x:c r="Q174" s="19" t="str">
        <x:v>S12_061_GE_10000</x:v>
      </x:c>
      <x:c r="R174" s="19" t="str">
        <x:v>S12_061 usage threshold</x:v>
      </x:c>
      <x:c r="S174" s="19" t="str">
        <x:v>https://nlftp.mlit.go.jp/ksj/gml/datalist/KsjTmplt-S12-2024.html</x:v>
      </x:c>
      <x:c r="T174" s="19" t="str">
        <x:v>https://nlftp.mlit.go.jp/ksj/gml/datalist/KsjTmplt-S12-2024.html</x:v>
      </x:c>
      <x:c r="U174" s="19" t="str">
        <x:v>station-component|中島公園|札幌市|metro|43.0485|141.3551|</x:v>
      </x:c>
      <x:c r="V174" s="19" t="str">
        <x:v>000262 / 000262 / 南北線</x:v>
      </x:c>
      <x:c r="W174" s="18" t="str">
        <x:v>否</x:v>
      </x:c>
      <x:c r="X174" s="18" t="str">
        <x:v>0785e932a32b3ec15e1a1345537ae145eafe1c07bf38d5c16c11ee2b391e7a28</x:v>
      </x:c>
      <x:c r="Y174" s="20" t="n">
        <x:v>1</x:v>
      </x:c>
      <x:c r="Z174" s="20" t="n">
        <x:v>1</x:v>
      </x:c>
      <x:c r="AA174" s="19"/>
      <x:c r="AB174" s="18"/>
      <x:c r="AC174" s="19"/>
    </x:row>
    <x:row r="175" ht="28" customHeight="1">
      <x:c r="A175" s="18" t="str">
        <x:v>中崎町</x:v>
      </x:c>
      <x:c r="B175" s="18" t="str">
        <x:v>大阪市高速電気軌道</x:v>
      </x:c>
      <x:c r="C175" s="18" t="str">
        <x:v>metro</x:v>
      </x:c>
      <x:c r="D175" s="19" t="str">
        <x:v>T2</x:v>
      </x:c>
      <x:c r="E175" s="20" t="n">
        <x:v>15681</x:v>
      </x:c>
      <x:c r="F175" s="18" t="str">
        <x:v>persons/day</x:v>
      </x:c>
      <x:c r="G175" s="18" t="str">
        <x:v>FY2024</x:v>
      </x:c>
      <x:c r="H175" s="18" t="str">
        <x:v>否</x:v>
      </x:c>
      <x:c r="I175" s="19" t="str">
        <x:v>DAILY_ENTRIES_EXITS</x:v>
      </x:c>
      <x:c r="J175" s="19" t="str">
        <x:v>2号線(谷町線)</x:v>
      </x:c>
      <x:c r="K175" s="18" t="str">
        <x:v>transport-node:dba040f1-c71e-55a4-a998-67769abb3a67</x:v>
      </x:c>
      <x:c r="L175" s="19" t="str">
        <x:v>组件待审核</x:v>
      </x:c>
      <x:c r="M175" s="21" t="n">
        <x:v>34.70718</x:v>
      </x:c>
      <x:c r="N175" s="21" t="n">
        <x:v>135.505565</x:v>
      </x:c>
      <x:c r="O175" s="18" t="str">
        <x:v>007040</x:v>
      </x:c>
      <x:c r="P175" s="18" t="str">
        <x:v>2号線(谷町線)</x:v>
      </x:c>
      <x:c r="Q175" s="19" t="str">
        <x:v>S12_061_GE_10000</x:v>
      </x:c>
      <x:c r="R175" s="19" t="str">
        <x:v>S12_061 usage threshold</x:v>
      </x:c>
      <x:c r="S175" s="19" t="str">
        <x:v>https://nlftp.mlit.go.jp/ksj/gml/datalist/KsjTmplt-S12-2024.html</x:v>
      </x:c>
      <x:c r="T175" s="19" t="str">
        <x:v>https://nlftp.mlit.go.jp/ksj/gml/datalist/KsjTmplt-S12-2024.html</x:v>
      </x:c>
      <x:c r="U175" s="19" t="str">
        <x:v>station-component|中崎町|大阪市高速電気軌道|metro|34.7072|135.5056|</x:v>
      </x:c>
      <x:c r="V175" s="19" t="str">
        <x:v>007040 / 007040 / 2号線(谷町線)</x:v>
      </x:c>
      <x:c r="W175" s="18" t="str">
        <x:v>否</x:v>
      </x:c>
      <x:c r="X175" s="18" t="str">
        <x:v>0785e932a32b3ec15e1a1345537ae145eafe1c07bf38d5c16c11ee2b391e7a28</x:v>
      </x:c>
      <x:c r="Y175" s="20" t="n">
        <x:v>1</x:v>
      </x:c>
      <x:c r="Z175" s="20" t="n">
        <x:v>1</x:v>
      </x:c>
      <x:c r="AA175" s="19"/>
      <x:c r="AB175" s="18"/>
      <x:c r="AC175" s="19"/>
    </x:row>
    <x:row r="176" ht="28" customHeight="1">
      <x:c r="A176" s="18" t="str">
        <x:v>中庄</x:v>
      </x:c>
      <x:c r="B176" s="18" t="str">
        <x:v>西日本旅客鉄道</x:v>
      </x:c>
      <x:c r="C176" s="18" t="str">
        <x:v>conventional_rail</x:v>
      </x:c>
      <x:c r="D176" s="19" t="str">
        <x:v>T2</x:v>
      </x:c>
      <x:c r="E176" s="20" t="n">
        <x:v>13742</x:v>
      </x:c>
      <x:c r="F176" s="18" t="str">
        <x:v>persons/day</x:v>
      </x:c>
      <x:c r="G176" s="18" t="str">
        <x:v>FY2024</x:v>
      </x:c>
      <x:c r="H176" s="18" t="str">
        <x:v>否</x:v>
      </x:c>
      <x:c r="I176" s="19" t="str">
        <x:v>DAILY_ENTRIES_EXITS</x:v>
      </x:c>
      <x:c r="J176" s="19" t="str">
        <x:v>山陽線</x:v>
      </x:c>
      <x:c r="K176" s="18" t="str">
        <x:v>transport-node:04490492-2bc0-5c2f-b60e-a8ac87a24918</x:v>
      </x:c>
      <x:c r="L176" s="19" t="str">
        <x:v>组件待审核</x:v>
      </x:c>
      <x:c r="M176" s="21" t="n">
        <x:v>34.626455</x:v>
      </x:c>
      <x:c r="N176" s="21" t="n">
        <x:v>133.808195</x:v>
      </x:c>
      <x:c r="O176" s="18" t="str">
        <x:v>007527</x:v>
      </x:c>
      <x:c r="P176" s="18" t="str">
        <x:v>山陽線</x:v>
      </x:c>
      <x:c r="Q176" s="19" t="str">
        <x:v>S12_061_GE_10000</x:v>
      </x:c>
      <x:c r="R176" s="19" t="str">
        <x:v>S12_061 usage threshold</x:v>
      </x:c>
      <x:c r="S176" s="19" t="str">
        <x:v>https://nlftp.mlit.go.jp/ksj/gml/datalist/KsjTmplt-S12-2024.html</x:v>
      </x:c>
      <x:c r="T176" s="19" t="str">
        <x:v>https://nlftp.mlit.go.jp/ksj/gml/datalist/KsjTmplt-S12-2024.html</x:v>
      </x:c>
      <x:c r="U176" s="19" t="str">
        <x:v>station-component|中庄|西日本旅客鉄道|conventional_rail|34.6265|133.8082|</x:v>
      </x:c>
      <x:c r="V176" s="19" t="str">
        <x:v>007527 / 007527 / 山陽線</x:v>
      </x:c>
      <x:c r="W176" s="18" t="str">
        <x:v>否</x:v>
      </x:c>
      <x:c r="X176" s="18" t="str">
        <x:v>0785e932a32b3ec15e1a1345537ae145eafe1c07bf38d5c16c11ee2b391e7a28</x:v>
      </x:c>
      <x:c r="Y176" s="20" t="n">
        <x:v>1</x:v>
      </x:c>
      <x:c r="Z176" s="20" t="n">
        <x:v>1</x:v>
      </x:c>
      <x:c r="AA176" s="19"/>
      <x:c r="AB176" s="18"/>
      <x:c r="AC176" s="19"/>
    </x:row>
    <x:row r="177" ht="33" customHeight="1">
      <x:c r="A177" s="18" t="str">
        <x:v>中延</x:v>
      </x:c>
      <x:c r="B177" s="18" t="str">
        <x:v>東京都</x:v>
      </x:c>
      <x:c r="C177" s="18" t="str">
        <x:v>metro</x:v>
      </x:c>
      <x:c r="D177" s="19" t="str">
        <x:v>T2</x:v>
      </x:c>
      <x:c r="E177" s="20" t="n">
        <x:v>27903</x:v>
      </x:c>
      <x:c r="F177" s="18" t="str">
        <x:v>persons/day</x:v>
      </x:c>
      <x:c r="G177" s="18" t="str">
        <x:v>FY2024</x:v>
      </x:c>
      <x:c r="H177" s="18" t="str">
        <x:v>否</x:v>
      </x:c>
      <x:c r="I177" s="19" t="str">
        <x:v>DAILY_ENTRIES_EXITS</x:v>
      </x:c>
      <x:c r="J177" s="19" t="str">
        <x:v>1号線浅草線</x:v>
      </x:c>
      <x:c r="K177" s="18" t="str">
        <x:v>transport-node:ba7cc0d8-e135-5402-ad6b-1920e1d9b076</x:v>
      </x:c>
      <x:c r="L177" s="19" t="str">
        <x:v>组件待审核</x:v>
      </x:c>
      <x:c r="M177" s="21" t="n">
        <x:v>35.605175</x:v>
      </x:c>
      <x:c r="N177" s="21" t="n">
        <x:v>139.71359</x:v>
      </x:c>
      <x:c r="O177" s="18" t="str">
        <x:v>004218</x:v>
      </x:c>
      <x:c r="P177" s="18" t="str">
        <x:v>1号線浅草線</x:v>
      </x:c>
      <x:c r="Q177" s="19" t="str">
        <x:v>S12_061_GE_10000
OFFICIAL_HUB_COMPONENT_REVIEW</x:v>
      </x:c>
      <x:c r="R177" s="19" t="str">
        <x:v>S12_061 usage threshold</x:v>
      </x:c>
      <x:c r="S177" s="19" t="str">
        <x:v>https://nlftp.mlit.go.jp/ksj/gml/datalist/KsjTmplt-S12-2024.html</x:v>
      </x:c>
      <x:c r="T177" s="19" t="str">
        <x:v>https://nlftp.mlit.go.jp/ksj/gml/datalist/KsjTmplt-S12-2024.html
https://www.tokyu.co.jp/area/nakanobu/station/</x:v>
      </x:c>
      <x:c r="U177" s="19" t="str">
        <x:v>station-component|中延|東京都|metro|35.6052|139.7136|</x:v>
      </x:c>
      <x:c r="V177" s="19" t="str">
        <x:v>004215 / 004218 / 1号線浅草線</x:v>
      </x:c>
      <x:c r="W177" s="18" t="str">
        <x:v>否</x:v>
      </x:c>
      <x:c r="X177" s="18" t="str">
        <x:v>0785e932a32b3ec15e1a1345537ae145eafe1c07bf38d5c16c11ee2b391e7a28</x:v>
      </x:c>
      <x:c r="Y177" s="20" t="n">
        <x:v>1</x:v>
      </x:c>
      <x:c r="Z177" s="20" t="n">
        <x:v>1</x:v>
      </x:c>
      <x:c r="AA177" s="19" t="str">
        <x:v>中延</x:v>
      </x:c>
      <x:c r="AB177" s="18" t="str">
        <x:v>transport-hub-review:e0de91a2-07a2-5bd0-8de2-633b1c522bf6</x:v>
      </x:c>
      <x:c r="AC177" s="19"/>
    </x:row>
    <x:row r="178" ht="33" customHeight="1">
      <x:c r="A178" s="18" t="str">
        <x:v>中延</x:v>
      </x:c>
      <x:c r="B178" s="18" t="str">
        <x:v>東急電鉄</x:v>
      </x:c>
      <x:c r="C178" s="18" t="str">
        <x:v>private_rail</x:v>
      </x:c>
      <x:c r="D178" s="19" t="str">
        <x:v>T2</x:v>
      </x:c>
      <x:c r="E178" s="20" t="n">
        <x:v>21435</x:v>
      </x:c>
      <x:c r="F178" s="18" t="str">
        <x:v>persons/day</x:v>
      </x:c>
      <x:c r="G178" s="18" t="str">
        <x:v>FY2024</x:v>
      </x:c>
      <x:c r="H178" s="18" t="str">
        <x:v>否</x:v>
      </x:c>
      <x:c r="I178" s="19" t="str">
        <x:v>DAILY_ENTRIES_EXITS</x:v>
      </x:c>
      <x:c r="J178" s="19" t="str">
        <x:v>大井町線</x:v>
      </x:c>
      <x:c r="K178" s="18" t="str">
        <x:v>transport-node:b9209a13-134a-58fd-bb0f-1aee8c73052b</x:v>
      </x:c>
      <x:c r="L178" s="19" t="str">
        <x:v>组件待审核</x:v>
      </x:c>
      <x:c r="M178" s="21" t="n">
        <x:v>35.60572</x:v>
      </x:c>
      <x:c r="N178" s="21" t="n">
        <x:v>139.71255</x:v>
      </x:c>
      <x:c r="O178" s="18" t="str">
        <x:v>004215</x:v>
      </x:c>
      <x:c r="P178" s="18" t="str">
        <x:v>大井町線</x:v>
      </x:c>
      <x:c r="Q178" s="19" t="str">
        <x:v>S12_061_GE_10000
OFFICIAL_HUB_COMPONENT_REVIEW</x:v>
      </x:c>
      <x:c r="R178" s="19" t="str">
        <x:v>S12_061 usage threshold</x:v>
      </x:c>
      <x:c r="S178" s="19" t="str">
        <x:v>https://nlftp.mlit.go.jp/ksj/gml/datalist/KsjTmplt-S12-2024.html</x:v>
      </x:c>
      <x:c r="T178" s="19" t="str">
        <x:v>https://nlftp.mlit.go.jp/ksj/gml/datalist/KsjTmplt-S12-2024.html
https://www.tokyu.co.jp/area/nakanobu/station/</x:v>
      </x:c>
      <x:c r="U178" s="19" t="str">
        <x:v>station-component|中延|東急電鉄|private_rail|35.6057|139.7125|</x:v>
      </x:c>
      <x:c r="V178" s="19" t="str">
        <x:v>004215 / 004215 / 大井町線</x:v>
      </x:c>
      <x:c r="W178" s="18" t="str">
        <x:v>否</x:v>
      </x:c>
      <x:c r="X178" s="18" t="str">
        <x:v>0785e932a32b3ec15e1a1345537ae145eafe1c07bf38d5c16c11ee2b391e7a28</x:v>
      </x:c>
      <x:c r="Y178" s="20" t="n">
        <x:v>1</x:v>
      </x:c>
      <x:c r="Z178" s="20" t="n">
        <x:v>1</x:v>
      </x:c>
      <x:c r="AA178" s="19" t="str">
        <x:v>中延</x:v>
      </x:c>
      <x:c r="AB178" s="18" t="str">
        <x:v>transport-hub-review:e0de91a2-07a2-5bd0-8de2-633b1c522bf6</x:v>
      </x:c>
      <x:c r="AC178" s="19"/>
    </x:row>
    <x:row r="179" ht="33" customHeight="1">
      <x:c r="A179" s="18" t="str">
        <x:v>中書島</x:v>
      </x:c>
      <x:c r="B179" s="18" t="str">
        <x:v>京阪電気鉄道</x:v>
      </x:c>
      <x:c r="C179" s="18" t="str">
        <x:v>private_rail</x:v>
      </x:c>
      <x:c r="D179" s="19" t="str">
        <x:v>T2</x:v>
      </x:c>
      <x:c r="E179" s="20" t="n">
        <x:v>11739</x:v>
      </x:c>
      <x:c r="F179" s="18" t="str">
        <x:v>persons/day</x:v>
      </x:c>
      <x:c r="G179" s="18" t="str">
        <x:v>FY2024</x:v>
      </x:c>
      <x:c r="H179" s="18" t="str">
        <x:v>否</x:v>
      </x:c>
      <x:c r="I179" s="19" t="str">
        <x:v>DAILY_ENTRIES_EXITS</x:v>
      </x:c>
      <x:c r="J179" s="19" t="str">
        <x:v>京阪本線
宇治線</x:v>
      </x:c>
      <x:c r="K179" s="18" t="str">
        <x:v>transport-node:6bc52998-5914-50b1-9483-ef0b7cebe415</x:v>
      </x:c>
      <x:c r="L179" s="19" t="str">
        <x:v>组件待审核</x:v>
      </x:c>
      <x:c r="M179" s="21" t="n">
        <x:v>34.9269</x:v>
      </x:c>
      <x:c r="N179" s="21" t="n">
        <x:v>135.760445</x:v>
      </x:c>
      <x:c r="O179" s="18" t="str">
        <x:v>006245</x:v>
      </x:c>
      <x:c r="P179" s="18" t="str">
        <x:v>京阪本線</x:v>
      </x:c>
      <x:c r="Q179" s="19" t="str">
        <x:v>S12_061_GE_10000</x:v>
      </x:c>
      <x:c r="R179" s="19" t="str">
        <x:v>S12_061 usage threshold</x:v>
      </x:c>
      <x:c r="S179" s="19" t="str">
        <x:v>https://nlftp.mlit.go.jp/ksj/gml/datalist/KsjTmplt-S12-2024.html</x:v>
      </x:c>
      <x:c r="T179" s="19" t="str">
        <x:v>https://nlftp.mlit.go.jp/ksj/gml/datalist/KsjTmplt-S12-2024.html</x:v>
      </x:c>
      <x:c r="U179" s="19" t="str">
        <x:v>station-component|中書島|京阪電気鉄道|private_rail|34.9269|135.7604|</x:v>
      </x:c>
      <x:c r="V179" s="19" t="str">
        <x:v>006245 / 006245 / 京阪本線
006245 / 006246 / 宇治線</x:v>
      </x:c>
      <x:c r="W179" s="18" t="str">
        <x:v>否</x:v>
      </x:c>
      <x:c r="X179" s="18" t="str">
        <x:v>0785e932a32b3ec15e1a1345537ae145eafe1c07bf38d5c16c11ee2b391e7a28</x:v>
      </x:c>
      <x:c r="Y179" s="20" t="n">
        <x:v>1</x:v>
      </x:c>
      <x:c r="Z179" s="20" t="n">
        <x:v>1</x:v>
      </x:c>
      <x:c r="AA179" s="19"/>
      <x:c r="AB179" s="18"/>
      <x:c r="AC179" s="19"/>
    </x:row>
    <x:row r="180" ht="28" customHeight="1">
      <x:c r="A180" s="18" t="str">
        <x:v>中村公園</x:v>
      </x:c>
      <x:c r="B180" s="18" t="str">
        <x:v>名古屋市</x:v>
      </x:c>
      <x:c r="C180" s="18" t="str">
        <x:v>metro</x:v>
      </x:c>
      <x:c r="D180" s="19" t="str">
        <x:v>T2</x:v>
      </x:c>
      <x:c r="E180" s="20" t="n">
        <x:v>25388</x:v>
      </x:c>
      <x:c r="F180" s="18" t="str">
        <x:v>persons/day</x:v>
      </x:c>
      <x:c r="G180" s="18" t="str">
        <x:v>FY2024</x:v>
      </x:c>
      <x:c r="H180" s="18" t="str">
        <x:v>否</x:v>
      </x:c>
      <x:c r="I180" s="19" t="str">
        <x:v>DAILY_ENTRIES_EXITS</x:v>
      </x:c>
      <x:c r="J180" s="19" t="str">
        <x:v>1号線東山線</x:v>
      </x:c>
      <x:c r="K180" s="18" t="str">
        <x:v>transport-node:ce25efba-161e-558c-8968-2a9d1407b50c</x:v>
      </x:c>
      <x:c r="L180" s="19" t="str">
        <x:v>组件待审核</x:v>
      </x:c>
      <x:c r="M180" s="21" t="n">
        <x:v>35.16773</x:v>
      </x:c>
      <x:c r="N180" s="21" t="n">
        <x:v>136.854925</x:v>
      </x:c>
      <x:c r="O180" s="18" t="str">
        <x:v>005475</x:v>
      </x:c>
      <x:c r="P180" s="18" t="str">
        <x:v>1号線東山線</x:v>
      </x:c>
      <x:c r="Q180" s="19" t="str">
        <x:v>S12_061_GE_10000</x:v>
      </x:c>
      <x:c r="R180" s="19" t="str">
        <x:v>S12_061 usage threshold</x:v>
      </x:c>
      <x:c r="S180" s="19" t="str">
        <x:v>https://nlftp.mlit.go.jp/ksj/gml/datalist/KsjTmplt-S12-2024.html</x:v>
      </x:c>
      <x:c r="T180" s="19" t="str">
        <x:v>https://nlftp.mlit.go.jp/ksj/gml/datalist/KsjTmplt-S12-2024.html</x:v>
      </x:c>
      <x:c r="U180" s="19" t="str">
        <x:v>station-component|中村公園|名古屋市|metro|35.1677|136.8549|</x:v>
      </x:c>
      <x:c r="V180" s="19" t="str">
        <x:v>005475 / 005475 / 1号線東山線</x:v>
      </x:c>
      <x:c r="W180" s="18" t="str">
        <x:v>否</x:v>
      </x:c>
      <x:c r="X180" s="18" t="str">
        <x:v>0785e932a32b3ec15e1a1345537ae145eafe1c07bf38d5c16c11ee2b391e7a28</x:v>
      </x:c>
      <x:c r="Y180" s="20" t="n">
        <x:v>1</x:v>
      </x:c>
      <x:c r="Z180" s="20" t="n">
        <x:v>1</x:v>
      </x:c>
      <x:c r="AA180" s="19"/>
      <x:c r="AB180" s="18"/>
      <x:c r="AC180" s="19"/>
    </x:row>
    <x:row r="181" ht="28" customHeight="1">
      <x:c r="A181" s="18" t="str">
        <x:v>中村橋</x:v>
      </x:c>
      <x:c r="B181" s="18" t="str">
        <x:v>西武鉄道</x:v>
      </x:c>
      <x:c r="C181" s="18" t="str">
        <x:v>private_rail</x:v>
      </x:c>
      <x:c r="D181" s="19" t="str">
        <x:v>T2</x:v>
      </x:c>
      <x:c r="E181" s="20" t="n">
        <x:v>38455</x:v>
      </x:c>
      <x:c r="F181" s="18" t="str">
        <x:v>persons/day</x:v>
      </x:c>
      <x:c r="G181" s="18" t="str">
        <x:v>FY2024</x:v>
      </x:c>
      <x:c r="H181" s="18" t="str">
        <x:v>否</x:v>
      </x:c>
      <x:c r="I181" s="19" t="str">
        <x:v>DAILY_ENTRIES_EXITS</x:v>
      </x:c>
      <x:c r="J181" s="19" t="str">
        <x:v>池袋線</x:v>
      </x:c>
      <x:c r="K181" s="18" t="str">
        <x:v>transport-node:651cbf37-cc5f-56c2-a004-baa1335b68f5</x:v>
      </x:c>
      <x:c r="L181" s="19" t="str">
        <x:v>组件待审核</x:v>
      </x:c>
      <x:c r="M181" s="21" t="n">
        <x:v>35.73667</x:v>
      </x:c>
      <x:c r="N181" s="21" t="n">
        <x:v>139.63717</x:v>
      </x:c>
      <x:c r="O181" s="18" t="str">
        <x:v>003345</x:v>
      </x:c>
      <x:c r="P181" s="18" t="str">
        <x:v>池袋線</x:v>
      </x:c>
      <x:c r="Q181" s="19" t="str">
        <x:v>S12_061_GE_10000</x:v>
      </x:c>
      <x:c r="R181" s="19" t="str">
        <x:v>S12_061 usage threshold</x:v>
      </x:c>
      <x:c r="S181" s="19" t="str">
        <x:v>https://nlftp.mlit.go.jp/ksj/gml/datalist/KsjTmplt-S12-2024.html</x:v>
      </x:c>
      <x:c r="T181" s="19" t="str">
        <x:v>https://nlftp.mlit.go.jp/ksj/gml/datalist/KsjTmplt-S12-2024.html</x:v>
      </x:c>
      <x:c r="U181" s="19" t="str">
        <x:v>station-component|中村橋|西武鉄道|private_rail|35.7367|139.6372|</x:v>
      </x:c>
      <x:c r="V181" s="19" t="str">
        <x:v>003345 / 003345 / 池袋線</x:v>
      </x:c>
      <x:c r="W181" s="18" t="str">
        <x:v>否</x:v>
      </x:c>
      <x:c r="X181" s="18" t="str">
        <x:v>0785e932a32b3ec15e1a1345537ae145eafe1c07bf38d5c16c11ee2b391e7a28</x:v>
      </x:c>
      <x:c r="Y181" s="20" t="n">
        <x:v>1</x:v>
      </x:c>
      <x:c r="Z181" s="20" t="n">
        <x:v>1</x:v>
      </x:c>
      <x:c r="AA181" s="19"/>
      <x:c r="AB181" s="18"/>
      <x:c r="AC181" s="19"/>
    </x:row>
    <x:row r="182" ht="28" customHeight="1">
      <x:c r="A182" s="18" t="str">
        <x:v>中板橋</x:v>
      </x:c>
      <x:c r="B182" s="18" t="str">
        <x:v>東武鉄道</x:v>
      </x:c>
      <x:c r="C182" s="18" t="str">
        <x:v>private_rail</x:v>
      </x:c>
      <x:c r="D182" s="19" t="str">
        <x:v>T2</x:v>
      </x:c>
      <x:c r="E182" s="20" t="n">
        <x:v>27781</x:v>
      </x:c>
      <x:c r="F182" s="18" t="str">
        <x:v>persons/day</x:v>
      </x:c>
      <x:c r="G182" s="18" t="str">
        <x:v>FY2024</x:v>
      </x:c>
      <x:c r="H182" s="18" t="str">
        <x:v>否</x:v>
      </x:c>
      <x:c r="I182" s="19" t="str">
        <x:v>DAILY_ENTRIES_EXITS</x:v>
      </x:c>
      <x:c r="J182" s="19" t="str">
        <x:v>東上本線</x:v>
      </x:c>
      <x:c r="K182" s="18" t="str">
        <x:v>transport-node:56224d36-6f7f-5bbb-b9da-27dc61c722c8</x:v>
      </x:c>
      <x:c r="L182" s="19" t="str">
        <x:v>组件待审核</x:v>
      </x:c>
      <x:c r="M182" s="21" t="n">
        <x:v>35.75628</x:v>
      </x:c>
      <x:c r="N182" s="21" t="n">
        <x:v>139.694385</x:v>
      </x:c>
      <x:c r="O182" s="18" t="str">
        <x:v>003233</x:v>
      </x:c>
      <x:c r="P182" s="18" t="str">
        <x:v>東上本線</x:v>
      </x:c>
      <x:c r="Q182" s="19" t="str">
        <x:v>S12_061_GE_10000</x:v>
      </x:c>
      <x:c r="R182" s="19" t="str">
        <x:v>S12_061 usage threshold</x:v>
      </x:c>
      <x:c r="S182" s="19" t="str">
        <x:v>https://nlftp.mlit.go.jp/ksj/gml/datalist/KsjTmplt-S12-2024.html</x:v>
      </x:c>
      <x:c r="T182" s="19" t="str">
        <x:v>https://nlftp.mlit.go.jp/ksj/gml/datalist/KsjTmplt-S12-2024.html</x:v>
      </x:c>
      <x:c r="U182" s="19" t="str">
        <x:v>station-component|中板橋|東武鉄道|private_rail|35.7563|139.6944|</x:v>
      </x:c>
      <x:c r="V182" s="19" t="str">
        <x:v>003233 / 003233 / 東上本線</x:v>
      </x:c>
      <x:c r="W182" s="18" t="str">
        <x:v>否</x:v>
      </x:c>
      <x:c r="X182" s="18" t="str">
        <x:v>0785e932a32b3ec15e1a1345537ae145eafe1c07bf38d5c16c11ee2b391e7a28</x:v>
      </x:c>
      <x:c r="Y182" s="20" t="n">
        <x:v>1</x:v>
      </x:c>
      <x:c r="Z182" s="20" t="n">
        <x:v>1</x:v>
      </x:c>
      <x:c r="AA182" s="19"/>
      <x:c r="AB182" s="18"/>
      <x:c r="AC182" s="19"/>
    </x:row>
    <x:row r="183" ht="28" customHeight="1">
      <x:c r="A183" s="18" t="str">
        <x:v>中河原</x:v>
      </x:c>
      <x:c r="B183" s="18" t="str">
        <x:v>京王電鉄</x:v>
      </x:c>
      <x:c r="C183" s="18" t="str">
        <x:v>private_rail</x:v>
      </x:c>
      <x:c r="D183" s="19" t="str">
        <x:v>T2</x:v>
      </x:c>
      <x:c r="E183" s="20" t="n">
        <x:v>24800</x:v>
      </x:c>
      <x:c r="F183" s="18" t="str">
        <x:v>persons/day</x:v>
      </x:c>
      <x:c r="G183" s="18" t="str">
        <x:v>FY2024</x:v>
      </x:c>
      <x:c r="H183" s="18" t="str">
        <x:v>否</x:v>
      </x:c>
      <x:c r="I183" s="19" t="str">
        <x:v>DAILY_ENTRIES_EXITS</x:v>
      </x:c>
      <x:c r="J183" s="19" t="str">
        <x:v>京王線</x:v>
      </x:c>
      <x:c r="K183" s="18" t="str">
        <x:v>transport-node:ba1e9466-09d7-5ce8-96b0-c0e58f4f57e0</x:v>
      </x:c>
      <x:c r="L183" s="19" t="str">
        <x:v>组件待审核</x:v>
      </x:c>
      <x:c r="M183" s="21" t="n">
        <x:v>35.6595025</x:v>
      </x:c>
      <x:c r="N183" s="21" t="n">
        <x:v>139.457505</x:v>
      </x:c>
      <x:c r="O183" s="18" t="str">
        <x:v>003920</x:v>
      </x:c>
      <x:c r="P183" s="18" t="str">
        <x:v>京王線</x:v>
      </x:c>
      <x:c r="Q183" s="19" t="str">
        <x:v>S12_061_GE_10000</x:v>
      </x:c>
      <x:c r="R183" s="19" t="str">
        <x:v>S12_061 usage threshold</x:v>
      </x:c>
      <x:c r="S183" s="19" t="str">
        <x:v>https://nlftp.mlit.go.jp/ksj/gml/datalist/KsjTmplt-S12-2024.html</x:v>
      </x:c>
      <x:c r="T183" s="19" t="str">
        <x:v>https://nlftp.mlit.go.jp/ksj/gml/datalist/KsjTmplt-S12-2024.html</x:v>
      </x:c>
      <x:c r="U183" s="19" t="str">
        <x:v>station-component|中河原|京王電鉄|private_rail|35.6595|139.4575|</x:v>
      </x:c>
      <x:c r="V183" s="19" t="str">
        <x:v>003920 / 003920 / 京王線</x:v>
      </x:c>
      <x:c r="W183" s="18" t="str">
        <x:v>否</x:v>
      </x:c>
      <x:c r="X183" s="18" t="str">
        <x:v>0785e932a32b3ec15e1a1345537ae145eafe1c07bf38d5c16c11ee2b391e7a28</x:v>
      </x:c>
      <x:c r="Y183" s="20" t="n">
        <x:v>1</x:v>
      </x:c>
      <x:c r="Z183" s="20" t="n">
        <x:v>1</x:v>
      </x:c>
      <x:c r="AA183" s="19"/>
      <x:c r="AB183" s="18"/>
      <x:c r="AC183" s="19"/>
    </x:row>
    <x:row r="184" ht="28" customHeight="1">
      <x:c r="A184" s="18" t="str">
        <x:v>中津</x:v>
      </x:c>
      <x:c r="B184" s="18" t="str">
        <x:v>大阪市高速電気軌道</x:v>
      </x:c>
      <x:c r="C184" s="18" t="str">
        <x:v>metro</x:v>
      </x:c>
      <x:c r="D184" s="19" t="str">
        <x:v>T2</x:v>
      </x:c>
      <x:c r="E184" s="20" t="n">
        <x:v>40118</x:v>
      </x:c>
      <x:c r="F184" s="18" t="str">
        <x:v>persons/day</x:v>
      </x:c>
      <x:c r="G184" s="18" t="str">
        <x:v>FY2024</x:v>
      </x:c>
      <x:c r="H184" s="18" t="str">
        <x:v>否</x:v>
      </x:c>
      <x:c r="I184" s="19" t="str">
        <x:v>DAILY_ENTRIES_EXITS</x:v>
      </x:c>
      <x:c r="J184" s="19" t="str">
        <x:v>1号線(御堂筋線)</x:v>
      </x:c>
      <x:c r="K184" s="18" t="str">
        <x:v>transport-node:8f7a3052-c468-5d96-b150-2f5d14c3a341</x:v>
      </x:c>
      <x:c r="L184" s="19" t="str">
        <x:v>组件待审核</x:v>
      </x:c>
      <x:c r="M184" s="21" t="n">
        <x:v>34.7112925</x:v>
      </x:c>
      <x:c r="N184" s="21" t="n">
        <x:v>135.49707</x:v>
      </x:c>
      <x:c r="O184" s="18" t="str">
        <x:v>007016</x:v>
      </x:c>
      <x:c r="P184" s="18" t="str">
        <x:v>1号線(御堂筋線)</x:v>
      </x:c>
      <x:c r="Q184" s="19" t="str">
        <x:v>S12_061_GE_10000</x:v>
      </x:c>
      <x:c r="R184" s="19" t="str">
        <x:v>S12_061 usage threshold</x:v>
      </x:c>
      <x:c r="S184" s="19" t="str">
        <x:v>https://nlftp.mlit.go.jp/ksj/gml/datalist/KsjTmplt-S12-2024.html</x:v>
      </x:c>
      <x:c r="T184" s="19" t="str">
        <x:v>https://nlftp.mlit.go.jp/ksj/gml/datalist/KsjTmplt-S12-2024.html</x:v>
      </x:c>
      <x:c r="U184" s="19" t="str">
        <x:v>station-component|中津|大阪市高速電気軌道|metro|34.7113|135.4971|</x:v>
      </x:c>
      <x:c r="V184" s="19" t="str">
        <x:v>007016 / 007016 / 1号線(御堂筋線)</x:v>
      </x:c>
      <x:c r="W184" s="18" t="str">
        <x:v>否</x:v>
      </x:c>
      <x:c r="X184" s="18" t="str">
        <x:v>0785e932a32b3ec15e1a1345537ae145eafe1c07bf38d5c16c11ee2b391e7a28</x:v>
      </x:c>
      <x:c r="Y184" s="20" t="n">
        <x:v>1</x:v>
      </x:c>
      <x:c r="Z184" s="20" t="n">
        <x:v>1</x:v>
      </x:c>
      <x:c r="AA184" s="19"/>
      <x:c r="AB184" s="18"/>
      <x:c r="AC184" s="19"/>
    </x:row>
    <x:row r="185" ht="33" customHeight="1">
      <x:c r="A185" s="18" t="str">
        <x:v>中津</x:v>
      </x:c>
      <x:c r="B185" s="18" t="str">
        <x:v>阪急電鉄</x:v>
      </x:c>
      <x:c r="C185" s="18" t="str">
        <x:v>private_rail</x:v>
      </x:c>
      <x:c r="D185" s="19" t="str">
        <x:v>T2</x:v>
      </x:c>
      <x:c r="E185" s="20" t="n">
        <x:v>10214</x:v>
      </x:c>
      <x:c r="F185" s="18" t="str">
        <x:v>persons/day</x:v>
      </x:c>
      <x:c r="G185" s="18" t="str">
        <x:v>FY2024</x:v>
      </x:c>
      <x:c r="H185" s="18" t="str">
        <x:v>否</x:v>
      </x:c>
      <x:c r="I185" s="19" t="str">
        <x:v>DAILY_ENTRIES_EXITS</x:v>
      </x:c>
      <x:c r="J185" s="19" t="str">
        <x:v>宝塚線
神戸線</x:v>
      </x:c>
      <x:c r="K185" s="18" t="str">
        <x:v>transport-node:4d73be39-a2cf-5f57-adb0-aa21f5749aa5</x:v>
      </x:c>
      <x:c r="L185" s="19" t="str">
        <x:v>组件待审核</x:v>
      </x:c>
      <x:c r="M185" s="21" t="n">
        <x:v>34.709875</x:v>
      </x:c>
      <x:c r="N185" s="21" t="n">
        <x:v>135.492525</x:v>
      </x:c>
      <x:c r="O185" s="18" t="str">
        <x:v>007027</x:v>
      </x:c>
      <x:c r="P185" s="18" t="str">
        <x:v>神戸線</x:v>
      </x:c>
      <x:c r="Q185" s="19" t="str">
        <x:v>S12_061_GE_10000</x:v>
      </x:c>
      <x:c r="R185" s="19" t="str">
        <x:v>S12_061 usage threshold</x:v>
      </x:c>
      <x:c r="S185" s="19" t="str">
        <x:v>https://nlftp.mlit.go.jp/ksj/gml/datalist/KsjTmplt-S12-2024.html</x:v>
      </x:c>
      <x:c r="T185" s="19" t="str">
        <x:v>https://nlftp.mlit.go.jp/ksj/gml/datalist/KsjTmplt-S12-2024.html</x:v>
      </x:c>
      <x:c r="U185" s="19" t="str">
        <x:v>station-component|中津|阪急電鉄|private_rail|34.7099|135.4925|</x:v>
      </x:c>
      <x:c r="V185" s="19" t="str">
        <x:v>007026 / 007026 / 宝塚線
007026 / 007027 / 神戸線</x:v>
      </x:c>
      <x:c r="W185" s="18" t="str">
        <x:v>否</x:v>
      </x:c>
      <x:c r="X185" s="18" t="str">
        <x:v>0785e932a32b3ec15e1a1345537ae145eafe1c07bf38d5c16c11ee2b391e7a28</x:v>
      </x:c>
      <x:c r="Y185" s="20" t="n">
        <x:v>1</x:v>
      </x:c>
      <x:c r="Z185" s="20" t="n">
        <x:v>1</x:v>
      </x:c>
      <x:c r="AA185" s="19"/>
      <x:c r="AB185" s="18"/>
      <x:c r="AC185" s="19"/>
    </x:row>
    <x:row r="186" ht="33" customHeight="1">
      <x:c r="A186" s="18" t="str">
        <x:v>中洲川端</x:v>
      </x:c>
      <x:c r="B186" s="18" t="str">
        <x:v>福岡市</x:v>
      </x:c>
      <x:c r="C186" s="18" t="str">
        <x:v>metro</x:v>
      </x:c>
      <x:c r="D186" s="19" t="str">
        <x:v>T2</x:v>
      </x:c>
      <x:c r="E186" s="20" t="n">
        <x:v>39886</x:v>
      </x:c>
      <x:c r="F186" s="18" t="str">
        <x:v>persons/day</x:v>
      </x:c>
      <x:c r="G186" s="18" t="str">
        <x:v>FY2024</x:v>
      </x:c>
      <x:c r="H186" s="18" t="str">
        <x:v>否</x:v>
      </x:c>
      <x:c r="I186" s="19" t="str">
        <x:v>DAILY_ENTRIES_EXITS</x:v>
      </x:c>
      <x:c r="J186" s="19" t="str">
        <x:v>1号線(空港線)
2号線(箱崎線)</x:v>
      </x:c>
      <x:c r="K186" s="18" t="str">
        <x:v>transport-node:94fa7805-185a-53b4-8795-9c1c07221a57</x:v>
      </x:c>
      <x:c r="L186" s="19" t="str">
        <x:v>组件待审核</x:v>
      </x:c>
      <x:c r="M186" s="21" t="n">
        <x:v>33.59461</x:v>
      </x:c>
      <x:c r="N186" s="21" t="n">
        <x:v>130.406345</x:v>
      </x:c>
      <x:c r="O186" s="18" t="str">
        <x:v>009019</x:v>
      </x:c>
      <x:c r="P186" s="18" t="str">
        <x:v>1号線(空港線)</x:v>
      </x:c>
      <x:c r="Q186" s="19" t="str">
        <x:v>S12_061_GE_10000
OFFICIAL_HUB_COMPONENT_REVIEW</x:v>
      </x:c>
      <x:c r="R186" s="19" t="str">
        <x:v>S12_061 usage threshold</x:v>
      </x:c>
      <x:c r="S186" s="19" t="str">
        <x:v>https://nlftp.mlit.go.jp/ksj/gml/datalist/KsjTmplt-S12-2024.html</x:v>
      </x:c>
      <x:c r="T186" s="19" t="str">
        <x:v>https://nlftp.mlit.go.jp/ksj/gml/datalist/KsjTmplt-S12-2024.html
https://subway.city.fukuoka.lg.jp/?lan=ja</x:v>
      </x:c>
      <x:c r="U186" s="19" t="str">
        <x:v>station-component|中洲川端|福岡市|metro|33.5946|130.4063|</x:v>
      </x:c>
      <x:c r="V186" s="19" t="str">
        <x:v>009019 / 009019 / 1号線(空港線)
009019 / 009020 / 2号線(箱崎線)</x:v>
      </x:c>
      <x:c r="W186" s="18" t="str">
        <x:v>否</x:v>
      </x:c>
      <x:c r="X186" s="18" t="str">
        <x:v>0785e932a32b3ec15e1a1345537ae145eafe1c07bf38d5c16c11ee2b391e7a28</x:v>
      </x:c>
      <x:c r="Y186" s="20" t="n">
        <x:v>1</x:v>
      </x:c>
      <x:c r="Z186" s="20" t="n">
        <x:v>1</x:v>
      </x:c>
      <x:c r="AA186" s="19" t="str">
        <x:v>中洲川端</x:v>
      </x:c>
      <x:c r="AB186" s="18" t="str">
        <x:v>transport-hub-review:69e0b990-2be0-5a68-ba67-fa9ddf7c9659</x:v>
      </x:c>
      <x:c r="AC186" s="19"/>
    </x:row>
    <x:row r="187" ht="28" customHeight="1">
      <x:c r="A187" s="18" t="str">
        <x:v>中浦和</x:v>
      </x:c>
      <x:c r="B187" s="18" t="str">
        <x:v>東日本旅客鉄道</x:v>
      </x:c>
      <x:c r="C187" s="18" t="str">
        <x:v>conventional_rail</x:v>
      </x:c>
      <x:c r="D187" s="19" t="str">
        <x:v>T2</x:v>
      </x:c>
      <x:c r="E187" s="20" t="n">
        <x:v>25542</x:v>
      </x:c>
      <x:c r="F187" s="18" t="str">
        <x:v>persons/day</x:v>
      </x:c>
      <x:c r="G187" s="18" t="str">
        <x:v>FY2024</x:v>
      </x:c>
      <x:c r="H187" s="18" t="str">
        <x:v>否</x:v>
      </x:c>
      <x:c r="I187" s="19" t="str">
        <x:v>DAILY_ENTRIES_EXITS</x:v>
      </x:c>
      <x:c r="J187" s="19" t="str">
        <x:v>東北線</x:v>
      </x:c>
      <x:c r="K187" s="18" t="str">
        <x:v>transport-node:bdda4d79-8e41-5e53-8b64-67ea001c44fa</x:v>
      </x:c>
      <x:c r="L187" s="19" t="str">
        <x:v>组件待审核</x:v>
      </x:c>
      <x:c r="M187" s="21" t="n">
        <x:v>35.853915</x:v>
      </x:c>
      <x:c r="N187" s="21" t="n">
        <x:v>139.6373025</x:v>
      </x:c>
      <x:c r="O187" s="18" t="str">
        <x:v>002995</x:v>
      </x:c>
      <x:c r="P187" s="18" t="str">
        <x:v>東北線</x:v>
      </x:c>
      <x:c r="Q187" s="19" t="str">
        <x:v>S12_061_GE_10000</x:v>
      </x:c>
      <x:c r="R187" s="19" t="str">
        <x:v>S12_061 usage threshold</x:v>
      </x:c>
      <x:c r="S187" s="19" t="str">
        <x:v>https://nlftp.mlit.go.jp/ksj/gml/datalist/KsjTmplt-S12-2024.html</x:v>
      </x:c>
      <x:c r="T187" s="19" t="str">
        <x:v>https://nlftp.mlit.go.jp/ksj/gml/datalist/KsjTmplt-S12-2024.html</x:v>
      </x:c>
      <x:c r="U187" s="19" t="str">
        <x:v>station-component|中浦和|東日本旅客鉄道|conventional_rail|35.8539|139.6373|</x:v>
      </x:c>
      <x:c r="V187" s="19" t="str">
        <x:v>002995 / 002995 / 東北線</x:v>
      </x:c>
      <x:c r="W187" s="18" t="str">
        <x:v>否</x:v>
      </x:c>
      <x:c r="X187" s="18" t="str">
        <x:v>0785e932a32b3ec15e1a1345537ae145eafe1c07bf38d5c16c11ee2b391e7a28</x:v>
      </x:c>
      <x:c r="Y187" s="20" t="n">
        <x:v>1</x:v>
      </x:c>
      <x:c r="Z187" s="20" t="n">
        <x:v>1</x:v>
      </x:c>
      <x:c r="AA187" s="19"/>
      <x:c r="AB187" s="18"/>
      <x:c r="AC187" s="19"/>
    </x:row>
    <x:row r="188" ht="33" customHeight="1">
      <x:c r="A188" s="18" t="str">
        <x:v>中百舌鳥</x:v>
      </x:c>
      <x:c r="B188" s="18" t="str">
        <x:v>南海電気鉄道</x:v>
      </x:c>
      <x:c r="C188" s="18" t="str">
        <x:v>private_rail</x:v>
      </x:c>
      <x:c r="D188" s="19" t="str">
        <x:v>T2</x:v>
      </x:c>
      <x:c r="E188" s="20" t="n">
        <x:v>23196</x:v>
      </x:c>
      <x:c r="F188" s="18" t="str">
        <x:v>persons/day</x:v>
      </x:c>
      <x:c r="G188" s="18" t="str">
        <x:v>FY2024</x:v>
      </x:c>
      <x:c r="H188" s="18" t="str">
        <x:v>否</x:v>
      </x:c>
      <x:c r="I188" s="19" t="str">
        <x:v>DAILY_ENTRIES_EXITS</x:v>
      </x:c>
      <x:c r="J188" s="19" t="str">
        <x:v>高野線</x:v>
      </x:c>
      <x:c r="K188" s="18" t="str">
        <x:v>transport-node:270db0d0-89ca-5a0a-8580-c9105cd8928a</x:v>
      </x:c>
      <x:c r="L188" s="19" t="str">
        <x:v>组件待审核</x:v>
      </x:c>
      <x:c r="M188" s="21" t="n">
        <x:v>34.556235</x:v>
      </x:c>
      <x:c r="N188" s="21" t="n">
        <x:v>135.50428</x:v>
      </x:c>
      <x:c r="O188" s="18" t="str">
        <x:v>007711</x:v>
      </x:c>
      <x:c r="P188" s="18" t="str">
        <x:v>高野線</x:v>
      </x:c>
      <x:c r="Q188" s="19" t="str">
        <x:v>S12_061_GE_10000
OFFICIAL_HUB_COMPONENT_REVIEW</x:v>
      </x:c>
      <x:c r="R188" s="19" t="str">
        <x:v>S12_061 usage threshold</x:v>
      </x:c>
      <x:c r="S188" s="19" t="str">
        <x:v>https://nlftp.mlit.go.jp/ksj/gml/datalist/KsjTmplt-S12-2024.html</x:v>
      </x:c>
      <x:c r="T188" s="19" t="str">
        <x:v>https://nlftp.mlit.go.jp/ksj/gml/datalist/KsjTmplt-S12-2024.html
https://subway.osakametro.co.jp/station_guide/M/m30/index.php</x:v>
      </x:c>
      <x:c r="U188" s="19" t="str">
        <x:v>station-component|中百舌鳥|南海電気鉄道|private_rail|34.5562|135.5043|</x:v>
      </x:c>
      <x:c r="V188" s="19" t="str">
        <x:v>007711 / 007711 / 高野線</x:v>
      </x:c>
      <x:c r="W188" s="18" t="str">
        <x:v>否</x:v>
      </x:c>
      <x:c r="X188" s="18" t="str">
        <x:v>0785e932a32b3ec15e1a1345537ae145eafe1c07bf38d5c16c11ee2b391e7a28</x:v>
      </x:c>
      <x:c r="Y188" s="20" t="n">
        <x:v>1</x:v>
      </x:c>
      <x:c r="Z188" s="20" t="n">
        <x:v>1</x:v>
      </x:c>
      <x:c r="AA188" s="19" t="str">
        <x:v>なかもず・中百舌鳥</x:v>
      </x:c>
      <x:c r="AB188" s="18" t="str">
        <x:v>transport-hub-review:511b2831-9512-52fb-af65-002131062b0e</x:v>
      </x:c>
      <x:c r="AC188" s="19"/>
    </x:row>
    <x:row r="189" ht="33" customHeight="1">
      <x:c r="A189" s="18" t="str">
        <x:v>中百舌鳥</x:v>
      </x:c>
      <x:c r="B189" s="18" t="str">
        <x:v>大阪市高速電気軌道</x:v>
      </x:c>
      <x:c r="C189" s="18" t="str">
        <x:v>metro</x:v>
      </x:c>
      <x:c r="D189" s="19" t="str">
        <x:v>T1</x:v>
      </x:c>
      <x:c r="E189" s="20" t="n">
        <x:v>69075</x:v>
      </x:c>
      <x:c r="F189" s="18" t="str">
        <x:v>persons/day</x:v>
      </x:c>
      <x:c r="G189" s="18" t="str">
        <x:v>FY2024</x:v>
      </x:c>
      <x:c r="H189" s="18" t="str">
        <x:v>否</x:v>
      </x:c>
      <x:c r="I189" s="19" t="str">
        <x:v>DAILY_ENTRIES_EXITS</x:v>
      </x:c>
      <x:c r="J189" s="19" t="str">
        <x:v>1号線(御堂筋線)</x:v>
      </x:c>
      <x:c r="K189" s="18" t="str">
        <x:v>transport-node:836231d0-ec70-5755-83ff-7ad3f3b14f59</x:v>
      </x:c>
      <x:c r="L189" s="19" t="str">
        <x:v>组件待审核</x:v>
      </x:c>
      <x:c r="M189" s="21" t="n">
        <x:v>34.556385</x:v>
      </x:c>
      <x:c r="N189" s="21" t="n">
        <x:v>135.506315</x:v>
      </x:c>
      <x:c r="O189" s="18" t="str">
        <x:v>007710</x:v>
      </x:c>
      <x:c r="P189" s="18" t="str">
        <x:v>1号線(御堂筋線)</x:v>
      </x:c>
      <x:c r="Q189" s="19" t="str">
        <x:v>S12_061_GE_10000
OFFICIAL_HUB_COMPONENT_REVIEW</x:v>
      </x:c>
      <x:c r="R189" s="19" t="str">
        <x:v>S12_061 usage threshold</x:v>
      </x:c>
      <x:c r="S189" s="19" t="str">
        <x:v>https://nlftp.mlit.go.jp/ksj/gml/datalist/KsjTmplt-S12-2024.html</x:v>
      </x:c>
      <x:c r="T189" s="19" t="str">
        <x:v>https://nlftp.mlit.go.jp/ksj/gml/datalist/KsjTmplt-S12-2024.html
https://subway.osakametro.co.jp/station_guide/M/m30/index.php</x:v>
      </x:c>
      <x:c r="U189" s="19" t="str">
        <x:v>station-component|中百舌鳥|大阪市高速電気軌道|metro|34.5564|135.5063|</x:v>
      </x:c>
      <x:c r="V189" s="19" t="str">
        <x:v>007711 / 007710 / 1号線(御堂筋線)</x:v>
      </x:c>
      <x:c r="W189" s="18" t="str">
        <x:v>否</x:v>
      </x:c>
      <x:c r="X189" s="18" t="str">
        <x:v>0785e932a32b3ec15e1a1345537ae145eafe1c07bf38d5c16c11ee2b391e7a28</x:v>
      </x:c>
      <x:c r="Y189" s="20" t="n">
        <x:v>1</x:v>
      </x:c>
      <x:c r="Z189" s="20" t="n">
        <x:v>1</x:v>
      </x:c>
      <x:c r="AA189" s="19" t="str">
        <x:v>なかもず・中百舌鳥</x:v>
      </x:c>
      <x:c r="AB189" s="18" t="str">
        <x:v>transport-hub-review:511b2831-9512-52fb-af65-002131062b0e</x:v>
      </x:c>
      <x:c r="AC189" s="19"/>
    </x:row>
    <x:row r="190" ht="33" customHeight="1">
      <x:c r="A190" s="18" t="str">
        <x:v>中目黒</x:v>
      </x:c>
      <x:c r="B190" s="18" t="str">
        <x:v>東京地下鉄</x:v>
      </x:c>
      <x:c r="C190" s="18" t="str">
        <x:v>metro</x:v>
      </x:c>
      <x:c r="D190" s="19"/>
      <x:c r="E190" s="20"/>
      <x:c r="F190" s="18"/>
      <x:c r="G190" s="18" t="str">
        <x:v>FY2024</x:v>
      </x:c>
      <x:c r="H190" s="18" t="str">
        <x:v>是</x:v>
      </x:c>
      <x:c r="I190" s="19" t="str">
        <x:v>USAGE_DATA_UNAVAILABLE</x:v>
      </x:c>
      <x:c r="J190" s="19" t="str">
        <x:v>2号線日比谷線</x:v>
      </x:c>
      <x:c r="K190" s="18" t="str">
        <x:v>transport-node:a553a937-2ad8-5400-9c8a-ef34433dd96e</x:v>
      </x:c>
      <x:c r="L190" s="19" t="str">
        <x:v>组件待审核</x:v>
      </x:c>
      <x:c r="M190" s="21" t="n">
        <x:v>35.6441875</x:v>
      </x:c>
      <x:c r="N190" s="21" t="n">
        <x:v>139.6989275</x:v>
      </x:c>
      <x:c r="O190" s="18" t="str">
        <x:v>004014</x:v>
      </x:c>
      <x:c r="P190" s="18" t="str">
        <x:v>2号線日比谷線</x:v>
      </x:c>
      <x:c r="Q190" s="19" t="str">
        <x:v>OFFICIAL_HUB_COMPONENT_REVIEW</x:v>
      </x:c>
      <x:c r="R190" s="19" t="str">
        <x:v>Official S12 usage unavailable; manual tier review required</x:v>
      </x:c>
      <x:c r="S190" s="19" t="str">
        <x:v>https://nlftp.mlit.go.jp/ksj/gml/datalist/KsjTmplt-S12-2024.html</x:v>
      </x:c>
      <x:c r="T190" s="19" t="str">
        <x:v>https://nlftp.mlit.go.jp/ksj/gml/datalist/KsjTmplt-S12-2024.html
https://www.tokyometro.jp/station/naka-meguro/index.html</x:v>
      </x:c>
      <x:c r="U190" s="19" t="str">
        <x:v>station-component|中目黒|東京地下鉄|metro|35.6442|139.6989|</x:v>
      </x:c>
      <x:c r="V190" s="19" t="str">
        <x:v>004014 / 004014 / 2号線日比谷線</x:v>
      </x:c>
      <x:c r="W190" s="18" t="str">
        <x:v>否</x:v>
      </x:c>
      <x:c r="X190" s="18" t="str">
        <x:v>0785e932a32b3ec15e1a1345537ae145eafe1c07bf38d5c16c11ee2b391e7a28</x:v>
      </x:c>
      <x:c r="Y190" s="20" t="n">
        <x:v>1</x:v>
      </x:c>
      <x:c r="Z190" s="20" t="n">
        <x:v>2</x:v>
      </x:c>
      <x:c r="AA190" s="19" t="str">
        <x:v>中目黒</x:v>
      </x:c>
      <x:c r="AB190" s="18" t="str">
        <x:v>transport-hub-review:9bfc0870-90f3-5490-a894-809b46505db4</x:v>
      </x:c>
      <x:c r="AC190" s="19"/>
    </x:row>
    <x:row r="191" ht="33" customHeight="1">
      <x:c r="A191" s="18" t="str">
        <x:v>中目黒</x:v>
      </x:c>
      <x:c r="B191" s="18" t="str">
        <x:v>東急電鉄</x:v>
      </x:c>
      <x:c r="C191" s="18" t="str">
        <x:v>private_rail</x:v>
      </x:c>
      <x:c r="D191" s="19" t="str">
        <x:v>T0</x:v>
      </x:c>
      <x:c r="E191" s="20" t="n">
        <x:v>381738</x:v>
      </x:c>
      <x:c r="F191" s="18" t="str">
        <x:v>persons/day</x:v>
      </x:c>
      <x:c r="G191" s="18" t="str">
        <x:v>FY2024</x:v>
      </x:c>
      <x:c r="H191" s="18" t="str">
        <x:v>否</x:v>
      </x:c>
      <x:c r="I191" s="19" t="str">
        <x:v>DAILY_ENTRIES_EXITS</x:v>
      </x:c>
      <x:c r="J191" s="19" t="str">
        <x:v>東横線</x:v>
      </x:c>
      <x:c r="K191" s="18" t="str">
        <x:v>transport-node:8228763b-2f54-5f87-bfa8-4b8b051c3475</x:v>
      </x:c>
      <x:c r="L191" s="19" t="str">
        <x:v>组件待审核</x:v>
      </x:c>
      <x:c r="M191" s="21" t="n">
        <x:v>35.6441875</x:v>
      </x:c>
      <x:c r="N191" s="21" t="n">
        <x:v>139.6989275</x:v>
      </x:c>
      <x:c r="O191" s="18" t="str">
        <x:v>004015</x:v>
      </x:c>
      <x:c r="P191" s="18" t="str">
        <x:v>東横線</x:v>
      </x:c>
      <x:c r="Q191" s="19" t="str">
        <x:v>S12_061_GE_10000
OFFICIAL_HUB_COMPONENT_REVIEW</x:v>
      </x:c>
      <x:c r="R191" s="19" t="str">
        <x:v>S12_061 usage threshold</x:v>
      </x:c>
      <x:c r="S191" s="19" t="str">
        <x:v>https://nlftp.mlit.go.jp/ksj/gml/datalist/KsjTmplt-S12-2024.html</x:v>
      </x:c>
      <x:c r="T191" s="19" t="str">
        <x:v>https://nlftp.mlit.go.jp/ksj/gml/datalist/KsjTmplt-S12-2024.html
https://www.tokyometro.jp/station/naka-meguro/index.html</x:v>
      </x:c>
      <x:c r="U191" s="19" t="str">
        <x:v>station-component|中目黒|東急電鉄|private_rail|35.6442|139.6989|</x:v>
      </x:c>
      <x:c r="V191" s="19" t="str">
        <x:v>004014 / 004015 / 東横線</x:v>
      </x:c>
      <x:c r="W191" s="18" t="str">
        <x:v>否</x:v>
      </x:c>
      <x:c r="X191" s="18" t="str">
        <x:v>0785e932a32b3ec15e1a1345537ae145eafe1c07bf38d5c16c11ee2b391e7a28</x:v>
      </x:c>
      <x:c r="Y191" s="20" t="n">
        <x:v>1</x:v>
      </x:c>
      <x:c r="Z191" s="20" t="n">
        <x:v>1</x:v>
      </x:c>
      <x:c r="AA191" s="19" t="str">
        <x:v>中目黒</x:v>
      </x:c>
      <x:c r="AB191" s="18" t="str">
        <x:v>transport-hub-review:9bfc0870-90f3-5490-a894-809b46505db4</x:v>
      </x:c>
      <x:c r="AC191" s="19"/>
    </x:row>
    <x:row r="192" ht="28" customHeight="1">
      <x:c r="A192" s="18" t="str">
        <x:v>中神</x:v>
      </x:c>
      <x:c r="B192" s="18" t="str">
        <x:v>東日本旅客鉄道</x:v>
      </x:c>
      <x:c r="C192" s="18" t="str">
        <x:v>conventional_rail</x:v>
      </x:c>
      <x:c r="D192" s="19" t="str">
        <x:v>T2</x:v>
      </x:c>
      <x:c r="E192" s="20" t="n">
        <x:v>23020</x:v>
      </x:c>
      <x:c r="F192" s="18" t="str">
        <x:v>persons/day</x:v>
      </x:c>
      <x:c r="G192" s="18" t="str">
        <x:v>FY2024</x:v>
      </x:c>
      <x:c r="H192" s="18" t="str">
        <x:v>否</x:v>
      </x:c>
      <x:c r="I192" s="19" t="str">
        <x:v>DAILY_ENTRIES_EXITS</x:v>
      </x:c>
      <x:c r="J192" s="19" t="str">
        <x:v>青梅線</x:v>
      </x:c>
      <x:c r="K192" s="18" t="str">
        <x:v>transport-node:4f0edb69-5547-5c9a-a390-67bf0c10e171</x:v>
      </x:c>
      <x:c r="L192" s="19" t="str">
        <x:v>组件待审核</x:v>
      </x:c>
      <x:c r="M192" s="21" t="n">
        <x:v>35.709</x:v>
      </x:c>
      <x:c r="N192" s="21" t="n">
        <x:v>139.37571</x:v>
      </x:c>
      <x:c r="O192" s="18" t="str">
        <x:v>003536</x:v>
      </x:c>
      <x:c r="P192" s="18" t="str">
        <x:v>青梅線</x:v>
      </x:c>
      <x:c r="Q192" s="19" t="str">
        <x:v>S12_061_GE_10000</x:v>
      </x:c>
      <x:c r="R192" s="19" t="str">
        <x:v>S12_061 usage threshold</x:v>
      </x:c>
      <x:c r="S192" s="19" t="str">
        <x:v>https://nlftp.mlit.go.jp/ksj/gml/datalist/KsjTmplt-S12-2024.html</x:v>
      </x:c>
      <x:c r="T192" s="19" t="str">
        <x:v>https://nlftp.mlit.go.jp/ksj/gml/datalist/KsjTmplt-S12-2024.html</x:v>
      </x:c>
      <x:c r="U192" s="19" t="str">
        <x:v>station-component|中神|東日本旅客鉄道|conventional_rail|35.7090|139.3757|</x:v>
      </x:c>
      <x:c r="V192" s="19" t="str">
        <x:v>003536 / 003536 / 青梅線</x:v>
      </x:c>
      <x:c r="W192" s="18" t="str">
        <x:v>否</x:v>
      </x:c>
      <x:c r="X192" s="18" t="str">
        <x:v>0785e932a32b3ec15e1a1345537ae145eafe1c07bf38d5c16c11ee2b391e7a28</x:v>
      </x:c>
      <x:c r="Y192" s="20" t="n">
        <x:v>1</x:v>
      </x:c>
      <x:c r="Z192" s="20" t="n">
        <x:v>1</x:v>
      </x:c>
      <x:c r="AA192" s="19"/>
      <x:c r="AB192" s="18"/>
      <x:c r="AC192" s="19"/>
    </x:row>
    <x:row r="193" ht="33" customHeight="1">
      <x:c r="A193" s="18" t="str">
        <x:v>中部国際空港</x:v>
      </x:c>
      <x:c r="B193" s="18" t="str">
        <x:v>名古屋鉄道</x:v>
      </x:c>
      <x:c r="C193" s="18" t="str">
        <x:v>private_rail</x:v>
      </x:c>
      <x:c r="D193" s="19" t="str">
        <x:v>T2</x:v>
      </x:c>
      <x:c r="E193" s="20" t="n">
        <x:v>29500</x:v>
      </x:c>
      <x:c r="F193" s="18" t="str">
        <x:v>persons/day</x:v>
      </x:c>
      <x:c r="G193" s="18" t="str">
        <x:v>FY2024</x:v>
      </x:c>
      <x:c r="H193" s="18" t="str">
        <x:v>否</x:v>
      </x:c>
      <x:c r="I193" s="19" t="str">
        <x:v>DAILY_ENTRIES_EXITS</x:v>
      </x:c>
      <x:c r="J193" s="19" t="str">
        <x:v>空港線</x:v>
      </x:c>
      <x:c r="K193" s="18" t="str">
        <x:v>transport-node:e141dfe6-ba6c-524a-8045-281f629d121d</x:v>
      </x:c>
      <x:c r="L193" s="19" t="str">
        <x:v>组件待审核</x:v>
      </x:c>
      <x:c r="M193" s="21" t="n">
        <x:v>34.859895</x:v>
      </x:c>
      <x:c r="N193" s="21" t="n">
        <x:v>136.815975</x:v>
      </x:c>
      <x:c r="O193" s="18" t="str">
        <x:v>006409</x:v>
      </x:c>
      <x:c r="P193" s="18" t="str">
        <x:v>空港線</x:v>
      </x:c>
      <x:c r="Q193" s="19" t="str">
        <x:v>S12_061_GE_10000
AIRPORT_ACCESS_AUDIT</x:v>
      </x:c>
      <x:c r="R193" s="19" t="str">
        <x:v>S12_061 usage threshold</x:v>
      </x:c>
      <x:c r="S193" s="19" t="str">
        <x:v>https://nlftp.mlit.go.jp/ksj/gml/datalist/KsjTmplt-S12-2024.html</x:v>
      </x:c>
      <x:c r="T193" s="19" t="str">
        <x:v>https://nlftp.mlit.go.jp/ksj/gml/datalist/KsjTmplt-S12-2024.html</x:v>
      </x:c>
      <x:c r="U193" s="19" t="str">
        <x:v>station-component|中部国際空港|名古屋鉄道|private_rail|34.8599|136.8160|</x:v>
      </x:c>
      <x:c r="V193" s="19" t="str">
        <x:v>006409 / 006409 / 空港線</x:v>
      </x:c>
      <x:c r="W193" s="18" t="str">
        <x:v>否</x:v>
      </x:c>
      <x:c r="X193" s="18" t="str">
        <x:v>0785e932a32b3ec15e1a1345537ae145eafe1c07bf38d5c16c11ee2b391e7a28</x:v>
      </x:c>
      <x:c r="Y193" s="20" t="n">
        <x:v>1</x:v>
      </x:c>
      <x:c r="Z193" s="20" t="n">
        <x:v>1</x:v>
      </x:c>
      <x:c r="AA193" s="19"/>
      <x:c r="AB193" s="18"/>
      <x:c r="AC193" s="19"/>
    </x:row>
    <x:row r="194" ht="33" customHeight="1">
      <x:c r="A194" s="18" t="str">
        <x:v>中野</x:v>
      </x:c>
      <x:c r="B194" s="18" t="str">
        <x:v>東京地下鉄</x:v>
      </x:c>
      <x:c r="C194" s="18" t="str">
        <x:v>metro</x:v>
      </x:c>
      <x:c r="D194" s="19"/>
      <x:c r="E194" s="20"/>
      <x:c r="F194" s="18"/>
      <x:c r="G194" s="18" t="str">
        <x:v>FY2024</x:v>
      </x:c>
      <x:c r="H194" s="18" t="str">
        <x:v>是</x:v>
      </x:c>
      <x:c r="I194" s="19" t="str">
        <x:v>USAGE_DATA_UNAVAILABLE</x:v>
      </x:c>
      <x:c r="J194" s="19" t="str">
        <x:v>5号線東西線</x:v>
      </x:c>
      <x:c r="K194" s="18" t="str">
        <x:v>transport-node:7abfd143-b046-5a71-a0b8-81e65cddda7b</x:v>
      </x:c>
      <x:c r="L194" s="19" t="str">
        <x:v>组件待审核</x:v>
      </x:c>
      <x:c r="M194" s="21" t="n">
        <x:v>35.70574</x:v>
      </x:c>
      <x:c r="N194" s="21" t="n">
        <x:v>139.665605</x:v>
      </x:c>
      <x:c r="O194" s="18" t="str">
        <x:v>003569</x:v>
      </x:c>
      <x:c r="P194" s="18" t="str">
        <x:v>5号線東西線</x:v>
      </x:c>
      <x:c r="Q194" s="19" t="str">
        <x:v>OFFICIAL_HUB_COMPONENT_REVIEW</x:v>
      </x:c>
      <x:c r="R194" s="19" t="str">
        <x:v>Official S12 usage unavailable; manual tier review required</x:v>
      </x:c>
      <x:c r="S194" s="19" t="str">
        <x:v>https://nlftp.mlit.go.jp/ksj/gml/datalist/KsjTmplt-S12-2024.html</x:v>
      </x:c>
      <x:c r="T194" s="19" t="str">
        <x:v>https://nlftp.mlit.go.jp/ksj/gml/datalist/KsjTmplt-S12-2024.html
https://www.tokyometro.jp/station/nakano/index.html</x:v>
      </x:c>
      <x:c r="U194" s="19" t="str">
        <x:v>station-component|中野|東京地下鉄|metro|35.7057|139.6656|</x:v>
      </x:c>
      <x:c r="V194" s="19" t="str">
        <x:v>003568 / 003569 / 5号線東西線</x:v>
      </x:c>
      <x:c r="W194" s="18" t="str">
        <x:v>否</x:v>
      </x:c>
      <x:c r="X194" s="18" t="str">
        <x:v>0785e932a32b3ec15e1a1345537ae145eafe1c07bf38d5c16c11ee2b391e7a28</x:v>
      </x:c>
      <x:c r="Y194" s="20" t="n">
        <x:v>1</x:v>
      </x:c>
      <x:c r="Z194" s="20" t="n">
        <x:v>2</x:v>
      </x:c>
      <x:c r="AA194" s="19" t="str">
        <x:v>中野</x:v>
      </x:c>
      <x:c r="AB194" s="18" t="str">
        <x:v>transport-hub-review:980d1d4d-cc6c-55da-b002-96c8f1dd922d</x:v>
      </x:c>
      <x:c r="AC194" s="19"/>
    </x:row>
    <x:row r="195" ht="33" customHeight="1">
      <x:c r="A195" s="18" t="str">
        <x:v>中野</x:v>
      </x:c>
      <x:c r="B195" s="18" t="str">
        <x:v>東日本旅客鉄道</x:v>
      </x:c>
      <x:c r="C195" s="18" t="str">
        <x:v>conventional_rail</x:v>
      </x:c>
      <x:c r="D195" s="19" t="str">
        <x:v>T0</x:v>
      </x:c>
      <x:c r="E195" s="20" t="n">
        <x:v>406312</x:v>
      </x:c>
      <x:c r="F195" s="18" t="str">
        <x:v>persons/day</x:v>
      </x:c>
      <x:c r="G195" s="18" t="str">
        <x:v>FY2024</x:v>
      </x:c>
      <x:c r="H195" s="18" t="str">
        <x:v>否</x:v>
      </x:c>
      <x:c r="I195" s="19" t="str">
        <x:v>DAILY_ENTRIES_EXITS</x:v>
      </x:c>
      <x:c r="J195" s="19" t="str">
        <x:v>中央線</x:v>
      </x:c>
      <x:c r="K195" s="18" t="str">
        <x:v>transport-node:b0285fe5-f3dd-5cde-9703-34bc7696977d</x:v>
      </x:c>
      <x:c r="L195" s="19" t="str">
        <x:v>组件待审核</x:v>
      </x:c>
      <x:c r="M195" s="21" t="n">
        <x:v>35.70574</x:v>
      </x:c>
      <x:c r="N195" s="21" t="n">
        <x:v>139.665605</x:v>
      </x:c>
      <x:c r="O195" s="18" t="str">
        <x:v>003568</x:v>
      </x:c>
      <x:c r="P195" s="18" t="str">
        <x:v>中央線</x:v>
      </x:c>
      <x:c r="Q195" s="19" t="str">
        <x:v>S12_061_GE_10000
OFFICIAL_HUB_COMPONENT_REVIEW</x:v>
      </x:c>
      <x:c r="R195" s="19" t="str">
        <x:v>S12_061 usage threshold</x:v>
      </x:c>
      <x:c r="S195" s="19" t="str">
        <x:v>https://nlftp.mlit.go.jp/ksj/gml/datalist/KsjTmplt-S12-2024.html</x:v>
      </x:c>
      <x:c r="T195" s="19" t="str">
        <x:v>https://nlftp.mlit.go.jp/ksj/gml/datalist/KsjTmplt-S12-2024.html
https://www.tokyometro.jp/station/nakano/index.html</x:v>
      </x:c>
      <x:c r="U195" s="19" t="str">
        <x:v>station-component|中野|東日本旅客鉄道|conventional_rail|35.7057|139.6656|</x:v>
      </x:c>
      <x:c r="V195" s="19" t="str">
        <x:v>003568 / 003568 / 中央線</x:v>
      </x:c>
      <x:c r="W195" s="18" t="str">
        <x:v>否</x:v>
      </x:c>
      <x:c r="X195" s="18" t="str">
        <x:v>0785e932a32b3ec15e1a1345537ae145eafe1c07bf38d5c16c11ee2b391e7a28</x:v>
      </x:c>
      <x:c r="Y195" s="20" t="n">
        <x:v>1</x:v>
      </x:c>
      <x:c r="Z195" s="20" t="n">
        <x:v>1</x:v>
      </x:c>
      <x:c r="AA195" s="19" t="str">
        <x:v>中野</x:v>
      </x:c>
      <x:c r="AB195" s="18" t="str">
        <x:v>transport-hub-review:980d1d4d-cc6c-55da-b002-96c8f1dd922d</x:v>
      </x:c>
      <x:c r="AC195" s="19"/>
    </x:row>
    <x:row r="196" ht="33" customHeight="1">
      <x:c r="A196" s="18" t="str">
        <x:v>中野坂上</x:v>
      </x:c>
      <x:c r="B196" s="18" t="str">
        <x:v>東京地下鉄</x:v>
      </x:c>
      <x:c r="C196" s="18" t="str">
        <x:v>metro</x:v>
      </x:c>
      <x:c r="D196" s="19" t="str">
        <x:v>T1</x:v>
      </x:c>
      <x:c r="E196" s="20" t="n">
        <x:v>73237</x:v>
      </x:c>
      <x:c r="F196" s="18" t="str">
        <x:v>persons/day</x:v>
      </x:c>
      <x:c r="G196" s="18" t="str">
        <x:v>FY2024</x:v>
      </x:c>
      <x:c r="H196" s="18" t="str">
        <x:v>否</x:v>
      </x:c>
      <x:c r="I196" s="19" t="str">
        <x:v>DAILY_ENTRIES_EXITS</x:v>
      </x:c>
      <x:c r="J196" s="19" t="str">
        <x:v>4号線丸ノ内線
4号線丸ノ内線分岐線</x:v>
      </x:c>
      <x:c r="K196" s="18" t="str">
        <x:v>transport-node:1aaadabb-fa15-50c5-b879-b3d1d6a48e72</x:v>
      </x:c>
      <x:c r="L196" s="19" t="str">
        <x:v>组件待审核</x:v>
      </x:c>
      <x:c r="M196" s="21" t="n">
        <x:v>35.697085</x:v>
      </x:c>
      <x:c r="N196" s="21" t="n">
        <x:v>139.682205</x:v>
      </x:c>
      <x:c r="O196" s="18" t="str">
        <x:v>003643</x:v>
      </x:c>
      <x:c r="P196" s="18" t="str">
        <x:v>4号線丸ノ内線</x:v>
      </x:c>
      <x:c r="Q196" s="19" t="str">
        <x:v>S12_061_GE_10000
OFFICIAL_HUB_COMPONENT_REVIEW</x:v>
      </x:c>
      <x:c r="R196" s="19" t="str">
        <x:v>S12_061 usage threshold</x:v>
      </x:c>
      <x:c r="S196" s="19" t="str">
        <x:v>https://nlftp.mlit.go.jp/ksj/gml/datalist/KsjTmplt-S12-2024.html</x:v>
      </x:c>
      <x:c r="T196" s="19" t="str">
        <x:v>https://nlftp.mlit.go.jp/ksj/gml/datalist/KsjTmplt-S12-2024.html
https://www.tokyometro.jp/station/nakano-sakaue/index.html</x:v>
      </x:c>
      <x:c r="U196" s="19" t="str">
        <x:v>station-component|中野坂上|東京地下鉄|metro|35.6971|139.6822|</x:v>
      </x:c>
      <x:c r="V196" s="19" t="str">
        <x:v>003643 / 003643 / 4号線丸ノ内線
003643 / 003644 / 4号線丸ノ内線分岐線</x:v>
      </x:c>
      <x:c r="W196" s="18" t="str">
        <x:v>否</x:v>
      </x:c>
      <x:c r="X196" s="18" t="str">
        <x:v>0785e932a32b3ec15e1a1345537ae145eafe1c07bf38d5c16c11ee2b391e7a28</x:v>
      </x:c>
      <x:c r="Y196" s="20" t="n">
        <x:v>1</x:v>
      </x:c>
      <x:c r="Z196" s="20" t="n">
        <x:v>1</x:v>
      </x:c>
      <x:c r="AA196" s="19" t="str">
        <x:v>中野坂上</x:v>
      </x:c>
      <x:c r="AB196" s="18" t="str">
        <x:v>transport-hub-review:5659c179-a8f6-51d2-9f82-4929236ae70d</x:v>
      </x:c>
      <x:c r="AC196" s="19"/>
    </x:row>
    <x:row r="197" ht="33" customHeight="1">
      <x:c r="A197" s="18" t="str">
        <x:v>中野坂上</x:v>
      </x:c>
      <x:c r="B197" s="18" t="str">
        <x:v>東京都</x:v>
      </x:c>
      <x:c r="C197" s="18" t="str">
        <x:v>metro</x:v>
      </x:c>
      <x:c r="D197" s="19" t="str">
        <x:v>T2</x:v>
      </x:c>
      <x:c r="E197" s="20" t="n">
        <x:v>24169</x:v>
      </x:c>
      <x:c r="F197" s="18" t="str">
        <x:v>persons/day</x:v>
      </x:c>
      <x:c r="G197" s="18" t="str">
        <x:v>FY2024</x:v>
      </x:c>
      <x:c r="H197" s="18" t="str">
        <x:v>否</x:v>
      </x:c>
      <x:c r="I197" s="19" t="str">
        <x:v>DAILY_ENTRIES_EXITS</x:v>
      </x:c>
      <x:c r="J197" s="19" t="str">
        <x:v>12号線大江戸線</x:v>
      </x:c>
      <x:c r="K197" s="18" t="str">
        <x:v>transport-node:1483fb7b-028f-5faf-b4c0-221fe3b13ec7</x:v>
      </x:c>
      <x:c r="L197" s="19" t="str">
        <x:v>组件待审核</x:v>
      </x:c>
      <x:c r="M197" s="21" t="n">
        <x:v>35.697875</x:v>
      </x:c>
      <x:c r="N197" s="21" t="n">
        <x:v>139.68296</x:v>
      </x:c>
      <x:c r="O197" s="18" t="str">
        <x:v>003631</x:v>
      </x:c>
      <x:c r="P197" s="18" t="str">
        <x:v>12号線大江戸線</x:v>
      </x:c>
      <x:c r="Q197" s="19" t="str">
        <x:v>S12_061_GE_10000
OFFICIAL_HUB_COMPONENT_REVIEW</x:v>
      </x:c>
      <x:c r="R197" s="19" t="str">
        <x:v>S12_061 usage threshold</x:v>
      </x:c>
      <x:c r="S197" s="19" t="str">
        <x:v>https://nlftp.mlit.go.jp/ksj/gml/datalist/KsjTmplt-S12-2024.html</x:v>
      </x:c>
      <x:c r="T197" s="19" t="str">
        <x:v>https://nlftp.mlit.go.jp/ksj/gml/datalist/KsjTmplt-S12-2024.html
https://www.tokyometro.jp/station/nakano-sakaue/index.html</x:v>
      </x:c>
      <x:c r="U197" s="19" t="str">
        <x:v>station-component|中野坂上|東京都|metro|35.6979|139.6830|</x:v>
      </x:c>
      <x:c r="V197" s="19" t="str">
        <x:v>003643 / 003631 / 12号線大江戸線</x:v>
      </x:c>
      <x:c r="W197" s="18" t="str">
        <x:v>否</x:v>
      </x:c>
      <x:c r="X197" s="18" t="str">
        <x:v>0785e932a32b3ec15e1a1345537ae145eafe1c07bf38d5c16c11ee2b391e7a28</x:v>
      </x:c>
      <x:c r="Y197" s="20" t="n">
        <x:v>1</x:v>
      </x:c>
      <x:c r="Z197" s="20" t="n">
        <x:v>1</x:v>
      </x:c>
      <x:c r="AA197" s="19" t="str">
        <x:v>中野坂上</x:v>
      </x:c>
      <x:c r="AB197" s="18" t="str">
        <x:v>transport-hub-review:5659c179-a8f6-51d2-9f82-4929236ae70d</x:v>
      </x:c>
      <x:c r="AC197" s="19"/>
    </x:row>
    <x:row r="198" ht="28" customHeight="1">
      <x:c r="A198" s="18" t="str">
        <x:v>中野富士見町</x:v>
      </x:c>
      <x:c r="B198" s="18" t="str">
        <x:v>東京地下鉄</x:v>
      </x:c>
      <x:c r="C198" s="18" t="str">
        <x:v>metro</x:v>
      </x:c>
      <x:c r="D198" s="19" t="str">
        <x:v>T2</x:v>
      </x:c>
      <x:c r="E198" s="20" t="n">
        <x:v>19307</x:v>
      </x:c>
      <x:c r="F198" s="18" t="str">
        <x:v>persons/day</x:v>
      </x:c>
      <x:c r="G198" s="18" t="str">
        <x:v>FY2024</x:v>
      </x:c>
      <x:c r="H198" s="18" t="str">
        <x:v>否</x:v>
      </x:c>
      <x:c r="I198" s="19" t="str">
        <x:v>DAILY_ENTRIES_EXITS</x:v>
      </x:c>
      <x:c r="J198" s="19" t="str">
        <x:v>4号線丸ノ内線分岐線</x:v>
      </x:c>
      <x:c r="K198" s="18" t="str">
        <x:v>transport-node:f892188f-a649-5491-bca6-a2273c14494c</x:v>
      </x:c>
      <x:c r="L198" s="19" t="str">
        <x:v>组件待审核</x:v>
      </x:c>
      <x:c r="M198" s="21" t="n">
        <x:v>35.69082</x:v>
      </x:c>
      <x:c r="N198" s="21" t="n">
        <x:v>139.668155</x:v>
      </x:c>
      <x:c r="O198" s="18" t="str">
        <x:v>003688</x:v>
      </x:c>
      <x:c r="P198" s="18" t="str">
        <x:v>4号線丸ノ内線分岐線</x:v>
      </x:c>
      <x:c r="Q198" s="19" t="str">
        <x:v>S12_061_GE_10000</x:v>
      </x:c>
      <x:c r="R198" s="19" t="str">
        <x:v>S12_061 usage threshold</x:v>
      </x:c>
      <x:c r="S198" s="19" t="str">
        <x:v>https://nlftp.mlit.go.jp/ksj/gml/datalist/KsjTmplt-S12-2024.html</x:v>
      </x:c>
      <x:c r="T198" s="19" t="str">
        <x:v>https://nlftp.mlit.go.jp/ksj/gml/datalist/KsjTmplt-S12-2024.html</x:v>
      </x:c>
      <x:c r="U198" s="19" t="str">
        <x:v>station-component|中野富士見町|東京地下鉄|metro|35.6908|139.6682|</x:v>
      </x:c>
      <x:c r="V198" s="19" t="str">
        <x:v>003688 / 003688 / 4号線丸ノ内線分岐線</x:v>
      </x:c>
      <x:c r="W198" s="18" t="str">
        <x:v>否</x:v>
      </x:c>
      <x:c r="X198" s="18" t="str">
        <x:v>0785e932a32b3ec15e1a1345537ae145eafe1c07bf38d5c16c11ee2b391e7a28</x:v>
      </x:c>
      <x:c r="Y198" s="20" t="n">
        <x:v>1</x:v>
      </x:c>
      <x:c r="Z198" s="20" t="n">
        <x:v>1</x:v>
      </x:c>
      <x:c r="AA198" s="19"/>
      <x:c r="AB198" s="18"/>
      <x:c r="AC198" s="19"/>
    </x:row>
    <x:row r="199" ht="28" customHeight="1">
      <x:c r="A199" s="18" t="str">
        <x:v>中野島</x:v>
      </x:c>
      <x:c r="B199" s="18" t="str">
        <x:v>東日本旅客鉄道</x:v>
      </x:c>
      <x:c r="C199" s="18" t="str">
        <x:v>conventional_rail</x:v>
      </x:c>
      <x:c r="D199" s="19" t="str">
        <x:v>T2</x:v>
      </x:c>
      <x:c r="E199" s="20" t="n">
        <x:v>28216</x:v>
      </x:c>
      <x:c r="F199" s="18" t="str">
        <x:v>persons/day</x:v>
      </x:c>
      <x:c r="G199" s="18" t="str">
        <x:v>FY2024</x:v>
      </x:c>
      <x:c r="H199" s="18" t="str">
        <x:v>否</x:v>
      </x:c>
      <x:c r="I199" s="19" t="str">
        <x:v>DAILY_ENTRIES_EXITS</x:v>
      </x:c>
      <x:c r="J199" s="19" t="str">
        <x:v>南武線</x:v>
      </x:c>
      <x:c r="K199" s="18" t="str">
        <x:v>transport-node:1b01cb30-692e-54b7-a098-41f59e34e5cb</x:v>
      </x:c>
      <x:c r="L199" s="19" t="str">
        <x:v>组件待审核</x:v>
      </x:c>
      <x:c r="M199" s="21" t="n">
        <x:v>35.63002</x:v>
      </x:c>
      <x:c r="N199" s="21" t="n">
        <x:v>139.551075</x:v>
      </x:c>
      <x:c r="O199" s="18" t="str">
        <x:v>004089</x:v>
      </x:c>
      <x:c r="P199" s="18" t="str">
        <x:v>南武線</x:v>
      </x:c>
      <x:c r="Q199" s="19" t="str">
        <x:v>S12_061_GE_10000</x:v>
      </x:c>
      <x:c r="R199" s="19" t="str">
        <x:v>S12_061 usage threshold</x:v>
      </x:c>
      <x:c r="S199" s="19" t="str">
        <x:v>https://nlftp.mlit.go.jp/ksj/gml/datalist/KsjTmplt-S12-2024.html</x:v>
      </x:c>
      <x:c r="T199" s="19" t="str">
        <x:v>https://nlftp.mlit.go.jp/ksj/gml/datalist/KsjTmplt-S12-2024.html</x:v>
      </x:c>
      <x:c r="U199" s="19" t="str">
        <x:v>station-component|中野島|東日本旅客鉄道|conventional_rail|35.6300|139.5511|</x:v>
      </x:c>
      <x:c r="V199" s="19" t="str">
        <x:v>004089 / 004089 / 南武線</x:v>
      </x:c>
      <x:c r="W199" s="18" t="str">
        <x:v>否</x:v>
      </x:c>
      <x:c r="X199" s="18" t="str">
        <x:v>0785e932a32b3ec15e1a1345537ae145eafe1c07bf38d5c16c11ee2b391e7a28</x:v>
      </x:c>
      <x:c r="Y199" s="20" t="n">
        <x:v>1</x:v>
      </x:c>
      <x:c r="Z199" s="20" t="n">
        <x:v>1</x:v>
      </x:c>
      <x:c r="AA199" s="19"/>
      <x:c r="AB199" s="18"/>
      <x:c r="AC199" s="19"/>
    </x:row>
    <x:row r="200" ht="28" customHeight="1">
      <x:c r="A200" s="18" t="str">
        <x:v>中野新橋</x:v>
      </x:c>
      <x:c r="B200" s="18" t="str">
        <x:v>東京地下鉄</x:v>
      </x:c>
      <x:c r="C200" s="18" t="str">
        <x:v>metro</x:v>
      </x:c>
      <x:c r="D200" s="19" t="str">
        <x:v>T2</x:v>
      </x:c>
      <x:c r="E200" s="20" t="n">
        <x:v>20570</x:v>
      </x:c>
      <x:c r="F200" s="18" t="str">
        <x:v>persons/day</x:v>
      </x:c>
      <x:c r="G200" s="18" t="str">
        <x:v>FY2024</x:v>
      </x:c>
      <x:c r="H200" s="18" t="str">
        <x:v>否</x:v>
      </x:c>
      <x:c r="I200" s="19" t="str">
        <x:v>DAILY_ENTRIES_EXITS</x:v>
      </x:c>
      <x:c r="J200" s="19" t="str">
        <x:v>4号線丸ノ内線分岐線</x:v>
      </x:c>
      <x:c r="K200" s="18" t="str">
        <x:v>transport-node:3cb109ab-dcd8-5e56-9ad6-9f47921f7d5a</x:v>
      </x:c>
      <x:c r="L200" s="19" t="str">
        <x:v>组件待审核</x:v>
      </x:c>
      <x:c r="M200" s="21" t="n">
        <x:v>35.6916975</x:v>
      </x:c>
      <x:c r="N200" s="21" t="n">
        <x:v>139.674005</x:v>
      </x:c>
      <x:c r="O200" s="18" t="str">
        <x:v>003679</x:v>
      </x:c>
      <x:c r="P200" s="18" t="str">
        <x:v>4号線丸ノ内線分岐線</x:v>
      </x:c>
      <x:c r="Q200" s="19" t="str">
        <x:v>S12_061_GE_10000</x:v>
      </x:c>
      <x:c r="R200" s="19" t="str">
        <x:v>S12_061 usage threshold</x:v>
      </x:c>
      <x:c r="S200" s="19" t="str">
        <x:v>https://nlftp.mlit.go.jp/ksj/gml/datalist/KsjTmplt-S12-2024.html</x:v>
      </x:c>
      <x:c r="T200" s="19" t="str">
        <x:v>https://nlftp.mlit.go.jp/ksj/gml/datalist/KsjTmplt-S12-2024.html</x:v>
      </x:c>
      <x:c r="U200" s="19" t="str">
        <x:v>station-component|中野新橋|東京地下鉄|metro|35.6917|139.6740|</x:v>
      </x:c>
      <x:c r="V200" s="19" t="str">
        <x:v>003679 / 003679 / 4号線丸ノ内線分岐線</x:v>
      </x:c>
      <x:c r="W200" s="18" t="str">
        <x:v>否</x:v>
      </x:c>
      <x:c r="X200" s="18" t="str">
        <x:v>0785e932a32b3ec15e1a1345537ae145eafe1c07bf38d5c16c11ee2b391e7a28</x:v>
      </x:c>
      <x:c r="Y200" s="20" t="n">
        <x:v>1</x:v>
      </x:c>
      <x:c r="Z200" s="20" t="n">
        <x:v>1</x:v>
      </x:c>
      <x:c r="AA200" s="19"/>
      <x:c r="AB200" s="18"/>
      <x:c r="AC200" s="19"/>
    </x:row>
    <x:row r="201" ht="33" customHeight="1">
      <x:c r="A201" s="18" t="str">
        <x:v>丸の内</x:v>
      </x:c>
      <x:c r="B201" s="18" t="str">
        <x:v>名古屋市</x:v>
      </x:c>
      <x:c r="C201" s="18" t="str">
        <x:v>metro</x:v>
      </x:c>
      <x:c r="D201" s="19" t="str">
        <x:v>T2</x:v>
      </x:c>
      <x:c r="E201" s="20" t="n">
        <x:v>38463</x:v>
      </x:c>
      <x:c r="F201" s="18" t="str">
        <x:v>persons/day</x:v>
      </x:c>
      <x:c r="G201" s="18" t="str">
        <x:v>FY2024</x:v>
      </x:c>
      <x:c r="H201" s="18" t="str">
        <x:v>否</x:v>
      </x:c>
      <x:c r="I201" s="19" t="str">
        <x:v>DAILY_ENTRIES_EXITS</x:v>
      </x:c>
      <x:c r="J201" s="19" t="str">
        <x:v>3号線鶴舞線
6号線桜通線</x:v>
      </x:c>
      <x:c r="K201" s="18" t="str">
        <x:v>transport-node:dd962c7c-7fac-5328-9063-06b3fdb805d9</x:v>
      </x:c>
      <x:c r="L201" s="19" t="str">
        <x:v>组件待审核</x:v>
      </x:c>
      <x:c r="M201" s="21" t="n">
        <x:v>35.174925</x:v>
      </x:c>
      <x:c r="N201" s="21" t="n">
        <x:v>136.896735</x:v>
      </x:c>
      <x:c r="O201" s="18" t="str">
        <x:v>005431</x:v>
      </x:c>
      <x:c r="P201" s="18" t="str">
        <x:v>3号線鶴舞線</x:v>
      </x:c>
      <x:c r="Q201" s="19" t="str">
        <x:v>S12_061_GE_10000
OFFICIAL_HUB_COMPONENT_REVIEW</x:v>
      </x:c>
      <x:c r="R201" s="19" t="str">
        <x:v>S12_061 usage threshold</x:v>
      </x:c>
      <x:c r="S201" s="19" t="str">
        <x:v>https://nlftp.mlit.go.jp/ksj/gml/datalist/KsjTmplt-S12-2024.html</x:v>
      </x:c>
      <x:c r="T201" s="19" t="str">
        <x:v>https://kotsu.city.nagoya.jp/rp/subway/
https://nlftp.mlit.go.jp/ksj/gml/datalist/KsjTmplt-S12-2024.html</x:v>
      </x:c>
      <x:c r="U201" s="19" t="str">
        <x:v>station-component|丸の内|名古屋市|metro|35.1749|136.8967|</x:v>
      </x:c>
      <x:c r="V201" s="19" t="str">
        <x:v>005431 / 005431 / 3号線鶴舞線
005431 / 005439 / 6号線桜通線</x:v>
      </x:c>
      <x:c r="W201" s="18" t="str">
        <x:v>否</x:v>
      </x:c>
      <x:c r="X201" s="18" t="str">
        <x:v>0785e932a32b3ec15e1a1345537ae145eafe1c07bf38d5c16c11ee2b391e7a28</x:v>
      </x:c>
      <x:c r="Y201" s="20" t="n">
        <x:v>1</x:v>
      </x:c>
      <x:c r="Z201" s="20" t="n">
        <x:v>1</x:v>
      </x:c>
      <x:c r="AA201" s="19" t="str">
        <x:v>丸の内</x:v>
      </x:c>
      <x:c r="AB201" s="18" t="str">
        <x:v>transport-hub-review:d30709d0-2b2a-587d-bc53-dff2a66aa7ab</x:v>
      </x:c>
      <x:c r="AC201" s="19"/>
    </x:row>
    <x:row r="202" ht="28" customHeight="1">
      <x:c r="A202" s="18" t="str">
        <x:v>丸太町</x:v>
      </x:c>
      <x:c r="B202" s="18" t="str">
        <x:v>京都市</x:v>
      </x:c>
      <x:c r="C202" s="18" t="str">
        <x:v>metro</x:v>
      </x:c>
      <x:c r="D202" s="19" t="str">
        <x:v>T2</x:v>
      </x:c>
      <x:c r="E202" s="20" t="n">
        <x:v>24673</x:v>
      </x:c>
      <x:c r="F202" s="18" t="str">
        <x:v>persons/day</x:v>
      </x:c>
      <x:c r="G202" s="18" t="str">
        <x:v>FY2024</x:v>
      </x:c>
      <x:c r="H202" s="18" t="str">
        <x:v>否</x:v>
      </x:c>
      <x:c r="I202" s="19" t="str">
        <x:v>DAILY_ENTRIES_EXITS</x:v>
      </x:c>
      <x:c r="J202" s="19" t="str">
        <x:v>烏丸線</x:v>
      </x:c>
      <x:c r="K202" s="18" t="str">
        <x:v>transport-node:402a2184-0a3e-551f-a9bc-483e98f08e08</x:v>
      </x:c>
      <x:c r="L202" s="19" t="str">
        <x:v>组件待审核</x:v>
      </x:c>
      <x:c r="M202" s="21" t="n">
        <x:v>35.01651</x:v>
      </x:c>
      <x:c r="N202" s="21" t="n">
        <x:v>135.75949</x:v>
      </x:c>
      <x:c r="O202" s="18" t="str">
        <x:v>005929</x:v>
      </x:c>
      <x:c r="P202" s="18" t="str">
        <x:v>烏丸線</x:v>
      </x:c>
      <x:c r="Q202" s="19" t="str">
        <x:v>S12_061_GE_10000</x:v>
      </x:c>
      <x:c r="R202" s="19" t="str">
        <x:v>S12_061 usage threshold</x:v>
      </x:c>
      <x:c r="S202" s="19" t="str">
        <x:v>https://nlftp.mlit.go.jp/ksj/gml/datalist/KsjTmplt-S12-2024.html</x:v>
      </x:c>
      <x:c r="T202" s="19" t="str">
        <x:v>https://nlftp.mlit.go.jp/ksj/gml/datalist/KsjTmplt-S12-2024.html</x:v>
      </x:c>
      <x:c r="U202" s="19" t="str">
        <x:v>station-component|丸太町|京都市|metro|35.0165|135.7595|</x:v>
      </x:c>
      <x:c r="V202" s="19" t="str">
        <x:v>005929 / 005929 / 烏丸線</x:v>
      </x:c>
      <x:c r="W202" s="18" t="str">
        <x:v>否</x:v>
      </x:c>
      <x:c r="X202" s="18" t="str">
        <x:v>0785e932a32b3ec15e1a1345537ae145eafe1c07bf38d5c16c11ee2b391e7a28</x:v>
      </x:c>
      <x:c r="Y202" s="20" t="n">
        <x:v>1</x:v>
      </x:c>
      <x:c r="Z202" s="20" t="n">
        <x:v>1</x:v>
      </x:c>
      <x:c r="AA202" s="19"/>
      <x:c r="AB202" s="18"/>
      <x:c r="AC202" s="19"/>
    </x:row>
    <x:row r="203" ht="28" customHeight="1">
      <x:c r="A203" s="18" t="str">
        <x:v>丹波口</x:v>
      </x:c>
      <x:c r="B203" s="18" t="str">
        <x:v>西日本旅客鉄道</x:v>
      </x:c>
      <x:c r="C203" s="18" t="str">
        <x:v>conventional_rail</x:v>
      </x:c>
      <x:c r="D203" s="19" t="str">
        <x:v>T2</x:v>
      </x:c>
      <x:c r="E203" s="20" t="n">
        <x:v>13270</x:v>
      </x:c>
      <x:c r="F203" s="18" t="str">
        <x:v>persons/day</x:v>
      </x:c>
      <x:c r="G203" s="18" t="str">
        <x:v>FY2024</x:v>
      </x:c>
      <x:c r="H203" s="18" t="str">
        <x:v>否</x:v>
      </x:c>
      <x:c r="I203" s="19" t="str">
        <x:v>DAILY_ENTRIES_EXITS</x:v>
      </x:c>
      <x:c r="J203" s="19" t="str">
        <x:v>山陰線</x:v>
      </x:c>
      <x:c r="K203" s="18" t="str">
        <x:v>transport-node:fc382d19-a136-56d5-8be3-d35db999d749</x:v>
      </x:c>
      <x:c r="L203" s="19" t="str">
        <x:v>组件待审核</x:v>
      </x:c>
      <x:c r="M203" s="21" t="n">
        <x:v>34.99655</x:v>
      </x:c>
      <x:c r="N203" s="21" t="n">
        <x:v>135.74227</x:v>
      </x:c>
      <x:c r="O203" s="18" t="str">
        <x:v>006023</x:v>
      </x:c>
      <x:c r="P203" s="18" t="str">
        <x:v>山陰線</x:v>
      </x:c>
      <x:c r="Q203" s="19" t="str">
        <x:v>S12_061_GE_10000</x:v>
      </x:c>
      <x:c r="R203" s="19" t="str">
        <x:v>S12_061 usage threshold</x:v>
      </x:c>
      <x:c r="S203" s="19" t="str">
        <x:v>https://nlftp.mlit.go.jp/ksj/gml/datalist/KsjTmplt-S12-2024.html</x:v>
      </x:c>
      <x:c r="T203" s="19" t="str">
        <x:v>https://nlftp.mlit.go.jp/ksj/gml/datalist/KsjTmplt-S12-2024.html</x:v>
      </x:c>
      <x:c r="U203" s="19" t="str">
        <x:v>station-component|丹波口|西日本旅客鉄道|conventional_rail|34.9965|135.7423|</x:v>
      </x:c>
      <x:c r="V203" s="19" t="str">
        <x:v>006023 / 006023 / 山陰線</x:v>
      </x:c>
      <x:c r="W203" s="18" t="str">
        <x:v>否</x:v>
      </x:c>
      <x:c r="X203" s="18" t="str">
        <x:v>0785e932a32b3ec15e1a1345537ae145eafe1c07bf38d5c16c11ee2b391e7a28</x:v>
      </x:c>
      <x:c r="Y203" s="20" t="n">
        <x:v>1</x:v>
      </x:c>
      <x:c r="Z203" s="20" t="n">
        <x:v>1</x:v>
      </x:c>
      <x:c r="AA203" s="19"/>
      <x:c r="AB203" s="18"/>
      <x:c r="AC203" s="19"/>
    </x:row>
    <x:row r="204" ht="33" customHeight="1">
      <x:c r="A204" s="18" t="str">
        <x:v>丹波橋</x:v>
      </x:c>
      <x:c r="B204" s="18" t="str">
        <x:v>京阪電気鉄道</x:v>
      </x:c>
      <x:c r="C204" s="18" t="str">
        <x:v>private_rail</x:v>
      </x:c>
      <x:c r="D204" s="19" t="str">
        <x:v>T2</x:v>
      </x:c>
      <x:c r="E204" s="20" t="n">
        <x:v>40100</x:v>
      </x:c>
      <x:c r="F204" s="18" t="str">
        <x:v>persons/day</x:v>
      </x:c>
      <x:c r="G204" s="18" t="str">
        <x:v>FY2024</x:v>
      </x:c>
      <x:c r="H204" s="18" t="str">
        <x:v>否</x:v>
      </x:c>
      <x:c r="I204" s="19" t="str">
        <x:v>DAILY_ENTRIES_EXITS</x:v>
      </x:c>
      <x:c r="J204" s="19" t="str">
        <x:v>京阪本線</x:v>
      </x:c>
      <x:c r="K204" s="18" t="str">
        <x:v>transport-node:c6bf6ef1-70ab-5124-9a8d-2b3f452903b8</x:v>
      </x:c>
      <x:c r="L204" s="19" t="str">
        <x:v>组件待审核</x:v>
      </x:c>
      <x:c r="M204" s="21" t="n">
        <x:v>34.93892</x:v>
      </x:c>
      <x:c r="N204" s="21" t="n">
        <x:v>135.76542</x:v>
      </x:c>
      <x:c r="O204" s="18" t="str">
        <x:v>006217</x:v>
      </x:c>
      <x:c r="P204" s="18" t="str">
        <x:v>京阪本線</x:v>
      </x:c>
      <x:c r="Q204" s="19" t="str">
        <x:v>S12_061_GE_10000
OFFICIAL_HUB_COMPONENT_REVIEW</x:v>
      </x:c>
      <x:c r="R204" s="19" t="str">
        <x:v>S12_061 usage threshold</x:v>
      </x:c>
      <x:c r="S204" s="19" t="str">
        <x:v>https://nlftp.mlit.go.jp/ksj/gml/datalist/KsjTmplt-S12-2024.html</x:v>
      </x:c>
      <x:c r="T204" s="19" t="str">
        <x:v>https://nlftp.mlit.go.jp/ksj/gml/datalist/KsjTmplt-S12-2024.html
https://www.kintetsu.co.jp/station/</x:v>
      </x:c>
      <x:c r="U204" s="19" t="str">
        <x:v>station-component|丹波橋|京阪電気鉄道|private_rail|34.9389|135.7654|</x:v>
      </x:c>
      <x:c r="V204" s="19" t="str">
        <x:v>006217 / 006217 / 京阪本線</x:v>
      </x:c>
      <x:c r="W204" s="18" t="str">
        <x:v>否</x:v>
      </x:c>
      <x:c r="X204" s="18" t="str">
        <x:v>0785e932a32b3ec15e1a1345537ae145eafe1c07bf38d5c16c11ee2b391e7a28</x:v>
      </x:c>
      <x:c r="Y204" s="20" t="n">
        <x:v>1</x:v>
      </x:c>
      <x:c r="Z204" s="20" t="n">
        <x:v>1</x:v>
      </x:c>
      <x:c r="AA204" s="19" t="str">
        <x:v>丹波橋・近鉄丹波橋</x:v>
      </x:c>
      <x:c r="AB204" s="18" t="str">
        <x:v>transport-hub-review:addfacc5-6548-5e0a-9143-09025440b308</x:v>
      </x:c>
      <x:c r="AC204" s="19"/>
    </x:row>
    <x:row r="205" ht="28" customHeight="1">
      <x:c r="A205" s="18" t="str">
        <x:v>乃木坂</x:v>
      </x:c>
      <x:c r="B205" s="18" t="str">
        <x:v>東京地下鉄</x:v>
      </x:c>
      <x:c r="C205" s="18" t="str">
        <x:v>metro</x:v>
      </x:c>
      <x:c r="D205" s="19" t="str">
        <x:v>T2</x:v>
      </x:c>
      <x:c r="E205" s="20" t="n">
        <x:v>39194</x:v>
      </x:c>
      <x:c r="F205" s="18" t="str">
        <x:v>persons/day</x:v>
      </x:c>
      <x:c r="G205" s="18" t="str">
        <x:v>FY2024</x:v>
      </x:c>
      <x:c r="H205" s="18" t="str">
        <x:v>否</x:v>
      </x:c>
      <x:c r="I205" s="19" t="str">
        <x:v>DAILY_ENTRIES_EXITS</x:v>
      </x:c>
      <x:c r="J205" s="19" t="str">
        <x:v>9号線千代田線</x:v>
      </x:c>
      <x:c r="K205" s="18" t="str">
        <x:v>transport-node:82651cd0-dfcb-5bc3-b26c-21475629eda2</x:v>
      </x:c>
      <x:c r="L205" s="19" t="str">
        <x:v>组件待审核</x:v>
      </x:c>
      <x:c r="M205" s="21" t="n">
        <x:v>35.6665925</x:v>
      </x:c>
      <x:c r="N205" s="21" t="n">
        <x:v>139.726215</x:v>
      </x:c>
      <x:c r="O205" s="18" t="str">
        <x:v>003868</x:v>
      </x:c>
      <x:c r="P205" s="18" t="str">
        <x:v>9号線千代田線</x:v>
      </x:c>
      <x:c r="Q205" s="19" t="str">
        <x:v>S12_061_GE_10000</x:v>
      </x:c>
      <x:c r="R205" s="19" t="str">
        <x:v>S12_061 usage threshold</x:v>
      </x:c>
      <x:c r="S205" s="19" t="str">
        <x:v>https://nlftp.mlit.go.jp/ksj/gml/datalist/KsjTmplt-S12-2024.html</x:v>
      </x:c>
      <x:c r="T205" s="19" t="str">
        <x:v>https://nlftp.mlit.go.jp/ksj/gml/datalist/KsjTmplt-S12-2024.html</x:v>
      </x:c>
      <x:c r="U205" s="19" t="str">
        <x:v>station-component|乃木坂|東京地下鉄|metro|35.6666|139.7262|</x:v>
      </x:c>
      <x:c r="V205" s="19" t="str">
        <x:v>003868 / 003868 / 9号線千代田線</x:v>
      </x:c>
      <x:c r="W205" s="18" t="str">
        <x:v>否</x:v>
      </x:c>
      <x:c r="X205" s="18" t="str">
        <x:v>0785e932a32b3ec15e1a1345537ae145eafe1c07bf38d5c16c11ee2b391e7a28</x:v>
      </x:c>
      <x:c r="Y205" s="20" t="n">
        <x:v>1</x:v>
      </x:c>
      <x:c r="Z205" s="20" t="n">
        <x:v>1</x:v>
      </x:c>
      <x:c r="AA205" s="19"/>
      <x:c r="AB205" s="18"/>
      <x:c r="AC205" s="19"/>
    </x:row>
    <x:row r="206" ht="28" customHeight="1">
      <x:c r="A206" s="18" t="str">
        <x:v>久が原</x:v>
      </x:c>
      <x:c r="B206" s="18" t="str">
        <x:v>東急電鉄</x:v>
      </x:c>
      <x:c r="C206" s="18" t="str">
        <x:v>private_rail</x:v>
      </x:c>
      <x:c r="D206" s="19" t="str">
        <x:v>T2</x:v>
      </x:c>
      <x:c r="E206" s="20" t="n">
        <x:v>15640</x:v>
      </x:c>
      <x:c r="F206" s="18" t="str">
        <x:v>persons/day</x:v>
      </x:c>
      <x:c r="G206" s="18" t="str">
        <x:v>FY2024</x:v>
      </x:c>
      <x:c r="H206" s="18" t="str">
        <x:v>否</x:v>
      </x:c>
      <x:c r="I206" s="19" t="str">
        <x:v>DAILY_ENTRIES_EXITS</x:v>
      </x:c>
      <x:c r="J206" s="19" t="str">
        <x:v>池上線</x:v>
      </x:c>
      <x:c r="K206" s="18" t="str">
        <x:v>transport-node:fe0060f2-d30d-5795-ac61-1af1ac94453e</x:v>
      </x:c>
      <x:c r="L206" s="19" t="str">
        <x:v>组件待审核</x:v>
      </x:c>
      <x:c r="M206" s="21" t="n">
        <x:v>35.579455</x:v>
      </x:c>
      <x:c r="N206" s="21" t="n">
        <x:v>139.68567</x:v>
      </x:c>
      <x:c r="O206" s="18" t="str">
        <x:v>004292</x:v>
      </x:c>
      <x:c r="P206" s="18" t="str">
        <x:v>池上線</x:v>
      </x:c>
      <x:c r="Q206" s="19" t="str">
        <x:v>S12_061_GE_10000</x:v>
      </x:c>
      <x:c r="R206" s="19" t="str">
        <x:v>S12_061 usage threshold</x:v>
      </x:c>
      <x:c r="S206" s="19" t="str">
        <x:v>https://nlftp.mlit.go.jp/ksj/gml/datalist/KsjTmplt-S12-2024.html</x:v>
      </x:c>
      <x:c r="T206" s="19" t="str">
        <x:v>https://nlftp.mlit.go.jp/ksj/gml/datalist/KsjTmplt-S12-2024.html</x:v>
      </x:c>
      <x:c r="U206" s="19" t="str">
        <x:v>station-component|久が原|東急電鉄|private_rail|35.5795|139.6857|</x:v>
      </x:c>
      <x:c r="V206" s="19" t="str">
        <x:v>004292 / 004292 / 池上線</x:v>
      </x:c>
      <x:c r="W206" s="18" t="str">
        <x:v>否</x:v>
      </x:c>
      <x:c r="X206" s="18" t="str">
        <x:v>0785e932a32b3ec15e1a1345537ae145eafe1c07bf38d5c16c11ee2b391e7a28</x:v>
      </x:c>
      <x:c r="Y206" s="20" t="n">
        <x:v>1</x:v>
      </x:c>
      <x:c r="Z206" s="20" t="n">
        <x:v>1</x:v>
      </x:c>
      <x:c r="AA206" s="19"/>
      <x:c r="AB206" s="18"/>
      <x:c r="AC206" s="19"/>
    </x:row>
    <x:row r="207" ht="28" customHeight="1">
      <x:c r="A207" s="18" t="str">
        <x:v>久喜</x:v>
      </x:c>
      <x:c r="B207" s="18" t="str">
        <x:v>東日本旅客鉄道</x:v>
      </x:c>
      <x:c r="C207" s="18" t="str">
        <x:v>conventional_rail</x:v>
      </x:c>
      <x:c r="D207" s="19" t="str">
        <x:v>T1</x:v>
      </x:c>
      <x:c r="E207" s="20" t="n">
        <x:v>64944</x:v>
      </x:c>
      <x:c r="F207" s="18" t="str">
        <x:v>persons/day</x:v>
      </x:c>
      <x:c r="G207" s="18" t="str">
        <x:v>FY2024</x:v>
      </x:c>
      <x:c r="H207" s="18" t="str">
        <x:v>否</x:v>
      </x:c>
      <x:c r="I207" s="19" t="str">
        <x:v>DAILY_ENTRIES_EXITS</x:v>
      </x:c>
      <x:c r="J207" s="19" t="str">
        <x:v>東北線</x:v>
      </x:c>
      <x:c r="K207" s="18" t="str">
        <x:v>transport-node:b4c50f41-309f-5a2a-84cd-b7eca10f05b5</x:v>
      </x:c>
      <x:c r="L207" s="19" t="str">
        <x:v>组件待审核</x:v>
      </x:c>
      <x:c r="M207" s="21" t="n">
        <x:v>36.06581</x:v>
      </x:c>
      <x:c r="N207" s="21" t="n">
        <x:v>139.677375</x:v>
      </x:c>
      <x:c r="O207" s="18" t="str">
        <x:v>002683</x:v>
      </x:c>
      <x:c r="P207" s="18" t="str">
        <x:v>東北線</x:v>
      </x:c>
      <x:c r="Q207" s="19" t="str">
        <x:v>S12_061_GE_10000</x:v>
      </x:c>
      <x:c r="R207" s="19" t="str">
        <x:v>S12_061 usage threshold</x:v>
      </x:c>
      <x:c r="S207" s="19" t="str">
        <x:v>https://nlftp.mlit.go.jp/ksj/gml/datalist/KsjTmplt-S12-2024.html</x:v>
      </x:c>
      <x:c r="T207" s="19" t="str">
        <x:v>https://nlftp.mlit.go.jp/ksj/gml/datalist/KsjTmplt-S12-2024.html</x:v>
      </x:c>
      <x:c r="U207" s="19" t="str">
        <x:v>station-component|久喜|東日本旅客鉄道|conventional_rail|36.0658|139.6774|</x:v>
      </x:c>
      <x:c r="V207" s="19" t="str">
        <x:v>002683 / 002683 / 東北線</x:v>
      </x:c>
      <x:c r="W207" s="18" t="str">
        <x:v>否</x:v>
      </x:c>
      <x:c r="X207" s="18" t="str">
        <x:v>0785e932a32b3ec15e1a1345537ae145eafe1c07bf38d5c16c11ee2b391e7a28</x:v>
      </x:c>
      <x:c r="Y207" s="20" t="n">
        <x:v>1</x:v>
      </x:c>
      <x:c r="Z207" s="20" t="n">
        <x:v>1</x:v>
      </x:c>
      <x:c r="AA207" s="19"/>
      <x:c r="AB207" s="18"/>
      <x:c r="AC207" s="19"/>
    </x:row>
    <x:row r="208" ht="28" customHeight="1">
      <x:c r="A208" s="18" t="str">
        <x:v>久喜</x:v>
      </x:c>
      <x:c r="B208" s="18" t="str">
        <x:v>東武鉄道</x:v>
      </x:c>
      <x:c r="C208" s="18" t="str">
        <x:v>private_rail</x:v>
      </x:c>
      <x:c r="D208" s="19" t="str">
        <x:v>T2</x:v>
      </x:c>
      <x:c r="E208" s="20" t="n">
        <x:v>47150</x:v>
      </x:c>
      <x:c r="F208" s="18" t="str">
        <x:v>persons/day</x:v>
      </x:c>
      <x:c r="G208" s="18" t="str">
        <x:v>FY2024</x:v>
      </x:c>
      <x:c r="H208" s="18" t="str">
        <x:v>否</x:v>
      </x:c>
      <x:c r="I208" s="19" t="str">
        <x:v>DAILY_ENTRIES_EXITS</x:v>
      </x:c>
      <x:c r="J208" s="19" t="str">
        <x:v>伊勢崎線</x:v>
      </x:c>
      <x:c r="K208" s="18" t="str">
        <x:v>transport-node:7addb759-a428-5b10-a44d-eea4c3b43370</x:v>
      </x:c>
      <x:c r="L208" s="19" t="str">
        <x:v>组件待审核</x:v>
      </x:c>
      <x:c r="M208" s="21" t="n">
        <x:v>36.06555</x:v>
      </x:c>
      <x:c r="N208" s="21" t="n">
        <x:v>139.67761</x:v>
      </x:c>
      <x:c r="O208" s="18" t="str">
        <x:v>002684</x:v>
      </x:c>
      <x:c r="P208" s="18" t="str">
        <x:v>伊勢崎線</x:v>
      </x:c>
      <x:c r="Q208" s="19" t="str">
        <x:v>S12_061_GE_10000</x:v>
      </x:c>
      <x:c r="R208" s="19" t="str">
        <x:v>S12_061 usage threshold</x:v>
      </x:c>
      <x:c r="S208" s="19" t="str">
        <x:v>https://nlftp.mlit.go.jp/ksj/gml/datalist/KsjTmplt-S12-2024.html</x:v>
      </x:c>
      <x:c r="T208" s="19" t="str">
        <x:v>https://nlftp.mlit.go.jp/ksj/gml/datalist/KsjTmplt-S12-2024.html</x:v>
      </x:c>
      <x:c r="U208" s="19" t="str">
        <x:v>station-component|久喜|東武鉄道|private_rail|36.0656|139.6776|</x:v>
      </x:c>
      <x:c r="V208" s="19" t="str">
        <x:v>002683 / 002684 / 伊勢崎線</x:v>
      </x:c>
      <x:c r="W208" s="18" t="str">
        <x:v>否</x:v>
      </x:c>
      <x:c r="X208" s="18" t="str">
        <x:v>0785e932a32b3ec15e1a1345537ae145eafe1c07bf38d5c16c11ee2b391e7a28</x:v>
      </x:c>
      <x:c r="Y208" s="20" t="n">
        <x:v>1</x:v>
      </x:c>
      <x:c r="Z208" s="20" t="n">
        <x:v>1</x:v>
      </x:c>
      <x:c r="AA208" s="19"/>
      <x:c r="AB208" s="18"/>
      <x:c r="AC208" s="19"/>
    </x:row>
    <x:row r="209" ht="28" customHeight="1">
      <x:c r="A209" s="18" t="str">
        <x:v>久地</x:v>
      </x:c>
      <x:c r="B209" s="18" t="str">
        <x:v>東日本旅客鉄道</x:v>
      </x:c>
      <x:c r="C209" s="18" t="str">
        <x:v>conventional_rail</x:v>
      </x:c>
      <x:c r="D209" s="19" t="str">
        <x:v>T2</x:v>
      </x:c>
      <x:c r="E209" s="20" t="n">
        <x:v>26960</x:v>
      </x:c>
      <x:c r="F209" s="18" t="str">
        <x:v>persons/day</x:v>
      </x:c>
      <x:c r="G209" s="18" t="str">
        <x:v>FY2024</x:v>
      </x:c>
      <x:c r="H209" s="18" t="str">
        <x:v>否</x:v>
      </x:c>
      <x:c r="I209" s="19" t="str">
        <x:v>DAILY_ENTRIES_EXITS</x:v>
      </x:c>
      <x:c r="J209" s="19" t="str">
        <x:v>南武線</x:v>
      </x:c>
      <x:c r="K209" s="18" t="str">
        <x:v>transport-node:75b3cddf-5616-5d56-9403-253dc1751586</x:v>
      </x:c>
      <x:c r="L209" s="19" t="str">
        <x:v>组件待审核</x:v>
      </x:c>
      <x:c r="M209" s="21" t="n">
        <x:v>35.610105</x:v>
      </x:c>
      <x:c r="N209" s="21" t="n">
        <x:v>139.593075</x:v>
      </x:c>
      <x:c r="O209" s="18" t="str">
        <x:v>004179</x:v>
      </x:c>
      <x:c r="P209" s="18" t="str">
        <x:v>南武線</x:v>
      </x:c>
      <x:c r="Q209" s="19" t="str">
        <x:v>S12_061_GE_10000</x:v>
      </x:c>
      <x:c r="R209" s="19" t="str">
        <x:v>S12_061 usage threshold</x:v>
      </x:c>
      <x:c r="S209" s="19" t="str">
        <x:v>https://nlftp.mlit.go.jp/ksj/gml/datalist/KsjTmplt-S12-2024.html</x:v>
      </x:c>
      <x:c r="T209" s="19" t="str">
        <x:v>https://nlftp.mlit.go.jp/ksj/gml/datalist/KsjTmplt-S12-2024.html</x:v>
      </x:c>
      <x:c r="U209" s="19" t="str">
        <x:v>station-component|久地|東日本旅客鉄道|conventional_rail|35.6101|139.5931|</x:v>
      </x:c>
      <x:c r="V209" s="19" t="str">
        <x:v>004179 / 004179 / 南武線</x:v>
      </x:c>
      <x:c r="W209" s="18" t="str">
        <x:v>否</x:v>
      </x:c>
      <x:c r="X209" s="18" t="str">
        <x:v>0785e932a32b3ec15e1a1345537ae145eafe1c07bf38d5c16c11ee2b391e7a28</x:v>
      </x:c>
      <x:c r="Y209" s="20" t="n">
        <x:v>1</x:v>
      </x:c>
      <x:c r="Z209" s="20" t="n">
        <x:v>1</x:v>
      </x:c>
      <x:c r="AA209" s="19"/>
      <x:c r="AB209" s="18"/>
      <x:c r="AC209" s="19"/>
    </x:row>
    <x:row r="210" ht="33" customHeight="1">
      <x:c r="A210" s="18" t="str">
        <x:v>久宝寺</x:v>
      </x:c>
      <x:c r="B210" s="18" t="str">
        <x:v>西日本旅客鉄道</x:v>
      </x:c>
      <x:c r="C210" s="18" t="str">
        <x:v>conventional_rail</x:v>
      </x:c>
      <x:c r="D210" s="19" t="str">
        <x:v>T2</x:v>
      </x:c>
      <x:c r="E210" s="20" t="n">
        <x:v>34068</x:v>
      </x:c>
      <x:c r="F210" s="18" t="str">
        <x:v>persons/day</x:v>
      </x:c>
      <x:c r="G210" s="18" t="str">
        <x:v>FY2024</x:v>
      </x:c>
      <x:c r="H210" s="18" t="str">
        <x:v>否</x:v>
      </x:c>
      <x:c r="I210" s="19" t="str">
        <x:v>DAILY_ENTRIES_EXITS</x:v>
      </x:c>
      <x:c r="J210" s="19" t="str">
        <x:v>おおさか東線
関西線</x:v>
      </x:c>
      <x:c r="K210" s="18" t="str">
        <x:v>transport-node:6260d260-f77c-5314-ad72-6dfc969b7618</x:v>
      </x:c>
      <x:c r="L210" s="19" t="str">
        <x:v>组件待审核</x:v>
      </x:c>
      <x:c r="M210" s="21" t="n">
        <x:v>34.622335</x:v>
      </x:c>
      <x:c r="N210" s="21" t="n">
        <x:v>135.584435</x:v>
      </x:c>
      <x:c r="O210" s="18" t="str">
        <x:v>007536</x:v>
      </x:c>
      <x:c r="P210" s="18" t="str">
        <x:v>関西線</x:v>
      </x:c>
      <x:c r="Q210" s="19" t="str">
        <x:v>S12_061_GE_10000</x:v>
      </x:c>
      <x:c r="R210" s="19" t="str">
        <x:v>S12_061 usage threshold</x:v>
      </x:c>
      <x:c r="S210" s="19" t="str">
        <x:v>https://nlftp.mlit.go.jp/ksj/gml/datalist/KsjTmplt-S12-2024.html</x:v>
      </x:c>
      <x:c r="T210" s="19" t="str">
        <x:v>https://nlftp.mlit.go.jp/ksj/gml/datalist/KsjTmplt-S12-2024.html</x:v>
      </x:c>
      <x:c r="U210" s="19" t="str">
        <x:v>station-component|久宝寺|西日本旅客鉄道|conventional_rail|34.6223|135.5844|</x:v>
      </x:c>
      <x:c r="V210" s="19" t="str">
        <x:v>007535 / 007535 / おおさか東線
007535 / 007536 / 関西線</x:v>
      </x:c>
      <x:c r="W210" s="18" t="str">
        <x:v>否</x:v>
      </x:c>
      <x:c r="X210" s="18" t="str">
        <x:v>0785e932a32b3ec15e1a1345537ae145eafe1c07bf38d5c16c11ee2b391e7a28</x:v>
      </x:c>
      <x:c r="Y210" s="20" t="n">
        <x:v>1</x:v>
      </x:c>
      <x:c r="Z210" s="20" t="n">
        <x:v>1</x:v>
      </x:c>
      <x:c r="AA210" s="19"/>
      <x:c r="AB210" s="18"/>
      <x:c r="AC210" s="19"/>
    </x:row>
    <x:row r="211" ht="33" customHeight="1">
      <x:c r="A211" s="18" t="str">
        <x:v>久屋大通</x:v>
      </x:c>
      <x:c r="B211" s="18" t="str">
        <x:v>名古屋市</x:v>
      </x:c>
      <x:c r="C211" s="18" t="str">
        <x:v>metro</x:v>
      </x:c>
      <x:c r="D211" s="19" t="str">
        <x:v>T1</x:v>
      </x:c>
      <x:c r="E211" s="20" t="n">
        <x:v>54795</x:v>
      </x:c>
      <x:c r="F211" s="18" t="str">
        <x:v>persons/day</x:v>
      </x:c>
      <x:c r="G211" s="18" t="str">
        <x:v>FY2024</x:v>
      </x:c>
      <x:c r="H211" s="18" t="str">
        <x:v>否</x:v>
      </x:c>
      <x:c r="I211" s="19" t="str">
        <x:v>DAILY_ENTRIES_EXITS</x:v>
      </x:c>
      <x:c r="J211" s="19" t="str">
        <x:v>2号線名城線
6号線桜通線</x:v>
      </x:c>
      <x:c r="K211" s="18" t="str">
        <x:v>transport-node:f9fa2eee-97e8-51fa-8e28-7e581035b3b5</x:v>
      </x:c>
      <x:c r="L211" s="19" t="str">
        <x:v>组件待审核</x:v>
      </x:c>
      <x:c r="M211" s="21" t="n">
        <x:v>35.1738367</x:v>
      </x:c>
      <x:c r="N211" s="21" t="n">
        <x:v>136.9081433</x:v>
      </x:c>
      <x:c r="O211" s="18" t="str">
        <x:v>005435</x:v>
      </x:c>
      <x:c r="P211" s="18" t="str">
        <x:v>2号線名城線</x:v>
      </x:c>
      <x:c r="Q211" s="19" t="str">
        <x:v>S12_061_GE_10000
OFFICIAL_HUB_COMPONENT_REVIEW</x:v>
      </x:c>
      <x:c r="R211" s="19" t="str">
        <x:v>S12_061 usage threshold</x:v>
      </x:c>
      <x:c r="S211" s="19" t="str">
        <x:v>https://nlftp.mlit.go.jp/ksj/gml/datalist/KsjTmplt-S12-2024.html</x:v>
      </x:c>
      <x:c r="T211" s="19" t="str">
        <x:v>https://kotsu.city.nagoya.jp/rp/subway/
https://nlftp.mlit.go.jp/ksj/gml/datalist/KsjTmplt-S12-2024.html</x:v>
      </x:c>
      <x:c r="U211" s="19" t="str">
        <x:v>station-component|久屋大通|名古屋市|metro|35.1738|136.9081|</x:v>
      </x:c>
      <x:c r="V211" s="19" t="str">
        <x:v>005435 / 005435 / 2号線名城線
005435 / 005436 / 6号線桜通線</x:v>
      </x:c>
      <x:c r="W211" s="18" t="str">
        <x:v>否</x:v>
      </x:c>
      <x:c r="X211" s="18" t="str">
        <x:v>0785e932a32b3ec15e1a1345537ae145eafe1c07bf38d5c16c11ee2b391e7a28</x:v>
      </x:c>
      <x:c r="Y211" s="20" t="n">
        <x:v>1</x:v>
      </x:c>
      <x:c r="Z211" s="20" t="n">
        <x:v>1</x:v>
      </x:c>
      <x:c r="AA211" s="19" t="str">
        <x:v>久屋大通</x:v>
      </x:c>
      <x:c r="AB211" s="18" t="str">
        <x:v>transport-hub-review:16d2cedd-4391-5b50-8d06-cbc8038fd587</x:v>
      </x:c>
      <x:c r="AC211" s="19"/>
    </x:row>
    <x:row r="212" ht="28" customHeight="1">
      <x:c r="A212" s="18" t="str">
        <x:v>久我山</x:v>
      </x:c>
      <x:c r="B212" s="18" t="str">
        <x:v>京王電鉄</x:v>
      </x:c>
      <x:c r="C212" s="18" t="str">
        <x:v>private_rail</x:v>
      </x:c>
      <x:c r="D212" s="19" t="str">
        <x:v>T2</x:v>
      </x:c>
      <x:c r="E212" s="20" t="n">
        <x:v>38168</x:v>
      </x:c>
      <x:c r="F212" s="18" t="str">
        <x:v>persons/day</x:v>
      </x:c>
      <x:c r="G212" s="18" t="str">
        <x:v>FY2024</x:v>
      </x:c>
      <x:c r="H212" s="18" t="str">
        <x:v>否</x:v>
      </x:c>
      <x:c r="I212" s="19" t="str">
        <x:v>DAILY_ENTRIES_EXITS</x:v>
      </x:c>
      <x:c r="J212" s="19" t="str">
        <x:v>井の頭線</x:v>
      </x:c>
      <x:c r="K212" s="18" t="str">
        <x:v>transport-node:e3724baf-5e4a-5356-8c78-4b26a521c4f7</x:v>
      </x:c>
      <x:c r="L212" s="19" t="str">
        <x:v>组件待审核</x:v>
      </x:c>
      <x:c r="M212" s="21" t="n">
        <x:v>35.68814</x:v>
      </x:c>
      <x:c r="N212" s="21" t="n">
        <x:v>139.599325</x:v>
      </x:c>
      <x:c r="O212" s="18" t="str">
        <x:v>003710</x:v>
      </x:c>
      <x:c r="P212" s="18" t="str">
        <x:v>井の頭線</x:v>
      </x:c>
      <x:c r="Q212" s="19" t="str">
        <x:v>S12_061_GE_10000</x:v>
      </x:c>
      <x:c r="R212" s="19" t="str">
        <x:v>S12_061 usage threshold</x:v>
      </x:c>
      <x:c r="S212" s="19" t="str">
        <x:v>https://nlftp.mlit.go.jp/ksj/gml/datalist/KsjTmplt-S12-2024.html</x:v>
      </x:c>
      <x:c r="T212" s="19" t="str">
        <x:v>https://nlftp.mlit.go.jp/ksj/gml/datalist/KsjTmplt-S12-2024.html</x:v>
      </x:c>
      <x:c r="U212" s="19" t="str">
        <x:v>station-component|久我山|京王電鉄|private_rail|35.6881|139.5993|</x:v>
      </x:c>
      <x:c r="V212" s="19" t="str">
        <x:v>003710 / 003710 / 井の頭線</x:v>
      </x:c>
      <x:c r="W212" s="18" t="str">
        <x:v>否</x:v>
      </x:c>
      <x:c r="X212" s="18" t="str">
        <x:v>0785e932a32b3ec15e1a1345537ae145eafe1c07bf38d5c16c11ee2b391e7a28</x:v>
      </x:c>
      <x:c r="Y212" s="20" t="n">
        <x:v>1</x:v>
      </x:c>
      <x:c r="Z212" s="20" t="n">
        <x:v>1</x:v>
      </x:c>
      <x:c r="AA212" s="19"/>
      <x:c r="AB212" s="18"/>
      <x:c r="AC212" s="19"/>
    </x:row>
    <x:row r="213" ht="33" customHeight="1">
      <x:c r="A213" s="18" t="str">
        <x:v>久留米</x:v>
      </x:c>
      <x:c r="B213" s="18" t="str">
        <x:v>九州旅客鉄道</x:v>
      </x:c>
      <x:c r="C213" s="18" t="str">
        <x:v>conventional_rail</x:v>
      </x:c>
      <x:c r="D213" s="19" t="str">
        <x:v>T2</x:v>
      </x:c>
      <x:c r="E213" s="20" t="n">
        <x:v>14808</x:v>
      </x:c>
      <x:c r="F213" s="18" t="str">
        <x:v>persons/day</x:v>
      </x:c>
      <x:c r="G213" s="18" t="str">
        <x:v>FY2024</x:v>
      </x:c>
      <x:c r="H213" s="18" t="str">
        <x:v>否</x:v>
      </x:c>
      <x:c r="I213" s="19" t="str">
        <x:v>DAILY_ENTRIES_EXITS</x:v>
      </x:c>
      <x:c r="J213" s="19" t="str">
        <x:v>久大線
鹿児島線</x:v>
      </x:c>
      <x:c r="K213" s="18" t="str">
        <x:v>transport-node:61b0e136-4c3c-53ea-a300-947b25603722</x:v>
      </x:c>
      <x:c r="L213" s="19" t="str">
        <x:v>组件待审核</x:v>
      </x:c>
      <x:c r="M213" s="21" t="n">
        <x:v>33.3207285</x:v>
      </x:c>
      <x:c r="N213" s="21" t="n">
        <x:v>130.501372</x:v>
      </x:c>
      <x:c r="O213" s="18" t="str">
        <x:v>009384</x:v>
      </x:c>
      <x:c r="P213" s="18" t="str">
        <x:v>鹿児島線</x:v>
      </x:c>
      <x:c r="Q213" s="19" t="str">
        <x:v>S12_061_GE_10000</x:v>
      </x:c>
      <x:c r="R213" s="19" t="str">
        <x:v>S12_061 usage threshold</x:v>
      </x:c>
      <x:c r="S213" s="19" t="str">
        <x:v>https://nlftp.mlit.go.jp/ksj/gml/datalist/KsjTmplt-S12-2024.html</x:v>
      </x:c>
      <x:c r="T213" s="19" t="str">
        <x:v>https://nlftp.mlit.go.jp/ksj/gml/datalist/KsjTmplt-S12-2024.html</x:v>
      </x:c>
      <x:c r="U213" s="19" t="str">
        <x:v>station-component|久留米|九州旅客鉄道|conventional_rail|33.3207|130.5014|</x:v>
      </x:c>
      <x:c r="V213" s="19" t="str">
        <x:v>009383 / 009383 / 久大線
009383 / 009384 / 鹿児島線</x:v>
      </x:c>
      <x:c r="W213" s="18" t="str">
        <x:v>否</x:v>
      </x:c>
      <x:c r="X213" s="18" t="str">
        <x:v>0785e932a32b3ec15e1a1345537ae145eafe1c07bf38d5c16c11ee2b391e7a28</x:v>
      </x:c>
      <x:c r="Y213" s="20" t="n">
        <x:v>1</x:v>
      </x:c>
      <x:c r="Z213" s="20" t="n">
        <x:v>1</x:v>
      </x:c>
      <x:c r="AA213" s="19"/>
      <x:c r="AB213" s="18"/>
      <x:c r="AC213" s="19"/>
    </x:row>
    <x:row r="214" ht="33" customHeight="1">
      <x:c r="A214" s="18" t="str">
        <x:v>久留米</x:v>
      </x:c>
      <x:c r="B214" s="18" t="str">
        <x:v>九州旅客鉄道</x:v>
      </x:c>
      <x:c r="C214" s="18" t="str">
        <x:v>shinkansen</x:v>
      </x:c>
      <x:c r="D214" s="19"/>
      <x:c r="E214" s="20" t="n">
        <x:v>7404</x:v>
      </x:c>
      <x:c r="F214" s="18" t="str">
        <x:v>boardings/day</x:v>
      </x:c>
      <x:c r="G214" s="18" t="str">
        <x:v>FY2024</x:v>
      </x:c>
      <x:c r="H214" s="18" t="str">
        <x:v>是</x:v>
      </x:c>
      <x:c r="I214" s="19" t="str">
        <x:v>STATION_COMPLEX_PROXY</x:v>
      </x:c>
      <x:c r="J214" s="19" t="str">
        <x:v>九州新幹線</x:v>
      </x:c>
      <x:c r="K214" s="18" t="str">
        <x:v>transport-node:a5c4b3e4-97b2-5039-b78d-4c1a7fe299ee</x:v>
      </x:c>
      <x:c r="L214" s="19" t="str">
        <x:v>组件待审核</x:v>
      </x:c>
      <x:c r="M214" s="21" t="n">
        <x:v>33.320653</x:v>
      </x:c>
      <x:c r="N214" s="21" t="n">
        <x:v>130.501079</x:v>
      </x:c>
      <x:c r="O214" s="18" t="str">
        <x:v>009385</x:v>
      </x:c>
      <x:c r="P214" s="18" t="str">
        <x:v>九州新幹線</x:v>
      </x:c>
      <x:c r="Q214" s="19" t="str">
        <x:v>SHINKANSEN</x:v>
      </x:c>
      <x:c r="R214" s="19" t="str">
        <x:v>Official fallback retained in published scope/unit; tier remains null pending metric/manual review.</x:v>
      </x:c>
      <x:c r="S214" s="19" t="str">
        <x:v>https://www.jrkyushu.co.jp/company/info/data/pdf/2024ekibetsu.pdf</x:v>
      </x:c>
      <x:c r="T214" s="19" t="str">
        <x:v>https://nlftp.mlit.go.jp/ksj/gml/datalist/KsjTmplt-S12-2024.html
https://www.jrkyushu.co.jp/company/info/data/pdf/2024ekibetsu.pdf</x:v>
      </x:c>
      <x:c r="U214" s="19" t="str">
        <x:v>station-component|久留米|九州旅客鉄道|shinkansen|33.3207|130.5011|</x:v>
      </x:c>
      <x:c r="V214" s="19" t="str">
        <x:v>009383 / 009385 / 九州新幹線</x:v>
      </x:c>
      <x:c r="W214" s="18" t="str">
        <x:v>否</x:v>
      </x:c>
      <x:c r="X214" s="18" t="str">
        <x:v>0785e932a32b3ec15e1a1345537ae145eafe1c07bf38d5c16c11ee2b391e7a28</x:v>
      </x:c>
      <x:c r="Y214" s="20" t="n">
        <x:v>1</x:v>
      </x:c>
      <x:c r="Z214" s="20" t="n">
        <x:v>2</x:v>
      </x:c>
      <x:c r="AA214" s="19"/>
      <x:c r="AB214" s="18"/>
      <x:c r="AC214" s="19"/>
    </x:row>
    <x:row r="215" ht="28" customHeight="1">
      <x:c r="A215" s="18" t="str">
        <x:v>久米川</x:v>
      </x:c>
      <x:c r="B215" s="18" t="str">
        <x:v>西武鉄道</x:v>
      </x:c>
      <x:c r="C215" s="18" t="str">
        <x:v>private_rail</x:v>
      </x:c>
      <x:c r="D215" s="19" t="str">
        <x:v>T2</x:v>
      </x:c>
      <x:c r="E215" s="20" t="n">
        <x:v>30875</x:v>
      </x:c>
      <x:c r="F215" s="18" t="str">
        <x:v>persons/day</x:v>
      </x:c>
      <x:c r="G215" s="18" t="str">
        <x:v>FY2024</x:v>
      </x:c>
      <x:c r="H215" s="18" t="str">
        <x:v>否</x:v>
      </x:c>
      <x:c r="I215" s="19" t="str">
        <x:v>DAILY_ENTRIES_EXITS</x:v>
      </x:c>
      <x:c r="J215" s="19" t="str">
        <x:v>新宿線</x:v>
      </x:c>
      <x:c r="K215" s="18" t="str">
        <x:v>transport-node:5f12b603-f7d7-5168-998c-2bb9235196f5</x:v>
      </x:c>
      <x:c r="L215" s="19" t="str">
        <x:v>组件待审核</x:v>
      </x:c>
      <x:c r="M215" s="21" t="n">
        <x:v>35.749525</x:v>
      </x:c>
      <x:c r="N215" s="21" t="n">
        <x:v>139.472695</x:v>
      </x:c>
      <x:c r="O215" s="18" t="str">
        <x:v>003262</x:v>
      </x:c>
      <x:c r="P215" s="18" t="str">
        <x:v>新宿線</x:v>
      </x:c>
      <x:c r="Q215" s="19" t="str">
        <x:v>S12_061_GE_10000</x:v>
      </x:c>
      <x:c r="R215" s="19" t="str">
        <x:v>S12_061 usage threshold</x:v>
      </x:c>
      <x:c r="S215" s="19" t="str">
        <x:v>https://nlftp.mlit.go.jp/ksj/gml/datalist/KsjTmplt-S12-2024.html</x:v>
      </x:c>
      <x:c r="T215" s="19" t="str">
        <x:v>https://nlftp.mlit.go.jp/ksj/gml/datalist/KsjTmplt-S12-2024.html</x:v>
      </x:c>
      <x:c r="U215" s="19" t="str">
        <x:v>station-component|久米川|西武鉄道|private_rail|35.7495|139.4727|</x:v>
      </x:c>
      <x:c r="V215" s="19" t="str">
        <x:v>003262 / 003262 / 新宿線</x:v>
      </x:c>
      <x:c r="W215" s="18" t="str">
        <x:v>否</x:v>
      </x:c>
      <x:c r="X215" s="18" t="str">
        <x:v>0785e932a32b3ec15e1a1345537ae145eafe1c07bf38d5c16c11ee2b391e7a28</x:v>
      </x:c>
      <x:c r="Y215" s="20" t="n">
        <x:v>1</x:v>
      </x:c>
      <x:c r="Z215" s="20" t="n">
        <x:v>1</x:v>
      </x:c>
      <x:c r="AA215" s="19"/>
      <x:c r="AB215" s="18"/>
      <x:c r="AC215" s="19"/>
    </x:row>
    <x:row r="216" ht="28" customHeight="1">
      <x:c r="A216" s="18" t="str">
        <x:v>久米田</x:v>
      </x:c>
      <x:c r="B216" s="18" t="str">
        <x:v>西日本旅客鉄道</x:v>
      </x:c>
      <x:c r="C216" s="18" t="str">
        <x:v>conventional_rail</x:v>
      </x:c>
      <x:c r="D216" s="19" t="str">
        <x:v>T2</x:v>
      </x:c>
      <x:c r="E216" s="20" t="n">
        <x:v>11574</x:v>
      </x:c>
      <x:c r="F216" s="18" t="str">
        <x:v>persons/day</x:v>
      </x:c>
      <x:c r="G216" s="18" t="str">
        <x:v>FY2024</x:v>
      </x:c>
      <x:c r="H216" s="18" t="str">
        <x:v>否</x:v>
      </x:c>
      <x:c r="I216" s="19" t="str">
        <x:v>DAILY_ENTRIES_EXITS</x:v>
      </x:c>
      <x:c r="J216" s="19" t="str">
        <x:v>阪和線</x:v>
      </x:c>
      <x:c r="K216" s="18" t="str">
        <x:v>transport-node:e2f566c7-e423-5f23-b080-bff63f822eb8</x:v>
      </x:c>
      <x:c r="L216" s="19" t="str">
        <x:v>组件待审核</x:v>
      </x:c>
      <x:c r="M216" s="21" t="n">
        <x:v>34.465685</x:v>
      </x:c>
      <x:c r="N216" s="21" t="n">
        <x:v>135.405495</x:v>
      </x:c>
      <x:c r="O216" s="18" t="str">
        <x:v>007913</x:v>
      </x:c>
      <x:c r="P216" s="18" t="str">
        <x:v>阪和線</x:v>
      </x:c>
      <x:c r="Q216" s="19" t="str">
        <x:v>S12_061_GE_10000</x:v>
      </x:c>
      <x:c r="R216" s="19" t="str">
        <x:v>S12_061 usage threshold</x:v>
      </x:c>
      <x:c r="S216" s="19" t="str">
        <x:v>https://nlftp.mlit.go.jp/ksj/gml/datalist/KsjTmplt-S12-2024.html</x:v>
      </x:c>
      <x:c r="T216" s="19" t="str">
        <x:v>https://nlftp.mlit.go.jp/ksj/gml/datalist/KsjTmplt-S12-2024.html</x:v>
      </x:c>
      <x:c r="U216" s="19" t="str">
        <x:v>station-component|久米田|西日本旅客鉄道|conventional_rail|34.4657|135.4055|</x:v>
      </x:c>
      <x:c r="V216" s="19" t="str">
        <x:v>007913 / 007913 / 阪和線</x:v>
      </x:c>
      <x:c r="W216" s="18" t="str">
        <x:v>否</x:v>
      </x:c>
      <x:c r="X216" s="18" t="str">
        <x:v>0785e932a32b3ec15e1a1345537ae145eafe1c07bf38d5c16c11ee2b391e7a28</x:v>
      </x:c>
      <x:c r="Y216" s="20" t="n">
        <x:v>1</x:v>
      </x:c>
      <x:c r="Z216" s="20" t="n">
        <x:v>1</x:v>
      </x:c>
      <x:c r="AA216" s="19"/>
      <x:c r="AB216" s="18"/>
      <x:c r="AC216" s="19"/>
    </x:row>
    <x:row r="217" ht="28" customHeight="1">
      <x:c r="A217" s="18" t="str">
        <x:v>久里浜</x:v>
      </x:c>
      <x:c r="B217" s="18" t="str">
        <x:v>東日本旅客鉄道</x:v>
      </x:c>
      <x:c r="C217" s="18" t="str">
        <x:v>conventional_rail</x:v>
      </x:c>
      <x:c r="D217" s="19" t="str">
        <x:v>T2</x:v>
      </x:c>
      <x:c r="E217" s="20" t="n">
        <x:v>11244</x:v>
      </x:c>
      <x:c r="F217" s="18" t="str">
        <x:v>persons/day</x:v>
      </x:c>
      <x:c r="G217" s="18" t="str">
        <x:v>FY2024</x:v>
      </x:c>
      <x:c r="H217" s="18" t="str">
        <x:v>否</x:v>
      </x:c>
      <x:c r="I217" s="19" t="str">
        <x:v>DAILY_ENTRIES_EXITS</x:v>
      </x:c>
      <x:c r="J217" s="19" t="str">
        <x:v>横須賀線</x:v>
      </x:c>
      <x:c r="K217" s="18" t="str">
        <x:v>transport-node:28614218-1099-505e-ae32-eb8ee24fd982</x:v>
      </x:c>
      <x:c r="L217" s="19" t="str">
        <x:v>组件待审核</x:v>
      </x:c>
      <x:c r="M217" s="21" t="n">
        <x:v>35.2330667</x:v>
      </x:c>
      <x:c r="N217" s="21" t="n">
        <x:v>139.70096</x:v>
      </x:c>
      <x:c r="O217" s="18" t="str">
        <x:v>005273</x:v>
      </x:c>
      <x:c r="P217" s="18" t="str">
        <x:v>横須賀線</x:v>
      </x:c>
      <x:c r="Q217" s="19" t="str">
        <x:v>S12_061_GE_10000</x:v>
      </x:c>
      <x:c r="R217" s="19" t="str">
        <x:v>S12_061 usage threshold</x:v>
      </x:c>
      <x:c r="S217" s="19" t="str">
        <x:v>https://nlftp.mlit.go.jp/ksj/gml/datalist/KsjTmplt-S12-2024.html</x:v>
      </x:c>
      <x:c r="T217" s="19" t="str">
        <x:v>https://nlftp.mlit.go.jp/ksj/gml/datalist/KsjTmplt-S12-2024.html</x:v>
      </x:c>
      <x:c r="U217" s="19" t="str">
        <x:v>station-component|久里浜|東日本旅客鉄道|conventional_rail|35.2331|139.7010|</x:v>
      </x:c>
      <x:c r="V217" s="19" t="str">
        <x:v>005273 / 005273 / 横須賀線</x:v>
      </x:c>
      <x:c r="W217" s="18" t="str">
        <x:v>否</x:v>
      </x:c>
      <x:c r="X217" s="18" t="str">
        <x:v>0785e932a32b3ec15e1a1345537ae145eafe1c07bf38d5c16c11ee2b391e7a28</x:v>
      </x:c>
      <x:c r="Y217" s="20" t="n">
        <x:v>1</x:v>
      </x:c>
      <x:c r="Z217" s="20" t="n">
        <x:v>1</x:v>
      </x:c>
      <x:c r="AA217" s="19"/>
      <x:c r="AB217" s="18"/>
      <x:c r="AC217" s="19"/>
    </x:row>
    <x:row r="218" ht="28" customHeight="1">
      <x:c r="A218" s="18" t="str">
        <x:v>九品仏</x:v>
      </x:c>
      <x:c r="B218" s="18" t="str">
        <x:v>東急電鉄</x:v>
      </x:c>
      <x:c r="C218" s="18" t="str">
        <x:v>private_rail</x:v>
      </x:c>
      <x:c r="D218" s="19" t="str">
        <x:v>T2</x:v>
      </x:c>
      <x:c r="E218" s="20" t="n">
        <x:v>12729</x:v>
      </x:c>
      <x:c r="F218" s="18" t="str">
        <x:v>persons/day</x:v>
      </x:c>
      <x:c r="G218" s="18" t="str">
        <x:v>FY2024</x:v>
      </x:c>
      <x:c r="H218" s="18" t="str">
        <x:v>否</x:v>
      </x:c>
      <x:c r="I218" s="19" t="str">
        <x:v>DAILY_ENTRIES_EXITS</x:v>
      </x:c>
      <x:c r="J218" s="19" t="str">
        <x:v>大井町線</x:v>
      </x:c>
      <x:c r="K218" s="18" t="str">
        <x:v>transport-node:87494def-6aa1-56bd-a5ca-cb56923318b4</x:v>
      </x:c>
      <x:c r="L218" s="19" t="str">
        <x:v>组件待审核</x:v>
      </x:c>
      <x:c r="M218" s="21" t="n">
        <x:v>35.605375</x:v>
      </x:c>
      <x:c r="N218" s="21" t="n">
        <x:v>139.66101</x:v>
      </x:c>
      <x:c r="O218" s="18" t="str">
        <x:v>004216</x:v>
      </x:c>
      <x:c r="P218" s="18" t="str">
        <x:v>大井町線</x:v>
      </x:c>
      <x:c r="Q218" s="19" t="str">
        <x:v>S12_061_GE_10000</x:v>
      </x:c>
      <x:c r="R218" s="19" t="str">
        <x:v>S12_061 usage threshold</x:v>
      </x:c>
      <x:c r="S218" s="19" t="str">
        <x:v>https://nlftp.mlit.go.jp/ksj/gml/datalist/KsjTmplt-S12-2024.html</x:v>
      </x:c>
      <x:c r="T218" s="19" t="str">
        <x:v>https://nlftp.mlit.go.jp/ksj/gml/datalist/KsjTmplt-S12-2024.html</x:v>
      </x:c>
      <x:c r="U218" s="19" t="str">
        <x:v>station-component|九品仏|東急電鉄|private_rail|35.6054|139.6610|</x:v>
      </x:c>
      <x:c r="V218" s="19" t="str">
        <x:v>004216 / 004216 / 大井町線</x:v>
      </x:c>
      <x:c r="W218" s="18" t="str">
        <x:v>否</x:v>
      </x:c>
      <x:c r="X218" s="18" t="str">
        <x:v>0785e932a32b3ec15e1a1345537ae145eafe1c07bf38d5c16c11ee2b391e7a28</x:v>
      </x:c>
      <x:c r="Y218" s="20" t="n">
        <x:v>1</x:v>
      </x:c>
      <x:c r="Z218" s="20" t="n">
        <x:v>1</x:v>
      </x:c>
      <x:c r="AA218" s="19"/>
      <x:c r="AB218" s="18"/>
      <x:c r="AC218" s="19"/>
    </x:row>
    <x:row r="219" ht="28" customHeight="1">
      <x:c r="A219" s="18" t="str">
        <x:v>九大学研都市</x:v>
      </x:c>
      <x:c r="B219" s="18" t="str">
        <x:v>九州旅客鉄道</x:v>
      </x:c>
      <x:c r="C219" s="18" t="str">
        <x:v>conventional_rail</x:v>
      </x:c>
      <x:c r="D219" s="19" t="str">
        <x:v>T2</x:v>
      </x:c>
      <x:c r="E219" s="20" t="n">
        <x:v>18928</x:v>
      </x:c>
      <x:c r="F219" s="18" t="str">
        <x:v>persons/day</x:v>
      </x:c>
      <x:c r="G219" s="18" t="str">
        <x:v>FY2024</x:v>
      </x:c>
      <x:c r="H219" s="18" t="str">
        <x:v>否</x:v>
      </x:c>
      <x:c r="I219" s="19" t="str">
        <x:v>DAILY_ENTRIES_EXITS</x:v>
      </x:c>
      <x:c r="J219" s="19" t="str">
        <x:v>筑肥線</x:v>
      </x:c>
      <x:c r="K219" s="18" t="str">
        <x:v>transport-node:ed6c1ee0-3861-56a1-8e53-9c5521d68bfe</x:v>
      </x:c>
      <x:c r="L219" s="19" t="str">
        <x:v>组件待审核</x:v>
      </x:c>
      <x:c r="M219" s="21" t="n">
        <x:v>33.578</x:v>
      </x:c>
      <x:c r="N219" s="21" t="n">
        <x:v>130.258465</x:v>
      </x:c>
      <x:c r="O219" s="18" t="str">
        <x:v>009062</x:v>
      </x:c>
      <x:c r="P219" s="18" t="str">
        <x:v>筑肥線</x:v>
      </x:c>
      <x:c r="Q219" s="19" t="str">
        <x:v>S12_061_GE_10000</x:v>
      </x:c>
      <x:c r="R219" s="19" t="str">
        <x:v>S12_061 usage threshold</x:v>
      </x:c>
      <x:c r="S219" s="19" t="str">
        <x:v>https://nlftp.mlit.go.jp/ksj/gml/datalist/KsjTmplt-S12-2024.html</x:v>
      </x:c>
      <x:c r="T219" s="19" t="str">
        <x:v>https://nlftp.mlit.go.jp/ksj/gml/datalist/KsjTmplt-S12-2024.html</x:v>
      </x:c>
      <x:c r="U219" s="19" t="str">
        <x:v>station-component|九大学研都市|九州旅客鉄道|conventional_rail|33.5780|130.2585|</x:v>
      </x:c>
      <x:c r="V219" s="19" t="str">
        <x:v>009062 / 009062 / 筑肥線</x:v>
      </x:c>
      <x:c r="W219" s="18" t="str">
        <x:v>否</x:v>
      </x:c>
      <x:c r="X219" s="18" t="str">
        <x:v>0785e932a32b3ec15e1a1345537ae145eafe1c07bf38d5c16c11ee2b391e7a28</x:v>
      </x:c>
      <x:c r="Y219" s="20" t="n">
        <x:v>1</x:v>
      </x:c>
      <x:c r="Z219" s="20" t="n">
        <x:v>1</x:v>
      </x:c>
      <x:c r="AA219" s="19"/>
      <x:c r="AB219" s="18"/>
      <x:c r="AC219" s="19"/>
    </x:row>
    <x:row r="220" ht="33" customHeight="1">
      <x:c r="A220" s="18" t="str">
        <x:v>九条</x:v>
      </x:c>
      <x:c r="B220" s="18" t="str">
        <x:v>大阪市高速電気軌道</x:v>
      </x:c>
      <x:c r="C220" s="18" t="str">
        <x:v>metro</x:v>
      </x:c>
      <x:c r="D220" s="19" t="str">
        <x:v>T2</x:v>
      </x:c>
      <x:c r="E220" s="20" t="n">
        <x:v>26535</x:v>
      </x:c>
      <x:c r="F220" s="18" t="str">
        <x:v>persons/day</x:v>
      </x:c>
      <x:c r="G220" s="18" t="str">
        <x:v>FY2024</x:v>
      </x:c>
      <x:c r="H220" s="18" t="str">
        <x:v>否</x:v>
      </x:c>
      <x:c r="I220" s="19" t="str">
        <x:v>DAILY_ENTRIES_EXITS</x:v>
      </x:c>
      <x:c r="J220" s="19" t="str">
        <x:v>4号線(中央線)</x:v>
      </x:c>
      <x:c r="K220" s="18" t="str">
        <x:v>transport-node:70c1a0f3-c5b8-5857-8e0d-6b893b9aa90d</x:v>
      </x:c>
      <x:c r="L220" s="19" t="str">
        <x:v>组件待审核</x:v>
      </x:c>
      <x:c r="M220" s="21" t="n">
        <x:v>34.67533</x:v>
      </x:c>
      <x:c r="N220" s="21" t="n">
        <x:v>135.47358</x:v>
      </x:c>
      <x:c r="O220" s="18" t="str">
        <x:v>007253</x:v>
      </x:c>
      <x:c r="P220" s="18" t="str">
        <x:v>4号線(中央線)</x:v>
      </x:c>
      <x:c r="Q220" s="19" t="str">
        <x:v>S12_061_GE_10000
OFFICIAL_HUB_COMPONENT_REVIEW</x:v>
      </x:c>
      <x:c r="R220" s="19" t="str">
        <x:v>S12_061 usage threshold</x:v>
      </x:c>
      <x:c r="S220" s="19" t="str">
        <x:v>https://nlftp.mlit.go.jp/ksj/gml/datalist/KsjTmplt-S12-2024.html</x:v>
      </x:c>
      <x:c r="T220" s="19" t="str">
        <x:v>https://nlftp.mlit.go.jp/ksj/gml/datalist/KsjTmplt-S12-2024.html
https://subway.osakametro.co.jp/station_guide/C/c14/index.php</x:v>
      </x:c>
      <x:c r="U220" s="19" t="str">
        <x:v>station-component|九条|大阪市高速電気軌道|metro|34.6753|135.4736|</x:v>
      </x:c>
      <x:c r="V220" s="19" t="str">
        <x:v>007253 / 007253 / 4号線(中央線)</x:v>
      </x:c>
      <x:c r="W220" s="18" t="str">
        <x:v>否</x:v>
      </x:c>
      <x:c r="X220" s="18" t="str">
        <x:v>0785e932a32b3ec15e1a1345537ae145eafe1c07bf38d5c16c11ee2b391e7a28</x:v>
      </x:c>
      <x:c r="Y220" s="20" t="n">
        <x:v>1</x:v>
      </x:c>
      <x:c r="Z220" s="20" t="n">
        <x:v>1</x:v>
      </x:c>
      <x:c r="AA220" s="19" t="str">
        <x:v>九条</x:v>
      </x:c>
      <x:c r="AB220" s="18" t="str">
        <x:v>transport-hub-review:4983ecb9-2c8a-5bbf-b382-4abed8066d52</x:v>
      </x:c>
      <x:c r="AC220" s="19"/>
    </x:row>
    <x:row r="221" ht="33" customHeight="1">
      <x:c r="A221" s="18" t="str">
        <x:v>九条</x:v>
      </x:c>
      <x:c r="B221" s="18" t="str">
        <x:v>阪神電気鉄道</x:v>
      </x:c>
      <x:c r="C221" s="18" t="str">
        <x:v>private_rail</x:v>
      </x:c>
      <x:c r="D221" s="19" t="str">
        <x:v>T2</x:v>
      </x:c>
      <x:c r="E221" s="20" t="n">
        <x:v>16536</x:v>
      </x:c>
      <x:c r="F221" s="18" t="str">
        <x:v>persons/day</x:v>
      </x:c>
      <x:c r="G221" s="18" t="str">
        <x:v>FY2024</x:v>
      </x:c>
      <x:c r="H221" s="18" t="str">
        <x:v>否</x:v>
      </x:c>
      <x:c r="I221" s="19" t="str">
        <x:v>DAILY_ENTRIES_EXITS</x:v>
      </x:c>
      <x:c r="J221" s="19" t="str">
        <x:v>阪神なんば線</x:v>
      </x:c>
      <x:c r="K221" s="18" t="str">
        <x:v>transport-node:981e3871-09ac-55bf-847f-5cee7ba05a15</x:v>
      </x:c>
      <x:c r="L221" s="19" t="str">
        <x:v>组件待审核</x:v>
      </x:c>
      <x:c r="M221" s="21" t="n">
        <x:v>34.6735067</x:v>
      </x:c>
      <x:c r="N221" s="21" t="n">
        <x:v>135.4743967</x:v>
      </x:c>
      <x:c r="O221" s="18" t="str">
        <x:v>007274</x:v>
      </x:c>
      <x:c r="P221" s="18" t="str">
        <x:v>阪神なんば線</x:v>
      </x:c>
      <x:c r="Q221" s="19" t="str">
        <x:v>S12_061_GE_10000
OFFICIAL_HUB_COMPONENT_REVIEW</x:v>
      </x:c>
      <x:c r="R221" s="19" t="str">
        <x:v>S12_061 usage threshold</x:v>
      </x:c>
      <x:c r="S221" s="19" t="str">
        <x:v>https://nlftp.mlit.go.jp/ksj/gml/datalist/KsjTmplt-S12-2024.html</x:v>
      </x:c>
      <x:c r="T221" s="19" t="str">
        <x:v>https://nlftp.mlit.go.jp/ksj/gml/datalist/KsjTmplt-S12-2024.html
https://subway.osakametro.co.jp/station_guide/C/c14/index.php</x:v>
      </x:c>
      <x:c r="U221" s="19" t="str">
        <x:v>station-component|九条|阪神電気鉄道|private_rail|34.6735|135.4744|</x:v>
      </x:c>
      <x:c r="V221" s="19" t="str">
        <x:v>007253 / 007274 / 阪神なんば線</x:v>
      </x:c>
      <x:c r="W221" s="18" t="str">
        <x:v>否</x:v>
      </x:c>
      <x:c r="X221" s="18" t="str">
        <x:v>0785e932a32b3ec15e1a1345537ae145eafe1c07bf38d5c16c11ee2b391e7a28</x:v>
      </x:c>
      <x:c r="Y221" s="20" t="n">
        <x:v>1</x:v>
      </x:c>
      <x:c r="Z221" s="20" t="n">
        <x:v>1</x:v>
      </x:c>
      <x:c r="AA221" s="19" t="str">
        <x:v>九条</x:v>
      </x:c>
      <x:c r="AB221" s="18" t="str">
        <x:v>transport-hub-review:4983ecb9-2c8a-5bbf-b382-4abed8066d52</x:v>
      </x:c>
      <x:c r="AC221" s="19"/>
    </x:row>
    <x:row r="222" ht="33" customHeight="1">
      <x:c r="A222" s="18" t="str">
        <x:v>九段下</x:v>
      </x:c>
      <x:c r="B222" s="18" t="str">
        <x:v>東京地下鉄</x:v>
      </x:c>
      <x:c r="C222" s="18" t="str">
        <x:v>metro</x:v>
      </x:c>
      <x:c r="D222" s="19" t="str">
        <x:v>T0</x:v>
      </x:c>
      <x:c r="E222" s="20" t="n">
        <x:v>201105</x:v>
      </x:c>
      <x:c r="F222" s="18" t="str">
        <x:v>persons/day</x:v>
      </x:c>
      <x:c r="G222" s="18" t="str">
        <x:v>FY2024</x:v>
      </x:c>
      <x:c r="H222" s="18" t="str">
        <x:v>否</x:v>
      </x:c>
      <x:c r="I222" s="19" t="str">
        <x:v>DAILY_ENTRIES_EXITS</x:v>
      </x:c>
      <x:c r="J222" s="19" t="str">
        <x:v>11号線半蔵門線
5号線東西線</x:v>
      </x:c>
      <x:c r="K222" s="18" t="str">
        <x:v>transport-node:b5d13808-0a07-5d74-b77e-ff467f7fb275</x:v>
      </x:c>
      <x:c r="L222" s="19" t="str">
        <x:v>组件待审核</x:v>
      </x:c>
      <x:c r="M222" s="21" t="n">
        <x:v>35.696085</x:v>
      </x:c>
      <x:c r="N222" s="21" t="n">
        <x:v>139.751265</x:v>
      </x:c>
      <x:c r="O222" s="18" t="str">
        <x:v>003650</x:v>
      </x:c>
      <x:c r="P222" s="18" t="str">
        <x:v>5号線東西線</x:v>
      </x:c>
      <x:c r="Q222" s="19" t="str">
        <x:v>S12_061_GE_10000
OFFICIAL_HUB_COMPONENT_REVIEW</x:v>
      </x:c>
      <x:c r="R222" s="19" t="str">
        <x:v>S12_061 usage threshold</x:v>
      </x:c>
      <x:c r="S222" s="19" t="str">
        <x:v>https://nlftp.mlit.go.jp/ksj/gml/datalist/KsjTmplt-S12-2024.html</x:v>
      </x:c>
      <x:c r="T222" s="19" t="str">
        <x:v>https://nlftp.mlit.go.jp/ksj/gml/datalist/KsjTmplt-S12-2024.html
https://www.tokyometro.jp/station/kudanshita/index.html</x:v>
      </x:c>
      <x:c r="U222" s="19" t="str">
        <x:v>station-component|九段下|東京地下鉄|metro|35.6961|139.7513|</x:v>
      </x:c>
      <x:c r="V222" s="19" t="str">
        <x:v>003657 / 003650 / 5号線東西線
003657 / 003658 / 11号線半蔵門線</x:v>
      </x:c>
      <x:c r="W222" s="18" t="str">
        <x:v>否</x:v>
      </x:c>
      <x:c r="X222" s="18" t="str">
        <x:v>0785e932a32b3ec15e1a1345537ae145eafe1c07bf38d5c16c11ee2b391e7a28</x:v>
      </x:c>
      <x:c r="Y222" s="20" t="n">
        <x:v>1</x:v>
      </x:c>
      <x:c r="Z222" s="20" t="n">
        <x:v>1</x:v>
      </x:c>
      <x:c r="AA222" s="19" t="str">
        <x:v>九段下</x:v>
      </x:c>
      <x:c r="AB222" s="18" t="str">
        <x:v>transport-hub-review:2cdc0d4a-1675-56ba-bf5e-15504a72c5c6</x:v>
      </x:c>
      <x:c r="AC222" s="19"/>
    </x:row>
    <x:row r="223" ht="33" customHeight="1">
      <x:c r="A223" s="18" t="str">
        <x:v>九段下</x:v>
      </x:c>
      <x:c r="B223" s="18" t="str">
        <x:v>東京都</x:v>
      </x:c>
      <x:c r="C223" s="18" t="str">
        <x:v>metro</x:v>
      </x:c>
      <x:c r="D223" s="19"/>
      <x:c r="E223" s="20"/>
      <x:c r="F223" s="18"/>
      <x:c r="G223" s="18" t="str">
        <x:v>FY2024</x:v>
      </x:c>
      <x:c r="H223" s="18" t="str">
        <x:v>是</x:v>
      </x:c>
      <x:c r="I223" s="19" t="str">
        <x:v>USAGE_DATA_UNAVAILABLE</x:v>
      </x:c>
      <x:c r="J223" s="19" t="str">
        <x:v>10号線新宿線</x:v>
      </x:c>
      <x:c r="K223" s="18" t="str">
        <x:v>transport-node:5cf6c6c7-cea6-5b14-b05b-637a06cfc633</x:v>
      </x:c>
      <x:c r="L223" s="19" t="str">
        <x:v>组件待审核</x:v>
      </x:c>
      <x:c r="M223" s="21" t="n">
        <x:v>35.69552</x:v>
      </x:c>
      <x:c r="N223" s="21" t="n">
        <x:v>139.75121</x:v>
      </x:c>
      <x:c r="O223" s="18" t="str">
        <x:v>003657</x:v>
      </x:c>
      <x:c r="P223" s="18" t="str">
        <x:v>10号線新宿線</x:v>
      </x:c>
      <x:c r="Q223" s="19" t="str">
        <x:v>OFFICIAL_HUB_COMPONENT_REVIEW</x:v>
      </x:c>
      <x:c r="R223" s="19" t="str">
        <x:v>Official S12 usage unavailable; manual tier review required</x:v>
      </x:c>
      <x:c r="S223" s="19" t="str">
        <x:v>https://nlftp.mlit.go.jp/ksj/gml/datalist/KsjTmplt-S12-2024.html</x:v>
      </x:c>
      <x:c r="T223" s="19" t="str">
        <x:v>https://nlftp.mlit.go.jp/ksj/gml/datalist/KsjTmplt-S12-2024.html
https://www.tokyometro.jp/station/kudanshita/index.html</x:v>
      </x:c>
      <x:c r="U223" s="19" t="str">
        <x:v>station-component|九段下|東京都|metro|35.6955|139.7512|</x:v>
      </x:c>
      <x:c r="V223" s="19" t="str">
        <x:v>003657 / 003657 / 10号線新宿線</x:v>
      </x:c>
      <x:c r="W223" s="18" t="str">
        <x:v>否</x:v>
      </x:c>
      <x:c r="X223" s="18" t="str">
        <x:v>0785e932a32b3ec15e1a1345537ae145eafe1c07bf38d5c16c11ee2b391e7a28</x:v>
      </x:c>
      <x:c r="Y223" s="20" t="n">
        <x:v>1</x:v>
      </x:c>
      <x:c r="Z223" s="20" t="n">
        <x:v>2</x:v>
      </x:c>
      <x:c r="AA223" s="19" t="str">
        <x:v>九段下</x:v>
      </x:c>
      <x:c r="AB223" s="18" t="str">
        <x:v>transport-hub-review:2cdc0d4a-1675-56ba-bf5e-15504a72c5c6</x:v>
      </x:c>
      <x:c r="AC223" s="19"/>
    </x:row>
    <x:row r="224" ht="28" customHeight="1">
      <x:c r="A224" s="18" t="str">
        <x:v>九産大前</x:v>
      </x:c>
      <x:c r="B224" s="18" t="str">
        <x:v>九州旅客鉄道</x:v>
      </x:c>
      <x:c r="C224" s="18" t="str">
        <x:v>conventional_rail</x:v>
      </x:c>
      <x:c r="D224" s="19" t="str">
        <x:v>T2</x:v>
      </x:c>
      <x:c r="E224" s="20" t="n">
        <x:v>15636</x:v>
      </x:c>
      <x:c r="F224" s="18" t="str">
        <x:v>persons/day</x:v>
      </x:c>
      <x:c r="G224" s="18" t="str">
        <x:v>FY2024</x:v>
      </x:c>
      <x:c r="H224" s="18" t="str">
        <x:v>否</x:v>
      </x:c>
      <x:c r="I224" s="19" t="str">
        <x:v>DAILY_ENTRIES_EXITS</x:v>
      </x:c>
      <x:c r="J224" s="19" t="str">
        <x:v>鹿児島線</x:v>
      </x:c>
      <x:c r="K224" s="18" t="str">
        <x:v>transport-node:96aced27-4e9b-51a6-a2e5-b1b98d95a12f</x:v>
      </x:c>
      <x:c r="L224" s="19" t="str">
        <x:v>组件待审核</x:v>
      </x:c>
      <x:c r="M224" s="21" t="n">
        <x:v>33.67373</x:v>
      </x:c>
      <x:c r="N224" s="21" t="n">
        <x:v>130.441155</x:v>
      </x:c>
      <x:c r="O224" s="18" t="str">
        <x:v>008916</x:v>
      </x:c>
      <x:c r="P224" s="18" t="str">
        <x:v>鹿児島線</x:v>
      </x:c>
      <x:c r="Q224" s="19" t="str">
        <x:v>S12_061_GE_10000</x:v>
      </x:c>
      <x:c r="R224" s="19" t="str">
        <x:v>S12_061 usage threshold</x:v>
      </x:c>
      <x:c r="S224" s="19" t="str">
        <x:v>https://nlftp.mlit.go.jp/ksj/gml/datalist/KsjTmplt-S12-2024.html</x:v>
      </x:c>
      <x:c r="T224" s="19" t="str">
        <x:v>https://nlftp.mlit.go.jp/ksj/gml/datalist/KsjTmplt-S12-2024.html</x:v>
      </x:c>
      <x:c r="U224" s="19" t="str">
        <x:v>station-component|九産大前|九州旅客鉄道|conventional_rail|33.6737|130.4412|</x:v>
      </x:c>
      <x:c r="V224" s="19" t="str">
        <x:v>008916 / 008916 / 鹿児島線</x:v>
      </x:c>
      <x:c r="W224" s="18" t="str">
        <x:v>否</x:v>
      </x:c>
      <x:c r="X224" s="18" t="str">
        <x:v>0785e932a32b3ec15e1a1345537ae145eafe1c07bf38d5c16c11ee2b391e7a28</x:v>
      </x:c>
      <x:c r="Y224" s="20" t="n">
        <x:v>1</x:v>
      </x:c>
      <x:c r="Z224" s="20" t="n">
        <x:v>1</x:v>
      </x:c>
      <x:c r="AA224" s="19"/>
      <x:c r="AB224" s="18"/>
      <x:c r="AC224" s="19"/>
    </x:row>
    <x:row r="225" ht="28" customHeight="1">
      <x:c r="A225" s="18" t="str">
        <x:v>亀岡</x:v>
      </x:c>
      <x:c r="B225" s="18" t="str">
        <x:v>西日本旅客鉄道</x:v>
      </x:c>
      <x:c r="C225" s="18" t="str">
        <x:v>conventional_rail</x:v>
      </x:c>
      <x:c r="D225" s="19" t="str">
        <x:v>T2</x:v>
      </x:c>
      <x:c r="E225" s="20" t="n">
        <x:v>17220</x:v>
      </x:c>
      <x:c r="F225" s="18" t="str">
        <x:v>persons/day</x:v>
      </x:c>
      <x:c r="G225" s="18" t="str">
        <x:v>FY2024</x:v>
      </x:c>
      <x:c r="H225" s="18" t="str">
        <x:v>否</x:v>
      </x:c>
      <x:c r="I225" s="19" t="str">
        <x:v>DAILY_ENTRIES_EXITS</x:v>
      </x:c>
      <x:c r="J225" s="19" t="str">
        <x:v>山陰線</x:v>
      </x:c>
      <x:c r="K225" s="18" t="str">
        <x:v>transport-node:57499d6a-91c1-52c5-8e95-6d7789e14e59</x:v>
      </x:c>
      <x:c r="L225" s="19" t="str">
        <x:v>组件待审核</x:v>
      </x:c>
      <x:c r="M225" s="21" t="n">
        <x:v>35.016805</x:v>
      </x:c>
      <x:c r="N225" s="21" t="n">
        <x:v>135.58232</x:v>
      </x:c>
      <x:c r="O225" s="18" t="str">
        <x:v>005925</x:v>
      </x:c>
      <x:c r="P225" s="18" t="str">
        <x:v>山陰線</x:v>
      </x:c>
      <x:c r="Q225" s="19" t="str">
        <x:v>S12_061_GE_10000</x:v>
      </x:c>
      <x:c r="R225" s="19" t="str">
        <x:v>S12_061 usage threshold</x:v>
      </x:c>
      <x:c r="S225" s="19" t="str">
        <x:v>https://nlftp.mlit.go.jp/ksj/gml/datalist/KsjTmplt-S12-2024.html</x:v>
      </x:c>
      <x:c r="T225" s="19" t="str">
        <x:v>https://nlftp.mlit.go.jp/ksj/gml/datalist/KsjTmplt-S12-2024.html</x:v>
      </x:c>
      <x:c r="U225" s="19" t="str">
        <x:v>station-component|亀岡|西日本旅客鉄道|conventional_rail|35.0168|135.5823|</x:v>
      </x:c>
      <x:c r="V225" s="19" t="str">
        <x:v>005925 / 005925 / 山陰線</x:v>
      </x:c>
      <x:c r="W225" s="18" t="str">
        <x:v>否</x:v>
      </x:c>
      <x:c r="X225" s="18" t="str">
        <x:v>0785e932a32b3ec15e1a1345537ae145eafe1c07bf38d5c16c11ee2b391e7a28</x:v>
      </x:c>
      <x:c r="Y225" s="20" t="n">
        <x:v>1</x:v>
      </x:c>
      <x:c r="Z225" s="20" t="n">
        <x:v>1</x:v>
      </x:c>
      <x:c r="AA225" s="19"/>
      <x:c r="AB225" s="18"/>
      <x:c r="AC225" s="19"/>
    </x:row>
    <x:row r="226" ht="28" customHeight="1">
      <x:c r="A226" s="18" t="str">
        <x:v>亀島</x:v>
      </x:c>
      <x:c r="B226" s="18" t="str">
        <x:v>名古屋市</x:v>
      </x:c>
      <x:c r="C226" s="18" t="str">
        <x:v>metro</x:v>
      </x:c>
      <x:c r="D226" s="19" t="str">
        <x:v>T2</x:v>
      </x:c>
      <x:c r="E226" s="20" t="n">
        <x:v>13560</x:v>
      </x:c>
      <x:c r="F226" s="18" t="str">
        <x:v>persons/day</x:v>
      </x:c>
      <x:c r="G226" s="18" t="str">
        <x:v>FY2024</x:v>
      </x:c>
      <x:c r="H226" s="18" t="str">
        <x:v>否</x:v>
      </x:c>
      <x:c r="I226" s="19" t="str">
        <x:v>DAILY_ENTRIES_EXITS</x:v>
      </x:c>
      <x:c r="J226" s="19" t="str">
        <x:v>1号線東山線</x:v>
      </x:c>
      <x:c r="K226" s="18" t="str">
        <x:v>transport-node:629bfd98-749c-59ed-b76e-f18acfecfb7f</x:v>
      </x:c>
      <x:c r="L226" s="19" t="str">
        <x:v>组件待审核</x:v>
      </x:c>
      <x:c r="M226" s="21" t="n">
        <x:v>35.17755</x:v>
      </x:c>
      <x:c r="N226" s="21" t="n">
        <x:v>136.87746</x:v>
      </x:c>
      <x:c r="O226" s="18" t="str">
        <x:v>005423</x:v>
      </x:c>
      <x:c r="P226" s="18" t="str">
        <x:v>1号線東山線</x:v>
      </x:c>
      <x:c r="Q226" s="19" t="str">
        <x:v>S12_061_GE_10000</x:v>
      </x:c>
      <x:c r="R226" s="19" t="str">
        <x:v>S12_061 usage threshold</x:v>
      </x:c>
      <x:c r="S226" s="19" t="str">
        <x:v>https://nlftp.mlit.go.jp/ksj/gml/datalist/KsjTmplt-S12-2024.html</x:v>
      </x:c>
      <x:c r="T226" s="19" t="str">
        <x:v>https://nlftp.mlit.go.jp/ksj/gml/datalist/KsjTmplt-S12-2024.html</x:v>
      </x:c>
      <x:c r="U226" s="19" t="str">
        <x:v>station-component|亀島|名古屋市|metro|35.1775|136.8775|</x:v>
      </x:c>
      <x:c r="V226" s="19" t="str">
        <x:v>005423 / 005423 / 1号線東山線</x:v>
      </x:c>
      <x:c r="W226" s="18" t="str">
        <x:v>否</x:v>
      </x:c>
      <x:c r="X226" s="18" t="str">
        <x:v>0785e932a32b3ec15e1a1345537ae145eafe1c07bf38d5c16c11ee2b391e7a28</x:v>
      </x:c>
      <x:c r="Y226" s="20" t="n">
        <x:v>1</x:v>
      </x:c>
      <x:c r="Z226" s="20" t="n">
        <x:v>1</x:v>
      </x:c>
      <x:c r="AA226" s="19"/>
      <x:c r="AB226" s="18"/>
      <x:c r="AC226" s="19"/>
    </x:row>
    <x:row r="227" ht="33" customHeight="1">
      <x:c r="A227" s="18" t="str">
        <x:v>亀戸</x:v>
      </x:c>
      <x:c r="B227" s="18" t="str">
        <x:v>東日本旅客鉄道</x:v>
      </x:c>
      <x:c r="C227" s="18" t="str">
        <x:v>conventional_rail</x:v>
      </x:c>
      <x:c r="D227" s="19" t="str">
        <x:v>T1</x:v>
      </x:c>
      <x:c r="E227" s="20" t="n">
        <x:v>110086</x:v>
      </x:c>
      <x:c r="F227" s="18" t="str">
        <x:v>persons/day</x:v>
      </x:c>
      <x:c r="G227" s="18" t="str">
        <x:v>FY2024</x:v>
      </x:c>
      <x:c r="H227" s="18" t="str">
        <x:v>否</x:v>
      </x:c>
      <x:c r="I227" s="19" t="str">
        <x:v>DAILY_ENTRIES_EXITS</x:v>
      </x:c>
      <x:c r="J227" s="19" t="str">
        <x:v>総武線</x:v>
      </x:c>
      <x:c r="K227" s="18" t="str">
        <x:v>transport-node:8728d616-8830-5369-b7dc-8cf7cf094c54</x:v>
      </x:c>
      <x:c r="L227" s="19" t="str">
        <x:v>组件待审核</x:v>
      </x:c>
      <x:c r="M227" s="21" t="n">
        <x:v>35.69733</x:v>
      </x:c>
      <x:c r="N227" s="21" t="n">
        <x:v>139.82633</x:v>
      </x:c>
      <x:c r="O227" s="18" t="str">
        <x:v>003641</x:v>
      </x:c>
      <x:c r="P227" s="18" t="str">
        <x:v>総武線</x:v>
      </x:c>
      <x:c r="Q227" s="19" t="str">
        <x:v>S12_061_GE_10000
OFFICIAL_HUB_COMPONENT_REVIEW</x:v>
      </x:c>
      <x:c r="R227" s="19" t="str">
        <x:v>S12_061 usage threshold</x:v>
      </x:c>
      <x:c r="S227" s="19" t="str">
        <x:v>https://nlftp.mlit.go.jp/ksj/gml/datalist/KsjTmplt-S12-2024.html</x:v>
      </x:c>
      <x:c r="T227" s="19" t="str">
        <x:v>https://nlftp.mlit.go.jp/ksj/gml/datalist/KsjTmplt-S12-2024.html
https://www.tobu.co.jp/railway/guide/station/info/2106/</x:v>
      </x:c>
      <x:c r="U227" s="19" t="str">
        <x:v>station-component|亀戸|東日本旅客鉄道|conventional_rail|35.6973|139.8263|</x:v>
      </x:c>
      <x:c r="V227" s="19" t="str">
        <x:v>003635 / 003641 / 総武線</x:v>
      </x:c>
      <x:c r="W227" s="18" t="str">
        <x:v>否</x:v>
      </x:c>
      <x:c r="X227" s="18" t="str">
        <x:v>0785e932a32b3ec15e1a1345537ae145eafe1c07bf38d5c16c11ee2b391e7a28</x:v>
      </x:c>
      <x:c r="Y227" s="20" t="n">
        <x:v>1</x:v>
      </x:c>
      <x:c r="Z227" s="20" t="n">
        <x:v>1</x:v>
      </x:c>
      <x:c r="AA227" s="19" t="str">
        <x:v>亀戸</x:v>
      </x:c>
      <x:c r="AB227" s="18" t="str">
        <x:v>transport-hub-review:3d48d90b-58d3-58e6-b6b3-9d2d976dccb6</x:v>
      </x:c>
      <x:c r="AC227" s="19"/>
    </x:row>
    <x:row r="228" ht="33" customHeight="1">
      <x:c r="A228" s="18" t="str">
        <x:v>亀戸</x:v>
      </x:c>
      <x:c r="B228" s="18" t="str">
        <x:v>東武鉄道</x:v>
      </x:c>
      <x:c r="C228" s="18" t="str">
        <x:v>private_rail</x:v>
      </x:c>
      <x:c r="D228" s="19" t="str">
        <x:v>T2</x:v>
      </x:c>
      <x:c r="E228" s="20" t="n">
        <x:v>25825</x:v>
      </x:c>
      <x:c r="F228" s="18" t="str">
        <x:v>persons/day</x:v>
      </x:c>
      <x:c r="G228" s="18" t="str">
        <x:v>FY2024</x:v>
      </x:c>
      <x:c r="H228" s="18" t="str">
        <x:v>否</x:v>
      </x:c>
      <x:c r="I228" s="19" t="str">
        <x:v>DAILY_ENTRIES_EXITS</x:v>
      </x:c>
      <x:c r="J228" s="19" t="str">
        <x:v>亀戸線</x:v>
      </x:c>
      <x:c r="K228" s="18" t="str">
        <x:v>transport-node:5d21432a-c9a5-585e-b336-d90af10ae603</x:v>
      </x:c>
      <x:c r="L228" s="19" t="str">
        <x:v>组件待审核</x:v>
      </x:c>
      <x:c r="M228" s="21" t="n">
        <x:v>35.697735</x:v>
      </x:c>
      <x:c r="N228" s="21" t="n">
        <x:v>139.8272</x:v>
      </x:c>
      <x:c r="O228" s="18" t="str">
        <x:v>003635</x:v>
      </x:c>
      <x:c r="P228" s="18" t="str">
        <x:v>亀戸線</x:v>
      </x:c>
      <x:c r="Q228" s="19" t="str">
        <x:v>S12_061_GE_10000
OFFICIAL_HUB_COMPONENT_REVIEW</x:v>
      </x:c>
      <x:c r="R228" s="19" t="str">
        <x:v>S12_061 usage threshold</x:v>
      </x:c>
      <x:c r="S228" s="19" t="str">
        <x:v>https://nlftp.mlit.go.jp/ksj/gml/datalist/KsjTmplt-S12-2024.html</x:v>
      </x:c>
      <x:c r="T228" s="19" t="str">
        <x:v>https://nlftp.mlit.go.jp/ksj/gml/datalist/KsjTmplt-S12-2024.html
https://www.tobu.co.jp/railway/guide/station/info/2106/</x:v>
      </x:c>
      <x:c r="U228" s="19" t="str">
        <x:v>station-component|亀戸|東武鉄道|private_rail|35.6977|139.8272|</x:v>
      </x:c>
      <x:c r="V228" s="19" t="str">
        <x:v>003635 / 003635 / 亀戸線</x:v>
      </x:c>
      <x:c r="W228" s="18" t="str">
        <x:v>否</x:v>
      </x:c>
      <x:c r="X228" s="18" t="str">
        <x:v>0785e932a32b3ec15e1a1345537ae145eafe1c07bf38d5c16c11ee2b391e7a28</x:v>
      </x:c>
      <x:c r="Y228" s="20" t="n">
        <x:v>1</x:v>
      </x:c>
      <x:c r="Z228" s="20" t="n">
        <x:v>1</x:v>
      </x:c>
      <x:c r="AA228" s="19" t="str">
        <x:v>亀戸</x:v>
      </x:c>
      <x:c r="AB228" s="18" t="str">
        <x:v>transport-hub-review:3d48d90b-58d3-58e6-b6b3-9d2d976dccb6</x:v>
      </x:c>
      <x:c r="AC228" s="19"/>
    </x:row>
    <x:row r="229" ht="28" customHeight="1">
      <x:c r="A229" s="18" t="str">
        <x:v>亀有</x:v>
      </x:c>
      <x:c r="B229" s="18" t="str">
        <x:v>東日本旅客鉄道</x:v>
      </x:c>
      <x:c r="C229" s="18" t="str">
        <x:v>conventional_rail</x:v>
      </x:c>
      <x:c r="D229" s="19" t="str">
        <x:v>T1</x:v>
      </x:c>
      <x:c r="E229" s="20" t="n">
        <x:v>79818</x:v>
      </x:c>
      <x:c r="F229" s="18" t="str">
        <x:v>persons/day</x:v>
      </x:c>
      <x:c r="G229" s="18" t="str">
        <x:v>FY2024</x:v>
      </x:c>
      <x:c r="H229" s="18" t="str">
        <x:v>否</x:v>
      </x:c>
      <x:c r="I229" s="19" t="str">
        <x:v>DAILY_ENTRIES_EXITS</x:v>
      </x:c>
      <x:c r="J229" s="19" t="str">
        <x:v>常磐線</x:v>
      </x:c>
      <x:c r="K229" s="18" t="str">
        <x:v>transport-node:fd9b5cf4-bf79-541a-9c17-d669ebbe86f1</x:v>
      </x:c>
      <x:c r="L229" s="19" t="str">
        <x:v>组件待审核</x:v>
      </x:c>
      <x:c r="M229" s="21" t="n">
        <x:v>35.76654</x:v>
      </x:c>
      <x:c r="N229" s="21" t="n">
        <x:v>139.84756</x:v>
      </x:c>
      <x:c r="O229" s="18" t="str">
        <x:v>003199</x:v>
      </x:c>
      <x:c r="P229" s="18" t="str">
        <x:v>常磐線</x:v>
      </x:c>
      <x:c r="Q229" s="19" t="str">
        <x:v>S12_061_GE_10000</x:v>
      </x:c>
      <x:c r="R229" s="19" t="str">
        <x:v>S12_061 usage threshold</x:v>
      </x:c>
      <x:c r="S229" s="19" t="str">
        <x:v>https://nlftp.mlit.go.jp/ksj/gml/datalist/KsjTmplt-S12-2024.html</x:v>
      </x:c>
      <x:c r="T229" s="19" t="str">
        <x:v>https://nlftp.mlit.go.jp/ksj/gml/datalist/KsjTmplt-S12-2024.html</x:v>
      </x:c>
      <x:c r="U229" s="19" t="str">
        <x:v>station-component|亀有|東日本旅客鉄道|conventional_rail|35.7665|139.8476|</x:v>
      </x:c>
      <x:c r="V229" s="19" t="str">
        <x:v>003199 / 003199 / 常磐線</x:v>
      </x:c>
      <x:c r="W229" s="18" t="str">
        <x:v>否</x:v>
      </x:c>
      <x:c r="X229" s="18" t="str">
        <x:v>0785e932a32b3ec15e1a1345537ae145eafe1c07bf38d5c16c11ee2b391e7a28</x:v>
      </x:c>
      <x:c r="Y229" s="20" t="n">
        <x:v>1</x:v>
      </x:c>
      <x:c r="Z229" s="20" t="n">
        <x:v>1</x:v>
      </x:c>
      <x:c r="AA229" s="19"/>
      <x:c r="AB229" s="18"/>
      <x:c r="AC229" s="19"/>
    </x:row>
    <x:row r="230" ht="28" customHeight="1">
      <x:c r="A230" s="18" t="str">
        <x:v>亀田</x:v>
      </x:c>
      <x:c r="B230" s="18" t="str">
        <x:v>東日本旅客鉄道</x:v>
      </x:c>
      <x:c r="C230" s="18" t="str">
        <x:v>conventional_rail</x:v>
      </x:c>
      <x:c r="D230" s="19" t="str">
        <x:v>T2</x:v>
      </x:c>
      <x:c r="E230" s="20" t="n">
        <x:v>10252</x:v>
      </x:c>
      <x:c r="F230" s="18" t="str">
        <x:v>persons/day</x:v>
      </x:c>
      <x:c r="G230" s="18" t="str">
        <x:v>FY2024</x:v>
      </x:c>
      <x:c r="H230" s="18" t="str">
        <x:v>否</x:v>
      </x:c>
      <x:c r="I230" s="19" t="str">
        <x:v>DAILY_ENTRIES_EXITS</x:v>
      </x:c>
      <x:c r="J230" s="19" t="str">
        <x:v>信越線</x:v>
      </x:c>
      <x:c r="K230" s="18" t="str">
        <x:v>transport-node:7bc79ee3-74a3-589b-b933-8b70982883d4</x:v>
      </x:c>
      <x:c r="L230" s="19" t="str">
        <x:v>组件待审核</x:v>
      </x:c>
      <x:c r="M230" s="21" t="n">
        <x:v>37.8771833</x:v>
      </x:c>
      <x:c r="N230" s="21" t="n">
        <x:v>139.10824</x:v>
      </x:c>
      <x:c r="O230" s="18" t="str">
        <x:v>001316</x:v>
      </x:c>
      <x:c r="P230" s="18" t="str">
        <x:v>信越線</x:v>
      </x:c>
      <x:c r="Q230" s="19" t="str">
        <x:v>S12_061_GE_10000</x:v>
      </x:c>
      <x:c r="R230" s="19" t="str">
        <x:v>S12_061 usage threshold</x:v>
      </x:c>
      <x:c r="S230" s="19" t="str">
        <x:v>https://nlftp.mlit.go.jp/ksj/gml/datalist/KsjTmplt-S12-2024.html</x:v>
      </x:c>
      <x:c r="T230" s="19" t="str">
        <x:v>https://nlftp.mlit.go.jp/ksj/gml/datalist/KsjTmplt-S12-2024.html</x:v>
      </x:c>
      <x:c r="U230" s="19" t="str">
        <x:v>station-component|亀田|東日本旅客鉄道|conventional_rail|37.8772|139.1082|</x:v>
      </x:c>
      <x:c r="V230" s="19" t="str">
        <x:v>001316 / 001316 / 信越線</x:v>
      </x:c>
      <x:c r="W230" s="18" t="str">
        <x:v>否</x:v>
      </x:c>
      <x:c r="X230" s="18" t="str">
        <x:v>0785e932a32b3ec15e1a1345537ae145eafe1c07bf38d5c16c11ee2b391e7a28</x:v>
      </x:c>
      <x:c r="Y230" s="20" t="n">
        <x:v>1</x:v>
      </x:c>
      <x:c r="Z230" s="20" t="n">
        <x:v>1</x:v>
      </x:c>
      <x:c r="AA230" s="19"/>
      <x:c r="AB230" s="18"/>
      <x:c r="AC230" s="19"/>
    </x:row>
    <x:row r="231" ht="33" customHeight="1">
      <x:c r="A231" s="18" t="str">
        <x:v>二俣川</x:v>
      </x:c>
      <x:c r="B231" s="18" t="str">
        <x:v>相模鉄道</x:v>
      </x:c>
      <x:c r="C231" s="18" t="str">
        <x:v>private_rail</x:v>
      </x:c>
      <x:c r="D231" s="19" t="str">
        <x:v>T1</x:v>
      </x:c>
      <x:c r="E231" s="20" t="n">
        <x:v>77768</x:v>
      </x:c>
      <x:c r="F231" s="18" t="str">
        <x:v>persons/day</x:v>
      </x:c>
      <x:c r="G231" s="18" t="str">
        <x:v>FY2024</x:v>
      </x:c>
      <x:c r="H231" s="18" t="str">
        <x:v>否</x:v>
      </x:c>
      <x:c r="I231" s="19" t="str">
        <x:v>DAILY_ENTRIES_EXITS</x:v>
      </x:c>
      <x:c r="J231" s="19" t="str">
        <x:v>相鉄いずみ野線
相鉄本線</x:v>
      </x:c>
      <x:c r="K231" s="18" t="str">
        <x:v>transport-node:06841e25-a7bc-5b85-ab79-7bcaaf739352</x:v>
      </x:c>
      <x:c r="L231" s="19" t="str">
        <x:v>组件待审核</x:v>
      </x:c>
      <x:c r="M231" s="21" t="n">
        <x:v>35.46339</x:v>
      </x:c>
      <x:c r="N231" s="21" t="n">
        <x:v>139.53237</x:v>
      </x:c>
      <x:c r="O231" s="18" t="str">
        <x:v>004642</x:v>
      </x:c>
      <x:c r="P231" s="18" t="str">
        <x:v>相鉄いずみ野線</x:v>
      </x:c>
      <x:c r="Q231" s="19" t="str">
        <x:v>S12_061_GE_10000</x:v>
      </x:c>
      <x:c r="R231" s="19" t="str">
        <x:v>S12_061 usage threshold</x:v>
      </x:c>
      <x:c r="S231" s="19" t="str">
        <x:v>https://nlftp.mlit.go.jp/ksj/gml/datalist/KsjTmplt-S12-2024.html</x:v>
      </x:c>
      <x:c r="T231" s="19" t="str">
        <x:v>https://nlftp.mlit.go.jp/ksj/gml/datalist/KsjTmplt-S12-2024.html</x:v>
      </x:c>
      <x:c r="U231" s="19" t="str">
        <x:v>station-component|二俣川|相模鉄道|private_rail|35.4634|139.5324|</x:v>
      </x:c>
      <x:c r="V231" s="19" t="str">
        <x:v>004642 / 004642 / 相鉄いずみ野線
004642 / 004643 / 相鉄本線</x:v>
      </x:c>
      <x:c r="W231" s="18" t="str">
        <x:v>否</x:v>
      </x:c>
      <x:c r="X231" s="18" t="str">
        <x:v>0785e932a32b3ec15e1a1345537ae145eafe1c07bf38d5c16c11ee2b391e7a28</x:v>
      </x:c>
      <x:c r="Y231" s="20" t="n">
        <x:v>1</x:v>
      </x:c>
      <x:c r="Z231" s="20" t="n">
        <x:v>1</x:v>
      </x:c>
      <x:c r="AA231" s="19"/>
      <x:c r="AB231" s="18"/>
      <x:c r="AC231" s="19"/>
    </x:row>
    <x:row r="232" ht="28" customHeight="1">
      <x:c r="A232" s="18" t="str">
        <x:v>二俣新町</x:v>
      </x:c>
      <x:c r="B232" s="18" t="str">
        <x:v>東日本旅客鉄道</x:v>
      </x:c>
      <x:c r="C232" s="18" t="str">
        <x:v>conventional_rail</x:v>
      </x:c>
      <x:c r="D232" s="19" t="str">
        <x:v>T2</x:v>
      </x:c>
      <x:c r="E232" s="20" t="n">
        <x:v>10104</x:v>
      </x:c>
      <x:c r="F232" s="18" t="str">
        <x:v>persons/day</x:v>
      </x:c>
      <x:c r="G232" s="18" t="str">
        <x:v>FY2024</x:v>
      </x:c>
      <x:c r="H232" s="18" t="str">
        <x:v>否</x:v>
      </x:c>
      <x:c r="I232" s="19" t="str">
        <x:v>DAILY_ENTRIES_EXITS</x:v>
      </x:c>
      <x:c r="J232" s="19" t="str">
        <x:v>京葉線</x:v>
      </x:c>
      <x:c r="K232" s="18" t="str">
        <x:v>transport-node:b40bfdb3-c743-5af3-bfdb-ef5e94b16084</x:v>
      </x:c>
      <x:c r="L232" s="19" t="str">
        <x:v>组件待审核</x:v>
      </x:c>
      <x:c r="M232" s="21" t="n">
        <x:v>35.69132</x:v>
      </x:c>
      <x:c r="N232" s="21" t="n">
        <x:v>139.959555</x:v>
      </x:c>
      <x:c r="O232" s="18" t="str">
        <x:v>003682</x:v>
      </x:c>
      <x:c r="P232" s="18" t="str">
        <x:v>京葉線</x:v>
      </x:c>
      <x:c r="Q232" s="19" t="str">
        <x:v>S12_061_GE_10000</x:v>
      </x:c>
      <x:c r="R232" s="19" t="str">
        <x:v>S12_061 usage threshold</x:v>
      </x:c>
      <x:c r="S232" s="19" t="str">
        <x:v>https://nlftp.mlit.go.jp/ksj/gml/datalist/KsjTmplt-S12-2024.html</x:v>
      </x:c>
      <x:c r="T232" s="19" t="str">
        <x:v>https://nlftp.mlit.go.jp/ksj/gml/datalist/KsjTmplt-S12-2024.html</x:v>
      </x:c>
      <x:c r="U232" s="19" t="str">
        <x:v>station-component|二俣新町|東日本旅客鉄道|conventional_rail|35.6913|139.9596|</x:v>
      </x:c>
      <x:c r="V232" s="19" t="str">
        <x:v>003682 / 003682 / 京葉線</x:v>
      </x:c>
      <x:c r="W232" s="18" t="str">
        <x:v>否</x:v>
      </x:c>
      <x:c r="X232" s="18" t="str">
        <x:v>0785e932a32b3ec15e1a1345537ae145eafe1c07bf38d5c16c11ee2b391e7a28</x:v>
      </x:c>
      <x:c r="Y232" s="20" t="n">
        <x:v>1</x:v>
      </x:c>
      <x:c r="Z232" s="20" t="n">
        <x:v>1</x:v>
      </x:c>
      <x:c r="AA232" s="19"/>
      <x:c r="AB232" s="18"/>
      <x:c r="AC232" s="19"/>
    </x:row>
    <x:row r="233" ht="28" customHeight="1">
      <x:c r="A233" s="18" t="str">
        <x:v>二十四軒</x:v>
      </x:c>
      <x:c r="B233" s="18" t="str">
        <x:v>札幌市</x:v>
      </x:c>
      <x:c r="C233" s="18" t="str">
        <x:v>metro</x:v>
      </x:c>
      <x:c r="D233" s="19" t="str">
        <x:v>T2</x:v>
      </x:c>
      <x:c r="E233" s="20" t="n">
        <x:v>14308</x:v>
      </x:c>
      <x:c r="F233" s="18" t="str">
        <x:v>persons/day</x:v>
      </x:c>
      <x:c r="G233" s="18" t="str">
        <x:v>FY2024</x:v>
      </x:c>
      <x:c r="H233" s="18" t="str">
        <x:v>否</x:v>
      </x:c>
      <x:c r="I233" s="19" t="str">
        <x:v>DAILY_ENTRIES_EXITS</x:v>
      </x:c>
      <x:c r="J233" s="19" t="str">
        <x:v>東西線</x:v>
      </x:c>
      <x:c r="K233" s="18" t="str">
        <x:v>transport-node:c7da20cf-d2ec-5ab1-90f1-8ee0abd28ff8</x:v>
      </x:c>
      <x:c r="L233" s="19" t="str">
        <x:v>组件待审核</x:v>
      </x:c>
      <x:c r="M233" s="21" t="n">
        <x:v>43.07045</x:v>
      </x:c>
      <x:c r="N233" s="21" t="n">
        <x:v>141.313605</x:v>
      </x:c>
      <x:c r="O233" s="18" t="str">
        <x:v>000225</x:v>
      </x:c>
      <x:c r="P233" s="18" t="str">
        <x:v>東西線</x:v>
      </x:c>
      <x:c r="Q233" s="19" t="str">
        <x:v>S12_061_GE_10000</x:v>
      </x:c>
      <x:c r="R233" s="19" t="str">
        <x:v>S12_061 usage threshold</x:v>
      </x:c>
      <x:c r="S233" s="19" t="str">
        <x:v>https://nlftp.mlit.go.jp/ksj/gml/datalist/KsjTmplt-S12-2024.html</x:v>
      </x:c>
      <x:c r="T233" s="19" t="str">
        <x:v>https://nlftp.mlit.go.jp/ksj/gml/datalist/KsjTmplt-S12-2024.html</x:v>
      </x:c>
      <x:c r="U233" s="19" t="str">
        <x:v>station-component|二十四軒|札幌市|metro|43.0705|141.3136|</x:v>
      </x:c>
      <x:c r="V233" s="19" t="str">
        <x:v>000225 / 000225 / 東西線</x:v>
      </x:c>
      <x:c r="W233" s="18" t="str">
        <x:v>否</x:v>
      </x:c>
      <x:c r="X233" s="18" t="str">
        <x:v>0785e932a32b3ec15e1a1345537ae145eafe1c07bf38d5c16c11ee2b391e7a28</x:v>
      </x:c>
      <x:c r="Y233" s="20" t="n">
        <x:v>1</x:v>
      </x:c>
      <x:c r="Z233" s="20" t="n">
        <x:v>1</x:v>
      </x:c>
      <x:c r="AA233" s="19"/>
      <x:c r="AB233" s="18"/>
      <x:c r="AC233" s="19"/>
    </x:row>
    <x:row r="234" ht="28" customHeight="1">
      <x:c r="A234" s="18" t="str">
        <x:v>二和向台</x:v>
      </x:c>
      <x:c r="B234" s="18" t="str">
        <x:v>新京成電鉄</x:v>
      </x:c>
      <x:c r="C234" s="18" t="str">
        <x:v>private_rail</x:v>
      </x:c>
      <x:c r="D234" s="19" t="str">
        <x:v>T2</x:v>
      </x:c>
      <x:c r="E234" s="20" t="n">
        <x:v>16387</x:v>
      </x:c>
      <x:c r="F234" s="18" t="str">
        <x:v>persons/day</x:v>
      </x:c>
      <x:c r="G234" s="18" t="str">
        <x:v>FY2024</x:v>
      </x:c>
      <x:c r="H234" s="18" t="str">
        <x:v>否</x:v>
      </x:c>
      <x:c r="I234" s="19" t="str">
        <x:v>DAILY_ENTRIES_EXITS</x:v>
      </x:c>
      <x:c r="J234" s="19" t="str">
        <x:v>新京成線</x:v>
      </x:c>
      <x:c r="K234" s="18" t="str">
        <x:v>transport-node:16d4eed8-3252-5a94-811d-7228ffa59a66</x:v>
      </x:c>
      <x:c r="L234" s="19" t="str">
        <x:v>组件待审核</x:v>
      </x:c>
      <x:c r="M234" s="21" t="n">
        <x:v>35.753885</x:v>
      </x:c>
      <x:c r="N234" s="21" t="n">
        <x:v>140.02373</x:v>
      </x:c>
      <x:c r="O234" s="18" t="str">
        <x:v>003238</x:v>
      </x:c>
      <x:c r="P234" s="18" t="str">
        <x:v>新京成線</x:v>
      </x:c>
      <x:c r="Q234" s="19" t="str">
        <x:v>S12_061_GE_10000</x:v>
      </x:c>
      <x:c r="R234" s="19" t="str">
        <x:v>S12_061 usage threshold</x:v>
      </x:c>
      <x:c r="S234" s="19" t="str">
        <x:v>https://nlftp.mlit.go.jp/ksj/gml/datalist/KsjTmplt-S12-2024.html</x:v>
      </x:c>
      <x:c r="T234" s="19" t="str">
        <x:v>https://nlftp.mlit.go.jp/ksj/gml/datalist/KsjTmplt-S12-2024.html</x:v>
      </x:c>
      <x:c r="U234" s="19" t="str">
        <x:v>station-component|二和向台|新京成電鉄|private_rail|35.7539|140.0237|</x:v>
      </x:c>
      <x:c r="V234" s="19" t="str">
        <x:v>003238 / 003238 / 新京成線</x:v>
      </x:c>
      <x:c r="W234" s="18" t="str">
        <x:v>否</x:v>
      </x:c>
      <x:c r="X234" s="18" t="str">
        <x:v>0785e932a32b3ec15e1a1345537ae145eafe1c07bf38d5c16c11ee2b391e7a28</x:v>
      </x:c>
      <x:c r="Y234" s="20" t="n">
        <x:v>1</x:v>
      </x:c>
      <x:c r="Z234" s="20" t="n">
        <x:v>1</x:v>
      </x:c>
      <x:c r="AA234" s="19"/>
      <x:c r="AB234" s="18"/>
      <x:c r="AC234" s="19"/>
    </x:row>
    <x:row r="235" ht="28" customHeight="1">
      <x:c r="A235" s="18" t="str">
        <x:v>二子新地</x:v>
      </x:c>
      <x:c r="B235" s="18" t="str">
        <x:v>東急電鉄</x:v>
      </x:c>
      <x:c r="C235" s="18" t="str">
        <x:v>private_rail</x:v>
      </x:c>
      <x:c r="D235" s="19" t="str">
        <x:v>T2</x:v>
      </x:c>
      <x:c r="E235" s="20" t="n">
        <x:v>20845</x:v>
      </x:c>
      <x:c r="F235" s="18" t="str">
        <x:v>persons/day</x:v>
      </x:c>
      <x:c r="G235" s="18" t="str">
        <x:v>FY2024</x:v>
      </x:c>
      <x:c r="H235" s="18" t="str">
        <x:v>否</x:v>
      </x:c>
      <x:c r="I235" s="19" t="str">
        <x:v>DAILY_ENTRIES_EXITS</x:v>
      </x:c>
      <x:c r="J235" s="19" t="str">
        <x:v>田園都市線</x:v>
      </x:c>
      <x:c r="K235" s="18" t="str">
        <x:v>transport-node:2ba26614-2fd8-5e22-859d-6312a08b25fb</x:v>
      </x:c>
      <x:c r="L235" s="19" t="str">
        <x:v>组件待审核</x:v>
      </x:c>
      <x:c r="M235" s="21" t="n">
        <x:v>35.6072733</x:v>
      </x:c>
      <x:c r="N235" s="21" t="n">
        <x:v>139.6226833</x:v>
      </x:c>
      <x:c r="O235" s="18" t="str">
        <x:v>004198</x:v>
      </x:c>
      <x:c r="P235" s="18" t="str">
        <x:v>田園都市線</x:v>
      </x:c>
      <x:c r="Q235" s="19" t="str">
        <x:v>S12_061_GE_10000</x:v>
      </x:c>
      <x:c r="R235" s="19" t="str">
        <x:v>S12_061 usage threshold</x:v>
      </x:c>
      <x:c r="S235" s="19" t="str">
        <x:v>https://nlftp.mlit.go.jp/ksj/gml/datalist/KsjTmplt-S12-2024.html</x:v>
      </x:c>
      <x:c r="T235" s="19" t="str">
        <x:v>https://nlftp.mlit.go.jp/ksj/gml/datalist/KsjTmplt-S12-2024.html</x:v>
      </x:c>
      <x:c r="U235" s="19" t="str">
        <x:v>station-component|二子新地|東急電鉄|private_rail|35.6073|139.6227|</x:v>
      </x:c>
      <x:c r="V235" s="19" t="str">
        <x:v>004198 / 004198 / 田園都市線</x:v>
      </x:c>
      <x:c r="W235" s="18" t="str">
        <x:v>否</x:v>
      </x:c>
      <x:c r="X235" s="18" t="str">
        <x:v>0785e932a32b3ec15e1a1345537ae145eafe1c07bf38d5c16c11ee2b391e7a28</x:v>
      </x:c>
      <x:c r="Y235" s="20" t="n">
        <x:v>1</x:v>
      </x:c>
      <x:c r="Z235" s="20" t="n">
        <x:v>1</x:v>
      </x:c>
      <x:c r="AA235" s="19"/>
      <x:c r="AB235" s="18"/>
      <x:c r="AC235" s="19"/>
    </x:row>
    <x:row r="236" ht="33" customHeight="1">
      <x:c r="A236" s="18" t="str">
        <x:v>二子玉川</x:v>
      </x:c>
      <x:c r="B236" s="18" t="str">
        <x:v>東急電鉄</x:v>
      </x:c>
      <x:c r="C236" s="18" t="str">
        <x:v>private_rail</x:v>
      </x:c>
      <x:c r="D236" s="19" t="str">
        <x:v>T1</x:v>
      </x:c>
      <x:c r="E236" s="20" t="n">
        <x:v>140353</x:v>
      </x:c>
      <x:c r="F236" s="18" t="str">
        <x:v>persons/day</x:v>
      </x:c>
      <x:c r="G236" s="18" t="str">
        <x:v>FY2024</x:v>
      </x:c>
      <x:c r="H236" s="18" t="str">
        <x:v>否</x:v>
      </x:c>
      <x:c r="I236" s="19" t="str">
        <x:v>DAILY_ENTRIES_EXITS</x:v>
      </x:c>
      <x:c r="J236" s="19" t="str">
        <x:v>大井町線
田園都市線</x:v>
      </x:c>
      <x:c r="K236" s="18" t="str">
        <x:v>transport-node:94751651-d16b-5b2e-9d54-c8d07bf7b66a</x:v>
      </x:c>
      <x:c r="L236" s="19" t="str">
        <x:v>组件待审核</x:v>
      </x:c>
      <x:c r="M236" s="21" t="n">
        <x:v>35.611515</x:v>
      </x:c>
      <x:c r="N236" s="21" t="n">
        <x:v>139.626494</x:v>
      </x:c>
      <x:c r="O236" s="18" t="str">
        <x:v>004178</x:v>
      </x:c>
      <x:c r="P236" s="18" t="str">
        <x:v>田園都市線</x:v>
      </x:c>
      <x:c r="Q236" s="19" t="str">
        <x:v>S12_061_GE_10000</x:v>
      </x:c>
      <x:c r="R236" s="19" t="str">
        <x:v>S12_061 usage threshold</x:v>
      </x:c>
      <x:c r="S236" s="19" t="str">
        <x:v>https://nlftp.mlit.go.jp/ksj/gml/datalist/KsjTmplt-S12-2024.html</x:v>
      </x:c>
      <x:c r="T236" s="19" t="str">
        <x:v>https://nlftp.mlit.go.jp/ksj/gml/datalist/KsjTmplt-S12-2024.html</x:v>
      </x:c>
      <x:c r="U236" s="19" t="str">
        <x:v>station-component|二子玉川|東急電鉄|private_rail|35.6115|139.6265|</x:v>
      </x:c>
      <x:c r="V236" s="19" t="str">
        <x:v>004177 / 004177 / 大井町線
004177 / 004178 / 田園都市線</x:v>
      </x:c>
      <x:c r="W236" s="18" t="str">
        <x:v>否</x:v>
      </x:c>
      <x:c r="X236" s="18" t="str">
        <x:v>0785e932a32b3ec15e1a1345537ae145eafe1c07bf38d5c16c11ee2b391e7a28</x:v>
      </x:c>
      <x:c r="Y236" s="20" t="n">
        <x:v>1</x:v>
      </x:c>
      <x:c r="Z236" s="20" t="n">
        <x:v>1</x:v>
      </x:c>
      <x:c r="AA236" s="19"/>
      <x:c r="AB236" s="18"/>
      <x:c r="AC236" s="19"/>
    </x:row>
    <x:row r="237" ht="28" customHeight="1">
      <x:c r="A237" s="18" t="str">
        <x:v>二宮</x:v>
      </x:c>
      <x:c r="B237" s="18" t="str">
        <x:v>東日本旅客鉄道</x:v>
      </x:c>
      <x:c r="C237" s="18" t="str">
        <x:v>conventional_rail</x:v>
      </x:c>
      <x:c r="D237" s="19" t="str">
        <x:v>T2</x:v>
      </x:c>
      <x:c r="E237" s="20" t="n">
        <x:v>23008</x:v>
      </x:c>
      <x:c r="F237" s="18" t="str">
        <x:v>persons/day</x:v>
      </x:c>
      <x:c r="G237" s="18" t="str">
        <x:v>FY2024</x:v>
      </x:c>
      <x:c r="H237" s="18" t="str">
        <x:v>否</x:v>
      </x:c>
      <x:c r="I237" s="19" t="str">
        <x:v>DAILY_ENTRIES_EXITS</x:v>
      </x:c>
      <x:c r="J237" s="19" t="str">
        <x:v>東海道線</x:v>
      </x:c>
      <x:c r="K237" s="18" t="str">
        <x:v>transport-node:2efaa013-ea11-598b-8eec-112033cc5f06</x:v>
      </x:c>
      <x:c r="L237" s="19" t="str">
        <x:v>组件待审核</x:v>
      </x:c>
      <x:c r="M237" s="21" t="n">
        <x:v>35.29867</x:v>
      </x:c>
      <x:c r="N237" s="21" t="n">
        <x:v>139.25675</x:v>
      </x:c>
      <x:c r="O237" s="18" t="str">
        <x:v>005120</x:v>
      </x:c>
      <x:c r="P237" s="18" t="str">
        <x:v>東海道線</x:v>
      </x:c>
      <x:c r="Q237" s="19" t="str">
        <x:v>S12_061_GE_10000</x:v>
      </x:c>
      <x:c r="R237" s="19" t="str">
        <x:v>S12_061 usage threshold</x:v>
      </x:c>
      <x:c r="S237" s="19" t="str">
        <x:v>https://nlftp.mlit.go.jp/ksj/gml/datalist/KsjTmplt-S12-2024.html</x:v>
      </x:c>
      <x:c r="T237" s="19" t="str">
        <x:v>https://nlftp.mlit.go.jp/ksj/gml/datalist/KsjTmplt-S12-2024.html</x:v>
      </x:c>
      <x:c r="U237" s="19" t="str">
        <x:v>station-component|二宮|東日本旅客鉄道|conventional_rail|35.2987|139.2568|</x:v>
      </x:c>
      <x:c r="V237" s="19" t="str">
        <x:v>005120 / 005120 / 東海道線</x:v>
      </x:c>
      <x:c r="W237" s="18" t="str">
        <x:v>否</x:v>
      </x:c>
      <x:c r="X237" s="18" t="str">
        <x:v>0785e932a32b3ec15e1a1345537ae145eafe1c07bf38d5c16c11ee2b391e7a28</x:v>
      </x:c>
      <x:c r="Y237" s="20" t="n">
        <x:v>1</x:v>
      </x:c>
      <x:c r="Z237" s="20" t="n">
        <x:v>1</x:v>
      </x:c>
      <x:c r="AA237" s="19"/>
      <x:c r="AB237" s="18"/>
      <x:c r="AC237" s="19"/>
    </x:row>
    <x:row r="238" ht="33" customHeight="1">
      <x:c r="A238" s="18" t="str">
        <x:v>二戸</x:v>
      </x:c>
      <x:c r="B238" s="18" t="str">
        <x:v>東日本旅客鉄道</x:v>
      </x:c>
      <x:c r="C238" s="18" t="str">
        <x:v>shinkansen</x:v>
      </x:c>
      <x:c r="D238" s="19" t="str">
        <x:v>T3</x:v>
      </x:c>
      <x:c r="E238" s="20" t="n">
        <x:v>1438</x:v>
      </x:c>
      <x:c r="F238" s="18" t="str">
        <x:v>persons/day</x:v>
      </x:c>
      <x:c r="G238" s="18" t="str">
        <x:v>FY2024</x:v>
      </x:c>
      <x:c r="H238" s="18" t="str">
        <x:v>否</x:v>
      </x:c>
      <x:c r="I238" s="19" t="str">
        <x:v>DAILY_ENTRIES_EXITS</x:v>
      </x:c>
      <x:c r="J238" s="19" t="str">
        <x:v>東北新幹線</x:v>
      </x:c>
      <x:c r="K238" s="18" t="str">
        <x:v>transport-node:a7a61696-f433-5114-905f-b39297b125b2</x:v>
      </x:c>
      <x:c r="L238" s="19" t="str">
        <x:v>组件待审核</x:v>
      </x:c>
      <x:c r="M238" s="21" t="n">
        <x:v>40.259775</x:v>
      </x:c>
      <x:c r="N238" s="21" t="n">
        <x:v>141.28559</x:v>
      </x:c>
      <x:c r="O238" s="18" t="str">
        <x:v>000669</x:v>
      </x:c>
      <x:c r="P238" s="18" t="str">
        <x:v>東北新幹線</x:v>
      </x:c>
      <x:c r="Q238" s="19" t="str">
        <x:v>SHINKANSEN</x:v>
      </x:c>
      <x:c r="R238" s="19" t="str">
        <x:v>S12_061 usage threshold; low-flow inclusion justified by Shinkansen inventory</x:v>
      </x:c>
      <x:c r="S238" s="19" t="str">
        <x:v>https://nlftp.mlit.go.jp/ksj/gml/datalist/KsjTmplt-S12-2024.html</x:v>
      </x:c>
      <x:c r="T238" s="19" t="str">
        <x:v>https://nlftp.mlit.go.jp/ksj/gml/datalist/KsjTmplt-S12-2024.html</x:v>
      </x:c>
      <x:c r="U238" s="19" t="str">
        <x:v>station-component|二戸|東日本旅客鉄道|shinkansen|40.2598|141.2856|</x:v>
      </x:c>
      <x:c r="V238" s="19" t="str">
        <x:v>000668 / 000669 / 東北新幹線</x:v>
      </x:c>
      <x:c r="W238" s="18" t="str">
        <x:v>否</x:v>
      </x:c>
      <x:c r="X238" s="18" t="str">
        <x:v>0785e932a32b3ec15e1a1345537ae145eafe1c07bf38d5c16c11ee2b391e7a28</x:v>
      </x:c>
      <x:c r="Y238" s="20" t="n">
        <x:v>1</x:v>
      </x:c>
      <x:c r="Z238" s="20" t="n">
        <x:v>1</x:v>
      </x:c>
      <x:c r="AA238" s="19"/>
      <x:c r="AB238" s="18"/>
      <x:c r="AC238" s="19"/>
    </x:row>
    <x:row r="239" ht="28" customHeight="1">
      <x:c r="A239" s="18" t="str">
        <x:v>二日市</x:v>
      </x:c>
      <x:c r="B239" s="18" t="str">
        <x:v>九州旅客鉄道</x:v>
      </x:c>
      <x:c r="C239" s="18" t="str">
        <x:v>conventional_rail</x:v>
      </x:c>
      <x:c r="D239" s="19" t="str">
        <x:v>T2</x:v>
      </x:c>
      <x:c r="E239" s="20" t="n">
        <x:v>14214</x:v>
      </x:c>
      <x:c r="F239" s="18" t="str">
        <x:v>persons/day</x:v>
      </x:c>
      <x:c r="G239" s="18" t="str">
        <x:v>FY2024</x:v>
      </x:c>
      <x:c r="H239" s="18" t="str">
        <x:v>否</x:v>
      </x:c>
      <x:c r="I239" s="19" t="str">
        <x:v>DAILY_ENTRIES_EXITS</x:v>
      </x:c>
      <x:c r="J239" s="19" t="str">
        <x:v>鹿児島線</x:v>
      </x:c>
      <x:c r="K239" s="18" t="str">
        <x:v>transport-node:f03c8b57-cdd0-5a6b-b469-13a32dad3024</x:v>
      </x:c>
      <x:c r="L239" s="19" t="str">
        <x:v>组件待审核</x:v>
      </x:c>
      <x:c r="M239" s="21" t="n">
        <x:v>33.494455</x:v>
      </x:c>
      <x:c r="N239" s="21" t="n">
        <x:v>130.518925</x:v>
      </x:c>
      <x:c r="O239" s="18" t="str">
        <x:v>009254</x:v>
      </x:c>
      <x:c r="P239" s="18" t="str">
        <x:v>鹿児島線</x:v>
      </x:c>
      <x:c r="Q239" s="19" t="str">
        <x:v>S12_061_GE_10000</x:v>
      </x:c>
      <x:c r="R239" s="19" t="str">
        <x:v>S12_061 usage threshold</x:v>
      </x:c>
      <x:c r="S239" s="19" t="str">
        <x:v>https://nlftp.mlit.go.jp/ksj/gml/datalist/KsjTmplt-S12-2024.html</x:v>
      </x:c>
      <x:c r="T239" s="19" t="str">
        <x:v>https://nlftp.mlit.go.jp/ksj/gml/datalist/KsjTmplt-S12-2024.html</x:v>
      </x:c>
      <x:c r="U239" s="19" t="str">
        <x:v>station-component|二日市|九州旅客鉄道|conventional_rail|33.4945|130.5189|</x:v>
      </x:c>
      <x:c r="V239" s="19" t="str">
        <x:v>009254 / 009254 / 鹿児島線</x:v>
      </x:c>
      <x:c r="W239" s="18" t="str">
        <x:v>否</x:v>
      </x:c>
      <x:c r="X239" s="18" t="str">
        <x:v>0785e932a32b3ec15e1a1345537ae145eafe1c07bf38d5c16c11ee2b391e7a28</x:v>
      </x:c>
      <x:c r="Y239" s="20" t="n">
        <x:v>1</x:v>
      </x:c>
      <x:c r="Z239" s="20" t="n">
        <x:v>1</x:v>
      </x:c>
      <x:c r="AA239" s="19"/>
      <x:c r="AB239" s="18"/>
      <x:c r="AC239" s="19"/>
    </x:row>
    <x:row r="240" ht="28" customHeight="1">
      <x:c r="A240" s="18" t="str">
        <x:v>二条</x:v>
      </x:c>
      <x:c r="B240" s="18" t="str">
        <x:v>京都市</x:v>
      </x:c>
      <x:c r="C240" s="18" t="str">
        <x:v>metro</x:v>
      </x:c>
      <x:c r="D240" s="19" t="str">
        <x:v>T2</x:v>
      </x:c>
      <x:c r="E240" s="20" t="n">
        <x:v>20451</x:v>
      </x:c>
      <x:c r="F240" s="18" t="str">
        <x:v>persons/day</x:v>
      </x:c>
      <x:c r="G240" s="18" t="str">
        <x:v>FY2024</x:v>
      </x:c>
      <x:c r="H240" s="18" t="str">
        <x:v>否</x:v>
      </x:c>
      <x:c r="I240" s="19" t="str">
        <x:v>DAILY_ENTRIES_EXITS</x:v>
      </x:c>
      <x:c r="J240" s="19" t="str">
        <x:v>東西線</x:v>
      </x:c>
      <x:c r="K240" s="18" t="str">
        <x:v>transport-node:fa2df0f6-07bc-5977-955e-b6587e2976f8</x:v>
      </x:c>
      <x:c r="L240" s="19" t="str">
        <x:v>组件待审核</x:v>
      </x:c>
      <x:c r="M240" s="21" t="n">
        <x:v>35.01202</x:v>
      </x:c>
      <x:c r="N240" s="21" t="n">
        <x:v>135.74177</x:v>
      </x:c>
      <x:c r="O240" s="18" t="str">
        <x:v>005949</x:v>
      </x:c>
      <x:c r="P240" s="18" t="str">
        <x:v>東西線</x:v>
      </x:c>
      <x:c r="Q240" s="19" t="str">
        <x:v>S12_061_GE_10000</x:v>
      </x:c>
      <x:c r="R240" s="19" t="str">
        <x:v>S12_061 usage threshold</x:v>
      </x:c>
      <x:c r="S240" s="19" t="str">
        <x:v>https://nlftp.mlit.go.jp/ksj/gml/datalist/KsjTmplt-S12-2024.html</x:v>
      </x:c>
      <x:c r="T240" s="19" t="str">
        <x:v>https://nlftp.mlit.go.jp/ksj/gml/datalist/KsjTmplt-S12-2024.html</x:v>
      </x:c>
      <x:c r="U240" s="19" t="str">
        <x:v>station-component|二条|京都市|metro|35.0120|135.7418|</x:v>
      </x:c>
      <x:c r="V240" s="19" t="str">
        <x:v>005949 / 005949 / 東西線</x:v>
      </x:c>
      <x:c r="W240" s="18" t="str">
        <x:v>否</x:v>
      </x:c>
      <x:c r="X240" s="18" t="str">
        <x:v>0785e932a32b3ec15e1a1345537ae145eafe1c07bf38d5c16c11ee2b391e7a28</x:v>
      </x:c>
      <x:c r="Y240" s="20" t="n">
        <x:v>1</x:v>
      </x:c>
      <x:c r="Z240" s="20" t="n">
        <x:v>1</x:v>
      </x:c>
      <x:c r="AA240" s="19"/>
      <x:c r="AB240" s="18"/>
      <x:c r="AC240" s="19"/>
    </x:row>
    <x:row r="241" ht="28" customHeight="1">
      <x:c r="A241" s="18" t="str">
        <x:v>二条</x:v>
      </x:c>
      <x:c r="B241" s="18" t="str">
        <x:v>西日本旅客鉄道</x:v>
      </x:c>
      <x:c r="C241" s="18" t="str">
        <x:v>conventional_rail</x:v>
      </x:c>
      <x:c r="D241" s="19" t="str">
        <x:v>T2</x:v>
      </x:c>
      <x:c r="E241" s="20" t="n">
        <x:v>26936</x:v>
      </x:c>
      <x:c r="F241" s="18" t="str">
        <x:v>persons/day</x:v>
      </x:c>
      <x:c r="G241" s="18" t="str">
        <x:v>FY2024</x:v>
      </x:c>
      <x:c r="H241" s="18" t="str">
        <x:v>否</x:v>
      </x:c>
      <x:c r="I241" s="19" t="str">
        <x:v>DAILY_ENTRIES_EXITS</x:v>
      </x:c>
      <x:c r="J241" s="19" t="str">
        <x:v>山陰線</x:v>
      </x:c>
      <x:c r="K241" s="18" t="str">
        <x:v>transport-node:88ade0ff-e5a6-5854-b8b4-32964489b7b8</x:v>
      </x:c>
      <x:c r="L241" s="19" t="str">
        <x:v>组件待审核</x:v>
      </x:c>
      <x:c r="M241" s="21" t="n">
        <x:v>35.011165</x:v>
      </x:c>
      <x:c r="N241" s="21" t="n">
        <x:v>135.741765</x:v>
      </x:c>
      <x:c r="O241" s="18" t="str">
        <x:v>005956</x:v>
      </x:c>
      <x:c r="P241" s="18" t="str">
        <x:v>山陰線</x:v>
      </x:c>
      <x:c r="Q241" s="19" t="str">
        <x:v>S12_061_GE_10000</x:v>
      </x:c>
      <x:c r="R241" s="19" t="str">
        <x:v>S12_061 usage threshold</x:v>
      </x:c>
      <x:c r="S241" s="19" t="str">
        <x:v>https://nlftp.mlit.go.jp/ksj/gml/datalist/KsjTmplt-S12-2024.html</x:v>
      </x:c>
      <x:c r="T241" s="19" t="str">
        <x:v>https://nlftp.mlit.go.jp/ksj/gml/datalist/KsjTmplt-S12-2024.html</x:v>
      </x:c>
      <x:c r="U241" s="19" t="str">
        <x:v>station-component|二条|西日本旅客鉄道|conventional_rail|35.0112|135.7418|</x:v>
      </x:c>
      <x:c r="V241" s="19" t="str">
        <x:v>005949 / 005956 / 山陰線</x:v>
      </x:c>
      <x:c r="W241" s="18" t="str">
        <x:v>否</x:v>
      </x:c>
      <x:c r="X241" s="18" t="str">
        <x:v>0785e932a32b3ec15e1a1345537ae145eafe1c07bf38d5c16c11ee2b391e7a28</x:v>
      </x:c>
      <x:c r="Y241" s="20" t="n">
        <x:v>1</x:v>
      </x:c>
      <x:c r="Z241" s="20" t="n">
        <x:v>1</x:v>
      </x:c>
      <x:c r="AA241" s="19"/>
      <x:c r="AB241" s="18"/>
      <x:c r="AC241" s="19"/>
    </x:row>
    <x:row r="242" ht="28" customHeight="1">
      <x:c r="A242" s="18" t="str">
        <x:v>二重橋前</x:v>
      </x:c>
      <x:c r="B242" s="18" t="str">
        <x:v>東京地下鉄</x:v>
      </x:c>
      <x:c r="C242" s="18" t="str">
        <x:v>metro</x:v>
      </x:c>
      <x:c r="D242" s="19" t="str">
        <x:v>T2</x:v>
      </x:c>
      <x:c r="E242" s="20" t="n">
        <x:v>35289</x:v>
      </x:c>
      <x:c r="F242" s="18" t="str">
        <x:v>persons/day</x:v>
      </x:c>
      <x:c r="G242" s="18" t="str">
        <x:v>FY2024</x:v>
      </x:c>
      <x:c r="H242" s="18" t="str">
        <x:v>否</x:v>
      </x:c>
      <x:c r="I242" s="19" t="str">
        <x:v>DAILY_ENTRIES_EXITS</x:v>
      </x:c>
      <x:c r="J242" s="19" t="str">
        <x:v>9号線千代田線</x:v>
      </x:c>
      <x:c r="K242" s="18" t="str">
        <x:v>transport-node:d025bd94-e458-5d8e-a670-4ed3780865a5</x:v>
      </x:c>
      <x:c r="L242" s="19" t="str">
        <x:v>组件待审核</x:v>
      </x:c>
      <x:c r="M242" s="21" t="n">
        <x:v>35.680505</x:v>
      </x:c>
      <x:c r="N242" s="21" t="n">
        <x:v>139.76178</x:v>
      </x:c>
      <x:c r="O242" s="18" t="str">
        <x:v>003772</x:v>
      </x:c>
      <x:c r="P242" s="18" t="str">
        <x:v>9号線千代田線</x:v>
      </x:c>
      <x:c r="Q242" s="19" t="str">
        <x:v>S12_061_GE_10000</x:v>
      </x:c>
      <x:c r="R242" s="19" t="str">
        <x:v>S12_061 usage threshold</x:v>
      </x:c>
      <x:c r="S242" s="19" t="str">
        <x:v>https://nlftp.mlit.go.jp/ksj/gml/datalist/KsjTmplt-S12-2024.html</x:v>
      </x:c>
      <x:c r="T242" s="19" t="str">
        <x:v>https://nlftp.mlit.go.jp/ksj/gml/datalist/KsjTmplt-S12-2024.html</x:v>
      </x:c>
      <x:c r="U242" s="19" t="str">
        <x:v>station-component|二重橋前|東京地下鉄|metro|35.6805|139.7618|</x:v>
      </x:c>
      <x:c r="V242" s="19" t="str">
        <x:v>003772 / 003772 / 9号線千代田線</x:v>
      </x:c>
      <x:c r="W242" s="18" t="str">
        <x:v>否</x:v>
      </x:c>
      <x:c r="X242" s="18" t="str">
        <x:v>0785e932a32b3ec15e1a1345537ae145eafe1c07bf38d5c16c11ee2b391e7a28</x:v>
      </x:c>
      <x:c r="Y242" s="20" t="n">
        <x:v>1</x:v>
      </x:c>
      <x:c r="Z242" s="20" t="n">
        <x:v>1</x:v>
      </x:c>
      <x:c r="AA242" s="19"/>
      <x:c r="AB242" s="18"/>
      <x:c r="AC242" s="19"/>
    </x:row>
    <x:row r="243" ht="28" customHeight="1">
      <x:c r="A243" s="18" t="str">
        <x:v>五井</x:v>
      </x:c>
      <x:c r="B243" s="18" t="str">
        <x:v>東日本旅客鉄道</x:v>
      </x:c>
      <x:c r="C243" s="18" t="str">
        <x:v>conventional_rail</x:v>
      </x:c>
      <x:c r="D243" s="19" t="str">
        <x:v>T2</x:v>
      </x:c>
      <x:c r="E243" s="20" t="n">
        <x:v>35058</x:v>
      </x:c>
      <x:c r="F243" s="18" t="str">
        <x:v>persons/day</x:v>
      </x:c>
      <x:c r="G243" s="18" t="str">
        <x:v>FY2024</x:v>
      </x:c>
      <x:c r="H243" s="18" t="str">
        <x:v>否</x:v>
      </x:c>
      <x:c r="I243" s="19" t="str">
        <x:v>DAILY_ENTRIES_EXITS</x:v>
      </x:c>
      <x:c r="J243" s="19" t="str">
        <x:v>内房線</x:v>
      </x:c>
      <x:c r="K243" s="18" t="str">
        <x:v>transport-node:3c4c4bbd-2799-5beb-ac16-b6fe135dc98d</x:v>
      </x:c>
      <x:c r="L243" s="19" t="str">
        <x:v>组件待审核</x:v>
      </x:c>
      <x:c r="M243" s="21" t="n">
        <x:v>35.513115</x:v>
      </x:c>
      <x:c r="N243" s="21" t="n">
        <x:v>140.089745</x:v>
      </x:c>
      <x:c r="O243" s="18" t="str">
        <x:v>004479</x:v>
      </x:c>
      <x:c r="P243" s="18" t="str">
        <x:v>内房線</x:v>
      </x:c>
      <x:c r="Q243" s="19" t="str">
        <x:v>S12_061_GE_10000</x:v>
      </x:c>
      <x:c r="R243" s="19" t="str">
        <x:v>S12_061 usage threshold</x:v>
      </x:c>
      <x:c r="S243" s="19" t="str">
        <x:v>https://nlftp.mlit.go.jp/ksj/gml/datalist/KsjTmplt-S12-2024.html</x:v>
      </x:c>
      <x:c r="T243" s="19" t="str">
        <x:v>https://nlftp.mlit.go.jp/ksj/gml/datalist/KsjTmplt-S12-2024.html</x:v>
      </x:c>
      <x:c r="U243" s="19" t="str">
        <x:v>station-component|五井|東日本旅客鉄道|conventional_rail|35.5131|140.0897|</x:v>
      </x:c>
      <x:c r="V243" s="19" t="str">
        <x:v>004479 / 004479 / 内房線</x:v>
      </x:c>
      <x:c r="W243" s="18" t="str">
        <x:v>否</x:v>
      </x:c>
      <x:c r="X243" s="18" t="str">
        <x:v>0785e932a32b3ec15e1a1345537ae145eafe1c07bf38d5c16c11ee2b391e7a28</x:v>
      </x:c>
      <x:c r="Y243" s="20" t="n">
        <x:v>1</x:v>
      </x:c>
      <x:c r="Z243" s="20" t="n">
        <x:v>1</x:v>
      </x:c>
      <x:c r="AA243" s="19"/>
      <x:c r="AB243" s="18"/>
      <x:c r="AC243" s="19"/>
    </x:row>
    <x:row r="244" ht="28" customHeight="1">
      <x:c r="A244" s="18" t="str">
        <x:v>五位堂</x:v>
      </x:c>
      <x:c r="B244" s="18" t="str">
        <x:v>近畿日本鉄道</x:v>
      </x:c>
      <x:c r="C244" s="18" t="str">
        <x:v>private_rail</x:v>
      </x:c>
      <x:c r="D244" s="19" t="str">
        <x:v>T2</x:v>
      </x:c>
      <x:c r="E244" s="20" t="n">
        <x:v>23749</x:v>
      </x:c>
      <x:c r="F244" s="18" t="str">
        <x:v>persons/day</x:v>
      </x:c>
      <x:c r="G244" s="18" t="str">
        <x:v>FY2024</x:v>
      </x:c>
      <x:c r="H244" s="18" t="str">
        <x:v>否</x:v>
      </x:c>
      <x:c r="I244" s="19" t="str">
        <x:v>DAILY_ENTRIES_EXITS</x:v>
      </x:c>
      <x:c r="J244" s="19" t="str">
        <x:v>大阪線</x:v>
      </x:c>
      <x:c r="K244" s="18" t="str">
        <x:v>transport-node:c73573c3-5823-5dd6-a079-26055a5172cd</x:v>
      </x:c>
      <x:c r="L244" s="19" t="str">
        <x:v>组件待审核</x:v>
      </x:c>
      <x:c r="M244" s="21" t="n">
        <x:v>34.534685</x:v>
      </x:c>
      <x:c r="N244" s="21" t="n">
        <x:v>135.718195</x:v>
      </x:c>
      <x:c r="O244" s="18" t="str">
        <x:v>007763</x:v>
      </x:c>
      <x:c r="P244" s="18" t="str">
        <x:v>大阪線</x:v>
      </x:c>
      <x:c r="Q244" s="19" t="str">
        <x:v>S12_061_GE_10000</x:v>
      </x:c>
      <x:c r="R244" s="19" t="str">
        <x:v>S12_061 usage threshold</x:v>
      </x:c>
      <x:c r="S244" s="19" t="str">
        <x:v>https://nlftp.mlit.go.jp/ksj/gml/datalist/KsjTmplt-S12-2024.html</x:v>
      </x:c>
      <x:c r="T244" s="19" t="str">
        <x:v>https://nlftp.mlit.go.jp/ksj/gml/datalist/KsjTmplt-S12-2024.html</x:v>
      </x:c>
      <x:c r="U244" s="19" t="str">
        <x:v>station-component|五位堂|近畿日本鉄道|private_rail|34.5347|135.7182|</x:v>
      </x:c>
      <x:c r="V244" s="19" t="str">
        <x:v>007763 / 007763 / 大阪線</x:v>
      </x:c>
      <x:c r="W244" s="18" t="str">
        <x:v>否</x:v>
      </x:c>
      <x:c r="X244" s="18" t="str">
        <x:v>0785e932a32b3ec15e1a1345537ae145eafe1c07bf38d5c16c11ee2b391e7a28</x:v>
      </x:c>
      <x:c r="Y244" s="20" t="n">
        <x:v>1</x:v>
      </x:c>
      <x:c r="Z244" s="20" t="n">
        <x:v>1</x:v>
      </x:c>
      <x:c r="AA244" s="19"/>
      <x:c r="AB244" s="18"/>
      <x:c r="AC244" s="19"/>
    </x:row>
    <x:row r="245" ht="33" customHeight="1">
      <x:c r="A245" s="18" t="str">
        <x:v>五反田</x:v>
      </x:c>
      <x:c r="B245" s="18" t="str">
        <x:v>東京都</x:v>
      </x:c>
      <x:c r="C245" s="18" t="str">
        <x:v>metro</x:v>
      </x:c>
      <x:c r="D245" s="19" t="str">
        <x:v>T1</x:v>
      </x:c>
      <x:c r="E245" s="20" t="n">
        <x:v>59177</x:v>
      </x:c>
      <x:c r="F245" s="18" t="str">
        <x:v>persons/day</x:v>
      </x:c>
      <x:c r="G245" s="18" t="str">
        <x:v>FY2024</x:v>
      </x:c>
      <x:c r="H245" s="18" t="str">
        <x:v>否</x:v>
      </x:c>
      <x:c r="I245" s="19" t="str">
        <x:v>DAILY_ENTRIES_EXITS</x:v>
      </x:c>
      <x:c r="J245" s="19" t="str">
        <x:v>1号線浅草線</x:v>
      </x:c>
      <x:c r="K245" s="18" t="str">
        <x:v>transport-node:45649088-565a-5126-9b3b-32ceb2d0a4e6</x:v>
      </x:c>
      <x:c r="L245" s="19" t="str">
        <x:v>组件待审核</x:v>
      </x:c>
      <x:c r="M245" s="21" t="n">
        <x:v>35.62711</x:v>
      </x:c>
      <x:c r="N245" s="21" t="n">
        <x:v>139.724185</x:v>
      </x:c>
      <x:c r="O245" s="18" t="str">
        <x:v>004107</x:v>
      </x:c>
      <x:c r="P245" s="18" t="str">
        <x:v>1号線浅草線</x:v>
      </x:c>
      <x:c r="Q245" s="19" t="str">
        <x:v>S12_061_GE_10000
OFFICIAL_HUB_COMPONENT_REVIEW</x:v>
      </x:c>
      <x:c r="R245" s="19" t="str">
        <x:v>S12_061 usage threshold</x:v>
      </x:c>
      <x:c r="S245" s="19" t="str">
        <x:v>https://nlftp.mlit.go.jp/ksj/gml/datalist/KsjTmplt-S12-2024.html</x:v>
      </x:c>
      <x:c r="T245" s="19" t="str">
        <x:v>https://nlftp.mlit.go.jp/ksj/gml/datalist/KsjTmplt-S12-2024.html
https://www.tokyu.co.jp/area/gotanda/station/</x:v>
      </x:c>
      <x:c r="U245" s="19" t="str">
        <x:v>station-component|五反田|東京都|metro|35.6271|139.7242|</x:v>
      </x:c>
      <x:c r="V245" s="19" t="str">
        <x:v>004110 / 004107 / 1号線浅草線</x:v>
      </x:c>
      <x:c r="W245" s="18" t="str">
        <x:v>否</x:v>
      </x:c>
      <x:c r="X245" s="18" t="str">
        <x:v>0785e932a32b3ec15e1a1345537ae145eafe1c07bf38d5c16c11ee2b391e7a28</x:v>
      </x:c>
      <x:c r="Y245" s="20" t="n">
        <x:v>1</x:v>
      </x:c>
      <x:c r="Z245" s="20" t="n">
        <x:v>1</x:v>
      </x:c>
      <x:c r="AA245" s="19" t="str">
        <x:v>五反田</x:v>
      </x:c>
      <x:c r="AB245" s="18" t="str">
        <x:v>transport-hub-review:5ae616c9-b1c0-538b-885c-2732e8ee3726</x:v>
      </x:c>
      <x:c r="AC245" s="19"/>
    </x:row>
    <x:row r="246" ht="33" customHeight="1">
      <x:c r="A246" s="18" t="str">
        <x:v>五反田</x:v>
      </x:c>
      <x:c r="B246" s="18" t="str">
        <x:v>東急電鉄</x:v>
      </x:c>
      <x:c r="C246" s="18" t="str">
        <x:v>private_rail</x:v>
      </x:c>
      <x:c r="D246" s="19" t="str">
        <x:v>T1</x:v>
      </x:c>
      <x:c r="E246" s="20" t="n">
        <x:v>95723</x:v>
      </x:c>
      <x:c r="F246" s="18" t="str">
        <x:v>persons/day</x:v>
      </x:c>
      <x:c r="G246" s="18" t="str">
        <x:v>FY2024</x:v>
      </x:c>
      <x:c r="H246" s="18" t="str">
        <x:v>否</x:v>
      </x:c>
      <x:c r="I246" s="19" t="str">
        <x:v>DAILY_ENTRIES_EXITS</x:v>
      </x:c>
      <x:c r="J246" s="19" t="str">
        <x:v>池上線</x:v>
      </x:c>
      <x:c r="K246" s="18" t="str">
        <x:v>transport-node:629dfb8f-7715-55f9-b586-a09cfe1401db</x:v>
      </x:c>
      <x:c r="L246" s="19" t="str">
        <x:v>组件待审核</x:v>
      </x:c>
      <x:c r="M246" s="21" t="n">
        <x:v>35.62507</x:v>
      </x:c>
      <x:c r="N246" s="21" t="n">
        <x:v>139.7240667</x:v>
      </x:c>
      <x:c r="O246" s="18" t="str">
        <x:v>004117</x:v>
      </x:c>
      <x:c r="P246" s="18" t="str">
        <x:v>池上線</x:v>
      </x:c>
      <x:c r="Q246" s="19" t="str">
        <x:v>S12_061_GE_10000
OFFICIAL_HUB_COMPONENT_REVIEW</x:v>
      </x:c>
      <x:c r="R246" s="19" t="str">
        <x:v>S12_061 usage threshold</x:v>
      </x:c>
      <x:c r="S246" s="19" t="str">
        <x:v>https://nlftp.mlit.go.jp/ksj/gml/datalist/KsjTmplt-S12-2024.html</x:v>
      </x:c>
      <x:c r="T246" s="19" t="str">
        <x:v>https://nlftp.mlit.go.jp/ksj/gml/datalist/KsjTmplt-S12-2024.html
https://www.tokyu.co.jp/area/gotanda/station/</x:v>
      </x:c>
      <x:c r="U246" s="19" t="str">
        <x:v>station-component|五反田|東急電鉄|private_rail|35.6251|139.7241|</x:v>
      </x:c>
      <x:c r="V246" s="19" t="str">
        <x:v>004110 / 004117 / 池上線</x:v>
      </x:c>
      <x:c r="W246" s="18" t="str">
        <x:v>否</x:v>
      </x:c>
      <x:c r="X246" s="18" t="str">
        <x:v>0785e932a32b3ec15e1a1345537ae145eafe1c07bf38d5c16c11ee2b391e7a28</x:v>
      </x:c>
      <x:c r="Y246" s="20" t="n">
        <x:v>1</x:v>
      </x:c>
      <x:c r="Z246" s="20" t="n">
        <x:v>1</x:v>
      </x:c>
      <x:c r="AA246" s="19" t="str">
        <x:v>五反田</x:v>
      </x:c>
      <x:c r="AB246" s="18" t="str">
        <x:v>transport-hub-review:5ae616c9-b1c0-538b-885c-2732e8ee3726</x:v>
      </x:c>
      <x:c r="AC246" s="19"/>
    </x:row>
    <x:row r="247" ht="33" customHeight="1">
      <x:c r="A247" s="18" t="str">
        <x:v>五反田</x:v>
      </x:c>
      <x:c r="B247" s="18" t="str">
        <x:v>東日本旅客鉄道</x:v>
      </x:c>
      <x:c r="C247" s="18" t="str">
        <x:v>conventional_rail</x:v>
      </x:c>
      <x:c r="D247" s="19" t="str">
        <x:v>T0</x:v>
      </x:c>
      <x:c r="E247" s="20" t="n">
        <x:v>220642</x:v>
      </x:c>
      <x:c r="F247" s="18" t="str">
        <x:v>persons/day</x:v>
      </x:c>
      <x:c r="G247" s="18" t="str">
        <x:v>FY2024</x:v>
      </x:c>
      <x:c r="H247" s="18" t="str">
        <x:v>否</x:v>
      </x:c>
      <x:c r="I247" s="19" t="str">
        <x:v>DAILY_ENTRIES_EXITS</x:v>
      </x:c>
      <x:c r="J247" s="19" t="str">
        <x:v>山手線</x:v>
      </x:c>
      <x:c r="K247" s="18" t="str">
        <x:v>transport-node:c66bef66-878d-597c-9c0d-942e30f48d27</x:v>
      </x:c>
      <x:c r="L247" s="19" t="str">
        <x:v>组件待审核</x:v>
      </x:c>
      <x:c r="M247" s="21" t="n">
        <x:v>35.62606</x:v>
      </x:c>
      <x:c r="N247" s="21" t="n">
        <x:v>139.723696</x:v>
      </x:c>
      <x:c r="O247" s="18" t="str">
        <x:v>004110</x:v>
      </x:c>
      <x:c r="P247" s="18" t="str">
        <x:v>山手線</x:v>
      </x:c>
      <x:c r="Q247" s="19" t="str">
        <x:v>S12_061_GE_10000
OFFICIAL_HUB_COMPONENT_REVIEW</x:v>
      </x:c>
      <x:c r="R247" s="19" t="str">
        <x:v>S12_061 usage threshold</x:v>
      </x:c>
      <x:c r="S247" s="19" t="str">
        <x:v>https://nlftp.mlit.go.jp/ksj/gml/datalist/KsjTmplt-S12-2024.html</x:v>
      </x:c>
      <x:c r="T247" s="19" t="str">
        <x:v>https://nlftp.mlit.go.jp/ksj/gml/datalist/KsjTmplt-S12-2024.html
https://www.tokyu.co.jp/area/gotanda/station/</x:v>
      </x:c>
      <x:c r="U247" s="19" t="str">
        <x:v>station-component|五反田|東日本旅客鉄道|conventional_rail|35.6261|139.7237|</x:v>
      </x:c>
      <x:c r="V247" s="19" t="str">
        <x:v>004110 / 004110 / 山手線</x:v>
      </x:c>
      <x:c r="W247" s="18" t="str">
        <x:v>否</x:v>
      </x:c>
      <x:c r="X247" s="18" t="str">
        <x:v>0785e932a32b3ec15e1a1345537ae145eafe1c07bf38d5c16c11ee2b391e7a28</x:v>
      </x:c>
      <x:c r="Y247" s="20" t="n">
        <x:v>1</x:v>
      </x:c>
      <x:c r="Z247" s="20" t="n">
        <x:v>1</x:v>
      </x:c>
      <x:c r="AA247" s="19" t="str">
        <x:v>五反田</x:v>
      </x:c>
      <x:c r="AB247" s="18" t="str">
        <x:v>transport-hub-review:5ae616c9-b1c0-538b-885c-2732e8ee3726</x:v>
      </x:c>
      <x:c r="AC247" s="19"/>
    </x:row>
    <x:row r="248" ht="28" customHeight="1">
      <x:c r="A248" s="18" t="str">
        <x:v>五反野</x:v>
      </x:c>
      <x:c r="B248" s="18" t="str">
        <x:v>東武鉄道</x:v>
      </x:c>
      <x:c r="C248" s="18" t="str">
        <x:v>private_rail</x:v>
      </x:c>
      <x:c r="D248" s="19" t="str">
        <x:v>T2</x:v>
      </x:c>
      <x:c r="E248" s="20" t="n">
        <x:v>36724</x:v>
      </x:c>
      <x:c r="F248" s="18" t="str">
        <x:v>persons/day</x:v>
      </x:c>
      <x:c r="G248" s="18" t="str">
        <x:v>FY2024</x:v>
      </x:c>
      <x:c r="H248" s="18" t="str">
        <x:v>否</x:v>
      </x:c>
      <x:c r="I248" s="19" t="str">
        <x:v>DAILY_ENTRIES_EXITS</x:v>
      </x:c>
      <x:c r="J248" s="19" t="str">
        <x:v>伊勢崎線</x:v>
      </x:c>
      <x:c r="K248" s="18" t="str">
        <x:v>transport-node:fbfce907-a062-5c3b-9109-8e1c83b1b504</x:v>
      </x:c>
      <x:c r="L248" s="19" t="str">
        <x:v>组件待审核</x:v>
      </x:c>
      <x:c r="M248" s="21" t="n">
        <x:v>35.765905</x:v>
      </x:c>
      <x:c r="N248" s="21" t="n">
        <x:v>139.80963</x:v>
      </x:c>
      <x:c r="O248" s="18" t="str">
        <x:v>003200</x:v>
      </x:c>
      <x:c r="P248" s="18" t="str">
        <x:v>伊勢崎線</x:v>
      </x:c>
      <x:c r="Q248" s="19" t="str">
        <x:v>S12_061_GE_10000</x:v>
      </x:c>
      <x:c r="R248" s="19" t="str">
        <x:v>S12_061 usage threshold</x:v>
      </x:c>
      <x:c r="S248" s="19" t="str">
        <x:v>https://nlftp.mlit.go.jp/ksj/gml/datalist/KsjTmplt-S12-2024.html</x:v>
      </x:c>
      <x:c r="T248" s="19" t="str">
        <x:v>https://nlftp.mlit.go.jp/ksj/gml/datalist/KsjTmplt-S12-2024.html</x:v>
      </x:c>
      <x:c r="U248" s="19" t="str">
        <x:v>station-component|五反野|東武鉄道|private_rail|35.7659|139.8096|</x:v>
      </x:c>
      <x:c r="V248" s="19" t="str">
        <x:v>003200 / 003200 / 伊勢崎線</x:v>
      </x:c>
      <x:c r="W248" s="18" t="str">
        <x:v>否</x:v>
      </x:c>
      <x:c r="X248" s="18" t="str">
        <x:v>0785e932a32b3ec15e1a1345537ae145eafe1c07bf38d5c16c11ee2b391e7a28</x:v>
      </x:c>
      <x:c r="Y248" s="20" t="n">
        <x:v>1</x:v>
      </x:c>
      <x:c r="Z248" s="20" t="n">
        <x:v>1</x:v>
      </x:c>
      <x:c r="AA248" s="19"/>
      <x:c r="AB248" s="18"/>
      <x:c r="AC248" s="19"/>
    </x:row>
    <x:row r="249" ht="28" customHeight="1">
      <x:c r="A249" s="18" t="str">
        <x:v>五日市</x:v>
      </x:c>
      <x:c r="B249" s="18" t="str">
        <x:v>西日本旅客鉄道</x:v>
      </x:c>
      <x:c r="C249" s="18" t="str">
        <x:v>conventional_rail</x:v>
      </x:c>
      <x:c r="D249" s="19" t="str">
        <x:v>T2</x:v>
      </x:c>
      <x:c r="E249" s="20" t="n">
        <x:v>25214</x:v>
      </x:c>
      <x:c r="F249" s="18" t="str">
        <x:v>persons/day</x:v>
      </x:c>
      <x:c r="G249" s="18" t="str">
        <x:v>FY2024</x:v>
      </x:c>
      <x:c r="H249" s="18" t="str">
        <x:v>否</x:v>
      </x:c>
      <x:c r="I249" s="19" t="str">
        <x:v>DAILY_ENTRIES_EXITS</x:v>
      </x:c>
      <x:c r="J249" s="19" t="str">
        <x:v>山陽線</x:v>
      </x:c>
      <x:c r="K249" s="18" t="str">
        <x:v>transport-node:3bbdf533-98c6-5891-a759-8bbbcf4276df</x:v>
      </x:c>
      <x:c r="L249" s="19" t="str">
        <x:v>组件待审核</x:v>
      </x:c>
      <x:c r="M249" s="21" t="n">
        <x:v>34.36684</x:v>
      </x:c>
      <x:c r="N249" s="21" t="n">
        <x:v>132.36773</x:v>
      </x:c>
      <x:c r="O249" s="18" t="str">
        <x:v>008131</x:v>
      </x:c>
      <x:c r="P249" s="18" t="str">
        <x:v>山陽線</x:v>
      </x:c>
      <x:c r="Q249" s="19" t="str">
        <x:v>S12_061_GE_10000</x:v>
      </x:c>
      <x:c r="R249" s="19" t="str">
        <x:v>S12_061 usage threshold</x:v>
      </x:c>
      <x:c r="S249" s="19" t="str">
        <x:v>https://nlftp.mlit.go.jp/ksj/gml/datalist/KsjTmplt-S12-2024.html</x:v>
      </x:c>
      <x:c r="T249" s="19" t="str">
        <x:v>https://nlftp.mlit.go.jp/ksj/gml/datalist/KsjTmplt-S12-2024.html</x:v>
      </x:c>
      <x:c r="U249" s="19" t="str">
        <x:v>station-component|五日市|西日本旅客鉄道|conventional_rail|34.3668|132.3677|</x:v>
      </x:c>
      <x:c r="V249" s="19" t="str">
        <x:v>008131 / 008131 / 山陽線</x:v>
      </x:c>
      <x:c r="W249" s="18" t="str">
        <x:v>否</x:v>
      </x:c>
      <x:c r="X249" s="18" t="str">
        <x:v>0785e932a32b3ec15e1a1345537ae145eafe1c07bf38d5c16c11ee2b391e7a28</x:v>
      </x:c>
      <x:c r="Y249" s="20" t="n">
        <x:v>1</x:v>
      </x:c>
      <x:c r="Z249" s="20" t="n">
        <x:v>1</x:v>
      </x:c>
      <x:c r="AA249" s="19"/>
      <x:c r="AB249" s="18"/>
      <x:c r="AC249" s="19"/>
    </x:row>
    <x:row r="250" ht="28" customHeight="1">
      <x:c r="A250" s="18" t="str">
        <x:v>五条</x:v>
      </x:c>
      <x:c r="B250" s="18" t="str">
        <x:v>京都市</x:v>
      </x:c>
      <x:c r="C250" s="18" t="str">
        <x:v>metro</x:v>
      </x:c>
      <x:c r="D250" s="19" t="str">
        <x:v>T2</x:v>
      </x:c>
      <x:c r="E250" s="20" t="n">
        <x:v>18897</x:v>
      </x:c>
      <x:c r="F250" s="18" t="str">
        <x:v>persons/day</x:v>
      </x:c>
      <x:c r="G250" s="18" t="str">
        <x:v>FY2024</x:v>
      </x:c>
      <x:c r="H250" s="18" t="str">
        <x:v>否</x:v>
      </x:c>
      <x:c r="I250" s="19" t="str">
        <x:v>DAILY_ENTRIES_EXITS</x:v>
      </x:c>
      <x:c r="J250" s="19" t="str">
        <x:v>烏丸線</x:v>
      </x:c>
      <x:c r="K250" s="18" t="str">
        <x:v>transport-node:d09594d2-e3aa-53ff-86f5-c389f7f533e2</x:v>
      </x:c>
      <x:c r="L250" s="19" t="str">
        <x:v>组件待审核</x:v>
      </x:c>
      <x:c r="M250" s="21" t="n">
        <x:v>34.9952167</x:v>
      </x:c>
      <x:c r="N250" s="21" t="n">
        <x:v>135.7597333</x:v>
      </x:c>
      <x:c r="O250" s="18" t="str">
        <x:v>006029</x:v>
      </x:c>
      <x:c r="P250" s="18" t="str">
        <x:v>烏丸線</x:v>
      </x:c>
      <x:c r="Q250" s="19" t="str">
        <x:v>S12_061_GE_10000</x:v>
      </x:c>
      <x:c r="R250" s="19" t="str">
        <x:v>S12_061 usage threshold</x:v>
      </x:c>
      <x:c r="S250" s="19" t="str">
        <x:v>https://nlftp.mlit.go.jp/ksj/gml/datalist/KsjTmplt-S12-2024.html</x:v>
      </x:c>
      <x:c r="T250" s="19" t="str">
        <x:v>https://nlftp.mlit.go.jp/ksj/gml/datalist/KsjTmplt-S12-2024.html</x:v>
      </x:c>
      <x:c r="U250" s="19" t="str">
        <x:v>station-component|五条|京都市|metro|34.9952|135.7597|</x:v>
      </x:c>
      <x:c r="V250" s="19" t="str">
        <x:v>006029 / 006029 / 烏丸線</x:v>
      </x:c>
      <x:c r="W250" s="18" t="str">
        <x:v>否</x:v>
      </x:c>
      <x:c r="X250" s="18" t="str">
        <x:v>0785e932a32b3ec15e1a1345537ae145eafe1c07bf38d5c16c11ee2b391e7a28</x:v>
      </x:c>
      <x:c r="Y250" s="20" t="n">
        <x:v>1</x:v>
      </x:c>
      <x:c r="Z250" s="20" t="n">
        <x:v>1</x:v>
      </x:c>
      <x:c r="AA250" s="19"/>
      <x:c r="AB250" s="18"/>
      <x:c r="AC250" s="19"/>
    </x:row>
    <x:row r="251" ht="28" customHeight="1">
      <x:c r="A251" s="18" t="str">
        <x:v>五香</x:v>
      </x:c>
      <x:c r="B251" s="18" t="str">
        <x:v>新京成電鉄</x:v>
      </x:c>
      <x:c r="C251" s="18" t="str">
        <x:v>private_rail</x:v>
      </x:c>
      <x:c r="D251" s="19" t="str">
        <x:v>T2</x:v>
      </x:c>
      <x:c r="E251" s="20" t="n">
        <x:v>27684</x:v>
      </x:c>
      <x:c r="F251" s="18" t="str">
        <x:v>persons/day</x:v>
      </x:c>
      <x:c r="G251" s="18" t="str">
        <x:v>FY2024</x:v>
      </x:c>
      <x:c r="H251" s="18" t="str">
        <x:v>否</x:v>
      </x:c>
      <x:c r="I251" s="19" t="str">
        <x:v>DAILY_ENTRIES_EXITS</x:v>
      </x:c>
      <x:c r="J251" s="19" t="str">
        <x:v>新京成線</x:v>
      </x:c>
      <x:c r="K251" s="18" t="str">
        <x:v>transport-node:fdd28f5e-4bc9-59dd-ad99-7174671ab3bb</x:v>
      </x:c>
      <x:c r="L251" s="19" t="str">
        <x:v>组件待审核</x:v>
      </x:c>
      <x:c r="M251" s="21" t="n">
        <x:v>35.797285</x:v>
      </x:c>
      <x:c r="N251" s="21" t="n">
        <x:v>139.96577</x:v>
      </x:c>
      <x:c r="O251" s="18" t="str">
        <x:v>003095</x:v>
      </x:c>
      <x:c r="P251" s="18" t="str">
        <x:v>新京成線</x:v>
      </x:c>
      <x:c r="Q251" s="19" t="str">
        <x:v>S12_061_GE_10000</x:v>
      </x:c>
      <x:c r="R251" s="19" t="str">
        <x:v>S12_061 usage threshold</x:v>
      </x:c>
      <x:c r="S251" s="19" t="str">
        <x:v>https://nlftp.mlit.go.jp/ksj/gml/datalist/KsjTmplt-S12-2024.html</x:v>
      </x:c>
      <x:c r="T251" s="19" t="str">
        <x:v>https://nlftp.mlit.go.jp/ksj/gml/datalist/KsjTmplt-S12-2024.html</x:v>
      </x:c>
      <x:c r="U251" s="19" t="str">
        <x:v>station-component|五香|新京成電鉄|private_rail|35.7973|139.9658|</x:v>
      </x:c>
      <x:c r="V251" s="19" t="str">
        <x:v>003095 / 003095 / 新京成線</x:v>
      </x:c>
      <x:c r="W251" s="18" t="str">
        <x:v>否</x:v>
      </x:c>
      <x:c r="X251" s="18" t="str">
        <x:v>0785e932a32b3ec15e1a1345537ae145eafe1c07bf38d5c16c11ee2b391e7a28</x:v>
      </x:c>
      <x:c r="Y251" s="20" t="n">
        <x:v>1</x:v>
      </x:c>
      <x:c r="Z251" s="20" t="n">
        <x:v>1</x:v>
      </x:c>
      <x:c r="AA251" s="19"/>
      <x:c r="AB251" s="18"/>
      <x:c r="AC251" s="19"/>
    </x:row>
    <x:row r="252" ht="28" customHeight="1">
      <x:c r="A252" s="18" t="str">
        <x:v>井土ヶ谷</x:v>
      </x:c>
      <x:c r="B252" s="18" t="str">
        <x:v>京浜急行電鉄</x:v>
      </x:c>
      <x:c r="C252" s="18" t="str">
        <x:v>private_rail</x:v>
      </x:c>
      <x:c r="D252" s="19" t="str">
        <x:v>T2</x:v>
      </x:c>
      <x:c r="E252" s="20" t="n">
        <x:v>27383</x:v>
      </x:c>
      <x:c r="F252" s="18" t="str">
        <x:v>persons/day</x:v>
      </x:c>
      <x:c r="G252" s="18" t="str">
        <x:v>FY2024</x:v>
      </x:c>
      <x:c r="H252" s="18" t="str">
        <x:v>否</x:v>
      </x:c>
      <x:c r="I252" s="19" t="str">
        <x:v>DAILY_ENTRIES_EXITS</x:v>
      </x:c>
      <x:c r="J252" s="19" t="str">
        <x:v>本線</x:v>
      </x:c>
      <x:c r="K252" s="18" t="str">
        <x:v>transport-node:068d57db-b329-517a-b4bd-ac7979199a4e</x:v>
      </x:c>
      <x:c r="L252" s="19" t="str">
        <x:v>组件待审核</x:v>
      </x:c>
      <x:c r="M252" s="21" t="n">
        <x:v>35.433875</x:v>
      </x:c>
      <x:c r="N252" s="21" t="n">
        <x:v>139.600525</x:v>
      </x:c>
      <x:c r="O252" s="18" t="str">
        <x:v>004724</x:v>
      </x:c>
      <x:c r="P252" s="18" t="str">
        <x:v>本線</x:v>
      </x:c>
      <x:c r="Q252" s="19" t="str">
        <x:v>S12_061_GE_10000</x:v>
      </x:c>
      <x:c r="R252" s="19" t="str">
        <x:v>S12_061 usage threshold</x:v>
      </x:c>
      <x:c r="S252" s="19" t="str">
        <x:v>https://nlftp.mlit.go.jp/ksj/gml/datalist/KsjTmplt-S12-2024.html</x:v>
      </x:c>
      <x:c r="T252" s="19" t="str">
        <x:v>https://nlftp.mlit.go.jp/ksj/gml/datalist/KsjTmplt-S12-2024.html</x:v>
      </x:c>
      <x:c r="U252" s="19" t="str">
        <x:v>station-component|井土ヶ谷|京浜急行電鉄|private_rail|35.4339|139.6005|</x:v>
      </x:c>
      <x:c r="V252" s="19" t="str">
        <x:v>004724 / 004724 / 本線</x:v>
      </x:c>
      <x:c r="W252" s="18" t="str">
        <x:v>否</x:v>
      </x:c>
      <x:c r="X252" s="18" t="str">
        <x:v>0785e932a32b3ec15e1a1345537ae145eafe1c07bf38d5c16c11ee2b391e7a28</x:v>
      </x:c>
      <x:c r="Y252" s="20" t="n">
        <x:v>1</x:v>
      </x:c>
      <x:c r="Z252" s="20" t="n">
        <x:v>1</x:v>
      </x:c>
      <x:c r="AA252" s="19"/>
      <x:c r="AB252" s="18"/>
      <x:c r="AC252" s="19"/>
    </x:row>
    <x:row r="253" ht="28" customHeight="1">
      <x:c r="A253" s="18" t="str">
        <x:v>井尻</x:v>
      </x:c>
      <x:c r="B253" s="18" t="str">
        <x:v>西日本鉄道</x:v>
      </x:c>
      <x:c r="C253" s="18" t="str">
        <x:v>private_rail</x:v>
      </x:c>
      <x:c r="D253" s="19" t="str">
        <x:v>T2</x:v>
      </x:c>
      <x:c r="E253" s="20" t="n">
        <x:v>22461</x:v>
      </x:c>
      <x:c r="F253" s="18" t="str">
        <x:v>persons/day</x:v>
      </x:c>
      <x:c r="G253" s="18" t="str">
        <x:v>FY2024</x:v>
      </x:c>
      <x:c r="H253" s="18" t="str">
        <x:v>否</x:v>
      </x:c>
      <x:c r="I253" s="19" t="str">
        <x:v>DAILY_ENTRIES_EXITS</x:v>
      </x:c>
      <x:c r="J253" s="19" t="str">
        <x:v>天神大牟田線</x:v>
      </x:c>
      <x:c r="K253" s="18" t="str">
        <x:v>transport-node:76213ab7-9466-515a-a754-f702feeabbcd</x:v>
      </x:c>
      <x:c r="L253" s="19" t="str">
        <x:v>组件待审核</x:v>
      </x:c>
      <x:c r="M253" s="21" t="n">
        <x:v>33.552215</x:v>
      </x:c>
      <x:c r="N253" s="21" t="n">
        <x:v>130.44301</x:v>
      </x:c>
      <x:c r="O253" s="18" t="str">
        <x:v>009162</x:v>
      </x:c>
      <x:c r="P253" s="18" t="str">
        <x:v>天神大牟田線</x:v>
      </x:c>
      <x:c r="Q253" s="19" t="str">
        <x:v>S12_061_GE_10000</x:v>
      </x:c>
      <x:c r="R253" s="19" t="str">
        <x:v>S12_061 usage threshold</x:v>
      </x:c>
      <x:c r="S253" s="19" t="str">
        <x:v>https://nlftp.mlit.go.jp/ksj/gml/datalist/KsjTmplt-S12-2024.html</x:v>
      </x:c>
      <x:c r="T253" s="19" t="str">
        <x:v>https://nlftp.mlit.go.jp/ksj/gml/datalist/KsjTmplt-S12-2024.html</x:v>
      </x:c>
      <x:c r="U253" s="19" t="str">
        <x:v>station-component|井尻|西日本鉄道|private_rail|33.5522|130.4430|</x:v>
      </x:c>
      <x:c r="V253" s="19" t="str">
        <x:v>009162 / 009162 / 天神大牟田線</x:v>
      </x:c>
      <x:c r="W253" s="18" t="str">
        <x:v>否</x:v>
      </x:c>
      <x:c r="X253" s="18" t="str">
        <x:v>0785e932a32b3ec15e1a1345537ae145eafe1c07bf38d5c16c11ee2b391e7a28</x:v>
      </x:c>
      <x:c r="Y253" s="20" t="n">
        <x:v>1</x:v>
      </x:c>
      <x:c r="Z253" s="20" t="n">
        <x:v>1</x:v>
      </x:c>
      <x:c r="AA253" s="19"/>
      <x:c r="AB253" s="18"/>
      <x:c r="AC253" s="19"/>
    </x:row>
    <x:row r="254" ht="28" customHeight="1">
      <x:c r="A254" s="18" t="str">
        <x:v>井荻</x:v>
      </x:c>
      <x:c r="B254" s="18" t="str">
        <x:v>西武鉄道</x:v>
      </x:c>
      <x:c r="C254" s="18" t="str">
        <x:v>private_rail</x:v>
      </x:c>
      <x:c r="D254" s="19" t="str">
        <x:v>T2</x:v>
      </x:c>
      <x:c r="E254" s="20" t="n">
        <x:v>18679</x:v>
      </x:c>
      <x:c r="F254" s="18" t="str">
        <x:v>persons/day</x:v>
      </x:c>
      <x:c r="G254" s="18" t="str">
        <x:v>FY2024</x:v>
      </x:c>
      <x:c r="H254" s="18" t="str">
        <x:v>否</x:v>
      </x:c>
      <x:c r="I254" s="19" t="str">
        <x:v>DAILY_ENTRIES_EXITS</x:v>
      </x:c>
      <x:c r="J254" s="19" t="str">
        <x:v>新宿線</x:v>
      </x:c>
      <x:c r="K254" s="18" t="str">
        <x:v>transport-node:0ca41da8-475c-51fc-8ee4-3eb2a943277b</x:v>
      </x:c>
      <x:c r="L254" s="19" t="str">
        <x:v>组件待审核</x:v>
      </x:c>
      <x:c r="M254" s="21" t="n">
        <x:v>35.7246633</x:v>
      </x:c>
      <x:c r="N254" s="21" t="n">
        <x:v>139.6155467</x:v>
      </x:c>
      <x:c r="O254" s="18" t="str">
        <x:v>003440</x:v>
      </x:c>
      <x:c r="P254" s="18" t="str">
        <x:v>新宿線</x:v>
      </x:c>
      <x:c r="Q254" s="19" t="str">
        <x:v>S12_061_GE_10000</x:v>
      </x:c>
      <x:c r="R254" s="19" t="str">
        <x:v>S12_061 usage threshold</x:v>
      </x:c>
      <x:c r="S254" s="19" t="str">
        <x:v>https://nlftp.mlit.go.jp/ksj/gml/datalist/KsjTmplt-S12-2024.html</x:v>
      </x:c>
      <x:c r="T254" s="19" t="str">
        <x:v>https://nlftp.mlit.go.jp/ksj/gml/datalist/KsjTmplt-S12-2024.html</x:v>
      </x:c>
      <x:c r="U254" s="19" t="str">
        <x:v>station-component|井荻|西武鉄道|private_rail|35.7247|139.6155|</x:v>
      </x:c>
      <x:c r="V254" s="19" t="str">
        <x:v>003440 / 003440 / 新宿線</x:v>
      </x:c>
      <x:c r="W254" s="18" t="str">
        <x:v>否</x:v>
      </x:c>
      <x:c r="X254" s="18" t="str">
        <x:v>0785e932a32b3ec15e1a1345537ae145eafe1c07bf38d5c16c11ee2b391e7a28</x:v>
      </x:c>
      <x:c r="Y254" s="20" t="n">
        <x:v>1</x:v>
      </x:c>
      <x:c r="Z254" s="20" t="n">
        <x:v>1</x:v>
      </x:c>
      <x:c r="AA254" s="19"/>
      <x:c r="AB254" s="18"/>
      <x:c r="AC254" s="19"/>
    </x:row>
    <x:row r="255" ht="28" customHeight="1">
      <x:c r="A255" s="18" t="str">
        <x:v>京急久里浜</x:v>
      </x:c>
      <x:c r="B255" s="18" t="str">
        <x:v>京浜急行電鉄</x:v>
      </x:c>
      <x:c r="C255" s="18" t="str">
        <x:v>private_rail</x:v>
      </x:c>
      <x:c r="D255" s="19" t="str">
        <x:v>T2</x:v>
      </x:c>
      <x:c r="E255" s="20" t="n">
        <x:v>37990</x:v>
      </x:c>
      <x:c r="F255" s="18" t="str">
        <x:v>persons/day</x:v>
      </x:c>
      <x:c r="G255" s="18" t="str">
        <x:v>FY2024</x:v>
      </x:c>
      <x:c r="H255" s="18" t="str">
        <x:v>否</x:v>
      </x:c>
      <x:c r="I255" s="19" t="str">
        <x:v>DAILY_ENTRIES_EXITS</x:v>
      </x:c>
      <x:c r="J255" s="19" t="str">
        <x:v>久里浜線</x:v>
      </x:c>
      <x:c r="K255" s="18" t="str">
        <x:v>transport-node:93d4e5bc-b202-5c3b-9009-e1434f4af877</x:v>
      </x:c>
      <x:c r="L255" s="19" t="str">
        <x:v>组件待审核</x:v>
      </x:c>
      <x:c r="M255" s="21" t="n">
        <x:v>35.23147</x:v>
      </x:c>
      <x:c r="N255" s="21" t="n">
        <x:v>139.702215</x:v>
      </x:c>
      <x:c r="O255" s="18" t="str">
        <x:v>005277</x:v>
      </x:c>
      <x:c r="P255" s="18" t="str">
        <x:v>久里浜線</x:v>
      </x:c>
      <x:c r="Q255" s="19" t="str">
        <x:v>S12_061_GE_10000</x:v>
      </x:c>
      <x:c r="R255" s="19" t="str">
        <x:v>S12_061 usage threshold</x:v>
      </x:c>
      <x:c r="S255" s="19" t="str">
        <x:v>https://nlftp.mlit.go.jp/ksj/gml/datalist/KsjTmplt-S12-2024.html</x:v>
      </x:c>
      <x:c r="T255" s="19" t="str">
        <x:v>https://nlftp.mlit.go.jp/ksj/gml/datalist/KsjTmplt-S12-2024.html</x:v>
      </x:c>
      <x:c r="U255" s="19" t="str">
        <x:v>station-component|京急久里浜|京浜急行電鉄|private_rail|35.2315|139.7022|</x:v>
      </x:c>
      <x:c r="V255" s="19" t="str">
        <x:v>005277 / 005277 / 久里浜線</x:v>
      </x:c>
      <x:c r="W255" s="18" t="str">
        <x:v>否</x:v>
      </x:c>
      <x:c r="X255" s="18" t="str">
        <x:v>0785e932a32b3ec15e1a1345537ae145eafe1c07bf38d5c16c11ee2b391e7a28</x:v>
      </x:c>
      <x:c r="Y255" s="20" t="n">
        <x:v>1</x:v>
      </x:c>
      <x:c r="Z255" s="20" t="n">
        <x:v>1</x:v>
      </x:c>
      <x:c r="AA255" s="19"/>
      <x:c r="AB255" s="18"/>
      <x:c r="AC255" s="19"/>
    </x:row>
    <x:row r="256" ht="28" customHeight="1">
      <x:c r="A256" s="18" t="str">
        <x:v>京急富岡</x:v>
      </x:c>
      <x:c r="B256" s="18" t="str">
        <x:v>京浜急行電鉄</x:v>
      </x:c>
      <x:c r="C256" s="18" t="str">
        <x:v>private_rail</x:v>
      </x:c>
      <x:c r="D256" s="19" t="str">
        <x:v>T2</x:v>
      </x:c>
      <x:c r="E256" s="20" t="n">
        <x:v>18812</x:v>
      </x:c>
      <x:c r="F256" s="18" t="str">
        <x:v>persons/day</x:v>
      </x:c>
      <x:c r="G256" s="18" t="str">
        <x:v>FY2024</x:v>
      </x:c>
      <x:c r="H256" s="18" t="str">
        <x:v>否</x:v>
      </x:c>
      <x:c r="I256" s="19" t="str">
        <x:v>DAILY_ENTRIES_EXITS</x:v>
      </x:c>
      <x:c r="J256" s="19" t="str">
        <x:v>本線</x:v>
      </x:c>
      <x:c r="K256" s="18" t="str">
        <x:v>transport-node:7ed04eca-9b76-5b58-86da-26d506c82ab3</x:v>
      </x:c>
      <x:c r="L256" s="19" t="str">
        <x:v>组件待审核</x:v>
      </x:c>
      <x:c r="M256" s="21" t="n">
        <x:v>35.36671</x:v>
      </x:c>
      <x:c r="N256" s="21" t="n">
        <x:v>139.62976</x:v>
      </x:c>
      <x:c r="O256" s="18" t="str">
        <x:v>004927</x:v>
      </x:c>
      <x:c r="P256" s="18" t="str">
        <x:v>本線</x:v>
      </x:c>
      <x:c r="Q256" s="19" t="str">
        <x:v>S12_061_GE_10000</x:v>
      </x:c>
      <x:c r="R256" s="19" t="str">
        <x:v>S12_061 usage threshold</x:v>
      </x:c>
      <x:c r="S256" s="19" t="str">
        <x:v>https://nlftp.mlit.go.jp/ksj/gml/datalist/KsjTmplt-S12-2024.html</x:v>
      </x:c>
      <x:c r="T256" s="19" t="str">
        <x:v>https://nlftp.mlit.go.jp/ksj/gml/datalist/KsjTmplt-S12-2024.html</x:v>
      </x:c>
      <x:c r="U256" s="19" t="str">
        <x:v>station-component|京急富岡|京浜急行電鉄|private_rail|35.3667|139.6298|</x:v>
      </x:c>
      <x:c r="V256" s="19" t="str">
        <x:v>004927 / 004927 / 本線</x:v>
      </x:c>
      <x:c r="W256" s="18" t="str">
        <x:v>否</x:v>
      </x:c>
      <x:c r="X256" s="18" t="str">
        <x:v>0785e932a32b3ec15e1a1345537ae145eafe1c07bf38d5c16c11ee2b391e7a28</x:v>
      </x:c>
      <x:c r="Y256" s="20" t="n">
        <x:v>1</x:v>
      </x:c>
      <x:c r="Z256" s="20" t="n">
        <x:v>1</x:v>
      </x:c>
      <x:c r="AA256" s="19"/>
      <x:c r="AB256" s="18"/>
      <x:c r="AC256" s="19"/>
    </x:row>
    <x:row r="257" ht="33" customHeight="1">
      <x:c r="A257" s="18" t="str">
        <x:v>京急川崎</x:v>
      </x:c>
      <x:c r="B257" s="18" t="str">
        <x:v>京浜急行電鉄</x:v>
      </x:c>
      <x:c r="C257" s="18" t="str">
        <x:v>private_rail</x:v>
      </x:c>
      <x:c r="D257" s="19" t="str">
        <x:v>T1</x:v>
      </x:c>
      <x:c r="E257" s="20" t="n">
        <x:v>123389</x:v>
      </x:c>
      <x:c r="F257" s="18" t="str">
        <x:v>persons/day</x:v>
      </x:c>
      <x:c r="G257" s="18" t="str">
        <x:v>FY2024</x:v>
      </x:c>
      <x:c r="H257" s="18" t="str">
        <x:v>否</x:v>
      </x:c>
      <x:c r="I257" s="19" t="str">
        <x:v>DAILY_ENTRIES_EXITS</x:v>
      </x:c>
      <x:c r="J257" s="19" t="str">
        <x:v>大師線
本線</x:v>
      </x:c>
      <x:c r="K257" s="18" t="str">
        <x:v>transport-node:5e32edf2-6382-54b0-8ec8-12ffa8d5641a</x:v>
      </x:c>
      <x:c r="L257" s="19" t="str">
        <x:v>组件待审核</x:v>
      </x:c>
      <x:c r="M257" s="21" t="n">
        <x:v>35.53301</x:v>
      </x:c>
      <x:c r="N257" s="21" t="n">
        <x:v>139.70094</x:v>
      </x:c>
      <x:c r="O257" s="18" t="str">
        <x:v>004425</x:v>
      </x:c>
      <x:c r="P257" s="18" t="str">
        <x:v>本線</x:v>
      </x:c>
      <x:c r="Q257" s="19" t="str">
        <x:v>S12_061_GE_10000</x:v>
      </x:c>
      <x:c r="R257" s="19" t="str">
        <x:v>S12_061 usage threshold</x:v>
      </x:c>
      <x:c r="S257" s="19" t="str">
        <x:v>https://nlftp.mlit.go.jp/ksj/gml/datalist/KsjTmplt-S12-2024.html</x:v>
      </x:c>
      <x:c r="T257" s="19" t="str">
        <x:v>https://nlftp.mlit.go.jp/ksj/gml/datalist/KsjTmplt-S12-2024.html</x:v>
      </x:c>
      <x:c r="U257" s="19" t="str">
        <x:v>station-component|京急川崎|京浜急行電鉄|private_rail|35.5330|139.7009|</x:v>
      </x:c>
      <x:c r="V257" s="19" t="str">
        <x:v>004424 / 004424 / 大師線
004424 / 004425 / 本線</x:v>
      </x:c>
      <x:c r="W257" s="18" t="str">
        <x:v>否</x:v>
      </x:c>
      <x:c r="X257" s="18" t="str">
        <x:v>0785e932a32b3ec15e1a1345537ae145eafe1c07bf38d5c16c11ee2b391e7a28</x:v>
      </x:c>
      <x:c r="Y257" s="20" t="n">
        <x:v>1</x:v>
      </x:c>
      <x:c r="Z257" s="20" t="n">
        <x:v>1</x:v>
      </x:c>
      <x:c r="AA257" s="19"/>
      <x:c r="AB257" s="18"/>
      <x:c r="AC257" s="19"/>
    </x:row>
    <x:row r="258" ht="28" customHeight="1">
      <x:c r="A258" s="18" t="str">
        <x:v>京急東神奈川</x:v>
      </x:c>
      <x:c r="B258" s="18" t="str">
        <x:v>京浜急行電鉄</x:v>
      </x:c>
      <x:c r="C258" s="18" t="str">
        <x:v>private_rail</x:v>
      </x:c>
      <x:c r="D258" s="19" t="str">
        <x:v>T2</x:v>
      </x:c>
      <x:c r="E258" s="20" t="n">
        <x:v>22710</x:v>
      </x:c>
      <x:c r="F258" s="18" t="str">
        <x:v>persons/day</x:v>
      </x:c>
      <x:c r="G258" s="18" t="str">
        <x:v>FY2024</x:v>
      </x:c>
      <x:c r="H258" s="18" t="str">
        <x:v>否</x:v>
      </x:c>
      <x:c r="I258" s="19" t="str">
        <x:v>DAILY_ENTRIES_EXITS</x:v>
      </x:c>
      <x:c r="J258" s="19" t="str">
        <x:v>本線</x:v>
      </x:c>
      <x:c r="K258" s="18" t="str">
        <x:v>transport-node:198151ef-5ec0-52d9-a6da-85fa52ac9814</x:v>
      </x:c>
      <x:c r="L258" s="19" t="str">
        <x:v>组件待审核</x:v>
      </x:c>
      <x:c r="M258" s="21" t="n">
        <x:v>35.477555</x:v>
      </x:c>
      <x:c r="N258" s="21" t="n">
        <x:v>139.634925</x:v>
      </x:c>
      <x:c r="O258" s="18" t="str">
        <x:v>004598</x:v>
      </x:c>
      <x:c r="P258" s="18" t="str">
        <x:v>本線</x:v>
      </x:c>
      <x:c r="Q258" s="19" t="str">
        <x:v>S12_061_GE_10000</x:v>
      </x:c>
      <x:c r="R258" s="19" t="str">
        <x:v>S12_061 usage threshold</x:v>
      </x:c>
      <x:c r="S258" s="19" t="str">
        <x:v>https://nlftp.mlit.go.jp/ksj/gml/datalist/KsjTmplt-S12-2024.html</x:v>
      </x:c>
      <x:c r="T258" s="19" t="str">
        <x:v>https://nlftp.mlit.go.jp/ksj/gml/datalist/KsjTmplt-S12-2024.html</x:v>
      </x:c>
      <x:c r="U258" s="19" t="str">
        <x:v>station-component|京急東神奈川|京浜急行電鉄|private_rail|35.4776|139.6349|</x:v>
      </x:c>
      <x:c r="V258" s="19" t="str">
        <x:v>004598 / 004598 / 本線</x:v>
      </x:c>
      <x:c r="W258" s="18" t="str">
        <x:v>否</x:v>
      </x:c>
      <x:c r="X258" s="18" t="str">
        <x:v>0785e932a32b3ec15e1a1345537ae145eafe1c07bf38d5c16c11ee2b391e7a28</x:v>
      </x:c>
      <x:c r="Y258" s="20" t="n">
        <x:v>1</x:v>
      </x:c>
      <x:c r="Z258" s="20" t="n">
        <x:v>1</x:v>
      </x:c>
      <x:c r="AA258" s="19"/>
      <x:c r="AB258" s="18"/>
      <x:c r="AC258" s="19"/>
    </x:row>
    <x:row r="259" ht="28" customHeight="1">
      <x:c r="A259" s="18" t="str">
        <x:v>京急田浦</x:v>
      </x:c>
      <x:c r="B259" s="18" t="str">
        <x:v>京浜急行電鉄</x:v>
      </x:c>
      <x:c r="C259" s="18" t="str">
        <x:v>private_rail</x:v>
      </x:c>
      <x:c r="D259" s="19" t="str">
        <x:v>T2</x:v>
      </x:c>
      <x:c r="E259" s="20" t="n">
        <x:v>11416</x:v>
      </x:c>
      <x:c r="F259" s="18" t="str">
        <x:v>persons/day</x:v>
      </x:c>
      <x:c r="G259" s="18" t="str">
        <x:v>FY2024</x:v>
      </x:c>
      <x:c r="H259" s="18" t="str">
        <x:v>否</x:v>
      </x:c>
      <x:c r="I259" s="19" t="str">
        <x:v>DAILY_ENTRIES_EXITS</x:v>
      </x:c>
      <x:c r="J259" s="19" t="str">
        <x:v>本線</x:v>
      </x:c>
      <x:c r="K259" s="18" t="str">
        <x:v>transport-node:077a4e61-5e7e-5e08-a04a-3ebfc3418afc</x:v>
      </x:c>
      <x:c r="L259" s="19" t="str">
        <x:v>组件待审核</x:v>
      </x:c>
      <x:c r="M259" s="21" t="n">
        <x:v>35.3009967</x:v>
      </x:c>
      <x:c r="N259" s="21" t="n">
        <x:v>139.6252133</x:v>
      </x:c>
      <x:c r="O259" s="18" t="str">
        <x:v>005113</x:v>
      </x:c>
      <x:c r="P259" s="18" t="str">
        <x:v>本線</x:v>
      </x:c>
      <x:c r="Q259" s="19" t="str">
        <x:v>S12_061_GE_10000</x:v>
      </x:c>
      <x:c r="R259" s="19" t="str">
        <x:v>S12_061 usage threshold</x:v>
      </x:c>
      <x:c r="S259" s="19" t="str">
        <x:v>https://nlftp.mlit.go.jp/ksj/gml/datalist/KsjTmplt-S12-2024.html</x:v>
      </x:c>
      <x:c r="T259" s="19" t="str">
        <x:v>https://nlftp.mlit.go.jp/ksj/gml/datalist/KsjTmplt-S12-2024.html</x:v>
      </x:c>
      <x:c r="U259" s="19" t="str">
        <x:v>station-component|京急田浦|京浜急行電鉄|private_rail|35.3010|139.6252|</x:v>
      </x:c>
      <x:c r="V259" s="19" t="str">
        <x:v>005113 / 005113 / 本線</x:v>
      </x:c>
      <x:c r="W259" s="18" t="str">
        <x:v>否</x:v>
      </x:c>
      <x:c r="X259" s="18" t="str">
        <x:v>0785e932a32b3ec15e1a1345537ae145eafe1c07bf38d5c16c11ee2b391e7a28</x:v>
      </x:c>
      <x:c r="Y259" s="20" t="n">
        <x:v>1</x:v>
      </x:c>
      <x:c r="Z259" s="20" t="n">
        <x:v>1</x:v>
      </x:c>
      <x:c r="AA259" s="19"/>
      <x:c r="AB259" s="18"/>
      <x:c r="AC259" s="19"/>
    </x:row>
    <x:row r="260" ht="33" customHeight="1">
      <x:c r="A260" s="18" t="str">
        <x:v>京急蒲田</x:v>
      </x:c>
      <x:c r="B260" s="18" t="str">
        <x:v>京浜急行電鉄</x:v>
      </x:c>
      <x:c r="C260" s="18" t="str">
        <x:v>private_rail</x:v>
      </x:c>
      <x:c r="D260" s="19" t="str">
        <x:v>T1</x:v>
      </x:c>
      <x:c r="E260" s="20" t="n">
        <x:v>61303</x:v>
      </x:c>
      <x:c r="F260" s="18" t="str">
        <x:v>persons/day</x:v>
      </x:c>
      <x:c r="G260" s="18" t="str">
        <x:v>FY2024</x:v>
      </x:c>
      <x:c r="H260" s="18" t="str">
        <x:v>否</x:v>
      </x:c>
      <x:c r="I260" s="19" t="str">
        <x:v>DAILY_ENTRIES_EXITS</x:v>
      </x:c>
      <x:c r="J260" s="19" t="str">
        <x:v>本線
空港線</x:v>
      </x:c>
      <x:c r="K260" s="18" t="str">
        <x:v>transport-node:b6e7c07f-e16a-5f65-81f5-6dd62f851780</x:v>
      </x:c>
      <x:c r="L260" s="19" t="str">
        <x:v>组件待审核</x:v>
      </x:c>
      <x:c r="M260" s="21" t="n">
        <x:v>35.5616995</x:v>
      </x:c>
      <x:c r="N260" s="21" t="n">
        <x:v>139.7243293</x:v>
      </x:c>
      <x:c r="O260" s="18" t="str">
        <x:v>004332</x:v>
      </x:c>
      <x:c r="P260" s="18" t="str">
        <x:v>本線</x:v>
      </x:c>
      <x:c r="Q260" s="19" t="str">
        <x:v>S12_061_GE_10000
OFFICIAL_HUB_COMPONENT_REVIEW</x:v>
      </x:c>
      <x:c r="R260" s="19" t="str">
        <x:v>S12_061 usage threshold</x:v>
      </x:c>
      <x:c r="S260" s="19" t="str">
        <x:v>https://nlftp.mlit.go.jp/ksj/gml/datalist/KsjTmplt-S12-2024.html</x:v>
      </x:c>
      <x:c r="T260" s="19" t="str">
        <x:v>https://nlftp.mlit.go.jp/ksj/gml/datalist/KsjTmplt-S12-2024.html
https://www.keikyu.co.jp/ride/kakueki/KK11.html</x:v>
      </x:c>
      <x:c r="U260" s="19" t="str">
        <x:v>station-component|京急蒲田|京浜急行電鉄|private_rail|35.5617|139.7243|</x:v>
      </x:c>
      <x:c r="V260" s="19" t="str">
        <x:v>004331 / 004331 / 空港線
004331 / 004332 / 本線</x:v>
      </x:c>
      <x:c r="W260" s="18" t="str">
        <x:v>否</x:v>
      </x:c>
      <x:c r="X260" s="18" t="str">
        <x:v>0785e932a32b3ec15e1a1345537ae145eafe1c07bf38d5c16c11ee2b391e7a28</x:v>
      </x:c>
      <x:c r="Y260" s="20" t="n">
        <x:v>1</x:v>
      </x:c>
      <x:c r="Z260" s="20" t="n">
        <x:v>1</x:v>
      </x:c>
      <x:c r="AA260" s="19" t="str">
        <x:v>京急蒲田</x:v>
      </x:c>
      <x:c r="AB260" s="18" t="str">
        <x:v>transport-hub-review:c1ad52f9-1d27-5f86-8434-0be9d12fffda</x:v>
      </x:c>
      <x:c r="AC260" s="19"/>
    </x:row>
    <x:row r="261" ht="28" customHeight="1">
      <x:c r="A261" s="18" t="str">
        <x:v>京急鶴見</x:v>
      </x:c>
      <x:c r="B261" s="18" t="str">
        <x:v>京浜急行電鉄</x:v>
      </x:c>
      <x:c r="C261" s="18" t="str">
        <x:v>private_rail</x:v>
      </x:c>
      <x:c r="D261" s="19" t="str">
        <x:v>T2</x:v>
      </x:c>
      <x:c r="E261" s="20" t="n">
        <x:v>30086</x:v>
      </x:c>
      <x:c r="F261" s="18" t="str">
        <x:v>persons/day</x:v>
      </x:c>
      <x:c r="G261" s="18" t="str">
        <x:v>FY2024</x:v>
      </x:c>
      <x:c r="H261" s="18" t="str">
        <x:v>否</x:v>
      </x:c>
      <x:c r="I261" s="19" t="str">
        <x:v>DAILY_ENTRIES_EXITS</x:v>
      </x:c>
      <x:c r="J261" s="19" t="str">
        <x:v>本線</x:v>
      </x:c>
      <x:c r="K261" s="18" t="str">
        <x:v>transport-node:8bc15ef0-c479-57da-b50e-348e35aafd69</x:v>
      </x:c>
      <x:c r="L261" s="19" t="str">
        <x:v>组件待审核</x:v>
      </x:c>
      <x:c r="M261" s="21" t="n">
        <x:v>35.506665</x:v>
      </x:c>
      <x:c r="N261" s="21" t="n">
        <x:v>139.6775875</x:v>
      </x:c>
      <x:c r="O261" s="18" t="str">
        <x:v>004506</x:v>
      </x:c>
      <x:c r="P261" s="18" t="str">
        <x:v>本線</x:v>
      </x:c>
      <x:c r="Q261" s="19" t="str">
        <x:v>S12_061_GE_10000</x:v>
      </x:c>
      <x:c r="R261" s="19" t="str">
        <x:v>S12_061 usage threshold</x:v>
      </x:c>
      <x:c r="S261" s="19" t="str">
        <x:v>https://nlftp.mlit.go.jp/ksj/gml/datalist/KsjTmplt-S12-2024.html</x:v>
      </x:c>
      <x:c r="T261" s="19" t="str">
        <x:v>https://nlftp.mlit.go.jp/ksj/gml/datalist/KsjTmplt-S12-2024.html</x:v>
      </x:c>
      <x:c r="U261" s="19" t="str">
        <x:v>station-component|京急鶴見|京浜急行電鉄|private_rail|35.5067|139.6776|</x:v>
      </x:c>
      <x:c r="V261" s="19" t="str">
        <x:v>004506 / 004506 / 本線</x:v>
      </x:c>
      <x:c r="W261" s="18" t="str">
        <x:v>否</x:v>
      </x:c>
      <x:c r="X261" s="18" t="str">
        <x:v>0785e932a32b3ec15e1a1345537ae145eafe1c07bf38d5c16c11ee2b391e7a28</x:v>
      </x:c>
      <x:c r="Y261" s="20" t="n">
        <x:v>1</x:v>
      </x:c>
      <x:c r="Z261" s="20" t="n">
        <x:v>1</x:v>
      </x:c>
      <x:c r="AA261" s="19"/>
      <x:c r="AB261" s="18"/>
      <x:c r="AC261" s="19"/>
    </x:row>
    <x:row r="262" ht="33" customHeight="1">
      <x:c r="A262" s="18" t="str">
        <x:v>京成上野</x:v>
      </x:c>
      <x:c r="B262" s="18" t="str">
        <x:v>京成電鉄</x:v>
      </x:c>
      <x:c r="C262" s="18" t="str">
        <x:v>private_rail</x:v>
      </x:c>
      <x:c r="D262" s="19" t="str">
        <x:v>T2</x:v>
      </x:c>
      <x:c r="E262" s="20" t="n">
        <x:v>48475</x:v>
      </x:c>
      <x:c r="F262" s="18" t="str">
        <x:v>persons/day</x:v>
      </x:c>
      <x:c r="G262" s="18" t="str">
        <x:v>FY2024</x:v>
      </x:c>
      <x:c r="H262" s="18" t="str">
        <x:v>否</x:v>
      </x:c>
      <x:c r="I262" s="19" t="str">
        <x:v>DAILY_ENTRIES_EXITS</x:v>
      </x:c>
      <x:c r="J262" s="19" t="str">
        <x:v>本線</x:v>
      </x:c>
      <x:c r="K262" s="18" t="str">
        <x:v>transport-node:807fa8e4-1767-515d-8248-86f33bad0f2b</x:v>
      </x:c>
      <x:c r="L262" s="19" t="str">
        <x:v>组件待审核</x:v>
      </x:c>
      <x:c r="M262" s="21" t="n">
        <x:v>35.71131</x:v>
      </x:c>
      <x:c r="N262" s="21" t="n">
        <x:v>139.77351</x:v>
      </x:c>
      <x:c r="O262" s="18" t="str">
        <x:v>003521</x:v>
      </x:c>
      <x:c r="P262" s="18" t="str">
        <x:v>本線</x:v>
      </x:c>
      <x:c r="Q262" s="19" t="str">
        <x:v>S12_061_GE_10000
OFFICIAL_HUB_COMPONENT_REVIEW</x:v>
      </x:c>
      <x:c r="R262" s="19" t="str">
        <x:v>S12_061 usage threshold</x:v>
      </x:c>
      <x:c r="S262" s="19" t="str">
        <x:v>https://nlftp.mlit.go.jp/ksj/gml/datalist/KsjTmplt-S12-2024.html</x:v>
      </x:c>
      <x:c r="T262" s="19" t="str">
        <x:v>https://nlftp.mlit.go.jp/ksj/gml/datalist/KsjTmplt-S12-2024.html
https://www.tokyometro.jp/station/ueno/index.html</x:v>
      </x:c>
      <x:c r="U262" s="19" t="str">
        <x:v>station-component|京成上野|京成電鉄|private_rail|35.7113|139.7735|</x:v>
      </x:c>
      <x:c r="V262" s="19" t="str">
        <x:v>003521 / 003521 / 本線</x:v>
      </x:c>
      <x:c r="W262" s="18" t="str">
        <x:v>否</x:v>
      </x:c>
      <x:c r="X262" s="18" t="str">
        <x:v>0785e932a32b3ec15e1a1345537ae145eafe1c07bf38d5c16c11ee2b391e7a28</x:v>
      </x:c>
      <x:c r="Y262" s="20" t="n">
        <x:v>1</x:v>
      </x:c>
      <x:c r="Z262" s="20" t="n">
        <x:v>1</x:v>
      </x:c>
      <x:c r="AA262" s="19" t="str">
        <x:v>上野</x:v>
      </x:c>
      <x:c r="AB262" s="18" t="str">
        <x:v>transport-hub-review:f32052ff-b00a-5a75-8c54-b702651b3f28</x:v>
      </x:c>
      <x:c r="AC262" s="19"/>
    </x:row>
    <x:row r="263" ht="28" customHeight="1">
      <x:c r="A263" s="18" t="str">
        <x:v>京成佐倉</x:v>
      </x:c>
      <x:c r="B263" s="18" t="str">
        <x:v>京成電鉄</x:v>
      </x:c>
      <x:c r="C263" s="18" t="str">
        <x:v>private_rail</x:v>
      </x:c>
      <x:c r="D263" s="19" t="str">
        <x:v>T2</x:v>
      </x:c>
      <x:c r="E263" s="20" t="n">
        <x:v>16492</x:v>
      </x:c>
      <x:c r="F263" s="18" t="str">
        <x:v>persons/day</x:v>
      </x:c>
      <x:c r="G263" s="18" t="str">
        <x:v>FY2024</x:v>
      </x:c>
      <x:c r="H263" s="18" t="str">
        <x:v>否</x:v>
      </x:c>
      <x:c r="I263" s="19" t="str">
        <x:v>DAILY_ENTRIES_EXITS</x:v>
      </x:c>
      <x:c r="J263" s="19" t="str">
        <x:v>本線</x:v>
      </x:c>
      <x:c r="K263" s="18" t="str">
        <x:v>transport-node:f22b989c-0a18-5cb3-a664-83328b582883</x:v>
      </x:c>
      <x:c r="L263" s="19" t="str">
        <x:v>组件待审核</x:v>
      </x:c>
      <x:c r="M263" s="21" t="n">
        <x:v>35.725205</x:v>
      </x:c>
      <x:c r="N263" s="21" t="n">
        <x:v>140.229865</x:v>
      </x:c>
      <x:c r="O263" s="18" t="str">
        <x:v>003438</x:v>
      </x:c>
      <x:c r="P263" s="18" t="str">
        <x:v>本線</x:v>
      </x:c>
      <x:c r="Q263" s="19" t="str">
        <x:v>S12_061_GE_10000</x:v>
      </x:c>
      <x:c r="R263" s="19" t="str">
        <x:v>S12_061 usage threshold</x:v>
      </x:c>
      <x:c r="S263" s="19" t="str">
        <x:v>https://nlftp.mlit.go.jp/ksj/gml/datalist/KsjTmplt-S12-2024.html</x:v>
      </x:c>
      <x:c r="T263" s="19" t="str">
        <x:v>https://nlftp.mlit.go.jp/ksj/gml/datalist/KsjTmplt-S12-2024.html</x:v>
      </x:c>
      <x:c r="U263" s="19" t="str">
        <x:v>station-component|京成佐倉|京成電鉄|private_rail|35.7252|140.2299|</x:v>
      </x:c>
      <x:c r="V263" s="19" t="str">
        <x:v>003438 / 003438 / 本線</x:v>
      </x:c>
      <x:c r="W263" s="18" t="str">
        <x:v>否</x:v>
      </x:c>
      <x:c r="X263" s="18" t="str">
        <x:v>0785e932a32b3ec15e1a1345537ae145eafe1c07bf38d5c16c11ee2b391e7a28</x:v>
      </x:c>
      <x:c r="Y263" s="20" t="n">
        <x:v>1</x:v>
      </x:c>
      <x:c r="Z263" s="20" t="n">
        <x:v>1</x:v>
      </x:c>
      <x:c r="AA263" s="19"/>
      <x:c r="AB263" s="18"/>
      <x:c r="AC263" s="19"/>
    </x:row>
    <x:row r="264" ht="33" customHeight="1">
      <x:c r="A264" s="18" t="str">
        <x:v>京成八幡</x:v>
      </x:c>
      <x:c r="B264" s="18" t="str">
        <x:v>京成電鉄</x:v>
      </x:c>
      <x:c r="C264" s="18" t="str">
        <x:v>private_rail</x:v>
      </x:c>
      <x:c r="D264" s="19" t="str">
        <x:v>T2</x:v>
      </x:c>
      <x:c r="E264" s="20" t="n">
        <x:v>35135</x:v>
      </x:c>
      <x:c r="F264" s="18" t="str">
        <x:v>persons/day</x:v>
      </x:c>
      <x:c r="G264" s="18" t="str">
        <x:v>FY2024</x:v>
      </x:c>
      <x:c r="H264" s="18" t="str">
        <x:v>否</x:v>
      </x:c>
      <x:c r="I264" s="19" t="str">
        <x:v>DAILY_ENTRIES_EXITS</x:v>
      </x:c>
      <x:c r="J264" s="19" t="str">
        <x:v>本線</x:v>
      </x:c>
      <x:c r="K264" s="18" t="str">
        <x:v>transport-node:29f2d192-18c8-52c6-ba51-897701e3bad9</x:v>
      </x:c>
      <x:c r="L264" s="19" t="str">
        <x:v>组件待审核</x:v>
      </x:c>
      <x:c r="M264" s="21" t="n">
        <x:v>35.72386</x:v>
      </x:c>
      <x:c r="N264" s="21" t="n">
        <x:v>139.92817</x:v>
      </x:c>
      <x:c r="O264" s="18" t="str">
        <x:v>003445</x:v>
      </x:c>
      <x:c r="P264" s="18" t="str">
        <x:v>本線</x:v>
      </x:c>
      <x:c r="Q264" s="19" t="str">
        <x:v>S12_061_GE_10000
OFFICIAL_HUB_COMPONENT_REVIEW</x:v>
      </x:c>
      <x:c r="R264" s="19" t="str">
        <x:v>S12_061 usage threshold</x:v>
      </x:c>
      <x:c r="S264" s="19" t="str">
        <x:v>https://nlftp.mlit.go.jp/ksj/gml/datalist/KsjTmplt-S12-2024.html</x:v>
      </x:c>
      <x:c r="T264" s="19" t="str">
        <x:v>https://nlftp.mlit.go.jp/ksj/gml/datalist/KsjTmplt-S12-2024.html
https://www.kotsu.metro.tokyo.jp/subway/stations/motoyawata.html</x:v>
      </x:c>
      <x:c r="U264" s="19" t="str">
        <x:v>station-component|京成八幡|京成電鉄|private_rail|35.7239|139.9282|</x:v>
      </x:c>
      <x:c r="V264" s="19" t="str">
        <x:v>003445 / 003445 / 本線</x:v>
      </x:c>
      <x:c r="W264" s="18" t="str">
        <x:v>否</x:v>
      </x:c>
      <x:c r="X264" s="18" t="str">
        <x:v>0785e932a32b3ec15e1a1345537ae145eafe1c07bf38d5c16c11ee2b391e7a28</x:v>
      </x:c>
      <x:c r="Y264" s="20" t="n">
        <x:v>1</x:v>
      </x:c>
      <x:c r="Z264" s="20" t="n">
        <x:v>1</x:v>
      </x:c>
      <x:c r="AA264" s="19" t="str">
        <x:v>本八幡・京成八幡</x:v>
      </x:c>
      <x:c r="AB264" s="18" t="str">
        <x:v>transport-hub-review:87ae561e-eb2c-51b3-9089-0b7e4e77eec1</x:v>
      </x:c>
      <x:c r="AC264" s="19"/>
    </x:row>
    <x:row r="265" ht="33" customHeight="1">
      <x:c r="A265" s="18" t="str">
        <x:v>京成千葉</x:v>
      </x:c>
      <x:c r="B265" s="18" t="str">
        <x:v>京成電鉄</x:v>
      </x:c>
      <x:c r="C265" s="18" t="str">
        <x:v>private_rail</x:v>
      </x:c>
      <x:c r="D265" s="19" t="str">
        <x:v>T2</x:v>
      </x:c>
      <x:c r="E265" s="20" t="n">
        <x:v>31702</x:v>
      </x:c>
      <x:c r="F265" s="18" t="str">
        <x:v>persons/day</x:v>
      </x:c>
      <x:c r="G265" s="18" t="str">
        <x:v>FY2024</x:v>
      </x:c>
      <x:c r="H265" s="18" t="str">
        <x:v>否</x:v>
      </x:c>
      <x:c r="I265" s="19" t="str">
        <x:v>DAILY_ENTRIES_EXITS</x:v>
      </x:c>
      <x:c r="J265" s="19" t="str">
        <x:v>千葉線</x:v>
      </x:c>
      <x:c r="K265" s="18" t="str">
        <x:v>transport-node:eb2178cb-dbc6-53ef-ae45-e1f7b38d60ff</x:v>
      </x:c>
      <x:c r="L265" s="19" t="str">
        <x:v>组件待审核</x:v>
      </x:c>
      <x:c r="M265" s="21" t="n">
        <x:v>35.61162</x:v>
      </x:c>
      <x:c r="N265" s="21" t="n">
        <x:v>140.114355</x:v>
      </x:c>
      <x:c r="O265" s="18" t="str">
        <x:v>004176</x:v>
      </x:c>
      <x:c r="P265" s="18" t="str">
        <x:v>千葉線</x:v>
      </x:c>
      <x:c r="Q265" s="19" t="str">
        <x:v>S12_061_GE_10000
OFFICIAL_HUB_COMPONENT_REVIEW</x:v>
      </x:c>
      <x:c r="R265" s="19" t="str">
        <x:v>S12_061 usage threshold</x:v>
      </x:c>
      <x:c r="S265" s="19" t="str">
        <x:v>https://nlftp.mlit.go.jp/ksj/gml/datalist/KsjTmplt-S12-2024.html</x:v>
      </x:c>
      <x:c r="T265" s="19" t="str">
        <x:v>https://chiba-monorail.co.jp/index.php/info-timetable/station-info/chiba-station/
https://nlftp.mlit.go.jp/ksj/gml/datalist/KsjTmplt-S12-2024.html</x:v>
      </x:c>
      <x:c r="U265" s="19" t="str">
        <x:v>station-component|京成千葉|京成電鉄|private_rail|35.6116|140.1144|</x:v>
      </x:c>
      <x:c r="V265" s="19" t="str">
        <x:v>004176 / 004176 / 千葉線</x:v>
      </x:c>
      <x:c r="W265" s="18" t="str">
        <x:v>否</x:v>
      </x:c>
      <x:c r="X265" s="18" t="str">
        <x:v>0785e932a32b3ec15e1a1345537ae145eafe1c07bf38d5c16c11ee2b391e7a28</x:v>
      </x:c>
      <x:c r="Y265" s="20" t="n">
        <x:v>1</x:v>
      </x:c>
      <x:c r="Z265" s="20" t="n">
        <x:v>1</x:v>
      </x:c>
      <x:c r="AA265" s="19" t="str">
        <x:v>千葉</x:v>
      </x:c>
      <x:c r="AB265" s="18" t="str">
        <x:v>transport-hub-review:4105f488-e0b4-57cd-9345-125f75ad3ddb</x:v>
      </x:c>
      <x:c r="AC265" s="19"/>
    </x:row>
    <x:row r="266" ht="28" customHeight="1">
      <x:c r="A266" s="18" t="str">
        <x:v>京成大久保</x:v>
      </x:c>
      <x:c r="B266" s="18" t="str">
        <x:v>京成電鉄</x:v>
      </x:c>
      <x:c r="C266" s="18" t="str">
        <x:v>private_rail</x:v>
      </x:c>
      <x:c r="D266" s="19" t="str">
        <x:v>T2</x:v>
      </x:c>
      <x:c r="E266" s="20" t="n">
        <x:v>34928</x:v>
      </x:c>
      <x:c r="F266" s="18" t="str">
        <x:v>persons/day</x:v>
      </x:c>
      <x:c r="G266" s="18" t="str">
        <x:v>FY2024</x:v>
      </x:c>
      <x:c r="H266" s="18" t="str">
        <x:v>否</x:v>
      </x:c>
      <x:c r="I266" s="19" t="str">
        <x:v>DAILY_ENTRIES_EXITS</x:v>
      </x:c>
      <x:c r="J266" s="19" t="str">
        <x:v>本線</x:v>
      </x:c>
      <x:c r="K266" s="18" t="str">
        <x:v>transport-node:e919bf76-a838-58a4-a8da-2832df58493b</x:v>
      </x:c>
      <x:c r="L266" s="19" t="str">
        <x:v>组件待审核</x:v>
      </x:c>
      <x:c r="M266" s="21" t="n">
        <x:v>35.685925</x:v>
      </x:c>
      <x:c r="N266" s="21" t="n">
        <x:v>140.048605</x:v>
      </x:c>
      <x:c r="O266" s="18" t="str">
        <x:v>003725</x:v>
      </x:c>
      <x:c r="P266" s="18" t="str">
        <x:v>本線</x:v>
      </x:c>
      <x:c r="Q266" s="19" t="str">
        <x:v>S12_061_GE_10000</x:v>
      </x:c>
      <x:c r="R266" s="19" t="str">
        <x:v>S12_061 usage threshold</x:v>
      </x:c>
      <x:c r="S266" s="19" t="str">
        <x:v>https://nlftp.mlit.go.jp/ksj/gml/datalist/KsjTmplt-S12-2024.html</x:v>
      </x:c>
      <x:c r="T266" s="19" t="str">
        <x:v>https://nlftp.mlit.go.jp/ksj/gml/datalist/KsjTmplt-S12-2024.html</x:v>
      </x:c>
      <x:c r="U266" s="19" t="str">
        <x:v>station-component|京成大久保|京成電鉄|private_rail|35.6859|140.0486|</x:v>
      </x:c>
      <x:c r="V266" s="19" t="str">
        <x:v>003725 / 003725 / 本線</x:v>
      </x:c>
      <x:c r="W266" s="18" t="str">
        <x:v>否</x:v>
      </x:c>
      <x:c r="X266" s="18" t="str">
        <x:v>0785e932a32b3ec15e1a1345537ae145eafe1c07bf38d5c16c11ee2b391e7a28</x:v>
      </x:c>
      <x:c r="Y266" s="20" t="n">
        <x:v>1</x:v>
      </x:c>
      <x:c r="Z266" s="20" t="n">
        <x:v>1</x:v>
      </x:c>
      <x:c r="AA266" s="19"/>
      <x:c r="AB266" s="18"/>
      <x:c r="AC266" s="19"/>
    </x:row>
    <x:row r="267" ht="28" customHeight="1">
      <x:c r="A267" s="18" t="str">
        <x:v>京成大和田</x:v>
      </x:c>
      <x:c r="B267" s="18" t="str">
        <x:v>京成電鉄</x:v>
      </x:c>
      <x:c r="C267" s="18" t="str">
        <x:v>private_rail</x:v>
      </x:c>
      <x:c r="D267" s="19" t="str">
        <x:v>T2</x:v>
      </x:c>
      <x:c r="E267" s="20" t="n">
        <x:v>12139</x:v>
      </x:c>
      <x:c r="F267" s="18" t="str">
        <x:v>persons/day</x:v>
      </x:c>
      <x:c r="G267" s="18" t="str">
        <x:v>FY2024</x:v>
      </x:c>
      <x:c r="H267" s="18" t="str">
        <x:v>否</x:v>
      </x:c>
      <x:c r="I267" s="19" t="str">
        <x:v>DAILY_ENTRIES_EXITS</x:v>
      </x:c>
      <x:c r="J267" s="19" t="str">
        <x:v>本線</x:v>
      </x:c>
      <x:c r="K267" s="18" t="str">
        <x:v>transport-node:fc79a1f4-2294-5aaf-a4db-5697dc3eb1d8</x:v>
      </x:c>
      <x:c r="L267" s="19" t="str">
        <x:v>组件待审核</x:v>
      </x:c>
      <x:c r="M267" s="21" t="n">
        <x:v>35.71236</x:v>
      </x:c>
      <x:c r="N267" s="21" t="n">
        <x:v>140.10863</x:v>
      </x:c>
      <x:c r="O267" s="18" t="str">
        <x:v>003511</x:v>
      </x:c>
      <x:c r="P267" s="18" t="str">
        <x:v>本線</x:v>
      </x:c>
      <x:c r="Q267" s="19" t="str">
        <x:v>S12_061_GE_10000</x:v>
      </x:c>
      <x:c r="R267" s="19" t="str">
        <x:v>S12_061 usage threshold</x:v>
      </x:c>
      <x:c r="S267" s="19" t="str">
        <x:v>https://nlftp.mlit.go.jp/ksj/gml/datalist/KsjTmplt-S12-2024.html</x:v>
      </x:c>
      <x:c r="T267" s="19" t="str">
        <x:v>https://nlftp.mlit.go.jp/ksj/gml/datalist/KsjTmplt-S12-2024.html</x:v>
      </x:c>
      <x:c r="U267" s="19" t="str">
        <x:v>station-component|京成大和田|京成電鉄|private_rail|35.7124|140.1086|</x:v>
      </x:c>
      <x:c r="V267" s="19" t="str">
        <x:v>003511 / 003511 / 本線</x:v>
      </x:c>
      <x:c r="W267" s="18" t="str">
        <x:v>否</x:v>
      </x:c>
      <x:c r="X267" s="18" t="str">
        <x:v>0785e932a32b3ec15e1a1345537ae145eafe1c07bf38d5c16c11ee2b391e7a28</x:v>
      </x:c>
      <x:c r="Y267" s="20" t="n">
        <x:v>1</x:v>
      </x:c>
      <x:c r="Z267" s="20" t="n">
        <x:v>1</x:v>
      </x:c>
      <x:c r="AA267" s="19"/>
      <x:c r="AB267" s="18"/>
      <x:c r="AC267" s="19"/>
    </x:row>
    <x:row r="268" ht="28" customHeight="1">
      <x:c r="A268" s="18" t="str">
        <x:v>京成小岩</x:v>
      </x:c>
      <x:c r="B268" s="18" t="str">
        <x:v>京成電鉄</x:v>
      </x:c>
      <x:c r="C268" s="18" t="str">
        <x:v>private_rail</x:v>
      </x:c>
      <x:c r="D268" s="19" t="str">
        <x:v>T2</x:v>
      </x:c>
      <x:c r="E268" s="20" t="n">
        <x:v>18036</x:v>
      </x:c>
      <x:c r="F268" s="18" t="str">
        <x:v>persons/day</x:v>
      </x:c>
      <x:c r="G268" s="18" t="str">
        <x:v>FY2024</x:v>
      </x:c>
      <x:c r="H268" s="18" t="str">
        <x:v>否</x:v>
      </x:c>
      <x:c r="I268" s="19" t="str">
        <x:v>DAILY_ENTRIES_EXITS</x:v>
      </x:c>
      <x:c r="J268" s="19" t="str">
        <x:v>本線</x:v>
      </x:c>
      <x:c r="K268" s="18" t="str">
        <x:v>transport-node:ab7cf0fa-f4a7-57fc-bc39-797f09593a6a</x:v>
      </x:c>
      <x:c r="L268" s="19" t="str">
        <x:v>组件待审核</x:v>
      </x:c>
      <x:c r="M268" s="21" t="n">
        <x:v>35.742215</x:v>
      </x:c>
      <x:c r="N268" s="21" t="n">
        <x:v>139.883615</x:v>
      </x:c>
      <x:c r="O268" s="18" t="str">
        <x:v>003303</x:v>
      </x:c>
      <x:c r="P268" s="18" t="str">
        <x:v>本線</x:v>
      </x:c>
      <x:c r="Q268" s="19" t="str">
        <x:v>S12_061_GE_10000</x:v>
      </x:c>
      <x:c r="R268" s="19" t="str">
        <x:v>S12_061 usage threshold</x:v>
      </x:c>
      <x:c r="S268" s="19" t="str">
        <x:v>https://nlftp.mlit.go.jp/ksj/gml/datalist/KsjTmplt-S12-2024.html</x:v>
      </x:c>
      <x:c r="T268" s="19" t="str">
        <x:v>https://nlftp.mlit.go.jp/ksj/gml/datalist/KsjTmplt-S12-2024.html</x:v>
      </x:c>
      <x:c r="U268" s="19" t="str">
        <x:v>station-component|京成小岩|京成電鉄|private_rail|35.7422|139.8836|</x:v>
      </x:c>
      <x:c r="V268" s="19" t="str">
        <x:v>003303 / 003303 / 本線</x:v>
      </x:c>
      <x:c r="W268" s="18" t="str">
        <x:v>否</x:v>
      </x:c>
      <x:c r="X268" s="18" t="str">
        <x:v>0785e932a32b3ec15e1a1345537ae145eafe1c07bf38d5c16c11ee2b391e7a28</x:v>
      </x:c>
      <x:c r="Y268" s="20" t="n">
        <x:v>1</x:v>
      </x:c>
      <x:c r="Z268" s="20" t="n">
        <x:v>1</x:v>
      </x:c>
      <x:c r="AA268" s="19"/>
      <x:c r="AB268" s="18"/>
      <x:c r="AC268" s="19"/>
    </x:row>
    <x:row r="269" ht="28" customHeight="1">
      <x:c r="A269" s="18" t="str">
        <x:v>京成幕張本郷</x:v>
      </x:c>
      <x:c r="B269" s="18" t="str">
        <x:v>京成電鉄</x:v>
      </x:c>
      <x:c r="C269" s="18" t="str">
        <x:v>private_rail</x:v>
      </x:c>
      <x:c r="D269" s="19" t="str">
        <x:v>T2</x:v>
      </x:c>
      <x:c r="E269" s="20" t="n">
        <x:v>15951</x:v>
      </x:c>
      <x:c r="F269" s="18" t="str">
        <x:v>persons/day</x:v>
      </x:c>
      <x:c r="G269" s="18" t="str">
        <x:v>FY2024</x:v>
      </x:c>
      <x:c r="H269" s="18" t="str">
        <x:v>否</x:v>
      </x:c>
      <x:c r="I269" s="19" t="str">
        <x:v>DAILY_ENTRIES_EXITS</x:v>
      </x:c>
      <x:c r="J269" s="19" t="str">
        <x:v>千葉線</x:v>
      </x:c>
      <x:c r="K269" s="18" t="str">
        <x:v>transport-node:9ae91932-441d-52f6-81d0-54a5d8aea08d</x:v>
      </x:c>
      <x:c r="L269" s="19" t="str">
        <x:v>组件待审核</x:v>
      </x:c>
      <x:c r="M269" s="21" t="n">
        <x:v>35.67292</x:v>
      </x:c>
      <x:c r="N269" s="21" t="n">
        <x:v>140.041675</x:v>
      </x:c>
      <x:c r="O269" s="18" t="str">
        <x:v>003814</x:v>
      </x:c>
      <x:c r="P269" s="18" t="str">
        <x:v>千葉線</x:v>
      </x:c>
      <x:c r="Q269" s="19" t="str">
        <x:v>S12_061_GE_10000</x:v>
      </x:c>
      <x:c r="R269" s="19" t="str">
        <x:v>S12_061 usage threshold</x:v>
      </x:c>
      <x:c r="S269" s="19" t="str">
        <x:v>https://nlftp.mlit.go.jp/ksj/gml/datalist/KsjTmplt-S12-2024.html</x:v>
      </x:c>
      <x:c r="T269" s="19" t="str">
        <x:v>https://nlftp.mlit.go.jp/ksj/gml/datalist/KsjTmplt-S12-2024.html</x:v>
      </x:c>
      <x:c r="U269" s="19" t="str">
        <x:v>station-component|京成幕張本郷|京成電鉄|private_rail|35.6729|140.0417|</x:v>
      </x:c>
      <x:c r="V269" s="19" t="str">
        <x:v>003814 / 003814 / 千葉線</x:v>
      </x:c>
      <x:c r="W269" s="18" t="str">
        <x:v>否</x:v>
      </x:c>
      <x:c r="X269" s="18" t="str">
        <x:v>0785e932a32b3ec15e1a1345537ae145eafe1c07bf38d5c16c11ee2b391e7a28</x:v>
      </x:c>
      <x:c r="Y269" s="20" t="n">
        <x:v>1</x:v>
      </x:c>
      <x:c r="Z269" s="20" t="n">
        <x:v>1</x:v>
      </x:c>
      <x:c r="AA269" s="19"/>
      <x:c r="AB269" s="18"/>
      <x:c r="AC269" s="19"/>
    </x:row>
    <x:row r="270" ht="33" customHeight="1">
      <x:c r="A270" s="18" t="str">
        <x:v>京成成田</x:v>
      </x:c>
      <x:c r="B270" s="18" t="str">
        <x:v>京成電鉄</x:v>
      </x:c>
      <x:c r="C270" s="18" t="str">
        <x:v>private_rail</x:v>
      </x:c>
      <x:c r="D270" s="19" t="str">
        <x:v>T2</x:v>
      </x:c>
      <x:c r="E270" s="20" t="n">
        <x:v>36328</x:v>
      </x:c>
      <x:c r="F270" s="18" t="str">
        <x:v>persons/day</x:v>
      </x:c>
      <x:c r="G270" s="18" t="str">
        <x:v>FY2024</x:v>
      </x:c>
      <x:c r="H270" s="18" t="str">
        <x:v>否</x:v>
      </x:c>
      <x:c r="I270" s="19" t="str">
        <x:v>DAILY_ENTRIES_EXITS</x:v>
      </x:c>
      <x:c r="J270" s="19" t="str">
        <x:v>本線
東成田線</x:v>
      </x:c>
      <x:c r="K270" s="18" t="str">
        <x:v>transport-node:822e5b8b-7c37-55c6-9303-7c84b72fc063</x:v>
      </x:c>
      <x:c r="L270" s="19" t="str">
        <x:v>组件待审核</x:v>
      </x:c>
      <x:c r="M270" s="21" t="n">
        <x:v>35.77627</x:v>
      </x:c>
      <x:c r="N270" s="21" t="n">
        <x:v>140.315465</x:v>
      </x:c>
      <x:c r="O270" s="18" t="str">
        <x:v>003167</x:v>
      </x:c>
      <x:c r="P270" s="18" t="str">
        <x:v>本線</x:v>
      </x:c>
      <x:c r="Q270" s="19" t="str">
        <x:v>S12_061_GE_10000</x:v>
      </x:c>
      <x:c r="R270" s="19" t="str">
        <x:v>S12_061 usage threshold</x:v>
      </x:c>
      <x:c r="S270" s="19" t="str">
        <x:v>https://nlftp.mlit.go.jp/ksj/gml/datalist/KsjTmplt-S12-2024.html</x:v>
      </x:c>
      <x:c r="T270" s="19" t="str">
        <x:v>https://nlftp.mlit.go.jp/ksj/gml/datalist/KsjTmplt-S12-2024.html</x:v>
      </x:c>
      <x:c r="U270" s="19" t="str">
        <x:v>station-component|京成成田|京成電鉄|private_rail|35.7763|140.3155|</x:v>
      </x:c>
      <x:c r="V270" s="19" t="str">
        <x:v>003166 / 003166 / 東成田線
003166 / 003167 / 本線</x:v>
      </x:c>
      <x:c r="W270" s="18" t="str">
        <x:v>否</x:v>
      </x:c>
      <x:c r="X270" s="18" t="str">
        <x:v>0785e932a32b3ec15e1a1345537ae145eafe1c07bf38d5c16c11ee2b391e7a28</x:v>
      </x:c>
      <x:c r="Y270" s="20" t="n">
        <x:v>1</x:v>
      </x:c>
      <x:c r="Z270" s="20" t="n">
        <x:v>1</x:v>
      </x:c>
      <x:c r="AA270" s="19"/>
      <x:c r="AB270" s="18"/>
      <x:c r="AC270" s="19"/>
    </x:row>
    <x:row r="271" ht="28" customHeight="1">
      <x:c r="A271" s="18" t="str">
        <x:v>京成曳舟</x:v>
      </x:c>
      <x:c r="B271" s="18" t="str">
        <x:v>京成電鉄</x:v>
      </x:c>
      <x:c r="C271" s="18" t="str">
        <x:v>private_rail</x:v>
      </x:c>
      <x:c r="D271" s="19" t="str">
        <x:v>T2</x:v>
      </x:c>
      <x:c r="E271" s="20" t="n">
        <x:v>19929</x:v>
      </x:c>
      <x:c r="F271" s="18" t="str">
        <x:v>persons/day</x:v>
      </x:c>
      <x:c r="G271" s="18" t="str">
        <x:v>FY2024</x:v>
      </x:c>
      <x:c r="H271" s="18" t="str">
        <x:v>否</x:v>
      </x:c>
      <x:c r="I271" s="19" t="str">
        <x:v>DAILY_ENTRIES_EXITS</x:v>
      </x:c>
      <x:c r="J271" s="19" t="str">
        <x:v>押上線</x:v>
      </x:c>
      <x:c r="K271" s="18" t="str">
        <x:v>transport-node:3fc70910-b1e6-570b-833b-d27d2d1a2779</x:v>
      </x:c>
      <x:c r="L271" s="19" t="str">
        <x:v>组件待审核</x:v>
      </x:c>
      <x:c r="M271" s="21" t="n">
        <x:v>35.71864</x:v>
      </x:c>
      <x:c r="N271" s="21" t="n">
        <x:v>139.82028</x:v>
      </x:c>
      <x:c r="O271" s="18" t="str">
        <x:v>003477</x:v>
      </x:c>
      <x:c r="P271" s="18" t="str">
        <x:v>押上線</x:v>
      </x:c>
      <x:c r="Q271" s="19" t="str">
        <x:v>S12_061_GE_10000</x:v>
      </x:c>
      <x:c r="R271" s="19" t="str">
        <x:v>S12_061 usage threshold</x:v>
      </x:c>
      <x:c r="S271" s="19" t="str">
        <x:v>https://nlftp.mlit.go.jp/ksj/gml/datalist/KsjTmplt-S12-2024.html</x:v>
      </x:c>
      <x:c r="T271" s="19" t="str">
        <x:v>https://nlftp.mlit.go.jp/ksj/gml/datalist/KsjTmplt-S12-2024.html</x:v>
      </x:c>
      <x:c r="U271" s="19" t="str">
        <x:v>station-component|京成曳舟|京成電鉄|private_rail|35.7186|139.8203|</x:v>
      </x:c>
      <x:c r="V271" s="19" t="str">
        <x:v>003477 / 003477 / 押上線</x:v>
      </x:c>
      <x:c r="W271" s="18" t="str">
        <x:v>否</x:v>
      </x:c>
      <x:c r="X271" s="18" t="str">
        <x:v>0785e932a32b3ec15e1a1345537ae145eafe1c07bf38d5c16c11ee2b391e7a28</x:v>
      </x:c>
      <x:c r="Y271" s="20" t="n">
        <x:v>1</x:v>
      </x:c>
      <x:c r="Z271" s="20" t="n">
        <x:v>1</x:v>
      </x:c>
      <x:c r="AA271" s="19"/>
      <x:c r="AB271" s="18"/>
      <x:c r="AC271" s="19"/>
    </x:row>
    <x:row r="272" ht="33" customHeight="1">
      <x:c r="A272" s="18" t="str">
        <x:v>京成津田沼</x:v>
      </x:c>
      <x:c r="B272" s="18" t="str">
        <x:v>京成電鉄</x:v>
      </x:c>
      <x:c r="C272" s="18" t="str">
        <x:v>private_rail</x:v>
      </x:c>
      <x:c r="D272" s="19" t="str">
        <x:v>T1</x:v>
      </x:c>
      <x:c r="E272" s="20" t="n">
        <x:v>58525</x:v>
      </x:c>
      <x:c r="F272" s="18" t="str">
        <x:v>persons/day</x:v>
      </x:c>
      <x:c r="G272" s="18" t="str">
        <x:v>FY2024</x:v>
      </x:c>
      <x:c r="H272" s="18" t="str">
        <x:v>否</x:v>
      </x:c>
      <x:c r="I272" s="19" t="str">
        <x:v>DAILY_ENTRIES_EXITS</x:v>
      </x:c>
      <x:c r="J272" s="19" t="str">
        <x:v>千葉線
本線</x:v>
      </x:c>
      <x:c r="K272" s="18" t="str">
        <x:v>transport-node:33570fdc-8904-57ec-9efe-7aa0a2ae13e2</x:v>
      </x:c>
      <x:c r="L272" s="19" t="str">
        <x:v>组件待审核</x:v>
      </x:c>
      <x:c r="M272" s="21" t="n">
        <x:v>35.68364</x:v>
      </x:c>
      <x:c r="N272" s="21" t="n">
        <x:v>140.024845</x:v>
      </x:c>
      <x:c r="O272" s="18" t="str">
        <x:v>003749</x:v>
      </x:c>
      <x:c r="P272" s="18" t="str">
        <x:v>本線</x:v>
      </x:c>
      <x:c r="Q272" s="19" t="str">
        <x:v>S12_061_GE_10000</x:v>
      </x:c>
      <x:c r="R272" s="19" t="str">
        <x:v>S12_061 usage threshold</x:v>
      </x:c>
      <x:c r="S272" s="19" t="str">
        <x:v>https://nlftp.mlit.go.jp/ksj/gml/datalist/KsjTmplt-S12-2024.html</x:v>
      </x:c>
      <x:c r="T272" s="19" t="str">
        <x:v>https://nlftp.mlit.go.jp/ksj/gml/datalist/KsjTmplt-S12-2024.html</x:v>
      </x:c>
      <x:c r="U272" s="19" t="str">
        <x:v>station-component|京成津田沼|京成電鉄|private_rail|35.6836|140.0248|</x:v>
      </x:c>
      <x:c r="V272" s="19" t="str">
        <x:v>003747 / 003748 / 千葉線
003747 / 003749 / 本線</x:v>
      </x:c>
      <x:c r="W272" s="18" t="str">
        <x:v>否</x:v>
      </x:c>
      <x:c r="X272" s="18" t="str">
        <x:v>0785e932a32b3ec15e1a1345537ae145eafe1c07bf38d5c16c11ee2b391e7a28</x:v>
      </x:c>
      <x:c r="Y272" s="20" t="n">
        <x:v>1</x:v>
      </x:c>
      <x:c r="Z272" s="20" t="n">
        <x:v>1</x:v>
      </x:c>
      <x:c r="AA272" s="19"/>
      <x:c r="AB272" s="18"/>
      <x:c r="AC272" s="19"/>
    </x:row>
    <x:row r="273" ht="28" customHeight="1">
      <x:c r="A273" s="18" t="str">
        <x:v>京成立石</x:v>
      </x:c>
      <x:c r="B273" s="18" t="str">
        <x:v>京成電鉄</x:v>
      </x:c>
      <x:c r="C273" s="18" t="str">
        <x:v>private_rail</x:v>
      </x:c>
      <x:c r="D273" s="19" t="str">
        <x:v>T2</x:v>
      </x:c>
      <x:c r="E273" s="20" t="n">
        <x:v>34621</x:v>
      </x:c>
      <x:c r="F273" s="18" t="str">
        <x:v>persons/day</x:v>
      </x:c>
      <x:c r="G273" s="18" t="str">
        <x:v>FY2024</x:v>
      </x:c>
      <x:c r="H273" s="18" t="str">
        <x:v>否</x:v>
      </x:c>
      <x:c r="I273" s="19" t="str">
        <x:v>DAILY_ENTRIES_EXITS</x:v>
      </x:c>
      <x:c r="J273" s="19" t="str">
        <x:v>押上線</x:v>
      </x:c>
      <x:c r="K273" s="18" t="str">
        <x:v>transport-node:b8576dcd-0bff-520d-84c8-0335da9d96ef</x:v>
      </x:c>
      <x:c r="L273" s="19" t="str">
        <x:v>组件待审核</x:v>
      </x:c>
      <x:c r="M273" s="21" t="n">
        <x:v>35.73819</x:v>
      </x:c>
      <x:c r="N273" s="21" t="n">
        <x:v>139.84816</x:v>
      </x:c>
      <x:c r="O273" s="18" t="str">
        <x:v>003323</x:v>
      </x:c>
      <x:c r="P273" s="18" t="str">
        <x:v>押上線</x:v>
      </x:c>
      <x:c r="Q273" s="19" t="str">
        <x:v>S12_061_GE_10000</x:v>
      </x:c>
      <x:c r="R273" s="19" t="str">
        <x:v>S12_061 usage threshold</x:v>
      </x:c>
      <x:c r="S273" s="19" t="str">
        <x:v>https://nlftp.mlit.go.jp/ksj/gml/datalist/KsjTmplt-S12-2024.html</x:v>
      </x:c>
      <x:c r="T273" s="19" t="str">
        <x:v>https://nlftp.mlit.go.jp/ksj/gml/datalist/KsjTmplt-S12-2024.html</x:v>
      </x:c>
      <x:c r="U273" s="19" t="str">
        <x:v>station-component|京成立石|京成電鉄|private_rail|35.7382|139.8482|</x:v>
      </x:c>
      <x:c r="V273" s="19" t="str">
        <x:v>003323 / 003323 / 押上線</x:v>
      </x:c>
      <x:c r="W273" s="18" t="str">
        <x:v>否</x:v>
      </x:c>
      <x:c r="X273" s="18" t="str">
        <x:v>0785e932a32b3ec15e1a1345537ae145eafe1c07bf38d5c16c11ee2b391e7a28</x:v>
      </x:c>
      <x:c r="Y273" s="20" t="n">
        <x:v>1</x:v>
      </x:c>
      <x:c r="Z273" s="20" t="n">
        <x:v>1</x:v>
      </x:c>
      <x:c r="AA273" s="19"/>
      <x:c r="AB273" s="18"/>
      <x:c r="AC273" s="19"/>
    </x:row>
    <x:row r="274" ht="28" customHeight="1">
      <x:c r="A274" s="18" t="str">
        <x:v>京成臼井</x:v>
      </x:c>
      <x:c r="B274" s="18" t="str">
        <x:v>京成電鉄</x:v>
      </x:c>
      <x:c r="C274" s="18" t="str">
        <x:v>private_rail</x:v>
      </x:c>
      <x:c r="D274" s="19" t="str">
        <x:v>T2</x:v>
      </x:c>
      <x:c r="E274" s="20" t="n">
        <x:v>16825</x:v>
      </x:c>
      <x:c r="F274" s="18" t="str">
        <x:v>persons/day</x:v>
      </x:c>
      <x:c r="G274" s="18" t="str">
        <x:v>FY2024</x:v>
      </x:c>
      <x:c r="H274" s="18" t="str">
        <x:v>否</x:v>
      </x:c>
      <x:c r="I274" s="19" t="str">
        <x:v>DAILY_ENTRIES_EXITS</x:v>
      </x:c>
      <x:c r="J274" s="19" t="str">
        <x:v>本線</x:v>
      </x:c>
      <x:c r="K274" s="18" t="str">
        <x:v>transport-node:b652bd99-f2f7-5432-a67c-ac3a7922b70d</x:v>
      </x:c>
      <x:c r="L274" s="19" t="str">
        <x:v>组件待审核</x:v>
      </x:c>
      <x:c r="M274" s="21" t="n">
        <x:v>35.730025</x:v>
      </x:c>
      <x:c r="N274" s="21" t="n">
        <x:v>140.180805</x:v>
      </x:c>
      <x:c r="O274" s="18" t="str">
        <x:v>003392</x:v>
      </x:c>
      <x:c r="P274" s="18" t="str">
        <x:v>本線</x:v>
      </x:c>
      <x:c r="Q274" s="19" t="str">
        <x:v>S12_061_GE_10000</x:v>
      </x:c>
      <x:c r="R274" s="19" t="str">
        <x:v>S12_061 usage threshold</x:v>
      </x:c>
      <x:c r="S274" s="19" t="str">
        <x:v>https://nlftp.mlit.go.jp/ksj/gml/datalist/KsjTmplt-S12-2024.html</x:v>
      </x:c>
      <x:c r="T274" s="19" t="str">
        <x:v>https://nlftp.mlit.go.jp/ksj/gml/datalist/KsjTmplt-S12-2024.html</x:v>
      </x:c>
      <x:c r="U274" s="19" t="str">
        <x:v>station-component|京成臼井|京成電鉄|private_rail|35.7300|140.1808|</x:v>
      </x:c>
      <x:c r="V274" s="19" t="str">
        <x:v>003392 / 003392 / 本線</x:v>
      </x:c>
      <x:c r="W274" s="18" t="str">
        <x:v>否</x:v>
      </x:c>
      <x:c r="X274" s="18" t="str">
        <x:v>0785e932a32b3ec15e1a1345537ae145eafe1c07bf38d5c16c11ee2b391e7a28</x:v>
      </x:c>
      <x:c r="Y274" s="20" t="n">
        <x:v>1</x:v>
      </x:c>
      <x:c r="Z274" s="20" t="n">
        <x:v>1</x:v>
      </x:c>
      <x:c r="AA274" s="19"/>
      <x:c r="AB274" s="18"/>
      <x:c r="AC274" s="19"/>
    </x:row>
    <x:row r="275" ht="33" customHeight="1">
      <x:c r="A275" s="18" t="str">
        <x:v>京成船橋</x:v>
      </x:c>
      <x:c r="B275" s="18" t="str">
        <x:v>京成電鉄</x:v>
      </x:c>
      <x:c r="C275" s="18" t="str">
        <x:v>private_rail</x:v>
      </x:c>
      <x:c r="D275" s="19" t="str">
        <x:v>T1</x:v>
      </x:c>
      <x:c r="E275" s="20" t="n">
        <x:v>90840</x:v>
      </x:c>
      <x:c r="F275" s="18" t="str">
        <x:v>persons/day</x:v>
      </x:c>
      <x:c r="G275" s="18" t="str">
        <x:v>FY2024</x:v>
      </x:c>
      <x:c r="H275" s="18" t="str">
        <x:v>否</x:v>
      </x:c>
      <x:c r="I275" s="19" t="str">
        <x:v>DAILY_ENTRIES_EXITS</x:v>
      </x:c>
      <x:c r="J275" s="19" t="str">
        <x:v>本線</x:v>
      </x:c>
      <x:c r="K275" s="18" t="str">
        <x:v>transport-node:fcb1c126-0571-510a-b795-15e3fc584d77</x:v>
      </x:c>
      <x:c r="L275" s="19" t="str">
        <x:v>组件待审核</x:v>
      </x:c>
      <x:c r="M275" s="21" t="n">
        <x:v>35.6999633</x:v>
      </x:c>
      <x:c r="N275" s="21" t="n">
        <x:v>139.9849367</x:v>
      </x:c>
      <x:c r="O275" s="18" t="str">
        <x:v>003609</x:v>
      </x:c>
      <x:c r="P275" s="18" t="str">
        <x:v>本線</x:v>
      </x:c>
      <x:c r="Q275" s="19" t="str">
        <x:v>S12_061_GE_10000
OFFICIAL_HUB_COMPONENT_REVIEW</x:v>
      </x:c>
      <x:c r="R275" s="19" t="str">
        <x:v>S12_061 usage threshold</x:v>
      </x:c>
      <x:c r="S275" s="19" t="str">
        <x:v>https://nlftp.mlit.go.jp/ksj/gml/datalist/KsjTmplt-S12-2024.html</x:v>
      </x:c>
      <x:c r="T275" s="19" t="str">
        <x:v>https://nlftp.mlit.go.jp/ksj/gml/datalist/KsjTmplt-S12-2024.html
https://www.tobu.co.jp/railway/guide/station/info/6412/</x:v>
      </x:c>
      <x:c r="U275" s="19" t="str">
        <x:v>station-component|京成船橋|京成電鉄|private_rail|35.7000|139.9849|</x:v>
      </x:c>
      <x:c r="V275" s="19" t="str">
        <x:v>003609 / 003609 / 本線</x:v>
      </x:c>
      <x:c r="W275" s="18" t="str">
        <x:v>否</x:v>
      </x:c>
      <x:c r="X275" s="18" t="str">
        <x:v>0785e932a32b3ec15e1a1345537ae145eafe1c07bf38d5c16c11ee2b391e7a28</x:v>
      </x:c>
      <x:c r="Y275" s="20" t="n">
        <x:v>1</x:v>
      </x:c>
      <x:c r="Z275" s="20" t="n">
        <x:v>1</x:v>
      </x:c>
      <x:c r="AA275" s="19" t="str">
        <x:v>船橋</x:v>
      </x:c>
      <x:c r="AB275" s="18" t="str">
        <x:v>transport-hub-review:4d774c33-e173-58e9-a5c6-96c09067f79c</x:v>
      </x:c>
      <x:c r="AC275" s="19"/>
    </x:row>
    <x:row r="276" ht="28" customHeight="1">
      <x:c r="A276" s="18" t="str">
        <x:v>京成西船</x:v>
      </x:c>
      <x:c r="B276" s="18" t="str">
        <x:v>京成電鉄</x:v>
      </x:c>
      <x:c r="C276" s="18" t="str">
        <x:v>private_rail</x:v>
      </x:c>
      <x:c r="D276" s="19" t="str">
        <x:v>T2</x:v>
      </x:c>
      <x:c r="E276" s="20" t="n">
        <x:v>10702</x:v>
      </x:c>
      <x:c r="F276" s="18" t="str">
        <x:v>persons/day</x:v>
      </x:c>
      <x:c r="G276" s="18" t="str">
        <x:v>FY2024</x:v>
      </x:c>
      <x:c r="H276" s="18" t="str">
        <x:v>否</x:v>
      </x:c>
      <x:c r="I276" s="19" t="str">
        <x:v>DAILY_ENTRIES_EXITS</x:v>
      </x:c>
      <x:c r="J276" s="19" t="str">
        <x:v>本線</x:v>
      </x:c>
      <x:c r="K276" s="18" t="str">
        <x:v>transport-node:b2f1fc8e-77d4-51b3-acda-76e54bab087c</x:v>
      </x:c>
      <x:c r="L276" s="19" t="str">
        <x:v>组件待审核</x:v>
      </x:c>
      <x:c r="M276" s="21" t="n">
        <x:v>35.71169</x:v>
      </x:c>
      <x:c r="N276" s="21" t="n">
        <x:v>139.958845</x:v>
      </x:c>
      <x:c r="O276" s="18" t="str">
        <x:v>003516</x:v>
      </x:c>
      <x:c r="P276" s="18" t="str">
        <x:v>本線</x:v>
      </x:c>
      <x:c r="Q276" s="19" t="str">
        <x:v>S12_061_GE_10000</x:v>
      </x:c>
      <x:c r="R276" s="19" t="str">
        <x:v>S12_061 usage threshold</x:v>
      </x:c>
      <x:c r="S276" s="19" t="str">
        <x:v>https://nlftp.mlit.go.jp/ksj/gml/datalist/KsjTmplt-S12-2024.html</x:v>
      </x:c>
      <x:c r="T276" s="19" t="str">
        <x:v>https://nlftp.mlit.go.jp/ksj/gml/datalist/KsjTmplt-S12-2024.html</x:v>
      </x:c>
      <x:c r="U276" s="19" t="str">
        <x:v>station-component|京成西船|京成電鉄|private_rail|35.7117|139.9588|</x:v>
      </x:c>
      <x:c r="V276" s="19" t="str">
        <x:v>003516 / 003516 / 本線</x:v>
      </x:c>
      <x:c r="W276" s="18" t="str">
        <x:v>否</x:v>
      </x:c>
      <x:c r="X276" s="18" t="str">
        <x:v>0785e932a32b3ec15e1a1345537ae145eafe1c07bf38d5c16c11ee2b391e7a28</x:v>
      </x:c>
      <x:c r="Y276" s="20" t="n">
        <x:v>1</x:v>
      </x:c>
      <x:c r="Z276" s="20" t="n">
        <x:v>1</x:v>
      </x:c>
      <x:c r="AA276" s="19"/>
      <x:c r="AB276" s="18"/>
      <x:c r="AC276" s="19"/>
    </x:row>
    <x:row r="277" ht="28" customHeight="1">
      <x:c r="A277" s="18" t="str">
        <x:v>京成金町</x:v>
      </x:c>
      <x:c r="B277" s="18" t="str">
        <x:v>京成電鉄</x:v>
      </x:c>
      <x:c r="C277" s="18" t="str">
        <x:v>private_rail</x:v>
      </x:c>
      <x:c r="D277" s="19" t="str">
        <x:v>T2</x:v>
      </x:c>
      <x:c r="E277" s="20" t="n">
        <x:v>23574</x:v>
      </x:c>
      <x:c r="F277" s="18" t="str">
        <x:v>persons/day</x:v>
      </x:c>
      <x:c r="G277" s="18" t="str">
        <x:v>FY2024</x:v>
      </x:c>
      <x:c r="H277" s="18" t="str">
        <x:v>否</x:v>
      </x:c>
      <x:c r="I277" s="19" t="str">
        <x:v>DAILY_ENTRIES_EXITS</x:v>
      </x:c>
      <x:c r="J277" s="19" t="str">
        <x:v>金町線</x:v>
      </x:c>
      <x:c r="K277" s="18" t="str">
        <x:v>transport-node:718c2e95-55f5-5936-9220-34a4cbe2e669</x:v>
      </x:c>
      <x:c r="L277" s="19" t="str">
        <x:v>组件待审核</x:v>
      </x:c>
      <x:c r="M277" s="21" t="n">
        <x:v>35.76845</x:v>
      </x:c>
      <x:c r="N277" s="21" t="n">
        <x:v>139.87035</x:v>
      </x:c>
      <x:c r="O277" s="18" t="str">
        <x:v>003195</x:v>
      </x:c>
      <x:c r="P277" s="18" t="str">
        <x:v>金町線</x:v>
      </x:c>
      <x:c r="Q277" s="19" t="str">
        <x:v>S12_061_GE_10000</x:v>
      </x:c>
      <x:c r="R277" s="19" t="str">
        <x:v>S12_061 usage threshold</x:v>
      </x:c>
      <x:c r="S277" s="19" t="str">
        <x:v>https://nlftp.mlit.go.jp/ksj/gml/datalist/KsjTmplt-S12-2024.html</x:v>
      </x:c>
      <x:c r="T277" s="19" t="str">
        <x:v>https://nlftp.mlit.go.jp/ksj/gml/datalist/KsjTmplt-S12-2024.html</x:v>
      </x:c>
      <x:c r="U277" s="19" t="str">
        <x:v>station-component|京成金町|京成電鉄|private_rail|35.7685|139.8704|</x:v>
      </x:c>
      <x:c r="V277" s="19" t="str">
        <x:v>003195 / 003195 / 金町線</x:v>
      </x:c>
      <x:c r="W277" s="18" t="str">
        <x:v>否</x:v>
      </x:c>
      <x:c r="X277" s="18" t="str">
        <x:v>0785e932a32b3ec15e1a1345537ae145eafe1c07bf38d5c16c11ee2b391e7a28</x:v>
      </x:c>
      <x:c r="Y277" s="20" t="n">
        <x:v>1</x:v>
      </x:c>
      <x:c r="Z277" s="20" t="n">
        <x:v>1</x:v>
      </x:c>
      <x:c r="AA277" s="19"/>
      <x:c r="AB277" s="18"/>
      <x:c r="AC277" s="19"/>
    </x:row>
    <x:row r="278" ht="28" customHeight="1">
      <x:c r="A278" s="18" t="str">
        <x:v>京成関屋</x:v>
      </x:c>
      <x:c r="B278" s="18" t="str">
        <x:v>京成電鉄</x:v>
      </x:c>
      <x:c r="C278" s="18" t="str">
        <x:v>private_rail</x:v>
      </x:c>
      <x:c r="D278" s="19" t="str">
        <x:v>T2</x:v>
      </x:c>
      <x:c r="E278" s="20" t="n">
        <x:v>23344</x:v>
      </x:c>
      <x:c r="F278" s="18" t="str">
        <x:v>persons/day</x:v>
      </x:c>
      <x:c r="G278" s="18" t="str">
        <x:v>FY2024</x:v>
      </x:c>
      <x:c r="H278" s="18" t="str">
        <x:v>否</x:v>
      </x:c>
      <x:c r="I278" s="19" t="str">
        <x:v>DAILY_ENTRIES_EXITS</x:v>
      </x:c>
      <x:c r="J278" s="19" t="str">
        <x:v>本線</x:v>
      </x:c>
      <x:c r="K278" s="18" t="str">
        <x:v>transport-node:1e5f3b81-4f29-5b3e-80db-7d4d96d73b14</x:v>
      </x:c>
      <x:c r="L278" s="19" t="str">
        <x:v>组件待审核</x:v>
      </x:c>
      <x:c r="M278" s="21" t="n">
        <x:v>35.743965</x:v>
      </x:c>
      <x:c r="N278" s="21" t="n">
        <x:v>139.81185</x:v>
      </x:c>
      <x:c r="O278" s="18" t="str">
        <x:v>003290</x:v>
      </x:c>
      <x:c r="P278" s="18" t="str">
        <x:v>本線</x:v>
      </x:c>
      <x:c r="Q278" s="19" t="str">
        <x:v>S12_061_GE_10000</x:v>
      </x:c>
      <x:c r="R278" s="19" t="str">
        <x:v>S12_061 usage threshold</x:v>
      </x:c>
      <x:c r="S278" s="19" t="str">
        <x:v>https://nlftp.mlit.go.jp/ksj/gml/datalist/KsjTmplt-S12-2024.html</x:v>
      </x:c>
      <x:c r="T278" s="19" t="str">
        <x:v>https://nlftp.mlit.go.jp/ksj/gml/datalist/KsjTmplt-S12-2024.html</x:v>
      </x:c>
      <x:c r="U278" s="19" t="str">
        <x:v>station-component|京成関屋|京成電鉄|private_rail|35.7440|139.8118|</x:v>
      </x:c>
      <x:c r="V278" s="19" t="str">
        <x:v>003290 / 003290 / 本線</x:v>
      </x:c>
      <x:c r="W278" s="18" t="str">
        <x:v>否</x:v>
      </x:c>
      <x:c r="X278" s="18" t="str">
        <x:v>0785e932a32b3ec15e1a1345537ae145eafe1c07bf38d5c16c11ee2b391e7a28</x:v>
      </x:c>
      <x:c r="Y278" s="20" t="n">
        <x:v>1</x:v>
      </x:c>
      <x:c r="Z278" s="20" t="n">
        <x:v>1</x:v>
      </x:c>
      <x:c r="AA278" s="19"/>
      <x:c r="AB278" s="18"/>
      <x:c r="AC278" s="19"/>
    </x:row>
    <x:row r="279" ht="47" customHeight="1">
      <x:c r="A279" s="18" t="str">
        <x:v>京成高砂</x:v>
      </x:c>
      <x:c r="B279" s="18" t="str">
        <x:v>京成電鉄</x:v>
      </x:c>
      <x:c r="C279" s="18" t="str">
        <x:v>private_rail</x:v>
      </x:c>
      <x:c r="D279" s="19" t="str">
        <x:v>T1</x:v>
      </x:c>
      <x:c r="E279" s="20" t="n">
        <x:v>102056</x:v>
      </x:c>
      <x:c r="F279" s="18" t="str">
        <x:v>persons/day</x:v>
      </x:c>
      <x:c r="G279" s="18" t="str">
        <x:v>FY2024</x:v>
      </x:c>
      <x:c r="H279" s="18" t="str">
        <x:v>否</x:v>
      </x:c>
      <x:c r="I279" s="19" t="str">
        <x:v>DAILY_ENTRIES_EXITS</x:v>
      </x:c>
      <x:c r="J279" s="19" t="str">
        <x:v>成田空港線
本線
金町線</x:v>
      </x:c>
      <x:c r="K279" s="18" t="str">
        <x:v>transport-node:0b426df7-9a9d-5738-8472-6841472e9f2e</x:v>
      </x:c>
      <x:c r="L279" s="19" t="str">
        <x:v>组件待审核</x:v>
      </x:c>
      <x:c r="M279" s="21" t="n">
        <x:v>35.75087</x:v>
      </x:c>
      <x:c r="N279" s="21" t="n">
        <x:v>139.86659</x:v>
      </x:c>
      <x:c r="O279" s="18" t="str">
        <x:v>003250</x:v>
      </x:c>
      <x:c r="P279" s="18" t="str">
        <x:v>本線</x:v>
      </x:c>
      <x:c r="Q279" s="19" t="str">
        <x:v>S12_061_GE_10000</x:v>
      </x:c>
      <x:c r="R279" s="19" t="str">
        <x:v>S12_061 usage threshold</x:v>
      </x:c>
      <x:c r="S279" s="19" t="str">
        <x:v>https://nlftp.mlit.go.jp/ksj/gml/datalist/KsjTmplt-S12-2024.html</x:v>
      </x:c>
      <x:c r="T279" s="19" t="str">
        <x:v>https://nlftp.mlit.go.jp/ksj/gml/datalist/KsjTmplt-S12-2024.html</x:v>
      </x:c>
      <x:c r="U279" s="19" t="str">
        <x:v>station-component|京成高砂|京成電鉄|private_rail|35.7509|139.8666|</x:v>
      </x:c>
      <x:c r="V279" s="19" t="str">
        <x:v>003248 / 003248 / 金町線
003248 / 003249 / 成田空港線
003248 / 003250 / 本線</x:v>
      </x:c>
      <x:c r="W279" s="18" t="str">
        <x:v>否</x:v>
      </x:c>
      <x:c r="X279" s="18" t="str">
        <x:v>0785e932a32b3ec15e1a1345537ae145eafe1c07bf38d5c16c11ee2b391e7a28</x:v>
      </x:c>
      <x:c r="Y279" s="20" t="n">
        <x:v>1</x:v>
      </x:c>
      <x:c r="Z279" s="20" t="n">
        <x:v>1</x:v>
      </x:c>
      <x:c r="AA279" s="19"/>
      <x:c r="AB279" s="18"/>
      <x:c r="AC279" s="19"/>
    </x:row>
    <x:row r="280" ht="33" customHeight="1">
      <x:c r="A280" s="18" t="str">
        <x:v>京橋</x:v>
      </x:c>
      <x:c r="B280" s="18" t="str">
        <x:v>京阪電気鉄道</x:v>
      </x:c>
      <x:c r="C280" s="18" t="str">
        <x:v>private_rail</x:v>
      </x:c>
      <x:c r="D280" s="19" t="str">
        <x:v>T1</x:v>
      </x:c>
      <x:c r="E280" s="20" t="n">
        <x:v>131851</x:v>
      </x:c>
      <x:c r="F280" s="18" t="str">
        <x:v>persons/day</x:v>
      </x:c>
      <x:c r="G280" s="18" t="str">
        <x:v>FY2024</x:v>
      </x:c>
      <x:c r="H280" s="18" t="str">
        <x:v>否</x:v>
      </x:c>
      <x:c r="I280" s="19" t="str">
        <x:v>DAILY_ENTRIES_EXITS</x:v>
      </x:c>
      <x:c r="J280" s="19" t="str">
        <x:v>京阪本線</x:v>
      </x:c>
      <x:c r="K280" s="18" t="str">
        <x:v>transport-node:ff1af0b4-2d6c-5ba3-af21-fa90b4eca9b2</x:v>
      </x:c>
      <x:c r="L280" s="19" t="str">
        <x:v>组件待审核</x:v>
      </x:c>
      <x:c r="M280" s="21" t="n">
        <x:v>34.69721</x:v>
      </x:c>
      <x:c r="N280" s="21" t="n">
        <x:v>135.53233</x:v>
      </x:c>
      <x:c r="O280" s="18" t="str">
        <x:v>007093</x:v>
      </x:c>
      <x:c r="P280" s="18" t="str">
        <x:v>京阪本線</x:v>
      </x:c>
      <x:c r="Q280" s="19" t="str">
        <x:v>S12_061_GE_10000
OFFICIAL_HUB_COMPONENT_REVIEW</x:v>
      </x:c>
      <x:c r="R280" s="19" t="str">
        <x:v>S12_061 usage threshold</x:v>
      </x:c>
      <x:c r="S280" s="19" t="str">
        <x:v>https://nlftp.mlit.go.jp/ksj/gml/datalist/KsjTmplt-S12-2024.html</x:v>
      </x:c>
      <x:c r="T280" s="19" t="str">
        <x:v>https://nlftp.mlit.go.jp/ksj/gml/datalist/KsjTmplt-S12-2024.html
https://subway.osakametro.co.jp/station_guide/N/n22/index.php</x:v>
      </x:c>
      <x:c r="U280" s="19" t="str">
        <x:v>station-component|京橋|京阪電気鉄道|private_rail|34.6972|135.5323|</x:v>
      </x:c>
      <x:c r="V280" s="19" t="str">
        <x:v>007093 / 007093 / 京阪本線</x:v>
      </x:c>
      <x:c r="W280" s="18" t="str">
        <x:v>否</x:v>
      </x:c>
      <x:c r="X280" s="18" t="str">
        <x:v>0785e932a32b3ec15e1a1345537ae145eafe1c07bf38d5c16c11ee2b391e7a28</x:v>
      </x:c>
      <x:c r="Y280" s="20" t="n">
        <x:v>1</x:v>
      </x:c>
      <x:c r="Z280" s="20" t="n">
        <x:v>1</x:v>
      </x:c>
      <x:c r="AA280" s="19" t="str">
        <x:v>京橋</x:v>
      </x:c>
      <x:c r="AB280" s="18" t="str">
        <x:v>transport-hub-review:e895b2d4-6429-5a20-9f57-2ad0da54c44f</x:v>
      </x:c>
      <x:c r="AC280" s="19"/>
    </x:row>
    <x:row r="281" ht="33" customHeight="1">
      <x:c r="A281" s="18" t="str">
        <x:v>京橋</x:v>
      </x:c>
      <x:c r="B281" s="18" t="str">
        <x:v>大阪市高速電気軌道</x:v>
      </x:c>
      <x:c r="C281" s="18" t="str">
        <x:v>metro</x:v>
      </x:c>
      <x:c r="D281" s="19" t="str">
        <x:v>T2</x:v>
      </x:c>
      <x:c r="E281" s="20" t="n">
        <x:v>31786</x:v>
      </x:c>
      <x:c r="F281" s="18" t="str">
        <x:v>persons/day</x:v>
      </x:c>
      <x:c r="G281" s="18" t="str">
        <x:v>FY2024</x:v>
      </x:c>
      <x:c r="H281" s="18" t="str">
        <x:v>否</x:v>
      </x:c>
      <x:c r="I281" s="19" t="str">
        <x:v>DAILY_ENTRIES_EXITS</x:v>
      </x:c>
      <x:c r="J281" s="19" t="str">
        <x:v>7号線(長堀鶴見緑地線)</x:v>
      </x:c>
      <x:c r="K281" s="18" t="str">
        <x:v>transport-node:5fec8297-116d-5207-acc0-89f8b46a5259</x:v>
      </x:c>
      <x:c r="L281" s="19" t="str">
        <x:v>组件待审核</x:v>
      </x:c>
      <x:c r="M281" s="21" t="n">
        <x:v>34.69706</x:v>
      </x:c>
      <x:c r="N281" s="21" t="n">
        <x:v>135.53005</x:v>
      </x:c>
      <x:c r="O281" s="18" t="str">
        <x:v>007092</x:v>
      </x:c>
      <x:c r="P281" s="18" t="str">
        <x:v>7号線(長堀鶴見緑地線)</x:v>
      </x:c>
      <x:c r="Q281" s="19" t="str">
        <x:v>S12_061_GE_10000
OFFICIAL_HUB_COMPONENT_REVIEW</x:v>
      </x:c>
      <x:c r="R281" s="19" t="str">
        <x:v>S12_061 usage threshold</x:v>
      </x:c>
      <x:c r="S281" s="19" t="str">
        <x:v>https://nlftp.mlit.go.jp/ksj/gml/datalist/KsjTmplt-S12-2024.html</x:v>
      </x:c>
      <x:c r="T281" s="19" t="str">
        <x:v>https://nlftp.mlit.go.jp/ksj/gml/datalist/KsjTmplt-S12-2024.html
https://subway.osakametro.co.jp/station_guide/N/n22/index.php</x:v>
      </x:c>
      <x:c r="U281" s="19" t="str">
        <x:v>station-component|京橋|大阪市高速電気軌道|metro|34.6971|135.5300|</x:v>
      </x:c>
      <x:c r="V281" s="19" t="str">
        <x:v>007093 / 007092 / 7号線(長堀鶴見緑地線)</x:v>
      </x:c>
      <x:c r="W281" s="18" t="str">
        <x:v>否</x:v>
      </x:c>
      <x:c r="X281" s="18" t="str">
        <x:v>0785e932a32b3ec15e1a1345537ae145eafe1c07bf38d5c16c11ee2b391e7a28</x:v>
      </x:c>
      <x:c r="Y281" s="20" t="n">
        <x:v>1</x:v>
      </x:c>
      <x:c r="Z281" s="20" t="n">
        <x:v>1</x:v>
      </x:c>
      <x:c r="AA281" s="19" t="str">
        <x:v>京橋</x:v>
      </x:c>
      <x:c r="AB281" s="18" t="str">
        <x:v>transport-hub-review:e895b2d4-6429-5a20-9f57-2ad0da54c44f</x:v>
      </x:c>
      <x:c r="AC281" s="19"/>
    </x:row>
    <x:row r="282" ht="28" customHeight="1">
      <x:c r="A282" s="18" t="str">
        <x:v>京橋</x:v>
      </x:c>
      <x:c r="B282" s="18" t="str">
        <x:v>東京地下鉄</x:v>
      </x:c>
      <x:c r="C282" s="18" t="str">
        <x:v>metro</x:v>
      </x:c>
      <x:c r="D282" s="19" t="str">
        <x:v>T1</x:v>
      </x:c>
      <x:c r="E282" s="20" t="n">
        <x:v>56104</x:v>
      </x:c>
      <x:c r="F282" s="18" t="str">
        <x:v>persons/day</x:v>
      </x:c>
      <x:c r="G282" s="18" t="str">
        <x:v>FY2024</x:v>
      </x:c>
      <x:c r="H282" s="18" t="str">
        <x:v>否</x:v>
      </x:c>
      <x:c r="I282" s="19" t="str">
        <x:v>DAILY_ENTRIES_EXITS</x:v>
      </x:c>
      <x:c r="J282" s="19" t="str">
        <x:v>3号線銀座線</x:v>
      </x:c>
      <x:c r="K282" s="18" t="str">
        <x:v>transport-node:3bee18cd-3901-5c7b-811b-22a6af2891ca</x:v>
      </x:c>
      <x:c r="L282" s="19" t="str">
        <x:v>组件待审核</x:v>
      </x:c>
      <x:c r="M282" s="21" t="n">
        <x:v>35.6767975</x:v>
      </x:c>
      <x:c r="N282" s="21" t="n">
        <x:v>139.77017</x:v>
      </x:c>
      <x:c r="O282" s="18" t="str">
        <x:v>003792</x:v>
      </x:c>
      <x:c r="P282" s="18" t="str">
        <x:v>3号線銀座線</x:v>
      </x:c>
      <x:c r="Q282" s="19" t="str">
        <x:v>S12_061_GE_10000</x:v>
      </x:c>
      <x:c r="R282" s="19" t="str">
        <x:v>S12_061 usage threshold</x:v>
      </x:c>
      <x:c r="S282" s="19" t="str">
        <x:v>https://nlftp.mlit.go.jp/ksj/gml/datalist/KsjTmplt-S12-2024.html</x:v>
      </x:c>
      <x:c r="T282" s="19" t="str">
        <x:v>https://nlftp.mlit.go.jp/ksj/gml/datalist/KsjTmplt-S12-2024.html</x:v>
      </x:c>
      <x:c r="U282" s="19" t="str">
        <x:v>station-component|京橋|東京地下鉄|metro|35.6768|139.7702|</x:v>
      </x:c>
      <x:c r="V282" s="19" t="str">
        <x:v>003792 / 003792 / 3号線銀座線</x:v>
      </x:c>
      <x:c r="W282" s="18" t="str">
        <x:v>否</x:v>
      </x:c>
      <x:c r="X282" s="18" t="str">
        <x:v>0785e932a32b3ec15e1a1345537ae145eafe1c07bf38d5c16c11ee2b391e7a28</x:v>
      </x:c>
      <x:c r="Y282" s="20" t="n">
        <x:v>1</x:v>
      </x:c>
      <x:c r="Z282" s="20" t="n">
        <x:v>1</x:v>
      </x:c>
      <x:c r="AA282" s="19"/>
      <x:c r="AB282" s="18"/>
      <x:c r="AC282" s="19"/>
    </x:row>
    <x:row r="283" ht="47" customHeight="1">
      <x:c r="A283" s="18" t="str">
        <x:v>京橋</x:v>
      </x:c>
      <x:c r="B283" s="18" t="str">
        <x:v>西日本旅客鉄道</x:v>
      </x:c>
      <x:c r="C283" s="18" t="str">
        <x:v>conventional_rail</x:v>
      </x:c>
      <x:c r="D283" s="19" t="str">
        <x:v>T0</x:v>
      </x:c>
      <x:c r="E283" s="20" t="n">
        <x:v>233396</x:v>
      </x:c>
      <x:c r="F283" s="18" t="str">
        <x:v>persons/day</x:v>
      </x:c>
      <x:c r="G283" s="18" t="str">
        <x:v>FY2024</x:v>
      </x:c>
      <x:c r="H283" s="18" t="str">
        <x:v>否</x:v>
      </x:c>
      <x:c r="I283" s="19" t="str">
        <x:v>DAILY_ENTRIES_EXITS</x:v>
      </x:c>
      <x:c r="J283" s="19" t="str">
        <x:v>JR東西線
大阪環状線
片町線</x:v>
      </x:c>
      <x:c r="K283" s="18" t="str">
        <x:v>transport-node:eceb3c43-3d00-56d7-b196-6545d7e33258</x:v>
      </x:c>
      <x:c r="L283" s="19" t="str">
        <x:v>组件待审核</x:v>
      </x:c>
      <x:c r="M283" s="21" t="n">
        <x:v>34.69657</x:v>
      </x:c>
      <x:c r="N283" s="21" t="n">
        <x:v>135.53404</x:v>
      </x:c>
      <x:c r="O283" s="18" t="str">
        <x:v>007095</x:v>
      </x:c>
      <x:c r="P283" s="18" t="str">
        <x:v>大阪環状線</x:v>
      </x:c>
      <x:c r="Q283" s="19" t="str">
        <x:v>S12_061_GE_10000
OFFICIAL_HUB_COMPONENT_REVIEW</x:v>
      </x:c>
      <x:c r="R283" s="19" t="str">
        <x:v>S12_061 usage threshold</x:v>
      </x:c>
      <x:c r="S283" s="19" t="str">
        <x:v>https://nlftp.mlit.go.jp/ksj/gml/datalist/KsjTmplt-S12-2024.html</x:v>
      </x:c>
      <x:c r="T283" s="19" t="str">
        <x:v>https://nlftp.mlit.go.jp/ksj/gml/datalist/KsjTmplt-S12-2024.html
https://subway.osakametro.co.jp/station_guide/N/n22/index.php</x:v>
      </x:c>
      <x:c r="U283" s="19" t="str">
        <x:v>station-component|京橋|西日本旅客鉄道|conventional_rail|34.6966|135.5340|</x:v>
      </x:c>
      <x:c r="V283" s="19" t="str">
        <x:v>007093 / 007095 / 大阪環状線
007093 / 007099 / JR東西線
007093 / 007100 / 片町線</x:v>
      </x:c>
      <x:c r="W283" s="18" t="str">
        <x:v>否</x:v>
      </x:c>
      <x:c r="X283" s="18" t="str">
        <x:v>0785e932a32b3ec15e1a1345537ae145eafe1c07bf38d5c16c11ee2b391e7a28</x:v>
      </x:c>
      <x:c r="Y283" s="20" t="n">
        <x:v>1</x:v>
      </x:c>
      <x:c r="Z283" s="20" t="n">
        <x:v>1</x:v>
      </x:c>
      <x:c r="AA283" s="19" t="str">
        <x:v>京橋</x:v>
      </x:c>
      <x:c r="AB283" s="18" t="str">
        <x:v>transport-hub-review:e895b2d4-6429-5a20-9f57-2ad0da54c44f</x:v>
      </x:c>
      <x:c r="AC283" s="19"/>
    </x:row>
    <x:row r="284" ht="28" customHeight="1">
      <x:c r="A284" s="18" t="str">
        <x:v>京王よみうりランド</x:v>
      </x:c>
      <x:c r="B284" s="18" t="str">
        <x:v>京王電鉄</x:v>
      </x:c>
      <x:c r="C284" s="18" t="str">
        <x:v>private_rail</x:v>
      </x:c>
      <x:c r="D284" s="19" t="str">
        <x:v>T2</x:v>
      </x:c>
      <x:c r="E284" s="20" t="n">
        <x:v>14826</x:v>
      </x:c>
      <x:c r="F284" s="18" t="str">
        <x:v>persons/day</x:v>
      </x:c>
      <x:c r="G284" s="18" t="str">
        <x:v>FY2024</x:v>
      </x:c>
      <x:c r="H284" s="18" t="str">
        <x:v>否</x:v>
      </x:c>
      <x:c r="I284" s="19" t="str">
        <x:v>DAILY_ENTRIES_EXITS</x:v>
      </x:c>
      <x:c r="J284" s="19" t="str">
        <x:v>相模原線</x:v>
      </x:c>
      <x:c r="K284" s="18" t="str">
        <x:v>transport-node:2454a795-22e5-5d41-8c45-ab7c3165fff4</x:v>
      </x:c>
      <x:c r="L284" s="19" t="str">
        <x:v>组件待审核</x:v>
      </x:c>
      <x:c r="M284" s="21" t="n">
        <x:v>35.632965</x:v>
      </x:c>
      <x:c r="N284" s="21" t="n">
        <x:v>139.5172025</x:v>
      </x:c>
      <x:c r="O284" s="18" t="str">
        <x:v>004070</x:v>
      </x:c>
      <x:c r="P284" s="18" t="str">
        <x:v>相模原線</x:v>
      </x:c>
      <x:c r="Q284" s="19" t="str">
        <x:v>S12_061_GE_10000</x:v>
      </x:c>
      <x:c r="R284" s="19" t="str">
        <x:v>S12_061 usage threshold</x:v>
      </x:c>
      <x:c r="S284" s="19" t="str">
        <x:v>https://nlftp.mlit.go.jp/ksj/gml/datalist/KsjTmplt-S12-2024.html</x:v>
      </x:c>
      <x:c r="T284" s="19" t="str">
        <x:v>https://nlftp.mlit.go.jp/ksj/gml/datalist/KsjTmplt-S12-2024.html</x:v>
      </x:c>
      <x:c r="U284" s="19" t="str">
        <x:v>station-component|京王よみうりランド|京王電鉄|private_rail|35.6330|139.5172|</x:v>
      </x:c>
      <x:c r="V284" s="19" t="str">
        <x:v>004070 / 004070 / 相模原線</x:v>
      </x:c>
      <x:c r="W284" s="18" t="str">
        <x:v>否</x:v>
      </x:c>
      <x:c r="X284" s="18" t="str">
        <x:v>0785e932a32b3ec15e1a1345537ae145eafe1c07bf38d5c16c11ee2b391e7a28</x:v>
      </x:c>
      <x:c r="Y284" s="20" t="n">
        <x:v>1</x:v>
      </x:c>
      <x:c r="Z284" s="20" t="n">
        <x:v>1</x:v>
      </x:c>
      <x:c r="AA284" s="19"/>
      <x:c r="AB284" s="18"/>
      <x:c r="AC284" s="19"/>
    </x:row>
    <x:row r="285" ht="28" customHeight="1">
      <x:c r="A285" s="18" t="str">
        <x:v>京王八王子</x:v>
      </x:c>
      <x:c r="B285" s="18" t="str">
        <x:v>京王電鉄</x:v>
      </x:c>
      <x:c r="C285" s="18" t="str">
        <x:v>private_rail</x:v>
      </x:c>
      <x:c r="D285" s="19" t="str">
        <x:v>T2</x:v>
      </x:c>
      <x:c r="E285" s="20" t="n">
        <x:v>47824</x:v>
      </x:c>
      <x:c r="F285" s="18" t="str">
        <x:v>persons/day</x:v>
      </x:c>
      <x:c r="G285" s="18" t="str">
        <x:v>FY2024</x:v>
      </x:c>
      <x:c r="H285" s="18" t="str">
        <x:v>否</x:v>
      </x:c>
      <x:c r="I285" s="19" t="str">
        <x:v>DAILY_ENTRIES_EXITS</x:v>
      </x:c>
      <x:c r="J285" s="19" t="str">
        <x:v>京王線</x:v>
      </x:c>
      <x:c r="K285" s="18" t="str">
        <x:v>transport-node:6f3d06d8-5ac4-5ecf-a84e-4d253c563626</x:v>
      </x:c>
      <x:c r="L285" s="19" t="str">
        <x:v>组件待审核</x:v>
      </x:c>
      <x:c r="M285" s="21" t="n">
        <x:v>35.65805</x:v>
      </x:c>
      <x:c r="N285" s="21" t="n">
        <x:v>139.3429775</x:v>
      </x:c>
      <x:c r="O285" s="18" t="str">
        <x:v>003934</x:v>
      </x:c>
      <x:c r="P285" s="18" t="str">
        <x:v>京王線</x:v>
      </x:c>
      <x:c r="Q285" s="19" t="str">
        <x:v>S12_061_GE_10000</x:v>
      </x:c>
      <x:c r="R285" s="19" t="str">
        <x:v>S12_061 usage threshold</x:v>
      </x:c>
      <x:c r="S285" s="19" t="str">
        <x:v>https://nlftp.mlit.go.jp/ksj/gml/datalist/KsjTmplt-S12-2024.html</x:v>
      </x:c>
      <x:c r="T285" s="19" t="str">
        <x:v>https://nlftp.mlit.go.jp/ksj/gml/datalist/KsjTmplt-S12-2024.html</x:v>
      </x:c>
      <x:c r="U285" s="19" t="str">
        <x:v>station-component|京王八王子|京王電鉄|private_rail|35.6581|139.3430|</x:v>
      </x:c>
      <x:c r="V285" s="19" t="str">
        <x:v>003934 / 003934 / 京王線</x:v>
      </x:c>
      <x:c r="W285" s="18" t="str">
        <x:v>否</x:v>
      </x:c>
      <x:c r="X285" s="18" t="str">
        <x:v>0785e932a32b3ec15e1a1345537ae145eafe1c07bf38d5c16c11ee2b391e7a28</x:v>
      </x:c>
      <x:c r="Y285" s="20" t="n">
        <x:v>1</x:v>
      </x:c>
      <x:c r="Z285" s="20" t="n">
        <x:v>1</x:v>
      </x:c>
      <x:c r="AA285" s="19"/>
      <x:c r="AB285" s="18"/>
      <x:c r="AC285" s="19"/>
    </x:row>
    <x:row r="286" ht="28" customHeight="1">
      <x:c r="A286" s="18" t="str">
        <x:v>京王堀之内</x:v>
      </x:c>
      <x:c r="B286" s="18" t="str">
        <x:v>京王電鉄</x:v>
      </x:c>
      <x:c r="C286" s="18" t="str">
        <x:v>private_rail</x:v>
      </x:c>
      <x:c r="D286" s="19" t="str">
        <x:v>T2</x:v>
      </x:c>
      <x:c r="E286" s="20" t="n">
        <x:v>28968</x:v>
      </x:c>
      <x:c r="F286" s="18" t="str">
        <x:v>persons/day</x:v>
      </x:c>
      <x:c r="G286" s="18" t="str">
        <x:v>FY2024</x:v>
      </x:c>
      <x:c r="H286" s="18" t="str">
        <x:v>否</x:v>
      </x:c>
      <x:c r="I286" s="19" t="str">
        <x:v>DAILY_ENTRIES_EXITS</x:v>
      </x:c>
      <x:c r="J286" s="19" t="str">
        <x:v>相模原線</x:v>
      </x:c>
      <x:c r="K286" s="18" t="str">
        <x:v>transport-node:49b57db2-bc23-5865-a725-38f5a122f828</x:v>
      </x:c>
      <x:c r="L286" s="19" t="str">
        <x:v>组件待审核</x:v>
      </x:c>
      <x:c r="M286" s="21" t="n">
        <x:v>35.624475</x:v>
      </x:c>
      <x:c r="N286" s="21" t="n">
        <x:v>139.400325</x:v>
      </x:c>
      <x:c r="O286" s="18" t="str">
        <x:v>004120</x:v>
      </x:c>
      <x:c r="P286" s="18" t="str">
        <x:v>相模原線</x:v>
      </x:c>
      <x:c r="Q286" s="19" t="str">
        <x:v>S12_061_GE_10000</x:v>
      </x:c>
      <x:c r="R286" s="19" t="str">
        <x:v>S12_061 usage threshold</x:v>
      </x:c>
      <x:c r="S286" s="19" t="str">
        <x:v>https://nlftp.mlit.go.jp/ksj/gml/datalist/KsjTmplt-S12-2024.html</x:v>
      </x:c>
      <x:c r="T286" s="19" t="str">
        <x:v>https://nlftp.mlit.go.jp/ksj/gml/datalist/KsjTmplt-S12-2024.html</x:v>
      </x:c>
      <x:c r="U286" s="19" t="str">
        <x:v>station-component|京王堀之内|京王電鉄|private_rail|35.6245|139.4003|</x:v>
      </x:c>
      <x:c r="V286" s="19" t="str">
        <x:v>004120 / 004120 / 相模原線</x:v>
      </x:c>
      <x:c r="W286" s="18" t="str">
        <x:v>否</x:v>
      </x:c>
      <x:c r="X286" s="18" t="str">
        <x:v>0785e932a32b3ec15e1a1345537ae145eafe1c07bf38d5c16c11ee2b391e7a28</x:v>
      </x:c>
      <x:c r="Y286" s="20" t="n">
        <x:v>1</x:v>
      </x:c>
      <x:c r="Z286" s="20" t="n">
        <x:v>1</x:v>
      </x:c>
      <x:c r="AA286" s="19"/>
      <x:c r="AB286" s="18"/>
      <x:c r="AC286" s="19"/>
    </x:row>
    <x:row r="287" ht="33" customHeight="1">
      <x:c r="A287" s="18" t="str">
        <x:v>京王多摩センター</x:v>
      </x:c>
      <x:c r="B287" s="18" t="str">
        <x:v>京王電鉄</x:v>
      </x:c>
      <x:c r="C287" s="18" t="str">
        <x:v>private_rail</x:v>
      </x:c>
      <x:c r="D287" s="19" t="str">
        <x:v>T1</x:v>
      </x:c>
      <x:c r="E287" s="20" t="n">
        <x:v>78801</x:v>
      </x:c>
      <x:c r="F287" s="18" t="str">
        <x:v>persons/day</x:v>
      </x:c>
      <x:c r="G287" s="18" t="str">
        <x:v>FY2024</x:v>
      </x:c>
      <x:c r="H287" s="18" t="str">
        <x:v>否</x:v>
      </x:c>
      <x:c r="I287" s="19" t="str">
        <x:v>DAILY_ENTRIES_EXITS</x:v>
      </x:c>
      <x:c r="J287" s="19" t="str">
        <x:v>相模原線</x:v>
      </x:c>
      <x:c r="K287" s="18" t="str">
        <x:v>transport-node:09f12895-9cea-5226-ac90-0f79e0094b75</x:v>
      </x:c>
      <x:c r="L287" s="19" t="str">
        <x:v>组件待审核</x:v>
      </x:c>
      <x:c r="M287" s="21" t="n">
        <x:v>35.625225</x:v>
      </x:c>
      <x:c r="N287" s="21" t="n">
        <x:v>139.424165</x:v>
      </x:c>
      <x:c r="O287" s="18" t="str">
        <x:v>004116</x:v>
      </x:c>
      <x:c r="P287" s="18" t="str">
        <x:v>相模原線</x:v>
      </x:c>
      <x:c r="Q287" s="19" t="str">
        <x:v>S12_061_GE_10000
OFFICIAL_HUB_COMPONENT_REVIEW</x:v>
      </x:c>
      <x:c r="R287" s="19" t="str">
        <x:v>S12_061 usage threshold</x:v>
      </x:c>
      <x:c r="S287" s="19" t="str">
        <x:v>https://nlftp.mlit.go.jp/ksj/gml/datalist/KsjTmplt-S12-2024.html</x:v>
      </x:c>
      <x:c r="T287" s="19" t="str">
        <x:v>https://nlftp.mlit.go.jp/ksj/gml/datalist/KsjTmplt-S12-2024.html
https://www.odakyu.jp/station/</x:v>
      </x:c>
      <x:c r="U287" s="19" t="str">
        <x:v>station-component|京王多摩センター|京王電鉄|private_rail|35.6252|139.4242|</x:v>
      </x:c>
      <x:c r="V287" s="19" t="str">
        <x:v>004116 / 004116 / 相模原線</x:v>
      </x:c>
      <x:c r="W287" s="18" t="str">
        <x:v>否</x:v>
      </x:c>
      <x:c r="X287" s="18" t="str">
        <x:v>0785e932a32b3ec15e1a1345537ae145eafe1c07bf38d5c16c11ee2b391e7a28</x:v>
      </x:c>
      <x:c r="Y287" s="20" t="n">
        <x:v>1</x:v>
      </x:c>
      <x:c r="Z287" s="20" t="n">
        <x:v>1</x:v>
      </x:c>
      <x:c r="AA287" s="19" t="str">
        <x:v>多摩センター</x:v>
      </x:c>
      <x:c r="AB287" s="18" t="str">
        <x:v>transport-hub-review:811222cd-59bb-5bf5-af4e-cbfa916d1f40</x:v>
      </x:c>
      <x:c r="AC287" s="19"/>
    </x:row>
    <x:row r="288" ht="28" customHeight="1">
      <x:c r="A288" s="18" t="str">
        <x:v>京王多摩川</x:v>
      </x:c>
      <x:c r="B288" s="18" t="str">
        <x:v>京王電鉄</x:v>
      </x:c>
      <x:c r="C288" s="18" t="str">
        <x:v>private_rail</x:v>
      </x:c>
      <x:c r="D288" s="19" t="str">
        <x:v>T2</x:v>
      </x:c>
      <x:c r="E288" s="20" t="n">
        <x:v>14983</x:v>
      </x:c>
      <x:c r="F288" s="18" t="str">
        <x:v>persons/day</x:v>
      </x:c>
      <x:c r="G288" s="18" t="str">
        <x:v>FY2024</x:v>
      </x:c>
      <x:c r="H288" s="18" t="str">
        <x:v>否</x:v>
      </x:c>
      <x:c r="I288" s="19" t="str">
        <x:v>DAILY_ENTRIES_EXITS</x:v>
      </x:c>
      <x:c r="J288" s="19" t="str">
        <x:v>相模原線</x:v>
      </x:c>
      <x:c r="K288" s="18" t="str">
        <x:v>transport-node:18791735-1c06-53c0-b116-b35a2ede5dbe</x:v>
      </x:c>
      <x:c r="L288" s="19" t="str">
        <x:v>组件待审核</x:v>
      </x:c>
      <x:c r="M288" s="21" t="n">
        <x:v>35.6439417</x:v>
      </x:c>
      <x:c r="N288" s="21" t="n">
        <x:v>139.5361633</x:v>
      </x:c>
      <x:c r="O288" s="18" t="str">
        <x:v>004013</x:v>
      </x:c>
      <x:c r="P288" s="18" t="str">
        <x:v>相模原線</x:v>
      </x:c>
      <x:c r="Q288" s="19" t="str">
        <x:v>S12_061_GE_10000</x:v>
      </x:c>
      <x:c r="R288" s="19" t="str">
        <x:v>S12_061 usage threshold</x:v>
      </x:c>
      <x:c r="S288" s="19" t="str">
        <x:v>https://nlftp.mlit.go.jp/ksj/gml/datalist/KsjTmplt-S12-2024.html</x:v>
      </x:c>
      <x:c r="T288" s="19" t="str">
        <x:v>https://nlftp.mlit.go.jp/ksj/gml/datalist/KsjTmplt-S12-2024.html</x:v>
      </x:c>
      <x:c r="U288" s="19" t="str">
        <x:v>station-component|京王多摩川|京王電鉄|private_rail|35.6439|139.5362|</x:v>
      </x:c>
      <x:c r="V288" s="19" t="str">
        <x:v>004013 / 004013 / 相模原線</x:v>
      </x:c>
      <x:c r="W288" s="18" t="str">
        <x:v>否</x:v>
      </x:c>
      <x:c r="X288" s="18" t="str">
        <x:v>0785e932a32b3ec15e1a1345537ae145eafe1c07bf38d5c16c11ee2b391e7a28</x:v>
      </x:c>
      <x:c r="Y288" s="20" t="n">
        <x:v>1</x:v>
      </x:c>
      <x:c r="Z288" s="20" t="n">
        <x:v>1</x:v>
      </x:c>
      <x:c r="AA288" s="19"/>
      <x:c r="AB288" s="18"/>
      <x:c r="AC288" s="19"/>
    </x:row>
    <x:row r="289" ht="33" customHeight="1">
      <x:c r="A289" s="18" t="str">
        <x:v>京王永山</x:v>
      </x:c>
      <x:c r="B289" s="18" t="str">
        <x:v>京王電鉄</x:v>
      </x:c>
      <x:c r="C289" s="18" t="str">
        <x:v>private_rail</x:v>
      </x:c>
      <x:c r="D289" s="19" t="str">
        <x:v>T2</x:v>
      </x:c>
      <x:c r="E289" s="20" t="n">
        <x:v>40122</x:v>
      </x:c>
      <x:c r="F289" s="18" t="str">
        <x:v>persons/day</x:v>
      </x:c>
      <x:c r="G289" s="18" t="str">
        <x:v>FY2024</x:v>
      </x:c>
      <x:c r="H289" s="18" t="str">
        <x:v>否</x:v>
      </x:c>
      <x:c r="I289" s="19" t="str">
        <x:v>DAILY_ENTRIES_EXITS</x:v>
      </x:c>
      <x:c r="J289" s="19" t="str">
        <x:v>相模原線</x:v>
      </x:c>
      <x:c r="K289" s="18" t="str">
        <x:v>transport-node:1f47878f-ec97-518e-89a8-49f91f64095d</x:v>
      </x:c>
      <x:c r="L289" s="19" t="str">
        <x:v>组件待审核</x:v>
      </x:c>
      <x:c r="M289" s="21" t="n">
        <x:v>35.6302525</x:v>
      </x:c>
      <x:c r="N289" s="21" t="n">
        <x:v>139.448165</x:v>
      </x:c>
      <x:c r="O289" s="18" t="str">
        <x:v>004086</x:v>
      </x:c>
      <x:c r="P289" s="18" t="str">
        <x:v>相模原線</x:v>
      </x:c>
      <x:c r="Q289" s="19" t="str">
        <x:v>S12_061_GE_10000
OFFICIAL_HUB_COMPONENT_REVIEW</x:v>
      </x:c>
      <x:c r="R289" s="19" t="str">
        <x:v>S12_061 usage threshold</x:v>
      </x:c>
      <x:c r="S289" s="19" t="str">
        <x:v>https://nlftp.mlit.go.jp/ksj/gml/datalist/KsjTmplt-S12-2024.html</x:v>
      </x:c>
      <x:c r="T289" s="19" t="str">
        <x:v>https://nlftp.mlit.go.jp/ksj/gml/datalist/KsjTmplt-S12-2024.html
https://www.odakyu.jp/station/</x:v>
      </x:c>
      <x:c r="U289" s="19" t="str">
        <x:v>station-component|京王永山|京王電鉄|private_rail|35.6303|139.4482|</x:v>
      </x:c>
      <x:c r="V289" s="19" t="str">
        <x:v>004086 / 004086 / 相模原線</x:v>
      </x:c>
      <x:c r="W289" s="18" t="str">
        <x:v>否</x:v>
      </x:c>
      <x:c r="X289" s="18" t="str">
        <x:v>0785e932a32b3ec15e1a1345537ae145eafe1c07bf38d5c16c11ee2b391e7a28</x:v>
      </x:c>
      <x:c r="Y289" s="20" t="n">
        <x:v>1</x:v>
      </x:c>
      <x:c r="Z289" s="20" t="n">
        <x:v>1</x:v>
      </x:c>
      <x:c r="AA289" s="19" t="str">
        <x:v>永山</x:v>
      </x:c>
      <x:c r="AB289" s="18" t="str">
        <x:v>transport-hub-review:f0a76c74-ad31-5fae-91d6-c6b7da6e0a2e</x:v>
      </x:c>
      <x:c r="AC289" s="19"/>
    </x:row>
    <x:row r="290" ht="28" customHeight="1">
      <x:c r="A290" s="18" t="str">
        <x:v>京王稲田堤</x:v>
      </x:c>
      <x:c r="B290" s="18" t="str">
        <x:v>京王電鉄</x:v>
      </x:c>
      <x:c r="C290" s="18" t="str">
        <x:v>private_rail</x:v>
      </x:c>
      <x:c r="D290" s="19" t="str">
        <x:v>T1</x:v>
      </x:c>
      <x:c r="E290" s="20" t="n">
        <x:v>50725</x:v>
      </x:c>
      <x:c r="F290" s="18" t="str">
        <x:v>persons/day</x:v>
      </x:c>
      <x:c r="G290" s="18" t="str">
        <x:v>FY2024</x:v>
      </x:c>
      <x:c r="H290" s="18" t="str">
        <x:v>否</x:v>
      </x:c>
      <x:c r="I290" s="19" t="str">
        <x:v>DAILY_ENTRIES_EXITS</x:v>
      </x:c>
      <x:c r="J290" s="19" t="str">
        <x:v>相模原線</x:v>
      </x:c>
      <x:c r="K290" s="18" t="str">
        <x:v>transport-node:b7e81fc0-4ef0-50af-855d-8996070c703c</x:v>
      </x:c>
      <x:c r="L290" s="19" t="str">
        <x:v>组件待审核</x:v>
      </x:c>
      <x:c r="M290" s="21" t="n">
        <x:v>35.6341682</x:v>
      </x:c>
      <x:c r="N290" s="21" t="n">
        <x:v>139.5319427</x:v>
      </x:c>
      <x:c r="O290" s="18" t="str">
        <x:v>004066</x:v>
      </x:c>
      <x:c r="P290" s="18" t="str">
        <x:v>相模原線</x:v>
      </x:c>
      <x:c r="Q290" s="19" t="str">
        <x:v>S12_061_GE_10000</x:v>
      </x:c>
      <x:c r="R290" s="19" t="str">
        <x:v>S12_061 usage threshold</x:v>
      </x:c>
      <x:c r="S290" s="19" t="str">
        <x:v>https://nlftp.mlit.go.jp/ksj/gml/datalist/KsjTmplt-S12-2024.html</x:v>
      </x:c>
      <x:c r="T290" s="19" t="str">
        <x:v>https://nlftp.mlit.go.jp/ksj/gml/datalist/KsjTmplt-S12-2024.html</x:v>
      </x:c>
      <x:c r="U290" s="19" t="str">
        <x:v>station-component|京王稲田堤|京王電鉄|private_rail|35.6342|139.5319|</x:v>
      </x:c>
      <x:c r="V290" s="19" t="str">
        <x:v>004066 / 004066 / 相模原線</x:v>
      </x:c>
      <x:c r="W290" s="18" t="str">
        <x:v>否</x:v>
      </x:c>
      <x:c r="X290" s="18" t="str">
        <x:v>0785e932a32b3ec15e1a1345537ae145eafe1c07bf38d5c16c11ee2b391e7a28</x:v>
      </x:c>
      <x:c r="Y290" s="20" t="n">
        <x:v>1</x:v>
      </x:c>
      <x:c r="Z290" s="20" t="n">
        <x:v>1</x:v>
      </x:c>
      <x:c r="AA290" s="19"/>
      <x:c r="AB290" s="18"/>
      <x:c r="AC290" s="19"/>
    </x:row>
    <x:row r="291" ht="28" customHeight="1">
      <x:c r="A291" s="18" t="str">
        <x:v>京田辺</x:v>
      </x:c>
      <x:c r="B291" s="18" t="str">
        <x:v>西日本旅客鉄道</x:v>
      </x:c>
      <x:c r="C291" s="18" t="str">
        <x:v>conventional_rail</x:v>
      </x:c>
      <x:c r="D291" s="19" t="str">
        <x:v>T2</x:v>
      </x:c>
      <x:c r="E291" s="20" t="n">
        <x:v>12272</x:v>
      </x:c>
      <x:c r="F291" s="18" t="str">
        <x:v>persons/day</x:v>
      </x:c>
      <x:c r="G291" s="18" t="str">
        <x:v>FY2024</x:v>
      </x:c>
      <x:c r="H291" s="18" t="str">
        <x:v>否</x:v>
      </x:c>
      <x:c r="I291" s="19" t="str">
        <x:v>DAILY_ENTRIES_EXITS</x:v>
      </x:c>
      <x:c r="J291" s="19" t="str">
        <x:v>片町線</x:v>
      </x:c>
      <x:c r="K291" s="18" t="str">
        <x:v>transport-node:96f6fdcc-7540-597e-addc-40b0eadbd27c</x:v>
      </x:c>
      <x:c r="L291" s="19" t="str">
        <x:v>组件待审核</x:v>
      </x:c>
      <x:c r="M291" s="21" t="n">
        <x:v>34.8218033</x:v>
      </x:c>
      <x:c r="N291" s="21" t="n">
        <x:v>135.7682967</x:v>
      </x:c>
      <x:c r="O291" s="18" t="str">
        <x:v>006534</x:v>
      </x:c>
      <x:c r="P291" s="18" t="str">
        <x:v>片町線</x:v>
      </x:c>
      <x:c r="Q291" s="19" t="str">
        <x:v>S12_061_GE_10000</x:v>
      </x:c>
      <x:c r="R291" s="19" t="str">
        <x:v>S12_061 usage threshold</x:v>
      </x:c>
      <x:c r="S291" s="19" t="str">
        <x:v>https://nlftp.mlit.go.jp/ksj/gml/datalist/KsjTmplt-S12-2024.html</x:v>
      </x:c>
      <x:c r="T291" s="19" t="str">
        <x:v>https://nlftp.mlit.go.jp/ksj/gml/datalist/KsjTmplt-S12-2024.html</x:v>
      </x:c>
      <x:c r="U291" s="19" t="str">
        <x:v>station-component|京田辺|西日本旅客鉄道|conventional_rail|34.8218|135.7683|</x:v>
      </x:c>
      <x:c r="V291" s="19" t="str">
        <x:v>006534 / 006534 / 片町線</x:v>
      </x:c>
      <x:c r="W291" s="18" t="str">
        <x:v>否</x:v>
      </x:c>
      <x:c r="X291" s="18" t="str">
        <x:v>0785e932a32b3ec15e1a1345537ae145eafe1c07bf38d5c16c11ee2b391e7a28</x:v>
      </x:c>
      <x:c r="Y291" s="20" t="n">
        <x:v>1</x:v>
      </x:c>
      <x:c r="Z291" s="20" t="n">
        <x:v>1</x:v>
      </x:c>
      <x:c r="AA291" s="19"/>
      <x:c r="AB291" s="18"/>
      <x:c r="AC291" s="19"/>
    </x:row>
    <x:row r="292" ht="33" customHeight="1">
      <x:c r="A292" s="18" t="str">
        <x:v>京都</x:v>
      </x:c>
      <x:c r="B292" s="18" t="str">
        <x:v>京都市</x:v>
      </x:c>
      <x:c r="C292" s="18" t="str">
        <x:v>metro</x:v>
      </x:c>
      <x:c r="D292" s="19" t="str">
        <x:v>T1</x:v>
      </x:c>
      <x:c r="E292" s="20" t="n">
        <x:v>136152</x:v>
      </x:c>
      <x:c r="F292" s="18" t="str">
        <x:v>persons/day</x:v>
      </x:c>
      <x:c r="G292" s="18" t="str">
        <x:v>FY2024</x:v>
      </x:c>
      <x:c r="H292" s="18" t="str">
        <x:v>否</x:v>
      </x:c>
      <x:c r="I292" s="19" t="str">
        <x:v>DAILY_ENTRIES_EXITS</x:v>
      </x:c>
      <x:c r="J292" s="19" t="str">
        <x:v>烏丸線</x:v>
      </x:c>
      <x:c r="K292" s="18" t="str">
        <x:v>transport-node:5e51de85-cd37-5d05-90d2-8e2f67ebe5e4</x:v>
      </x:c>
      <x:c r="L292" s="19" t="str">
        <x:v>组件待审核</x:v>
      </x:c>
      <x:c r="M292" s="21" t="n">
        <x:v>34.986565</x:v>
      </x:c>
      <x:c r="N292" s="21" t="n">
        <x:v>135.75988</x:v>
      </x:c>
      <x:c r="O292" s="18" t="str">
        <x:v>006074</x:v>
      </x:c>
      <x:c r="P292" s="18" t="str">
        <x:v>烏丸線</x:v>
      </x:c>
      <x:c r="Q292" s="19" t="str">
        <x:v>S12_061_GE_10000
OFFICIAL_HUB_COMPONENT_REVIEW</x:v>
      </x:c>
      <x:c r="R292" s="19" t="str">
        <x:v>S12_061 usage threshold</x:v>
      </x:c>
      <x:c r="S292" s="19" t="str">
        <x:v>https://nlftp.mlit.go.jp/ksj/gml/datalist/KsjTmplt-S12-2024.html</x:v>
      </x:c>
      <x:c r="T292" s="19" t="str">
        <x:v>https://nlftp.mlit.go.jp/ksj/gml/datalist/KsjTmplt-S12-2024.html
https://www.kintetsu.co.jp/soukatsu/kounai/kyoto.html</x:v>
      </x:c>
      <x:c r="U292" s="19" t="str">
        <x:v>station-component|京都|京都市|metro|34.9866|135.7599|</x:v>
      </x:c>
      <x:c r="V292" s="19" t="str">
        <x:v>006079 / 006074 / 烏丸線</x:v>
      </x:c>
      <x:c r="W292" s="18" t="str">
        <x:v>否</x:v>
      </x:c>
      <x:c r="X292" s="18" t="str">
        <x:v>0785e932a32b3ec15e1a1345537ae145eafe1c07bf38d5c16c11ee2b391e7a28</x:v>
      </x:c>
      <x:c r="Y292" s="20" t="n">
        <x:v>1</x:v>
      </x:c>
      <x:c r="Z292" s="20" t="n">
        <x:v>1</x:v>
      </x:c>
      <x:c r="AA292" s="19" t="str">
        <x:v>京都</x:v>
      </x:c>
      <x:c r="AB292" s="18" t="str">
        <x:v>transport-hub-review:bb7109cb-e851-5545-9257-7241c7415453</x:v>
      </x:c>
      <x:c r="AC292" s="19"/>
    </x:row>
    <x:row r="293" ht="47" customHeight="1">
      <x:c r="A293" s="18" t="str">
        <x:v>京都</x:v>
      </x:c>
      <x:c r="B293" s="18" t="str">
        <x:v>東海旅客鉄道</x:v>
      </x:c>
      <x:c r="C293" s="18" t="str">
        <x:v>shinkansen</x:v>
      </x:c>
      <x:c r="D293" s="19" t="str">
        <x:v>T1</x:v>
      </x:c>
      <x:c r="E293" s="20" t="n">
        <x:v>83475</x:v>
      </x:c>
      <x:c r="F293" s="18" t="str">
        <x:v>persons/day</x:v>
      </x:c>
      <x:c r="G293" s="18" t="str">
        <x:v>FY2024</x:v>
      </x:c>
      <x:c r="H293" s="18" t="str">
        <x:v>否</x:v>
      </x:c>
      <x:c r="I293" s="19" t="str">
        <x:v>DAILY_ENTRIES_EXITS</x:v>
      </x:c>
      <x:c r="J293" s="19" t="str">
        <x:v>東海道新幹線</x:v>
      </x:c>
      <x:c r="K293" s="18" t="str">
        <x:v>transport-node:dff8fb86-945e-5e85-be39-264aa07b9064</x:v>
      </x:c>
      <x:c r="L293" s="19" t="str">
        <x:v>组件待审核</x:v>
      </x:c>
      <x:c r="M293" s="21" t="n">
        <x:v>34.9846133</x:v>
      </x:c>
      <x:c r="N293" s="21" t="n">
        <x:v>135.7583433</x:v>
      </x:c>
      <x:c r="O293" s="18" t="str">
        <x:v>006083</x:v>
      </x:c>
      <x:c r="P293" s="18" t="str">
        <x:v>東海道新幹線</x:v>
      </x:c>
      <x:c r="Q293" s="19" t="str">
        <x:v>S12_061_GE_10000
SHINKANSEN
OFFICIAL_HUB_COMPONENT_REVIEW</x:v>
      </x:c>
      <x:c r="R293" s="19" t="str">
        <x:v>S12_061 usage threshold</x:v>
      </x:c>
      <x:c r="S293" s="19" t="str">
        <x:v>https://nlftp.mlit.go.jp/ksj/gml/datalist/KsjTmplt-S12-2024.html</x:v>
      </x:c>
      <x:c r="T293" s="19" t="str">
        <x:v>https://nlftp.mlit.go.jp/ksj/gml/datalist/KsjTmplt-S12-2024.html
https://www.kintetsu.co.jp/soukatsu/kounai/kyoto.html</x:v>
      </x:c>
      <x:c r="U293" s="19" t="str">
        <x:v>station-component|京都|東海旅客鉄道|shinkansen|34.9846|135.7583|</x:v>
      </x:c>
      <x:c r="V293" s="19" t="str">
        <x:v>006079 / 006083 / 東海道新幹線</x:v>
      </x:c>
      <x:c r="W293" s="18" t="str">
        <x:v>否</x:v>
      </x:c>
      <x:c r="X293" s="18" t="str">
        <x:v>0785e932a32b3ec15e1a1345537ae145eafe1c07bf38d5c16c11ee2b391e7a28</x:v>
      </x:c>
      <x:c r="Y293" s="20" t="n">
        <x:v>1</x:v>
      </x:c>
      <x:c r="Z293" s="20" t="n">
        <x:v>1</x:v>
      </x:c>
      <x:c r="AA293" s="19" t="str">
        <x:v>京都</x:v>
      </x:c>
      <x:c r="AB293" s="18" t="str">
        <x:v>transport-hub-review:bb7109cb-e851-5545-9257-7241c7415453</x:v>
      </x:c>
      <x:c r="AC293" s="19"/>
    </x:row>
    <x:row r="294" ht="47" customHeight="1">
      <x:c r="A294" s="18" t="str">
        <x:v>京都</x:v>
      </x:c>
      <x:c r="B294" s="18" t="str">
        <x:v>西日本旅客鉄道</x:v>
      </x:c>
      <x:c r="C294" s="18" t="str">
        <x:v>conventional_rail</x:v>
      </x:c>
      <x:c r="D294" s="19" t="str">
        <x:v>T0</x:v>
      </x:c>
      <x:c r="E294" s="20" t="n">
        <x:v>344080</x:v>
      </x:c>
      <x:c r="F294" s="18" t="str">
        <x:v>persons/day</x:v>
      </x:c>
      <x:c r="G294" s="18" t="str">
        <x:v>FY2024</x:v>
      </x:c>
      <x:c r="H294" s="18" t="str">
        <x:v>否</x:v>
      </x:c>
      <x:c r="I294" s="19" t="str">
        <x:v>DAILY_ENTRIES_EXITS</x:v>
      </x:c>
      <x:c r="J294" s="19" t="str">
        <x:v>奈良線
山陰線
東海道線</x:v>
      </x:c>
      <x:c r="K294" s="18" t="str">
        <x:v>transport-node:966ea408-4a7f-5295-b2a9-5b5f523971b0</x:v>
      </x:c>
      <x:c r="L294" s="19" t="str">
        <x:v>组件待审核</x:v>
      </x:c>
      <x:c r="M294" s="21" t="n">
        <x:v>34.9856633</x:v>
      </x:c>
      <x:c r="N294" s="21" t="n">
        <x:v>135.75858</x:v>
      </x:c>
      <x:c r="O294" s="18" t="str">
        <x:v>006077</x:v>
      </x:c>
      <x:c r="P294" s="18" t="str">
        <x:v>東海道線</x:v>
      </x:c>
      <x:c r="Q294" s="19" t="str">
        <x:v>S12_061_GE_10000
OFFICIAL_HUB_COMPONENT_REVIEW</x:v>
      </x:c>
      <x:c r="R294" s="19" t="str">
        <x:v>S12_061 usage threshold</x:v>
      </x:c>
      <x:c r="S294" s="19" t="str">
        <x:v>https://nlftp.mlit.go.jp/ksj/gml/datalist/KsjTmplt-S12-2024.html</x:v>
      </x:c>
      <x:c r="T294" s="19" t="str">
        <x:v>https://nlftp.mlit.go.jp/ksj/gml/datalist/KsjTmplt-S12-2024.html
https://www.kintetsu.co.jp/soukatsu/kounai/kyoto.html</x:v>
      </x:c>
      <x:c r="U294" s="19" t="str">
        <x:v>station-component|京都|西日本旅客鉄道|conventional_rail|34.9857|135.7586|</x:v>
      </x:c>
      <x:c r="V294" s="19" t="str">
        <x:v>006079 / 006076 / 山陰線
006079 / 006077 / 東海道線
006079 / 006079 / 奈良線</x:v>
      </x:c>
      <x:c r="W294" s="18" t="str">
        <x:v>否</x:v>
      </x:c>
      <x:c r="X294" s="18" t="str">
        <x:v>0785e932a32b3ec15e1a1345537ae145eafe1c07bf38d5c16c11ee2b391e7a28</x:v>
      </x:c>
      <x:c r="Y294" s="20" t="n">
        <x:v>1</x:v>
      </x:c>
      <x:c r="Z294" s="20" t="n">
        <x:v>1</x:v>
      </x:c>
      <x:c r="AA294" s="19" t="str">
        <x:v>京都</x:v>
      </x:c>
      <x:c r="AB294" s="18" t="str">
        <x:v>transport-hub-review:bb7109cb-e851-5545-9257-7241c7415453</x:v>
      </x:c>
      <x:c r="AC294" s="19"/>
    </x:row>
    <x:row r="295" ht="33" customHeight="1">
      <x:c r="A295" s="18" t="str">
        <x:v>京都</x:v>
      </x:c>
      <x:c r="B295" s="18" t="str">
        <x:v>近畿日本鉄道</x:v>
      </x:c>
      <x:c r="C295" s="18" t="str">
        <x:v>private_rail</x:v>
      </x:c>
      <x:c r="D295" s="19" t="str">
        <x:v>T1</x:v>
      </x:c>
      <x:c r="E295" s="20" t="n">
        <x:v>74924</x:v>
      </x:c>
      <x:c r="F295" s="18" t="str">
        <x:v>persons/day</x:v>
      </x:c>
      <x:c r="G295" s="18" t="str">
        <x:v>FY2024</x:v>
      </x:c>
      <x:c r="H295" s="18" t="str">
        <x:v>否</x:v>
      </x:c>
      <x:c r="I295" s="19" t="str">
        <x:v>DAILY_ENTRIES_EXITS</x:v>
      </x:c>
      <x:c r="J295" s="19" t="str">
        <x:v>京都線</x:v>
      </x:c>
      <x:c r="K295" s="18" t="str">
        <x:v>transport-node:1b1ccd0e-18a4-5ef6-90d3-60d1dcb776ea</x:v>
      </x:c>
      <x:c r="L295" s="19" t="str">
        <x:v>组件待审核</x:v>
      </x:c>
      <x:c r="M295" s="21" t="n">
        <x:v>34.9846133</x:v>
      </x:c>
      <x:c r="N295" s="21" t="n">
        <x:v>135.7583433</x:v>
      </x:c>
      <x:c r="O295" s="18" t="str">
        <x:v>006084</x:v>
      </x:c>
      <x:c r="P295" s="18" t="str">
        <x:v>京都線</x:v>
      </x:c>
      <x:c r="Q295" s="19" t="str">
        <x:v>S12_061_GE_10000
OFFICIAL_HUB_COMPONENT_REVIEW</x:v>
      </x:c>
      <x:c r="R295" s="19" t="str">
        <x:v>S12_061 usage threshold</x:v>
      </x:c>
      <x:c r="S295" s="19" t="str">
        <x:v>https://nlftp.mlit.go.jp/ksj/gml/datalist/KsjTmplt-S12-2024.html</x:v>
      </x:c>
      <x:c r="T295" s="19" t="str">
        <x:v>https://nlftp.mlit.go.jp/ksj/gml/datalist/KsjTmplt-S12-2024.html
https://www.kintetsu.co.jp/soukatsu/kounai/kyoto.html</x:v>
      </x:c>
      <x:c r="U295" s="19" t="str">
        <x:v>station-component|京都|近畿日本鉄道|private_rail|34.9846|135.7583|</x:v>
      </x:c>
      <x:c r="V295" s="19" t="str">
        <x:v>006079 / 006084 / 京都線</x:v>
      </x:c>
      <x:c r="W295" s="18" t="str">
        <x:v>否</x:v>
      </x:c>
      <x:c r="X295" s="18" t="str">
        <x:v>0785e932a32b3ec15e1a1345537ae145eafe1c07bf38d5c16c11ee2b391e7a28</x:v>
      </x:c>
      <x:c r="Y295" s="20" t="n">
        <x:v>1</x:v>
      </x:c>
      <x:c r="Z295" s="20" t="n">
        <x:v>1</x:v>
      </x:c>
      <x:c r="AA295" s="19" t="str">
        <x:v>京都</x:v>
      </x:c>
      <x:c r="AB295" s="18" t="str">
        <x:v>transport-hub-review:bb7109cb-e851-5545-9257-7241c7415453</x:v>
      </x:c>
      <x:c r="AC295" s="19"/>
    </x:row>
    <x:row r="296" ht="28" customHeight="1">
      <x:c r="A296" s="18" t="str">
        <x:v>京都市役所前</x:v>
      </x:c>
      <x:c r="B296" s="18" t="str">
        <x:v>京都市</x:v>
      </x:c>
      <x:c r="C296" s="18" t="str">
        <x:v>metro</x:v>
      </x:c>
      <x:c r="D296" s="19" t="str">
        <x:v>T2</x:v>
      </x:c>
      <x:c r="E296" s="20" t="n">
        <x:v>26828</x:v>
      </x:c>
      <x:c r="F296" s="18" t="str">
        <x:v>persons/day</x:v>
      </x:c>
      <x:c r="G296" s="18" t="str">
        <x:v>FY2024</x:v>
      </x:c>
      <x:c r="H296" s="18" t="str">
        <x:v>否</x:v>
      </x:c>
      <x:c r="I296" s="19" t="str">
        <x:v>DAILY_ENTRIES_EXITS</x:v>
      </x:c>
      <x:c r="J296" s="19" t="str">
        <x:v>東西線</x:v>
      </x:c>
      <x:c r="K296" s="18" t="str">
        <x:v>transport-node:4dedf5cb-32f3-5154-bf82-97769ac43bc7</x:v>
      </x:c>
      <x:c r="L296" s="19" t="str">
        <x:v>组件待审核</x:v>
      </x:c>
      <x:c r="M296" s="21" t="n">
        <x:v>35.01091</x:v>
      </x:c>
      <x:c r="N296" s="21" t="n">
        <x:v>135.76895</x:v>
      </x:c>
      <x:c r="O296" s="18" t="str">
        <x:v>005960</x:v>
      </x:c>
      <x:c r="P296" s="18" t="str">
        <x:v>東西線</x:v>
      </x:c>
      <x:c r="Q296" s="19" t="str">
        <x:v>S12_061_GE_10000</x:v>
      </x:c>
      <x:c r="R296" s="19" t="str">
        <x:v>S12_061 usage threshold</x:v>
      </x:c>
      <x:c r="S296" s="19" t="str">
        <x:v>https://nlftp.mlit.go.jp/ksj/gml/datalist/KsjTmplt-S12-2024.html</x:v>
      </x:c>
      <x:c r="T296" s="19" t="str">
        <x:v>https://nlftp.mlit.go.jp/ksj/gml/datalist/KsjTmplt-S12-2024.html</x:v>
      </x:c>
      <x:c r="U296" s="19" t="str">
        <x:v>station-component|京都市役所前|京都市|metro|35.0109|135.7689|</x:v>
      </x:c>
      <x:c r="V296" s="19" t="str">
        <x:v>005960 / 005960 / 東西線</x:v>
      </x:c>
      <x:c r="W296" s="18" t="str">
        <x:v>否</x:v>
      </x:c>
      <x:c r="X296" s="18" t="str">
        <x:v>0785e932a32b3ec15e1a1345537ae145eafe1c07bf38d5c16c11ee2b391e7a28</x:v>
      </x:c>
      <x:c r="Y296" s="20" t="n">
        <x:v>1</x:v>
      </x:c>
      <x:c r="Z296" s="20" t="n">
        <x:v>1</x:v>
      </x:c>
      <x:c r="AA296" s="19"/>
      <x:c r="AB296" s="18"/>
      <x:c r="AC296" s="19"/>
    </x:row>
    <x:row r="297" ht="33" customHeight="1">
      <x:c r="A297" s="18" t="str">
        <x:v>京都河原町</x:v>
      </x:c>
      <x:c r="B297" s="18" t="str">
        <x:v>阪急電鉄</x:v>
      </x:c>
      <x:c r="C297" s="18" t="str">
        <x:v>private_rail</x:v>
      </x:c>
      <x:c r="D297" s="19" t="str">
        <x:v>T1</x:v>
      </x:c>
      <x:c r="E297" s="20" t="n">
        <x:v>68801</x:v>
      </x:c>
      <x:c r="F297" s="18" t="str">
        <x:v>persons/day</x:v>
      </x:c>
      <x:c r="G297" s="18" t="str">
        <x:v>FY2024</x:v>
      </x:c>
      <x:c r="H297" s="18" t="str">
        <x:v>否</x:v>
      </x:c>
      <x:c r="I297" s="19" t="str">
        <x:v>DAILY_ENTRIES_EXITS</x:v>
      </x:c>
      <x:c r="J297" s="19" t="str">
        <x:v>京都線</x:v>
      </x:c>
      <x:c r="K297" s="18" t="str">
        <x:v>transport-node:d2a5d6a3-68be-59e0-bc3c-e7d86908d144</x:v>
      </x:c>
      <x:c r="L297" s="19" t="str">
        <x:v>组件待审核</x:v>
      </x:c>
      <x:c r="M297" s="21" t="n">
        <x:v>35.00378</x:v>
      </x:c>
      <x:c r="N297" s="21" t="n">
        <x:v>135.7687233</x:v>
      </x:c>
      <x:c r="O297" s="18" t="str">
        <x:v>005990</x:v>
      </x:c>
      <x:c r="P297" s="18" t="str">
        <x:v>京都線</x:v>
      </x:c>
      <x:c r="Q297" s="19" t="str">
        <x:v>S12_061_GE_10000
OFFICIAL_HUB_COMPONENT_REVIEW</x:v>
      </x:c>
      <x:c r="R297" s="19" t="str">
        <x:v>S12_061 usage threshold</x:v>
      </x:c>
      <x:c r="S297" s="19" t="str">
        <x:v>https://nlftp.mlit.go.jp/ksj/gml/datalist/KsjTmplt-S12-2024.html</x:v>
      </x:c>
      <x:c r="T297" s="19" t="str">
        <x:v>https://nlftp.mlit.go.jp/ksj/gml/datalist/KsjTmplt-S12-2024.html
https://www.hankyu.co.jp/station/index.html</x:v>
      </x:c>
      <x:c r="U297" s="19" t="str">
        <x:v>station-component|京都河原町|阪急電鉄|private_rail|35.0038|135.7687|</x:v>
      </x:c>
      <x:c r="V297" s="19" t="str">
        <x:v>005990 / 005990 / 京都線</x:v>
      </x:c>
      <x:c r="W297" s="18" t="str">
        <x:v>否</x:v>
      </x:c>
      <x:c r="X297" s="18" t="str">
        <x:v>0785e932a32b3ec15e1a1345537ae145eafe1c07bf38d5c16c11ee2b391e7a28</x:v>
      </x:c>
      <x:c r="Y297" s="20" t="n">
        <x:v>1</x:v>
      </x:c>
      <x:c r="Z297" s="20" t="n">
        <x:v>1</x:v>
      </x:c>
      <x:c r="AA297" s="19" t="str">
        <x:v>京都河原町・祇園四条</x:v>
      </x:c>
      <x:c r="AB297" s="18" t="str">
        <x:v>transport-hub-review:d1d65bc5-c59c-5b6b-8e0c-2a7136d43f14</x:v>
      </x:c>
      <x:c r="AC297" s="19"/>
    </x:row>
    <x:row r="298" ht="33" customHeight="1">
      <x:c r="A298" s="18" t="str">
        <x:v>人形町</x:v>
      </x:c>
      <x:c r="B298" s="18" t="str">
        <x:v>東京地下鉄</x:v>
      </x:c>
      <x:c r="C298" s="18" t="str">
        <x:v>metro</x:v>
      </x:c>
      <x:c r="D298" s="19" t="str">
        <x:v>T1</x:v>
      </x:c>
      <x:c r="E298" s="20" t="n">
        <x:v>65187</x:v>
      </x:c>
      <x:c r="F298" s="18" t="str">
        <x:v>persons/day</x:v>
      </x:c>
      <x:c r="G298" s="18" t="str">
        <x:v>FY2024</x:v>
      </x:c>
      <x:c r="H298" s="18" t="str">
        <x:v>否</x:v>
      </x:c>
      <x:c r="I298" s="19" t="str">
        <x:v>DAILY_ENTRIES_EXITS</x:v>
      </x:c>
      <x:c r="J298" s="19" t="str">
        <x:v>2号線日比谷線</x:v>
      </x:c>
      <x:c r="K298" s="18" t="str">
        <x:v>transport-node:2395befb-29c9-505d-986f-f1cd4660e2d4</x:v>
      </x:c>
      <x:c r="L298" s="19" t="str">
        <x:v>组件待审核</x:v>
      </x:c>
      <x:c r="M298" s="21" t="n">
        <x:v>35.6860775</x:v>
      </x:c>
      <x:c r="N298" s="21" t="n">
        <x:v>139.782495</x:v>
      </x:c>
      <x:c r="O298" s="18" t="str">
        <x:v>003722</x:v>
      </x:c>
      <x:c r="P298" s="18" t="str">
        <x:v>2号線日比谷線</x:v>
      </x:c>
      <x:c r="Q298" s="19" t="str">
        <x:v>S12_061_GE_10000
OFFICIAL_HUB_COMPONENT_REVIEW</x:v>
      </x:c>
      <x:c r="R298" s="19" t="str">
        <x:v>S12_061 usage threshold</x:v>
      </x:c>
      <x:c r="S298" s="19" t="str">
        <x:v>https://nlftp.mlit.go.jp/ksj/gml/datalist/KsjTmplt-S12-2024.html</x:v>
      </x:c>
      <x:c r="T298" s="19" t="str">
        <x:v>https://nlftp.mlit.go.jp/ksj/gml/datalist/KsjTmplt-S12-2024.html
https://www.tokyometro.jp/station/ningyocho/index.html</x:v>
      </x:c>
      <x:c r="U298" s="19" t="str">
        <x:v>station-component|人形町|東京地下鉄|metro|35.6861|139.7825|</x:v>
      </x:c>
      <x:c r="V298" s="19" t="str">
        <x:v>003721 / 003722 / 2号線日比谷線</x:v>
      </x:c>
      <x:c r="W298" s="18" t="str">
        <x:v>否</x:v>
      </x:c>
      <x:c r="X298" s="18" t="str">
        <x:v>0785e932a32b3ec15e1a1345537ae145eafe1c07bf38d5c16c11ee2b391e7a28</x:v>
      </x:c>
      <x:c r="Y298" s="20" t="n">
        <x:v>1</x:v>
      </x:c>
      <x:c r="Z298" s="20" t="n">
        <x:v>1</x:v>
      </x:c>
      <x:c r="AA298" s="19" t="str">
        <x:v>人形町・水天宮前</x:v>
      </x:c>
      <x:c r="AB298" s="18" t="str">
        <x:v>transport-hub-review:76cbe37f-dbdc-5add-9497-0a4659fbcb8c</x:v>
      </x:c>
      <x:c r="AC298" s="19"/>
    </x:row>
    <x:row r="299" ht="33" customHeight="1">
      <x:c r="A299" s="18" t="str">
        <x:v>人形町</x:v>
      </x:c>
      <x:c r="B299" s="18" t="str">
        <x:v>東京都</x:v>
      </x:c>
      <x:c r="C299" s="18" t="str">
        <x:v>metro</x:v>
      </x:c>
      <x:c r="D299" s="19" t="str">
        <x:v>T2</x:v>
      </x:c>
      <x:c r="E299" s="20" t="n">
        <x:v>34171</x:v>
      </x:c>
      <x:c r="F299" s="18" t="str">
        <x:v>persons/day</x:v>
      </x:c>
      <x:c r="G299" s="18" t="str">
        <x:v>FY2024</x:v>
      </x:c>
      <x:c r="H299" s="18" t="str">
        <x:v>否</x:v>
      </x:c>
      <x:c r="I299" s="19" t="str">
        <x:v>DAILY_ENTRIES_EXITS</x:v>
      </x:c>
      <x:c r="J299" s="19" t="str">
        <x:v>1号線浅草線</x:v>
      </x:c>
      <x:c r="K299" s="18" t="str">
        <x:v>transport-node:c09d0536-6ecf-5b66-a9c4-d989c3ae99b4</x:v>
      </x:c>
      <x:c r="L299" s="19" t="str">
        <x:v>组件待审核</x:v>
      </x:c>
      <x:c r="M299" s="21" t="n">
        <x:v>35.68627</x:v>
      </x:c>
      <x:c r="N299" s="21" t="n">
        <x:v>139.78204</x:v>
      </x:c>
      <x:c r="O299" s="18" t="str">
        <x:v>003721</x:v>
      </x:c>
      <x:c r="P299" s="18" t="str">
        <x:v>1号線浅草線</x:v>
      </x:c>
      <x:c r="Q299" s="19" t="str">
        <x:v>S12_061_GE_10000
OFFICIAL_HUB_COMPONENT_REVIEW</x:v>
      </x:c>
      <x:c r="R299" s="19" t="str">
        <x:v>S12_061 usage threshold</x:v>
      </x:c>
      <x:c r="S299" s="19" t="str">
        <x:v>https://nlftp.mlit.go.jp/ksj/gml/datalist/KsjTmplt-S12-2024.html</x:v>
      </x:c>
      <x:c r="T299" s="19" t="str">
        <x:v>https://nlftp.mlit.go.jp/ksj/gml/datalist/KsjTmplt-S12-2024.html
https://www.tokyometro.jp/station/ningyocho/index.html</x:v>
      </x:c>
      <x:c r="U299" s="19" t="str">
        <x:v>station-component|人形町|東京都|metro|35.6863|139.7820|</x:v>
      </x:c>
      <x:c r="V299" s="19" t="str">
        <x:v>003721 / 003721 / 1号線浅草線</x:v>
      </x:c>
      <x:c r="W299" s="18" t="str">
        <x:v>否</x:v>
      </x:c>
      <x:c r="X299" s="18" t="str">
        <x:v>0785e932a32b3ec15e1a1345537ae145eafe1c07bf38d5c16c11ee2b391e7a28</x:v>
      </x:c>
      <x:c r="Y299" s="20" t="n">
        <x:v>1</x:v>
      </x:c>
      <x:c r="Z299" s="20" t="n">
        <x:v>1</x:v>
      </x:c>
      <x:c r="AA299" s="19" t="str">
        <x:v>人形町・水天宮前</x:v>
      </x:c>
      <x:c r="AB299" s="18" t="str">
        <x:v>transport-hub-review:76cbe37f-dbdc-5add-9497-0a4659fbcb8c</x:v>
      </x:c>
      <x:c r="AC299" s="19"/>
    </x:row>
    <x:row r="300" ht="28" customHeight="1">
      <x:c r="A300" s="18" t="str">
        <x:v>仁川</x:v>
      </x:c>
      <x:c r="B300" s="18" t="str">
        <x:v>阪急電鉄</x:v>
      </x:c>
      <x:c r="C300" s="18" t="str">
        <x:v>private_rail</x:v>
      </x:c>
      <x:c r="D300" s="19" t="str">
        <x:v>T2</x:v>
      </x:c>
      <x:c r="E300" s="20" t="n">
        <x:v>20375</x:v>
      </x:c>
      <x:c r="F300" s="18" t="str">
        <x:v>persons/day</x:v>
      </x:c>
      <x:c r="G300" s="18" t="str">
        <x:v>FY2024</x:v>
      </x:c>
      <x:c r="H300" s="18" t="str">
        <x:v>否</x:v>
      </x:c>
      <x:c r="I300" s="19" t="str">
        <x:v>DAILY_ENTRIES_EXITS</x:v>
      </x:c>
      <x:c r="J300" s="19" t="str">
        <x:v>今津線</x:v>
      </x:c>
      <x:c r="K300" s="18" t="str">
        <x:v>transport-node:7e7e2d92-ff11-5eca-8051-9b3c5a1bfd78</x:v>
      </x:c>
      <x:c r="L300" s="19" t="str">
        <x:v>组件待审核</x:v>
      </x:c>
      <x:c r="M300" s="21" t="n">
        <x:v>34.77508</x:v>
      </x:c>
      <x:c r="N300" s="21" t="n">
        <x:v>135.35687</x:v>
      </x:c>
      <x:c r="O300" s="18" t="str">
        <x:v>006727</x:v>
      </x:c>
      <x:c r="P300" s="18" t="str">
        <x:v>今津線</x:v>
      </x:c>
      <x:c r="Q300" s="19" t="str">
        <x:v>S12_061_GE_10000</x:v>
      </x:c>
      <x:c r="R300" s="19" t="str">
        <x:v>S12_061 usage threshold</x:v>
      </x:c>
      <x:c r="S300" s="19" t="str">
        <x:v>https://nlftp.mlit.go.jp/ksj/gml/datalist/KsjTmplt-S12-2024.html</x:v>
      </x:c>
      <x:c r="T300" s="19" t="str">
        <x:v>https://nlftp.mlit.go.jp/ksj/gml/datalist/KsjTmplt-S12-2024.html</x:v>
      </x:c>
      <x:c r="U300" s="19" t="str">
        <x:v>station-component|仁川|阪急電鉄|private_rail|34.7751|135.3569|</x:v>
      </x:c>
      <x:c r="V300" s="19" t="str">
        <x:v>006727 / 006727 / 今津線</x:v>
      </x:c>
      <x:c r="W300" s="18" t="str">
        <x:v>否</x:v>
      </x:c>
      <x:c r="X300" s="18" t="str">
        <x:v>0785e932a32b3ec15e1a1345537ae145eafe1c07bf38d5c16c11ee2b391e7a28</x:v>
      </x:c>
      <x:c r="Y300" s="20" t="n">
        <x:v>1</x:v>
      </x:c>
      <x:c r="Z300" s="20" t="n">
        <x:v>1</x:v>
      </x:c>
      <x:c r="AA300" s="19"/>
      <x:c r="AB300" s="18"/>
      <x:c r="AC300" s="19"/>
    </x:row>
    <x:row r="301" ht="28" customHeight="1">
      <x:c r="A301" s="18" t="str">
        <x:v>今出川</x:v>
      </x:c>
      <x:c r="B301" s="18" t="str">
        <x:v>京都市</x:v>
      </x:c>
      <x:c r="C301" s="18" t="str">
        <x:v>metro</x:v>
      </x:c>
      <x:c r="D301" s="19" t="str">
        <x:v>T2</x:v>
      </x:c>
      <x:c r="E301" s="20" t="n">
        <x:v>26957</x:v>
      </x:c>
      <x:c r="F301" s="18" t="str">
        <x:v>persons/day</x:v>
      </x:c>
      <x:c r="G301" s="18" t="str">
        <x:v>FY2024</x:v>
      </x:c>
      <x:c r="H301" s="18" t="str">
        <x:v>否</x:v>
      </x:c>
      <x:c r="I301" s="19" t="str">
        <x:v>DAILY_ENTRIES_EXITS</x:v>
      </x:c>
      <x:c r="J301" s="19" t="str">
        <x:v>烏丸線</x:v>
      </x:c>
      <x:c r="K301" s="18" t="str">
        <x:v>transport-node:6318ab2d-3259-5ed7-b8c5-12e98b92b68c</x:v>
      </x:c>
      <x:c r="L301" s="19" t="str">
        <x:v>组件待审核</x:v>
      </x:c>
      <x:c r="M301" s="21" t="n">
        <x:v>35.030058</x:v>
      </x:c>
      <x:c r="N301" s="21" t="n">
        <x:v>135.759334</x:v>
      </x:c>
      <x:c r="O301" s="18" t="str">
        <x:v>005877</x:v>
      </x:c>
      <x:c r="P301" s="18" t="str">
        <x:v>烏丸線</x:v>
      </x:c>
      <x:c r="Q301" s="19" t="str">
        <x:v>S12_061_GE_10000</x:v>
      </x:c>
      <x:c r="R301" s="19" t="str">
        <x:v>S12_061 usage threshold</x:v>
      </x:c>
      <x:c r="S301" s="19" t="str">
        <x:v>https://nlftp.mlit.go.jp/ksj/gml/datalist/KsjTmplt-S12-2024.html</x:v>
      </x:c>
      <x:c r="T301" s="19" t="str">
        <x:v>https://nlftp.mlit.go.jp/ksj/gml/datalist/KsjTmplt-S12-2024.html</x:v>
      </x:c>
      <x:c r="U301" s="19" t="str">
        <x:v>station-component|今出川|京都市|metro|35.0301|135.7593|</x:v>
      </x:c>
      <x:c r="V301" s="19" t="str">
        <x:v>005877 / 005877 / 烏丸線</x:v>
      </x:c>
      <x:c r="W301" s="18" t="str">
        <x:v>否</x:v>
      </x:c>
      <x:c r="X301" s="18" t="str">
        <x:v>0785e932a32b3ec15e1a1345537ae145eafe1c07bf38d5c16c11ee2b391e7a28</x:v>
      </x:c>
      <x:c r="Y301" s="20" t="n">
        <x:v>1</x:v>
      </x:c>
      <x:c r="Z301" s="20" t="n">
        <x:v>1</x:v>
      </x:c>
      <x:c r="AA301" s="19"/>
      <x:c r="AB301" s="18"/>
      <x:c r="AC301" s="19"/>
    </x:row>
    <x:row r="302" ht="28" customHeight="1">
      <x:c r="A302" s="18" t="str">
        <x:v>今宿</x:v>
      </x:c>
      <x:c r="B302" s="18" t="str">
        <x:v>九州旅客鉄道</x:v>
      </x:c>
      <x:c r="C302" s="18" t="str">
        <x:v>conventional_rail</x:v>
      </x:c>
      <x:c r="D302" s="19" t="str">
        <x:v>T2</x:v>
      </x:c>
      <x:c r="E302" s="20" t="n">
        <x:v>10964</x:v>
      </x:c>
      <x:c r="F302" s="18" t="str">
        <x:v>persons/day</x:v>
      </x:c>
      <x:c r="G302" s="18" t="str">
        <x:v>FY2024</x:v>
      </x:c>
      <x:c r="H302" s="18" t="str">
        <x:v>否</x:v>
      </x:c>
      <x:c r="I302" s="19" t="str">
        <x:v>DAILY_ENTRIES_EXITS</x:v>
      </x:c>
      <x:c r="J302" s="19" t="str">
        <x:v>筑肥線</x:v>
      </x:c>
      <x:c r="K302" s="18" t="str">
        <x:v>transport-node:7e133906-1d44-54ed-b6a2-bb2e8fbd8f35</x:v>
      </x:c>
      <x:c r="L302" s="19" t="str">
        <x:v>组件待审核</x:v>
      </x:c>
      <x:c r="M302" s="21" t="n">
        <x:v>33.579275</x:v>
      </x:c>
      <x:c r="N302" s="21" t="n">
        <x:v>130.274175</x:v>
      </x:c>
      <x:c r="O302" s="18" t="str">
        <x:v>009055</x:v>
      </x:c>
      <x:c r="P302" s="18" t="str">
        <x:v>筑肥線</x:v>
      </x:c>
      <x:c r="Q302" s="19" t="str">
        <x:v>S12_061_GE_10000</x:v>
      </x:c>
      <x:c r="R302" s="19" t="str">
        <x:v>S12_061 usage threshold</x:v>
      </x:c>
      <x:c r="S302" s="19" t="str">
        <x:v>https://nlftp.mlit.go.jp/ksj/gml/datalist/KsjTmplt-S12-2024.html</x:v>
      </x:c>
      <x:c r="T302" s="19" t="str">
        <x:v>https://nlftp.mlit.go.jp/ksj/gml/datalist/KsjTmplt-S12-2024.html</x:v>
      </x:c>
      <x:c r="U302" s="19" t="str">
        <x:v>station-component|今宿|九州旅客鉄道|conventional_rail|33.5793|130.2742|</x:v>
      </x:c>
      <x:c r="V302" s="19" t="str">
        <x:v>009055 / 009055 / 筑肥線</x:v>
      </x:c>
      <x:c r="W302" s="18" t="str">
        <x:v>否</x:v>
      </x:c>
      <x:c r="X302" s="18" t="str">
        <x:v>0785e932a32b3ec15e1a1345537ae145eafe1c07bf38d5c16c11ee2b391e7a28</x:v>
      </x:c>
      <x:c r="Y302" s="20" t="n">
        <x:v>1</x:v>
      </x:c>
      <x:c r="Z302" s="20" t="n">
        <x:v>1</x:v>
      </x:c>
      <x:c r="AA302" s="19"/>
      <x:c r="AB302" s="18"/>
      <x:c r="AC302" s="19"/>
    </x:row>
    <x:row r="303" ht="33" customHeight="1">
      <x:c r="A303" s="18" t="str">
        <x:v>今池</x:v>
      </x:c>
      <x:c r="B303" s="18" t="str">
        <x:v>名古屋市</x:v>
      </x:c>
      <x:c r="C303" s="18" t="str">
        <x:v>metro</x:v>
      </x:c>
      <x:c r="D303" s="19" t="str">
        <x:v>T2</x:v>
      </x:c>
      <x:c r="E303" s="20" t="n">
        <x:v>46774</x:v>
      </x:c>
      <x:c r="F303" s="18" t="str">
        <x:v>persons/day</x:v>
      </x:c>
      <x:c r="G303" s="18" t="str">
        <x:v>FY2024</x:v>
      </x:c>
      <x:c r="H303" s="18" t="str">
        <x:v>否</x:v>
      </x:c>
      <x:c r="I303" s="19" t="str">
        <x:v>DAILY_ENTRIES_EXITS</x:v>
      </x:c>
      <x:c r="J303" s="19" t="str">
        <x:v>1号線東山線
6号線桜通線</x:v>
      </x:c>
      <x:c r="K303" s="18" t="str">
        <x:v>transport-node:a233949e-9ea5-51c0-92d9-2cb0089c9dac</x:v>
      </x:c>
      <x:c r="L303" s="19" t="str">
        <x:v>组件待审核</x:v>
      </x:c>
      <x:c r="M303" s="21" t="n">
        <x:v>35.169785</x:v>
      </x:c>
      <x:c r="N303" s="21" t="n">
        <x:v>136.938075</x:v>
      </x:c>
      <x:c r="O303" s="18" t="str">
        <x:v>005460</x:v>
      </x:c>
      <x:c r="P303" s="18" t="str">
        <x:v>1号線東山線</x:v>
      </x:c>
      <x:c r="Q303" s="19" t="str">
        <x:v>S12_061_GE_10000
OFFICIAL_HUB_COMPONENT_REVIEW</x:v>
      </x:c>
      <x:c r="R303" s="19" t="str">
        <x:v>S12_061 usage threshold</x:v>
      </x:c>
      <x:c r="S303" s="19" t="str">
        <x:v>https://nlftp.mlit.go.jp/ksj/gml/datalist/KsjTmplt-S12-2024.html</x:v>
      </x:c>
      <x:c r="T303" s="19" t="str">
        <x:v>https://kotsu.city.nagoya.jp/rp/subway/
https://nlftp.mlit.go.jp/ksj/gml/datalist/KsjTmplt-S12-2024.html</x:v>
      </x:c>
      <x:c r="U303" s="19" t="str">
        <x:v>station-component|今池|名古屋市|metro|35.1698|136.9381|</x:v>
      </x:c>
      <x:c r="V303" s="19" t="str">
        <x:v>005460 / 005460 / 1号線東山線
005460 / 005465 / 6号線桜通線</x:v>
      </x:c>
      <x:c r="W303" s="18" t="str">
        <x:v>否</x:v>
      </x:c>
      <x:c r="X303" s="18" t="str">
        <x:v>0785e932a32b3ec15e1a1345537ae145eafe1c07bf38d5c16c11ee2b391e7a28</x:v>
      </x:c>
      <x:c r="Y303" s="20" t="n">
        <x:v>1</x:v>
      </x:c>
      <x:c r="Z303" s="20" t="n">
        <x:v>1</x:v>
      </x:c>
      <x:c r="AA303" s="19" t="str">
        <x:v>今池</x:v>
      </x:c>
      <x:c r="AB303" s="18" t="str">
        <x:v>transport-hub-review:6f8519ee-6e8e-568f-9472-043bd5f3d672</x:v>
      </x:c>
      <x:c r="AC303" s="19"/>
    </x:row>
    <x:row r="304" ht="33" customHeight="1">
      <x:c r="A304" s="18" t="str">
        <x:v>今津</x:v>
      </x:c>
      <x:c r="B304" s="18" t="str">
        <x:v>阪急電鉄</x:v>
      </x:c>
      <x:c r="C304" s="18" t="str">
        <x:v>private_rail</x:v>
      </x:c>
      <x:c r="D304" s="19" t="str">
        <x:v>T2</x:v>
      </x:c>
      <x:c r="E304" s="20" t="n">
        <x:v>23193</x:v>
      </x:c>
      <x:c r="F304" s="18" t="str">
        <x:v>persons/day</x:v>
      </x:c>
      <x:c r="G304" s="18" t="str">
        <x:v>FY2024</x:v>
      </x:c>
      <x:c r="H304" s="18" t="str">
        <x:v>否</x:v>
      </x:c>
      <x:c r="I304" s="19" t="str">
        <x:v>DAILY_ENTRIES_EXITS</x:v>
      </x:c>
      <x:c r="J304" s="19" t="str">
        <x:v>今津線</x:v>
      </x:c>
      <x:c r="K304" s="18" t="str">
        <x:v>transport-node:79f93045-909e-5695-8234-0bd615644e46</x:v>
      </x:c>
      <x:c r="L304" s="19" t="str">
        <x:v>组件待审核</x:v>
      </x:c>
      <x:c r="M304" s="21" t="n">
        <x:v>34.731945</x:v>
      </x:c>
      <x:c r="N304" s="21" t="n">
        <x:v>135.35162</x:v>
      </x:c>
      <x:c r="O304" s="18" t="str">
        <x:v>006917</x:v>
      </x:c>
      <x:c r="P304" s="18" t="str">
        <x:v>今津線</x:v>
      </x:c>
      <x:c r="Q304" s="19" t="str">
        <x:v>S12_061_GE_10000
OFFICIAL_HUB_COMPONENT_REVIEW</x:v>
      </x:c>
      <x:c r="R304" s="19" t="str">
        <x:v>S12_061 usage threshold</x:v>
      </x:c>
      <x:c r="S304" s="19" t="str">
        <x:v>https://nlftp.mlit.go.jp/ksj/gml/datalist/KsjTmplt-S12-2024.html</x:v>
      </x:c>
      <x:c r="T304" s="19" t="str">
        <x:v>https://nlftp.mlit.go.jp/ksj/gml/datalist/KsjTmplt-S12-2024.html
https://www.hankyu.co.jp/station/index.html</x:v>
      </x:c>
      <x:c r="U304" s="19" t="str">
        <x:v>station-component|今津|阪急電鉄|private_rail|34.7319|135.3516|</x:v>
      </x:c>
      <x:c r="V304" s="19" t="str">
        <x:v>006917 / 006917 / 今津線</x:v>
      </x:c>
      <x:c r="W304" s="18" t="str">
        <x:v>否</x:v>
      </x:c>
      <x:c r="X304" s="18" t="str">
        <x:v>0785e932a32b3ec15e1a1345537ae145eafe1c07bf38d5c16c11ee2b391e7a28</x:v>
      </x:c>
      <x:c r="Y304" s="20" t="n">
        <x:v>1</x:v>
      </x:c>
      <x:c r="Z304" s="20" t="n">
        <x:v>1</x:v>
      </x:c>
      <x:c r="AA304" s="19" t="str">
        <x:v>今津</x:v>
      </x:c>
      <x:c r="AB304" s="18" t="str">
        <x:v>transport-hub-review:ba53e8cd-e1a6-5c21-ad96-6872454cf93b</x:v>
      </x:c>
      <x:c r="AC304" s="19"/>
    </x:row>
    <x:row r="305" ht="33" customHeight="1">
      <x:c r="A305" s="18" t="str">
        <x:v>今津</x:v>
      </x:c>
      <x:c r="B305" s="18" t="str">
        <x:v>阪神電気鉄道</x:v>
      </x:c>
      <x:c r="C305" s="18" t="str">
        <x:v>private_rail</x:v>
      </x:c>
      <x:c r="D305" s="19" t="str">
        <x:v>T2</x:v>
      </x:c>
      <x:c r="E305" s="20" t="n">
        <x:v>33752</x:v>
      </x:c>
      <x:c r="F305" s="18" t="str">
        <x:v>persons/day</x:v>
      </x:c>
      <x:c r="G305" s="18" t="str">
        <x:v>FY2024</x:v>
      </x:c>
      <x:c r="H305" s="18" t="str">
        <x:v>否</x:v>
      </x:c>
      <x:c r="I305" s="19" t="str">
        <x:v>DAILY_ENTRIES_EXITS</x:v>
      </x:c>
      <x:c r="J305" s="19" t="str">
        <x:v>本線</x:v>
      </x:c>
      <x:c r="K305" s="18" t="str">
        <x:v>transport-node:1df6f215-72cf-5405-9bd0-9b5de4ca96ea</x:v>
      </x:c>
      <x:c r="L305" s="19" t="str">
        <x:v>组件待审核</x:v>
      </x:c>
      <x:c r="M305" s="21" t="n">
        <x:v>34.73089</x:v>
      </x:c>
      <x:c r="N305" s="21" t="n">
        <x:v>135.351735</x:v>
      </x:c>
      <x:c r="O305" s="18" t="str">
        <x:v>006925</x:v>
      </x:c>
      <x:c r="P305" s="18" t="str">
        <x:v>本線</x:v>
      </x:c>
      <x:c r="Q305" s="19" t="str">
        <x:v>S12_061_GE_10000
OFFICIAL_HUB_COMPONENT_REVIEW</x:v>
      </x:c>
      <x:c r="R305" s="19" t="str">
        <x:v>S12_061 usage threshold</x:v>
      </x:c>
      <x:c r="S305" s="19" t="str">
        <x:v>https://nlftp.mlit.go.jp/ksj/gml/datalist/KsjTmplt-S12-2024.html</x:v>
      </x:c>
      <x:c r="T305" s="19" t="str">
        <x:v>https://nlftp.mlit.go.jp/ksj/gml/datalist/KsjTmplt-S12-2024.html
https://www.hankyu.co.jp/station/index.html</x:v>
      </x:c>
      <x:c r="U305" s="19" t="str">
        <x:v>station-component|今津|阪神電気鉄道|private_rail|34.7309|135.3517|</x:v>
      </x:c>
      <x:c r="V305" s="19" t="str">
        <x:v>006917 / 006925 / 本線</x:v>
      </x:c>
      <x:c r="W305" s="18" t="str">
        <x:v>否</x:v>
      </x:c>
      <x:c r="X305" s="18" t="str">
        <x:v>0785e932a32b3ec15e1a1345537ae145eafe1c07bf38d5c16c11ee2b391e7a28</x:v>
      </x:c>
      <x:c r="Y305" s="20" t="n">
        <x:v>1</x:v>
      </x:c>
      <x:c r="Z305" s="20" t="n">
        <x:v>1</x:v>
      </x:c>
      <x:c r="AA305" s="19" t="str">
        <x:v>今津</x:v>
      </x:c>
      <x:c r="AB305" s="18" t="str">
        <x:v>transport-hub-review:ba53e8cd-e1a6-5c21-ad96-6872454cf93b</x:v>
      </x:c>
      <x:c r="AC305" s="19"/>
    </x:row>
    <x:row r="306" ht="28" customHeight="1">
      <x:c r="A306" s="18" t="str">
        <x:v>今福鶴見</x:v>
      </x:c>
      <x:c r="B306" s="18" t="str">
        <x:v>大阪市高速電気軌道</x:v>
      </x:c>
      <x:c r="C306" s="18" t="str">
        <x:v>metro</x:v>
      </x:c>
      <x:c r="D306" s="19" t="str">
        <x:v>T2</x:v>
      </x:c>
      <x:c r="E306" s="20" t="n">
        <x:v>21061</x:v>
      </x:c>
      <x:c r="F306" s="18" t="str">
        <x:v>persons/day</x:v>
      </x:c>
      <x:c r="G306" s="18" t="str">
        <x:v>FY2024</x:v>
      </x:c>
      <x:c r="H306" s="18" t="str">
        <x:v>否</x:v>
      </x:c>
      <x:c r="I306" s="19" t="str">
        <x:v>DAILY_ENTRIES_EXITS</x:v>
      </x:c>
      <x:c r="J306" s="19" t="str">
        <x:v>7号線(長堀鶴見緑地線)</x:v>
      </x:c>
      <x:c r="K306" s="18" t="str">
        <x:v>transport-node:33ad62dd-dc09-54e4-8ab3-74014f4c1b9d</x:v>
      </x:c>
      <x:c r="L306" s="19" t="str">
        <x:v>组件待审核</x:v>
      </x:c>
      <x:c r="M306" s="21" t="n">
        <x:v>34.7020225</x:v>
      </x:c>
      <x:c r="N306" s="21" t="n">
        <x:v>135.56007</x:v>
      </x:c>
      <x:c r="O306" s="18" t="str">
        <x:v>007070</x:v>
      </x:c>
      <x:c r="P306" s="18" t="str">
        <x:v>7号線(長堀鶴見緑地線)</x:v>
      </x:c>
      <x:c r="Q306" s="19" t="str">
        <x:v>S12_061_GE_10000</x:v>
      </x:c>
      <x:c r="R306" s="19" t="str">
        <x:v>S12_061 usage threshold</x:v>
      </x:c>
      <x:c r="S306" s="19" t="str">
        <x:v>https://nlftp.mlit.go.jp/ksj/gml/datalist/KsjTmplt-S12-2024.html</x:v>
      </x:c>
      <x:c r="T306" s="19" t="str">
        <x:v>https://nlftp.mlit.go.jp/ksj/gml/datalist/KsjTmplt-S12-2024.html</x:v>
      </x:c>
      <x:c r="U306" s="19" t="str">
        <x:v>station-component|今福鶴見|大阪市高速電気軌道|metro|34.7020|135.5601|</x:v>
      </x:c>
      <x:c r="V306" s="19" t="str">
        <x:v>007070 / 007070 / 7号線(長堀鶴見緑地線)</x:v>
      </x:c>
      <x:c r="W306" s="18" t="str">
        <x:v>否</x:v>
      </x:c>
      <x:c r="X306" s="18" t="str">
        <x:v>0785e932a32b3ec15e1a1345537ae145eafe1c07bf38d5c16c11ee2b391e7a28</x:v>
      </x:c>
      <x:c r="Y306" s="20" t="n">
        <x:v>1</x:v>
      </x:c>
      <x:c r="Z306" s="20" t="n">
        <x:v>1</x:v>
      </x:c>
      <x:c r="AA306" s="19"/>
      <x:c r="AB306" s="18"/>
      <x:c r="AC306" s="19"/>
    </x:row>
    <x:row r="307" ht="33" customHeight="1">
      <x:c r="A307" s="18" t="str">
        <x:v>今里</x:v>
      </x:c>
      <x:c r="B307" s="18" t="str">
        <x:v>大阪市高速電気軌道</x:v>
      </x:c>
      <x:c r="C307" s="18" t="str">
        <x:v>metro</x:v>
      </x:c>
      <x:c r="D307" s="19" t="str">
        <x:v>T2</x:v>
      </x:c>
      <x:c r="E307" s="20" t="n">
        <x:v>23183</x:v>
      </x:c>
      <x:c r="F307" s="18" t="str">
        <x:v>persons/day</x:v>
      </x:c>
      <x:c r="G307" s="18" t="str">
        <x:v>FY2024</x:v>
      </x:c>
      <x:c r="H307" s="18" t="str">
        <x:v>否</x:v>
      </x:c>
      <x:c r="I307" s="19" t="str">
        <x:v>DAILY_ENTRIES_EXITS</x:v>
      </x:c>
      <x:c r="J307" s="19" t="str">
        <x:v>5号線(千日前線)
8号線(今里筋線)</x:v>
      </x:c>
      <x:c r="K307" s="18" t="str">
        <x:v>transport-node:855a1681-a3cb-5114-90ca-75c27a588fb0</x:v>
      </x:c>
      <x:c r="L307" s="19" t="str">
        <x:v>组件待审核</x:v>
      </x:c>
      <x:c r="M307" s="21" t="n">
        <x:v>34.6687483</x:v>
      </x:c>
      <x:c r="N307" s="21" t="n">
        <x:v>135.543535</x:v>
      </x:c>
      <x:c r="O307" s="18" t="str">
        <x:v>007291</x:v>
      </x:c>
      <x:c r="P307" s="18" t="str">
        <x:v>5号線(千日前線)</x:v>
      </x:c>
      <x:c r="Q307" s="19" t="str">
        <x:v>S12_061_GE_10000
OFFICIAL_HUB_COMPONENT_REVIEW</x:v>
      </x:c>
      <x:c r="R307" s="19" t="str">
        <x:v>S12_061 usage threshold</x:v>
      </x:c>
      <x:c r="S307" s="19" t="str">
        <x:v>https://nlftp.mlit.go.jp/ksj/gml/datalist/KsjTmplt-S12-2024.html</x:v>
      </x:c>
      <x:c r="T307" s="19" t="str">
        <x:v>https://nlftp.mlit.go.jp/ksj/gml/datalist/KsjTmplt-S12-2024.html
https://subway.osakametro.co.jp/station_guide/I/i21/index.php</x:v>
      </x:c>
      <x:c r="U307" s="19" t="str">
        <x:v>station-component|今里|大阪市高速電気軌道|metro|34.6687|135.5435|</x:v>
      </x:c>
      <x:c r="V307" s="19" t="str">
        <x:v>007284 / 007284 / 8号線(今里筋線)
007284 / 007291 / 5号線(千日前線)</x:v>
      </x:c>
      <x:c r="W307" s="18" t="str">
        <x:v>否</x:v>
      </x:c>
      <x:c r="X307" s="18" t="str">
        <x:v>0785e932a32b3ec15e1a1345537ae145eafe1c07bf38d5c16c11ee2b391e7a28</x:v>
      </x:c>
      <x:c r="Y307" s="20" t="n">
        <x:v>1</x:v>
      </x:c>
      <x:c r="Z307" s="20" t="n">
        <x:v>1</x:v>
      </x:c>
      <x:c r="AA307" s="19" t="str">
        <x:v>今里</x:v>
      </x:c>
      <x:c r="AB307" s="18" t="str">
        <x:v>transport-hub-review:fbd737cd-e18c-5a16-8e1f-1fa01e77a70e</x:v>
      </x:c>
      <x:c r="AC307" s="19"/>
    </x:row>
    <x:row r="308" ht="28" customHeight="1">
      <x:c r="A308" s="18" t="str">
        <x:v>今里</x:v>
      </x:c>
      <x:c r="B308" s="18" t="str">
        <x:v>近畿日本鉄道</x:v>
      </x:c>
      <x:c r="C308" s="18" t="str">
        <x:v>private_rail</x:v>
      </x:c>
      <x:c r="D308" s="19" t="str">
        <x:v>T2</x:v>
      </x:c>
      <x:c r="E308" s="20" t="n">
        <x:v>10331</x:v>
      </x:c>
      <x:c r="F308" s="18" t="str">
        <x:v>persons/day</x:v>
      </x:c>
      <x:c r="G308" s="18" t="str">
        <x:v>FY2024</x:v>
      </x:c>
      <x:c r="H308" s="18" t="str">
        <x:v>否</x:v>
      </x:c>
      <x:c r="I308" s="19" t="str">
        <x:v>DAILY_ENTRIES_EXITS</x:v>
      </x:c>
      <x:c r="J308" s="19" t="str">
        <x:v>大阪線</x:v>
      </x:c>
      <x:c r="K308" s="18" t="str">
        <x:v>transport-node:1bff7b24-c7ec-581e-baf9-a69fe5d3923c</x:v>
      </x:c>
      <x:c r="L308" s="19" t="str">
        <x:v>组件待审核</x:v>
      </x:c>
      <x:c r="M308" s="21" t="n">
        <x:v>34.664725</x:v>
      </x:c>
      <x:c r="N308" s="21" t="n">
        <x:v>135.54991</x:v>
      </x:c>
      <x:c r="O308" s="18" t="str">
        <x:v>007342</x:v>
      </x:c>
      <x:c r="P308" s="18" t="str">
        <x:v>大阪線</x:v>
      </x:c>
      <x:c r="Q308" s="19" t="str">
        <x:v>S12_061_GE_10000</x:v>
      </x:c>
      <x:c r="R308" s="19" t="str">
        <x:v>S12_061 usage threshold</x:v>
      </x:c>
      <x:c r="S308" s="19" t="str">
        <x:v>https://nlftp.mlit.go.jp/ksj/gml/datalist/KsjTmplt-S12-2024.html</x:v>
      </x:c>
      <x:c r="T308" s="19" t="str">
        <x:v>https://nlftp.mlit.go.jp/ksj/gml/datalist/KsjTmplt-S12-2024.html</x:v>
      </x:c>
      <x:c r="U308" s="19" t="str">
        <x:v>station-component|今里|近畿日本鉄道|private_rail|34.6647|135.5499|</x:v>
      </x:c>
      <x:c r="V308" s="19" t="str">
        <x:v>007342 / 007342 / 大阪線</x:v>
      </x:c>
      <x:c r="W308" s="18" t="str">
        <x:v>否</x:v>
      </x:c>
      <x:c r="X308" s="18" t="str">
        <x:v>0785e932a32b3ec15e1a1345537ae145eafe1c07bf38d5c16c11ee2b391e7a28</x:v>
      </x:c>
      <x:c r="Y308" s="20" t="n">
        <x:v>1</x:v>
      </x:c>
      <x:c r="Z308" s="20" t="n">
        <x:v>1</x:v>
      </x:c>
      <x:c r="AA308" s="19"/>
      <x:c r="AB308" s="18"/>
      <x:c r="AC308" s="19"/>
    </x:row>
    <x:row r="309" ht="33" customHeight="1">
      <x:c r="A309" s="18" t="str">
        <x:v>仙台</x:v>
      </x:c>
      <x:c r="B309" s="18" t="str">
        <x:v>仙台市</x:v>
      </x:c>
      <x:c r="C309" s="18" t="str">
        <x:v>metro</x:v>
      </x:c>
      <x:c r="D309" s="19" t="str">
        <x:v>T1</x:v>
      </x:c>
      <x:c r="E309" s="20" t="n">
        <x:v>82105</x:v>
      </x:c>
      <x:c r="F309" s="18" t="str">
        <x:v>persons/day</x:v>
      </x:c>
      <x:c r="G309" s="18" t="str">
        <x:v>FY2024</x:v>
      </x:c>
      <x:c r="H309" s="18" t="str">
        <x:v>否</x:v>
      </x:c>
      <x:c r="I309" s="19" t="str">
        <x:v>DAILY_ENTRIES_EXITS</x:v>
      </x:c>
      <x:c r="J309" s="19" t="str">
        <x:v>南北線
東西線</x:v>
      </x:c>
      <x:c r="K309" s="18" t="str">
        <x:v>transport-node:fdc50ead-35ad-5cf1-aa8c-1bdd0464c361</x:v>
      </x:c>
      <x:c r="L309" s="19" t="str">
        <x:v>组件待审核</x:v>
      </x:c>
      <x:c r="M309" s="21" t="n">
        <x:v>38.259705</x:v>
      </x:c>
      <x:c r="N309" s="21" t="n">
        <x:v>140.879925</x:v>
      </x:c>
      <x:c r="O309" s="18" t="str">
        <x:v>001183</x:v>
      </x:c>
      <x:c r="P309" s="18" t="str">
        <x:v>南北線</x:v>
      </x:c>
      <x:c r="Q309" s="19" t="str">
        <x:v>S12_061_GE_10000
OFFICIAL_HUB_COMPONENT_REVIEW</x:v>
      </x:c>
      <x:c r="R309" s="19" t="str">
        <x:v>S12_061 usage threshold</x:v>
      </x:c>
      <x:c r="S309" s="19" t="str">
        <x:v>https://nlftp.mlit.go.jp/ksj/gml/datalist/KsjTmplt-S12-2024.html</x:v>
      </x:c>
      <x:c r="T309" s="19" t="str">
        <x:v>https://nlftp.mlit.go.jp/ksj/gml/datalist/KsjTmplt-S12-2024.html
https://www.city.sendai.jp/kokyo/kurashi/machi/kotsu/annai/noritsugi.html</x:v>
      </x:c>
      <x:c r="U309" s="19" t="str">
        <x:v>station-component|仙台|仙台市|metro|38.2597|140.8799|</x:v>
      </x:c>
      <x:c r="V309" s="19" t="str">
        <x:v>001177 / 001180 / 東西線
001177 / 001183 / 南北線</x:v>
      </x:c>
      <x:c r="W309" s="18" t="str">
        <x:v>否</x:v>
      </x:c>
      <x:c r="X309" s="18" t="str">
        <x:v>0785e932a32b3ec15e1a1345537ae145eafe1c07bf38d5c16c11ee2b391e7a28</x:v>
      </x:c>
      <x:c r="Y309" s="20" t="n">
        <x:v>1</x:v>
      </x:c>
      <x:c r="Z309" s="20" t="n">
        <x:v>1</x:v>
      </x:c>
      <x:c r="AA309" s="19" t="str">
        <x:v>仙台</x:v>
      </x:c>
      <x:c r="AB309" s="18" t="str">
        <x:v>transport-hub-review:e264a5e6-b8fb-5e8c-bc0c-130a70bcf617</x:v>
      </x:c>
      <x:c r="AC309" s="19"/>
    </x:row>
    <x:row r="310" ht="47" customHeight="1">
      <x:c r="A310" s="18" t="str">
        <x:v>仙台</x:v>
      </x:c>
      <x:c r="B310" s="18" t="str">
        <x:v>東日本旅客鉄道</x:v>
      </x:c>
      <x:c r="C310" s="18" t="str">
        <x:v>conventional_rail</x:v>
      </x:c>
      <x:c r="D310" s="19" t="str">
        <x:v>T1</x:v>
      </x:c>
      <x:c r="E310" s="20" t="n">
        <x:v>185838</x:v>
      </x:c>
      <x:c r="F310" s="18" t="str">
        <x:v>persons/day</x:v>
      </x:c>
      <x:c r="G310" s="18" t="str">
        <x:v>FY2024</x:v>
      </x:c>
      <x:c r="H310" s="18" t="str">
        <x:v>否</x:v>
      </x:c>
      <x:c r="I310" s="19" t="str">
        <x:v>DAILY_ENTRIES_EXITS</x:v>
      </x:c>
      <x:c r="J310" s="19" t="str">
        <x:v>仙山線
仙石線
東北線</x:v>
      </x:c>
      <x:c r="K310" s="18" t="str">
        <x:v>transport-node:abcbeb9a-2f10-57b7-bb75-1d10581e35d2</x:v>
      </x:c>
      <x:c r="L310" s="19" t="str">
        <x:v>组件待审核</x:v>
      </x:c>
      <x:c r="M310" s="21" t="n">
        <x:v>38.2600883</x:v>
      </x:c>
      <x:c r="N310" s="21" t="n">
        <x:v>140.882545</x:v>
      </x:c>
      <x:c r="O310" s="18" t="str">
        <x:v>001182</x:v>
      </x:c>
      <x:c r="P310" s="18" t="str">
        <x:v>東北線</x:v>
      </x:c>
      <x:c r="Q310" s="19" t="str">
        <x:v>S12_061_GE_10000
OFFICIAL_HUB_COMPONENT_REVIEW</x:v>
      </x:c>
      <x:c r="R310" s="19" t="str">
        <x:v>S12_061 usage threshold</x:v>
      </x:c>
      <x:c r="S310" s="19" t="str">
        <x:v>https://nlftp.mlit.go.jp/ksj/gml/datalist/KsjTmplt-S12-2024.html</x:v>
      </x:c>
      <x:c r="T310" s="19" t="str">
        <x:v>https://nlftp.mlit.go.jp/ksj/gml/datalist/KsjTmplt-S12-2024.html
https://www.city.sendai.jp/kokyo/kurashi/machi/kotsu/annai/noritsugi.html</x:v>
      </x:c>
      <x:c r="U310" s="19" t="str">
        <x:v>station-component|仙台|東日本旅客鉄道|conventional_rail|38.2601|140.8825|</x:v>
      </x:c>
      <x:c r="V310" s="19" t="str">
        <x:v>001177 / 001179 / 仙石線
001177 / 001181 / 仙山線
001177 / 001182 / 東北線</x:v>
      </x:c>
      <x:c r="W310" s="18" t="str">
        <x:v>否</x:v>
      </x:c>
      <x:c r="X310" s="18" t="str">
        <x:v>0785e932a32b3ec15e1a1345537ae145eafe1c07bf38d5c16c11ee2b391e7a28</x:v>
      </x:c>
      <x:c r="Y310" s="20" t="n">
        <x:v>1</x:v>
      </x:c>
      <x:c r="Z310" s="20" t="n">
        <x:v>1</x:v>
      </x:c>
      <x:c r="AA310" s="19" t="str">
        <x:v>仙台</x:v>
      </x:c>
      <x:c r="AB310" s="18" t="str">
        <x:v>transport-hub-review:e264a5e6-b8fb-5e8c-bc0c-130a70bcf617</x:v>
      </x:c>
      <x:c r="AC310" s="19"/>
    </x:row>
    <x:row r="311" ht="47" customHeight="1">
      <x:c r="A311" s="18" t="str">
        <x:v>仙台</x:v>
      </x:c>
      <x:c r="B311" s="18" t="str">
        <x:v>東日本旅客鉄道</x:v>
      </x:c>
      <x:c r="C311" s="18" t="str">
        <x:v>shinkansen</x:v>
      </x:c>
      <x:c r="D311" s="19"/>
      <x:c r="E311" s="20" t="n">
        <x:v>25769</x:v>
      </x:c>
      <x:c r="F311" s="18" t="str">
        <x:v>boardings/day</x:v>
      </x:c>
      <x:c r="G311" s="18" t="str">
        <x:v>FY2024</x:v>
      </x:c>
      <x:c r="H311" s="18" t="str">
        <x:v>是</x:v>
      </x:c>
      <x:c r="I311" s="19" t="str">
        <x:v>DAILY_SHINKANSEN_BOARDINGS</x:v>
      </x:c>
      <x:c r="J311" s="19" t="str">
        <x:v>東北新幹線</x:v>
      </x:c>
      <x:c r="K311" s="18" t="str">
        <x:v>transport-node:a386a900-14d8-5095-b786-b3cb6aa402c3</x:v>
      </x:c>
      <x:c r="L311" s="19" t="str">
        <x:v>组件待审核</x:v>
      </x:c>
      <x:c r="M311" s="21" t="n">
        <x:v>38.2609725</x:v>
      </x:c>
      <x:c r="N311" s="21" t="n">
        <x:v>140.882155</x:v>
      </x:c>
      <x:c r="O311" s="18" t="str">
        <x:v>001177</x:v>
      </x:c>
      <x:c r="P311" s="18" t="str">
        <x:v>東北新幹線</x:v>
      </x:c>
      <x:c r="Q311" s="19" t="str">
        <x:v>SHINKANSEN
OFFICIAL_HUB_COMPONENT_REVIEW</x:v>
      </x:c>
      <x:c r="R311" s="19" t="str">
        <x:v>Official fallback retained in published scope/unit; tier remains null pending metric/manual review.</x:v>
      </x:c>
      <x:c r="S311" s="19" t="str">
        <x:v>https://www.jreast.co.jp/company/data/passenger/2024_shinkansen.html/</x:v>
      </x:c>
      <x:c r="T311" s="19" t="str">
        <x:v>https://nlftp.mlit.go.jp/ksj/gml/datalist/KsjTmplt-S12-2024.html
https://www.city.sendai.jp/kokyo/kurashi/machi/kotsu/annai/noritsugi.html
https://www.jreast.co.jp/company/data/passenger/2024_shinkansen.html/</x:v>
      </x:c>
      <x:c r="U311" s="19" t="str">
        <x:v>station-component|仙台|東日本旅客鉄道|shinkansen|38.2610|140.8822|</x:v>
      </x:c>
      <x:c r="V311" s="19" t="str">
        <x:v>001177 / 001177 / 東北新幹線</x:v>
      </x:c>
      <x:c r="W311" s="18" t="str">
        <x:v>否</x:v>
      </x:c>
      <x:c r="X311" s="18" t="str">
        <x:v>0785e932a32b3ec15e1a1345537ae145eafe1c07bf38d5c16c11ee2b391e7a28</x:v>
      </x:c>
      <x:c r="Y311" s="20" t="n">
        <x:v>1</x:v>
      </x:c>
      <x:c r="Z311" s="20" t="n">
        <x:v>2</x:v>
      </x:c>
      <x:c r="AA311" s="19" t="str">
        <x:v>仙台</x:v>
      </x:c>
      <x:c r="AB311" s="18" t="str">
        <x:v>transport-hub-review:e264a5e6-b8fb-5e8c-bc0c-130a70bcf617</x:v>
      </x:c>
      <x:c r="AC311" s="19"/>
    </x:row>
    <x:row r="312" ht="33" customHeight="1">
      <x:c r="A312" s="18" t="str">
        <x:v>仙台空港</x:v>
      </x:c>
      <x:c r="B312" s="18" t="str">
        <x:v>仙台空港鉄道</x:v>
      </x:c>
      <x:c r="C312" s="18" t="str">
        <x:v>private_rail</x:v>
      </x:c>
      <x:c r="D312" s="19" t="str">
        <x:v>T3</x:v>
      </x:c>
      <x:c r="E312" s="20" t="n">
        <x:v>5782</x:v>
      </x:c>
      <x:c r="F312" s="18" t="str">
        <x:v>persons/day</x:v>
      </x:c>
      <x:c r="G312" s="18" t="str">
        <x:v>FY2024</x:v>
      </x:c>
      <x:c r="H312" s="18" t="str">
        <x:v>否</x:v>
      </x:c>
      <x:c r="I312" s="19" t="str">
        <x:v>DAILY_ENTRIES_EXITS</x:v>
      </x:c>
      <x:c r="J312" s="19" t="str">
        <x:v>仙台空港線</x:v>
      </x:c>
      <x:c r="K312" s="18" t="str">
        <x:v>transport-node:6f480661-63ec-5c7c-b594-4ebfb6701299</x:v>
      </x:c>
      <x:c r="L312" s="19" t="str">
        <x:v>组件待审核</x:v>
      </x:c>
      <x:c r="M312" s="21" t="n">
        <x:v>38.137275</x:v>
      </x:c>
      <x:c r="N312" s="21" t="n">
        <x:v>140.92976</x:v>
      </x:c>
      <x:c r="O312" s="18" t="str">
        <x:v>001222</x:v>
      </x:c>
      <x:c r="P312" s="18" t="str">
        <x:v>仙台空港線</x:v>
      </x:c>
      <x:c r="Q312" s="19" t="str">
        <x:v>AIRPORT_ACCESS_AUDIT</x:v>
      </x:c>
      <x:c r="R312" s="19" t="str">
        <x:v>S12_061 usage threshold; low-flow inclusion justified by airport access</x:v>
      </x:c>
      <x:c r="S312" s="19" t="str">
        <x:v>https://nlftp.mlit.go.jp/ksj/gml/datalist/KsjTmplt-S12-2024.html</x:v>
      </x:c>
      <x:c r="T312" s="19" t="str">
        <x:v>https://nlftp.mlit.go.jp/ksj/gml/datalist/KsjTmplt-S12-2024.html</x:v>
      </x:c>
      <x:c r="U312" s="19" t="str">
        <x:v>station-component|仙台空港|仙台空港鉄道|private_rail|38.1373|140.9298|</x:v>
      </x:c>
      <x:c r="V312" s="19" t="str">
        <x:v>001222 / 001222 / 仙台空港線</x:v>
      </x:c>
      <x:c r="W312" s="18" t="str">
        <x:v>否</x:v>
      </x:c>
      <x:c r="X312" s="18" t="str">
        <x:v>0785e932a32b3ec15e1a1345537ae145eafe1c07bf38d5c16c11ee2b391e7a28</x:v>
      </x:c>
      <x:c r="Y312" s="20" t="n">
        <x:v>1</x:v>
      </x:c>
      <x:c r="Z312" s="20" t="n">
        <x:v>1</x:v>
      </x:c>
      <x:c r="AA312" s="19"/>
      <x:c r="AB312" s="18"/>
      <x:c r="AC312" s="19"/>
    </x:row>
    <x:row r="313" ht="28" customHeight="1">
      <x:c r="A313" s="18" t="str">
        <x:v>仙川</x:v>
      </x:c>
      <x:c r="B313" s="18" t="str">
        <x:v>京王電鉄</x:v>
      </x:c>
      <x:c r="C313" s="18" t="str">
        <x:v>private_rail</x:v>
      </x:c>
      <x:c r="D313" s="19" t="str">
        <x:v>T1</x:v>
      </x:c>
      <x:c r="E313" s="20" t="n">
        <x:v>70712</x:v>
      </x:c>
      <x:c r="F313" s="18" t="str">
        <x:v>persons/day</x:v>
      </x:c>
      <x:c r="G313" s="18" t="str">
        <x:v>FY2024</x:v>
      </x:c>
      <x:c r="H313" s="18" t="str">
        <x:v>否</x:v>
      </x:c>
      <x:c r="I313" s="19" t="str">
        <x:v>DAILY_ENTRIES_EXITS</x:v>
      </x:c>
      <x:c r="J313" s="19" t="str">
        <x:v>京王線</x:v>
      </x:c>
      <x:c r="K313" s="18" t="str">
        <x:v>transport-node:6fd67080-17c4-5509-af01-2c795bdcd9e2</x:v>
      </x:c>
      <x:c r="L313" s="19" t="str">
        <x:v>组件待审核</x:v>
      </x:c>
      <x:c r="M313" s="21" t="n">
        <x:v>35.66237</x:v>
      </x:c>
      <x:c r="N313" s="21" t="n">
        <x:v>139.5852233</x:v>
      </x:c>
      <x:c r="O313" s="18" t="str">
        <x:v>003903</x:v>
      </x:c>
      <x:c r="P313" s="18" t="str">
        <x:v>京王線</x:v>
      </x:c>
      <x:c r="Q313" s="19" t="str">
        <x:v>S12_061_GE_10000</x:v>
      </x:c>
      <x:c r="R313" s="19" t="str">
        <x:v>S12_061 usage threshold</x:v>
      </x:c>
      <x:c r="S313" s="19" t="str">
        <x:v>https://nlftp.mlit.go.jp/ksj/gml/datalist/KsjTmplt-S12-2024.html</x:v>
      </x:c>
      <x:c r="T313" s="19" t="str">
        <x:v>https://nlftp.mlit.go.jp/ksj/gml/datalist/KsjTmplt-S12-2024.html</x:v>
      </x:c>
      <x:c r="U313" s="19" t="str">
        <x:v>station-component|仙川|京王電鉄|private_rail|35.6624|139.5852|</x:v>
      </x:c>
      <x:c r="V313" s="19" t="str">
        <x:v>003903 / 003903 / 京王線</x:v>
      </x:c>
      <x:c r="W313" s="18" t="str">
        <x:v>否</x:v>
      </x:c>
      <x:c r="X313" s="18" t="str">
        <x:v>0785e932a32b3ec15e1a1345537ae145eafe1c07bf38d5c16c11ee2b391e7a28</x:v>
      </x:c>
      <x:c r="Y313" s="20" t="n">
        <x:v>1</x:v>
      </x:c>
      <x:c r="Z313" s="20" t="n">
        <x:v>1</x:v>
      </x:c>
      <x:c r="AA313" s="19"/>
      <x:c r="AB313" s="18"/>
      <x:c r="AC313" s="19"/>
    </x:row>
    <x:row r="314" ht="33" customHeight="1">
      <x:c r="A314" s="18" t="str">
        <x:v>代々木</x:v>
      </x:c>
      <x:c r="B314" s="18" t="str">
        <x:v>東京都</x:v>
      </x:c>
      <x:c r="C314" s="18" t="str">
        <x:v>metro</x:v>
      </x:c>
      <x:c r="D314" s="19" t="str">
        <x:v>T2</x:v>
      </x:c>
      <x:c r="E314" s="20" t="n">
        <x:v>23738</x:v>
      </x:c>
      <x:c r="F314" s="18" t="str">
        <x:v>persons/day</x:v>
      </x:c>
      <x:c r="G314" s="18" t="str">
        <x:v>FY2024</x:v>
      </x:c>
      <x:c r="H314" s="18" t="str">
        <x:v>否</x:v>
      </x:c>
      <x:c r="I314" s="19" t="str">
        <x:v>DAILY_ENTRIES_EXITS</x:v>
      </x:c>
      <x:c r="J314" s="19" t="str">
        <x:v>12号線大江戸線</x:v>
      </x:c>
      <x:c r="K314" s="18" t="str">
        <x:v>transport-node:e4d5747b-7369-5c0a-8848-bd2daeee8c8c</x:v>
      </x:c>
      <x:c r="L314" s="19" t="str">
        <x:v>组件待审核</x:v>
      </x:c>
      <x:c r="M314" s="21" t="n">
        <x:v>35.68378</x:v>
      </x:c>
      <x:c r="N314" s="21" t="n">
        <x:v>139.701525</x:v>
      </x:c>
      <x:c r="O314" s="18" t="str">
        <x:v>003746</x:v>
      </x:c>
      <x:c r="P314" s="18" t="str">
        <x:v>12号線大江戸線</x:v>
      </x:c>
      <x:c r="Q314" s="19" t="str">
        <x:v>S12_061_GE_10000
OFFICIAL_HUB_COMPONENT_REVIEW</x:v>
      </x:c>
      <x:c r="R314" s="19" t="str">
        <x:v>S12_061 usage threshold</x:v>
      </x:c>
      <x:c r="S314" s="19" t="str">
        <x:v>https://nlftp.mlit.go.jp/ksj/gml/datalist/KsjTmplt-S12-2024.html</x:v>
      </x:c>
      <x:c r="T314" s="19" t="str">
        <x:v>https://nlftp.mlit.go.jp/ksj/gml/datalist/KsjTmplt-S12-2024.html
https://www.kotsu.metro.tokyo.jp/subway/stations/yoyogi.html</x:v>
      </x:c>
      <x:c r="U314" s="19" t="str">
        <x:v>station-component|代々木|東京都|metro|35.6838|139.7015|</x:v>
      </x:c>
      <x:c r="V314" s="19" t="str">
        <x:v>003743 / 003746 / 12号線大江戸線</x:v>
      </x:c>
      <x:c r="W314" s="18" t="str">
        <x:v>否</x:v>
      </x:c>
      <x:c r="X314" s="18" t="str">
        <x:v>0785e932a32b3ec15e1a1345537ae145eafe1c07bf38d5c16c11ee2b391e7a28</x:v>
      </x:c>
      <x:c r="Y314" s="20" t="n">
        <x:v>1</x:v>
      </x:c>
      <x:c r="Z314" s="20" t="n">
        <x:v>1</x:v>
      </x:c>
      <x:c r="AA314" s="19" t="str">
        <x:v>代々木</x:v>
      </x:c>
      <x:c r="AB314" s="18" t="str">
        <x:v>transport-hub-review:ae6978a1-e43b-50d2-a7f6-31c960e268d4</x:v>
      </x:c>
      <x:c r="AC314" s="19"/>
    </x:row>
    <x:row r="315" ht="33" customHeight="1">
      <x:c r="A315" s="18" t="str">
        <x:v>代々木</x:v>
      </x:c>
      <x:c r="B315" s="18" t="str">
        <x:v>東日本旅客鉄道</x:v>
      </x:c>
      <x:c r="C315" s="18" t="str">
        <x:v>conventional_rail</x:v>
      </x:c>
      <x:c r="D315" s="19" t="str">
        <x:v>T1</x:v>
      </x:c>
      <x:c r="E315" s="20" t="n">
        <x:v>113164</x:v>
      </x:c>
      <x:c r="F315" s="18" t="str">
        <x:v>persons/day</x:v>
      </x:c>
      <x:c r="G315" s="18" t="str">
        <x:v>FY2024</x:v>
      </x:c>
      <x:c r="H315" s="18" t="str">
        <x:v>否</x:v>
      </x:c>
      <x:c r="I315" s="19" t="str">
        <x:v>DAILY_ENTRIES_EXITS</x:v>
      </x:c>
      <x:c r="J315" s="19" t="str">
        <x:v>中央線
山手線</x:v>
      </x:c>
      <x:c r="K315" s="18" t="str">
        <x:v>transport-node:db19ed7a-bda5-500b-9fd1-cd883fbe70ed</x:v>
      </x:c>
      <x:c r="L315" s="19" t="str">
        <x:v>组件待审核</x:v>
      </x:c>
      <x:c r="M315" s="21" t="n">
        <x:v>35.683795</x:v>
      </x:c>
      <x:c r="N315" s="21" t="n">
        <x:v>139.70221</x:v>
      </x:c>
      <x:c r="O315" s="18" t="str">
        <x:v>003744</x:v>
      </x:c>
      <x:c r="P315" s="18" t="str">
        <x:v>中央線</x:v>
      </x:c>
      <x:c r="Q315" s="19" t="str">
        <x:v>S12_061_GE_10000
OFFICIAL_HUB_COMPONENT_REVIEW</x:v>
      </x:c>
      <x:c r="R315" s="19" t="str">
        <x:v>S12_061 usage threshold</x:v>
      </x:c>
      <x:c r="S315" s="19" t="str">
        <x:v>https://nlftp.mlit.go.jp/ksj/gml/datalist/KsjTmplt-S12-2024.html</x:v>
      </x:c>
      <x:c r="T315" s="19" t="str">
        <x:v>https://nlftp.mlit.go.jp/ksj/gml/datalist/KsjTmplt-S12-2024.html
https://www.kotsu.metro.tokyo.jp/subway/stations/yoyogi.html</x:v>
      </x:c>
      <x:c r="U315" s="19" t="str">
        <x:v>station-component|代々木|東日本旅客鉄道|conventional_rail|35.6838|139.7022|</x:v>
      </x:c>
      <x:c r="V315" s="19" t="str">
        <x:v>003743 / 003743 / 山手線
003743 / 003744 / 中央線</x:v>
      </x:c>
      <x:c r="W315" s="18" t="str">
        <x:v>否</x:v>
      </x:c>
      <x:c r="X315" s="18" t="str">
        <x:v>0785e932a32b3ec15e1a1345537ae145eafe1c07bf38d5c16c11ee2b391e7a28</x:v>
      </x:c>
      <x:c r="Y315" s="20" t="n">
        <x:v>1</x:v>
      </x:c>
      <x:c r="Z315" s="20" t="n">
        <x:v>1</x:v>
      </x:c>
      <x:c r="AA315" s="19" t="str">
        <x:v>代々木</x:v>
      </x:c>
      <x:c r="AB315" s="18" t="str">
        <x:v>transport-hub-review:ae6978a1-e43b-50d2-a7f6-31c960e268d4</x:v>
      </x:c>
      <x:c r="AC315" s="19"/>
    </x:row>
    <x:row r="316" ht="33" customHeight="1">
      <x:c r="A316" s="18" t="str">
        <x:v>代々木上原</x:v>
      </x:c>
      <x:c r="B316" s="18" t="str">
        <x:v>小田急電鉄</x:v>
      </x:c>
      <x:c r="C316" s="18" t="str">
        <x:v>private_rail</x:v>
      </x:c>
      <x:c r="D316" s="19" t="str">
        <x:v>T0</x:v>
      </x:c>
      <x:c r="E316" s="20" t="n">
        <x:v>269075</x:v>
      </x:c>
      <x:c r="F316" s="18" t="str">
        <x:v>persons/day</x:v>
      </x:c>
      <x:c r="G316" s="18" t="str">
        <x:v>FY2024</x:v>
      </x:c>
      <x:c r="H316" s="18" t="str">
        <x:v>否</x:v>
      </x:c>
      <x:c r="I316" s="19" t="str">
        <x:v>DAILY_ENTRIES_EXITS</x:v>
      </x:c>
      <x:c r="J316" s="19" t="str">
        <x:v>小田原線</x:v>
      </x:c>
      <x:c r="K316" s="18" t="str">
        <x:v>transport-node:40d23c82-c395-5bb0-9e65-7ffb9db5867e</x:v>
      </x:c>
      <x:c r="L316" s="19" t="str">
        <x:v>组件待审核</x:v>
      </x:c>
      <x:c r="M316" s="21" t="n">
        <x:v>35.6688975</x:v>
      </x:c>
      <x:c r="N316" s="21" t="n">
        <x:v>139.6796325</x:v>
      </x:c>
      <x:c r="O316" s="18" t="str">
        <x:v>003848</x:v>
      </x:c>
      <x:c r="P316" s="18" t="str">
        <x:v>小田原線</x:v>
      </x:c>
      <x:c r="Q316" s="19" t="str">
        <x:v>S12_061_GE_10000
OFFICIAL_HUB_COMPONENT_REVIEW</x:v>
      </x:c>
      <x:c r="R316" s="19" t="str">
        <x:v>S12_061 usage threshold</x:v>
      </x:c>
      <x:c r="S316" s="19" t="str">
        <x:v>https://nlftp.mlit.go.jp/ksj/gml/datalist/KsjTmplt-S12-2024.html</x:v>
      </x:c>
      <x:c r="T316" s="19" t="str">
        <x:v>https://nlftp.mlit.go.jp/ksj/gml/datalist/KsjTmplt-S12-2024.html
https://www.tokyometro.jp/station/yoyogi-uehara/index.html</x:v>
      </x:c>
      <x:c r="U316" s="19" t="str">
        <x:v>station-component|代々木上原|小田急電鉄|private_rail|35.6689|139.6796|</x:v>
      </x:c>
      <x:c r="V316" s="19" t="str">
        <x:v>003847 / 003848 / 小田原線</x:v>
      </x:c>
      <x:c r="W316" s="18" t="str">
        <x:v>否</x:v>
      </x:c>
      <x:c r="X316" s="18" t="str">
        <x:v>0785e932a32b3ec15e1a1345537ae145eafe1c07bf38d5c16c11ee2b391e7a28</x:v>
      </x:c>
      <x:c r="Y316" s="20" t="n">
        <x:v>1</x:v>
      </x:c>
      <x:c r="Z316" s="20" t="n">
        <x:v>1</x:v>
      </x:c>
      <x:c r="AA316" s="19" t="str">
        <x:v>代々木上原</x:v>
      </x:c>
      <x:c r="AB316" s="18" t="str">
        <x:v>transport-hub-review:5a505849-6f82-5b3b-9b10-20bdb1a35d8c</x:v>
      </x:c>
      <x:c r="AC316" s="19"/>
    </x:row>
    <x:row r="317" ht="33" customHeight="1">
      <x:c r="A317" s="18" t="str">
        <x:v>代々木上原</x:v>
      </x:c>
      <x:c r="B317" s="18" t="str">
        <x:v>東京地下鉄</x:v>
      </x:c>
      <x:c r="C317" s="18" t="str">
        <x:v>metro</x:v>
      </x:c>
      <x:c r="D317" s="19"/>
      <x:c r="E317" s="20"/>
      <x:c r="F317" s="18"/>
      <x:c r="G317" s="18" t="str">
        <x:v>FY2024</x:v>
      </x:c>
      <x:c r="H317" s="18" t="str">
        <x:v>是</x:v>
      </x:c>
      <x:c r="I317" s="19" t="str">
        <x:v>USAGE_DATA_UNAVAILABLE</x:v>
      </x:c>
      <x:c r="J317" s="19" t="str">
        <x:v>9号線千代田線</x:v>
      </x:c>
      <x:c r="K317" s="18" t="str">
        <x:v>transport-node:f96d8346-10d3-5c33-b91c-7d149adcd211</x:v>
      </x:c>
      <x:c r="L317" s="19" t="str">
        <x:v>组件待审核</x:v>
      </x:c>
      <x:c r="M317" s="21" t="n">
        <x:v>35.6688975</x:v>
      </x:c>
      <x:c r="N317" s="21" t="n">
        <x:v>139.6796325</x:v>
      </x:c>
      <x:c r="O317" s="18" t="str">
        <x:v>003847</x:v>
      </x:c>
      <x:c r="P317" s="18" t="str">
        <x:v>9号線千代田線</x:v>
      </x:c>
      <x:c r="Q317" s="19" t="str">
        <x:v>OFFICIAL_HUB_COMPONENT_REVIEW</x:v>
      </x:c>
      <x:c r="R317" s="19" t="str">
        <x:v>Official S12 usage unavailable; manual tier review required</x:v>
      </x:c>
      <x:c r="S317" s="19" t="str">
        <x:v>https://nlftp.mlit.go.jp/ksj/gml/datalist/KsjTmplt-S12-2024.html</x:v>
      </x:c>
      <x:c r="T317" s="19" t="str">
        <x:v>https://nlftp.mlit.go.jp/ksj/gml/datalist/KsjTmplt-S12-2024.html
https://www.tokyometro.jp/station/yoyogi-uehara/index.html</x:v>
      </x:c>
      <x:c r="U317" s="19" t="str">
        <x:v>station-component|代々木上原|東京地下鉄|metro|35.6689|139.6796|</x:v>
      </x:c>
      <x:c r="V317" s="19" t="str">
        <x:v>003847 / 003847 / 9号線千代田線</x:v>
      </x:c>
      <x:c r="W317" s="18" t="str">
        <x:v>否</x:v>
      </x:c>
      <x:c r="X317" s="18" t="str">
        <x:v>0785e932a32b3ec15e1a1345537ae145eafe1c07bf38d5c16c11ee2b391e7a28</x:v>
      </x:c>
      <x:c r="Y317" s="20" t="n">
        <x:v>1</x:v>
      </x:c>
      <x:c r="Z317" s="20" t="n">
        <x:v>2</x:v>
      </x:c>
      <x:c r="AA317" s="19" t="str">
        <x:v>代々木上原</x:v>
      </x:c>
      <x:c r="AB317" s="18" t="str">
        <x:v>transport-hub-review:5a505849-6f82-5b3b-9b10-20bdb1a35d8c</x:v>
      </x:c>
      <x:c r="AC317" s="19"/>
    </x:row>
    <x:row r="318" ht="28" customHeight="1">
      <x:c r="A318" s="18" t="str">
        <x:v>代々木八幡</x:v>
      </x:c>
      <x:c r="B318" s="18" t="str">
        <x:v>小田急電鉄</x:v>
      </x:c>
      <x:c r="C318" s="18" t="str">
        <x:v>private_rail</x:v>
      </x:c>
      <x:c r="D318" s="19" t="str">
        <x:v>T2</x:v>
      </x:c>
      <x:c r="E318" s="20" t="n">
        <x:v>18567</x:v>
      </x:c>
      <x:c r="F318" s="18" t="str">
        <x:v>persons/day</x:v>
      </x:c>
      <x:c r="G318" s="18" t="str">
        <x:v>FY2024</x:v>
      </x:c>
      <x:c r="H318" s="18" t="str">
        <x:v>否</x:v>
      </x:c>
      <x:c r="I318" s="19" t="str">
        <x:v>DAILY_ENTRIES_EXITS</x:v>
      </x:c>
      <x:c r="J318" s="19" t="str">
        <x:v>小田原線</x:v>
      </x:c>
      <x:c r="K318" s="18" t="str">
        <x:v>transport-node:d0b58fbc-50b9-506d-9c97-54523a4ba3de</x:v>
      </x:c>
      <x:c r="L318" s="19" t="str">
        <x:v>组件待审核</x:v>
      </x:c>
      <x:c r="M318" s="21" t="n">
        <x:v>35.6697157</x:v>
      </x:c>
      <x:c r="N318" s="21" t="n">
        <x:v>139.6890443</x:v>
      </x:c>
      <x:c r="O318" s="18" t="str">
        <x:v>003837</x:v>
      </x:c>
      <x:c r="P318" s="18" t="str">
        <x:v>小田原線</x:v>
      </x:c>
      <x:c r="Q318" s="19" t="str">
        <x:v>S12_061_GE_10000</x:v>
      </x:c>
      <x:c r="R318" s="19" t="str">
        <x:v>S12_061 usage threshold</x:v>
      </x:c>
      <x:c r="S318" s="19" t="str">
        <x:v>https://nlftp.mlit.go.jp/ksj/gml/datalist/KsjTmplt-S12-2024.html</x:v>
      </x:c>
      <x:c r="T318" s="19" t="str">
        <x:v>https://nlftp.mlit.go.jp/ksj/gml/datalist/KsjTmplt-S12-2024.html</x:v>
      </x:c>
      <x:c r="U318" s="19" t="str">
        <x:v>station-component|代々木八幡|小田急電鉄|private_rail|35.6697|139.6890|</x:v>
      </x:c>
      <x:c r="V318" s="19" t="str">
        <x:v>003837 / 003837 / 小田原線</x:v>
      </x:c>
      <x:c r="W318" s="18" t="str">
        <x:v>否</x:v>
      </x:c>
      <x:c r="X318" s="18" t="str">
        <x:v>0785e932a32b3ec15e1a1345537ae145eafe1c07bf38d5c16c11ee2b391e7a28</x:v>
      </x:c>
      <x:c r="Y318" s="20" t="n">
        <x:v>1</x:v>
      </x:c>
      <x:c r="Z318" s="20" t="n">
        <x:v>1</x:v>
      </x:c>
      <x:c r="AA318" s="19"/>
      <x:c r="AB318" s="18"/>
      <x:c r="AC318" s="19"/>
    </x:row>
    <x:row r="319" ht="28" customHeight="1">
      <x:c r="A319" s="18" t="str">
        <x:v>代々木公園</x:v>
      </x:c>
      <x:c r="B319" s="18" t="str">
        <x:v>東京地下鉄</x:v>
      </x:c>
      <x:c r="C319" s="18" t="str">
        <x:v>metro</x:v>
      </x:c>
      <x:c r="D319" s="19" t="str">
        <x:v>T2</x:v>
      </x:c>
      <x:c r="E319" s="20" t="n">
        <x:v>28862</x:v>
      </x:c>
      <x:c r="F319" s="18" t="str">
        <x:v>persons/day</x:v>
      </x:c>
      <x:c r="G319" s="18" t="str">
        <x:v>FY2024</x:v>
      </x:c>
      <x:c r="H319" s="18" t="str">
        <x:v>否</x:v>
      </x:c>
      <x:c r="I319" s="19" t="str">
        <x:v>DAILY_ENTRIES_EXITS</x:v>
      </x:c>
      <x:c r="J319" s="19" t="str">
        <x:v>9号線千代田線</x:v>
      </x:c>
      <x:c r="K319" s="18" t="str">
        <x:v>transport-node:738433da-503d-58f3-af59-620ae220e661</x:v>
      </x:c>
      <x:c r="L319" s="19" t="str">
        <x:v>组件待审核</x:v>
      </x:c>
      <x:c r="M319" s="21" t="n">
        <x:v>35.6691233</x:v>
      </x:c>
      <x:c r="N319" s="21" t="n">
        <x:v>139.68965</x:v>
      </x:c>
      <x:c r="O319" s="18" t="str">
        <x:v>003845</x:v>
      </x:c>
      <x:c r="P319" s="18" t="str">
        <x:v>9号線千代田線</x:v>
      </x:c>
      <x:c r="Q319" s="19" t="str">
        <x:v>S12_061_GE_10000</x:v>
      </x:c>
      <x:c r="R319" s="19" t="str">
        <x:v>S12_061 usage threshold</x:v>
      </x:c>
      <x:c r="S319" s="19" t="str">
        <x:v>https://nlftp.mlit.go.jp/ksj/gml/datalist/KsjTmplt-S12-2024.html</x:v>
      </x:c>
      <x:c r="T319" s="19" t="str">
        <x:v>https://nlftp.mlit.go.jp/ksj/gml/datalist/KsjTmplt-S12-2024.html</x:v>
      </x:c>
      <x:c r="U319" s="19" t="str">
        <x:v>station-component|代々木公園|東京地下鉄|metro|35.6691|139.6897|</x:v>
      </x:c>
      <x:c r="V319" s="19" t="str">
        <x:v>003845 / 003845 / 9号線千代田線</x:v>
      </x:c>
      <x:c r="W319" s="18" t="str">
        <x:v>否</x:v>
      </x:c>
      <x:c r="X319" s="18" t="str">
        <x:v>0785e932a32b3ec15e1a1345537ae145eafe1c07bf38d5c16c11ee2b391e7a28</x:v>
      </x:c>
      <x:c r="Y319" s="20" t="n">
        <x:v>1</x:v>
      </x:c>
      <x:c r="Z319" s="20" t="n">
        <x:v>1</x:v>
      </x:c>
      <x:c r="AA319" s="19"/>
      <x:c r="AB319" s="18"/>
      <x:c r="AC319" s="19"/>
    </x:row>
    <x:row r="320" ht="28" customHeight="1">
      <x:c r="A320" s="18" t="str">
        <x:v>代官山</x:v>
      </x:c>
      <x:c r="B320" s="18" t="str">
        <x:v>東急電鉄</x:v>
      </x:c>
      <x:c r="C320" s="18" t="str">
        <x:v>private_rail</x:v>
      </x:c>
      <x:c r="D320" s="19" t="str">
        <x:v>T2</x:v>
      </x:c>
      <x:c r="E320" s="20" t="n">
        <x:v>28772</x:v>
      </x:c>
      <x:c r="F320" s="18" t="str">
        <x:v>persons/day</x:v>
      </x:c>
      <x:c r="G320" s="18" t="str">
        <x:v>FY2024</x:v>
      </x:c>
      <x:c r="H320" s="18" t="str">
        <x:v>否</x:v>
      </x:c>
      <x:c r="I320" s="19" t="str">
        <x:v>DAILY_ENTRIES_EXITS</x:v>
      </x:c>
      <x:c r="J320" s="19" t="str">
        <x:v>東横線</x:v>
      </x:c>
      <x:c r="K320" s="18" t="str">
        <x:v>transport-node:38b556e7-3f64-5edb-9042-ac0c752d15b3</x:v>
      </x:c>
      <x:c r="L320" s="19" t="str">
        <x:v>组件待审核</x:v>
      </x:c>
      <x:c r="M320" s="21" t="n">
        <x:v>35.64825</x:v>
      </x:c>
      <x:c r="N320" s="21" t="n">
        <x:v>139.70349</x:v>
      </x:c>
      <x:c r="O320" s="18" t="str">
        <x:v>003985</x:v>
      </x:c>
      <x:c r="P320" s="18" t="str">
        <x:v>東横線</x:v>
      </x:c>
      <x:c r="Q320" s="19" t="str">
        <x:v>S12_061_GE_10000</x:v>
      </x:c>
      <x:c r="R320" s="19" t="str">
        <x:v>S12_061 usage threshold</x:v>
      </x:c>
      <x:c r="S320" s="19" t="str">
        <x:v>https://nlftp.mlit.go.jp/ksj/gml/datalist/KsjTmplt-S12-2024.html</x:v>
      </x:c>
      <x:c r="T320" s="19" t="str">
        <x:v>https://nlftp.mlit.go.jp/ksj/gml/datalist/KsjTmplt-S12-2024.html</x:v>
      </x:c>
      <x:c r="U320" s="19" t="str">
        <x:v>station-component|代官山|東急電鉄|private_rail|35.6482|139.7035|</x:v>
      </x:c>
      <x:c r="V320" s="19" t="str">
        <x:v>003985 / 003985 / 東横線</x:v>
      </x:c>
      <x:c r="W320" s="18" t="str">
        <x:v>否</x:v>
      </x:c>
      <x:c r="X320" s="18" t="str">
        <x:v>0785e932a32b3ec15e1a1345537ae145eafe1c07bf38d5c16c11ee2b391e7a28</x:v>
      </x:c>
      <x:c r="Y320" s="20" t="n">
        <x:v>1</x:v>
      </x:c>
      <x:c r="Z320" s="20" t="n">
        <x:v>1</x:v>
      </x:c>
      <x:c r="AA320" s="19"/>
      <x:c r="AB320" s="18"/>
      <x:c r="AC320" s="19"/>
    </x:row>
    <x:row r="321" ht="28" customHeight="1">
      <x:c r="A321" s="18" t="str">
        <x:v>代田橋</x:v>
      </x:c>
      <x:c r="B321" s="18" t="str">
        <x:v>京王電鉄</x:v>
      </x:c>
      <x:c r="C321" s="18" t="str">
        <x:v>private_rail</x:v>
      </x:c>
      <x:c r="D321" s="19" t="str">
        <x:v>T2</x:v>
      </x:c>
      <x:c r="E321" s="20" t="n">
        <x:v>17148</x:v>
      </x:c>
      <x:c r="F321" s="18" t="str">
        <x:v>persons/day</x:v>
      </x:c>
      <x:c r="G321" s="18" t="str">
        <x:v>FY2024</x:v>
      </x:c>
      <x:c r="H321" s="18" t="str">
        <x:v>否</x:v>
      </x:c>
      <x:c r="I321" s="19" t="str">
        <x:v>DAILY_ENTRIES_EXITS</x:v>
      </x:c>
      <x:c r="J321" s="19" t="str">
        <x:v>京王線</x:v>
      </x:c>
      <x:c r="K321" s="18" t="str">
        <x:v>transport-node:219eccc5-7558-502e-9893-f392add123e9</x:v>
      </x:c>
      <x:c r="L321" s="19" t="str">
        <x:v>组件待审核</x:v>
      </x:c>
      <x:c r="M321" s="21" t="n">
        <x:v>35.671075</x:v>
      </x:c>
      <x:c r="N321" s="21" t="n">
        <x:v>139.659395</x:v>
      </x:c>
      <x:c r="O321" s="18" t="str">
        <x:v>003830</x:v>
      </x:c>
      <x:c r="P321" s="18" t="str">
        <x:v>京王線</x:v>
      </x:c>
      <x:c r="Q321" s="19" t="str">
        <x:v>S12_061_GE_10000</x:v>
      </x:c>
      <x:c r="R321" s="19" t="str">
        <x:v>S12_061 usage threshold</x:v>
      </x:c>
      <x:c r="S321" s="19" t="str">
        <x:v>https://nlftp.mlit.go.jp/ksj/gml/datalist/KsjTmplt-S12-2024.html</x:v>
      </x:c>
      <x:c r="T321" s="19" t="str">
        <x:v>https://nlftp.mlit.go.jp/ksj/gml/datalist/KsjTmplt-S12-2024.html</x:v>
      </x:c>
      <x:c r="U321" s="19" t="str">
        <x:v>station-component|代田橋|京王電鉄|private_rail|35.6711|139.6594|</x:v>
      </x:c>
      <x:c r="V321" s="19" t="str">
        <x:v>003830 / 003830 / 京王線</x:v>
      </x:c>
      <x:c r="W321" s="18" t="str">
        <x:v>否</x:v>
      </x:c>
      <x:c r="X321" s="18" t="str">
        <x:v>0785e932a32b3ec15e1a1345537ae145eafe1c07bf38d5c16c11ee2b391e7a28</x:v>
      </x:c>
      <x:c r="Y321" s="20" t="n">
        <x:v>1</x:v>
      </x:c>
      <x:c r="Z321" s="20" t="n">
        <x:v>1</x:v>
      </x:c>
      <x:c r="AA321" s="19"/>
      <x:c r="AB321" s="18"/>
      <x:c r="AC321" s="19"/>
    </x:row>
    <x:row r="322" ht="28" customHeight="1">
      <x:c r="A322" s="18" t="str">
        <x:v>仲御徒町</x:v>
      </x:c>
      <x:c r="B322" s="18" t="str">
        <x:v>東京地下鉄</x:v>
      </x:c>
      <x:c r="C322" s="18" t="str">
        <x:v>metro</x:v>
      </x:c>
      <x:c r="D322" s="19" t="str">
        <x:v>T2</x:v>
      </x:c>
      <x:c r="E322" s="20" t="n">
        <x:v>41623</x:v>
      </x:c>
      <x:c r="F322" s="18" t="str">
        <x:v>persons/day</x:v>
      </x:c>
      <x:c r="G322" s="18" t="str">
        <x:v>FY2024</x:v>
      </x:c>
      <x:c r="H322" s="18" t="str">
        <x:v>否</x:v>
      </x:c>
      <x:c r="I322" s="19" t="str">
        <x:v>DAILY_ENTRIES_EXITS</x:v>
      </x:c>
      <x:c r="J322" s="19" t="str">
        <x:v>2号線日比谷線</x:v>
      </x:c>
      <x:c r="K322" s="18" t="str">
        <x:v>transport-node:e487e408-a854-5a8b-a262-72d52cae3dd6</x:v>
      </x:c>
      <x:c r="L322" s="19" t="str">
        <x:v>组件待审核</x:v>
      </x:c>
      <x:c r="M322" s="21" t="n">
        <x:v>35.706655</x:v>
      </x:c>
      <x:c r="N322" s="21" t="n">
        <x:v>139.77619</x:v>
      </x:c>
      <x:c r="O322" s="18" t="str">
        <x:v>003560</x:v>
      </x:c>
      <x:c r="P322" s="18" t="str">
        <x:v>2号線日比谷線</x:v>
      </x:c>
      <x:c r="Q322" s="19" t="str">
        <x:v>S12_061_GE_10000</x:v>
      </x:c>
      <x:c r="R322" s="19" t="str">
        <x:v>S12_061 usage threshold</x:v>
      </x:c>
      <x:c r="S322" s="19" t="str">
        <x:v>https://nlftp.mlit.go.jp/ksj/gml/datalist/KsjTmplt-S12-2024.html</x:v>
      </x:c>
      <x:c r="T322" s="19" t="str">
        <x:v>https://nlftp.mlit.go.jp/ksj/gml/datalist/KsjTmplt-S12-2024.html</x:v>
      </x:c>
      <x:c r="U322" s="19" t="str">
        <x:v>station-component|仲御徒町|東京地下鉄|metro|35.7067|139.7762|</x:v>
      </x:c>
      <x:c r="V322" s="19" t="str">
        <x:v>003560 / 003560 / 2号線日比谷線</x:v>
      </x:c>
      <x:c r="W322" s="18" t="str">
        <x:v>否</x:v>
      </x:c>
      <x:c r="X322" s="18" t="str">
        <x:v>0785e932a32b3ec15e1a1345537ae145eafe1c07bf38d5c16c11ee2b391e7a28</x:v>
      </x:c>
      <x:c r="Y322" s="20" t="n">
        <x:v>1</x:v>
      </x:c>
      <x:c r="Z322" s="20" t="n">
        <x:v>1</x:v>
      </x:c>
      <x:c r="AA322" s="19"/>
      <x:c r="AB322" s="18"/>
      <x:c r="AC322" s="19"/>
    </x:row>
    <x:row r="323" ht="28" customHeight="1">
      <x:c r="A323" s="18" t="str">
        <x:v>仲町台</x:v>
      </x:c>
      <x:c r="B323" s="18" t="str">
        <x:v>横浜市</x:v>
      </x:c>
      <x:c r="C323" s="18" t="str">
        <x:v>metro</x:v>
      </x:c>
      <x:c r="D323" s="19" t="str">
        <x:v>T2</x:v>
      </x:c>
      <x:c r="E323" s="20" t="n">
        <x:v>15277</x:v>
      </x:c>
      <x:c r="F323" s="18" t="str">
        <x:v>persons/day</x:v>
      </x:c>
      <x:c r="G323" s="18" t="str">
        <x:v>FY2024</x:v>
      </x:c>
      <x:c r="H323" s="18" t="str">
        <x:v>否</x:v>
      </x:c>
      <x:c r="I323" s="19" t="str">
        <x:v>DAILY_ENTRIES_EXITS</x:v>
      </x:c>
      <x:c r="J323" s="19" t="str">
        <x:v>3号線</x:v>
      </x:c>
      <x:c r="K323" s="18" t="str">
        <x:v>transport-node:24e77df4-67fd-588a-ac72-d348de55fe3b</x:v>
      </x:c>
      <x:c r="L323" s="19" t="str">
        <x:v>组件待审核</x:v>
      </x:c>
      <x:c r="M323" s="21" t="n">
        <x:v>35.535315</x:v>
      </x:c>
      <x:c r="N323" s="21" t="n">
        <x:v>139.589515</x:v>
      </x:c>
      <x:c r="O323" s="18" t="str">
        <x:v>004416</x:v>
      </x:c>
      <x:c r="P323" s="18" t="str">
        <x:v>3号線</x:v>
      </x:c>
      <x:c r="Q323" s="19" t="str">
        <x:v>S12_061_GE_10000</x:v>
      </x:c>
      <x:c r="R323" s="19" t="str">
        <x:v>S12_061 usage threshold</x:v>
      </x:c>
      <x:c r="S323" s="19" t="str">
        <x:v>https://nlftp.mlit.go.jp/ksj/gml/datalist/KsjTmplt-S12-2024.html</x:v>
      </x:c>
      <x:c r="T323" s="19" t="str">
        <x:v>https://nlftp.mlit.go.jp/ksj/gml/datalist/KsjTmplt-S12-2024.html</x:v>
      </x:c>
      <x:c r="U323" s="19" t="str">
        <x:v>station-component|仲町台|横浜市|metro|35.5353|139.5895|</x:v>
      </x:c>
      <x:c r="V323" s="19" t="str">
        <x:v>004416 / 004416 / 3号線</x:v>
      </x:c>
      <x:c r="W323" s="18" t="str">
        <x:v>否</x:v>
      </x:c>
      <x:c r="X323" s="18" t="str">
        <x:v>0785e932a32b3ec15e1a1345537ae145eafe1c07bf38d5c16c11ee2b391e7a28</x:v>
      </x:c>
      <x:c r="Y323" s="20" t="n">
        <x:v>1</x:v>
      </x:c>
      <x:c r="Z323" s="20" t="n">
        <x:v>1</x:v>
      </x:c>
      <x:c r="AA323" s="19"/>
      <x:c r="AB323" s="18"/>
      <x:c r="AC323" s="19"/>
    </x:row>
    <x:row r="324" ht="28" customHeight="1">
      <x:c r="A324" s="18" t="str">
        <x:v>伊丹</x:v>
      </x:c>
      <x:c r="B324" s="18" t="str">
        <x:v>西日本旅客鉄道</x:v>
      </x:c>
      <x:c r="C324" s="18" t="str">
        <x:v>conventional_rail</x:v>
      </x:c>
      <x:c r="D324" s="19" t="str">
        <x:v>T2</x:v>
      </x:c>
      <x:c r="E324" s="20" t="n">
        <x:v>46494</x:v>
      </x:c>
      <x:c r="F324" s="18" t="str">
        <x:v>persons/day</x:v>
      </x:c>
      <x:c r="G324" s="18" t="str">
        <x:v>FY2024</x:v>
      </x:c>
      <x:c r="H324" s="18" t="str">
        <x:v>否</x:v>
      </x:c>
      <x:c r="I324" s="19" t="str">
        <x:v>DAILY_ENTRIES_EXITS</x:v>
      </x:c>
      <x:c r="J324" s="19" t="str">
        <x:v>福知山線</x:v>
      </x:c>
      <x:c r="K324" s="18" t="str">
        <x:v>transport-node:ae410473-5183-5174-9d95-c74ba1fa99bd</x:v>
      </x:c>
      <x:c r="L324" s="19" t="str">
        <x:v>组件待审核</x:v>
      </x:c>
      <x:c r="M324" s="21" t="n">
        <x:v>34.780615</x:v>
      </x:c>
      <x:c r="N324" s="21" t="n">
        <x:v>135.421775</x:v>
      </x:c>
      <x:c r="O324" s="18" t="str">
        <x:v>006709</x:v>
      </x:c>
      <x:c r="P324" s="18" t="str">
        <x:v>福知山線</x:v>
      </x:c>
      <x:c r="Q324" s="19" t="str">
        <x:v>S12_061_GE_10000</x:v>
      </x:c>
      <x:c r="R324" s="19" t="str">
        <x:v>S12_061 usage threshold</x:v>
      </x:c>
      <x:c r="S324" s="19" t="str">
        <x:v>https://nlftp.mlit.go.jp/ksj/gml/datalist/KsjTmplt-S12-2024.html</x:v>
      </x:c>
      <x:c r="T324" s="19" t="str">
        <x:v>https://nlftp.mlit.go.jp/ksj/gml/datalist/KsjTmplt-S12-2024.html</x:v>
      </x:c>
      <x:c r="U324" s="19" t="str">
        <x:v>station-component|伊丹|西日本旅客鉄道|conventional_rail|34.7806|135.4218|</x:v>
      </x:c>
      <x:c r="V324" s="19" t="str">
        <x:v>006709 / 006709 / 福知山線</x:v>
      </x:c>
      <x:c r="W324" s="18" t="str">
        <x:v>否</x:v>
      </x:c>
      <x:c r="X324" s="18" t="str">
        <x:v>0785e932a32b3ec15e1a1345537ae145eafe1c07bf38d5c16c11ee2b391e7a28</x:v>
      </x:c>
      <x:c r="Y324" s="20" t="n">
        <x:v>1</x:v>
      </x:c>
      <x:c r="Z324" s="20" t="n">
        <x:v>1</x:v>
      </x:c>
      <x:c r="AA324" s="19"/>
      <x:c r="AB324" s="18"/>
      <x:c r="AC324" s="19"/>
    </x:row>
    <x:row r="325" ht="28" customHeight="1">
      <x:c r="A325" s="18" t="str">
        <x:v>伊丹</x:v>
      </x:c>
      <x:c r="B325" s="18" t="str">
        <x:v>阪急電鉄</x:v>
      </x:c>
      <x:c r="C325" s="18" t="str">
        <x:v>private_rail</x:v>
      </x:c>
      <x:c r="D325" s="19" t="str">
        <x:v>T2</x:v>
      </x:c>
      <x:c r="E325" s="20" t="n">
        <x:v>20642</x:v>
      </x:c>
      <x:c r="F325" s="18" t="str">
        <x:v>persons/day</x:v>
      </x:c>
      <x:c r="G325" s="18" t="str">
        <x:v>FY2024</x:v>
      </x:c>
      <x:c r="H325" s="18" t="str">
        <x:v>否</x:v>
      </x:c>
      <x:c r="I325" s="19" t="str">
        <x:v>DAILY_ENTRIES_EXITS</x:v>
      </x:c>
      <x:c r="J325" s="19" t="str">
        <x:v>伊丹線</x:v>
      </x:c>
      <x:c r="K325" s="18" t="str">
        <x:v>transport-node:907bb4d3-178b-5c6c-b42b-63deac2fc83f</x:v>
      </x:c>
      <x:c r="L325" s="19" t="str">
        <x:v>组件待审核</x:v>
      </x:c>
      <x:c r="M325" s="21" t="n">
        <x:v>34.779915</x:v>
      </x:c>
      <x:c r="N325" s="21" t="n">
        <x:v>135.41373</x:v>
      </x:c>
      <x:c r="O325" s="18" t="str">
        <x:v>006714</x:v>
      </x:c>
      <x:c r="P325" s="18" t="str">
        <x:v>伊丹線</x:v>
      </x:c>
      <x:c r="Q325" s="19" t="str">
        <x:v>S12_061_GE_10000</x:v>
      </x:c>
      <x:c r="R325" s="19" t="str">
        <x:v>S12_061 usage threshold</x:v>
      </x:c>
      <x:c r="S325" s="19" t="str">
        <x:v>https://nlftp.mlit.go.jp/ksj/gml/datalist/KsjTmplt-S12-2024.html</x:v>
      </x:c>
      <x:c r="T325" s="19" t="str">
        <x:v>https://nlftp.mlit.go.jp/ksj/gml/datalist/KsjTmplt-S12-2024.html</x:v>
      </x:c>
      <x:c r="U325" s="19" t="str">
        <x:v>station-component|伊丹|阪急電鉄|private_rail|34.7799|135.4137|</x:v>
      </x:c>
      <x:c r="V325" s="19" t="str">
        <x:v>006714 / 006714 / 伊丹線</x:v>
      </x:c>
      <x:c r="W325" s="18" t="str">
        <x:v>否</x:v>
      </x:c>
      <x:c r="X325" s="18" t="str">
        <x:v>0785e932a32b3ec15e1a1345537ae145eafe1c07bf38d5c16c11ee2b391e7a28</x:v>
      </x:c>
      <x:c r="Y325" s="20" t="n">
        <x:v>1</x:v>
      </x:c>
      <x:c r="Z325" s="20" t="n">
        <x:v>1</x:v>
      </x:c>
      <x:c r="AA325" s="19"/>
      <x:c r="AB325" s="18"/>
      <x:c r="AC325" s="19"/>
    </x:row>
    <x:row r="326" ht="28" customHeight="1">
      <x:c r="A326" s="18" t="str">
        <x:v>伊勢原</x:v>
      </x:c>
      <x:c r="B326" s="18" t="str">
        <x:v>小田急電鉄</x:v>
      </x:c>
      <x:c r="C326" s="18" t="str">
        <x:v>private_rail</x:v>
      </x:c>
      <x:c r="D326" s="19" t="str">
        <x:v>T2</x:v>
      </x:c>
      <x:c r="E326" s="20" t="n">
        <x:v>47079</x:v>
      </x:c>
      <x:c r="F326" s="18" t="str">
        <x:v>persons/day</x:v>
      </x:c>
      <x:c r="G326" s="18" t="str">
        <x:v>FY2024</x:v>
      </x:c>
      <x:c r="H326" s="18" t="str">
        <x:v>否</x:v>
      </x:c>
      <x:c r="I326" s="19" t="str">
        <x:v>DAILY_ENTRIES_EXITS</x:v>
      </x:c>
      <x:c r="J326" s="19" t="str">
        <x:v>小田原線</x:v>
      </x:c>
      <x:c r="K326" s="18" t="str">
        <x:v>transport-node:2812aeb3-46a1-5bea-957d-eef6a1336f76</x:v>
      </x:c>
      <x:c r="L326" s="19" t="str">
        <x:v>组件待审核</x:v>
      </x:c>
      <x:c r="M326" s="21" t="n">
        <x:v>35.39609</x:v>
      </x:c>
      <x:c r="N326" s="21" t="n">
        <x:v>139.313795</x:v>
      </x:c>
      <x:c r="O326" s="18" t="str">
        <x:v>004844</x:v>
      </x:c>
      <x:c r="P326" s="18" t="str">
        <x:v>小田原線</x:v>
      </x:c>
      <x:c r="Q326" s="19" t="str">
        <x:v>S12_061_GE_10000</x:v>
      </x:c>
      <x:c r="R326" s="19" t="str">
        <x:v>S12_061 usage threshold</x:v>
      </x:c>
      <x:c r="S326" s="19" t="str">
        <x:v>https://nlftp.mlit.go.jp/ksj/gml/datalist/KsjTmplt-S12-2024.html</x:v>
      </x:c>
      <x:c r="T326" s="19" t="str">
        <x:v>https://nlftp.mlit.go.jp/ksj/gml/datalist/KsjTmplt-S12-2024.html</x:v>
      </x:c>
      <x:c r="U326" s="19" t="str">
        <x:v>station-component|伊勢原|小田急電鉄|private_rail|35.3961|139.3138|</x:v>
      </x:c>
      <x:c r="V326" s="19" t="str">
        <x:v>004844 / 004844 / 小田原線</x:v>
      </x:c>
      <x:c r="W326" s="18" t="str">
        <x:v>否</x:v>
      </x:c>
      <x:c r="X326" s="18" t="str">
        <x:v>0785e932a32b3ec15e1a1345537ae145eafe1c07bf38d5c16c11ee2b391e7a28</x:v>
      </x:c>
      <x:c r="Y326" s="20" t="n">
        <x:v>1</x:v>
      </x:c>
      <x:c r="Z326" s="20" t="n">
        <x:v>1</x:v>
      </x:c>
      <x:c r="AA326" s="19"/>
      <x:c r="AB326" s="18"/>
      <x:c r="AC326" s="19"/>
    </x:row>
    <x:row r="327" ht="28" customHeight="1">
      <x:c r="A327" s="18" t="str">
        <x:v>伊勢崎</x:v>
      </x:c>
      <x:c r="B327" s="18" t="str">
        <x:v>東日本旅客鉄道</x:v>
      </x:c>
      <x:c r="C327" s="18" t="str">
        <x:v>conventional_rail</x:v>
      </x:c>
      <x:c r="D327" s="19" t="str">
        <x:v>T2</x:v>
      </x:c>
      <x:c r="E327" s="20" t="n">
        <x:v>11414</x:v>
      </x:c>
      <x:c r="F327" s="18" t="str">
        <x:v>persons/day</x:v>
      </x:c>
      <x:c r="G327" s="18" t="str">
        <x:v>FY2024</x:v>
      </x:c>
      <x:c r="H327" s="18" t="str">
        <x:v>否</x:v>
      </x:c>
      <x:c r="I327" s="19" t="str">
        <x:v>DAILY_ENTRIES_EXITS</x:v>
      </x:c>
      <x:c r="J327" s="19" t="str">
        <x:v>両毛線</x:v>
      </x:c>
      <x:c r="K327" s="18" t="str">
        <x:v>transport-node:e1621a89-3743-58aa-970d-4fde9fe0d604</x:v>
      </x:c>
      <x:c r="L327" s="19" t="str">
        <x:v>组件待审核</x:v>
      </x:c>
      <x:c r="M327" s="21" t="n">
        <x:v>36.32688</x:v>
      </x:c>
      <x:c r="N327" s="21" t="n">
        <x:v>139.19331</x:v>
      </x:c>
      <x:c r="O327" s="18" t="str">
        <x:v>002380</x:v>
      </x:c>
      <x:c r="P327" s="18" t="str">
        <x:v>両毛線</x:v>
      </x:c>
      <x:c r="Q327" s="19" t="str">
        <x:v>S12_061_GE_10000</x:v>
      </x:c>
      <x:c r="R327" s="19" t="str">
        <x:v>S12_061 usage threshold</x:v>
      </x:c>
      <x:c r="S327" s="19" t="str">
        <x:v>https://nlftp.mlit.go.jp/ksj/gml/datalist/KsjTmplt-S12-2024.html</x:v>
      </x:c>
      <x:c r="T327" s="19" t="str">
        <x:v>https://nlftp.mlit.go.jp/ksj/gml/datalist/KsjTmplt-S12-2024.html</x:v>
      </x:c>
      <x:c r="U327" s="19" t="str">
        <x:v>station-component|伊勢崎|東日本旅客鉄道|conventional_rail|36.3269|139.1933|</x:v>
      </x:c>
      <x:c r="V327" s="19" t="str">
        <x:v>002380 / 002380 / 両毛線</x:v>
      </x:c>
      <x:c r="W327" s="18" t="str">
        <x:v>否</x:v>
      </x:c>
      <x:c r="X327" s="18" t="str">
        <x:v>0785e932a32b3ec15e1a1345537ae145eafe1c07bf38d5c16c11ee2b391e7a28</x:v>
      </x:c>
      <x:c r="Y327" s="20" t="n">
        <x:v>1</x:v>
      </x:c>
      <x:c r="Z327" s="20" t="n">
        <x:v>1</x:v>
      </x:c>
      <x:c r="AA327" s="19"/>
      <x:c r="AB327" s="18"/>
      <x:c r="AC327" s="19"/>
    </x:row>
    <x:row r="328" ht="33" customHeight="1">
      <x:c r="A328" s="18" t="str">
        <x:v>伊勢市</x:v>
      </x:c>
      <x:c r="B328" s="18" t="str">
        <x:v>東海旅客鉄道</x:v>
      </x:c>
      <x:c r="C328" s="18" t="str">
        <x:v>conventional_rail</x:v>
      </x:c>
      <x:c r="D328" s="19"/>
      <x:c r="E328" s="20"/>
      <x:c r="F328" s="18"/>
      <x:c r="G328" s="18" t="str">
        <x:v>FY2024</x:v>
      </x:c>
      <x:c r="H328" s="18" t="str">
        <x:v>是</x:v>
      </x:c>
      <x:c r="I328" s="19" t="str">
        <x:v>USAGE_DATA_UNAVAILABLE</x:v>
      </x:c>
      <x:c r="J328" s="19" t="str">
        <x:v>参宮線</x:v>
      </x:c>
      <x:c r="K328" s="18" t="str">
        <x:v>transport-node:c4f07cc3-871e-5f1b-b635-4eb484441fb2</x:v>
      </x:c>
      <x:c r="L328" s="19" t="str">
        <x:v>组件待审核</x:v>
      </x:c>
      <x:c r="M328" s="21" t="n">
        <x:v>34.49133</x:v>
      </x:c>
      <x:c r="N328" s="21" t="n">
        <x:v>136.70966</x:v>
      </x:c>
      <x:c r="O328" s="18" t="str">
        <x:v>007858</x:v>
      </x:c>
      <x:c r="P328" s="18" t="str">
        <x:v>参宮線</x:v>
      </x:c>
      <x:c r="Q328" s="19" t="str">
        <x:v>OFFICIAL_HUB_COMPONENT_REVIEW</x:v>
      </x:c>
      <x:c r="R328" s="19" t="str">
        <x:v>Official S12 usage unavailable; manual tier review required</x:v>
      </x:c>
      <x:c r="S328" s="19" t="str">
        <x:v>https://nlftp.mlit.go.jp/ksj/gml/datalist/KsjTmplt-S12-2024.html</x:v>
      </x:c>
      <x:c r="T328" s="19" t="str">
        <x:v>https://nlftp.mlit.go.jp/ksj/gml/datalist/KsjTmplt-S12-2024.html
https://www.kintetsu.co.jp/station/</x:v>
      </x:c>
      <x:c r="U328" s="19" t="str">
        <x:v>station-component|伊勢市|東海旅客鉄道|conventional_rail|34.4913|136.7097|</x:v>
      </x:c>
      <x:c r="V328" s="19" t="str">
        <x:v>007857 / 007858 / 参宮線</x:v>
      </x:c>
      <x:c r="W328" s="18" t="str">
        <x:v>否</x:v>
      </x:c>
      <x:c r="X328" s="18" t="str">
        <x:v>0785e932a32b3ec15e1a1345537ae145eafe1c07bf38d5c16c11ee2b391e7a28</x:v>
      </x:c>
      <x:c r="Y328" s="20" t="n">
        <x:v>1</x:v>
      </x:c>
      <x:c r="Z328" s="20" t="n">
        <x:v>2</x:v>
      </x:c>
      <x:c r="AA328" s="19" t="str">
        <x:v>伊勢市</x:v>
      </x:c>
      <x:c r="AB328" s="18" t="str">
        <x:v>transport-hub-review:367ceb13-25f3-5c01-8967-6860bfcf38aa</x:v>
      </x:c>
      <x:c r="AC328" s="19"/>
    </x:row>
    <x:row r="329" ht="33" customHeight="1">
      <x:c r="A329" s="18" t="str">
        <x:v>伊勢市</x:v>
      </x:c>
      <x:c r="B329" s="18" t="str">
        <x:v>近畿日本鉄道</x:v>
      </x:c>
      <x:c r="C329" s="18" t="str">
        <x:v>private_rail</x:v>
      </x:c>
      <x:c r="D329" s="19" t="str">
        <x:v>T2</x:v>
      </x:c>
      <x:c r="E329" s="20" t="n">
        <x:v>10269</x:v>
      </x:c>
      <x:c r="F329" s="18" t="str">
        <x:v>persons/day</x:v>
      </x:c>
      <x:c r="G329" s="18" t="str">
        <x:v>FY2024</x:v>
      </x:c>
      <x:c r="H329" s="18" t="str">
        <x:v>否</x:v>
      </x:c>
      <x:c r="I329" s="19" t="str">
        <x:v>DAILY_ENTRIES_EXITS</x:v>
      </x:c>
      <x:c r="J329" s="19" t="str">
        <x:v>山田線</x:v>
      </x:c>
      <x:c r="K329" s="18" t="str">
        <x:v>transport-node:25f11260-22ae-5c87-b70c-24f8aee6556e</x:v>
      </x:c>
      <x:c r="L329" s="19" t="str">
        <x:v>组件待审核</x:v>
      </x:c>
      <x:c r="M329" s="21" t="n">
        <x:v>34.491945</x:v>
      </x:c>
      <x:c r="N329" s="21" t="n">
        <x:v>136.710485</x:v>
      </x:c>
      <x:c r="O329" s="18" t="str">
        <x:v>007857</x:v>
      </x:c>
      <x:c r="P329" s="18" t="str">
        <x:v>山田線</x:v>
      </x:c>
      <x:c r="Q329" s="19" t="str">
        <x:v>S12_061_GE_10000
OFFICIAL_HUB_COMPONENT_REVIEW</x:v>
      </x:c>
      <x:c r="R329" s="19" t="str">
        <x:v>S12_061 usage threshold</x:v>
      </x:c>
      <x:c r="S329" s="19" t="str">
        <x:v>https://nlftp.mlit.go.jp/ksj/gml/datalist/KsjTmplt-S12-2024.html</x:v>
      </x:c>
      <x:c r="T329" s="19" t="str">
        <x:v>https://nlftp.mlit.go.jp/ksj/gml/datalist/KsjTmplt-S12-2024.html
https://www.kintetsu.co.jp/station/</x:v>
      </x:c>
      <x:c r="U329" s="19" t="str">
        <x:v>station-component|伊勢市|近畿日本鉄道|private_rail|34.4919|136.7105|</x:v>
      </x:c>
      <x:c r="V329" s="19" t="str">
        <x:v>007857 / 007857 / 山田線</x:v>
      </x:c>
      <x:c r="W329" s="18" t="str">
        <x:v>否</x:v>
      </x:c>
      <x:c r="X329" s="18" t="str">
        <x:v>0785e932a32b3ec15e1a1345537ae145eafe1c07bf38d5c16c11ee2b391e7a28</x:v>
      </x:c>
      <x:c r="Y329" s="20" t="n">
        <x:v>1</x:v>
      </x:c>
      <x:c r="Z329" s="20" t="n">
        <x:v>1</x:v>
      </x:c>
      <x:c r="AA329" s="19" t="str">
        <x:v>伊勢市</x:v>
      </x:c>
      <x:c r="AB329" s="18" t="str">
        <x:v>transport-hub-review:367ceb13-25f3-5c01-8967-6860bfcf38aa</x:v>
      </x:c>
      <x:c r="AC329" s="19"/>
    </x:row>
    <x:row r="330" ht="28" customHeight="1">
      <x:c r="A330" s="18" t="str">
        <x:v>伊東</x:v>
      </x:c>
      <x:c r="B330" s="18" t="str">
        <x:v>東日本旅客鉄道</x:v>
      </x:c>
      <x:c r="C330" s="18" t="str">
        <x:v>conventional_rail</x:v>
      </x:c>
      <x:c r="D330" s="19" t="str">
        <x:v>T2</x:v>
      </x:c>
      <x:c r="E330" s="20" t="n">
        <x:v>13338</x:v>
      </x:c>
      <x:c r="F330" s="18" t="str">
        <x:v>persons/day</x:v>
      </x:c>
      <x:c r="G330" s="18" t="str">
        <x:v>FY2024</x:v>
      </x:c>
      <x:c r="H330" s="18" t="str">
        <x:v>否</x:v>
      </x:c>
      <x:c r="I330" s="19" t="str">
        <x:v>DAILY_ENTRIES_EXITS</x:v>
      </x:c>
      <x:c r="J330" s="19" t="str">
        <x:v>伊東線</x:v>
      </x:c>
      <x:c r="K330" s="18" t="str">
        <x:v>transport-node:5054fac7-9d40-51cd-b818-5b620365ae69</x:v>
      </x:c>
      <x:c r="L330" s="19" t="str">
        <x:v>组件待审核</x:v>
      </x:c>
      <x:c r="M330" s="21" t="n">
        <x:v>34.974835</x:v>
      </x:c>
      <x:c r="N330" s="21" t="n">
        <x:v>139.092105</x:v>
      </x:c>
      <x:c r="O330" s="18" t="str">
        <x:v>006117</x:v>
      </x:c>
      <x:c r="P330" s="18" t="str">
        <x:v>伊東線</x:v>
      </x:c>
      <x:c r="Q330" s="19" t="str">
        <x:v>S12_061_GE_10000</x:v>
      </x:c>
      <x:c r="R330" s="19" t="str">
        <x:v>S12_061 usage threshold</x:v>
      </x:c>
      <x:c r="S330" s="19" t="str">
        <x:v>https://nlftp.mlit.go.jp/ksj/gml/datalist/KsjTmplt-S12-2024.html</x:v>
      </x:c>
      <x:c r="T330" s="19" t="str">
        <x:v>https://nlftp.mlit.go.jp/ksj/gml/datalist/KsjTmplt-S12-2024.html</x:v>
      </x:c>
      <x:c r="U330" s="19" t="str">
        <x:v>station-component|伊東|東日本旅客鉄道|conventional_rail|34.9748|139.0921|</x:v>
      </x:c>
      <x:c r="V330" s="19" t="str">
        <x:v>006117 / 006117 / 伊東線</x:v>
      </x:c>
      <x:c r="W330" s="18" t="str">
        <x:v>否</x:v>
      </x:c>
      <x:c r="X330" s="18" t="str">
        <x:v>0785e932a32b3ec15e1a1345537ae145eafe1c07bf38d5c16c11ee2b391e7a28</x:v>
      </x:c>
      <x:c r="Y330" s="20" t="n">
        <x:v>1</x:v>
      </x:c>
      <x:c r="Z330" s="20" t="n">
        <x:v>1</x:v>
      </x:c>
      <x:c r="AA330" s="19"/>
      <x:c r="AB330" s="18"/>
      <x:c r="AC330" s="19"/>
    </x:row>
    <x:row r="331" ht="33" customHeight="1">
      <x:c r="A331" s="18" t="str">
        <x:v>伏見</x:v>
      </x:c>
      <x:c r="B331" s="18" t="str">
        <x:v>名古屋市</x:v>
      </x:c>
      <x:c r="C331" s="18" t="str">
        <x:v>metro</x:v>
      </x:c>
      <x:c r="D331" s="19" t="str">
        <x:v>T1</x:v>
      </x:c>
      <x:c r="E331" s="20" t="n">
        <x:v>101389</x:v>
      </x:c>
      <x:c r="F331" s="18" t="str">
        <x:v>persons/day</x:v>
      </x:c>
      <x:c r="G331" s="18" t="str">
        <x:v>FY2024</x:v>
      </x:c>
      <x:c r="H331" s="18" t="str">
        <x:v>否</x:v>
      </x:c>
      <x:c r="I331" s="19" t="str">
        <x:v>DAILY_ENTRIES_EXITS</x:v>
      </x:c>
      <x:c r="J331" s="19" t="str">
        <x:v>1号線東山線
3号線鶴舞線</x:v>
      </x:c>
      <x:c r="K331" s="18" t="str">
        <x:v>transport-node:3731a6b6-458e-5981-8884-e4ac442122bc</x:v>
      </x:c>
      <x:c r="L331" s="19" t="str">
        <x:v>组件待审核</x:v>
      </x:c>
      <x:c r="M331" s="21" t="n">
        <x:v>35.1692133</x:v>
      </x:c>
      <x:c r="N331" s="21" t="n">
        <x:v>136.89738</x:v>
      </x:c>
      <x:c r="O331" s="18" t="str">
        <x:v>005464</x:v>
      </x:c>
      <x:c r="P331" s="18" t="str">
        <x:v>1号線東山線</x:v>
      </x:c>
      <x:c r="Q331" s="19" t="str">
        <x:v>S12_061_GE_10000
OFFICIAL_HUB_COMPONENT_REVIEW</x:v>
      </x:c>
      <x:c r="R331" s="19" t="str">
        <x:v>S12_061 usage threshold</x:v>
      </x:c>
      <x:c r="S331" s="19" t="str">
        <x:v>https://nlftp.mlit.go.jp/ksj/gml/datalist/KsjTmplt-S12-2024.html</x:v>
      </x:c>
      <x:c r="T331" s="19" t="str">
        <x:v>https://kotsu.city.nagoya.jp/rp/subway/
https://nlftp.mlit.go.jp/ksj/gml/datalist/KsjTmplt-S12-2024.html</x:v>
      </x:c>
      <x:c r="U331" s="19" t="str">
        <x:v>station-component|伏見|名古屋市|metro|35.1692|136.8974|</x:v>
      </x:c>
      <x:c r="V331" s="19" t="str">
        <x:v>005464 / 005464 / 1号線東山線
005464 / 005466 / 3号線鶴舞線</x:v>
      </x:c>
      <x:c r="W331" s="18" t="str">
        <x:v>否</x:v>
      </x:c>
      <x:c r="X331" s="18" t="str">
        <x:v>0785e932a32b3ec15e1a1345537ae145eafe1c07bf38d5c16c11ee2b391e7a28</x:v>
      </x:c>
      <x:c r="Y331" s="20" t="n">
        <x:v>1</x:v>
      </x:c>
      <x:c r="Z331" s="20" t="n">
        <x:v>1</x:v>
      </x:c>
      <x:c r="AA331" s="19" t="str">
        <x:v>伏見</x:v>
      </x:c>
      <x:c r="AB331" s="18" t="str">
        <x:v>transport-hub-review:1cebb3c8-8961-5b01-b9b6-2ff9f45d7df7</x:v>
      </x:c>
      <x:c r="AC331" s="19"/>
    </x:row>
    <x:row r="332" ht="28" customHeight="1">
      <x:c r="A332" s="18" t="str">
        <x:v>伏見稲荷</x:v>
      </x:c>
      <x:c r="B332" s="18" t="str">
        <x:v>京阪電気鉄道</x:v>
      </x:c>
      <x:c r="C332" s="18" t="str">
        <x:v>private_rail</x:v>
      </x:c>
      <x:c r="D332" s="19" t="str">
        <x:v>T2</x:v>
      </x:c>
      <x:c r="E332" s="20" t="n">
        <x:v>15493</x:v>
      </x:c>
      <x:c r="F332" s="18" t="str">
        <x:v>persons/day</x:v>
      </x:c>
      <x:c r="G332" s="18" t="str">
        <x:v>FY2024</x:v>
      </x:c>
      <x:c r="H332" s="18" t="str">
        <x:v>否</x:v>
      </x:c>
      <x:c r="I332" s="19" t="str">
        <x:v>DAILY_ENTRIES_EXITS</x:v>
      </x:c>
      <x:c r="J332" s="19" t="str">
        <x:v>京阪本線</x:v>
      </x:c>
      <x:c r="K332" s="18" t="str">
        <x:v>transport-node:f598368f-ee54-5434-a976-e5a7ddcea2f4</x:v>
      </x:c>
      <x:c r="L332" s="19" t="str">
        <x:v>组件待审核</x:v>
      </x:c>
      <x:c r="M332" s="21" t="n">
        <x:v>34.96913</x:v>
      </x:c>
      <x:c r="N332" s="21" t="n">
        <x:v>135.769305</x:v>
      </x:c>
      <x:c r="O332" s="18" t="str">
        <x:v>006137</x:v>
      </x:c>
      <x:c r="P332" s="18" t="str">
        <x:v>京阪本線</x:v>
      </x:c>
      <x:c r="Q332" s="19" t="str">
        <x:v>S12_061_GE_10000</x:v>
      </x:c>
      <x:c r="R332" s="19" t="str">
        <x:v>S12_061 usage threshold</x:v>
      </x:c>
      <x:c r="S332" s="19" t="str">
        <x:v>https://nlftp.mlit.go.jp/ksj/gml/datalist/KsjTmplt-S12-2024.html</x:v>
      </x:c>
      <x:c r="T332" s="19" t="str">
        <x:v>https://nlftp.mlit.go.jp/ksj/gml/datalist/KsjTmplt-S12-2024.html</x:v>
      </x:c>
      <x:c r="U332" s="19" t="str">
        <x:v>station-component|伏見稲荷|京阪電気鉄道|private_rail|34.9691|135.7693|</x:v>
      </x:c>
      <x:c r="V332" s="19" t="str">
        <x:v>006137 / 006137 / 京阪本線</x:v>
      </x:c>
      <x:c r="W332" s="18" t="str">
        <x:v>否</x:v>
      </x:c>
      <x:c r="X332" s="18" t="str">
        <x:v>0785e932a32b3ec15e1a1345537ae145eafe1c07bf38d5c16c11ee2b391e7a28</x:v>
      </x:c>
      <x:c r="Y332" s="20" t="n">
        <x:v>1</x:v>
      </x:c>
      <x:c r="Z332" s="20" t="n">
        <x:v>1</x:v>
      </x:c>
      <x:c r="AA332" s="19"/>
      <x:c r="AB332" s="18"/>
      <x:c r="AC332" s="19"/>
    </x:row>
    <x:row r="333" ht="28" customHeight="1">
      <x:c r="A333" s="18" t="str">
        <x:v>住ノ江</x:v>
      </x:c>
      <x:c r="B333" s="18" t="str">
        <x:v>南海電気鉄道</x:v>
      </x:c>
      <x:c r="C333" s="18" t="str">
        <x:v>private_rail</x:v>
      </x:c>
      <x:c r="D333" s="19" t="str">
        <x:v>T2</x:v>
      </x:c>
      <x:c r="E333" s="20" t="n">
        <x:v>11129</x:v>
      </x:c>
      <x:c r="F333" s="18" t="str">
        <x:v>persons/day</x:v>
      </x:c>
      <x:c r="G333" s="18" t="str">
        <x:v>FY2024</x:v>
      </x:c>
      <x:c r="H333" s="18" t="str">
        <x:v>否</x:v>
      </x:c>
      <x:c r="I333" s="19" t="str">
        <x:v>DAILY_ENTRIES_EXITS</x:v>
      </x:c>
      <x:c r="J333" s="19" t="str">
        <x:v>南海本線</x:v>
      </x:c>
      <x:c r="K333" s="18" t="str">
        <x:v>transport-node:39b2a655-1c92-50ea-8b39-d11e5eefe422</x:v>
      </x:c>
      <x:c r="L333" s="19" t="str">
        <x:v>组件待审核</x:v>
      </x:c>
      <x:c r="M333" s="21" t="n">
        <x:v>34.60528</x:v>
      </x:c>
      <x:c r="N333" s="21" t="n">
        <x:v>135.48702</x:v>
      </x:c>
      <x:c r="O333" s="18" t="str">
        <x:v>007593</x:v>
      </x:c>
      <x:c r="P333" s="18" t="str">
        <x:v>南海本線</x:v>
      </x:c>
      <x:c r="Q333" s="19" t="str">
        <x:v>S12_061_GE_10000</x:v>
      </x:c>
      <x:c r="R333" s="19" t="str">
        <x:v>S12_061 usage threshold</x:v>
      </x:c>
      <x:c r="S333" s="19" t="str">
        <x:v>https://nlftp.mlit.go.jp/ksj/gml/datalist/KsjTmplt-S12-2024.html</x:v>
      </x:c>
      <x:c r="T333" s="19" t="str">
        <x:v>https://nlftp.mlit.go.jp/ksj/gml/datalist/KsjTmplt-S12-2024.html</x:v>
      </x:c>
      <x:c r="U333" s="19" t="str">
        <x:v>station-component|住ノ江|南海電気鉄道|private_rail|34.6053|135.4870|</x:v>
      </x:c>
      <x:c r="V333" s="19" t="str">
        <x:v>007593 / 007593 / 南海本線</x:v>
      </x:c>
      <x:c r="W333" s="18" t="str">
        <x:v>否</x:v>
      </x:c>
      <x:c r="X333" s="18" t="str">
        <x:v>0785e932a32b3ec15e1a1345537ae145eafe1c07bf38d5c16c11ee2b391e7a28</x:v>
      </x:c>
      <x:c r="Y333" s="20" t="n">
        <x:v>1</x:v>
      </x:c>
      <x:c r="Z333" s="20" t="n">
        <x:v>1</x:v>
      </x:c>
      <x:c r="AA333" s="19"/>
      <x:c r="AB333" s="18"/>
      <x:c r="AC333" s="19"/>
    </x:row>
    <x:row r="334" ht="33" customHeight="1">
      <x:c r="A334" s="18" t="str">
        <x:v>住之江公園</x:v>
      </x:c>
      <x:c r="B334" s="18" t="str">
        <x:v>大阪市高速電気軌道</x:v>
      </x:c>
      <x:c r="C334" s="18" t="str">
        <x:v>fixed_guideway</x:v>
      </x:c>
      <x:c r="D334" s="19"/>
      <x:c r="E334" s="20"/>
      <x:c r="F334" s="18"/>
      <x:c r="G334" s="18" t="str">
        <x:v>FY2024</x:v>
      </x:c>
      <x:c r="H334" s="18" t="str">
        <x:v>是</x:v>
      </x:c>
      <x:c r="I334" s="19" t="str">
        <x:v>USAGE_DATA_UNAVAILABLE</x:v>
      </x:c>
      <x:c r="J334" s="19" t="str">
        <x:v>南港ポートタウン線</x:v>
      </x:c>
      <x:c r="K334" s="18" t="str">
        <x:v>transport-node:6433f2b0-7116-5866-b28e-9ccbb52bb033</x:v>
      </x:c>
      <x:c r="L334" s="19" t="str">
        <x:v>组件待审核</x:v>
      </x:c>
      <x:c r="M334" s="21" t="n">
        <x:v>34.60926</x:v>
      </x:c>
      <x:c r="N334" s="21" t="n">
        <x:v>135.47206</x:v>
      </x:c>
      <x:c r="O334" s="18" t="str">
        <x:v>007580</x:v>
      </x:c>
      <x:c r="P334" s="18" t="str">
        <x:v>南港ポートタウン線</x:v>
      </x:c>
      <x:c r="Q334" s="19" t="str">
        <x:v>OFFICIAL_HUB_COMPONENT_REVIEW</x:v>
      </x:c>
      <x:c r="R334" s="19" t="str">
        <x:v>Official S12 usage unavailable; manual tier review required</x:v>
      </x:c>
      <x:c r="S334" s="19" t="str">
        <x:v>https://nlftp.mlit.go.jp/ksj/gml/datalist/KsjTmplt-S12-2024.html</x:v>
      </x:c>
      <x:c r="T334" s="19" t="str">
        <x:v>https://nlftp.mlit.go.jp/ksj/gml/datalist/KsjTmplt-S12-2024.html
https://subway.osakametro.co.jp/station_guide/P/p18/index.php</x:v>
      </x:c>
      <x:c r="U334" s="19" t="str">
        <x:v>station-component|住之江公園|大阪市高速電気軌道|fixed_guideway|34.6093|135.4721|</x:v>
      </x:c>
      <x:c r="V334" s="19" t="str">
        <x:v>007580 / 007580 / 南港ポートタウン線</x:v>
      </x:c>
      <x:c r="W334" s="18" t="str">
        <x:v>否</x:v>
      </x:c>
      <x:c r="X334" s="18" t="str">
        <x:v>0785e932a32b3ec15e1a1345537ae145eafe1c07bf38d5c16c11ee2b391e7a28</x:v>
      </x:c>
      <x:c r="Y334" s="20" t="n">
        <x:v>1</x:v>
      </x:c>
      <x:c r="Z334" s="20" t="n">
        <x:v>2</x:v>
      </x:c>
      <x:c r="AA334" s="19" t="str">
        <x:v>住之江公園</x:v>
      </x:c>
      <x:c r="AB334" s="18" t="str">
        <x:v>transport-hub-review:defbce00-9199-5eef-90df-2c5a7ffc6c30</x:v>
      </x:c>
      <x:c r="AC334" s="19"/>
    </x:row>
    <x:row r="335" ht="33" customHeight="1">
      <x:c r="A335" s="18" t="str">
        <x:v>住之江公園</x:v>
      </x:c>
      <x:c r="B335" s="18" t="str">
        <x:v>大阪市高速電気軌道</x:v>
      </x:c>
      <x:c r="C335" s="18" t="str">
        <x:v>metro</x:v>
      </x:c>
      <x:c r="D335" s="19" t="str">
        <x:v>T2</x:v>
      </x:c>
      <x:c r="E335" s="20" t="n">
        <x:v>29429</x:v>
      </x:c>
      <x:c r="F335" s="18" t="str">
        <x:v>persons/day</x:v>
      </x:c>
      <x:c r="G335" s="18" t="str">
        <x:v>FY2024</x:v>
      </x:c>
      <x:c r="H335" s="18" t="str">
        <x:v>否</x:v>
      </x:c>
      <x:c r="I335" s="19" t="str">
        <x:v>DAILY_ENTRIES_EXITS</x:v>
      </x:c>
      <x:c r="J335" s="19" t="str">
        <x:v>3号線(四つ橋線)</x:v>
      </x:c>
      <x:c r="K335" s="18" t="str">
        <x:v>transport-node:2034dfd9-e108-5b3f-bda3-3c6a836d7ce4</x:v>
      </x:c>
      <x:c r="L335" s="19" t="str">
        <x:v>组件待审核</x:v>
      </x:c>
      <x:c r="M335" s="21" t="n">
        <x:v>34.608865</x:v>
      </x:c>
      <x:c r="N335" s="21" t="n">
        <x:v>135.47311</x:v>
      </x:c>
      <x:c r="O335" s="18" t="str">
        <x:v>007583</x:v>
      </x:c>
      <x:c r="P335" s="18" t="str">
        <x:v>3号線(四つ橋線)</x:v>
      </x:c>
      <x:c r="Q335" s="19" t="str">
        <x:v>S12_061_GE_10000
OFFICIAL_HUB_COMPONENT_REVIEW</x:v>
      </x:c>
      <x:c r="R335" s="19" t="str">
        <x:v>S12_061 usage threshold</x:v>
      </x:c>
      <x:c r="S335" s="19" t="str">
        <x:v>https://nlftp.mlit.go.jp/ksj/gml/datalist/KsjTmplt-S12-2024.html</x:v>
      </x:c>
      <x:c r="T335" s="19" t="str">
        <x:v>https://nlftp.mlit.go.jp/ksj/gml/datalist/KsjTmplt-S12-2024.html
https://subway.osakametro.co.jp/station_guide/P/p18/index.php</x:v>
      </x:c>
      <x:c r="U335" s="19" t="str">
        <x:v>station-component|住之江公園|大阪市高速電気軌道|metro|34.6089|135.4731|</x:v>
      </x:c>
      <x:c r="V335" s="19" t="str">
        <x:v>007580 / 007583 / 3号線(四つ橋線)</x:v>
      </x:c>
      <x:c r="W335" s="18" t="str">
        <x:v>否</x:v>
      </x:c>
      <x:c r="X335" s="18" t="str">
        <x:v>0785e932a32b3ec15e1a1345537ae145eafe1c07bf38d5c16c11ee2b391e7a28</x:v>
      </x:c>
      <x:c r="Y335" s="20" t="n">
        <x:v>1</x:v>
      </x:c>
      <x:c r="Z335" s="20" t="n">
        <x:v>1</x:v>
      </x:c>
      <x:c r="AA335" s="19" t="str">
        <x:v>住之江公園</x:v>
      </x:c>
      <x:c r="AB335" s="18" t="str">
        <x:v>transport-hub-review:defbce00-9199-5eef-90df-2c5a7ffc6c30</x:v>
      </x:c>
      <x:c r="AC335" s="19"/>
    </x:row>
    <x:row r="336" ht="33" customHeight="1">
      <x:c r="A336" s="18" t="str">
        <x:v>住吉</x:v>
      </x:c>
      <x:c r="B336" s="18" t="str">
        <x:v>東京地下鉄</x:v>
      </x:c>
      <x:c r="C336" s="18" t="str">
        <x:v>metro</x:v>
      </x:c>
      <x:c r="D336" s="19" t="str">
        <x:v>T1</x:v>
      </x:c>
      <x:c r="E336" s="20" t="n">
        <x:v>54816</x:v>
      </x:c>
      <x:c r="F336" s="18" t="str">
        <x:v>persons/day</x:v>
      </x:c>
      <x:c r="G336" s="18" t="str">
        <x:v>FY2024</x:v>
      </x:c>
      <x:c r="H336" s="18" t="str">
        <x:v>否</x:v>
      </x:c>
      <x:c r="I336" s="19" t="str">
        <x:v>DAILY_ENTRIES_EXITS</x:v>
      </x:c>
      <x:c r="J336" s="19" t="str">
        <x:v>11号線半蔵門線</x:v>
      </x:c>
      <x:c r="K336" s="18" t="str">
        <x:v>transport-node:1989516e-4f2c-5793-94bf-18ffc5d93326</x:v>
      </x:c>
      <x:c r="L336" s="19" t="str">
        <x:v>组件待审核</x:v>
      </x:c>
      <x:c r="M336" s="21" t="n">
        <x:v>35.6886025</x:v>
      </x:c>
      <x:c r="N336" s="21" t="n">
        <x:v>139.81568</x:v>
      </x:c>
      <x:c r="O336" s="18" t="str">
        <x:v>003705</x:v>
      </x:c>
      <x:c r="P336" s="18" t="str">
        <x:v>11号線半蔵門線</x:v>
      </x:c>
      <x:c r="Q336" s="19" t="str">
        <x:v>S12_061_GE_10000
OFFICIAL_HUB_COMPONENT_REVIEW</x:v>
      </x:c>
      <x:c r="R336" s="19" t="str">
        <x:v>S12_061 usage threshold</x:v>
      </x:c>
      <x:c r="S336" s="19" t="str">
        <x:v>https://nlftp.mlit.go.jp/ksj/gml/datalist/KsjTmplt-S12-2024.html</x:v>
      </x:c>
      <x:c r="T336" s="19" t="str">
        <x:v>https://nlftp.mlit.go.jp/ksj/gml/datalist/KsjTmplt-S12-2024.html
https://www.tokyometro.jp/station/sumiyoshi/index.html</x:v>
      </x:c>
      <x:c r="U336" s="19" t="str">
        <x:v>station-component|住吉|東京地下鉄|metro|35.6886|139.8157|</x:v>
      </x:c>
      <x:c r="V336" s="19" t="str">
        <x:v>003704 / 003705 / 11号線半蔵門線</x:v>
      </x:c>
      <x:c r="W336" s="18" t="str">
        <x:v>否</x:v>
      </x:c>
      <x:c r="X336" s="18" t="str">
        <x:v>0785e932a32b3ec15e1a1345537ae145eafe1c07bf38d5c16c11ee2b391e7a28</x:v>
      </x:c>
      <x:c r="Y336" s="20" t="n">
        <x:v>1</x:v>
      </x:c>
      <x:c r="Z336" s="20" t="n">
        <x:v>1</x:v>
      </x:c>
      <x:c r="AA336" s="19" t="str">
        <x:v>住吉</x:v>
      </x:c>
      <x:c r="AB336" s="18" t="str">
        <x:v>transport-hub-review:48e1d287-b0f8-54b6-a398-a93e21f8a748</x:v>
      </x:c>
      <x:c r="AC336" s="19"/>
    </x:row>
    <x:row r="337" ht="33" customHeight="1">
      <x:c r="A337" s="18" t="str">
        <x:v>住吉</x:v>
      </x:c>
      <x:c r="B337" s="18" t="str">
        <x:v>東京都</x:v>
      </x:c>
      <x:c r="C337" s="18" t="str">
        <x:v>metro</x:v>
      </x:c>
      <x:c r="D337" s="19" t="str">
        <x:v>T2</x:v>
      </x:c>
      <x:c r="E337" s="20" t="n">
        <x:v>20037</x:v>
      </x:c>
      <x:c r="F337" s="18" t="str">
        <x:v>persons/day</x:v>
      </x:c>
      <x:c r="G337" s="18" t="str">
        <x:v>FY2024</x:v>
      </x:c>
      <x:c r="H337" s="18" t="str">
        <x:v>否</x:v>
      </x:c>
      <x:c r="I337" s="19" t="str">
        <x:v>DAILY_ENTRIES_EXITS</x:v>
      </x:c>
      <x:c r="J337" s="19" t="str">
        <x:v>10号線新宿線</x:v>
      </x:c>
      <x:c r="K337" s="18" t="str">
        <x:v>transport-node:2dcfdfe2-72af-5729-bb8d-fa53d38003f6</x:v>
      </x:c>
      <x:c r="L337" s="19" t="str">
        <x:v>组件待审核</x:v>
      </x:c>
      <x:c r="M337" s="21" t="n">
        <x:v>35.6889575</x:v>
      </x:c>
      <x:c r="N337" s="21" t="n">
        <x:v>139.815875</x:v>
      </x:c>
      <x:c r="O337" s="18" t="str">
        <x:v>003704</x:v>
      </x:c>
      <x:c r="P337" s="18" t="str">
        <x:v>10号線新宿線</x:v>
      </x:c>
      <x:c r="Q337" s="19" t="str">
        <x:v>S12_061_GE_10000
OFFICIAL_HUB_COMPONENT_REVIEW</x:v>
      </x:c>
      <x:c r="R337" s="19" t="str">
        <x:v>S12_061 usage threshold</x:v>
      </x:c>
      <x:c r="S337" s="19" t="str">
        <x:v>https://nlftp.mlit.go.jp/ksj/gml/datalist/KsjTmplt-S12-2024.html</x:v>
      </x:c>
      <x:c r="T337" s="19" t="str">
        <x:v>https://nlftp.mlit.go.jp/ksj/gml/datalist/KsjTmplt-S12-2024.html
https://www.tokyometro.jp/station/sumiyoshi/index.html</x:v>
      </x:c>
      <x:c r="U337" s="19" t="str">
        <x:v>station-component|住吉|東京都|metro|35.6890|139.8159|</x:v>
      </x:c>
      <x:c r="V337" s="19" t="str">
        <x:v>003704 / 003704 / 10号線新宿線</x:v>
      </x:c>
      <x:c r="W337" s="18" t="str">
        <x:v>否</x:v>
      </x:c>
      <x:c r="X337" s="18" t="str">
        <x:v>0785e932a32b3ec15e1a1345537ae145eafe1c07bf38d5c16c11ee2b391e7a28</x:v>
      </x:c>
      <x:c r="Y337" s="20" t="n">
        <x:v>1</x:v>
      </x:c>
      <x:c r="Z337" s="20" t="n">
        <x:v>1</x:v>
      </x:c>
      <x:c r="AA337" s="19" t="str">
        <x:v>住吉</x:v>
      </x:c>
      <x:c r="AB337" s="18" t="str">
        <x:v>transport-hub-review:48e1d287-b0f8-54b6-a398-a93e21f8a748</x:v>
      </x:c>
      <x:c r="AC337" s="19"/>
    </x:row>
    <x:row r="338" ht="28" customHeight="1">
      <x:c r="A338" s="18" t="str">
        <x:v>住吉</x:v>
      </x:c>
      <x:c r="B338" s="18" t="str">
        <x:v>神戸新交通</x:v>
      </x:c>
      <x:c r="C338" s="18" t="str">
        <x:v>fixed_guideway</x:v>
      </x:c>
      <x:c r="D338" s="19" t="str">
        <x:v>T2</x:v>
      </x:c>
      <x:c r="E338" s="20" t="n">
        <x:v>25998</x:v>
      </x:c>
      <x:c r="F338" s="18" t="str">
        <x:v>persons/day</x:v>
      </x:c>
      <x:c r="G338" s="18" t="str">
        <x:v>FY2024</x:v>
      </x:c>
      <x:c r="H338" s="18" t="str">
        <x:v>否</x:v>
      </x:c>
      <x:c r="I338" s="19" t="str">
        <x:v>DAILY_ENTRIES_EXITS</x:v>
      </x:c>
      <x:c r="J338" s="19" t="str">
        <x:v>六甲アイランド線</x:v>
      </x:c>
      <x:c r="K338" s="18" t="str">
        <x:v>transport-node:1df85d87-38b3-5f08-8796-e5a2bed14f22</x:v>
      </x:c>
      <x:c r="L338" s="19" t="str">
        <x:v>组件待审核</x:v>
      </x:c>
      <x:c r="M338" s="21" t="n">
        <x:v>34.71942</x:v>
      </x:c>
      <x:c r="N338" s="21" t="n">
        <x:v>135.262265</x:v>
      </x:c>
      <x:c r="O338" s="18" t="str">
        <x:v>006978</x:v>
      </x:c>
      <x:c r="P338" s="18" t="str">
        <x:v>六甲アイランド線</x:v>
      </x:c>
      <x:c r="Q338" s="19" t="str">
        <x:v>S12_061_GE_10000</x:v>
      </x:c>
      <x:c r="R338" s="19" t="str">
        <x:v>S12_061 usage threshold</x:v>
      </x:c>
      <x:c r="S338" s="19" t="str">
        <x:v>https://nlftp.mlit.go.jp/ksj/gml/datalist/KsjTmplt-S12-2024.html</x:v>
      </x:c>
      <x:c r="T338" s="19" t="str">
        <x:v>https://nlftp.mlit.go.jp/ksj/gml/datalist/KsjTmplt-S12-2024.html</x:v>
      </x:c>
      <x:c r="U338" s="19" t="str">
        <x:v>station-component|住吉|神戸新交通|fixed_guideway|34.7194|135.2623|</x:v>
      </x:c>
      <x:c r="V338" s="19" t="str">
        <x:v>006974 / 006978 / 六甲アイランド線</x:v>
      </x:c>
      <x:c r="W338" s="18" t="str">
        <x:v>否</x:v>
      </x:c>
      <x:c r="X338" s="18" t="str">
        <x:v>0785e932a32b3ec15e1a1345537ae145eafe1c07bf38d5c16c11ee2b391e7a28</x:v>
      </x:c>
      <x:c r="Y338" s="20" t="n">
        <x:v>1</x:v>
      </x:c>
      <x:c r="Z338" s="20" t="n">
        <x:v>1</x:v>
      </x:c>
      <x:c r="AA338" s="19"/>
      <x:c r="AB338" s="18"/>
      <x:c r="AC338" s="19"/>
    </x:row>
    <x:row r="339" ht="28" customHeight="1">
      <x:c r="A339" s="18" t="str">
        <x:v>住吉</x:v>
      </x:c>
      <x:c r="B339" s="18" t="str">
        <x:v>西日本旅客鉄道</x:v>
      </x:c>
      <x:c r="C339" s="18" t="str">
        <x:v>conventional_rail</x:v>
      </x:c>
      <x:c r="D339" s="19" t="str">
        <x:v>T1</x:v>
      </x:c>
      <x:c r="E339" s="20" t="n">
        <x:v>65284</x:v>
      </x:c>
      <x:c r="F339" s="18" t="str">
        <x:v>persons/day</x:v>
      </x:c>
      <x:c r="G339" s="18" t="str">
        <x:v>FY2024</x:v>
      </x:c>
      <x:c r="H339" s="18" t="str">
        <x:v>否</x:v>
      </x:c>
      <x:c r="I339" s="19" t="str">
        <x:v>DAILY_ENTRIES_EXITS</x:v>
      </x:c>
      <x:c r="J339" s="19" t="str">
        <x:v>東海道線</x:v>
      </x:c>
      <x:c r="K339" s="18" t="str">
        <x:v>transport-node:ea20f594-8483-5a30-aaf7-056263c82db5</x:v>
      </x:c>
      <x:c r="L339" s="19" t="str">
        <x:v>组件待审核</x:v>
      </x:c>
      <x:c r="M339" s="21" t="n">
        <x:v>34.7197433</x:v>
      </x:c>
      <x:c r="N339" s="21" t="n">
        <x:v>135.2626233</x:v>
      </x:c>
      <x:c r="O339" s="18" t="str">
        <x:v>006974</x:v>
      </x:c>
      <x:c r="P339" s="18" t="str">
        <x:v>東海道線</x:v>
      </x:c>
      <x:c r="Q339" s="19" t="str">
        <x:v>S12_061_GE_10000</x:v>
      </x:c>
      <x:c r="R339" s="19" t="str">
        <x:v>S12_061 usage threshold</x:v>
      </x:c>
      <x:c r="S339" s="19" t="str">
        <x:v>https://nlftp.mlit.go.jp/ksj/gml/datalist/KsjTmplt-S12-2024.html</x:v>
      </x:c>
      <x:c r="T339" s="19" t="str">
        <x:v>https://nlftp.mlit.go.jp/ksj/gml/datalist/KsjTmplt-S12-2024.html</x:v>
      </x:c>
      <x:c r="U339" s="19" t="str">
        <x:v>station-component|住吉|西日本旅客鉄道|conventional_rail|34.7197|135.2626|</x:v>
      </x:c>
      <x:c r="V339" s="19" t="str">
        <x:v>006974 / 006974 / 東海道線</x:v>
      </x:c>
      <x:c r="W339" s="18" t="str">
        <x:v>否</x:v>
      </x:c>
      <x:c r="X339" s="18" t="str">
        <x:v>0785e932a32b3ec15e1a1345537ae145eafe1c07bf38d5c16c11ee2b391e7a28</x:v>
      </x:c>
      <x:c r="Y339" s="20" t="n">
        <x:v>1</x:v>
      </x:c>
      <x:c r="Z339" s="20" t="n">
        <x:v>1</x:v>
      </x:c>
      <x:c r="AA339" s="19"/>
      <x:c r="AB339" s="18"/>
      <x:c r="AC339" s="19"/>
    </x:row>
    <x:row r="340" ht="28" customHeight="1">
      <x:c r="A340" s="18" t="str">
        <x:v>住道</x:v>
      </x:c>
      <x:c r="B340" s="18" t="str">
        <x:v>西日本旅客鉄道</x:v>
      </x:c>
      <x:c r="C340" s="18" t="str">
        <x:v>conventional_rail</x:v>
      </x:c>
      <x:c r="D340" s="19" t="str">
        <x:v>T1</x:v>
      </x:c>
      <x:c r="E340" s="20" t="n">
        <x:v>55624</x:v>
      </x:c>
      <x:c r="F340" s="18" t="str">
        <x:v>persons/day</x:v>
      </x:c>
      <x:c r="G340" s="18" t="str">
        <x:v>FY2024</x:v>
      </x:c>
      <x:c r="H340" s="18" t="str">
        <x:v>否</x:v>
      </x:c>
      <x:c r="I340" s="19" t="str">
        <x:v>DAILY_ENTRIES_EXITS</x:v>
      </x:c>
      <x:c r="J340" s="19" t="str">
        <x:v>片町線</x:v>
      </x:c>
      <x:c r="K340" s="18" t="str">
        <x:v>transport-node:d9c35d92-87b3-57e1-a97c-2b3d3739834a</x:v>
      </x:c>
      <x:c r="L340" s="19" t="str">
        <x:v>组件待审核</x:v>
      </x:c>
      <x:c r="M340" s="21" t="n">
        <x:v>34.70629</x:v>
      </x:c>
      <x:c r="N340" s="21" t="n">
        <x:v>135.6216833</x:v>
      </x:c>
      <x:c r="O340" s="18" t="str">
        <x:v>007043</x:v>
      </x:c>
      <x:c r="P340" s="18" t="str">
        <x:v>片町線</x:v>
      </x:c>
      <x:c r="Q340" s="19" t="str">
        <x:v>S12_061_GE_10000</x:v>
      </x:c>
      <x:c r="R340" s="19" t="str">
        <x:v>S12_061 usage threshold</x:v>
      </x:c>
      <x:c r="S340" s="19" t="str">
        <x:v>https://nlftp.mlit.go.jp/ksj/gml/datalist/KsjTmplt-S12-2024.html</x:v>
      </x:c>
      <x:c r="T340" s="19" t="str">
        <x:v>https://nlftp.mlit.go.jp/ksj/gml/datalist/KsjTmplt-S12-2024.html</x:v>
      </x:c>
      <x:c r="U340" s="19" t="str">
        <x:v>station-component|住道|西日本旅客鉄道|conventional_rail|34.7063|135.6217|</x:v>
      </x:c>
      <x:c r="V340" s="19" t="str">
        <x:v>007043 / 007043 / 片町線</x:v>
      </x:c>
      <x:c r="W340" s="18" t="str">
        <x:v>否</x:v>
      </x:c>
      <x:c r="X340" s="18" t="str">
        <x:v>0785e932a32b3ec15e1a1345537ae145eafe1c07bf38d5c16c11ee2b391e7a28</x:v>
      </x:c>
      <x:c r="Y340" s="20" t="n">
        <x:v>1</x:v>
      </x:c>
      <x:c r="Z340" s="20" t="n">
        <x:v>1</x:v>
      </x:c>
      <x:c r="AA340" s="19"/>
      <x:c r="AB340" s="18"/>
      <x:c r="AC340" s="19"/>
    </x:row>
    <x:row r="341" ht="33" customHeight="1">
      <x:c r="A341" s="18" t="str">
        <x:v>佐久平</x:v>
      </x:c>
      <x:c r="B341" s="18" t="str">
        <x:v>東日本旅客鉄道</x:v>
      </x:c>
      <x:c r="C341" s="18" t="str">
        <x:v>shinkansen</x:v>
      </x:c>
      <x:c r="D341" s="19"/>
      <x:c r="E341" s="20" t="n">
        <x:v>2943</x:v>
      </x:c>
      <x:c r="F341" s="18" t="str">
        <x:v>boardings/day</x:v>
      </x:c>
      <x:c r="G341" s="18" t="str">
        <x:v>FY2024</x:v>
      </x:c>
      <x:c r="H341" s="18" t="str">
        <x:v>是</x:v>
      </x:c>
      <x:c r="I341" s="19" t="str">
        <x:v>DAILY_SHINKANSEN_BOARDINGS</x:v>
      </x:c>
      <x:c r="J341" s="19" t="str">
        <x:v>北陸新幹線</x:v>
      </x:c>
      <x:c r="K341" s="18" t="str">
        <x:v>transport-node:fb8749b4-5166-5445-8780-b0c07aa61371</x:v>
      </x:c>
      <x:c r="L341" s="19" t="str">
        <x:v>组件待审核</x:v>
      </x:c>
      <x:c r="M341" s="21" t="n">
        <x:v>36.2782</x:v>
      </x:c>
      <x:c r="N341" s="21" t="n">
        <x:v>138.46476</x:v>
      </x:c>
      <x:c r="O341" s="18" t="str">
        <x:v>002451</x:v>
      </x:c>
      <x:c r="P341" s="18" t="str">
        <x:v>北陸新幹線</x:v>
      </x:c>
      <x:c r="Q341" s="19" t="str">
        <x:v>SHINKANSEN</x:v>
      </x:c>
      <x:c r="R341" s="19" t="str">
        <x:v>Official fallback retained in published scope/unit; tier remains null pending metric/manual review.</x:v>
      </x:c>
      <x:c r="S341" s="19" t="str">
        <x:v>https://www.jreast.co.jp/company/data/passenger/2024_shinkansen.html/</x:v>
      </x:c>
      <x:c r="T341" s="19" t="str">
        <x:v>https://nlftp.mlit.go.jp/ksj/gml/datalist/KsjTmplt-S12-2024.html
https://www.jreast.co.jp/company/data/passenger/2024_shinkansen.html/</x:v>
      </x:c>
      <x:c r="U341" s="19" t="str">
        <x:v>station-component|佐久平|東日本旅客鉄道|shinkansen|36.2782|138.4648|</x:v>
      </x:c>
      <x:c r="V341" s="19" t="str">
        <x:v>002451 / 002451 / 北陸新幹線</x:v>
      </x:c>
      <x:c r="W341" s="18" t="str">
        <x:v>否</x:v>
      </x:c>
      <x:c r="X341" s="18" t="str">
        <x:v>0785e932a32b3ec15e1a1345537ae145eafe1c07bf38d5c16c11ee2b391e7a28</x:v>
      </x:c>
      <x:c r="Y341" s="20" t="n">
        <x:v>1</x:v>
      </x:c>
      <x:c r="Z341" s="20" t="n">
        <x:v>2</x:v>
      </x:c>
      <x:c r="AA341" s="19"/>
      <x:c r="AB341" s="18"/>
      <x:c r="AC341" s="19"/>
    </x:row>
    <x:row r="342" ht="33" customHeight="1">
      <x:c r="A342" s="18" t="str">
        <x:v>佐倉</x:v>
      </x:c>
      <x:c r="B342" s="18" t="str">
        <x:v>東日本旅客鉄道</x:v>
      </x:c>
      <x:c r="C342" s="18" t="str">
        <x:v>conventional_rail</x:v>
      </x:c>
      <x:c r="D342" s="19" t="str">
        <x:v>T2</x:v>
      </x:c>
      <x:c r="E342" s="20" t="n">
        <x:v>18106</x:v>
      </x:c>
      <x:c r="F342" s="18" t="str">
        <x:v>persons/day</x:v>
      </x:c>
      <x:c r="G342" s="18" t="str">
        <x:v>FY2024</x:v>
      </x:c>
      <x:c r="H342" s="18" t="str">
        <x:v>否</x:v>
      </x:c>
      <x:c r="I342" s="19" t="str">
        <x:v>DAILY_ENTRIES_EXITS</x:v>
      </x:c>
      <x:c r="J342" s="19" t="str">
        <x:v>成田線
総武線</x:v>
      </x:c>
      <x:c r="K342" s="18" t="str">
        <x:v>transport-node:bc2b1e64-6795-5e54-9b12-fa244d86db11</x:v>
      </x:c>
      <x:c r="L342" s="19" t="str">
        <x:v>组件待审核</x:v>
      </x:c>
      <x:c r="M342" s="21" t="n">
        <x:v>35.70974</x:v>
      </x:c>
      <x:c r="N342" s="21" t="n">
        <x:v>140.226755</x:v>
      </x:c>
      <x:c r="O342" s="18" t="str">
        <x:v>003532</x:v>
      </x:c>
      <x:c r="P342" s="18" t="str">
        <x:v>総武線</x:v>
      </x:c>
      <x:c r="Q342" s="19" t="str">
        <x:v>S12_061_GE_10000</x:v>
      </x:c>
      <x:c r="R342" s="19" t="str">
        <x:v>S12_061 usage threshold</x:v>
      </x:c>
      <x:c r="S342" s="19" t="str">
        <x:v>https://nlftp.mlit.go.jp/ksj/gml/datalist/KsjTmplt-S12-2024.html</x:v>
      </x:c>
      <x:c r="T342" s="19" t="str">
        <x:v>https://nlftp.mlit.go.jp/ksj/gml/datalist/KsjTmplt-S12-2024.html</x:v>
      </x:c>
      <x:c r="U342" s="19" t="str">
        <x:v>station-component|佐倉|東日本旅客鉄道|conventional_rail|35.7097|140.2268|</x:v>
      </x:c>
      <x:c r="V342" s="19" t="str">
        <x:v>003531 / 003531 / 成田線
003531 / 003532 / 総武線</x:v>
      </x:c>
      <x:c r="W342" s="18" t="str">
        <x:v>否</x:v>
      </x:c>
      <x:c r="X342" s="18" t="str">
        <x:v>0785e932a32b3ec15e1a1345537ae145eafe1c07bf38d5c16c11ee2b391e7a28</x:v>
      </x:c>
      <x:c r="Y342" s="20" t="n">
        <x:v>1</x:v>
      </x:c>
      <x:c r="Z342" s="20" t="n">
        <x:v>1</x:v>
      </x:c>
      <x:c r="AA342" s="19"/>
      <x:c r="AB342" s="18"/>
      <x:c r="AC342" s="19"/>
    </x:row>
    <x:row r="343" ht="28" customHeight="1">
      <x:c r="A343" s="18" t="str">
        <x:v>佐賀</x:v>
      </x:c>
      <x:c r="B343" s="18" t="str">
        <x:v>九州旅客鉄道</x:v>
      </x:c>
      <x:c r="C343" s="18" t="str">
        <x:v>conventional_rail</x:v>
      </x:c>
      <x:c r="D343" s="19" t="str">
        <x:v>T2</x:v>
      </x:c>
      <x:c r="E343" s="20" t="n">
        <x:v>24568</x:v>
      </x:c>
      <x:c r="F343" s="18" t="str">
        <x:v>persons/day</x:v>
      </x:c>
      <x:c r="G343" s="18" t="str">
        <x:v>FY2024</x:v>
      </x:c>
      <x:c r="H343" s="18" t="str">
        <x:v>否</x:v>
      </x:c>
      <x:c r="I343" s="19" t="str">
        <x:v>DAILY_ENTRIES_EXITS</x:v>
      </x:c>
      <x:c r="J343" s="19" t="str">
        <x:v>長崎線</x:v>
      </x:c>
      <x:c r="K343" s="18" t="str">
        <x:v>transport-node:be06b466-51d8-50d4-8243-4c72dd0deae4</x:v>
      </x:c>
      <x:c r="L343" s="19" t="str">
        <x:v>组件待审核</x:v>
      </x:c>
      <x:c r="M343" s="21" t="n">
        <x:v>33.264125</x:v>
      </x:c>
      <x:c r="N343" s="21" t="n">
        <x:v>130.29737</x:v>
      </x:c>
      <x:c r="O343" s="18" t="str">
        <x:v>009446</x:v>
      </x:c>
      <x:c r="P343" s="18" t="str">
        <x:v>長崎線</x:v>
      </x:c>
      <x:c r="Q343" s="19" t="str">
        <x:v>S12_061_GE_10000</x:v>
      </x:c>
      <x:c r="R343" s="19" t="str">
        <x:v>S12_061 usage threshold</x:v>
      </x:c>
      <x:c r="S343" s="19" t="str">
        <x:v>https://nlftp.mlit.go.jp/ksj/gml/datalist/KsjTmplt-S12-2024.html</x:v>
      </x:c>
      <x:c r="T343" s="19" t="str">
        <x:v>https://nlftp.mlit.go.jp/ksj/gml/datalist/KsjTmplt-S12-2024.html</x:v>
      </x:c>
      <x:c r="U343" s="19" t="str">
        <x:v>station-component|佐賀|九州旅客鉄道|conventional_rail|33.2641|130.2974|</x:v>
      </x:c>
      <x:c r="V343" s="19" t="str">
        <x:v>009446 / 009446 / 長崎線</x:v>
      </x:c>
      <x:c r="W343" s="18" t="str">
        <x:v>否</x:v>
      </x:c>
      <x:c r="X343" s="18" t="str">
        <x:v>0785e932a32b3ec15e1a1345537ae145eafe1c07bf38d5c16c11ee2b391e7a28</x:v>
      </x:c>
      <x:c r="Y343" s="20" t="n">
        <x:v>1</x:v>
      </x:c>
      <x:c r="Z343" s="20" t="n">
        <x:v>1</x:v>
      </x:c>
      <x:c r="AA343" s="19"/>
      <x:c r="AB343" s="18"/>
      <x:c r="AC343" s="19"/>
    </x:row>
    <x:row r="344" ht="28" customHeight="1">
      <x:c r="A344" s="18" t="str">
        <x:v>保土ヶ谷</x:v>
      </x:c>
      <x:c r="B344" s="18" t="str">
        <x:v>東日本旅客鉄道</x:v>
      </x:c>
      <x:c r="C344" s="18" t="str">
        <x:v>conventional_rail</x:v>
      </x:c>
      <x:c r="D344" s="19" t="str">
        <x:v>T1</x:v>
      </x:c>
      <x:c r="E344" s="20" t="n">
        <x:v>58488</x:v>
      </x:c>
      <x:c r="F344" s="18" t="str">
        <x:v>persons/day</x:v>
      </x:c>
      <x:c r="G344" s="18" t="str">
        <x:v>FY2024</x:v>
      </x:c>
      <x:c r="H344" s="18" t="str">
        <x:v>否</x:v>
      </x:c>
      <x:c r="I344" s="19" t="str">
        <x:v>DAILY_ENTRIES_EXITS</x:v>
      </x:c>
      <x:c r="J344" s="19" t="str">
        <x:v>東海道線</x:v>
      </x:c>
      <x:c r="K344" s="18" t="str">
        <x:v>transport-node:6a6e67c9-1024-562d-88ec-30143e44b6d4</x:v>
      </x:c>
      <x:c r="L344" s="19" t="str">
        <x:v>组件待审核</x:v>
      </x:c>
      <x:c r="M344" s="21" t="n">
        <x:v>35.44722</x:v>
      </x:c>
      <x:c r="N344" s="21" t="n">
        <x:v>139.60037</x:v>
      </x:c>
      <x:c r="O344" s="18" t="str">
        <x:v>004685</x:v>
      </x:c>
      <x:c r="P344" s="18" t="str">
        <x:v>東海道線</x:v>
      </x:c>
      <x:c r="Q344" s="19" t="str">
        <x:v>S12_061_GE_10000</x:v>
      </x:c>
      <x:c r="R344" s="19" t="str">
        <x:v>S12_061 usage threshold</x:v>
      </x:c>
      <x:c r="S344" s="19" t="str">
        <x:v>https://nlftp.mlit.go.jp/ksj/gml/datalist/KsjTmplt-S12-2024.html</x:v>
      </x:c>
      <x:c r="T344" s="19" t="str">
        <x:v>https://nlftp.mlit.go.jp/ksj/gml/datalist/KsjTmplt-S12-2024.html</x:v>
      </x:c>
      <x:c r="U344" s="19" t="str">
        <x:v>station-component|保土ヶ谷|東日本旅客鉄道|conventional_rail|35.4472|139.6004|</x:v>
      </x:c>
      <x:c r="V344" s="19" t="str">
        <x:v>004685 / 004685 / 東海道線</x:v>
      </x:c>
      <x:c r="W344" s="18" t="str">
        <x:v>否</x:v>
      </x:c>
      <x:c r="X344" s="18" t="str">
        <x:v>0785e932a32b3ec15e1a1345537ae145eafe1c07bf38d5c16c11ee2b391e7a28</x:v>
      </x:c>
      <x:c r="Y344" s="20" t="n">
        <x:v>1</x:v>
      </x:c>
      <x:c r="Z344" s="20" t="n">
        <x:v>1</x:v>
      </x:c>
      <x:c r="AA344" s="19"/>
      <x:c r="AB344" s="18"/>
      <x:c r="AC344" s="19"/>
    </x:row>
    <x:row r="345" ht="28" customHeight="1">
      <x:c r="A345" s="18" t="str">
        <x:v>保谷</x:v>
      </x:c>
      <x:c r="B345" s="18" t="str">
        <x:v>西武鉄道</x:v>
      </x:c>
      <x:c r="C345" s="18" t="str">
        <x:v>private_rail</x:v>
      </x:c>
      <x:c r="D345" s="19" t="str">
        <x:v>T1</x:v>
      </x:c>
      <x:c r="E345" s="20" t="n">
        <x:v>56960</x:v>
      </x:c>
      <x:c r="F345" s="18" t="str">
        <x:v>persons/day</x:v>
      </x:c>
      <x:c r="G345" s="18" t="str">
        <x:v>FY2024</x:v>
      </x:c>
      <x:c r="H345" s="18" t="str">
        <x:v>否</x:v>
      </x:c>
      <x:c r="I345" s="19" t="str">
        <x:v>DAILY_ENTRIES_EXITS</x:v>
      </x:c>
      <x:c r="J345" s="19" t="str">
        <x:v>池袋線</x:v>
      </x:c>
      <x:c r="K345" s="18" t="str">
        <x:v>transport-node:b4f6bb8b-99b3-5ba4-b199-2417b44f8d0b</x:v>
      </x:c>
      <x:c r="L345" s="19" t="str">
        <x:v>组件待审核</x:v>
      </x:c>
      <x:c r="M345" s="21" t="n">
        <x:v>35.7482633</x:v>
      </x:c>
      <x:c r="N345" s="21" t="n">
        <x:v>139.5682367</x:v>
      </x:c>
      <x:c r="O345" s="18" t="str">
        <x:v>003271</x:v>
      </x:c>
      <x:c r="P345" s="18" t="str">
        <x:v>池袋線</x:v>
      </x:c>
      <x:c r="Q345" s="19" t="str">
        <x:v>S12_061_GE_10000</x:v>
      </x:c>
      <x:c r="R345" s="19" t="str">
        <x:v>S12_061 usage threshold</x:v>
      </x:c>
      <x:c r="S345" s="19" t="str">
        <x:v>https://nlftp.mlit.go.jp/ksj/gml/datalist/KsjTmplt-S12-2024.html</x:v>
      </x:c>
      <x:c r="T345" s="19" t="str">
        <x:v>https://nlftp.mlit.go.jp/ksj/gml/datalist/KsjTmplt-S12-2024.html</x:v>
      </x:c>
      <x:c r="U345" s="19" t="str">
        <x:v>station-component|保谷|西武鉄道|private_rail|35.7483|139.5682|</x:v>
      </x:c>
      <x:c r="V345" s="19" t="str">
        <x:v>003271 / 003271 / 池袋線</x:v>
      </x:c>
      <x:c r="W345" s="18" t="str">
        <x:v>否</x:v>
      </x:c>
      <x:c r="X345" s="18" t="str">
        <x:v>0785e932a32b3ec15e1a1345537ae145eafe1c07bf38d5c16c11ee2b391e7a28</x:v>
      </x:c>
      <x:c r="Y345" s="20" t="n">
        <x:v>1</x:v>
      </x:c>
      <x:c r="Z345" s="20" t="n">
        <x:v>1</x:v>
      </x:c>
      <x:c r="AA345" s="19"/>
      <x:c r="AB345" s="18"/>
      <x:c r="AC345" s="19"/>
    </x:row>
    <x:row r="346" ht="28" customHeight="1">
      <x:c r="A346" s="18" t="str">
        <x:v>信濃町</x:v>
      </x:c>
      <x:c r="B346" s="18" t="str">
        <x:v>東日本旅客鉄道</x:v>
      </x:c>
      <x:c r="C346" s="18" t="str">
        <x:v>conventional_rail</x:v>
      </x:c>
      <x:c r="D346" s="19" t="str">
        <x:v>T2</x:v>
      </x:c>
      <x:c r="E346" s="20" t="n">
        <x:v>43682</x:v>
      </x:c>
      <x:c r="F346" s="18" t="str">
        <x:v>persons/day</x:v>
      </x:c>
      <x:c r="G346" s="18" t="str">
        <x:v>FY2024</x:v>
      </x:c>
      <x:c r="H346" s="18" t="str">
        <x:v>否</x:v>
      </x:c>
      <x:c r="I346" s="19" t="str">
        <x:v>DAILY_ENTRIES_EXITS</x:v>
      </x:c>
      <x:c r="J346" s="19" t="str">
        <x:v>中央線</x:v>
      </x:c>
      <x:c r="K346" s="18" t="str">
        <x:v>transport-node:9f81447f-18fa-58a6-aed1-35c1b66e280f</x:v>
      </x:c>
      <x:c r="L346" s="19" t="str">
        <x:v>组件待审核</x:v>
      </x:c>
      <x:c r="M346" s="21" t="n">
        <x:v>35.6799375</x:v>
      </x:c>
      <x:c r="N346" s="21" t="n">
        <x:v>139.7212925</x:v>
      </x:c>
      <x:c r="O346" s="18" t="str">
        <x:v>003774</x:v>
      </x:c>
      <x:c r="P346" s="18" t="str">
        <x:v>中央線</x:v>
      </x:c>
      <x:c r="Q346" s="19" t="str">
        <x:v>S12_061_GE_10000</x:v>
      </x:c>
      <x:c r="R346" s="19" t="str">
        <x:v>S12_061 usage threshold</x:v>
      </x:c>
      <x:c r="S346" s="19" t="str">
        <x:v>https://nlftp.mlit.go.jp/ksj/gml/datalist/KsjTmplt-S12-2024.html</x:v>
      </x:c>
      <x:c r="T346" s="19" t="str">
        <x:v>https://nlftp.mlit.go.jp/ksj/gml/datalist/KsjTmplt-S12-2024.html</x:v>
      </x:c>
      <x:c r="U346" s="19" t="str">
        <x:v>station-component|信濃町|東日本旅客鉄道|conventional_rail|35.6799|139.7213|</x:v>
      </x:c>
      <x:c r="V346" s="19" t="str">
        <x:v>003774 / 003774 / 中央線</x:v>
      </x:c>
      <x:c r="W346" s="18" t="str">
        <x:v>否</x:v>
      </x:c>
      <x:c r="X346" s="18" t="str">
        <x:v>0785e932a32b3ec15e1a1345537ae145eafe1c07bf38d5c16c11ee2b391e7a28</x:v>
      </x:c>
      <x:c r="Y346" s="20" t="n">
        <x:v>1</x:v>
      </x:c>
      <x:c r="Z346" s="20" t="n">
        <x:v>1</x:v>
      </x:c>
      <x:c r="AA346" s="19"/>
      <x:c r="AB346" s="18"/>
      <x:c r="AC346" s="19"/>
    </x:row>
    <x:row r="347" ht="33" customHeight="1">
      <x:c r="A347" s="18" t="str">
        <x:v>倉敷</x:v>
      </x:c>
      <x:c r="B347" s="18" t="str">
        <x:v>西日本旅客鉄道</x:v>
      </x:c>
      <x:c r="C347" s="18" t="str">
        <x:v>conventional_rail</x:v>
      </x:c>
      <x:c r="D347" s="19" t="str">
        <x:v>T2</x:v>
      </x:c>
      <x:c r="E347" s="20" t="n">
        <x:v>36152</x:v>
      </x:c>
      <x:c r="F347" s="18" t="str">
        <x:v>persons/day</x:v>
      </x:c>
      <x:c r="G347" s="18" t="str">
        <x:v>FY2024</x:v>
      </x:c>
      <x:c r="H347" s="18" t="str">
        <x:v>否</x:v>
      </x:c>
      <x:c r="I347" s="19" t="str">
        <x:v>DAILY_ENTRIES_EXITS</x:v>
      </x:c>
      <x:c r="J347" s="19" t="str">
        <x:v>伯備線
山陽線</x:v>
      </x:c>
      <x:c r="K347" s="18" t="str">
        <x:v>transport-node:bbfc7574-92bc-57dd-aa45-ff865b3d80d8</x:v>
      </x:c>
      <x:c r="L347" s="19" t="str">
        <x:v>组件待审核</x:v>
      </x:c>
      <x:c r="M347" s="21" t="n">
        <x:v>34.601615</x:v>
      </x:c>
      <x:c r="N347" s="21" t="n">
        <x:v>133.7656</x:v>
      </x:c>
      <x:c r="O347" s="18" t="str">
        <x:v>007599</x:v>
      </x:c>
      <x:c r="P347" s="18" t="str">
        <x:v>山陽線</x:v>
      </x:c>
      <x:c r="Q347" s="19" t="str">
        <x:v>S12_061_GE_10000</x:v>
      </x:c>
      <x:c r="R347" s="19" t="str">
        <x:v>S12_061 usage threshold</x:v>
      </x:c>
      <x:c r="S347" s="19" t="str">
        <x:v>https://nlftp.mlit.go.jp/ksj/gml/datalist/KsjTmplt-S12-2024.html</x:v>
      </x:c>
      <x:c r="T347" s="19" t="str">
        <x:v>https://nlftp.mlit.go.jp/ksj/gml/datalist/KsjTmplt-S12-2024.html</x:v>
      </x:c>
      <x:c r="U347" s="19" t="str">
        <x:v>station-component|倉敷|西日本旅客鉄道|conventional_rail|34.6016|133.7656|</x:v>
      </x:c>
      <x:c r="V347" s="19" t="str">
        <x:v>007598 / 007598 / 伯備線
007598 / 007599 / 山陽線</x:v>
      </x:c>
      <x:c r="W347" s="18" t="str">
        <x:v>否</x:v>
      </x:c>
      <x:c r="X347" s="18" t="str">
        <x:v>0785e932a32b3ec15e1a1345537ae145eafe1c07bf38d5c16c11ee2b391e7a28</x:v>
      </x:c>
      <x:c r="Y347" s="20" t="n">
        <x:v>1</x:v>
      </x:c>
      <x:c r="Z347" s="20" t="n">
        <x:v>1</x:v>
      </x:c>
      <x:c r="AA347" s="19"/>
      <x:c r="AB347" s="18"/>
      <x:c r="AC347" s="19"/>
    </x:row>
    <x:row r="348" ht="28" customHeight="1">
      <x:c r="A348" s="18" t="str">
        <x:v>元住吉</x:v>
      </x:c>
      <x:c r="B348" s="18" t="str">
        <x:v>東急電鉄</x:v>
      </x:c>
      <x:c r="C348" s="18" t="str">
        <x:v>private_rail</x:v>
      </x:c>
      <x:c r="D348" s="19" t="str">
        <x:v>T1</x:v>
      </x:c>
      <x:c r="E348" s="20" t="n">
        <x:v>59259</x:v>
      </x:c>
      <x:c r="F348" s="18" t="str">
        <x:v>persons/day</x:v>
      </x:c>
      <x:c r="G348" s="18" t="str">
        <x:v>FY2024</x:v>
      </x:c>
      <x:c r="H348" s="18" t="str">
        <x:v>否</x:v>
      </x:c>
      <x:c r="I348" s="19" t="str">
        <x:v>DAILY_ENTRIES_EXITS</x:v>
      </x:c>
      <x:c r="J348" s="19" t="str">
        <x:v>東横線</x:v>
      </x:c>
      <x:c r="K348" s="18" t="str">
        <x:v>transport-node:029ef9ce-a11f-5edc-86d6-c1dca12fb221</x:v>
      </x:c>
      <x:c r="L348" s="19" t="str">
        <x:v>组件待审核</x:v>
      </x:c>
      <x:c r="M348" s="21" t="n">
        <x:v>35.565705</x:v>
      </x:c>
      <x:c r="N348" s="21" t="n">
        <x:v>139.654715</x:v>
      </x:c>
      <x:c r="O348" s="18" t="str">
        <x:v>004322</x:v>
      </x:c>
      <x:c r="P348" s="18" t="str">
        <x:v>東横線</x:v>
      </x:c>
      <x:c r="Q348" s="19" t="str">
        <x:v>S12_061_GE_10000</x:v>
      </x:c>
      <x:c r="R348" s="19" t="str">
        <x:v>S12_061 usage threshold</x:v>
      </x:c>
      <x:c r="S348" s="19" t="str">
        <x:v>https://nlftp.mlit.go.jp/ksj/gml/datalist/KsjTmplt-S12-2024.html</x:v>
      </x:c>
      <x:c r="T348" s="19" t="str">
        <x:v>https://nlftp.mlit.go.jp/ksj/gml/datalist/KsjTmplt-S12-2024.html</x:v>
      </x:c>
      <x:c r="U348" s="19" t="str">
        <x:v>station-component|元住吉|東急電鉄|private_rail|35.5657|139.6547|</x:v>
      </x:c>
      <x:c r="V348" s="19" t="str">
        <x:v>004322 / 004322 / 東横線</x:v>
      </x:c>
      <x:c r="W348" s="18" t="str">
        <x:v>否</x:v>
      </x:c>
      <x:c r="X348" s="18" t="str">
        <x:v>0785e932a32b3ec15e1a1345537ae145eafe1c07bf38d5c16c11ee2b391e7a28</x:v>
      </x:c>
      <x:c r="Y348" s="20" t="n">
        <x:v>1</x:v>
      </x:c>
      <x:c r="Z348" s="20" t="n">
        <x:v>1</x:v>
      </x:c>
      <x:c r="AA348" s="19"/>
      <x:c r="AB348" s="18"/>
      <x:c r="AC348" s="19"/>
    </x:row>
    <x:row r="349" ht="28" customHeight="1">
      <x:c r="A349" s="18" t="str">
        <x:v>元山</x:v>
      </x:c>
      <x:c r="B349" s="18" t="str">
        <x:v>新京成電鉄</x:v>
      </x:c>
      <x:c r="C349" s="18" t="str">
        <x:v>private_rail</x:v>
      </x:c>
      <x:c r="D349" s="19" t="str">
        <x:v>T2</x:v>
      </x:c>
      <x:c r="E349" s="20" t="n">
        <x:v>15684</x:v>
      </x:c>
      <x:c r="F349" s="18" t="str">
        <x:v>persons/day</x:v>
      </x:c>
      <x:c r="G349" s="18" t="str">
        <x:v>FY2024</x:v>
      </x:c>
      <x:c r="H349" s="18" t="str">
        <x:v>否</x:v>
      </x:c>
      <x:c r="I349" s="19" t="str">
        <x:v>DAILY_ENTRIES_EXITS</x:v>
      </x:c>
      <x:c r="J349" s="19" t="str">
        <x:v>新京成線</x:v>
      </x:c>
      <x:c r="K349" s="18" t="str">
        <x:v>transport-node:61bd8208-fab2-5bf7-bdc0-71bbcc041795</x:v>
      </x:c>
      <x:c r="L349" s="19" t="str">
        <x:v>组件待审核</x:v>
      </x:c>
      <x:c r="M349" s="21" t="n">
        <x:v>35.790325</x:v>
      </x:c>
      <x:c r="N349" s="21" t="n">
        <x:v>139.975675</x:v>
      </x:c>
      <x:c r="O349" s="18" t="str">
        <x:v>003111</x:v>
      </x:c>
      <x:c r="P349" s="18" t="str">
        <x:v>新京成線</x:v>
      </x:c>
      <x:c r="Q349" s="19" t="str">
        <x:v>S12_061_GE_10000</x:v>
      </x:c>
      <x:c r="R349" s="19" t="str">
        <x:v>S12_061 usage threshold</x:v>
      </x:c>
      <x:c r="S349" s="19" t="str">
        <x:v>https://nlftp.mlit.go.jp/ksj/gml/datalist/KsjTmplt-S12-2024.html</x:v>
      </x:c>
      <x:c r="T349" s="19" t="str">
        <x:v>https://nlftp.mlit.go.jp/ksj/gml/datalist/KsjTmplt-S12-2024.html</x:v>
      </x:c>
      <x:c r="U349" s="19" t="str">
        <x:v>station-component|元山|新京成電鉄|private_rail|35.7903|139.9757|</x:v>
      </x:c>
      <x:c r="V349" s="19" t="str">
        <x:v>003111 / 003111 / 新京成線</x:v>
      </x:c>
      <x:c r="W349" s="18" t="str">
        <x:v>否</x:v>
      </x:c>
      <x:c r="X349" s="18" t="str">
        <x:v>0785e932a32b3ec15e1a1345537ae145eafe1c07bf38d5c16c11ee2b391e7a28</x:v>
      </x:c>
      <x:c r="Y349" s="20" t="n">
        <x:v>1</x:v>
      </x:c>
      <x:c r="Z349" s="20" t="n">
        <x:v>1</x:v>
      </x:c>
      <x:c r="AA349" s="19"/>
      <x:c r="AB349" s="18"/>
      <x:c r="AC349" s="19"/>
    </x:row>
    <x:row r="350" ht="28" customHeight="1">
      <x:c r="A350" s="18" t="str">
        <x:v>元町</x:v>
      </x:c>
      <x:c r="B350" s="18" t="str">
        <x:v>札幌市</x:v>
      </x:c>
      <x:c r="C350" s="18" t="str">
        <x:v>metro</x:v>
      </x:c>
      <x:c r="D350" s="19" t="str">
        <x:v>T2</x:v>
      </x:c>
      <x:c r="E350" s="20" t="n">
        <x:v>18974</x:v>
      </x:c>
      <x:c r="F350" s="18" t="str">
        <x:v>persons/day</x:v>
      </x:c>
      <x:c r="G350" s="18" t="str">
        <x:v>FY2024</x:v>
      </x:c>
      <x:c r="H350" s="18" t="str">
        <x:v>否</x:v>
      </x:c>
      <x:c r="I350" s="19" t="str">
        <x:v>DAILY_ENTRIES_EXITS</x:v>
      </x:c>
      <x:c r="J350" s="19" t="str">
        <x:v>東豊線</x:v>
      </x:c>
      <x:c r="K350" s="18" t="str">
        <x:v>transport-node:91d9471d-6e1a-50ac-bc6c-c55c33e8e61a</x:v>
      </x:c>
      <x:c r="L350" s="19" t="str">
        <x:v>组件待审核</x:v>
      </x:c>
      <x:c r="M350" s="21" t="n">
        <x:v>43.09404</x:v>
      </x:c>
      <x:c r="N350" s="21" t="n">
        <x:v>141.371785</x:v>
      </x:c>
      <x:c r="O350" s="18" t="str">
        <x:v>000205</x:v>
      </x:c>
      <x:c r="P350" s="18" t="str">
        <x:v>東豊線</x:v>
      </x:c>
      <x:c r="Q350" s="19" t="str">
        <x:v>S12_061_GE_10000</x:v>
      </x:c>
      <x:c r="R350" s="19" t="str">
        <x:v>S12_061 usage threshold</x:v>
      </x:c>
      <x:c r="S350" s="19" t="str">
        <x:v>https://nlftp.mlit.go.jp/ksj/gml/datalist/KsjTmplt-S12-2024.html</x:v>
      </x:c>
      <x:c r="T350" s="19" t="str">
        <x:v>https://nlftp.mlit.go.jp/ksj/gml/datalist/KsjTmplt-S12-2024.html</x:v>
      </x:c>
      <x:c r="U350" s="19" t="str">
        <x:v>station-component|元町|札幌市|metro|43.0940|141.3718|</x:v>
      </x:c>
      <x:c r="V350" s="19" t="str">
        <x:v>000205 / 000205 / 東豊線</x:v>
      </x:c>
      <x:c r="W350" s="18" t="str">
        <x:v>否</x:v>
      </x:c>
      <x:c r="X350" s="18" t="str">
        <x:v>0785e932a32b3ec15e1a1345537ae145eafe1c07bf38d5c16c11ee2b391e7a28</x:v>
      </x:c>
      <x:c r="Y350" s="20" t="n">
        <x:v>1</x:v>
      </x:c>
      <x:c r="Z350" s="20" t="n">
        <x:v>1</x:v>
      </x:c>
      <x:c r="AA350" s="19"/>
      <x:c r="AB350" s="18"/>
      <x:c r="AC350" s="19"/>
    </x:row>
    <x:row r="351" ht="28" customHeight="1">
      <x:c r="A351" s="18" t="str">
        <x:v>元町</x:v>
      </x:c>
      <x:c r="B351" s="18" t="str">
        <x:v>西日本旅客鉄道</x:v>
      </x:c>
      <x:c r="C351" s="18" t="str">
        <x:v>conventional_rail</x:v>
      </x:c>
      <x:c r="D351" s="19" t="str">
        <x:v>T1</x:v>
      </x:c>
      <x:c r="E351" s="20" t="n">
        <x:v>64130</x:v>
      </x:c>
      <x:c r="F351" s="18" t="str">
        <x:v>persons/day</x:v>
      </x:c>
      <x:c r="G351" s="18" t="str">
        <x:v>FY2024</x:v>
      </x:c>
      <x:c r="H351" s="18" t="str">
        <x:v>否</x:v>
      </x:c>
      <x:c r="I351" s="19" t="str">
        <x:v>DAILY_ENTRIES_EXITS</x:v>
      </x:c>
      <x:c r="J351" s="19" t="str">
        <x:v>東海道線</x:v>
      </x:c>
      <x:c r="K351" s="18" t="str">
        <x:v>transport-node:0aefa4b5-1af5-5a5f-afd8-f637086ae683</x:v>
      </x:c>
      <x:c r="L351" s="19" t="str">
        <x:v>组件待审核</x:v>
      </x:c>
      <x:c r="M351" s="21" t="n">
        <x:v>34.689586</x:v>
      </x:c>
      <x:c r="N351" s="21" t="n">
        <x:v>135.187374</x:v>
      </x:c>
      <x:c r="O351" s="18" t="str">
        <x:v>007151</x:v>
      </x:c>
      <x:c r="P351" s="18" t="str">
        <x:v>東海道線</x:v>
      </x:c>
      <x:c r="Q351" s="19" t="str">
        <x:v>S12_061_GE_10000</x:v>
      </x:c>
      <x:c r="R351" s="19" t="str">
        <x:v>S12_061 usage threshold</x:v>
      </x:c>
      <x:c r="S351" s="19" t="str">
        <x:v>https://nlftp.mlit.go.jp/ksj/gml/datalist/KsjTmplt-S12-2024.html</x:v>
      </x:c>
      <x:c r="T351" s="19" t="str">
        <x:v>https://nlftp.mlit.go.jp/ksj/gml/datalist/KsjTmplt-S12-2024.html</x:v>
      </x:c>
      <x:c r="U351" s="19" t="str">
        <x:v>station-component|元町|西日本旅客鉄道|conventional_rail|34.6896|135.1874|</x:v>
      </x:c>
      <x:c r="V351" s="19" t="str">
        <x:v>007160 / 007151 / 東海道線</x:v>
      </x:c>
      <x:c r="W351" s="18" t="str">
        <x:v>否</x:v>
      </x:c>
      <x:c r="X351" s="18" t="str">
        <x:v>0785e932a32b3ec15e1a1345537ae145eafe1c07bf38d5c16c11ee2b391e7a28</x:v>
      </x:c>
      <x:c r="Y351" s="20" t="n">
        <x:v>1</x:v>
      </x:c>
      <x:c r="Z351" s="20" t="n">
        <x:v>1</x:v>
      </x:c>
      <x:c r="AA351" s="19"/>
      <x:c r="AB351" s="18"/>
      <x:c r="AC351" s="19"/>
    </x:row>
    <x:row r="352" ht="33" customHeight="1">
      <x:c r="A352" s="18" t="str">
        <x:v>元町</x:v>
      </x:c>
      <x:c r="B352" s="18" t="str">
        <x:v>阪神電気鉄道</x:v>
      </x:c>
      <x:c r="C352" s="18" t="str">
        <x:v>private_rail</x:v>
      </x:c>
      <x:c r="D352" s="19" t="str">
        <x:v>T2</x:v>
      </x:c>
      <x:c r="E352" s="20" t="n">
        <x:v>28440</x:v>
      </x:c>
      <x:c r="F352" s="18" t="str">
        <x:v>persons/day</x:v>
      </x:c>
      <x:c r="G352" s="18" t="str">
        <x:v>FY2024</x:v>
      </x:c>
      <x:c r="H352" s="18" t="str">
        <x:v>否</x:v>
      </x:c>
      <x:c r="I352" s="19" t="str">
        <x:v>DAILY_ENTRIES_EXITS</x:v>
      </x:c>
      <x:c r="J352" s="19" t="str">
        <x:v>本線
神戸高速線</x:v>
      </x:c>
      <x:c r="K352" s="18" t="str">
        <x:v>transport-node:23741cd0-deb6-587e-b853-3dcfd9d38dd4</x:v>
      </x:c>
      <x:c r="L352" s="19" t="str">
        <x:v>组件待审核</x:v>
      </x:c>
      <x:c r="M352" s="21" t="n">
        <x:v>34.688895</x:v>
      </x:c>
      <x:c r="N352" s="21" t="n">
        <x:v>135.18694</x:v>
      </x:c>
      <x:c r="O352" s="18" t="str">
        <x:v>007161</x:v>
      </x:c>
      <x:c r="P352" s="18" t="str">
        <x:v>本線</x:v>
      </x:c>
      <x:c r="Q352" s="19" t="str">
        <x:v>S12_061_GE_10000</x:v>
      </x:c>
      <x:c r="R352" s="19" t="str">
        <x:v>S12_061 usage threshold</x:v>
      </x:c>
      <x:c r="S352" s="19" t="str">
        <x:v>https://nlftp.mlit.go.jp/ksj/gml/datalist/KsjTmplt-S12-2024.html</x:v>
      </x:c>
      <x:c r="T352" s="19" t="str">
        <x:v>https://nlftp.mlit.go.jp/ksj/gml/datalist/KsjTmplt-S12-2024.html</x:v>
      </x:c>
      <x:c r="U352" s="19" t="str">
        <x:v>station-component|元町|阪神電気鉄道|private_rail|34.6889|135.1869|</x:v>
      </x:c>
      <x:c r="V352" s="19" t="str">
        <x:v>007160 / 007160 / 神戸高速線
007160 / 007161 / 本線</x:v>
      </x:c>
      <x:c r="W352" s="18" t="str">
        <x:v>否</x:v>
      </x:c>
      <x:c r="X352" s="18" t="str">
        <x:v>0785e932a32b3ec15e1a1345537ae145eafe1c07bf38d5c16c11ee2b391e7a28</x:v>
      </x:c>
      <x:c r="Y352" s="20" t="n">
        <x:v>1</x:v>
      </x:c>
      <x:c r="Z352" s="20" t="n">
        <x:v>1</x:v>
      </x:c>
      <x:c r="AA352" s="19"/>
      <x:c r="AB352" s="18"/>
      <x:c r="AC352" s="19"/>
    </x:row>
    <x:row r="353" ht="28" customHeight="1">
      <x:c r="A353" s="18" t="str">
        <x:v>元町・中華街</x:v>
      </x:c>
      <x:c r="B353" s="18" t="str">
        <x:v>横浜高速鉄道</x:v>
      </x:c>
      <x:c r="C353" s="18" t="str">
        <x:v>private_rail</x:v>
      </x:c>
      <x:c r="D353" s="19" t="str">
        <x:v>T1</x:v>
      </x:c>
      <x:c r="E353" s="20" t="n">
        <x:v>56862</x:v>
      </x:c>
      <x:c r="F353" s="18" t="str">
        <x:v>persons/day</x:v>
      </x:c>
      <x:c r="G353" s="18" t="str">
        <x:v>FY2024</x:v>
      </x:c>
      <x:c r="H353" s="18" t="str">
        <x:v>否</x:v>
      </x:c>
      <x:c r="I353" s="19" t="str">
        <x:v>DAILY_ENTRIES_EXITS</x:v>
      </x:c>
      <x:c r="J353" s="19" t="str">
        <x:v>みなとみらい21線</x:v>
      </x:c>
      <x:c r="K353" s="18" t="str">
        <x:v>transport-node:5feb1952-10b6-536f-b46a-5cadde08e3e8</x:v>
      </x:c>
      <x:c r="L353" s="19" t="str">
        <x:v>组件待审核</x:v>
      </x:c>
      <x:c r="M353" s="21" t="n">
        <x:v>35.442305</x:v>
      </x:c>
      <x:c r="N353" s="21" t="n">
        <x:v>139.65074</x:v>
      </x:c>
      <x:c r="O353" s="18" t="str">
        <x:v>004704</x:v>
      </x:c>
      <x:c r="P353" s="18" t="str">
        <x:v>みなとみらい21線</x:v>
      </x:c>
      <x:c r="Q353" s="19" t="str">
        <x:v>S12_061_GE_10000</x:v>
      </x:c>
      <x:c r="R353" s="19" t="str">
        <x:v>S12_061 usage threshold</x:v>
      </x:c>
      <x:c r="S353" s="19" t="str">
        <x:v>https://nlftp.mlit.go.jp/ksj/gml/datalist/KsjTmplt-S12-2024.html</x:v>
      </x:c>
      <x:c r="T353" s="19" t="str">
        <x:v>https://nlftp.mlit.go.jp/ksj/gml/datalist/KsjTmplt-S12-2024.html</x:v>
      </x:c>
      <x:c r="U353" s="19" t="str">
        <x:v>station-component|元町・中華街|横浜高速鉄道|private_rail|35.4423|139.6507|</x:v>
      </x:c>
      <x:c r="V353" s="19" t="str">
        <x:v>004704 / 004704 / みなとみらい21線</x:v>
      </x:c>
      <x:c r="W353" s="18" t="str">
        <x:v>否</x:v>
      </x:c>
      <x:c r="X353" s="18" t="str">
        <x:v>0785e932a32b3ec15e1a1345537ae145eafe1c07bf38d5c16c11ee2b391e7a28</x:v>
      </x:c>
      <x:c r="Y353" s="20" t="n">
        <x:v>1</x:v>
      </x:c>
      <x:c r="Z353" s="20" t="n">
        <x:v>1</x:v>
      </x:c>
      <x:c r="AA353" s="19"/>
      <x:c r="AB353" s="18"/>
      <x:c r="AC353" s="19"/>
    </x:row>
    <x:row r="354" ht="28" customHeight="1">
      <x:c r="A354" s="18" t="str">
        <x:v>光が丘</x:v>
      </x:c>
      <x:c r="B354" s="18" t="str">
        <x:v>東京都</x:v>
      </x:c>
      <x:c r="C354" s="18" t="str">
        <x:v>metro</x:v>
      </x:c>
      <x:c r="D354" s="19" t="str">
        <x:v>T1</x:v>
      </x:c>
      <x:c r="E354" s="20" t="n">
        <x:v>56838</x:v>
      </x:c>
      <x:c r="F354" s="18" t="str">
        <x:v>persons/day</x:v>
      </x:c>
      <x:c r="G354" s="18" t="str">
        <x:v>FY2024</x:v>
      </x:c>
      <x:c r="H354" s="18" t="str">
        <x:v>否</x:v>
      </x:c>
      <x:c r="I354" s="19" t="str">
        <x:v>DAILY_ENTRIES_EXITS</x:v>
      </x:c>
      <x:c r="J354" s="19" t="str">
        <x:v>12号線大江戸線</x:v>
      </x:c>
      <x:c r="K354" s="18" t="str">
        <x:v>transport-node:8be550ab-e213-55b4-88de-32b107b44c86</x:v>
      </x:c>
      <x:c r="L354" s="19" t="str">
        <x:v>组件待审核</x:v>
      </x:c>
      <x:c r="M354" s="21" t="n">
        <x:v>35.75847</x:v>
      </x:c>
      <x:c r="N354" s="21" t="n">
        <x:v>139.62924</x:v>
      </x:c>
      <x:c r="O354" s="18" t="str">
        <x:v>003225</x:v>
      </x:c>
      <x:c r="P354" s="18" t="str">
        <x:v>12号線大江戸線</x:v>
      </x:c>
      <x:c r="Q354" s="19" t="str">
        <x:v>S12_061_GE_10000</x:v>
      </x:c>
      <x:c r="R354" s="19" t="str">
        <x:v>S12_061 usage threshold</x:v>
      </x:c>
      <x:c r="S354" s="19" t="str">
        <x:v>https://nlftp.mlit.go.jp/ksj/gml/datalist/KsjTmplt-S12-2024.html</x:v>
      </x:c>
      <x:c r="T354" s="19" t="str">
        <x:v>https://nlftp.mlit.go.jp/ksj/gml/datalist/KsjTmplt-S12-2024.html</x:v>
      </x:c>
      <x:c r="U354" s="19" t="str">
        <x:v>station-component|光が丘|東京都|metro|35.7585|139.6292|</x:v>
      </x:c>
      <x:c r="V354" s="19" t="str">
        <x:v>003225 / 003225 / 12号線大江戸線</x:v>
      </x:c>
      <x:c r="W354" s="18" t="str">
        <x:v>否</x:v>
      </x:c>
      <x:c r="X354" s="18" t="str">
        <x:v>0785e932a32b3ec15e1a1345537ae145eafe1c07bf38d5c16c11ee2b391e7a28</x:v>
      </x:c>
      <x:c r="Y354" s="20" t="n">
        <x:v>1</x:v>
      </x:c>
      <x:c r="Z354" s="20" t="n">
        <x:v>1</x:v>
      </x:c>
      <x:c r="AA354" s="19"/>
      <x:c r="AB354" s="18"/>
      <x:c r="AC354" s="19"/>
    </x:row>
    <x:row r="355" ht="28" customHeight="1">
      <x:c r="A355" s="18" t="str">
        <x:v>光善寺</x:v>
      </x:c>
      <x:c r="B355" s="18" t="str">
        <x:v>京阪電気鉄道</x:v>
      </x:c>
      <x:c r="C355" s="18" t="str">
        <x:v>private_rail</x:v>
      </x:c>
      <x:c r="D355" s="19" t="str">
        <x:v>T2</x:v>
      </x:c>
      <x:c r="E355" s="20" t="n">
        <x:v>15326</x:v>
      </x:c>
      <x:c r="F355" s="18" t="str">
        <x:v>persons/day</x:v>
      </x:c>
      <x:c r="G355" s="18" t="str">
        <x:v>FY2024</x:v>
      </x:c>
      <x:c r="H355" s="18" t="str">
        <x:v>否</x:v>
      </x:c>
      <x:c r="I355" s="19" t="str">
        <x:v>DAILY_ENTRIES_EXITS</x:v>
      </x:c>
      <x:c r="J355" s="19" t="str">
        <x:v>京阪本線</x:v>
      </x:c>
      <x:c r="K355" s="18" t="str">
        <x:v>transport-node:3bc4a7fe-25e8-59de-a1e4-a35cf00c4e79</x:v>
      </x:c>
      <x:c r="L355" s="19" t="str">
        <x:v>组件待审核</x:v>
      </x:c>
      <x:c r="M355" s="21" t="n">
        <x:v>34.79776</x:v>
      </x:c>
      <x:c r="N355" s="21" t="n">
        <x:v>135.63017</x:v>
      </x:c>
      <x:c r="O355" s="18" t="str">
        <x:v>006642</x:v>
      </x:c>
      <x:c r="P355" s="18" t="str">
        <x:v>京阪本線</x:v>
      </x:c>
      <x:c r="Q355" s="19" t="str">
        <x:v>S12_061_GE_10000</x:v>
      </x:c>
      <x:c r="R355" s="19" t="str">
        <x:v>S12_061 usage threshold</x:v>
      </x:c>
      <x:c r="S355" s="19" t="str">
        <x:v>https://nlftp.mlit.go.jp/ksj/gml/datalist/KsjTmplt-S12-2024.html</x:v>
      </x:c>
      <x:c r="T355" s="19" t="str">
        <x:v>https://nlftp.mlit.go.jp/ksj/gml/datalist/KsjTmplt-S12-2024.html</x:v>
      </x:c>
      <x:c r="U355" s="19" t="str">
        <x:v>station-component|光善寺|京阪電気鉄道|private_rail|34.7978|135.6302|</x:v>
      </x:c>
      <x:c r="V355" s="19" t="str">
        <x:v>006642 / 006642 / 京阪本線</x:v>
      </x:c>
      <x:c r="W355" s="18" t="str">
        <x:v>否</x:v>
      </x:c>
      <x:c r="X355" s="18" t="str">
        <x:v>0785e932a32b3ec15e1a1345537ae145eafe1c07bf38d5c16c11ee2b391e7a28</x:v>
      </x:c>
      <x:c r="Y355" s="20" t="n">
        <x:v>1</x:v>
      </x:c>
      <x:c r="Z355" s="20" t="n">
        <x:v>1</x:v>
      </x:c>
      <x:c r="AA355" s="19"/>
      <x:c r="AB355" s="18"/>
      <x:c r="AC355" s="19"/>
    </x:row>
    <x:row r="356" ht="47" customHeight="1">
      <x:c r="A356" s="18" t="str">
        <x:v>光明池</x:v>
      </x:c>
      <x:c r="B356" s="18" t="str">
        <x:v>泉北高速鉄道</x:v>
      </x:c>
      <x:c r="C356" s="18" t="str">
        <x:v>private_rail</x:v>
      </x:c>
      <x:c r="D356" s="19" t="str">
        <x:v>T2</x:v>
      </x:c>
      <x:c r="E356" s="20" t="n">
        <x:v>25830</x:v>
      </x:c>
      <x:c r="F356" s="18" t="str">
        <x:v>persons/day</x:v>
      </x:c>
      <x:c r="G356" s="18" t="str">
        <x:v>FY2024</x:v>
      </x:c>
      <x:c r="H356" s="18" t="str">
        <x:v>否</x:v>
      </x:c>
      <x:c r="I356" s="19" t="str">
        <x:v>DAILY_ENTRIES_EXITS</x:v>
      </x:c>
      <x:c r="J356" s="19" t="str">
        <x:v>泉北高速鉄道線</x:v>
      </x:c>
      <x:c r="K356" s="18" t="str">
        <x:v>transport-node:cb45f96d-8460-55b9-8382-6807ce1b52c4</x:v>
      </x:c>
      <x:c r="L356" s="19" t="str">
        <x:v>组件待审核</x:v>
      </x:c>
      <x:c r="M356" s="21" t="n">
        <x:v>34.4744</x:v>
      </x:c>
      <x:c r="N356" s="21" t="n">
        <x:v>135.47501</x:v>
      </x:c>
      <x:c r="O356" s="18" t="str">
        <x:v>007898</x:v>
      </x:c>
      <x:c r="P356" s="18" t="str">
        <x:v>泉北高速鉄道線</x:v>
      </x:c>
      <x:c r="Q356" s="19" t="str">
        <x:v>S12_061_GE_10000</x:v>
      </x:c>
      <x:c r="R356" s="19" t="str">
        <x:v>S12_061 usage threshold</x:v>
      </x:c>
      <x:c r="S356" s="19" t="str">
        <x:v>https://nlftp.mlit.go.jp/ksj/gml/datalist/KsjTmplt-S12-2024.html</x:v>
      </x:c>
      <x:c r="T356" s="19" t="str">
        <x:v>https://nlftp.mlit.go.jp/ksj/gml/datalist/KsjTmplt-S12-2024.html</x:v>
      </x:c>
      <x:c r="U356" s="19" t="str">
        <x:v>station-component|光明池|泉北高速鉄道|private_rail|34.4744|135.4750|</x:v>
      </x:c>
      <x:c r="V356" s="19" t="str">
        <x:v>007898 / 007898 / 泉北高速鉄道線</x:v>
      </x:c>
      <x:c r="W356" s="18" t="str">
        <x:v>否</x:v>
      </x:c>
      <x:c r="X356" s="18" t="str">
        <x:v>0785e932a32b3ec15e1a1345537ae145eafe1c07bf38d5c16c11ee2b391e7a28</x:v>
      </x:c>
      <x:c r="Y356" s="20" t="n">
        <x:v>1</x:v>
      </x:c>
      <x:c r="Z356" s="20" t="n">
        <x:v>1</x:v>
      </x:c>
      <x:c r="AA356" s="19"/>
      <x:c r="AB356" s="18"/>
      <x:c r="AC356" s="19" t="str">
        <x:v>{"documentedSuccessor":"南海電気鉄道","effectiveDate":"2025-04-01","historicalSourceOperator":"泉北高速鉄道","identityRebound":false,"officialSource":"https://www.nankai.co.jp/news/241101_1.html","status":"HISTORICAL_S12_OPERATOR_IDENTITY_REVIEW_REQUIRED"}</x:v>
      </x:c>
    </x:row>
    <x:row r="357" ht="28" customHeight="1">
      <x:c r="A357" s="18" t="str">
        <x:v>入曽</x:v>
      </x:c>
      <x:c r="B357" s="18" t="str">
        <x:v>西武鉄道</x:v>
      </x:c>
      <x:c r="C357" s="18" t="str">
        <x:v>private_rail</x:v>
      </x:c>
      <x:c r="D357" s="19" t="str">
        <x:v>T2</x:v>
      </x:c>
      <x:c r="E357" s="20" t="n">
        <x:v>16146</x:v>
      </x:c>
      <x:c r="F357" s="18" t="str">
        <x:v>persons/day</x:v>
      </x:c>
      <x:c r="G357" s="18" t="str">
        <x:v>FY2024</x:v>
      </x:c>
      <x:c r="H357" s="18" t="str">
        <x:v>否</x:v>
      </x:c>
      <x:c r="I357" s="19" t="str">
        <x:v>DAILY_ENTRIES_EXITS</x:v>
      </x:c>
      <x:c r="J357" s="19" t="str">
        <x:v>新宿線</x:v>
      </x:c>
      <x:c r="K357" s="18" t="str">
        <x:v>transport-node:cd48f1e7-54d5-5a1c-8beb-02bf7217d203</x:v>
      </x:c>
      <x:c r="L357" s="19" t="str">
        <x:v>组件待审核</x:v>
      </x:c>
      <x:c r="M357" s="21" t="n">
        <x:v>35.832385</x:v>
      </x:c>
      <x:c r="N357" s="21" t="n">
        <x:v>139.427185</x:v>
      </x:c>
      <x:c r="O357" s="18" t="str">
        <x:v>003033</x:v>
      </x:c>
      <x:c r="P357" s="18" t="str">
        <x:v>新宿線</x:v>
      </x:c>
      <x:c r="Q357" s="19" t="str">
        <x:v>S12_061_GE_10000</x:v>
      </x:c>
      <x:c r="R357" s="19" t="str">
        <x:v>S12_061 usage threshold</x:v>
      </x:c>
      <x:c r="S357" s="19" t="str">
        <x:v>https://nlftp.mlit.go.jp/ksj/gml/datalist/KsjTmplt-S12-2024.html</x:v>
      </x:c>
      <x:c r="T357" s="19" t="str">
        <x:v>https://nlftp.mlit.go.jp/ksj/gml/datalist/KsjTmplt-S12-2024.html</x:v>
      </x:c>
      <x:c r="U357" s="19" t="str">
        <x:v>station-component|入曽|西武鉄道|private_rail|35.8324|139.4272|</x:v>
      </x:c>
      <x:c r="V357" s="19" t="str">
        <x:v>003033 / 003033 / 新宿線</x:v>
      </x:c>
      <x:c r="W357" s="18" t="str">
        <x:v>否</x:v>
      </x:c>
      <x:c r="X357" s="18" t="str">
        <x:v>0785e932a32b3ec15e1a1345537ae145eafe1c07bf38d5c16c11ee2b391e7a28</x:v>
      </x:c>
      <x:c r="Y357" s="20" t="n">
        <x:v>1</x:v>
      </x:c>
      <x:c r="Z357" s="20" t="n">
        <x:v>1</x:v>
      </x:c>
      <x:c r="AA357" s="19"/>
      <x:c r="AB357" s="18"/>
      <x:c r="AC357" s="19"/>
    </x:row>
    <x:row r="358" ht="28" customHeight="1">
      <x:c r="A358" s="18" t="str">
        <x:v>入谷</x:v>
      </x:c>
      <x:c r="B358" s="18" t="str">
        <x:v>東京地下鉄</x:v>
      </x:c>
      <x:c r="C358" s="18" t="str">
        <x:v>metro</x:v>
      </x:c>
      <x:c r="D358" s="19" t="str">
        <x:v>T2</x:v>
      </x:c>
      <x:c r="E358" s="20" t="n">
        <x:v>38480</x:v>
      </x:c>
      <x:c r="F358" s="18" t="str">
        <x:v>persons/day</x:v>
      </x:c>
      <x:c r="G358" s="18" t="str">
        <x:v>FY2024</x:v>
      </x:c>
      <x:c r="H358" s="18" t="str">
        <x:v>否</x:v>
      </x:c>
      <x:c r="I358" s="19" t="str">
        <x:v>DAILY_ENTRIES_EXITS</x:v>
      </x:c>
      <x:c r="J358" s="19" t="str">
        <x:v>2号線日比谷線</x:v>
      </x:c>
      <x:c r="K358" s="18" t="str">
        <x:v>transport-node:9db698de-227b-5334-b1e1-d5a656fd4504</x:v>
      </x:c>
      <x:c r="L358" s="19" t="str">
        <x:v>组件待审核</x:v>
      </x:c>
      <x:c r="M358" s="21" t="n">
        <x:v>35.720675</x:v>
      </x:c>
      <x:c r="N358" s="21" t="n">
        <x:v>139.78455</x:v>
      </x:c>
      <x:c r="O358" s="18" t="str">
        <x:v>003469</x:v>
      </x:c>
      <x:c r="P358" s="18" t="str">
        <x:v>2号線日比谷線</x:v>
      </x:c>
      <x:c r="Q358" s="19" t="str">
        <x:v>S12_061_GE_10000</x:v>
      </x:c>
      <x:c r="R358" s="19" t="str">
        <x:v>S12_061 usage threshold</x:v>
      </x:c>
      <x:c r="S358" s="19" t="str">
        <x:v>https://nlftp.mlit.go.jp/ksj/gml/datalist/KsjTmplt-S12-2024.html</x:v>
      </x:c>
      <x:c r="T358" s="19" t="str">
        <x:v>https://nlftp.mlit.go.jp/ksj/gml/datalist/KsjTmplt-S12-2024.html</x:v>
      </x:c>
      <x:c r="U358" s="19" t="str">
        <x:v>station-component|入谷|東京地下鉄|metro|35.7207|139.7845|</x:v>
      </x:c>
      <x:c r="V358" s="19" t="str">
        <x:v>003469 / 003469 / 2号線日比谷線</x:v>
      </x:c>
      <x:c r="W358" s="18" t="str">
        <x:v>否</x:v>
      </x:c>
      <x:c r="X358" s="18" t="str">
        <x:v>0785e932a32b3ec15e1a1345537ae145eafe1c07bf38d5c16c11ee2b391e7a28</x:v>
      </x:c>
      <x:c r="Y358" s="20" t="n">
        <x:v>1</x:v>
      </x:c>
      <x:c r="Z358" s="20" t="n">
        <x:v>1</x:v>
      </x:c>
      <x:c r="AA358" s="19"/>
      <x:c r="AB358" s="18"/>
      <x:c r="AC358" s="19"/>
    </x:row>
    <x:row r="359" ht="28" customHeight="1">
      <x:c r="A359" s="18" t="str">
        <x:v>入間市</x:v>
      </x:c>
      <x:c r="B359" s="18" t="str">
        <x:v>西武鉄道</x:v>
      </x:c>
      <x:c r="C359" s="18" t="str">
        <x:v>private_rail</x:v>
      </x:c>
      <x:c r="D359" s="19" t="str">
        <x:v>T2</x:v>
      </x:c>
      <x:c r="E359" s="20" t="n">
        <x:v>29964</x:v>
      </x:c>
      <x:c r="F359" s="18" t="str">
        <x:v>persons/day</x:v>
      </x:c>
      <x:c r="G359" s="18" t="str">
        <x:v>FY2024</x:v>
      </x:c>
      <x:c r="H359" s="18" t="str">
        <x:v>否</x:v>
      </x:c>
      <x:c r="I359" s="19" t="str">
        <x:v>DAILY_ENTRIES_EXITS</x:v>
      </x:c>
      <x:c r="J359" s="19" t="str">
        <x:v>池袋線</x:v>
      </x:c>
      <x:c r="K359" s="18" t="str">
        <x:v>transport-node:305587a8-a6ad-53b2-9213-e2bb3ee79cbe</x:v>
      </x:c>
      <x:c r="L359" s="19" t="str">
        <x:v>组件待审核</x:v>
      </x:c>
      <x:c r="M359" s="21" t="n">
        <x:v>35.8428825</x:v>
      </x:c>
      <x:c r="N359" s="21" t="n">
        <x:v>139.39032</x:v>
      </x:c>
      <x:c r="O359" s="18" t="str">
        <x:v>003018</x:v>
      </x:c>
      <x:c r="P359" s="18" t="str">
        <x:v>池袋線</x:v>
      </x:c>
      <x:c r="Q359" s="19" t="str">
        <x:v>S12_061_GE_10000</x:v>
      </x:c>
      <x:c r="R359" s="19" t="str">
        <x:v>S12_061 usage threshold</x:v>
      </x:c>
      <x:c r="S359" s="19" t="str">
        <x:v>https://nlftp.mlit.go.jp/ksj/gml/datalist/KsjTmplt-S12-2024.html</x:v>
      </x:c>
      <x:c r="T359" s="19" t="str">
        <x:v>https://nlftp.mlit.go.jp/ksj/gml/datalist/KsjTmplt-S12-2024.html</x:v>
      </x:c>
      <x:c r="U359" s="19" t="str">
        <x:v>station-component|入間市|西武鉄道|private_rail|35.8429|139.3903|</x:v>
      </x:c>
      <x:c r="V359" s="19" t="str">
        <x:v>003018 / 003018 / 池袋線</x:v>
      </x:c>
      <x:c r="W359" s="18" t="str">
        <x:v>否</x:v>
      </x:c>
      <x:c r="X359" s="18" t="str">
        <x:v>0785e932a32b3ec15e1a1345537ae145eafe1c07bf38d5c16c11ee2b391e7a28</x:v>
      </x:c>
      <x:c r="Y359" s="20" t="n">
        <x:v>1</x:v>
      </x:c>
      <x:c r="Z359" s="20" t="n">
        <x:v>1</x:v>
      </x:c>
      <x:c r="AA359" s="19"/>
      <x:c r="AB359" s="18"/>
      <x:c r="AC359" s="19"/>
    </x:row>
    <x:row r="360" ht="33" customHeight="1">
      <x:c r="A360" s="18" t="str">
        <x:v>八丁堀</x:v>
      </x:c>
      <x:c r="B360" s="18" t="str">
        <x:v>東京地下鉄</x:v>
      </x:c>
      <x:c r="C360" s="18" t="str">
        <x:v>metro</x:v>
      </x:c>
      <x:c r="D360" s="19" t="str">
        <x:v>T1</x:v>
      </x:c>
      <x:c r="E360" s="20" t="n">
        <x:v>102173</x:v>
      </x:c>
      <x:c r="F360" s="18" t="str">
        <x:v>persons/day</x:v>
      </x:c>
      <x:c r="G360" s="18" t="str">
        <x:v>FY2024</x:v>
      </x:c>
      <x:c r="H360" s="18" t="str">
        <x:v>否</x:v>
      </x:c>
      <x:c r="I360" s="19" t="str">
        <x:v>DAILY_ENTRIES_EXITS</x:v>
      </x:c>
      <x:c r="J360" s="19" t="str">
        <x:v>2号線日比谷線</x:v>
      </x:c>
      <x:c r="K360" s="18" t="str">
        <x:v>transport-node:38eaa6ec-7f19-5f86-8937-d52f0244d9d9</x:v>
      </x:c>
      <x:c r="L360" s="19" t="str">
        <x:v>组件待审核</x:v>
      </x:c>
      <x:c r="M360" s="21" t="n">
        <x:v>35.67551</x:v>
      </x:c>
      <x:c r="N360" s="21" t="n">
        <x:v>139.77742</x:v>
      </x:c>
      <x:c r="O360" s="18" t="str">
        <x:v>003797</x:v>
      </x:c>
      <x:c r="P360" s="18" t="str">
        <x:v>2号線日比谷線</x:v>
      </x:c>
      <x:c r="Q360" s="19" t="str">
        <x:v>S12_061_GE_10000
OFFICIAL_HUB_COMPONENT_REVIEW</x:v>
      </x:c>
      <x:c r="R360" s="19" t="str">
        <x:v>S12_061 usage threshold</x:v>
      </x:c>
      <x:c r="S360" s="19" t="str">
        <x:v>https://nlftp.mlit.go.jp/ksj/gml/datalist/KsjTmplt-S12-2024.html</x:v>
      </x:c>
      <x:c r="T360" s="19" t="str">
        <x:v>https://nlftp.mlit.go.jp/ksj/gml/datalist/KsjTmplt-S12-2024.html
https://www.tokyometro.jp/station/hatchobori/index.html</x:v>
      </x:c>
      <x:c r="U360" s="19" t="str">
        <x:v>station-component|八丁堀|東京地下鉄|metro|35.6755|139.7774|</x:v>
      </x:c>
      <x:c r="V360" s="19" t="str">
        <x:v>003797 / 003797 / 2号線日比谷線</x:v>
      </x:c>
      <x:c r="W360" s="18" t="str">
        <x:v>否</x:v>
      </x:c>
      <x:c r="X360" s="18" t="str">
        <x:v>0785e932a32b3ec15e1a1345537ae145eafe1c07bf38d5c16c11ee2b391e7a28</x:v>
      </x:c>
      <x:c r="Y360" s="20" t="n">
        <x:v>1</x:v>
      </x:c>
      <x:c r="Z360" s="20" t="n">
        <x:v>1</x:v>
      </x:c>
      <x:c r="AA360" s="19" t="str">
        <x:v>八丁堀</x:v>
      </x:c>
      <x:c r="AB360" s="18" t="str">
        <x:v>transport-hub-review:9b9f01b6-0b9f-5f3c-8088-ec7072a5ad31</x:v>
      </x:c>
      <x:c r="AC360" s="19"/>
    </x:row>
    <x:row r="361" ht="33" customHeight="1">
      <x:c r="A361" s="18" t="str">
        <x:v>八丁堀</x:v>
      </x:c>
      <x:c r="B361" s="18" t="str">
        <x:v>東日本旅客鉄道</x:v>
      </x:c>
      <x:c r="C361" s="18" t="str">
        <x:v>conventional_rail</x:v>
      </x:c>
      <x:c r="D361" s="19" t="str">
        <x:v>T1</x:v>
      </x:c>
      <x:c r="E361" s="20" t="n">
        <x:v>64432</x:v>
      </x:c>
      <x:c r="F361" s="18" t="str">
        <x:v>persons/day</x:v>
      </x:c>
      <x:c r="G361" s="18" t="str">
        <x:v>FY2024</x:v>
      </x:c>
      <x:c r="H361" s="18" t="str">
        <x:v>否</x:v>
      </x:c>
      <x:c r="I361" s="19" t="str">
        <x:v>DAILY_ENTRIES_EXITS</x:v>
      </x:c>
      <x:c r="J361" s="19" t="str">
        <x:v>京葉線</x:v>
      </x:c>
      <x:c r="K361" s="18" t="str">
        <x:v>transport-node:973ea78f-945d-50a5-bcf5-a56d782b3339</x:v>
      </x:c>
      <x:c r="L361" s="19" t="str">
        <x:v>组件待审核</x:v>
      </x:c>
      <x:c r="M361" s="21" t="n">
        <x:v>35.67462</x:v>
      </x:c>
      <x:c r="N361" s="21" t="n">
        <x:v>139.77819</x:v>
      </x:c>
      <x:c r="O361" s="18" t="str">
        <x:v>003800</x:v>
      </x:c>
      <x:c r="P361" s="18" t="str">
        <x:v>京葉線</x:v>
      </x:c>
      <x:c r="Q361" s="19" t="str">
        <x:v>S12_061_GE_10000
OFFICIAL_HUB_COMPONENT_REVIEW</x:v>
      </x:c>
      <x:c r="R361" s="19" t="str">
        <x:v>S12_061 usage threshold</x:v>
      </x:c>
      <x:c r="S361" s="19" t="str">
        <x:v>https://nlftp.mlit.go.jp/ksj/gml/datalist/KsjTmplt-S12-2024.html</x:v>
      </x:c>
      <x:c r="T361" s="19" t="str">
        <x:v>https://nlftp.mlit.go.jp/ksj/gml/datalist/KsjTmplt-S12-2024.html
https://www.tokyometro.jp/station/hatchobori/index.html</x:v>
      </x:c>
      <x:c r="U361" s="19" t="str">
        <x:v>station-component|八丁堀|東日本旅客鉄道|conventional_rail|35.6746|139.7782|</x:v>
      </x:c>
      <x:c r="V361" s="19" t="str">
        <x:v>003797 / 003800 / 京葉線</x:v>
      </x:c>
      <x:c r="W361" s="18" t="str">
        <x:v>否</x:v>
      </x:c>
      <x:c r="X361" s="18" t="str">
        <x:v>0785e932a32b3ec15e1a1345537ae145eafe1c07bf38d5c16c11ee2b391e7a28</x:v>
      </x:c>
      <x:c r="Y361" s="20" t="n">
        <x:v>1</x:v>
      </x:c>
      <x:c r="Z361" s="20" t="n">
        <x:v>1</x:v>
      </x:c>
      <x:c r="AA361" s="19" t="str">
        <x:v>八丁堀</x:v>
      </x:c>
      <x:c r="AB361" s="18" t="str">
        <x:v>transport-hub-review:9b9f01b6-0b9f-5f3c-8088-ec7072a5ad31</x:v>
      </x:c>
      <x:c r="AC361" s="19"/>
    </x:row>
    <x:row r="362" ht="28" customHeight="1">
      <x:c r="A362" s="18" t="str">
        <x:v>八丁畷</x:v>
      </x:c>
      <x:c r="B362" s="18" t="str">
        <x:v>京浜急行電鉄</x:v>
      </x:c>
      <x:c r="C362" s="18" t="str">
        <x:v>private_rail</x:v>
      </x:c>
      <x:c r="D362" s="19" t="str">
        <x:v>T2</x:v>
      </x:c>
      <x:c r="E362" s="20" t="n">
        <x:v>20206</x:v>
      </x:c>
      <x:c r="F362" s="18" t="str">
        <x:v>persons/day</x:v>
      </x:c>
      <x:c r="G362" s="18" t="str">
        <x:v>FY2024</x:v>
      </x:c>
      <x:c r="H362" s="18" t="str">
        <x:v>否</x:v>
      </x:c>
      <x:c r="I362" s="19" t="str">
        <x:v>DAILY_ENTRIES_EXITS</x:v>
      </x:c>
      <x:c r="J362" s="19" t="str">
        <x:v>本線</x:v>
      </x:c>
      <x:c r="K362" s="18" t="str">
        <x:v>transport-node:8877918a-a5f6-5c22-92a0-3982c40a6968</x:v>
      </x:c>
      <x:c r="L362" s="19" t="str">
        <x:v>组件待审核</x:v>
      </x:c>
      <x:c r="M362" s="21" t="n">
        <x:v>35.523025</x:v>
      </x:c>
      <x:c r="N362" s="21" t="n">
        <x:v>139.69145</x:v>
      </x:c>
      <x:c r="O362" s="18" t="str">
        <x:v>004449</x:v>
      </x:c>
      <x:c r="P362" s="18" t="str">
        <x:v>本線</x:v>
      </x:c>
      <x:c r="Q362" s="19" t="str">
        <x:v>S12_061_GE_10000</x:v>
      </x:c>
      <x:c r="R362" s="19" t="str">
        <x:v>S12_061 usage threshold</x:v>
      </x:c>
      <x:c r="S362" s="19" t="str">
        <x:v>https://nlftp.mlit.go.jp/ksj/gml/datalist/KsjTmplt-S12-2024.html</x:v>
      </x:c>
      <x:c r="T362" s="19" t="str">
        <x:v>https://nlftp.mlit.go.jp/ksj/gml/datalist/KsjTmplt-S12-2024.html</x:v>
      </x:c>
      <x:c r="U362" s="19" t="str">
        <x:v>station-component|八丁畷|京浜急行電鉄|private_rail|35.5230|139.6915|</x:v>
      </x:c>
      <x:c r="V362" s="19" t="str">
        <x:v>004448 / 004449 / 本線</x:v>
      </x:c>
      <x:c r="W362" s="18" t="str">
        <x:v>否</x:v>
      </x:c>
      <x:c r="X362" s="18" t="str">
        <x:v>0785e932a32b3ec15e1a1345537ae145eafe1c07bf38d5c16c11ee2b391e7a28</x:v>
      </x:c>
      <x:c r="Y362" s="20" t="n">
        <x:v>1</x:v>
      </x:c>
      <x:c r="Z362" s="20" t="n">
        <x:v>1</x:v>
      </x:c>
      <x:c r="AA362" s="19"/>
      <x:c r="AB362" s="18"/>
      <x:c r="AC362" s="19"/>
    </x:row>
    <x:row r="363" ht="33" customHeight="1">
      <x:c r="A363" s="18" t="str">
        <x:v>八事</x:v>
      </x:c>
      <x:c r="B363" s="18" t="str">
        <x:v>名古屋市</x:v>
      </x:c>
      <x:c r="C363" s="18" t="str">
        <x:v>metro</x:v>
      </x:c>
      <x:c r="D363" s="19" t="str">
        <x:v>T2</x:v>
      </x:c>
      <x:c r="E363" s="20" t="n">
        <x:v>31904</x:v>
      </x:c>
      <x:c r="F363" s="18" t="str">
        <x:v>persons/day</x:v>
      </x:c>
      <x:c r="G363" s="18" t="str">
        <x:v>FY2024</x:v>
      </x:c>
      <x:c r="H363" s="18" t="str">
        <x:v>否</x:v>
      </x:c>
      <x:c r="I363" s="19" t="str">
        <x:v>DAILY_ENTRIES_EXITS</x:v>
      </x:c>
      <x:c r="J363" s="19" t="str">
        <x:v>3号線鶴舞線
4号線名城線</x:v>
      </x:c>
      <x:c r="K363" s="18" t="str">
        <x:v>transport-node:194aabcf-a985-5a67-97ea-7c1b6e99d08e</x:v>
      </x:c>
      <x:c r="L363" s="19" t="str">
        <x:v>组件待审核</x:v>
      </x:c>
      <x:c r="M363" s="21" t="n">
        <x:v>35.137015</x:v>
      </x:c>
      <x:c r="N363" s="21" t="n">
        <x:v>136.963785</x:v>
      </x:c>
      <x:c r="O363" s="18" t="str">
        <x:v>005568</x:v>
      </x:c>
      <x:c r="P363" s="18" t="str">
        <x:v>3号線鶴舞線</x:v>
      </x:c>
      <x:c r="Q363" s="19" t="str">
        <x:v>S12_061_GE_10000
OFFICIAL_HUB_COMPONENT_REVIEW</x:v>
      </x:c>
      <x:c r="R363" s="19" t="str">
        <x:v>S12_061 usage threshold</x:v>
      </x:c>
      <x:c r="S363" s="19" t="str">
        <x:v>https://nlftp.mlit.go.jp/ksj/gml/datalist/KsjTmplt-S12-2024.html</x:v>
      </x:c>
      <x:c r="T363" s="19" t="str">
        <x:v>https://kotsu.city.nagoya.jp/rp/subway/
https://nlftp.mlit.go.jp/ksj/gml/datalist/KsjTmplt-S12-2024.html</x:v>
      </x:c>
      <x:c r="U363" s="19" t="str">
        <x:v>station-component|八事|名古屋市|metro|35.1370|136.9638|</x:v>
      </x:c>
      <x:c r="V363" s="19" t="str">
        <x:v>005567 / 005567 / 4号線名城線
005567 / 005568 / 3号線鶴舞線</x:v>
      </x:c>
      <x:c r="W363" s="18" t="str">
        <x:v>否</x:v>
      </x:c>
      <x:c r="X363" s="18" t="str">
        <x:v>0785e932a32b3ec15e1a1345537ae145eafe1c07bf38d5c16c11ee2b391e7a28</x:v>
      </x:c>
      <x:c r="Y363" s="20" t="n">
        <x:v>1</x:v>
      </x:c>
      <x:c r="Z363" s="20" t="n">
        <x:v>1</x:v>
      </x:c>
      <x:c r="AA363" s="19" t="str">
        <x:v>八事</x:v>
      </x:c>
      <x:c r="AB363" s="18" t="str">
        <x:v>transport-hub-review:624f002c-c461-508b-a52a-ef9454562f6c</x:v>
      </x:c>
      <x:c r="AC363" s="19"/>
    </x:row>
    <x:row r="364" ht="28" customHeight="1">
      <x:c r="A364" s="18" t="str">
        <x:v>八事日赤</x:v>
      </x:c>
      <x:c r="B364" s="18" t="str">
        <x:v>名古屋市</x:v>
      </x:c>
      <x:c r="C364" s="18" t="str">
        <x:v>metro</x:v>
      </x:c>
      <x:c r="D364" s="19" t="str">
        <x:v>T2</x:v>
      </x:c>
      <x:c r="E364" s="20" t="n">
        <x:v>11361</x:v>
      </x:c>
      <x:c r="F364" s="18" t="str">
        <x:v>persons/day</x:v>
      </x:c>
      <x:c r="G364" s="18" t="str">
        <x:v>FY2024</x:v>
      </x:c>
      <x:c r="H364" s="18" t="str">
        <x:v>否</x:v>
      </x:c>
      <x:c r="I364" s="19" t="str">
        <x:v>DAILY_ENTRIES_EXITS</x:v>
      </x:c>
      <x:c r="J364" s="19" t="str">
        <x:v>4号線名城線</x:v>
      </x:c>
      <x:c r="K364" s="18" t="str">
        <x:v>transport-node:904c17f4-0988-53f5-a8ba-7d7c26db2392</x:v>
      </x:c>
      <x:c r="L364" s="19" t="str">
        <x:v>组件待审核</x:v>
      </x:c>
      <x:c r="M364" s="21" t="n">
        <x:v>35.1446375</x:v>
      </x:c>
      <x:c r="N364" s="21" t="n">
        <x:v>136.9648925</x:v>
      </x:c>
      <x:c r="O364" s="18" t="str">
        <x:v>005542</x:v>
      </x:c>
      <x:c r="P364" s="18" t="str">
        <x:v>4号線名城線</x:v>
      </x:c>
      <x:c r="Q364" s="19" t="str">
        <x:v>S12_061_GE_10000</x:v>
      </x:c>
      <x:c r="R364" s="19" t="str">
        <x:v>S12_061 usage threshold</x:v>
      </x:c>
      <x:c r="S364" s="19" t="str">
        <x:v>https://nlftp.mlit.go.jp/ksj/gml/datalist/KsjTmplt-S12-2024.html</x:v>
      </x:c>
      <x:c r="T364" s="19" t="str">
        <x:v>https://nlftp.mlit.go.jp/ksj/gml/datalist/KsjTmplt-S12-2024.html</x:v>
      </x:c>
      <x:c r="U364" s="19" t="str">
        <x:v>station-component|八事日赤|名古屋市|metro|35.1446|136.9649|</x:v>
      </x:c>
      <x:c r="V364" s="19" t="str">
        <x:v>005542 / 005542 / 4号線名城線</x:v>
      </x:c>
      <x:c r="W364" s="18" t="str">
        <x:v>否</x:v>
      </x:c>
      <x:c r="X364" s="18" t="str">
        <x:v>0785e932a32b3ec15e1a1345537ae145eafe1c07bf38d5c16c11ee2b391e7a28</x:v>
      </x:c>
      <x:c r="Y364" s="20" t="n">
        <x:v>1</x:v>
      </x:c>
      <x:c r="Z364" s="20" t="n">
        <x:v>1</x:v>
      </x:c>
      <x:c r="AA364" s="19"/>
      <x:c r="AB364" s="18"/>
      <x:c r="AC364" s="19"/>
    </x:row>
    <x:row r="365" ht="28" customHeight="1">
      <x:c r="A365" s="18" t="str">
        <x:v>八千代中央</x:v>
      </x:c>
      <x:c r="B365" s="18" t="str">
        <x:v>東葉高速鉄道</x:v>
      </x:c>
      <x:c r="C365" s="18" t="str">
        <x:v>private_rail</x:v>
      </x:c>
      <x:c r="D365" s="19" t="str">
        <x:v>T2</x:v>
      </x:c>
      <x:c r="E365" s="20" t="n">
        <x:v>23403</x:v>
      </x:c>
      <x:c r="F365" s="18" t="str">
        <x:v>persons/day</x:v>
      </x:c>
      <x:c r="G365" s="18" t="str">
        <x:v>FY2024</x:v>
      </x:c>
      <x:c r="H365" s="18" t="str">
        <x:v>否</x:v>
      </x:c>
      <x:c r="I365" s="19" t="str">
        <x:v>DAILY_ENTRIES_EXITS</x:v>
      </x:c>
      <x:c r="J365" s="19" t="str">
        <x:v>東葉高速線</x:v>
      </x:c>
      <x:c r="K365" s="18" t="str">
        <x:v>transport-node:af56e064-c29d-57c6-9593-ba9d978e74ca</x:v>
      </x:c>
      <x:c r="L365" s="19" t="str">
        <x:v>组件待审核</x:v>
      </x:c>
      <x:c r="M365" s="21" t="n">
        <x:v>35.727875</x:v>
      </x:c>
      <x:c r="N365" s="21" t="n">
        <x:v>140.103305</x:v>
      </x:c>
      <x:c r="O365" s="18" t="str">
        <x:v>003416</x:v>
      </x:c>
      <x:c r="P365" s="18" t="str">
        <x:v>東葉高速線</x:v>
      </x:c>
      <x:c r="Q365" s="19" t="str">
        <x:v>S12_061_GE_10000</x:v>
      </x:c>
      <x:c r="R365" s="19" t="str">
        <x:v>S12_061 usage threshold</x:v>
      </x:c>
      <x:c r="S365" s="19" t="str">
        <x:v>https://nlftp.mlit.go.jp/ksj/gml/datalist/KsjTmplt-S12-2024.html</x:v>
      </x:c>
      <x:c r="T365" s="19" t="str">
        <x:v>https://nlftp.mlit.go.jp/ksj/gml/datalist/KsjTmplt-S12-2024.html</x:v>
      </x:c>
      <x:c r="U365" s="19" t="str">
        <x:v>station-component|八千代中央|東葉高速鉄道|private_rail|35.7279|140.1033|</x:v>
      </x:c>
      <x:c r="V365" s="19" t="str">
        <x:v>003416 / 003416 / 東葉高速線</x:v>
      </x:c>
      <x:c r="W365" s="18" t="str">
        <x:v>否</x:v>
      </x:c>
      <x:c r="X365" s="18" t="str">
        <x:v>0785e932a32b3ec15e1a1345537ae145eafe1c07bf38d5c16c11ee2b391e7a28</x:v>
      </x:c>
      <x:c r="Y365" s="20" t="n">
        <x:v>1</x:v>
      </x:c>
      <x:c r="Z365" s="20" t="n">
        <x:v>1</x:v>
      </x:c>
      <x:c r="AA365" s="19"/>
      <x:c r="AB365" s="18"/>
      <x:c r="AC365" s="19"/>
    </x:row>
    <x:row r="366" ht="28" customHeight="1">
      <x:c r="A366" s="18" t="str">
        <x:v>八千代台</x:v>
      </x:c>
      <x:c r="B366" s="18" t="str">
        <x:v>京成電鉄</x:v>
      </x:c>
      <x:c r="C366" s="18" t="str">
        <x:v>private_rail</x:v>
      </x:c>
      <x:c r="D366" s="19" t="str">
        <x:v>T2</x:v>
      </x:c>
      <x:c r="E366" s="20" t="n">
        <x:v>43829</x:v>
      </x:c>
      <x:c r="F366" s="18" t="str">
        <x:v>persons/day</x:v>
      </x:c>
      <x:c r="G366" s="18" t="str">
        <x:v>FY2024</x:v>
      </x:c>
      <x:c r="H366" s="18" t="str">
        <x:v>否</x:v>
      </x:c>
      <x:c r="I366" s="19" t="str">
        <x:v>DAILY_ENTRIES_EXITS</x:v>
      </x:c>
      <x:c r="J366" s="19" t="str">
        <x:v>本線</x:v>
      </x:c>
      <x:c r="K366" s="18" t="str">
        <x:v>transport-node:eee03360-642b-5510-9ac9-9a25432faf71</x:v>
      </x:c>
      <x:c r="L366" s="19" t="str">
        <x:v>组件待审核</x:v>
      </x:c>
      <x:c r="M366" s="21" t="n">
        <x:v>35.701355</x:v>
      </x:c>
      <x:c r="N366" s="21" t="n">
        <x:v>140.09077</x:v>
      </x:c>
      <x:c r="O366" s="18" t="str">
        <x:v>003597</x:v>
      </x:c>
      <x:c r="P366" s="18" t="str">
        <x:v>本線</x:v>
      </x:c>
      <x:c r="Q366" s="19" t="str">
        <x:v>S12_061_GE_10000</x:v>
      </x:c>
      <x:c r="R366" s="19" t="str">
        <x:v>S12_061 usage threshold</x:v>
      </x:c>
      <x:c r="S366" s="19" t="str">
        <x:v>https://nlftp.mlit.go.jp/ksj/gml/datalist/KsjTmplt-S12-2024.html</x:v>
      </x:c>
      <x:c r="T366" s="19" t="str">
        <x:v>https://nlftp.mlit.go.jp/ksj/gml/datalist/KsjTmplt-S12-2024.html</x:v>
      </x:c>
      <x:c r="U366" s="19" t="str">
        <x:v>station-component|八千代台|京成電鉄|private_rail|35.7014|140.0908|</x:v>
      </x:c>
      <x:c r="V366" s="19" t="str">
        <x:v>003597 / 003597 / 本線</x:v>
      </x:c>
      <x:c r="W366" s="18" t="str">
        <x:v>否</x:v>
      </x:c>
      <x:c r="X366" s="18" t="str">
        <x:v>0785e932a32b3ec15e1a1345537ae145eafe1c07bf38d5c16c11ee2b391e7a28</x:v>
      </x:c>
      <x:c r="Y366" s="20" t="n">
        <x:v>1</x:v>
      </x:c>
      <x:c r="Z366" s="20" t="n">
        <x:v>1</x:v>
      </x:c>
      <x:c r="AA366" s="19"/>
      <x:c r="AB366" s="18"/>
      <x:c r="AC366" s="19"/>
    </x:row>
    <x:row r="367" ht="28" customHeight="1">
      <x:c r="A367" s="18" t="str">
        <x:v>八千代緑が丘</x:v>
      </x:c>
      <x:c r="B367" s="18" t="str">
        <x:v>東葉高速鉄道</x:v>
      </x:c>
      <x:c r="C367" s="18" t="str">
        <x:v>private_rail</x:v>
      </x:c>
      <x:c r="D367" s="19" t="str">
        <x:v>T2</x:v>
      </x:c>
      <x:c r="E367" s="20" t="n">
        <x:v>41037</x:v>
      </x:c>
      <x:c r="F367" s="18" t="str">
        <x:v>persons/day</x:v>
      </x:c>
      <x:c r="G367" s="18" t="str">
        <x:v>FY2024</x:v>
      </x:c>
      <x:c r="H367" s="18" t="str">
        <x:v>否</x:v>
      </x:c>
      <x:c r="I367" s="19" t="str">
        <x:v>DAILY_ENTRIES_EXITS</x:v>
      </x:c>
      <x:c r="J367" s="19" t="str">
        <x:v>東葉高速線</x:v>
      </x:c>
      <x:c r="K367" s="18" t="str">
        <x:v>transport-node:2fd0a303-fe9b-5c3c-a095-c8bcc5670cca</x:v>
      </x:c>
      <x:c r="L367" s="19" t="str">
        <x:v>组件待审核</x:v>
      </x:c>
      <x:c r="M367" s="21" t="n">
        <x:v>35.72894</x:v>
      </x:c>
      <x:c r="N367" s="21" t="n">
        <x:v>140.073205</x:v>
      </x:c>
      <x:c r="O367" s="18" t="str">
        <x:v>003401</x:v>
      </x:c>
      <x:c r="P367" s="18" t="str">
        <x:v>東葉高速線</x:v>
      </x:c>
      <x:c r="Q367" s="19" t="str">
        <x:v>S12_061_GE_10000</x:v>
      </x:c>
      <x:c r="R367" s="19" t="str">
        <x:v>S12_061 usage threshold</x:v>
      </x:c>
      <x:c r="S367" s="19" t="str">
        <x:v>https://nlftp.mlit.go.jp/ksj/gml/datalist/KsjTmplt-S12-2024.html</x:v>
      </x:c>
      <x:c r="T367" s="19" t="str">
        <x:v>https://nlftp.mlit.go.jp/ksj/gml/datalist/KsjTmplt-S12-2024.html</x:v>
      </x:c>
      <x:c r="U367" s="19" t="str">
        <x:v>station-component|八千代緑が丘|東葉高速鉄道|private_rail|35.7289|140.0732|</x:v>
      </x:c>
      <x:c r="V367" s="19" t="str">
        <x:v>003401 / 003401 / 東葉高速線</x:v>
      </x:c>
      <x:c r="W367" s="18" t="str">
        <x:v>否</x:v>
      </x:c>
      <x:c r="X367" s="18" t="str">
        <x:v>0785e932a32b3ec15e1a1345537ae145eafe1c07bf38d5c16c11ee2b391e7a28</x:v>
      </x:c>
      <x:c r="Y367" s="20" t="n">
        <x:v>1</x:v>
      </x:c>
      <x:c r="Z367" s="20" t="n">
        <x:v>1</x:v>
      </x:c>
      <x:c r="AA367" s="19"/>
      <x:c r="AB367" s="18"/>
      <x:c r="AC367" s="19"/>
    </x:row>
    <x:row r="368" ht="28" customHeight="1">
      <x:c r="A368" s="18" t="str">
        <x:v>八尾</x:v>
      </x:c>
      <x:c r="B368" s="18" t="str">
        <x:v>西日本旅客鉄道</x:v>
      </x:c>
      <x:c r="C368" s="18" t="str">
        <x:v>conventional_rail</x:v>
      </x:c>
      <x:c r="D368" s="19" t="str">
        <x:v>T2</x:v>
      </x:c>
      <x:c r="E368" s="20" t="n">
        <x:v>24088</x:v>
      </x:c>
      <x:c r="F368" s="18" t="str">
        <x:v>persons/day</x:v>
      </x:c>
      <x:c r="G368" s="18" t="str">
        <x:v>FY2024</x:v>
      </x:c>
      <x:c r="H368" s="18" t="str">
        <x:v>否</x:v>
      </x:c>
      <x:c r="I368" s="19" t="str">
        <x:v>DAILY_ENTRIES_EXITS</x:v>
      </x:c>
      <x:c r="J368" s="19" t="str">
        <x:v>関西線</x:v>
      </x:c>
      <x:c r="K368" s="18" t="str">
        <x:v>transport-node:b28ad58f-28a2-587f-ba1c-f184ebab317d</x:v>
      </x:c>
      <x:c r="L368" s="19" t="str">
        <x:v>组件待审核</x:v>
      </x:c>
      <x:c r="M368" s="21" t="n">
        <x:v>34.617255</x:v>
      </x:c>
      <x:c r="N368" s="21" t="n">
        <x:v>135.59701</x:v>
      </x:c>
      <x:c r="O368" s="18" t="str">
        <x:v>007560</x:v>
      </x:c>
      <x:c r="P368" s="18" t="str">
        <x:v>関西線</x:v>
      </x:c>
      <x:c r="Q368" s="19" t="str">
        <x:v>S12_061_GE_10000</x:v>
      </x:c>
      <x:c r="R368" s="19" t="str">
        <x:v>S12_061 usage threshold</x:v>
      </x:c>
      <x:c r="S368" s="19" t="str">
        <x:v>https://nlftp.mlit.go.jp/ksj/gml/datalist/KsjTmplt-S12-2024.html</x:v>
      </x:c>
      <x:c r="T368" s="19" t="str">
        <x:v>https://nlftp.mlit.go.jp/ksj/gml/datalist/KsjTmplt-S12-2024.html</x:v>
      </x:c>
      <x:c r="U368" s="19" t="str">
        <x:v>station-component|八尾|西日本旅客鉄道|conventional_rail|34.6173|135.5970|</x:v>
      </x:c>
      <x:c r="V368" s="19" t="str">
        <x:v>007560 / 007560 / 関西線</x:v>
      </x:c>
      <x:c r="W368" s="18" t="str">
        <x:v>否</x:v>
      </x:c>
      <x:c r="X368" s="18" t="str">
        <x:v>0785e932a32b3ec15e1a1345537ae145eafe1c07bf38d5c16c11ee2b391e7a28</x:v>
      </x:c>
      <x:c r="Y368" s="20" t="n">
        <x:v>1</x:v>
      </x:c>
      <x:c r="Z368" s="20" t="n">
        <x:v>1</x:v>
      </x:c>
      <x:c r="AA368" s="19"/>
      <x:c r="AB368" s="18"/>
      <x:c r="AC368" s="19"/>
    </x:row>
    <x:row r="369" ht="28" customHeight="1">
      <x:c r="A369" s="18" t="str">
        <x:v>八尾南</x:v>
      </x:c>
      <x:c r="B369" s="18" t="str">
        <x:v>大阪市高速電気軌道</x:v>
      </x:c>
      <x:c r="C369" s="18" t="str">
        <x:v>metro</x:v>
      </x:c>
      <x:c r="D369" s="19" t="str">
        <x:v>T2</x:v>
      </x:c>
      <x:c r="E369" s="20" t="n">
        <x:v>10785</x:v>
      </x:c>
      <x:c r="F369" s="18" t="str">
        <x:v>persons/day</x:v>
      </x:c>
      <x:c r="G369" s="18" t="str">
        <x:v>FY2024</x:v>
      </x:c>
      <x:c r="H369" s="18" t="str">
        <x:v>否</x:v>
      </x:c>
      <x:c r="I369" s="19" t="str">
        <x:v>DAILY_ENTRIES_EXITS</x:v>
      </x:c>
      <x:c r="J369" s="19" t="str">
        <x:v>2号線(谷町線)</x:v>
      </x:c>
      <x:c r="K369" s="18" t="str">
        <x:v>transport-node:96aa3925-362c-5e41-b187-34b88cad435b</x:v>
      </x:c>
      <x:c r="L369" s="19" t="str">
        <x:v>组件待审核</x:v>
      </x:c>
      <x:c r="M369" s="21" t="n">
        <x:v>34.5972214</x:v>
      </x:c>
      <x:c r="N369" s="21" t="n">
        <x:v>135.5827843</x:v>
      </x:c>
      <x:c r="O369" s="18" t="str">
        <x:v>007618</x:v>
      </x:c>
      <x:c r="P369" s="18" t="str">
        <x:v>2号線(谷町線)</x:v>
      </x:c>
      <x:c r="Q369" s="19" t="str">
        <x:v>S12_061_GE_10000</x:v>
      </x:c>
      <x:c r="R369" s="19" t="str">
        <x:v>S12_061 usage threshold</x:v>
      </x:c>
      <x:c r="S369" s="19" t="str">
        <x:v>https://nlftp.mlit.go.jp/ksj/gml/datalist/KsjTmplt-S12-2024.html</x:v>
      </x:c>
      <x:c r="T369" s="19" t="str">
        <x:v>https://nlftp.mlit.go.jp/ksj/gml/datalist/KsjTmplt-S12-2024.html</x:v>
      </x:c>
      <x:c r="U369" s="19" t="str">
        <x:v>station-component|八尾南|大阪市高速電気軌道|metro|34.5972|135.5828|</x:v>
      </x:c>
      <x:c r="V369" s="19" t="str">
        <x:v>007618 / 007618 / 2号線(谷町線)</x:v>
      </x:c>
      <x:c r="W369" s="18" t="str">
        <x:v>否</x:v>
      </x:c>
      <x:c r="X369" s="18" t="str">
        <x:v>0785e932a32b3ec15e1a1345537ae145eafe1c07bf38d5c16c11ee2b391e7a28</x:v>
      </x:c>
      <x:c r="Y369" s="20" t="n">
        <x:v>1</x:v>
      </x:c>
      <x:c r="Z369" s="20" t="n">
        <x:v>1</x:v>
      </x:c>
      <x:c r="AA369" s="19"/>
      <x:c r="AB369" s="18"/>
      <x:c r="AC369" s="19"/>
    </x:row>
    <x:row r="370" ht="28" customHeight="1">
      <x:c r="A370" s="18" t="str">
        <x:v>八幡</x:v>
      </x:c>
      <x:c r="B370" s="18" t="str">
        <x:v>九州旅客鉄道</x:v>
      </x:c>
      <x:c r="C370" s="18" t="str">
        <x:v>conventional_rail</x:v>
      </x:c>
      <x:c r="D370" s="19" t="str">
        <x:v>T2</x:v>
      </x:c>
      <x:c r="E370" s="20" t="n">
        <x:v>11678</x:v>
      </x:c>
      <x:c r="F370" s="18" t="str">
        <x:v>persons/day</x:v>
      </x:c>
      <x:c r="G370" s="18" t="str">
        <x:v>FY2024</x:v>
      </x:c>
      <x:c r="H370" s="18" t="str">
        <x:v>否</x:v>
      </x:c>
      <x:c r="I370" s="19" t="str">
        <x:v>DAILY_ENTRIES_EXITS</x:v>
      </x:c>
      <x:c r="J370" s="19" t="str">
        <x:v>鹿児島線</x:v>
      </x:c>
      <x:c r="K370" s="18" t="str">
        <x:v>transport-node:a400d0f3-bfef-5264-8a93-81d209538c8d</x:v>
      </x:c>
      <x:c r="L370" s="19" t="str">
        <x:v>组件待审核</x:v>
      </x:c>
      <x:c r="M370" s="21" t="n">
        <x:v>33.8692667</x:v>
      </x:c>
      <x:c r="N370" s="21" t="n">
        <x:v>130.7951467</x:v>
      </x:c>
      <x:c r="O370" s="18" t="str">
        <x:v>008700</x:v>
      </x:c>
      <x:c r="P370" s="18" t="str">
        <x:v>鹿児島線</x:v>
      </x:c>
      <x:c r="Q370" s="19" t="str">
        <x:v>S12_061_GE_10000</x:v>
      </x:c>
      <x:c r="R370" s="19" t="str">
        <x:v>S12_061 usage threshold</x:v>
      </x:c>
      <x:c r="S370" s="19" t="str">
        <x:v>https://nlftp.mlit.go.jp/ksj/gml/datalist/KsjTmplt-S12-2024.html</x:v>
      </x:c>
      <x:c r="T370" s="19" t="str">
        <x:v>https://nlftp.mlit.go.jp/ksj/gml/datalist/KsjTmplt-S12-2024.html</x:v>
      </x:c>
      <x:c r="U370" s="19" t="str">
        <x:v>station-component|八幡|九州旅客鉄道|conventional_rail|33.8693|130.7951|</x:v>
      </x:c>
      <x:c r="V370" s="19" t="str">
        <x:v>008700 / 008700 / 鹿児島線</x:v>
      </x:c>
      <x:c r="W370" s="18" t="str">
        <x:v>否</x:v>
      </x:c>
      <x:c r="X370" s="18" t="str">
        <x:v>0785e932a32b3ec15e1a1345537ae145eafe1c07bf38d5c16c11ee2b391e7a28</x:v>
      </x:c>
      <x:c r="Y370" s="20" t="n">
        <x:v>1</x:v>
      </x:c>
      <x:c r="Z370" s="20" t="n">
        <x:v>1</x:v>
      </x:c>
      <x:c r="AA370" s="19"/>
      <x:c r="AB370" s="18"/>
      <x:c r="AC370" s="19"/>
    </x:row>
    <x:row r="371" ht="28" customHeight="1">
      <x:c r="A371" s="18" t="str">
        <x:v>八幡宿</x:v>
      </x:c>
      <x:c r="B371" s="18" t="str">
        <x:v>東日本旅客鉄道</x:v>
      </x:c>
      <x:c r="C371" s="18" t="str">
        <x:v>conventional_rail</x:v>
      </x:c>
      <x:c r="D371" s="19" t="str">
        <x:v>T2</x:v>
      </x:c>
      <x:c r="E371" s="20" t="n">
        <x:v>22134</x:v>
      </x:c>
      <x:c r="F371" s="18" t="str">
        <x:v>persons/day</x:v>
      </x:c>
      <x:c r="G371" s="18" t="str">
        <x:v>FY2024</x:v>
      </x:c>
      <x:c r="H371" s="18" t="str">
        <x:v>否</x:v>
      </x:c>
      <x:c r="I371" s="19" t="str">
        <x:v>DAILY_ENTRIES_EXITS</x:v>
      </x:c>
      <x:c r="J371" s="19" t="str">
        <x:v>内房線</x:v>
      </x:c>
      <x:c r="K371" s="18" t="str">
        <x:v>transport-node:d937caa6-2d2e-56d7-aeec-57f7f1fed2b6</x:v>
      </x:c>
      <x:c r="L371" s="19" t="str">
        <x:v>组件待审核</x:v>
      </x:c>
      <x:c r="M371" s="21" t="n">
        <x:v>35.53616</x:v>
      </x:c>
      <x:c r="N371" s="21" t="n">
        <x:v>140.120035</x:v>
      </x:c>
      <x:c r="O371" s="18" t="str">
        <x:v>004411</x:v>
      </x:c>
      <x:c r="P371" s="18" t="str">
        <x:v>内房線</x:v>
      </x:c>
      <x:c r="Q371" s="19" t="str">
        <x:v>S12_061_GE_10000</x:v>
      </x:c>
      <x:c r="R371" s="19" t="str">
        <x:v>S12_061 usage threshold</x:v>
      </x:c>
      <x:c r="S371" s="19" t="str">
        <x:v>https://nlftp.mlit.go.jp/ksj/gml/datalist/KsjTmplt-S12-2024.html</x:v>
      </x:c>
      <x:c r="T371" s="19" t="str">
        <x:v>https://nlftp.mlit.go.jp/ksj/gml/datalist/KsjTmplt-S12-2024.html</x:v>
      </x:c>
      <x:c r="U371" s="19" t="str">
        <x:v>station-component|八幡宿|東日本旅客鉄道|conventional_rail|35.5362|140.1200|</x:v>
      </x:c>
      <x:c r="V371" s="19" t="str">
        <x:v>004411 / 004411 / 内房線</x:v>
      </x:c>
      <x:c r="W371" s="18" t="str">
        <x:v>否</x:v>
      </x:c>
      <x:c r="X371" s="18" t="str">
        <x:v>0785e932a32b3ec15e1a1345537ae145eafe1c07bf38d5c16c11ee2b391e7a28</x:v>
      </x:c>
      <x:c r="Y371" s="20" t="n">
        <x:v>1</x:v>
      </x:c>
      <x:c r="Z371" s="20" t="n">
        <x:v>1</x:v>
      </x:c>
      <x:c r="AA371" s="19"/>
      <x:c r="AB371" s="18"/>
      <x:c r="AC371" s="19"/>
    </x:row>
    <x:row r="372" ht="28" customHeight="1">
      <x:c r="A372" s="18" t="str">
        <x:v>八幡山</x:v>
      </x:c>
      <x:c r="B372" s="18" t="str">
        <x:v>京王電鉄</x:v>
      </x:c>
      <x:c r="C372" s="18" t="str">
        <x:v>private_rail</x:v>
      </x:c>
      <x:c r="D372" s="19" t="str">
        <x:v>T2</x:v>
      </x:c>
      <x:c r="E372" s="20" t="n">
        <x:v>37716</x:v>
      </x:c>
      <x:c r="F372" s="18" t="str">
        <x:v>persons/day</x:v>
      </x:c>
      <x:c r="G372" s="18" t="str">
        <x:v>FY2024</x:v>
      </x:c>
      <x:c r="H372" s="18" t="str">
        <x:v>否</x:v>
      </x:c>
      <x:c r="I372" s="19" t="str">
        <x:v>DAILY_ENTRIES_EXITS</x:v>
      </x:c>
      <x:c r="J372" s="19" t="str">
        <x:v>京王線</x:v>
      </x:c>
      <x:c r="K372" s="18" t="str">
        <x:v>transport-node:336d4c39-62fb-5937-a64b-9b00fe937173</x:v>
      </x:c>
      <x:c r="L372" s="19" t="str">
        <x:v>组件待审核</x:v>
      </x:c>
      <x:c r="M372" s="21" t="n">
        <x:v>35.670075</x:v>
      </x:c>
      <x:c r="N372" s="21" t="n">
        <x:v>139.61448</x:v>
      </x:c>
      <x:c r="O372" s="18" t="str">
        <x:v>003836</x:v>
      </x:c>
      <x:c r="P372" s="18" t="str">
        <x:v>京王線</x:v>
      </x:c>
      <x:c r="Q372" s="19" t="str">
        <x:v>S12_061_GE_10000</x:v>
      </x:c>
      <x:c r="R372" s="19" t="str">
        <x:v>S12_061 usage threshold</x:v>
      </x:c>
      <x:c r="S372" s="19" t="str">
        <x:v>https://nlftp.mlit.go.jp/ksj/gml/datalist/KsjTmplt-S12-2024.html</x:v>
      </x:c>
      <x:c r="T372" s="19" t="str">
        <x:v>https://nlftp.mlit.go.jp/ksj/gml/datalist/KsjTmplt-S12-2024.html</x:v>
      </x:c>
      <x:c r="U372" s="19" t="str">
        <x:v>station-component|八幡山|京王電鉄|private_rail|35.6701|139.6145|</x:v>
      </x:c>
      <x:c r="V372" s="19" t="str">
        <x:v>003836 / 003836 / 京王線</x:v>
      </x:c>
      <x:c r="W372" s="18" t="str">
        <x:v>否</x:v>
      </x:c>
      <x:c r="X372" s="18" t="str">
        <x:v>0785e932a32b3ec15e1a1345537ae145eafe1c07bf38d5c16c11ee2b391e7a28</x:v>
      </x:c>
      <x:c r="Y372" s="20" t="n">
        <x:v>1</x:v>
      </x:c>
      <x:c r="Z372" s="20" t="n">
        <x:v>1</x:v>
      </x:c>
      <x:c r="AA372" s="19"/>
      <x:c r="AB372" s="18"/>
      <x:c r="AC372" s="19"/>
    </x:row>
    <x:row r="373" ht="28" customHeight="1">
      <x:c r="A373" s="18" t="str">
        <x:v>八広</x:v>
      </x:c>
      <x:c r="B373" s="18" t="str">
        <x:v>京成電鉄</x:v>
      </x:c>
      <x:c r="C373" s="18" t="str">
        <x:v>private_rail</x:v>
      </x:c>
      <x:c r="D373" s="19" t="str">
        <x:v>T2</x:v>
      </x:c>
      <x:c r="E373" s="20" t="n">
        <x:v>14618</x:v>
      </x:c>
      <x:c r="F373" s="18" t="str">
        <x:v>persons/day</x:v>
      </x:c>
      <x:c r="G373" s="18" t="str">
        <x:v>FY2024</x:v>
      </x:c>
      <x:c r="H373" s="18" t="str">
        <x:v>否</x:v>
      </x:c>
      <x:c r="I373" s="19" t="str">
        <x:v>DAILY_ENTRIES_EXITS</x:v>
      </x:c>
      <x:c r="J373" s="19" t="str">
        <x:v>押上線</x:v>
      </x:c>
      <x:c r="K373" s="18" t="str">
        <x:v>transport-node:bbd304a0-a030-5321-a6c3-a7f3b3e259f1</x:v>
      </x:c>
      <x:c r="L373" s="19" t="str">
        <x:v>组件待审核</x:v>
      </x:c>
      <x:c r="M373" s="21" t="n">
        <x:v>35.7271967</x:v>
      </x:c>
      <x:c r="N373" s="21" t="n">
        <x:v>139.8283167</x:v>
      </x:c>
      <x:c r="O373" s="18" t="str">
        <x:v>003422</x:v>
      </x:c>
      <x:c r="P373" s="18" t="str">
        <x:v>押上線</x:v>
      </x:c>
      <x:c r="Q373" s="19" t="str">
        <x:v>S12_061_GE_10000</x:v>
      </x:c>
      <x:c r="R373" s="19" t="str">
        <x:v>S12_061 usage threshold</x:v>
      </x:c>
      <x:c r="S373" s="19" t="str">
        <x:v>https://nlftp.mlit.go.jp/ksj/gml/datalist/KsjTmplt-S12-2024.html</x:v>
      </x:c>
      <x:c r="T373" s="19" t="str">
        <x:v>https://nlftp.mlit.go.jp/ksj/gml/datalist/KsjTmplt-S12-2024.html</x:v>
      </x:c>
      <x:c r="U373" s="19" t="str">
        <x:v>station-component|八広|京成電鉄|private_rail|35.7272|139.8283|</x:v>
      </x:c>
      <x:c r="V373" s="19" t="str">
        <x:v>003422 / 003422 / 押上線</x:v>
      </x:c>
      <x:c r="W373" s="18" t="str">
        <x:v>否</x:v>
      </x:c>
      <x:c r="X373" s="18" t="str">
        <x:v>0785e932a32b3ec15e1a1345537ae145eafe1c07bf38d5c16c11ee2b391e7a28</x:v>
      </x:c>
      <x:c r="Y373" s="20" t="n">
        <x:v>1</x:v>
      </x:c>
      <x:c r="Z373" s="20" t="n">
        <x:v>1</x:v>
      </x:c>
      <x:c r="AA373" s="19"/>
      <x:c r="AB373" s="18"/>
      <x:c r="AC373" s="19"/>
    </x:row>
    <x:row r="374" ht="33" customHeight="1">
      <x:c r="A374" s="18" t="str">
        <x:v>八戸</x:v>
      </x:c>
      <x:c r="B374" s="18" t="str">
        <x:v>東日本旅客鉄道</x:v>
      </x:c>
      <x:c r="C374" s="18" t="str">
        <x:v>shinkansen</x:v>
      </x:c>
      <x:c r="D374" s="19" t="str">
        <x:v>T3</x:v>
      </x:c>
      <x:c r="E374" s="20" t="n">
        <x:v>6696</x:v>
      </x:c>
      <x:c r="F374" s="18" t="str">
        <x:v>persons/day</x:v>
      </x:c>
      <x:c r="G374" s="18" t="str">
        <x:v>FY2024</x:v>
      </x:c>
      <x:c r="H374" s="18" t="str">
        <x:v>否</x:v>
      </x:c>
      <x:c r="I374" s="19" t="str">
        <x:v>DAILY_ENTRIES_EXITS</x:v>
      </x:c>
      <x:c r="J374" s="19" t="str">
        <x:v>東北新幹線</x:v>
      </x:c>
      <x:c r="K374" s="18" t="str">
        <x:v>transport-node:03dac815-1ccf-506f-a722-ea7aba09ae38</x:v>
      </x:c>
      <x:c r="L374" s="19" t="str">
        <x:v>组件待审核</x:v>
      </x:c>
      <x:c r="M374" s="21" t="n">
        <x:v>40.509325</x:v>
      </x:c>
      <x:c r="N374" s="21" t="n">
        <x:v>141.430935</x:v>
      </x:c>
      <x:c r="O374" s="18" t="str">
        <x:v>000625</x:v>
      </x:c>
      <x:c r="P374" s="18" t="str">
        <x:v>東北新幹線</x:v>
      </x:c>
      <x:c r="Q374" s="19" t="str">
        <x:v>SHINKANSEN</x:v>
      </x:c>
      <x:c r="R374" s="19" t="str">
        <x:v>S12_061 usage threshold; low-flow inclusion justified by Shinkansen inventory</x:v>
      </x:c>
      <x:c r="S374" s="19" t="str">
        <x:v>https://nlftp.mlit.go.jp/ksj/gml/datalist/KsjTmplt-S12-2024.html</x:v>
      </x:c>
      <x:c r="T374" s="19" t="str">
        <x:v>https://nlftp.mlit.go.jp/ksj/gml/datalist/KsjTmplt-S12-2024.html</x:v>
      </x:c>
      <x:c r="U374" s="19" t="str">
        <x:v>station-component|八戸|東日本旅客鉄道|shinkansen|40.5093|141.4309|</x:v>
      </x:c>
      <x:c r="V374" s="19" t="str">
        <x:v>000626 / 000625 / 東北新幹線</x:v>
      </x:c>
      <x:c r="W374" s="18" t="str">
        <x:v>否</x:v>
      </x:c>
      <x:c r="X374" s="18" t="str">
        <x:v>0785e932a32b3ec15e1a1345537ae145eafe1c07bf38d5c16c11ee2b391e7a28</x:v>
      </x:c>
      <x:c r="Y374" s="20" t="n">
        <x:v>1</x:v>
      </x:c>
      <x:c r="Z374" s="20" t="n">
        <x:v>1</x:v>
      </x:c>
      <x:c r="AA374" s="19"/>
      <x:c r="AB374" s="18"/>
      <x:c r="AC374" s="19"/>
    </x:row>
    <x:row r="375" ht="28" customHeight="1">
      <x:c r="A375" s="18" t="str">
        <x:v>八戸ノ里</x:v>
      </x:c>
      <x:c r="B375" s="18" t="str">
        <x:v>近畿日本鉄道</x:v>
      </x:c>
      <x:c r="C375" s="18" t="str">
        <x:v>private_rail</x:v>
      </x:c>
      <x:c r="D375" s="19" t="str">
        <x:v>T2</x:v>
      </x:c>
      <x:c r="E375" s="20" t="n">
        <x:v>25119</x:v>
      </x:c>
      <x:c r="F375" s="18" t="str">
        <x:v>persons/day</x:v>
      </x:c>
      <x:c r="G375" s="18" t="str">
        <x:v>FY2024</x:v>
      </x:c>
      <x:c r="H375" s="18" t="str">
        <x:v>否</x:v>
      </x:c>
      <x:c r="I375" s="19" t="str">
        <x:v>DAILY_ENTRIES_EXITS</x:v>
      </x:c>
      <x:c r="J375" s="19" t="str">
        <x:v>奈良線</x:v>
      </x:c>
      <x:c r="K375" s="18" t="str">
        <x:v>transport-node:72cee555-74fb-5e7f-abfe-f36a874d1057</x:v>
      </x:c>
      <x:c r="L375" s="19" t="str">
        <x:v>组件待审核</x:v>
      </x:c>
      <x:c r="M375" s="21" t="n">
        <x:v>34.663725</x:v>
      </x:c>
      <x:c r="N375" s="21" t="n">
        <x:v>135.589415</x:v>
      </x:c>
      <x:c r="O375" s="18" t="str">
        <x:v>007351</x:v>
      </x:c>
      <x:c r="P375" s="18" t="str">
        <x:v>奈良線</x:v>
      </x:c>
      <x:c r="Q375" s="19" t="str">
        <x:v>S12_061_GE_10000</x:v>
      </x:c>
      <x:c r="R375" s="19" t="str">
        <x:v>S12_061 usage threshold</x:v>
      </x:c>
      <x:c r="S375" s="19" t="str">
        <x:v>https://nlftp.mlit.go.jp/ksj/gml/datalist/KsjTmplt-S12-2024.html</x:v>
      </x:c>
      <x:c r="T375" s="19" t="str">
        <x:v>https://nlftp.mlit.go.jp/ksj/gml/datalist/KsjTmplt-S12-2024.html</x:v>
      </x:c>
      <x:c r="U375" s="19" t="str">
        <x:v>station-component|八戸ノ里|近畿日本鉄道|private_rail|34.6637|135.5894|</x:v>
      </x:c>
      <x:c r="V375" s="19" t="str">
        <x:v>007351 / 007351 / 奈良線</x:v>
      </x:c>
      <x:c r="W375" s="18" t="str">
        <x:v>否</x:v>
      </x:c>
      <x:c r="X375" s="18" t="str">
        <x:v>0785e932a32b3ec15e1a1345537ae145eafe1c07bf38d5c16c11ee2b391e7a28</x:v>
      </x:c>
      <x:c r="Y375" s="20" t="n">
        <x:v>1</x:v>
      </x:c>
      <x:c r="Z375" s="20" t="n">
        <x:v>1</x:v>
      </x:c>
      <x:c r="AA375" s="19"/>
      <x:c r="AB375" s="18"/>
      <x:c r="AC375" s="19"/>
    </x:row>
    <x:row r="376" ht="28" customHeight="1">
      <x:c r="A376" s="18" t="str">
        <x:v>八木崎</x:v>
      </x:c>
      <x:c r="B376" s="18" t="str">
        <x:v>東武鉄道</x:v>
      </x:c>
      <x:c r="C376" s="18" t="str">
        <x:v>private_rail</x:v>
      </x:c>
      <x:c r="D376" s="19" t="str">
        <x:v>T2</x:v>
      </x:c>
      <x:c r="E376" s="20" t="n">
        <x:v>10172</x:v>
      </x:c>
      <x:c r="F376" s="18" t="str">
        <x:v>persons/day</x:v>
      </x:c>
      <x:c r="G376" s="18" t="str">
        <x:v>FY2024</x:v>
      </x:c>
      <x:c r="H376" s="18" t="str">
        <x:v>否</x:v>
      </x:c>
      <x:c r="I376" s="19" t="str">
        <x:v>DAILY_ENTRIES_EXITS</x:v>
      </x:c>
      <x:c r="J376" s="19" t="str">
        <x:v>野田線</x:v>
      </x:c>
      <x:c r="K376" s="18" t="str">
        <x:v>transport-node:8af629a7-8c92-5c74-aacd-d7c82bcb91e7</x:v>
      </x:c>
      <x:c r="L376" s="19" t="str">
        <x:v>组件待审核</x:v>
      </x:c>
      <x:c r="M376" s="21" t="n">
        <x:v>35.978575</x:v>
      </x:c>
      <x:c r="N376" s="21" t="n">
        <x:v>139.7423</x:v>
      </x:c>
      <x:c r="O376" s="18" t="str">
        <x:v>002790</x:v>
      </x:c>
      <x:c r="P376" s="18" t="str">
        <x:v>野田線</x:v>
      </x:c>
      <x:c r="Q376" s="19" t="str">
        <x:v>S12_061_GE_10000</x:v>
      </x:c>
      <x:c r="R376" s="19" t="str">
        <x:v>S12_061 usage threshold</x:v>
      </x:c>
      <x:c r="S376" s="19" t="str">
        <x:v>https://nlftp.mlit.go.jp/ksj/gml/datalist/KsjTmplt-S12-2024.html</x:v>
      </x:c>
      <x:c r="T376" s="19" t="str">
        <x:v>https://nlftp.mlit.go.jp/ksj/gml/datalist/KsjTmplt-S12-2024.html</x:v>
      </x:c>
      <x:c r="U376" s="19" t="str">
        <x:v>station-component|八木崎|東武鉄道|private_rail|35.9786|139.7423|</x:v>
      </x:c>
      <x:c r="V376" s="19" t="str">
        <x:v>002790 / 002790 / 野田線</x:v>
      </x:c>
      <x:c r="W376" s="18" t="str">
        <x:v>否</x:v>
      </x:c>
      <x:c r="X376" s="18" t="str">
        <x:v>0785e932a32b3ec15e1a1345537ae145eafe1c07bf38d5c16c11ee2b391e7a28</x:v>
      </x:c>
      <x:c r="Y376" s="20" t="n">
        <x:v>1</x:v>
      </x:c>
      <x:c r="Z376" s="20" t="n">
        <x:v>1</x:v>
      </x:c>
      <x:c r="AA376" s="19"/>
      <x:c r="AB376" s="18"/>
      <x:c r="AC376" s="19"/>
    </x:row>
    <x:row r="377" ht="28" customHeight="1">
      <x:c r="A377" s="18" t="str">
        <x:v>八柱</x:v>
      </x:c>
      <x:c r="B377" s="18" t="str">
        <x:v>新京成電鉄</x:v>
      </x:c>
      <x:c r="C377" s="18" t="str">
        <x:v>private_rail</x:v>
      </x:c>
      <x:c r="D377" s="19" t="str">
        <x:v>T2</x:v>
      </x:c>
      <x:c r="E377" s="20" t="n">
        <x:v>41132</x:v>
      </x:c>
      <x:c r="F377" s="18" t="str">
        <x:v>persons/day</x:v>
      </x:c>
      <x:c r="G377" s="18" t="str">
        <x:v>FY2024</x:v>
      </x:c>
      <x:c r="H377" s="18" t="str">
        <x:v>否</x:v>
      </x:c>
      <x:c r="I377" s="19" t="str">
        <x:v>DAILY_ENTRIES_EXITS</x:v>
      </x:c>
      <x:c r="J377" s="19" t="str">
        <x:v>新京成線</x:v>
      </x:c>
      <x:c r="K377" s="18" t="str">
        <x:v>transport-node:ba59cc8f-9d79-56ab-a8a9-1a7bc487e688</x:v>
      </x:c>
      <x:c r="L377" s="19" t="str">
        <x:v>组件待审核</x:v>
      </x:c>
      <x:c r="M377" s="21" t="n">
        <x:v>35.7914167</x:v>
      </x:c>
      <x:c r="N377" s="21" t="n">
        <x:v>139.9374967</x:v>
      </x:c>
      <x:c r="O377" s="18" t="str">
        <x:v>003105</x:v>
      </x:c>
      <x:c r="P377" s="18" t="str">
        <x:v>新京成線</x:v>
      </x:c>
      <x:c r="Q377" s="19" t="str">
        <x:v>S12_061_GE_10000</x:v>
      </x:c>
      <x:c r="R377" s="19" t="str">
        <x:v>S12_061 usage threshold</x:v>
      </x:c>
      <x:c r="S377" s="19" t="str">
        <x:v>https://nlftp.mlit.go.jp/ksj/gml/datalist/KsjTmplt-S12-2024.html</x:v>
      </x:c>
      <x:c r="T377" s="19" t="str">
        <x:v>https://nlftp.mlit.go.jp/ksj/gml/datalist/KsjTmplt-S12-2024.html</x:v>
      </x:c>
      <x:c r="U377" s="19" t="str">
        <x:v>station-component|八柱|新京成電鉄|private_rail|35.7914|139.9375|</x:v>
      </x:c>
      <x:c r="V377" s="19" t="str">
        <x:v>003105 / 003105 / 新京成線</x:v>
      </x:c>
      <x:c r="W377" s="18" t="str">
        <x:v>否</x:v>
      </x:c>
      <x:c r="X377" s="18" t="str">
        <x:v>0785e932a32b3ec15e1a1345537ae145eafe1c07bf38d5c16c11ee2b391e7a28</x:v>
      </x:c>
      <x:c r="Y377" s="20" t="n">
        <x:v>1</x:v>
      </x:c>
      <x:c r="Z377" s="20" t="n">
        <x:v>1</x:v>
      </x:c>
      <x:c r="AA377" s="19"/>
      <x:c r="AB377" s="18"/>
      <x:c r="AC377" s="19"/>
    </x:row>
    <x:row r="378" ht="28" customHeight="1">
      <x:c r="A378" s="18" t="str">
        <x:v>八潮</x:v>
      </x:c>
      <x:c r="B378" s="18" t="str">
        <x:v>首都圏新都市鉄道</x:v>
      </x:c>
      <x:c r="C378" s="18" t="str">
        <x:v>private_rail</x:v>
      </x:c>
      <x:c r="D378" s="19" t="str">
        <x:v>T1</x:v>
      </x:c>
      <x:c r="E378" s="20" t="n">
        <x:v>50219</x:v>
      </x:c>
      <x:c r="F378" s="18" t="str">
        <x:v>persons/day</x:v>
      </x:c>
      <x:c r="G378" s="18" t="str">
        <x:v>FY2024</x:v>
      </x:c>
      <x:c r="H378" s="18" t="str">
        <x:v>否</x:v>
      </x:c>
      <x:c r="I378" s="19" t="str">
        <x:v>DAILY_ENTRIES_EXITS</x:v>
      </x:c>
      <x:c r="J378" s="19" t="str">
        <x:v>常磐新線</x:v>
      </x:c>
      <x:c r="K378" s="18" t="str">
        <x:v>transport-node:76556541-e416-53c5-9fec-81dd1919b282</x:v>
      </x:c>
      <x:c r="L378" s="19" t="str">
        <x:v>组件待审核</x:v>
      </x:c>
      <x:c r="M378" s="21" t="n">
        <x:v>35.807765</x:v>
      </x:c>
      <x:c r="N378" s="21" t="n">
        <x:v>139.844735</x:v>
      </x:c>
      <x:c r="O378" s="18" t="str">
        <x:v>003073</x:v>
      </x:c>
      <x:c r="P378" s="18" t="str">
        <x:v>常磐新線</x:v>
      </x:c>
      <x:c r="Q378" s="19" t="str">
        <x:v>S12_061_GE_10000</x:v>
      </x:c>
      <x:c r="R378" s="19" t="str">
        <x:v>S12_061 usage threshold</x:v>
      </x:c>
      <x:c r="S378" s="19" t="str">
        <x:v>https://nlftp.mlit.go.jp/ksj/gml/datalist/KsjTmplt-S12-2024.html</x:v>
      </x:c>
      <x:c r="T378" s="19" t="str">
        <x:v>https://nlftp.mlit.go.jp/ksj/gml/datalist/KsjTmplt-S12-2024.html</x:v>
      </x:c>
      <x:c r="U378" s="19" t="str">
        <x:v>station-component|八潮|首都圏新都市鉄道|private_rail|35.8078|139.8447|</x:v>
      </x:c>
      <x:c r="V378" s="19" t="str">
        <x:v>003073 / 003073 / 常磐新線</x:v>
      </x:c>
      <x:c r="W378" s="18" t="str">
        <x:v>否</x:v>
      </x:c>
      <x:c r="X378" s="18" t="str">
        <x:v>0785e932a32b3ec15e1a1345537ae145eafe1c07bf38d5c16c11ee2b391e7a28</x:v>
      </x:c>
      <x:c r="Y378" s="20" t="n">
        <x:v>1</x:v>
      </x:c>
      <x:c r="Z378" s="20" t="n">
        <x:v>1</x:v>
      </x:c>
      <x:c r="AA378" s="19"/>
      <x:c r="AB378" s="18"/>
      <x:c r="AC378" s="19"/>
    </x:row>
    <x:row r="379" ht="47" customHeight="1">
      <x:c r="A379" s="18" t="str">
        <x:v>八王子</x:v>
      </x:c>
      <x:c r="B379" s="18" t="str">
        <x:v>東日本旅客鉄道</x:v>
      </x:c>
      <x:c r="C379" s="18" t="str">
        <x:v>conventional_rail</x:v>
      </x:c>
      <x:c r="D379" s="19" t="str">
        <x:v>T1</x:v>
      </x:c>
      <x:c r="E379" s="20" t="n">
        <x:v>154802</x:v>
      </x:c>
      <x:c r="F379" s="18" t="str">
        <x:v>persons/day</x:v>
      </x:c>
      <x:c r="G379" s="18" t="str">
        <x:v>FY2024</x:v>
      </x:c>
      <x:c r="H379" s="18" t="str">
        <x:v>否</x:v>
      </x:c>
      <x:c r="I379" s="19" t="str">
        <x:v>DAILY_ENTRIES_EXITS</x:v>
      </x:c>
      <x:c r="J379" s="19" t="str">
        <x:v>中央線
八高線
横浜線</x:v>
      </x:c>
      <x:c r="K379" s="18" t="str">
        <x:v>transport-node:c245614b-2157-5015-95b7-cdaca7489dfa</x:v>
      </x:c>
      <x:c r="L379" s="19" t="str">
        <x:v>组件待审核</x:v>
      </x:c>
      <x:c r="M379" s="21" t="n">
        <x:v>35.6554933</x:v>
      </x:c>
      <x:c r="N379" s="21" t="n">
        <x:v>139.33888</x:v>
      </x:c>
      <x:c r="O379" s="18" t="str">
        <x:v>003947</x:v>
      </x:c>
      <x:c r="P379" s="18" t="str">
        <x:v>中央線</x:v>
      </x:c>
      <x:c r="Q379" s="19" t="str">
        <x:v>S12_061_GE_10000</x:v>
      </x:c>
      <x:c r="R379" s="19" t="str">
        <x:v>S12_061 usage threshold</x:v>
      </x:c>
      <x:c r="S379" s="19" t="str">
        <x:v>https://nlftp.mlit.go.jp/ksj/gml/datalist/KsjTmplt-S12-2024.html</x:v>
      </x:c>
      <x:c r="T379" s="19" t="str">
        <x:v>https://nlftp.mlit.go.jp/ksj/gml/datalist/KsjTmplt-S12-2024.html</x:v>
      </x:c>
      <x:c r="U379" s="19" t="str">
        <x:v>station-component|八王子|東日本旅客鉄道|conventional_rail|35.6555|139.3389|</x:v>
      </x:c>
      <x:c r="V379" s="19" t="str">
        <x:v>003947 / 003947 / 中央線
003947 / 003948 / 八高線
003947 / 003953 / 横浜線</x:v>
      </x:c>
      <x:c r="W379" s="18" t="str">
        <x:v>否</x:v>
      </x:c>
      <x:c r="X379" s="18" t="str">
        <x:v>0785e932a32b3ec15e1a1345537ae145eafe1c07bf38d5c16c11ee2b391e7a28</x:v>
      </x:c>
      <x:c r="Y379" s="20" t="n">
        <x:v>1</x:v>
      </x:c>
      <x:c r="Z379" s="20" t="n">
        <x:v>1</x:v>
      </x:c>
      <x:c r="AA379" s="19"/>
      <x:c r="AB379" s="18"/>
      <x:c r="AC379" s="19"/>
    </x:row>
    <x:row r="380" ht="28" customHeight="1">
      <x:c r="A380" s="18" t="str">
        <x:v>八王子みなみ野</x:v>
      </x:c>
      <x:c r="B380" s="18" t="str">
        <x:v>東日本旅客鉄道</x:v>
      </x:c>
      <x:c r="C380" s="18" t="str">
        <x:v>conventional_rail</x:v>
      </x:c>
      <x:c r="D380" s="19" t="str">
        <x:v>T2</x:v>
      </x:c>
      <x:c r="E380" s="20" t="n">
        <x:v>34374</x:v>
      </x:c>
      <x:c r="F380" s="18" t="str">
        <x:v>persons/day</x:v>
      </x:c>
      <x:c r="G380" s="18" t="str">
        <x:v>FY2024</x:v>
      </x:c>
      <x:c r="H380" s="18" t="str">
        <x:v>否</x:v>
      </x:c>
      <x:c r="I380" s="19" t="str">
        <x:v>DAILY_ENTRIES_EXITS</x:v>
      </x:c>
      <x:c r="J380" s="19" t="str">
        <x:v>横浜線</x:v>
      </x:c>
      <x:c r="K380" s="18" t="str">
        <x:v>transport-node:a368e3f8-f4c9-50e3-8c2e-2420a558f627</x:v>
      </x:c>
      <x:c r="L380" s="19" t="str">
        <x:v>组件待审核</x:v>
      </x:c>
      <x:c r="M380" s="21" t="n">
        <x:v>35.63126</x:v>
      </x:c>
      <x:c r="N380" s="21" t="n">
        <x:v>139.330965</x:v>
      </x:c>
      <x:c r="O380" s="18" t="str">
        <x:v>004082</x:v>
      </x:c>
      <x:c r="P380" s="18" t="str">
        <x:v>横浜線</x:v>
      </x:c>
      <x:c r="Q380" s="19" t="str">
        <x:v>S12_061_GE_10000</x:v>
      </x:c>
      <x:c r="R380" s="19" t="str">
        <x:v>S12_061 usage threshold</x:v>
      </x:c>
      <x:c r="S380" s="19" t="str">
        <x:v>https://nlftp.mlit.go.jp/ksj/gml/datalist/KsjTmplt-S12-2024.html</x:v>
      </x:c>
      <x:c r="T380" s="19" t="str">
        <x:v>https://nlftp.mlit.go.jp/ksj/gml/datalist/KsjTmplt-S12-2024.html</x:v>
      </x:c>
      <x:c r="U380" s="19" t="str">
        <x:v>station-component|八王子みなみ野|東日本旅客鉄道|conventional_rail|35.6313|139.3310|</x:v>
      </x:c>
      <x:c r="V380" s="19" t="str">
        <x:v>004082 / 004082 / 横浜線</x:v>
      </x:c>
      <x:c r="W380" s="18" t="str">
        <x:v>否</x:v>
      </x:c>
      <x:c r="X380" s="18" t="str">
        <x:v>0785e932a32b3ec15e1a1345537ae145eafe1c07bf38d5c16c11ee2b391e7a28</x:v>
      </x:c>
      <x:c r="Y380" s="20" t="n">
        <x:v>1</x:v>
      </x:c>
      <x:c r="Z380" s="20" t="n">
        <x:v>1</x:v>
      </x:c>
      <x:c r="AA380" s="19"/>
      <x:c r="AB380" s="18"/>
      <x:c r="AC380" s="19"/>
    </x:row>
    <x:row r="381" ht="33" customHeight="1">
      <x:c r="A381" s="18" t="str">
        <x:v>八田</x:v>
      </x:c>
      <x:c r="B381" s="18" t="str">
        <x:v>名古屋市</x:v>
      </x:c>
      <x:c r="C381" s="18" t="str">
        <x:v>metro</x:v>
      </x:c>
      <x:c r="D381" s="19" t="str">
        <x:v>T2</x:v>
      </x:c>
      <x:c r="E381" s="20" t="n">
        <x:v>14966</x:v>
      </x:c>
      <x:c r="F381" s="18" t="str">
        <x:v>persons/day</x:v>
      </x:c>
      <x:c r="G381" s="18" t="str">
        <x:v>FY2024</x:v>
      </x:c>
      <x:c r="H381" s="18" t="str">
        <x:v>否</x:v>
      </x:c>
      <x:c r="I381" s="19" t="str">
        <x:v>DAILY_ENTRIES_EXITS</x:v>
      </x:c>
      <x:c r="J381" s="19" t="str">
        <x:v>1号線東山線</x:v>
      </x:c>
      <x:c r="K381" s="18" t="str">
        <x:v>transport-node:6c920363-dad3-526c-b881-72c153dcaa3d</x:v>
      </x:c>
      <x:c r="L381" s="19" t="str">
        <x:v>组件待审核</x:v>
      </x:c>
      <x:c r="M381" s="21" t="n">
        <x:v>35.1483375</x:v>
      </x:c>
      <x:c r="N381" s="21" t="n">
        <x:v>136.8532625</x:v>
      </x:c>
      <x:c r="O381" s="18" t="str">
        <x:v>005535</x:v>
      </x:c>
      <x:c r="P381" s="18" t="str">
        <x:v>1号線東山線</x:v>
      </x:c>
      <x:c r="Q381" s="19" t="str">
        <x:v>S12_061_GE_10000
OFFICIAL_HUB_COMPONENT_REVIEW</x:v>
      </x:c>
      <x:c r="R381" s="19" t="str">
        <x:v>S12_061 usage threshold</x:v>
      </x:c>
      <x:c r="S381" s="19" t="str">
        <x:v>https://nlftp.mlit.go.jp/ksj/gml/datalist/KsjTmplt-S12-2024.html</x:v>
      </x:c>
      <x:c r="T381" s="19" t="str">
        <x:v>https://nlftp.mlit.go.jp/ksj/gml/datalist/KsjTmplt-S12-2024.html
https://www.kotsu.city.nagoya.jp/rp/ticket/TRP0001550.htm</x:v>
      </x:c>
      <x:c r="U381" s="19" t="str">
        <x:v>station-component|八田|名古屋市|metro|35.1483|136.8533|</x:v>
      </x:c>
      <x:c r="V381" s="19" t="str">
        <x:v>005533 / 005535 / 1号線東山線</x:v>
      </x:c>
      <x:c r="W381" s="18" t="str">
        <x:v>否</x:v>
      </x:c>
      <x:c r="X381" s="18" t="str">
        <x:v>0785e932a32b3ec15e1a1345537ae145eafe1c07bf38d5c16c11ee2b391e7a28</x:v>
      </x:c>
      <x:c r="Y381" s="20" t="n">
        <x:v>1</x:v>
      </x:c>
      <x:c r="Z381" s="20" t="n">
        <x:v>1</x:v>
      </x:c>
      <x:c r="AA381" s="19" t="str">
        <x:v>八田</x:v>
      </x:c>
      <x:c r="AB381" s="18" t="str">
        <x:v>transport-hub-review:944118a4-03cf-5340-bdc4-0899edefca20</x:v>
      </x:c>
      <x:c r="AC381" s="19"/>
    </x:row>
    <x:row r="382" ht="33" customHeight="1">
      <x:c r="A382" s="18" t="str">
        <x:v>八田</x:v>
      </x:c>
      <x:c r="B382" s="18" t="str">
        <x:v>東海旅客鉄道</x:v>
      </x:c>
      <x:c r="C382" s="18" t="str">
        <x:v>conventional_rail</x:v>
      </x:c>
      <x:c r="D382" s="19" t="str">
        <x:v>T3</x:v>
      </x:c>
      <x:c r="E382" s="20" t="n">
        <x:v>5038</x:v>
      </x:c>
      <x:c r="F382" s="18" t="str">
        <x:v>persons/day</x:v>
      </x:c>
      <x:c r="G382" s="18" t="str">
        <x:v>FY2024</x:v>
      </x:c>
      <x:c r="H382" s="18" t="str">
        <x:v>否</x:v>
      </x:c>
      <x:c r="I382" s="19" t="str">
        <x:v>DAILY_ENTRIES_EXITS</x:v>
      </x:c>
      <x:c r="J382" s="19" t="str">
        <x:v>関西線</x:v>
      </x:c>
      <x:c r="K382" s="18" t="str">
        <x:v>transport-node:a3a33300-5fe3-598a-82f5-07d0b25c3739</x:v>
      </x:c>
      <x:c r="L382" s="19" t="str">
        <x:v>组件待审核</x:v>
      </x:c>
      <x:c r="M382" s="21" t="n">
        <x:v>35.1487867</x:v>
      </x:c>
      <x:c r="N382" s="21" t="n">
        <x:v>136.8521833</x:v>
      </x:c>
      <x:c r="O382" s="18" t="str">
        <x:v>005533</x:v>
      </x:c>
      <x:c r="P382" s="18" t="str">
        <x:v>関西線</x:v>
      </x:c>
      <x:c r="Q382" s="19" t="str">
        <x:v>OFFICIAL_HUB_COMPONENT_REVIEW</x:v>
      </x:c>
      <x:c r="R382" s="19" t="str">
        <x:v>S12_061 usage threshold; low-flow inclusion justified by official Hub component review</x:v>
      </x:c>
      <x:c r="S382" s="19" t="str">
        <x:v>https://nlftp.mlit.go.jp/ksj/gml/datalist/KsjTmplt-S12-2024.html</x:v>
      </x:c>
      <x:c r="T382" s="19" t="str">
        <x:v>https://nlftp.mlit.go.jp/ksj/gml/datalist/KsjTmplt-S12-2024.html
https://www.kotsu.city.nagoya.jp/rp/ticket/TRP0001550.htm</x:v>
      </x:c>
      <x:c r="U382" s="19" t="str">
        <x:v>station-component|八田|東海旅客鉄道|conventional_rail|35.1488|136.8522|</x:v>
      </x:c>
      <x:c r="V382" s="19" t="str">
        <x:v>005533 / 005533 / 関西線</x:v>
      </x:c>
      <x:c r="W382" s="18" t="str">
        <x:v>否</x:v>
      </x:c>
      <x:c r="X382" s="18" t="str">
        <x:v>0785e932a32b3ec15e1a1345537ae145eafe1c07bf38d5c16c11ee2b391e7a28</x:v>
      </x:c>
      <x:c r="Y382" s="20" t="n">
        <x:v>1</x:v>
      </x:c>
      <x:c r="Z382" s="20" t="n">
        <x:v>1</x:v>
      </x:c>
      <x:c r="AA382" s="19" t="str">
        <x:v>八田</x:v>
      </x:c>
      <x:c r="AB382" s="18" t="str">
        <x:v>transport-hub-review:944118a4-03cf-5340-bdc4-0899edefca20</x:v>
      </x:c>
      <x:c r="AC382" s="19"/>
    </x:row>
    <x:row r="383" ht="28" customHeight="1">
      <x:c r="A383" s="18" t="str">
        <x:v>公津の杜</x:v>
      </x:c>
      <x:c r="B383" s="18" t="str">
        <x:v>京成電鉄</x:v>
      </x:c>
      <x:c r="C383" s="18" t="str">
        <x:v>private_rail</x:v>
      </x:c>
      <x:c r="D383" s="19" t="str">
        <x:v>T2</x:v>
      </x:c>
      <x:c r="E383" s="20" t="n">
        <x:v>14734</x:v>
      </x:c>
      <x:c r="F383" s="18" t="str">
        <x:v>persons/day</x:v>
      </x:c>
      <x:c r="G383" s="18" t="str">
        <x:v>FY2024</x:v>
      </x:c>
      <x:c r="H383" s="18" t="str">
        <x:v>否</x:v>
      </x:c>
      <x:c r="I383" s="19" t="str">
        <x:v>DAILY_ENTRIES_EXITS</x:v>
      </x:c>
      <x:c r="J383" s="19" t="str">
        <x:v>本線</x:v>
      </x:c>
      <x:c r="K383" s="18" t="str">
        <x:v>transport-node:9a7dd5e5-7df8-59e3-b825-f56b171f79e7</x:v>
      </x:c>
      <x:c r="L383" s="19" t="str">
        <x:v>组件待审核</x:v>
      </x:c>
      <x:c r="M383" s="21" t="n">
        <x:v>35.76021</x:v>
      </x:c>
      <x:c r="N383" s="21" t="n">
        <x:v>140.294445</x:v>
      </x:c>
      <x:c r="O383" s="18" t="str">
        <x:v>003219</x:v>
      </x:c>
      <x:c r="P383" s="18" t="str">
        <x:v>本線</x:v>
      </x:c>
      <x:c r="Q383" s="19" t="str">
        <x:v>S12_061_GE_10000</x:v>
      </x:c>
      <x:c r="R383" s="19" t="str">
        <x:v>S12_061 usage threshold</x:v>
      </x:c>
      <x:c r="S383" s="19" t="str">
        <x:v>https://nlftp.mlit.go.jp/ksj/gml/datalist/KsjTmplt-S12-2024.html</x:v>
      </x:c>
      <x:c r="T383" s="19" t="str">
        <x:v>https://nlftp.mlit.go.jp/ksj/gml/datalist/KsjTmplt-S12-2024.html</x:v>
      </x:c>
      <x:c r="U383" s="19" t="str">
        <x:v>station-component|公津の杜|京成電鉄|private_rail|35.7602|140.2944|</x:v>
      </x:c>
      <x:c r="V383" s="19" t="str">
        <x:v>003219 / 003219 / 本線</x:v>
      </x:c>
      <x:c r="W383" s="18" t="str">
        <x:v>否</x:v>
      </x:c>
      <x:c r="X383" s="18" t="str">
        <x:v>0785e932a32b3ec15e1a1345537ae145eafe1c07bf38d5c16c11ee2b391e7a28</x:v>
      </x:c>
      <x:c r="Y383" s="20" t="n">
        <x:v>1</x:v>
      </x:c>
      <x:c r="Z383" s="20" t="n">
        <x:v>1</x:v>
      </x:c>
      <x:c r="AA383" s="19"/>
      <x:c r="AB383" s="18"/>
      <x:c r="AC383" s="19"/>
    </x:row>
    <x:row r="384" ht="28" customHeight="1">
      <x:c r="A384" s="18" t="str">
        <x:v>六会日大前</x:v>
      </x:c>
      <x:c r="B384" s="18" t="str">
        <x:v>小田急電鉄</x:v>
      </x:c>
      <x:c r="C384" s="18" t="str">
        <x:v>private_rail</x:v>
      </x:c>
      <x:c r="D384" s="19" t="str">
        <x:v>T2</x:v>
      </x:c>
      <x:c r="E384" s="20" t="n">
        <x:v>27821</x:v>
      </x:c>
      <x:c r="F384" s="18" t="str">
        <x:v>persons/day</x:v>
      </x:c>
      <x:c r="G384" s="18" t="str">
        <x:v>FY2024</x:v>
      </x:c>
      <x:c r="H384" s="18" t="str">
        <x:v>否</x:v>
      </x:c>
      <x:c r="I384" s="19" t="str">
        <x:v>DAILY_ENTRIES_EXITS</x:v>
      </x:c>
      <x:c r="J384" s="19" t="str">
        <x:v>江ノ島線</x:v>
      </x:c>
      <x:c r="K384" s="18" t="str">
        <x:v>transport-node:4565d646-7dd9-51bb-8568-d5995468697d</x:v>
      </x:c>
      <x:c r="L384" s="19" t="str">
        <x:v>组件待审核</x:v>
      </x:c>
      <x:c r="M384" s="21" t="n">
        <x:v>35.38376</x:v>
      </x:c>
      <x:c r="N384" s="21" t="n">
        <x:v>139.47072</x:v>
      </x:c>
      <x:c r="O384" s="18" t="str">
        <x:v>004878</x:v>
      </x:c>
      <x:c r="P384" s="18" t="str">
        <x:v>江ノ島線</x:v>
      </x:c>
      <x:c r="Q384" s="19" t="str">
        <x:v>S12_061_GE_10000</x:v>
      </x:c>
      <x:c r="R384" s="19" t="str">
        <x:v>S12_061 usage threshold</x:v>
      </x:c>
      <x:c r="S384" s="19" t="str">
        <x:v>https://nlftp.mlit.go.jp/ksj/gml/datalist/KsjTmplt-S12-2024.html</x:v>
      </x:c>
      <x:c r="T384" s="19" t="str">
        <x:v>https://nlftp.mlit.go.jp/ksj/gml/datalist/KsjTmplt-S12-2024.html</x:v>
      </x:c>
      <x:c r="U384" s="19" t="str">
        <x:v>station-component|六会日大前|小田急電鉄|private_rail|35.3838|139.4707|</x:v>
      </x:c>
      <x:c r="V384" s="19" t="str">
        <x:v>004878 / 004878 / 江ノ島線</x:v>
      </x:c>
      <x:c r="W384" s="18" t="str">
        <x:v>否</x:v>
      </x:c>
      <x:c r="X384" s="18" t="str">
        <x:v>0785e932a32b3ec15e1a1345537ae145eafe1c07bf38d5c16c11ee2b391e7a28</x:v>
      </x:c>
      <x:c r="Y384" s="20" t="n">
        <x:v>1</x:v>
      </x:c>
      <x:c r="Z384" s="20" t="n">
        <x:v>1</x:v>
      </x:c>
      <x:c r="AA384" s="19"/>
      <x:c r="AB384" s="18"/>
      <x:c r="AC384" s="19"/>
    </x:row>
    <x:row r="385" ht="28" customHeight="1">
      <x:c r="A385" s="18" t="str">
        <x:v>六地蔵</x:v>
      </x:c>
      <x:c r="B385" s="18" t="str">
        <x:v>京都市</x:v>
      </x:c>
      <x:c r="C385" s="18" t="str">
        <x:v>metro</x:v>
      </x:c>
      <x:c r="D385" s="19" t="str">
        <x:v>T2</x:v>
      </x:c>
      <x:c r="E385" s="20" t="n">
        <x:v>13283</x:v>
      </x:c>
      <x:c r="F385" s="18" t="str">
        <x:v>persons/day</x:v>
      </x:c>
      <x:c r="G385" s="18" t="str">
        <x:v>FY2024</x:v>
      </x:c>
      <x:c r="H385" s="18" t="str">
        <x:v>否</x:v>
      </x:c>
      <x:c r="I385" s="19" t="str">
        <x:v>DAILY_ENTRIES_EXITS</x:v>
      </x:c>
      <x:c r="J385" s="19" t="str">
        <x:v>東西線</x:v>
      </x:c>
      <x:c r="K385" s="18" t="str">
        <x:v>transport-node:aa558f03-8d2a-55a2-9d34-af32e72adf32</x:v>
      </x:c>
      <x:c r="L385" s="19" t="str">
        <x:v>组件待审核</x:v>
      </x:c>
      <x:c r="M385" s="21" t="n">
        <x:v>34.9337</x:v>
      </x:c>
      <x:c r="N385" s="21" t="n">
        <x:v>135.796442</x:v>
      </x:c>
      <x:c r="O385" s="18" t="str">
        <x:v>006224</x:v>
      </x:c>
      <x:c r="P385" s="18" t="str">
        <x:v>東西線</x:v>
      </x:c>
      <x:c r="Q385" s="19" t="str">
        <x:v>S12_061_GE_10000</x:v>
      </x:c>
      <x:c r="R385" s="19" t="str">
        <x:v>S12_061 usage threshold</x:v>
      </x:c>
      <x:c r="S385" s="19" t="str">
        <x:v>https://nlftp.mlit.go.jp/ksj/gml/datalist/KsjTmplt-S12-2024.html</x:v>
      </x:c>
      <x:c r="T385" s="19" t="str">
        <x:v>https://nlftp.mlit.go.jp/ksj/gml/datalist/KsjTmplt-S12-2024.html</x:v>
      </x:c>
      <x:c r="U385" s="19" t="str">
        <x:v>station-component|六地蔵|京都市|metro|34.9337|135.7964|</x:v>
      </x:c>
      <x:c r="V385" s="19" t="str">
        <x:v>006224 / 006224 / 東西線</x:v>
      </x:c>
      <x:c r="W385" s="18" t="str">
        <x:v>否</x:v>
      </x:c>
      <x:c r="X385" s="18" t="str">
        <x:v>0785e932a32b3ec15e1a1345537ae145eafe1c07bf38d5c16c11ee2b391e7a28</x:v>
      </x:c>
      <x:c r="Y385" s="20" t="n">
        <x:v>1</x:v>
      </x:c>
      <x:c r="Z385" s="20" t="n">
        <x:v>1</x:v>
      </x:c>
      <x:c r="AA385" s="19"/>
      <x:c r="AB385" s="18"/>
      <x:c r="AC385" s="19"/>
    </x:row>
    <x:row r="386" ht="28" customHeight="1">
      <x:c r="A386" s="18" t="str">
        <x:v>六地蔵</x:v>
      </x:c>
      <x:c r="B386" s="18" t="str">
        <x:v>西日本旅客鉄道</x:v>
      </x:c>
      <x:c r="C386" s="18" t="str">
        <x:v>conventional_rail</x:v>
      </x:c>
      <x:c r="D386" s="19" t="str">
        <x:v>T2</x:v>
      </x:c>
      <x:c r="E386" s="20" t="n">
        <x:v>15890</x:v>
      </x:c>
      <x:c r="F386" s="18" t="str">
        <x:v>persons/day</x:v>
      </x:c>
      <x:c r="G386" s="18" t="str">
        <x:v>FY2024</x:v>
      </x:c>
      <x:c r="H386" s="18" t="str">
        <x:v>否</x:v>
      </x:c>
      <x:c r="I386" s="19" t="str">
        <x:v>DAILY_ENTRIES_EXITS</x:v>
      </x:c>
      <x:c r="J386" s="19" t="str">
        <x:v>奈良線</x:v>
      </x:c>
      <x:c r="K386" s="18" t="str">
        <x:v>transport-node:9222fc23-bf77-592e-8f0e-502a8771f157</x:v>
      </x:c>
      <x:c r="L386" s="19" t="str">
        <x:v>组件待审核</x:v>
      </x:c>
      <x:c r="M386" s="21" t="n">
        <x:v>34.9328833</x:v>
      </x:c>
      <x:c r="N386" s="21" t="n">
        <x:v>135.7973233</x:v>
      </x:c>
      <x:c r="O386" s="18" t="str">
        <x:v>006227</x:v>
      </x:c>
      <x:c r="P386" s="18" t="str">
        <x:v>奈良線</x:v>
      </x:c>
      <x:c r="Q386" s="19" t="str">
        <x:v>S12_061_GE_10000</x:v>
      </x:c>
      <x:c r="R386" s="19" t="str">
        <x:v>S12_061 usage threshold</x:v>
      </x:c>
      <x:c r="S386" s="19" t="str">
        <x:v>https://nlftp.mlit.go.jp/ksj/gml/datalist/KsjTmplt-S12-2024.html</x:v>
      </x:c>
      <x:c r="T386" s="19" t="str">
        <x:v>https://nlftp.mlit.go.jp/ksj/gml/datalist/KsjTmplt-S12-2024.html</x:v>
      </x:c>
      <x:c r="U386" s="19" t="str">
        <x:v>station-component|六地蔵|西日本旅客鉄道|conventional_rail|34.9329|135.7973|</x:v>
      </x:c>
      <x:c r="V386" s="19" t="str">
        <x:v>006224 / 006227 / 奈良線</x:v>
      </x:c>
      <x:c r="W386" s="18" t="str">
        <x:v>否</x:v>
      </x:c>
      <x:c r="X386" s="18" t="str">
        <x:v>0785e932a32b3ec15e1a1345537ae145eafe1c07bf38d5c16c11ee2b391e7a28</x:v>
      </x:c>
      <x:c r="Y386" s="20" t="n">
        <x:v>1</x:v>
      </x:c>
      <x:c r="Z386" s="20" t="n">
        <x:v>1</x:v>
      </x:c>
      <x:c r="AA386" s="19"/>
      <x:c r="AB386" s="18"/>
      <x:c r="AC386" s="19"/>
    </x:row>
    <x:row r="387" ht="28" customHeight="1">
      <x:c r="A387" s="18" t="str">
        <x:v>六実</x:v>
      </x:c>
      <x:c r="B387" s="18" t="str">
        <x:v>東武鉄道</x:v>
      </x:c>
      <x:c r="C387" s="18" t="str">
        <x:v>private_rail</x:v>
      </x:c>
      <x:c r="D387" s="19" t="str">
        <x:v>T2</x:v>
      </x:c>
      <x:c r="E387" s="20" t="n">
        <x:v>12776</x:v>
      </x:c>
      <x:c r="F387" s="18" t="str">
        <x:v>persons/day</x:v>
      </x:c>
      <x:c r="G387" s="18" t="str">
        <x:v>FY2024</x:v>
      </x:c>
      <x:c r="H387" s="18" t="str">
        <x:v>否</x:v>
      </x:c>
      <x:c r="I387" s="19" t="str">
        <x:v>DAILY_ENTRIES_EXITS</x:v>
      </x:c>
      <x:c r="J387" s="19" t="str">
        <x:v>野田線</x:v>
      </x:c>
      <x:c r="K387" s="18" t="str">
        <x:v>transport-node:a0024b98-3989-5d77-82c7-ffa0b380588a</x:v>
      </x:c>
      <x:c r="L387" s="19" t="str">
        <x:v>组件待审核</x:v>
      </x:c>
      <x:c r="M387" s="21" t="n">
        <x:v>35.793705</x:v>
      </x:c>
      <x:c r="N387" s="21" t="n">
        <x:v>139.999245</x:v>
      </x:c>
      <x:c r="O387" s="18" t="str">
        <x:v>003102</x:v>
      </x:c>
      <x:c r="P387" s="18" t="str">
        <x:v>野田線</x:v>
      </x:c>
      <x:c r="Q387" s="19" t="str">
        <x:v>S12_061_GE_10000</x:v>
      </x:c>
      <x:c r="R387" s="19" t="str">
        <x:v>S12_061 usage threshold</x:v>
      </x:c>
      <x:c r="S387" s="19" t="str">
        <x:v>https://nlftp.mlit.go.jp/ksj/gml/datalist/KsjTmplt-S12-2024.html</x:v>
      </x:c>
      <x:c r="T387" s="19" t="str">
        <x:v>https://nlftp.mlit.go.jp/ksj/gml/datalist/KsjTmplt-S12-2024.html</x:v>
      </x:c>
      <x:c r="U387" s="19" t="str">
        <x:v>station-component|六実|東武鉄道|private_rail|35.7937|139.9992|</x:v>
      </x:c>
      <x:c r="V387" s="19" t="str">
        <x:v>003102 / 003102 / 野田線</x:v>
      </x:c>
      <x:c r="W387" s="18" t="str">
        <x:v>否</x:v>
      </x:c>
      <x:c r="X387" s="18" t="str">
        <x:v>0785e932a32b3ec15e1a1345537ae145eafe1c07bf38d5c16c11ee2b391e7a28</x:v>
      </x:c>
      <x:c r="Y387" s="20" t="n">
        <x:v>1</x:v>
      </x:c>
      <x:c r="Z387" s="20" t="n">
        <x:v>1</x:v>
      </x:c>
      <x:c r="AA387" s="19"/>
      <x:c r="AB387" s="18"/>
      <x:c r="AC387" s="19"/>
    </x:row>
    <x:row r="388" ht="33" customHeight="1">
      <x:c r="A388" s="18" t="str">
        <x:v>六本木</x:v>
      </x:c>
      <x:c r="B388" s="18" t="str">
        <x:v>東京地下鉄</x:v>
      </x:c>
      <x:c r="C388" s="18" t="str">
        <x:v>metro</x:v>
      </x:c>
      <x:c r="D388" s="19" t="str">
        <x:v>T1</x:v>
      </x:c>
      <x:c r="E388" s="20" t="n">
        <x:v>110298</x:v>
      </x:c>
      <x:c r="F388" s="18" t="str">
        <x:v>persons/day</x:v>
      </x:c>
      <x:c r="G388" s="18" t="str">
        <x:v>FY2024</x:v>
      </x:c>
      <x:c r="H388" s="18" t="str">
        <x:v>否</x:v>
      </x:c>
      <x:c r="I388" s="19" t="str">
        <x:v>DAILY_ENTRIES_EXITS</x:v>
      </x:c>
      <x:c r="J388" s="19" t="str">
        <x:v>2号線日比谷線</x:v>
      </x:c>
      <x:c r="K388" s="18" t="str">
        <x:v>transport-node:524baff2-6255-52f3-8fc2-0426f895861f</x:v>
      </x:c>
      <x:c r="L388" s="19" t="str">
        <x:v>组件待审核</x:v>
      </x:c>
      <x:c r="M388" s="21" t="n">
        <x:v>35.6628</x:v>
      </x:c>
      <x:c r="N388" s="21" t="n">
        <x:v>139.731155</x:v>
      </x:c>
      <x:c r="O388" s="18" t="str">
        <x:v>003897</x:v>
      </x:c>
      <x:c r="P388" s="18" t="str">
        <x:v>2号線日比谷線</x:v>
      </x:c>
      <x:c r="Q388" s="19" t="str">
        <x:v>S12_061_GE_10000
OFFICIAL_HUB_COMPONENT_REVIEW</x:v>
      </x:c>
      <x:c r="R388" s="19" t="str">
        <x:v>S12_061 usage threshold</x:v>
      </x:c>
      <x:c r="S388" s="19" t="str">
        <x:v>https://nlftp.mlit.go.jp/ksj/gml/datalist/KsjTmplt-S12-2024.html</x:v>
      </x:c>
      <x:c r="T388" s="19" t="str">
        <x:v>https://nlftp.mlit.go.jp/ksj/gml/datalist/KsjTmplt-S12-2024.html
https://www.tokyometro.jp/station/roppongi/index.html</x:v>
      </x:c>
      <x:c r="U388" s="19" t="str">
        <x:v>station-component|六本木|東京地下鉄|metro|35.6628|139.7312|</x:v>
      </x:c>
      <x:c r="V388" s="19" t="str">
        <x:v>003892 / 003897 / 2号線日比谷線</x:v>
      </x:c>
      <x:c r="W388" s="18" t="str">
        <x:v>否</x:v>
      </x:c>
      <x:c r="X388" s="18" t="str">
        <x:v>0785e932a32b3ec15e1a1345537ae145eafe1c07bf38d5c16c11ee2b391e7a28</x:v>
      </x:c>
      <x:c r="Y388" s="20" t="n">
        <x:v>1</x:v>
      </x:c>
      <x:c r="Z388" s="20" t="n">
        <x:v>1</x:v>
      </x:c>
      <x:c r="AA388" s="19" t="str">
        <x:v>六本木</x:v>
      </x:c>
      <x:c r="AB388" s="18" t="str">
        <x:v>transport-hub-review:18d61ce3-89cb-5aaa-a558-e58a9a1e3e84</x:v>
      </x:c>
      <x:c r="AC388" s="19"/>
    </x:row>
    <x:row r="389" ht="33" customHeight="1">
      <x:c r="A389" s="18" t="str">
        <x:v>六本木</x:v>
      </x:c>
      <x:c r="B389" s="18" t="str">
        <x:v>東京都</x:v>
      </x:c>
      <x:c r="C389" s="18" t="str">
        <x:v>metro</x:v>
      </x:c>
      <x:c r="D389" s="19" t="str">
        <x:v>T1</x:v>
      </x:c>
      <x:c r="E389" s="20" t="n">
        <x:v>73494</x:v>
      </x:c>
      <x:c r="F389" s="18" t="str">
        <x:v>persons/day</x:v>
      </x:c>
      <x:c r="G389" s="18" t="str">
        <x:v>FY2024</x:v>
      </x:c>
      <x:c r="H389" s="18" t="str">
        <x:v>否</x:v>
      </x:c>
      <x:c r="I389" s="19" t="str">
        <x:v>DAILY_ENTRIES_EXITS</x:v>
      </x:c>
      <x:c r="J389" s="19" t="str">
        <x:v>12号線大江戸線</x:v>
      </x:c>
      <x:c r="K389" s="18" t="str">
        <x:v>transport-node:13ea294b-64fd-5fa9-a90f-9f32120a3276</x:v>
      </x:c>
      <x:c r="L389" s="19" t="str">
        <x:v>组件待审核</x:v>
      </x:c>
      <x:c r="M389" s="21" t="n">
        <x:v>35.664065</x:v>
      </x:c>
      <x:c r="N389" s="21" t="n">
        <x:v>139.731275</x:v>
      </x:c>
      <x:c r="O389" s="18" t="str">
        <x:v>003892</x:v>
      </x:c>
      <x:c r="P389" s="18" t="str">
        <x:v>12号線大江戸線</x:v>
      </x:c>
      <x:c r="Q389" s="19" t="str">
        <x:v>S12_061_GE_10000
OFFICIAL_HUB_COMPONENT_REVIEW</x:v>
      </x:c>
      <x:c r="R389" s="19" t="str">
        <x:v>S12_061 usage threshold</x:v>
      </x:c>
      <x:c r="S389" s="19" t="str">
        <x:v>https://nlftp.mlit.go.jp/ksj/gml/datalist/KsjTmplt-S12-2024.html</x:v>
      </x:c>
      <x:c r="T389" s="19" t="str">
        <x:v>https://nlftp.mlit.go.jp/ksj/gml/datalist/KsjTmplt-S12-2024.html
https://www.tokyometro.jp/station/roppongi/index.html</x:v>
      </x:c>
      <x:c r="U389" s="19" t="str">
        <x:v>station-component|六本木|東京都|metro|35.6641|139.7313|</x:v>
      </x:c>
      <x:c r="V389" s="19" t="str">
        <x:v>003892 / 003892 / 12号線大江戸線</x:v>
      </x:c>
      <x:c r="W389" s="18" t="str">
        <x:v>否</x:v>
      </x:c>
      <x:c r="X389" s="18" t="str">
        <x:v>0785e932a32b3ec15e1a1345537ae145eafe1c07bf38d5c16c11ee2b391e7a28</x:v>
      </x:c>
      <x:c r="Y389" s="20" t="n">
        <x:v>1</x:v>
      </x:c>
      <x:c r="Z389" s="20" t="n">
        <x:v>1</x:v>
      </x:c>
      <x:c r="AA389" s="19" t="str">
        <x:v>六本木</x:v>
      </x:c>
      <x:c r="AB389" s="18" t="str">
        <x:v>transport-hub-review:18d61ce3-89cb-5aaa-a558-e58a9a1e3e84</x:v>
      </x:c>
      <x:c r="AC389" s="19"/>
    </x:row>
    <x:row r="390" ht="28" customHeight="1">
      <x:c r="A390" s="18" t="str">
        <x:v>六本木一丁目</x:v>
      </x:c>
      <x:c r="B390" s="18" t="str">
        <x:v>東京地下鉄</x:v>
      </x:c>
      <x:c r="C390" s="18" t="str">
        <x:v>metro</x:v>
      </x:c>
      <x:c r="D390" s="19" t="str">
        <x:v>T1</x:v>
      </x:c>
      <x:c r="E390" s="20" t="n">
        <x:v>74305</x:v>
      </x:c>
      <x:c r="F390" s="18" t="str">
        <x:v>persons/day</x:v>
      </x:c>
      <x:c r="G390" s="18" t="str">
        <x:v>FY2024</x:v>
      </x:c>
      <x:c r="H390" s="18" t="str">
        <x:v>否</x:v>
      </x:c>
      <x:c r="I390" s="19" t="str">
        <x:v>DAILY_ENTRIES_EXITS</x:v>
      </x:c>
      <x:c r="J390" s="19" t="str">
        <x:v>7号線南北線</x:v>
      </x:c>
      <x:c r="K390" s="18" t="str">
        <x:v>transport-node:b13dfd18-3d28-52b8-9ebf-d4ed378a10c9</x:v>
      </x:c>
      <x:c r="L390" s="19" t="str">
        <x:v>组件待审核</x:v>
      </x:c>
      <x:c r="M390" s="21" t="n">
        <x:v>35.665075</x:v>
      </x:c>
      <x:c r="N390" s="21" t="n">
        <x:v>139.7389</x:v>
      </x:c>
      <x:c r="O390" s="18" t="str">
        <x:v>003884</x:v>
      </x:c>
      <x:c r="P390" s="18" t="str">
        <x:v>7号線南北線</x:v>
      </x:c>
      <x:c r="Q390" s="19" t="str">
        <x:v>S12_061_GE_10000</x:v>
      </x:c>
      <x:c r="R390" s="19" t="str">
        <x:v>S12_061 usage threshold</x:v>
      </x:c>
      <x:c r="S390" s="19" t="str">
        <x:v>https://nlftp.mlit.go.jp/ksj/gml/datalist/KsjTmplt-S12-2024.html</x:v>
      </x:c>
      <x:c r="T390" s="19" t="str">
        <x:v>https://nlftp.mlit.go.jp/ksj/gml/datalist/KsjTmplt-S12-2024.html</x:v>
      </x:c>
      <x:c r="U390" s="19" t="str">
        <x:v>station-component|六本木一丁目|東京地下鉄|metro|35.6651|139.7389|</x:v>
      </x:c>
      <x:c r="V390" s="19" t="str">
        <x:v>003884 / 003884 / 7号線南北線</x:v>
      </x:c>
      <x:c r="W390" s="18" t="str">
        <x:v>否</x:v>
      </x:c>
      <x:c r="X390" s="18" t="str">
        <x:v>0785e932a32b3ec15e1a1345537ae145eafe1c07bf38d5c16c11ee2b391e7a28</x:v>
      </x:c>
      <x:c r="Y390" s="20" t="n">
        <x:v>1</x:v>
      </x:c>
      <x:c r="Z390" s="20" t="n">
        <x:v>1</x:v>
      </x:c>
      <x:c r="AA390" s="19"/>
      <x:c r="AB390" s="18"/>
      <x:c r="AC390" s="19"/>
    </x:row>
    <x:row r="391" ht="28" customHeight="1">
      <x:c r="A391" s="18" t="str">
        <x:v>六本松</x:v>
      </x:c>
      <x:c r="B391" s="18" t="str">
        <x:v>福岡市</x:v>
      </x:c>
      <x:c r="C391" s="18" t="str">
        <x:v>metro</x:v>
      </x:c>
      <x:c r="D391" s="19" t="str">
        <x:v>T2</x:v>
      </x:c>
      <x:c r="E391" s="20" t="n">
        <x:v>20230</x:v>
      </x:c>
      <x:c r="F391" s="18" t="str">
        <x:v>persons/day</x:v>
      </x:c>
      <x:c r="G391" s="18" t="str">
        <x:v>FY2024</x:v>
      </x:c>
      <x:c r="H391" s="18" t="str">
        <x:v>否</x:v>
      </x:c>
      <x:c r="I391" s="19" t="str">
        <x:v>DAILY_ENTRIES_EXITS</x:v>
      </x:c>
      <x:c r="J391" s="19" t="str">
        <x:v>3号線(七隈線)</x:v>
      </x:c>
      <x:c r="K391" s="18" t="str">
        <x:v>transport-node:667d6c23-8d21-51a0-b7b6-8246068c811b</x:v>
      </x:c>
      <x:c r="L391" s="19" t="str">
        <x:v>组件待审核</x:v>
      </x:c>
      <x:c r="M391" s="21" t="n">
        <x:v>33.5776</x:v>
      </x:c>
      <x:c r="N391" s="21" t="n">
        <x:v>130.377385</x:v>
      </x:c>
      <x:c r="O391" s="18" t="str">
        <x:v>009063</x:v>
      </x:c>
      <x:c r="P391" s="18" t="str">
        <x:v>3号線(七隈線)</x:v>
      </x:c>
      <x:c r="Q391" s="19" t="str">
        <x:v>S12_061_GE_10000</x:v>
      </x:c>
      <x:c r="R391" s="19" t="str">
        <x:v>S12_061 usage threshold</x:v>
      </x:c>
      <x:c r="S391" s="19" t="str">
        <x:v>https://nlftp.mlit.go.jp/ksj/gml/datalist/KsjTmplt-S12-2024.html</x:v>
      </x:c>
      <x:c r="T391" s="19" t="str">
        <x:v>https://nlftp.mlit.go.jp/ksj/gml/datalist/KsjTmplt-S12-2024.html</x:v>
      </x:c>
      <x:c r="U391" s="19" t="str">
        <x:v>station-component|六本松|福岡市|metro|33.5776|130.3774|</x:v>
      </x:c>
      <x:c r="V391" s="19" t="str">
        <x:v>009063 / 009063 / 3号線(七隈線)</x:v>
      </x:c>
      <x:c r="W391" s="18" t="str">
        <x:v>否</x:v>
      </x:c>
      <x:c r="X391" s="18" t="str">
        <x:v>0785e932a32b3ec15e1a1345537ae145eafe1c07bf38d5c16c11ee2b391e7a28</x:v>
      </x:c>
      <x:c r="Y391" s="20" t="n">
        <x:v>1</x:v>
      </x:c>
      <x:c r="Z391" s="20" t="n">
        <x:v>1</x:v>
      </x:c>
      <x:c r="AA391" s="19"/>
      <x:c r="AB391" s="18"/>
      <x:c r="AC391" s="19"/>
    </x:row>
    <x:row r="392" ht="28" customHeight="1">
      <x:c r="A392" s="18" t="str">
        <x:v>六浦</x:v>
      </x:c>
      <x:c r="B392" s="18" t="str">
        <x:v>京浜急行電鉄</x:v>
      </x:c>
      <x:c r="C392" s="18" t="str">
        <x:v>private_rail</x:v>
      </x:c>
      <x:c r="D392" s="19" t="str">
        <x:v>T2</x:v>
      </x:c>
      <x:c r="E392" s="20" t="n">
        <x:v>14212</x:v>
      </x:c>
      <x:c r="F392" s="18" t="str">
        <x:v>persons/day</x:v>
      </x:c>
      <x:c r="G392" s="18" t="str">
        <x:v>FY2024</x:v>
      </x:c>
      <x:c r="H392" s="18" t="str">
        <x:v>否</x:v>
      </x:c>
      <x:c r="I392" s="19" t="str">
        <x:v>DAILY_ENTRIES_EXITS</x:v>
      </x:c>
      <x:c r="J392" s="19" t="str">
        <x:v>逗子線</x:v>
      </x:c>
      <x:c r="K392" s="18" t="str">
        <x:v>transport-node:3b3f49ef-449d-5304-9add-1ec77cd563a7</x:v>
      </x:c>
      <x:c r="L392" s="19" t="str">
        <x:v>组件待审核</x:v>
      </x:c>
      <x:c r="M392" s="21" t="n">
        <x:v>35.322725</x:v>
      </x:c>
      <x:c r="N392" s="21" t="n">
        <x:v>139.61149</x:v>
      </x:c>
      <x:c r="O392" s="18" t="str">
        <x:v>005043</x:v>
      </x:c>
      <x:c r="P392" s="18" t="str">
        <x:v>逗子線</x:v>
      </x:c>
      <x:c r="Q392" s="19" t="str">
        <x:v>S12_061_GE_10000</x:v>
      </x:c>
      <x:c r="R392" s="19" t="str">
        <x:v>S12_061 usage threshold</x:v>
      </x:c>
      <x:c r="S392" s="19" t="str">
        <x:v>https://nlftp.mlit.go.jp/ksj/gml/datalist/KsjTmplt-S12-2024.html</x:v>
      </x:c>
      <x:c r="T392" s="19" t="str">
        <x:v>https://nlftp.mlit.go.jp/ksj/gml/datalist/KsjTmplt-S12-2024.html</x:v>
      </x:c>
      <x:c r="U392" s="19" t="str">
        <x:v>station-component|六浦|京浜急行電鉄|private_rail|35.3227|139.6115|</x:v>
      </x:c>
      <x:c r="V392" s="19" t="str">
        <x:v>005043 / 005043 / 逗子線</x:v>
      </x:c>
      <x:c r="W392" s="18" t="str">
        <x:v>否</x:v>
      </x:c>
      <x:c r="X392" s="18" t="str">
        <x:v>0785e932a32b3ec15e1a1345537ae145eafe1c07bf38d5c16c11ee2b391e7a28</x:v>
      </x:c>
      <x:c r="Y392" s="20" t="n">
        <x:v>1</x:v>
      </x:c>
      <x:c r="Z392" s="20" t="n">
        <x:v>1</x:v>
      </x:c>
      <x:c r="AA392" s="19"/>
      <x:c r="AB392" s="18"/>
      <x:c r="AC392" s="19"/>
    </x:row>
    <x:row r="393" ht="28" customHeight="1">
      <x:c r="A393" s="18" t="str">
        <x:v>六甲</x:v>
      </x:c>
      <x:c r="B393" s="18" t="str">
        <x:v>阪急電鉄</x:v>
      </x:c>
      <x:c r="C393" s="18" t="str">
        <x:v>private_rail</x:v>
      </x:c>
      <x:c r="D393" s="19" t="str">
        <x:v>T2</x:v>
      </x:c>
      <x:c r="E393" s="20" t="n">
        <x:v>26074</x:v>
      </x:c>
      <x:c r="F393" s="18" t="str">
        <x:v>persons/day</x:v>
      </x:c>
      <x:c r="G393" s="18" t="str">
        <x:v>FY2024</x:v>
      </x:c>
      <x:c r="H393" s="18" t="str">
        <x:v>否</x:v>
      </x:c>
      <x:c r="I393" s="19" t="str">
        <x:v>DAILY_ENTRIES_EXITS</x:v>
      </x:c>
      <x:c r="J393" s="19" t="str">
        <x:v>神戸線</x:v>
      </x:c>
      <x:c r="K393" s="18" t="str">
        <x:v>transport-node:e1da3708-a6b4-565c-ae1d-fcaa1eaaad16</x:v>
      </x:c>
      <x:c r="L393" s="19" t="str">
        <x:v>组件待审核</x:v>
      </x:c>
      <x:c r="M393" s="21" t="n">
        <x:v>34.719475</x:v>
      </x:c>
      <x:c r="N393" s="21" t="n">
        <x:v>135.2337</x:v>
      </x:c>
      <x:c r="O393" s="18" t="str">
        <x:v>006976</x:v>
      </x:c>
      <x:c r="P393" s="18" t="str">
        <x:v>神戸線</x:v>
      </x:c>
      <x:c r="Q393" s="19" t="str">
        <x:v>S12_061_GE_10000</x:v>
      </x:c>
      <x:c r="R393" s="19" t="str">
        <x:v>S12_061 usage threshold</x:v>
      </x:c>
      <x:c r="S393" s="19" t="str">
        <x:v>https://nlftp.mlit.go.jp/ksj/gml/datalist/KsjTmplt-S12-2024.html</x:v>
      </x:c>
      <x:c r="T393" s="19" t="str">
        <x:v>https://nlftp.mlit.go.jp/ksj/gml/datalist/KsjTmplt-S12-2024.html</x:v>
      </x:c>
      <x:c r="U393" s="19" t="str">
        <x:v>station-component|六甲|阪急電鉄|private_rail|34.7195|135.2337|</x:v>
      </x:c>
      <x:c r="V393" s="19" t="str">
        <x:v>006976 / 006976 / 神戸線</x:v>
      </x:c>
      <x:c r="W393" s="18" t="str">
        <x:v>否</x:v>
      </x:c>
      <x:c r="X393" s="18" t="str">
        <x:v>0785e932a32b3ec15e1a1345537ae145eafe1c07bf38d5c16c11ee2b391e7a28</x:v>
      </x:c>
      <x:c r="Y393" s="20" t="n">
        <x:v>1</x:v>
      </x:c>
      <x:c r="Z393" s="20" t="n">
        <x:v>1</x:v>
      </x:c>
      <x:c r="AA393" s="19"/>
      <x:c r="AB393" s="18"/>
      <x:c r="AC393" s="19"/>
    </x:row>
    <x:row r="394" ht="28" customHeight="1">
      <x:c r="A394" s="18" t="str">
        <x:v>六甲道</x:v>
      </x:c>
      <x:c r="B394" s="18" t="str">
        <x:v>西日本旅客鉄道</x:v>
      </x:c>
      <x:c r="C394" s="18" t="str">
        <x:v>conventional_rail</x:v>
      </x:c>
      <x:c r="D394" s="19" t="str">
        <x:v>T1</x:v>
      </x:c>
      <x:c r="E394" s="20" t="n">
        <x:v>50576</x:v>
      </x:c>
      <x:c r="F394" s="18" t="str">
        <x:v>persons/day</x:v>
      </x:c>
      <x:c r="G394" s="18" t="str">
        <x:v>FY2024</x:v>
      </x:c>
      <x:c r="H394" s="18" t="str">
        <x:v>否</x:v>
      </x:c>
      <x:c r="I394" s="19" t="str">
        <x:v>DAILY_ENTRIES_EXITS</x:v>
      </x:c>
      <x:c r="J394" s="19" t="str">
        <x:v>東海道線</x:v>
      </x:c>
      <x:c r="K394" s="18" t="str">
        <x:v>transport-node:74d834cf-a26e-5560-ade9-f7ef368fdb75</x:v>
      </x:c>
      <x:c r="L394" s="19" t="str">
        <x:v>组件待审核</x:v>
      </x:c>
      <x:c r="M394" s="21" t="n">
        <x:v>34.714805</x:v>
      </x:c>
      <x:c r="N394" s="21" t="n">
        <x:v>135.238405</x:v>
      </x:c>
      <x:c r="O394" s="18" t="str">
        <x:v>007004</x:v>
      </x:c>
      <x:c r="P394" s="18" t="str">
        <x:v>東海道線</x:v>
      </x:c>
      <x:c r="Q394" s="19" t="str">
        <x:v>S12_061_GE_10000</x:v>
      </x:c>
      <x:c r="R394" s="19" t="str">
        <x:v>S12_061 usage threshold</x:v>
      </x:c>
      <x:c r="S394" s="19" t="str">
        <x:v>https://nlftp.mlit.go.jp/ksj/gml/datalist/KsjTmplt-S12-2024.html</x:v>
      </x:c>
      <x:c r="T394" s="19" t="str">
        <x:v>https://nlftp.mlit.go.jp/ksj/gml/datalist/KsjTmplt-S12-2024.html</x:v>
      </x:c>
      <x:c r="U394" s="19" t="str">
        <x:v>station-component|六甲道|西日本旅客鉄道|conventional_rail|34.7148|135.2384|</x:v>
      </x:c>
      <x:c r="V394" s="19" t="str">
        <x:v>007004 / 007004 / 東海道線</x:v>
      </x:c>
      <x:c r="W394" s="18" t="str">
        <x:v>否</x:v>
      </x:c>
      <x:c r="X394" s="18" t="str">
        <x:v>0785e932a32b3ec15e1a1345537ae145eafe1c07bf38d5c16c11ee2b391e7a28</x:v>
      </x:c>
      <x:c r="Y394" s="20" t="n">
        <x:v>1</x:v>
      </x:c>
      <x:c r="Z394" s="20" t="n">
        <x:v>1</x:v>
      </x:c>
      <x:c r="AA394" s="19"/>
      <x:c r="AB394" s="18"/>
      <x:c r="AC394" s="19"/>
    </x:row>
    <x:row r="395" ht="28" customHeight="1">
      <x:c r="A395" s="18" t="str">
        <x:v>六町</x:v>
      </x:c>
      <x:c r="B395" s="18" t="str">
        <x:v>首都圏新都市鉄道</x:v>
      </x:c>
      <x:c r="C395" s="18" t="str">
        <x:v>private_rail</x:v>
      </x:c>
      <x:c r="D395" s="19" t="str">
        <x:v>T2</x:v>
      </x:c>
      <x:c r="E395" s="20" t="n">
        <x:v>34213</x:v>
      </x:c>
      <x:c r="F395" s="18" t="str">
        <x:v>persons/day</x:v>
      </x:c>
      <x:c r="G395" s="18" t="str">
        <x:v>FY2024</x:v>
      </x:c>
      <x:c r="H395" s="18" t="str">
        <x:v>否</x:v>
      </x:c>
      <x:c r="I395" s="19" t="str">
        <x:v>DAILY_ENTRIES_EXITS</x:v>
      </x:c>
      <x:c r="J395" s="19" t="str">
        <x:v>常磐新線</x:v>
      </x:c>
      <x:c r="K395" s="18" t="str">
        <x:v>transport-node:4ac89da9-7217-54a4-94f5-4357424b5967</x:v>
      </x:c>
      <x:c r="L395" s="19" t="str">
        <x:v>组件待审核</x:v>
      </x:c>
      <x:c r="M395" s="21" t="n">
        <x:v>35.78478</x:v>
      </x:c>
      <x:c r="N395" s="21" t="n">
        <x:v>139.821805</x:v>
      </x:c>
      <x:c r="O395" s="18" t="str">
        <x:v>003133</x:v>
      </x:c>
      <x:c r="P395" s="18" t="str">
        <x:v>常磐新線</x:v>
      </x:c>
      <x:c r="Q395" s="19" t="str">
        <x:v>S12_061_GE_10000</x:v>
      </x:c>
      <x:c r="R395" s="19" t="str">
        <x:v>S12_061 usage threshold</x:v>
      </x:c>
      <x:c r="S395" s="19" t="str">
        <x:v>https://nlftp.mlit.go.jp/ksj/gml/datalist/KsjTmplt-S12-2024.html</x:v>
      </x:c>
      <x:c r="T395" s="19" t="str">
        <x:v>https://nlftp.mlit.go.jp/ksj/gml/datalist/KsjTmplt-S12-2024.html</x:v>
      </x:c>
      <x:c r="U395" s="19" t="str">
        <x:v>station-component|六町|首都圏新都市鉄道|private_rail|35.7848|139.8218|</x:v>
      </x:c>
      <x:c r="V395" s="19" t="str">
        <x:v>003133 / 003133 / 常磐新線</x:v>
      </x:c>
      <x:c r="W395" s="18" t="str">
        <x:v>否</x:v>
      </x:c>
      <x:c r="X395" s="18" t="str">
        <x:v>0785e932a32b3ec15e1a1345537ae145eafe1c07bf38d5c16c11ee2b391e7a28</x:v>
      </x:c>
      <x:c r="Y395" s="20" t="n">
        <x:v>1</x:v>
      </x:c>
      <x:c r="Z395" s="20" t="n">
        <x:v>1</x:v>
      </x:c>
      <x:c r="AA395" s="19"/>
      <x:c r="AB395" s="18"/>
      <x:c r="AC395" s="19"/>
    </x:row>
    <x:row r="396" ht="28" customHeight="1">
      <x:c r="A396" s="18" t="str">
        <x:v>六番町</x:v>
      </x:c>
      <x:c r="B396" s="18" t="str">
        <x:v>名古屋市</x:v>
      </x:c>
      <x:c r="C396" s="18" t="str">
        <x:v>metro</x:v>
      </x:c>
      <x:c r="D396" s="19" t="str">
        <x:v>T2</x:v>
      </x:c>
      <x:c r="E396" s="20" t="n">
        <x:v>13778</x:v>
      </x:c>
      <x:c r="F396" s="18" t="str">
        <x:v>persons/day</x:v>
      </x:c>
      <x:c r="G396" s="18" t="str">
        <x:v>FY2024</x:v>
      </x:c>
      <x:c r="H396" s="18" t="str">
        <x:v>否</x:v>
      </x:c>
      <x:c r="I396" s="19" t="str">
        <x:v>DAILY_ENTRIES_EXITS</x:v>
      </x:c>
      <x:c r="J396" s="19" t="str">
        <x:v>2号線名港線</x:v>
      </x:c>
      <x:c r="K396" s="18" t="str">
        <x:v>transport-node:d5d50d37-118c-54eb-bd02-a0fac33ab054</x:v>
      </x:c>
      <x:c r="L396" s="19" t="str">
        <x:v>组件待审核</x:v>
      </x:c>
      <x:c r="M396" s="21" t="n">
        <x:v>35.124105</x:v>
      </x:c>
      <x:c r="N396" s="21" t="n">
        <x:v>136.88839</x:v>
      </x:c>
      <x:c r="O396" s="18" t="str">
        <x:v>005611</x:v>
      </x:c>
      <x:c r="P396" s="18" t="str">
        <x:v>2号線名港線</x:v>
      </x:c>
      <x:c r="Q396" s="19" t="str">
        <x:v>S12_061_GE_10000</x:v>
      </x:c>
      <x:c r="R396" s="19" t="str">
        <x:v>S12_061 usage threshold</x:v>
      </x:c>
      <x:c r="S396" s="19" t="str">
        <x:v>https://nlftp.mlit.go.jp/ksj/gml/datalist/KsjTmplt-S12-2024.html</x:v>
      </x:c>
      <x:c r="T396" s="19" t="str">
        <x:v>https://nlftp.mlit.go.jp/ksj/gml/datalist/KsjTmplt-S12-2024.html</x:v>
      </x:c>
      <x:c r="U396" s="19" t="str">
        <x:v>station-component|六番町|名古屋市|metro|35.1241|136.8884|</x:v>
      </x:c>
      <x:c r="V396" s="19" t="str">
        <x:v>005611 / 005611 / 2号線名港線</x:v>
      </x:c>
      <x:c r="W396" s="18" t="str">
        <x:v>否</x:v>
      </x:c>
      <x:c r="X396" s="18" t="str">
        <x:v>0785e932a32b3ec15e1a1345537ae145eafe1c07bf38d5c16c11ee2b391e7a28</x:v>
      </x:c>
      <x:c r="Y396" s="20" t="n">
        <x:v>1</x:v>
      </x:c>
      <x:c r="Z396" s="20" t="n">
        <x:v>1</x:v>
      </x:c>
      <x:c r="AA396" s="19"/>
      <x:c r="AB396" s="18"/>
      <x:c r="AC396" s="19"/>
    </x:row>
    <x:row r="397" ht="28" customHeight="1">
      <x:c r="A397" s="18" t="str">
        <x:v>六郷土手</x:v>
      </x:c>
      <x:c r="B397" s="18" t="str">
        <x:v>京浜急行電鉄</x:v>
      </x:c>
      <x:c r="C397" s="18" t="str">
        <x:v>private_rail</x:v>
      </x:c>
      <x:c r="D397" s="19" t="str">
        <x:v>T2</x:v>
      </x:c>
      <x:c r="E397" s="20" t="n">
        <x:v>16205</x:v>
      </x:c>
      <x:c r="F397" s="18" t="str">
        <x:v>persons/day</x:v>
      </x:c>
      <x:c r="G397" s="18" t="str">
        <x:v>FY2024</x:v>
      </x:c>
      <x:c r="H397" s="18" t="str">
        <x:v>否</x:v>
      </x:c>
      <x:c r="I397" s="19" t="str">
        <x:v>DAILY_ENTRIES_EXITS</x:v>
      </x:c>
      <x:c r="J397" s="19" t="str">
        <x:v>本線</x:v>
      </x:c>
      <x:c r="K397" s="18" t="str">
        <x:v>transport-node:66334e55-e550-5e44-a55a-a3d93bff0f3c</x:v>
      </x:c>
      <x:c r="L397" s="19" t="str">
        <x:v>组件待审核</x:v>
      </x:c>
      <x:c r="M397" s="21" t="n">
        <x:v>35.54053</x:v>
      </x:c>
      <x:c r="N397" s="21" t="n">
        <x:v>139.707565</x:v>
      </x:c>
      <x:c r="O397" s="18" t="str">
        <x:v>004399</x:v>
      </x:c>
      <x:c r="P397" s="18" t="str">
        <x:v>本線</x:v>
      </x:c>
      <x:c r="Q397" s="19" t="str">
        <x:v>S12_061_GE_10000</x:v>
      </x:c>
      <x:c r="R397" s="19" t="str">
        <x:v>S12_061 usage threshold</x:v>
      </x:c>
      <x:c r="S397" s="19" t="str">
        <x:v>https://nlftp.mlit.go.jp/ksj/gml/datalist/KsjTmplt-S12-2024.html</x:v>
      </x:c>
      <x:c r="T397" s="19" t="str">
        <x:v>https://nlftp.mlit.go.jp/ksj/gml/datalist/KsjTmplt-S12-2024.html</x:v>
      </x:c>
      <x:c r="U397" s="19" t="str">
        <x:v>station-component|六郷土手|京浜急行電鉄|private_rail|35.5405|139.7076|</x:v>
      </x:c>
      <x:c r="V397" s="19" t="str">
        <x:v>004399 / 004399 / 本線</x:v>
      </x:c>
      <x:c r="W397" s="18" t="str">
        <x:v>否</x:v>
      </x:c>
      <x:c r="X397" s="18" t="str">
        <x:v>0785e932a32b3ec15e1a1345537ae145eafe1c07bf38d5c16c11ee2b391e7a28</x:v>
      </x:c>
      <x:c r="Y397" s="20" t="n">
        <x:v>1</x:v>
      </x:c>
      <x:c r="Z397" s="20" t="n">
        <x:v>1</x:v>
      </x:c>
      <x:c r="AA397" s="19"/>
      <x:c r="AB397" s="18"/>
      <x:c r="AC397" s="19"/>
    </x:row>
    <x:row r="398" ht="28" customHeight="1">
      <x:c r="A398" s="18" t="str">
        <x:v>共和</x:v>
      </x:c>
      <x:c r="B398" s="18" t="str">
        <x:v>東海旅客鉄道</x:v>
      </x:c>
      <x:c r="C398" s="18" t="str">
        <x:v>conventional_rail</x:v>
      </x:c>
      <x:c r="D398" s="19" t="str">
        <x:v>T2</x:v>
      </x:c>
      <x:c r="E398" s="20" t="n">
        <x:v>18558</x:v>
      </x:c>
      <x:c r="F398" s="18" t="str">
        <x:v>persons/day</x:v>
      </x:c>
      <x:c r="G398" s="18" t="str">
        <x:v>FY2024</x:v>
      </x:c>
      <x:c r="H398" s="18" t="str">
        <x:v>否</x:v>
      </x:c>
      <x:c r="I398" s="19" t="str">
        <x:v>DAILY_ENTRIES_EXITS</x:v>
      </x:c>
      <x:c r="J398" s="19" t="str">
        <x:v>東海道線</x:v>
      </x:c>
      <x:c r="K398" s="18" t="str">
        <x:v>transport-node:8d63b831-10e6-59ed-a707-ca5a10bb243e</x:v>
      </x:c>
      <x:c r="L398" s="19" t="str">
        <x:v>组件待审核</x:v>
      </x:c>
      <x:c r="M398" s="21" t="n">
        <x:v>35.035365</x:v>
      </x:c>
      <x:c r="N398" s="21" t="n">
        <x:v>136.95458</x:v>
      </x:c>
      <x:c r="O398" s="18" t="str">
        <x:v>005867</x:v>
      </x:c>
      <x:c r="P398" s="18" t="str">
        <x:v>東海道線</x:v>
      </x:c>
      <x:c r="Q398" s="19" t="str">
        <x:v>S12_061_GE_10000</x:v>
      </x:c>
      <x:c r="R398" s="19" t="str">
        <x:v>S12_061 usage threshold</x:v>
      </x:c>
      <x:c r="S398" s="19" t="str">
        <x:v>https://nlftp.mlit.go.jp/ksj/gml/datalist/KsjTmplt-S12-2024.html</x:v>
      </x:c>
      <x:c r="T398" s="19" t="str">
        <x:v>https://nlftp.mlit.go.jp/ksj/gml/datalist/KsjTmplt-S12-2024.html</x:v>
      </x:c>
      <x:c r="U398" s="19" t="str">
        <x:v>station-component|共和|東海旅客鉄道|conventional_rail|35.0354|136.9546|</x:v>
      </x:c>
      <x:c r="V398" s="19" t="str">
        <x:v>005867 / 005867 / 東海道線</x:v>
      </x:c>
      <x:c r="W398" s="18" t="str">
        <x:v>否</x:v>
      </x:c>
      <x:c r="X398" s="18" t="str">
        <x:v>0785e932a32b3ec15e1a1345537ae145eafe1c07bf38d5c16c11ee2b391e7a28</x:v>
      </x:c>
      <x:c r="Y398" s="20" t="n">
        <x:v>1</x:v>
      </x:c>
      <x:c r="Z398" s="20" t="n">
        <x:v>1</x:v>
      </x:c>
      <x:c r="AA398" s="19"/>
      <x:c r="AB398" s="18"/>
      <x:c r="AC398" s="19"/>
    </x:row>
    <x:row r="399" ht="28" customHeight="1">
      <x:c r="A399" s="18" t="str">
        <x:v>兵庫</x:v>
      </x:c>
      <x:c r="B399" s="18" t="str">
        <x:v>西日本旅客鉄道</x:v>
      </x:c>
      <x:c r="C399" s="18" t="str">
        <x:v>conventional_rail</x:v>
      </x:c>
      <x:c r="D399" s="19" t="str">
        <x:v>T2</x:v>
      </x:c>
      <x:c r="E399" s="20" t="n">
        <x:v>40458</x:v>
      </x:c>
      <x:c r="F399" s="18" t="str">
        <x:v>persons/day</x:v>
      </x:c>
      <x:c r="G399" s="18" t="str">
        <x:v>FY2024</x:v>
      </x:c>
      <x:c r="H399" s="18" t="str">
        <x:v>否</x:v>
      </x:c>
      <x:c r="I399" s="19" t="str">
        <x:v>DAILY_ENTRIES_EXITS</x:v>
      </x:c>
      <x:c r="J399" s="19" t="str">
        <x:v>山陽線</x:v>
      </x:c>
      <x:c r="K399" s="18" t="str">
        <x:v>transport-node:56f224dd-db2b-5d01-9077-f8c649187d7e</x:v>
      </x:c>
      <x:c r="L399" s="19" t="str">
        <x:v>组件待审核</x:v>
      </x:c>
      <x:c r="M399" s="21" t="n">
        <x:v>34.66808</x:v>
      </x:c>
      <x:c r="N399" s="21" t="n">
        <x:v>135.164625</x:v>
      </x:c>
      <x:c r="O399" s="18" t="str">
        <x:v>007298</x:v>
      </x:c>
      <x:c r="P399" s="18" t="str">
        <x:v>山陽線</x:v>
      </x:c>
      <x:c r="Q399" s="19" t="str">
        <x:v>S12_061_GE_10000</x:v>
      </x:c>
      <x:c r="R399" s="19" t="str">
        <x:v>S12_061 usage threshold</x:v>
      </x:c>
      <x:c r="S399" s="19" t="str">
        <x:v>https://nlftp.mlit.go.jp/ksj/gml/datalist/KsjTmplt-S12-2024.html</x:v>
      </x:c>
      <x:c r="T399" s="19" t="str">
        <x:v>https://nlftp.mlit.go.jp/ksj/gml/datalist/KsjTmplt-S12-2024.html</x:v>
      </x:c>
      <x:c r="U399" s="19" t="str">
        <x:v>station-component|兵庫|西日本旅客鉄道|conventional_rail|34.6681|135.1646|</x:v>
      </x:c>
      <x:c r="V399" s="19" t="str">
        <x:v>007298 / 007298 / 山陽線</x:v>
      </x:c>
      <x:c r="W399" s="18" t="str">
        <x:v>否</x:v>
      </x:c>
      <x:c r="X399" s="18" t="str">
        <x:v>0785e932a32b3ec15e1a1345537ae145eafe1c07bf38d5c16c11ee2b391e7a28</x:v>
      </x:c>
      <x:c r="Y399" s="20" t="n">
        <x:v>1</x:v>
      </x:c>
      <x:c r="Z399" s="20" t="n">
        <x:v>1</x:v>
      </x:c>
      <x:c r="AA399" s="19"/>
      <x:c r="AB399" s="18"/>
      <x:c r="AC399" s="19"/>
    </x:row>
    <x:row r="400" ht="28" customHeight="1">
      <x:c r="A400" s="18" t="str">
        <x:v>内幸町</x:v>
      </x:c>
      <x:c r="B400" s="18" t="str">
        <x:v>東京都</x:v>
      </x:c>
      <x:c r="C400" s="18" t="str">
        <x:v>metro</x:v>
      </x:c>
      <x:c r="D400" s="19" t="str">
        <x:v>T2</x:v>
      </x:c>
      <x:c r="E400" s="20" t="n">
        <x:v>38025</x:v>
      </x:c>
      <x:c r="F400" s="18" t="str">
        <x:v>persons/day</x:v>
      </x:c>
      <x:c r="G400" s="18" t="str">
        <x:v>FY2024</x:v>
      </x:c>
      <x:c r="H400" s="18" t="str">
        <x:v>否</x:v>
      </x:c>
      <x:c r="I400" s="19" t="str">
        <x:v>DAILY_ENTRIES_EXITS</x:v>
      </x:c>
      <x:c r="J400" s="19" t="str">
        <x:v>6号線三田線</x:v>
      </x:c>
      <x:c r="K400" s="18" t="str">
        <x:v>transport-node:281843b2-59d4-55cd-b1a2-f169e6e82afd</x:v>
      </x:c>
      <x:c r="L400" s="19" t="str">
        <x:v>组件待审核</x:v>
      </x:c>
      <x:c r="M400" s="21" t="n">
        <x:v>35.669322</x:v>
      </x:c>
      <x:c r="N400" s="21" t="n">
        <x:v>139.75541</x:v>
      </x:c>
      <x:c r="O400" s="18" t="str">
        <x:v>003842</x:v>
      </x:c>
      <x:c r="P400" s="18" t="str">
        <x:v>6号線三田線</x:v>
      </x:c>
      <x:c r="Q400" s="19" t="str">
        <x:v>S12_061_GE_10000</x:v>
      </x:c>
      <x:c r="R400" s="19" t="str">
        <x:v>S12_061 usage threshold</x:v>
      </x:c>
      <x:c r="S400" s="19" t="str">
        <x:v>https://nlftp.mlit.go.jp/ksj/gml/datalist/KsjTmplt-S12-2024.html</x:v>
      </x:c>
      <x:c r="T400" s="19" t="str">
        <x:v>https://nlftp.mlit.go.jp/ksj/gml/datalist/KsjTmplt-S12-2024.html</x:v>
      </x:c>
      <x:c r="U400" s="19" t="str">
        <x:v>station-component|内幸町|東京都|metro|35.6693|139.7554|</x:v>
      </x:c>
      <x:c r="V400" s="19" t="str">
        <x:v>003842 / 003842 / 6号線三田線</x:v>
      </x:c>
      <x:c r="W400" s="18" t="str">
        <x:v>否</x:v>
      </x:c>
      <x:c r="X400" s="18" t="str">
        <x:v>0785e932a32b3ec15e1a1345537ae145eafe1c07bf38d5c16c11ee2b391e7a28</x:v>
      </x:c>
      <x:c r="Y400" s="20" t="n">
        <x:v>1</x:v>
      </x:c>
      <x:c r="Z400" s="20" t="n">
        <x:v>1</x:v>
      </x:c>
      <x:c r="AA400" s="19"/>
      <x:c r="AB400" s="18"/>
      <x:c r="AC400" s="19"/>
    </x:row>
    <x:row r="401" ht="28" customHeight="1">
      <x:c r="A401" s="18" t="str">
        <x:v>円山公園</x:v>
      </x:c>
      <x:c r="B401" s="18" t="str">
        <x:v>札幌市</x:v>
      </x:c>
      <x:c r="C401" s="18" t="str">
        <x:v>metro</x:v>
      </x:c>
      <x:c r="D401" s="19" t="str">
        <x:v>T2</x:v>
      </x:c>
      <x:c r="E401" s="20" t="n">
        <x:v>30916</x:v>
      </x:c>
      <x:c r="F401" s="18" t="str">
        <x:v>persons/day</x:v>
      </x:c>
      <x:c r="G401" s="18" t="str">
        <x:v>FY2024</x:v>
      </x:c>
      <x:c r="H401" s="18" t="str">
        <x:v>否</x:v>
      </x:c>
      <x:c r="I401" s="19" t="str">
        <x:v>DAILY_ENTRIES_EXITS</x:v>
      </x:c>
      <x:c r="J401" s="19" t="str">
        <x:v>東西線</x:v>
      </x:c>
      <x:c r="K401" s="18" t="str">
        <x:v>transport-node:59dc347f-43bb-51be-8969-45d56a64de4e</x:v>
      </x:c>
      <x:c r="L401" s="19" t="str">
        <x:v>组件待审核</x:v>
      </x:c>
      <x:c r="M401" s="21" t="n">
        <x:v>43.055735</x:v>
      </x:c>
      <x:c r="N401" s="21" t="n">
        <x:v>141.319515</x:v>
      </x:c>
      <x:c r="O401" s="18" t="str">
        <x:v>000250</x:v>
      </x:c>
      <x:c r="P401" s="18" t="str">
        <x:v>東西線</x:v>
      </x:c>
      <x:c r="Q401" s="19" t="str">
        <x:v>S12_061_GE_10000</x:v>
      </x:c>
      <x:c r="R401" s="19" t="str">
        <x:v>S12_061 usage threshold</x:v>
      </x:c>
      <x:c r="S401" s="19" t="str">
        <x:v>https://nlftp.mlit.go.jp/ksj/gml/datalist/KsjTmplt-S12-2024.html</x:v>
      </x:c>
      <x:c r="T401" s="19" t="str">
        <x:v>https://nlftp.mlit.go.jp/ksj/gml/datalist/KsjTmplt-S12-2024.html</x:v>
      </x:c>
      <x:c r="U401" s="19" t="str">
        <x:v>station-component|円山公園|札幌市|metro|43.0557|141.3195|</x:v>
      </x:c>
      <x:c r="V401" s="19" t="str">
        <x:v>000250 / 000250 / 東西線</x:v>
      </x:c>
      <x:c r="W401" s="18" t="str">
        <x:v>否</x:v>
      </x:c>
      <x:c r="X401" s="18" t="str">
        <x:v>0785e932a32b3ec15e1a1345537ae145eafe1c07bf38d5c16c11ee2b391e7a28</x:v>
      </x:c>
      <x:c r="Y401" s="20" t="n">
        <x:v>1</x:v>
      </x:c>
      <x:c r="Z401" s="20" t="n">
        <x:v>1</x:v>
      </x:c>
      <x:c r="AA401" s="19"/>
      <x:c r="AB401" s="18"/>
      <x:c r="AC401" s="19"/>
    </x:row>
    <x:row r="402" ht="28" customHeight="1">
      <x:c r="A402" s="18" t="str">
        <x:v>円町</x:v>
      </x:c>
      <x:c r="B402" s="18" t="str">
        <x:v>西日本旅客鉄道</x:v>
      </x:c>
      <x:c r="C402" s="18" t="str">
        <x:v>conventional_rail</x:v>
      </x:c>
      <x:c r="D402" s="19" t="str">
        <x:v>T2</x:v>
      </x:c>
      <x:c r="E402" s="20" t="n">
        <x:v>16088</x:v>
      </x:c>
      <x:c r="F402" s="18" t="str">
        <x:v>persons/day</x:v>
      </x:c>
      <x:c r="G402" s="18" t="str">
        <x:v>FY2024</x:v>
      </x:c>
      <x:c r="H402" s="18" t="str">
        <x:v>否</x:v>
      </x:c>
      <x:c r="I402" s="19" t="str">
        <x:v>DAILY_ENTRIES_EXITS</x:v>
      </x:c>
      <x:c r="J402" s="19" t="str">
        <x:v>山陰線</x:v>
      </x:c>
      <x:c r="K402" s="18" t="str">
        <x:v>transport-node:6446637d-c531-5ef6-82dd-4318ae6e25e6</x:v>
      </x:c>
      <x:c r="L402" s="19" t="str">
        <x:v>组件待审核</x:v>
      </x:c>
      <x:c r="M402" s="21" t="n">
        <x:v>35.018145</x:v>
      </x:c>
      <x:c r="N402" s="21" t="n">
        <x:v>135.730695</x:v>
      </x:c>
      <x:c r="O402" s="18" t="str">
        <x:v>005919</x:v>
      </x:c>
      <x:c r="P402" s="18" t="str">
        <x:v>山陰線</x:v>
      </x:c>
      <x:c r="Q402" s="19" t="str">
        <x:v>S12_061_GE_10000</x:v>
      </x:c>
      <x:c r="R402" s="19" t="str">
        <x:v>S12_061 usage threshold</x:v>
      </x:c>
      <x:c r="S402" s="19" t="str">
        <x:v>https://nlftp.mlit.go.jp/ksj/gml/datalist/KsjTmplt-S12-2024.html</x:v>
      </x:c>
      <x:c r="T402" s="19" t="str">
        <x:v>https://nlftp.mlit.go.jp/ksj/gml/datalist/KsjTmplt-S12-2024.html</x:v>
      </x:c>
      <x:c r="U402" s="19" t="str">
        <x:v>station-component|円町|西日本旅客鉄道|conventional_rail|35.0181|135.7307|</x:v>
      </x:c>
      <x:c r="V402" s="19" t="str">
        <x:v>005919 / 005919 / 山陰線</x:v>
      </x:c>
      <x:c r="W402" s="18" t="str">
        <x:v>否</x:v>
      </x:c>
      <x:c r="X402" s="18" t="str">
        <x:v>0785e932a32b3ec15e1a1345537ae145eafe1c07bf38d5c16c11ee2b391e7a28</x:v>
      </x:c>
      <x:c r="Y402" s="20" t="n">
        <x:v>1</x:v>
      </x:c>
      <x:c r="Z402" s="20" t="n">
        <x:v>1</x:v>
      </x:c>
      <x:c r="AA402" s="19"/>
      <x:c r="AB402" s="18"/>
      <x:c r="AC402" s="19"/>
    </x:row>
    <x:row r="403" ht="28" customHeight="1">
      <x:c r="A403" s="18" t="str">
        <x:v>出屋敷</x:v>
      </x:c>
      <x:c r="B403" s="18" t="str">
        <x:v>阪神電気鉄道</x:v>
      </x:c>
      <x:c r="C403" s="18" t="str">
        <x:v>private_rail</x:v>
      </x:c>
      <x:c r="D403" s="19" t="str">
        <x:v>T2</x:v>
      </x:c>
      <x:c r="E403" s="20" t="n">
        <x:v>11974</x:v>
      </x:c>
      <x:c r="F403" s="18" t="str">
        <x:v>persons/day</x:v>
      </x:c>
      <x:c r="G403" s="18" t="str">
        <x:v>FY2024</x:v>
      </x:c>
      <x:c r="H403" s="18" t="str">
        <x:v>否</x:v>
      </x:c>
      <x:c r="I403" s="19" t="str">
        <x:v>DAILY_ENTRIES_EXITS</x:v>
      </x:c>
      <x:c r="J403" s="19" t="str">
        <x:v>本線</x:v>
      </x:c>
      <x:c r="K403" s="18" t="str">
        <x:v>transport-node:da4d492a-c277-5f48-a604-abcc68d22985</x:v>
      </x:c>
      <x:c r="L403" s="19" t="str">
        <x:v>组件待审核</x:v>
      </x:c>
      <x:c r="M403" s="21" t="n">
        <x:v>34.71826</x:v>
      </x:c>
      <x:c r="N403" s="21" t="n">
        <x:v>135.40461</x:v>
      </x:c>
      <x:c r="O403" s="18" t="str">
        <x:v>006987</x:v>
      </x:c>
      <x:c r="P403" s="18" t="str">
        <x:v>本線</x:v>
      </x:c>
      <x:c r="Q403" s="19" t="str">
        <x:v>S12_061_GE_10000</x:v>
      </x:c>
      <x:c r="R403" s="19" t="str">
        <x:v>S12_061 usage threshold</x:v>
      </x:c>
      <x:c r="S403" s="19" t="str">
        <x:v>https://nlftp.mlit.go.jp/ksj/gml/datalist/KsjTmplt-S12-2024.html</x:v>
      </x:c>
      <x:c r="T403" s="19" t="str">
        <x:v>https://nlftp.mlit.go.jp/ksj/gml/datalist/KsjTmplt-S12-2024.html</x:v>
      </x:c>
      <x:c r="U403" s="19" t="str">
        <x:v>station-component|出屋敷|阪神電気鉄道|private_rail|34.7183|135.4046|</x:v>
      </x:c>
      <x:c r="V403" s="19" t="str">
        <x:v>006987 / 006987 / 本線</x:v>
      </x:c>
      <x:c r="W403" s="18" t="str">
        <x:v>否</x:v>
      </x:c>
      <x:c r="X403" s="18" t="str">
        <x:v>0785e932a32b3ec15e1a1345537ae145eafe1c07bf38d5c16c11ee2b391e7a28</x:v>
      </x:c>
      <x:c r="Y403" s="20" t="n">
        <x:v>1</x:v>
      </x:c>
      <x:c r="Z403" s="20" t="n">
        <x:v>1</x:v>
      </x:c>
      <x:c r="AA403" s="19"/>
      <x:c r="AB403" s="18"/>
      <x:c r="AC403" s="19"/>
    </x:row>
    <x:row r="404" ht="28" customHeight="1">
      <x:c r="A404" s="18" t="str">
        <x:v>出戸</x:v>
      </x:c>
      <x:c r="B404" s="18" t="str">
        <x:v>大阪市高速電気軌道</x:v>
      </x:c>
      <x:c r="C404" s="18" t="str">
        <x:v>metro</x:v>
      </x:c>
      <x:c r="D404" s="19" t="str">
        <x:v>T2</x:v>
      </x:c>
      <x:c r="E404" s="20" t="n">
        <x:v>12947</x:v>
      </x:c>
      <x:c r="F404" s="18" t="str">
        <x:v>persons/day</x:v>
      </x:c>
      <x:c r="G404" s="18" t="str">
        <x:v>FY2024</x:v>
      </x:c>
      <x:c r="H404" s="18" t="str">
        <x:v>否</x:v>
      </x:c>
      <x:c r="I404" s="19" t="str">
        <x:v>DAILY_ENTRIES_EXITS</x:v>
      </x:c>
      <x:c r="J404" s="19" t="str">
        <x:v>2号線(谷町線)</x:v>
      </x:c>
      <x:c r="K404" s="18" t="str">
        <x:v>transport-node:c4ce16a2-54c5-5df1-8f58-cbf84b79e24e</x:v>
      </x:c>
      <x:c r="L404" s="19" t="str">
        <x:v>组件待审核</x:v>
      </x:c>
      <x:c r="M404" s="21" t="n">
        <x:v>34.609025</x:v>
      </x:c>
      <x:c r="N404" s="21" t="n">
        <x:v>135.56544</x:v>
      </x:c>
      <x:c r="O404" s="18" t="str">
        <x:v>007582</x:v>
      </x:c>
      <x:c r="P404" s="18" t="str">
        <x:v>2号線(谷町線)</x:v>
      </x:c>
      <x:c r="Q404" s="19" t="str">
        <x:v>S12_061_GE_10000</x:v>
      </x:c>
      <x:c r="R404" s="19" t="str">
        <x:v>S12_061 usage threshold</x:v>
      </x:c>
      <x:c r="S404" s="19" t="str">
        <x:v>https://nlftp.mlit.go.jp/ksj/gml/datalist/KsjTmplt-S12-2024.html</x:v>
      </x:c>
      <x:c r="T404" s="19" t="str">
        <x:v>https://nlftp.mlit.go.jp/ksj/gml/datalist/KsjTmplt-S12-2024.html</x:v>
      </x:c>
      <x:c r="U404" s="19" t="str">
        <x:v>station-component|出戸|大阪市高速電気軌道|metro|34.6090|135.5654|</x:v>
      </x:c>
      <x:c r="V404" s="19" t="str">
        <x:v>007582 / 007582 / 2号線(谷町線)</x:v>
      </x:c>
      <x:c r="W404" s="18" t="str">
        <x:v>否</x:v>
      </x:c>
      <x:c r="X404" s="18" t="str">
        <x:v>0785e932a32b3ec15e1a1345537ae145eafe1c07bf38d5c16c11ee2b391e7a28</x:v>
      </x:c>
      <x:c r="Y404" s="20" t="n">
        <x:v>1</x:v>
      </x:c>
      <x:c r="Z404" s="20" t="n">
        <x:v>1</x:v>
      </x:c>
      <x:c r="AA404" s="19"/>
      <x:c r="AB404" s="18"/>
      <x:c r="AC404" s="19"/>
    </x:row>
    <x:row r="405" ht="28" customHeight="1">
      <x:c r="A405" s="18" t="str">
        <x:v>出来島</x:v>
      </x:c>
      <x:c r="B405" s="18" t="str">
        <x:v>阪神電気鉄道</x:v>
      </x:c>
      <x:c r="C405" s="18" t="str">
        <x:v>private_rail</x:v>
      </x:c>
      <x:c r="D405" s="19" t="str">
        <x:v>T2</x:v>
      </x:c>
      <x:c r="E405" s="20" t="n">
        <x:v>11079</x:v>
      </x:c>
      <x:c r="F405" s="18" t="str">
        <x:v>persons/day</x:v>
      </x:c>
      <x:c r="G405" s="18" t="str">
        <x:v>FY2024</x:v>
      </x:c>
      <x:c r="H405" s="18" t="str">
        <x:v>否</x:v>
      </x:c>
      <x:c r="I405" s="19" t="str">
        <x:v>DAILY_ENTRIES_EXITS</x:v>
      </x:c>
      <x:c r="J405" s="19" t="str">
        <x:v>阪神なんば線</x:v>
      </x:c>
      <x:c r="K405" s="18" t="str">
        <x:v>transport-node:0f63a47c-f859-566b-a6ea-9381bf3b432b</x:v>
      </x:c>
      <x:c r="L405" s="19" t="str">
        <x:v>组件待审核</x:v>
      </x:c>
      <x:c r="M405" s="21" t="n">
        <x:v>34.70727</x:v>
      </x:c>
      <x:c r="N405" s="21" t="n">
        <x:v>135.436845</x:v>
      </x:c>
      <x:c r="O405" s="18" t="str">
        <x:v>007037</x:v>
      </x:c>
      <x:c r="P405" s="18" t="str">
        <x:v>阪神なんば線</x:v>
      </x:c>
      <x:c r="Q405" s="19" t="str">
        <x:v>S12_061_GE_10000</x:v>
      </x:c>
      <x:c r="R405" s="19" t="str">
        <x:v>S12_061 usage threshold</x:v>
      </x:c>
      <x:c r="S405" s="19" t="str">
        <x:v>https://nlftp.mlit.go.jp/ksj/gml/datalist/KsjTmplt-S12-2024.html</x:v>
      </x:c>
      <x:c r="T405" s="19" t="str">
        <x:v>https://nlftp.mlit.go.jp/ksj/gml/datalist/KsjTmplt-S12-2024.html</x:v>
      </x:c>
      <x:c r="U405" s="19" t="str">
        <x:v>station-component|出来島|阪神電気鉄道|private_rail|34.7073|135.4368|</x:v>
      </x:c>
      <x:c r="V405" s="19" t="str">
        <x:v>007037 / 007037 / 阪神なんば線</x:v>
      </x:c>
      <x:c r="W405" s="18" t="str">
        <x:v>否</x:v>
      </x:c>
      <x:c r="X405" s="18" t="str">
        <x:v>0785e932a32b3ec15e1a1345537ae145eafe1c07bf38d5c16c11ee2b391e7a28</x:v>
      </x:c>
      <x:c r="Y405" s="20" t="n">
        <x:v>1</x:v>
      </x:c>
      <x:c r="Z405" s="20" t="n">
        <x:v>1</x:v>
      </x:c>
      <x:c r="AA405" s="19"/>
      <x:c r="AB405" s="18"/>
      <x:c r="AC405" s="19"/>
    </x:row>
    <x:row r="406" ht="33" customHeight="1">
      <x:c r="A406" s="18" t="str">
        <x:v>出水</x:v>
      </x:c>
      <x:c r="B406" s="18" t="str">
        <x:v>九州旅客鉄道</x:v>
      </x:c>
      <x:c r="C406" s="18" t="str">
        <x:v>shinkansen</x:v>
      </x:c>
      <x:c r="D406" s="19" t="str">
        <x:v>T3</x:v>
      </x:c>
      <x:c r="E406" s="20" t="n">
        <x:v>2308</x:v>
      </x:c>
      <x:c r="F406" s="18" t="str">
        <x:v>persons/day</x:v>
      </x:c>
      <x:c r="G406" s="18" t="str">
        <x:v>FY2024</x:v>
      </x:c>
      <x:c r="H406" s="18" t="str">
        <x:v>否</x:v>
      </x:c>
      <x:c r="I406" s="19" t="str">
        <x:v>DAILY_ENTRIES_EXITS</x:v>
      </x:c>
      <x:c r="J406" s="19" t="str">
        <x:v>九州新幹線</x:v>
      </x:c>
      <x:c r="K406" s="18" t="str">
        <x:v>transport-node:51b941e5-ecd2-5b20-af51-f70eab136ddd</x:v>
      </x:c>
      <x:c r="L406" s="19" t="str">
        <x:v>组件待审核</x:v>
      </x:c>
      <x:c r="M406" s="21" t="n">
        <x:v>32.0894275</x:v>
      </x:c>
      <x:c r="N406" s="21" t="n">
        <x:v>130.3584575</x:v>
      </x:c>
      <x:c r="O406" s="18" t="str">
        <x:v>009929</x:v>
      </x:c>
      <x:c r="P406" s="18" t="str">
        <x:v>九州新幹線</x:v>
      </x:c>
      <x:c r="Q406" s="19" t="str">
        <x:v>SHINKANSEN</x:v>
      </x:c>
      <x:c r="R406" s="19" t="str">
        <x:v>S12_061 usage threshold; low-flow inclusion justified by Shinkansen inventory</x:v>
      </x:c>
      <x:c r="S406" s="19" t="str">
        <x:v>https://nlftp.mlit.go.jp/ksj/gml/datalist/KsjTmplt-S12-2024.html</x:v>
      </x:c>
      <x:c r="T406" s="19" t="str">
        <x:v>https://nlftp.mlit.go.jp/ksj/gml/datalist/KsjTmplt-S12-2024.html</x:v>
      </x:c>
      <x:c r="U406" s="19" t="str">
        <x:v>station-component|出水|九州旅客鉄道|shinkansen|32.0894|130.3585|</x:v>
      </x:c>
      <x:c r="V406" s="19" t="str">
        <x:v>009929 / 009929 / 九州新幹線</x:v>
      </x:c>
      <x:c r="W406" s="18" t="str">
        <x:v>否</x:v>
      </x:c>
      <x:c r="X406" s="18" t="str">
        <x:v>0785e932a32b3ec15e1a1345537ae145eafe1c07bf38d5c16c11ee2b391e7a28</x:v>
      </x:c>
      <x:c r="Y406" s="20" t="n">
        <x:v>1</x:v>
      </x:c>
      <x:c r="Z406" s="20" t="n">
        <x:v>1</x:v>
      </x:c>
      <x:c r="AA406" s="19"/>
      <x:c r="AB406" s="18"/>
      <x:c r="AC406" s="19"/>
    </x:row>
    <x:row r="407" ht="28" customHeight="1">
      <x:c r="A407" s="18" t="str">
        <x:v>出町柳</x:v>
      </x:c>
      <x:c r="B407" s="18" t="str">
        <x:v>京阪電気鉄道</x:v>
      </x:c>
      <x:c r="C407" s="18" t="str">
        <x:v>private_rail</x:v>
      </x:c>
      <x:c r="D407" s="19" t="str">
        <x:v>T2</x:v>
      </x:c>
      <x:c r="E407" s="20" t="n">
        <x:v>33056</x:v>
      </x:c>
      <x:c r="F407" s="18" t="str">
        <x:v>persons/day</x:v>
      </x:c>
      <x:c r="G407" s="18" t="str">
        <x:v>FY2024</x:v>
      </x:c>
      <x:c r="H407" s="18" t="str">
        <x:v>否</x:v>
      </x:c>
      <x:c r="I407" s="19" t="str">
        <x:v>DAILY_ENTRIES_EXITS</x:v>
      </x:c>
      <x:c r="J407" s="19" t="str">
        <x:v>鴨東線</x:v>
      </x:c>
      <x:c r="K407" s="18" t="str">
        <x:v>transport-node:ea227d40-1ce0-5edc-ae22-a41d9e871d74</x:v>
      </x:c>
      <x:c r="L407" s="19" t="str">
        <x:v>组件待审核</x:v>
      </x:c>
      <x:c r="M407" s="21" t="n">
        <x:v>35.0300383</x:v>
      </x:c>
      <x:c r="N407" s="21" t="n">
        <x:v>135.7726367</x:v>
      </x:c>
      <x:c r="O407" s="18" t="str">
        <x:v>005878</x:v>
      </x:c>
      <x:c r="P407" s="18" t="str">
        <x:v>鴨東線</x:v>
      </x:c>
      <x:c r="Q407" s="19" t="str">
        <x:v>S12_061_GE_10000</x:v>
      </x:c>
      <x:c r="R407" s="19" t="str">
        <x:v>S12_061 usage threshold</x:v>
      </x:c>
      <x:c r="S407" s="19" t="str">
        <x:v>https://nlftp.mlit.go.jp/ksj/gml/datalist/KsjTmplt-S12-2024.html</x:v>
      </x:c>
      <x:c r="T407" s="19" t="str">
        <x:v>https://nlftp.mlit.go.jp/ksj/gml/datalist/KsjTmplt-S12-2024.html</x:v>
      </x:c>
      <x:c r="U407" s="19" t="str">
        <x:v>station-component|出町柳|京阪電気鉄道|private_rail|35.0300|135.7726|</x:v>
      </x:c>
      <x:c r="V407" s="19" t="str">
        <x:v>005876 / 005878 / 鴨東線</x:v>
      </x:c>
      <x:c r="W407" s="18" t="str">
        <x:v>否</x:v>
      </x:c>
      <x:c r="X407" s="18" t="str">
        <x:v>0785e932a32b3ec15e1a1345537ae145eafe1c07bf38d5c16c11ee2b391e7a28</x:v>
      </x:c>
      <x:c r="Y407" s="20" t="n">
        <x:v>1</x:v>
      </x:c>
      <x:c r="Z407" s="20" t="n">
        <x:v>1</x:v>
      </x:c>
      <x:c r="AA407" s="19"/>
      <x:c r="AB407" s="18"/>
      <x:c r="AC407" s="19"/>
    </x:row>
    <x:row r="408" ht="28" customHeight="1">
      <x:c r="A408" s="18" t="str">
        <x:v>出町柳</x:v>
      </x:c>
      <x:c r="B408" s="18" t="str">
        <x:v>叡山電鉄</x:v>
      </x:c>
      <x:c r="C408" s="18" t="str">
        <x:v>private_rail</x:v>
      </x:c>
      <x:c r="D408" s="19" t="str">
        <x:v>T2</x:v>
      </x:c>
      <x:c r="E408" s="20" t="n">
        <x:v>10900</x:v>
      </x:c>
      <x:c r="F408" s="18" t="str">
        <x:v>persons/day</x:v>
      </x:c>
      <x:c r="G408" s="18" t="str">
        <x:v>FY2024</x:v>
      </x:c>
      <x:c r="H408" s="18" t="str">
        <x:v>否</x:v>
      </x:c>
      <x:c r="I408" s="19" t="str">
        <x:v>DAILY_ENTRIES_EXITS</x:v>
      </x:c>
      <x:c r="J408" s="19" t="str">
        <x:v>叡山本線</x:v>
      </x:c>
      <x:c r="K408" s="18" t="str">
        <x:v>transport-node:8651ab7e-2e05-5b1f-9d0b-c6a81c50313f</x:v>
      </x:c>
      <x:c r="L408" s="19" t="str">
        <x:v>组件待审核</x:v>
      </x:c>
      <x:c r="M408" s="21" t="n">
        <x:v>35.03092</x:v>
      </x:c>
      <x:c r="N408" s="21" t="n">
        <x:v>135.773545</x:v>
      </x:c>
      <x:c r="O408" s="18" t="str">
        <x:v>005876</x:v>
      </x:c>
      <x:c r="P408" s="18" t="str">
        <x:v>叡山本線</x:v>
      </x:c>
      <x:c r="Q408" s="19" t="str">
        <x:v>S12_061_GE_10000</x:v>
      </x:c>
      <x:c r="R408" s="19" t="str">
        <x:v>S12_061 usage threshold</x:v>
      </x:c>
      <x:c r="S408" s="19" t="str">
        <x:v>https://nlftp.mlit.go.jp/ksj/gml/datalist/KsjTmplt-S12-2024.html</x:v>
      </x:c>
      <x:c r="T408" s="19" t="str">
        <x:v>https://nlftp.mlit.go.jp/ksj/gml/datalist/KsjTmplt-S12-2024.html</x:v>
      </x:c>
      <x:c r="U408" s="19" t="str">
        <x:v>station-component|出町柳|叡山電鉄|private_rail|35.0309|135.7735|</x:v>
      </x:c>
      <x:c r="V408" s="19" t="str">
        <x:v>005876 / 005876 / 叡山本線</x:v>
      </x:c>
      <x:c r="W408" s="18" t="str">
        <x:v>否</x:v>
      </x:c>
      <x:c r="X408" s="18" t="str">
        <x:v>0785e932a32b3ec15e1a1345537ae145eafe1c07bf38d5c16c11ee2b391e7a28</x:v>
      </x:c>
      <x:c r="Y408" s="20" t="n">
        <x:v>1</x:v>
      </x:c>
      <x:c r="Z408" s="20" t="n">
        <x:v>1</x:v>
      </x:c>
      <x:c r="AA408" s="19"/>
      <x:c r="AB408" s="18"/>
      <x:c r="AC408" s="19"/>
    </x:row>
    <x:row r="409" ht="33" customHeight="1">
      <x:c r="A409" s="18" t="str">
        <x:v>分倍河原</x:v>
      </x:c>
      <x:c r="B409" s="18" t="str">
        <x:v>京王電鉄</x:v>
      </x:c>
      <x:c r="C409" s="18" t="str">
        <x:v>private_rail</x:v>
      </x:c>
      <x:c r="D409" s="19" t="str">
        <x:v>T1</x:v>
      </x:c>
      <x:c r="E409" s="20" t="n">
        <x:v>85928</x:v>
      </x:c>
      <x:c r="F409" s="18" t="str">
        <x:v>persons/day</x:v>
      </x:c>
      <x:c r="G409" s="18" t="str">
        <x:v>FY2024</x:v>
      </x:c>
      <x:c r="H409" s="18" t="str">
        <x:v>否</x:v>
      </x:c>
      <x:c r="I409" s="19" t="str">
        <x:v>DAILY_ENTRIES_EXITS</x:v>
      </x:c>
      <x:c r="J409" s="19" t="str">
        <x:v>京王線</x:v>
      </x:c>
      <x:c r="K409" s="18" t="str">
        <x:v>transport-node:632294e7-ffc8-5e02-859f-53edceccf844</x:v>
      </x:c>
      <x:c r="L409" s="19" t="str">
        <x:v>组件待审核</x:v>
      </x:c>
      <x:c r="M409" s="21" t="n">
        <x:v>35.668065</x:v>
      </x:c>
      <x:c r="N409" s="21" t="n">
        <x:v>139.468355</x:v>
      </x:c>
      <x:c r="O409" s="18" t="str">
        <x:v>003858</x:v>
      </x:c>
      <x:c r="P409" s="18" t="str">
        <x:v>京王線</x:v>
      </x:c>
      <x:c r="Q409" s="19" t="str">
        <x:v>S12_061_GE_10000
OFFICIAL_HUB_COMPONENT_REVIEW</x:v>
      </x:c>
      <x:c r="R409" s="19" t="str">
        <x:v>S12_061 usage threshold</x:v>
      </x:c>
      <x:c r="S409" s="19" t="str">
        <x:v>https://nlftp.mlit.go.jp/ksj/gml/datalist/KsjTmplt-S12-2024.html</x:v>
      </x:c>
      <x:c r="T409" s="19" t="str">
        <x:v>https://nlftp.mlit.go.jp/ksj/gml/datalist/KsjTmplt-S12-2024.html
https://www.keio.co.jp/train/station/</x:v>
      </x:c>
      <x:c r="U409" s="19" t="str">
        <x:v>station-component|分倍河原|京王電鉄|private_rail|35.6681|139.4684|</x:v>
      </x:c>
      <x:c r="V409" s="19" t="str">
        <x:v>003853 / 003858 / 京王線</x:v>
      </x:c>
      <x:c r="W409" s="18" t="str">
        <x:v>否</x:v>
      </x:c>
      <x:c r="X409" s="18" t="str">
        <x:v>0785e932a32b3ec15e1a1345537ae145eafe1c07bf38d5c16c11ee2b391e7a28</x:v>
      </x:c>
      <x:c r="Y409" s="20" t="n">
        <x:v>1</x:v>
      </x:c>
      <x:c r="Z409" s="20" t="n">
        <x:v>1</x:v>
      </x:c>
      <x:c r="AA409" s="19" t="str">
        <x:v>分倍河原</x:v>
      </x:c>
      <x:c r="AB409" s="18" t="str">
        <x:v>transport-hub-review:f172a853-f9f2-5328-b4d0-0b809f7ee6e4</x:v>
      </x:c>
      <x:c r="AC409" s="19"/>
    </x:row>
    <x:row r="410" ht="33" customHeight="1">
      <x:c r="A410" s="18" t="str">
        <x:v>分倍河原</x:v>
      </x:c>
      <x:c r="B410" s="18" t="str">
        <x:v>東日本旅客鉄道</x:v>
      </x:c>
      <x:c r="C410" s="18" t="str">
        <x:v>conventional_rail</x:v>
      </x:c>
      <x:c r="D410" s="19" t="str">
        <x:v>T1</x:v>
      </x:c>
      <x:c r="E410" s="20" t="n">
        <x:v>75462</x:v>
      </x:c>
      <x:c r="F410" s="18" t="str">
        <x:v>persons/day</x:v>
      </x:c>
      <x:c r="G410" s="18" t="str">
        <x:v>FY2024</x:v>
      </x:c>
      <x:c r="H410" s="18" t="str">
        <x:v>否</x:v>
      </x:c>
      <x:c r="I410" s="19" t="str">
        <x:v>DAILY_ENTRIES_EXITS</x:v>
      </x:c>
      <x:c r="J410" s="19" t="str">
        <x:v>南武線</x:v>
      </x:c>
      <x:c r="K410" s="18" t="str">
        <x:v>transport-node:c49322fb-6283-573c-ae02-817ffd52e112</x:v>
      </x:c>
      <x:c r="L410" s="19" t="str">
        <x:v>组件待审核</x:v>
      </x:c>
      <x:c r="M410" s="21" t="n">
        <x:v>35.66842</x:v>
      </x:c>
      <x:c r="N410" s="21" t="n">
        <x:v>139.468915</x:v>
      </x:c>
      <x:c r="O410" s="18" t="str">
        <x:v>003853</x:v>
      </x:c>
      <x:c r="P410" s="18" t="str">
        <x:v>南武線</x:v>
      </x:c>
      <x:c r="Q410" s="19" t="str">
        <x:v>S12_061_GE_10000
OFFICIAL_HUB_COMPONENT_REVIEW</x:v>
      </x:c>
      <x:c r="R410" s="19" t="str">
        <x:v>S12_061 usage threshold</x:v>
      </x:c>
      <x:c r="S410" s="19" t="str">
        <x:v>https://nlftp.mlit.go.jp/ksj/gml/datalist/KsjTmplt-S12-2024.html</x:v>
      </x:c>
      <x:c r="T410" s="19" t="str">
        <x:v>https://nlftp.mlit.go.jp/ksj/gml/datalist/KsjTmplt-S12-2024.html
https://www.keio.co.jp/train/station/</x:v>
      </x:c>
      <x:c r="U410" s="19" t="str">
        <x:v>station-component|分倍河原|東日本旅客鉄道|conventional_rail|35.6684|139.4689|</x:v>
      </x:c>
      <x:c r="V410" s="19" t="str">
        <x:v>003853 / 003853 / 南武線</x:v>
      </x:c>
      <x:c r="W410" s="18" t="str">
        <x:v>否</x:v>
      </x:c>
      <x:c r="X410" s="18" t="str">
        <x:v>0785e932a32b3ec15e1a1345537ae145eafe1c07bf38d5c16c11ee2b391e7a28</x:v>
      </x:c>
      <x:c r="Y410" s="20" t="n">
        <x:v>1</x:v>
      </x:c>
      <x:c r="Z410" s="20" t="n">
        <x:v>1</x:v>
      </x:c>
      <x:c r="AA410" s="19" t="str">
        <x:v>分倍河原</x:v>
      </x:c>
      <x:c r="AB410" s="18" t="str">
        <x:v>transport-hub-review:f172a853-f9f2-5328-b4d0-0b809f7ee6e4</x:v>
      </x:c>
      <x:c r="AC410" s="19"/>
    </x:row>
    <x:row r="411" ht="28" customHeight="1">
      <x:c r="A411" s="18" t="str">
        <x:v>刈谷</x:v>
      </x:c>
      <x:c r="B411" s="18" t="str">
        <x:v>名古屋鉄道</x:v>
      </x:c>
      <x:c r="C411" s="18" t="str">
        <x:v>private_rail</x:v>
      </x:c>
      <x:c r="D411" s="19" t="str">
        <x:v>T2</x:v>
      </x:c>
      <x:c r="E411" s="20" t="n">
        <x:v>23973</x:v>
      </x:c>
      <x:c r="F411" s="18" t="str">
        <x:v>persons/day</x:v>
      </x:c>
      <x:c r="G411" s="18" t="str">
        <x:v>FY2024</x:v>
      </x:c>
      <x:c r="H411" s="18" t="str">
        <x:v>否</x:v>
      </x:c>
      <x:c r="I411" s="19" t="str">
        <x:v>DAILY_ENTRIES_EXITS</x:v>
      </x:c>
      <x:c r="J411" s="19" t="str">
        <x:v>三河線</x:v>
      </x:c>
      <x:c r="K411" s="18" t="str">
        <x:v>transport-node:b7fd0c3c-7154-511e-a58a-304596c484dd</x:v>
      </x:c>
      <x:c r="L411" s="19" t="str">
        <x:v>组件待审核</x:v>
      </x:c>
      <x:c r="M411" s="21" t="n">
        <x:v>34.99053</x:v>
      </x:c>
      <x:c r="N411" s="21" t="n">
        <x:v>137.009275</x:v>
      </x:c>
      <x:c r="O411" s="18" t="str">
        <x:v>006053</x:v>
      </x:c>
      <x:c r="P411" s="18" t="str">
        <x:v>三河線</x:v>
      </x:c>
      <x:c r="Q411" s="19" t="str">
        <x:v>S12_061_GE_10000</x:v>
      </x:c>
      <x:c r="R411" s="19" t="str">
        <x:v>S12_061 usage threshold</x:v>
      </x:c>
      <x:c r="S411" s="19" t="str">
        <x:v>https://nlftp.mlit.go.jp/ksj/gml/datalist/KsjTmplt-S12-2024.html</x:v>
      </x:c>
      <x:c r="T411" s="19" t="str">
        <x:v>https://nlftp.mlit.go.jp/ksj/gml/datalist/KsjTmplt-S12-2024.html</x:v>
      </x:c>
      <x:c r="U411" s="19" t="str">
        <x:v>station-component|刈谷|名古屋鉄道|private_rail|34.9905|137.0093|</x:v>
      </x:c>
      <x:c r="V411" s="19" t="str">
        <x:v>006052 / 006053 / 三河線</x:v>
      </x:c>
      <x:c r="W411" s="18" t="str">
        <x:v>否</x:v>
      </x:c>
      <x:c r="X411" s="18" t="str">
        <x:v>0785e932a32b3ec15e1a1345537ae145eafe1c07bf38d5c16c11ee2b391e7a28</x:v>
      </x:c>
      <x:c r="Y411" s="20" t="n">
        <x:v>1</x:v>
      </x:c>
      <x:c r="Z411" s="20" t="n">
        <x:v>1</x:v>
      </x:c>
      <x:c r="AA411" s="19"/>
      <x:c r="AB411" s="18"/>
      <x:c r="AC411" s="19"/>
    </x:row>
    <x:row r="412" ht="28" customHeight="1">
      <x:c r="A412" s="18" t="str">
        <x:v>刈谷</x:v>
      </x:c>
      <x:c r="B412" s="18" t="str">
        <x:v>東海旅客鉄道</x:v>
      </x:c>
      <x:c r="C412" s="18" t="str">
        <x:v>conventional_rail</x:v>
      </x:c>
      <x:c r="D412" s="19" t="str">
        <x:v>T1</x:v>
      </x:c>
      <x:c r="E412" s="20" t="n">
        <x:v>58008</x:v>
      </x:c>
      <x:c r="F412" s="18" t="str">
        <x:v>persons/day</x:v>
      </x:c>
      <x:c r="G412" s="18" t="str">
        <x:v>FY2024</x:v>
      </x:c>
      <x:c r="H412" s="18" t="str">
        <x:v>否</x:v>
      </x:c>
      <x:c r="I412" s="19" t="str">
        <x:v>DAILY_ENTRIES_EXITS</x:v>
      </x:c>
      <x:c r="J412" s="19" t="str">
        <x:v>東海道線</x:v>
      </x:c>
      <x:c r="K412" s="18" t="str">
        <x:v>transport-node:5aa89f88-57c8-564a-8217-709af709be66</x:v>
      </x:c>
      <x:c r="L412" s="19" t="str">
        <x:v>组件待审核</x:v>
      </x:c>
      <x:c r="M412" s="21" t="n">
        <x:v>34.990805</x:v>
      </x:c>
      <x:c r="N412" s="21" t="n">
        <x:v>137.00971</x:v>
      </x:c>
      <x:c r="O412" s="18" t="str">
        <x:v>006052</x:v>
      </x:c>
      <x:c r="P412" s="18" t="str">
        <x:v>東海道線</x:v>
      </x:c>
      <x:c r="Q412" s="19" t="str">
        <x:v>S12_061_GE_10000</x:v>
      </x:c>
      <x:c r="R412" s="19" t="str">
        <x:v>S12_061 usage threshold</x:v>
      </x:c>
      <x:c r="S412" s="19" t="str">
        <x:v>https://nlftp.mlit.go.jp/ksj/gml/datalist/KsjTmplt-S12-2024.html</x:v>
      </x:c>
      <x:c r="T412" s="19" t="str">
        <x:v>https://nlftp.mlit.go.jp/ksj/gml/datalist/KsjTmplt-S12-2024.html</x:v>
      </x:c>
      <x:c r="U412" s="19" t="str">
        <x:v>station-component|刈谷|東海旅客鉄道|conventional_rail|34.9908|137.0097|</x:v>
      </x:c>
      <x:c r="V412" s="19" t="str">
        <x:v>006052 / 006052 / 東海道線</x:v>
      </x:c>
      <x:c r="W412" s="18" t="str">
        <x:v>否</x:v>
      </x:c>
      <x:c r="X412" s="18" t="str">
        <x:v>0785e932a32b3ec15e1a1345537ae145eafe1c07bf38d5c16c11ee2b391e7a28</x:v>
      </x:c>
      <x:c r="Y412" s="20" t="n">
        <x:v>1</x:v>
      </x:c>
      <x:c r="Z412" s="20" t="n">
        <x:v>1</x:v>
      </x:c>
      <x:c r="AA412" s="19"/>
      <x:c r="AB412" s="18"/>
      <x:c r="AC412" s="19"/>
    </x:row>
    <x:row r="413" ht="28" customHeight="1">
      <x:c r="A413" s="18" t="str">
        <x:v>初台</x:v>
      </x:c>
      <x:c r="B413" s="18" t="str">
        <x:v>京王電鉄</x:v>
      </x:c>
      <x:c r="C413" s="18" t="str">
        <x:v>private_rail</x:v>
      </x:c>
      <x:c r="D413" s="19" t="str">
        <x:v>T1</x:v>
      </x:c>
      <x:c r="E413" s="20" t="n">
        <x:v>59407</x:v>
      </x:c>
      <x:c r="F413" s="18" t="str">
        <x:v>persons/day</x:v>
      </x:c>
      <x:c r="G413" s="18" t="str">
        <x:v>FY2024</x:v>
      </x:c>
      <x:c r="H413" s="18" t="str">
        <x:v>否</x:v>
      </x:c>
      <x:c r="I413" s="19" t="str">
        <x:v>DAILY_ENTRIES_EXITS</x:v>
      </x:c>
      <x:c r="J413" s="19" t="str">
        <x:v>京王線</x:v>
      </x:c>
      <x:c r="K413" s="18" t="str">
        <x:v>transport-node:cd28b702-abea-5763-93da-355025eea909</x:v>
      </x:c>
      <x:c r="L413" s="19" t="str">
        <x:v>组件待审核</x:v>
      </x:c>
      <x:c r="M413" s="21" t="n">
        <x:v>35.68142</x:v>
      </x:c>
      <x:c r="N413" s="21" t="n">
        <x:v>139.68827</x:v>
      </x:c>
      <x:c r="O413" s="18" t="str">
        <x:v>003764</x:v>
      </x:c>
      <x:c r="P413" s="18" t="str">
        <x:v>京王線</x:v>
      </x:c>
      <x:c r="Q413" s="19" t="str">
        <x:v>S12_061_GE_10000</x:v>
      </x:c>
      <x:c r="R413" s="19" t="str">
        <x:v>S12_061 usage threshold</x:v>
      </x:c>
      <x:c r="S413" s="19" t="str">
        <x:v>https://nlftp.mlit.go.jp/ksj/gml/datalist/KsjTmplt-S12-2024.html</x:v>
      </x:c>
      <x:c r="T413" s="19" t="str">
        <x:v>https://nlftp.mlit.go.jp/ksj/gml/datalist/KsjTmplt-S12-2024.html</x:v>
      </x:c>
      <x:c r="U413" s="19" t="str">
        <x:v>station-component|初台|京王電鉄|private_rail|35.6814|139.6883|</x:v>
      </x:c>
      <x:c r="V413" s="19" t="str">
        <x:v>003764 / 003764 / 京王線</x:v>
      </x:c>
      <x:c r="W413" s="18" t="str">
        <x:v>否</x:v>
      </x:c>
      <x:c r="X413" s="18" t="str">
        <x:v>0785e932a32b3ec15e1a1345537ae145eafe1c07bf38d5c16c11ee2b391e7a28</x:v>
      </x:c>
      <x:c r="Y413" s="20" t="n">
        <x:v>1</x:v>
      </x:c>
      <x:c r="Z413" s="20" t="n">
        <x:v>1</x:v>
      </x:c>
      <x:c r="AA413" s="19"/>
      <x:c r="AB413" s="18"/>
      <x:c r="AC413" s="19"/>
    </x:row>
    <x:row r="414" ht="28" customHeight="1">
      <x:c r="A414" s="18" t="str">
        <x:v>初石</x:v>
      </x:c>
      <x:c r="B414" s="18" t="str">
        <x:v>東武鉄道</x:v>
      </x:c>
      <x:c r="C414" s="18" t="str">
        <x:v>private_rail</x:v>
      </x:c>
      <x:c r="D414" s="19" t="str">
        <x:v>T2</x:v>
      </x:c>
      <x:c r="E414" s="20" t="n">
        <x:v>19248</x:v>
      </x:c>
      <x:c r="F414" s="18" t="str">
        <x:v>persons/day</x:v>
      </x:c>
      <x:c r="G414" s="18" t="str">
        <x:v>FY2024</x:v>
      </x:c>
      <x:c r="H414" s="18" t="str">
        <x:v>否</x:v>
      </x:c>
      <x:c r="I414" s="19" t="str">
        <x:v>DAILY_ENTRIES_EXITS</x:v>
      </x:c>
      <x:c r="J414" s="19" t="str">
        <x:v>野田線</x:v>
      </x:c>
      <x:c r="K414" s="18" t="str">
        <x:v>transport-node:0a790dc3-c2e9-5412-86af-9cf6c3c85386</x:v>
      </x:c>
      <x:c r="L414" s="19" t="str">
        <x:v>组件待审核</x:v>
      </x:c>
      <x:c r="M414" s="21" t="n">
        <x:v>35.88384</x:v>
      </x:c>
      <x:c r="N414" s="21" t="n">
        <x:v>139.91791</x:v>
      </x:c>
      <x:c r="O414" s="18" t="str">
        <x:v>002949</x:v>
      </x:c>
      <x:c r="P414" s="18" t="str">
        <x:v>野田線</x:v>
      </x:c>
      <x:c r="Q414" s="19" t="str">
        <x:v>S12_061_GE_10000</x:v>
      </x:c>
      <x:c r="R414" s="19" t="str">
        <x:v>S12_061 usage threshold</x:v>
      </x:c>
      <x:c r="S414" s="19" t="str">
        <x:v>https://nlftp.mlit.go.jp/ksj/gml/datalist/KsjTmplt-S12-2024.html</x:v>
      </x:c>
      <x:c r="T414" s="19" t="str">
        <x:v>https://nlftp.mlit.go.jp/ksj/gml/datalist/KsjTmplt-S12-2024.html</x:v>
      </x:c>
      <x:c r="U414" s="19" t="str">
        <x:v>station-component|初石|東武鉄道|private_rail|35.8838|139.9179|</x:v>
      </x:c>
      <x:c r="V414" s="19" t="str">
        <x:v>002949 / 002949 / 野田線</x:v>
      </x:c>
      <x:c r="W414" s="18" t="str">
        <x:v>否</x:v>
      </x:c>
      <x:c r="X414" s="18" t="str">
        <x:v>0785e932a32b3ec15e1a1345537ae145eafe1c07bf38d5c16c11ee2b391e7a28</x:v>
      </x:c>
      <x:c r="Y414" s="20" t="n">
        <x:v>1</x:v>
      </x:c>
      <x:c r="Z414" s="20" t="n">
        <x:v>1</x:v>
      </x:c>
      <x:c r="AA414" s="19"/>
      <x:c r="AB414" s="18"/>
      <x:c r="AC414" s="19"/>
    </x:row>
    <x:row r="415" ht="28" customHeight="1">
      <x:c r="A415" s="18" t="str">
        <x:v>初芝</x:v>
      </x:c>
      <x:c r="B415" s="18" t="str">
        <x:v>南海電気鉄道</x:v>
      </x:c>
      <x:c r="C415" s="18" t="str">
        <x:v>private_rail</x:v>
      </x:c>
      <x:c r="D415" s="19" t="str">
        <x:v>T2</x:v>
      </x:c>
      <x:c r="E415" s="20" t="n">
        <x:v>15348</x:v>
      </x:c>
      <x:c r="F415" s="18" t="str">
        <x:v>persons/day</x:v>
      </x:c>
      <x:c r="G415" s="18" t="str">
        <x:v>FY2024</x:v>
      </x:c>
      <x:c r="H415" s="18" t="str">
        <x:v>否</x:v>
      </x:c>
      <x:c r="I415" s="19" t="str">
        <x:v>DAILY_ENTRIES_EXITS</x:v>
      </x:c>
      <x:c r="J415" s="19" t="str">
        <x:v>高野線</x:v>
      </x:c>
      <x:c r="K415" s="18" t="str">
        <x:v>transport-node:30b9e761-f89e-5428-a400-f315ca965f57</x:v>
      </x:c>
      <x:c r="L415" s="19" t="str">
        <x:v>组件待审核</x:v>
      </x:c>
      <x:c r="M415" s="21" t="n">
        <x:v>34.542225</x:v>
      </x:c>
      <x:c r="N415" s="21" t="n">
        <x:v>135.526495</x:v>
      </x:c>
      <x:c r="O415" s="18" t="str">
        <x:v>007747</x:v>
      </x:c>
      <x:c r="P415" s="18" t="str">
        <x:v>高野線</x:v>
      </x:c>
      <x:c r="Q415" s="19" t="str">
        <x:v>S12_061_GE_10000</x:v>
      </x:c>
      <x:c r="R415" s="19" t="str">
        <x:v>S12_061 usage threshold</x:v>
      </x:c>
      <x:c r="S415" s="19" t="str">
        <x:v>https://nlftp.mlit.go.jp/ksj/gml/datalist/KsjTmplt-S12-2024.html</x:v>
      </x:c>
      <x:c r="T415" s="19" t="str">
        <x:v>https://nlftp.mlit.go.jp/ksj/gml/datalist/KsjTmplt-S12-2024.html</x:v>
      </x:c>
      <x:c r="U415" s="19" t="str">
        <x:v>station-component|初芝|南海電気鉄道|private_rail|34.5422|135.5265|</x:v>
      </x:c>
      <x:c r="V415" s="19" t="str">
        <x:v>007747 / 007747 / 高野線</x:v>
      </x:c>
      <x:c r="W415" s="18" t="str">
        <x:v>否</x:v>
      </x:c>
      <x:c r="X415" s="18" t="str">
        <x:v>0785e932a32b3ec15e1a1345537ae145eafe1c07bf38d5c16c11ee2b391e7a28</x:v>
      </x:c>
      <x:c r="Y415" s="20" t="n">
        <x:v>1</x:v>
      </x:c>
      <x:c r="Z415" s="20" t="n">
        <x:v>1</x:v>
      </x:c>
      <x:c r="AA415" s="19"/>
      <x:c r="AB415" s="18"/>
      <x:c r="AC415" s="19"/>
    </x:row>
    <x:row r="416" ht="28" customHeight="1">
      <x:c r="A416" s="18" t="str">
        <x:v>別府</x:v>
      </x:c>
      <x:c r="B416" s="18" t="str">
        <x:v>九州旅客鉄道</x:v>
      </x:c>
      <x:c r="C416" s="18" t="str">
        <x:v>conventional_rail</x:v>
      </x:c>
      <x:c r="D416" s="19" t="str">
        <x:v>T2</x:v>
      </x:c>
      <x:c r="E416" s="20" t="n">
        <x:v>11920</x:v>
      </x:c>
      <x:c r="F416" s="18" t="str">
        <x:v>persons/day</x:v>
      </x:c>
      <x:c r="G416" s="18" t="str">
        <x:v>FY2024</x:v>
      </x:c>
      <x:c r="H416" s="18" t="str">
        <x:v>否</x:v>
      </x:c>
      <x:c r="I416" s="19" t="str">
        <x:v>DAILY_ENTRIES_EXITS</x:v>
      </x:c>
      <x:c r="J416" s="19" t="str">
        <x:v>日豊線</x:v>
      </x:c>
      <x:c r="K416" s="18" t="str">
        <x:v>transport-node:7b8b1d0d-68c1-5dd7-babf-7d51bedb0174</x:v>
      </x:c>
      <x:c r="L416" s="19" t="str">
        <x:v>组件待审核</x:v>
      </x:c>
      <x:c r="M416" s="21" t="n">
        <x:v>33.27947</x:v>
      </x:c>
      <x:c r="N416" s="21" t="n">
        <x:v>131.500255</x:v>
      </x:c>
      <x:c r="O416" s="18" t="str">
        <x:v>009428</x:v>
      </x:c>
      <x:c r="P416" s="18" t="str">
        <x:v>日豊線</x:v>
      </x:c>
      <x:c r="Q416" s="19" t="str">
        <x:v>S12_061_GE_10000</x:v>
      </x:c>
      <x:c r="R416" s="19" t="str">
        <x:v>S12_061 usage threshold</x:v>
      </x:c>
      <x:c r="S416" s="19" t="str">
        <x:v>https://nlftp.mlit.go.jp/ksj/gml/datalist/KsjTmplt-S12-2024.html</x:v>
      </x:c>
      <x:c r="T416" s="19" t="str">
        <x:v>https://nlftp.mlit.go.jp/ksj/gml/datalist/KsjTmplt-S12-2024.html</x:v>
      </x:c>
      <x:c r="U416" s="19" t="str">
        <x:v>station-component|別府|九州旅客鉄道|conventional_rail|33.2795|131.5003|</x:v>
      </x:c>
      <x:c r="V416" s="19" t="str">
        <x:v>009428 / 009428 / 日豊線</x:v>
      </x:c>
      <x:c r="W416" s="18" t="str">
        <x:v>否</x:v>
      </x:c>
      <x:c r="X416" s="18" t="str">
        <x:v>0785e932a32b3ec15e1a1345537ae145eafe1c07bf38d5c16c11ee2b391e7a28</x:v>
      </x:c>
      <x:c r="Y416" s="20" t="n">
        <x:v>1</x:v>
      </x:c>
      <x:c r="Z416" s="20" t="n">
        <x:v>1</x:v>
      </x:c>
      <x:c r="AA416" s="19"/>
      <x:c r="AB416" s="18"/>
      <x:c r="AC416" s="19"/>
    </x:row>
    <x:row r="417" ht="28" customHeight="1">
      <x:c r="A417" s="18" t="str">
        <x:v>別府</x:v>
      </x:c>
      <x:c r="B417" s="18" t="str">
        <x:v>福岡市</x:v>
      </x:c>
      <x:c r="C417" s="18" t="str">
        <x:v>metro</x:v>
      </x:c>
      <x:c r="D417" s="19" t="str">
        <x:v>T2</x:v>
      </x:c>
      <x:c r="E417" s="20" t="n">
        <x:v>15282</x:v>
      </x:c>
      <x:c r="F417" s="18" t="str">
        <x:v>persons/day</x:v>
      </x:c>
      <x:c r="G417" s="18" t="str">
        <x:v>FY2024</x:v>
      </x:c>
      <x:c r="H417" s="18" t="str">
        <x:v>否</x:v>
      </x:c>
      <x:c r="I417" s="19" t="str">
        <x:v>DAILY_ENTRIES_EXITS</x:v>
      </x:c>
      <x:c r="J417" s="19" t="str">
        <x:v>3号線(七隈線)</x:v>
      </x:c>
      <x:c r="K417" s="18" t="str">
        <x:v>transport-node:ad382573-7448-5ab3-9a2a-6d5d932e4177</x:v>
      </x:c>
      <x:c r="L417" s="19" t="str">
        <x:v>组件待审核</x:v>
      </x:c>
      <x:c r="M417" s="21" t="n">
        <x:v>33.5739733</x:v>
      </x:c>
      <x:c r="N417" s="21" t="n">
        <x:v>130.3692767</x:v>
      </x:c>
      <x:c r="O417" s="18" t="str">
        <x:v>009080</x:v>
      </x:c>
      <x:c r="P417" s="18" t="str">
        <x:v>3号線(七隈線)</x:v>
      </x:c>
      <x:c r="Q417" s="19" t="str">
        <x:v>S12_061_GE_10000</x:v>
      </x:c>
      <x:c r="R417" s="19" t="str">
        <x:v>S12_061 usage threshold</x:v>
      </x:c>
      <x:c r="S417" s="19" t="str">
        <x:v>https://nlftp.mlit.go.jp/ksj/gml/datalist/KsjTmplt-S12-2024.html</x:v>
      </x:c>
      <x:c r="T417" s="19" t="str">
        <x:v>https://nlftp.mlit.go.jp/ksj/gml/datalist/KsjTmplt-S12-2024.html</x:v>
      </x:c>
      <x:c r="U417" s="19" t="str">
        <x:v>station-component|別府|福岡市|metro|33.5740|130.3693|</x:v>
      </x:c>
      <x:c r="V417" s="19" t="str">
        <x:v>009080 / 009080 / 3号線(七隈線)</x:v>
      </x:c>
      <x:c r="W417" s="18" t="str">
        <x:v>否</x:v>
      </x:c>
      <x:c r="X417" s="18" t="str">
        <x:v>0785e932a32b3ec15e1a1345537ae145eafe1c07bf38d5c16c11ee2b391e7a28</x:v>
      </x:c>
      <x:c r="Y417" s="20" t="n">
        <x:v>1</x:v>
      </x:c>
      <x:c r="Z417" s="20" t="n">
        <x:v>1</x:v>
      </x:c>
      <x:c r="AA417" s="19"/>
      <x:c r="AB417" s="18"/>
      <x:c r="AC417" s="19"/>
    </x:row>
    <x:row r="418" ht="28" customHeight="1">
      <x:c r="A418" s="18" t="str">
        <x:v>前原</x:v>
      </x:c>
      <x:c r="B418" s="18" t="str">
        <x:v>新京成電鉄</x:v>
      </x:c>
      <x:c r="C418" s="18" t="str">
        <x:v>private_rail</x:v>
      </x:c>
      <x:c r="D418" s="19" t="str">
        <x:v>T2</x:v>
      </x:c>
      <x:c r="E418" s="20" t="n">
        <x:v>10432</x:v>
      </x:c>
      <x:c r="F418" s="18" t="str">
        <x:v>persons/day</x:v>
      </x:c>
      <x:c r="G418" s="18" t="str">
        <x:v>FY2024</x:v>
      </x:c>
      <x:c r="H418" s="18" t="str">
        <x:v>否</x:v>
      </x:c>
      <x:c r="I418" s="19" t="str">
        <x:v>DAILY_ENTRIES_EXITS</x:v>
      </x:c>
      <x:c r="J418" s="19" t="str">
        <x:v>新京成線</x:v>
      </x:c>
      <x:c r="K418" s="18" t="str">
        <x:v>transport-node:f9bf55fe-72d4-5e13-b6ea-558fd91eb5ee</x:v>
      </x:c>
      <x:c r="L418" s="19" t="str">
        <x:v>组件待审核</x:v>
      </x:c>
      <x:c r="M418" s="21" t="n">
        <x:v>35.700655</x:v>
      </x:c>
      <x:c r="N418" s="21" t="n">
        <x:v>140.02752</x:v>
      </x:c>
      <x:c r="O418" s="18" t="str">
        <x:v>003603</x:v>
      </x:c>
      <x:c r="P418" s="18" t="str">
        <x:v>新京成線</x:v>
      </x:c>
      <x:c r="Q418" s="19" t="str">
        <x:v>S12_061_GE_10000</x:v>
      </x:c>
      <x:c r="R418" s="19" t="str">
        <x:v>S12_061 usage threshold</x:v>
      </x:c>
      <x:c r="S418" s="19" t="str">
        <x:v>https://nlftp.mlit.go.jp/ksj/gml/datalist/KsjTmplt-S12-2024.html</x:v>
      </x:c>
      <x:c r="T418" s="19" t="str">
        <x:v>https://nlftp.mlit.go.jp/ksj/gml/datalist/KsjTmplt-S12-2024.html</x:v>
      </x:c>
      <x:c r="U418" s="19" t="str">
        <x:v>station-component|前原|新京成電鉄|private_rail|35.7007|140.0275|</x:v>
      </x:c>
      <x:c r="V418" s="19" t="str">
        <x:v>003603 / 003603 / 新京成線</x:v>
      </x:c>
      <x:c r="W418" s="18" t="str">
        <x:v>否</x:v>
      </x:c>
      <x:c r="X418" s="18" t="str">
        <x:v>0785e932a32b3ec15e1a1345537ae145eafe1c07bf38d5c16c11ee2b391e7a28</x:v>
      </x:c>
      <x:c r="Y418" s="20" t="n">
        <x:v>1</x:v>
      </x:c>
      <x:c r="Z418" s="20" t="n">
        <x:v>1</x:v>
      </x:c>
      <x:c r="AA418" s="19"/>
      <x:c r="AB418" s="18"/>
      <x:c r="AC418" s="19"/>
    </x:row>
    <x:row r="419" ht="28" customHeight="1">
      <x:c r="A419" s="18" t="str">
        <x:v>前後</x:v>
      </x:c>
      <x:c r="B419" s="18" t="str">
        <x:v>名古屋鉄道</x:v>
      </x:c>
      <x:c r="C419" s="18" t="str">
        <x:v>private_rail</x:v>
      </x:c>
      <x:c r="D419" s="19" t="str">
        <x:v>T2</x:v>
      </x:c>
      <x:c r="E419" s="20" t="n">
        <x:v>19257</x:v>
      </x:c>
      <x:c r="F419" s="18" t="str">
        <x:v>persons/day</x:v>
      </x:c>
      <x:c r="G419" s="18" t="str">
        <x:v>FY2024</x:v>
      </x:c>
      <x:c r="H419" s="18" t="str">
        <x:v>否</x:v>
      </x:c>
      <x:c r="I419" s="19" t="str">
        <x:v>DAILY_ENTRIES_EXITS</x:v>
      </x:c>
      <x:c r="J419" s="19" t="str">
        <x:v>名古屋本線</x:v>
      </x:c>
      <x:c r="K419" s="18" t="str">
        <x:v>transport-node:a7da1936-4ac0-510a-af3d-44ff6b8ccad2</x:v>
      </x:c>
      <x:c r="L419" s="19" t="str">
        <x:v>组件待审核</x:v>
      </x:c>
      <x:c r="M419" s="21" t="n">
        <x:v>35.052075</x:v>
      </x:c>
      <x:c r="N419" s="21" t="n">
        <x:v>136.995925</x:v>
      </x:c>
      <x:c r="O419" s="18" t="str">
        <x:v>005826</x:v>
      </x:c>
      <x:c r="P419" s="18" t="str">
        <x:v>名古屋本線</x:v>
      </x:c>
      <x:c r="Q419" s="19" t="str">
        <x:v>S12_061_GE_10000</x:v>
      </x:c>
      <x:c r="R419" s="19" t="str">
        <x:v>S12_061 usage threshold</x:v>
      </x:c>
      <x:c r="S419" s="19" t="str">
        <x:v>https://nlftp.mlit.go.jp/ksj/gml/datalist/KsjTmplt-S12-2024.html</x:v>
      </x:c>
      <x:c r="T419" s="19" t="str">
        <x:v>https://nlftp.mlit.go.jp/ksj/gml/datalist/KsjTmplt-S12-2024.html</x:v>
      </x:c>
      <x:c r="U419" s="19" t="str">
        <x:v>station-component|前後|名古屋鉄道|private_rail|35.0521|136.9959|</x:v>
      </x:c>
      <x:c r="V419" s="19" t="str">
        <x:v>005826 / 005826 / 名古屋本線</x:v>
      </x:c>
      <x:c r="W419" s="18" t="str">
        <x:v>否</x:v>
      </x:c>
      <x:c r="X419" s="18" t="str">
        <x:v>0785e932a32b3ec15e1a1345537ae145eafe1c07bf38d5c16c11ee2b391e7a28</x:v>
      </x:c>
      <x:c r="Y419" s="20" t="n">
        <x:v>1</x:v>
      </x:c>
      <x:c r="Z419" s="20" t="n">
        <x:v>1</x:v>
      </x:c>
      <x:c r="AA419" s="19"/>
      <x:c r="AB419" s="18"/>
      <x:c r="AC419" s="19"/>
    </x:row>
    <x:row r="420" ht="28" customHeight="1">
      <x:c r="A420" s="18" t="str">
        <x:v>前橋</x:v>
      </x:c>
      <x:c r="B420" s="18" t="str">
        <x:v>東日本旅客鉄道</x:v>
      </x:c>
      <x:c r="C420" s="18" t="str">
        <x:v>conventional_rail</x:v>
      </x:c>
      <x:c r="D420" s="19" t="str">
        <x:v>T2</x:v>
      </x:c>
      <x:c r="E420" s="20" t="n">
        <x:v>19804</x:v>
      </x:c>
      <x:c r="F420" s="18" t="str">
        <x:v>persons/day</x:v>
      </x:c>
      <x:c r="G420" s="18" t="str">
        <x:v>FY2024</x:v>
      </x:c>
      <x:c r="H420" s="18" t="str">
        <x:v>否</x:v>
      </x:c>
      <x:c r="I420" s="19" t="str">
        <x:v>DAILY_ENTRIES_EXITS</x:v>
      </x:c>
      <x:c r="J420" s="19" t="str">
        <x:v>両毛線</x:v>
      </x:c>
      <x:c r="K420" s="18" t="str">
        <x:v>transport-node:7ff7ac88-17d9-5596-8e9f-18be7b020a53</x:v>
      </x:c>
      <x:c r="L420" s="19" t="str">
        <x:v>组件待审核</x:v>
      </x:c>
      <x:c r="M420" s="21" t="n">
        <x:v>36.38347</x:v>
      </x:c>
      <x:c r="N420" s="21" t="n">
        <x:v>139.07337</x:v>
      </x:c>
      <x:c r="O420" s="18" t="str">
        <x:v>002297</x:v>
      </x:c>
      <x:c r="P420" s="18" t="str">
        <x:v>両毛線</x:v>
      </x:c>
      <x:c r="Q420" s="19" t="str">
        <x:v>S12_061_GE_10000</x:v>
      </x:c>
      <x:c r="R420" s="19" t="str">
        <x:v>S12_061 usage threshold</x:v>
      </x:c>
      <x:c r="S420" s="19" t="str">
        <x:v>https://nlftp.mlit.go.jp/ksj/gml/datalist/KsjTmplt-S12-2024.html</x:v>
      </x:c>
      <x:c r="T420" s="19" t="str">
        <x:v>https://nlftp.mlit.go.jp/ksj/gml/datalist/KsjTmplt-S12-2024.html</x:v>
      </x:c>
      <x:c r="U420" s="19" t="str">
        <x:v>station-component|前橋|東日本旅客鉄道|conventional_rail|36.3835|139.0734|</x:v>
      </x:c>
      <x:c r="V420" s="19" t="str">
        <x:v>002297 / 002297 / 両毛線</x:v>
      </x:c>
      <x:c r="W420" s="18" t="str">
        <x:v>否</x:v>
      </x:c>
      <x:c r="X420" s="18" t="str">
        <x:v>0785e932a32b3ec15e1a1345537ae145eafe1c07bf38d5c16c11ee2b391e7a28</x:v>
      </x:c>
      <x:c r="Y420" s="20" t="n">
        <x:v>1</x:v>
      </x:c>
      <x:c r="Z420" s="20" t="n">
        <x:v>1</x:v>
      </x:c>
      <x:c r="AA420" s="19"/>
      <x:c r="AB420" s="18"/>
      <x:c r="AC420" s="19"/>
    </x:row>
    <x:row r="421" ht="33" customHeight="1">
      <x:c r="A421" s="18" t="str">
        <x:v>加古川</x:v>
      </x:c>
      <x:c r="B421" s="18" t="str">
        <x:v>西日本旅客鉄道</x:v>
      </x:c>
      <x:c r="C421" s="18" t="str">
        <x:v>conventional_rail</x:v>
      </x:c>
      <x:c r="D421" s="19" t="str">
        <x:v>T2</x:v>
      </x:c>
      <x:c r="E421" s="20" t="n">
        <x:v>45082</x:v>
      </x:c>
      <x:c r="F421" s="18" t="str">
        <x:v>persons/day</x:v>
      </x:c>
      <x:c r="G421" s="18" t="str">
        <x:v>FY2024</x:v>
      </x:c>
      <x:c r="H421" s="18" t="str">
        <x:v>否</x:v>
      </x:c>
      <x:c r="I421" s="19" t="str">
        <x:v>DAILY_ENTRIES_EXITS</x:v>
      </x:c>
      <x:c r="J421" s="19" t="str">
        <x:v>加古川線
山陽線</x:v>
      </x:c>
      <x:c r="K421" s="18" t="str">
        <x:v>transport-node:974eaaf1-538c-5a1d-8d65-7c4eeffcc1e2</x:v>
      </x:c>
      <x:c r="L421" s="19" t="str">
        <x:v>组件待审核</x:v>
      </x:c>
      <x:c r="M421" s="21" t="n">
        <x:v>34.767555</x:v>
      </x:c>
      <x:c r="N421" s="21" t="n">
        <x:v>134.839515</x:v>
      </x:c>
      <x:c r="O421" s="18" t="str">
        <x:v>006755</x:v>
      </x:c>
      <x:c r="P421" s="18" t="str">
        <x:v>山陽線</x:v>
      </x:c>
      <x:c r="Q421" s="19" t="str">
        <x:v>S12_061_GE_10000</x:v>
      </x:c>
      <x:c r="R421" s="19" t="str">
        <x:v>S12_061 usage threshold</x:v>
      </x:c>
      <x:c r="S421" s="19" t="str">
        <x:v>https://nlftp.mlit.go.jp/ksj/gml/datalist/KsjTmplt-S12-2024.html</x:v>
      </x:c>
      <x:c r="T421" s="19" t="str">
        <x:v>https://nlftp.mlit.go.jp/ksj/gml/datalist/KsjTmplt-S12-2024.html</x:v>
      </x:c>
      <x:c r="U421" s="19" t="str">
        <x:v>station-component|加古川|西日本旅客鉄道|conventional_rail|34.7676|134.8395|</x:v>
      </x:c>
      <x:c r="V421" s="19" t="str">
        <x:v>006754 / 006754 / 加古川線
006754 / 006755 / 山陽線</x:v>
      </x:c>
      <x:c r="W421" s="18" t="str">
        <x:v>否</x:v>
      </x:c>
      <x:c r="X421" s="18" t="str">
        <x:v>0785e932a32b3ec15e1a1345537ae145eafe1c07bf38d5c16c11ee2b391e7a28</x:v>
      </x:c>
      <x:c r="Y421" s="20" t="n">
        <x:v>1</x:v>
      </x:c>
      <x:c r="Z421" s="20" t="n">
        <x:v>1</x:v>
      </x:c>
      <x:c r="AA421" s="19"/>
      <x:c r="AB421" s="18"/>
      <x:c r="AC421" s="19"/>
    </x:row>
    <x:row r="422" ht="28" customHeight="1">
      <x:c r="A422" s="18" t="str">
        <x:v>加島</x:v>
      </x:c>
      <x:c r="B422" s="18" t="str">
        <x:v>西日本旅客鉄道</x:v>
      </x:c>
      <x:c r="C422" s="18" t="str">
        <x:v>conventional_rail</x:v>
      </x:c>
      <x:c r="D422" s="19" t="str">
        <x:v>T2</x:v>
      </x:c>
      <x:c r="E422" s="20" t="n">
        <x:v>18602</x:v>
      </x:c>
      <x:c r="F422" s="18" t="str">
        <x:v>persons/day</x:v>
      </x:c>
      <x:c r="G422" s="18" t="str">
        <x:v>FY2024</x:v>
      </x:c>
      <x:c r="H422" s="18" t="str">
        <x:v>否</x:v>
      </x:c>
      <x:c r="I422" s="19" t="str">
        <x:v>DAILY_ENTRIES_EXITS</x:v>
      </x:c>
      <x:c r="J422" s="19" t="str">
        <x:v>JR東西線</x:v>
      </x:c>
      <x:c r="K422" s="18" t="str">
        <x:v>transport-node:a5cb8b6d-da4f-5954-adef-9f7e47ad1ac6</x:v>
      </x:c>
      <x:c r="L422" s="19" t="str">
        <x:v>组件待审核</x:v>
      </x:c>
      <x:c r="M422" s="21" t="n">
        <x:v>34.727755</x:v>
      </x:c>
      <x:c r="N422" s="21" t="n">
        <x:v>135.4535925</x:v>
      </x:c>
      <x:c r="O422" s="18" t="str">
        <x:v>006935</x:v>
      </x:c>
      <x:c r="P422" s="18" t="str">
        <x:v>JR東西線</x:v>
      </x:c>
      <x:c r="Q422" s="19" t="str">
        <x:v>S12_061_GE_10000</x:v>
      </x:c>
      <x:c r="R422" s="19" t="str">
        <x:v>S12_061 usage threshold</x:v>
      </x:c>
      <x:c r="S422" s="19" t="str">
        <x:v>https://nlftp.mlit.go.jp/ksj/gml/datalist/KsjTmplt-S12-2024.html</x:v>
      </x:c>
      <x:c r="T422" s="19" t="str">
        <x:v>https://nlftp.mlit.go.jp/ksj/gml/datalist/KsjTmplt-S12-2024.html</x:v>
      </x:c>
      <x:c r="U422" s="19" t="str">
        <x:v>station-component|加島|西日本旅客鉄道|conventional_rail|34.7278|135.4536|</x:v>
      </x:c>
      <x:c r="V422" s="19" t="str">
        <x:v>006935 / 006935 / JR東西線</x:v>
      </x:c>
      <x:c r="W422" s="18" t="str">
        <x:v>否</x:v>
      </x:c>
      <x:c r="X422" s="18" t="str">
        <x:v>0785e932a32b3ec15e1a1345537ae145eafe1c07bf38d5c16c11ee2b391e7a28</x:v>
      </x:c>
      <x:c r="Y422" s="20" t="n">
        <x:v>1</x:v>
      </x:c>
      <x:c r="Z422" s="20" t="n">
        <x:v>1</x:v>
      </x:c>
      <x:c r="AA422" s="19"/>
      <x:c r="AB422" s="18"/>
      <x:c r="AC422" s="19"/>
    </x:row>
    <x:row r="423" ht="28" customHeight="1">
      <x:c r="A423" s="18" t="str">
        <x:v>加美</x:v>
      </x:c>
      <x:c r="B423" s="18" t="str">
        <x:v>西日本旅客鉄道</x:v>
      </x:c>
      <x:c r="C423" s="18" t="str">
        <x:v>conventional_rail</x:v>
      </x:c>
      <x:c r="D423" s="19" t="str">
        <x:v>T2</x:v>
      </x:c>
      <x:c r="E423" s="20" t="n">
        <x:v>14568</x:v>
      </x:c>
      <x:c r="F423" s="18" t="str">
        <x:v>persons/day</x:v>
      </x:c>
      <x:c r="G423" s="18" t="str">
        <x:v>FY2024</x:v>
      </x:c>
      <x:c r="H423" s="18" t="str">
        <x:v>否</x:v>
      </x:c>
      <x:c r="I423" s="19" t="str">
        <x:v>DAILY_ENTRIES_EXITS</x:v>
      </x:c>
      <x:c r="J423" s="19" t="str">
        <x:v>関西線</x:v>
      </x:c>
      <x:c r="K423" s="18" t="str">
        <x:v>transport-node:922d62a0-0f99-516f-8967-7e9df71d397a</x:v>
      </x:c>
      <x:c r="L423" s="19" t="str">
        <x:v>组件待审核</x:v>
      </x:c>
      <x:c r="M423" s="21" t="n">
        <x:v>34.62688</x:v>
      </x:c>
      <x:c r="N423" s="21" t="n">
        <x:v>135.566745</x:v>
      </x:c>
      <x:c r="O423" s="18" t="str">
        <x:v>007524</x:v>
      </x:c>
      <x:c r="P423" s="18" t="str">
        <x:v>関西線</x:v>
      </x:c>
      <x:c r="Q423" s="19" t="str">
        <x:v>S12_061_GE_10000</x:v>
      </x:c>
      <x:c r="R423" s="19" t="str">
        <x:v>S12_061 usage threshold</x:v>
      </x:c>
      <x:c r="S423" s="19" t="str">
        <x:v>https://nlftp.mlit.go.jp/ksj/gml/datalist/KsjTmplt-S12-2024.html</x:v>
      </x:c>
      <x:c r="T423" s="19" t="str">
        <x:v>https://nlftp.mlit.go.jp/ksj/gml/datalist/KsjTmplt-S12-2024.html</x:v>
      </x:c>
      <x:c r="U423" s="19" t="str">
        <x:v>station-component|加美|西日本旅客鉄道|conventional_rail|34.6269|135.5667|</x:v>
      </x:c>
      <x:c r="V423" s="19" t="str">
        <x:v>007524 / 007524 / 関西線</x:v>
      </x:c>
      <x:c r="W423" s="18" t="str">
        <x:v>否</x:v>
      </x:c>
      <x:c r="X423" s="18" t="str">
        <x:v>0785e932a32b3ec15e1a1345537ae145eafe1c07bf38d5c16c11ee2b391e7a28</x:v>
      </x:c>
      <x:c r="Y423" s="20" t="n">
        <x:v>1</x:v>
      </x:c>
      <x:c r="Z423" s="20" t="n">
        <x:v>1</x:v>
      </x:c>
      <x:c r="AA423" s="19"/>
      <x:c r="AB423" s="18"/>
      <x:c r="AC423" s="19"/>
    </x:row>
    <x:row r="424" ht="33" customHeight="1">
      <x:c r="A424" s="18" t="str">
        <x:v>加賀温泉</x:v>
      </x:c>
      <x:c r="B424" s="18" t="str">
        <x:v>西日本旅客鉄道</x:v>
      </x:c>
      <x:c r="C424" s="18" t="str">
        <x:v>shinkansen</x:v>
      </x:c>
      <x:c r="D424" s="19" t="str">
        <x:v>T3</x:v>
      </x:c>
      <x:c r="E424" s="20" t="n">
        <x:v>1344</x:v>
      </x:c>
      <x:c r="F424" s="18" t="str">
        <x:v>persons/day</x:v>
      </x:c>
      <x:c r="G424" s="18" t="str">
        <x:v>FY2024</x:v>
      </x:c>
      <x:c r="H424" s="18" t="str">
        <x:v>否</x:v>
      </x:c>
      <x:c r="I424" s="19" t="str">
        <x:v>DAILY_ENTRIES_EXITS</x:v>
      </x:c>
      <x:c r="J424" s="19" t="str">
        <x:v>北陸新幹線</x:v>
      </x:c>
      <x:c r="K424" s="18" t="str">
        <x:v>transport-node:661a5192-2640-5d29-8422-341017e5ac86</x:v>
      </x:c>
      <x:c r="L424" s="19" t="str">
        <x:v>组件待审核</x:v>
      </x:c>
      <x:c r="M424" s="21" t="n">
        <x:v>36.3202911</x:v>
      </x:c>
      <x:c r="N424" s="21" t="n">
        <x:v>136.3508133</x:v>
      </x:c>
      <x:c r="O424" s="18" t="str">
        <x:v>010177</x:v>
      </x:c>
      <x:c r="P424" s="18" t="str">
        <x:v>北陸新幹線</x:v>
      </x:c>
      <x:c r="Q424" s="19" t="str">
        <x:v>SHINKANSEN</x:v>
      </x:c>
      <x:c r="R424" s="19" t="str">
        <x:v>S12_061 usage threshold; low-flow inclusion justified by Shinkansen inventory</x:v>
      </x:c>
      <x:c r="S424" s="19" t="str">
        <x:v>https://nlftp.mlit.go.jp/ksj/gml/datalist/KsjTmplt-S12-2024.html</x:v>
      </x:c>
      <x:c r="T424" s="19" t="str">
        <x:v>https://nlftp.mlit.go.jp/ksj/gml/datalist/KsjTmplt-S12-2024.html</x:v>
      </x:c>
      <x:c r="U424" s="19" t="str">
        <x:v>station-component|加賀温泉|西日本旅客鉄道|shinkansen|36.3203|136.3508|</x:v>
      </x:c>
      <x:c r="V424" s="19" t="str">
        <x:v>002392 / 010177 / 北陸新幹線</x:v>
      </x:c>
      <x:c r="W424" s="18" t="str">
        <x:v>否</x:v>
      </x:c>
      <x:c r="X424" s="18" t="str">
        <x:v>0785e932a32b3ec15e1a1345537ae145eafe1c07bf38d5c16c11ee2b391e7a28</x:v>
      </x:c>
      <x:c r="Y424" s="20" t="n">
        <x:v>1</x:v>
      </x:c>
      <x:c r="Z424" s="20" t="n">
        <x:v>1</x:v>
      </x:c>
      <x:c r="AA424" s="19"/>
      <x:c r="AB424" s="18"/>
      <x:c r="AC424" s="19"/>
    </x:row>
    <x:row r="425" ht="28" customHeight="1">
      <x:c r="A425" s="18" t="str">
        <x:v>加須</x:v>
      </x:c>
      <x:c r="B425" s="18" t="str">
        <x:v>東武鉄道</x:v>
      </x:c>
      <x:c r="C425" s="18" t="str">
        <x:v>private_rail</x:v>
      </x:c>
      <x:c r="D425" s="19" t="str">
        <x:v>T2</x:v>
      </x:c>
      <x:c r="E425" s="20" t="n">
        <x:v>12566</x:v>
      </x:c>
      <x:c r="F425" s="18" t="str">
        <x:v>persons/day</x:v>
      </x:c>
      <x:c r="G425" s="18" t="str">
        <x:v>FY2024</x:v>
      </x:c>
      <x:c r="H425" s="18" t="str">
        <x:v>否</x:v>
      </x:c>
      <x:c r="I425" s="19" t="str">
        <x:v>DAILY_ENTRIES_EXITS</x:v>
      </x:c>
      <x:c r="J425" s="19" t="str">
        <x:v>伊勢崎線</x:v>
      </x:c>
      <x:c r="K425" s="18" t="str">
        <x:v>transport-node:035864e9-374c-58f2-b0e1-b874c18711a5</x:v>
      </x:c>
      <x:c r="L425" s="19" t="str">
        <x:v>组件待审核</x:v>
      </x:c>
      <x:c r="M425" s="21" t="n">
        <x:v>36.1229475</x:v>
      </x:c>
      <x:c r="N425" s="21" t="n">
        <x:v>139.5955675</x:v>
      </x:c>
      <x:c r="O425" s="18" t="str">
        <x:v>002606</x:v>
      </x:c>
      <x:c r="P425" s="18" t="str">
        <x:v>伊勢崎線</x:v>
      </x:c>
      <x:c r="Q425" s="19" t="str">
        <x:v>S12_061_GE_10000</x:v>
      </x:c>
      <x:c r="R425" s="19" t="str">
        <x:v>S12_061 usage threshold</x:v>
      </x:c>
      <x:c r="S425" s="19" t="str">
        <x:v>https://nlftp.mlit.go.jp/ksj/gml/datalist/KsjTmplt-S12-2024.html</x:v>
      </x:c>
      <x:c r="T425" s="19" t="str">
        <x:v>https://nlftp.mlit.go.jp/ksj/gml/datalist/KsjTmplt-S12-2024.html</x:v>
      </x:c>
      <x:c r="U425" s="19" t="str">
        <x:v>station-component|加須|東武鉄道|private_rail|36.1229|139.5956|</x:v>
      </x:c>
      <x:c r="V425" s="19" t="str">
        <x:v>002606 / 002606 / 伊勢崎線</x:v>
      </x:c>
      <x:c r="W425" s="18" t="str">
        <x:v>否</x:v>
      </x:c>
      <x:c r="X425" s="18" t="str">
        <x:v>0785e932a32b3ec15e1a1345537ae145eafe1c07bf38d5c16c11ee2b391e7a28</x:v>
      </x:c>
      <x:c r="Y425" s="20" t="n">
        <x:v>1</x:v>
      </x:c>
      <x:c r="Z425" s="20" t="n">
        <x:v>1</x:v>
      </x:c>
      <x:c r="AA425" s="19"/>
      <x:c r="AB425" s="18"/>
      <x:c r="AC425" s="19"/>
    </x:row>
    <x:row r="426" ht="33" customHeight="1">
      <x:c r="A426" s="18" t="str">
        <x:v>動物園前</x:v>
      </x:c>
      <x:c r="B426" s="18" t="str">
        <x:v>大阪市高速電気軌道</x:v>
      </x:c>
      <x:c r="C426" s="18" t="str">
        <x:v>metro</x:v>
      </x:c>
      <x:c r="D426" s="19" t="str">
        <x:v>T2</x:v>
      </x:c>
      <x:c r="E426" s="20" t="n">
        <x:v>38933</x:v>
      </x:c>
      <x:c r="F426" s="18" t="str">
        <x:v>persons/day</x:v>
      </x:c>
      <x:c r="G426" s="18" t="str">
        <x:v>FY2024</x:v>
      </x:c>
      <x:c r="H426" s="18" t="str">
        <x:v>否</x:v>
      </x:c>
      <x:c r="I426" s="19" t="str">
        <x:v>DAILY_ENTRIES_EXITS</x:v>
      </x:c>
      <x:c r="J426" s="19" t="str">
        <x:v>1号線(御堂筋線)
6号線(堺筋線)</x:v>
      </x:c>
      <x:c r="K426" s="18" t="str">
        <x:v>transport-node:d8ed0c64-893f-55d0-a795-34d0ccfd7425</x:v>
      </x:c>
      <x:c r="L426" s="19" t="str">
        <x:v>组件待审核</x:v>
      </x:c>
      <x:c r="M426" s="21" t="n">
        <x:v>34.64873</x:v>
      </x:c>
      <x:c r="N426" s="21" t="n">
        <x:v>135.50478</x:v>
      </x:c>
      <x:c r="O426" s="18" t="str">
        <x:v>007430</x:v>
      </x:c>
      <x:c r="P426" s="18" t="str">
        <x:v>1号線(御堂筋線)</x:v>
      </x:c>
      <x:c r="Q426" s="19" t="str">
        <x:v>S12_061_GE_10000
OFFICIAL_HUB_COMPONENT_REVIEW</x:v>
      </x:c>
      <x:c r="R426" s="19" t="str">
        <x:v>S12_061 usage threshold</x:v>
      </x:c>
      <x:c r="S426" s="19" t="str">
        <x:v>https://nlftp.mlit.go.jp/ksj/gml/datalist/KsjTmplt-S12-2024.html</x:v>
      </x:c>
      <x:c r="T426" s="19" t="str">
        <x:v>https://nlftp.mlit.go.jp/ksj/gml/datalist/KsjTmplt-S12-2024.html
https://subway.osakametro.co.jp/station_guide/K/k19/index.php</x:v>
      </x:c>
      <x:c r="U426" s="19" t="str">
        <x:v>station-component|動物園前|大阪市高速電気軌道|metro|34.6487|135.5048|</x:v>
      </x:c>
      <x:c r="V426" s="19" t="str">
        <x:v>007430 / 007430 / 1号線(御堂筋線)
007430 / 007435 / 6号線(堺筋線)</x:v>
      </x:c>
      <x:c r="W426" s="18" t="str">
        <x:v>否</x:v>
      </x:c>
      <x:c r="X426" s="18" t="str">
        <x:v>0785e932a32b3ec15e1a1345537ae145eafe1c07bf38d5c16c11ee2b391e7a28</x:v>
      </x:c>
      <x:c r="Y426" s="20" t="n">
        <x:v>1</x:v>
      </x:c>
      <x:c r="Z426" s="20" t="n">
        <x:v>1</x:v>
      </x:c>
      <x:c r="AA426" s="19" t="str">
        <x:v>動物園前・新今宮</x:v>
      </x:c>
      <x:c r="AB426" s="18" t="str">
        <x:v>transport-hub-review:86c67c92-2f28-5f2e-aec2-724346789840</x:v>
      </x:c>
      <x:c r="AC426" s="19"/>
    </x:row>
    <x:row r="427" ht="28" customHeight="1">
      <x:c r="A427" s="18" t="str">
        <x:v>勝どき</x:v>
      </x:c>
      <x:c r="B427" s="18" t="str">
        <x:v>東京都</x:v>
      </x:c>
      <x:c r="C427" s="18" t="str">
        <x:v>metro</x:v>
      </x:c>
      <x:c r="D427" s="19" t="str">
        <x:v>T1</x:v>
      </x:c>
      <x:c r="E427" s="20" t="n">
        <x:v>91189</x:v>
      </x:c>
      <x:c r="F427" s="18" t="str">
        <x:v>persons/day</x:v>
      </x:c>
      <x:c r="G427" s="18" t="str">
        <x:v>FY2024</x:v>
      </x:c>
      <x:c r="H427" s="18" t="str">
        <x:v>否</x:v>
      </x:c>
      <x:c r="I427" s="19" t="str">
        <x:v>DAILY_ENTRIES_EXITS</x:v>
      </x:c>
      <x:c r="J427" s="19" t="str">
        <x:v>12号線大江戸線</x:v>
      </x:c>
      <x:c r="K427" s="18" t="str">
        <x:v>transport-node:e910bade-3b42-53a6-946b-503843c89199</x:v>
      </x:c>
      <x:c r="L427" s="19" t="str">
        <x:v>组件待审核</x:v>
      </x:c>
      <x:c r="M427" s="21" t="n">
        <x:v>35.6589333</x:v>
      </x:c>
      <x:c r="N427" s="21" t="n">
        <x:v>139.7771333</x:v>
      </x:c>
      <x:c r="O427" s="18" t="str">
        <x:v>003927</x:v>
      </x:c>
      <x:c r="P427" s="18" t="str">
        <x:v>12号線大江戸線</x:v>
      </x:c>
      <x:c r="Q427" s="19" t="str">
        <x:v>S12_061_GE_10000</x:v>
      </x:c>
      <x:c r="R427" s="19" t="str">
        <x:v>S12_061 usage threshold</x:v>
      </x:c>
      <x:c r="S427" s="19" t="str">
        <x:v>https://nlftp.mlit.go.jp/ksj/gml/datalist/KsjTmplt-S12-2024.html</x:v>
      </x:c>
      <x:c r="T427" s="19" t="str">
        <x:v>https://nlftp.mlit.go.jp/ksj/gml/datalist/KsjTmplt-S12-2024.html</x:v>
      </x:c>
      <x:c r="U427" s="19" t="str">
        <x:v>station-component|勝どき|東京都|metro|35.6589|139.7771|</x:v>
      </x:c>
      <x:c r="V427" s="19" t="str">
        <x:v>003927 / 003927 / 12号線大江戸線</x:v>
      </x:c>
      <x:c r="W427" s="18" t="str">
        <x:v>否</x:v>
      </x:c>
      <x:c r="X427" s="18" t="str">
        <x:v>0785e932a32b3ec15e1a1345537ae145eafe1c07bf38d5c16c11ee2b391e7a28</x:v>
      </x:c>
      <x:c r="Y427" s="20" t="n">
        <x:v>1</x:v>
      </x:c>
      <x:c r="Z427" s="20" t="n">
        <x:v>1</x:v>
      </x:c>
      <x:c r="AA427" s="19"/>
      <x:c r="AB427" s="18"/>
      <x:c r="AC427" s="19"/>
    </x:row>
    <x:row r="428" ht="28" customHeight="1">
      <x:c r="A428" s="18" t="str">
        <x:v>勝川</x:v>
      </x:c>
      <x:c r="B428" s="18" t="str">
        <x:v>東海旅客鉄道</x:v>
      </x:c>
      <x:c r="C428" s="18" t="str">
        <x:v>conventional_rail</x:v>
      </x:c>
      <x:c r="D428" s="19" t="str">
        <x:v>T2</x:v>
      </x:c>
      <x:c r="E428" s="20" t="n">
        <x:v>32928</x:v>
      </x:c>
      <x:c r="F428" s="18" t="str">
        <x:v>persons/day</x:v>
      </x:c>
      <x:c r="G428" s="18" t="str">
        <x:v>FY2024</x:v>
      </x:c>
      <x:c r="H428" s="18" t="str">
        <x:v>否</x:v>
      </x:c>
      <x:c r="I428" s="19" t="str">
        <x:v>DAILY_ENTRIES_EXITS</x:v>
      </x:c>
      <x:c r="J428" s="19" t="str">
        <x:v>中央線</x:v>
      </x:c>
      <x:c r="K428" s="18" t="str">
        <x:v>transport-node:fb2d1e49-7e38-50a0-84d8-463944d82ebd</x:v>
      </x:c>
      <x:c r="L428" s="19" t="str">
        <x:v>组件待审核</x:v>
      </x:c>
      <x:c r="M428" s="21" t="n">
        <x:v>35.2299</x:v>
      </x:c>
      <x:c r="N428" s="21" t="n">
        <x:v>136.95646</x:v>
      </x:c>
      <x:c r="O428" s="18" t="str">
        <x:v>005280</x:v>
      </x:c>
      <x:c r="P428" s="18" t="str">
        <x:v>中央線</x:v>
      </x:c>
      <x:c r="Q428" s="19" t="str">
        <x:v>S12_061_GE_10000</x:v>
      </x:c>
      <x:c r="R428" s="19" t="str">
        <x:v>S12_061 usage threshold</x:v>
      </x:c>
      <x:c r="S428" s="19" t="str">
        <x:v>https://nlftp.mlit.go.jp/ksj/gml/datalist/KsjTmplt-S12-2024.html</x:v>
      </x:c>
      <x:c r="T428" s="19" t="str">
        <x:v>https://nlftp.mlit.go.jp/ksj/gml/datalist/KsjTmplt-S12-2024.html</x:v>
      </x:c>
      <x:c r="U428" s="19" t="str">
        <x:v>station-component|勝川|東海旅客鉄道|conventional_rail|35.2299|136.9565|</x:v>
      </x:c>
      <x:c r="V428" s="19" t="str">
        <x:v>005280 / 005280 / 中央線</x:v>
      </x:c>
      <x:c r="W428" s="18" t="str">
        <x:v>否</x:v>
      </x:c>
      <x:c r="X428" s="18" t="str">
        <x:v>0785e932a32b3ec15e1a1345537ae145eafe1c07bf38d5c16c11ee2b391e7a28</x:v>
      </x:c>
      <x:c r="Y428" s="20" t="n">
        <x:v>1</x:v>
      </x:c>
      <x:c r="Z428" s="20" t="n">
        <x:v>1</x:v>
      </x:c>
      <x:c r="AA428" s="19"/>
      <x:c r="AB428" s="18"/>
      <x:c r="AC428" s="19"/>
    </x:row>
    <x:row r="429" ht="28" customHeight="1">
      <x:c r="A429" s="18" t="str">
        <x:v>勝田</x:v>
      </x:c>
      <x:c r="B429" s="18" t="str">
        <x:v>東日本旅客鉄道</x:v>
      </x:c>
      <x:c r="C429" s="18" t="str">
        <x:v>conventional_rail</x:v>
      </x:c>
      <x:c r="D429" s="19" t="str">
        <x:v>T2</x:v>
      </x:c>
      <x:c r="E429" s="20" t="n">
        <x:v>25608</x:v>
      </x:c>
      <x:c r="F429" s="18" t="str">
        <x:v>persons/day</x:v>
      </x:c>
      <x:c r="G429" s="18" t="str">
        <x:v>FY2024</x:v>
      </x:c>
      <x:c r="H429" s="18" t="str">
        <x:v>否</x:v>
      </x:c>
      <x:c r="I429" s="19" t="str">
        <x:v>DAILY_ENTRIES_EXITS</x:v>
      </x:c>
      <x:c r="J429" s="19" t="str">
        <x:v>常磐線</x:v>
      </x:c>
      <x:c r="K429" s="18" t="str">
        <x:v>transport-node:7483d3aa-7224-5225-b699-d6c74ce273ee</x:v>
      </x:c>
      <x:c r="L429" s="19" t="str">
        <x:v>组件待审核</x:v>
      </x:c>
      <x:c r="M429" s="21" t="n">
        <x:v>36.3943367</x:v>
      </x:c>
      <x:c r="N429" s="21" t="n">
        <x:v>140.5242667</x:v>
      </x:c>
      <x:c r="O429" s="18" t="str">
        <x:v>002280</x:v>
      </x:c>
      <x:c r="P429" s="18" t="str">
        <x:v>常磐線</x:v>
      </x:c>
      <x:c r="Q429" s="19" t="str">
        <x:v>S12_061_GE_10000</x:v>
      </x:c>
      <x:c r="R429" s="19" t="str">
        <x:v>S12_061 usage threshold</x:v>
      </x:c>
      <x:c r="S429" s="19" t="str">
        <x:v>https://nlftp.mlit.go.jp/ksj/gml/datalist/KsjTmplt-S12-2024.html</x:v>
      </x:c>
      <x:c r="T429" s="19" t="str">
        <x:v>https://nlftp.mlit.go.jp/ksj/gml/datalist/KsjTmplt-S12-2024.html</x:v>
      </x:c>
      <x:c r="U429" s="19" t="str">
        <x:v>station-component|勝田|東日本旅客鉄道|conventional_rail|36.3943|140.5243|</x:v>
      </x:c>
      <x:c r="V429" s="19" t="str">
        <x:v>002280 / 002280 / 常磐線</x:v>
      </x:c>
      <x:c r="W429" s="18" t="str">
        <x:v>否</x:v>
      </x:c>
      <x:c r="X429" s="18" t="str">
        <x:v>0785e932a32b3ec15e1a1345537ae145eafe1c07bf38d5c16c11ee2b391e7a28</x:v>
      </x:c>
      <x:c r="Y429" s="20" t="n">
        <x:v>1</x:v>
      </x:c>
      <x:c r="Z429" s="20" t="n">
        <x:v>1</x:v>
      </x:c>
      <x:c r="AA429" s="19"/>
      <x:c r="AB429" s="18"/>
      <x:c r="AC429" s="19"/>
    </x:row>
    <x:row r="430" ht="28" customHeight="1">
      <x:c r="A430" s="18" t="str">
        <x:v>勝田台</x:v>
      </x:c>
      <x:c r="B430" s="18" t="str">
        <x:v>京成電鉄</x:v>
      </x:c>
      <x:c r="C430" s="18" t="str">
        <x:v>private_rail</x:v>
      </x:c>
      <x:c r="D430" s="19" t="str">
        <x:v>T2</x:v>
      </x:c>
      <x:c r="E430" s="20" t="n">
        <x:v>48485</x:v>
      </x:c>
      <x:c r="F430" s="18" t="str">
        <x:v>persons/day</x:v>
      </x:c>
      <x:c r="G430" s="18" t="str">
        <x:v>FY2024</x:v>
      </x:c>
      <x:c r="H430" s="18" t="str">
        <x:v>否</x:v>
      </x:c>
      <x:c r="I430" s="19" t="str">
        <x:v>DAILY_ENTRIES_EXITS</x:v>
      </x:c>
      <x:c r="J430" s="19" t="str">
        <x:v>本線</x:v>
      </x:c>
      <x:c r="K430" s="18" t="str">
        <x:v>transport-node:ab47f0c4-9379-525d-bb54-833b9e1e1f26</x:v>
      </x:c>
      <x:c r="L430" s="19" t="str">
        <x:v>组件待审核</x:v>
      </x:c>
      <x:c r="M430" s="21" t="n">
        <x:v>35.71539</x:v>
      </x:c>
      <x:c r="N430" s="21" t="n">
        <x:v>140.126045</x:v>
      </x:c>
      <x:c r="O430" s="18" t="str">
        <x:v>003492</x:v>
      </x:c>
      <x:c r="P430" s="18" t="str">
        <x:v>本線</x:v>
      </x:c>
      <x:c r="Q430" s="19" t="str">
        <x:v>S12_061_GE_10000</x:v>
      </x:c>
      <x:c r="R430" s="19" t="str">
        <x:v>S12_061 usage threshold</x:v>
      </x:c>
      <x:c r="S430" s="19" t="str">
        <x:v>https://nlftp.mlit.go.jp/ksj/gml/datalist/KsjTmplt-S12-2024.html</x:v>
      </x:c>
      <x:c r="T430" s="19" t="str">
        <x:v>https://nlftp.mlit.go.jp/ksj/gml/datalist/KsjTmplt-S12-2024.html</x:v>
      </x:c>
      <x:c r="U430" s="19" t="str">
        <x:v>station-component|勝田台|京成電鉄|private_rail|35.7154|140.1260|</x:v>
      </x:c>
      <x:c r="V430" s="19" t="str">
        <x:v>003492 / 003492 / 本線</x:v>
      </x:c>
      <x:c r="W430" s="18" t="str">
        <x:v>否</x:v>
      </x:c>
      <x:c r="X430" s="18" t="str">
        <x:v>0785e932a32b3ec15e1a1345537ae145eafe1c07bf38d5c16c11ee2b391e7a28</x:v>
      </x:c>
      <x:c r="Y430" s="20" t="n">
        <x:v>1</x:v>
      </x:c>
      <x:c r="Z430" s="20" t="n">
        <x:v>1</x:v>
      </x:c>
      <x:c r="AA430" s="19"/>
      <x:c r="AB430" s="18"/>
      <x:c r="AC430" s="19"/>
    </x:row>
    <x:row r="431" ht="28" customHeight="1">
      <x:c r="A431" s="18" t="str">
        <x:v>勾当台公園</x:v>
      </x:c>
      <x:c r="B431" s="18" t="str">
        <x:v>仙台市</x:v>
      </x:c>
      <x:c r="C431" s="18" t="str">
        <x:v>metro</x:v>
      </x:c>
      <x:c r="D431" s="19" t="str">
        <x:v>T2</x:v>
      </x:c>
      <x:c r="E431" s="20" t="n">
        <x:v>16938</x:v>
      </x:c>
      <x:c r="F431" s="18" t="str">
        <x:v>persons/day</x:v>
      </x:c>
      <x:c r="G431" s="18" t="str">
        <x:v>FY2024</x:v>
      </x:c>
      <x:c r="H431" s="18" t="str">
        <x:v>否</x:v>
      </x:c>
      <x:c r="I431" s="19" t="str">
        <x:v>DAILY_ENTRIES_EXITS</x:v>
      </x:c>
      <x:c r="J431" s="19" t="str">
        <x:v>南北線</x:v>
      </x:c>
      <x:c r="K431" s="18" t="str">
        <x:v>transport-node:0f0869bc-016e-5df6-8b3c-f9682aa72062</x:v>
      </x:c>
      <x:c r="L431" s="19" t="str">
        <x:v>组件待审核</x:v>
      </x:c>
      <x:c r="M431" s="21" t="n">
        <x:v>38.26673</x:v>
      </x:c>
      <x:c r="N431" s="21" t="n">
        <x:v>140.8712</x:v>
      </x:c>
      <x:c r="O431" s="18" t="str">
        <x:v>001169</x:v>
      </x:c>
      <x:c r="P431" s="18" t="str">
        <x:v>南北線</x:v>
      </x:c>
      <x:c r="Q431" s="19" t="str">
        <x:v>S12_061_GE_10000</x:v>
      </x:c>
      <x:c r="R431" s="19" t="str">
        <x:v>S12_061 usage threshold</x:v>
      </x:c>
      <x:c r="S431" s="19" t="str">
        <x:v>https://nlftp.mlit.go.jp/ksj/gml/datalist/KsjTmplt-S12-2024.html</x:v>
      </x:c>
      <x:c r="T431" s="19" t="str">
        <x:v>https://nlftp.mlit.go.jp/ksj/gml/datalist/KsjTmplt-S12-2024.html</x:v>
      </x:c>
      <x:c r="U431" s="19" t="str">
        <x:v>station-component|勾当台公園|仙台市|metro|38.2667|140.8712|</x:v>
      </x:c>
      <x:c r="V431" s="19" t="str">
        <x:v>001169 / 001169 / 南北線</x:v>
      </x:c>
      <x:c r="W431" s="18" t="str">
        <x:v>否</x:v>
      </x:c>
      <x:c r="X431" s="18" t="str">
        <x:v>0785e932a32b3ec15e1a1345537ae145eafe1c07bf38d5c16c11ee2b391e7a28</x:v>
      </x:c>
      <x:c r="Y431" s="20" t="n">
        <x:v>1</x:v>
      </x:c>
      <x:c r="Z431" s="20" t="n">
        <x:v>1</x:v>
      </x:c>
      <x:c r="AA431" s="19"/>
      <x:c r="AB431" s="18"/>
      <x:c r="AC431" s="19"/>
    </x:row>
    <x:row r="432" ht="28" customHeight="1">
      <x:c r="A432" s="18" t="str">
        <x:v>北12条</x:v>
      </x:c>
      <x:c r="B432" s="18" t="str">
        <x:v>札幌市</x:v>
      </x:c>
      <x:c r="C432" s="18" t="str">
        <x:v>metro</x:v>
      </x:c>
      <x:c r="D432" s="19" t="str">
        <x:v>T2</x:v>
      </x:c>
      <x:c r="E432" s="20" t="n">
        <x:v>12026</x:v>
      </x:c>
      <x:c r="F432" s="18" t="str">
        <x:v>persons/day</x:v>
      </x:c>
      <x:c r="G432" s="18" t="str">
        <x:v>FY2024</x:v>
      </x:c>
      <x:c r="H432" s="18" t="str">
        <x:v>否</x:v>
      </x:c>
      <x:c r="I432" s="19" t="str">
        <x:v>DAILY_ENTRIES_EXITS</x:v>
      </x:c>
      <x:c r="J432" s="19" t="str">
        <x:v>南北線</x:v>
      </x:c>
      <x:c r="K432" s="18" t="str">
        <x:v>transport-node:9930b9a0-9dea-59b3-9f29-8f215febeb31</x:v>
      </x:c>
      <x:c r="L432" s="19" t="str">
        <x:v>组件待审核</x:v>
      </x:c>
      <x:c r="M432" s="21" t="n">
        <x:v>43.0747</x:v>
      </x:c>
      <x:c r="N432" s="21" t="n">
        <x:v>141.348495</x:v>
      </x:c>
      <x:c r="O432" s="18" t="str">
        <x:v>000221</x:v>
      </x:c>
      <x:c r="P432" s="18" t="str">
        <x:v>南北線</x:v>
      </x:c>
      <x:c r="Q432" s="19" t="str">
        <x:v>S12_061_GE_10000</x:v>
      </x:c>
      <x:c r="R432" s="19" t="str">
        <x:v>S12_061 usage threshold</x:v>
      </x:c>
      <x:c r="S432" s="19" t="str">
        <x:v>https://nlftp.mlit.go.jp/ksj/gml/datalist/KsjTmplt-S12-2024.html</x:v>
      </x:c>
      <x:c r="T432" s="19" t="str">
        <x:v>https://nlftp.mlit.go.jp/ksj/gml/datalist/KsjTmplt-S12-2024.html</x:v>
      </x:c>
      <x:c r="U432" s="19" t="str">
        <x:v>station-component|北12条|札幌市|metro|43.0747|141.3485|</x:v>
      </x:c>
      <x:c r="V432" s="19" t="str">
        <x:v>000221 / 000221 / 南北線</x:v>
      </x:c>
      <x:c r="W432" s="18" t="str">
        <x:v>否</x:v>
      </x:c>
      <x:c r="X432" s="18" t="str">
        <x:v>0785e932a32b3ec15e1a1345537ae145eafe1c07bf38d5c16c11ee2b391e7a28</x:v>
      </x:c>
      <x:c r="Y432" s="20" t="n">
        <x:v>1</x:v>
      </x:c>
      <x:c r="Z432" s="20" t="n">
        <x:v>1</x:v>
      </x:c>
      <x:c r="AA432" s="19"/>
      <x:c r="AB432" s="18"/>
      <x:c r="AC432" s="19"/>
    </x:row>
    <x:row r="433" ht="28" customHeight="1">
      <x:c r="A433" s="18" t="str">
        <x:v>北18条</x:v>
      </x:c>
      <x:c r="B433" s="18" t="str">
        <x:v>札幌市</x:v>
      </x:c>
      <x:c r="C433" s="18" t="str">
        <x:v>metro</x:v>
      </x:c>
      <x:c r="D433" s="19" t="str">
        <x:v>T2</x:v>
      </x:c>
      <x:c r="E433" s="20" t="n">
        <x:v>15246</x:v>
      </x:c>
      <x:c r="F433" s="18" t="str">
        <x:v>persons/day</x:v>
      </x:c>
      <x:c r="G433" s="18" t="str">
        <x:v>FY2024</x:v>
      </x:c>
      <x:c r="H433" s="18" t="str">
        <x:v>否</x:v>
      </x:c>
      <x:c r="I433" s="19" t="str">
        <x:v>DAILY_ENTRIES_EXITS</x:v>
      </x:c>
      <x:c r="J433" s="19" t="str">
        <x:v>南北線</x:v>
      </x:c>
      <x:c r="K433" s="18" t="str">
        <x:v>transport-node:d9f0dfa8-f75b-5826-afb4-0ab75b56f82a</x:v>
      </x:c>
      <x:c r="L433" s="19" t="str">
        <x:v>组件待审核</x:v>
      </x:c>
      <x:c r="M433" s="21" t="n">
        <x:v>43.081645</x:v>
      </x:c>
      <x:c r="N433" s="21" t="n">
        <x:v>141.346755</x:v>
      </x:c>
      <x:c r="O433" s="18" t="str">
        <x:v>000215</x:v>
      </x:c>
      <x:c r="P433" s="18" t="str">
        <x:v>南北線</x:v>
      </x:c>
      <x:c r="Q433" s="19" t="str">
        <x:v>S12_061_GE_10000</x:v>
      </x:c>
      <x:c r="R433" s="19" t="str">
        <x:v>S12_061 usage threshold</x:v>
      </x:c>
      <x:c r="S433" s="19" t="str">
        <x:v>https://nlftp.mlit.go.jp/ksj/gml/datalist/KsjTmplt-S12-2024.html</x:v>
      </x:c>
      <x:c r="T433" s="19" t="str">
        <x:v>https://nlftp.mlit.go.jp/ksj/gml/datalist/KsjTmplt-S12-2024.html</x:v>
      </x:c>
      <x:c r="U433" s="19" t="str">
        <x:v>station-component|北18条|札幌市|metro|43.0816|141.3468|</x:v>
      </x:c>
      <x:c r="V433" s="19" t="str">
        <x:v>000215 / 000215 / 南北線</x:v>
      </x:c>
      <x:c r="W433" s="18" t="str">
        <x:v>否</x:v>
      </x:c>
      <x:c r="X433" s="18" t="str">
        <x:v>0785e932a32b3ec15e1a1345537ae145eafe1c07bf38d5c16c11ee2b391e7a28</x:v>
      </x:c>
      <x:c r="Y433" s="20" t="n">
        <x:v>1</x:v>
      </x:c>
      <x:c r="Z433" s="20" t="n">
        <x:v>1</x:v>
      </x:c>
      <x:c r="AA433" s="19"/>
      <x:c r="AB433" s="18"/>
      <x:c r="AC433" s="19"/>
    </x:row>
    <x:row r="434" ht="28" customHeight="1">
      <x:c r="A434" s="18" t="str">
        <x:v>北24条</x:v>
      </x:c>
      <x:c r="B434" s="18" t="str">
        <x:v>札幌市</x:v>
      </x:c>
      <x:c r="C434" s="18" t="str">
        <x:v>metro</x:v>
      </x:c>
      <x:c r="D434" s="19" t="str">
        <x:v>T2</x:v>
      </x:c>
      <x:c r="E434" s="20" t="n">
        <x:v>27898</x:v>
      </x:c>
      <x:c r="F434" s="18" t="str">
        <x:v>persons/day</x:v>
      </x:c>
      <x:c r="G434" s="18" t="str">
        <x:v>FY2024</x:v>
      </x:c>
      <x:c r="H434" s="18" t="str">
        <x:v>否</x:v>
      </x:c>
      <x:c r="I434" s="19" t="str">
        <x:v>DAILY_ENTRIES_EXITS</x:v>
      </x:c>
      <x:c r="J434" s="19" t="str">
        <x:v>南北線</x:v>
      </x:c>
      <x:c r="K434" s="18" t="str">
        <x:v>transport-node:4579dbca-17f5-59ea-b200-cf906298e0ba</x:v>
      </x:c>
      <x:c r="L434" s="19" t="str">
        <x:v>组件待审核</x:v>
      </x:c>
      <x:c r="M434" s="21" t="n">
        <x:v>43.08961</x:v>
      </x:c>
      <x:c r="N434" s="21" t="n">
        <x:v>141.344825</x:v>
      </x:c>
      <x:c r="O434" s="18" t="str">
        <x:v>000207</x:v>
      </x:c>
      <x:c r="P434" s="18" t="str">
        <x:v>南北線</x:v>
      </x:c>
      <x:c r="Q434" s="19" t="str">
        <x:v>S12_061_GE_10000</x:v>
      </x:c>
      <x:c r="R434" s="19" t="str">
        <x:v>S12_061 usage threshold</x:v>
      </x:c>
      <x:c r="S434" s="19" t="str">
        <x:v>https://nlftp.mlit.go.jp/ksj/gml/datalist/KsjTmplt-S12-2024.html</x:v>
      </x:c>
      <x:c r="T434" s="19" t="str">
        <x:v>https://nlftp.mlit.go.jp/ksj/gml/datalist/KsjTmplt-S12-2024.html</x:v>
      </x:c>
      <x:c r="U434" s="19" t="str">
        <x:v>station-component|北24条|札幌市|metro|43.0896|141.3448|</x:v>
      </x:c>
      <x:c r="V434" s="19" t="str">
        <x:v>000207 / 000207 / 南北線</x:v>
      </x:c>
      <x:c r="W434" s="18" t="str">
        <x:v>否</x:v>
      </x:c>
      <x:c r="X434" s="18" t="str">
        <x:v>0785e932a32b3ec15e1a1345537ae145eafe1c07bf38d5c16c11ee2b391e7a28</x:v>
      </x:c>
      <x:c r="Y434" s="20" t="n">
        <x:v>1</x:v>
      </x:c>
      <x:c r="Z434" s="20" t="n">
        <x:v>1</x:v>
      </x:c>
      <x:c r="AA434" s="19"/>
      <x:c r="AB434" s="18"/>
      <x:c r="AC434" s="19"/>
    </x:row>
    <x:row r="435" ht="28" customHeight="1">
      <x:c r="A435" s="18" t="str">
        <x:v>北34条</x:v>
      </x:c>
      <x:c r="B435" s="18" t="str">
        <x:v>札幌市</x:v>
      </x:c>
      <x:c r="C435" s="18" t="str">
        <x:v>metro</x:v>
      </x:c>
      <x:c r="D435" s="19" t="str">
        <x:v>T2</x:v>
      </x:c>
      <x:c r="E435" s="20" t="n">
        <x:v>14260</x:v>
      </x:c>
      <x:c r="F435" s="18" t="str">
        <x:v>persons/day</x:v>
      </x:c>
      <x:c r="G435" s="18" t="str">
        <x:v>FY2024</x:v>
      </x:c>
      <x:c r="H435" s="18" t="str">
        <x:v>否</x:v>
      </x:c>
      <x:c r="I435" s="19" t="str">
        <x:v>DAILY_ENTRIES_EXITS</x:v>
      </x:c>
      <x:c r="J435" s="19" t="str">
        <x:v>南北線</x:v>
      </x:c>
      <x:c r="K435" s="18" t="str">
        <x:v>transport-node:ce00eca1-6881-5033-bce8-7bb9a2bcbd3c</x:v>
      </x:c>
      <x:c r="L435" s="19" t="str">
        <x:v>组件待审核</x:v>
      </x:c>
      <x:c r="M435" s="21" t="n">
        <x:v>43.100105</x:v>
      </x:c>
      <x:c r="N435" s="21" t="n">
        <x:v>141.34213</x:v>
      </x:c>
      <x:c r="O435" s="18" t="str">
        <x:v>000203</x:v>
      </x:c>
      <x:c r="P435" s="18" t="str">
        <x:v>南北線</x:v>
      </x:c>
      <x:c r="Q435" s="19" t="str">
        <x:v>S12_061_GE_10000</x:v>
      </x:c>
      <x:c r="R435" s="19" t="str">
        <x:v>S12_061 usage threshold</x:v>
      </x:c>
      <x:c r="S435" s="19" t="str">
        <x:v>https://nlftp.mlit.go.jp/ksj/gml/datalist/KsjTmplt-S12-2024.html</x:v>
      </x:c>
      <x:c r="T435" s="19" t="str">
        <x:v>https://nlftp.mlit.go.jp/ksj/gml/datalist/KsjTmplt-S12-2024.html</x:v>
      </x:c>
      <x:c r="U435" s="19" t="str">
        <x:v>station-component|北34条|札幌市|metro|43.1001|141.3421|</x:v>
      </x:c>
      <x:c r="V435" s="19" t="str">
        <x:v>000203 / 000203 / 南北線</x:v>
      </x:c>
      <x:c r="W435" s="18" t="str">
        <x:v>否</x:v>
      </x:c>
      <x:c r="X435" s="18" t="str">
        <x:v>0785e932a32b3ec15e1a1345537ae145eafe1c07bf38d5c16c11ee2b391e7a28</x:v>
      </x:c>
      <x:c r="Y435" s="20" t="n">
        <x:v>1</x:v>
      </x:c>
      <x:c r="Z435" s="20" t="n">
        <x:v>1</x:v>
      </x:c>
      <x:c r="AA435" s="19"/>
      <x:c r="AB435" s="18"/>
      <x:c r="AC435" s="19"/>
    </x:row>
    <x:row r="436" ht="33" customHeight="1">
      <x:c r="A436" s="18" t="str">
        <x:v>北上</x:v>
      </x:c>
      <x:c r="B436" s="18" t="str">
        <x:v>東日本旅客鉄道</x:v>
      </x:c>
      <x:c r="C436" s="18" t="str">
        <x:v>shinkansen</x:v>
      </x:c>
      <x:c r="D436" s="19"/>
      <x:c r="E436" s="20" t="n">
        <x:v>1425</x:v>
      </x:c>
      <x:c r="F436" s="18" t="str">
        <x:v>boardings/day</x:v>
      </x:c>
      <x:c r="G436" s="18" t="str">
        <x:v>FY2024</x:v>
      </x:c>
      <x:c r="H436" s="18" t="str">
        <x:v>是</x:v>
      </x:c>
      <x:c r="I436" s="19" t="str">
        <x:v>DAILY_SHINKANSEN_BOARDINGS</x:v>
      </x:c>
      <x:c r="J436" s="19" t="str">
        <x:v>東北新幹線</x:v>
      </x:c>
      <x:c r="K436" s="18" t="str">
        <x:v>transport-node:e2f6a800-4df6-5df9-818c-a7a6036c5f15</x:v>
      </x:c>
      <x:c r="L436" s="19" t="str">
        <x:v>组件待审核</x:v>
      </x:c>
      <x:c r="M436" s="21" t="n">
        <x:v>39.28225</x:v>
      </x:c>
      <x:c r="N436" s="21" t="n">
        <x:v>141.1226075</x:v>
      </x:c>
      <x:c r="O436" s="18" t="str">
        <x:v>000911</x:v>
      </x:c>
      <x:c r="P436" s="18" t="str">
        <x:v>東北新幹線</x:v>
      </x:c>
      <x:c r="Q436" s="19" t="str">
        <x:v>SHINKANSEN</x:v>
      </x:c>
      <x:c r="R436" s="19" t="str">
        <x:v>Official fallback retained in published scope/unit; tier remains null pending metric/manual review.</x:v>
      </x:c>
      <x:c r="S436" s="19" t="str">
        <x:v>https://www.jreast.co.jp/company/data/passenger/2024_shinkansen.html/</x:v>
      </x:c>
      <x:c r="T436" s="19" t="str">
        <x:v>https://nlftp.mlit.go.jp/ksj/gml/datalist/KsjTmplt-S12-2024.html
https://www.jreast.co.jp/company/data/passenger/2024_shinkansen.html/</x:v>
      </x:c>
      <x:c r="U436" s="19" t="str">
        <x:v>station-component|北上|東日本旅客鉄道|shinkansen|39.2822|141.1226|</x:v>
      </x:c>
      <x:c r="V436" s="19" t="str">
        <x:v>000912 / 000911 / 東北新幹線</x:v>
      </x:c>
      <x:c r="W436" s="18" t="str">
        <x:v>否</x:v>
      </x:c>
      <x:c r="X436" s="18" t="str">
        <x:v>0785e932a32b3ec15e1a1345537ae145eafe1c07bf38d5c16c11ee2b391e7a28</x:v>
      </x:c>
      <x:c r="Y436" s="20" t="n">
        <x:v>1</x:v>
      </x:c>
      <x:c r="Z436" s="20" t="n">
        <x:v>2</x:v>
      </x:c>
      <x:c r="AA436" s="19"/>
      <x:c r="AB436" s="18"/>
      <x:c r="AC436" s="19"/>
    </x:row>
    <x:row r="437" ht="28" customHeight="1">
      <x:c r="A437" s="18" t="str">
        <x:v>北上尾</x:v>
      </x:c>
      <x:c r="B437" s="18" t="str">
        <x:v>東日本旅客鉄道</x:v>
      </x:c>
      <x:c r="C437" s="18" t="str">
        <x:v>conventional_rail</x:v>
      </x:c>
      <x:c r="D437" s="19" t="str">
        <x:v>T2</x:v>
      </x:c>
      <x:c r="E437" s="20" t="n">
        <x:v>29194</x:v>
      </x:c>
      <x:c r="F437" s="18" t="str">
        <x:v>persons/day</x:v>
      </x:c>
      <x:c r="G437" s="18" t="str">
        <x:v>FY2024</x:v>
      </x:c>
      <x:c r="H437" s="18" t="str">
        <x:v>否</x:v>
      </x:c>
      <x:c r="I437" s="19" t="str">
        <x:v>DAILY_ENTRIES_EXITS</x:v>
      </x:c>
      <x:c r="J437" s="19" t="str">
        <x:v>高崎線</x:v>
      </x:c>
      <x:c r="K437" s="18" t="str">
        <x:v>transport-node:a61829b3-6b3e-5549-89d9-612da920a8b3</x:v>
      </x:c>
      <x:c r="L437" s="19" t="str">
        <x:v>组件待审核</x:v>
      </x:c>
      <x:c r="M437" s="21" t="n">
        <x:v>35.98515</x:v>
      </x:c>
      <x:c r="N437" s="21" t="n">
        <x:v>139.577575</x:v>
      </x:c>
      <x:c r="O437" s="18" t="str">
        <x:v>002775</x:v>
      </x:c>
      <x:c r="P437" s="18" t="str">
        <x:v>高崎線</x:v>
      </x:c>
      <x:c r="Q437" s="19" t="str">
        <x:v>S12_061_GE_10000</x:v>
      </x:c>
      <x:c r="R437" s="19" t="str">
        <x:v>S12_061 usage threshold</x:v>
      </x:c>
      <x:c r="S437" s="19" t="str">
        <x:v>https://nlftp.mlit.go.jp/ksj/gml/datalist/KsjTmplt-S12-2024.html</x:v>
      </x:c>
      <x:c r="T437" s="19" t="str">
        <x:v>https://nlftp.mlit.go.jp/ksj/gml/datalist/KsjTmplt-S12-2024.html</x:v>
      </x:c>
      <x:c r="U437" s="19" t="str">
        <x:v>station-component|北上尾|東日本旅客鉄道|conventional_rail|35.9851|139.5776|</x:v>
      </x:c>
      <x:c r="V437" s="19" t="str">
        <x:v>002775 / 002775 / 高崎線</x:v>
      </x:c>
      <x:c r="W437" s="18" t="str">
        <x:v>否</x:v>
      </x:c>
      <x:c r="X437" s="18" t="str">
        <x:v>0785e932a32b3ec15e1a1345537ae145eafe1c07bf38d5c16c11ee2b391e7a28</x:v>
      </x:c>
      <x:c r="Y437" s="20" t="n">
        <x:v>1</x:v>
      </x:c>
      <x:c r="Z437" s="20" t="n">
        <x:v>1</x:v>
      </x:c>
      <x:c r="AA437" s="19"/>
      <x:c r="AB437" s="18"/>
      <x:c r="AC437" s="19"/>
    </x:row>
    <x:row r="438" ht="28" customHeight="1">
      <x:c r="A438" s="18" t="str">
        <x:v>北与野</x:v>
      </x:c>
      <x:c r="B438" s="18" t="str">
        <x:v>東日本旅客鉄道</x:v>
      </x:c>
      <x:c r="C438" s="18" t="str">
        <x:v>conventional_rail</x:v>
      </x:c>
      <x:c r="D438" s="19" t="str">
        <x:v>T2</x:v>
      </x:c>
      <x:c r="E438" s="20" t="n">
        <x:v>22262</x:v>
      </x:c>
      <x:c r="F438" s="18" t="str">
        <x:v>persons/day</x:v>
      </x:c>
      <x:c r="G438" s="18" t="str">
        <x:v>FY2024</x:v>
      </x:c>
      <x:c r="H438" s="18" t="str">
        <x:v>否</x:v>
      </x:c>
      <x:c r="I438" s="19" t="str">
        <x:v>DAILY_ENTRIES_EXITS</x:v>
      </x:c>
      <x:c r="J438" s="19" t="str">
        <x:v>東北線</x:v>
      </x:c>
      <x:c r="K438" s="18" t="str">
        <x:v>transport-node:a90203a2-d4fd-5f40-9248-073e96986b35</x:v>
      </x:c>
      <x:c r="L438" s="19" t="str">
        <x:v>组件待审核</x:v>
      </x:c>
      <x:c r="M438" s="21" t="n">
        <x:v>35.890765</x:v>
      </x:c>
      <x:c r="N438" s="21" t="n">
        <x:v>139.6285475</x:v>
      </x:c>
      <x:c r="O438" s="18" t="str">
        <x:v>002938</x:v>
      </x:c>
      <x:c r="P438" s="18" t="str">
        <x:v>東北線</x:v>
      </x:c>
      <x:c r="Q438" s="19" t="str">
        <x:v>S12_061_GE_10000</x:v>
      </x:c>
      <x:c r="R438" s="19" t="str">
        <x:v>S12_061 usage threshold</x:v>
      </x:c>
      <x:c r="S438" s="19" t="str">
        <x:v>https://nlftp.mlit.go.jp/ksj/gml/datalist/KsjTmplt-S12-2024.html</x:v>
      </x:c>
      <x:c r="T438" s="19" t="str">
        <x:v>https://nlftp.mlit.go.jp/ksj/gml/datalist/KsjTmplt-S12-2024.html</x:v>
      </x:c>
      <x:c r="U438" s="19" t="str">
        <x:v>station-component|北与野|東日本旅客鉄道|conventional_rail|35.8908|139.6285|</x:v>
      </x:c>
      <x:c r="V438" s="19" t="str">
        <x:v>002938 / 002938 / 東北線</x:v>
      </x:c>
      <x:c r="W438" s="18" t="str">
        <x:v>否</x:v>
      </x:c>
      <x:c r="X438" s="18" t="str">
        <x:v>0785e932a32b3ec15e1a1345537ae145eafe1c07bf38d5c16c11ee2b391e7a28</x:v>
      </x:c>
      <x:c r="Y438" s="20" t="n">
        <x:v>1</x:v>
      </x:c>
      <x:c r="Z438" s="20" t="n">
        <x:v>1</x:v>
      </x:c>
      <x:c r="AA438" s="19"/>
      <x:c r="AB438" s="18"/>
      <x:c r="AC438" s="19"/>
    </x:row>
    <x:row r="439" ht="28" customHeight="1">
      <x:c r="A439" s="18" t="str">
        <x:v>北久里浜</x:v>
      </x:c>
      <x:c r="B439" s="18" t="str">
        <x:v>京浜急行電鉄</x:v>
      </x:c>
      <x:c r="C439" s="18" t="str">
        <x:v>private_rail</x:v>
      </x:c>
      <x:c r="D439" s="19" t="str">
        <x:v>T2</x:v>
      </x:c>
      <x:c r="E439" s="20" t="n">
        <x:v>23095</x:v>
      </x:c>
      <x:c r="F439" s="18" t="str">
        <x:v>persons/day</x:v>
      </x:c>
      <x:c r="G439" s="18" t="str">
        <x:v>FY2024</x:v>
      </x:c>
      <x:c r="H439" s="18" t="str">
        <x:v>否</x:v>
      </x:c>
      <x:c r="I439" s="19" t="str">
        <x:v>DAILY_ENTRIES_EXITS</x:v>
      </x:c>
      <x:c r="J439" s="19" t="str">
        <x:v>久里浜線</x:v>
      </x:c>
      <x:c r="K439" s="18" t="str">
        <x:v>transport-node:e8a4d157-3e88-5327-9b29-06af3f6df7b0</x:v>
      </x:c>
      <x:c r="L439" s="19" t="str">
        <x:v>组件待审核</x:v>
      </x:c>
      <x:c r="M439" s="21" t="n">
        <x:v>35.249162</x:v>
      </x:c>
      <x:c r="N439" s="21" t="n">
        <x:v>139.68639</x:v>
      </x:c>
      <x:c r="O439" s="18" t="str">
        <x:v>005241</x:v>
      </x:c>
      <x:c r="P439" s="18" t="str">
        <x:v>久里浜線</x:v>
      </x:c>
      <x:c r="Q439" s="19" t="str">
        <x:v>S12_061_GE_10000</x:v>
      </x:c>
      <x:c r="R439" s="19" t="str">
        <x:v>S12_061 usage threshold</x:v>
      </x:c>
      <x:c r="S439" s="19" t="str">
        <x:v>https://nlftp.mlit.go.jp/ksj/gml/datalist/KsjTmplt-S12-2024.html</x:v>
      </x:c>
      <x:c r="T439" s="19" t="str">
        <x:v>https://nlftp.mlit.go.jp/ksj/gml/datalist/KsjTmplt-S12-2024.html</x:v>
      </x:c>
      <x:c r="U439" s="19" t="str">
        <x:v>station-component|北久里浜|京浜急行電鉄|private_rail|35.2492|139.6864|</x:v>
      </x:c>
      <x:c r="V439" s="19" t="str">
        <x:v>005241 / 005241 / 久里浜線</x:v>
      </x:c>
      <x:c r="W439" s="18" t="str">
        <x:v>否</x:v>
      </x:c>
      <x:c r="X439" s="18" t="str">
        <x:v>0785e932a32b3ec15e1a1345537ae145eafe1c07bf38d5c16c11ee2b391e7a28</x:v>
      </x:c>
      <x:c r="Y439" s="20" t="n">
        <x:v>1</x:v>
      </x:c>
      <x:c r="Z439" s="20" t="n">
        <x:v>1</x:v>
      </x:c>
      <x:c r="AA439" s="19"/>
      <x:c r="AB439" s="18"/>
      <x:c r="AC439" s="19"/>
    </x:row>
    <x:row r="440" ht="47" customHeight="1">
      <x:c r="A440" s="18" t="str">
        <x:v>北仙台</x:v>
      </x:c>
      <x:c r="B440" s="18" t="str">
        <x:v>仙台市</x:v>
      </x:c>
      <x:c r="C440" s="18" t="str">
        <x:v>metro</x:v>
      </x:c>
      <x:c r="D440" s="19" t="str">
        <x:v>T3</x:v>
      </x:c>
      <x:c r="E440" s="20" t="n">
        <x:v>8424</x:v>
      </x:c>
      <x:c r="F440" s="18" t="str">
        <x:v>persons/day</x:v>
      </x:c>
      <x:c r="G440" s="18" t="str">
        <x:v>FY2024</x:v>
      </x:c>
      <x:c r="H440" s="18" t="str">
        <x:v>否</x:v>
      </x:c>
      <x:c r="I440" s="19" t="str">
        <x:v>DAILY_ENTRIES_EXITS</x:v>
      </x:c>
      <x:c r="J440" s="19" t="str">
        <x:v>南北線</x:v>
      </x:c>
      <x:c r="K440" s="18" t="str">
        <x:v>transport-node:36e1e4e9-7e4c-57b5-8867-07358a8a45b8</x:v>
      </x:c>
      <x:c r="L440" s="19" t="str">
        <x:v>组件待审核</x:v>
      </x:c>
      <x:c r="M440" s="21" t="n">
        <x:v>38.28244</x:v>
      </x:c>
      <x:c r="N440" s="21" t="n">
        <x:v>140.86883</x:v>
      </x:c>
      <x:c r="O440" s="18" t="str">
        <x:v>001151</x:v>
      </x:c>
      <x:c r="P440" s="18" t="str">
        <x:v>南北線</x:v>
      </x:c>
      <x:c r="Q440" s="19" t="str">
        <x:v>OFFICIAL_HUB_COMPONENT_REVIEW</x:v>
      </x:c>
      <x:c r="R440" s="19" t="str">
        <x:v>S12_061 usage threshold; low-flow inclusion justified by official Hub component review</x:v>
      </x:c>
      <x:c r="S440" s="19" t="str">
        <x:v>https://nlftp.mlit.go.jp/ksj/gml/datalist/KsjTmplt-S12-2024.html</x:v>
      </x:c>
      <x:c r="T440" s="19" t="str">
        <x:v>https://nlftp.mlit.go.jp/ksj/gml/datalist/KsjTmplt-S12-2024.html
https://www.kotsu.city.sendai.jp/assets/img/subway/station/kita-sendai/N06_kitasendai_24.pdf</x:v>
      </x:c>
      <x:c r="U440" s="19" t="str">
        <x:v>station-component|北仙台|仙台市|metro|38.2824|140.8688|</x:v>
      </x:c>
      <x:c r="V440" s="19" t="str">
        <x:v>001151 / 001151 / 南北線</x:v>
      </x:c>
      <x:c r="W440" s="18" t="str">
        <x:v>否</x:v>
      </x:c>
      <x:c r="X440" s="18" t="str">
        <x:v>0785e932a32b3ec15e1a1345537ae145eafe1c07bf38d5c16c11ee2b391e7a28</x:v>
      </x:c>
      <x:c r="Y440" s="20" t="n">
        <x:v>1</x:v>
      </x:c>
      <x:c r="Z440" s="20" t="n">
        <x:v>1</x:v>
      </x:c>
      <x:c r="AA440" s="19" t="str">
        <x:v>北仙台</x:v>
      </x:c>
      <x:c r="AB440" s="18" t="str">
        <x:v>transport-hub-review:21271627-f15d-59ec-a1da-3dd532427eca</x:v>
      </x:c>
      <x:c r="AC440" s="19"/>
    </x:row>
    <x:row r="441" ht="47" customHeight="1">
      <x:c r="A441" s="18" t="str">
        <x:v>北仙台</x:v>
      </x:c>
      <x:c r="B441" s="18" t="str">
        <x:v>東日本旅客鉄道</x:v>
      </x:c>
      <x:c r="C441" s="18" t="str">
        <x:v>conventional_rail</x:v>
      </x:c>
      <x:c r="D441" s="19" t="str">
        <x:v>T3</x:v>
      </x:c>
      <x:c r="E441" s="20" t="n">
        <x:v>8564</x:v>
      </x:c>
      <x:c r="F441" s="18" t="str">
        <x:v>persons/day</x:v>
      </x:c>
      <x:c r="G441" s="18" t="str">
        <x:v>FY2024</x:v>
      </x:c>
      <x:c r="H441" s="18" t="str">
        <x:v>否</x:v>
      </x:c>
      <x:c r="I441" s="19" t="str">
        <x:v>DAILY_ENTRIES_EXITS</x:v>
      </x:c>
      <x:c r="J441" s="19" t="str">
        <x:v>仙山線</x:v>
      </x:c>
      <x:c r="K441" s="18" t="str">
        <x:v>transport-node:a0d97045-075c-5219-bf82-4f72da82591a</x:v>
      </x:c>
      <x:c r="L441" s="19" t="str">
        <x:v>组件待审核</x:v>
      </x:c>
      <x:c r="M441" s="21" t="n">
        <x:v>38.281615</x:v>
      </x:c>
      <x:c r="N441" s="21" t="n">
        <x:v>140.869955</x:v>
      </x:c>
      <x:c r="O441" s="18" t="str">
        <x:v>001152</x:v>
      </x:c>
      <x:c r="P441" s="18" t="str">
        <x:v>仙山線</x:v>
      </x:c>
      <x:c r="Q441" s="19" t="str">
        <x:v>OFFICIAL_HUB_COMPONENT_REVIEW</x:v>
      </x:c>
      <x:c r="R441" s="19" t="str">
        <x:v>S12_061 usage threshold; low-flow inclusion justified by official Hub component review</x:v>
      </x:c>
      <x:c r="S441" s="19" t="str">
        <x:v>https://nlftp.mlit.go.jp/ksj/gml/datalist/KsjTmplt-S12-2024.html</x:v>
      </x:c>
      <x:c r="T441" s="19" t="str">
        <x:v>https://nlftp.mlit.go.jp/ksj/gml/datalist/KsjTmplt-S12-2024.html
https://www.kotsu.city.sendai.jp/assets/img/subway/station/kita-sendai/N06_kitasendai_24.pdf</x:v>
      </x:c>
      <x:c r="U441" s="19" t="str">
        <x:v>station-component|北仙台|東日本旅客鉄道|conventional_rail|38.2816|140.8700|</x:v>
      </x:c>
      <x:c r="V441" s="19" t="str">
        <x:v>001151 / 001152 / 仙山線</x:v>
      </x:c>
      <x:c r="W441" s="18" t="str">
        <x:v>否</x:v>
      </x:c>
      <x:c r="X441" s="18" t="str">
        <x:v>0785e932a32b3ec15e1a1345537ae145eafe1c07bf38d5c16c11ee2b391e7a28</x:v>
      </x:c>
      <x:c r="Y441" s="20" t="n">
        <x:v>1</x:v>
      </x:c>
      <x:c r="Z441" s="20" t="n">
        <x:v>1</x:v>
      </x:c>
      <x:c r="AA441" s="19" t="str">
        <x:v>北仙台</x:v>
      </x:c>
      <x:c r="AB441" s="18" t="str">
        <x:v>transport-hub-review:21271627-f15d-59ec-a1da-3dd532427eca</x:v>
      </x:c>
      <x:c r="AC441" s="19"/>
    </x:row>
    <x:row r="442" ht="28" customHeight="1">
      <x:c r="A442" s="18" t="str">
        <x:v>北伊丹</x:v>
      </x:c>
      <x:c r="B442" s="18" t="str">
        <x:v>西日本旅客鉄道</x:v>
      </x:c>
      <x:c r="C442" s="18" t="str">
        <x:v>conventional_rail</x:v>
      </x:c>
      <x:c r="D442" s="19" t="str">
        <x:v>T2</x:v>
      </x:c>
      <x:c r="E442" s="20" t="n">
        <x:v>10310</x:v>
      </x:c>
      <x:c r="F442" s="18" t="str">
        <x:v>persons/day</x:v>
      </x:c>
      <x:c r="G442" s="18" t="str">
        <x:v>FY2024</x:v>
      </x:c>
      <x:c r="H442" s="18" t="str">
        <x:v>否</x:v>
      </x:c>
      <x:c r="I442" s="19" t="str">
        <x:v>DAILY_ENTRIES_EXITS</x:v>
      </x:c>
      <x:c r="J442" s="19" t="str">
        <x:v>福知山線</x:v>
      </x:c>
      <x:c r="K442" s="18" t="str">
        <x:v>transport-node:69f9040e-c93c-5428-a553-12a4ea04fda6</x:v>
      </x:c>
      <x:c r="L442" s="19" t="str">
        <x:v>组件待审核</x:v>
      </x:c>
      <x:c r="M442" s="21" t="n">
        <x:v>34.8011467</x:v>
      </x:c>
      <x:c r="N442" s="21" t="n">
        <x:v>135.4194867</x:v>
      </x:c>
      <x:c r="O442" s="18" t="str">
        <x:v>006624</x:v>
      </x:c>
      <x:c r="P442" s="18" t="str">
        <x:v>福知山線</x:v>
      </x:c>
      <x:c r="Q442" s="19" t="str">
        <x:v>S12_061_GE_10000</x:v>
      </x:c>
      <x:c r="R442" s="19" t="str">
        <x:v>S12_061 usage threshold</x:v>
      </x:c>
      <x:c r="S442" s="19" t="str">
        <x:v>https://nlftp.mlit.go.jp/ksj/gml/datalist/KsjTmplt-S12-2024.html</x:v>
      </x:c>
      <x:c r="T442" s="19" t="str">
        <x:v>https://nlftp.mlit.go.jp/ksj/gml/datalist/KsjTmplt-S12-2024.html</x:v>
      </x:c>
      <x:c r="U442" s="19" t="str">
        <x:v>station-component|北伊丹|西日本旅客鉄道|conventional_rail|34.8011|135.4195|</x:v>
      </x:c>
      <x:c r="V442" s="19" t="str">
        <x:v>006624 / 006624 / 福知山線</x:v>
      </x:c>
      <x:c r="W442" s="18" t="str">
        <x:v>否</x:v>
      </x:c>
      <x:c r="X442" s="18" t="str">
        <x:v>0785e932a32b3ec15e1a1345537ae145eafe1c07bf38d5c16c11ee2b391e7a28</x:v>
      </x:c>
      <x:c r="Y442" s="20" t="n">
        <x:v>1</x:v>
      </x:c>
      <x:c r="Z442" s="20" t="n">
        <x:v>1</x:v>
      </x:c>
      <x:c r="AA442" s="19"/>
      <x:c r="AB442" s="18"/>
      <x:c r="AC442" s="19"/>
    </x:row>
    <x:row r="443" ht="28" customHeight="1">
      <x:c r="A443" s="18" t="str">
        <x:v>北八王子</x:v>
      </x:c>
      <x:c r="B443" s="18" t="str">
        <x:v>東日本旅客鉄道</x:v>
      </x:c>
      <x:c r="C443" s="18" t="str">
        <x:v>conventional_rail</x:v>
      </x:c>
      <x:c r="D443" s="19" t="str">
        <x:v>T2</x:v>
      </x:c>
      <x:c r="E443" s="20" t="n">
        <x:v>13736</x:v>
      </x:c>
      <x:c r="F443" s="18" t="str">
        <x:v>persons/day</x:v>
      </x:c>
      <x:c r="G443" s="18" t="str">
        <x:v>FY2024</x:v>
      </x:c>
      <x:c r="H443" s="18" t="str">
        <x:v>否</x:v>
      </x:c>
      <x:c r="I443" s="19" t="str">
        <x:v>DAILY_ENTRIES_EXITS</x:v>
      </x:c>
      <x:c r="J443" s="19" t="str">
        <x:v>八高線</x:v>
      </x:c>
      <x:c r="K443" s="18" t="str">
        <x:v>transport-node:941fca51-8bf7-52a2-84cc-6fe2fd78e9c6</x:v>
      </x:c>
      <x:c r="L443" s="19" t="str">
        <x:v>组件待审核</x:v>
      </x:c>
      <x:c r="M443" s="21" t="n">
        <x:v>35.669275</x:v>
      </x:c>
      <x:c r="N443" s="21" t="n">
        <x:v>139.3634</x:v>
      </x:c>
      <x:c r="O443" s="18" t="str">
        <x:v>003841</x:v>
      </x:c>
      <x:c r="P443" s="18" t="str">
        <x:v>八高線</x:v>
      </x:c>
      <x:c r="Q443" s="19" t="str">
        <x:v>S12_061_GE_10000</x:v>
      </x:c>
      <x:c r="R443" s="19" t="str">
        <x:v>S12_061 usage threshold</x:v>
      </x:c>
      <x:c r="S443" s="19" t="str">
        <x:v>https://nlftp.mlit.go.jp/ksj/gml/datalist/KsjTmplt-S12-2024.html</x:v>
      </x:c>
      <x:c r="T443" s="19" t="str">
        <x:v>https://nlftp.mlit.go.jp/ksj/gml/datalist/KsjTmplt-S12-2024.html</x:v>
      </x:c>
      <x:c r="U443" s="19" t="str">
        <x:v>station-component|北八王子|東日本旅客鉄道|conventional_rail|35.6693|139.3634|</x:v>
      </x:c>
      <x:c r="V443" s="19" t="str">
        <x:v>003841 / 003841 / 八高線</x:v>
      </x:c>
      <x:c r="W443" s="18" t="str">
        <x:v>否</x:v>
      </x:c>
      <x:c r="X443" s="18" t="str">
        <x:v>0785e932a32b3ec15e1a1345537ae145eafe1c07bf38d5c16c11ee2b391e7a28</x:v>
      </x:c>
      <x:c r="Y443" s="20" t="n">
        <x:v>1</x:v>
      </x:c>
      <x:c r="Z443" s="20" t="n">
        <x:v>1</x:v>
      </x:c>
      <x:c r="AA443" s="19"/>
      <x:c r="AB443" s="18"/>
      <x:c r="AC443" s="19"/>
    </x:row>
    <x:row r="444" ht="28" customHeight="1">
      <x:c r="A444" s="18" t="str">
        <x:v>北加賀屋</x:v>
      </x:c>
      <x:c r="B444" s="18" t="str">
        <x:v>大阪市高速電気軌道</x:v>
      </x:c>
      <x:c r="C444" s="18" t="str">
        <x:v>metro</x:v>
      </x:c>
      <x:c r="D444" s="19" t="str">
        <x:v>T2</x:v>
      </x:c>
      <x:c r="E444" s="20" t="n">
        <x:v>23560</x:v>
      </x:c>
      <x:c r="F444" s="18" t="str">
        <x:v>persons/day</x:v>
      </x:c>
      <x:c r="G444" s="18" t="str">
        <x:v>FY2024</x:v>
      </x:c>
      <x:c r="H444" s="18" t="str">
        <x:v>否</x:v>
      </x:c>
      <x:c r="I444" s="19" t="str">
        <x:v>DAILY_ENTRIES_EXITS</x:v>
      </x:c>
      <x:c r="J444" s="19" t="str">
        <x:v>3号線(四つ橋線)</x:v>
      </x:c>
      <x:c r="K444" s="18" t="str">
        <x:v>transport-node:a5b72f39-751b-51e6-bd81-3a53e18f1246</x:v>
      </x:c>
      <x:c r="L444" s="19" t="str">
        <x:v>组件待审核</x:v>
      </x:c>
      <x:c r="M444" s="21" t="n">
        <x:v>34.621295</x:v>
      </x:c>
      <x:c r="N444" s="21" t="n">
        <x:v>135.479355</x:v>
      </x:c>
      <x:c r="O444" s="18" t="str">
        <x:v>007544</x:v>
      </x:c>
      <x:c r="P444" s="18" t="str">
        <x:v>3号線(四つ橋線)</x:v>
      </x:c>
      <x:c r="Q444" s="19" t="str">
        <x:v>S12_061_GE_10000</x:v>
      </x:c>
      <x:c r="R444" s="19" t="str">
        <x:v>S12_061 usage threshold</x:v>
      </x:c>
      <x:c r="S444" s="19" t="str">
        <x:v>https://nlftp.mlit.go.jp/ksj/gml/datalist/KsjTmplt-S12-2024.html</x:v>
      </x:c>
      <x:c r="T444" s="19" t="str">
        <x:v>https://nlftp.mlit.go.jp/ksj/gml/datalist/KsjTmplt-S12-2024.html</x:v>
      </x:c>
      <x:c r="U444" s="19" t="str">
        <x:v>station-component|北加賀屋|大阪市高速電気軌道|metro|34.6213|135.4794|</x:v>
      </x:c>
      <x:c r="V444" s="19" t="str">
        <x:v>007544 / 007544 / 3号線(四つ橋線)</x:v>
      </x:c>
      <x:c r="W444" s="18" t="str">
        <x:v>否</x:v>
      </x:c>
      <x:c r="X444" s="18" t="str">
        <x:v>0785e932a32b3ec15e1a1345537ae145eafe1c07bf38d5c16c11ee2b391e7a28</x:v>
      </x:c>
      <x:c r="Y444" s="20" t="n">
        <x:v>1</x:v>
      </x:c>
      <x:c r="Z444" s="20" t="n">
        <x:v>1</x:v>
      </x:c>
      <x:c r="AA444" s="19"/>
      <x:c r="AB444" s="18"/>
      <x:c r="AC444" s="19"/>
    </x:row>
    <x:row r="445" ht="28" customHeight="1">
      <x:c r="A445" s="18" t="str">
        <x:v>北助松</x:v>
      </x:c>
      <x:c r="B445" s="18" t="str">
        <x:v>南海電気鉄道</x:v>
      </x:c>
      <x:c r="C445" s="18" t="str">
        <x:v>private_rail</x:v>
      </x:c>
      <x:c r="D445" s="19" t="str">
        <x:v>T2</x:v>
      </x:c>
      <x:c r="E445" s="20" t="n">
        <x:v>11116</x:v>
      </x:c>
      <x:c r="F445" s="18" t="str">
        <x:v>persons/day</x:v>
      </x:c>
      <x:c r="G445" s="18" t="str">
        <x:v>FY2024</x:v>
      </x:c>
      <x:c r="H445" s="18" t="str">
        <x:v>否</x:v>
      </x:c>
      <x:c r="I445" s="19" t="str">
        <x:v>DAILY_ENTRIES_EXITS</x:v>
      </x:c>
      <x:c r="J445" s="19" t="str">
        <x:v>南海本線</x:v>
      </x:c>
      <x:c r="K445" s="18" t="str">
        <x:v>transport-node:d288dd59-6d8d-5656-a5fb-0aaee4fed2fb</x:v>
      </x:c>
      <x:c r="L445" s="19" t="str">
        <x:v>组件待审核</x:v>
      </x:c>
      <x:c r="M445" s="21" t="n">
        <x:v>34.51452</x:v>
      </x:c>
      <x:c r="N445" s="21" t="n">
        <x:v>135.42276</x:v>
      </x:c>
      <x:c r="O445" s="18" t="str">
        <x:v>007808</x:v>
      </x:c>
      <x:c r="P445" s="18" t="str">
        <x:v>南海本線</x:v>
      </x:c>
      <x:c r="Q445" s="19" t="str">
        <x:v>S12_061_GE_10000</x:v>
      </x:c>
      <x:c r="R445" s="19" t="str">
        <x:v>S12_061 usage threshold</x:v>
      </x:c>
      <x:c r="S445" s="19" t="str">
        <x:v>https://nlftp.mlit.go.jp/ksj/gml/datalist/KsjTmplt-S12-2024.html</x:v>
      </x:c>
      <x:c r="T445" s="19" t="str">
        <x:v>https://nlftp.mlit.go.jp/ksj/gml/datalist/KsjTmplt-S12-2024.html</x:v>
      </x:c>
      <x:c r="U445" s="19" t="str">
        <x:v>station-component|北助松|南海電気鉄道|private_rail|34.5145|135.4228|</x:v>
      </x:c>
      <x:c r="V445" s="19" t="str">
        <x:v>007808 / 007808 / 南海本線</x:v>
      </x:c>
      <x:c r="W445" s="18" t="str">
        <x:v>否</x:v>
      </x:c>
      <x:c r="X445" s="18" t="str">
        <x:v>0785e932a32b3ec15e1a1345537ae145eafe1c07bf38d5c16c11ee2b391e7a28</x:v>
      </x:c>
      <x:c r="Y445" s="20" t="n">
        <x:v>1</x:v>
      </x:c>
      <x:c r="Z445" s="20" t="n">
        <x:v>1</x:v>
      </x:c>
      <x:c r="AA445" s="19"/>
      <x:c r="AB445" s="18"/>
      <x:c r="AC445" s="19"/>
    </x:row>
    <x:row r="446" ht="33" customHeight="1">
      <x:c r="A446" s="18" t="str">
        <x:v>北千住</x:v>
      </x:c>
      <x:c r="B446" s="18" t="str">
        <x:v>東京地下鉄</x:v>
      </x:c>
      <x:c r="C446" s="18" t="str">
        <x:v>metro</x:v>
      </x:c>
      <x:c r="D446" s="19" t="str">
        <x:v>T0</x:v>
      </x:c>
      <x:c r="E446" s="20" t="n">
        <x:v>241001</x:v>
      </x:c>
      <x:c r="F446" s="18" t="str">
        <x:v>persons/day</x:v>
      </x:c>
      <x:c r="G446" s="18" t="str">
        <x:v>FY2024</x:v>
      </x:c>
      <x:c r="H446" s="18" t="str">
        <x:v>否</x:v>
      </x:c>
      <x:c r="I446" s="19" t="str">
        <x:v>DAILY_ENTRIES_EXITS</x:v>
      </x:c>
      <x:c r="J446" s="19" t="str">
        <x:v>2号線日比谷線
9号線千代田線</x:v>
      </x:c>
      <x:c r="K446" s="18" t="str">
        <x:v>transport-node:1c7ef2fa-399b-5a8f-9f4b-367c48b4554f</x:v>
      </x:c>
      <x:c r="L446" s="19" t="str">
        <x:v>组件待审核</x:v>
      </x:c>
      <x:c r="M446" s="21" t="n">
        <x:v>35.7491267</x:v>
      </x:c>
      <x:c r="N446" s="21" t="n">
        <x:v>139.8043867</x:v>
      </x:c>
      <x:c r="O446" s="18" t="str">
        <x:v>003264</x:v>
      </x:c>
      <x:c r="P446" s="18" t="str">
        <x:v>9号線千代田線</x:v>
      </x:c>
      <x:c r="Q446" s="19" t="str">
        <x:v>S12_061_GE_10000
OFFICIAL_HUB_COMPONENT_REVIEW</x:v>
      </x:c>
      <x:c r="R446" s="19" t="str">
        <x:v>S12_061 usage threshold</x:v>
      </x:c>
      <x:c r="S446" s="19" t="str">
        <x:v>https://nlftp.mlit.go.jp/ksj/gml/datalist/KsjTmplt-S12-2024.html</x:v>
      </x:c>
      <x:c r="T446" s="19" t="str">
        <x:v>https://nlftp.mlit.go.jp/ksj/gml/datalist/KsjTmplt-S12-2024.html
https://www.tokyometro.jp/station/kita-senju/index.html</x:v>
      </x:c>
      <x:c r="U446" s="19" t="str">
        <x:v>station-component|北千住|東京地下鉄|metro|35.7491|139.8044|</x:v>
      </x:c>
      <x:c r="V446" s="19" t="str">
        <x:v>003260 / 003257 / 2号線日比谷線
003260 / 003264 / 9号線千代田線</x:v>
      </x:c>
      <x:c r="W446" s="18" t="str">
        <x:v>否</x:v>
      </x:c>
      <x:c r="X446" s="18" t="str">
        <x:v>0785e932a32b3ec15e1a1345537ae145eafe1c07bf38d5c16c11ee2b391e7a28</x:v>
      </x:c>
      <x:c r="Y446" s="20" t="n">
        <x:v>1</x:v>
      </x:c>
      <x:c r="Z446" s="20" t="n">
        <x:v>1</x:v>
      </x:c>
      <x:c r="AA446" s="19" t="str">
        <x:v>北千住</x:v>
      </x:c>
      <x:c r="AB446" s="18" t="str">
        <x:v>transport-hub-review:b18268e1-fe40-50f5-acc2-b6387feb7706</x:v>
      </x:c>
      <x:c r="AC446" s="19"/>
    </x:row>
    <x:row r="447" ht="33" customHeight="1">
      <x:c r="A447" s="18" t="str">
        <x:v>北千住</x:v>
      </x:c>
      <x:c r="B447" s="18" t="str">
        <x:v>東日本旅客鉄道</x:v>
      </x:c>
      <x:c r="C447" s="18" t="str">
        <x:v>conventional_rail</x:v>
      </x:c>
      <x:c r="D447" s="19" t="str">
        <x:v>T0</x:v>
      </x:c>
      <x:c r="E447" s="20" t="n">
        <x:v>397464</x:v>
      </x:c>
      <x:c r="F447" s="18" t="str">
        <x:v>persons/day</x:v>
      </x:c>
      <x:c r="G447" s="18" t="str">
        <x:v>FY2024</x:v>
      </x:c>
      <x:c r="H447" s="18" t="str">
        <x:v>否</x:v>
      </x:c>
      <x:c r="I447" s="19" t="str">
        <x:v>DAILY_ENTRIES_EXITS</x:v>
      </x:c>
      <x:c r="J447" s="19" t="str">
        <x:v>常磐線</x:v>
      </x:c>
      <x:c r="K447" s="18" t="str">
        <x:v>transport-node:02e3a8fa-065e-5604-b60a-572ff7a74018</x:v>
      </x:c>
      <x:c r="L447" s="19" t="str">
        <x:v>组件待审核</x:v>
      </x:c>
      <x:c r="M447" s="21" t="n">
        <x:v>35.748845</x:v>
      </x:c>
      <x:c r="N447" s="21" t="n">
        <x:v>139.80464</x:v>
      </x:c>
      <x:c r="O447" s="18" t="str">
        <x:v>003267</x:v>
      </x:c>
      <x:c r="P447" s="18" t="str">
        <x:v>常磐線</x:v>
      </x:c>
      <x:c r="Q447" s="19" t="str">
        <x:v>S12_061_GE_10000
OFFICIAL_HUB_COMPONENT_REVIEW</x:v>
      </x:c>
      <x:c r="R447" s="19" t="str">
        <x:v>S12_061 usage threshold</x:v>
      </x:c>
      <x:c r="S447" s="19" t="str">
        <x:v>https://nlftp.mlit.go.jp/ksj/gml/datalist/KsjTmplt-S12-2024.html</x:v>
      </x:c>
      <x:c r="T447" s="19" t="str">
        <x:v>https://nlftp.mlit.go.jp/ksj/gml/datalist/KsjTmplt-S12-2024.html
https://www.tokyometro.jp/station/kita-senju/index.html</x:v>
      </x:c>
      <x:c r="U447" s="19" t="str">
        <x:v>station-component|北千住|東日本旅客鉄道|conventional_rail|35.7488|139.8046|</x:v>
      </x:c>
      <x:c r="V447" s="19" t="str">
        <x:v>003260 / 003267 / 常磐線</x:v>
      </x:c>
      <x:c r="W447" s="18" t="str">
        <x:v>否</x:v>
      </x:c>
      <x:c r="X447" s="18" t="str">
        <x:v>0785e932a32b3ec15e1a1345537ae145eafe1c07bf38d5c16c11ee2b391e7a28</x:v>
      </x:c>
      <x:c r="Y447" s="20" t="n">
        <x:v>1</x:v>
      </x:c>
      <x:c r="Z447" s="20" t="n">
        <x:v>1</x:v>
      </x:c>
      <x:c r="AA447" s="19" t="str">
        <x:v>北千住</x:v>
      </x:c>
      <x:c r="AB447" s="18" t="str">
        <x:v>transport-hub-review:b18268e1-fe40-50f5-acc2-b6387feb7706</x:v>
      </x:c>
      <x:c r="AC447" s="19"/>
    </x:row>
    <x:row r="448" ht="33" customHeight="1">
      <x:c r="A448" s="18" t="str">
        <x:v>北千住</x:v>
      </x:c>
      <x:c r="B448" s="18" t="str">
        <x:v>東武鉄道</x:v>
      </x:c>
      <x:c r="C448" s="18" t="str">
        <x:v>private_rail</x:v>
      </x:c>
      <x:c r="D448" s="19" t="str">
        <x:v>T0</x:v>
      </x:c>
      <x:c r="E448" s="20" t="n">
        <x:v>688265</x:v>
      </x:c>
      <x:c r="F448" s="18" t="str">
        <x:v>persons/day</x:v>
      </x:c>
      <x:c r="G448" s="18" t="str">
        <x:v>FY2024</x:v>
      </x:c>
      <x:c r="H448" s="18" t="str">
        <x:v>否</x:v>
      </x:c>
      <x:c r="I448" s="19" t="str">
        <x:v>DAILY_ENTRIES_EXITS</x:v>
      </x:c>
      <x:c r="J448" s="19" t="str">
        <x:v>伊勢崎線</x:v>
      </x:c>
      <x:c r="K448" s="18" t="str">
        <x:v>transport-node:390570ba-7dc1-5585-ad2e-98d2d52203c8</x:v>
      </x:c>
      <x:c r="L448" s="19" t="str">
        <x:v>组件待审核</x:v>
      </x:c>
      <x:c r="M448" s="21" t="n">
        <x:v>35.74981</x:v>
      </x:c>
      <x:c r="N448" s="21" t="n">
        <x:v>139.8055625</x:v>
      </x:c>
      <x:c r="O448" s="18" t="str">
        <x:v>003258</x:v>
      </x:c>
      <x:c r="P448" s="18" t="str">
        <x:v>伊勢崎線</x:v>
      </x:c>
      <x:c r="Q448" s="19" t="str">
        <x:v>S12_061_GE_10000
OFFICIAL_HUB_COMPONENT_REVIEW</x:v>
      </x:c>
      <x:c r="R448" s="19" t="str">
        <x:v>S12_061 usage threshold</x:v>
      </x:c>
      <x:c r="S448" s="19" t="str">
        <x:v>https://nlftp.mlit.go.jp/ksj/gml/datalist/KsjTmplt-S12-2024.html</x:v>
      </x:c>
      <x:c r="T448" s="19" t="str">
        <x:v>https://nlftp.mlit.go.jp/ksj/gml/datalist/KsjTmplt-S12-2024.html
https://www.tokyometro.jp/station/kita-senju/index.html</x:v>
      </x:c>
      <x:c r="U448" s="19" t="str">
        <x:v>station-component|北千住|東武鉄道|private_rail|35.7498|139.8056|</x:v>
      </x:c>
      <x:c r="V448" s="19" t="str">
        <x:v>003260 / 003258 / 伊勢崎線</x:v>
      </x:c>
      <x:c r="W448" s="18" t="str">
        <x:v>否</x:v>
      </x:c>
      <x:c r="X448" s="18" t="str">
        <x:v>0785e932a32b3ec15e1a1345537ae145eafe1c07bf38d5c16c11ee2b391e7a28</x:v>
      </x:c>
      <x:c r="Y448" s="20" t="n">
        <x:v>1</x:v>
      </x:c>
      <x:c r="Z448" s="20" t="n">
        <x:v>1</x:v>
      </x:c>
      <x:c r="AA448" s="19" t="str">
        <x:v>北千住</x:v>
      </x:c>
      <x:c r="AB448" s="18" t="str">
        <x:v>transport-hub-review:b18268e1-fe40-50f5-acc2-b6387feb7706</x:v>
      </x:c>
      <x:c r="AC448" s="19"/>
    </x:row>
    <x:row r="449" ht="33" customHeight="1">
      <x:c r="A449" s="18" t="str">
        <x:v>北千住</x:v>
      </x:c>
      <x:c r="B449" s="18" t="str">
        <x:v>首都圏新都市鉄道</x:v>
      </x:c>
      <x:c r="C449" s="18" t="str">
        <x:v>private_rail</x:v>
      </x:c>
      <x:c r="D449" s="19" t="str">
        <x:v>T1</x:v>
      </x:c>
      <x:c r="E449" s="20" t="n">
        <x:v>108181</x:v>
      </x:c>
      <x:c r="F449" s="18" t="str">
        <x:v>persons/day</x:v>
      </x:c>
      <x:c r="G449" s="18" t="str">
        <x:v>FY2024</x:v>
      </x:c>
      <x:c r="H449" s="18" t="str">
        <x:v>否</x:v>
      </x:c>
      <x:c r="I449" s="19" t="str">
        <x:v>DAILY_ENTRIES_EXITS</x:v>
      </x:c>
      <x:c r="J449" s="19" t="str">
        <x:v>常磐新線</x:v>
      </x:c>
      <x:c r="K449" s="18" t="str">
        <x:v>transport-node:6c706616-6abf-5686-ba59-a3cd186dba62</x:v>
      </x:c>
      <x:c r="L449" s="19" t="str">
        <x:v>组件待审核</x:v>
      </x:c>
      <x:c r="M449" s="21" t="n">
        <x:v>35.749865</x:v>
      </x:c>
      <x:c r="N449" s="21" t="n">
        <x:v>139.805175</x:v>
      </x:c>
      <x:c r="O449" s="18" t="str">
        <x:v>003260</x:v>
      </x:c>
      <x:c r="P449" s="18" t="str">
        <x:v>常磐新線</x:v>
      </x:c>
      <x:c r="Q449" s="19" t="str">
        <x:v>S12_061_GE_10000
OFFICIAL_HUB_COMPONENT_REVIEW</x:v>
      </x:c>
      <x:c r="R449" s="19" t="str">
        <x:v>S12_061 usage threshold</x:v>
      </x:c>
      <x:c r="S449" s="19" t="str">
        <x:v>https://nlftp.mlit.go.jp/ksj/gml/datalist/KsjTmplt-S12-2024.html</x:v>
      </x:c>
      <x:c r="T449" s="19" t="str">
        <x:v>https://nlftp.mlit.go.jp/ksj/gml/datalist/KsjTmplt-S12-2024.html
https://www.tokyometro.jp/station/kita-senju/index.html</x:v>
      </x:c>
      <x:c r="U449" s="19" t="str">
        <x:v>station-component|北千住|首都圏新都市鉄道|private_rail|35.7499|139.8052|</x:v>
      </x:c>
      <x:c r="V449" s="19" t="str">
        <x:v>003260 / 003260 / 常磐新線</x:v>
      </x:c>
      <x:c r="W449" s="18" t="str">
        <x:v>否</x:v>
      </x:c>
      <x:c r="X449" s="18" t="str">
        <x:v>0785e932a32b3ec15e1a1345537ae145eafe1c07bf38d5c16c11ee2b391e7a28</x:v>
      </x:c>
      <x:c r="Y449" s="20" t="n">
        <x:v>1</x:v>
      </x:c>
      <x:c r="Z449" s="20" t="n">
        <x:v>1</x:v>
      </x:c>
      <x:c r="AA449" s="19" t="str">
        <x:v>北千住</x:v>
      </x:c>
      <x:c r="AB449" s="18" t="str">
        <x:v>transport-hub-review:b18268e1-fe40-50f5-acc2-b6387feb7706</x:v>
      </x:c>
      <x:c r="AC449" s="19"/>
    </x:row>
    <x:row r="450" ht="28" customHeight="1">
      <x:c r="A450" s="18" t="str">
        <x:v>北千里</x:v>
      </x:c>
      <x:c r="B450" s="18" t="str">
        <x:v>阪急電鉄</x:v>
      </x:c>
      <x:c r="C450" s="18" t="str">
        <x:v>private_rail</x:v>
      </x:c>
      <x:c r="D450" s="19" t="str">
        <x:v>T2</x:v>
      </x:c>
      <x:c r="E450" s="20" t="n">
        <x:v>22069</x:v>
      </x:c>
      <x:c r="F450" s="18" t="str">
        <x:v>persons/day</x:v>
      </x:c>
      <x:c r="G450" s="18" t="str">
        <x:v>FY2024</x:v>
      </x:c>
      <x:c r="H450" s="18" t="str">
        <x:v>否</x:v>
      </x:c>
      <x:c r="I450" s="19" t="str">
        <x:v>DAILY_ENTRIES_EXITS</x:v>
      </x:c>
      <x:c r="J450" s="19" t="str">
        <x:v>千里線</x:v>
      </x:c>
      <x:c r="K450" s="18" t="str">
        <x:v>transport-node:1b5f274c-8c11-5e49-97b4-09e22c9e74da</x:v>
      </x:c>
      <x:c r="L450" s="19" t="str">
        <x:v>组件待审核</x:v>
      </x:c>
      <x:c r="M450" s="21" t="n">
        <x:v>34.819905</x:v>
      </x:c>
      <x:c r="N450" s="21" t="n">
        <x:v>135.51103</x:v>
      </x:c>
      <x:c r="O450" s="18" t="str">
        <x:v>006543</x:v>
      </x:c>
      <x:c r="P450" s="18" t="str">
        <x:v>千里線</x:v>
      </x:c>
      <x:c r="Q450" s="19" t="str">
        <x:v>S12_061_GE_10000</x:v>
      </x:c>
      <x:c r="R450" s="19" t="str">
        <x:v>S12_061 usage threshold</x:v>
      </x:c>
      <x:c r="S450" s="19" t="str">
        <x:v>https://nlftp.mlit.go.jp/ksj/gml/datalist/KsjTmplt-S12-2024.html</x:v>
      </x:c>
      <x:c r="T450" s="19" t="str">
        <x:v>https://nlftp.mlit.go.jp/ksj/gml/datalist/KsjTmplt-S12-2024.html</x:v>
      </x:c>
      <x:c r="U450" s="19" t="str">
        <x:v>station-component|北千里|阪急電鉄|private_rail|34.8199|135.5110|</x:v>
      </x:c>
      <x:c r="V450" s="19" t="str">
        <x:v>006543 / 006543 / 千里線</x:v>
      </x:c>
      <x:c r="W450" s="18" t="str">
        <x:v>否</x:v>
      </x:c>
      <x:c r="X450" s="18" t="str">
        <x:v>0785e932a32b3ec15e1a1345537ae145eafe1c07bf38d5c16c11ee2b391e7a28</x:v>
      </x:c>
      <x:c r="Y450" s="20" t="n">
        <x:v>1</x:v>
      </x:c>
      <x:c r="Z450" s="20" t="n">
        <x:v>1</x:v>
      </x:c>
      <x:c r="AA450" s="19"/>
      <x:c r="AB450" s="18"/>
      <x:c r="AC450" s="19"/>
    </x:row>
    <x:row r="451" ht="28" customHeight="1">
      <x:c r="A451" s="18" t="str">
        <x:v>北参道</x:v>
      </x:c>
      <x:c r="B451" s="18" t="str">
        <x:v>東京地下鉄</x:v>
      </x:c>
      <x:c r="C451" s="18" t="str">
        <x:v>metro</x:v>
      </x:c>
      <x:c r="D451" s="19" t="str">
        <x:v>T2</x:v>
      </x:c>
      <x:c r="E451" s="20" t="n">
        <x:v>23768</x:v>
      </x:c>
      <x:c r="F451" s="18" t="str">
        <x:v>persons/day</x:v>
      </x:c>
      <x:c r="G451" s="18" t="str">
        <x:v>FY2024</x:v>
      </x:c>
      <x:c r="H451" s="18" t="str">
        <x:v>否</x:v>
      </x:c>
      <x:c r="I451" s="19" t="str">
        <x:v>DAILY_ENTRIES_EXITS</x:v>
      </x:c>
      <x:c r="J451" s="19" t="str">
        <x:v>13号線副都心線</x:v>
      </x:c>
      <x:c r="K451" s="18" t="str">
        <x:v>transport-node:4dc77710-faac-54a8-953f-464e51d673e0</x:v>
      </x:c>
      <x:c r="L451" s="19" t="str">
        <x:v>组件待审核</x:v>
      </x:c>
      <x:c r="M451" s="21" t="n">
        <x:v>35.6782367</x:v>
      </x:c>
      <x:c r="N451" s="21" t="n">
        <x:v>139.7056433</x:v>
      </x:c>
      <x:c r="O451" s="18" t="str">
        <x:v>003780</x:v>
      </x:c>
      <x:c r="P451" s="18" t="str">
        <x:v>13号線副都心線</x:v>
      </x:c>
      <x:c r="Q451" s="19" t="str">
        <x:v>S12_061_GE_10000</x:v>
      </x:c>
      <x:c r="R451" s="19" t="str">
        <x:v>S12_061 usage threshold</x:v>
      </x:c>
      <x:c r="S451" s="19" t="str">
        <x:v>https://nlftp.mlit.go.jp/ksj/gml/datalist/KsjTmplt-S12-2024.html</x:v>
      </x:c>
      <x:c r="T451" s="19" t="str">
        <x:v>https://nlftp.mlit.go.jp/ksj/gml/datalist/KsjTmplt-S12-2024.html</x:v>
      </x:c>
      <x:c r="U451" s="19" t="str">
        <x:v>station-component|北参道|東京地下鉄|metro|35.6782|139.7056|</x:v>
      </x:c>
      <x:c r="V451" s="19" t="str">
        <x:v>003780 / 003780 / 13号線副都心線</x:v>
      </x:c>
      <x:c r="W451" s="18" t="str">
        <x:v>否</x:v>
      </x:c>
      <x:c r="X451" s="18" t="str">
        <x:v>0785e932a32b3ec15e1a1345537ae145eafe1c07bf38d5c16c11ee2b391e7a28</x:v>
      </x:c>
      <x:c r="Y451" s="20" t="n">
        <x:v>1</x:v>
      </x:c>
      <x:c r="Z451" s="20" t="n">
        <x:v>1</x:v>
      </x:c>
      <x:c r="AA451" s="19"/>
      <x:c r="AB451" s="18"/>
      <x:c r="AC451" s="19"/>
    </x:row>
    <x:row r="452" ht="28" customHeight="1">
      <x:c r="A452" s="18" t="str">
        <x:v>北坂戸</x:v>
      </x:c>
      <x:c r="B452" s="18" t="str">
        <x:v>東武鉄道</x:v>
      </x:c>
      <x:c r="C452" s="18" t="str">
        <x:v>private_rail</x:v>
      </x:c>
      <x:c r="D452" s="19" t="str">
        <x:v>T2</x:v>
      </x:c>
      <x:c r="E452" s="20" t="n">
        <x:v>18619</x:v>
      </x:c>
      <x:c r="F452" s="18" t="str">
        <x:v>persons/day</x:v>
      </x:c>
      <x:c r="G452" s="18" t="str">
        <x:v>FY2024</x:v>
      </x:c>
      <x:c r="H452" s="18" t="str">
        <x:v>否</x:v>
      </x:c>
      <x:c r="I452" s="19" t="str">
        <x:v>DAILY_ENTRIES_EXITS</x:v>
      </x:c>
      <x:c r="J452" s="19" t="str">
        <x:v>東上本線</x:v>
      </x:c>
      <x:c r="K452" s="18" t="str">
        <x:v>transport-node:d86d6638-bd29-58f4-94cd-4ffdeb3bc124</x:v>
      </x:c>
      <x:c r="L452" s="19" t="str">
        <x:v>组件待审核</x:v>
      </x:c>
      <x:c r="M452" s="21" t="n">
        <x:v>35.97198</x:v>
      </x:c>
      <x:c r="N452" s="21" t="n">
        <x:v>139.396845</x:v>
      </x:c>
      <x:c r="O452" s="18" t="str">
        <x:v>002800</x:v>
      </x:c>
      <x:c r="P452" s="18" t="str">
        <x:v>東上本線</x:v>
      </x:c>
      <x:c r="Q452" s="19" t="str">
        <x:v>S12_061_GE_10000</x:v>
      </x:c>
      <x:c r="R452" s="19" t="str">
        <x:v>S12_061 usage threshold</x:v>
      </x:c>
      <x:c r="S452" s="19" t="str">
        <x:v>https://nlftp.mlit.go.jp/ksj/gml/datalist/KsjTmplt-S12-2024.html</x:v>
      </x:c>
      <x:c r="T452" s="19" t="str">
        <x:v>https://nlftp.mlit.go.jp/ksj/gml/datalist/KsjTmplt-S12-2024.html</x:v>
      </x:c>
      <x:c r="U452" s="19" t="str">
        <x:v>station-component|北坂戸|東武鉄道|private_rail|35.9720|139.3968|</x:v>
      </x:c>
      <x:c r="V452" s="19" t="str">
        <x:v>002800 / 002800 / 東上本線</x:v>
      </x:c>
      <x:c r="W452" s="18" t="str">
        <x:v>否</x:v>
      </x:c>
      <x:c r="X452" s="18" t="str">
        <x:v>0785e932a32b3ec15e1a1345537ae145eafe1c07bf38d5c16c11ee2b391e7a28</x:v>
      </x:c>
      <x:c r="Y452" s="20" t="n">
        <x:v>1</x:v>
      </x:c>
      <x:c r="Z452" s="20" t="n">
        <x:v>1</x:v>
      </x:c>
      <x:c r="AA452" s="19"/>
      <x:c r="AB452" s="18"/>
      <x:c r="AC452" s="19"/>
    </x:row>
    <x:row r="453" ht="28" customHeight="1">
      <x:c r="A453" s="18" t="str">
        <x:v>北大路</x:v>
      </x:c>
      <x:c r="B453" s="18" t="str">
        <x:v>京都市</x:v>
      </x:c>
      <x:c r="C453" s="18" t="str">
        <x:v>metro</x:v>
      </x:c>
      <x:c r="D453" s="19" t="str">
        <x:v>T2</x:v>
      </x:c>
      <x:c r="E453" s="20" t="n">
        <x:v>31135</x:v>
      </x:c>
      <x:c r="F453" s="18" t="str">
        <x:v>persons/day</x:v>
      </x:c>
      <x:c r="G453" s="18" t="str">
        <x:v>FY2024</x:v>
      </x:c>
      <x:c r="H453" s="18" t="str">
        <x:v>否</x:v>
      </x:c>
      <x:c r="I453" s="19" t="str">
        <x:v>DAILY_ENTRIES_EXITS</x:v>
      </x:c>
      <x:c r="J453" s="19" t="str">
        <x:v>烏丸線</x:v>
      </x:c>
      <x:c r="K453" s="18" t="str">
        <x:v>transport-node:6a5a79a2-2c00-5f6f-ba63-a23d2dc4eea7</x:v>
      </x:c>
      <x:c r="L453" s="19" t="str">
        <x:v>组件待审核</x:v>
      </x:c>
      <x:c r="M453" s="21" t="n">
        <x:v>35.044055</x:v>
      </x:c>
      <x:c r="N453" s="21" t="n">
        <x:v>135.758385</x:v>
      </x:c>
      <x:c r="O453" s="18" t="str">
        <x:v>005845</x:v>
      </x:c>
      <x:c r="P453" s="18" t="str">
        <x:v>烏丸線</x:v>
      </x:c>
      <x:c r="Q453" s="19" t="str">
        <x:v>S12_061_GE_10000</x:v>
      </x:c>
      <x:c r="R453" s="19" t="str">
        <x:v>S12_061 usage threshold</x:v>
      </x:c>
      <x:c r="S453" s="19" t="str">
        <x:v>https://nlftp.mlit.go.jp/ksj/gml/datalist/KsjTmplt-S12-2024.html</x:v>
      </x:c>
      <x:c r="T453" s="19" t="str">
        <x:v>https://nlftp.mlit.go.jp/ksj/gml/datalist/KsjTmplt-S12-2024.html</x:v>
      </x:c>
      <x:c r="U453" s="19" t="str">
        <x:v>station-component|北大路|京都市|metro|35.0441|135.7584|</x:v>
      </x:c>
      <x:c r="V453" s="19" t="str">
        <x:v>005845 / 005845 / 烏丸線</x:v>
      </x:c>
      <x:c r="W453" s="18" t="str">
        <x:v>否</x:v>
      </x:c>
      <x:c r="X453" s="18" t="str">
        <x:v>0785e932a32b3ec15e1a1345537ae145eafe1c07bf38d5c16c11ee2b391e7a28</x:v>
      </x:c>
      <x:c r="Y453" s="20" t="n">
        <x:v>1</x:v>
      </x:c>
      <x:c r="Z453" s="20" t="n">
        <x:v>1</x:v>
      </x:c>
      <x:c r="AA453" s="19"/>
      <x:c r="AB453" s="18"/>
      <x:c r="AC453" s="19"/>
    </x:row>
    <x:row r="454" ht="28" customHeight="1">
      <x:c r="A454" s="18" t="str">
        <x:v>北小金</x:v>
      </x:c>
      <x:c r="B454" s="18" t="str">
        <x:v>東日本旅客鉄道</x:v>
      </x:c>
      <x:c r="C454" s="18" t="str">
        <x:v>conventional_rail</x:v>
      </x:c>
      <x:c r="D454" s="19" t="str">
        <x:v>T2</x:v>
      </x:c>
      <x:c r="E454" s="20" t="n">
        <x:v>43432</x:v>
      </x:c>
      <x:c r="F454" s="18" t="str">
        <x:v>persons/day</x:v>
      </x:c>
      <x:c r="G454" s="18" t="str">
        <x:v>FY2024</x:v>
      </x:c>
      <x:c r="H454" s="18" t="str">
        <x:v>否</x:v>
      </x:c>
      <x:c r="I454" s="19" t="str">
        <x:v>DAILY_ENTRIES_EXITS</x:v>
      </x:c>
      <x:c r="J454" s="19" t="str">
        <x:v>常磐線</x:v>
      </x:c>
      <x:c r="K454" s="18" t="str">
        <x:v>transport-node:29c56944-dc36-571d-abdb-7a6fea6f2fa4</x:v>
      </x:c>
      <x:c r="L454" s="19" t="str">
        <x:v>组件待审核</x:v>
      </x:c>
      <x:c r="M454" s="21" t="n">
        <x:v>35.83317</x:v>
      </x:c>
      <x:c r="N454" s="21" t="n">
        <x:v>139.93075</x:v>
      </x:c>
      <x:c r="O454" s="18" t="str">
        <x:v>003032</x:v>
      </x:c>
      <x:c r="P454" s="18" t="str">
        <x:v>常磐線</x:v>
      </x:c>
      <x:c r="Q454" s="19" t="str">
        <x:v>S12_061_GE_10000</x:v>
      </x:c>
      <x:c r="R454" s="19" t="str">
        <x:v>S12_061 usage threshold</x:v>
      </x:c>
      <x:c r="S454" s="19" t="str">
        <x:v>https://nlftp.mlit.go.jp/ksj/gml/datalist/KsjTmplt-S12-2024.html</x:v>
      </x:c>
      <x:c r="T454" s="19" t="str">
        <x:v>https://nlftp.mlit.go.jp/ksj/gml/datalist/KsjTmplt-S12-2024.html</x:v>
      </x:c>
      <x:c r="U454" s="19" t="str">
        <x:v>station-component|北小金|東日本旅客鉄道|conventional_rail|35.8332|139.9307|</x:v>
      </x:c>
      <x:c r="V454" s="19" t="str">
        <x:v>003032 / 003032 / 常磐線</x:v>
      </x:c>
      <x:c r="W454" s="18" t="str">
        <x:v>否</x:v>
      </x:c>
      <x:c r="X454" s="18" t="str">
        <x:v>0785e932a32b3ec15e1a1345537ae145eafe1c07bf38d5c16c11ee2b391e7a28</x:v>
      </x:c>
      <x:c r="Y454" s="20" t="n">
        <x:v>1</x:v>
      </x:c>
      <x:c r="Z454" s="20" t="n">
        <x:v>1</x:v>
      </x:c>
      <x:c r="AA454" s="19"/>
      <x:c r="AB454" s="18"/>
      <x:c r="AC454" s="19"/>
    </x:row>
    <x:row r="455" ht="28" customHeight="1">
      <x:c r="A455" s="18" t="str">
        <x:v>北山</x:v>
      </x:c>
      <x:c r="B455" s="18" t="str">
        <x:v>京都市</x:v>
      </x:c>
      <x:c r="C455" s="18" t="str">
        <x:v>metro</x:v>
      </x:c>
      <x:c r="D455" s="19" t="str">
        <x:v>T2</x:v>
      </x:c>
      <x:c r="E455" s="20" t="n">
        <x:v>14258</x:v>
      </x:c>
      <x:c r="F455" s="18" t="str">
        <x:v>persons/day</x:v>
      </x:c>
      <x:c r="G455" s="18" t="str">
        <x:v>FY2024</x:v>
      </x:c>
      <x:c r="H455" s="18" t="str">
        <x:v>否</x:v>
      </x:c>
      <x:c r="I455" s="19" t="str">
        <x:v>DAILY_ENTRIES_EXITS</x:v>
      </x:c>
      <x:c r="J455" s="19" t="str">
        <x:v>烏丸線</x:v>
      </x:c>
      <x:c r="K455" s="18" t="str">
        <x:v>transport-node:c2e9f238-54ad-5d7c-964d-134baa9c6a34</x:v>
      </x:c>
      <x:c r="L455" s="19" t="str">
        <x:v>组件待审核</x:v>
      </x:c>
      <x:c r="M455" s="21" t="n">
        <x:v>35.05126</x:v>
      </x:c>
      <x:c r="N455" s="21" t="n">
        <x:v>135.765605</x:v>
      </x:c>
      <x:c r="O455" s="18" t="str">
        <x:v>005829</x:v>
      </x:c>
      <x:c r="P455" s="18" t="str">
        <x:v>烏丸線</x:v>
      </x:c>
      <x:c r="Q455" s="19" t="str">
        <x:v>S12_061_GE_10000</x:v>
      </x:c>
      <x:c r="R455" s="19" t="str">
        <x:v>S12_061 usage threshold</x:v>
      </x:c>
      <x:c r="S455" s="19" t="str">
        <x:v>https://nlftp.mlit.go.jp/ksj/gml/datalist/KsjTmplt-S12-2024.html</x:v>
      </x:c>
      <x:c r="T455" s="19" t="str">
        <x:v>https://nlftp.mlit.go.jp/ksj/gml/datalist/KsjTmplt-S12-2024.html</x:v>
      </x:c>
      <x:c r="U455" s="19" t="str">
        <x:v>station-component|北山|京都市|metro|35.0513|135.7656|</x:v>
      </x:c>
      <x:c r="V455" s="19" t="str">
        <x:v>005829 / 005829 / 烏丸線</x:v>
      </x:c>
      <x:c r="W455" s="18" t="str">
        <x:v>否</x:v>
      </x:c>
      <x:c r="X455" s="18" t="str">
        <x:v>0785e932a32b3ec15e1a1345537ae145eafe1c07bf38d5c16c11ee2b391e7a28</x:v>
      </x:c>
      <x:c r="Y455" s="20" t="n">
        <x:v>1</x:v>
      </x:c>
      <x:c r="Z455" s="20" t="n">
        <x:v>1</x:v>
      </x:c>
      <x:c r="AA455" s="19"/>
      <x:c r="AB455" s="18"/>
      <x:c r="AC455" s="19"/>
    </x:row>
    <x:row r="456" ht="28" customHeight="1">
      <x:c r="A456" s="18" t="str">
        <x:v>北山田</x:v>
      </x:c>
      <x:c r="B456" s="18" t="str">
        <x:v>横浜市</x:v>
      </x:c>
      <x:c r="C456" s="18" t="str">
        <x:v>metro</x:v>
      </x:c>
      <x:c r="D456" s="19" t="str">
        <x:v>T2</x:v>
      </x:c>
      <x:c r="E456" s="20" t="n">
        <x:v>12750</x:v>
      </x:c>
      <x:c r="F456" s="18" t="str">
        <x:v>persons/day</x:v>
      </x:c>
      <x:c r="G456" s="18" t="str">
        <x:v>FY2024</x:v>
      </x:c>
      <x:c r="H456" s="18" t="str">
        <x:v>否</x:v>
      </x:c>
      <x:c r="I456" s="19" t="str">
        <x:v>DAILY_ENTRIES_EXITS</x:v>
      </x:c>
      <x:c r="J456" s="19" t="str">
        <x:v>4号線</x:v>
      </x:c>
      <x:c r="K456" s="18" t="str">
        <x:v>transport-node:533f48c6-4e78-5bb0-9f89-2020db598f87</x:v>
      </x:c>
      <x:c r="L456" s="19" t="str">
        <x:v>组件待审核</x:v>
      </x:c>
      <x:c r="M456" s="21" t="n">
        <x:v>35.56109</x:v>
      </x:c>
      <x:c r="N456" s="21" t="n">
        <x:v>139.5927467</x:v>
      </x:c>
      <x:c r="O456" s="18" t="str">
        <x:v>004334</x:v>
      </x:c>
      <x:c r="P456" s="18" t="str">
        <x:v>4号線</x:v>
      </x:c>
      <x:c r="Q456" s="19" t="str">
        <x:v>S12_061_GE_10000</x:v>
      </x:c>
      <x:c r="R456" s="19" t="str">
        <x:v>S12_061 usage threshold</x:v>
      </x:c>
      <x:c r="S456" s="19" t="str">
        <x:v>https://nlftp.mlit.go.jp/ksj/gml/datalist/KsjTmplt-S12-2024.html</x:v>
      </x:c>
      <x:c r="T456" s="19" t="str">
        <x:v>https://nlftp.mlit.go.jp/ksj/gml/datalist/KsjTmplt-S12-2024.html</x:v>
      </x:c>
      <x:c r="U456" s="19" t="str">
        <x:v>station-component|北山田|横浜市|metro|35.5611|139.5927|</x:v>
      </x:c>
      <x:c r="V456" s="19" t="str">
        <x:v>004334 / 004334 / 4号線</x:v>
      </x:c>
      <x:c r="W456" s="18" t="str">
        <x:v>否</x:v>
      </x:c>
      <x:c r="X456" s="18" t="str">
        <x:v>0785e932a32b3ec15e1a1345537ae145eafe1c07bf38d5c16c11ee2b391e7a28</x:v>
      </x:c>
      <x:c r="Y456" s="20" t="n">
        <x:v>1</x:v>
      </x:c>
      <x:c r="Z456" s="20" t="n">
        <x:v>1</x:v>
      </x:c>
      <x:c r="AA456" s="19"/>
      <x:c r="AB456" s="18"/>
      <x:c r="AC456" s="19"/>
    </x:row>
    <x:row r="457" ht="28" customHeight="1">
      <x:c r="A457" s="18" t="str">
        <x:v>北巽</x:v>
      </x:c>
      <x:c r="B457" s="18" t="str">
        <x:v>大阪市高速電気軌道</x:v>
      </x:c>
      <x:c r="C457" s="18" t="str">
        <x:v>metro</x:v>
      </x:c>
      <x:c r="D457" s="19" t="str">
        <x:v>T2</x:v>
      </x:c>
      <x:c r="E457" s="20" t="n">
        <x:v>13694</x:v>
      </x:c>
      <x:c r="F457" s="18" t="str">
        <x:v>persons/day</x:v>
      </x:c>
      <x:c r="G457" s="18" t="str">
        <x:v>FY2024</x:v>
      </x:c>
      <x:c r="H457" s="18" t="str">
        <x:v>否</x:v>
      </x:c>
      <x:c r="I457" s="19" t="str">
        <x:v>DAILY_ENTRIES_EXITS</x:v>
      </x:c>
      <x:c r="J457" s="19" t="str">
        <x:v>5号線(千日前線)</x:v>
      </x:c>
      <x:c r="K457" s="18" t="str">
        <x:v>transport-node:d983d2b0-6702-5c19-b455-b3b52cd4d8a4</x:v>
      </x:c>
      <x:c r="L457" s="19" t="str">
        <x:v>组件待审核</x:v>
      </x:c>
      <x:c r="M457" s="21" t="n">
        <x:v>34.65327</x:v>
      </x:c>
      <x:c r="N457" s="21" t="n">
        <x:v>135.555</x:v>
      </x:c>
      <x:c r="O457" s="18" t="str">
        <x:v>007412</x:v>
      </x:c>
      <x:c r="P457" s="18" t="str">
        <x:v>5号線(千日前線)</x:v>
      </x:c>
      <x:c r="Q457" s="19" t="str">
        <x:v>S12_061_GE_10000</x:v>
      </x:c>
      <x:c r="R457" s="19" t="str">
        <x:v>S12_061 usage threshold</x:v>
      </x:c>
      <x:c r="S457" s="19" t="str">
        <x:v>https://nlftp.mlit.go.jp/ksj/gml/datalist/KsjTmplt-S12-2024.html</x:v>
      </x:c>
      <x:c r="T457" s="19" t="str">
        <x:v>https://nlftp.mlit.go.jp/ksj/gml/datalist/KsjTmplt-S12-2024.html</x:v>
      </x:c>
      <x:c r="U457" s="19" t="str">
        <x:v>station-component|北巽|大阪市高速電気軌道|metro|34.6533|135.5550|</x:v>
      </x:c>
      <x:c r="V457" s="19" t="str">
        <x:v>007412 / 007412 / 5号線(千日前線)</x:v>
      </x:c>
      <x:c r="W457" s="18" t="str">
        <x:v>否</x:v>
      </x:c>
      <x:c r="X457" s="18" t="str">
        <x:v>0785e932a32b3ec15e1a1345537ae145eafe1c07bf38d5c16c11ee2b391e7a28</x:v>
      </x:c>
      <x:c r="Y457" s="20" t="n">
        <x:v>1</x:v>
      </x:c>
      <x:c r="Z457" s="20" t="n">
        <x:v>1</x:v>
      </x:c>
      <x:c r="AA457" s="19"/>
      <x:c r="AB457" s="18"/>
      <x:c r="AC457" s="19"/>
    </x:row>
    <x:row r="458" ht="28" customHeight="1">
      <x:c r="A458" s="18" t="str">
        <x:v>北広島</x:v>
      </x:c>
      <x:c r="B458" s="18" t="str">
        <x:v>北海道旅客鉄道</x:v>
      </x:c>
      <x:c r="C458" s="18" t="str">
        <x:v>conventional_rail</x:v>
      </x:c>
      <x:c r="D458" s="19" t="str">
        <x:v>T2</x:v>
      </x:c>
      <x:c r="E458" s="20" t="n">
        <x:v>19150</x:v>
      </x:c>
      <x:c r="F458" s="18" t="str">
        <x:v>persons/day</x:v>
      </x:c>
      <x:c r="G458" s="18" t="str">
        <x:v>FY2024</x:v>
      </x:c>
      <x:c r="H458" s="18" t="str">
        <x:v>否</x:v>
      </x:c>
      <x:c r="I458" s="19" t="str">
        <x:v>DAILY_ENTRIES_EXITS</x:v>
      </x:c>
      <x:c r="J458" s="19" t="str">
        <x:v>千歳線</x:v>
      </x:c>
      <x:c r="K458" s="18" t="str">
        <x:v>transport-node:b054ddae-1c8c-5653-9bbb-4926fd8340a2</x:v>
      </x:c>
      <x:c r="L458" s="19" t="str">
        <x:v>组件待审核</x:v>
      </x:c>
      <x:c r="M458" s="21" t="n">
        <x:v>42.97919</x:v>
      </x:c>
      <x:c r="N458" s="21" t="n">
        <x:v>141.563115</x:v>
      </x:c>
      <x:c r="O458" s="18" t="str">
        <x:v>000317</x:v>
      </x:c>
      <x:c r="P458" s="18" t="str">
        <x:v>千歳線</x:v>
      </x:c>
      <x:c r="Q458" s="19" t="str">
        <x:v>S12_061_GE_10000</x:v>
      </x:c>
      <x:c r="R458" s="19" t="str">
        <x:v>S12_061 usage threshold</x:v>
      </x:c>
      <x:c r="S458" s="19" t="str">
        <x:v>https://nlftp.mlit.go.jp/ksj/gml/datalist/KsjTmplt-S12-2024.html</x:v>
      </x:c>
      <x:c r="T458" s="19" t="str">
        <x:v>https://nlftp.mlit.go.jp/ksj/gml/datalist/KsjTmplt-S12-2024.html</x:v>
      </x:c>
      <x:c r="U458" s="19" t="str">
        <x:v>station-component|北広島|北海道旅客鉄道|conventional_rail|42.9792|141.5631|</x:v>
      </x:c>
      <x:c r="V458" s="19" t="str">
        <x:v>000317 / 000317 / 千歳線</x:v>
      </x:c>
      <x:c r="W458" s="18" t="str">
        <x:v>否</x:v>
      </x:c>
      <x:c r="X458" s="18" t="str">
        <x:v>0785e932a32b3ec15e1a1345537ae145eafe1c07bf38d5c16c11ee2b391e7a28</x:v>
      </x:c>
      <x:c r="Y458" s="20" t="n">
        <x:v>1</x:v>
      </x:c>
      <x:c r="Z458" s="20" t="n">
        <x:v>1</x:v>
      </x:c>
      <x:c r="AA458" s="19"/>
      <x:c r="AB458" s="18"/>
      <x:c r="AC458" s="19"/>
    </x:row>
    <x:row r="459" ht="28" customHeight="1">
      <x:c r="A459" s="18" t="str">
        <x:v>北府中</x:v>
      </x:c>
      <x:c r="B459" s="18" t="str">
        <x:v>東日本旅客鉄道</x:v>
      </x:c>
      <x:c r="C459" s="18" t="str">
        <x:v>conventional_rail</x:v>
      </x:c>
      <x:c r="D459" s="19" t="str">
        <x:v>T2</x:v>
      </x:c>
      <x:c r="E459" s="20" t="n">
        <x:v>25152</x:v>
      </x:c>
      <x:c r="F459" s="18" t="str">
        <x:v>persons/day</x:v>
      </x:c>
      <x:c r="G459" s="18" t="str">
        <x:v>FY2024</x:v>
      </x:c>
      <x:c r="H459" s="18" t="str">
        <x:v>否</x:v>
      </x:c>
      <x:c r="I459" s="19" t="str">
        <x:v>DAILY_ENTRIES_EXITS</x:v>
      </x:c>
      <x:c r="J459" s="19" t="str">
        <x:v>武蔵野線</x:v>
      </x:c>
      <x:c r="K459" s="18" t="str">
        <x:v>transport-node:d61eed22-1a94-5c7d-b6f9-1c27e854b0c5</x:v>
      </x:c>
      <x:c r="L459" s="19" t="str">
        <x:v>组件待审核</x:v>
      </x:c>
      <x:c r="M459" s="21" t="n">
        <x:v>35.680855</x:v>
      </x:c>
      <x:c r="N459" s="21" t="n">
        <x:v>139.471795</x:v>
      </x:c>
      <x:c r="O459" s="18" t="str">
        <x:v>003771</x:v>
      </x:c>
      <x:c r="P459" s="18" t="str">
        <x:v>武蔵野線</x:v>
      </x:c>
      <x:c r="Q459" s="19" t="str">
        <x:v>S12_061_GE_10000</x:v>
      </x:c>
      <x:c r="R459" s="19" t="str">
        <x:v>S12_061 usage threshold</x:v>
      </x:c>
      <x:c r="S459" s="19" t="str">
        <x:v>https://nlftp.mlit.go.jp/ksj/gml/datalist/KsjTmplt-S12-2024.html</x:v>
      </x:c>
      <x:c r="T459" s="19" t="str">
        <x:v>https://nlftp.mlit.go.jp/ksj/gml/datalist/KsjTmplt-S12-2024.html</x:v>
      </x:c>
      <x:c r="U459" s="19" t="str">
        <x:v>station-component|北府中|東日本旅客鉄道|conventional_rail|35.6809|139.4718|</x:v>
      </x:c>
      <x:c r="V459" s="19" t="str">
        <x:v>003771 / 003771 / 武蔵野線</x:v>
      </x:c>
      <x:c r="W459" s="18" t="str">
        <x:v>否</x:v>
      </x:c>
      <x:c r="X459" s="18" t="str">
        <x:v>0785e932a32b3ec15e1a1345537ae145eafe1c07bf38d5c16c11ee2b391e7a28</x:v>
      </x:c>
      <x:c r="Y459" s="20" t="n">
        <x:v>1</x:v>
      </x:c>
      <x:c r="Z459" s="20" t="n">
        <x:v>1</x:v>
      </x:c>
      <x:c r="AA459" s="19"/>
      <x:c r="AB459" s="18"/>
      <x:c r="AC459" s="19"/>
    </x:row>
    <x:row r="460" ht="28" customHeight="1">
      <x:c r="A460" s="18" t="str">
        <x:v>北戸田</x:v>
      </x:c>
      <x:c r="B460" s="18" t="str">
        <x:v>東日本旅客鉄道</x:v>
      </x:c>
      <x:c r="C460" s="18" t="str">
        <x:v>conventional_rail</x:v>
      </x:c>
      <x:c r="D460" s="19" t="str">
        <x:v>T2</x:v>
      </x:c>
      <x:c r="E460" s="20" t="n">
        <x:v>44370</x:v>
      </x:c>
      <x:c r="F460" s="18" t="str">
        <x:v>persons/day</x:v>
      </x:c>
      <x:c r="G460" s="18" t="str">
        <x:v>FY2024</x:v>
      </x:c>
      <x:c r="H460" s="18" t="str">
        <x:v>否</x:v>
      </x:c>
      <x:c r="I460" s="19" t="str">
        <x:v>DAILY_ENTRIES_EXITS</x:v>
      </x:c>
      <x:c r="J460" s="19" t="str">
        <x:v>東北線</x:v>
      </x:c>
      <x:c r="K460" s="18" t="str">
        <x:v>transport-node:ca4f4d1e-5951-53d8-b630-693daeb353c4</x:v>
      </x:c>
      <x:c r="L460" s="19" t="str">
        <x:v>组件待审核</x:v>
      </x:c>
      <x:c r="M460" s="21" t="n">
        <x:v>35.826755</x:v>
      </x:c>
      <x:c r="N460" s="21" t="n">
        <x:v>139.661445</x:v>
      </x:c>
      <x:c r="O460" s="18" t="str">
        <x:v>003044</x:v>
      </x:c>
      <x:c r="P460" s="18" t="str">
        <x:v>東北線</x:v>
      </x:c>
      <x:c r="Q460" s="19" t="str">
        <x:v>S12_061_GE_10000</x:v>
      </x:c>
      <x:c r="R460" s="19" t="str">
        <x:v>S12_061 usage threshold</x:v>
      </x:c>
      <x:c r="S460" s="19" t="str">
        <x:v>https://nlftp.mlit.go.jp/ksj/gml/datalist/KsjTmplt-S12-2024.html</x:v>
      </x:c>
      <x:c r="T460" s="19" t="str">
        <x:v>https://nlftp.mlit.go.jp/ksj/gml/datalist/KsjTmplt-S12-2024.html</x:v>
      </x:c>
      <x:c r="U460" s="19" t="str">
        <x:v>station-component|北戸田|東日本旅客鉄道|conventional_rail|35.8268|139.6614|</x:v>
      </x:c>
      <x:c r="V460" s="19" t="str">
        <x:v>003044 / 003044 / 東北線</x:v>
      </x:c>
      <x:c r="W460" s="18" t="str">
        <x:v>否</x:v>
      </x:c>
      <x:c r="X460" s="18" t="str">
        <x:v>0785e932a32b3ec15e1a1345537ae145eafe1c07bf38d5c16c11ee2b391e7a28</x:v>
      </x:c>
      <x:c r="Y460" s="20" t="n">
        <x:v>1</x:v>
      </x:c>
      <x:c r="Z460" s="20" t="n">
        <x:v>1</x:v>
      </x:c>
      <x:c r="AA460" s="19"/>
      <x:c r="AB460" s="18"/>
      <x:c r="AC460" s="19"/>
    </x:row>
    <x:row r="461" ht="33" customHeight="1">
      <x:c r="A461" s="18" t="str">
        <x:v>北新地</x:v>
      </x:c>
      <x:c r="B461" s="18" t="str">
        <x:v>西日本旅客鉄道</x:v>
      </x:c>
      <x:c r="C461" s="18" t="str">
        <x:v>conventional_rail</x:v>
      </x:c>
      <x:c r="D461" s="19" t="str">
        <x:v>T1</x:v>
      </x:c>
      <x:c r="E461" s="20" t="n">
        <x:v>84858</x:v>
      </x:c>
      <x:c r="F461" s="18" t="str">
        <x:v>persons/day</x:v>
      </x:c>
      <x:c r="G461" s="18" t="str">
        <x:v>FY2024</x:v>
      </x:c>
      <x:c r="H461" s="18" t="str">
        <x:v>否</x:v>
      </x:c>
      <x:c r="I461" s="19" t="str">
        <x:v>DAILY_ENTRIES_EXITS</x:v>
      </x:c>
      <x:c r="J461" s="19" t="str">
        <x:v>JR東西線</x:v>
      </x:c>
      <x:c r="K461" s="18" t="str">
        <x:v>transport-node:e104552f-4001-5796-a65a-09df9dac3425</x:v>
      </x:c>
      <x:c r="L461" s="19" t="str">
        <x:v>组件待审核</x:v>
      </x:c>
      <x:c r="M461" s="21" t="n">
        <x:v>34.69837</x:v>
      </x:c>
      <x:c r="N461" s="21" t="n">
        <x:v>135.4971033</x:v>
      </x:c>
      <x:c r="O461" s="18" t="str">
        <x:v>007085</x:v>
      </x:c>
      <x:c r="P461" s="18" t="str">
        <x:v>JR東西線</x:v>
      </x:c>
      <x:c r="Q461" s="19" t="str">
        <x:v>S12_061_GE_10000
OFFICIAL_HUB_COMPONENT_REVIEW</x:v>
      </x:c>
      <x:c r="R461" s="19" t="str">
        <x:v>S12_061 usage threshold</x:v>
      </x:c>
      <x:c r="S461" s="19" t="str">
        <x:v>https://nlftp.mlit.go.jp/ksj/gml/datalist/KsjTmplt-S12-2024.html</x:v>
      </x:c>
      <x:c r="T461" s="19" t="str">
        <x:v>https://nlftp.mlit.go.jp/ksj/gml/datalist/KsjTmplt-S12-2024.html
https://subway.osakametro.co.jp/station_guide/M/m16/index.php</x:v>
      </x:c>
      <x:c r="U461" s="19" t="str">
        <x:v>station-component|北新地|西日本旅客鉄道|conventional_rail|34.6984|135.4971|</x:v>
      </x:c>
      <x:c r="V461" s="19" t="str">
        <x:v>007085 / 007085 / JR東西線</x:v>
      </x:c>
      <x:c r="W461" s="18" t="str">
        <x:v>否</x:v>
      </x:c>
      <x:c r="X461" s="18" t="str">
        <x:v>0785e932a32b3ec15e1a1345537ae145eafe1c07bf38d5c16c11ee2b391e7a28</x:v>
      </x:c>
      <x:c r="Y461" s="20" t="n">
        <x:v>1</x:v>
      </x:c>
      <x:c r="Z461" s="20" t="n">
        <x:v>1</x:v>
      </x:c>
      <x:c r="AA461" s="19" t="str">
        <x:v>大阪・梅田</x:v>
      </x:c>
      <x:c r="AB461" s="18" t="str">
        <x:v>transport-hub-review:c874f3c0-4c3d-5ef3-adac-91c1a118c3b7</x:v>
      </x:c>
      <x:c r="AC461" s="19"/>
    </x:row>
    <x:row r="462" ht="33" customHeight="1">
      <x:c r="A462" s="18" t="str">
        <x:v>北朝霞</x:v>
      </x:c>
      <x:c r="B462" s="18" t="str">
        <x:v>東日本旅客鉄道</x:v>
      </x:c>
      <x:c r="C462" s="18" t="str">
        <x:v>conventional_rail</x:v>
      </x:c>
      <x:c r="D462" s="19" t="str">
        <x:v>T1</x:v>
      </x:c>
      <x:c r="E462" s="20" t="n">
        <x:v>136010</x:v>
      </x:c>
      <x:c r="F462" s="18" t="str">
        <x:v>persons/day</x:v>
      </x:c>
      <x:c r="G462" s="18" t="str">
        <x:v>FY2024</x:v>
      </x:c>
      <x:c r="H462" s="18" t="str">
        <x:v>否</x:v>
      </x:c>
      <x:c r="I462" s="19" t="str">
        <x:v>DAILY_ENTRIES_EXITS</x:v>
      </x:c>
      <x:c r="J462" s="19" t="str">
        <x:v>武蔵野線</x:v>
      </x:c>
      <x:c r="K462" s="18" t="str">
        <x:v>transport-node:94d5b4b1-c338-5534-b810-5026d9701ec7</x:v>
      </x:c>
      <x:c r="L462" s="19" t="str">
        <x:v>组件待审核</x:v>
      </x:c>
      <x:c r="M462" s="21" t="n">
        <x:v>35.81547</x:v>
      </x:c>
      <x:c r="N462" s="21" t="n">
        <x:v>139.58723</x:v>
      </x:c>
      <x:c r="O462" s="18" t="str">
        <x:v>003056</x:v>
      </x:c>
      <x:c r="P462" s="18" t="str">
        <x:v>武蔵野線</x:v>
      </x:c>
      <x:c r="Q462" s="19" t="str">
        <x:v>S12_061_GE_10000
OFFICIAL_HUB_COMPONENT_REVIEW</x:v>
      </x:c>
      <x:c r="R462" s="19" t="str">
        <x:v>S12_061 usage threshold</x:v>
      </x:c>
      <x:c r="S462" s="19" t="str">
        <x:v>https://nlftp.mlit.go.jp/ksj/gml/datalist/KsjTmplt-S12-2024.html</x:v>
      </x:c>
      <x:c r="T462" s="19" t="str">
        <x:v>https://nlftp.mlit.go.jp/ksj/gml/datalist/KsjTmplt-S12-2024.html
https://www.tobu.co.jp/railway/guide/station/info/7307/</x:v>
      </x:c>
      <x:c r="U462" s="19" t="str">
        <x:v>station-component|北朝霞|東日本旅客鉄道|conventional_rail|35.8155|139.5872|</x:v>
      </x:c>
      <x:c r="V462" s="19" t="str">
        <x:v>003056 / 003056 / 武蔵野線</x:v>
      </x:c>
      <x:c r="W462" s="18" t="str">
        <x:v>否</x:v>
      </x:c>
      <x:c r="X462" s="18" t="str">
        <x:v>0785e932a32b3ec15e1a1345537ae145eafe1c07bf38d5c16c11ee2b391e7a28</x:v>
      </x:c>
      <x:c r="Y462" s="20" t="n">
        <x:v>1</x:v>
      </x:c>
      <x:c r="Z462" s="20" t="n">
        <x:v>1</x:v>
      </x:c>
      <x:c r="AA462" s="19" t="str">
        <x:v>朝霞台・北朝霞</x:v>
      </x:c>
      <x:c r="AB462" s="18" t="str">
        <x:v>transport-hub-review:ae402061-575e-54f4-9dbd-e0d8cf16323b</x:v>
      </x:c>
      <x:c r="AC462" s="19"/>
    </x:row>
    <x:row r="463" ht="28" customHeight="1">
      <x:c r="A463" s="18" t="str">
        <x:v>北本</x:v>
      </x:c>
      <x:c r="B463" s="18" t="str">
        <x:v>東日本旅客鉄道</x:v>
      </x:c>
      <x:c r="C463" s="18" t="str">
        <x:v>conventional_rail</x:v>
      </x:c>
      <x:c r="D463" s="19" t="str">
        <x:v>T2</x:v>
      </x:c>
      <x:c r="E463" s="20" t="n">
        <x:v>32922</x:v>
      </x:c>
      <x:c r="F463" s="18" t="str">
        <x:v>persons/day</x:v>
      </x:c>
      <x:c r="G463" s="18" t="str">
        <x:v>FY2024</x:v>
      </x:c>
      <x:c r="H463" s="18" t="str">
        <x:v>否</x:v>
      </x:c>
      <x:c r="I463" s="19" t="str">
        <x:v>DAILY_ENTRIES_EXITS</x:v>
      </x:c>
      <x:c r="J463" s="19" t="str">
        <x:v>高崎線</x:v>
      </x:c>
      <x:c r="K463" s="18" t="str">
        <x:v>transport-node:e6a00f23-8f86-5c96-bdd6-c35553974a2c</x:v>
      </x:c>
      <x:c r="L463" s="19" t="str">
        <x:v>组件待审核</x:v>
      </x:c>
      <x:c r="M463" s="21" t="n">
        <x:v>36.0324267</x:v>
      </x:c>
      <x:c r="N463" s="21" t="n">
        <x:v>139.5334067</x:v>
      </x:c>
      <x:c r="O463" s="18" t="str">
        <x:v>002720</x:v>
      </x:c>
      <x:c r="P463" s="18" t="str">
        <x:v>高崎線</x:v>
      </x:c>
      <x:c r="Q463" s="19" t="str">
        <x:v>S12_061_GE_10000</x:v>
      </x:c>
      <x:c r="R463" s="19" t="str">
        <x:v>S12_061 usage threshold</x:v>
      </x:c>
      <x:c r="S463" s="19" t="str">
        <x:v>https://nlftp.mlit.go.jp/ksj/gml/datalist/KsjTmplt-S12-2024.html</x:v>
      </x:c>
      <x:c r="T463" s="19" t="str">
        <x:v>https://nlftp.mlit.go.jp/ksj/gml/datalist/KsjTmplt-S12-2024.html</x:v>
      </x:c>
      <x:c r="U463" s="19" t="str">
        <x:v>station-component|北本|東日本旅客鉄道|conventional_rail|36.0324|139.5334|</x:v>
      </x:c>
      <x:c r="V463" s="19" t="str">
        <x:v>002720 / 002720 / 高崎線</x:v>
      </x:c>
      <x:c r="W463" s="18" t="str">
        <x:v>否</x:v>
      </x:c>
      <x:c r="X463" s="18" t="str">
        <x:v>0785e932a32b3ec15e1a1345537ae145eafe1c07bf38d5c16c11ee2b391e7a28</x:v>
      </x:c>
      <x:c r="Y463" s="20" t="n">
        <x:v>1</x:v>
      </x:c>
      <x:c r="Z463" s="20" t="n">
        <x:v>1</x:v>
      </x:c>
      <x:c r="AA463" s="19"/>
      <x:c r="AB463" s="18"/>
      <x:c r="AC463" s="19"/>
    </x:row>
    <x:row r="464" ht="28" customHeight="1">
      <x:c r="A464" s="18" t="str">
        <x:v>北松戸</x:v>
      </x:c>
      <x:c r="B464" s="18" t="str">
        <x:v>東日本旅客鉄道</x:v>
      </x:c>
      <x:c r="C464" s="18" t="str">
        <x:v>conventional_rail</x:v>
      </x:c>
      <x:c r="D464" s="19" t="str">
        <x:v>T2</x:v>
      </x:c>
      <x:c r="E464" s="20" t="n">
        <x:v>40146</x:v>
      </x:c>
      <x:c r="F464" s="18" t="str">
        <x:v>persons/day</x:v>
      </x:c>
      <x:c r="G464" s="18" t="str">
        <x:v>FY2024</x:v>
      </x:c>
      <x:c r="H464" s="18" t="str">
        <x:v>否</x:v>
      </x:c>
      <x:c r="I464" s="19" t="str">
        <x:v>DAILY_ENTRIES_EXITS</x:v>
      </x:c>
      <x:c r="J464" s="19" t="str">
        <x:v>常磐線</x:v>
      </x:c>
      <x:c r="K464" s="18" t="str">
        <x:v>transport-node:4681b73f-1327-56e9-94bd-0fe60df8263f</x:v>
      </x:c>
      <x:c r="L464" s="19" t="str">
        <x:v>组件待审核</x:v>
      </x:c>
      <x:c r="M464" s="21" t="n">
        <x:v>35.800365</x:v>
      </x:c>
      <x:c r="N464" s="21" t="n">
        <x:v>139.911625</x:v>
      </x:c>
      <x:c r="O464" s="18" t="str">
        <x:v>003089</x:v>
      </x:c>
      <x:c r="P464" s="18" t="str">
        <x:v>常磐線</x:v>
      </x:c>
      <x:c r="Q464" s="19" t="str">
        <x:v>S12_061_GE_10000</x:v>
      </x:c>
      <x:c r="R464" s="19" t="str">
        <x:v>S12_061 usage threshold</x:v>
      </x:c>
      <x:c r="S464" s="19" t="str">
        <x:v>https://nlftp.mlit.go.jp/ksj/gml/datalist/KsjTmplt-S12-2024.html</x:v>
      </x:c>
      <x:c r="T464" s="19" t="str">
        <x:v>https://nlftp.mlit.go.jp/ksj/gml/datalist/KsjTmplt-S12-2024.html</x:v>
      </x:c>
      <x:c r="U464" s="19" t="str">
        <x:v>station-component|北松戸|東日本旅客鉄道|conventional_rail|35.8004|139.9116|</x:v>
      </x:c>
      <x:c r="V464" s="19" t="str">
        <x:v>003089 / 003089 / 常磐線</x:v>
      </x:c>
      <x:c r="W464" s="18" t="str">
        <x:v>否</x:v>
      </x:c>
      <x:c r="X464" s="18" t="str">
        <x:v>0785e932a32b3ec15e1a1345537ae145eafe1c07bf38d5c16c11ee2b391e7a28</x:v>
      </x:c>
      <x:c r="Y464" s="20" t="n">
        <x:v>1</x:v>
      </x:c>
      <x:c r="Z464" s="20" t="n">
        <x:v>1</x:v>
      </x:c>
      <x:c r="AA464" s="19"/>
      <x:c r="AB464" s="18"/>
      <x:c r="AC464" s="19"/>
    </x:row>
    <x:row r="465" ht="28" customHeight="1">
      <x:c r="A465" s="18" t="str">
        <x:v>北柏</x:v>
      </x:c>
      <x:c r="B465" s="18" t="str">
        <x:v>東日本旅客鉄道</x:v>
      </x:c>
      <x:c r="C465" s="18" t="str">
        <x:v>conventional_rail</x:v>
      </x:c>
      <x:c r="D465" s="19" t="str">
        <x:v>T2</x:v>
      </x:c>
      <x:c r="E465" s="20" t="n">
        <x:v>34766</x:v>
      </x:c>
      <x:c r="F465" s="18" t="str">
        <x:v>persons/day</x:v>
      </x:c>
      <x:c r="G465" s="18" t="str">
        <x:v>FY2024</x:v>
      </x:c>
      <x:c r="H465" s="18" t="str">
        <x:v>否</x:v>
      </x:c>
      <x:c r="I465" s="19" t="str">
        <x:v>DAILY_ENTRIES_EXITS</x:v>
      </x:c>
      <x:c r="J465" s="19" t="str">
        <x:v>常磐線</x:v>
      </x:c>
      <x:c r="K465" s="18" t="str">
        <x:v>transport-node:afff0dc3-4f82-572e-829d-7a48df46a2c5</x:v>
      </x:c>
      <x:c r="L465" s="19" t="str">
        <x:v>组件待审核</x:v>
      </x:c>
      <x:c r="M465" s="21" t="n">
        <x:v>35.875675</x:v>
      </x:c>
      <x:c r="N465" s="21" t="n">
        <x:v>139.988035</x:v>
      </x:c>
      <x:c r="O465" s="18" t="str">
        <x:v>002959</x:v>
      </x:c>
      <x:c r="P465" s="18" t="str">
        <x:v>常磐線</x:v>
      </x:c>
      <x:c r="Q465" s="19" t="str">
        <x:v>S12_061_GE_10000</x:v>
      </x:c>
      <x:c r="R465" s="19" t="str">
        <x:v>S12_061 usage threshold</x:v>
      </x:c>
      <x:c r="S465" s="19" t="str">
        <x:v>https://nlftp.mlit.go.jp/ksj/gml/datalist/KsjTmplt-S12-2024.html</x:v>
      </x:c>
      <x:c r="T465" s="19" t="str">
        <x:v>https://nlftp.mlit.go.jp/ksj/gml/datalist/KsjTmplt-S12-2024.html</x:v>
      </x:c>
      <x:c r="U465" s="19" t="str">
        <x:v>station-component|北柏|東日本旅客鉄道|conventional_rail|35.8757|139.9880|</x:v>
      </x:c>
      <x:c r="V465" s="19" t="str">
        <x:v>002959 / 002959 / 常磐線</x:v>
      </x:c>
      <x:c r="W465" s="18" t="str">
        <x:v>否</x:v>
      </x:c>
      <x:c r="X465" s="18" t="str">
        <x:v>0785e932a32b3ec15e1a1345537ae145eafe1c07bf38d5c16c11ee2b391e7a28</x:v>
      </x:c>
      <x:c r="Y465" s="20" t="n">
        <x:v>1</x:v>
      </x:c>
      <x:c r="Z465" s="20" t="n">
        <x:v>1</x:v>
      </x:c>
      <x:c r="AA465" s="19"/>
      <x:c r="AB465" s="18"/>
      <x:c r="AC465" s="19"/>
    </x:row>
    <x:row r="466" ht="28" customHeight="1">
      <x:c r="A466" s="18" t="str">
        <x:v>北池袋</x:v>
      </x:c>
      <x:c r="B466" s="18" t="str">
        <x:v>東武鉄道</x:v>
      </x:c>
      <x:c r="C466" s="18" t="str">
        <x:v>private_rail</x:v>
      </x:c>
      <x:c r="D466" s="19" t="str">
        <x:v>T2</x:v>
      </x:c>
      <x:c r="E466" s="20" t="n">
        <x:v>10356</x:v>
      </x:c>
      <x:c r="F466" s="18" t="str">
        <x:v>persons/day</x:v>
      </x:c>
      <x:c r="G466" s="18" t="str">
        <x:v>FY2024</x:v>
      </x:c>
      <x:c r="H466" s="18" t="str">
        <x:v>否</x:v>
      </x:c>
      <x:c r="I466" s="19" t="str">
        <x:v>DAILY_ENTRIES_EXITS</x:v>
      </x:c>
      <x:c r="J466" s="19" t="str">
        <x:v>東上本線</x:v>
      </x:c>
      <x:c r="K466" s="18" t="str">
        <x:v>transport-node:3d08b5da-9867-507e-bb28-bdc544b345fb</x:v>
      </x:c>
      <x:c r="L466" s="19" t="str">
        <x:v>组件待审核</x:v>
      </x:c>
      <x:c r="M466" s="21" t="n">
        <x:v>35.740335</x:v>
      </x:c>
      <x:c r="N466" s="21" t="n">
        <x:v>139.716395</x:v>
      </x:c>
      <x:c r="O466" s="18" t="str">
        <x:v>003315</x:v>
      </x:c>
      <x:c r="P466" s="18" t="str">
        <x:v>東上本線</x:v>
      </x:c>
      <x:c r="Q466" s="19" t="str">
        <x:v>S12_061_GE_10000</x:v>
      </x:c>
      <x:c r="R466" s="19" t="str">
        <x:v>S12_061 usage threshold</x:v>
      </x:c>
      <x:c r="S466" s="19" t="str">
        <x:v>https://nlftp.mlit.go.jp/ksj/gml/datalist/KsjTmplt-S12-2024.html</x:v>
      </x:c>
      <x:c r="T466" s="19" t="str">
        <x:v>https://nlftp.mlit.go.jp/ksj/gml/datalist/KsjTmplt-S12-2024.html</x:v>
      </x:c>
      <x:c r="U466" s="19" t="str">
        <x:v>station-component|北池袋|東武鉄道|private_rail|35.7403|139.7164|</x:v>
      </x:c>
      <x:c r="V466" s="19" t="str">
        <x:v>003315 / 003315 / 東上本線</x:v>
      </x:c>
      <x:c r="W466" s="18" t="str">
        <x:v>否</x:v>
      </x:c>
      <x:c r="X466" s="18" t="str">
        <x:v>0785e932a32b3ec15e1a1345537ae145eafe1c07bf38d5c16c11ee2b391e7a28</x:v>
      </x:c>
      <x:c r="Y466" s="20" t="n">
        <x:v>1</x:v>
      </x:c>
      <x:c r="Z466" s="20" t="n">
        <x:v>1</x:v>
      </x:c>
      <x:c r="AA466" s="19"/>
      <x:c r="AB466" s="18"/>
      <x:c r="AC466" s="19"/>
    </x:row>
    <x:row r="467" ht="33" customHeight="1">
      <x:c r="A467" s="18" t="str">
        <x:v>北浜</x:v>
      </x:c>
      <x:c r="B467" s="18" t="str">
        <x:v>京阪電気鉄道</x:v>
      </x:c>
      <x:c r="C467" s="18" t="str">
        <x:v>private_rail</x:v>
      </x:c>
      <x:c r="D467" s="19" t="str">
        <x:v>T2</x:v>
      </x:c>
      <x:c r="E467" s="20" t="n">
        <x:v>28382</x:v>
      </x:c>
      <x:c r="F467" s="18" t="str">
        <x:v>persons/day</x:v>
      </x:c>
      <x:c r="G467" s="18" t="str">
        <x:v>FY2024</x:v>
      </x:c>
      <x:c r="H467" s="18" t="str">
        <x:v>否</x:v>
      </x:c>
      <x:c r="I467" s="19" t="str">
        <x:v>DAILY_ENTRIES_EXITS</x:v>
      </x:c>
      <x:c r="J467" s="19" t="str">
        <x:v>京阪本線</x:v>
      </x:c>
      <x:c r="K467" s="18" t="str">
        <x:v>transport-node:16925c98-28a9-5cdd-a719-cdeb9bf5ff7f</x:v>
      </x:c>
      <x:c r="L467" s="19" t="str">
        <x:v>组件待审核</x:v>
      </x:c>
      <x:c r="M467" s="21" t="n">
        <x:v>34.691505</x:v>
      </x:c>
      <x:c r="N467" s="21" t="n">
        <x:v>135.50759</x:v>
      </x:c>
      <x:c r="O467" s="18" t="str">
        <x:v>007141</x:v>
      </x:c>
      <x:c r="P467" s="18" t="str">
        <x:v>京阪本線</x:v>
      </x:c>
      <x:c r="Q467" s="19" t="str">
        <x:v>S12_061_GE_10000
OFFICIAL_HUB_COMPONENT_REVIEW</x:v>
      </x:c>
      <x:c r="R467" s="19" t="str">
        <x:v>S12_061 usage threshold</x:v>
      </x:c>
      <x:c r="S467" s="19" t="str">
        <x:v>https://nlftp.mlit.go.jp/ksj/gml/datalist/KsjTmplt-S12-2024.html</x:v>
      </x:c>
      <x:c r="T467" s="19" t="str">
        <x:v>https://nlftp.mlit.go.jp/ksj/gml/datalist/KsjTmplt-S12-2024.html
https://subway.osakametro.co.jp/station_guide/K/k14/index.php</x:v>
      </x:c>
      <x:c r="U467" s="19" t="str">
        <x:v>station-component|北浜|京阪電気鉄道|private_rail|34.6915|135.5076|</x:v>
      </x:c>
      <x:c r="V467" s="19" t="str">
        <x:v>007141 / 007141 / 京阪本線</x:v>
      </x:c>
      <x:c r="W467" s="18" t="str">
        <x:v>否</x:v>
      </x:c>
      <x:c r="X467" s="18" t="str">
        <x:v>0785e932a32b3ec15e1a1345537ae145eafe1c07bf38d5c16c11ee2b391e7a28</x:v>
      </x:c>
      <x:c r="Y467" s="20" t="n">
        <x:v>1</x:v>
      </x:c>
      <x:c r="Z467" s="20" t="n">
        <x:v>1</x:v>
      </x:c>
      <x:c r="AA467" s="19" t="str">
        <x:v>北浜</x:v>
      </x:c>
      <x:c r="AB467" s="18" t="str">
        <x:v>transport-hub-review:56eedd91-071a-5f28-aeea-64851d8f0484</x:v>
      </x:c>
      <x:c r="AC467" s="19"/>
    </x:row>
    <x:row r="468" ht="33" customHeight="1">
      <x:c r="A468" s="18" t="str">
        <x:v>北浜</x:v>
      </x:c>
      <x:c r="B468" s="18" t="str">
        <x:v>大阪市高速電気軌道</x:v>
      </x:c>
      <x:c r="C468" s="18" t="str">
        <x:v>metro</x:v>
      </x:c>
      <x:c r="D468" s="19" t="str">
        <x:v>T1</x:v>
      </x:c>
      <x:c r="E468" s="20" t="n">
        <x:v>66683</x:v>
      </x:c>
      <x:c r="F468" s="18" t="str">
        <x:v>persons/day</x:v>
      </x:c>
      <x:c r="G468" s="18" t="str">
        <x:v>FY2024</x:v>
      </x:c>
      <x:c r="H468" s="18" t="str">
        <x:v>否</x:v>
      </x:c>
      <x:c r="I468" s="19" t="str">
        <x:v>DAILY_ENTRIES_EXITS</x:v>
      </x:c>
      <x:c r="J468" s="19" t="str">
        <x:v>6号線(堺筋線)</x:v>
      </x:c>
      <x:c r="K468" s="18" t="str">
        <x:v>transport-node:0a0a41ed-bbb8-5faa-a75b-c23cd2db8a8a</x:v>
      </x:c>
      <x:c r="L468" s="19" t="str">
        <x:v>组件待审核</x:v>
      </x:c>
      <x:c r="M468" s="21" t="n">
        <x:v>34.690926</x:v>
      </x:c>
      <x:c r="N468" s="21" t="n">
        <x:v>135.506606</x:v>
      </x:c>
      <x:c r="O468" s="18" t="str">
        <x:v>007146</x:v>
      </x:c>
      <x:c r="P468" s="18" t="str">
        <x:v>6号線(堺筋線)</x:v>
      </x:c>
      <x:c r="Q468" s="19" t="str">
        <x:v>S12_061_GE_10000
OFFICIAL_HUB_COMPONENT_REVIEW</x:v>
      </x:c>
      <x:c r="R468" s="19" t="str">
        <x:v>S12_061 usage threshold</x:v>
      </x:c>
      <x:c r="S468" s="19" t="str">
        <x:v>https://nlftp.mlit.go.jp/ksj/gml/datalist/KsjTmplt-S12-2024.html</x:v>
      </x:c>
      <x:c r="T468" s="19" t="str">
        <x:v>https://nlftp.mlit.go.jp/ksj/gml/datalist/KsjTmplt-S12-2024.html
https://subway.osakametro.co.jp/station_guide/K/k14/index.php</x:v>
      </x:c>
      <x:c r="U468" s="19" t="str">
        <x:v>station-component|北浜|大阪市高速電気軌道|metro|34.6909|135.5066|</x:v>
      </x:c>
      <x:c r="V468" s="19" t="str">
        <x:v>007141 / 007146 / 6号線(堺筋線)</x:v>
      </x:c>
      <x:c r="W468" s="18" t="str">
        <x:v>否</x:v>
      </x:c>
      <x:c r="X468" s="18" t="str">
        <x:v>0785e932a32b3ec15e1a1345537ae145eafe1c07bf38d5c16c11ee2b391e7a28</x:v>
      </x:c>
      <x:c r="Y468" s="20" t="n">
        <x:v>1</x:v>
      </x:c>
      <x:c r="Z468" s="20" t="n">
        <x:v>1</x:v>
      </x:c>
      <x:c r="AA468" s="19" t="str">
        <x:v>北浜</x:v>
      </x:c>
      <x:c r="AB468" s="18" t="str">
        <x:v>transport-hub-review:56eedd91-071a-5f28-aeea-64851d8f0484</x:v>
      </x:c>
      <x:c r="AC468" s="19"/>
    </x:row>
    <x:row r="469" ht="28" customHeight="1">
      <x:c r="A469" s="18" t="str">
        <x:v>北浦和</x:v>
      </x:c>
      <x:c r="B469" s="18" t="str">
        <x:v>東日本旅客鉄道</x:v>
      </x:c>
      <x:c r="C469" s="18" t="str">
        <x:v>conventional_rail</x:v>
      </x:c>
      <x:c r="D469" s="19" t="str">
        <x:v>T1</x:v>
      </x:c>
      <x:c r="E469" s="20" t="n">
        <x:v>96364</x:v>
      </x:c>
      <x:c r="F469" s="18" t="str">
        <x:v>persons/day</x:v>
      </x:c>
      <x:c r="G469" s="18" t="str">
        <x:v>FY2024</x:v>
      </x:c>
      <x:c r="H469" s="18" t="str">
        <x:v>否</x:v>
      </x:c>
      <x:c r="I469" s="19" t="str">
        <x:v>DAILY_ENTRIES_EXITS</x:v>
      </x:c>
      <x:c r="J469" s="19" t="str">
        <x:v>東北線</x:v>
      </x:c>
      <x:c r="K469" s="18" t="str">
        <x:v>transport-node:b5dc5e4e-a099-59c0-a85f-1aa661d8d0b3</x:v>
      </x:c>
      <x:c r="L469" s="19" t="str">
        <x:v>组件待审核</x:v>
      </x:c>
      <x:c r="M469" s="21" t="n">
        <x:v>35.8722</x:v>
      </x:c>
      <x:c r="N469" s="21" t="n">
        <x:v>139.64575</x:v>
      </x:c>
      <x:c r="O469" s="18" t="str">
        <x:v>002968</x:v>
      </x:c>
      <x:c r="P469" s="18" t="str">
        <x:v>東北線</x:v>
      </x:c>
      <x:c r="Q469" s="19" t="str">
        <x:v>S12_061_GE_10000</x:v>
      </x:c>
      <x:c r="R469" s="19" t="str">
        <x:v>S12_061 usage threshold</x:v>
      </x:c>
      <x:c r="S469" s="19" t="str">
        <x:v>https://nlftp.mlit.go.jp/ksj/gml/datalist/KsjTmplt-S12-2024.html</x:v>
      </x:c>
      <x:c r="T469" s="19" t="str">
        <x:v>https://nlftp.mlit.go.jp/ksj/gml/datalist/KsjTmplt-S12-2024.html</x:v>
      </x:c>
      <x:c r="U469" s="19" t="str">
        <x:v>station-component|北浦和|東日本旅客鉄道|conventional_rail|35.8722|139.6457|</x:v>
      </x:c>
      <x:c r="V469" s="19" t="str">
        <x:v>002968 / 002968 / 東北線</x:v>
      </x:c>
      <x:c r="W469" s="18" t="str">
        <x:v>否</x:v>
      </x:c>
      <x:c r="X469" s="18" t="str">
        <x:v>0785e932a32b3ec15e1a1345537ae145eafe1c07bf38d5c16c11ee2b391e7a28</x:v>
      </x:c>
      <x:c r="Y469" s="20" t="n">
        <x:v>1</x:v>
      </x:c>
      <x:c r="Z469" s="20" t="n">
        <x:v>1</x:v>
      </x:c>
      <x:c r="AA469" s="19"/>
      <x:c r="AB469" s="18"/>
      <x:c r="AC469" s="19"/>
    </x:row>
    <x:row r="470" ht="28" customHeight="1">
      <x:c r="A470" s="18" t="str">
        <x:v>北綾瀬</x:v>
      </x:c>
      <x:c r="B470" s="18" t="str">
        <x:v>東京地下鉄</x:v>
      </x:c>
      <x:c r="C470" s="18" t="str">
        <x:v>metro</x:v>
      </x:c>
      <x:c r="D470" s="19" t="str">
        <x:v>T2</x:v>
      </x:c>
      <x:c r="E470" s="20" t="n">
        <x:v>43371</x:v>
      </x:c>
      <x:c r="F470" s="18" t="str">
        <x:v>persons/day</x:v>
      </x:c>
      <x:c r="G470" s="18" t="str">
        <x:v>FY2024</x:v>
      </x:c>
      <x:c r="H470" s="18" t="str">
        <x:v>否</x:v>
      </x:c>
      <x:c r="I470" s="19" t="str">
        <x:v>DAILY_ENTRIES_EXITS</x:v>
      </x:c>
      <x:c r="J470" s="19" t="str">
        <x:v>9号線千代田線</x:v>
      </x:c>
      <x:c r="K470" s="18" t="str">
        <x:v>transport-node:04344b52-8fdb-5b23-b836-a43a0267a9a9</x:v>
      </x:c>
      <x:c r="L470" s="19" t="str">
        <x:v>组件待审核</x:v>
      </x:c>
      <x:c r="M470" s="21" t="n">
        <x:v>35.77689</x:v>
      </x:c>
      <x:c r="N470" s="21" t="n">
        <x:v>139.832095</x:v>
      </x:c>
      <x:c r="O470" s="18" t="str">
        <x:v>003162</x:v>
      </x:c>
      <x:c r="P470" s="18" t="str">
        <x:v>9号線千代田線</x:v>
      </x:c>
      <x:c r="Q470" s="19" t="str">
        <x:v>S12_061_GE_10000</x:v>
      </x:c>
      <x:c r="R470" s="19" t="str">
        <x:v>S12_061 usage threshold</x:v>
      </x:c>
      <x:c r="S470" s="19" t="str">
        <x:v>https://nlftp.mlit.go.jp/ksj/gml/datalist/KsjTmplt-S12-2024.html</x:v>
      </x:c>
      <x:c r="T470" s="19" t="str">
        <x:v>https://nlftp.mlit.go.jp/ksj/gml/datalist/KsjTmplt-S12-2024.html</x:v>
      </x:c>
      <x:c r="U470" s="19" t="str">
        <x:v>station-component|北綾瀬|東京地下鉄|metro|35.7769|139.8321|</x:v>
      </x:c>
      <x:c r="V470" s="19" t="str">
        <x:v>003162 / 003162 / 9号線千代田線</x:v>
      </x:c>
      <x:c r="W470" s="18" t="str">
        <x:v>否</x:v>
      </x:c>
      <x:c r="X470" s="18" t="str">
        <x:v>0785e932a32b3ec15e1a1345537ae145eafe1c07bf38d5c16c11ee2b391e7a28</x:v>
      </x:c>
      <x:c r="Y470" s="20" t="n">
        <x:v>1</x:v>
      </x:c>
      <x:c r="Z470" s="20" t="n">
        <x:v>1</x:v>
      </x:c>
      <x:c r="AA470" s="19"/>
      <x:c r="AB470" s="18"/>
      <x:c r="AC470" s="19"/>
    </x:row>
    <x:row r="471" ht="28" customHeight="1">
      <x:c r="A471" s="18" t="str">
        <x:v>北習志野</x:v>
      </x:c>
      <x:c r="B471" s="18" t="str">
        <x:v>新京成電鉄</x:v>
      </x:c>
      <x:c r="C471" s="18" t="str">
        <x:v>private_rail</x:v>
      </x:c>
      <x:c r="D471" s="19" t="str">
        <x:v>T2</x:v>
      </x:c>
      <x:c r="E471" s="20" t="n">
        <x:v>42722</x:v>
      </x:c>
      <x:c r="F471" s="18" t="str">
        <x:v>persons/day</x:v>
      </x:c>
      <x:c r="G471" s="18" t="str">
        <x:v>FY2024</x:v>
      </x:c>
      <x:c r="H471" s="18" t="str">
        <x:v>否</x:v>
      </x:c>
      <x:c r="I471" s="19" t="str">
        <x:v>DAILY_ENTRIES_EXITS</x:v>
      </x:c>
      <x:c r="J471" s="19" t="str">
        <x:v>新京成線</x:v>
      </x:c>
      <x:c r="K471" s="18" t="str">
        <x:v>transport-node:7e3e1bb6-4bb4-5f6c-86e5-b8889973f8ce</x:v>
      </x:c>
      <x:c r="L471" s="19" t="str">
        <x:v>组件待审核</x:v>
      </x:c>
      <x:c r="M471" s="21" t="n">
        <x:v>35.721325</x:v>
      </x:c>
      <x:c r="N471" s="21" t="n">
        <x:v>140.042175</x:v>
      </x:c>
      <x:c r="O471" s="18" t="str">
        <x:v>003463</x:v>
      </x:c>
      <x:c r="P471" s="18" t="str">
        <x:v>新京成線</x:v>
      </x:c>
      <x:c r="Q471" s="19" t="str">
        <x:v>S12_061_GE_10000</x:v>
      </x:c>
      <x:c r="R471" s="19" t="str">
        <x:v>S12_061 usage threshold</x:v>
      </x:c>
      <x:c r="S471" s="19" t="str">
        <x:v>https://nlftp.mlit.go.jp/ksj/gml/datalist/KsjTmplt-S12-2024.html</x:v>
      </x:c>
      <x:c r="T471" s="19" t="str">
        <x:v>https://nlftp.mlit.go.jp/ksj/gml/datalist/KsjTmplt-S12-2024.html</x:v>
      </x:c>
      <x:c r="U471" s="19" t="str">
        <x:v>station-component|北習志野|新京成電鉄|private_rail|35.7213|140.0422|</x:v>
      </x:c>
      <x:c r="V471" s="19" t="str">
        <x:v>003459 / 003463 / 新京成線</x:v>
      </x:c>
      <x:c r="W471" s="18" t="str">
        <x:v>否</x:v>
      </x:c>
      <x:c r="X471" s="18" t="str">
        <x:v>0785e932a32b3ec15e1a1345537ae145eafe1c07bf38d5c16c11ee2b391e7a28</x:v>
      </x:c>
      <x:c r="Y471" s="20" t="n">
        <x:v>1</x:v>
      </x:c>
      <x:c r="Z471" s="20" t="n">
        <x:v>1</x:v>
      </x:c>
      <x:c r="AA471" s="19"/>
      <x:c r="AB471" s="18"/>
      <x:c r="AC471" s="19"/>
    </x:row>
    <x:row r="472" ht="28" customHeight="1">
      <x:c r="A472" s="18" t="str">
        <x:v>北習志野</x:v>
      </x:c>
      <x:c r="B472" s="18" t="str">
        <x:v>東葉高速鉄道</x:v>
      </x:c>
      <x:c r="C472" s="18" t="str">
        <x:v>private_rail</x:v>
      </x:c>
      <x:c r="D472" s="19" t="str">
        <x:v>T2</x:v>
      </x:c>
      <x:c r="E472" s="20" t="n">
        <x:v>40594</x:v>
      </x:c>
      <x:c r="F472" s="18" t="str">
        <x:v>persons/day</x:v>
      </x:c>
      <x:c r="G472" s="18" t="str">
        <x:v>FY2024</x:v>
      </x:c>
      <x:c r="H472" s="18" t="str">
        <x:v>否</x:v>
      </x:c>
      <x:c r="I472" s="19" t="str">
        <x:v>DAILY_ENTRIES_EXITS</x:v>
      </x:c>
      <x:c r="J472" s="19" t="str">
        <x:v>東葉高速線</x:v>
      </x:c>
      <x:c r="K472" s="18" t="str">
        <x:v>transport-node:1320cb1d-7f46-5033-954d-dfd5cde9c5e4</x:v>
      </x:c>
      <x:c r="L472" s="19" t="str">
        <x:v>组件待审核</x:v>
      </x:c>
      <x:c r="M472" s="21" t="n">
        <x:v>35.72169</x:v>
      </x:c>
      <x:c r="N472" s="21" t="n">
        <x:v>140.042464</x:v>
      </x:c>
      <x:c r="O472" s="18" t="str">
        <x:v>003459</x:v>
      </x:c>
      <x:c r="P472" s="18" t="str">
        <x:v>東葉高速線</x:v>
      </x:c>
      <x:c r="Q472" s="19" t="str">
        <x:v>S12_061_GE_10000</x:v>
      </x:c>
      <x:c r="R472" s="19" t="str">
        <x:v>S12_061 usage threshold</x:v>
      </x:c>
      <x:c r="S472" s="19" t="str">
        <x:v>https://nlftp.mlit.go.jp/ksj/gml/datalist/KsjTmplt-S12-2024.html</x:v>
      </x:c>
      <x:c r="T472" s="19" t="str">
        <x:v>https://nlftp.mlit.go.jp/ksj/gml/datalist/KsjTmplt-S12-2024.html</x:v>
      </x:c>
      <x:c r="U472" s="19" t="str">
        <x:v>station-component|北習志野|東葉高速鉄道|private_rail|35.7217|140.0425|</x:v>
      </x:c>
      <x:c r="V472" s="19" t="str">
        <x:v>003459 / 003459 / 東葉高速線</x:v>
      </x:c>
      <x:c r="W472" s="18" t="str">
        <x:v>否</x:v>
      </x:c>
      <x:c r="X472" s="18" t="str">
        <x:v>0785e932a32b3ec15e1a1345537ae145eafe1c07bf38d5c16c11ee2b391e7a28</x:v>
      </x:c>
      <x:c r="Y472" s="20" t="n">
        <x:v>1</x:v>
      </x:c>
      <x:c r="Z472" s="20" t="n">
        <x:v>1</x:v>
      </x:c>
      <x:c r="AA472" s="19"/>
      <x:c r="AB472" s="18"/>
      <x:c r="AC472" s="19"/>
    </x:row>
    <x:row r="473" ht="28" customHeight="1">
      <x:c r="A473" s="18" t="str">
        <x:v>北花田</x:v>
      </x:c>
      <x:c r="B473" s="18" t="str">
        <x:v>大阪市高速電気軌道</x:v>
      </x:c>
      <x:c r="C473" s="18" t="str">
        <x:v>metro</x:v>
      </x:c>
      <x:c r="D473" s="19" t="str">
        <x:v>T2</x:v>
      </x:c>
      <x:c r="E473" s="20" t="n">
        <x:v>24023</x:v>
      </x:c>
      <x:c r="F473" s="18" t="str">
        <x:v>persons/day</x:v>
      </x:c>
      <x:c r="G473" s="18" t="str">
        <x:v>FY2024</x:v>
      </x:c>
      <x:c r="H473" s="18" t="str">
        <x:v>否</x:v>
      </x:c>
      <x:c r="I473" s="19" t="str">
        <x:v>DAILY_ENTRIES_EXITS</x:v>
      </x:c>
      <x:c r="J473" s="19" t="str">
        <x:v>1号線(御堂筋線)</x:v>
      </x:c>
      <x:c r="K473" s="18" t="str">
        <x:v>transport-node:e0aeae95-d2c2-54d5-a82b-69c72509726e</x:v>
      </x:c>
      <x:c r="L473" s="19" t="str">
        <x:v>组件待审核</x:v>
      </x:c>
      <x:c r="M473" s="21" t="n">
        <x:v>34.582495</x:v>
      </x:c>
      <x:c r="N473" s="21" t="n">
        <x:v>135.516395</x:v>
      </x:c>
      <x:c r="O473" s="18" t="str">
        <x:v>007647</x:v>
      </x:c>
      <x:c r="P473" s="18" t="str">
        <x:v>1号線(御堂筋線)</x:v>
      </x:c>
      <x:c r="Q473" s="19" t="str">
        <x:v>S12_061_GE_10000</x:v>
      </x:c>
      <x:c r="R473" s="19" t="str">
        <x:v>S12_061 usage threshold</x:v>
      </x:c>
      <x:c r="S473" s="19" t="str">
        <x:v>https://nlftp.mlit.go.jp/ksj/gml/datalist/KsjTmplt-S12-2024.html</x:v>
      </x:c>
      <x:c r="T473" s="19" t="str">
        <x:v>https://nlftp.mlit.go.jp/ksj/gml/datalist/KsjTmplt-S12-2024.html</x:v>
      </x:c>
      <x:c r="U473" s="19" t="str">
        <x:v>station-component|北花田|大阪市高速電気軌道|metro|34.5825|135.5164|</x:v>
      </x:c>
      <x:c r="V473" s="19" t="str">
        <x:v>007647 / 007647 / 1号線(御堂筋線)</x:v>
      </x:c>
      <x:c r="W473" s="18" t="str">
        <x:v>否</x:v>
      </x:c>
      <x:c r="X473" s="18" t="str">
        <x:v>0785e932a32b3ec15e1a1345537ae145eafe1c07bf38d5c16c11ee2b391e7a28</x:v>
      </x:c>
      <x:c r="Y473" s="20" t="n">
        <x:v>1</x:v>
      </x:c>
      <x:c r="Z473" s="20" t="n">
        <x:v>1</x:v>
      </x:c>
      <x:c r="AA473" s="19"/>
      <x:c r="AB473" s="18"/>
      <x:c r="AC473" s="19"/>
    </x:row>
    <x:row r="474" ht="28" customHeight="1">
      <x:c r="A474" s="18" t="str">
        <x:v>北赤羽</x:v>
      </x:c>
      <x:c r="B474" s="18" t="str">
        <x:v>東日本旅客鉄道</x:v>
      </x:c>
      <x:c r="C474" s="18" t="str">
        <x:v>conventional_rail</x:v>
      </x:c>
      <x:c r="D474" s="19" t="str">
        <x:v>T2</x:v>
      </x:c>
      <x:c r="E474" s="20" t="n">
        <x:v>36982</x:v>
      </x:c>
      <x:c r="F474" s="18" t="str">
        <x:v>persons/day</x:v>
      </x:c>
      <x:c r="G474" s="18" t="str">
        <x:v>FY2024</x:v>
      </x:c>
      <x:c r="H474" s="18" t="str">
        <x:v>否</x:v>
      </x:c>
      <x:c r="I474" s="19" t="str">
        <x:v>DAILY_ENTRIES_EXITS</x:v>
      </x:c>
      <x:c r="J474" s="19" t="str">
        <x:v>東北線</x:v>
      </x:c>
      <x:c r="K474" s="18" t="str">
        <x:v>transport-node:5d9aee96-6c02-5f4e-aabe-f2b1fc094cb9</x:v>
      </x:c>
      <x:c r="L474" s="19" t="str">
        <x:v>组件待审核</x:v>
      </x:c>
      <x:c r="M474" s="21" t="n">
        <x:v>35.786974</x:v>
      </x:c>
      <x:c r="N474" s="21" t="n">
        <x:v>139.705834</x:v>
      </x:c>
      <x:c r="O474" s="18" t="str">
        <x:v>003130</x:v>
      </x:c>
      <x:c r="P474" s="18" t="str">
        <x:v>東北線</x:v>
      </x:c>
      <x:c r="Q474" s="19" t="str">
        <x:v>S12_061_GE_10000</x:v>
      </x:c>
      <x:c r="R474" s="19" t="str">
        <x:v>S12_061 usage threshold</x:v>
      </x:c>
      <x:c r="S474" s="19" t="str">
        <x:v>https://nlftp.mlit.go.jp/ksj/gml/datalist/KsjTmplt-S12-2024.html</x:v>
      </x:c>
      <x:c r="T474" s="19" t="str">
        <x:v>https://nlftp.mlit.go.jp/ksj/gml/datalist/KsjTmplt-S12-2024.html</x:v>
      </x:c>
      <x:c r="U474" s="19" t="str">
        <x:v>station-component|北赤羽|東日本旅客鉄道|conventional_rail|35.7870|139.7058|</x:v>
      </x:c>
      <x:c r="V474" s="19" t="str">
        <x:v>003130 / 003130 / 東北線</x:v>
      </x:c>
      <x:c r="W474" s="18" t="str">
        <x:v>否</x:v>
      </x:c>
      <x:c r="X474" s="18" t="str">
        <x:v>0785e932a32b3ec15e1a1345537ae145eafe1c07bf38d5c16c11ee2b391e7a28</x:v>
      </x:c>
      <x:c r="Y474" s="20" t="n">
        <x:v>1</x:v>
      </x:c>
      <x:c r="Z474" s="20" t="n">
        <x:v>1</x:v>
      </x:c>
      <x:c r="AA474" s="19"/>
      <x:c r="AB474" s="18"/>
      <x:c r="AC474" s="19"/>
    </x:row>
    <x:row r="475" ht="28" customHeight="1">
      <x:c r="A475" s="18" t="str">
        <x:v>北越谷</x:v>
      </x:c>
      <x:c r="B475" s="18" t="str">
        <x:v>東武鉄道</x:v>
      </x:c>
      <x:c r="C475" s="18" t="str">
        <x:v>private_rail</x:v>
      </x:c>
      <x:c r="D475" s="19" t="str">
        <x:v>T2</x:v>
      </x:c>
      <x:c r="E475" s="20" t="n">
        <x:v>48539</x:v>
      </x:c>
      <x:c r="F475" s="18" t="str">
        <x:v>persons/day</x:v>
      </x:c>
      <x:c r="G475" s="18" t="str">
        <x:v>FY2024</x:v>
      </x:c>
      <x:c r="H475" s="18" t="str">
        <x:v>否</x:v>
      </x:c>
      <x:c r="I475" s="19" t="str">
        <x:v>DAILY_ENTRIES_EXITS</x:v>
      </x:c>
      <x:c r="J475" s="19" t="str">
        <x:v>伊勢崎線</x:v>
      </x:c>
      <x:c r="K475" s="18" t="str">
        <x:v>transport-node:0f46576c-7e3e-5c5f-a8de-7d45dfa1e0d7</x:v>
      </x:c>
      <x:c r="L475" s="19" t="str">
        <x:v>组件待审核</x:v>
      </x:c>
      <x:c r="M475" s="21" t="n">
        <x:v>35.901715</x:v>
      </x:c>
      <x:c r="N475" s="21" t="n">
        <x:v>139.77987</x:v>
      </x:c>
      <x:c r="O475" s="18" t="str">
        <x:v>002920</x:v>
      </x:c>
      <x:c r="P475" s="18" t="str">
        <x:v>伊勢崎線</x:v>
      </x:c>
      <x:c r="Q475" s="19" t="str">
        <x:v>S12_061_GE_10000</x:v>
      </x:c>
      <x:c r="R475" s="19" t="str">
        <x:v>S12_061 usage threshold</x:v>
      </x:c>
      <x:c r="S475" s="19" t="str">
        <x:v>https://nlftp.mlit.go.jp/ksj/gml/datalist/KsjTmplt-S12-2024.html</x:v>
      </x:c>
      <x:c r="T475" s="19" t="str">
        <x:v>https://nlftp.mlit.go.jp/ksj/gml/datalist/KsjTmplt-S12-2024.html</x:v>
      </x:c>
      <x:c r="U475" s="19" t="str">
        <x:v>station-component|北越谷|東武鉄道|private_rail|35.9017|139.7799|</x:v>
      </x:c>
      <x:c r="V475" s="19" t="str">
        <x:v>002920 / 002920 / 伊勢崎線</x:v>
      </x:c>
      <x:c r="W475" s="18" t="str">
        <x:v>否</x:v>
      </x:c>
      <x:c r="X475" s="18" t="str">
        <x:v>0785e932a32b3ec15e1a1345537ae145eafe1c07bf38d5c16c11ee2b391e7a28</x:v>
      </x:c>
      <x:c r="Y475" s="20" t="n">
        <x:v>1</x:v>
      </x:c>
      <x:c r="Z475" s="20" t="n">
        <x:v>1</x:v>
      </x:c>
      <x:c r="AA475" s="19"/>
      <x:c r="AB475" s="18"/>
      <x:c r="AC475" s="19"/>
    </x:row>
    <x:row r="476" ht="33" customHeight="1">
      <x:c r="A476" s="18" t="str">
        <x:v>北野</x:v>
      </x:c>
      <x:c r="B476" s="18" t="str">
        <x:v>京王電鉄</x:v>
      </x:c>
      <x:c r="C476" s="18" t="str">
        <x:v>private_rail</x:v>
      </x:c>
      <x:c r="D476" s="19" t="str">
        <x:v>T2</x:v>
      </x:c>
      <x:c r="E476" s="20" t="n">
        <x:v>20488</x:v>
      </x:c>
      <x:c r="F476" s="18" t="str">
        <x:v>persons/day</x:v>
      </x:c>
      <x:c r="G476" s="18" t="str">
        <x:v>FY2024</x:v>
      </x:c>
      <x:c r="H476" s="18" t="str">
        <x:v>否</x:v>
      </x:c>
      <x:c r="I476" s="19" t="str">
        <x:v>DAILY_ENTRIES_EXITS</x:v>
      </x:c>
      <x:c r="J476" s="19" t="str">
        <x:v>京王線
高尾線</x:v>
      </x:c>
      <x:c r="K476" s="18" t="str">
        <x:v>transport-node:b731150a-4f24-5236-896d-26a91df48b17</x:v>
      </x:c>
      <x:c r="L476" s="19" t="str">
        <x:v>组件待审核</x:v>
      </x:c>
      <x:c r="M476" s="21" t="n">
        <x:v>35.644496</x:v>
      </x:c>
      <x:c r="N476" s="21" t="n">
        <x:v>139.354154</x:v>
      </x:c>
      <x:c r="O476" s="18" t="str">
        <x:v>004007</x:v>
      </x:c>
      <x:c r="P476" s="18" t="str">
        <x:v>京王線</x:v>
      </x:c>
      <x:c r="Q476" s="19" t="str">
        <x:v>S12_061_GE_10000
OFFICIAL_HUB_COMPONENT_REVIEW</x:v>
      </x:c>
      <x:c r="R476" s="19" t="str">
        <x:v>S12_061 usage threshold</x:v>
      </x:c>
      <x:c r="S476" s="19" t="str">
        <x:v>https://nlftp.mlit.go.jp/ksj/gml/datalist/KsjTmplt-S12-2024.html</x:v>
      </x:c>
      <x:c r="T476" s="19" t="str">
        <x:v>https://nlftp.mlit.go.jp/ksj/gml/datalist/KsjTmplt-S12-2024.html
https://www.keio.co.jp/train/station/</x:v>
      </x:c>
      <x:c r="U476" s="19" t="str">
        <x:v>station-component|北野|京王電鉄|private_rail|35.6445|139.3542|</x:v>
      </x:c>
      <x:c r="V476" s="19" t="str">
        <x:v>004007 / 004007 / 京王線
004007 / 004008 / 高尾線</x:v>
      </x:c>
      <x:c r="W476" s="18" t="str">
        <x:v>否</x:v>
      </x:c>
      <x:c r="X476" s="18" t="str">
        <x:v>0785e932a32b3ec15e1a1345537ae145eafe1c07bf38d5c16c11ee2b391e7a28</x:v>
      </x:c>
      <x:c r="Y476" s="20" t="n">
        <x:v>1</x:v>
      </x:c>
      <x:c r="Z476" s="20" t="n">
        <x:v>1</x:v>
      </x:c>
      <x:c r="AA476" s="19" t="str">
        <x:v>北野</x:v>
      </x:c>
      <x:c r="AB476" s="18" t="str">
        <x:v>transport-hub-review:c0ec1e39-4db8-543b-81f3-cfd9c5135382</x:v>
      </x:c>
      <x:c r="AC476" s="19"/>
    </x:row>
    <x:row r="477" ht="28" customHeight="1">
      <x:c r="A477" s="18" t="str">
        <x:v>北野田</x:v>
      </x:c>
      <x:c r="B477" s="18" t="str">
        <x:v>南海電気鉄道</x:v>
      </x:c>
      <x:c r="C477" s="18" t="str">
        <x:v>private_rail</x:v>
      </x:c>
      <x:c r="D477" s="19" t="str">
        <x:v>T2</x:v>
      </x:c>
      <x:c r="E477" s="20" t="n">
        <x:v>31109</x:v>
      </x:c>
      <x:c r="F477" s="18" t="str">
        <x:v>persons/day</x:v>
      </x:c>
      <x:c r="G477" s="18" t="str">
        <x:v>FY2024</x:v>
      </x:c>
      <x:c r="H477" s="18" t="str">
        <x:v>否</x:v>
      </x:c>
      <x:c r="I477" s="19" t="str">
        <x:v>DAILY_ENTRIES_EXITS</x:v>
      </x:c>
      <x:c r="J477" s="19" t="str">
        <x:v>高野線</x:v>
      </x:c>
      <x:c r="K477" s="18" t="str">
        <x:v>transport-node:6af424f1-d31d-5584-9d15-ea5517b8a4b0</x:v>
      </x:c>
      <x:c r="L477" s="19" t="str">
        <x:v>组件待审核</x:v>
      </x:c>
      <x:c r="M477" s="21" t="n">
        <x:v>34.52293</x:v>
      </x:c>
      <x:c r="N477" s="21" t="n">
        <x:v>135.543205</x:v>
      </x:c>
      <x:c r="O477" s="18" t="str">
        <x:v>007788</x:v>
      </x:c>
      <x:c r="P477" s="18" t="str">
        <x:v>高野線</x:v>
      </x:c>
      <x:c r="Q477" s="19" t="str">
        <x:v>S12_061_GE_10000</x:v>
      </x:c>
      <x:c r="R477" s="19" t="str">
        <x:v>S12_061 usage threshold</x:v>
      </x:c>
      <x:c r="S477" s="19" t="str">
        <x:v>https://nlftp.mlit.go.jp/ksj/gml/datalist/KsjTmplt-S12-2024.html</x:v>
      </x:c>
      <x:c r="T477" s="19" t="str">
        <x:v>https://nlftp.mlit.go.jp/ksj/gml/datalist/KsjTmplt-S12-2024.html</x:v>
      </x:c>
      <x:c r="U477" s="19" t="str">
        <x:v>station-component|北野田|南海電気鉄道|private_rail|34.5229|135.5432|</x:v>
      </x:c>
      <x:c r="V477" s="19" t="str">
        <x:v>007788 / 007788 / 高野線</x:v>
      </x:c>
      <x:c r="W477" s="18" t="str">
        <x:v>否</x:v>
      </x:c>
      <x:c r="X477" s="18" t="str">
        <x:v>0785e932a32b3ec15e1a1345537ae145eafe1c07bf38d5c16c11ee2b391e7a28</x:v>
      </x:c>
      <x:c r="Y477" s="20" t="n">
        <x:v>1</x:v>
      </x:c>
      <x:c r="Z477" s="20" t="n">
        <x:v>1</x:v>
      </x:c>
      <x:c r="AA477" s="19"/>
      <x:c r="AB477" s="18"/>
      <x:c r="AC477" s="19"/>
    </x:row>
    <x:row r="478" ht="33" customHeight="1">
      <x:c r="A478" s="18" t="str">
        <x:v>北鉄金沢</x:v>
      </x:c>
      <x:c r="B478" s="18" t="str">
        <x:v>北陸鉄道</x:v>
      </x:c>
      <x:c r="C478" s="18" t="str">
        <x:v>private_rail</x:v>
      </x:c>
      <x:c r="D478" s="19" t="str">
        <x:v>T3</x:v>
      </x:c>
      <x:c r="E478" s="20" t="n">
        <x:v>4045</x:v>
      </x:c>
      <x:c r="F478" s="18" t="str">
        <x:v>persons/day</x:v>
      </x:c>
      <x:c r="G478" s="18" t="str">
        <x:v>FY2024</x:v>
      </x:c>
      <x:c r="H478" s="18" t="str">
        <x:v>否</x:v>
      </x:c>
      <x:c r="I478" s="19" t="str">
        <x:v>DAILY_ENTRIES_EXITS</x:v>
      </x:c>
      <x:c r="J478" s="19" t="str">
        <x:v>浅野川線</x:v>
      </x:c>
      <x:c r="K478" s="18" t="str">
        <x:v>transport-node:e4edaa4e-6146-531e-8504-b33ab38fb873</x:v>
      </x:c>
      <x:c r="L478" s="19" t="str">
        <x:v>组件待审核</x:v>
      </x:c>
      <x:c r="M478" s="21" t="n">
        <x:v>36.5785033</x:v>
      </x:c>
      <x:c r="N478" s="21" t="n">
        <x:v>136.6492897</x:v>
      </x:c>
      <x:c r="O478" s="18" t="str">
        <x:v>002091</x:v>
      </x:c>
      <x:c r="P478" s="18" t="str">
        <x:v>浅野川線</x:v>
      </x:c>
      <x:c r="Q478" s="19" t="str">
        <x:v>OFFICIAL_HUB_COMPONENT_REVIEW</x:v>
      </x:c>
      <x:c r="R478" s="19" t="str">
        <x:v>S12_061 usage threshold; low-flow inclusion justified by official Hub component review</x:v>
      </x:c>
      <x:c r="S478" s="19" t="str">
        <x:v>https://nlftp.mlit.go.jp/ksj/gml/datalist/KsjTmplt-S12-2024.html</x:v>
      </x:c>
      <x:c r="T478" s="19" t="str">
        <x:v>https://nlftp.mlit.go.jp/ksj/gml/datalist/KsjTmplt-S12-2024.html
https://www.hokutetsu.co.jp/railway/asanogawasen/hokutetsukanazawa/</x:v>
      </x:c>
      <x:c r="U478" s="19" t="str">
        <x:v>station-component|北鉄金沢|北陸鉄道|private_rail|36.5785|136.6493|</x:v>
      </x:c>
      <x:c r="V478" s="19" t="str">
        <x:v>002091 / 002091 / 浅野川線</x:v>
      </x:c>
      <x:c r="W478" s="18" t="str">
        <x:v>否</x:v>
      </x:c>
      <x:c r="X478" s="18" t="str">
        <x:v>0785e932a32b3ec15e1a1345537ae145eafe1c07bf38d5c16c11ee2b391e7a28</x:v>
      </x:c>
      <x:c r="Y478" s="20" t="n">
        <x:v>1</x:v>
      </x:c>
      <x:c r="Z478" s="20" t="n">
        <x:v>1</x:v>
      </x:c>
      <x:c r="AA478" s="19" t="str">
        <x:v>金沢</x:v>
      </x:c>
      <x:c r="AB478" s="18" t="str">
        <x:v>transport-hub-review:e94ce799-0b0c-5a46-9525-0896821b6bdc</x:v>
      </x:c>
      <x:c r="AC478" s="19"/>
    </x:row>
    <x:row r="479" ht="28" customHeight="1">
      <x:c r="A479" s="18" t="str">
        <x:v>北鎌倉</x:v>
      </x:c>
      <x:c r="B479" s="18" t="str">
        <x:v>東日本旅客鉄道</x:v>
      </x:c>
      <x:c r="C479" s="18" t="str">
        <x:v>conventional_rail</x:v>
      </x:c>
      <x:c r="D479" s="19" t="str">
        <x:v>T2</x:v>
      </x:c>
      <x:c r="E479" s="20" t="n">
        <x:v>16572</x:v>
      </x:c>
      <x:c r="F479" s="18" t="str">
        <x:v>persons/day</x:v>
      </x:c>
      <x:c r="G479" s="18" t="str">
        <x:v>FY2024</x:v>
      </x:c>
      <x:c r="H479" s="18" t="str">
        <x:v>否</x:v>
      </x:c>
      <x:c r="I479" s="19" t="str">
        <x:v>DAILY_ENTRIES_EXITS</x:v>
      </x:c>
      <x:c r="J479" s="19" t="str">
        <x:v>横須賀線</x:v>
      </x:c>
      <x:c r="K479" s="18" t="str">
        <x:v>transport-node:8eb702f6-15e8-57fb-94fb-ff62438018bc</x:v>
      </x:c>
      <x:c r="L479" s="19" t="str">
        <x:v>组件待审核</x:v>
      </x:c>
      <x:c r="M479" s="21" t="n">
        <x:v>35.33794</x:v>
      </x:c>
      <x:c r="N479" s="21" t="n">
        <x:v>139.544565</x:v>
      </x:c>
      <x:c r="O479" s="18" t="str">
        <x:v>004998</x:v>
      </x:c>
      <x:c r="P479" s="18" t="str">
        <x:v>横須賀線</x:v>
      </x:c>
      <x:c r="Q479" s="19" t="str">
        <x:v>S12_061_GE_10000</x:v>
      </x:c>
      <x:c r="R479" s="19" t="str">
        <x:v>S12_061 usage threshold</x:v>
      </x:c>
      <x:c r="S479" s="19" t="str">
        <x:v>https://nlftp.mlit.go.jp/ksj/gml/datalist/KsjTmplt-S12-2024.html</x:v>
      </x:c>
      <x:c r="T479" s="19" t="str">
        <x:v>https://nlftp.mlit.go.jp/ksj/gml/datalist/KsjTmplt-S12-2024.html</x:v>
      </x:c>
      <x:c r="U479" s="19" t="str">
        <x:v>station-component|北鎌倉|東日本旅客鉄道|conventional_rail|35.3379|139.5446|</x:v>
      </x:c>
      <x:c r="V479" s="19" t="str">
        <x:v>004998 / 004998 / 横須賀線</x:v>
      </x:c>
      <x:c r="W479" s="18" t="str">
        <x:v>否</x:v>
      </x:c>
      <x:c r="X479" s="18" t="str">
        <x:v>0785e932a32b3ec15e1a1345537ae145eafe1c07bf38d5c16c11ee2b391e7a28</x:v>
      </x:c>
      <x:c r="Y479" s="20" t="n">
        <x:v>1</x:v>
      </x:c>
      <x:c r="Z479" s="20" t="n">
        <x:v>1</x:v>
      </x:c>
      <x:c r="AA479" s="19"/>
      <x:c r="AB479" s="18"/>
      <x:c r="AC479" s="19"/>
    </x:row>
    <x:row r="480" ht="28" customHeight="1">
      <x:c r="A480" s="18" t="str">
        <x:v>北鴻巣</x:v>
      </x:c>
      <x:c r="B480" s="18" t="str">
        <x:v>東日本旅客鉄道</x:v>
      </x:c>
      <x:c r="C480" s="18" t="str">
        <x:v>conventional_rail</x:v>
      </x:c>
      <x:c r="D480" s="19" t="str">
        <x:v>T2</x:v>
      </x:c>
      <x:c r="E480" s="20" t="n">
        <x:v>13296</x:v>
      </x:c>
      <x:c r="F480" s="18" t="str">
        <x:v>persons/day</x:v>
      </x:c>
      <x:c r="G480" s="18" t="str">
        <x:v>FY2024</x:v>
      </x:c>
      <x:c r="H480" s="18" t="str">
        <x:v>否</x:v>
      </x:c>
      <x:c r="I480" s="19" t="str">
        <x:v>DAILY_ENTRIES_EXITS</x:v>
      </x:c>
      <x:c r="J480" s="19" t="str">
        <x:v>高崎線</x:v>
      </x:c>
      <x:c r="K480" s="18" t="str">
        <x:v>transport-node:b9d7900f-3efd-5338-902a-6fc3fd647e1e</x:v>
      </x:c>
      <x:c r="L480" s="19" t="str">
        <x:v>组件待审核</x:v>
      </x:c>
      <x:c r="M480" s="21" t="n">
        <x:v>36.085495</x:v>
      </x:c>
      <x:c r="N480" s="21" t="n">
        <x:v>139.476955</x:v>
      </x:c>
      <x:c r="O480" s="18" t="str">
        <x:v>002652</x:v>
      </x:c>
      <x:c r="P480" s="18" t="str">
        <x:v>高崎線</x:v>
      </x:c>
      <x:c r="Q480" s="19" t="str">
        <x:v>S12_061_GE_10000</x:v>
      </x:c>
      <x:c r="R480" s="19" t="str">
        <x:v>S12_061 usage threshold</x:v>
      </x:c>
      <x:c r="S480" s="19" t="str">
        <x:v>https://nlftp.mlit.go.jp/ksj/gml/datalist/KsjTmplt-S12-2024.html</x:v>
      </x:c>
      <x:c r="T480" s="19" t="str">
        <x:v>https://nlftp.mlit.go.jp/ksj/gml/datalist/KsjTmplt-S12-2024.html</x:v>
      </x:c>
      <x:c r="U480" s="19" t="str">
        <x:v>station-component|北鴻巣|東日本旅客鉄道|conventional_rail|36.0855|139.4770|</x:v>
      </x:c>
      <x:c r="V480" s="19" t="str">
        <x:v>002652 / 002652 / 高崎線</x:v>
      </x:c>
      <x:c r="W480" s="18" t="str">
        <x:v>否</x:v>
      </x:c>
      <x:c r="X480" s="18" t="str">
        <x:v>0785e932a32b3ec15e1a1345537ae145eafe1c07bf38d5c16c11ee2b391e7a28</x:v>
      </x:c>
      <x:c r="Y480" s="20" t="n">
        <x:v>1</x:v>
      </x:c>
      <x:c r="Z480" s="20" t="n">
        <x:v>1</x:v>
      </x:c>
      <x:c r="AA480" s="19"/>
      <x:c r="AB480" s="18"/>
      <x:c r="AC480" s="19"/>
    </x:row>
    <x:row r="481" ht="28" customHeight="1">
      <x:c r="A481" s="18" t="str">
        <x:v>医療センター</x:v>
      </x:c>
      <x:c r="B481" s="18" t="str">
        <x:v>神戸新交通</x:v>
      </x:c>
      <x:c r="C481" s="18" t="str">
        <x:v>fixed_guideway</x:v>
      </x:c>
      <x:c r="D481" s="19" t="str">
        <x:v>T2</x:v>
      </x:c>
      <x:c r="E481" s="20" t="n">
        <x:v>13857</x:v>
      </x:c>
      <x:c r="F481" s="18" t="str">
        <x:v>persons/day</x:v>
      </x:c>
      <x:c r="G481" s="18" t="str">
        <x:v>FY2024</x:v>
      </x:c>
      <x:c r="H481" s="18" t="str">
        <x:v>否</x:v>
      </x:c>
      <x:c r="I481" s="19" t="str">
        <x:v>DAILY_ENTRIES_EXITS</x:v>
      </x:c>
      <x:c r="J481" s="19" t="str">
        <x:v>ポートアイランド線</x:v>
      </x:c>
      <x:c r="K481" s="18" t="str">
        <x:v>transport-node:7cd46869-9526-5db2-8abe-e1e620b9c172</x:v>
      </x:c>
      <x:c r="L481" s="19" t="str">
        <x:v>组件待审核</x:v>
      </x:c>
      <x:c r="M481" s="21" t="n">
        <x:v>34.65852</x:v>
      </x:c>
      <x:c r="N481" s="21" t="n">
        <x:v>135.21641</x:v>
      </x:c>
      <x:c r="O481" s="18" t="str">
        <x:v>007381</x:v>
      </x:c>
      <x:c r="P481" s="18" t="str">
        <x:v>ポートアイランド線</x:v>
      </x:c>
      <x:c r="Q481" s="19" t="str">
        <x:v>S12_061_GE_10000</x:v>
      </x:c>
      <x:c r="R481" s="19" t="str">
        <x:v>S12_061 usage threshold</x:v>
      </x:c>
      <x:c r="S481" s="19" t="str">
        <x:v>https://nlftp.mlit.go.jp/ksj/gml/datalist/KsjTmplt-S12-2024.html</x:v>
      </x:c>
      <x:c r="T481" s="19" t="str">
        <x:v>https://nlftp.mlit.go.jp/ksj/gml/datalist/KsjTmplt-S12-2024.html</x:v>
      </x:c>
      <x:c r="U481" s="19" t="str">
        <x:v>station-component|医療センター|神戸新交通|fixed_guideway|34.6585|135.2164|</x:v>
      </x:c>
      <x:c r="V481" s="19" t="str">
        <x:v>007381 / 007381 / ポートアイランド線</x:v>
      </x:c>
      <x:c r="W481" s="18" t="str">
        <x:v>否</x:v>
      </x:c>
      <x:c r="X481" s="18" t="str">
        <x:v>0785e932a32b3ec15e1a1345537ae145eafe1c07bf38d5c16c11ee2b391e7a28</x:v>
      </x:c>
      <x:c r="Y481" s="20" t="n">
        <x:v>1</x:v>
      </x:c>
      <x:c r="Z481" s="20" t="n">
        <x:v>1</x:v>
      </x:c>
      <x:c r="AA481" s="19"/>
      <x:c r="AB481" s="18"/>
      <x:c r="AC481" s="19"/>
    </x:row>
    <x:row r="482" ht="47" customHeight="1">
      <x:c r="A482" s="18" t="str">
        <x:v>十三</x:v>
      </x:c>
      <x:c r="B482" s="18" t="str">
        <x:v>阪急電鉄</x:v>
      </x:c>
      <x:c r="C482" s="18" t="str">
        <x:v>private_rail</x:v>
      </x:c>
      <x:c r="D482" s="19" t="str">
        <x:v>T1</x:v>
      </x:c>
      <x:c r="E482" s="20" t="n">
        <x:v>67185</x:v>
      </x:c>
      <x:c r="F482" s="18" t="str">
        <x:v>persons/day</x:v>
      </x:c>
      <x:c r="G482" s="18" t="str">
        <x:v>FY2024</x:v>
      </x:c>
      <x:c r="H482" s="18" t="str">
        <x:v>否</x:v>
      </x:c>
      <x:c r="I482" s="19" t="str">
        <x:v>DAILY_ENTRIES_EXITS</x:v>
      </x:c>
      <x:c r="J482" s="19" t="str">
        <x:v>京都線
宝塚線
神戸線</x:v>
      </x:c>
      <x:c r="K482" s="18" t="str">
        <x:v>transport-node:ed714553-5af7-5098-9f4d-ce5734cbec50</x:v>
      </x:c>
      <x:c r="L482" s="19" t="str">
        <x:v>组件待审核</x:v>
      </x:c>
      <x:c r="M482" s="21" t="n">
        <x:v>34.7209143</x:v>
      </x:c>
      <x:c r="N482" s="21" t="n">
        <x:v>135.4824086</x:v>
      </x:c>
      <x:c r="O482" s="18" t="str">
        <x:v>006967</x:v>
      </x:c>
      <x:c r="P482" s="18" t="str">
        <x:v>京都線</x:v>
      </x:c>
      <x:c r="Q482" s="19" t="str">
        <x:v>S12_061_GE_10000</x:v>
      </x:c>
      <x:c r="R482" s="19" t="str">
        <x:v>S12_061 usage threshold</x:v>
      </x:c>
      <x:c r="S482" s="19" t="str">
        <x:v>https://nlftp.mlit.go.jp/ksj/gml/datalist/KsjTmplt-S12-2024.html</x:v>
      </x:c>
      <x:c r="T482" s="19" t="str">
        <x:v>https://nlftp.mlit.go.jp/ksj/gml/datalist/KsjTmplt-S12-2024.html</x:v>
      </x:c>
      <x:c r="U482" s="19" t="str">
        <x:v>station-component|十三|阪急電鉄|private_rail|34.7209|135.4824|</x:v>
      </x:c>
      <x:c r="V482" s="19" t="str">
        <x:v>006967 / 006967 / 京都線
006967 / 006968 / 宝塚線
006967 / 006970 / 神戸線</x:v>
      </x:c>
      <x:c r="W482" s="18" t="str">
        <x:v>否</x:v>
      </x:c>
      <x:c r="X482" s="18" t="str">
        <x:v>0785e932a32b3ec15e1a1345537ae145eafe1c07bf38d5c16c11ee2b391e7a28</x:v>
      </x:c>
      <x:c r="Y482" s="20" t="n">
        <x:v>1</x:v>
      </x:c>
      <x:c r="Z482" s="20" t="n">
        <x:v>1</x:v>
      </x:c>
      <x:c r="AA482" s="19"/>
      <x:c r="AB482" s="18"/>
      <x:c r="AC482" s="19"/>
    </x:row>
    <x:row r="483" ht="28" customHeight="1">
      <x:c r="A483" s="18" t="str">
        <x:v>十日市場</x:v>
      </x:c>
      <x:c r="B483" s="18" t="str">
        <x:v>東日本旅客鉄道</x:v>
      </x:c>
      <x:c r="C483" s="18" t="str">
        <x:v>conventional_rail</x:v>
      </x:c>
      <x:c r="D483" s="19" t="str">
        <x:v>T2</x:v>
      </x:c>
      <x:c r="E483" s="20" t="n">
        <x:v>37478</x:v>
      </x:c>
      <x:c r="F483" s="18" t="str">
        <x:v>persons/day</x:v>
      </x:c>
      <x:c r="G483" s="18" t="str">
        <x:v>FY2024</x:v>
      </x:c>
      <x:c r="H483" s="18" t="str">
        <x:v>否</x:v>
      </x:c>
      <x:c r="I483" s="19" t="str">
        <x:v>DAILY_ENTRIES_EXITS</x:v>
      </x:c>
      <x:c r="J483" s="19" t="str">
        <x:v>横浜線</x:v>
      </x:c>
      <x:c r="K483" s="18" t="str">
        <x:v>transport-node:9689d40d-6a93-5b0f-b103-c9f257d479ae</x:v>
      </x:c>
      <x:c r="L483" s="19" t="str">
        <x:v>组件待审核</x:v>
      </x:c>
      <x:c r="M483" s="21" t="n">
        <x:v>35.52621</x:v>
      </x:c>
      <x:c r="N483" s="21" t="n">
        <x:v>139.51667</x:v>
      </x:c>
      <x:c r="O483" s="18" t="str">
        <x:v>004443</x:v>
      </x:c>
      <x:c r="P483" s="18" t="str">
        <x:v>横浜線</x:v>
      </x:c>
      <x:c r="Q483" s="19" t="str">
        <x:v>S12_061_GE_10000</x:v>
      </x:c>
      <x:c r="R483" s="19" t="str">
        <x:v>S12_061 usage threshold</x:v>
      </x:c>
      <x:c r="S483" s="19" t="str">
        <x:v>https://nlftp.mlit.go.jp/ksj/gml/datalist/KsjTmplt-S12-2024.html</x:v>
      </x:c>
      <x:c r="T483" s="19" t="str">
        <x:v>https://nlftp.mlit.go.jp/ksj/gml/datalist/KsjTmplt-S12-2024.html</x:v>
      </x:c>
      <x:c r="U483" s="19" t="str">
        <x:v>station-component|十日市場|東日本旅客鉄道|conventional_rail|35.5262|139.5167|</x:v>
      </x:c>
      <x:c r="V483" s="19" t="str">
        <x:v>004443 / 004443 / 横浜線</x:v>
      </x:c>
      <x:c r="W483" s="18" t="str">
        <x:v>否</x:v>
      </x:c>
      <x:c r="X483" s="18" t="str">
        <x:v>0785e932a32b3ec15e1a1345537ae145eafe1c07bf38d5c16c11ee2b391e7a28</x:v>
      </x:c>
      <x:c r="Y483" s="20" t="n">
        <x:v>1</x:v>
      </x:c>
      <x:c r="Z483" s="20" t="n">
        <x:v>1</x:v>
      </x:c>
      <x:c r="AA483" s="19"/>
      <x:c r="AB483" s="18"/>
      <x:c r="AC483" s="19"/>
    </x:row>
    <x:row r="484" ht="28" customHeight="1">
      <x:c r="A484" s="18" t="str">
        <x:v>十条</x:v>
      </x:c>
      <x:c r="B484" s="18" t="str">
        <x:v>東日本旅客鉄道</x:v>
      </x:c>
      <x:c r="C484" s="18" t="str">
        <x:v>conventional_rail</x:v>
      </x:c>
      <x:c r="D484" s="19" t="str">
        <x:v>T1</x:v>
      </x:c>
      <x:c r="E484" s="20" t="n">
        <x:v>67506</x:v>
      </x:c>
      <x:c r="F484" s="18" t="str">
        <x:v>persons/day</x:v>
      </x:c>
      <x:c r="G484" s="18" t="str">
        <x:v>FY2024</x:v>
      </x:c>
      <x:c r="H484" s="18" t="str">
        <x:v>否</x:v>
      </x:c>
      <x:c r="I484" s="19" t="str">
        <x:v>DAILY_ENTRIES_EXITS</x:v>
      </x:c>
      <x:c r="J484" s="19" t="str">
        <x:v>赤羽線</x:v>
      </x:c>
      <x:c r="K484" s="18" t="str">
        <x:v>transport-node:6b21aa6f-f9e9-5517-9f7f-5735bd0211ed</x:v>
      </x:c>
      <x:c r="L484" s="19" t="str">
        <x:v>组件待审核</x:v>
      </x:c>
      <x:c r="M484" s="21" t="n">
        <x:v>35.76039</x:v>
      </x:c>
      <x:c r="N484" s="21" t="n">
        <x:v>139.72225</x:v>
      </x:c>
      <x:c r="O484" s="18" t="str">
        <x:v>003218</x:v>
      </x:c>
      <x:c r="P484" s="18" t="str">
        <x:v>赤羽線</x:v>
      </x:c>
      <x:c r="Q484" s="19" t="str">
        <x:v>S12_061_GE_10000</x:v>
      </x:c>
      <x:c r="R484" s="19" t="str">
        <x:v>S12_061 usage threshold</x:v>
      </x:c>
      <x:c r="S484" s="19" t="str">
        <x:v>https://nlftp.mlit.go.jp/ksj/gml/datalist/KsjTmplt-S12-2024.html</x:v>
      </x:c>
      <x:c r="T484" s="19" t="str">
        <x:v>https://nlftp.mlit.go.jp/ksj/gml/datalist/KsjTmplt-S12-2024.html</x:v>
      </x:c>
      <x:c r="U484" s="19" t="str">
        <x:v>station-component|十条|東日本旅客鉄道|conventional_rail|35.7604|139.7223|</x:v>
      </x:c>
      <x:c r="V484" s="19" t="str">
        <x:v>003218 / 003218 / 赤羽線</x:v>
      </x:c>
      <x:c r="W484" s="18" t="str">
        <x:v>否</x:v>
      </x:c>
      <x:c r="X484" s="18" t="str">
        <x:v>0785e932a32b3ec15e1a1345537ae145eafe1c07bf38d5c16c11ee2b391e7a28</x:v>
      </x:c>
      <x:c r="Y484" s="20" t="n">
        <x:v>1</x:v>
      </x:c>
      <x:c r="Z484" s="20" t="n">
        <x:v>1</x:v>
      </x:c>
      <x:c r="AA484" s="19"/>
      <x:c r="AB484" s="18"/>
      <x:c r="AC484" s="19"/>
    </x:row>
    <x:row r="485" ht="28" customHeight="1">
      <x:c r="A485" s="18" t="str">
        <x:v>千代田</x:v>
      </x:c>
      <x:c r="B485" s="18" t="str">
        <x:v>南海電気鉄道</x:v>
      </x:c>
      <x:c r="C485" s="18" t="str">
        <x:v>private_rail</x:v>
      </x:c>
      <x:c r="D485" s="19" t="str">
        <x:v>T2</x:v>
      </x:c>
      <x:c r="E485" s="20" t="n">
        <x:v>11190</x:v>
      </x:c>
      <x:c r="F485" s="18" t="str">
        <x:v>persons/day</x:v>
      </x:c>
      <x:c r="G485" s="18" t="str">
        <x:v>FY2024</x:v>
      </x:c>
      <x:c r="H485" s="18" t="str">
        <x:v>否</x:v>
      </x:c>
      <x:c r="I485" s="19" t="str">
        <x:v>DAILY_ENTRIES_EXITS</x:v>
      </x:c>
      <x:c r="J485" s="19" t="str">
        <x:v>高野線</x:v>
      </x:c>
      <x:c r="K485" s="18" t="str">
        <x:v>transport-node:9d6e11eb-1e7d-54e3-b0c3-4007c1a1b7df</x:v>
      </x:c>
      <x:c r="L485" s="19" t="str">
        <x:v>组件待审核</x:v>
      </x:c>
      <x:c r="M485" s="21" t="n">
        <x:v>34.469</x:v>
      </x:c>
      <x:c r="N485" s="21" t="n">
        <x:v>135.566325</x:v>
      </x:c>
      <x:c r="O485" s="18" t="str">
        <x:v>007909</x:v>
      </x:c>
      <x:c r="P485" s="18" t="str">
        <x:v>高野線</x:v>
      </x:c>
      <x:c r="Q485" s="19" t="str">
        <x:v>S12_061_GE_10000</x:v>
      </x:c>
      <x:c r="R485" s="19" t="str">
        <x:v>S12_061 usage threshold</x:v>
      </x:c>
      <x:c r="S485" s="19" t="str">
        <x:v>https://nlftp.mlit.go.jp/ksj/gml/datalist/KsjTmplt-S12-2024.html</x:v>
      </x:c>
      <x:c r="T485" s="19" t="str">
        <x:v>https://nlftp.mlit.go.jp/ksj/gml/datalist/KsjTmplt-S12-2024.html</x:v>
      </x:c>
      <x:c r="U485" s="19" t="str">
        <x:v>station-component|千代田|南海電気鉄道|private_rail|34.4690|135.5663|</x:v>
      </x:c>
      <x:c r="V485" s="19" t="str">
        <x:v>007909 / 007909 / 高野線</x:v>
      </x:c>
      <x:c r="W485" s="18" t="str">
        <x:v>否</x:v>
      </x:c>
      <x:c r="X485" s="18" t="str">
        <x:v>0785e932a32b3ec15e1a1345537ae145eafe1c07bf38d5c16c11ee2b391e7a28</x:v>
      </x:c>
      <x:c r="Y485" s="20" t="n">
        <x:v>1</x:v>
      </x:c>
      <x:c r="Z485" s="20" t="n">
        <x:v>1</x:v>
      </x:c>
      <x:c r="AA485" s="19"/>
      <x:c r="AB485" s="18"/>
      <x:c r="AC485" s="19"/>
    </x:row>
    <x:row r="486" ht="28" customHeight="1">
      <x:c r="A486" s="18" t="str">
        <x:v>千代県庁口</x:v>
      </x:c>
      <x:c r="B486" s="18" t="str">
        <x:v>福岡市</x:v>
      </x:c>
      <x:c r="C486" s="18" t="str">
        <x:v>metro</x:v>
      </x:c>
      <x:c r="D486" s="19" t="str">
        <x:v>T2</x:v>
      </x:c>
      <x:c r="E486" s="20" t="n">
        <x:v>10107</x:v>
      </x:c>
      <x:c r="F486" s="18" t="str">
        <x:v>persons/day</x:v>
      </x:c>
      <x:c r="G486" s="18" t="str">
        <x:v>FY2024</x:v>
      </x:c>
      <x:c r="H486" s="18" t="str">
        <x:v>否</x:v>
      </x:c>
      <x:c r="I486" s="19" t="str">
        <x:v>DAILY_ENTRIES_EXITS</x:v>
      </x:c>
      <x:c r="J486" s="19" t="str">
        <x:v>2号線(箱崎線)</x:v>
      </x:c>
      <x:c r="K486" s="18" t="str">
        <x:v>transport-node:5641313a-360d-51d7-a355-15e00239fe2d</x:v>
      </x:c>
      <x:c r="L486" s="19" t="str">
        <x:v>组件待审核</x:v>
      </x:c>
      <x:c r="M486" s="21" t="n">
        <x:v>33.60231</x:v>
      </x:c>
      <x:c r="N486" s="21" t="n">
        <x:v>130.41416</x:v>
      </x:c>
      <x:c r="O486" s="18" t="str">
        <x:v>009011</x:v>
      </x:c>
      <x:c r="P486" s="18" t="str">
        <x:v>2号線(箱崎線)</x:v>
      </x:c>
      <x:c r="Q486" s="19" t="str">
        <x:v>S12_061_GE_10000</x:v>
      </x:c>
      <x:c r="R486" s="19" t="str">
        <x:v>S12_061 usage threshold</x:v>
      </x:c>
      <x:c r="S486" s="19" t="str">
        <x:v>https://nlftp.mlit.go.jp/ksj/gml/datalist/KsjTmplt-S12-2024.html</x:v>
      </x:c>
      <x:c r="T486" s="19" t="str">
        <x:v>https://nlftp.mlit.go.jp/ksj/gml/datalist/KsjTmplt-S12-2024.html</x:v>
      </x:c>
      <x:c r="U486" s="19" t="str">
        <x:v>station-component|千代県庁口|福岡市|metro|33.6023|130.4142|</x:v>
      </x:c>
      <x:c r="V486" s="19" t="str">
        <x:v>009011 / 009011 / 2号線(箱崎線)</x:v>
      </x:c>
      <x:c r="W486" s="18" t="str">
        <x:v>否</x:v>
      </x:c>
      <x:c r="X486" s="18" t="str">
        <x:v>0785e932a32b3ec15e1a1345537ae145eafe1c07bf38d5c16c11ee2b391e7a28</x:v>
      </x:c>
      <x:c r="Y486" s="20" t="n">
        <x:v>1</x:v>
      </x:c>
      <x:c r="Z486" s="20" t="n">
        <x:v>1</x:v>
      </x:c>
      <x:c r="AA486" s="19"/>
      <x:c r="AB486" s="18"/>
      <x:c r="AC486" s="19"/>
    </x:row>
    <x:row r="487" ht="28" customHeight="1">
      <x:c r="A487" s="18" t="str">
        <x:v>千住大橋</x:v>
      </x:c>
      <x:c r="B487" s="18" t="str">
        <x:v>京成電鉄</x:v>
      </x:c>
      <x:c r="C487" s="18" t="str">
        <x:v>private_rail</x:v>
      </x:c>
      <x:c r="D487" s="19" t="str">
        <x:v>T2</x:v>
      </x:c>
      <x:c r="E487" s="20" t="n">
        <x:v>16762</x:v>
      </x:c>
      <x:c r="F487" s="18" t="str">
        <x:v>persons/day</x:v>
      </x:c>
      <x:c r="G487" s="18" t="str">
        <x:v>FY2024</x:v>
      </x:c>
      <x:c r="H487" s="18" t="str">
        <x:v>否</x:v>
      </x:c>
      <x:c r="I487" s="19" t="str">
        <x:v>DAILY_ENTRIES_EXITS</x:v>
      </x:c>
      <x:c r="J487" s="19" t="str">
        <x:v>本線</x:v>
      </x:c>
      <x:c r="K487" s="18" t="str">
        <x:v>transport-node:d9ed7a3c-acaf-57e8-8312-0392399bc401</x:v>
      </x:c>
      <x:c r="L487" s="19" t="str">
        <x:v>组件待审核</x:v>
      </x:c>
      <x:c r="M487" s="21" t="n">
        <x:v>35.74241</x:v>
      </x:c>
      <x:c r="N487" s="21" t="n">
        <x:v>139.79705</x:v>
      </x:c>
      <x:c r="O487" s="18" t="str">
        <x:v>003301</x:v>
      </x:c>
      <x:c r="P487" s="18" t="str">
        <x:v>本線</x:v>
      </x:c>
      <x:c r="Q487" s="19" t="str">
        <x:v>S12_061_GE_10000</x:v>
      </x:c>
      <x:c r="R487" s="19" t="str">
        <x:v>S12_061 usage threshold</x:v>
      </x:c>
      <x:c r="S487" s="19" t="str">
        <x:v>https://nlftp.mlit.go.jp/ksj/gml/datalist/KsjTmplt-S12-2024.html</x:v>
      </x:c>
      <x:c r="T487" s="19" t="str">
        <x:v>https://nlftp.mlit.go.jp/ksj/gml/datalist/KsjTmplt-S12-2024.html</x:v>
      </x:c>
      <x:c r="U487" s="19" t="str">
        <x:v>station-component|千住大橋|京成電鉄|private_rail|35.7424|139.7971|</x:v>
      </x:c>
      <x:c r="V487" s="19" t="str">
        <x:v>003301 / 003301 / 本線</x:v>
      </x:c>
      <x:c r="W487" s="18" t="str">
        <x:v>否</x:v>
      </x:c>
      <x:c r="X487" s="18" t="str">
        <x:v>0785e932a32b3ec15e1a1345537ae145eafe1c07bf38d5c16c11ee2b391e7a28</x:v>
      </x:c>
      <x:c r="Y487" s="20" t="n">
        <x:v>1</x:v>
      </x:c>
      <x:c r="Z487" s="20" t="n">
        <x:v>1</x:v>
      </x:c>
      <x:c r="AA487" s="19"/>
      <x:c r="AB487" s="18"/>
      <x:c r="AC487" s="19"/>
    </x:row>
    <x:row r="488" ht="33" customHeight="1">
      <x:c r="A488" s="18" t="str">
        <x:v>千川</x:v>
      </x:c>
      <x:c r="B488" s="18" t="str">
        <x:v>東京地下鉄</x:v>
      </x:c>
      <x:c r="C488" s="18" t="str">
        <x:v>metro</x:v>
      </x:c>
      <x:c r="D488" s="19" t="str">
        <x:v>T2</x:v>
      </x:c>
      <x:c r="E488" s="20" t="n">
        <x:v>39136</x:v>
      </x:c>
      <x:c r="F488" s="18" t="str">
        <x:v>persons/day</x:v>
      </x:c>
      <x:c r="G488" s="18" t="str">
        <x:v>FY2024</x:v>
      </x:c>
      <x:c r="H488" s="18" t="str">
        <x:v>否</x:v>
      </x:c>
      <x:c r="I488" s="19" t="str">
        <x:v>DAILY_ENTRIES_EXITS</x:v>
      </x:c>
      <x:c r="J488" s="19" t="str">
        <x:v>13号線副都心線
8号線有楽町線</x:v>
      </x:c>
      <x:c r="K488" s="18" t="str">
        <x:v>transport-node:28c57037-abea-5da8-a02e-c0654c38584e</x:v>
      </x:c>
      <x:c r="L488" s="19" t="str">
        <x:v>组件待审核</x:v>
      </x:c>
      <x:c r="M488" s="21" t="n">
        <x:v>35.738175</x:v>
      </x:c>
      <x:c r="N488" s="21" t="n">
        <x:v>139.6894</x:v>
      </x:c>
      <x:c r="O488" s="18" t="str">
        <x:v>003325</x:v>
      </x:c>
      <x:c r="P488" s="18" t="str">
        <x:v>8号線有楽町線</x:v>
      </x:c>
      <x:c r="Q488" s="19" t="str">
        <x:v>S12_061_GE_10000</x:v>
      </x:c>
      <x:c r="R488" s="19" t="str">
        <x:v>S12_061 usage threshold</x:v>
      </x:c>
      <x:c r="S488" s="19" t="str">
        <x:v>https://nlftp.mlit.go.jp/ksj/gml/datalist/KsjTmplt-S12-2024.html</x:v>
      </x:c>
      <x:c r="T488" s="19" t="str">
        <x:v>https://nlftp.mlit.go.jp/ksj/gml/datalist/KsjTmplt-S12-2024.html</x:v>
      </x:c>
      <x:c r="U488" s="19" t="str">
        <x:v>station-component|千川|東京地下鉄|metro|35.7382|139.6894|</x:v>
      </x:c>
      <x:c r="V488" s="19" t="str">
        <x:v>003324 / 003324 / 13号線副都心線
003324 / 003325 / 8号線有楽町線</x:v>
      </x:c>
      <x:c r="W488" s="18" t="str">
        <x:v>否</x:v>
      </x:c>
      <x:c r="X488" s="18" t="str">
        <x:v>0785e932a32b3ec15e1a1345537ae145eafe1c07bf38d5c16c11ee2b391e7a28</x:v>
      </x:c>
      <x:c r="Y488" s="20" t="n">
        <x:v>1</x:v>
      </x:c>
      <x:c r="Z488" s="20" t="n">
        <x:v>1</x:v>
      </x:c>
      <x:c r="AA488" s="19"/>
      <x:c r="AB488" s="18"/>
      <x:c r="AC488" s="19"/>
    </x:row>
    <x:row r="489" ht="28" customHeight="1">
      <x:c r="A489" s="18" t="str">
        <x:v>千早</x:v>
      </x:c>
      <x:c r="B489" s="18" t="str">
        <x:v>九州旅客鉄道</x:v>
      </x:c>
      <x:c r="C489" s="18" t="str">
        <x:v>conventional_rail</x:v>
      </x:c>
      <x:c r="D489" s="19" t="str">
        <x:v>T2</x:v>
      </x:c>
      <x:c r="E489" s="20" t="n">
        <x:v>28528</x:v>
      </x:c>
      <x:c r="F489" s="18" t="str">
        <x:v>persons/day</x:v>
      </x:c>
      <x:c r="G489" s="18" t="str">
        <x:v>FY2024</x:v>
      </x:c>
      <x:c r="H489" s="18" t="str">
        <x:v>否</x:v>
      </x:c>
      <x:c r="I489" s="19" t="str">
        <x:v>DAILY_ENTRIES_EXITS</x:v>
      </x:c>
      <x:c r="J489" s="19" t="str">
        <x:v>鹿児島線</x:v>
      </x:c>
      <x:c r="K489" s="18" t="str">
        <x:v>transport-node:291383e0-20ac-5c1d-9b24-52d2b382c29d</x:v>
      </x:c>
      <x:c r="L489" s="19" t="str">
        <x:v>组件待审核</x:v>
      </x:c>
      <x:c r="M489" s="21" t="n">
        <x:v>33.64941</x:v>
      </x:c>
      <x:c r="N489" s="21" t="n">
        <x:v>130.44068</x:v>
      </x:c>
      <x:c r="O489" s="18" t="str">
        <x:v>008948</x:v>
      </x:c>
      <x:c r="P489" s="18" t="str">
        <x:v>鹿児島線</x:v>
      </x:c>
      <x:c r="Q489" s="19" t="str">
        <x:v>S12_061_GE_10000</x:v>
      </x:c>
      <x:c r="R489" s="19" t="str">
        <x:v>S12_061 usage threshold</x:v>
      </x:c>
      <x:c r="S489" s="19" t="str">
        <x:v>https://nlftp.mlit.go.jp/ksj/gml/datalist/KsjTmplt-S12-2024.html</x:v>
      </x:c>
      <x:c r="T489" s="19" t="str">
        <x:v>https://nlftp.mlit.go.jp/ksj/gml/datalist/KsjTmplt-S12-2024.html</x:v>
      </x:c>
      <x:c r="U489" s="19" t="str">
        <x:v>station-component|千早|九州旅客鉄道|conventional_rail|33.6494|130.4407|</x:v>
      </x:c>
      <x:c r="V489" s="19" t="str">
        <x:v>008948 / 008948 / 鹿児島線</x:v>
      </x:c>
      <x:c r="W489" s="18" t="str">
        <x:v>否</x:v>
      </x:c>
      <x:c r="X489" s="18" t="str">
        <x:v>0785e932a32b3ec15e1a1345537ae145eafe1c07bf38d5c16c11ee2b391e7a28</x:v>
      </x:c>
      <x:c r="Y489" s="20" t="n">
        <x:v>1</x:v>
      </x:c>
      <x:c r="Z489" s="20" t="n">
        <x:v>1</x:v>
      </x:c>
      <x:c r="AA489" s="19"/>
      <x:c r="AB489" s="18"/>
      <x:c r="AC489" s="19"/>
    </x:row>
    <x:row r="490" ht="28" customHeight="1">
      <x:c r="A490" s="18" t="str">
        <x:v>千林大宮</x:v>
      </x:c>
      <x:c r="B490" s="18" t="str">
        <x:v>大阪市高速電気軌道</x:v>
      </x:c>
      <x:c r="C490" s="18" t="str">
        <x:v>metro</x:v>
      </x:c>
      <x:c r="D490" s="19" t="str">
        <x:v>T2</x:v>
      </x:c>
      <x:c r="E490" s="20" t="n">
        <x:v>15285</x:v>
      </x:c>
      <x:c r="F490" s="18" t="str">
        <x:v>persons/day</x:v>
      </x:c>
      <x:c r="G490" s="18" t="str">
        <x:v>FY2024</x:v>
      </x:c>
      <x:c r="H490" s="18" t="str">
        <x:v>否</x:v>
      </x:c>
      <x:c r="I490" s="19" t="str">
        <x:v>DAILY_ENTRIES_EXITS</x:v>
      </x:c>
      <x:c r="J490" s="19" t="str">
        <x:v>2号線(谷町線)</x:v>
      </x:c>
      <x:c r="K490" s="18" t="str">
        <x:v>transport-node:f8e4fa50-94a0-5a7c-ab7e-2a70dbaf579a</x:v>
      </x:c>
      <x:c r="L490" s="19" t="str">
        <x:v>组件待审核</x:v>
      </x:c>
      <x:c r="M490" s="21" t="n">
        <x:v>34.724225</x:v>
      </x:c>
      <x:c r="N490" s="21" t="n">
        <x:v>135.549255</x:v>
      </x:c>
      <x:c r="O490" s="18" t="str">
        <x:v>006952</x:v>
      </x:c>
      <x:c r="P490" s="18" t="str">
        <x:v>2号線(谷町線)</x:v>
      </x:c>
      <x:c r="Q490" s="19" t="str">
        <x:v>S12_061_GE_10000</x:v>
      </x:c>
      <x:c r="R490" s="19" t="str">
        <x:v>S12_061 usage threshold</x:v>
      </x:c>
      <x:c r="S490" s="19" t="str">
        <x:v>https://nlftp.mlit.go.jp/ksj/gml/datalist/KsjTmplt-S12-2024.html</x:v>
      </x:c>
      <x:c r="T490" s="19" t="str">
        <x:v>https://nlftp.mlit.go.jp/ksj/gml/datalist/KsjTmplt-S12-2024.html</x:v>
      </x:c>
      <x:c r="U490" s="19" t="str">
        <x:v>station-component|千林大宮|大阪市高速電気軌道|metro|34.7242|135.5493|</x:v>
      </x:c>
      <x:c r="V490" s="19" t="str">
        <x:v>006952 / 006952 / 2号線(谷町線)</x:v>
      </x:c>
      <x:c r="W490" s="18" t="str">
        <x:v>否</x:v>
      </x:c>
      <x:c r="X490" s="18" t="str">
        <x:v>0785e932a32b3ec15e1a1345537ae145eafe1c07bf38d5c16c11ee2b391e7a28</x:v>
      </x:c>
      <x:c r="Y490" s="20" t="n">
        <x:v>1</x:v>
      </x:c>
      <x:c r="Z490" s="20" t="n">
        <x:v>1</x:v>
      </x:c>
      <x:c r="AA490" s="19"/>
      <x:c r="AB490" s="18"/>
      <x:c r="AC490" s="19"/>
    </x:row>
    <x:row r="491" ht="28" customHeight="1">
      <x:c r="A491" s="18" t="str">
        <x:v>千歳</x:v>
      </x:c>
      <x:c r="B491" s="18" t="str">
        <x:v>北海道旅客鉄道</x:v>
      </x:c>
      <x:c r="C491" s="18" t="str">
        <x:v>conventional_rail</x:v>
      </x:c>
      <x:c r="D491" s="19" t="str">
        <x:v>T2</x:v>
      </x:c>
      <x:c r="E491" s="20" t="n">
        <x:v>18992</x:v>
      </x:c>
      <x:c r="F491" s="18" t="str">
        <x:v>persons/day</x:v>
      </x:c>
      <x:c r="G491" s="18" t="str">
        <x:v>FY2024</x:v>
      </x:c>
      <x:c r="H491" s="18" t="str">
        <x:v>否</x:v>
      </x:c>
      <x:c r="I491" s="19" t="str">
        <x:v>DAILY_ENTRIES_EXITS</x:v>
      </x:c>
      <x:c r="J491" s="19" t="str">
        <x:v>千歳線</x:v>
      </x:c>
      <x:c r="K491" s="18" t="str">
        <x:v>transport-node:c9a3cb4c-1179-5b4a-be1d-a5c706367f6e</x:v>
      </x:c>
      <x:c r="L491" s="19" t="str">
        <x:v>组件待审核</x:v>
      </x:c>
      <x:c r="M491" s="21" t="n">
        <x:v>42.82819</x:v>
      </x:c>
      <x:c r="N491" s="21" t="n">
        <x:v>141.65194</x:v>
      </x:c>
      <x:c r="O491" s="18" t="str">
        <x:v>000347</x:v>
      </x:c>
      <x:c r="P491" s="18" t="str">
        <x:v>千歳線</x:v>
      </x:c>
      <x:c r="Q491" s="19" t="str">
        <x:v>S12_061_GE_10000</x:v>
      </x:c>
      <x:c r="R491" s="19" t="str">
        <x:v>S12_061 usage threshold</x:v>
      </x:c>
      <x:c r="S491" s="19" t="str">
        <x:v>https://nlftp.mlit.go.jp/ksj/gml/datalist/KsjTmplt-S12-2024.html</x:v>
      </x:c>
      <x:c r="T491" s="19" t="str">
        <x:v>https://nlftp.mlit.go.jp/ksj/gml/datalist/KsjTmplt-S12-2024.html</x:v>
      </x:c>
      <x:c r="U491" s="19" t="str">
        <x:v>station-component|千歳|北海道旅客鉄道|conventional_rail|42.8282|141.6519|</x:v>
      </x:c>
      <x:c r="V491" s="19" t="str">
        <x:v>000347 / 000347 / 千歳線</x:v>
      </x:c>
      <x:c r="W491" s="18" t="str">
        <x:v>否</x:v>
      </x:c>
      <x:c r="X491" s="18" t="str">
        <x:v>0785e932a32b3ec15e1a1345537ae145eafe1c07bf38d5c16c11ee2b391e7a28</x:v>
      </x:c>
      <x:c r="Y491" s="20" t="n">
        <x:v>1</x:v>
      </x:c>
      <x:c r="Z491" s="20" t="n">
        <x:v>1</x:v>
      </x:c>
      <x:c r="AA491" s="19"/>
      <x:c r="AB491" s="18"/>
      <x:c r="AC491" s="19"/>
    </x:row>
    <x:row r="492" ht="28" customHeight="1">
      <x:c r="A492" s="18" t="str">
        <x:v>千歳烏山</x:v>
      </x:c>
      <x:c r="B492" s="18" t="str">
        <x:v>京王電鉄</x:v>
      </x:c>
      <x:c r="C492" s="18" t="str">
        <x:v>private_rail</x:v>
      </x:c>
      <x:c r="D492" s="19" t="str">
        <x:v>T1</x:v>
      </x:c>
      <x:c r="E492" s="20" t="n">
        <x:v>79689</x:v>
      </x:c>
      <x:c r="F492" s="18" t="str">
        <x:v>persons/day</x:v>
      </x:c>
      <x:c r="G492" s="18" t="str">
        <x:v>FY2024</x:v>
      </x:c>
      <x:c r="H492" s="18" t="str">
        <x:v>否</x:v>
      </x:c>
      <x:c r="I492" s="19" t="str">
        <x:v>DAILY_ENTRIES_EXITS</x:v>
      </x:c>
      <x:c r="J492" s="19" t="str">
        <x:v>京王線</x:v>
      </x:c>
      <x:c r="K492" s="18" t="str">
        <x:v>transport-node:3e64bd0b-3301-5592-bdb8-55001e97d01b</x:v>
      </x:c>
      <x:c r="L492" s="19" t="str">
        <x:v>组件待审核</x:v>
      </x:c>
      <x:c r="M492" s="21" t="n">
        <x:v>35.667835</x:v>
      </x:c>
      <x:c r="N492" s="21" t="n">
        <x:v>139.600375</x:v>
      </x:c>
      <x:c r="O492" s="18" t="str">
        <x:v>003861</x:v>
      </x:c>
      <x:c r="P492" s="18" t="str">
        <x:v>京王線</x:v>
      </x:c>
      <x:c r="Q492" s="19" t="str">
        <x:v>S12_061_GE_10000</x:v>
      </x:c>
      <x:c r="R492" s="19" t="str">
        <x:v>S12_061 usage threshold</x:v>
      </x:c>
      <x:c r="S492" s="19" t="str">
        <x:v>https://nlftp.mlit.go.jp/ksj/gml/datalist/KsjTmplt-S12-2024.html</x:v>
      </x:c>
      <x:c r="T492" s="19" t="str">
        <x:v>https://nlftp.mlit.go.jp/ksj/gml/datalist/KsjTmplt-S12-2024.html</x:v>
      </x:c>
      <x:c r="U492" s="19" t="str">
        <x:v>station-component|千歳烏山|京王電鉄|private_rail|35.6678|139.6004|</x:v>
      </x:c>
      <x:c r="V492" s="19" t="str">
        <x:v>003861 / 003861 / 京王線</x:v>
      </x:c>
      <x:c r="W492" s="18" t="str">
        <x:v>否</x:v>
      </x:c>
      <x:c r="X492" s="18" t="str">
        <x:v>0785e932a32b3ec15e1a1345537ae145eafe1c07bf38d5c16c11ee2b391e7a28</x:v>
      </x:c>
      <x:c r="Y492" s="20" t="n">
        <x:v>1</x:v>
      </x:c>
      <x:c r="Z492" s="20" t="n">
        <x:v>1</x:v>
      </x:c>
      <x:c r="AA492" s="19"/>
      <x:c r="AB492" s="18"/>
      <x:c r="AC492" s="19"/>
    </x:row>
    <x:row r="493" ht="28" customHeight="1">
      <x:c r="A493" s="18" t="str">
        <x:v>千歳船橋</x:v>
      </x:c>
      <x:c r="B493" s="18" t="str">
        <x:v>小田急電鉄</x:v>
      </x:c>
      <x:c r="C493" s="18" t="str">
        <x:v>private_rail</x:v>
      </x:c>
      <x:c r="D493" s="19" t="str">
        <x:v>T1</x:v>
      </x:c>
      <x:c r="E493" s="20" t="n">
        <x:v>55873</x:v>
      </x:c>
      <x:c r="F493" s="18" t="str">
        <x:v>persons/day</x:v>
      </x:c>
      <x:c r="G493" s="18" t="str">
        <x:v>FY2024</x:v>
      </x:c>
      <x:c r="H493" s="18" t="str">
        <x:v>否</x:v>
      </x:c>
      <x:c r="I493" s="19" t="str">
        <x:v>DAILY_ENTRIES_EXITS</x:v>
      </x:c>
      <x:c r="J493" s="19" t="str">
        <x:v>小田原線</x:v>
      </x:c>
      <x:c r="K493" s="18" t="str">
        <x:v>transport-node:3ea91d55-43d0-52e6-9db3-5087a76f839d</x:v>
      </x:c>
      <x:c r="L493" s="19" t="str">
        <x:v>组件待审核</x:v>
      </x:c>
      <x:c r="M493" s="21" t="n">
        <x:v>35.647675</x:v>
      </x:c>
      <x:c r="N493" s="21" t="n">
        <x:v>139.62453</x:v>
      </x:c>
      <x:c r="O493" s="18" t="str">
        <x:v>003988</x:v>
      </x:c>
      <x:c r="P493" s="18" t="str">
        <x:v>小田原線</x:v>
      </x:c>
      <x:c r="Q493" s="19" t="str">
        <x:v>S12_061_GE_10000</x:v>
      </x:c>
      <x:c r="R493" s="19" t="str">
        <x:v>S12_061 usage threshold</x:v>
      </x:c>
      <x:c r="S493" s="19" t="str">
        <x:v>https://nlftp.mlit.go.jp/ksj/gml/datalist/KsjTmplt-S12-2024.html</x:v>
      </x:c>
      <x:c r="T493" s="19" t="str">
        <x:v>https://nlftp.mlit.go.jp/ksj/gml/datalist/KsjTmplt-S12-2024.html</x:v>
      </x:c>
      <x:c r="U493" s="19" t="str">
        <x:v>station-component|千歳船橋|小田急電鉄|private_rail|35.6477|139.6245|</x:v>
      </x:c>
      <x:c r="V493" s="19" t="str">
        <x:v>003988 / 003988 / 小田原線</x:v>
      </x:c>
      <x:c r="W493" s="18" t="str">
        <x:v>否</x:v>
      </x:c>
      <x:c r="X493" s="18" t="str">
        <x:v>0785e932a32b3ec15e1a1345537ae145eafe1c07bf38d5c16c11ee2b391e7a28</x:v>
      </x:c>
      <x:c r="Y493" s="20" t="n">
        <x:v>1</x:v>
      </x:c>
      <x:c r="Z493" s="20" t="n">
        <x:v>1</x:v>
      </x:c>
      <x:c r="AA493" s="19"/>
      <x:c r="AB493" s="18"/>
      <x:c r="AC493" s="19"/>
    </x:row>
    <x:row r="494" ht="28" customHeight="1">
      <x:c r="A494" s="18" t="str">
        <x:v>千石</x:v>
      </x:c>
      <x:c r="B494" s="18" t="str">
        <x:v>東京都</x:v>
      </x:c>
      <x:c r="C494" s="18" t="str">
        <x:v>metro</x:v>
      </x:c>
      <x:c r="D494" s="19" t="str">
        <x:v>T2</x:v>
      </x:c>
      <x:c r="E494" s="20" t="n">
        <x:v>31304</x:v>
      </x:c>
      <x:c r="F494" s="18" t="str">
        <x:v>persons/day</x:v>
      </x:c>
      <x:c r="G494" s="18" t="str">
        <x:v>FY2024</x:v>
      </x:c>
      <x:c r="H494" s="18" t="str">
        <x:v>否</x:v>
      </x:c>
      <x:c r="I494" s="19" t="str">
        <x:v>DAILY_ENTRIES_EXITS</x:v>
      </x:c>
      <x:c r="J494" s="19" t="str">
        <x:v>6号線三田線</x:v>
      </x:c>
      <x:c r="K494" s="18" t="str">
        <x:v>transport-node:8651489c-114a-55d0-bff8-98424f58a06f</x:v>
      </x:c>
      <x:c r="L494" s="19" t="str">
        <x:v>组件待审核</x:v>
      </x:c>
      <x:c r="M494" s="21" t="n">
        <x:v>35.727965</x:v>
      </x:c>
      <x:c r="N494" s="21" t="n">
        <x:v>139.744745</x:v>
      </x:c>
      <x:c r="O494" s="18" t="str">
        <x:v>003415</x:v>
      </x:c>
      <x:c r="P494" s="18" t="str">
        <x:v>6号線三田線</x:v>
      </x:c>
      <x:c r="Q494" s="19" t="str">
        <x:v>S12_061_GE_10000</x:v>
      </x:c>
      <x:c r="R494" s="19" t="str">
        <x:v>S12_061 usage threshold</x:v>
      </x:c>
      <x:c r="S494" s="19" t="str">
        <x:v>https://nlftp.mlit.go.jp/ksj/gml/datalist/KsjTmplt-S12-2024.html</x:v>
      </x:c>
      <x:c r="T494" s="19" t="str">
        <x:v>https://nlftp.mlit.go.jp/ksj/gml/datalist/KsjTmplt-S12-2024.html</x:v>
      </x:c>
      <x:c r="U494" s="19" t="str">
        <x:v>station-component|千石|東京都|metro|35.7280|139.7447|</x:v>
      </x:c>
      <x:c r="V494" s="19" t="str">
        <x:v>003415 / 003415 / 6号線三田線</x:v>
      </x:c>
      <x:c r="W494" s="18" t="str">
        <x:v>否</x:v>
      </x:c>
      <x:c r="X494" s="18" t="str">
        <x:v>0785e932a32b3ec15e1a1345537ae145eafe1c07bf38d5c16c11ee2b391e7a28</x:v>
      </x:c>
      <x:c r="Y494" s="20" t="n">
        <x:v>1</x:v>
      </x:c>
      <x:c r="Z494" s="20" t="n">
        <x:v>1</x:v>
      </x:c>
      <x:c r="AA494" s="19"/>
      <x:c r="AB494" s="18"/>
      <x:c r="AC494" s="19"/>
    </x:row>
    <x:row r="495" ht="33" customHeight="1">
      <x:c r="A495" s="18" t="str">
        <x:v>千種</x:v>
      </x:c>
      <x:c r="B495" s="18" t="str">
        <x:v>名古屋市</x:v>
      </x:c>
      <x:c r="C495" s="18" t="str">
        <x:v>metro</x:v>
      </x:c>
      <x:c r="D495" s="19" t="str">
        <x:v>T2</x:v>
      </x:c>
      <x:c r="E495" s="20" t="n">
        <x:v>47821</x:v>
      </x:c>
      <x:c r="F495" s="18" t="str">
        <x:v>persons/day</x:v>
      </x:c>
      <x:c r="G495" s="18" t="str">
        <x:v>FY2024</x:v>
      </x:c>
      <x:c r="H495" s="18" t="str">
        <x:v>否</x:v>
      </x:c>
      <x:c r="I495" s="19" t="str">
        <x:v>DAILY_ENTRIES_EXITS</x:v>
      </x:c>
      <x:c r="J495" s="19" t="str">
        <x:v>1号線東山線</x:v>
      </x:c>
      <x:c r="K495" s="18" t="str">
        <x:v>transport-node:d70dd52b-8fa2-56d7-86fa-f5e163576674</x:v>
      </x:c>
      <x:c r="L495" s="19" t="str">
        <x:v>组件待审核</x:v>
      </x:c>
      <x:c r="M495" s="21" t="n">
        <x:v>35.17066</x:v>
      </x:c>
      <x:c r="N495" s="21" t="n">
        <x:v>136.92997</x:v>
      </x:c>
      <x:c r="O495" s="18" t="str">
        <x:v>005454</x:v>
      </x:c>
      <x:c r="P495" s="18" t="str">
        <x:v>1号線東山線</x:v>
      </x:c>
      <x:c r="Q495" s="19" t="str">
        <x:v>S12_061_GE_10000
OFFICIAL_HUB_COMPONENT_REVIEW</x:v>
      </x:c>
      <x:c r="R495" s="19" t="str">
        <x:v>S12_061 usage threshold</x:v>
      </x:c>
      <x:c r="S495" s="19" t="str">
        <x:v>https://nlftp.mlit.go.jp/ksj/gml/datalist/KsjTmplt-S12-2024.html</x:v>
      </x:c>
      <x:c r="T495" s="19" t="str">
        <x:v>https://nlftp.mlit.go.jp/ksj/gml/datalist/KsjTmplt-S12-2024.html
https://www.kotsu.city.nagoya.jp/rp/ticket/TRP0001550.htm</x:v>
      </x:c>
      <x:c r="U495" s="19" t="str">
        <x:v>station-component|千種|名古屋市|metro|35.1707|136.9300|</x:v>
      </x:c>
      <x:c r="V495" s="19" t="str">
        <x:v>005450 / 005454 / 1号線東山線</x:v>
      </x:c>
      <x:c r="W495" s="18" t="str">
        <x:v>否</x:v>
      </x:c>
      <x:c r="X495" s="18" t="str">
        <x:v>0785e932a32b3ec15e1a1345537ae145eafe1c07bf38d5c16c11ee2b391e7a28</x:v>
      </x:c>
      <x:c r="Y495" s="20" t="n">
        <x:v>1</x:v>
      </x:c>
      <x:c r="Z495" s="20" t="n">
        <x:v>1</x:v>
      </x:c>
      <x:c r="AA495" s="19" t="str">
        <x:v>千種</x:v>
      </x:c>
      <x:c r="AB495" s="18" t="str">
        <x:v>transport-hub-review:bb64316a-94ee-58b5-a255-80cef3cc83ef</x:v>
      </x:c>
      <x:c r="AC495" s="19"/>
    </x:row>
    <x:row r="496" ht="33" customHeight="1">
      <x:c r="A496" s="18" t="str">
        <x:v>千種</x:v>
      </x:c>
      <x:c r="B496" s="18" t="str">
        <x:v>東海旅客鉄道</x:v>
      </x:c>
      <x:c r="C496" s="18" t="str">
        <x:v>conventional_rail</x:v>
      </x:c>
      <x:c r="D496" s="19" t="str">
        <x:v>T1</x:v>
      </x:c>
      <x:c r="E496" s="20" t="n">
        <x:v>52832</x:v>
      </x:c>
      <x:c r="F496" s="18" t="str">
        <x:v>persons/day</x:v>
      </x:c>
      <x:c r="G496" s="18" t="str">
        <x:v>FY2024</x:v>
      </x:c>
      <x:c r="H496" s="18" t="str">
        <x:v>否</x:v>
      </x:c>
      <x:c r="I496" s="19" t="str">
        <x:v>DAILY_ENTRIES_EXITS</x:v>
      </x:c>
      <x:c r="J496" s="19" t="str">
        <x:v>中央線</x:v>
      </x:c>
      <x:c r="K496" s="18" t="str">
        <x:v>transport-node:43aef148-67c2-5f46-9b07-d1ab242074aa</x:v>
      </x:c>
      <x:c r="L496" s="19" t="str">
        <x:v>组件待审核</x:v>
      </x:c>
      <x:c r="M496" s="21" t="n">
        <x:v>35.170925</x:v>
      </x:c>
      <x:c r="N496" s="21" t="n">
        <x:v>136.931095</x:v>
      </x:c>
      <x:c r="O496" s="18" t="str">
        <x:v>005450</x:v>
      </x:c>
      <x:c r="P496" s="18" t="str">
        <x:v>中央線</x:v>
      </x:c>
      <x:c r="Q496" s="19" t="str">
        <x:v>S12_061_GE_10000
OFFICIAL_HUB_COMPONENT_REVIEW</x:v>
      </x:c>
      <x:c r="R496" s="19" t="str">
        <x:v>S12_061 usage threshold</x:v>
      </x:c>
      <x:c r="S496" s="19" t="str">
        <x:v>https://nlftp.mlit.go.jp/ksj/gml/datalist/KsjTmplt-S12-2024.html</x:v>
      </x:c>
      <x:c r="T496" s="19" t="str">
        <x:v>https://nlftp.mlit.go.jp/ksj/gml/datalist/KsjTmplt-S12-2024.html
https://www.kotsu.city.nagoya.jp/rp/ticket/TRP0001550.htm</x:v>
      </x:c>
      <x:c r="U496" s="19" t="str">
        <x:v>station-component|千種|東海旅客鉄道|conventional_rail|35.1709|136.9311|</x:v>
      </x:c>
      <x:c r="V496" s="19" t="str">
        <x:v>005450 / 005450 / 中央線</x:v>
      </x:c>
      <x:c r="W496" s="18" t="str">
        <x:v>否</x:v>
      </x:c>
      <x:c r="X496" s="18" t="str">
        <x:v>0785e932a32b3ec15e1a1345537ae145eafe1c07bf38d5c16c11ee2b391e7a28</x:v>
      </x:c>
      <x:c r="Y496" s="20" t="n">
        <x:v>1</x:v>
      </x:c>
      <x:c r="Z496" s="20" t="n">
        <x:v>1</x:v>
      </x:c>
      <x:c r="AA496" s="19" t="str">
        <x:v>千種</x:v>
      </x:c>
      <x:c r="AB496" s="18" t="str">
        <x:v>transport-hub-review:bb64316a-94ee-58b5-a255-80cef3cc83ef</x:v>
      </x:c>
      <x:c r="AC496" s="19"/>
    </x:row>
    <x:row r="497" ht="28" customHeight="1">
      <x:c r="A497" s="18" t="str">
        <x:v>千船</x:v>
      </x:c>
      <x:c r="B497" s="18" t="str">
        <x:v>阪神電気鉄道</x:v>
      </x:c>
      <x:c r="C497" s="18" t="str">
        <x:v>private_rail</x:v>
      </x:c>
      <x:c r="D497" s="19" t="str">
        <x:v>T2</x:v>
      </x:c>
      <x:c r="E497" s="20" t="n">
        <x:v>15655</x:v>
      </x:c>
      <x:c r="F497" s="18" t="str">
        <x:v>persons/day</x:v>
      </x:c>
      <x:c r="G497" s="18" t="str">
        <x:v>FY2024</x:v>
      </x:c>
      <x:c r="H497" s="18" t="str">
        <x:v>否</x:v>
      </x:c>
      <x:c r="I497" s="19" t="str">
        <x:v>DAILY_ENTRIES_EXITS</x:v>
      </x:c>
      <x:c r="J497" s="19" t="str">
        <x:v>本線</x:v>
      </x:c>
      <x:c r="K497" s="18" t="str">
        <x:v>transport-node:a096880a-635d-5c35-b1d1-02be40a88749</x:v>
      </x:c>
      <x:c r="L497" s="19" t="str">
        <x:v>组件待审核</x:v>
      </x:c>
      <x:c r="M497" s="21" t="n">
        <x:v>34.712255</x:v>
      </x:c>
      <x:c r="N497" s="21" t="n">
        <x:v>135.44535</x:v>
      </x:c>
      <x:c r="O497" s="18" t="str">
        <x:v>007014</x:v>
      </x:c>
      <x:c r="P497" s="18" t="str">
        <x:v>本線</x:v>
      </x:c>
      <x:c r="Q497" s="19" t="str">
        <x:v>S12_061_GE_10000</x:v>
      </x:c>
      <x:c r="R497" s="19" t="str">
        <x:v>S12_061 usage threshold</x:v>
      </x:c>
      <x:c r="S497" s="19" t="str">
        <x:v>https://nlftp.mlit.go.jp/ksj/gml/datalist/KsjTmplt-S12-2024.html</x:v>
      </x:c>
      <x:c r="T497" s="19" t="str">
        <x:v>https://nlftp.mlit.go.jp/ksj/gml/datalist/KsjTmplt-S12-2024.html</x:v>
      </x:c>
      <x:c r="U497" s="19" t="str">
        <x:v>station-component|千船|阪神電気鉄道|private_rail|34.7123|135.4453|</x:v>
      </x:c>
      <x:c r="V497" s="19" t="str">
        <x:v>007014 / 007014 / 本線</x:v>
      </x:c>
      <x:c r="W497" s="18" t="str">
        <x:v>否</x:v>
      </x:c>
      <x:c r="X497" s="18" t="str">
        <x:v>0785e932a32b3ec15e1a1345537ae145eafe1c07bf38d5c16c11ee2b391e7a28</x:v>
      </x:c>
      <x:c r="Y497" s="20" t="n">
        <x:v>1</x:v>
      </x:c>
      <x:c r="Z497" s="20" t="n">
        <x:v>1</x:v>
      </x:c>
      <x:c r="AA497" s="19"/>
      <x:c r="AB497" s="18"/>
      <x:c r="AC497" s="19"/>
    </x:row>
    <x:row r="498" ht="33" customHeight="1">
      <x:c r="A498" s="18" t="str">
        <x:v>千葉</x:v>
      </x:c>
      <x:c r="B498" s="18" t="str">
        <x:v>千葉都市モノレール</x:v>
      </x:c>
      <x:c r="C498" s="18" t="str">
        <x:v>fixed_guideway</x:v>
      </x:c>
      <x:c r="D498" s="19" t="str">
        <x:v>T2</x:v>
      </x:c>
      <x:c r="E498" s="20" t="n">
        <x:v>28146</x:v>
      </x:c>
      <x:c r="F498" s="18" t="str">
        <x:v>persons/day</x:v>
      </x:c>
      <x:c r="G498" s="18" t="str">
        <x:v>FY2024</x:v>
      </x:c>
      <x:c r="H498" s="18" t="str">
        <x:v>否</x:v>
      </x:c>
      <x:c r="I498" s="19" t="str">
        <x:v>DAILY_ENTRIES_EXITS</x:v>
      </x:c>
      <x:c r="J498" s="19" t="str">
        <x:v>1号線
2号線</x:v>
      </x:c>
      <x:c r="K498" s="18" t="str">
        <x:v>transport-node:df02c49f-8323-560e-8004-d3b053978432</x:v>
      </x:c>
      <x:c r="L498" s="19" t="str">
        <x:v>组件待审核</x:v>
      </x:c>
      <x:c r="M498" s="21" t="n">
        <x:v>35.6120825</x:v>
      </x:c>
      <x:c r="N498" s="21" t="n">
        <x:v>140.1140225</x:v>
      </x:c>
      <x:c r="O498" s="18" t="str">
        <x:v>004173</x:v>
      </x:c>
      <x:c r="P498" s="18" t="str">
        <x:v>1号線</x:v>
      </x:c>
      <x:c r="Q498" s="19" t="str">
        <x:v>S12_061_GE_10000
OFFICIAL_HUB_COMPONENT_REVIEW</x:v>
      </x:c>
      <x:c r="R498" s="19" t="str">
        <x:v>S12_061 usage threshold</x:v>
      </x:c>
      <x:c r="S498" s="19" t="str">
        <x:v>https://nlftp.mlit.go.jp/ksj/gml/datalist/KsjTmplt-S12-2024.html</x:v>
      </x:c>
      <x:c r="T498" s="19" t="str">
        <x:v>https://chiba-monorail.co.jp/index.php/info-timetable/station-info/chiba-station/
https://nlftp.mlit.go.jp/ksj/gml/datalist/KsjTmplt-S12-2024.html</x:v>
      </x:c>
      <x:c r="U498" s="19" t="str">
        <x:v>station-component|千葉|千葉都市モノレール|fixed_guideway|35.6121|140.1140|</x:v>
      </x:c>
      <x:c r="V498" s="19" t="str">
        <x:v>004173 / 004173 / 1号線
004173 / 004174 / 2号線</x:v>
      </x:c>
      <x:c r="W498" s="18" t="str">
        <x:v>否</x:v>
      </x:c>
      <x:c r="X498" s="18" t="str">
        <x:v>0785e932a32b3ec15e1a1345537ae145eafe1c07bf38d5c16c11ee2b391e7a28</x:v>
      </x:c>
      <x:c r="Y498" s="20" t="n">
        <x:v>1</x:v>
      </x:c>
      <x:c r="Z498" s="20" t="n">
        <x:v>1</x:v>
      </x:c>
      <x:c r="AA498" s="19" t="str">
        <x:v>千葉</x:v>
      </x:c>
      <x:c r="AB498" s="18" t="str">
        <x:v>transport-hub-review:4105f488-e0b4-57cd-9345-125f75ad3ddb</x:v>
      </x:c>
      <x:c r="AC498" s="19"/>
    </x:row>
    <x:row r="499" ht="33" customHeight="1">
      <x:c r="A499" s="18" t="str">
        <x:v>千葉</x:v>
      </x:c>
      <x:c r="B499" s="18" t="str">
        <x:v>東日本旅客鉄道</x:v>
      </x:c>
      <x:c r="C499" s="18" t="str">
        <x:v>conventional_rail</x:v>
      </x:c>
      <x:c r="D499" s="19" t="str">
        <x:v>T0</x:v>
      </x:c>
      <x:c r="E499" s="20" t="n">
        <x:v>208450</x:v>
      </x:c>
      <x:c r="F499" s="18" t="str">
        <x:v>persons/day</x:v>
      </x:c>
      <x:c r="G499" s="18" t="str">
        <x:v>FY2024</x:v>
      </x:c>
      <x:c r="H499" s="18" t="str">
        <x:v>否</x:v>
      </x:c>
      <x:c r="I499" s="19" t="str">
        <x:v>DAILY_ENTRIES_EXITS</x:v>
      </x:c>
      <x:c r="J499" s="19" t="str">
        <x:v>外房線
総武線</x:v>
      </x:c>
      <x:c r="K499" s="18" t="str">
        <x:v>transport-node:64c96958-db36-5b45-b651-7eba9719a4d8</x:v>
      </x:c>
      <x:c r="L499" s="19" t="str">
        <x:v>组件待审核</x:v>
      </x:c>
      <x:c r="M499" s="21" t="n">
        <x:v>35.613556</x:v>
      </x:c>
      <x:c r="N499" s="21" t="n">
        <x:v>140.11349</x:v>
      </x:c>
      <x:c r="O499" s="18" t="str">
        <x:v>004165</x:v>
      </x:c>
      <x:c r="P499" s="18" t="str">
        <x:v>総武線</x:v>
      </x:c>
      <x:c r="Q499" s="19" t="str">
        <x:v>S12_061_GE_10000
OFFICIAL_HUB_COMPONENT_REVIEW</x:v>
      </x:c>
      <x:c r="R499" s="19" t="str">
        <x:v>S12_061 usage threshold</x:v>
      </x:c>
      <x:c r="S499" s="19" t="str">
        <x:v>https://nlftp.mlit.go.jp/ksj/gml/datalist/KsjTmplt-S12-2024.html</x:v>
      </x:c>
      <x:c r="T499" s="19" t="str">
        <x:v>https://chiba-monorail.co.jp/index.php/info-timetable/station-info/chiba-station/
https://nlftp.mlit.go.jp/ksj/gml/datalist/KsjTmplt-S12-2024.html</x:v>
      </x:c>
      <x:c r="U499" s="19" t="str">
        <x:v>station-component|千葉|東日本旅客鉄道|conventional_rail|35.6136|140.1135|</x:v>
      </x:c>
      <x:c r="V499" s="19" t="str">
        <x:v>004173 / 004165 / 総武線
004173 / 004167 / 外房線</x:v>
      </x:c>
      <x:c r="W499" s="18" t="str">
        <x:v>否</x:v>
      </x:c>
      <x:c r="X499" s="18" t="str">
        <x:v>0785e932a32b3ec15e1a1345537ae145eafe1c07bf38d5c16c11ee2b391e7a28</x:v>
      </x:c>
      <x:c r="Y499" s="20" t="n">
        <x:v>1</x:v>
      </x:c>
      <x:c r="Z499" s="20" t="n">
        <x:v>1</x:v>
      </x:c>
      <x:c r="AA499" s="19" t="str">
        <x:v>千葉</x:v>
      </x:c>
      <x:c r="AB499" s="18" t="str">
        <x:v>transport-hub-review:4105f488-e0b4-57cd-9345-125f75ad3ddb</x:v>
      </x:c>
      <x:c r="AC499" s="19"/>
    </x:row>
    <x:row r="500" ht="28" customHeight="1">
      <x:c r="A500" s="18" t="str">
        <x:v>千葉みなと</x:v>
      </x:c>
      <x:c r="B500" s="18" t="str">
        <x:v>千葉都市モノレール</x:v>
      </x:c>
      <x:c r="C500" s="18" t="str">
        <x:v>fixed_guideway</x:v>
      </x:c>
      <x:c r="D500" s="19" t="str">
        <x:v>T2</x:v>
      </x:c>
      <x:c r="E500" s="20" t="n">
        <x:v>17279</x:v>
      </x:c>
      <x:c r="F500" s="18" t="str">
        <x:v>persons/day</x:v>
      </x:c>
      <x:c r="G500" s="18" t="str">
        <x:v>FY2024</x:v>
      </x:c>
      <x:c r="H500" s="18" t="str">
        <x:v>否</x:v>
      </x:c>
      <x:c r="I500" s="19" t="str">
        <x:v>DAILY_ENTRIES_EXITS</x:v>
      </x:c>
      <x:c r="J500" s="19" t="str">
        <x:v>1号線</x:v>
      </x:c>
      <x:c r="K500" s="18" t="str">
        <x:v>transport-node:16af3419-52c7-51cd-b5df-1e050cee805b</x:v>
      </x:c>
      <x:c r="L500" s="19" t="str">
        <x:v>组件待审核</x:v>
      </x:c>
      <x:c r="M500" s="21" t="n">
        <x:v>35.607095</x:v>
      </x:c>
      <x:c r="N500" s="21" t="n">
        <x:v>140.10278</x:v>
      </x:c>
      <x:c r="O500" s="18" t="str">
        <x:v>004201</x:v>
      </x:c>
      <x:c r="P500" s="18" t="str">
        <x:v>1号線</x:v>
      </x:c>
      <x:c r="Q500" s="19" t="str">
        <x:v>S12_061_GE_10000</x:v>
      </x:c>
      <x:c r="R500" s="19" t="str">
        <x:v>S12_061 usage threshold</x:v>
      </x:c>
      <x:c r="S500" s="19" t="str">
        <x:v>https://nlftp.mlit.go.jp/ksj/gml/datalist/KsjTmplt-S12-2024.html</x:v>
      </x:c>
      <x:c r="T500" s="19" t="str">
        <x:v>https://nlftp.mlit.go.jp/ksj/gml/datalist/KsjTmplt-S12-2024.html</x:v>
      </x:c>
      <x:c r="U500" s="19" t="str">
        <x:v>station-component|千葉みなと|千葉都市モノレール|fixed_guideway|35.6071|140.1028|</x:v>
      </x:c>
      <x:c r="V500" s="19" t="str">
        <x:v>004201 / 004201 / 1号線</x:v>
      </x:c>
      <x:c r="W500" s="18" t="str">
        <x:v>否</x:v>
      </x:c>
      <x:c r="X500" s="18" t="str">
        <x:v>0785e932a32b3ec15e1a1345537ae145eafe1c07bf38d5c16c11ee2b391e7a28</x:v>
      </x:c>
      <x:c r="Y500" s="20" t="n">
        <x:v>1</x:v>
      </x:c>
      <x:c r="Z500" s="20" t="n">
        <x:v>1</x:v>
      </x:c>
      <x:c r="AA500" s="19"/>
      <x:c r="AB500" s="18"/>
      <x:c r="AC500" s="19"/>
    </x:row>
    <x:row r="501" ht="28" customHeight="1">
      <x:c r="A501" s="18" t="str">
        <x:v>千葉みなと</x:v>
      </x:c>
      <x:c r="B501" s="18" t="str">
        <x:v>東日本旅客鉄道</x:v>
      </x:c>
      <x:c r="C501" s="18" t="str">
        <x:v>conventional_rail</x:v>
      </x:c>
      <x:c r="D501" s="19" t="str">
        <x:v>T2</x:v>
      </x:c>
      <x:c r="E501" s="20" t="n">
        <x:v>34534</x:v>
      </x:c>
      <x:c r="F501" s="18" t="str">
        <x:v>persons/day</x:v>
      </x:c>
      <x:c r="G501" s="18" t="str">
        <x:v>FY2024</x:v>
      </x:c>
      <x:c r="H501" s="18" t="str">
        <x:v>否</x:v>
      </x:c>
      <x:c r="I501" s="19" t="str">
        <x:v>DAILY_ENTRIES_EXITS</x:v>
      </x:c>
      <x:c r="J501" s="19" t="str">
        <x:v>京葉線</x:v>
      </x:c>
      <x:c r="K501" s="18" t="str">
        <x:v>transport-node:e7d52e77-e4ae-55ac-8a7f-cb4b85b5ee65</x:v>
      </x:c>
      <x:c r="L501" s="19" t="str">
        <x:v>组件待审核</x:v>
      </x:c>
      <x:c r="M501" s="21" t="n">
        <x:v>35.60671</x:v>
      </x:c>
      <x:c r="N501" s="21" t="n">
        <x:v>140.102795</x:v>
      </x:c>
      <x:c r="O501" s="18" t="str">
        <x:v>004209</x:v>
      </x:c>
      <x:c r="P501" s="18" t="str">
        <x:v>京葉線</x:v>
      </x:c>
      <x:c r="Q501" s="19" t="str">
        <x:v>S12_061_GE_10000</x:v>
      </x:c>
      <x:c r="R501" s="19" t="str">
        <x:v>S12_061 usage threshold</x:v>
      </x:c>
      <x:c r="S501" s="19" t="str">
        <x:v>https://nlftp.mlit.go.jp/ksj/gml/datalist/KsjTmplt-S12-2024.html</x:v>
      </x:c>
      <x:c r="T501" s="19" t="str">
        <x:v>https://nlftp.mlit.go.jp/ksj/gml/datalist/KsjTmplt-S12-2024.html</x:v>
      </x:c>
      <x:c r="U501" s="19" t="str">
        <x:v>station-component|千葉みなと|東日本旅客鉄道|conventional_rail|35.6067|140.1028|</x:v>
      </x:c>
      <x:c r="V501" s="19" t="str">
        <x:v>004201 / 004209 / 京葉線</x:v>
      </x:c>
      <x:c r="W501" s="18" t="str">
        <x:v>否</x:v>
      </x:c>
      <x:c r="X501" s="18" t="str">
        <x:v>0785e932a32b3ec15e1a1345537ae145eafe1c07bf38d5c16c11ee2b391e7a28</x:v>
      </x:c>
      <x:c r="Y501" s="20" t="n">
        <x:v>1</x:v>
      </x:c>
      <x:c r="Z501" s="20" t="n">
        <x:v>1</x:v>
      </x:c>
      <x:c r="AA501" s="19"/>
      <x:c r="AB501" s="18"/>
      <x:c r="AC501" s="19"/>
    </x:row>
    <x:row r="502" ht="28" customHeight="1">
      <x:c r="A502" s="18" t="str">
        <x:v>千葉ニュータウン中央</x:v>
      </x:c>
      <x:c r="B502" s="18" t="str">
        <x:v>北総鉄道</x:v>
      </x:c>
      <x:c r="C502" s="18" t="str">
        <x:v>private_rail</x:v>
      </x:c>
      <x:c r="D502" s="19" t="str">
        <x:v>T2</x:v>
      </x:c>
      <x:c r="E502" s="20" t="n">
        <x:v>23521</x:v>
      </x:c>
      <x:c r="F502" s="18" t="str">
        <x:v>persons/day</x:v>
      </x:c>
      <x:c r="G502" s="18" t="str">
        <x:v>FY2024</x:v>
      </x:c>
      <x:c r="H502" s="18" t="str">
        <x:v>否</x:v>
      </x:c>
      <x:c r="I502" s="19" t="str">
        <x:v>DAILY_ENTRIES_EXITS</x:v>
      </x:c>
      <x:c r="J502" s="19" t="str">
        <x:v>北総線</x:v>
      </x:c>
      <x:c r="K502" s="18" t="str">
        <x:v>transport-node:45cfe51f-d183-56b4-be49-fe2192a5586a</x:v>
      </x:c>
      <x:c r="L502" s="19" t="str">
        <x:v>组件待审核</x:v>
      </x:c>
      <x:c r="M502" s="21" t="n">
        <x:v>35.80022</x:v>
      </x:c>
      <x:c r="N502" s="21" t="n">
        <x:v>140.1162625</x:v>
      </x:c>
      <x:c r="O502" s="18" t="str">
        <x:v>003091</x:v>
      </x:c>
      <x:c r="P502" s="18" t="str">
        <x:v>北総線</x:v>
      </x:c>
      <x:c r="Q502" s="19" t="str">
        <x:v>S12_061_GE_10000</x:v>
      </x:c>
      <x:c r="R502" s="19" t="str">
        <x:v>S12_061 usage threshold</x:v>
      </x:c>
      <x:c r="S502" s="19" t="str">
        <x:v>https://nlftp.mlit.go.jp/ksj/gml/datalist/KsjTmplt-S12-2024.html</x:v>
      </x:c>
      <x:c r="T502" s="19" t="str">
        <x:v>https://nlftp.mlit.go.jp/ksj/gml/datalist/KsjTmplt-S12-2024.html</x:v>
      </x:c>
      <x:c r="U502" s="19" t="str">
        <x:v>station-component|千葉ニュータウン中央|北総鉄道|private_rail|35.8002|140.1163|</x:v>
      </x:c>
      <x:c r="V502" s="19" t="str">
        <x:v>003090 / 003091 / 北総線</x:v>
      </x:c>
      <x:c r="W502" s="18" t="str">
        <x:v>否</x:v>
      </x:c>
      <x:c r="X502" s="18" t="str">
        <x:v>0785e932a32b3ec15e1a1345537ae145eafe1c07bf38d5c16c11ee2b391e7a28</x:v>
      </x:c>
      <x:c r="Y502" s="20" t="n">
        <x:v>1</x:v>
      </x:c>
      <x:c r="Z502" s="20" t="n">
        <x:v>1</x:v>
      </x:c>
      <x:c r="AA502" s="19"/>
      <x:c r="AB502" s="18"/>
      <x:c r="AC502" s="19"/>
    </x:row>
    <x:row r="503" ht="33" customHeight="1">
      <x:c r="A503" s="18" t="str">
        <x:v>千葉中央</x:v>
      </x:c>
      <x:c r="B503" s="18" t="str">
        <x:v>京成電鉄</x:v>
      </x:c>
      <x:c r="C503" s="18" t="str">
        <x:v>private_rail</x:v>
      </x:c>
      <x:c r="D503" s="19" t="str">
        <x:v>T2</x:v>
      </x:c>
      <x:c r="E503" s="20" t="n">
        <x:v>20353</x:v>
      </x:c>
      <x:c r="F503" s="18" t="str">
        <x:v>persons/day</x:v>
      </x:c>
      <x:c r="G503" s="18" t="str">
        <x:v>FY2024</x:v>
      </x:c>
      <x:c r="H503" s="18" t="str">
        <x:v>否</x:v>
      </x:c>
      <x:c r="I503" s="19" t="str">
        <x:v>DAILY_ENTRIES_EXITS</x:v>
      </x:c>
      <x:c r="J503" s="19" t="str">
        <x:v>千原線
千葉線</x:v>
      </x:c>
      <x:c r="K503" s="18" t="str">
        <x:v>transport-node:11004569-c422-5bb2-8e91-6ec48df4f84e</x:v>
      </x:c>
      <x:c r="L503" s="19" t="str">
        <x:v>组件待审核</x:v>
      </x:c>
      <x:c r="M503" s="21" t="n">
        <x:v>35.607475</x:v>
      </x:c>
      <x:c r="N503" s="21" t="n">
        <x:v>140.117765</x:v>
      </x:c>
      <x:c r="O503" s="18" t="str">
        <x:v>004195</x:v>
      </x:c>
      <x:c r="P503" s="18" t="str">
        <x:v>千葉線</x:v>
      </x:c>
      <x:c r="Q503" s="19" t="str">
        <x:v>S12_061_GE_10000</x:v>
      </x:c>
      <x:c r="R503" s="19" t="str">
        <x:v>S12_061 usage threshold</x:v>
      </x:c>
      <x:c r="S503" s="19" t="str">
        <x:v>https://nlftp.mlit.go.jp/ksj/gml/datalist/KsjTmplt-S12-2024.html</x:v>
      </x:c>
      <x:c r="T503" s="19" t="str">
        <x:v>https://nlftp.mlit.go.jp/ksj/gml/datalist/KsjTmplt-S12-2024.html</x:v>
      </x:c>
      <x:c r="U503" s="19" t="str">
        <x:v>station-component|千葉中央|京成電鉄|private_rail|35.6075|140.1178|</x:v>
      </x:c>
      <x:c r="V503" s="19" t="str">
        <x:v>004194 / 004194 / 千原線
004194 / 004195 / 千葉線</x:v>
      </x:c>
      <x:c r="W503" s="18" t="str">
        <x:v>否</x:v>
      </x:c>
      <x:c r="X503" s="18" t="str">
        <x:v>0785e932a32b3ec15e1a1345537ae145eafe1c07bf38d5c16c11ee2b391e7a28</x:v>
      </x:c>
      <x:c r="Y503" s="20" t="n">
        <x:v>1</x:v>
      </x:c>
      <x:c r="Z503" s="20" t="n">
        <x:v>1</x:v>
      </x:c>
      <x:c r="AA503" s="19"/>
      <x:c r="AB503" s="18"/>
      <x:c r="AC503" s="19"/>
    </x:row>
    <x:row r="504" ht="28" customHeight="1">
      <x:c r="A504" s="18" t="str">
        <x:v>千里丘</x:v>
      </x:c>
      <x:c r="B504" s="18" t="str">
        <x:v>西日本旅客鉄道</x:v>
      </x:c>
      <x:c r="C504" s="18" t="str">
        <x:v>conventional_rail</x:v>
      </x:c>
      <x:c r="D504" s="19" t="str">
        <x:v>T2</x:v>
      </x:c>
      <x:c r="E504" s="20" t="n">
        <x:v>39612</x:v>
      </x:c>
      <x:c r="F504" s="18" t="str">
        <x:v>persons/day</x:v>
      </x:c>
      <x:c r="G504" s="18" t="str">
        <x:v>FY2024</x:v>
      </x:c>
      <x:c r="H504" s="18" t="str">
        <x:v>否</x:v>
      </x:c>
      <x:c r="I504" s="19" t="str">
        <x:v>DAILY_ENTRIES_EXITS</x:v>
      </x:c>
      <x:c r="J504" s="19" t="str">
        <x:v>東海道線</x:v>
      </x:c>
      <x:c r="K504" s="18" t="str">
        <x:v>transport-node:95efd86c-0e82-569d-ae1f-15ad42078d3f</x:v>
      </x:c>
      <x:c r="L504" s="19" t="str">
        <x:v>组件待审核</x:v>
      </x:c>
      <x:c r="M504" s="21" t="n">
        <x:v>34.79144</x:v>
      </x:c>
      <x:c r="N504" s="21" t="n">
        <x:v>135.55142</x:v>
      </x:c>
      <x:c r="O504" s="18" t="str">
        <x:v>006672</x:v>
      </x:c>
      <x:c r="P504" s="18" t="str">
        <x:v>東海道線</x:v>
      </x:c>
      <x:c r="Q504" s="19" t="str">
        <x:v>S12_061_GE_10000</x:v>
      </x:c>
      <x:c r="R504" s="19" t="str">
        <x:v>S12_061 usage threshold</x:v>
      </x:c>
      <x:c r="S504" s="19" t="str">
        <x:v>https://nlftp.mlit.go.jp/ksj/gml/datalist/KsjTmplt-S12-2024.html</x:v>
      </x:c>
      <x:c r="T504" s="19" t="str">
        <x:v>https://nlftp.mlit.go.jp/ksj/gml/datalist/KsjTmplt-S12-2024.html</x:v>
      </x:c>
      <x:c r="U504" s="19" t="str">
        <x:v>station-component|千里丘|西日本旅客鉄道|conventional_rail|34.7914|135.5514|</x:v>
      </x:c>
      <x:c r="V504" s="19" t="str">
        <x:v>006672 / 006672 / 東海道線</x:v>
      </x:c>
      <x:c r="W504" s="18" t="str">
        <x:v>否</x:v>
      </x:c>
      <x:c r="X504" s="18" t="str">
        <x:v>0785e932a32b3ec15e1a1345537ae145eafe1c07bf38d5c16c11ee2b391e7a28</x:v>
      </x:c>
      <x:c r="Y504" s="20" t="n">
        <x:v>1</x:v>
      </x:c>
      <x:c r="Z504" s="20" t="n">
        <x:v>1</x:v>
      </x:c>
      <x:c r="AA504" s="19"/>
      <x:c r="AB504" s="18"/>
      <x:c r="AC504" s="19"/>
    </x:row>
    <x:row r="505" ht="28" customHeight="1">
      <x:c r="A505" s="18" t="str">
        <x:v>千里中央</x:v>
      </x:c>
      <x:c r="B505" s="18" t="str">
        <x:v>北大阪急行電鉄</x:v>
      </x:c>
      <x:c r="C505" s="18" t="str">
        <x:v>private_rail</x:v>
      </x:c>
      <x:c r="D505" s="19" t="str">
        <x:v>T1</x:v>
      </x:c>
      <x:c r="E505" s="20" t="n">
        <x:v>69342</x:v>
      </x:c>
      <x:c r="F505" s="18" t="str">
        <x:v>persons/day</x:v>
      </x:c>
      <x:c r="G505" s="18" t="str">
        <x:v>FY2024</x:v>
      </x:c>
      <x:c r="H505" s="18" t="str">
        <x:v>否</x:v>
      </x:c>
      <x:c r="I505" s="19" t="str">
        <x:v>DAILY_ENTRIES_EXITS</x:v>
      </x:c>
      <x:c r="J505" s="19" t="str">
        <x:v>南北線</x:v>
      </x:c>
      <x:c r="K505" s="18" t="str">
        <x:v>transport-node:30a94998-b769-534f-8588-8b468c696734</x:v>
      </x:c>
      <x:c r="L505" s="19" t="str">
        <x:v>组件待审核</x:v>
      </x:c>
      <x:c r="M505" s="21" t="n">
        <x:v>34.8097733</x:v>
      </x:c>
      <x:c r="N505" s="21" t="n">
        <x:v>135.4950459</x:v>
      </x:c>
      <x:c r="O505" s="18" t="str">
        <x:v>006587</x:v>
      </x:c>
      <x:c r="P505" s="18" t="str">
        <x:v>南北線</x:v>
      </x:c>
      <x:c r="Q505" s="19" t="str">
        <x:v>S12_061_GE_10000</x:v>
      </x:c>
      <x:c r="R505" s="19" t="str">
        <x:v>S12_061 usage threshold</x:v>
      </x:c>
      <x:c r="S505" s="19" t="str">
        <x:v>https://nlftp.mlit.go.jp/ksj/gml/datalist/KsjTmplt-S12-2024.html</x:v>
      </x:c>
      <x:c r="T505" s="19" t="str">
        <x:v>https://nlftp.mlit.go.jp/ksj/gml/datalist/KsjTmplt-S12-2024.html</x:v>
      </x:c>
      <x:c r="U505" s="19" t="str">
        <x:v>station-component|千里中央|北大阪急行電鉄|private_rail|34.8098|135.4950|</x:v>
      </x:c>
      <x:c r="V505" s="19" t="str">
        <x:v>006587 / 006587 / 南北線</x:v>
      </x:c>
      <x:c r="W505" s="18" t="str">
        <x:v>否</x:v>
      </x:c>
      <x:c r="X505" s="18" t="str">
        <x:v>0785e932a32b3ec15e1a1345537ae145eafe1c07bf38d5c16c11ee2b391e7a28</x:v>
      </x:c>
      <x:c r="Y505" s="20" t="n">
        <x:v>1</x:v>
      </x:c>
      <x:c r="Z505" s="20" t="n">
        <x:v>1</x:v>
      </x:c>
      <x:c r="AA505" s="19"/>
      <x:c r="AB505" s="18"/>
      <x:c r="AC505" s="19"/>
    </x:row>
    <x:row r="506" ht="28" customHeight="1">
      <x:c r="A506" s="18" t="str">
        <x:v>千里中央</x:v>
      </x:c>
      <x:c r="B506" s="18" t="str">
        <x:v>大阪モノレール</x:v>
      </x:c>
      <x:c r="C506" s="18" t="str">
        <x:v>fixed_guideway</x:v>
      </x:c>
      <x:c r="D506" s="19" t="str">
        <x:v>T2</x:v>
      </x:c>
      <x:c r="E506" s="20" t="n">
        <x:v>41356</x:v>
      </x:c>
      <x:c r="F506" s="18" t="str">
        <x:v>persons/day</x:v>
      </x:c>
      <x:c r="G506" s="18" t="str">
        <x:v>FY2024</x:v>
      </x:c>
      <x:c r="H506" s="18" t="str">
        <x:v>否</x:v>
      </x:c>
      <x:c r="I506" s="19" t="str">
        <x:v>DAILY_ENTRIES_EXITS</x:v>
      </x:c>
      <x:c r="J506" s="19" t="str">
        <x:v>大阪モノレール線</x:v>
      </x:c>
      <x:c r="K506" s="18" t="str">
        <x:v>transport-node:cda20441-9f6f-5e37-b7c0-5e1ee66a7052</x:v>
      </x:c>
      <x:c r="L506" s="19" t="str">
        <x:v>组件待审核</x:v>
      </x:c>
      <x:c r="M506" s="21" t="n">
        <x:v>34.807455</x:v>
      </x:c>
      <x:c r="N506" s="21" t="n">
        <x:v>135.495185</x:v>
      </x:c>
      <x:c r="O506" s="18" t="str">
        <x:v>006598</x:v>
      </x:c>
      <x:c r="P506" s="18" t="str">
        <x:v>大阪モノレール線</x:v>
      </x:c>
      <x:c r="Q506" s="19" t="str">
        <x:v>S12_061_GE_10000</x:v>
      </x:c>
      <x:c r="R506" s="19" t="str">
        <x:v>S12_061 usage threshold</x:v>
      </x:c>
      <x:c r="S506" s="19" t="str">
        <x:v>https://nlftp.mlit.go.jp/ksj/gml/datalist/KsjTmplt-S12-2024.html</x:v>
      </x:c>
      <x:c r="T506" s="19" t="str">
        <x:v>https://nlftp.mlit.go.jp/ksj/gml/datalist/KsjTmplt-S12-2024.html</x:v>
      </x:c>
      <x:c r="U506" s="19" t="str">
        <x:v>station-component|千里中央|大阪モノレール|fixed_guideway|34.8075|135.4952|</x:v>
      </x:c>
      <x:c r="V506" s="19" t="str">
        <x:v>006598 / 006598 / 大阪モノレール線</x:v>
      </x:c>
      <x:c r="W506" s="18" t="str">
        <x:v>否</x:v>
      </x:c>
      <x:c r="X506" s="18" t="str">
        <x:v>0785e932a32b3ec15e1a1345537ae145eafe1c07bf38d5c16c11ee2b391e7a28</x:v>
      </x:c>
      <x:c r="Y506" s="20" t="n">
        <x:v>1</x:v>
      </x:c>
      <x:c r="Z506" s="20" t="n">
        <x:v>1</x:v>
      </x:c>
      <x:c r="AA506" s="19"/>
      <x:c r="AB506" s="18"/>
      <x:c r="AC506" s="19"/>
    </x:row>
    <x:row r="507" ht="28" customHeight="1">
      <x:c r="A507" s="18" t="str">
        <x:v>千里山</x:v>
      </x:c>
      <x:c r="B507" s="18" t="str">
        <x:v>阪急電鉄</x:v>
      </x:c>
      <x:c r="C507" s="18" t="str">
        <x:v>private_rail</x:v>
      </x:c>
      <x:c r="D507" s="19" t="str">
        <x:v>T2</x:v>
      </x:c>
      <x:c r="E507" s="20" t="n">
        <x:v>15426</x:v>
      </x:c>
      <x:c r="F507" s="18" t="str">
        <x:v>persons/day</x:v>
      </x:c>
      <x:c r="G507" s="18" t="str">
        <x:v>FY2024</x:v>
      </x:c>
      <x:c r="H507" s="18" t="str">
        <x:v>否</x:v>
      </x:c>
      <x:c r="I507" s="19" t="str">
        <x:v>DAILY_ENTRIES_EXITS</x:v>
      </x:c>
      <x:c r="J507" s="19" t="str">
        <x:v>千里線</x:v>
      </x:c>
      <x:c r="K507" s="18" t="str">
        <x:v>transport-node:b0b4e8a7-67ad-5307-983b-abc5c72aad62</x:v>
      </x:c>
      <x:c r="L507" s="19" t="str">
        <x:v>组件待审核</x:v>
      </x:c>
      <x:c r="M507" s="21" t="n">
        <x:v>34.77898</x:v>
      </x:c>
      <x:c r="N507" s="21" t="n">
        <x:v>135.50551</x:v>
      </x:c>
      <x:c r="O507" s="18" t="str">
        <x:v>006716</x:v>
      </x:c>
      <x:c r="P507" s="18" t="str">
        <x:v>千里線</x:v>
      </x:c>
      <x:c r="Q507" s="19" t="str">
        <x:v>S12_061_GE_10000</x:v>
      </x:c>
      <x:c r="R507" s="19" t="str">
        <x:v>S12_061 usage threshold</x:v>
      </x:c>
      <x:c r="S507" s="19" t="str">
        <x:v>https://nlftp.mlit.go.jp/ksj/gml/datalist/KsjTmplt-S12-2024.html</x:v>
      </x:c>
      <x:c r="T507" s="19" t="str">
        <x:v>https://nlftp.mlit.go.jp/ksj/gml/datalist/KsjTmplt-S12-2024.html</x:v>
      </x:c>
      <x:c r="U507" s="19" t="str">
        <x:v>station-component|千里山|阪急電鉄|private_rail|34.7790|135.5055|</x:v>
      </x:c>
      <x:c r="V507" s="19" t="str">
        <x:v>006716 / 006716 / 千里線</x:v>
      </x:c>
      <x:c r="W507" s="18" t="str">
        <x:v>否</x:v>
      </x:c>
      <x:c r="X507" s="18" t="str">
        <x:v>0785e932a32b3ec15e1a1345537ae145eafe1c07bf38d5c16c11ee2b391e7a28</x:v>
      </x:c>
      <x:c r="Y507" s="20" t="n">
        <x:v>1</x:v>
      </x:c>
      <x:c r="Z507" s="20" t="n">
        <x:v>1</x:v>
      </x:c>
      <x:c r="AA507" s="19"/>
      <x:c r="AB507" s="18"/>
      <x:c r="AC507" s="19"/>
    </x:row>
    <x:row r="508" ht="28" customHeight="1">
      <x:c r="A508" s="18" t="str">
        <x:v>千駄ヶ谷</x:v>
      </x:c>
      <x:c r="B508" s="18" t="str">
        <x:v>東日本旅客鉄道</x:v>
      </x:c>
      <x:c r="C508" s="18" t="str">
        <x:v>conventional_rail</x:v>
      </x:c>
      <x:c r="D508" s="19" t="str">
        <x:v>T2</x:v>
      </x:c>
      <x:c r="E508" s="20" t="n">
        <x:v>34572</x:v>
      </x:c>
      <x:c r="F508" s="18" t="str">
        <x:v>persons/day</x:v>
      </x:c>
      <x:c r="G508" s="18" t="str">
        <x:v>FY2024</x:v>
      </x:c>
      <x:c r="H508" s="18" t="str">
        <x:v>否</x:v>
      </x:c>
      <x:c r="I508" s="19" t="str">
        <x:v>DAILY_ENTRIES_EXITS</x:v>
      </x:c>
      <x:c r="J508" s="19" t="str">
        <x:v>中央線</x:v>
      </x:c>
      <x:c r="K508" s="18" t="str">
        <x:v>transport-node:60c00297-a914-5c39-b463-7c717d2d682c</x:v>
      </x:c>
      <x:c r="L508" s="19" t="str">
        <x:v>组件待审核</x:v>
      </x:c>
      <x:c r="M508" s="21" t="n">
        <x:v>35.6812067</x:v>
      </x:c>
      <x:c r="N508" s="21" t="n">
        <x:v>139.7114533</x:v>
      </x:c>
      <x:c r="O508" s="18" t="str">
        <x:v>003767</x:v>
      </x:c>
      <x:c r="P508" s="18" t="str">
        <x:v>中央線</x:v>
      </x:c>
      <x:c r="Q508" s="19" t="str">
        <x:v>S12_061_GE_10000</x:v>
      </x:c>
      <x:c r="R508" s="19" t="str">
        <x:v>S12_061 usage threshold</x:v>
      </x:c>
      <x:c r="S508" s="19" t="str">
        <x:v>https://nlftp.mlit.go.jp/ksj/gml/datalist/KsjTmplt-S12-2024.html</x:v>
      </x:c>
      <x:c r="T508" s="19" t="str">
        <x:v>https://nlftp.mlit.go.jp/ksj/gml/datalist/KsjTmplt-S12-2024.html</x:v>
      </x:c>
      <x:c r="U508" s="19" t="str">
        <x:v>station-component|千駄ヶ谷|東日本旅客鉄道|conventional_rail|35.6812|139.7115|</x:v>
      </x:c>
      <x:c r="V508" s="19" t="str">
        <x:v>003767 / 003767 / 中央線</x:v>
      </x:c>
      <x:c r="W508" s="18" t="str">
        <x:v>否</x:v>
      </x:c>
      <x:c r="X508" s="18" t="str">
        <x:v>0785e932a32b3ec15e1a1345537ae145eafe1c07bf38d5c16c11ee2b391e7a28</x:v>
      </x:c>
      <x:c r="Y508" s="20" t="n">
        <x:v>1</x:v>
      </x:c>
      <x:c r="Z508" s="20" t="n">
        <x:v>1</x:v>
      </x:c>
      <x:c r="AA508" s="19"/>
      <x:c r="AB508" s="18"/>
      <x:c r="AC508" s="19"/>
    </x:row>
    <x:row r="509" ht="28" customHeight="1">
      <x:c r="A509" s="18" t="str">
        <x:v>千駄木</x:v>
      </x:c>
      <x:c r="B509" s="18" t="str">
        <x:v>東京地下鉄</x:v>
      </x:c>
      <x:c r="C509" s="18" t="str">
        <x:v>metro</x:v>
      </x:c>
      <x:c r="D509" s="19" t="str">
        <x:v>T2</x:v>
      </x:c>
      <x:c r="E509" s="20" t="n">
        <x:v>28507</x:v>
      </x:c>
      <x:c r="F509" s="18" t="str">
        <x:v>persons/day</x:v>
      </x:c>
      <x:c r="G509" s="18" t="str">
        <x:v>FY2024</x:v>
      </x:c>
      <x:c r="H509" s="18" t="str">
        <x:v>否</x:v>
      </x:c>
      <x:c r="I509" s="19" t="str">
        <x:v>DAILY_ENTRIES_EXITS</x:v>
      </x:c>
      <x:c r="J509" s="19" t="str">
        <x:v>9号線千代田線</x:v>
      </x:c>
      <x:c r="K509" s="18" t="str">
        <x:v>transport-node:e69e4c0d-5bcd-55db-947b-0fb32e8b8551</x:v>
      </x:c>
      <x:c r="L509" s="19" t="str">
        <x:v>组件待审核</x:v>
      </x:c>
      <x:c r="M509" s="21" t="n">
        <x:v>35.7259875</x:v>
      </x:c>
      <x:c r="N509" s="21" t="n">
        <x:v>139.763375</x:v>
      </x:c>
      <x:c r="O509" s="18" t="str">
        <x:v>003434</x:v>
      </x:c>
      <x:c r="P509" s="18" t="str">
        <x:v>9号線千代田線</x:v>
      </x:c>
      <x:c r="Q509" s="19" t="str">
        <x:v>S12_061_GE_10000</x:v>
      </x:c>
      <x:c r="R509" s="19" t="str">
        <x:v>S12_061 usage threshold</x:v>
      </x:c>
      <x:c r="S509" s="19" t="str">
        <x:v>https://nlftp.mlit.go.jp/ksj/gml/datalist/KsjTmplt-S12-2024.html</x:v>
      </x:c>
      <x:c r="T509" s="19" t="str">
        <x:v>https://nlftp.mlit.go.jp/ksj/gml/datalist/KsjTmplt-S12-2024.html</x:v>
      </x:c>
      <x:c r="U509" s="19" t="str">
        <x:v>station-component|千駄木|東京地下鉄|metro|35.7260|139.7634|</x:v>
      </x:c>
      <x:c r="V509" s="19" t="str">
        <x:v>003434 / 003434 / 9号線千代田線</x:v>
      </x:c>
      <x:c r="W509" s="18" t="str">
        <x:v>否</x:v>
      </x:c>
      <x:c r="X509" s="18" t="str">
        <x:v>0785e932a32b3ec15e1a1345537ae145eafe1c07bf38d5c16c11ee2b391e7a28</x:v>
      </x:c>
      <x:c r="Y509" s="20" t="n">
        <x:v>1</x:v>
      </x:c>
      <x:c r="Z509" s="20" t="n">
        <x:v>1</x:v>
      </x:c>
      <x:c r="AA509" s="19"/>
      <x:c r="AB509" s="18"/>
      <x:c r="AC509" s="19"/>
    </x:row>
    <x:row r="510" ht="28" customHeight="1">
      <x:c r="A510" s="18" t="str">
        <x:v>千鳥町</x:v>
      </x:c>
      <x:c r="B510" s="18" t="str">
        <x:v>東急電鉄</x:v>
      </x:c>
      <x:c r="C510" s="18" t="str">
        <x:v>private_rail</x:v>
      </x:c>
      <x:c r="D510" s="19" t="str">
        <x:v>T2</x:v>
      </x:c>
      <x:c r="E510" s="20" t="n">
        <x:v>15216</x:v>
      </x:c>
      <x:c r="F510" s="18" t="str">
        <x:v>persons/day</x:v>
      </x:c>
      <x:c r="G510" s="18" t="str">
        <x:v>FY2024</x:v>
      </x:c>
      <x:c r="H510" s="18" t="str">
        <x:v>否</x:v>
      </x:c>
      <x:c r="I510" s="19" t="str">
        <x:v>DAILY_ENTRIES_EXITS</x:v>
      </x:c>
      <x:c r="J510" s="19" t="str">
        <x:v>池上線</x:v>
      </x:c>
      <x:c r="K510" s="18" t="str">
        <x:v>transport-node:3e1149dc-75be-5c96-9ffe-93ca1a44ba63</x:v>
      </x:c>
      <x:c r="L510" s="19" t="str">
        <x:v>组件待审核</x:v>
      </x:c>
      <x:c r="M510" s="21" t="n">
        <x:v>35.573</x:v>
      </x:c>
      <x:c r="N510" s="21" t="n">
        <x:v>139.69142</x:v>
      </x:c>
      <x:c r="O510" s="18" t="str">
        <x:v>004305</x:v>
      </x:c>
      <x:c r="P510" s="18" t="str">
        <x:v>池上線</x:v>
      </x:c>
      <x:c r="Q510" s="19" t="str">
        <x:v>S12_061_GE_10000</x:v>
      </x:c>
      <x:c r="R510" s="19" t="str">
        <x:v>S12_061 usage threshold</x:v>
      </x:c>
      <x:c r="S510" s="19" t="str">
        <x:v>https://nlftp.mlit.go.jp/ksj/gml/datalist/KsjTmplt-S12-2024.html</x:v>
      </x:c>
      <x:c r="T510" s="19" t="str">
        <x:v>https://nlftp.mlit.go.jp/ksj/gml/datalist/KsjTmplt-S12-2024.html</x:v>
      </x:c>
      <x:c r="U510" s="19" t="str">
        <x:v>station-component|千鳥町|東急電鉄|private_rail|35.5730|139.6914|</x:v>
      </x:c>
      <x:c r="V510" s="19" t="str">
        <x:v>004305 / 004305 / 池上線</x:v>
      </x:c>
      <x:c r="W510" s="18" t="str">
        <x:v>否</x:v>
      </x:c>
      <x:c r="X510" s="18" t="str">
        <x:v>0785e932a32b3ec15e1a1345537ae145eafe1c07bf38d5c16c11ee2b391e7a28</x:v>
      </x:c>
      <x:c r="Y510" s="20" t="n">
        <x:v>1</x:v>
      </x:c>
      <x:c r="Z510" s="20" t="n">
        <x:v>1</x:v>
      </x:c>
      <x:c r="AA510" s="19"/>
      <x:c r="AB510" s="18"/>
      <x:c r="AC510" s="19"/>
    </x:row>
    <x:row r="511" ht="28" customHeight="1">
      <x:c r="A511" s="18" t="str">
        <x:v>半蔵門</x:v>
      </x:c>
      <x:c r="B511" s="18" t="str">
        <x:v>東京地下鉄</x:v>
      </x:c>
      <x:c r="C511" s="18" t="str">
        <x:v>metro</x:v>
      </x:c>
      <x:c r="D511" s="19" t="str">
        <x:v>T1</x:v>
      </x:c>
      <x:c r="E511" s="20" t="n">
        <x:v>73487</x:v>
      </x:c>
      <x:c r="F511" s="18" t="str">
        <x:v>persons/day</x:v>
      </x:c>
      <x:c r="G511" s="18" t="str">
        <x:v>FY2024</x:v>
      </x:c>
      <x:c r="H511" s="18" t="str">
        <x:v>否</x:v>
      </x:c>
      <x:c r="I511" s="19" t="str">
        <x:v>DAILY_ENTRIES_EXITS</x:v>
      </x:c>
      <x:c r="J511" s="19" t="str">
        <x:v>11号線半蔵門線</x:v>
      </x:c>
      <x:c r="K511" s="18" t="str">
        <x:v>transport-node:7bb26c65-d463-540d-be7f-237abde553a7</x:v>
      </x:c>
      <x:c r="L511" s="19" t="str">
        <x:v>组件待审核</x:v>
      </x:c>
      <x:c r="M511" s="21" t="n">
        <x:v>35.68538</x:v>
      </x:c>
      <x:c r="N511" s="21" t="n">
        <x:v>139.741695</x:v>
      </x:c>
      <x:c r="O511" s="18" t="str">
        <x:v>003729</x:v>
      </x:c>
      <x:c r="P511" s="18" t="str">
        <x:v>11号線半蔵門線</x:v>
      </x:c>
      <x:c r="Q511" s="19" t="str">
        <x:v>S12_061_GE_10000</x:v>
      </x:c>
      <x:c r="R511" s="19" t="str">
        <x:v>S12_061 usage threshold</x:v>
      </x:c>
      <x:c r="S511" s="19" t="str">
        <x:v>https://nlftp.mlit.go.jp/ksj/gml/datalist/KsjTmplt-S12-2024.html</x:v>
      </x:c>
      <x:c r="T511" s="19" t="str">
        <x:v>https://nlftp.mlit.go.jp/ksj/gml/datalist/KsjTmplt-S12-2024.html</x:v>
      </x:c>
      <x:c r="U511" s="19" t="str">
        <x:v>station-component|半蔵門|東京地下鉄|metro|35.6854|139.7417|</x:v>
      </x:c>
      <x:c r="V511" s="19" t="str">
        <x:v>003729 / 003729 / 11号線半蔵門線</x:v>
      </x:c>
      <x:c r="W511" s="18" t="str">
        <x:v>否</x:v>
      </x:c>
      <x:c r="X511" s="18" t="str">
        <x:v>0785e932a32b3ec15e1a1345537ae145eafe1c07bf38d5c16c11ee2b391e7a28</x:v>
      </x:c>
      <x:c r="Y511" s="20" t="n">
        <x:v>1</x:v>
      </x:c>
      <x:c r="Z511" s="20" t="n">
        <x:v>1</x:v>
      </x:c>
      <x:c r="AA511" s="19"/>
      <x:c r="AB511" s="18"/>
      <x:c r="AC511" s="19"/>
    </x:row>
    <x:row r="512" ht="28" customHeight="1">
      <x:c r="A512" s="18" t="str">
        <x:v>南万騎が原</x:v>
      </x:c>
      <x:c r="B512" s="18" t="str">
        <x:v>相模鉄道</x:v>
      </x:c>
      <x:c r="C512" s="18" t="str">
        <x:v>private_rail</x:v>
      </x:c>
      <x:c r="D512" s="19" t="str">
        <x:v>T2</x:v>
      </x:c>
      <x:c r="E512" s="20" t="n">
        <x:v>10416</x:v>
      </x:c>
      <x:c r="F512" s="18" t="str">
        <x:v>persons/day</x:v>
      </x:c>
      <x:c r="G512" s="18" t="str">
        <x:v>FY2024</x:v>
      </x:c>
      <x:c r="H512" s="18" t="str">
        <x:v>否</x:v>
      </x:c>
      <x:c r="I512" s="19" t="str">
        <x:v>DAILY_ENTRIES_EXITS</x:v>
      </x:c>
      <x:c r="J512" s="19" t="str">
        <x:v>相鉄いずみ野線</x:v>
      </x:c>
      <x:c r="K512" s="18" t="str">
        <x:v>transport-node:24a57ecb-9e68-5f7d-b429-b401b6444332</x:v>
      </x:c>
      <x:c r="L512" s="19" t="str">
        <x:v>组件待审核</x:v>
      </x:c>
      <x:c r="M512" s="21" t="n">
        <x:v>35.452545</x:v>
      </x:c>
      <x:c r="N512" s="21" t="n">
        <x:v>139.5263475</x:v>
      </x:c>
      <x:c r="O512" s="18" t="str">
        <x:v>004674</x:v>
      </x:c>
      <x:c r="P512" s="18" t="str">
        <x:v>相鉄いずみ野線</x:v>
      </x:c>
      <x:c r="Q512" s="19" t="str">
        <x:v>S12_061_GE_10000</x:v>
      </x:c>
      <x:c r="R512" s="19" t="str">
        <x:v>S12_061 usage threshold</x:v>
      </x:c>
      <x:c r="S512" s="19" t="str">
        <x:v>https://nlftp.mlit.go.jp/ksj/gml/datalist/KsjTmplt-S12-2024.html</x:v>
      </x:c>
      <x:c r="T512" s="19" t="str">
        <x:v>https://nlftp.mlit.go.jp/ksj/gml/datalist/KsjTmplt-S12-2024.html</x:v>
      </x:c>
      <x:c r="U512" s="19" t="str">
        <x:v>station-component|南万騎が原|相模鉄道|private_rail|35.4525|139.5263|</x:v>
      </x:c>
      <x:c r="V512" s="19" t="str">
        <x:v>004674 / 004674 / 相鉄いずみ野線</x:v>
      </x:c>
      <x:c r="W512" s="18" t="str">
        <x:v>否</x:v>
      </x:c>
      <x:c r="X512" s="18" t="str">
        <x:v>0785e932a32b3ec15e1a1345537ae145eafe1c07bf38d5c16c11ee2b391e7a28</x:v>
      </x:c>
      <x:c r="Y512" s="20" t="n">
        <x:v>1</x:v>
      </x:c>
      <x:c r="Z512" s="20" t="n">
        <x:v>1</x:v>
      </x:c>
      <x:c r="AA512" s="19"/>
      <x:c r="AB512" s="18"/>
      <x:c r="AC512" s="19"/>
    </x:row>
    <x:row r="513" ht="28" customHeight="1">
      <x:c r="A513" s="18" t="str">
        <x:v>南与野</x:v>
      </x:c>
      <x:c r="B513" s="18" t="str">
        <x:v>東日本旅客鉄道</x:v>
      </x:c>
      <x:c r="C513" s="18" t="str">
        <x:v>conventional_rail</x:v>
      </x:c>
      <x:c r="D513" s="19" t="str">
        <x:v>T2</x:v>
      </x:c>
      <x:c r="E513" s="20" t="n">
        <x:v>38218</x:v>
      </x:c>
      <x:c r="F513" s="18" t="str">
        <x:v>persons/day</x:v>
      </x:c>
      <x:c r="G513" s="18" t="str">
        <x:v>FY2024</x:v>
      </x:c>
      <x:c r="H513" s="18" t="str">
        <x:v>否</x:v>
      </x:c>
      <x:c r="I513" s="19" t="str">
        <x:v>DAILY_ENTRIES_EXITS</x:v>
      </x:c>
      <x:c r="J513" s="19" t="str">
        <x:v>東北線</x:v>
      </x:c>
      <x:c r="K513" s="18" t="str">
        <x:v>transport-node:b5a8989f-3405-5b9d-a242-ef1a9d9a48b4</x:v>
      </x:c>
      <x:c r="L513" s="19" t="str">
        <x:v>组件待审核</x:v>
      </x:c>
      <x:c r="M513" s="21" t="n">
        <x:v>35.867355</x:v>
      </x:c>
      <x:c r="N513" s="21" t="n">
        <x:v>139.631055</x:v>
      </x:c>
      <x:c r="O513" s="18" t="str">
        <x:v>002975</x:v>
      </x:c>
      <x:c r="P513" s="18" t="str">
        <x:v>東北線</x:v>
      </x:c>
      <x:c r="Q513" s="19" t="str">
        <x:v>S12_061_GE_10000</x:v>
      </x:c>
      <x:c r="R513" s="19" t="str">
        <x:v>S12_061 usage threshold</x:v>
      </x:c>
      <x:c r="S513" s="19" t="str">
        <x:v>https://nlftp.mlit.go.jp/ksj/gml/datalist/KsjTmplt-S12-2024.html</x:v>
      </x:c>
      <x:c r="T513" s="19" t="str">
        <x:v>https://nlftp.mlit.go.jp/ksj/gml/datalist/KsjTmplt-S12-2024.html</x:v>
      </x:c>
      <x:c r="U513" s="19" t="str">
        <x:v>station-component|南与野|東日本旅客鉄道|conventional_rail|35.8674|139.6311|</x:v>
      </x:c>
      <x:c r="V513" s="19" t="str">
        <x:v>002975 / 002975 / 東北線</x:v>
      </x:c>
      <x:c r="W513" s="18" t="str">
        <x:v>否</x:v>
      </x:c>
      <x:c r="X513" s="18" t="str">
        <x:v>0785e932a32b3ec15e1a1345537ae145eafe1c07bf38d5c16c11ee2b391e7a28</x:v>
      </x:c>
      <x:c r="Y513" s="20" t="n">
        <x:v>1</x:v>
      </x:c>
      <x:c r="Z513" s="20" t="n">
        <x:v>1</x:v>
      </x:c>
      <x:c r="AA513" s="19"/>
      <x:c r="AB513" s="18"/>
      <x:c r="AC513" s="19"/>
    </x:row>
    <x:row r="514" ht="28" customHeight="1">
      <x:c r="A514" s="18" t="str">
        <x:v>南仙台</x:v>
      </x:c>
      <x:c r="B514" s="18" t="str">
        <x:v>東日本旅客鉄道</x:v>
      </x:c>
      <x:c r="C514" s="18" t="str">
        <x:v>conventional_rail</x:v>
      </x:c>
      <x:c r="D514" s="19" t="str">
        <x:v>T2</x:v>
      </x:c>
      <x:c r="E514" s="20" t="n">
        <x:v>19356</x:v>
      </x:c>
      <x:c r="F514" s="18" t="str">
        <x:v>persons/day</x:v>
      </x:c>
      <x:c r="G514" s="18" t="str">
        <x:v>FY2024</x:v>
      </x:c>
      <x:c r="H514" s="18" t="str">
        <x:v>否</x:v>
      </x:c>
      <x:c r="I514" s="19" t="str">
        <x:v>DAILY_ENTRIES_EXITS</x:v>
      </x:c>
      <x:c r="J514" s="19" t="str">
        <x:v>東北線</x:v>
      </x:c>
      <x:c r="K514" s="18" t="str">
        <x:v>transport-node:17888cc4-9c46-56f5-a8d1-b13b8411a540</x:v>
      </x:c>
      <x:c r="L514" s="19" t="str">
        <x:v>组件待审核</x:v>
      </x:c>
      <x:c r="M514" s="21" t="n">
        <x:v>38.19722</x:v>
      </x:c>
      <x:c r="N514" s="21" t="n">
        <x:v>140.883295</x:v>
      </x:c>
      <x:c r="O514" s="18" t="str">
        <x:v>001207</x:v>
      </x:c>
      <x:c r="P514" s="18" t="str">
        <x:v>東北線</x:v>
      </x:c>
      <x:c r="Q514" s="19" t="str">
        <x:v>S12_061_GE_10000</x:v>
      </x:c>
      <x:c r="R514" s="19" t="str">
        <x:v>S12_061 usage threshold</x:v>
      </x:c>
      <x:c r="S514" s="19" t="str">
        <x:v>https://nlftp.mlit.go.jp/ksj/gml/datalist/KsjTmplt-S12-2024.html</x:v>
      </x:c>
      <x:c r="T514" s="19" t="str">
        <x:v>https://nlftp.mlit.go.jp/ksj/gml/datalist/KsjTmplt-S12-2024.html</x:v>
      </x:c>
      <x:c r="U514" s="19" t="str">
        <x:v>station-component|南仙台|東日本旅客鉄道|conventional_rail|38.1972|140.8833|</x:v>
      </x:c>
      <x:c r="V514" s="19" t="str">
        <x:v>001207 / 001207 / 東北線</x:v>
      </x:c>
      <x:c r="W514" s="18" t="str">
        <x:v>否</x:v>
      </x:c>
      <x:c r="X514" s="18" t="str">
        <x:v>0785e932a32b3ec15e1a1345537ae145eafe1c07bf38d5c16c11ee2b391e7a28</x:v>
      </x:c>
      <x:c r="Y514" s="20" t="n">
        <x:v>1</x:v>
      </x:c>
      <x:c r="Z514" s="20" t="n">
        <x:v>1</x:v>
      </x:c>
      <x:c r="AA514" s="19"/>
      <x:c r="AB514" s="18"/>
      <x:c r="AC514" s="19"/>
    </x:row>
    <x:row r="515" ht="33" customHeight="1">
      <x:c r="A515" s="18" t="str">
        <x:v>南千住</x:v>
      </x:c>
      <x:c r="B515" s="18" t="str">
        <x:v>東京地下鉄</x:v>
      </x:c>
      <x:c r="C515" s="18" t="str">
        <x:v>metro</x:v>
      </x:c>
      <x:c r="D515" s="19" t="str">
        <x:v>T2</x:v>
      </x:c>
      <x:c r="E515" s="20" t="n">
        <x:v>32611</x:v>
      </x:c>
      <x:c r="F515" s="18" t="str">
        <x:v>persons/day</x:v>
      </x:c>
      <x:c r="G515" s="18" t="str">
        <x:v>FY2024</x:v>
      </x:c>
      <x:c r="H515" s="18" t="str">
        <x:v>否</x:v>
      </x:c>
      <x:c r="I515" s="19" t="str">
        <x:v>DAILY_ENTRIES_EXITS</x:v>
      </x:c>
      <x:c r="J515" s="19" t="str">
        <x:v>2号線日比谷線</x:v>
      </x:c>
      <x:c r="K515" s="18" t="str">
        <x:v>transport-node:64644ac5-521b-5761-8c9e-1fa2510db9ff</x:v>
      </x:c>
      <x:c r="L515" s="19" t="str">
        <x:v>组件待审核</x:v>
      </x:c>
      <x:c r="M515" s="21" t="n">
        <x:v>35.73231</x:v>
      </x:c>
      <x:c r="N515" s="21" t="n">
        <x:v>139.79878</x:v>
      </x:c>
      <x:c r="O515" s="18" t="str">
        <x:v>003369</x:v>
      </x:c>
      <x:c r="P515" s="18" t="str">
        <x:v>2号線日比谷線</x:v>
      </x:c>
      <x:c r="Q515" s="19" t="str">
        <x:v>S12_061_GE_10000
OFFICIAL_HUB_COMPONENT_REVIEW</x:v>
      </x:c>
      <x:c r="R515" s="19" t="str">
        <x:v>S12_061 usage threshold</x:v>
      </x:c>
      <x:c r="S515" s="19" t="str">
        <x:v>https://nlftp.mlit.go.jp/ksj/gml/datalist/KsjTmplt-S12-2024.html</x:v>
      </x:c>
      <x:c r="T515" s="19" t="str">
        <x:v>https://nlftp.mlit.go.jp/ksj/gml/datalist/KsjTmplt-S12-2024.html
https://www.tokyometro.jp/station/minami-senju/index.html</x:v>
      </x:c>
      <x:c r="U515" s="19" t="str">
        <x:v>station-component|南千住|東京地下鉄|metro|35.7323|139.7988|</x:v>
      </x:c>
      <x:c r="V515" s="19" t="str">
        <x:v>003363 / 003369 / 2号線日比谷線</x:v>
      </x:c>
      <x:c r="W515" s="18" t="str">
        <x:v>否</x:v>
      </x:c>
      <x:c r="X515" s="18" t="str">
        <x:v>0785e932a32b3ec15e1a1345537ae145eafe1c07bf38d5c16c11ee2b391e7a28</x:v>
      </x:c>
      <x:c r="Y515" s="20" t="n">
        <x:v>1</x:v>
      </x:c>
      <x:c r="Z515" s="20" t="n">
        <x:v>1</x:v>
      </x:c>
      <x:c r="AA515" s="19" t="str">
        <x:v>南千住</x:v>
      </x:c>
      <x:c r="AB515" s="18" t="str">
        <x:v>transport-hub-review:269d3f76-cf91-599e-9498-c5fcba99cade</x:v>
      </x:c>
      <x:c r="AC515" s="19"/>
    </x:row>
    <x:row r="516" ht="33" customHeight="1">
      <x:c r="A516" s="18" t="str">
        <x:v>南千住</x:v>
      </x:c>
      <x:c r="B516" s="18" t="str">
        <x:v>東日本旅客鉄道</x:v>
      </x:c>
      <x:c r="C516" s="18" t="str">
        <x:v>conventional_rail</x:v>
      </x:c>
      <x:c r="D516" s="19" t="str">
        <x:v>T2</x:v>
      </x:c>
      <x:c r="E516" s="20" t="n">
        <x:v>34172</x:v>
      </x:c>
      <x:c r="F516" s="18" t="str">
        <x:v>persons/day</x:v>
      </x:c>
      <x:c r="G516" s="18" t="str">
        <x:v>FY2024</x:v>
      </x:c>
      <x:c r="H516" s="18" t="str">
        <x:v>否</x:v>
      </x:c>
      <x:c r="I516" s="19" t="str">
        <x:v>DAILY_ENTRIES_EXITS</x:v>
      </x:c>
      <x:c r="J516" s="19" t="str">
        <x:v>常磐線</x:v>
      </x:c>
      <x:c r="K516" s="18" t="str">
        <x:v>transport-node:902fa6ee-4ee3-58b2-9d26-a282e2bb0644</x:v>
      </x:c>
      <x:c r="L516" s="19" t="str">
        <x:v>组件待审核</x:v>
      </x:c>
      <x:c r="M516" s="21" t="n">
        <x:v>35.7346475</x:v>
      </x:c>
      <x:c r="N516" s="21" t="n">
        <x:v>139.7998075</x:v>
      </x:c>
      <x:c r="O516" s="18" t="str">
        <x:v>003352</x:v>
      </x:c>
      <x:c r="P516" s="18" t="str">
        <x:v>常磐線</x:v>
      </x:c>
      <x:c r="Q516" s="19" t="str">
        <x:v>S12_061_GE_10000
OFFICIAL_HUB_COMPONENT_REVIEW</x:v>
      </x:c>
      <x:c r="R516" s="19" t="str">
        <x:v>S12_061 usage threshold</x:v>
      </x:c>
      <x:c r="S516" s="19" t="str">
        <x:v>https://nlftp.mlit.go.jp/ksj/gml/datalist/KsjTmplt-S12-2024.html</x:v>
      </x:c>
      <x:c r="T516" s="19" t="str">
        <x:v>https://nlftp.mlit.go.jp/ksj/gml/datalist/KsjTmplt-S12-2024.html
https://www.tokyometro.jp/station/minami-senju/index.html</x:v>
      </x:c>
      <x:c r="U516" s="19" t="str">
        <x:v>station-component|南千住|東日本旅客鉄道|conventional_rail|35.7346|139.7998|</x:v>
      </x:c>
      <x:c r="V516" s="19" t="str">
        <x:v>003363 / 003352 / 常磐線</x:v>
      </x:c>
      <x:c r="W516" s="18" t="str">
        <x:v>否</x:v>
      </x:c>
      <x:c r="X516" s="18" t="str">
        <x:v>0785e932a32b3ec15e1a1345537ae145eafe1c07bf38d5c16c11ee2b391e7a28</x:v>
      </x:c>
      <x:c r="Y516" s="20" t="n">
        <x:v>1</x:v>
      </x:c>
      <x:c r="Z516" s="20" t="n">
        <x:v>1</x:v>
      </x:c>
      <x:c r="AA516" s="19" t="str">
        <x:v>南千住</x:v>
      </x:c>
      <x:c r="AB516" s="18" t="str">
        <x:v>transport-hub-review:269d3f76-cf91-599e-9498-c5fcba99cade</x:v>
      </x:c>
      <x:c r="AC516" s="19"/>
    </x:row>
    <x:row r="517" ht="33" customHeight="1">
      <x:c r="A517" s="18" t="str">
        <x:v>南千住</x:v>
      </x:c>
      <x:c r="B517" s="18" t="str">
        <x:v>首都圏新都市鉄道</x:v>
      </x:c>
      <x:c r="C517" s="18" t="str">
        <x:v>private_rail</x:v>
      </x:c>
      <x:c r="D517" s="19" t="str">
        <x:v>T2</x:v>
      </x:c>
      <x:c r="E517" s="20" t="n">
        <x:v>12890</x:v>
      </x:c>
      <x:c r="F517" s="18" t="str">
        <x:v>persons/day</x:v>
      </x:c>
      <x:c r="G517" s="18" t="str">
        <x:v>FY2024</x:v>
      </x:c>
      <x:c r="H517" s="18" t="str">
        <x:v>否</x:v>
      </x:c>
      <x:c r="I517" s="19" t="str">
        <x:v>DAILY_ENTRIES_EXITS</x:v>
      </x:c>
      <x:c r="J517" s="19" t="str">
        <x:v>常磐新線</x:v>
      </x:c>
      <x:c r="K517" s="18" t="str">
        <x:v>transport-node:0f109057-a23c-5558-8859-1b9c62164e5e</x:v>
      </x:c>
      <x:c r="L517" s="19" t="str">
        <x:v>组件待审核</x:v>
      </x:c>
      <x:c r="M517" s="21" t="n">
        <x:v>35.732985</x:v>
      </x:c>
      <x:c r="N517" s="21" t="n">
        <x:v>139.79895</x:v>
      </x:c>
      <x:c r="O517" s="18" t="str">
        <x:v>003363</x:v>
      </x:c>
      <x:c r="P517" s="18" t="str">
        <x:v>常磐新線</x:v>
      </x:c>
      <x:c r="Q517" s="19" t="str">
        <x:v>S12_061_GE_10000
OFFICIAL_HUB_COMPONENT_REVIEW</x:v>
      </x:c>
      <x:c r="R517" s="19" t="str">
        <x:v>S12_061 usage threshold</x:v>
      </x:c>
      <x:c r="S517" s="19" t="str">
        <x:v>https://nlftp.mlit.go.jp/ksj/gml/datalist/KsjTmplt-S12-2024.html</x:v>
      </x:c>
      <x:c r="T517" s="19" t="str">
        <x:v>https://nlftp.mlit.go.jp/ksj/gml/datalist/KsjTmplt-S12-2024.html
https://www.tokyometro.jp/station/minami-senju/index.html</x:v>
      </x:c>
      <x:c r="U517" s="19" t="str">
        <x:v>station-component|南千住|首都圏新都市鉄道|private_rail|35.7330|139.7989|</x:v>
      </x:c>
      <x:c r="V517" s="19" t="str">
        <x:v>003363 / 003363 / 常磐新線</x:v>
      </x:c>
      <x:c r="W517" s="18" t="str">
        <x:v>否</x:v>
      </x:c>
      <x:c r="X517" s="18" t="str">
        <x:v>0785e932a32b3ec15e1a1345537ae145eafe1c07bf38d5c16c11ee2b391e7a28</x:v>
      </x:c>
      <x:c r="Y517" s="20" t="n">
        <x:v>1</x:v>
      </x:c>
      <x:c r="Z517" s="20" t="n">
        <x:v>1</x:v>
      </x:c>
      <x:c r="AA517" s="19" t="str">
        <x:v>南千住</x:v>
      </x:c>
      <x:c r="AB517" s="18" t="str">
        <x:v>transport-hub-review:269d3f76-cf91-599e-9498-c5fcba99cade</x:v>
      </x:c>
      <x:c r="AC517" s="19"/>
    </x:row>
    <x:row r="518" ht="28" customHeight="1">
      <x:c r="A518" s="18" t="str">
        <x:v>南千里</x:v>
      </x:c>
      <x:c r="B518" s="18" t="str">
        <x:v>阪急電鉄</x:v>
      </x:c>
      <x:c r="C518" s="18" t="str">
        <x:v>private_rail</x:v>
      </x:c>
      <x:c r="D518" s="19" t="str">
        <x:v>T2</x:v>
      </x:c>
      <x:c r="E518" s="20" t="n">
        <x:v>18541</x:v>
      </x:c>
      <x:c r="F518" s="18" t="str">
        <x:v>persons/day</x:v>
      </x:c>
      <x:c r="G518" s="18" t="str">
        <x:v>FY2024</x:v>
      </x:c>
      <x:c r="H518" s="18" t="str">
        <x:v>否</x:v>
      </x:c>
      <x:c r="I518" s="19" t="str">
        <x:v>DAILY_ENTRIES_EXITS</x:v>
      </x:c>
      <x:c r="J518" s="19" t="str">
        <x:v>千里線</x:v>
      </x:c>
      <x:c r="K518" s="18" t="str">
        <x:v>transport-node:552a8445-a563-5ba9-8ef7-d5d5490df355</x:v>
      </x:c>
      <x:c r="L518" s="19" t="str">
        <x:v>组件待审核</x:v>
      </x:c>
      <x:c r="M518" s="21" t="n">
        <x:v>34.79241</x:v>
      </x:c>
      <x:c r="N518" s="21" t="n">
        <x:v>135.50875</x:v>
      </x:c>
      <x:c r="O518" s="18" t="str">
        <x:v>006668</x:v>
      </x:c>
      <x:c r="P518" s="18" t="str">
        <x:v>千里線</x:v>
      </x:c>
      <x:c r="Q518" s="19" t="str">
        <x:v>S12_061_GE_10000</x:v>
      </x:c>
      <x:c r="R518" s="19" t="str">
        <x:v>S12_061 usage threshold</x:v>
      </x:c>
      <x:c r="S518" s="19" t="str">
        <x:v>https://nlftp.mlit.go.jp/ksj/gml/datalist/KsjTmplt-S12-2024.html</x:v>
      </x:c>
      <x:c r="T518" s="19" t="str">
        <x:v>https://nlftp.mlit.go.jp/ksj/gml/datalist/KsjTmplt-S12-2024.html</x:v>
      </x:c>
      <x:c r="U518" s="19" t="str">
        <x:v>station-component|南千里|阪急電鉄|private_rail|34.7924|135.5087|</x:v>
      </x:c>
      <x:c r="V518" s="19" t="str">
        <x:v>006668 / 006668 / 千里線</x:v>
      </x:c>
      <x:c r="W518" s="18" t="str">
        <x:v>否</x:v>
      </x:c>
      <x:c r="X518" s="18" t="str">
        <x:v>0785e932a32b3ec15e1a1345537ae145eafe1c07bf38d5c16c11ee2b391e7a28</x:v>
      </x:c>
      <x:c r="Y518" s="20" t="n">
        <x:v>1</x:v>
      </x:c>
      <x:c r="Z518" s="20" t="n">
        <x:v>1</x:v>
      </x:c>
      <x:c r="AA518" s="19"/>
      <x:c r="AB518" s="18"/>
      <x:c r="AC518" s="19"/>
    </x:row>
    <x:row r="519" ht="28" customHeight="1">
      <x:c r="A519" s="18" t="str">
        <x:v>南古谷</x:v>
      </x:c>
      <x:c r="B519" s="18" t="str">
        <x:v>東日本旅客鉄道</x:v>
      </x:c>
      <x:c r="C519" s="18" t="str">
        <x:v>conventional_rail</x:v>
      </x:c>
      <x:c r="D519" s="19" t="str">
        <x:v>T2</x:v>
      </x:c>
      <x:c r="E519" s="20" t="n">
        <x:v>15924</x:v>
      </x:c>
      <x:c r="F519" s="18" t="str">
        <x:v>persons/day</x:v>
      </x:c>
      <x:c r="G519" s="18" t="str">
        <x:v>FY2024</x:v>
      </x:c>
      <x:c r="H519" s="18" t="str">
        <x:v>否</x:v>
      </x:c>
      <x:c r="I519" s="19" t="str">
        <x:v>DAILY_ENTRIES_EXITS</x:v>
      </x:c>
      <x:c r="J519" s="19" t="str">
        <x:v>川越線</x:v>
      </x:c>
      <x:c r="K519" s="18" t="str">
        <x:v>transport-node:d1bf241d-83fd-55ea-9790-ca3c999ec8fb</x:v>
      </x:c>
      <x:c r="L519" s="19" t="str">
        <x:v>组件待审核</x:v>
      </x:c>
      <x:c r="M519" s="21" t="n">
        <x:v>35.90318</x:v>
      </x:c>
      <x:c r="N519" s="21" t="n">
        <x:v>139.519155</x:v>
      </x:c>
      <x:c r="O519" s="18" t="str">
        <x:v>002919</x:v>
      </x:c>
      <x:c r="P519" s="18" t="str">
        <x:v>川越線</x:v>
      </x:c>
      <x:c r="Q519" s="19" t="str">
        <x:v>S12_061_GE_10000</x:v>
      </x:c>
      <x:c r="R519" s="19" t="str">
        <x:v>S12_061 usage threshold</x:v>
      </x:c>
      <x:c r="S519" s="19" t="str">
        <x:v>https://nlftp.mlit.go.jp/ksj/gml/datalist/KsjTmplt-S12-2024.html</x:v>
      </x:c>
      <x:c r="T519" s="19" t="str">
        <x:v>https://nlftp.mlit.go.jp/ksj/gml/datalist/KsjTmplt-S12-2024.html</x:v>
      </x:c>
      <x:c r="U519" s="19" t="str">
        <x:v>station-component|南古谷|東日本旅客鉄道|conventional_rail|35.9032|139.5192|</x:v>
      </x:c>
      <x:c r="V519" s="19" t="str">
        <x:v>002919 / 002919 / 川越線</x:v>
      </x:c>
      <x:c r="W519" s="18" t="str">
        <x:v>否</x:v>
      </x:c>
      <x:c r="X519" s="18" t="str">
        <x:v>0785e932a32b3ec15e1a1345537ae145eafe1c07bf38d5c16c11ee2b391e7a28</x:v>
      </x:c>
      <x:c r="Y519" s="20" t="n">
        <x:v>1</x:v>
      </x:c>
      <x:c r="Z519" s="20" t="n">
        <x:v>1</x:v>
      </x:c>
      <x:c r="AA519" s="19"/>
      <x:c r="AB519" s="18"/>
      <x:c r="AC519" s="19"/>
    </x:row>
    <x:row r="520" ht="28" customHeight="1">
      <x:c r="A520" s="18" t="str">
        <x:v>南多摩</x:v>
      </x:c>
      <x:c r="B520" s="18" t="str">
        <x:v>東日本旅客鉄道</x:v>
      </x:c>
      <x:c r="C520" s="18" t="str">
        <x:v>conventional_rail</x:v>
      </x:c>
      <x:c r="D520" s="19" t="str">
        <x:v>T2</x:v>
      </x:c>
      <x:c r="E520" s="20" t="n">
        <x:v>12842</x:v>
      </x:c>
      <x:c r="F520" s="18" t="str">
        <x:v>persons/day</x:v>
      </x:c>
      <x:c r="G520" s="18" t="str">
        <x:v>FY2024</x:v>
      </x:c>
      <x:c r="H520" s="18" t="str">
        <x:v>否</x:v>
      </x:c>
      <x:c r="I520" s="19" t="str">
        <x:v>DAILY_ENTRIES_EXITS</x:v>
      </x:c>
      <x:c r="J520" s="19" t="str">
        <x:v>南武線</x:v>
      </x:c>
      <x:c r="K520" s="18" t="str">
        <x:v>transport-node:cde50138-2058-5c1e-88e4-33b17bc86ea0</x:v>
      </x:c>
      <x:c r="L520" s="19" t="str">
        <x:v>组件待审核</x:v>
      </x:c>
      <x:c r="M520" s="21" t="n">
        <x:v>35.649215</x:v>
      </x:c>
      <x:c r="N520" s="21" t="n">
        <x:v>139.489545</x:v>
      </x:c>
      <x:c r="O520" s="18" t="str">
        <x:v>003980</x:v>
      </x:c>
      <x:c r="P520" s="18" t="str">
        <x:v>南武線</x:v>
      </x:c>
      <x:c r="Q520" s="19" t="str">
        <x:v>S12_061_GE_10000</x:v>
      </x:c>
      <x:c r="R520" s="19" t="str">
        <x:v>S12_061 usage threshold</x:v>
      </x:c>
      <x:c r="S520" s="19" t="str">
        <x:v>https://nlftp.mlit.go.jp/ksj/gml/datalist/KsjTmplt-S12-2024.html</x:v>
      </x:c>
      <x:c r="T520" s="19" t="str">
        <x:v>https://nlftp.mlit.go.jp/ksj/gml/datalist/KsjTmplt-S12-2024.html</x:v>
      </x:c>
      <x:c r="U520" s="19" t="str">
        <x:v>station-component|南多摩|東日本旅客鉄道|conventional_rail|35.6492|139.4895|</x:v>
      </x:c>
      <x:c r="V520" s="19" t="str">
        <x:v>003980 / 003980 / 南武線</x:v>
      </x:c>
      <x:c r="W520" s="18" t="str">
        <x:v>否</x:v>
      </x:c>
      <x:c r="X520" s="18" t="str">
        <x:v>0785e932a32b3ec15e1a1345537ae145eafe1c07bf38d5c16c11ee2b391e7a28</x:v>
      </x:c>
      <x:c r="Y520" s="20" t="n">
        <x:v>1</x:v>
      </x:c>
      <x:c r="Z520" s="20" t="n">
        <x:v>1</x:v>
      </x:c>
      <x:c r="AA520" s="19"/>
      <x:c r="AB520" s="18"/>
      <x:c r="AC520" s="19"/>
    </x:row>
    <x:row r="521" ht="28" customHeight="1">
      <x:c r="A521" s="18" t="str">
        <x:v>南大塚</x:v>
      </x:c>
      <x:c r="B521" s="18" t="str">
        <x:v>西武鉄道</x:v>
      </x:c>
      <x:c r="C521" s="18" t="str">
        <x:v>private_rail</x:v>
      </x:c>
      <x:c r="D521" s="19" t="str">
        <x:v>T2</x:v>
      </x:c>
      <x:c r="E521" s="20" t="n">
        <x:v>16665</x:v>
      </x:c>
      <x:c r="F521" s="18" t="str">
        <x:v>persons/day</x:v>
      </x:c>
      <x:c r="G521" s="18" t="str">
        <x:v>FY2024</x:v>
      </x:c>
      <x:c r="H521" s="18" t="str">
        <x:v>否</x:v>
      </x:c>
      <x:c r="I521" s="19" t="str">
        <x:v>DAILY_ENTRIES_EXITS</x:v>
      </x:c>
      <x:c r="J521" s="19" t="str">
        <x:v>新宿線</x:v>
      </x:c>
      <x:c r="K521" s="18" t="str">
        <x:v>transport-node:b7eda4ea-bdd6-5d8c-a5f9-277c44f401ca</x:v>
      </x:c>
      <x:c r="L521" s="19" t="str">
        <x:v>组件待审核</x:v>
      </x:c>
      <x:c r="M521" s="21" t="n">
        <x:v>35.889695</x:v>
      </x:c>
      <x:c r="N521" s="21" t="n">
        <x:v>139.45419</x:v>
      </x:c>
      <x:c r="O521" s="18" t="str">
        <x:v>002940</x:v>
      </x:c>
      <x:c r="P521" s="18" t="str">
        <x:v>新宿線</x:v>
      </x:c>
      <x:c r="Q521" s="19" t="str">
        <x:v>S12_061_GE_10000</x:v>
      </x:c>
      <x:c r="R521" s="19" t="str">
        <x:v>S12_061 usage threshold</x:v>
      </x:c>
      <x:c r="S521" s="19" t="str">
        <x:v>https://nlftp.mlit.go.jp/ksj/gml/datalist/KsjTmplt-S12-2024.html</x:v>
      </x:c>
      <x:c r="T521" s="19" t="str">
        <x:v>https://nlftp.mlit.go.jp/ksj/gml/datalist/KsjTmplt-S12-2024.html</x:v>
      </x:c>
      <x:c r="U521" s="19" t="str">
        <x:v>station-component|南大塚|西武鉄道|private_rail|35.8897|139.4542|</x:v>
      </x:c>
      <x:c r="V521" s="19" t="str">
        <x:v>002940 / 002940 / 新宿線</x:v>
      </x:c>
      <x:c r="W521" s="18" t="str">
        <x:v>否</x:v>
      </x:c>
      <x:c r="X521" s="18" t="str">
        <x:v>0785e932a32b3ec15e1a1345537ae145eafe1c07bf38d5c16c11ee2b391e7a28</x:v>
      </x:c>
      <x:c r="Y521" s="20" t="n">
        <x:v>1</x:v>
      </x:c>
      <x:c r="Z521" s="20" t="n">
        <x:v>1</x:v>
      </x:c>
      <x:c r="AA521" s="19"/>
      <x:c r="AB521" s="18"/>
      <x:c r="AC521" s="19"/>
    </x:row>
    <x:row r="522" ht="28" customHeight="1">
      <x:c r="A522" s="18" t="str">
        <x:v>南大沢</x:v>
      </x:c>
      <x:c r="B522" s="18" t="str">
        <x:v>京王電鉄</x:v>
      </x:c>
      <x:c r="C522" s="18" t="str">
        <x:v>private_rail</x:v>
      </x:c>
      <x:c r="D522" s="19" t="str">
        <x:v>T1</x:v>
      </x:c>
      <x:c r="E522" s="20" t="n">
        <x:v>53927</x:v>
      </x:c>
      <x:c r="F522" s="18" t="str">
        <x:v>persons/day</x:v>
      </x:c>
      <x:c r="G522" s="18" t="str">
        <x:v>FY2024</x:v>
      </x:c>
      <x:c r="H522" s="18" t="str">
        <x:v>否</x:v>
      </x:c>
      <x:c r="I522" s="19" t="str">
        <x:v>DAILY_ENTRIES_EXITS</x:v>
      </x:c>
      <x:c r="J522" s="19" t="str">
        <x:v>相模原線</x:v>
      </x:c>
      <x:c r="K522" s="18" t="str">
        <x:v>transport-node:0445dd99-abaf-5dfd-8299-a092cdcbb9a2</x:v>
      </x:c>
      <x:c r="L522" s="19" t="str">
        <x:v>组件待审核</x:v>
      </x:c>
      <x:c r="M522" s="21" t="n">
        <x:v>35.6140725</x:v>
      </x:c>
      <x:c r="N522" s="21" t="n">
        <x:v>139.3798</x:v>
      </x:c>
      <x:c r="O522" s="18" t="str">
        <x:v>004163</x:v>
      </x:c>
      <x:c r="P522" s="18" t="str">
        <x:v>相模原線</x:v>
      </x:c>
      <x:c r="Q522" s="19" t="str">
        <x:v>S12_061_GE_10000</x:v>
      </x:c>
      <x:c r="R522" s="19" t="str">
        <x:v>S12_061 usage threshold</x:v>
      </x:c>
      <x:c r="S522" s="19" t="str">
        <x:v>https://nlftp.mlit.go.jp/ksj/gml/datalist/KsjTmplt-S12-2024.html</x:v>
      </x:c>
      <x:c r="T522" s="19" t="str">
        <x:v>https://nlftp.mlit.go.jp/ksj/gml/datalist/KsjTmplt-S12-2024.html</x:v>
      </x:c>
      <x:c r="U522" s="19" t="str">
        <x:v>station-component|南大沢|京王電鉄|private_rail|35.6141|139.3798|</x:v>
      </x:c>
      <x:c r="V522" s="19" t="str">
        <x:v>004163 / 004163 / 相模原線</x:v>
      </x:c>
      <x:c r="W522" s="18" t="str">
        <x:v>否</x:v>
      </x:c>
      <x:c r="X522" s="18" t="str">
        <x:v>0785e932a32b3ec15e1a1345537ae145eafe1c07bf38d5c16c11ee2b391e7a28</x:v>
      </x:c>
      <x:c r="Y522" s="20" t="n">
        <x:v>1</x:v>
      </x:c>
      <x:c r="Z522" s="20" t="n">
        <x:v>1</x:v>
      </x:c>
      <x:c r="AA522" s="19"/>
      <x:c r="AB522" s="18"/>
      <x:c r="AC522" s="19"/>
    </x:row>
    <x:row r="523" ht="28" customHeight="1">
      <x:c r="A523" s="18" t="str">
        <x:v>南大高</x:v>
      </x:c>
      <x:c r="B523" s="18" t="str">
        <x:v>東海旅客鉄道</x:v>
      </x:c>
      <x:c r="C523" s="18" t="str">
        <x:v>conventional_rail</x:v>
      </x:c>
      <x:c r="D523" s="19" t="str">
        <x:v>T2</x:v>
      </x:c>
      <x:c r="E523" s="20" t="n">
        <x:v>14433</x:v>
      </x:c>
      <x:c r="F523" s="18" t="str">
        <x:v>persons/day</x:v>
      </x:c>
      <x:c r="G523" s="18" t="str">
        <x:v>FY2024</x:v>
      </x:c>
      <x:c r="H523" s="18" t="str">
        <x:v>否</x:v>
      </x:c>
      <x:c r="I523" s="19" t="str">
        <x:v>DAILY_ENTRIES_EXITS</x:v>
      </x:c>
      <x:c r="J523" s="19" t="str">
        <x:v>東海道線</x:v>
      </x:c>
      <x:c r="K523" s="18" t="str">
        <x:v>transport-node:c5c5d2ef-1d34-5f8b-9aff-50435dad8ba5</x:v>
      </x:c>
      <x:c r="L523" s="19" t="str">
        <x:v>组件待审核</x:v>
      </x:c>
      <x:c r="M523" s="21" t="n">
        <x:v>35.054448</x:v>
      </x:c>
      <x:c r="N523" s="21" t="n">
        <x:v>136.94872</x:v>
      </x:c>
      <x:c r="O523" s="18" t="str">
        <x:v>005822</x:v>
      </x:c>
      <x:c r="P523" s="18" t="str">
        <x:v>東海道線</x:v>
      </x:c>
      <x:c r="Q523" s="19" t="str">
        <x:v>S12_061_GE_10000</x:v>
      </x:c>
      <x:c r="R523" s="19" t="str">
        <x:v>S12_061 usage threshold</x:v>
      </x:c>
      <x:c r="S523" s="19" t="str">
        <x:v>https://nlftp.mlit.go.jp/ksj/gml/datalist/KsjTmplt-S12-2024.html</x:v>
      </x:c>
      <x:c r="T523" s="19" t="str">
        <x:v>https://nlftp.mlit.go.jp/ksj/gml/datalist/KsjTmplt-S12-2024.html</x:v>
      </x:c>
      <x:c r="U523" s="19" t="str">
        <x:v>station-component|南大高|東海旅客鉄道|conventional_rail|35.0544|136.9487|</x:v>
      </x:c>
      <x:c r="V523" s="19" t="str">
        <x:v>005822 / 005822 / 東海道線</x:v>
      </x:c>
      <x:c r="W523" s="18" t="str">
        <x:v>否</x:v>
      </x:c>
      <x:c r="X523" s="18" t="str">
        <x:v>0785e932a32b3ec15e1a1345537ae145eafe1c07bf38d5c16c11ee2b391e7a28</x:v>
      </x:c>
      <x:c r="Y523" s="20" t="n">
        <x:v>1</x:v>
      </x:c>
      <x:c r="Z523" s="20" t="n">
        <x:v>1</x:v>
      </x:c>
      <x:c r="AA523" s="19"/>
      <x:c r="AB523" s="18"/>
      <x:c r="AC523" s="19"/>
    </x:row>
    <x:row r="524" ht="28" customHeight="1">
      <x:c r="A524" s="18" t="str">
        <x:v>南太田</x:v>
      </x:c>
      <x:c r="B524" s="18" t="str">
        <x:v>京浜急行電鉄</x:v>
      </x:c>
      <x:c r="C524" s="18" t="str">
        <x:v>private_rail</x:v>
      </x:c>
      <x:c r="D524" s="19" t="str">
        <x:v>T2</x:v>
      </x:c>
      <x:c r="E524" s="20" t="n">
        <x:v>17152</x:v>
      </x:c>
      <x:c r="F524" s="18" t="str">
        <x:v>persons/day</x:v>
      </x:c>
      <x:c r="G524" s="18" t="str">
        <x:v>FY2024</x:v>
      </x:c>
      <x:c r="H524" s="18" t="str">
        <x:v>否</x:v>
      </x:c>
      <x:c r="I524" s="19" t="str">
        <x:v>DAILY_ENTRIES_EXITS</x:v>
      </x:c>
      <x:c r="J524" s="19" t="str">
        <x:v>本線</x:v>
      </x:c>
      <x:c r="K524" s="18" t="str">
        <x:v>transport-node:d0459c8e-879d-5705-907d-5e5a85a2c4ad</x:v>
      </x:c>
      <x:c r="L524" s="19" t="str">
        <x:v>组件待审核</x:v>
      </x:c>
      <x:c r="M524" s="21" t="n">
        <x:v>35.43689</x:v>
      </x:c>
      <x:c r="N524" s="21" t="n">
        <x:v>139.613635</x:v>
      </x:c>
      <x:c r="O524" s="18" t="str">
        <x:v>004719</x:v>
      </x:c>
      <x:c r="P524" s="18" t="str">
        <x:v>本線</x:v>
      </x:c>
      <x:c r="Q524" s="19" t="str">
        <x:v>S12_061_GE_10000</x:v>
      </x:c>
      <x:c r="R524" s="19" t="str">
        <x:v>S12_061 usage threshold</x:v>
      </x:c>
      <x:c r="S524" s="19" t="str">
        <x:v>https://nlftp.mlit.go.jp/ksj/gml/datalist/KsjTmplt-S12-2024.html</x:v>
      </x:c>
      <x:c r="T524" s="19" t="str">
        <x:v>https://nlftp.mlit.go.jp/ksj/gml/datalist/KsjTmplt-S12-2024.html</x:v>
      </x:c>
      <x:c r="U524" s="19" t="str">
        <x:v>station-component|南太田|京浜急行電鉄|private_rail|35.4369|139.6136|</x:v>
      </x:c>
      <x:c r="V524" s="19" t="str">
        <x:v>004719 / 004719 / 本線</x:v>
      </x:c>
      <x:c r="W524" s="18" t="str">
        <x:v>否</x:v>
      </x:c>
      <x:c r="X524" s="18" t="str">
        <x:v>0785e932a32b3ec15e1a1345537ae145eafe1c07bf38d5c16c11ee2b391e7a28</x:v>
      </x:c>
      <x:c r="Y524" s="20" t="n">
        <x:v>1</x:v>
      </x:c>
      <x:c r="Z524" s="20" t="n">
        <x:v>1</x:v>
      </x:c>
      <x:c r="AA524" s="19"/>
      <x:c r="AB524" s="18"/>
      <x:c r="AC524" s="19"/>
    </x:row>
    <x:row r="525" ht="28" customHeight="1">
      <x:c r="A525" s="18" t="str">
        <x:v>南巽</x:v>
      </x:c>
      <x:c r="B525" s="18" t="str">
        <x:v>大阪市高速電気軌道</x:v>
      </x:c>
      <x:c r="C525" s="18" t="str">
        <x:v>metro</x:v>
      </x:c>
      <x:c r="D525" s="19" t="str">
        <x:v>T2</x:v>
      </x:c>
      <x:c r="E525" s="20" t="n">
        <x:v>11630</x:v>
      </x:c>
      <x:c r="F525" s="18" t="str">
        <x:v>persons/day</x:v>
      </x:c>
      <x:c r="G525" s="18" t="str">
        <x:v>FY2024</x:v>
      </x:c>
      <x:c r="H525" s="18" t="str">
        <x:v>否</x:v>
      </x:c>
      <x:c r="I525" s="19" t="str">
        <x:v>DAILY_ENTRIES_EXITS</x:v>
      </x:c>
      <x:c r="J525" s="19" t="str">
        <x:v>5号線(千日前線)</x:v>
      </x:c>
      <x:c r="K525" s="18" t="str">
        <x:v>transport-node:63c004ee-1e0f-5530-9fd6-06f15027692c</x:v>
      </x:c>
      <x:c r="L525" s="19" t="str">
        <x:v>组件待审核</x:v>
      </x:c>
      <x:c r="M525" s="21" t="n">
        <x:v>34.64274</x:v>
      </x:c>
      <x:c r="N525" s="21" t="n">
        <x:v>135.5531375</x:v>
      </x:c>
      <x:c r="O525" s="18" t="str">
        <x:v>007462</x:v>
      </x:c>
      <x:c r="P525" s="18" t="str">
        <x:v>5号線(千日前線)</x:v>
      </x:c>
      <x:c r="Q525" s="19" t="str">
        <x:v>S12_061_GE_10000</x:v>
      </x:c>
      <x:c r="R525" s="19" t="str">
        <x:v>S12_061 usage threshold</x:v>
      </x:c>
      <x:c r="S525" s="19" t="str">
        <x:v>https://nlftp.mlit.go.jp/ksj/gml/datalist/KsjTmplt-S12-2024.html</x:v>
      </x:c>
      <x:c r="T525" s="19" t="str">
        <x:v>https://nlftp.mlit.go.jp/ksj/gml/datalist/KsjTmplt-S12-2024.html</x:v>
      </x:c>
      <x:c r="U525" s="19" t="str">
        <x:v>station-component|南巽|大阪市高速電気軌道|metro|34.6427|135.5531|</x:v>
      </x:c>
      <x:c r="V525" s="19" t="str">
        <x:v>007462 / 007462 / 5号線(千日前線)</x:v>
      </x:c>
      <x:c r="W525" s="18" t="str">
        <x:v>否</x:v>
      </x:c>
      <x:c r="X525" s="18" t="str">
        <x:v>0785e932a32b3ec15e1a1345537ae145eafe1c07bf38d5c16c11ee2b391e7a28</x:v>
      </x:c>
      <x:c r="Y525" s="20" t="n">
        <x:v>1</x:v>
      </x:c>
      <x:c r="Z525" s="20" t="n">
        <x:v>1</x:v>
      </x:c>
      <x:c r="AA525" s="19"/>
      <x:c r="AB525" s="18"/>
      <x:c r="AC525" s="19"/>
    </x:row>
    <x:row r="526" ht="28" customHeight="1">
      <x:c r="A526" s="18" t="str">
        <x:v>南平岸</x:v>
      </x:c>
      <x:c r="B526" s="18" t="str">
        <x:v>札幌市</x:v>
      </x:c>
      <x:c r="C526" s="18" t="str">
        <x:v>metro</x:v>
      </x:c>
      <x:c r="D526" s="19" t="str">
        <x:v>T2</x:v>
      </x:c>
      <x:c r="E526" s="20" t="n">
        <x:v>15864</x:v>
      </x:c>
      <x:c r="F526" s="18" t="str">
        <x:v>persons/day</x:v>
      </x:c>
      <x:c r="G526" s="18" t="str">
        <x:v>FY2024</x:v>
      </x:c>
      <x:c r="H526" s="18" t="str">
        <x:v>否</x:v>
      </x:c>
      <x:c r="I526" s="19" t="str">
        <x:v>DAILY_ENTRIES_EXITS</x:v>
      </x:c>
      <x:c r="J526" s="19" t="str">
        <x:v>南北線</x:v>
      </x:c>
      <x:c r="K526" s="18" t="str">
        <x:v>transport-node:d3afac41-20fa-5dc6-877e-a1dabb7fb6c5</x:v>
      </x:c>
      <x:c r="L526" s="19" t="str">
        <x:v>组件待审核</x:v>
      </x:c>
      <x:c r="M526" s="21" t="n">
        <x:v>43.02666</x:v>
      </x:c>
      <x:c r="N526" s="21" t="n">
        <x:v>141.3713433</x:v>
      </x:c>
      <x:c r="O526" s="18" t="str">
        <x:v>000298</x:v>
      </x:c>
      <x:c r="P526" s="18" t="str">
        <x:v>南北線</x:v>
      </x:c>
      <x:c r="Q526" s="19" t="str">
        <x:v>S12_061_GE_10000</x:v>
      </x:c>
      <x:c r="R526" s="19" t="str">
        <x:v>S12_061 usage threshold</x:v>
      </x:c>
      <x:c r="S526" s="19" t="str">
        <x:v>https://nlftp.mlit.go.jp/ksj/gml/datalist/KsjTmplt-S12-2024.html</x:v>
      </x:c>
      <x:c r="T526" s="19" t="str">
        <x:v>https://nlftp.mlit.go.jp/ksj/gml/datalist/KsjTmplt-S12-2024.html</x:v>
      </x:c>
      <x:c r="U526" s="19" t="str">
        <x:v>station-component|南平岸|札幌市|metro|43.0267|141.3713|</x:v>
      </x:c>
      <x:c r="V526" s="19" t="str">
        <x:v>000298 / 000298 / 南北線</x:v>
      </x:c>
      <x:c r="W526" s="18" t="str">
        <x:v>否</x:v>
      </x:c>
      <x:c r="X526" s="18" t="str">
        <x:v>0785e932a32b3ec15e1a1345537ae145eafe1c07bf38d5c16c11ee2b391e7a28</x:v>
      </x:c>
      <x:c r="Y526" s="20" t="n">
        <x:v>1</x:v>
      </x:c>
      <x:c r="Z526" s="20" t="n">
        <x:v>1</x:v>
      </x:c>
      <x:c r="AA526" s="19"/>
      <x:c r="AB526" s="18"/>
      <x:c r="AC526" s="19"/>
    </x:row>
    <x:row r="527" ht="28" customHeight="1">
      <x:c r="A527" s="18" t="str">
        <x:v>南彦根</x:v>
      </x:c>
      <x:c r="B527" s="18" t="str">
        <x:v>西日本旅客鉄道</x:v>
      </x:c>
      <x:c r="C527" s="18" t="str">
        <x:v>conventional_rail</x:v>
      </x:c>
      <x:c r="D527" s="19" t="str">
        <x:v>T2</x:v>
      </x:c>
      <x:c r="E527" s="20" t="n">
        <x:v>11256</x:v>
      </x:c>
      <x:c r="F527" s="18" t="str">
        <x:v>persons/day</x:v>
      </x:c>
      <x:c r="G527" s="18" t="str">
        <x:v>FY2024</x:v>
      </x:c>
      <x:c r="H527" s="18" t="str">
        <x:v>否</x:v>
      </x:c>
      <x:c r="I527" s="19" t="str">
        <x:v>DAILY_ENTRIES_EXITS</x:v>
      </x:c>
      <x:c r="J527" s="19" t="str">
        <x:v>東海道線</x:v>
      </x:c>
      <x:c r="K527" s="18" t="str">
        <x:v>transport-node:d938c085-8b77-5d94-b73d-349a28f32272</x:v>
      </x:c>
      <x:c r="L527" s="19" t="str">
        <x:v>组件待审核</x:v>
      </x:c>
      <x:c r="M527" s="21" t="n">
        <x:v>35.24608</x:v>
      </x:c>
      <x:c r="N527" s="21" t="n">
        <x:v>136.248015</x:v>
      </x:c>
      <x:c r="O527" s="18" t="str">
        <x:v>005249</x:v>
      </x:c>
      <x:c r="P527" s="18" t="str">
        <x:v>東海道線</x:v>
      </x:c>
      <x:c r="Q527" s="19" t="str">
        <x:v>S12_061_GE_10000</x:v>
      </x:c>
      <x:c r="R527" s="19" t="str">
        <x:v>S12_061 usage threshold</x:v>
      </x:c>
      <x:c r="S527" s="19" t="str">
        <x:v>https://nlftp.mlit.go.jp/ksj/gml/datalist/KsjTmplt-S12-2024.html</x:v>
      </x:c>
      <x:c r="T527" s="19" t="str">
        <x:v>https://nlftp.mlit.go.jp/ksj/gml/datalist/KsjTmplt-S12-2024.html</x:v>
      </x:c>
      <x:c r="U527" s="19" t="str">
        <x:v>station-component|南彦根|西日本旅客鉄道|conventional_rail|35.2461|136.2480|</x:v>
      </x:c>
      <x:c r="V527" s="19" t="str">
        <x:v>005249 / 005249 / 東海道線</x:v>
      </x:c>
      <x:c r="W527" s="18" t="str">
        <x:v>否</x:v>
      </x:c>
      <x:c r="X527" s="18" t="str">
        <x:v>0785e932a32b3ec15e1a1345537ae145eafe1c07bf38d5c16c11ee2b391e7a28</x:v>
      </x:c>
      <x:c r="Y527" s="20" t="n">
        <x:v>1</x:v>
      </x:c>
      <x:c r="Z527" s="20" t="n">
        <x:v>1</x:v>
      </x:c>
      <x:c r="AA527" s="19"/>
      <x:c r="AB527" s="18"/>
      <x:c r="AC527" s="19"/>
    </x:row>
    <x:row r="528" ht="33" customHeight="1">
      <x:c r="A528" s="18" t="str">
        <x:v>南方</x:v>
      </x:c>
      <x:c r="B528" s="18" t="str">
        <x:v>阪急電鉄</x:v>
      </x:c>
      <x:c r="C528" s="18" t="str">
        <x:v>private_rail</x:v>
      </x:c>
      <x:c r="D528" s="19" t="str">
        <x:v>T2</x:v>
      </x:c>
      <x:c r="E528" s="20" t="n">
        <x:v>34032</x:v>
      </x:c>
      <x:c r="F528" s="18" t="str">
        <x:v>persons/day</x:v>
      </x:c>
      <x:c r="G528" s="18" t="str">
        <x:v>FY2024</x:v>
      </x:c>
      <x:c r="H528" s="18" t="str">
        <x:v>否</x:v>
      </x:c>
      <x:c r="I528" s="19" t="str">
        <x:v>DAILY_ENTRIES_EXITS</x:v>
      </x:c>
      <x:c r="J528" s="19" t="str">
        <x:v>京都線</x:v>
      </x:c>
      <x:c r="K528" s="18" t="str">
        <x:v>transport-node:e132aa31-95b6-5b73-bcff-81c5953f6f63</x:v>
      </x:c>
      <x:c r="L528" s="19" t="str">
        <x:v>组件待审核</x:v>
      </x:c>
      <x:c r="M528" s="21" t="n">
        <x:v>34.72571</x:v>
      </x:c>
      <x:c r="N528" s="21" t="n">
        <x:v>135.499295</x:v>
      </x:c>
      <x:c r="O528" s="18" t="str">
        <x:v>006948</x:v>
      </x:c>
      <x:c r="P528" s="18" t="str">
        <x:v>京都線</x:v>
      </x:c>
      <x:c r="Q528" s="19" t="str">
        <x:v>S12_061_GE_10000
OFFICIAL_HUB_COMPONENT_REVIEW</x:v>
      </x:c>
      <x:c r="R528" s="19" t="str">
        <x:v>S12_061 usage threshold</x:v>
      </x:c>
      <x:c r="S528" s="19" t="str">
        <x:v>https://nlftp.mlit.go.jp/ksj/gml/datalist/KsjTmplt-S12-2024.html</x:v>
      </x:c>
      <x:c r="T528" s="19" t="str">
        <x:v>https://nlftp.mlit.go.jp/ksj/gml/datalist/KsjTmplt-S12-2024.html
https://subway.osakametro.co.jp/station_guide/M/m14/index.php</x:v>
      </x:c>
      <x:c r="U528" s="19" t="str">
        <x:v>station-component|南方|阪急電鉄|private_rail|34.7257|135.4993|</x:v>
      </x:c>
      <x:c r="V528" s="19" t="str">
        <x:v>006948 / 006948 / 京都線</x:v>
      </x:c>
      <x:c r="W528" s="18" t="str">
        <x:v>否</x:v>
      </x:c>
      <x:c r="X528" s="18" t="str">
        <x:v>0785e932a32b3ec15e1a1345537ae145eafe1c07bf38d5c16c11ee2b391e7a28</x:v>
      </x:c>
      <x:c r="Y528" s="20" t="n">
        <x:v>1</x:v>
      </x:c>
      <x:c r="Z528" s="20" t="n">
        <x:v>1</x:v>
      </x:c>
      <x:c r="AA528" s="19" t="str">
        <x:v>西中島南方・南方</x:v>
      </x:c>
      <x:c r="AB528" s="18" t="str">
        <x:v>transport-hub-review:aa489796-0024-524c-8d16-92039b2e4d8a</x:v>
      </x:c>
      <x:c r="AC528" s="19"/>
    </x:row>
    <x:row r="529" ht="28" customHeight="1">
      <x:c r="A529" s="18" t="str">
        <x:v>南林間</x:v>
      </x:c>
      <x:c r="B529" s="18" t="str">
        <x:v>小田急電鉄</x:v>
      </x:c>
      <x:c r="C529" s="18" t="str">
        <x:v>private_rail</x:v>
      </x:c>
      <x:c r="D529" s="19" t="str">
        <x:v>T2</x:v>
      </x:c>
      <x:c r="E529" s="20" t="n">
        <x:v>30634</x:v>
      </x:c>
      <x:c r="F529" s="18" t="str">
        <x:v>persons/day</x:v>
      </x:c>
      <x:c r="G529" s="18" t="str">
        <x:v>FY2024</x:v>
      </x:c>
      <x:c r="H529" s="18" t="str">
        <x:v>否</x:v>
      </x:c>
      <x:c r="I529" s="19" t="str">
        <x:v>DAILY_ENTRIES_EXITS</x:v>
      </x:c>
      <x:c r="J529" s="19" t="str">
        <x:v>江ノ島線</x:v>
      </x:c>
      <x:c r="K529" s="18" t="str">
        <x:v>transport-node:0dd4b79e-754c-565a-a15c-c70ede368fc4</x:v>
      </x:c>
      <x:c r="L529" s="19" t="str">
        <x:v>组件待审核</x:v>
      </x:c>
      <x:c r="M529" s="21" t="n">
        <x:v>35.4956</x:v>
      </x:c>
      <x:c r="N529" s="21" t="n">
        <x:v>139.448005</x:v>
      </x:c>
      <x:c r="O529" s="18" t="str">
        <x:v>004537</x:v>
      </x:c>
      <x:c r="P529" s="18" t="str">
        <x:v>江ノ島線</x:v>
      </x:c>
      <x:c r="Q529" s="19" t="str">
        <x:v>S12_061_GE_10000</x:v>
      </x:c>
      <x:c r="R529" s="19" t="str">
        <x:v>S12_061 usage threshold</x:v>
      </x:c>
      <x:c r="S529" s="19" t="str">
        <x:v>https://nlftp.mlit.go.jp/ksj/gml/datalist/KsjTmplt-S12-2024.html</x:v>
      </x:c>
      <x:c r="T529" s="19" t="str">
        <x:v>https://nlftp.mlit.go.jp/ksj/gml/datalist/KsjTmplt-S12-2024.html</x:v>
      </x:c>
      <x:c r="U529" s="19" t="str">
        <x:v>station-component|南林間|小田急電鉄|private_rail|35.4956|139.4480|</x:v>
      </x:c>
      <x:c r="V529" s="19" t="str">
        <x:v>004537 / 004537 / 江ノ島線</x:v>
      </x:c>
      <x:c r="W529" s="18" t="str">
        <x:v>否</x:v>
      </x:c>
      <x:c r="X529" s="18" t="str">
        <x:v>0785e932a32b3ec15e1a1345537ae145eafe1c07bf38d5c16c11ee2b391e7a28</x:v>
      </x:c>
      <x:c r="Y529" s="20" t="n">
        <x:v>1</x:v>
      </x:c>
      <x:c r="Z529" s="20" t="n">
        <x:v>1</x:v>
      </x:c>
      <x:c r="AA529" s="19"/>
      <x:c r="AB529" s="18"/>
      <x:c r="AC529" s="19"/>
    </x:row>
    <x:row r="530" ht="28" customHeight="1">
      <x:c r="A530" s="18" t="str">
        <x:v>南柏</x:v>
      </x:c>
      <x:c r="B530" s="18" t="str">
        <x:v>東日本旅客鉄道</x:v>
      </x:c>
      <x:c r="C530" s="18" t="str">
        <x:v>conventional_rail</x:v>
      </x:c>
      <x:c r="D530" s="19" t="str">
        <x:v>T1</x:v>
      </x:c>
      <x:c r="E530" s="20" t="n">
        <x:v>61052</x:v>
      </x:c>
      <x:c r="F530" s="18" t="str">
        <x:v>persons/day</x:v>
      </x:c>
      <x:c r="G530" s="18" t="str">
        <x:v>FY2024</x:v>
      </x:c>
      <x:c r="H530" s="18" t="str">
        <x:v>否</x:v>
      </x:c>
      <x:c r="I530" s="19" t="str">
        <x:v>DAILY_ENTRIES_EXITS</x:v>
      </x:c>
      <x:c r="J530" s="19" t="str">
        <x:v>常磐線</x:v>
      </x:c>
      <x:c r="K530" s="18" t="str">
        <x:v>transport-node:26e75d45-c98d-5c97-bbe4-d78c0ca374fc</x:v>
      </x:c>
      <x:c r="L530" s="19" t="str">
        <x:v>组件待审核</x:v>
      </x:c>
      <x:c r="M530" s="21" t="n">
        <x:v>35.844645</x:v>
      </x:c>
      <x:c r="N530" s="21" t="n">
        <x:v>139.9541925</x:v>
      </x:c>
      <x:c r="O530" s="18" t="str">
        <x:v>003012</x:v>
      </x:c>
      <x:c r="P530" s="18" t="str">
        <x:v>常磐線</x:v>
      </x:c>
      <x:c r="Q530" s="19" t="str">
        <x:v>S12_061_GE_10000</x:v>
      </x:c>
      <x:c r="R530" s="19" t="str">
        <x:v>S12_061 usage threshold</x:v>
      </x:c>
      <x:c r="S530" s="19" t="str">
        <x:v>https://nlftp.mlit.go.jp/ksj/gml/datalist/KsjTmplt-S12-2024.html</x:v>
      </x:c>
      <x:c r="T530" s="19" t="str">
        <x:v>https://nlftp.mlit.go.jp/ksj/gml/datalist/KsjTmplt-S12-2024.html</x:v>
      </x:c>
      <x:c r="U530" s="19" t="str">
        <x:v>station-component|南柏|東日本旅客鉄道|conventional_rail|35.8446|139.9542|</x:v>
      </x:c>
      <x:c r="V530" s="19" t="str">
        <x:v>003012 / 003012 / 常磐線</x:v>
      </x:c>
      <x:c r="W530" s="18" t="str">
        <x:v>否</x:v>
      </x:c>
      <x:c r="X530" s="18" t="str">
        <x:v>0785e932a32b3ec15e1a1345537ae145eafe1c07bf38d5c16c11ee2b391e7a28</x:v>
      </x:c>
      <x:c r="Y530" s="20" t="n">
        <x:v>1</x:v>
      </x:c>
      <x:c r="Z530" s="20" t="n">
        <x:v>1</x:v>
      </x:c>
      <x:c r="AA530" s="19"/>
      <x:c r="AB530" s="18"/>
      <x:c r="AC530" s="19"/>
    </x:row>
    <x:row r="531" ht="28" customHeight="1">
      <x:c r="A531" s="18" t="str">
        <x:v>南桜井</x:v>
      </x:c>
      <x:c r="B531" s="18" t="str">
        <x:v>東武鉄道</x:v>
      </x:c>
      <x:c r="C531" s="18" t="str">
        <x:v>private_rail</x:v>
      </x:c>
      <x:c r="D531" s="19" t="str">
        <x:v>T2</x:v>
      </x:c>
      <x:c r="E531" s="20" t="n">
        <x:v>13448</x:v>
      </x:c>
      <x:c r="F531" s="18" t="str">
        <x:v>persons/day</x:v>
      </x:c>
      <x:c r="G531" s="18" t="str">
        <x:v>FY2024</x:v>
      </x:c>
      <x:c r="H531" s="18" t="str">
        <x:v>否</x:v>
      </x:c>
      <x:c r="I531" s="19" t="str">
        <x:v>DAILY_ENTRIES_EXITS</x:v>
      </x:c>
      <x:c r="J531" s="19" t="str">
        <x:v>野田線</x:v>
      </x:c>
      <x:c r="K531" s="18" t="str">
        <x:v>transport-node:76b6a358-d08e-50a4-8ea1-84ca01033eb4</x:v>
      </x:c>
      <x:c r="L531" s="19" t="str">
        <x:v>组件待审核</x:v>
      </x:c>
      <x:c r="M531" s="21" t="n">
        <x:v>35.9806</x:v>
      </x:c>
      <x:c r="N531" s="21" t="n">
        <x:v>139.808395</x:v>
      </x:c>
      <x:c r="O531" s="18" t="str">
        <x:v>002783</x:v>
      </x:c>
      <x:c r="P531" s="18" t="str">
        <x:v>野田線</x:v>
      </x:c>
      <x:c r="Q531" s="19" t="str">
        <x:v>S12_061_GE_10000</x:v>
      </x:c>
      <x:c r="R531" s="19" t="str">
        <x:v>S12_061 usage threshold</x:v>
      </x:c>
      <x:c r="S531" s="19" t="str">
        <x:v>https://nlftp.mlit.go.jp/ksj/gml/datalist/KsjTmplt-S12-2024.html</x:v>
      </x:c>
      <x:c r="T531" s="19" t="str">
        <x:v>https://nlftp.mlit.go.jp/ksj/gml/datalist/KsjTmplt-S12-2024.html</x:v>
      </x:c>
      <x:c r="U531" s="19" t="str">
        <x:v>station-component|南桜井|東武鉄道|private_rail|35.9806|139.8084|</x:v>
      </x:c>
      <x:c r="V531" s="19" t="str">
        <x:v>002783 / 002783 / 野田線</x:v>
      </x:c>
      <x:c r="W531" s="18" t="str">
        <x:v>否</x:v>
      </x:c>
      <x:c r="X531" s="18" t="str">
        <x:v>0785e932a32b3ec15e1a1345537ae145eafe1c07bf38d5c16c11ee2b391e7a28</x:v>
      </x:c>
      <x:c r="Y531" s="20" t="n">
        <x:v>1</x:v>
      </x:c>
      <x:c r="Z531" s="20" t="n">
        <x:v>1</x:v>
      </x:c>
      <x:c r="AA531" s="19"/>
      <x:c r="AB531" s="18"/>
      <x:c r="AC531" s="19"/>
    </x:row>
    <x:row r="532" ht="33" customHeight="1">
      <x:c r="A532" s="18" t="str">
        <x:v>南森町</x:v>
      </x:c>
      <x:c r="B532" s="18" t="str">
        <x:v>大阪市高速電気軌道</x:v>
      </x:c>
      <x:c r="C532" s="18" t="str">
        <x:v>metro</x:v>
      </x:c>
      <x:c r="D532" s="19" t="str">
        <x:v>T1</x:v>
      </x:c>
      <x:c r="E532" s="20" t="n">
        <x:v>81658</x:v>
      </x:c>
      <x:c r="F532" s="18" t="str">
        <x:v>persons/day</x:v>
      </x:c>
      <x:c r="G532" s="18" t="str">
        <x:v>FY2024</x:v>
      </x:c>
      <x:c r="H532" s="18" t="str">
        <x:v>否</x:v>
      </x:c>
      <x:c r="I532" s="19" t="str">
        <x:v>DAILY_ENTRIES_EXITS</x:v>
      </x:c>
      <x:c r="J532" s="19" t="str">
        <x:v>2号線(谷町線)
6号線(堺筋線)</x:v>
      </x:c>
      <x:c r="K532" s="18" t="str">
        <x:v>transport-node:a66637e3-d28b-578a-bc27-ee971d8a61b8</x:v>
      </x:c>
      <x:c r="L532" s="19" t="str">
        <x:v>组件待审核</x:v>
      </x:c>
      <x:c r="M532" s="21" t="n">
        <x:v>34.69758</x:v>
      </x:c>
      <x:c r="N532" s="21" t="n">
        <x:v>135.5108867</x:v>
      </x:c>
      <x:c r="O532" s="18" t="str">
        <x:v>007089</x:v>
      </x:c>
      <x:c r="P532" s="18" t="str">
        <x:v>2号線(谷町線)</x:v>
      </x:c>
      <x:c r="Q532" s="19" t="str">
        <x:v>S12_061_GE_10000
OFFICIAL_HUB_COMPONENT_REVIEW</x:v>
      </x:c>
      <x:c r="R532" s="19" t="str">
        <x:v>S12_061 usage threshold</x:v>
      </x:c>
      <x:c r="S532" s="19" t="str">
        <x:v>https://nlftp.mlit.go.jp/ksj/gml/datalist/KsjTmplt-S12-2024.html</x:v>
      </x:c>
      <x:c r="T532" s="19" t="str">
        <x:v>https://nlftp.mlit.go.jp/ksj/gml/datalist/KsjTmplt-S12-2024.html
https://subway.osakametro.co.jp/station_guide/K/k13/index.php</x:v>
      </x:c>
      <x:c r="U532" s="19" t="str">
        <x:v>station-component|南森町|大阪市高速電気軌道|metro|34.6976|135.5109|</x:v>
      </x:c>
      <x:c r="V532" s="19" t="str">
        <x:v>007087 / 007087 / 6号線(堺筋線)
007087 / 007089 / 2号線(谷町線)</x:v>
      </x:c>
      <x:c r="W532" s="18" t="str">
        <x:v>否</x:v>
      </x:c>
      <x:c r="X532" s="18" t="str">
        <x:v>0785e932a32b3ec15e1a1345537ae145eafe1c07bf38d5c16c11ee2b391e7a28</x:v>
      </x:c>
      <x:c r="Y532" s="20" t="n">
        <x:v>1</x:v>
      </x:c>
      <x:c r="Z532" s="20" t="n">
        <x:v>1</x:v>
      </x:c>
      <x:c r="AA532" s="19" t="str">
        <x:v>南森町・大阪天満宮</x:v>
      </x:c>
      <x:c r="AB532" s="18" t="str">
        <x:v>transport-hub-review:a15fd3a0-2a06-5c01-b277-d2261be08fdb</x:v>
      </x:c>
      <x:c r="AC532" s="19"/>
    </x:row>
    <x:row r="533" ht="28" customHeight="1">
      <x:c r="A533" s="18" t="str">
        <x:v>南橋本</x:v>
      </x:c>
      <x:c r="B533" s="18" t="str">
        <x:v>東日本旅客鉄道</x:v>
      </x:c>
      <x:c r="C533" s="18" t="str">
        <x:v>conventional_rail</x:v>
      </x:c>
      <x:c r="D533" s="19" t="str">
        <x:v>T2</x:v>
      </x:c>
      <x:c r="E533" s="20" t="n">
        <x:v>10908</x:v>
      </x:c>
      <x:c r="F533" s="18" t="str">
        <x:v>persons/day</x:v>
      </x:c>
      <x:c r="G533" s="18" t="str">
        <x:v>FY2024</x:v>
      </x:c>
      <x:c r="H533" s="18" t="str">
        <x:v>否</x:v>
      </x:c>
      <x:c r="I533" s="19" t="str">
        <x:v>DAILY_ENTRIES_EXITS</x:v>
      </x:c>
      <x:c r="J533" s="19" t="str">
        <x:v>相模線</x:v>
      </x:c>
      <x:c r="K533" s="18" t="str">
        <x:v>transport-node:4830cc5a-c5a7-5466-8a7a-dd7b8c61e56b</x:v>
      </x:c>
      <x:c r="L533" s="19" t="str">
        <x:v>组件待审核</x:v>
      </x:c>
      <x:c r="M533" s="21" t="n">
        <x:v>35.5804</x:v>
      </x:c>
      <x:c r="N533" s="21" t="n">
        <x:v>139.35242</x:v>
      </x:c>
      <x:c r="O533" s="18" t="str">
        <x:v>004288</x:v>
      </x:c>
      <x:c r="P533" s="18" t="str">
        <x:v>相模線</x:v>
      </x:c>
      <x:c r="Q533" s="19" t="str">
        <x:v>S12_061_GE_10000</x:v>
      </x:c>
      <x:c r="R533" s="19" t="str">
        <x:v>S12_061 usage threshold</x:v>
      </x:c>
      <x:c r="S533" s="19" t="str">
        <x:v>https://nlftp.mlit.go.jp/ksj/gml/datalist/KsjTmplt-S12-2024.html</x:v>
      </x:c>
      <x:c r="T533" s="19" t="str">
        <x:v>https://nlftp.mlit.go.jp/ksj/gml/datalist/KsjTmplt-S12-2024.html</x:v>
      </x:c>
      <x:c r="U533" s="19" t="str">
        <x:v>station-component|南橋本|東日本旅客鉄道|conventional_rail|35.5804|139.3524|</x:v>
      </x:c>
      <x:c r="V533" s="19" t="str">
        <x:v>004288 / 004288 / 相模線</x:v>
      </x:c>
      <x:c r="W533" s="18" t="str">
        <x:v>否</x:v>
      </x:c>
      <x:c r="X533" s="18" t="str">
        <x:v>0785e932a32b3ec15e1a1345537ae145eafe1c07bf38d5c16c11ee2b391e7a28</x:v>
      </x:c>
      <x:c r="Y533" s="20" t="n">
        <x:v>1</x:v>
      </x:c>
      <x:c r="Z533" s="20" t="n">
        <x:v>1</x:v>
      </x:c>
      <x:c r="AA533" s="19"/>
      <x:c r="AB533" s="18"/>
      <x:c r="AC533" s="19"/>
    </x:row>
    <x:row r="534" ht="33" customHeight="1">
      <x:c r="A534" s="18" t="str">
        <x:v>南流山</x:v>
      </x:c>
      <x:c r="B534" s="18" t="str">
        <x:v>東日本旅客鉄道</x:v>
      </x:c>
      <x:c r="C534" s="18" t="str">
        <x:v>conventional_rail</x:v>
      </x:c>
      <x:c r="D534" s="19" t="str">
        <x:v>T1</x:v>
      </x:c>
      <x:c r="E534" s="20" t="n">
        <x:v>74384</x:v>
      </x:c>
      <x:c r="F534" s="18" t="str">
        <x:v>persons/day</x:v>
      </x:c>
      <x:c r="G534" s="18" t="str">
        <x:v>FY2024</x:v>
      </x:c>
      <x:c r="H534" s="18" t="str">
        <x:v>否</x:v>
      </x:c>
      <x:c r="I534" s="19" t="str">
        <x:v>DAILY_ENTRIES_EXITS</x:v>
      </x:c>
      <x:c r="J534" s="19" t="str">
        <x:v>武蔵野線</x:v>
      </x:c>
      <x:c r="K534" s="18" t="str">
        <x:v>transport-node:1816f227-7c97-5c98-ad23-7fa613d62d6c</x:v>
      </x:c>
      <x:c r="L534" s="19" t="str">
        <x:v>组件待审核</x:v>
      </x:c>
      <x:c r="M534" s="21" t="n">
        <x:v>35.837845</x:v>
      </x:c>
      <x:c r="N534" s="21" t="n">
        <x:v>139.90423</x:v>
      </x:c>
      <x:c r="O534" s="18" t="str">
        <x:v>003027</x:v>
      </x:c>
      <x:c r="P534" s="18" t="str">
        <x:v>武蔵野線</x:v>
      </x:c>
      <x:c r="Q534" s="19" t="str">
        <x:v>S12_061_GE_10000
OFFICIAL_HUB_COMPONENT_REVIEW</x:v>
      </x:c>
      <x:c r="R534" s="19" t="str">
        <x:v>S12_061 usage threshold</x:v>
      </x:c>
      <x:c r="S534" s="19" t="str">
        <x:v>https://nlftp.mlit.go.jp/ksj/gml/datalist/KsjTmplt-S12-2024.html</x:v>
      </x:c>
      <x:c r="T534" s="19" t="str">
        <x:v>https://nlftp.mlit.go.jp/ksj/gml/datalist/KsjTmplt-S12-2024.html
https://www.mir.co.jp/route_map/minami-nagareyama/</x:v>
      </x:c>
      <x:c r="U534" s="19" t="str">
        <x:v>station-component|南流山|東日本旅客鉄道|conventional_rail|35.8378|139.9042|</x:v>
      </x:c>
      <x:c r="V534" s="19" t="str">
        <x:v>003024 / 003027 / 武蔵野線</x:v>
      </x:c>
      <x:c r="W534" s="18" t="str">
        <x:v>否</x:v>
      </x:c>
      <x:c r="X534" s="18" t="str">
        <x:v>0785e932a32b3ec15e1a1345537ae145eafe1c07bf38d5c16c11ee2b391e7a28</x:v>
      </x:c>
      <x:c r="Y534" s="20" t="n">
        <x:v>1</x:v>
      </x:c>
      <x:c r="Z534" s="20" t="n">
        <x:v>1</x:v>
      </x:c>
      <x:c r="AA534" s="19" t="str">
        <x:v>南流山</x:v>
      </x:c>
      <x:c r="AB534" s="18" t="str">
        <x:v>transport-hub-review:5158114f-3f73-525f-ae00-c0d9fbaf26c2</x:v>
      </x:c>
      <x:c r="AC534" s="19"/>
    </x:row>
    <x:row r="535" ht="33" customHeight="1">
      <x:c r="A535" s="18" t="str">
        <x:v>南流山</x:v>
      </x:c>
      <x:c r="B535" s="18" t="str">
        <x:v>首都圏新都市鉄道</x:v>
      </x:c>
      <x:c r="C535" s="18" t="str">
        <x:v>private_rail</x:v>
      </x:c>
      <x:c r="D535" s="19" t="str">
        <x:v>T1</x:v>
      </x:c>
      <x:c r="E535" s="20" t="n">
        <x:v>78095</x:v>
      </x:c>
      <x:c r="F535" s="18" t="str">
        <x:v>persons/day</x:v>
      </x:c>
      <x:c r="G535" s="18" t="str">
        <x:v>FY2024</x:v>
      </x:c>
      <x:c r="H535" s="18" t="str">
        <x:v>否</x:v>
      </x:c>
      <x:c r="I535" s="19" t="str">
        <x:v>DAILY_ENTRIES_EXITS</x:v>
      </x:c>
      <x:c r="J535" s="19" t="str">
        <x:v>常磐新線</x:v>
      </x:c>
      <x:c r="K535" s="18" t="str">
        <x:v>transport-node:4f863bbc-4432-5512-a9e1-33f596045918</x:v>
      </x:c>
      <x:c r="L535" s="19" t="str">
        <x:v>组件待审核</x:v>
      </x:c>
      <x:c r="M535" s="21" t="n">
        <x:v>35.83843</x:v>
      </x:c>
      <x:c r="N535" s="21" t="n">
        <x:v>139.902795</x:v>
      </x:c>
      <x:c r="O535" s="18" t="str">
        <x:v>003024</x:v>
      </x:c>
      <x:c r="P535" s="18" t="str">
        <x:v>常磐新線</x:v>
      </x:c>
      <x:c r="Q535" s="19" t="str">
        <x:v>S12_061_GE_10000
OFFICIAL_HUB_COMPONENT_REVIEW</x:v>
      </x:c>
      <x:c r="R535" s="19" t="str">
        <x:v>S12_061 usage threshold</x:v>
      </x:c>
      <x:c r="S535" s="19" t="str">
        <x:v>https://nlftp.mlit.go.jp/ksj/gml/datalist/KsjTmplt-S12-2024.html</x:v>
      </x:c>
      <x:c r="T535" s="19" t="str">
        <x:v>https://nlftp.mlit.go.jp/ksj/gml/datalist/KsjTmplt-S12-2024.html
https://www.mir.co.jp/route_map/minami-nagareyama/</x:v>
      </x:c>
      <x:c r="U535" s="19" t="str">
        <x:v>station-component|南流山|首都圏新都市鉄道|private_rail|35.8384|139.9028|</x:v>
      </x:c>
      <x:c r="V535" s="19" t="str">
        <x:v>003024 / 003024 / 常磐新線</x:v>
      </x:c>
      <x:c r="W535" s="18" t="str">
        <x:v>否</x:v>
      </x:c>
      <x:c r="X535" s="18" t="str">
        <x:v>0785e932a32b3ec15e1a1345537ae145eafe1c07bf38d5c16c11ee2b391e7a28</x:v>
      </x:c>
      <x:c r="Y535" s="20" t="n">
        <x:v>1</x:v>
      </x:c>
      <x:c r="Z535" s="20" t="n">
        <x:v>1</x:v>
      </x:c>
      <x:c r="AA535" s="19" t="str">
        <x:v>南流山</x:v>
      </x:c>
      <x:c r="AB535" s="18" t="str">
        <x:v>transport-hub-review:5158114f-3f73-525f-ae00-c0d9fbaf26c2</x:v>
      </x:c>
      <x:c r="AC535" s="19"/>
    </x:row>
    <x:row r="536" ht="33" customHeight="1">
      <x:c r="A536" s="18" t="str">
        <x:v>南浦和</x:v>
      </x:c>
      <x:c r="B536" s="18" t="str">
        <x:v>東日本旅客鉄道</x:v>
      </x:c>
      <x:c r="C536" s="18" t="str">
        <x:v>conventional_rail</x:v>
      </x:c>
      <x:c r="D536" s="19" t="str">
        <x:v>T1</x:v>
      </x:c>
      <x:c r="E536" s="20" t="n">
        <x:v>110620</x:v>
      </x:c>
      <x:c r="F536" s="18" t="str">
        <x:v>persons/day</x:v>
      </x:c>
      <x:c r="G536" s="18" t="str">
        <x:v>FY2024</x:v>
      </x:c>
      <x:c r="H536" s="18" t="str">
        <x:v>否</x:v>
      </x:c>
      <x:c r="I536" s="19" t="str">
        <x:v>DAILY_ENTRIES_EXITS</x:v>
      </x:c>
      <x:c r="J536" s="19" t="str">
        <x:v>東北線
武蔵野線</x:v>
      </x:c>
      <x:c r="K536" s="18" t="str">
        <x:v>transport-node:ffc7dacd-e487-5094-b506-eb17fe11f5de</x:v>
      </x:c>
      <x:c r="L536" s="19" t="str">
        <x:v>组件待审核</x:v>
      </x:c>
      <x:c r="M536" s="21" t="n">
        <x:v>35.847585</x:v>
      </x:c>
      <x:c r="N536" s="21" t="n">
        <x:v>139.66894</x:v>
      </x:c>
      <x:c r="O536" s="18" t="str">
        <x:v>003005</x:v>
      </x:c>
      <x:c r="P536" s="18" t="str">
        <x:v>武蔵野線</x:v>
      </x:c>
      <x:c r="Q536" s="19" t="str">
        <x:v>S12_061_GE_10000</x:v>
      </x:c>
      <x:c r="R536" s="19" t="str">
        <x:v>S12_061 usage threshold</x:v>
      </x:c>
      <x:c r="S536" s="19" t="str">
        <x:v>https://nlftp.mlit.go.jp/ksj/gml/datalist/KsjTmplt-S12-2024.html</x:v>
      </x:c>
      <x:c r="T536" s="19" t="str">
        <x:v>https://nlftp.mlit.go.jp/ksj/gml/datalist/KsjTmplt-S12-2024.html</x:v>
      </x:c>
      <x:c r="U536" s="19" t="str">
        <x:v>station-component|南浦和|東日本旅客鉄道|conventional_rail|35.8476|139.6689|</x:v>
      </x:c>
      <x:c r="V536" s="19" t="str">
        <x:v>003004 / 003004 / 東北線
003004 / 003005 / 武蔵野線</x:v>
      </x:c>
      <x:c r="W536" s="18" t="str">
        <x:v>否</x:v>
      </x:c>
      <x:c r="X536" s="18" t="str">
        <x:v>0785e932a32b3ec15e1a1345537ae145eafe1c07bf38d5c16c11ee2b391e7a28</x:v>
      </x:c>
      <x:c r="Y536" s="20" t="n">
        <x:v>1</x:v>
      </x:c>
      <x:c r="Z536" s="20" t="n">
        <x:v>1</x:v>
      </x:c>
      <x:c r="AA536" s="19"/>
      <x:c r="AB536" s="18"/>
      <x:c r="AC536" s="19"/>
    </x:row>
    <x:row r="537" ht="28" customHeight="1">
      <x:c r="A537" s="18" t="str">
        <x:v>南町田グランベリーパーク</x:v>
      </x:c>
      <x:c r="B537" s="18" t="str">
        <x:v>東急電鉄</x:v>
      </x:c>
      <x:c r="C537" s="18" t="str">
        <x:v>private_rail</x:v>
      </x:c>
      <x:c r="D537" s="19" t="str">
        <x:v>T2</x:v>
      </x:c>
      <x:c r="E537" s="20" t="n">
        <x:v>46967</x:v>
      </x:c>
      <x:c r="F537" s="18" t="str">
        <x:v>persons/day</x:v>
      </x:c>
      <x:c r="G537" s="18" t="str">
        <x:v>FY2024</x:v>
      </x:c>
      <x:c r="H537" s="18" t="str">
        <x:v>否</x:v>
      </x:c>
      <x:c r="I537" s="19" t="str">
        <x:v>DAILY_ENTRIES_EXITS</x:v>
      </x:c>
      <x:c r="J537" s="19" t="str">
        <x:v>田園都市線</x:v>
      </x:c>
      <x:c r="K537" s="18" t="str">
        <x:v>transport-node:3a1e7c0a-c4cc-5680-9fe3-3cdd7d3c751e</x:v>
      </x:c>
      <x:c r="L537" s="19" t="str">
        <x:v>组件待审核</x:v>
      </x:c>
      <x:c r="M537" s="21" t="n">
        <x:v>35.511515</x:v>
      </x:c>
      <x:c r="N537" s="21" t="n">
        <x:v>139.47044</x:v>
      </x:c>
      <x:c r="O537" s="18" t="str">
        <x:v>004484</x:v>
      </x:c>
      <x:c r="P537" s="18" t="str">
        <x:v>田園都市線</x:v>
      </x:c>
      <x:c r="Q537" s="19" t="str">
        <x:v>S12_061_GE_10000</x:v>
      </x:c>
      <x:c r="R537" s="19" t="str">
        <x:v>S12_061 usage threshold</x:v>
      </x:c>
      <x:c r="S537" s="19" t="str">
        <x:v>https://nlftp.mlit.go.jp/ksj/gml/datalist/KsjTmplt-S12-2024.html</x:v>
      </x:c>
      <x:c r="T537" s="19" t="str">
        <x:v>https://nlftp.mlit.go.jp/ksj/gml/datalist/KsjTmplt-S12-2024.html</x:v>
      </x:c>
      <x:c r="U537" s="19" t="str">
        <x:v>station-component|南町田グランベリーパーク|東急電鉄|private_rail|35.5115|139.4704|</x:v>
      </x:c>
      <x:c r="V537" s="19" t="str">
        <x:v>004484 / 004484 / 田園都市線</x:v>
      </x:c>
      <x:c r="W537" s="18" t="str">
        <x:v>否</x:v>
      </x:c>
      <x:c r="X537" s="18" t="str">
        <x:v>0785e932a32b3ec15e1a1345537ae145eafe1c07bf38d5c16c11ee2b391e7a28</x:v>
      </x:c>
      <x:c r="Y537" s="20" t="n">
        <x:v>1</x:v>
      </x:c>
      <x:c r="Z537" s="20" t="n">
        <x:v>1</x:v>
      </x:c>
      <x:c r="AA537" s="19"/>
      <x:c r="AB537" s="18"/>
      <x:c r="AC537" s="19"/>
    </x:row>
    <x:row r="538" ht="28" customHeight="1">
      <x:c r="A538" s="18" t="str">
        <x:v>南砂町</x:v>
      </x:c>
      <x:c r="B538" s="18" t="str">
        <x:v>東京地下鉄</x:v>
      </x:c>
      <x:c r="C538" s="18" t="str">
        <x:v>metro</x:v>
      </x:c>
      <x:c r="D538" s="19" t="str">
        <x:v>T1</x:v>
      </x:c>
      <x:c r="E538" s="20" t="n">
        <x:v>59562</x:v>
      </x:c>
      <x:c r="F538" s="18" t="str">
        <x:v>persons/day</x:v>
      </x:c>
      <x:c r="G538" s="18" t="str">
        <x:v>FY2024</x:v>
      </x:c>
      <x:c r="H538" s="18" t="str">
        <x:v>否</x:v>
      </x:c>
      <x:c r="I538" s="19" t="str">
        <x:v>DAILY_ENTRIES_EXITS</x:v>
      </x:c>
      <x:c r="J538" s="19" t="str">
        <x:v>5号線東西線</x:v>
      </x:c>
      <x:c r="K538" s="18" t="str">
        <x:v>transport-node:0e5141cf-646a-5b45-9b3f-7437bd791471</x:v>
      </x:c>
      <x:c r="L538" s="19" t="str">
        <x:v>组件待审核</x:v>
      </x:c>
      <x:c r="M538" s="21" t="n">
        <x:v>35.668415</x:v>
      </x:c>
      <x:c r="N538" s="21" t="n">
        <x:v>139.831695</x:v>
      </x:c>
      <x:c r="O538" s="18" t="str">
        <x:v>003854</x:v>
      </x:c>
      <x:c r="P538" s="18" t="str">
        <x:v>5号線東西線</x:v>
      </x:c>
      <x:c r="Q538" s="19" t="str">
        <x:v>S12_061_GE_10000</x:v>
      </x:c>
      <x:c r="R538" s="19" t="str">
        <x:v>S12_061 usage threshold</x:v>
      </x:c>
      <x:c r="S538" s="19" t="str">
        <x:v>https://nlftp.mlit.go.jp/ksj/gml/datalist/KsjTmplt-S12-2024.html</x:v>
      </x:c>
      <x:c r="T538" s="19" t="str">
        <x:v>https://nlftp.mlit.go.jp/ksj/gml/datalist/KsjTmplt-S12-2024.html</x:v>
      </x:c>
      <x:c r="U538" s="19" t="str">
        <x:v>station-component|南砂町|東京地下鉄|metro|35.6684|139.8317|</x:v>
      </x:c>
      <x:c r="V538" s="19" t="str">
        <x:v>003854 / 003854 / 5号線東西線</x:v>
      </x:c>
      <x:c r="W538" s="18" t="str">
        <x:v>否</x:v>
      </x:c>
      <x:c r="X538" s="18" t="str">
        <x:v>0785e932a32b3ec15e1a1345537ae145eafe1c07bf38d5c16c11ee2b391e7a28</x:v>
      </x:c>
      <x:c r="Y538" s="20" t="n">
        <x:v>1</x:v>
      </x:c>
      <x:c r="Z538" s="20" t="n">
        <x:v>1</x:v>
      </x:c>
      <x:c r="AA538" s="19"/>
      <x:c r="AB538" s="18"/>
      <x:c r="AC538" s="19"/>
    </x:row>
    <x:row r="539" ht="28" customHeight="1">
      <x:c r="A539" s="18" t="str">
        <x:v>南福岡</x:v>
      </x:c>
      <x:c r="B539" s="18" t="str">
        <x:v>九州旅客鉄道</x:v>
      </x:c>
      <x:c r="C539" s="18" t="str">
        <x:v>conventional_rail</x:v>
      </x:c>
      <x:c r="D539" s="19" t="str">
        <x:v>T2</x:v>
      </x:c>
      <x:c r="E539" s="20" t="n">
        <x:v>19712</x:v>
      </x:c>
      <x:c r="F539" s="18" t="str">
        <x:v>persons/day</x:v>
      </x:c>
      <x:c r="G539" s="18" t="str">
        <x:v>FY2024</x:v>
      </x:c>
      <x:c r="H539" s="18" t="str">
        <x:v>否</x:v>
      </x:c>
      <x:c r="I539" s="19" t="str">
        <x:v>DAILY_ENTRIES_EXITS</x:v>
      </x:c>
      <x:c r="J539" s="19" t="str">
        <x:v>鹿児島線</x:v>
      </x:c>
      <x:c r="K539" s="18" t="str">
        <x:v>transport-node:80b82938-7a92-5712-91c4-3eecebf7a3ca</x:v>
      </x:c>
      <x:c r="L539" s="19" t="str">
        <x:v>组件待审核</x:v>
      </x:c>
      <x:c r="M539" s="21" t="n">
        <x:v>33.54217</x:v>
      </x:c>
      <x:c r="N539" s="21" t="n">
        <x:v>130.460355</x:v>
      </x:c>
      <x:c r="O539" s="18" t="str">
        <x:v>009198</x:v>
      </x:c>
      <x:c r="P539" s="18" t="str">
        <x:v>鹿児島線</x:v>
      </x:c>
      <x:c r="Q539" s="19" t="str">
        <x:v>S12_061_GE_10000</x:v>
      </x:c>
      <x:c r="R539" s="19" t="str">
        <x:v>S12_061 usage threshold</x:v>
      </x:c>
      <x:c r="S539" s="19" t="str">
        <x:v>https://nlftp.mlit.go.jp/ksj/gml/datalist/KsjTmplt-S12-2024.html</x:v>
      </x:c>
      <x:c r="T539" s="19" t="str">
        <x:v>https://nlftp.mlit.go.jp/ksj/gml/datalist/KsjTmplt-S12-2024.html</x:v>
      </x:c>
      <x:c r="U539" s="19" t="str">
        <x:v>station-component|南福岡|九州旅客鉄道|conventional_rail|33.5422|130.4604|</x:v>
      </x:c>
      <x:c r="V539" s="19" t="str">
        <x:v>009198 / 009198 / 鹿児島線</x:v>
      </x:c>
      <x:c r="W539" s="18" t="str">
        <x:v>否</x:v>
      </x:c>
      <x:c r="X539" s="18" t="str">
        <x:v>0785e932a32b3ec15e1a1345537ae145eafe1c07bf38d5c16c11ee2b391e7a28</x:v>
      </x:c>
      <x:c r="Y539" s="20" t="n">
        <x:v>1</x:v>
      </x:c>
      <x:c r="Z539" s="20" t="n">
        <x:v>1</x:v>
      </x:c>
      <x:c r="AA539" s="19"/>
      <x:c r="AB539" s="18"/>
      <x:c r="AC539" s="19"/>
    </x:row>
    <x:row r="540" ht="28" customHeight="1">
      <x:c r="A540" s="18" t="str">
        <x:v>南船橋</x:v>
      </x:c>
      <x:c r="B540" s="18" t="str">
        <x:v>東日本旅客鉄道</x:v>
      </x:c>
      <x:c r="C540" s="18" t="str">
        <x:v>conventional_rail</x:v>
      </x:c>
      <x:c r="D540" s="19" t="str">
        <x:v>T2</x:v>
      </x:c>
      <x:c r="E540" s="20" t="n">
        <x:v>47596</x:v>
      </x:c>
      <x:c r="F540" s="18" t="str">
        <x:v>persons/day</x:v>
      </x:c>
      <x:c r="G540" s="18" t="str">
        <x:v>FY2024</x:v>
      </x:c>
      <x:c r="H540" s="18" t="str">
        <x:v>否</x:v>
      </x:c>
      <x:c r="I540" s="19" t="str">
        <x:v>DAILY_ENTRIES_EXITS</x:v>
      </x:c>
      <x:c r="J540" s="19" t="str">
        <x:v>京葉線</x:v>
      </x:c>
      <x:c r="K540" s="18" t="str">
        <x:v>transport-node:3e8a8ec8-312d-5634-9c6b-fe41e140d8d9</x:v>
      </x:c>
      <x:c r="L540" s="19" t="str">
        <x:v>组件待审核</x:v>
      </x:c>
      <x:c r="M540" s="21" t="n">
        <x:v>35.681665</x:v>
      </x:c>
      <x:c r="N540" s="21" t="n">
        <x:v>139.9957</x:v>
      </x:c>
      <x:c r="O540" s="18" t="str">
        <x:v>003761</x:v>
      </x:c>
      <x:c r="P540" s="18" t="str">
        <x:v>京葉線</x:v>
      </x:c>
      <x:c r="Q540" s="19" t="str">
        <x:v>S12_061_GE_10000</x:v>
      </x:c>
      <x:c r="R540" s="19" t="str">
        <x:v>S12_061 usage threshold</x:v>
      </x:c>
      <x:c r="S540" s="19" t="str">
        <x:v>https://nlftp.mlit.go.jp/ksj/gml/datalist/KsjTmplt-S12-2024.html</x:v>
      </x:c>
      <x:c r="T540" s="19" t="str">
        <x:v>https://nlftp.mlit.go.jp/ksj/gml/datalist/KsjTmplt-S12-2024.html</x:v>
      </x:c>
      <x:c r="U540" s="19" t="str">
        <x:v>station-component|南船橋|東日本旅客鉄道|conventional_rail|35.6817|139.9957|</x:v>
      </x:c>
      <x:c r="V540" s="19" t="str">
        <x:v>003761 / 003761 / 京葉線</x:v>
      </x:c>
      <x:c r="W540" s="18" t="str">
        <x:v>否</x:v>
      </x:c>
      <x:c r="X540" s="18" t="str">
        <x:v>0785e932a32b3ec15e1a1345537ae145eafe1c07bf38d5c16c11ee2b391e7a28</x:v>
      </x:c>
      <x:c r="Y540" s="20" t="n">
        <x:v>1</x:v>
      </x:c>
      <x:c r="Z540" s="20" t="n">
        <x:v>1</x:v>
      </x:c>
      <x:c r="AA540" s="19"/>
      <x:c r="AB540" s="18"/>
      <x:c r="AC540" s="19"/>
    </x:row>
    <x:row r="541" ht="33" customHeight="1">
      <x:c r="A541" s="18" t="str">
        <x:v>南茨木</x:v>
      </x:c>
      <x:c r="B541" s="18" t="str">
        <x:v>大阪モノレール</x:v>
      </x:c>
      <x:c r="C541" s="18" t="str">
        <x:v>fixed_guideway</x:v>
      </x:c>
      <x:c r="D541" s="19" t="str">
        <x:v>T2</x:v>
      </x:c>
      <x:c r="E541" s="20" t="n">
        <x:v>31094</x:v>
      </x:c>
      <x:c r="F541" s="18" t="str">
        <x:v>persons/day</x:v>
      </x:c>
      <x:c r="G541" s="18" t="str">
        <x:v>FY2024</x:v>
      </x:c>
      <x:c r="H541" s="18" t="str">
        <x:v>否</x:v>
      </x:c>
      <x:c r="I541" s="19" t="str">
        <x:v>DAILY_ENTRIES_EXITS</x:v>
      </x:c>
      <x:c r="J541" s="19" t="str">
        <x:v>大阪モノレール線</x:v>
      </x:c>
      <x:c r="K541" s="18" t="str">
        <x:v>transport-node:5db8ee51-ab11-5b02-872e-24622a275478</x:v>
      </x:c>
      <x:c r="L541" s="19" t="str">
        <x:v>组件待审核</x:v>
      </x:c>
      <x:c r="M541" s="21" t="n">
        <x:v>34.803195</x:v>
      </x:c>
      <x:c r="N541" s="21" t="n">
        <x:v>135.56476</x:v>
      </x:c>
      <x:c r="O541" s="18" t="str">
        <x:v>006612</x:v>
      </x:c>
      <x:c r="P541" s="18" t="str">
        <x:v>大阪モノレール線</x:v>
      </x:c>
      <x:c r="Q541" s="19" t="str">
        <x:v>S12_061_GE_10000
OFFICIAL_HUB_COMPONENT_REVIEW</x:v>
      </x:c>
      <x:c r="R541" s="19" t="str">
        <x:v>S12_061 usage threshold</x:v>
      </x:c>
      <x:c r="S541" s="19" t="str">
        <x:v>https://nlftp.mlit.go.jp/ksj/gml/datalist/KsjTmplt-S12-2024.html</x:v>
      </x:c>
      <x:c r="T541" s="19" t="str">
        <x:v>https://nlftp.mlit.go.jp/ksj/gml/datalist/KsjTmplt-S12-2024.html
https://www.hankyu.co.jp/station/index.html</x:v>
      </x:c>
      <x:c r="U541" s="19" t="str">
        <x:v>station-component|南茨木|大阪モノレール|fixed_guideway|34.8032|135.5648|</x:v>
      </x:c>
      <x:c r="V541" s="19" t="str">
        <x:v>006612 / 006612 / 大阪モノレール線</x:v>
      </x:c>
      <x:c r="W541" s="18" t="str">
        <x:v>否</x:v>
      </x:c>
      <x:c r="X541" s="18" t="str">
        <x:v>0785e932a32b3ec15e1a1345537ae145eafe1c07bf38d5c16c11ee2b391e7a28</x:v>
      </x:c>
      <x:c r="Y541" s="20" t="n">
        <x:v>1</x:v>
      </x:c>
      <x:c r="Z541" s="20" t="n">
        <x:v>1</x:v>
      </x:c>
      <x:c r="AA541" s="19" t="str">
        <x:v>南茨木</x:v>
      </x:c>
      <x:c r="AB541" s="18" t="str">
        <x:v>transport-hub-review:bba54431-0e59-5040-a684-568aa5b372b1</x:v>
      </x:c>
      <x:c r="AC541" s="19"/>
    </x:row>
    <x:row r="542" ht="33" customHeight="1">
      <x:c r="A542" s="18" t="str">
        <x:v>南茨木</x:v>
      </x:c>
      <x:c r="B542" s="18" t="str">
        <x:v>阪急電鉄</x:v>
      </x:c>
      <x:c r="C542" s="18" t="str">
        <x:v>private_rail</x:v>
      </x:c>
      <x:c r="D542" s="19" t="str">
        <x:v>T2</x:v>
      </x:c>
      <x:c r="E542" s="20" t="n">
        <x:v>39188</x:v>
      </x:c>
      <x:c r="F542" s="18" t="str">
        <x:v>persons/day</x:v>
      </x:c>
      <x:c r="G542" s="18" t="str">
        <x:v>FY2024</x:v>
      </x:c>
      <x:c r="H542" s="18" t="str">
        <x:v>否</x:v>
      </x:c>
      <x:c r="I542" s="19" t="str">
        <x:v>DAILY_ENTRIES_EXITS</x:v>
      </x:c>
      <x:c r="J542" s="19" t="str">
        <x:v>京都線</x:v>
      </x:c>
      <x:c r="K542" s="18" t="str">
        <x:v>transport-node:694112d8-57ff-5a21-9805-23f896c67f74</x:v>
      </x:c>
      <x:c r="L542" s="19" t="str">
        <x:v>组件待审核</x:v>
      </x:c>
      <x:c r="M542" s="21" t="n">
        <x:v>34.80219</x:v>
      </x:c>
      <x:c r="N542" s="21" t="n">
        <x:v>135.56501</x:v>
      </x:c>
      <x:c r="O542" s="18" t="str">
        <x:v>006619</x:v>
      </x:c>
      <x:c r="P542" s="18" t="str">
        <x:v>京都線</x:v>
      </x:c>
      <x:c r="Q542" s="19" t="str">
        <x:v>S12_061_GE_10000
OFFICIAL_HUB_COMPONENT_REVIEW</x:v>
      </x:c>
      <x:c r="R542" s="19" t="str">
        <x:v>S12_061 usage threshold</x:v>
      </x:c>
      <x:c r="S542" s="19" t="str">
        <x:v>https://nlftp.mlit.go.jp/ksj/gml/datalist/KsjTmplt-S12-2024.html</x:v>
      </x:c>
      <x:c r="T542" s="19" t="str">
        <x:v>https://nlftp.mlit.go.jp/ksj/gml/datalist/KsjTmplt-S12-2024.html
https://www.hankyu.co.jp/station/index.html</x:v>
      </x:c>
      <x:c r="U542" s="19" t="str">
        <x:v>station-component|南茨木|阪急電鉄|private_rail|34.8022|135.5650|</x:v>
      </x:c>
      <x:c r="V542" s="19" t="str">
        <x:v>006612 / 006619 / 京都線</x:v>
      </x:c>
      <x:c r="W542" s="18" t="str">
        <x:v>否</x:v>
      </x:c>
      <x:c r="X542" s="18" t="str">
        <x:v>0785e932a32b3ec15e1a1345537ae145eafe1c07bf38d5c16c11ee2b391e7a28</x:v>
      </x:c>
      <x:c r="Y542" s="20" t="n">
        <x:v>1</x:v>
      </x:c>
      <x:c r="Z542" s="20" t="n">
        <x:v>1</x:v>
      </x:c>
      <x:c r="AA542" s="19" t="str">
        <x:v>南茨木</x:v>
      </x:c>
      <x:c r="AB542" s="18" t="str">
        <x:v>transport-hub-review:bba54431-0e59-5040-a684-568aa5b372b1</x:v>
      </x:c>
      <x:c r="AC542" s="19"/>
    </x:row>
    <x:row r="543" ht="28" customHeight="1">
      <x:c r="A543" s="18" t="str">
        <x:v>南草津</x:v>
      </x:c>
      <x:c r="B543" s="18" t="str">
        <x:v>西日本旅客鉄道</x:v>
      </x:c>
      <x:c r="C543" s="18" t="str">
        <x:v>conventional_rail</x:v>
      </x:c>
      <x:c r="D543" s="19" t="str">
        <x:v>T1</x:v>
      </x:c>
      <x:c r="E543" s="20" t="n">
        <x:v>53716</x:v>
      </x:c>
      <x:c r="F543" s="18" t="str">
        <x:v>persons/day</x:v>
      </x:c>
      <x:c r="G543" s="18" t="str">
        <x:v>FY2024</x:v>
      </x:c>
      <x:c r="H543" s="18" t="str">
        <x:v>否</x:v>
      </x:c>
      <x:c r="I543" s="19" t="str">
        <x:v>DAILY_ENTRIES_EXITS</x:v>
      </x:c>
      <x:c r="J543" s="19" t="str">
        <x:v>東海道線</x:v>
      </x:c>
      <x:c r="K543" s="18" t="str">
        <x:v>transport-node:bbfedb59-c4de-57f0-a75e-9e42f30029af</x:v>
      </x:c>
      <x:c r="L543" s="19" t="str">
        <x:v>组件待审核</x:v>
      </x:c>
      <x:c r="M543" s="21" t="n">
        <x:v>35.003594</x:v>
      </x:c>
      <x:c r="N543" s="21" t="n">
        <x:v>135.947176</x:v>
      </x:c>
      <x:c r="O543" s="18" t="str">
        <x:v>005991</x:v>
      </x:c>
      <x:c r="P543" s="18" t="str">
        <x:v>東海道線</x:v>
      </x:c>
      <x:c r="Q543" s="19" t="str">
        <x:v>S12_061_GE_10000</x:v>
      </x:c>
      <x:c r="R543" s="19" t="str">
        <x:v>S12_061 usage threshold</x:v>
      </x:c>
      <x:c r="S543" s="19" t="str">
        <x:v>https://nlftp.mlit.go.jp/ksj/gml/datalist/KsjTmplt-S12-2024.html</x:v>
      </x:c>
      <x:c r="T543" s="19" t="str">
        <x:v>https://nlftp.mlit.go.jp/ksj/gml/datalist/KsjTmplt-S12-2024.html</x:v>
      </x:c>
      <x:c r="U543" s="19" t="str">
        <x:v>station-component|南草津|西日本旅客鉄道|conventional_rail|35.0036|135.9472|</x:v>
      </x:c>
      <x:c r="V543" s="19" t="str">
        <x:v>005991 / 005991 / 東海道線</x:v>
      </x:c>
      <x:c r="W543" s="18" t="str">
        <x:v>否</x:v>
      </x:c>
      <x:c r="X543" s="18" t="str">
        <x:v>0785e932a32b3ec15e1a1345537ae145eafe1c07bf38d5c16c11ee2b391e7a28</x:v>
      </x:c>
      <x:c r="Y543" s="20" t="n">
        <x:v>1</x:v>
      </x:c>
      <x:c r="Z543" s="20" t="n">
        <x:v>1</x:v>
      </x:c>
      <x:c r="AA543" s="19"/>
      <x:c r="AB543" s="18"/>
      <x:c r="AC543" s="19"/>
    </x:row>
    <x:row r="544" ht="28" customHeight="1">
      <x:c r="A544" s="18" t="str">
        <x:v>南行徳</x:v>
      </x:c>
      <x:c r="B544" s="18" t="str">
        <x:v>東京地下鉄</x:v>
      </x:c>
      <x:c r="C544" s="18" t="str">
        <x:v>metro</x:v>
      </x:c>
      <x:c r="D544" s="19" t="str">
        <x:v>T1</x:v>
      </x:c>
      <x:c r="E544" s="20" t="n">
        <x:v>50950</x:v>
      </x:c>
      <x:c r="F544" s="18" t="str">
        <x:v>persons/day</x:v>
      </x:c>
      <x:c r="G544" s="18" t="str">
        <x:v>FY2024</x:v>
      </x:c>
      <x:c r="H544" s="18" t="str">
        <x:v>否</x:v>
      </x:c>
      <x:c r="I544" s="19" t="str">
        <x:v>DAILY_ENTRIES_EXITS</x:v>
      </x:c>
      <x:c r="J544" s="19" t="str">
        <x:v>5号線東西線</x:v>
      </x:c>
      <x:c r="K544" s="18" t="str">
        <x:v>transport-node:e1810678-112a-5eb0-b565-d6dbfb90a070</x:v>
      </x:c>
      <x:c r="L544" s="19" t="str">
        <x:v>组件待审核</x:v>
      </x:c>
      <x:c r="M544" s="21" t="n">
        <x:v>35.6728325</x:v>
      </x:c>
      <x:c r="N544" s="21" t="n">
        <x:v>139.9023975</x:v>
      </x:c>
      <x:c r="O544" s="18" t="str">
        <x:v>003819</x:v>
      </x:c>
      <x:c r="P544" s="18" t="str">
        <x:v>5号線東西線</x:v>
      </x:c>
      <x:c r="Q544" s="19" t="str">
        <x:v>S12_061_GE_10000</x:v>
      </x:c>
      <x:c r="R544" s="19" t="str">
        <x:v>S12_061 usage threshold</x:v>
      </x:c>
      <x:c r="S544" s="19" t="str">
        <x:v>https://nlftp.mlit.go.jp/ksj/gml/datalist/KsjTmplt-S12-2024.html</x:v>
      </x:c>
      <x:c r="T544" s="19" t="str">
        <x:v>https://nlftp.mlit.go.jp/ksj/gml/datalist/KsjTmplt-S12-2024.html</x:v>
      </x:c>
      <x:c r="U544" s="19" t="str">
        <x:v>station-component|南行徳|東京地下鉄|metro|35.6728|139.9024|</x:v>
      </x:c>
      <x:c r="V544" s="19" t="str">
        <x:v>003819 / 003819 / 5号線東西線</x:v>
      </x:c>
      <x:c r="W544" s="18" t="str">
        <x:v>否</x:v>
      </x:c>
      <x:c r="X544" s="18" t="str">
        <x:v>0785e932a32b3ec15e1a1345537ae145eafe1c07bf38d5c16c11ee2b391e7a28</x:v>
      </x:c>
      <x:c r="Y544" s="20" t="n">
        <x:v>1</x:v>
      </x:c>
      <x:c r="Z544" s="20" t="n">
        <x:v>1</x:v>
      </x:c>
      <x:c r="AA544" s="19"/>
      <x:c r="AB544" s="18"/>
      <x:c r="AC544" s="19"/>
    </x:row>
    <x:row r="545" ht="33" customHeight="1">
      <x:c r="A545" s="18" t="str">
        <x:v>南越谷</x:v>
      </x:c>
      <x:c r="B545" s="18" t="str">
        <x:v>東日本旅客鉄道</x:v>
      </x:c>
      <x:c r="C545" s="18" t="str">
        <x:v>conventional_rail</x:v>
      </x:c>
      <x:c r="D545" s="19" t="str">
        <x:v>T1</x:v>
      </x:c>
      <x:c r="E545" s="20" t="n">
        <x:v>144284</x:v>
      </x:c>
      <x:c r="F545" s="18" t="str">
        <x:v>persons/day</x:v>
      </x:c>
      <x:c r="G545" s="18" t="str">
        <x:v>FY2024</x:v>
      </x:c>
      <x:c r="H545" s="18" t="str">
        <x:v>否</x:v>
      </x:c>
      <x:c r="I545" s="19" t="str">
        <x:v>DAILY_ENTRIES_EXITS</x:v>
      </x:c>
      <x:c r="J545" s="19" t="str">
        <x:v>武蔵野線</x:v>
      </x:c>
      <x:c r="K545" s="18" t="str">
        <x:v>transport-node:b6113a55-618e-531c-bd1d-186013fe7751</x:v>
      </x:c>
      <x:c r="L545" s="19" t="str">
        <x:v>组件待审核</x:v>
      </x:c>
      <x:c r="M545" s="21" t="n">
        <x:v>35.8760467</x:v>
      </x:c>
      <x:c r="N545" s="21" t="n">
        <x:v>139.7913633</x:v>
      </x:c>
      <x:c r="O545" s="18" t="str">
        <x:v>002958</x:v>
      </x:c>
      <x:c r="P545" s="18" t="str">
        <x:v>武蔵野線</x:v>
      </x:c>
      <x:c r="Q545" s="19" t="str">
        <x:v>S12_061_GE_10000
OFFICIAL_HUB_COMPONENT_REVIEW</x:v>
      </x:c>
      <x:c r="R545" s="19" t="str">
        <x:v>S12_061 usage threshold</x:v>
      </x:c>
      <x:c r="S545" s="19" t="str">
        <x:v>https://nlftp.mlit.go.jp/ksj/gml/datalist/KsjTmplt-S12-2024.html</x:v>
      </x:c>
      <x:c r="T545" s="19" t="str">
        <x:v>https://nlftp.mlit.go.jp/ksj/gml/datalist/KsjTmplt-S12-2024.html
https://www.tobu.co.jp/railway/guide/station/info/1408/</x:v>
      </x:c>
      <x:c r="U545" s="19" t="str">
        <x:v>station-component|南越谷|東日本旅客鉄道|conventional_rail|35.8760|139.7914|</x:v>
      </x:c>
      <x:c r="V545" s="19" t="str">
        <x:v>002958 / 002958 / 武蔵野線</x:v>
      </x:c>
      <x:c r="W545" s="18" t="str">
        <x:v>否</x:v>
      </x:c>
      <x:c r="X545" s="18" t="str">
        <x:v>0785e932a32b3ec15e1a1345537ae145eafe1c07bf38d5c16c11ee2b391e7a28</x:v>
      </x:c>
      <x:c r="Y545" s="20" t="n">
        <x:v>1</x:v>
      </x:c>
      <x:c r="Z545" s="20" t="n">
        <x:v>1</x:v>
      </x:c>
      <x:c r="AA545" s="19" t="str">
        <x:v>新越谷・南越谷</x:v>
      </x:c>
      <x:c r="AB545" s="18" t="str">
        <x:v>transport-hub-review:33809c3c-d079-588d-8619-edd2d701012f</x:v>
      </x:c>
      <x:c r="AC545" s="19"/>
    </x:row>
    <x:row r="546" ht="28" customHeight="1">
      <x:c r="A546" s="18" t="str">
        <x:v>南郷13丁目</x:v>
      </x:c>
      <x:c r="B546" s="18" t="str">
        <x:v>札幌市</x:v>
      </x:c>
      <x:c r="C546" s="18" t="str">
        <x:v>metro</x:v>
      </x:c>
      <x:c r="D546" s="19" t="str">
        <x:v>T2</x:v>
      </x:c>
      <x:c r="E546" s="20" t="n">
        <x:v>16304</x:v>
      </x:c>
      <x:c r="F546" s="18" t="str">
        <x:v>persons/day</x:v>
      </x:c>
      <x:c r="G546" s="18" t="str">
        <x:v>FY2024</x:v>
      </x:c>
      <x:c r="H546" s="18" t="str">
        <x:v>否</x:v>
      </x:c>
      <x:c r="I546" s="19" t="str">
        <x:v>DAILY_ENTRIES_EXITS</x:v>
      </x:c>
      <x:c r="J546" s="19" t="str">
        <x:v>東西線</x:v>
      </x:c>
      <x:c r="K546" s="18" t="str">
        <x:v>transport-node:2d0fa618-33ae-5683-9397-0df8b191066f</x:v>
      </x:c>
      <x:c r="L546" s="19" t="str">
        <x:v>组件待审核</x:v>
      </x:c>
      <x:c r="M546" s="21" t="n">
        <x:v>43.035725</x:v>
      </x:c>
      <x:c r="N546" s="21" t="n">
        <x:v>141.422965</x:v>
      </x:c>
      <x:c r="O546" s="18" t="str">
        <x:v>000283</x:v>
      </x:c>
      <x:c r="P546" s="18" t="str">
        <x:v>東西線</x:v>
      </x:c>
      <x:c r="Q546" s="19" t="str">
        <x:v>S12_061_GE_10000</x:v>
      </x:c>
      <x:c r="R546" s="19" t="str">
        <x:v>S12_061 usage threshold</x:v>
      </x:c>
      <x:c r="S546" s="19" t="str">
        <x:v>https://nlftp.mlit.go.jp/ksj/gml/datalist/KsjTmplt-S12-2024.html</x:v>
      </x:c>
      <x:c r="T546" s="19" t="str">
        <x:v>https://nlftp.mlit.go.jp/ksj/gml/datalist/KsjTmplt-S12-2024.html</x:v>
      </x:c>
      <x:c r="U546" s="19" t="str">
        <x:v>station-component|南郷13丁目|札幌市|metro|43.0357|141.4230|</x:v>
      </x:c>
      <x:c r="V546" s="19" t="str">
        <x:v>000283 / 000283 / 東西線</x:v>
      </x:c>
      <x:c r="W546" s="18" t="str">
        <x:v>否</x:v>
      </x:c>
      <x:c r="X546" s="18" t="str">
        <x:v>0785e932a32b3ec15e1a1345537ae145eafe1c07bf38d5c16c11ee2b391e7a28</x:v>
      </x:c>
      <x:c r="Y546" s="20" t="n">
        <x:v>1</x:v>
      </x:c>
      <x:c r="Z546" s="20" t="n">
        <x:v>1</x:v>
      </x:c>
      <x:c r="AA546" s="19"/>
      <x:c r="AB546" s="18"/>
      <x:c r="AC546" s="19"/>
    </x:row>
    <x:row r="547" ht="28" customHeight="1">
      <x:c r="A547" s="18" t="str">
        <x:v>南郷18丁目</x:v>
      </x:c>
      <x:c r="B547" s="18" t="str">
        <x:v>札幌市</x:v>
      </x:c>
      <x:c r="C547" s="18" t="str">
        <x:v>metro</x:v>
      </x:c>
      <x:c r="D547" s="19" t="str">
        <x:v>T2</x:v>
      </x:c>
      <x:c r="E547" s="20" t="n">
        <x:v>21686</x:v>
      </x:c>
      <x:c r="F547" s="18" t="str">
        <x:v>persons/day</x:v>
      </x:c>
      <x:c r="G547" s="18" t="str">
        <x:v>FY2024</x:v>
      </x:c>
      <x:c r="H547" s="18" t="str">
        <x:v>否</x:v>
      </x:c>
      <x:c r="I547" s="19" t="str">
        <x:v>DAILY_ENTRIES_EXITS</x:v>
      </x:c>
      <x:c r="J547" s="19" t="str">
        <x:v>東西線</x:v>
      </x:c>
      <x:c r="K547" s="18" t="str">
        <x:v>transport-node:2124d730-6a5c-518d-afda-0b64dae9131a</x:v>
      </x:c>
      <x:c r="L547" s="19" t="str">
        <x:v>组件待审核</x:v>
      </x:c>
      <x:c r="M547" s="21" t="n">
        <x:v>43.03033</x:v>
      </x:c>
      <x:c r="N547" s="21" t="n">
        <x:v>141.435165</x:v>
      </x:c>
      <x:c r="O547" s="18" t="str">
        <x:v>000295</x:v>
      </x:c>
      <x:c r="P547" s="18" t="str">
        <x:v>東西線</x:v>
      </x:c>
      <x:c r="Q547" s="19" t="str">
        <x:v>S12_061_GE_10000</x:v>
      </x:c>
      <x:c r="R547" s="19" t="str">
        <x:v>S12_061 usage threshold</x:v>
      </x:c>
      <x:c r="S547" s="19" t="str">
        <x:v>https://nlftp.mlit.go.jp/ksj/gml/datalist/KsjTmplt-S12-2024.html</x:v>
      </x:c>
      <x:c r="T547" s="19" t="str">
        <x:v>https://nlftp.mlit.go.jp/ksj/gml/datalist/KsjTmplt-S12-2024.html</x:v>
      </x:c>
      <x:c r="U547" s="19" t="str">
        <x:v>station-component|南郷18丁目|札幌市|metro|43.0303|141.4352|</x:v>
      </x:c>
      <x:c r="V547" s="19" t="str">
        <x:v>000295 / 000295 / 東西線</x:v>
      </x:c>
      <x:c r="W547" s="18" t="str">
        <x:v>否</x:v>
      </x:c>
      <x:c r="X547" s="18" t="str">
        <x:v>0785e932a32b3ec15e1a1345537ae145eafe1c07bf38d5c16c11ee2b391e7a28</x:v>
      </x:c>
      <x:c r="Y547" s="20" t="n">
        <x:v>1</x:v>
      </x:c>
      <x:c r="Z547" s="20" t="n">
        <x:v>1</x:v>
      </x:c>
      <x:c r="AA547" s="19"/>
      <x:c r="AB547" s="18"/>
      <x:c r="AC547" s="19"/>
    </x:row>
    <x:row r="548" ht="28" customHeight="1">
      <x:c r="A548" s="18" t="str">
        <x:v>南郷7丁目</x:v>
      </x:c>
      <x:c r="B548" s="18" t="str">
        <x:v>札幌市</x:v>
      </x:c>
      <x:c r="C548" s="18" t="str">
        <x:v>metro</x:v>
      </x:c>
      <x:c r="D548" s="19" t="str">
        <x:v>T2</x:v>
      </x:c>
      <x:c r="E548" s="20" t="n">
        <x:v>22458</x:v>
      </x:c>
      <x:c r="F548" s="18" t="str">
        <x:v>persons/day</x:v>
      </x:c>
      <x:c r="G548" s="18" t="str">
        <x:v>FY2024</x:v>
      </x:c>
      <x:c r="H548" s="18" t="str">
        <x:v>否</x:v>
      </x:c>
      <x:c r="I548" s="19" t="str">
        <x:v>DAILY_ENTRIES_EXITS</x:v>
      </x:c>
      <x:c r="J548" s="19" t="str">
        <x:v>東西線</x:v>
      </x:c>
      <x:c r="K548" s="18" t="str">
        <x:v>transport-node:15facbd8-a5e4-53a8-a412-9f77544bc792</x:v>
      </x:c>
      <x:c r="L548" s="19" t="str">
        <x:v>组件待审核</x:v>
      </x:c>
      <x:c r="M548" s="21" t="n">
        <x:v>43.040265</x:v>
      </x:c>
      <x:c r="N548" s="21" t="n">
        <x:v>141.41097</x:v>
      </x:c>
      <x:c r="O548" s="18" t="str">
        <x:v>000275</x:v>
      </x:c>
      <x:c r="P548" s="18" t="str">
        <x:v>東西線</x:v>
      </x:c>
      <x:c r="Q548" s="19" t="str">
        <x:v>S12_061_GE_10000</x:v>
      </x:c>
      <x:c r="R548" s="19" t="str">
        <x:v>S12_061 usage threshold</x:v>
      </x:c>
      <x:c r="S548" s="19" t="str">
        <x:v>https://nlftp.mlit.go.jp/ksj/gml/datalist/KsjTmplt-S12-2024.html</x:v>
      </x:c>
      <x:c r="T548" s="19" t="str">
        <x:v>https://nlftp.mlit.go.jp/ksj/gml/datalist/KsjTmplt-S12-2024.html</x:v>
      </x:c>
      <x:c r="U548" s="19" t="str">
        <x:v>station-component|南郷7丁目|札幌市|metro|43.0403|141.4110|</x:v>
      </x:c>
      <x:c r="V548" s="19" t="str">
        <x:v>000275 / 000275 / 東西線</x:v>
      </x:c>
      <x:c r="W548" s="18" t="str">
        <x:v>否</x:v>
      </x:c>
      <x:c r="X548" s="18" t="str">
        <x:v>0785e932a32b3ec15e1a1345537ae145eafe1c07bf38d5c16c11ee2b391e7a28</x:v>
      </x:c>
      <x:c r="Y548" s="20" t="n">
        <x:v>1</x:v>
      </x:c>
      <x:c r="Z548" s="20" t="n">
        <x:v>1</x:v>
      </x:c>
      <x:c r="AA548" s="19"/>
      <x:c r="AB548" s="18"/>
      <x:c r="AC548" s="19"/>
    </x:row>
    <x:row r="549" ht="28" customHeight="1">
      <x:c r="A549" s="18" t="str">
        <x:v>南阿佐ヶ谷</x:v>
      </x:c>
      <x:c r="B549" s="18" t="str">
        <x:v>東京地下鉄</x:v>
      </x:c>
      <x:c r="C549" s="18" t="str">
        <x:v>metro</x:v>
      </x:c>
      <x:c r="D549" s="19" t="str">
        <x:v>T2</x:v>
      </x:c>
      <x:c r="E549" s="20" t="n">
        <x:v>27693</x:v>
      </x:c>
      <x:c r="F549" s="18" t="str">
        <x:v>persons/day</x:v>
      </x:c>
      <x:c r="G549" s="18" t="str">
        <x:v>FY2024</x:v>
      </x:c>
      <x:c r="H549" s="18" t="str">
        <x:v>否</x:v>
      </x:c>
      <x:c r="I549" s="19" t="str">
        <x:v>DAILY_ENTRIES_EXITS</x:v>
      </x:c>
      <x:c r="J549" s="19" t="str">
        <x:v>4号線丸ノ内線</x:v>
      </x:c>
      <x:c r="K549" s="18" t="str">
        <x:v>transport-node:21f31687-907f-5db0-95d0-c01e6d732087</x:v>
      </x:c>
      <x:c r="L549" s="19" t="str">
        <x:v>组件待审核</x:v>
      </x:c>
      <x:c r="M549" s="21" t="n">
        <x:v>35.699455</x:v>
      </x:c>
      <x:c r="N549" s="21" t="n">
        <x:v>139.635575</x:v>
      </x:c>
      <x:c r="O549" s="18" t="str">
        <x:v>003619</x:v>
      </x:c>
      <x:c r="P549" s="18" t="str">
        <x:v>4号線丸ノ内線</x:v>
      </x:c>
      <x:c r="Q549" s="19" t="str">
        <x:v>S12_061_GE_10000</x:v>
      </x:c>
      <x:c r="R549" s="19" t="str">
        <x:v>S12_061 usage threshold</x:v>
      </x:c>
      <x:c r="S549" s="19" t="str">
        <x:v>https://nlftp.mlit.go.jp/ksj/gml/datalist/KsjTmplt-S12-2024.html</x:v>
      </x:c>
      <x:c r="T549" s="19" t="str">
        <x:v>https://nlftp.mlit.go.jp/ksj/gml/datalist/KsjTmplt-S12-2024.html</x:v>
      </x:c>
      <x:c r="U549" s="19" t="str">
        <x:v>station-component|南阿佐ヶ谷|東京地下鉄|metro|35.6995|139.6356|</x:v>
      </x:c>
      <x:c r="V549" s="19" t="str">
        <x:v>003619 / 003619 / 4号線丸ノ内線</x:v>
      </x:c>
      <x:c r="W549" s="18" t="str">
        <x:v>否</x:v>
      </x:c>
      <x:c r="X549" s="18" t="str">
        <x:v>0785e932a32b3ec15e1a1345537ae145eafe1c07bf38d5c16c11ee2b391e7a28</x:v>
      </x:c>
      <x:c r="Y549" s="20" t="n">
        <x:v>1</x:v>
      </x:c>
      <x:c r="Z549" s="20" t="n">
        <x:v>1</x:v>
      </x:c>
      <x:c r="AA549" s="19"/>
      <x:c r="AB549" s="18"/>
      <x:c r="AC549" s="19"/>
    </x:row>
    <x:row r="550" ht="28" customHeight="1">
      <x:c r="A550" s="18" t="str">
        <x:v>南鳩ヶ谷</x:v>
      </x:c>
      <x:c r="B550" s="18" t="str">
        <x:v>埼玉高速鉄道</x:v>
      </x:c>
      <x:c r="C550" s="18" t="str">
        <x:v>private_rail</x:v>
      </x:c>
      <x:c r="D550" s="19" t="str">
        <x:v>T2</x:v>
      </x:c>
      <x:c r="E550" s="20" t="n">
        <x:v>16500</x:v>
      </x:c>
      <x:c r="F550" s="18" t="str">
        <x:v>persons/day</x:v>
      </x:c>
      <x:c r="G550" s="18" t="str">
        <x:v>FY2024</x:v>
      </x:c>
      <x:c r="H550" s="18" t="str">
        <x:v>否</x:v>
      </x:c>
      <x:c r="I550" s="19" t="str">
        <x:v>DAILY_ENTRIES_EXITS</x:v>
      </x:c>
      <x:c r="J550" s="19" t="str">
        <x:v>埼玉高速鉄道線</x:v>
      </x:c>
      <x:c r="K550" s="18" t="str">
        <x:v>transport-node:c0e096a6-2441-5970-b7ef-a71b1d8e468f</x:v>
      </x:c>
      <x:c r="L550" s="19" t="str">
        <x:v>组件待审核</x:v>
      </x:c>
      <x:c r="M550" s="21" t="n">
        <x:v>35.81608</x:v>
      </x:c>
      <x:c r="N550" s="21" t="n">
        <x:v>139.736095</x:v>
      </x:c>
      <x:c r="O550" s="18" t="str">
        <x:v>003054</x:v>
      </x:c>
      <x:c r="P550" s="18" t="str">
        <x:v>埼玉高速鉄道線</x:v>
      </x:c>
      <x:c r="Q550" s="19" t="str">
        <x:v>S12_061_GE_10000</x:v>
      </x:c>
      <x:c r="R550" s="19" t="str">
        <x:v>S12_061 usage threshold</x:v>
      </x:c>
      <x:c r="S550" s="19" t="str">
        <x:v>https://nlftp.mlit.go.jp/ksj/gml/datalist/KsjTmplt-S12-2024.html</x:v>
      </x:c>
      <x:c r="T550" s="19" t="str">
        <x:v>https://nlftp.mlit.go.jp/ksj/gml/datalist/KsjTmplt-S12-2024.html</x:v>
      </x:c>
      <x:c r="U550" s="19" t="str">
        <x:v>station-component|南鳩ヶ谷|埼玉高速鉄道|private_rail|35.8161|139.7361|</x:v>
      </x:c>
      <x:c r="V550" s="19" t="str">
        <x:v>003054 / 003054 / 埼玉高速鉄道線</x:v>
      </x:c>
      <x:c r="W550" s="18" t="str">
        <x:v>否</x:v>
      </x:c>
      <x:c r="X550" s="18" t="str">
        <x:v>0785e932a32b3ec15e1a1345537ae145eafe1c07bf38d5c16c11ee2b391e7a28</x:v>
      </x:c>
      <x:c r="Y550" s="20" t="n">
        <x:v>1</x:v>
      </x:c>
      <x:c r="Z550" s="20" t="n">
        <x:v>1</x:v>
      </x:c>
      <x:c r="AA550" s="19"/>
      <x:c r="AB550" s="18"/>
      <x:c r="AC550" s="19"/>
    </x:row>
    <x:row r="551" ht="33" customHeight="1">
      <x:c r="A551" s="18" t="str">
        <x:v>博多</x:v>
      </x:c>
      <x:c r="B551" s="18" t="str">
        <x:v>九州旅客鉄道</x:v>
      </x:c>
      <x:c r="C551" s="18" t="str">
        <x:v>conventional_rail</x:v>
      </x:c>
      <x:c r="D551" s="19" t="str">
        <x:v>T0</x:v>
      </x:c>
      <x:c r="E551" s="20" t="n">
        <x:v>250924</x:v>
      </x:c>
      <x:c r="F551" s="18" t="str">
        <x:v>persons/day</x:v>
      </x:c>
      <x:c r="G551" s="18" t="str">
        <x:v>FY2024</x:v>
      </x:c>
      <x:c r="H551" s="18" t="str">
        <x:v>否</x:v>
      </x:c>
      <x:c r="I551" s="19" t="str">
        <x:v>DAILY_ENTRIES_EXITS</x:v>
      </x:c>
      <x:c r="J551" s="19" t="str">
        <x:v>鹿児島線</x:v>
      </x:c>
      <x:c r="K551" s="18" t="str">
        <x:v>transport-node:756e4392-b22a-51ad-9c15-b20cbb073845</x:v>
      </x:c>
      <x:c r="L551" s="19" t="str">
        <x:v>组件待审核</x:v>
      </x:c>
      <x:c r="M551" s="21" t="n">
        <x:v>33.589995</x:v>
      </x:c>
      <x:c r="N551" s="21" t="n">
        <x:v>130.42056</x:v>
      </x:c>
      <x:c r="O551" s="18" t="str">
        <x:v>009030</x:v>
      </x:c>
      <x:c r="P551" s="18" t="str">
        <x:v>鹿児島線</x:v>
      </x:c>
      <x:c r="Q551" s="19" t="str">
        <x:v>S12_061_GE_10000
OFFICIAL_HUB_COMPONENT_REVIEW</x:v>
      </x:c>
      <x:c r="R551" s="19" t="str">
        <x:v>S12_061 usage threshold</x:v>
      </x:c>
      <x:c r="S551" s="19" t="str">
        <x:v>https://nlftp.mlit.go.jp/ksj/gml/datalist/KsjTmplt-S12-2024.html</x:v>
      </x:c>
      <x:c r="T551" s="19" t="str">
        <x:v>https://nlftp.mlit.go.jp/ksj/gml/datalist/KsjTmplt-S12-2024.html
https://subway.city.fukuoka.lg.jp/?lan=ja</x:v>
      </x:c>
      <x:c r="U551" s="19" t="str">
        <x:v>station-component|博多|九州旅客鉄道|conventional_rail|33.5900|130.4206|</x:v>
      </x:c>
      <x:c r="V551" s="19" t="str">
        <x:v>009033 / 009030 / 鹿児島線</x:v>
      </x:c>
      <x:c r="W551" s="18" t="str">
        <x:v>否</x:v>
      </x:c>
      <x:c r="X551" s="18" t="str">
        <x:v>0785e932a32b3ec15e1a1345537ae145eafe1c07bf38d5c16c11ee2b391e7a28</x:v>
      </x:c>
      <x:c r="Y551" s="20" t="n">
        <x:v>1</x:v>
      </x:c>
      <x:c r="Z551" s="20" t="n">
        <x:v>1</x:v>
      </x:c>
      <x:c r="AA551" s="19" t="str">
        <x:v>博多</x:v>
      </x:c>
      <x:c r="AB551" s="18" t="str">
        <x:v>transport-hub-review:157f1421-d682-59e8-bf05-ec60f22a9004</x:v>
      </x:c>
      <x:c r="AC551" s="19"/>
    </x:row>
    <x:row r="552" ht="47" customHeight="1">
      <x:c r="A552" s="18" t="str">
        <x:v>博多</x:v>
      </x:c>
      <x:c r="B552" s="18" t="str">
        <x:v>九州旅客鉄道</x:v>
      </x:c>
      <x:c r="C552" s="18" t="str">
        <x:v>shinkansen</x:v>
      </x:c>
      <x:c r="D552" s="19"/>
      <x:c r="E552" s="20" t="n">
        <x:v>125462</x:v>
      </x:c>
      <x:c r="F552" s="18" t="str">
        <x:v>boardings/day</x:v>
      </x:c>
      <x:c r="G552" s="18" t="str">
        <x:v>FY2024</x:v>
      </x:c>
      <x:c r="H552" s="18" t="str">
        <x:v>是</x:v>
      </x:c>
      <x:c r="I552" s="19" t="str">
        <x:v>STATION_COMPLEX_PROXY</x:v>
      </x:c>
      <x:c r="J552" s="19" t="str">
        <x:v>九州新幹線</x:v>
      </x:c>
      <x:c r="K552" s="18" t="str">
        <x:v>transport-node:2ce9eca0-e509-5b61-a735-f22927d78e53</x:v>
      </x:c>
      <x:c r="L552" s="19" t="str">
        <x:v>组件待审核</x:v>
      </x:c>
      <x:c r="M552" s="21" t="n">
        <x:v>33.589575</x:v>
      </x:c>
      <x:c r="N552" s="21" t="n">
        <x:v>130.421175</x:v>
      </x:c>
      <x:c r="O552" s="18" t="str">
        <x:v>009033</x:v>
      </x:c>
      <x:c r="P552" s="18" t="str">
        <x:v>九州新幹線</x:v>
      </x:c>
      <x:c r="Q552" s="19" t="str">
        <x:v>SHINKANSEN
OFFICIAL_HUB_COMPONENT_REVIEW</x:v>
      </x:c>
      <x:c r="R552" s="19" t="str">
        <x:v>Official fallback retained in published scope/unit; tier remains null pending metric/manual review.</x:v>
      </x:c>
      <x:c r="S552" s="19" t="str">
        <x:v>https://www.jrkyushu.co.jp/company/info/data/pdf/2024ekibetsu.pdf</x:v>
      </x:c>
      <x:c r="T552" s="19" t="str">
        <x:v>https://nlftp.mlit.go.jp/ksj/gml/datalist/KsjTmplt-S12-2024.html
https://subway.city.fukuoka.lg.jp/?lan=ja
https://www.jrkyushu.co.jp/company/info/data/pdf/2024ekibetsu.pdf</x:v>
      </x:c>
      <x:c r="U552" s="19" t="str">
        <x:v>station-component|博多|九州旅客鉄道|shinkansen|33.5896|130.4212|</x:v>
      </x:c>
      <x:c r="V552" s="19" t="str">
        <x:v>009033 / 009033 / 九州新幹線</x:v>
      </x:c>
      <x:c r="W552" s="18" t="str">
        <x:v>否</x:v>
      </x:c>
      <x:c r="X552" s="18" t="str">
        <x:v>0785e932a32b3ec15e1a1345537ae145eafe1c07bf38d5c16c11ee2b391e7a28</x:v>
      </x:c>
      <x:c r="Y552" s="20" t="n">
        <x:v>1</x:v>
      </x:c>
      <x:c r="Z552" s="20" t="n">
        <x:v>2</x:v>
      </x:c>
      <x:c r="AA552" s="19" t="str">
        <x:v>博多</x:v>
      </x:c>
      <x:c r="AB552" s="18" t="str">
        <x:v>transport-hub-review:157f1421-d682-59e8-bf05-ec60f22a9004</x:v>
      </x:c>
      <x:c r="AC552" s="19"/>
    </x:row>
    <x:row r="553" ht="33" customHeight="1">
      <x:c r="A553" s="18" t="str">
        <x:v>博多</x:v>
      </x:c>
      <x:c r="B553" s="18" t="str">
        <x:v>福岡市</x:v>
      </x:c>
      <x:c r="C553" s="18" t="str">
        <x:v>metro</x:v>
      </x:c>
      <x:c r="D553" s="19" t="str">
        <x:v>T0</x:v>
      </x:c>
      <x:c r="E553" s="20" t="n">
        <x:v>206566</x:v>
      </x:c>
      <x:c r="F553" s="18" t="str">
        <x:v>persons/day</x:v>
      </x:c>
      <x:c r="G553" s="18" t="str">
        <x:v>FY2024</x:v>
      </x:c>
      <x:c r="H553" s="18" t="str">
        <x:v>否</x:v>
      </x:c>
      <x:c r="I553" s="19" t="str">
        <x:v>DAILY_ENTRIES_EXITS</x:v>
      </x:c>
      <x:c r="J553" s="19" t="str">
        <x:v>1号線(空港線)
3号線(七隈線)</x:v>
      </x:c>
      <x:c r="K553" s="18" t="str">
        <x:v>transport-node:4b42e5c0-1a10-572d-9ead-92f296808f7c</x:v>
      </x:c>
      <x:c r="L553" s="19" t="str">
        <x:v>组件待审核</x:v>
      </x:c>
      <x:c r="M553" s="21" t="n">
        <x:v>33.590075</x:v>
      </x:c>
      <x:c r="N553" s="21" t="n">
        <x:v>130.420745</x:v>
      </x:c>
      <x:c r="O553" s="18" t="str">
        <x:v>009029</x:v>
      </x:c>
      <x:c r="P553" s="18" t="str">
        <x:v>1号線(空港線)</x:v>
      </x:c>
      <x:c r="Q553" s="19" t="str">
        <x:v>S12_061_GE_10000
OFFICIAL_HUB_COMPONENT_REVIEW</x:v>
      </x:c>
      <x:c r="R553" s="19" t="str">
        <x:v>S12_061 usage threshold</x:v>
      </x:c>
      <x:c r="S553" s="19" t="str">
        <x:v>https://nlftp.mlit.go.jp/ksj/gml/datalist/KsjTmplt-S12-2024.html</x:v>
      </x:c>
      <x:c r="T553" s="19" t="str">
        <x:v>https://nlftp.mlit.go.jp/ksj/gml/datalist/KsjTmplt-S12-2024.html
https://subway.city.fukuoka.lg.jp/?lan=ja</x:v>
      </x:c>
      <x:c r="U553" s="19" t="str">
        <x:v>station-component|博多|福岡市|metro|33.5901|130.4207|</x:v>
      </x:c>
      <x:c r="V553" s="19" t="str">
        <x:v>009033 / 009029 / 1号線(空港線)
009033 / 010163 / 3号線(七隈線)</x:v>
      </x:c>
      <x:c r="W553" s="18" t="str">
        <x:v>否</x:v>
      </x:c>
      <x:c r="X553" s="18" t="str">
        <x:v>0785e932a32b3ec15e1a1345537ae145eafe1c07bf38d5c16c11ee2b391e7a28</x:v>
      </x:c>
      <x:c r="Y553" s="20" t="n">
        <x:v>1</x:v>
      </x:c>
      <x:c r="Z553" s="20" t="n">
        <x:v>1</x:v>
      </x:c>
      <x:c r="AA553" s="19" t="str">
        <x:v>博多</x:v>
      </x:c>
      <x:c r="AB553" s="18" t="str">
        <x:v>transport-hub-review:157f1421-d682-59e8-bf05-ec60f22a9004</x:v>
      </x:c>
      <x:c r="AC553" s="19"/>
    </x:row>
    <x:row r="554" ht="47" customHeight="1">
      <x:c r="A554" s="18" t="str">
        <x:v>博多</x:v>
      </x:c>
      <x:c r="B554" s="18" t="str">
        <x:v>西日本旅客鉄道</x:v>
      </x:c>
      <x:c r="C554" s="18" t="str">
        <x:v>shinkansen</x:v>
      </x:c>
      <x:c r="D554" s="19" t="str">
        <x:v>T2</x:v>
      </x:c>
      <x:c r="E554" s="20" t="n">
        <x:v>47262</x:v>
      </x:c>
      <x:c r="F554" s="18" t="str">
        <x:v>persons/day</x:v>
      </x:c>
      <x:c r="G554" s="18" t="str">
        <x:v>FY2024</x:v>
      </x:c>
      <x:c r="H554" s="18" t="str">
        <x:v>否</x:v>
      </x:c>
      <x:c r="I554" s="19" t="str">
        <x:v>DAILY_ENTRIES_EXITS</x:v>
      </x:c>
      <x:c r="J554" s="19" t="str">
        <x:v>山陽新幹線</x:v>
      </x:c>
      <x:c r="K554" s="18" t="str">
        <x:v>transport-node:558b2a34-96db-5e04-88e1-a9b0da92999b</x:v>
      </x:c>
      <x:c r="L554" s="19" t="str">
        <x:v>组件待审核</x:v>
      </x:c>
      <x:c r="M554" s="21" t="n">
        <x:v>33.589575</x:v>
      </x:c>
      <x:c r="N554" s="21" t="n">
        <x:v>130.421175</x:v>
      </x:c>
      <x:c r="O554" s="18" t="str">
        <x:v>009034</x:v>
      </x:c>
      <x:c r="P554" s="18" t="str">
        <x:v>山陽新幹線</x:v>
      </x:c>
      <x:c r="Q554" s="19" t="str">
        <x:v>S12_061_GE_10000
SHINKANSEN
OFFICIAL_HUB_COMPONENT_REVIEW</x:v>
      </x:c>
      <x:c r="R554" s="19" t="str">
        <x:v>S12_061 usage threshold</x:v>
      </x:c>
      <x:c r="S554" s="19" t="str">
        <x:v>https://nlftp.mlit.go.jp/ksj/gml/datalist/KsjTmplt-S12-2024.html</x:v>
      </x:c>
      <x:c r="T554" s="19" t="str">
        <x:v>https://nlftp.mlit.go.jp/ksj/gml/datalist/KsjTmplt-S12-2024.html
https://subway.city.fukuoka.lg.jp/?lan=ja</x:v>
      </x:c>
      <x:c r="U554" s="19" t="str">
        <x:v>station-component|博多|西日本旅客鉄道|shinkansen|33.5896|130.4212|</x:v>
      </x:c>
      <x:c r="V554" s="19" t="str">
        <x:v>009033 / 009034 / 山陽新幹線</x:v>
      </x:c>
      <x:c r="W554" s="18" t="str">
        <x:v>否</x:v>
      </x:c>
      <x:c r="X554" s="18" t="str">
        <x:v>0785e932a32b3ec15e1a1345537ae145eafe1c07bf38d5c16c11ee2b391e7a28</x:v>
      </x:c>
      <x:c r="Y554" s="20" t="n">
        <x:v>1</x:v>
      </x:c>
      <x:c r="Z554" s="20" t="n">
        <x:v>1</x:v>
      </x:c>
      <x:c r="AA554" s="19" t="str">
        <x:v>博多</x:v>
      </x:c>
      <x:c r="AB554" s="18" t="str">
        <x:v>transport-hub-review:157f1421-d682-59e8-bf05-ec60f22a9004</x:v>
      </x:c>
      <x:c r="AC554" s="19"/>
    </x:row>
    <x:row r="555" ht="28" customHeight="1">
      <x:c r="A555" s="18" t="str">
        <x:v>博多南</x:v>
      </x:c>
      <x:c r="B555" s="18" t="str">
        <x:v>西日本旅客鉄道</x:v>
      </x:c>
      <x:c r="C555" s="18" t="str">
        <x:v>conventional_rail</x:v>
      </x:c>
      <x:c r="D555" s="19" t="str">
        <x:v>T2</x:v>
      </x:c>
      <x:c r="E555" s="20" t="n">
        <x:v>16202</x:v>
      </x:c>
      <x:c r="F555" s="18" t="str">
        <x:v>persons/day</x:v>
      </x:c>
      <x:c r="G555" s="18" t="str">
        <x:v>FY2024</x:v>
      </x:c>
      <x:c r="H555" s="18" t="str">
        <x:v>否</x:v>
      </x:c>
      <x:c r="I555" s="19" t="str">
        <x:v>DAILY_ENTRIES_EXITS</x:v>
      </x:c>
      <x:c r="J555" s="19" t="str">
        <x:v>博多南線</x:v>
      </x:c>
      <x:c r="K555" s="18" t="str">
        <x:v>transport-node:5343594a-47f7-576d-8801-7f00da28f955</x:v>
      </x:c>
      <x:c r="L555" s="19" t="str">
        <x:v>组件待审核</x:v>
      </x:c>
      <x:c r="M555" s="21" t="n">
        <x:v>33.51796</x:v>
      </x:c>
      <x:c r="N555" s="21" t="n">
        <x:v>130.436885</x:v>
      </x:c>
      <x:c r="O555" s="18" t="str">
        <x:v>009226</x:v>
      </x:c>
      <x:c r="P555" s="18" t="str">
        <x:v>博多南線</x:v>
      </x:c>
      <x:c r="Q555" s="19" t="str">
        <x:v>S12_061_GE_10000</x:v>
      </x:c>
      <x:c r="R555" s="19" t="str">
        <x:v>S12_061 usage threshold</x:v>
      </x:c>
      <x:c r="S555" s="19" t="str">
        <x:v>https://nlftp.mlit.go.jp/ksj/gml/datalist/KsjTmplt-S12-2024.html</x:v>
      </x:c>
      <x:c r="T555" s="19" t="str">
        <x:v>https://nlftp.mlit.go.jp/ksj/gml/datalist/KsjTmplt-S12-2024.html</x:v>
      </x:c>
      <x:c r="U555" s="19" t="str">
        <x:v>station-component|博多南|西日本旅客鉄道|conventional_rail|33.5180|130.4369|</x:v>
      </x:c>
      <x:c r="V555" s="19" t="str">
        <x:v>009226 / 009226 / 博多南線</x:v>
      </x:c>
      <x:c r="W555" s="18" t="str">
        <x:v>否</x:v>
      </x:c>
      <x:c r="X555" s="18" t="str">
        <x:v>0785e932a32b3ec15e1a1345537ae145eafe1c07bf38d5c16c11ee2b391e7a28</x:v>
      </x:c>
      <x:c r="Y555" s="20" t="n">
        <x:v>1</x:v>
      </x:c>
      <x:c r="Z555" s="20" t="n">
        <x:v>1</x:v>
      </x:c>
      <x:c r="AA555" s="19"/>
      <x:c r="AB555" s="18"/>
      <x:c r="AC555" s="19"/>
    </x:row>
    <x:row r="556" ht="28" customHeight="1">
      <x:c r="A556" s="18" t="str">
        <x:v>印西牧の原</x:v>
      </x:c>
      <x:c r="B556" s="18" t="str">
        <x:v>北総鉄道</x:v>
      </x:c>
      <x:c r="C556" s="18" t="str">
        <x:v>private_rail</x:v>
      </x:c>
      <x:c r="D556" s="19" t="str">
        <x:v>T2</x:v>
      </x:c>
      <x:c r="E556" s="20" t="n">
        <x:v>16549</x:v>
      </x:c>
      <x:c r="F556" s="18" t="str">
        <x:v>persons/day</x:v>
      </x:c>
      <x:c r="G556" s="18" t="str">
        <x:v>FY2024</x:v>
      </x:c>
      <x:c r="H556" s="18" t="str">
        <x:v>否</x:v>
      </x:c>
      <x:c r="I556" s="19" t="str">
        <x:v>DAILY_ENTRIES_EXITS</x:v>
      </x:c>
      <x:c r="J556" s="19" t="str">
        <x:v>北総線</x:v>
      </x:c>
      <x:c r="K556" s="18" t="str">
        <x:v>transport-node:281a40b4-b573-537e-9db1-29ec185867ef</x:v>
      </x:c>
      <x:c r="L556" s="19" t="str">
        <x:v>组件待审核</x:v>
      </x:c>
      <x:c r="M556" s="21" t="n">
        <x:v>35.803628</x:v>
      </x:c>
      <x:c r="N556" s="21" t="n">
        <x:v>140.167134</x:v>
      </x:c>
      <x:c r="O556" s="18" t="str">
        <x:v>003083</x:v>
      </x:c>
      <x:c r="P556" s="18" t="str">
        <x:v>北総線</x:v>
      </x:c>
      <x:c r="Q556" s="19" t="str">
        <x:v>S12_061_GE_10000</x:v>
      </x:c>
      <x:c r="R556" s="19" t="str">
        <x:v>S12_061 usage threshold</x:v>
      </x:c>
      <x:c r="S556" s="19" t="str">
        <x:v>https://nlftp.mlit.go.jp/ksj/gml/datalist/KsjTmplt-S12-2024.html</x:v>
      </x:c>
      <x:c r="T556" s="19" t="str">
        <x:v>https://nlftp.mlit.go.jp/ksj/gml/datalist/KsjTmplt-S12-2024.html</x:v>
      </x:c>
      <x:c r="U556" s="19" t="str">
        <x:v>station-component|印西牧の原|北総鉄道|private_rail|35.8036|140.1671|</x:v>
      </x:c>
      <x:c r="V556" s="19" t="str">
        <x:v>003083 / 003083 / 北総線</x:v>
      </x:c>
      <x:c r="W556" s="18" t="str">
        <x:v>否</x:v>
      </x:c>
      <x:c r="X556" s="18" t="str">
        <x:v>0785e932a32b3ec15e1a1345537ae145eafe1c07bf38d5c16c11ee2b391e7a28</x:v>
      </x:c>
      <x:c r="Y556" s="20" t="n">
        <x:v>1</x:v>
      </x:c>
      <x:c r="Z556" s="20" t="n">
        <x:v>1</x:v>
      </x:c>
      <x:c r="AA556" s="19"/>
      <x:c r="AB556" s="18"/>
      <x:c r="AC556" s="19"/>
    </x:row>
    <x:row r="557" ht="33" customHeight="1">
      <x:c r="A557" s="18" t="str">
        <x:v>厚木</x:v>
      </x:c>
      <x:c r="B557" s="18" t="str">
        <x:v>小田急電鉄</x:v>
      </x:c>
      <x:c r="C557" s="18" t="str">
        <x:v>private_rail</x:v>
      </x:c>
      <x:c r="D557" s="19" t="str">
        <x:v>T2</x:v>
      </x:c>
      <x:c r="E557" s="20" t="n">
        <x:v>32376</x:v>
      </x:c>
      <x:c r="F557" s="18" t="str">
        <x:v>persons/day</x:v>
      </x:c>
      <x:c r="G557" s="18" t="str">
        <x:v>FY2024</x:v>
      </x:c>
      <x:c r="H557" s="18" t="str">
        <x:v>否</x:v>
      </x:c>
      <x:c r="I557" s="19" t="str">
        <x:v>DAILY_ENTRIES_EXITS</x:v>
      </x:c>
      <x:c r="J557" s="19" t="str">
        <x:v>小田原線</x:v>
      </x:c>
      <x:c r="K557" s="18" t="str">
        <x:v>transport-node:e42d781f-6317-5720-b9ca-f0d53e673755</x:v>
      </x:c>
      <x:c r="L557" s="19" t="str">
        <x:v>组件待审核</x:v>
      </x:c>
      <x:c r="M557" s="21" t="n">
        <x:v>35.4430767</x:v>
      </x:c>
      <x:c r="N557" s="21" t="n">
        <x:v>139.3779633</x:v>
      </x:c>
      <x:c r="O557" s="18" t="str">
        <x:v>004703</x:v>
      </x:c>
      <x:c r="P557" s="18" t="str">
        <x:v>小田原線</x:v>
      </x:c>
      <x:c r="Q557" s="19" t="str">
        <x:v>S12_061_GE_10000
OFFICIAL_HUB_COMPONENT_REVIEW</x:v>
      </x:c>
      <x:c r="R557" s="19" t="str">
        <x:v>S12_061 usage threshold</x:v>
      </x:c>
      <x:c r="S557" s="19" t="str">
        <x:v>https://nlftp.mlit.go.jp/ksj/gml/datalist/KsjTmplt-S12-2024.html</x:v>
      </x:c>
      <x:c r="T557" s="19" t="str">
        <x:v>https://nlftp.mlit.go.jp/ksj/gml/datalist/KsjTmplt-S12-2024.html
https://www.odakyu.jp/station/</x:v>
      </x:c>
      <x:c r="U557" s="19" t="str">
        <x:v>station-component|厚木|小田急電鉄|private_rail|35.4431|139.3780|</x:v>
      </x:c>
      <x:c r="V557" s="19" t="str">
        <x:v>004701 / 004703 / 小田原線</x:v>
      </x:c>
      <x:c r="W557" s="18" t="str">
        <x:v>否</x:v>
      </x:c>
      <x:c r="X557" s="18" t="str">
        <x:v>0785e932a32b3ec15e1a1345537ae145eafe1c07bf38d5c16c11ee2b391e7a28</x:v>
      </x:c>
      <x:c r="Y557" s="20" t="n">
        <x:v>1</x:v>
      </x:c>
      <x:c r="Z557" s="20" t="n">
        <x:v>1</x:v>
      </x:c>
      <x:c r="AA557" s="19" t="str">
        <x:v>厚木</x:v>
      </x:c>
      <x:c r="AB557" s="18" t="str">
        <x:v>transport-hub-review:d9df3bf3-9a6c-599c-bc60-46f61cf5692d</x:v>
      </x:c>
      <x:c r="AC557" s="19"/>
    </x:row>
    <x:row r="558" ht="33" customHeight="1">
      <x:c r="A558" s="18" t="str">
        <x:v>厚木</x:v>
      </x:c>
      <x:c r="B558" s="18" t="str">
        <x:v>東日本旅客鉄道</x:v>
      </x:c>
      <x:c r="C558" s="18" t="str">
        <x:v>conventional_rail</x:v>
      </x:c>
      <x:c r="D558" s="19"/>
      <x:c r="E558" s="20"/>
      <x:c r="F558" s="18"/>
      <x:c r="G558" s="18" t="str">
        <x:v>FY2024</x:v>
      </x:c>
      <x:c r="H558" s="18" t="str">
        <x:v>是</x:v>
      </x:c>
      <x:c r="I558" s="19" t="str">
        <x:v>USAGE_DATA_UNAVAILABLE</x:v>
      </x:c>
      <x:c r="J558" s="19" t="str">
        <x:v>相模線</x:v>
      </x:c>
      <x:c r="K558" s="18" t="str">
        <x:v>transport-node:2037ab16-917d-522f-acc0-683fdfd8eba9</x:v>
      </x:c>
      <x:c r="L558" s="19" t="str">
        <x:v>组件待审核</x:v>
      </x:c>
      <x:c r="M558" s="21" t="n">
        <x:v>35.44382</x:v>
      </x:c>
      <x:c r="N558" s="21" t="n">
        <x:v>139.378605</x:v>
      </x:c>
      <x:c r="O558" s="18" t="str">
        <x:v>004701</x:v>
      </x:c>
      <x:c r="P558" s="18" t="str">
        <x:v>相模線</x:v>
      </x:c>
      <x:c r="Q558" s="19" t="str">
        <x:v>OFFICIAL_HUB_COMPONENT_REVIEW</x:v>
      </x:c>
      <x:c r="R558" s="19" t="str">
        <x:v>Official S12 usage unavailable; manual tier review required</x:v>
      </x:c>
      <x:c r="S558" s="19" t="str">
        <x:v>https://nlftp.mlit.go.jp/ksj/gml/datalist/KsjTmplt-S12-2024.html</x:v>
      </x:c>
      <x:c r="T558" s="19" t="str">
        <x:v>https://nlftp.mlit.go.jp/ksj/gml/datalist/KsjTmplt-S12-2024.html
https://www.odakyu.jp/station/</x:v>
      </x:c>
      <x:c r="U558" s="19" t="str">
        <x:v>station-component|厚木|東日本旅客鉄道|conventional_rail|35.4438|139.3786|</x:v>
      </x:c>
      <x:c r="V558" s="19" t="str">
        <x:v>004701 / 004701 / 相模線</x:v>
      </x:c>
      <x:c r="W558" s="18" t="str">
        <x:v>否</x:v>
      </x:c>
      <x:c r="X558" s="18" t="str">
        <x:v>0785e932a32b3ec15e1a1345537ae145eafe1c07bf38d5c16c11ee2b391e7a28</x:v>
      </x:c>
      <x:c r="Y558" s="20" t="n">
        <x:v>1</x:v>
      </x:c>
      <x:c r="Z558" s="20" t="n">
        <x:v>2</x:v>
      </x:c>
      <x:c r="AA558" s="19" t="str">
        <x:v>厚木</x:v>
      </x:c>
      <x:c r="AB558" s="18" t="str">
        <x:v>transport-hub-review:d9df3bf3-9a6c-599c-bc60-46f61cf5692d</x:v>
      </x:c>
      <x:c r="AC558" s="19"/>
    </x:row>
    <x:row r="559" ht="28" customHeight="1">
      <x:c r="A559" s="18" t="str">
        <x:v>厚狭</x:v>
      </x:c>
      <x:c r="B559" s="18" t="str">
        <x:v>西日本旅客鉄道</x:v>
      </x:c>
      <x:c r="C559" s="18" t="str">
        <x:v>shinkansen</x:v>
      </x:c>
      <x:c r="D559" s="19"/>
      <x:c r="E559" s="20"/>
      <x:c r="F559" s="18"/>
      <x:c r="G559" s="18" t="str">
        <x:v>FY2024</x:v>
      </x:c>
      <x:c r="H559" s="18" t="str">
        <x:v>是</x:v>
      </x:c>
      <x:c r="I559" s="19" t="str">
        <x:v>USAGE_DATA_UNAVAILABLE</x:v>
      </x:c>
      <x:c r="J559" s="19" t="str">
        <x:v>山陽新幹線</x:v>
      </x:c>
      <x:c r="K559" s="18" t="str">
        <x:v>transport-node:2602e3e2-27bb-5334-bac1-b4a1b2ba9670</x:v>
      </x:c>
      <x:c r="L559" s="19" t="str">
        <x:v>组件待审核</x:v>
      </x:c>
      <x:c r="M559" s="21" t="n">
        <x:v>34.0530067</x:v>
      </x:c>
      <x:c r="N559" s="21" t="n">
        <x:v>131.1604067</x:v>
      </x:c>
      <x:c r="O559" s="18" t="str">
        <x:v>008528</x:v>
      </x:c>
      <x:c r="P559" s="18" t="str">
        <x:v>山陽新幹線</x:v>
      </x:c>
      <x:c r="Q559" s="19" t="str">
        <x:v>SHINKANSEN</x:v>
      </x:c>
      <x:c r="R559" s="19" t="str">
        <x:v>Official S12 usage unavailable; manual tier review required</x:v>
      </x:c>
      <x:c r="S559" s="19" t="str">
        <x:v>https://nlftp.mlit.go.jp/ksj/gml/datalist/KsjTmplt-S12-2024.html</x:v>
      </x:c>
      <x:c r="T559" s="19" t="str">
        <x:v>https://nlftp.mlit.go.jp/ksj/gml/datalist/KsjTmplt-S12-2024.html</x:v>
      </x:c>
      <x:c r="U559" s="19" t="str">
        <x:v>station-component|厚狭|西日本旅客鉄道|shinkansen|34.0530|131.1604|</x:v>
      </x:c>
      <x:c r="V559" s="19" t="str">
        <x:v>008524 / 008528 / 山陽新幹線</x:v>
      </x:c>
      <x:c r="W559" s="18" t="str">
        <x:v>否</x:v>
      </x:c>
      <x:c r="X559" s="18" t="str">
        <x:v>0785e932a32b3ec15e1a1345537ae145eafe1c07bf38d5c16c11ee2b391e7a28</x:v>
      </x:c>
      <x:c r="Y559" s="20" t="n">
        <x:v>1</x:v>
      </x:c>
      <x:c r="Z559" s="20" t="n">
        <x:v>2</x:v>
      </x:c>
      <x:c r="AA559" s="19"/>
      <x:c r="AB559" s="18"/>
      <x:c r="AC559" s="19"/>
    </x:row>
    <x:row r="560" ht="28" customHeight="1">
      <x:c r="A560" s="18" t="str">
        <x:v>原</x:v>
      </x:c>
      <x:c r="B560" s="18" t="str">
        <x:v>名古屋市</x:v>
      </x:c>
      <x:c r="C560" s="18" t="str">
        <x:v>metro</x:v>
      </x:c>
      <x:c r="D560" s="19" t="str">
        <x:v>T2</x:v>
      </x:c>
      <x:c r="E560" s="20" t="n">
        <x:v>17821</x:v>
      </x:c>
      <x:c r="F560" s="18" t="str">
        <x:v>persons/day</x:v>
      </x:c>
      <x:c r="G560" s="18" t="str">
        <x:v>FY2024</x:v>
      </x:c>
      <x:c r="H560" s="18" t="str">
        <x:v>否</x:v>
      </x:c>
      <x:c r="I560" s="19" t="str">
        <x:v>DAILY_ENTRIES_EXITS</x:v>
      </x:c>
      <x:c r="J560" s="19" t="str">
        <x:v>3号線鶴舞線</x:v>
      </x:c>
      <x:c r="K560" s="18" t="str">
        <x:v>transport-node:fc91742e-bb78-5618-9667-650e8cc17c39</x:v>
      </x:c>
      <x:c r="L560" s="19" t="str">
        <x:v>组件待审核</x:v>
      </x:c>
      <x:c r="M560" s="21" t="n">
        <x:v>35.1260367</x:v>
      </x:c>
      <x:c r="N560" s="21" t="n">
        <x:v>136.9970867</x:v>
      </x:c>
      <x:c r="O560" s="18" t="str">
        <x:v>005602</x:v>
      </x:c>
      <x:c r="P560" s="18" t="str">
        <x:v>3号線鶴舞線</x:v>
      </x:c>
      <x:c r="Q560" s="19" t="str">
        <x:v>S12_061_GE_10000</x:v>
      </x:c>
      <x:c r="R560" s="19" t="str">
        <x:v>S12_061 usage threshold</x:v>
      </x:c>
      <x:c r="S560" s="19" t="str">
        <x:v>https://nlftp.mlit.go.jp/ksj/gml/datalist/KsjTmplt-S12-2024.html</x:v>
      </x:c>
      <x:c r="T560" s="19" t="str">
        <x:v>https://nlftp.mlit.go.jp/ksj/gml/datalist/KsjTmplt-S12-2024.html</x:v>
      </x:c>
      <x:c r="U560" s="19" t="str">
        <x:v>station-component|原|名古屋市|metro|35.1260|136.9971|</x:v>
      </x:c>
      <x:c r="V560" s="19" t="str">
        <x:v>005602 / 005602 / 3号線鶴舞線</x:v>
      </x:c>
      <x:c r="W560" s="18" t="str">
        <x:v>否</x:v>
      </x:c>
      <x:c r="X560" s="18" t="str">
        <x:v>0785e932a32b3ec15e1a1345537ae145eafe1c07bf38d5c16c11ee2b391e7a28</x:v>
      </x:c>
      <x:c r="Y560" s="20" t="n">
        <x:v>1</x:v>
      </x:c>
      <x:c r="Z560" s="20" t="n">
        <x:v>1</x:v>
      </x:c>
      <x:c r="AA560" s="19"/>
      <x:c r="AB560" s="18"/>
      <x:c r="AC560" s="19"/>
    </x:row>
    <x:row r="561" ht="33" customHeight="1">
      <x:c r="A561" s="18" t="str">
        <x:v>原宿</x:v>
      </x:c>
      <x:c r="B561" s="18" t="str">
        <x:v>東日本旅客鉄道</x:v>
      </x:c>
      <x:c r="C561" s="18" t="str">
        <x:v>conventional_rail</x:v>
      </x:c>
      <x:c r="D561" s="19" t="str">
        <x:v>T1</x:v>
      </x:c>
      <x:c r="E561" s="20" t="n">
        <x:v>134814</x:v>
      </x:c>
      <x:c r="F561" s="18" t="str">
        <x:v>persons/day</x:v>
      </x:c>
      <x:c r="G561" s="18" t="str">
        <x:v>FY2024</x:v>
      </x:c>
      <x:c r="H561" s="18" t="str">
        <x:v>否</x:v>
      </x:c>
      <x:c r="I561" s="19" t="str">
        <x:v>DAILY_ENTRIES_EXITS</x:v>
      </x:c>
      <x:c r="J561" s="19" t="str">
        <x:v>山手線</x:v>
      </x:c>
      <x:c r="K561" s="18" t="str">
        <x:v>transport-node:227001e9-60e9-53b4-996d-d84b9244fe89</x:v>
      </x:c>
      <x:c r="L561" s="19" t="str">
        <x:v>组件待审核</x:v>
      </x:c>
      <x:c r="M561" s="21" t="n">
        <x:v>35.67132</x:v>
      </x:c>
      <x:c r="N561" s="21" t="n">
        <x:v>139.7027125</x:v>
      </x:c>
      <x:c r="O561" s="18" t="str">
        <x:v>003828</x:v>
      </x:c>
      <x:c r="P561" s="18" t="str">
        <x:v>山手線</x:v>
      </x:c>
      <x:c r="Q561" s="19" t="str">
        <x:v>S12_061_GE_10000
OFFICIAL_HUB_COMPONENT_REVIEW</x:v>
      </x:c>
      <x:c r="R561" s="19" t="str">
        <x:v>S12_061 usage threshold</x:v>
      </x:c>
      <x:c r="S561" s="19" t="str">
        <x:v>https://nlftp.mlit.go.jp/ksj/gml/datalist/KsjTmplt-S12-2024.html</x:v>
      </x:c>
      <x:c r="T561" s="19" t="str">
        <x:v>https://nlftp.mlit.go.jp/ksj/gml/datalist/KsjTmplt-S12-2024.html
https://www.tokyometro.jp/station/meiji-jingumae/index.html</x:v>
      </x:c>
      <x:c r="U561" s="19" t="str">
        <x:v>station-component|原宿|東日本旅客鉄道|conventional_rail|35.6713|139.7027|</x:v>
      </x:c>
      <x:c r="V561" s="19" t="str">
        <x:v>003828 / 003828 / 山手線</x:v>
      </x:c>
      <x:c r="W561" s="18" t="str">
        <x:v>否</x:v>
      </x:c>
      <x:c r="X561" s="18" t="str">
        <x:v>0785e932a32b3ec15e1a1345537ae145eafe1c07bf38d5c16c11ee2b391e7a28</x:v>
      </x:c>
      <x:c r="Y561" s="20" t="n">
        <x:v>1</x:v>
      </x:c>
      <x:c r="Z561" s="20" t="n">
        <x:v>1</x:v>
      </x:c>
      <x:c r="AA561" s="19" t="str">
        <x:v>原宿・明治神宮前</x:v>
      </x:c>
      <x:c r="AB561" s="18" t="str">
        <x:v>transport-hub-review:9656f81d-44de-5cf8-829a-0c6650d967b2</x:v>
      </x:c>
      <x:c r="AC561" s="19"/>
    </x:row>
    <x:row r="562" ht="28" customHeight="1">
      <x:c r="A562" s="18" t="str">
        <x:v>原木中山</x:v>
      </x:c>
      <x:c r="B562" s="18" t="str">
        <x:v>東京地下鉄</x:v>
      </x:c>
      <x:c r="C562" s="18" t="str">
        <x:v>metro</x:v>
      </x:c>
      <x:c r="D562" s="19" t="str">
        <x:v>T2</x:v>
      </x:c>
      <x:c r="E562" s="20" t="n">
        <x:v>27159</x:v>
      </x:c>
      <x:c r="F562" s="18" t="str">
        <x:v>persons/day</x:v>
      </x:c>
      <x:c r="G562" s="18" t="str">
        <x:v>FY2024</x:v>
      </x:c>
      <x:c r="H562" s="18" t="str">
        <x:v>否</x:v>
      </x:c>
      <x:c r="I562" s="19" t="str">
        <x:v>DAILY_ENTRIES_EXITS</x:v>
      </x:c>
      <x:c r="J562" s="19" t="str">
        <x:v>5号線東西線</x:v>
      </x:c>
      <x:c r="K562" s="18" t="str">
        <x:v>transport-node:53590bca-80f6-5a0f-b0e3-3d1b78d9cebe</x:v>
      </x:c>
      <x:c r="L562" s="19" t="str">
        <x:v>组件待审核</x:v>
      </x:c>
      <x:c r="M562" s="21" t="n">
        <x:v>35.7033</x:v>
      </x:c>
      <x:c r="N562" s="21" t="n">
        <x:v>139.941915</x:v>
      </x:c>
      <x:c r="O562" s="18" t="str">
        <x:v>003582</x:v>
      </x:c>
      <x:c r="P562" s="18" t="str">
        <x:v>5号線東西線</x:v>
      </x:c>
      <x:c r="Q562" s="19" t="str">
        <x:v>S12_061_GE_10000</x:v>
      </x:c>
      <x:c r="R562" s="19" t="str">
        <x:v>S12_061 usage threshold</x:v>
      </x:c>
      <x:c r="S562" s="19" t="str">
        <x:v>https://nlftp.mlit.go.jp/ksj/gml/datalist/KsjTmplt-S12-2024.html</x:v>
      </x:c>
      <x:c r="T562" s="19" t="str">
        <x:v>https://nlftp.mlit.go.jp/ksj/gml/datalist/KsjTmplt-S12-2024.html</x:v>
      </x:c>
      <x:c r="U562" s="19" t="str">
        <x:v>station-component|原木中山|東京地下鉄|metro|35.7033|139.9419|</x:v>
      </x:c>
      <x:c r="V562" s="19" t="str">
        <x:v>003582 / 003582 / 5号線東西線</x:v>
      </x:c>
      <x:c r="W562" s="18" t="str">
        <x:v>否</x:v>
      </x:c>
      <x:c r="X562" s="18" t="str">
        <x:v>0785e932a32b3ec15e1a1345537ae145eafe1c07bf38d5c16c11ee2b391e7a28</x:v>
      </x:c>
      <x:c r="Y562" s="20" t="n">
        <x:v>1</x:v>
      </x:c>
      <x:c r="Z562" s="20" t="n">
        <x:v>1</x:v>
      </x:c>
      <x:c r="AA562" s="19"/>
      <x:c r="AB562" s="18"/>
      <x:c r="AC562" s="19"/>
    </x:row>
    <x:row r="563" ht="28" customHeight="1">
      <x:c r="A563" s="18" t="str">
        <x:v>参宮橋</x:v>
      </x:c>
      <x:c r="B563" s="18" t="str">
        <x:v>小田急電鉄</x:v>
      </x:c>
      <x:c r="C563" s="18" t="str">
        <x:v>private_rail</x:v>
      </x:c>
      <x:c r="D563" s="19" t="str">
        <x:v>T2</x:v>
      </x:c>
      <x:c r="E563" s="20" t="n">
        <x:v>13182</x:v>
      </x:c>
      <x:c r="F563" s="18" t="str">
        <x:v>persons/day</x:v>
      </x:c>
      <x:c r="G563" s="18" t="str">
        <x:v>FY2024</x:v>
      </x:c>
      <x:c r="H563" s="18" t="str">
        <x:v>否</x:v>
      </x:c>
      <x:c r="I563" s="19" t="str">
        <x:v>DAILY_ENTRIES_EXITS</x:v>
      </x:c>
      <x:c r="J563" s="19" t="str">
        <x:v>小田原線</x:v>
      </x:c>
      <x:c r="K563" s="18" t="str">
        <x:v>transport-node:98534ac4-7723-52f6-afb4-427754c5eba8</x:v>
      </x:c>
      <x:c r="L563" s="19" t="str">
        <x:v>组件待审核</x:v>
      </x:c>
      <x:c r="M563" s="21" t="n">
        <x:v>35.678605</x:v>
      </x:c>
      <x:c r="N563" s="21" t="n">
        <x:v>139.693585</x:v>
      </x:c>
      <x:c r="O563" s="18" t="str">
        <x:v>003778</x:v>
      </x:c>
      <x:c r="P563" s="18" t="str">
        <x:v>小田原線</x:v>
      </x:c>
      <x:c r="Q563" s="19" t="str">
        <x:v>S12_061_GE_10000</x:v>
      </x:c>
      <x:c r="R563" s="19" t="str">
        <x:v>S12_061 usage threshold</x:v>
      </x:c>
      <x:c r="S563" s="19" t="str">
        <x:v>https://nlftp.mlit.go.jp/ksj/gml/datalist/KsjTmplt-S12-2024.html</x:v>
      </x:c>
      <x:c r="T563" s="19" t="str">
        <x:v>https://nlftp.mlit.go.jp/ksj/gml/datalist/KsjTmplt-S12-2024.html</x:v>
      </x:c>
      <x:c r="U563" s="19" t="str">
        <x:v>station-component|参宮橋|小田急電鉄|private_rail|35.6786|139.6936|</x:v>
      </x:c>
      <x:c r="V563" s="19" t="str">
        <x:v>003778 / 003778 / 小田原線</x:v>
      </x:c>
      <x:c r="W563" s="18" t="str">
        <x:v>否</x:v>
      </x:c>
      <x:c r="X563" s="18" t="str">
        <x:v>0785e932a32b3ec15e1a1345537ae145eafe1c07bf38d5c16c11ee2b391e7a28</x:v>
      </x:c>
      <x:c r="Y563" s="20" t="n">
        <x:v>1</x:v>
      </x:c>
      <x:c r="Z563" s="20" t="n">
        <x:v>1</x:v>
      </x:c>
      <x:c r="AA563" s="19"/>
      <x:c r="AB563" s="18"/>
      <x:c r="AC563" s="19"/>
    </x:row>
    <x:row r="564" ht="28" customHeight="1">
      <x:c r="A564" s="18" t="str">
        <x:v>反町</x:v>
      </x:c>
      <x:c r="B564" s="18" t="str">
        <x:v>東急電鉄</x:v>
      </x:c>
      <x:c r="C564" s="18" t="str">
        <x:v>private_rail</x:v>
      </x:c>
      <x:c r="D564" s="19" t="str">
        <x:v>T2</x:v>
      </x:c>
      <x:c r="E564" s="20" t="n">
        <x:v>13199</x:v>
      </x:c>
      <x:c r="F564" s="18" t="str">
        <x:v>persons/day</x:v>
      </x:c>
      <x:c r="G564" s="18" t="str">
        <x:v>FY2024</x:v>
      </x:c>
      <x:c r="H564" s="18" t="str">
        <x:v>否</x:v>
      </x:c>
      <x:c r="I564" s="19" t="str">
        <x:v>DAILY_ENTRIES_EXITS</x:v>
      </x:c>
      <x:c r="J564" s="19" t="str">
        <x:v>東横線</x:v>
      </x:c>
      <x:c r="K564" s="18" t="str">
        <x:v>transport-node:039952da-fda7-5968-b301-401496466909</x:v>
      </x:c>
      <x:c r="L564" s="19" t="str">
        <x:v>组件待审核</x:v>
      </x:c>
      <x:c r="M564" s="21" t="n">
        <x:v>35.474218</x:v>
      </x:c>
      <x:c r="N564" s="21" t="n">
        <x:v>139.625358</x:v>
      </x:c>
      <x:c r="O564" s="18" t="str">
        <x:v>004608</x:v>
      </x:c>
      <x:c r="P564" s="18" t="str">
        <x:v>東横線</x:v>
      </x:c>
      <x:c r="Q564" s="19" t="str">
        <x:v>S12_061_GE_10000</x:v>
      </x:c>
      <x:c r="R564" s="19" t="str">
        <x:v>S12_061 usage threshold</x:v>
      </x:c>
      <x:c r="S564" s="19" t="str">
        <x:v>https://nlftp.mlit.go.jp/ksj/gml/datalist/KsjTmplt-S12-2024.html</x:v>
      </x:c>
      <x:c r="T564" s="19" t="str">
        <x:v>https://nlftp.mlit.go.jp/ksj/gml/datalist/KsjTmplt-S12-2024.html</x:v>
      </x:c>
      <x:c r="U564" s="19" t="str">
        <x:v>station-component|反町|東急電鉄|private_rail|35.4742|139.6254|</x:v>
      </x:c>
      <x:c r="V564" s="19" t="str">
        <x:v>004608 / 004608 / 東横線</x:v>
      </x:c>
      <x:c r="W564" s="18" t="str">
        <x:v>否</x:v>
      </x:c>
      <x:c r="X564" s="18" t="str">
        <x:v>0785e932a32b3ec15e1a1345537ae145eafe1c07bf38d5c16c11ee2b391e7a28</x:v>
      </x:c>
      <x:c r="Y564" s="20" t="n">
        <x:v>1</x:v>
      </x:c>
      <x:c r="Z564" s="20" t="n">
        <x:v>1</x:v>
      </x:c>
      <x:c r="AA564" s="19"/>
      <x:c r="AB564" s="18"/>
      <x:c r="AC564" s="19"/>
    </x:row>
    <x:row r="565" ht="28" customHeight="1">
      <x:c r="A565" s="18" t="str">
        <x:v>取手</x:v>
      </x:c>
      <x:c r="B565" s="18" t="str">
        <x:v>東日本旅客鉄道</x:v>
      </x:c>
      <x:c r="C565" s="18" t="str">
        <x:v>conventional_rail</x:v>
      </x:c>
      <x:c r="D565" s="19" t="str">
        <x:v>T2</x:v>
      </x:c>
      <x:c r="E565" s="20" t="n">
        <x:v>47750</x:v>
      </x:c>
      <x:c r="F565" s="18" t="str">
        <x:v>persons/day</x:v>
      </x:c>
      <x:c r="G565" s="18" t="str">
        <x:v>FY2024</x:v>
      </x:c>
      <x:c r="H565" s="18" t="str">
        <x:v>否</x:v>
      </x:c>
      <x:c r="I565" s="19" t="str">
        <x:v>DAILY_ENTRIES_EXITS</x:v>
      </x:c>
      <x:c r="J565" s="19" t="str">
        <x:v>常磐線</x:v>
      </x:c>
      <x:c r="K565" s="18" t="str">
        <x:v>transport-node:8f87a73d-84fd-56f1-b981-1b8db42a9bc7</x:v>
      </x:c>
      <x:c r="L565" s="19" t="str">
        <x:v>组件待审核</x:v>
      </x:c>
      <x:c r="M565" s="21" t="n">
        <x:v>35.8957275</x:v>
      </x:c>
      <x:c r="N565" s="21" t="n">
        <x:v>140.0629275</x:v>
      </x:c>
      <x:c r="O565" s="18" t="str">
        <x:v>002930</x:v>
      </x:c>
      <x:c r="P565" s="18" t="str">
        <x:v>常磐線</x:v>
      </x:c>
      <x:c r="Q565" s="19" t="str">
        <x:v>S12_061_GE_10000</x:v>
      </x:c>
      <x:c r="R565" s="19" t="str">
        <x:v>S12_061 usage threshold</x:v>
      </x:c>
      <x:c r="S565" s="19" t="str">
        <x:v>https://nlftp.mlit.go.jp/ksj/gml/datalist/KsjTmplt-S12-2024.html</x:v>
      </x:c>
      <x:c r="T565" s="19" t="str">
        <x:v>https://nlftp.mlit.go.jp/ksj/gml/datalist/KsjTmplt-S12-2024.html</x:v>
      </x:c>
      <x:c r="U565" s="19" t="str">
        <x:v>station-component|取手|東日本旅客鉄道|conventional_rail|35.8957|140.0629|</x:v>
      </x:c>
      <x:c r="V565" s="19" t="str">
        <x:v>002925 / 002930 / 常磐線</x:v>
      </x:c>
      <x:c r="W565" s="18" t="str">
        <x:v>否</x:v>
      </x:c>
      <x:c r="X565" s="18" t="str">
        <x:v>0785e932a32b3ec15e1a1345537ae145eafe1c07bf38d5c16c11ee2b391e7a28</x:v>
      </x:c>
      <x:c r="Y565" s="20" t="n">
        <x:v>1</x:v>
      </x:c>
      <x:c r="Z565" s="20" t="n">
        <x:v>1</x:v>
      </x:c>
      <x:c r="AA565" s="19"/>
      <x:c r="AB565" s="18"/>
      <x:c r="AC565" s="19"/>
    </x:row>
    <x:row r="566" ht="28" customHeight="1">
      <x:c r="A566" s="18" t="str">
        <x:v>取手</x:v>
      </x:c>
      <x:c r="B566" s="18" t="str">
        <x:v>関東鉄道</x:v>
      </x:c>
      <x:c r="C566" s="18" t="str">
        <x:v>private_rail</x:v>
      </x:c>
      <x:c r="D566" s="19" t="str">
        <x:v>T2</x:v>
      </x:c>
      <x:c r="E566" s="20" t="n">
        <x:v>11433</x:v>
      </x:c>
      <x:c r="F566" s="18" t="str">
        <x:v>persons/day</x:v>
      </x:c>
      <x:c r="G566" s="18" t="str">
        <x:v>FY2024</x:v>
      </x:c>
      <x:c r="H566" s="18" t="str">
        <x:v>否</x:v>
      </x:c>
      <x:c r="I566" s="19" t="str">
        <x:v>DAILY_ENTRIES_EXITS</x:v>
      </x:c>
      <x:c r="J566" s="19" t="str">
        <x:v>常総線</x:v>
      </x:c>
      <x:c r="K566" s="18" t="str">
        <x:v>transport-node:a441ea16-d6ea-5310-93b5-a587ee13053a</x:v>
      </x:c>
      <x:c r="L566" s="19" t="str">
        <x:v>组件待审核</x:v>
      </x:c>
      <x:c r="M566" s="21" t="n">
        <x:v>35.897385</x:v>
      </x:c>
      <x:c r="N566" s="21" t="n">
        <x:v>140.06384</x:v>
      </x:c>
      <x:c r="O566" s="18" t="str">
        <x:v>002925</x:v>
      </x:c>
      <x:c r="P566" s="18" t="str">
        <x:v>常総線</x:v>
      </x:c>
      <x:c r="Q566" s="19" t="str">
        <x:v>S12_061_GE_10000</x:v>
      </x:c>
      <x:c r="R566" s="19" t="str">
        <x:v>S12_061 usage threshold</x:v>
      </x:c>
      <x:c r="S566" s="19" t="str">
        <x:v>https://nlftp.mlit.go.jp/ksj/gml/datalist/KsjTmplt-S12-2024.html</x:v>
      </x:c>
      <x:c r="T566" s="19" t="str">
        <x:v>https://nlftp.mlit.go.jp/ksj/gml/datalist/KsjTmplt-S12-2024.html</x:v>
      </x:c>
      <x:c r="U566" s="19" t="str">
        <x:v>station-component|取手|関東鉄道|private_rail|35.8974|140.0638|</x:v>
      </x:c>
      <x:c r="V566" s="19" t="str">
        <x:v>002925 / 002925 / 常総線</x:v>
      </x:c>
      <x:c r="W566" s="18" t="str">
        <x:v>否</x:v>
      </x:c>
      <x:c r="X566" s="18" t="str">
        <x:v>0785e932a32b3ec15e1a1345537ae145eafe1c07bf38d5c16c11ee2b391e7a28</x:v>
      </x:c>
      <x:c r="Y566" s="20" t="n">
        <x:v>1</x:v>
      </x:c>
      <x:c r="Z566" s="20" t="n">
        <x:v>1</x:v>
      </x:c>
      <x:c r="AA566" s="19"/>
      <x:c r="AB566" s="18"/>
      <x:c r="AC566" s="19"/>
    </x:row>
    <x:row r="567" ht="33" customHeight="1">
      <x:c r="A567" s="18" t="str">
        <x:v>古川</x:v>
      </x:c>
      <x:c r="B567" s="18" t="str">
        <x:v>東日本旅客鉄道</x:v>
      </x:c>
      <x:c r="C567" s="18" t="str">
        <x:v>shinkansen</x:v>
      </x:c>
      <x:c r="D567" s="19"/>
      <x:c r="E567" s="20" t="n">
        <x:v>2724</x:v>
      </x:c>
      <x:c r="F567" s="18" t="str">
        <x:v>boardings/day</x:v>
      </x:c>
      <x:c r="G567" s="18" t="str">
        <x:v>FY2024</x:v>
      </x:c>
      <x:c r="H567" s="18" t="str">
        <x:v>是</x:v>
      </x:c>
      <x:c r="I567" s="19" t="str">
        <x:v>DAILY_SHINKANSEN_BOARDINGS</x:v>
      </x:c>
      <x:c r="J567" s="19" t="str">
        <x:v>東北新幹線</x:v>
      </x:c>
      <x:c r="K567" s="18" t="str">
        <x:v>transport-node:6edb3c4b-2a73-5877-8976-c24189768750</x:v>
      </x:c>
      <x:c r="L567" s="19" t="str">
        <x:v>组件待审核</x:v>
      </x:c>
      <x:c r="M567" s="21" t="n">
        <x:v>38.57075</x:v>
      </x:c>
      <x:c r="N567" s="21" t="n">
        <x:v>140.9677875</x:v>
      </x:c>
      <x:c r="O567" s="18" t="str">
        <x:v>001052</x:v>
      </x:c>
      <x:c r="P567" s="18" t="str">
        <x:v>東北新幹線</x:v>
      </x:c>
      <x:c r="Q567" s="19" t="str">
        <x:v>SHINKANSEN</x:v>
      </x:c>
      <x:c r="R567" s="19" t="str">
        <x:v>Official fallback retained in published scope/unit; tier remains null pending metric/manual review.</x:v>
      </x:c>
      <x:c r="S567" s="19" t="str">
        <x:v>https://www.jreast.co.jp/company/data/passenger/2024_shinkansen.html/</x:v>
      </x:c>
      <x:c r="T567" s="19" t="str">
        <x:v>https://nlftp.mlit.go.jp/ksj/gml/datalist/KsjTmplt-S12-2024.html
https://www.jreast.co.jp/company/data/passenger/2024_shinkansen.html/</x:v>
      </x:c>
      <x:c r="U567" s="19" t="str">
        <x:v>station-component|古川|東日本旅客鉄道|shinkansen|38.5707|140.9678|</x:v>
      </x:c>
      <x:c r="V567" s="19" t="str">
        <x:v>001052 / 001052 / 東北新幹線</x:v>
      </x:c>
      <x:c r="W567" s="18" t="str">
        <x:v>否</x:v>
      </x:c>
      <x:c r="X567" s="18" t="str">
        <x:v>0785e932a32b3ec15e1a1345537ae145eafe1c07bf38d5c16c11ee2b391e7a28</x:v>
      </x:c>
      <x:c r="Y567" s="20" t="n">
        <x:v>1</x:v>
      </x:c>
      <x:c r="Z567" s="20" t="n">
        <x:v>2</x:v>
      </x:c>
      <x:c r="AA567" s="19"/>
      <x:c r="AB567" s="18"/>
      <x:c r="AC567" s="19"/>
    </x:row>
    <x:row r="568" ht="28" customHeight="1">
      <x:c r="A568" s="18" t="str">
        <x:v>古川橋</x:v>
      </x:c>
      <x:c r="B568" s="18" t="str">
        <x:v>京阪電気鉄道</x:v>
      </x:c>
      <x:c r="C568" s="18" t="str">
        <x:v>private_rail</x:v>
      </x:c>
      <x:c r="D568" s="19" t="str">
        <x:v>T2</x:v>
      </x:c>
      <x:c r="E568" s="20" t="n">
        <x:v>15861</x:v>
      </x:c>
      <x:c r="F568" s="18" t="str">
        <x:v>persons/day</x:v>
      </x:c>
      <x:c r="G568" s="18" t="str">
        <x:v>FY2024</x:v>
      </x:c>
      <x:c r="H568" s="18" t="str">
        <x:v>否</x:v>
      </x:c>
      <x:c r="I568" s="19" t="str">
        <x:v>DAILY_ENTRIES_EXITS</x:v>
      </x:c>
      <x:c r="J568" s="19" t="str">
        <x:v>京阪本線</x:v>
      </x:c>
      <x:c r="K568" s="18" t="str">
        <x:v>transport-node:4b62fdb2-6f68-5f2f-b2b2-d89d27c65556</x:v>
      </x:c>
      <x:c r="L568" s="19" t="str">
        <x:v>组件待审核</x:v>
      </x:c>
      <x:c r="M568" s="21" t="n">
        <x:v>34.7398733</x:v>
      </x:c>
      <x:c r="N568" s="21" t="n">
        <x:v>135.59129</x:v>
      </x:c>
      <x:c r="O568" s="18" t="str">
        <x:v>006874</x:v>
      </x:c>
      <x:c r="P568" s="18" t="str">
        <x:v>京阪本線</x:v>
      </x:c>
      <x:c r="Q568" s="19" t="str">
        <x:v>S12_061_GE_10000</x:v>
      </x:c>
      <x:c r="R568" s="19" t="str">
        <x:v>S12_061 usage threshold</x:v>
      </x:c>
      <x:c r="S568" s="19" t="str">
        <x:v>https://nlftp.mlit.go.jp/ksj/gml/datalist/KsjTmplt-S12-2024.html</x:v>
      </x:c>
      <x:c r="T568" s="19" t="str">
        <x:v>https://nlftp.mlit.go.jp/ksj/gml/datalist/KsjTmplt-S12-2024.html</x:v>
      </x:c>
      <x:c r="U568" s="19" t="str">
        <x:v>station-component|古川橋|京阪電気鉄道|private_rail|34.7399|135.5913|</x:v>
      </x:c>
      <x:c r="V568" s="19" t="str">
        <x:v>006874 / 006874 / 京阪本線</x:v>
      </x:c>
      <x:c r="W568" s="18" t="str">
        <x:v>否</x:v>
      </x:c>
      <x:c r="X568" s="18" t="str">
        <x:v>0785e932a32b3ec15e1a1345537ae145eafe1c07bf38d5c16c11ee2b391e7a28</x:v>
      </x:c>
      <x:c r="Y568" s="20" t="n">
        <x:v>1</x:v>
      </x:c>
      <x:c r="Z568" s="20" t="n">
        <x:v>1</x:v>
      </x:c>
      <x:c r="AA568" s="19"/>
      <x:c r="AB568" s="18"/>
      <x:c r="AC568" s="19"/>
    </x:row>
    <x:row r="569" ht="33" customHeight="1">
      <x:c r="A569" s="18" t="str">
        <x:v>古市</x:v>
      </x:c>
      <x:c r="B569" s="18" t="str">
        <x:v>近畿日本鉄道</x:v>
      </x:c>
      <x:c r="C569" s="18" t="str">
        <x:v>private_rail</x:v>
      </x:c>
      <x:c r="D569" s="19" t="str">
        <x:v>T2</x:v>
      </x:c>
      <x:c r="E569" s="20" t="n">
        <x:v>18135</x:v>
      </x:c>
      <x:c r="F569" s="18" t="str">
        <x:v>persons/day</x:v>
      </x:c>
      <x:c r="G569" s="18" t="str">
        <x:v>FY2024</x:v>
      </x:c>
      <x:c r="H569" s="18" t="str">
        <x:v>否</x:v>
      </x:c>
      <x:c r="I569" s="19" t="str">
        <x:v>DAILY_ENTRIES_EXITS</x:v>
      </x:c>
      <x:c r="J569" s="19" t="str">
        <x:v>南大阪線
長野線</x:v>
      </x:c>
      <x:c r="K569" s="18" t="str">
        <x:v>transport-node:95ecb872-93a5-5f63-b6ca-8ef5d04bf7f9</x:v>
      </x:c>
      <x:c r="L569" s="19" t="str">
        <x:v>组件待审核</x:v>
      </x:c>
      <x:c r="M569" s="21" t="n">
        <x:v>34.5540475</x:v>
      </x:c>
      <x:c r="N569" s="21" t="n">
        <x:v>135.6091225</x:v>
      </x:c>
      <x:c r="O569" s="18" t="str">
        <x:v>007719</x:v>
      </x:c>
      <x:c r="P569" s="18" t="str">
        <x:v>南大阪線</x:v>
      </x:c>
      <x:c r="Q569" s="19" t="str">
        <x:v>S12_061_GE_10000</x:v>
      </x:c>
      <x:c r="R569" s="19" t="str">
        <x:v>S12_061 usage threshold</x:v>
      </x:c>
      <x:c r="S569" s="19" t="str">
        <x:v>https://nlftp.mlit.go.jp/ksj/gml/datalist/KsjTmplt-S12-2024.html</x:v>
      </x:c>
      <x:c r="T569" s="19" t="str">
        <x:v>https://nlftp.mlit.go.jp/ksj/gml/datalist/KsjTmplt-S12-2024.html</x:v>
      </x:c>
      <x:c r="U569" s="19" t="str">
        <x:v>station-component|古市|近畿日本鉄道|private_rail|34.5540|135.6091|</x:v>
      </x:c>
      <x:c r="V569" s="19" t="str">
        <x:v>007718 / 007718 / 長野線
007718 / 007719 / 南大阪線</x:v>
      </x:c>
      <x:c r="W569" s="18" t="str">
        <x:v>否</x:v>
      </x:c>
      <x:c r="X569" s="18" t="str">
        <x:v>0785e932a32b3ec15e1a1345537ae145eafe1c07bf38d5c16c11ee2b391e7a28</x:v>
      </x:c>
      <x:c r="Y569" s="20" t="n">
        <x:v>1</x:v>
      </x:c>
      <x:c r="Z569" s="20" t="n">
        <x:v>1</x:v>
      </x:c>
      <x:c r="AA569" s="19"/>
      <x:c r="AB569" s="18"/>
      <x:c r="AC569" s="19"/>
    </x:row>
    <x:row r="570" ht="28" customHeight="1">
      <x:c r="A570" s="18" t="str">
        <x:v>古河</x:v>
      </x:c>
      <x:c r="B570" s="18" t="str">
        <x:v>東日本旅客鉄道</x:v>
      </x:c>
      <x:c r="C570" s="18" t="str">
        <x:v>conventional_rail</x:v>
      </x:c>
      <x:c r="D570" s="19" t="str">
        <x:v>T2</x:v>
      </x:c>
      <x:c r="E570" s="20" t="n">
        <x:v>23096</x:v>
      </x:c>
      <x:c r="F570" s="18" t="str">
        <x:v>persons/day</x:v>
      </x:c>
      <x:c r="G570" s="18" t="str">
        <x:v>FY2024</x:v>
      </x:c>
      <x:c r="H570" s="18" t="str">
        <x:v>否</x:v>
      </x:c>
      <x:c r="I570" s="19" t="str">
        <x:v>DAILY_ENTRIES_EXITS</x:v>
      </x:c>
      <x:c r="J570" s="19" t="str">
        <x:v>東北線</x:v>
      </x:c>
      <x:c r="K570" s="18" t="str">
        <x:v>transport-node:22d28b23-b609-538e-ae1e-1f6d7bbeca84</x:v>
      </x:c>
      <x:c r="L570" s="19" t="str">
        <x:v>组件待审核</x:v>
      </x:c>
      <x:c r="M570" s="21" t="n">
        <x:v>36.194415</x:v>
      </x:c>
      <x:c r="N570" s="21" t="n">
        <x:v>139.709715</x:v>
      </x:c>
      <x:c r="O570" s="18" t="str">
        <x:v>002547</x:v>
      </x:c>
      <x:c r="P570" s="18" t="str">
        <x:v>東北線</x:v>
      </x:c>
      <x:c r="Q570" s="19" t="str">
        <x:v>S12_061_GE_10000</x:v>
      </x:c>
      <x:c r="R570" s="19" t="str">
        <x:v>S12_061 usage threshold</x:v>
      </x:c>
      <x:c r="S570" s="19" t="str">
        <x:v>https://nlftp.mlit.go.jp/ksj/gml/datalist/KsjTmplt-S12-2024.html</x:v>
      </x:c>
      <x:c r="T570" s="19" t="str">
        <x:v>https://nlftp.mlit.go.jp/ksj/gml/datalist/KsjTmplt-S12-2024.html</x:v>
      </x:c>
      <x:c r="U570" s="19" t="str">
        <x:v>station-component|古河|東日本旅客鉄道|conventional_rail|36.1944|139.7097|</x:v>
      </x:c>
      <x:c r="V570" s="19" t="str">
        <x:v>002547 / 002547 / 東北線</x:v>
      </x:c>
      <x:c r="W570" s="18" t="str">
        <x:v>否</x:v>
      </x:c>
      <x:c r="X570" s="18" t="str">
        <x:v>0785e932a32b3ec15e1a1345537ae145eafe1c07bf38d5c16c11ee2b391e7a28</x:v>
      </x:c>
      <x:c r="Y570" s="20" t="n">
        <x:v>1</x:v>
      </x:c>
      <x:c r="Z570" s="20" t="n">
        <x:v>1</x:v>
      </x:c>
      <x:c r="AA570" s="19"/>
      <x:c r="AB570" s="18"/>
      <x:c r="AC570" s="19"/>
    </x:row>
    <x:row r="571" ht="28" customHeight="1">
      <x:c r="A571" s="18" t="str">
        <x:v>古淵</x:v>
      </x:c>
      <x:c r="B571" s="18" t="str">
        <x:v>東日本旅客鉄道</x:v>
      </x:c>
      <x:c r="C571" s="18" t="str">
        <x:v>conventional_rail</x:v>
      </x:c>
      <x:c r="D571" s="19" t="str">
        <x:v>T2</x:v>
      </x:c>
      <x:c r="E571" s="20" t="n">
        <x:v>44018</x:v>
      </x:c>
      <x:c r="F571" s="18" t="str">
        <x:v>persons/day</x:v>
      </x:c>
      <x:c r="G571" s="18" t="str">
        <x:v>FY2024</x:v>
      </x:c>
      <x:c r="H571" s="18" t="str">
        <x:v>否</x:v>
      </x:c>
      <x:c r="I571" s="19" t="str">
        <x:v>DAILY_ENTRIES_EXITS</x:v>
      </x:c>
      <x:c r="J571" s="19" t="str">
        <x:v>横浜線</x:v>
      </x:c>
      <x:c r="K571" s="18" t="str">
        <x:v>transport-node:d431e0ad-3971-5607-b067-a7824b571828</x:v>
      </x:c>
      <x:c r="L571" s="19" t="str">
        <x:v>组件待审核</x:v>
      </x:c>
      <x:c r="M571" s="21" t="n">
        <x:v>35.55598</x:v>
      </x:c>
      <x:c r="N571" s="21" t="n">
        <x:v>139.41924</x:v>
      </x:c>
      <x:c r="O571" s="18" t="str">
        <x:v>004345</x:v>
      </x:c>
      <x:c r="P571" s="18" t="str">
        <x:v>横浜線</x:v>
      </x:c>
      <x:c r="Q571" s="19" t="str">
        <x:v>S12_061_GE_10000</x:v>
      </x:c>
      <x:c r="R571" s="19" t="str">
        <x:v>S12_061 usage threshold</x:v>
      </x:c>
      <x:c r="S571" s="19" t="str">
        <x:v>https://nlftp.mlit.go.jp/ksj/gml/datalist/KsjTmplt-S12-2024.html</x:v>
      </x:c>
      <x:c r="T571" s="19" t="str">
        <x:v>https://nlftp.mlit.go.jp/ksj/gml/datalist/KsjTmplt-S12-2024.html</x:v>
      </x:c>
      <x:c r="U571" s="19" t="str">
        <x:v>station-component|古淵|東日本旅客鉄道|conventional_rail|35.5560|139.4192|</x:v>
      </x:c>
      <x:c r="V571" s="19" t="str">
        <x:v>004345 / 004345 / 横浜線</x:v>
      </x:c>
      <x:c r="W571" s="18" t="str">
        <x:v>否</x:v>
      </x:c>
      <x:c r="X571" s="18" t="str">
        <x:v>0785e932a32b3ec15e1a1345537ae145eafe1c07bf38d5c16c11ee2b391e7a28</x:v>
      </x:c>
      <x:c r="Y571" s="20" t="n">
        <x:v>1</x:v>
      </x:c>
      <x:c r="Z571" s="20" t="n">
        <x:v>1</x:v>
      </x:c>
      <x:c r="AA571" s="19"/>
      <x:c r="AB571" s="18"/>
      <x:c r="AC571" s="19"/>
    </x:row>
    <x:row r="572" ht="28" customHeight="1">
      <x:c r="A572" s="18" t="str">
        <x:v>古賀</x:v>
      </x:c>
      <x:c r="B572" s="18" t="str">
        <x:v>九州旅客鉄道</x:v>
      </x:c>
      <x:c r="C572" s="18" t="str">
        <x:v>conventional_rail</x:v>
      </x:c>
      <x:c r="D572" s="19" t="str">
        <x:v>T2</x:v>
      </x:c>
      <x:c r="E572" s="20" t="n">
        <x:v>12758</x:v>
      </x:c>
      <x:c r="F572" s="18" t="str">
        <x:v>persons/day</x:v>
      </x:c>
      <x:c r="G572" s="18" t="str">
        <x:v>FY2024</x:v>
      </x:c>
      <x:c r="H572" s="18" t="str">
        <x:v>否</x:v>
      </x:c>
      <x:c r="I572" s="19" t="str">
        <x:v>DAILY_ENTRIES_EXITS</x:v>
      </x:c>
      <x:c r="J572" s="19" t="str">
        <x:v>鹿児島線</x:v>
      </x:c>
      <x:c r="K572" s="18" t="str">
        <x:v>transport-node:a17d561b-0632-5499-8e75-b92cdd42703e</x:v>
      </x:c>
      <x:c r="L572" s="19" t="str">
        <x:v>组件待审核</x:v>
      </x:c>
      <x:c r="M572" s="21" t="n">
        <x:v>33.73256</x:v>
      </x:c>
      <x:c r="N572" s="21" t="n">
        <x:v>130.46689</x:v>
      </x:c>
      <x:c r="O572" s="18" t="str">
        <x:v>008868</x:v>
      </x:c>
      <x:c r="P572" s="18" t="str">
        <x:v>鹿児島線</x:v>
      </x:c>
      <x:c r="Q572" s="19" t="str">
        <x:v>S12_061_GE_10000</x:v>
      </x:c>
      <x:c r="R572" s="19" t="str">
        <x:v>S12_061 usage threshold</x:v>
      </x:c>
      <x:c r="S572" s="19" t="str">
        <x:v>https://nlftp.mlit.go.jp/ksj/gml/datalist/KsjTmplt-S12-2024.html</x:v>
      </x:c>
      <x:c r="T572" s="19" t="str">
        <x:v>https://nlftp.mlit.go.jp/ksj/gml/datalist/KsjTmplt-S12-2024.html</x:v>
      </x:c>
      <x:c r="U572" s="19" t="str">
        <x:v>station-component|古賀|九州旅客鉄道|conventional_rail|33.7326|130.4669|</x:v>
      </x:c>
      <x:c r="V572" s="19" t="str">
        <x:v>008868 / 008868 / 鹿児島線</x:v>
      </x:c>
      <x:c r="W572" s="18" t="str">
        <x:v>否</x:v>
      </x:c>
      <x:c r="X572" s="18" t="str">
        <x:v>0785e932a32b3ec15e1a1345537ae145eafe1c07bf38d5c16c11ee2b391e7a28</x:v>
      </x:c>
      <x:c r="Y572" s="20" t="n">
        <x:v>1</x:v>
      </x:c>
      <x:c r="Z572" s="20" t="n">
        <x:v>1</x:v>
      </x:c>
      <x:c r="AA572" s="19"/>
      <x:c r="AB572" s="18"/>
      <x:c r="AC572" s="19"/>
    </x:row>
    <x:row r="573" ht="28" customHeight="1">
      <x:c r="A573" s="18" t="str">
        <x:v>台場</x:v>
      </x:c>
      <x:c r="B573" s="18" t="str">
        <x:v>ゆりかもめ</x:v>
      </x:c>
      <x:c r="C573" s="18" t="str">
        <x:v>fixed_guideway</x:v>
      </x:c>
      <x:c r="D573" s="19" t="str">
        <x:v>T2</x:v>
      </x:c>
      <x:c r="E573" s="20" t="n">
        <x:v>19936</x:v>
      </x:c>
      <x:c r="F573" s="18" t="str">
        <x:v>persons/day</x:v>
      </x:c>
      <x:c r="G573" s="18" t="str">
        <x:v>FY2024</x:v>
      </x:c>
      <x:c r="H573" s="18" t="str">
        <x:v>否</x:v>
      </x:c>
      <x:c r="I573" s="19" t="str">
        <x:v>DAILY_ENTRIES_EXITS</x:v>
      </x:c>
      <x:c r="J573" s="19" t="str">
        <x:v>東京臨海新交通臨海線</x:v>
      </x:c>
      <x:c r="K573" s="18" t="str">
        <x:v>transport-node:0cae0eaa-0511-5db0-9926-e8020c2dabc7</x:v>
      </x:c>
      <x:c r="L573" s="19" t="str">
        <x:v>组件待审核</x:v>
      </x:c>
      <x:c r="M573" s="21" t="n">
        <x:v>35.62587</x:v>
      </x:c>
      <x:c r="N573" s="21" t="n">
        <x:v>139.771375</x:v>
      </x:c>
      <x:c r="O573" s="18" t="str">
        <x:v>004112</x:v>
      </x:c>
      <x:c r="P573" s="18" t="str">
        <x:v>東京臨海新交通臨海線</x:v>
      </x:c>
      <x:c r="Q573" s="19" t="str">
        <x:v>S12_061_GE_10000</x:v>
      </x:c>
      <x:c r="R573" s="19" t="str">
        <x:v>S12_061 usage threshold</x:v>
      </x:c>
      <x:c r="S573" s="19" t="str">
        <x:v>https://nlftp.mlit.go.jp/ksj/gml/datalist/KsjTmplt-S12-2024.html</x:v>
      </x:c>
      <x:c r="T573" s="19" t="str">
        <x:v>https://nlftp.mlit.go.jp/ksj/gml/datalist/KsjTmplt-S12-2024.html</x:v>
      </x:c>
      <x:c r="U573" s="19" t="str">
        <x:v>station-component|台場|ゆりかもめ|fixed_guideway|35.6259|139.7714|</x:v>
      </x:c>
      <x:c r="V573" s="19" t="str">
        <x:v>004112 / 004112 / 東京臨海新交通臨海線</x:v>
      </x:c>
      <x:c r="W573" s="18" t="str">
        <x:v>否</x:v>
      </x:c>
      <x:c r="X573" s="18" t="str">
        <x:v>0785e932a32b3ec15e1a1345537ae145eafe1c07bf38d5c16c11ee2b391e7a28</x:v>
      </x:c>
      <x:c r="Y573" s="20" t="n">
        <x:v>1</x:v>
      </x:c>
      <x:c r="Z573" s="20" t="n">
        <x:v>1</x:v>
      </x:c>
      <x:c r="AA573" s="19"/>
      <x:c r="AB573" s="18"/>
      <x:c r="AC573" s="19"/>
    </x:row>
    <x:row r="574" ht="33" customHeight="1">
      <x:c r="A574" s="18" t="str">
        <x:v>吉塚</x:v>
      </x:c>
      <x:c r="B574" s="18" t="str">
        <x:v>九州旅客鉄道</x:v>
      </x:c>
      <x:c r="C574" s="18" t="str">
        <x:v>conventional_rail</x:v>
      </x:c>
      <x:c r="D574" s="19" t="str">
        <x:v>T2</x:v>
      </x:c>
      <x:c r="E574" s="20" t="n">
        <x:v>31768</x:v>
      </x:c>
      <x:c r="F574" s="18" t="str">
        <x:v>persons/day</x:v>
      </x:c>
      <x:c r="G574" s="18" t="str">
        <x:v>FY2024</x:v>
      </x:c>
      <x:c r="H574" s="18" t="str">
        <x:v>否</x:v>
      </x:c>
      <x:c r="I574" s="19" t="str">
        <x:v>DAILY_ENTRIES_EXITS</x:v>
      </x:c>
      <x:c r="J574" s="19" t="str">
        <x:v>篠栗線
鹿児島線</x:v>
      </x:c>
      <x:c r="K574" s="18" t="str">
        <x:v>transport-node:022bfbad-f79f-51c2-b3b3-0662a95d7d42</x:v>
      </x:c>
      <x:c r="L574" s="19" t="str">
        <x:v>组件待审核</x:v>
      </x:c>
      <x:c r="M574" s="21" t="n">
        <x:v>33.6072</x:v>
      </x:c>
      <x:c r="N574" s="21" t="n">
        <x:v>130.423705</x:v>
      </x:c>
      <x:c r="O574" s="18" t="str">
        <x:v>009002</x:v>
      </x:c>
      <x:c r="P574" s="18" t="str">
        <x:v>鹿児島線</x:v>
      </x:c>
      <x:c r="Q574" s="19" t="str">
        <x:v>S12_061_GE_10000</x:v>
      </x:c>
      <x:c r="R574" s="19" t="str">
        <x:v>S12_061 usage threshold</x:v>
      </x:c>
      <x:c r="S574" s="19" t="str">
        <x:v>https://nlftp.mlit.go.jp/ksj/gml/datalist/KsjTmplt-S12-2024.html</x:v>
      </x:c>
      <x:c r="T574" s="19" t="str">
        <x:v>https://nlftp.mlit.go.jp/ksj/gml/datalist/KsjTmplt-S12-2024.html</x:v>
      </x:c>
      <x:c r="U574" s="19" t="str">
        <x:v>station-component|吉塚|九州旅客鉄道|conventional_rail|33.6072|130.4237|</x:v>
      </x:c>
      <x:c r="V574" s="19" t="str">
        <x:v>009002 / 009002 / 鹿児島線
009002 / 009003 / 篠栗線</x:v>
      </x:c>
      <x:c r="W574" s="18" t="str">
        <x:v>否</x:v>
      </x:c>
      <x:c r="X574" s="18" t="str">
        <x:v>0785e932a32b3ec15e1a1345537ae145eafe1c07bf38d5c16c11ee2b391e7a28</x:v>
      </x:c>
      <x:c r="Y574" s="20" t="n">
        <x:v>1</x:v>
      </x:c>
      <x:c r="Z574" s="20" t="n">
        <x:v>1</x:v>
      </x:c>
      <x:c r="AA574" s="19"/>
      <x:c r="AB574" s="18"/>
      <x:c r="AC574" s="19"/>
    </x:row>
    <x:row r="575" ht="28" customHeight="1">
      <x:c r="A575" s="18" t="str">
        <x:v>吉川</x:v>
      </x:c>
      <x:c r="B575" s="18" t="str">
        <x:v>東日本旅客鉄道</x:v>
      </x:c>
      <x:c r="C575" s="18" t="str">
        <x:v>conventional_rail</x:v>
      </x:c>
      <x:c r="D575" s="19" t="str">
        <x:v>T2</x:v>
      </x:c>
      <x:c r="E575" s="20" t="n">
        <x:v>32920</x:v>
      </x:c>
      <x:c r="F575" s="18" t="str">
        <x:v>persons/day</x:v>
      </x:c>
      <x:c r="G575" s="18" t="str">
        <x:v>FY2024</x:v>
      </x:c>
      <x:c r="H575" s="18" t="str">
        <x:v>否</x:v>
      </x:c>
      <x:c r="I575" s="19" t="str">
        <x:v>DAILY_ENTRIES_EXITS</x:v>
      </x:c>
      <x:c r="J575" s="19" t="str">
        <x:v>武蔵野線</x:v>
      </x:c>
      <x:c r="K575" s="18" t="str">
        <x:v>transport-node:95abec89-8382-576a-bf20-d92586764a18</x:v>
      </x:c>
      <x:c r="L575" s="19" t="str">
        <x:v>组件待审核</x:v>
      </x:c>
      <x:c r="M575" s="21" t="n">
        <x:v>35.876645</x:v>
      </x:c>
      <x:c r="N575" s="21" t="n">
        <x:v>139.8431825</x:v>
      </x:c>
      <x:c r="O575" s="18" t="str">
        <x:v>002955</x:v>
      </x:c>
      <x:c r="P575" s="18" t="str">
        <x:v>武蔵野線</x:v>
      </x:c>
      <x:c r="Q575" s="19" t="str">
        <x:v>S12_061_GE_10000</x:v>
      </x:c>
      <x:c r="R575" s="19" t="str">
        <x:v>S12_061 usage threshold</x:v>
      </x:c>
      <x:c r="S575" s="19" t="str">
        <x:v>https://nlftp.mlit.go.jp/ksj/gml/datalist/KsjTmplt-S12-2024.html</x:v>
      </x:c>
      <x:c r="T575" s="19" t="str">
        <x:v>https://nlftp.mlit.go.jp/ksj/gml/datalist/KsjTmplt-S12-2024.html</x:v>
      </x:c>
      <x:c r="U575" s="19" t="str">
        <x:v>station-component|吉川|東日本旅客鉄道|conventional_rail|35.8766|139.8432|</x:v>
      </x:c>
      <x:c r="V575" s="19" t="str">
        <x:v>002955 / 002955 / 武蔵野線</x:v>
      </x:c>
      <x:c r="W575" s="18" t="str">
        <x:v>否</x:v>
      </x:c>
      <x:c r="X575" s="18" t="str">
        <x:v>0785e932a32b3ec15e1a1345537ae145eafe1c07bf38d5c16c11ee2b391e7a28</x:v>
      </x:c>
      <x:c r="Y575" s="20" t="n">
        <x:v>1</x:v>
      </x:c>
      <x:c r="Z575" s="20" t="n">
        <x:v>1</x:v>
      </x:c>
      <x:c r="AA575" s="19"/>
      <x:c r="AB575" s="18"/>
      <x:c r="AC575" s="19"/>
    </x:row>
    <x:row r="576" ht="28" customHeight="1">
      <x:c r="A576" s="18" t="str">
        <x:v>吉川美南</x:v>
      </x:c>
      <x:c r="B576" s="18" t="str">
        <x:v>東日本旅客鉄道</x:v>
      </x:c>
      <x:c r="C576" s="18" t="str">
        <x:v>conventional_rail</x:v>
      </x:c>
      <x:c r="D576" s="19" t="str">
        <x:v>T2</x:v>
      </x:c>
      <x:c r="E576" s="20" t="n">
        <x:v>13590</x:v>
      </x:c>
      <x:c r="F576" s="18" t="str">
        <x:v>persons/day</x:v>
      </x:c>
      <x:c r="G576" s="18" t="str">
        <x:v>FY2024</x:v>
      </x:c>
      <x:c r="H576" s="18" t="str">
        <x:v>否</x:v>
      </x:c>
      <x:c r="I576" s="19" t="str">
        <x:v>DAILY_ENTRIES_EXITS</x:v>
      </x:c>
      <x:c r="J576" s="19" t="str">
        <x:v>武蔵野線</x:v>
      </x:c>
      <x:c r="K576" s="18" t="str">
        <x:v>transport-node:dcfca670-5f06-5678-bb27-b36e5298f59f</x:v>
      </x:c>
      <x:c r="L576" s="19" t="str">
        <x:v>组件待审核</x:v>
      </x:c>
      <x:c r="M576" s="21" t="n">
        <x:v>35.868087</x:v>
      </x:c>
      <x:c r="N576" s="21" t="n">
        <x:v>139.8581215</x:v>
      </x:c>
      <x:c r="O576" s="18" t="str">
        <x:v>002974</x:v>
      </x:c>
      <x:c r="P576" s="18" t="str">
        <x:v>武蔵野線</x:v>
      </x:c>
      <x:c r="Q576" s="19" t="str">
        <x:v>S12_061_GE_10000</x:v>
      </x:c>
      <x:c r="R576" s="19" t="str">
        <x:v>S12_061 usage threshold</x:v>
      </x:c>
      <x:c r="S576" s="19" t="str">
        <x:v>https://nlftp.mlit.go.jp/ksj/gml/datalist/KsjTmplt-S12-2024.html</x:v>
      </x:c>
      <x:c r="T576" s="19" t="str">
        <x:v>https://nlftp.mlit.go.jp/ksj/gml/datalist/KsjTmplt-S12-2024.html</x:v>
      </x:c>
      <x:c r="U576" s="19" t="str">
        <x:v>station-component|吉川美南|東日本旅客鉄道|conventional_rail|35.8681|139.8581|</x:v>
      </x:c>
      <x:c r="V576" s="19" t="str">
        <x:v>002974 / 002974 / 武蔵野線</x:v>
      </x:c>
      <x:c r="W576" s="18" t="str">
        <x:v>否</x:v>
      </x:c>
      <x:c r="X576" s="18" t="str">
        <x:v>0785e932a32b3ec15e1a1345537ae145eafe1c07bf38d5c16c11ee2b391e7a28</x:v>
      </x:c>
      <x:c r="Y576" s="20" t="n">
        <x:v>1</x:v>
      </x:c>
      <x:c r="Z576" s="20" t="n">
        <x:v>1</x:v>
      </x:c>
      <x:c r="AA576" s="19"/>
      <x:c r="AB576" s="18"/>
      <x:c r="AC576" s="19"/>
    </x:row>
    <x:row r="577" ht="28" customHeight="1">
      <x:c r="A577" s="18" t="str">
        <x:v>吉田</x:v>
      </x:c>
      <x:c r="B577" s="18" t="str">
        <x:v>近畿日本鉄道</x:v>
      </x:c>
      <x:c r="C577" s="18" t="str">
        <x:v>private_rail</x:v>
      </x:c>
      <x:c r="D577" s="19" t="str">
        <x:v>T2</x:v>
      </x:c>
      <x:c r="E577" s="20" t="n">
        <x:v>14949</x:v>
      </x:c>
      <x:c r="F577" s="18" t="str">
        <x:v>persons/day</x:v>
      </x:c>
      <x:c r="G577" s="18" t="str">
        <x:v>FY2024</x:v>
      </x:c>
      <x:c r="H577" s="18" t="str">
        <x:v>否</x:v>
      </x:c>
      <x:c r="I577" s="19" t="str">
        <x:v>DAILY_ENTRIES_EXITS</x:v>
      </x:c>
      <x:c r="J577" s="19" t="str">
        <x:v>けいはんな線</x:v>
      </x:c>
      <x:c r="K577" s="18" t="str">
        <x:v>transport-node:551571b2-8e08-5c1b-a061-57e8fbadf793</x:v>
      </x:c>
      <x:c r="L577" s="19" t="str">
        <x:v>组件待审核</x:v>
      </x:c>
      <x:c r="M577" s="21" t="n">
        <x:v>34.680335</x:v>
      </x:c>
      <x:c r="N577" s="21" t="n">
        <x:v>135.624515</x:v>
      </x:c>
      <x:c r="O577" s="18" t="str">
        <x:v>007213</x:v>
      </x:c>
      <x:c r="P577" s="18" t="str">
        <x:v>けいはんな線</x:v>
      </x:c>
      <x:c r="Q577" s="19" t="str">
        <x:v>S12_061_GE_10000</x:v>
      </x:c>
      <x:c r="R577" s="19" t="str">
        <x:v>S12_061 usage threshold</x:v>
      </x:c>
      <x:c r="S577" s="19" t="str">
        <x:v>https://nlftp.mlit.go.jp/ksj/gml/datalist/KsjTmplt-S12-2024.html</x:v>
      </x:c>
      <x:c r="T577" s="19" t="str">
        <x:v>https://nlftp.mlit.go.jp/ksj/gml/datalist/KsjTmplt-S12-2024.html</x:v>
      </x:c>
      <x:c r="U577" s="19" t="str">
        <x:v>station-component|吉田|近畿日本鉄道|private_rail|34.6803|135.6245|</x:v>
      </x:c>
      <x:c r="V577" s="19" t="str">
        <x:v>007213 / 007213 / けいはんな線</x:v>
      </x:c>
      <x:c r="W577" s="18" t="str">
        <x:v>否</x:v>
      </x:c>
      <x:c r="X577" s="18" t="str">
        <x:v>0785e932a32b3ec15e1a1345537ae145eafe1c07bf38d5c16c11ee2b391e7a28</x:v>
      </x:c>
      <x:c r="Y577" s="20" t="n">
        <x:v>1</x:v>
      </x:c>
      <x:c r="Z577" s="20" t="n">
        <x:v>1</x:v>
      </x:c>
      <x:c r="AA577" s="19"/>
      <x:c r="AB577" s="18"/>
      <x:c r="AC577" s="19"/>
    </x:row>
    <x:row r="578" ht="33" customHeight="1">
      <x:c r="A578" s="18" t="str">
        <x:v>吉祥寺</x:v>
      </x:c>
      <x:c r="B578" s="18" t="str">
        <x:v>京王電鉄</x:v>
      </x:c>
      <x:c r="C578" s="18" t="str">
        <x:v>private_rail</x:v>
      </x:c>
      <x:c r="D578" s="19" t="str">
        <x:v>T1</x:v>
      </x:c>
      <x:c r="E578" s="20" t="n">
        <x:v>127213</x:v>
      </x:c>
      <x:c r="F578" s="18" t="str">
        <x:v>persons/day</x:v>
      </x:c>
      <x:c r="G578" s="18" t="str">
        <x:v>FY2024</x:v>
      </x:c>
      <x:c r="H578" s="18" t="str">
        <x:v>否</x:v>
      </x:c>
      <x:c r="I578" s="19" t="str">
        <x:v>DAILY_ENTRIES_EXITS</x:v>
      </x:c>
      <x:c r="J578" s="19" t="str">
        <x:v>井の頭線</x:v>
      </x:c>
      <x:c r="K578" s="18" t="str">
        <x:v>transport-node:43b91901-0bb5-59ec-88f6-00bf35113b76</x:v>
      </x:c>
      <x:c r="L578" s="19" t="str">
        <x:v>组件待审核</x:v>
      </x:c>
      <x:c r="M578" s="21" t="n">
        <x:v>35.70229</x:v>
      </x:c>
      <x:c r="N578" s="21" t="n">
        <x:v>139.58031</x:v>
      </x:c>
      <x:c r="O578" s="18" t="str">
        <x:v>003588</x:v>
      </x:c>
      <x:c r="P578" s="18" t="str">
        <x:v>井の頭線</x:v>
      </x:c>
      <x:c r="Q578" s="19" t="str">
        <x:v>S12_061_GE_10000
OFFICIAL_HUB_COMPONENT_REVIEW</x:v>
      </x:c>
      <x:c r="R578" s="19" t="str">
        <x:v>S12_061 usage threshold</x:v>
      </x:c>
      <x:c r="S578" s="19" t="str">
        <x:v>https://nlftp.mlit.go.jp/ksj/gml/datalist/KsjTmplt-S12-2024.html</x:v>
      </x:c>
      <x:c r="T578" s="19" t="str">
        <x:v>https://nlftp.mlit.go.jp/ksj/gml/datalist/KsjTmplt-S12-2024.html
https://www.keio.co.jp/train/station/</x:v>
      </x:c>
      <x:c r="U578" s="19" t="str">
        <x:v>station-component|吉祥寺|京王電鉄|private_rail|35.7023|139.5803|</x:v>
      </x:c>
      <x:c r="V578" s="19" t="str">
        <x:v>003584 / 003588 / 井の頭線</x:v>
      </x:c>
      <x:c r="W578" s="18" t="str">
        <x:v>否</x:v>
      </x:c>
      <x:c r="X578" s="18" t="str">
        <x:v>0785e932a32b3ec15e1a1345537ae145eafe1c07bf38d5c16c11ee2b391e7a28</x:v>
      </x:c>
      <x:c r="Y578" s="20" t="n">
        <x:v>1</x:v>
      </x:c>
      <x:c r="Z578" s="20" t="n">
        <x:v>1</x:v>
      </x:c>
      <x:c r="AA578" s="19" t="str">
        <x:v>吉祥寺</x:v>
      </x:c>
      <x:c r="AB578" s="18" t="str">
        <x:v>transport-hub-review:c59f7b88-82d9-5fd5-bc13-91fd3f0f6618</x:v>
      </x:c>
      <x:c r="AC578" s="19"/>
    </x:row>
    <x:row r="579" ht="33" customHeight="1">
      <x:c r="A579" s="18" t="str">
        <x:v>吉祥寺</x:v>
      </x:c>
      <x:c r="B579" s="18" t="str">
        <x:v>東日本旅客鉄道</x:v>
      </x:c>
      <x:c r="C579" s="18" t="str">
        <x:v>conventional_rail</x:v>
      </x:c>
      <x:c r="D579" s="19" t="str">
        <x:v>T0</x:v>
      </x:c>
      <x:c r="E579" s="20" t="n">
        <x:v>256492</x:v>
      </x:c>
      <x:c r="F579" s="18" t="str">
        <x:v>persons/day</x:v>
      </x:c>
      <x:c r="G579" s="18" t="str">
        <x:v>FY2024</x:v>
      </x:c>
      <x:c r="H579" s="18" t="str">
        <x:v>否</x:v>
      </x:c>
      <x:c r="I579" s="19" t="str">
        <x:v>DAILY_ENTRIES_EXITS</x:v>
      </x:c>
      <x:c r="J579" s="19" t="str">
        <x:v>中央線</x:v>
      </x:c>
      <x:c r="K579" s="18" t="str">
        <x:v>transport-node:720db2fb-ba26-5cd6-b747-f6d3e0a8327f</x:v>
      </x:c>
      <x:c r="L579" s="19" t="str">
        <x:v>组件待审核</x:v>
      </x:c>
      <x:c r="M579" s="21" t="n">
        <x:v>35.7031467</x:v>
      </x:c>
      <x:c r="N579" s="21" t="n">
        <x:v>139.57999</x:v>
      </x:c>
      <x:c r="O579" s="18" t="str">
        <x:v>003584</x:v>
      </x:c>
      <x:c r="P579" s="18" t="str">
        <x:v>中央線</x:v>
      </x:c>
      <x:c r="Q579" s="19" t="str">
        <x:v>S12_061_GE_10000
OFFICIAL_HUB_COMPONENT_REVIEW</x:v>
      </x:c>
      <x:c r="R579" s="19" t="str">
        <x:v>S12_061 usage threshold</x:v>
      </x:c>
      <x:c r="S579" s="19" t="str">
        <x:v>https://nlftp.mlit.go.jp/ksj/gml/datalist/KsjTmplt-S12-2024.html</x:v>
      </x:c>
      <x:c r="T579" s="19" t="str">
        <x:v>https://nlftp.mlit.go.jp/ksj/gml/datalist/KsjTmplt-S12-2024.html
https://www.keio.co.jp/train/station/</x:v>
      </x:c>
      <x:c r="U579" s="19" t="str">
        <x:v>station-component|吉祥寺|東日本旅客鉄道|conventional_rail|35.7031|139.5800|</x:v>
      </x:c>
      <x:c r="V579" s="19" t="str">
        <x:v>003584 / 003584 / 中央線</x:v>
      </x:c>
      <x:c r="W579" s="18" t="str">
        <x:v>否</x:v>
      </x:c>
      <x:c r="X579" s="18" t="str">
        <x:v>0785e932a32b3ec15e1a1345537ae145eafe1c07bf38d5c16c11ee2b391e7a28</x:v>
      </x:c>
      <x:c r="Y579" s="20" t="n">
        <x:v>1</x:v>
      </x:c>
      <x:c r="Z579" s="20" t="n">
        <x:v>1</x:v>
      </x:c>
      <x:c r="AA579" s="19" t="str">
        <x:v>吉祥寺</x:v>
      </x:c>
      <x:c r="AB579" s="18" t="str">
        <x:v>transport-hub-review:c59f7b88-82d9-5fd5-bc13-91fd3f0f6618</x:v>
      </x:c>
      <x:c r="AC579" s="19"/>
    </x:row>
    <x:row r="580" ht="28" customHeight="1">
      <x:c r="A580" s="18" t="str">
        <x:v>名取</x:v>
      </x:c>
      <x:c r="B580" s="18" t="str">
        <x:v>東日本旅客鉄道</x:v>
      </x:c>
      <x:c r="C580" s="18" t="str">
        <x:v>conventional_rail</x:v>
      </x:c>
      <x:c r="D580" s="19" t="str">
        <x:v>T2</x:v>
      </x:c>
      <x:c r="E580" s="20" t="n">
        <x:v>27926</x:v>
      </x:c>
      <x:c r="F580" s="18" t="str">
        <x:v>persons/day</x:v>
      </x:c>
      <x:c r="G580" s="18" t="str">
        <x:v>FY2024</x:v>
      </x:c>
      <x:c r="H580" s="18" t="str">
        <x:v>否</x:v>
      </x:c>
      <x:c r="I580" s="19" t="str">
        <x:v>DAILY_ENTRIES_EXITS</x:v>
      </x:c>
      <x:c r="J580" s="19" t="str">
        <x:v>東北線</x:v>
      </x:c>
      <x:c r="K580" s="18" t="str">
        <x:v>transport-node:1ac627f5-fd99-5578-b301-cb1e356de22a</x:v>
      </x:c>
      <x:c r="L580" s="19" t="str">
        <x:v>组件待审核</x:v>
      </x:c>
      <x:c r="M580" s="21" t="n">
        <x:v>38.1731</x:v>
      </x:c>
      <x:c r="N580" s="21" t="n">
        <x:v>140.88275</x:v>
      </x:c>
      <x:c r="O580" s="18" t="str">
        <x:v>001212</x:v>
      </x:c>
      <x:c r="P580" s="18" t="str">
        <x:v>東北線</x:v>
      </x:c>
      <x:c r="Q580" s="19" t="str">
        <x:v>S12_061_GE_10000</x:v>
      </x:c>
      <x:c r="R580" s="19" t="str">
        <x:v>S12_061 usage threshold</x:v>
      </x:c>
      <x:c r="S580" s="19" t="str">
        <x:v>https://nlftp.mlit.go.jp/ksj/gml/datalist/KsjTmplt-S12-2024.html</x:v>
      </x:c>
      <x:c r="T580" s="19" t="str">
        <x:v>https://nlftp.mlit.go.jp/ksj/gml/datalist/KsjTmplt-S12-2024.html</x:v>
      </x:c>
      <x:c r="U580" s="19" t="str">
        <x:v>station-component|名取|東日本旅客鉄道|conventional_rail|38.1731|140.8827|</x:v>
      </x:c>
      <x:c r="V580" s="19" t="str">
        <x:v>001212 / 001212 / 東北線</x:v>
      </x:c>
      <x:c r="W580" s="18" t="str">
        <x:v>否</x:v>
      </x:c>
      <x:c r="X580" s="18" t="str">
        <x:v>0785e932a32b3ec15e1a1345537ae145eafe1c07bf38d5c16c11ee2b391e7a28</x:v>
      </x:c>
      <x:c r="Y580" s="20" t="n">
        <x:v>1</x:v>
      </x:c>
      <x:c r="Z580" s="20" t="n">
        <x:v>1</x:v>
      </x:c>
      <x:c r="AA580" s="19"/>
      <x:c r="AB580" s="18"/>
      <x:c r="AC580" s="19"/>
    </x:row>
    <x:row r="581" ht="33" customHeight="1">
      <x:c r="A581" s="18" t="str">
        <x:v>名古屋</x:v>
      </x:c>
      <x:c r="B581" s="18" t="str">
        <x:v>名古屋市</x:v>
      </x:c>
      <x:c r="C581" s="18" t="str">
        <x:v>metro</x:v>
      </x:c>
      <x:c r="D581" s="19" t="str">
        <x:v>T0</x:v>
      </x:c>
      <x:c r="E581" s="20" t="n">
        <x:v>369436</x:v>
      </x:c>
      <x:c r="F581" s="18" t="str">
        <x:v>persons/day</x:v>
      </x:c>
      <x:c r="G581" s="18" t="str">
        <x:v>FY2024</x:v>
      </x:c>
      <x:c r="H581" s="18" t="str">
        <x:v>否</x:v>
      </x:c>
      <x:c r="I581" s="19" t="str">
        <x:v>DAILY_ENTRIES_EXITS</x:v>
      </x:c>
      <x:c r="J581" s="19" t="str">
        <x:v>1号線東山線
6号線桜通線</x:v>
      </x:c>
      <x:c r="K581" s="18" t="str">
        <x:v>transport-node:af99a908-c905-58d1-a529-9028b4d0a10d</x:v>
      </x:c>
      <x:c r="L581" s="19" t="str">
        <x:v>组件待审核</x:v>
      </x:c>
      <x:c r="M581" s="21" t="n">
        <x:v>35.171605</x:v>
      </x:c>
      <x:c r="N581" s="21" t="n">
        <x:v>136.8837</x:v>
      </x:c>
      <x:c r="O581" s="18" t="str">
        <x:v>005444</x:v>
      </x:c>
      <x:c r="P581" s="18" t="str">
        <x:v>1号線東山線</x:v>
      </x:c>
      <x:c r="Q581" s="19" t="str">
        <x:v>S12_061_GE_10000
OFFICIAL_HUB_COMPONENT_REVIEW</x:v>
      </x:c>
      <x:c r="R581" s="19" t="str">
        <x:v>S12_061 usage threshold</x:v>
      </x:c>
      <x:c r="S581" s="19" t="str">
        <x:v>https://nlftp.mlit.go.jp/ksj/gml/datalist/KsjTmplt-S12-2024.html</x:v>
      </x:c>
      <x:c r="T581" s="19" t="str">
        <x:v>https://nlftp.mlit.go.jp/ksj/gml/datalist/KsjTmplt-S12-2024.html
https://www.meitetsu.co.jp/train/station_info/line01/station/1201.html</x:v>
      </x:c>
      <x:c r="U581" s="19" t="str">
        <x:v>station-component|名古屋|名古屋市|metro|35.1716|136.8837|</x:v>
      </x:c>
      <x:c r="V581" s="19" t="str">
        <x:v>005451 / 005444 / 1号線東山線
005451 / 005451 / 6号線桜通線</x:v>
      </x:c>
      <x:c r="W581" s="18" t="str">
        <x:v>否</x:v>
      </x:c>
      <x:c r="X581" s="18" t="str">
        <x:v>0785e932a32b3ec15e1a1345537ae145eafe1c07bf38d5c16c11ee2b391e7a28</x:v>
      </x:c>
      <x:c r="Y581" s="20" t="n">
        <x:v>1</x:v>
      </x:c>
      <x:c r="Z581" s="20" t="n">
        <x:v>1</x:v>
      </x:c>
      <x:c r="AA581" s="19" t="str">
        <x:v>名古屋</x:v>
      </x:c>
      <x:c r="AB581" s="18" t="str">
        <x:v>transport-hub-review:f84cdc88-2100-55dc-a385-099023194b00</x:v>
      </x:c>
      <x:c r="AC581" s="19"/>
    </x:row>
    <x:row r="582" ht="33" customHeight="1">
      <x:c r="A582" s="18" t="str">
        <x:v>名古屋</x:v>
      </x:c>
      <x:c r="B582" s="18" t="str">
        <x:v>名古屋臨海高速鉄道</x:v>
      </x:c>
      <x:c r="C582" s="18" t="str">
        <x:v>private_rail</x:v>
      </x:c>
      <x:c r="D582" s="19" t="str">
        <x:v>T2</x:v>
      </x:c>
      <x:c r="E582" s="20" t="n">
        <x:v>37100</x:v>
      </x:c>
      <x:c r="F582" s="18" t="str">
        <x:v>persons/day</x:v>
      </x:c>
      <x:c r="G582" s="18" t="str">
        <x:v>FY2024</x:v>
      </x:c>
      <x:c r="H582" s="18" t="str">
        <x:v>否</x:v>
      </x:c>
      <x:c r="I582" s="19" t="str">
        <x:v>DAILY_ENTRIES_EXITS</x:v>
      </x:c>
      <x:c r="J582" s="19" t="str">
        <x:v>西名古屋港線</x:v>
      </x:c>
      <x:c r="K582" s="18" t="str">
        <x:v>transport-node:174afd93-adf1-52eb-8fab-9139317a124a</x:v>
      </x:c>
      <x:c r="L582" s="19" t="str">
        <x:v>组件待审核</x:v>
      </x:c>
      <x:c r="M582" s="21" t="n">
        <x:v>35.1686615</x:v>
      </x:c>
      <x:c r="N582" s="21" t="n">
        <x:v>136.8825385</x:v>
      </x:c>
      <x:c r="O582" s="18" t="str">
        <x:v>005468</x:v>
      </x:c>
      <x:c r="P582" s="18" t="str">
        <x:v>西名古屋港線</x:v>
      </x:c>
      <x:c r="Q582" s="19" t="str">
        <x:v>S12_061_GE_10000
OFFICIAL_HUB_COMPONENT_REVIEW</x:v>
      </x:c>
      <x:c r="R582" s="19" t="str">
        <x:v>S12_061 usage threshold</x:v>
      </x:c>
      <x:c r="S582" s="19" t="str">
        <x:v>https://nlftp.mlit.go.jp/ksj/gml/datalist/KsjTmplt-S12-2024.html</x:v>
      </x:c>
      <x:c r="T582" s="19" t="str">
        <x:v>https://nlftp.mlit.go.jp/ksj/gml/datalist/KsjTmplt-S12-2024.html
https://www.meitetsu.co.jp/train/station_info/line01/station/1201.html</x:v>
      </x:c>
      <x:c r="U582" s="19" t="str">
        <x:v>station-component|名古屋|名古屋臨海高速鉄道|private_rail|35.1687|136.8825|</x:v>
      </x:c>
      <x:c r="V582" s="19" t="str">
        <x:v>005451 / 005468 / 西名古屋港線</x:v>
      </x:c>
      <x:c r="W582" s="18" t="str">
        <x:v>否</x:v>
      </x:c>
      <x:c r="X582" s="18" t="str">
        <x:v>0785e932a32b3ec15e1a1345537ae145eafe1c07bf38d5c16c11ee2b391e7a28</x:v>
      </x:c>
      <x:c r="Y582" s="20" t="n">
        <x:v>1</x:v>
      </x:c>
      <x:c r="Z582" s="20" t="n">
        <x:v>1</x:v>
      </x:c>
      <x:c r="AA582" s="19" t="str">
        <x:v>名古屋</x:v>
      </x:c>
      <x:c r="AB582" s="18" t="str">
        <x:v>transport-hub-review:f84cdc88-2100-55dc-a385-099023194b00</x:v>
      </x:c>
      <x:c r="AC582" s="19"/>
    </x:row>
    <x:row r="583" ht="47" customHeight="1">
      <x:c r="A583" s="18" t="str">
        <x:v>名古屋</x:v>
      </x:c>
      <x:c r="B583" s="18" t="str">
        <x:v>東海旅客鉄道</x:v>
      </x:c>
      <x:c r="C583" s="18" t="str">
        <x:v>conventional_rail</x:v>
      </x:c>
      <x:c r="D583" s="19" t="str">
        <x:v>T0</x:v>
      </x:c>
      <x:c r="E583" s="20" t="n">
        <x:v>416867</x:v>
      </x:c>
      <x:c r="F583" s="18" t="str">
        <x:v>persons/day</x:v>
      </x:c>
      <x:c r="G583" s="18" t="str">
        <x:v>FY2024</x:v>
      </x:c>
      <x:c r="H583" s="18" t="str">
        <x:v>否</x:v>
      </x:c>
      <x:c r="I583" s="19" t="str">
        <x:v>DAILY_ENTRIES_EXITS</x:v>
      </x:c>
      <x:c r="J583" s="19" t="str">
        <x:v>中央線
東海道線
関西線</x:v>
      </x:c>
      <x:c r="K583" s="18" t="str">
        <x:v>transport-node:b1098fbf-9cee-52bd-a880-7052f6131fbb</x:v>
      </x:c>
      <x:c r="L583" s="19" t="str">
        <x:v>组件待审核</x:v>
      </x:c>
      <x:c r="M583" s="21" t="n">
        <x:v>35.1714025</x:v>
      </x:c>
      <x:c r="N583" s="21" t="n">
        <x:v>136.8816625</x:v>
      </x:c>
      <x:c r="O583" s="18" t="str">
        <x:v>005448</x:v>
      </x:c>
      <x:c r="P583" s="18" t="str">
        <x:v>東海道線</x:v>
      </x:c>
      <x:c r="Q583" s="19" t="str">
        <x:v>S12_061_GE_10000
OFFICIAL_HUB_COMPONENT_REVIEW</x:v>
      </x:c>
      <x:c r="R583" s="19" t="str">
        <x:v>S12_061 usage threshold</x:v>
      </x:c>
      <x:c r="S583" s="19" t="str">
        <x:v>https://nlftp.mlit.go.jp/ksj/gml/datalist/KsjTmplt-S12-2024.html</x:v>
      </x:c>
      <x:c r="T583" s="19" t="str">
        <x:v>https://nlftp.mlit.go.jp/ksj/gml/datalist/KsjTmplt-S12-2024.html
https://www.meitetsu.co.jp/train/station_info/line01/station/1201.html</x:v>
      </x:c>
      <x:c r="U583" s="19" t="str">
        <x:v>station-component|名古屋|東海旅客鉄道|conventional_rail|35.1714|136.8817|</x:v>
      </x:c>
      <x:c r="V583" s="19" t="str">
        <x:v>005451 / 005447 / 中央線
005451 / 005448 / 東海道線
005451 / 005449 / 関西線</x:v>
      </x:c>
      <x:c r="W583" s="18" t="str">
        <x:v>否</x:v>
      </x:c>
      <x:c r="X583" s="18" t="str">
        <x:v>0785e932a32b3ec15e1a1345537ae145eafe1c07bf38d5c16c11ee2b391e7a28</x:v>
      </x:c>
      <x:c r="Y583" s="20" t="n">
        <x:v>1</x:v>
      </x:c>
      <x:c r="Z583" s="20" t="n">
        <x:v>1</x:v>
      </x:c>
      <x:c r="AA583" s="19" t="str">
        <x:v>名古屋</x:v>
      </x:c>
      <x:c r="AB583" s="18" t="str">
        <x:v>transport-hub-review:f84cdc88-2100-55dc-a385-099023194b00</x:v>
      </x:c>
      <x:c r="AC583" s="19"/>
    </x:row>
    <x:row r="584" ht="47" customHeight="1">
      <x:c r="A584" s="18" t="str">
        <x:v>名古屋</x:v>
      </x:c>
      <x:c r="B584" s="18" t="str">
        <x:v>東海旅客鉄道</x:v>
      </x:c>
      <x:c r="C584" s="18" t="str">
        <x:v>shinkansen</x:v>
      </x:c>
      <x:c r="D584" s="19"/>
      <x:c r="E584" s="20" t="n">
        <x:v>77000</x:v>
      </x:c>
      <x:c r="F584" s="18" t="str">
        <x:v>boardings/day</x:v>
      </x:c>
      <x:c r="G584" s="18" t="str">
        <x:v>FY2025</x:v>
      </x:c>
      <x:c r="H584" s="18" t="str">
        <x:v>是</x:v>
      </x:c>
      <x:c r="I584" s="19" t="str">
        <x:v>DAILY_SHINKANSEN_BOARDINGS</x:v>
      </x:c>
      <x:c r="J584" s="19" t="str">
        <x:v>東海道新幹線</x:v>
      </x:c>
      <x:c r="K584" s="18" t="str">
        <x:v>transport-node:278a1fa1-79e4-517a-affb-4ef101eef00b</x:v>
      </x:c>
      <x:c r="L584" s="19" t="str">
        <x:v>组件待审核</x:v>
      </x:c>
      <x:c r="M584" s="21" t="n">
        <x:v>35.17075</x:v>
      </x:c>
      <x:c r="N584" s="21" t="n">
        <x:v>136.8809575</x:v>
      </x:c>
      <x:c r="O584" s="18" t="str">
        <x:v>005456</x:v>
      </x:c>
      <x:c r="P584" s="18" t="str">
        <x:v>東海道新幹線</x:v>
      </x:c>
      <x:c r="Q584" s="19" t="str">
        <x:v>SHINKANSEN
OFFICIAL_HUB_COMPONENT_REVIEW</x:v>
      </x:c>
      <x:c r="R584" s="19" t="str">
        <x:v>Official fallback retained in published scope/unit; tier remains null pending metric/manual review.</x:v>
      </x:c>
      <x:c r="S584" s="19" t="str">
        <x:v>https://company.jr-central.co.jp/ir/factsheets/_pdf/factsheets2026-02-03.pdf</x:v>
      </x:c>
      <x:c r="T584" s="19" t="str">
        <x:v>https://company.jr-central.co.jp/ir/factsheets/_pdf/factsheets2026-02-03.pdf
https://nlftp.mlit.go.jp/ksj/gml/datalist/KsjTmplt-S12-2024.html
https://www.meitetsu.co.jp/train/station_info/line01/station/1201.html</x:v>
      </x:c>
      <x:c r="U584" s="19" t="str">
        <x:v>station-component|名古屋|東海旅客鉄道|shinkansen|35.1707|136.8810|</x:v>
      </x:c>
      <x:c r="V584" s="19" t="str">
        <x:v>005451 / 005456 / 東海道新幹線</x:v>
      </x:c>
      <x:c r="W584" s="18" t="str">
        <x:v>否</x:v>
      </x:c>
      <x:c r="X584" s="18" t="str">
        <x:v>0785e932a32b3ec15e1a1345537ae145eafe1c07bf38d5c16c11ee2b391e7a28</x:v>
      </x:c>
      <x:c r="Y584" s="20" t="n">
        <x:v>1</x:v>
      </x:c>
      <x:c r="Z584" s="20" t="n">
        <x:v>2</x:v>
      </x:c>
      <x:c r="AA584" s="19" t="str">
        <x:v>名古屋</x:v>
      </x:c>
      <x:c r="AB584" s="18" t="str">
        <x:v>transport-hub-review:f84cdc88-2100-55dc-a385-099023194b00</x:v>
      </x:c>
      <x:c r="AC584" s="19"/>
    </x:row>
    <x:row r="585" ht="28" customHeight="1">
      <x:c r="A585" s="18" t="str">
        <x:v>名古屋城</x:v>
      </x:c>
      <x:c r="B585" s="18" t="str">
        <x:v>名古屋市</x:v>
      </x:c>
      <x:c r="C585" s="18" t="str">
        <x:v>metro</x:v>
      </x:c>
      <x:c r="D585" s="19" t="str">
        <x:v>T2</x:v>
      </x:c>
      <x:c r="E585" s="20" t="n">
        <x:v>44423</x:v>
      </x:c>
      <x:c r="F585" s="18" t="str">
        <x:v>persons/day</x:v>
      </x:c>
      <x:c r="G585" s="18" t="str">
        <x:v>FY2024</x:v>
      </x:c>
      <x:c r="H585" s="18" t="str">
        <x:v>否</x:v>
      </x:c>
      <x:c r="I585" s="19" t="str">
        <x:v>DAILY_ENTRIES_EXITS</x:v>
      </x:c>
      <x:c r="J585" s="19" t="str">
        <x:v>2号線名城線</x:v>
      </x:c>
      <x:c r="K585" s="18" t="str">
        <x:v>transport-node:76e45018-56ef-52f1-a9a1-88c9d11e8323</x:v>
      </x:c>
      <x:c r="L585" s="19" t="str">
        <x:v>组件待审核</x:v>
      </x:c>
      <x:c r="M585" s="21" t="n">
        <x:v>35.18147</x:v>
      </x:c>
      <x:c r="N585" s="21" t="n">
        <x:v>136.905575</x:v>
      </x:c>
      <x:c r="O585" s="18" t="str">
        <x:v>005413</x:v>
      </x:c>
      <x:c r="P585" s="18" t="str">
        <x:v>2号線名城線</x:v>
      </x:c>
      <x:c r="Q585" s="19" t="str">
        <x:v>S12_061_GE_10000</x:v>
      </x:c>
      <x:c r="R585" s="19" t="str">
        <x:v>S12_061 usage threshold</x:v>
      </x:c>
      <x:c r="S585" s="19" t="str">
        <x:v>https://nlftp.mlit.go.jp/ksj/gml/datalist/KsjTmplt-S12-2024.html</x:v>
      </x:c>
      <x:c r="T585" s="19" t="str">
        <x:v>https://nlftp.mlit.go.jp/ksj/gml/datalist/KsjTmplt-S12-2024.html</x:v>
      </x:c>
      <x:c r="U585" s="19" t="str">
        <x:v>station-component|名古屋城|名古屋市|metro|35.1815|136.9056|</x:v>
      </x:c>
      <x:c r="V585" s="19" t="str">
        <x:v>005413 / 005413 / 2号線名城線</x:v>
      </x:c>
      <x:c r="W585" s="18" t="str">
        <x:v>否</x:v>
      </x:c>
      <x:c r="X585" s="18" t="str">
        <x:v>0785e932a32b3ec15e1a1345537ae145eafe1c07bf38d5c16c11ee2b391e7a28</x:v>
      </x:c>
      <x:c r="Y585" s="20" t="n">
        <x:v>1</x:v>
      </x:c>
      <x:c r="Z585" s="20" t="n">
        <x:v>1</x:v>
      </x:c>
      <x:c r="AA585" s="19"/>
      <x:c r="AB585" s="18"/>
      <x:c r="AC585" s="19"/>
    </x:row>
    <x:row r="586" ht="28" customHeight="1">
      <x:c r="A586" s="18" t="str">
        <x:v>名古屋大学</x:v>
      </x:c>
      <x:c r="B586" s="18" t="str">
        <x:v>名古屋市</x:v>
      </x:c>
      <x:c r="C586" s="18" t="str">
        <x:v>metro</x:v>
      </x:c>
      <x:c r="D586" s="19" t="str">
        <x:v>T2</x:v>
      </x:c>
      <x:c r="E586" s="20" t="n">
        <x:v>19924</x:v>
      </x:c>
      <x:c r="F586" s="18" t="str">
        <x:v>persons/day</x:v>
      </x:c>
      <x:c r="G586" s="18" t="str">
        <x:v>FY2024</x:v>
      </x:c>
      <x:c r="H586" s="18" t="str">
        <x:v>否</x:v>
      </x:c>
      <x:c r="I586" s="19" t="str">
        <x:v>DAILY_ENTRIES_EXITS</x:v>
      </x:c>
      <x:c r="J586" s="19" t="str">
        <x:v>4号線名城線</x:v>
      </x:c>
      <x:c r="K586" s="18" t="str">
        <x:v>transport-node:f7e35769-47cd-5ad9-9070-98b8c887fe3a</x:v>
      </x:c>
      <x:c r="L586" s="19" t="str">
        <x:v>组件待审核</x:v>
      </x:c>
      <x:c r="M586" s="21" t="n">
        <x:v>35.1545117</x:v>
      </x:c>
      <x:c r="N586" s="21" t="n">
        <x:v>136.9665767</x:v>
      </x:c>
      <x:c r="O586" s="18" t="str">
        <x:v>005516</x:v>
      </x:c>
      <x:c r="P586" s="18" t="str">
        <x:v>4号線名城線</x:v>
      </x:c>
      <x:c r="Q586" s="19" t="str">
        <x:v>S12_061_GE_10000</x:v>
      </x:c>
      <x:c r="R586" s="19" t="str">
        <x:v>S12_061 usage threshold</x:v>
      </x:c>
      <x:c r="S586" s="19" t="str">
        <x:v>https://nlftp.mlit.go.jp/ksj/gml/datalist/KsjTmplt-S12-2024.html</x:v>
      </x:c>
      <x:c r="T586" s="19" t="str">
        <x:v>https://nlftp.mlit.go.jp/ksj/gml/datalist/KsjTmplt-S12-2024.html</x:v>
      </x:c>
      <x:c r="U586" s="19" t="str">
        <x:v>station-component|名古屋大学|名古屋市|metro|35.1545|136.9666|</x:v>
      </x:c>
      <x:c r="V586" s="19" t="str">
        <x:v>005516 / 005516 / 4号線名城線</x:v>
      </x:c>
      <x:c r="W586" s="18" t="str">
        <x:v>否</x:v>
      </x:c>
      <x:c r="X586" s="18" t="str">
        <x:v>0785e932a32b3ec15e1a1345537ae145eafe1c07bf38d5c16c11ee2b391e7a28</x:v>
      </x:c>
      <x:c r="Y586" s="20" t="n">
        <x:v>1</x:v>
      </x:c>
      <x:c r="Z586" s="20" t="n">
        <x:v>1</x:v>
      </x:c>
      <x:c r="AA586" s="19"/>
      <x:c r="AB586" s="18"/>
      <x:c r="AC586" s="19"/>
    </x:row>
    <x:row r="587" ht="28" customHeight="1">
      <x:c r="A587" s="18" t="str">
        <x:v>名古屋港</x:v>
      </x:c>
      <x:c r="B587" s="18" t="str">
        <x:v>名古屋市</x:v>
      </x:c>
      <x:c r="C587" s="18" t="str">
        <x:v>metro</x:v>
      </x:c>
      <x:c r="D587" s="19" t="str">
        <x:v>T2</x:v>
      </x:c>
      <x:c r="E587" s="20" t="n">
        <x:v>12077</x:v>
      </x:c>
      <x:c r="F587" s="18" t="str">
        <x:v>persons/day</x:v>
      </x:c>
      <x:c r="G587" s="18" t="str">
        <x:v>FY2024</x:v>
      </x:c>
      <x:c r="H587" s="18" t="str">
        <x:v>否</x:v>
      </x:c>
      <x:c r="I587" s="19" t="str">
        <x:v>DAILY_ENTRIES_EXITS</x:v>
      </x:c>
      <x:c r="J587" s="19" t="str">
        <x:v>2号線名港線</x:v>
      </x:c>
      <x:c r="K587" s="18" t="str">
        <x:v>transport-node:7eccc522-c703-577c-a239-69c802db6544</x:v>
      </x:c>
      <x:c r="L587" s="19" t="str">
        <x:v>组件待审核</x:v>
      </x:c>
      <x:c r="M587" s="21" t="n">
        <x:v>35.093205</x:v>
      </x:c>
      <x:c r="N587" s="21" t="n">
        <x:v>136.881915</x:v>
      </x:c>
      <x:c r="O587" s="18" t="str">
        <x:v>005716</x:v>
      </x:c>
      <x:c r="P587" s="18" t="str">
        <x:v>2号線名港線</x:v>
      </x:c>
      <x:c r="Q587" s="19" t="str">
        <x:v>S12_061_GE_10000</x:v>
      </x:c>
      <x:c r="R587" s="19" t="str">
        <x:v>S12_061 usage threshold</x:v>
      </x:c>
      <x:c r="S587" s="19" t="str">
        <x:v>https://nlftp.mlit.go.jp/ksj/gml/datalist/KsjTmplt-S12-2024.html</x:v>
      </x:c>
      <x:c r="T587" s="19" t="str">
        <x:v>https://nlftp.mlit.go.jp/ksj/gml/datalist/KsjTmplt-S12-2024.html</x:v>
      </x:c>
      <x:c r="U587" s="19" t="str">
        <x:v>station-component|名古屋港|名古屋市|metro|35.0932|136.8819|</x:v>
      </x:c>
      <x:c r="V587" s="19" t="str">
        <x:v>005716 / 005716 / 2号線名港線</x:v>
      </x:c>
      <x:c r="W587" s="18" t="str">
        <x:v>否</x:v>
      </x:c>
      <x:c r="X587" s="18" t="str">
        <x:v>0785e932a32b3ec15e1a1345537ae145eafe1c07bf38d5c16c11ee2b391e7a28</x:v>
      </x:c>
      <x:c r="Y587" s="20" t="n">
        <x:v>1</x:v>
      </x:c>
      <x:c r="Z587" s="20" t="n">
        <x:v>1</x:v>
      </x:c>
      <x:c r="AA587" s="19"/>
      <x:c r="AB587" s="18"/>
      <x:c r="AC587" s="19"/>
    </x:row>
    <x:row r="588" ht="28" customHeight="1">
      <x:c r="A588" s="18" t="str">
        <x:v>名城公園</x:v>
      </x:c>
      <x:c r="B588" s="18" t="str">
        <x:v>名古屋市</x:v>
      </x:c>
      <x:c r="C588" s="18" t="str">
        <x:v>metro</x:v>
      </x:c>
      <x:c r="D588" s="19" t="str">
        <x:v>T2</x:v>
      </x:c>
      <x:c r="E588" s="20" t="n">
        <x:v>12900</x:v>
      </x:c>
      <x:c r="F588" s="18" t="str">
        <x:v>persons/day</x:v>
      </x:c>
      <x:c r="G588" s="18" t="str">
        <x:v>FY2024</x:v>
      </x:c>
      <x:c r="H588" s="18" t="str">
        <x:v>否</x:v>
      </x:c>
      <x:c r="I588" s="19" t="str">
        <x:v>DAILY_ENTRIES_EXITS</x:v>
      </x:c>
      <x:c r="J588" s="19" t="str">
        <x:v>2号線名城線</x:v>
      </x:c>
      <x:c r="K588" s="18" t="str">
        <x:v>transport-node:6311441a-66e8-5485-b5ff-61c07ec110b5</x:v>
      </x:c>
      <x:c r="L588" s="19" t="str">
        <x:v>组件待审核</x:v>
      </x:c>
      <x:c r="M588" s="21" t="n">
        <x:v>35.1904567</x:v>
      </x:c>
      <x:c r="N588" s="21" t="n">
        <x:v>136.9047667</x:v>
      </x:c>
      <x:c r="O588" s="18" t="str">
        <x:v>005390</x:v>
      </x:c>
      <x:c r="P588" s="18" t="str">
        <x:v>2号線名城線</x:v>
      </x:c>
      <x:c r="Q588" s="19" t="str">
        <x:v>S12_061_GE_10000</x:v>
      </x:c>
      <x:c r="R588" s="19" t="str">
        <x:v>S12_061 usage threshold</x:v>
      </x:c>
      <x:c r="S588" s="19" t="str">
        <x:v>https://nlftp.mlit.go.jp/ksj/gml/datalist/KsjTmplt-S12-2024.html</x:v>
      </x:c>
      <x:c r="T588" s="19" t="str">
        <x:v>https://nlftp.mlit.go.jp/ksj/gml/datalist/KsjTmplt-S12-2024.html</x:v>
      </x:c>
      <x:c r="U588" s="19" t="str">
        <x:v>station-component|名城公園|名古屋市|metro|35.1905|136.9048|</x:v>
      </x:c>
      <x:c r="V588" s="19" t="str">
        <x:v>005390 / 005390 / 2号線名城線</x:v>
      </x:c>
      <x:c r="W588" s="18" t="str">
        <x:v>否</x:v>
      </x:c>
      <x:c r="X588" s="18" t="str">
        <x:v>0785e932a32b3ec15e1a1345537ae145eafe1c07bf38d5c16c11ee2b391e7a28</x:v>
      </x:c>
      <x:c r="Y588" s="20" t="n">
        <x:v>1</x:v>
      </x:c>
      <x:c r="Z588" s="20" t="n">
        <x:v>1</x:v>
      </x:c>
      <x:c r="AA588" s="19"/>
      <x:c r="AB588" s="18"/>
      <x:c r="AC588" s="19"/>
    </x:row>
    <x:row r="589" ht="33" customHeight="1">
      <x:c r="A589" s="18" t="str">
        <x:v>名谷</x:v>
      </x:c>
      <x:c r="B589" s="18" t="str">
        <x:v>神戸市</x:v>
      </x:c>
      <x:c r="C589" s="18" t="str">
        <x:v>metro</x:v>
      </x:c>
      <x:c r="D589" s="19" t="str">
        <x:v>T2</x:v>
      </x:c>
      <x:c r="E589" s="20" t="n">
        <x:v>34937</x:v>
      </x:c>
      <x:c r="F589" s="18" t="str">
        <x:v>persons/day</x:v>
      </x:c>
      <x:c r="G589" s="18" t="str">
        <x:v>FY2024</x:v>
      </x:c>
      <x:c r="H589" s="18" t="str">
        <x:v>否</x:v>
      </x:c>
      <x:c r="I589" s="19" t="str">
        <x:v>DAILY_ENTRIES_EXITS</x:v>
      </x:c>
      <x:c r="J589" s="19" t="str">
        <x:v>西神延伸線
西神線</x:v>
      </x:c>
      <x:c r="K589" s="18" t="str">
        <x:v>transport-node:783ae599-4669-5fe0-9176-4a8ff622429b</x:v>
      </x:c>
      <x:c r="L589" s="19" t="str">
        <x:v>组件待审核</x:v>
      </x:c>
      <x:c r="M589" s="21" t="n">
        <x:v>34.679265</x:v>
      </x:c>
      <x:c r="N589" s="21" t="n">
        <x:v>135.09438</x:v>
      </x:c>
      <x:c r="O589" s="18" t="str">
        <x:v>007223</x:v>
      </x:c>
      <x:c r="P589" s="18" t="str">
        <x:v>西神線</x:v>
      </x:c>
      <x:c r="Q589" s="19" t="str">
        <x:v>S12_061_GE_10000</x:v>
      </x:c>
      <x:c r="R589" s="19" t="str">
        <x:v>S12_061 usage threshold</x:v>
      </x:c>
      <x:c r="S589" s="19" t="str">
        <x:v>https://nlftp.mlit.go.jp/ksj/gml/datalist/KsjTmplt-S12-2024.html</x:v>
      </x:c>
      <x:c r="T589" s="19" t="str">
        <x:v>https://nlftp.mlit.go.jp/ksj/gml/datalist/KsjTmplt-S12-2024.html</x:v>
      </x:c>
      <x:c r="U589" s="19" t="str">
        <x:v>station-component|名谷|神戸市|metro|34.6793|135.0944|</x:v>
      </x:c>
      <x:c r="V589" s="19" t="str">
        <x:v>007222 / 007222 / 西神延伸線
007222 / 007223 / 西神線</x:v>
      </x:c>
      <x:c r="W589" s="18" t="str">
        <x:v>否</x:v>
      </x:c>
      <x:c r="X589" s="18" t="str">
        <x:v>0785e932a32b3ec15e1a1345537ae145eafe1c07bf38d5c16c11ee2b391e7a28</x:v>
      </x:c>
      <x:c r="Y589" s="20" t="n">
        <x:v>1</x:v>
      </x:c>
      <x:c r="Z589" s="20" t="n">
        <x:v>1</x:v>
      </x:c>
      <x:c r="AA589" s="19"/>
      <x:c r="AB589" s="18"/>
      <x:c r="AC589" s="19"/>
    </x:row>
    <x:row r="590" ht="33" customHeight="1">
      <x:c r="A590" s="18" t="str">
        <x:v>名鉄一宮</x:v>
      </x:c>
      <x:c r="B590" s="18" t="str">
        <x:v>名古屋鉄道</x:v>
      </x:c>
      <x:c r="C590" s="18" t="str">
        <x:v>private_rail</x:v>
      </x:c>
      <x:c r="D590" s="19" t="str">
        <x:v>T2</x:v>
      </x:c>
      <x:c r="E590" s="20" t="n">
        <x:v>31058</x:v>
      </x:c>
      <x:c r="F590" s="18" t="str">
        <x:v>persons/day</x:v>
      </x:c>
      <x:c r="G590" s="18" t="str">
        <x:v>FY2024</x:v>
      </x:c>
      <x:c r="H590" s="18" t="str">
        <x:v>否</x:v>
      </x:c>
      <x:c r="I590" s="19" t="str">
        <x:v>DAILY_ENTRIES_EXITS</x:v>
      </x:c>
      <x:c r="J590" s="19" t="str">
        <x:v>名古屋本線
尾西線</x:v>
      </x:c>
      <x:c r="K590" s="18" t="str">
        <x:v>transport-node:f5226fd7-66e6-517d-b7f4-b25f2f2cab07</x:v>
      </x:c>
      <x:c r="L590" s="19" t="str">
        <x:v>组件待审核</x:v>
      </x:c>
      <x:c r="M590" s="21" t="n">
        <x:v>35.302085</x:v>
      </x:c>
      <x:c r="N590" s="21" t="n">
        <x:v>136.796975</x:v>
      </x:c>
      <x:c r="O590" s="18" t="str">
        <x:v>005110</x:v>
      </x:c>
      <x:c r="P590" s="18" t="str">
        <x:v>名古屋本線</x:v>
      </x:c>
      <x:c r="Q590" s="19" t="str">
        <x:v>S12_061_GE_10000
OFFICIAL_HUB_COMPONENT_REVIEW</x:v>
      </x:c>
      <x:c r="R590" s="19" t="str">
        <x:v>S12_061 usage threshold</x:v>
      </x:c>
      <x:c r="S590" s="19" t="str">
        <x:v>https://nlftp.mlit.go.jp/ksj/gml/datalist/KsjTmplt-S12-2024.html</x:v>
      </x:c>
      <x:c r="T590" s="19" t="str">
        <x:v>https://nlftp.mlit.go.jp/ksj/gml/datalist/KsjTmplt-S12-2024.html
https://www.meitetsu.co.jp/train/station_info/line10/station/1228.html</x:v>
      </x:c>
      <x:c r="U590" s="19" t="str">
        <x:v>station-component|名鉄一宮|名古屋鉄道|private_rail|35.3021|136.7970|</x:v>
      </x:c>
      <x:c r="V590" s="19" t="str">
        <x:v>005109 / 005109 / 尾西線
005109 / 005110 / 名古屋本線</x:v>
      </x:c>
      <x:c r="W590" s="18" t="str">
        <x:v>否</x:v>
      </x:c>
      <x:c r="X590" s="18" t="str">
        <x:v>0785e932a32b3ec15e1a1345537ae145eafe1c07bf38d5c16c11ee2b391e7a28</x:v>
      </x:c>
      <x:c r="Y590" s="20" t="n">
        <x:v>1</x:v>
      </x:c>
      <x:c r="Z590" s="20" t="n">
        <x:v>1</x:v>
      </x:c>
      <x:c r="AA590" s="19" t="str">
        <x:v>尾張一宮・名鉄一宮</x:v>
      </x:c>
      <x:c r="AB590" s="18" t="str">
        <x:v>transport-hub-review:637cdbb7-038a-56cd-a587-93000979a03f</x:v>
      </x:c>
      <x:c r="AC590" s="19"/>
    </x:row>
    <x:row r="591" ht="33" customHeight="1">
      <x:c r="A591" s="18" t="str">
        <x:v>名鉄名古屋</x:v>
      </x:c>
      <x:c r="B591" s="18" t="str">
        <x:v>名古屋鉄道</x:v>
      </x:c>
      <x:c r="C591" s="18" t="str">
        <x:v>private_rail</x:v>
      </x:c>
      <x:c r="D591" s="19" t="str">
        <x:v>T0</x:v>
      </x:c>
      <x:c r="E591" s="20" t="n">
        <x:v>278919</x:v>
      </x:c>
      <x:c r="F591" s="18" t="str">
        <x:v>persons/day</x:v>
      </x:c>
      <x:c r="G591" s="18" t="str">
        <x:v>FY2024</x:v>
      </x:c>
      <x:c r="H591" s="18" t="str">
        <x:v>否</x:v>
      </x:c>
      <x:c r="I591" s="19" t="str">
        <x:v>DAILY_ENTRIES_EXITS</x:v>
      </x:c>
      <x:c r="J591" s="19" t="str">
        <x:v>名古屋本線</x:v>
      </x:c>
      <x:c r="K591" s="18" t="str">
        <x:v>transport-node:ba298600-c64a-54e2-a4d1-19d533279f8b</x:v>
      </x:c>
      <x:c r="L591" s="19" t="str">
        <x:v>组件待审核</x:v>
      </x:c>
      <x:c r="M591" s="21" t="n">
        <x:v>35.17044</x:v>
      </x:c>
      <x:c r="N591" s="21" t="n">
        <x:v>136.88387</x:v>
      </x:c>
      <x:c r="O591" s="18" t="str">
        <x:v>005457</x:v>
      </x:c>
      <x:c r="P591" s="18" t="str">
        <x:v>名古屋本線</x:v>
      </x:c>
      <x:c r="Q591" s="19" t="str">
        <x:v>S12_061_GE_10000
OFFICIAL_HUB_COMPONENT_REVIEW</x:v>
      </x:c>
      <x:c r="R591" s="19" t="str">
        <x:v>S12_061 usage threshold</x:v>
      </x:c>
      <x:c r="S591" s="19" t="str">
        <x:v>https://nlftp.mlit.go.jp/ksj/gml/datalist/KsjTmplt-S12-2024.html</x:v>
      </x:c>
      <x:c r="T591" s="19" t="str">
        <x:v>https://nlftp.mlit.go.jp/ksj/gml/datalist/KsjTmplt-S12-2024.html
https://www.meitetsu.co.jp/train/station_info/line01/station/1201.html</x:v>
      </x:c>
      <x:c r="U591" s="19" t="str">
        <x:v>station-component|名鉄名古屋|名古屋鉄道|private_rail|35.1704|136.8839|</x:v>
      </x:c>
      <x:c r="V591" s="19" t="str">
        <x:v>005457 / 005457 / 名古屋本線</x:v>
      </x:c>
      <x:c r="W591" s="18" t="str">
        <x:v>否</x:v>
      </x:c>
      <x:c r="X591" s="18" t="str">
        <x:v>0785e932a32b3ec15e1a1345537ae145eafe1c07bf38d5c16c11ee2b391e7a28</x:v>
      </x:c>
      <x:c r="Y591" s="20" t="n">
        <x:v>1</x:v>
      </x:c>
      <x:c r="Z591" s="20" t="n">
        <x:v>1</x:v>
      </x:c>
      <x:c r="AA591" s="19" t="str">
        <x:v>名古屋</x:v>
      </x:c>
      <x:c r="AB591" s="18" t="str">
        <x:v>transport-hub-review:f84cdc88-2100-55dc-a385-099023194b00</x:v>
      </x:c>
      <x:c r="AC591" s="19"/>
    </x:row>
    <x:row r="592" ht="33" customHeight="1">
      <x:c r="A592" s="18" t="str">
        <x:v>名鉄岐阜</x:v>
      </x:c>
      <x:c r="B592" s="18" t="str">
        <x:v>名古屋鉄道</x:v>
      </x:c>
      <x:c r="C592" s="18" t="str">
        <x:v>private_rail</x:v>
      </x:c>
      <x:c r="D592" s="19" t="str">
        <x:v>T2</x:v>
      </x:c>
      <x:c r="E592" s="20" t="n">
        <x:v>30103</x:v>
      </x:c>
      <x:c r="F592" s="18" t="str">
        <x:v>persons/day</x:v>
      </x:c>
      <x:c r="G592" s="18" t="str">
        <x:v>FY2024</x:v>
      </x:c>
      <x:c r="H592" s="18" t="str">
        <x:v>否</x:v>
      </x:c>
      <x:c r="I592" s="19" t="str">
        <x:v>DAILY_ENTRIES_EXITS</x:v>
      </x:c>
      <x:c r="J592" s="19" t="str">
        <x:v>各務原線
名古屋本線</x:v>
      </x:c>
      <x:c r="K592" s="18" t="str">
        <x:v>transport-node:4401d9d9-193d-5ea4-982a-110259af66a3</x:v>
      </x:c>
      <x:c r="L592" s="19" t="str">
        <x:v>组件待审核</x:v>
      </x:c>
      <x:c r="M592" s="21" t="n">
        <x:v>35.410915</x:v>
      </x:c>
      <x:c r="N592" s="21" t="n">
        <x:v>136.76023</x:v>
      </x:c>
      <x:c r="O592" s="18" t="str">
        <x:v>004787</x:v>
      </x:c>
      <x:c r="P592" s="18" t="str">
        <x:v>名古屋本線</x:v>
      </x:c>
      <x:c r="Q592" s="19" t="str">
        <x:v>S12_061_GE_10000</x:v>
      </x:c>
      <x:c r="R592" s="19" t="str">
        <x:v>S12_061 usage threshold</x:v>
      </x:c>
      <x:c r="S592" s="19" t="str">
        <x:v>https://nlftp.mlit.go.jp/ksj/gml/datalist/KsjTmplt-S12-2024.html</x:v>
      </x:c>
      <x:c r="T592" s="19" t="str">
        <x:v>https://nlftp.mlit.go.jp/ksj/gml/datalist/KsjTmplt-S12-2024.html</x:v>
      </x:c>
      <x:c r="U592" s="19" t="str">
        <x:v>station-component|名鉄岐阜|名古屋鉄道|private_rail|35.4109|136.7602|</x:v>
      </x:c>
      <x:c r="V592" s="19" t="str">
        <x:v>004783 / 004783 / 各務原線
004783 / 004787 / 名古屋本線</x:v>
      </x:c>
      <x:c r="W592" s="18" t="str">
        <x:v>否</x:v>
      </x:c>
      <x:c r="X592" s="18" t="str">
        <x:v>0785e932a32b3ec15e1a1345537ae145eafe1c07bf38d5c16c11ee2b391e7a28</x:v>
      </x:c>
      <x:c r="Y592" s="20" t="n">
        <x:v>1</x:v>
      </x:c>
      <x:c r="Z592" s="20" t="n">
        <x:v>1</x:v>
      </x:c>
      <x:c r="AA592" s="19"/>
      <x:c r="AB592" s="18"/>
      <x:c r="AC592" s="19"/>
    </x:row>
    <x:row r="593" ht="28" customHeight="1">
      <x:c r="A593" s="18" t="str">
        <x:v>向ヶ丘遊園</x:v>
      </x:c>
      <x:c r="B593" s="18" t="str">
        <x:v>小田急電鉄</x:v>
      </x:c>
      <x:c r="C593" s="18" t="str">
        <x:v>private_rail</x:v>
      </x:c>
      <x:c r="D593" s="19" t="str">
        <x:v>T1</x:v>
      </x:c>
      <x:c r="E593" s="20" t="n">
        <x:v>57254</x:v>
      </x:c>
      <x:c r="F593" s="18" t="str">
        <x:v>persons/day</x:v>
      </x:c>
      <x:c r="G593" s="18" t="str">
        <x:v>FY2024</x:v>
      </x:c>
      <x:c r="H593" s="18" t="str">
        <x:v>否</x:v>
      </x:c>
      <x:c r="I593" s="19" t="str">
        <x:v>DAILY_ENTRIES_EXITS</x:v>
      </x:c>
      <x:c r="J593" s="19" t="str">
        <x:v>小田原線</x:v>
      </x:c>
      <x:c r="K593" s="18" t="str">
        <x:v>transport-node:64b9c03a-0ac2-54a0-93a1-1aa5db6ab047</x:v>
      </x:c>
      <x:c r="L593" s="19" t="str">
        <x:v>组件待审核</x:v>
      </x:c>
      <x:c r="M593" s="21" t="n">
        <x:v>35.61728</x:v>
      </x:c>
      <x:c r="N593" s="21" t="n">
        <x:v>139.56461</x:v>
      </x:c>
      <x:c r="O593" s="18" t="str">
        <x:v>004150</x:v>
      </x:c>
      <x:c r="P593" s="18" t="str">
        <x:v>小田原線</x:v>
      </x:c>
      <x:c r="Q593" s="19" t="str">
        <x:v>S12_061_GE_10000</x:v>
      </x:c>
      <x:c r="R593" s="19" t="str">
        <x:v>S12_061 usage threshold</x:v>
      </x:c>
      <x:c r="S593" s="19" t="str">
        <x:v>https://nlftp.mlit.go.jp/ksj/gml/datalist/KsjTmplt-S12-2024.html</x:v>
      </x:c>
      <x:c r="T593" s="19" t="str">
        <x:v>https://nlftp.mlit.go.jp/ksj/gml/datalist/KsjTmplt-S12-2024.html</x:v>
      </x:c>
      <x:c r="U593" s="19" t="str">
        <x:v>station-component|向ヶ丘遊園|小田急電鉄|private_rail|35.6173|139.5646|</x:v>
      </x:c>
      <x:c r="V593" s="19" t="str">
        <x:v>004150 / 004150 / 小田原線</x:v>
      </x:c>
      <x:c r="W593" s="18" t="str">
        <x:v>否</x:v>
      </x:c>
      <x:c r="X593" s="18" t="str">
        <x:v>0785e932a32b3ec15e1a1345537ae145eafe1c07bf38d5c16c11ee2b391e7a28</x:v>
      </x:c>
      <x:c r="Y593" s="20" t="n">
        <x:v>1</x:v>
      </x:c>
      <x:c r="Z593" s="20" t="n">
        <x:v>1</x:v>
      </x:c>
      <x:c r="AA593" s="19"/>
      <x:c r="AB593" s="18"/>
      <x:c r="AC593" s="19"/>
    </x:row>
    <x:row r="594" ht="28" customHeight="1">
      <x:c r="A594" s="18" t="str">
        <x:v>向島</x:v>
      </x:c>
      <x:c r="B594" s="18" t="str">
        <x:v>近畿日本鉄道</x:v>
      </x:c>
      <x:c r="C594" s="18" t="str">
        <x:v>private_rail</x:v>
      </x:c>
      <x:c r="D594" s="19" t="str">
        <x:v>T2</x:v>
      </x:c>
      <x:c r="E594" s="20" t="n">
        <x:v>13208</x:v>
      </x:c>
      <x:c r="F594" s="18" t="str">
        <x:v>persons/day</x:v>
      </x:c>
      <x:c r="G594" s="18" t="str">
        <x:v>FY2024</x:v>
      </x:c>
      <x:c r="H594" s="18" t="str">
        <x:v>否</x:v>
      </x:c>
      <x:c r="I594" s="19" t="str">
        <x:v>DAILY_ENTRIES_EXITS</x:v>
      </x:c>
      <x:c r="J594" s="19" t="str">
        <x:v>京都線</x:v>
      </x:c>
      <x:c r="K594" s="18" t="str">
        <x:v>transport-node:12b60369-345a-59a5-b962-4fc5a822bb4e</x:v>
      </x:c>
      <x:c r="L594" s="19" t="str">
        <x:v>组件待审核</x:v>
      </x:c>
      <x:c r="M594" s="21" t="n">
        <x:v>34.914725</x:v>
      </x:c>
      <x:c r="N594" s="21" t="n">
        <x:v>135.76977</x:v>
      </x:c>
      <x:c r="O594" s="18" t="str">
        <x:v>006275</x:v>
      </x:c>
      <x:c r="P594" s="18" t="str">
        <x:v>京都線</x:v>
      </x:c>
      <x:c r="Q594" s="19" t="str">
        <x:v>S12_061_GE_10000</x:v>
      </x:c>
      <x:c r="R594" s="19" t="str">
        <x:v>S12_061 usage threshold</x:v>
      </x:c>
      <x:c r="S594" s="19" t="str">
        <x:v>https://nlftp.mlit.go.jp/ksj/gml/datalist/KsjTmplt-S12-2024.html</x:v>
      </x:c>
      <x:c r="T594" s="19" t="str">
        <x:v>https://nlftp.mlit.go.jp/ksj/gml/datalist/KsjTmplt-S12-2024.html</x:v>
      </x:c>
      <x:c r="U594" s="19" t="str">
        <x:v>station-component|向島|近畿日本鉄道|private_rail|34.9147|135.7698|</x:v>
      </x:c>
      <x:c r="V594" s="19" t="str">
        <x:v>006275 / 006275 / 京都線</x:v>
      </x:c>
      <x:c r="W594" s="18" t="str">
        <x:v>否</x:v>
      </x:c>
      <x:c r="X594" s="18" t="str">
        <x:v>0785e932a32b3ec15e1a1345537ae145eafe1c07bf38d5c16c11ee2b391e7a28</x:v>
      </x:c>
      <x:c r="Y594" s="20" t="n">
        <x:v>1</x:v>
      </x:c>
      <x:c r="Z594" s="20" t="n">
        <x:v>1</x:v>
      </x:c>
      <x:c r="AA594" s="19"/>
      <x:c r="AB594" s="18"/>
      <x:c r="AC594" s="19"/>
    </x:row>
    <x:row r="595" ht="28" customHeight="1">
      <x:c r="A595" s="18" t="str">
        <x:v>向日町</x:v>
      </x:c>
      <x:c r="B595" s="18" t="str">
        <x:v>西日本旅客鉄道</x:v>
      </x:c>
      <x:c r="C595" s="18" t="str">
        <x:v>conventional_rail</x:v>
      </x:c>
      <x:c r="D595" s="19" t="str">
        <x:v>T2</x:v>
      </x:c>
      <x:c r="E595" s="20" t="n">
        <x:v>15760</x:v>
      </x:c>
      <x:c r="F595" s="18" t="str">
        <x:v>persons/day</x:v>
      </x:c>
      <x:c r="G595" s="18" t="str">
        <x:v>FY2024</x:v>
      </x:c>
      <x:c r="H595" s="18" t="str">
        <x:v>否</x:v>
      </x:c>
      <x:c r="I595" s="19" t="str">
        <x:v>DAILY_ENTRIES_EXITS</x:v>
      </x:c>
      <x:c r="J595" s="19" t="str">
        <x:v>東海道線</x:v>
      </x:c>
      <x:c r="K595" s="18" t="str">
        <x:v>transport-node:56f02bf0-1de7-56db-b33e-cfe8164d0001</x:v>
      </x:c>
      <x:c r="L595" s="19" t="str">
        <x:v>组件待审核</x:v>
      </x:c>
      <x:c r="M595" s="21" t="n">
        <x:v>34.9551167</x:v>
      </x:c>
      <x:c r="N595" s="21" t="n">
        <x:v>135.7097833</x:v>
      </x:c>
      <x:c r="O595" s="18" t="str">
        <x:v>006178</x:v>
      </x:c>
      <x:c r="P595" s="18" t="str">
        <x:v>東海道線</x:v>
      </x:c>
      <x:c r="Q595" s="19" t="str">
        <x:v>S12_061_GE_10000</x:v>
      </x:c>
      <x:c r="R595" s="19" t="str">
        <x:v>S12_061 usage threshold</x:v>
      </x:c>
      <x:c r="S595" s="19" t="str">
        <x:v>https://nlftp.mlit.go.jp/ksj/gml/datalist/KsjTmplt-S12-2024.html</x:v>
      </x:c>
      <x:c r="T595" s="19" t="str">
        <x:v>https://nlftp.mlit.go.jp/ksj/gml/datalist/KsjTmplt-S12-2024.html</x:v>
      </x:c>
      <x:c r="U595" s="19" t="str">
        <x:v>station-component|向日町|西日本旅客鉄道|conventional_rail|34.9551|135.7098|</x:v>
      </x:c>
      <x:c r="V595" s="19" t="str">
        <x:v>006178 / 006178 / 東海道線</x:v>
      </x:c>
      <x:c r="W595" s="18" t="str">
        <x:v>否</x:v>
      </x:c>
      <x:c r="X595" s="18" t="str">
        <x:v>0785e932a32b3ec15e1a1345537ae145eafe1c07bf38d5c16c11ee2b391e7a28</x:v>
      </x:c>
      <x:c r="Y595" s="20" t="n">
        <x:v>1</x:v>
      </x:c>
      <x:c r="Z595" s="20" t="n">
        <x:v>1</x:v>
      </x:c>
      <x:c r="AA595" s="19"/>
      <x:c r="AB595" s="18"/>
      <x:c r="AC595" s="19"/>
    </x:row>
    <x:row r="596" ht="28" customHeight="1">
      <x:c r="A596" s="18" t="str">
        <x:v>向河原</x:v>
      </x:c>
      <x:c r="B596" s="18" t="str">
        <x:v>東日本旅客鉄道</x:v>
      </x:c>
      <x:c r="C596" s="18" t="str">
        <x:v>conventional_rail</x:v>
      </x:c>
      <x:c r="D596" s="19" t="str">
        <x:v>T2</x:v>
      </x:c>
      <x:c r="E596" s="20" t="n">
        <x:v>14604</x:v>
      </x:c>
      <x:c r="F596" s="18" t="str">
        <x:v>persons/day</x:v>
      </x:c>
      <x:c r="G596" s="18" t="str">
        <x:v>FY2024</x:v>
      </x:c>
      <x:c r="H596" s="18" t="str">
        <x:v>否</x:v>
      </x:c>
      <x:c r="I596" s="19" t="str">
        <x:v>DAILY_ENTRIES_EXITS</x:v>
      </x:c>
      <x:c r="J596" s="19" t="str">
        <x:v>南武線</x:v>
      </x:c>
      <x:c r="K596" s="18" t="str">
        <x:v>transport-node:73490b91-b35f-5ede-98ca-f4c438b59f50</x:v>
      </x:c>
      <x:c r="L596" s="19" t="str">
        <x:v>组件待审核</x:v>
      </x:c>
      <x:c r="M596" s="21" t="n">
        <x:v>35.572175</x:v>
      </x:c>
      <x:c r="N596" s="21" t="n">
        <x:v>139.667295</x:v>
      </x:c>
      <x:c r="O596" s="18" t="str">
        <x:v>004308</x:v>
      </x:c>
      <x:c r="P596" s="18" t="str">
        <x:v>南武線</x:v>
      </x:c>
      <x:c r="Q596" s="19" t="str">
        <x:v>S12_061_GE_10000</x:v>
      </x:c>
      <x:c r="R596" s="19" t="str">
        <x:v>S12_061 usage threshold</x:v>
      </x:c>
      <x:c r="S596" s="19" t="str">
        <x:v>https://nlftp.mlit.go.jp/ksj/gml/datalist/KsjTmplt-S12-2024.html</x:v>
      </x:c>
      <x:c r="T596" s="19" t="str">
        <x:v>https://nlftp.mlit.go.jp/ksj/gml/datalist/KsjTmplt-S12-2024.html</x:v>
      </x:c>
      <x:c r="U596" s="19" t="str">
        <x:v>station-component|向河原|東日本旅客鉄道|conventional_rail|35.5722|139.6673|</x:v>
      </x:c>
      <x:c r="V596" s="19" t="str">
        <x:v>004308 / 004308 / 南武線</x:v>
      </x:c>
      <x:c r="W596" s="18" t="str">
        <x:v>否</x:v>
      </x:c>
      <x:c r="X596" s="18" t="str">
        <x:v>0785e932a32b3ec15e1a1345537ae145eafe1c07bf38d5c16c11ee2b391e7a28</x:v>
      </x:c>
      <x:c r="Y596" s="20" t="n">
        <x:v>1</x:v>
      </x:c>
      <x:c r="Z596" s="20" t="n">
        <x:v>1</x:v>
      </x:c>
      <x:c r="AA596" s="19"/>
      <x:c r="AB596" s="18"/>
      <x:c r="AC596" s="19"/>
    </x:row>
    <x:row r="597" ht="28" customHeight="1">
      <x:c r="A597" s="18" t="str">
        <x:v>向洋</x:v>
      </x:c>
      <x:c r="B597" s="18" t="str">
        <x:v>西日本旅客鉄道</x:v>
      </x:c>
      <x:c r="C597" s="18" t="str">
        <x:v>conventional_rail</x:v>
      </x:c>
      <x:c r="D597" s="19" t="str">
        <x:v>T2</x:v>
      </x:c>
      <x:c r="E597" s="20" t="n">
        <x:v>19836</x:v>
      </x:c>
      <x:c r="F597" s="18" t="str">
        <x:v>persons/day</x:v>
      </x:c>
      <x:c r="G597" s="18" t="str">
        <x:v>FY2024</x:v>
      </x:c>
      <x:c r="H597" s="18" t="str">
        <x:v>否</x:v>
      </x:c>
      <x:c r="I597" s="19" t="str">
        <x:v>DAILY_ENTRIES_EXITS</x:v>
      </x:c>
      <x:c r="J597" s="19" t="str">
        <x:v>山陽線</x:v>
      </x:c>
      <x:c r="K597" s="18" t="str">
        <x:v>transport-node:702df200-a750-5b5d-afd9-1bfb697a1615</x:v>
      </x:c>
      <x:c r="L597" s="19" t="str">
        <x:v>组件待审核</x:v>
      </x:c>
      <x:c r="M597" s="21" t="n">
        <x:v>34.376875</x:v>
      </x:c>
      <x:c r="N597" s="21" t="n">
        <x:v>132.506005</x:v>
      </x:c>
      <x:c r="O597" s="18" t="str">
        <x:v>008109</x:v>
      </x:c>
      <x:c r="P597" s="18" t="str">
        <x:v>山陽線</x:v>
      </x:c>
      <x:c r="Q597" s="19" t="str">
        <x:v>S12_061_GE_10000</x:v>
      </x:c>
      <x:c r="R597" s="19" t="str">
        <x:v>S12_061 usage threshold</x:v>
      </x:c>
      <x:c r="S597" s="19" t="str">
        <x:v>https://nlftp.mlit.go.jp/ksj/gml/datalist/KsjTmplt-S12-2024.html</x:v>
      </x:c>
      <x:c r="T597" s="19" t="str">
        <x:v>https://nlftp.mlit.go.jp/ksj/gml/datalist/KsjTmplt-S12-2024.html</x:v>
      </x:c>
      <x:c r="U597" s="19" t="str">
        <x:v>station-component|向洋|西日本旅客鉄道|conventional_rail|34.3769|132.5060|</x:v>
      </x:c>
      <x:c r="V597" s="19" t="str">
        <x:v>008109 / 008109 / 山陽線</x:v>
      </x:c>
      <x:c r="W597" s="18" t="str">
        <x:v>否</x:v>
      </x:c>
      <x:c r="X597" s="18" t="str">
        <x:v>0785e932a32b3ec15e1a1345537ae145eafe1c07bf38d5c16c11ee2b391e7a28</x:v>
      </x:c>
      <x:c r="Y597" s="20" t="n">
        <x:v>1</x:v>
      </x:c>
      <x:c r="Z597" s="20" t="n">
        <x:v>1</x:v>
      </x:c>
      <x:c r="AA597" s="19"/>
      <x:c r="AB597" s="18"/>
      <x:c r="AC597" s="19"/>
    </x:row>
    <x:row r="598" ht="28" customHeight="1">
      <x:c r="A598" s="18" t="str">
        <x:v>君津</x:v>
      </x:c>
      <x:c r="B598" s="18" t="str">
        <x:v>東日本旅客鉄道</x:v>
      </x:c>
      <x:c r="C598" s="18" t="str">
        <x:v>conventional_rail</x:v>
      </x:c>
      <x:c r="D598" s="19" t="str">
        <x:v>T2</x:v>
      </x:c>
      <x:c r="E598" s="20" t="n">
        <x:v>14298</x:v>
      </x:c>
      <x:c r="F598" s="18" t="str">
        <x:v>persons/day</x:v>
      </x:c>
      <x:c r="G598" s="18" t="str">
        <x:v>FY2024</x:v>
      </x:c>
      <x:c r="H598" s="18" t="str">
        <x:v>否</x:v>
      </x:c>
      <x:c r="I598" s="19" t="str">
        <x:v>DAILY_ENTRIES_EXITS</x:v>
      </x:c>
      <x:c r="J598" s="19" t="str">
        <x:v>内房線</x:v>
      </x:c>
      <x:c r="K598" s="18" t="str">
        <x:v>transport-node:26e31f80-2d71-5742-a47d-08956cf15aa2</x:v>
      </x:c>
      <x:c r="L598" s="19" t="str">
        <x:v>组件待审核</x:v>
      </x:c>
      <x:c r="M598" s="21" t="n">
        <x:v>35.333645</x:v>
      </x:c>
      <x:c r="N598" s="21" t="n">
        <x:v>139.895515</x:v>
      </x:c>
      <x:c r="O598" s="18" t="str">
        <x:v>005014</x:v>
      </x:c>
      <x:c r="P598" s="18" t="str">
        <x:v>内房線</x:v>
      </x:c>
      <x:c r="Q598" s="19" t="str">
        <x:v>S12_061_GE_10000</x:v>
      </x:c>
      <x:c r="R598" s="19" t="str">
        <x:v>S12_061 usage threshold</x:v>
      </x:c>
      <x:c r="S598" s="19" t="str">
        <x:v>https://nlftp.mlit.go.jp/ksj/gml/datalist/KsjTmplt-S12-2024.html</x:v>
      </x:c>
      <x:c r="T598" s="19" t="str">
        <x:v>https://nlftp.mlit.go.jp/ksj/gml/datalist/KsjTmplt-S12-2024.html</x:v>
      </x:c>
      <x:c r="U598" s="19" t="str">
        <x:v>station-component|君津|東日本旅客鉄道|conventional_rail|35.3336|139.8955|</x:v>
      </x:c>
      <x:c r="V598" s="19" t="str">
        <x:v>005014 / 005014 / 内房線</x:v>
      </x:c>
      <x:c r="W598" s="18" t="str">
        <x:v>否</x:v>
      </x:c>
      <x:c r="X598" s="18" t="str">
        <x:v>0785e932a32b3ec15e1a1345537ae145eafe1c07bf38d5c16c11ee2b391e7a28</x:v>
      </x:c>
      <x:c r="Y598" s="20" t="n">
        <x:v>1</x:v>
      </x:c>
      <x:c r="Z598" s="20" t="n">
        <x:v>1</x:v>
      </x:c>
      <x:c r="AA598" s="19"/>
      <x:c r="AB598" s="18"/>
      <x:c r="AC598" s="19"/>
    </x:row>
    <x:row r="599" ht="28" customHeight="1">
      <x:c r="A599" s="18" t="str">
        <x:v>吹上</x:v>
      </x:c>
      <x:c r="B599" s="18" t="str">
        <x:v>名古屋市</x:v>
      </x:c>
      <x:c r="C599" s="18" t="str">
        <x:v>metro</x:v>
      </x:c>
      <x:c r="D599" s="19" t="str">
        <x:v>T2</x:v>
      </x:c>
      <x:c r="E599" s="20" t="n">
        <x:v>14068</x:v>
      </x:c>
      <x:c r="F599" s="18" t="str">
        <x:v>persons/day</x:v>
      </x:c>
      <x:c r="G599" s="18" t="str">
        <x:v>FY2024</x:v>
      </x:c>
      <x:c r="H599" s="18" t="str">
        <x:v>否</x:v>
      </x:c>
      <x:c r="I599" s="19" t="str">
        <x:v>DAILY_ENTRIES_EXITS</x:v>
      </x:c>
      <x:c r="J599" s="19" t="str">
        <x:v>6号線桜通線</x:v>
      </x:c>
      <x:c r="K599" s="18" t="str">
        <x:v>transport-node:0f1e8519-230e-511f-bc4f-bf1678509db0</x:v>
      </x:c>
      <x:c r="L599" s="19" t="str">
        <x:v>组件待审核</x:v>
      </x:c>
      <x:c r="M599" s="21" t="n">
        <x:v>35.158805</x:v>
      </x:c>
      <x:c r="N599" s="21" t="n">
        <x:v>136.93522</x:v>
      </x:c>
      <x:c r="O599" s="18" t="str">
        <x:v>005503</x:v>
      </x:c>
      <x:c r="P599" s="18" t="str">
        <x:v>6号線桜通線</x:v>
      </x:c>
      <x:c r="Q599" s="19" t="str">
        <x:v>S12_061_GE_10000</x:v>
      </x:c>
      <x:c r="R599" s="19" t="str">
        <x:v>S12_061 usage threshold</x:v>
      </x:c>
      <x:c r="S599" s="19" t="str">
        <x:v>https://nlftp.mlit.go.jp/ksj/gml/datalist/KsjTmplt-S12-2024.html</x:v>
      </x:c>
      <x:c r="T599" s="19" t="str">
        <x:v>https://nlftp.mlit.go.jp/ksj/gml/datalist/KsjTmplt-S12-2024.html</x:v>
      </x:c>
      <x:c r="U599" s="19" t="str">
        <x:v>station-component|吹上|名古屋市|metro|35.1588|136.9352|</x:v>
      </x:c>
      <x:c r="V599" s="19" t="str">
        <x:v>005503 / 005503 / 6号線桜通線</x:v>
      </x:c>
      <x:c r="W599" s="18" t="str">
        <x:v>否</x:v>
      </x:c>
      <x:c r="X599" s="18" t="str">
        <x:v>0785e932a32b3ec15e1a1345537ae145eafe1c07bf38d5c16c11ee2b391e7a28</x:v>
      </x:c>
      <x:c r="Y599" s="20" t="n">
        <x:v>1</x:v>
      </x:c>
      <x:c r="Z599" s="20" t="n">
        <x:v>1</x:v>
      </x:c>
      <x:c r="AA599" s="19"/>
      <x:c r="AB599" s="18"/>
      <x:c r="AC599" s="19"/>
    </x:row>
    <x:row r="600" ht="28" customHeight="1">
      <x:c r="A600" s="18" t="str">
        <x:v>吹上</x:v>
      </x:c>
      <x:c r="B600" s="18" t="str">
        <x:v>東日本旅客鉄道</x:v>
      </x:c>
      <x:c r="C600" s="18" t="str">
        <x:v>conventional_rail</x:v>
      </x:c>
      <x:c r="D600" s="19" t="str">
        <x:v>T2</x:v>
      </x:c>
      <x:c r="E600" s="20" t="n">
        <x:v>15864</x:v>
      </x:c>
      <x:c r="F600" s="18" t="str">
        <x:v>persons/day</x:v>
      </x:c>
      <x:c r="G600" s="18" t="str">
        <x:v>FY2024</x:v>
      </x:c>
      <x:c r="H600" s="18" t="str">
        <x:v>否</x:v>
      </x:c>
      <x:c r="I600" s="19" t="str">
        <x:v>DAILY_ENTRIES_EXITS</x:v>
      </x:c>
      <x:c r="J600" s="19" t="str">
        <x:v>高崎線</x:v>
      </x:c>
      <x:c r="K600" s="18" t="str">
        <x:v>transport-node:74f5cc24-6355-51e2-813a-6fc7ab585a5b</x:v>
      </x:c>
      <x:c r="L600" s="19" t="str">
        <x:v>组件待审核</x:v>
      </x:c>
      <x:c r="M600" s="21" t="n">
        <x:v>36.10285</x:v>
      </x:c>
      <x:c r="N600" s="21" t="n">
        <x:v>139.453692</x:v>
      </x:c>
      <x:c r="O600" s="18" t="str">
        <x:v>002627</x:v>
      </x:c>
      <x:c r="P600" s="18" t="str">
        <x:v>高崎線</x:v>
      </x:c>
      <x:c r="Q600" s="19" t="str">
        <x:v>S12_061_GE_10000</x:v>
      </x:c>
      <x:c r="R600" s="19" t="str">
        <x:v>S12_061 usage threshold</x:v>
      </x:c>
      <x:c r="S600" s="19" t="str">
        <x:v>https://nlftp.mlit.go.jp/ksj/gml/datalist/KsjTmplt-S12-2024.html</x:v>
      </x:c>
      <x:c r="T600" s="19" t="str">
        <x:v>https://nlftp.mlit.go.jp/ksj/gml/datalist/KsjTmplt-S12-2024.html</x:v>
      </x:c>
      <x:c r="U600" s="19" t="str">
        <x:v>station-component|吹上|東日本旅客鉄道|conventional_rail|36.1028|139.4537|</x:v>
      </x:c>
      <x:c r="V600" s="19" t="str">
        <x:v>002627 / 002627 / 高崎線</x:v>
      </x:c>
      <x:c r="W600" s="18" t="str">
        <x:v>否</x:v>
      </x:c>
      <x:c r="X600" s="18" t="str">
        <x:v>0785e932a32b3ec15e1a1345537ae145eafe1c07bf38d5c16c11ee2b391e7a28</x:v>
      </x:c>
      <x:c r="Y600" s="20" t="n">
        <x:v>1</x:v>
      </x:c>
      <x:c r="Z600" s="20" t="n">
        <x:v>1</x:v>
      </x:c>
      <x:c r="AA600" s="19"/>
      <x:c r="AB600" s="18"/>
      <x:c r="AC600" s="19"/>
    </x:row>
    <x:row r="601" ht="28" customHeight="1">
      <x:c r="A601" s="18" t="str">
        <x:v>吹田</x:v>
      </x:c>
      <x:c r="B601" s="18" t="str">
        <x:v>西日本旅客鉄道</x:v>
      </x:c>
      <x:c r="C601" s="18" t="str">
        <x:v>conventional_rail</x:v>
      </x:c>
      <x:c r="D601" s="19" t="str">
        <x:v>T2</x:v>
      </x:c>
      <x:c r="E601" s="20" t="n">
        <x:v>45924</x:v>
      </x:c>
      <x:c r="F601" s="18" t="str">
        <x:v>persons/day</x:v>
      </x:c>
      <x:c r="G601" s="18" t="str">
        <x:v>FY2024</x:v>
      </x:c>
      <x:c r="H601" s="18" t="str">
        <x:v>否</x:v>
      </x:c>
      <x:c r="I601" s="19" t="str">
        <x:v>DAILY_ENTRIES_EXITS</x:v>
      </x:c>
      <x:c r="J601" s="19" t="str">
        <x:v>東海道線</x:v>
      </x:c>
      <x:c r="K601" s="18" t="str">
        <x:v>transport-node:935e4f69-edc6-551b-93eb-b25e6eaf53b3</x:v>
      </x:c>
      <x:c r="L601" s="19" t="str">
        <x:v>组件待审核</x:v>
      </x:c>
      <x:c r="M601" s="21" t="n">
        <x:v>34.76322</x:v>
      </x:c>
      <x:c r="N601" s="21" t="n">
        <x:v>135.523765</x:v>
      </x:c>
      <x:c r="O601" s="18" t="str">
        <x:v>006779</x:v>
      </x:c>
      <x:c r="P601" s="18" t="str">
        <x:v>東海道線</x:v>
      </x:c>
      <x:c r="Q601" s="19" t="str">
        <x:v>S12_061_GE_10000</x:v>
      </x:c>
      <x:c r="R601" s="19" t="str">
        <x:v>S12_061 usage threshold</x:v>
      </x:c>
      <x:c r="S601" s="19" t="str">
        <x:v>https://nlftp.mlit.go.jp/ksj/gml/datalist/KsjTmplt-S12-2024.html</x:v>
      </x:c>
      <x:c r="T601" s="19" t="str">
        <x:v>https://nlftp.mlit.go.jp/ksj/gml/datalist/KsjTmplt-S12-2024.html</x:v>
      </x:c>
      <x:c r="U601" s="19" t="str">
        <x:v>station-component|吹田|西日本旅客鉄道|conventional_rail|34.7632|135.5238|</x:v>
      </x:c>
      <x:c r="V601" s="19" t="str">
        <x:v>006779 / 006779 / 東海道線</x:v>
      </x:c>
      <x:c r="W601" s="18" t="str">
        <x:v>否</x:v>
      </x:c>
      <x:c r="X601" s="18" t="str">
        <x:v>0785e932a32b3ec15e1a1345537ae145eafe1c07bf38d5c16c11ee2b391e7a28</x:v>
      </x:c>
      <x:c r="Y601" s="20" t="n">
        <x:v>1</x:v>
      </x:c>
      <x:c r="Z601" s="20" t="n">
        <x:v>1</x:v>
      </x:c>
      <x:c r="AA601" s="19"/>
      <x:c r="AB601" s="18"/>
      <x:c r="AC601" s="19"/>
    </x:row>
    <x:row r="602" ht="28" customHeight="1">
      <x:c r="A602" s="18" t="str">
        <x:v>吹田</x:v>
      </x:c>
      <x:c r="B602" s="18" t="str">
        <x:v>阪急電鉄</x:v>
      </x:c>
      <x:c r="C602" s="18" t="str">
        <x:v>private_rail</x:v>
      </x:c>
      <x:c r="D602" s="19" t="str">
        <x:v>T2</x:v>
      </x:c>
      <x:c r="E602" s="20" t="n">
        <x:v>14197</x:v>
      </x:c>
      <x:c r="F602" s="18" t="str">
        <x:v>persons/day</x:v>
      </x:c>
      <x:c r="G602" s="18" t="str">
        <x:v>FY2024</x:v>
      </x:c>
      <x:c r="H602" s="18" t="str">
        <x:v>否</x:v>
      </x:c>
      <x:c r="I602" s="19" t="str">
        <x:v>DAILY_ENTRIES_EXITS</x:v>
      </x:c>
      <x:c r="J602" s="19" t="str">
        <x:v>千里線</x:v>
      </x:c>
      <x:c r="K602" s="18" t="str">
        <x:v>transport-node:373e5ef7-3266-56ed-a98e-bc4dc46ffb00</x:v>
      </x:c>
      <x:c r="L602" s="19" t="str">
        <x:v>组件待审核</x:v>
      </x:c>
      <x:c r="M602" s="21" t="n">
        <x:v>34.759605</x:v>
      </x:c>
      <x:c r="N602" s="21" t="n">
        <x:v>135.517295</x:v>
      </x:c>
      <x:c r="O602" s="18" t="str">
        <x:v>006798</x:v>
      </x:c>
      <x:c r="P602" s="18" t="str">
        <x:v>千里線</x:v>
      </x:c>
      <x:c r="Q602" s="19" t="str">
        <x:v>S12_061_GE_10000</x:v>
      </x:c>
      <x:c r="R602" s="19" t="str">
        <x:v>S12_061 usage threshold</x:v>
      </x:c>
      <x:c r="S602" s="19" t="str">
        <x:v>https://nlftp.mlit.go.jp/ksj/gml/datalist/KsjTmplt-S12-2024.html</x:v>
      </x:c>
      <x:c r="T602" s="19" t="str">
        <x:v>https://nlftp.mlit.go.jp/ksj/gml/datalist/KsjTmplt-S12-2024.html</x:v>
      </x:c>
      <x:c r="U602" s="19" t="str">
        <x:v>station-component|吹田|阪急電鉄|private_rail|34.7596|135.5173|</x:v>
      </x:c>
      <x:c r="V602" s="19" t="str">
        <x:v>006798 / 006798 / 千里線</x:v>
      </x:c>
      <x:c r="W602" s="18" t="str">
        <x:v>否</x:v>
      </x:c>
      <x:c r="X602" s="18" t="str">
        <x:v>0785e932a32b3ec15e1a1345537ae145eafe1c07bf38d5c16c11ee2b391e7a28</x:v>
      </x:c>
      <x:c r="Y602" s="20" t="n">
        <x:v>1</x:v>
      </x:c>
      <x:c r="Z602" s="20" t="n">
        <x:v>1</x:v>
      </x:c>
      <x:c r="AA602" s="19"/>
      <x:c r="AB602" s="18"/>
      <x:c r="AC602" s="19"/>
    </x:row>
    <x:row r="603" ht="28" customHeight="1">
      <x:c r="A603" s="18" t="str">
        <x:v>呉</x:v>
      </x:c>
      <x:c r="B603" s="18" t="str">
        <x:v>西日本旅客鉄道</x:v>
      </x:c>
      <x:c r="C603" s="18" t="str">
        <x:v>conventional_rail</x:v>
      </x:c>
      <x:c r="D603" s="19" t="str">
        <x:v>T2</x:v>
      </x:c>
      <x:c r="E603" s="20" t="n">
        <x:v>17370</x:v>
      </x:c>
      <x:c r="F603" s="18" t="str">
        <x:v>persons/day</x:v>
      </x:c>
      <x:c r="G603" s="18" t="str">
        <x:v>FY2024</x:v>
      </x:c>
      <x:c r="H603" s="18" t="str">
        <x:v>否</x:v>
      </x:c>
      <x:c r="I603" s="19" t="str">
        <x:v>DAILY_ENTRIES_EXITS</x:v>
      </x:c>
      <x:c r="J603" s="19" t="str">
        <x:v>呉線</x:v>
      </x:c>
      <x:c r="K603" s="18" t="str">
        <x:v>transport-node:f0c3fe61-518a-56c2-a5c8-d21c494440cb</x:v>
      </x:c>
      <x:c r="L603" s="19" t="str">
        <x:v>组件待审核</x:v>
      </x:c>
      <x:c r="M603" s="21" t="n">
        <x:v>34.2446367</x:v>
      </x:c>
      <x:c r="N603" s="21" t="n">
        <x:v>132.5575567</x:v>
      </x:c>
      <x:c r="O603" s="18" t="str">
        <x:v>008345</x:v>
      </x:c>
      <x:c r="P603" s="18" t="str">
        <x:v>呉線</x:v>
      </x:c>
      <x:c r="Q603" s="19" t="str">
        <x:v>S12_061_GE_10000</x:v>
      </x:c>
      <x:c r="R603" s="19" t="str">
        <x:v>S12_061 usage threshold</x:v>
      </x:c>
      <x:c r="S603" s="19" t="str">
        <x:v>https://nlftp.mlit.go.jp/ksj/gml/datalist/KsjTmplt-S12-2024.html</x:v>
      </x:c>
      <x:c r="T603" s="19" t="str">
        <x:v>https://nlftp.mlit.go.jp/ksj/gml/datalist/KsjTmplt-S12-2024.html</x:v>
      </x:c>
      <x:c r="U603" s="19" t="str">
        <x:v>station-component|呉|西日本旅客鉄道|conventional_rail|34.2446|132.5576|</x:v>
      </x:c>
      <x:c r="V603" s="19" t="str">
        <x:v>008345 / 008345 / 呉線</x:v>
      </x:c>
      <x:c r="W603" s="18" t="str">
        <x:v>否</x:v>
      </x:c>
      <x:c r="X603" s="18" t="str">
        <x:v>0785e932a32b3ec15e1a1345537ae145eafe1c07bf38d5c16c11ee2b391e7a28</x:v>
      </x:c>
      <x:c r="Y603" s="20" t="n">
        <x:v>1</x:v>
      </x:c>
      <x:c r="Z603" s="20" t="n">
        <x:v>1</x:v>
      </x:c>
      <x:c r="AA603" s="19"/>
      <x:c r="AB603" s="18"/>
      <x:c r="AC603" s="19"/>
    </x:row>
    <x:row r="604" ht="33" customHeight="1">
      <x:c r="A604" s="18" t="str">
        <x:v>和光市</x:v>
      </x:c>
      <x:c r="B604" s="18" t="str">
        <x:v>東京地下鉄</x:v>
      </x:c>
      <x:c r="C604" s="18" t="str">
        <x:v>metro</x:v>
      </x:c>
      <x:c r="D604" s="19"/>
      <x:c r="E604" s="20"/>
      <x:c r="F604" s="18"/>
      <x:c r="G604" s="18" t="str">
        <x:v>FY2024</x:v>
      </x:c>
      <x:c r="H604" s="18" t="str">
        <x:v>是</x:v>
      </x:c>
      <x:c r="I604" s="19" t="str">
        <x:v>USAGE_DATA_UNAVAILABLE</x:v>
      </x:c>
      <x:c r="J604" s="19" t="str">
        <x:v>8号線有楽町線</x:v>
      </x:c>
      <x:c r="K604" s="18" t="str">
        <x:v>transport-node:4cb85824-3dfa-52a9-8f4a-fe8d52d599aa</x:v>
      </x:c>
      <x:c r="L604" s="19" t="str">
        <x:v>组件待审核</x:v>
      </x:c>
      <x:c r="M604" s="21" t="n">
        <x:v>35.78835</x:v>
      </x:c>
      <x:c r="N604" s="21" t="n">
        <x:v>139.612865</x:v>
      </x:c>
      <x:c r="O604" s="18" t="str">
        <x:v>003123</x:v>
      </x:c>
      <x:c r="P604" s="18" t="str">
        <x:v>8号線有楽町線</x:v>
      </x:c>
      <x:c r="Q604" s="19" t="str">
        <x:v>OFFICIAL_HUB_COMPONENT_REVIEW</x:v>
      </x:c>
      <x:c r="R604" s="19" t="str">
        <x:v>Official S12 usage unavailable; manual tier review required</x:v>
      </x:c>
      <x:c r="S604" s="19" t="str">
        <x:v>https://nlftp.mlit.go.jp/ksj/gml/datalist/KsjTmplt-S12-2024.html</x:v>
      </x:c>
      <x:c r="T604" s="19" t="str">
        <x:v>https://nlftp.mlit.go.jp/ksj/gml/datalist/KsjTmplt-S12-2024.html
https://www.tokyometro.jp/station/wakoshi/index.html</x:v>
      </x:c>
      <x:c r="U604" s="19" t="str">
        <x:v>station-component|和光市|東京地下鉄|metro|35.7884|139.6129|</x:v>
      </x:c>
      <x:c r="V604" s="19" t="str">
        <x:v>003123 / 003123 / 8号線有楽町線</x:v>
      </x:c>
      <x:c r="W604" s="18" t="str">
        <x:v>否</x:v>
      </x:c>
      <x:c r="X604" s="18" t="str">
        <x:v>0785e932a32b3ec15e1a1345537ae145eafe1c07bf38d5c16c11ee2b391e7a28</x:v>
      </x:c>
      <x:c r="Y604" s="20" t="n">
        <x:v>1</x:v>
      </x:c>
      <x:c r="Z604" s="20" t="n">
        <x:v>2</x:v>
      </x:c>
      <x:c r="AA604" s="19" t="str">
        <x:v>和光市</x:v>
      </x:c>
      <x:c r="AB604" s="18" t="str">
        <x:v>transport-hub-review:99b9d212-ac51-51b8-8820-f16f7bcf83f2</x:v>
      </x:c>
      <x:c r="AC604" s="19"/>
    </x:row>
    <x:row r="605" ht="33" customHeight="1">
      <x:c r="A605" s="18" t="str">
        <x:v>和光市</x:v>
      </x:c>
      <x:c r="B605" s="18" t="str">
        <x:v>東武鉄道</x:v>
      </x:c>
      <x:c r="C605" s="18" t="str">
        <x:v>private_rail</x:v>
      </x:c>
      <x:c r="D605" s="19" t="str">
        <x:v>T0</x:v>
      </x:c>
      <x:c r="E605" s="20" t="n">
        <x:v>343898</x:v>
      </x:c>
      <x:c r="F605" s="18" t="str">
        <x:v>persons/day</x:v>
      </x:c>
      <x:c r="G605" s="18" t="str">
        <x:v>FY2024</x:v>
      </x:c>
      <x:c r="H605" s="18" t="str">
        <x:v>否</x:v>
      </x:c>
      <x:c r="I605" s="19" t="str">
        <x:v>DAILY_ENTRIES_EXITS</x:v>
      </x:c>
      <x:c r="J605" s="19" t="str">
        <x:v>東上本線</x:v>
      </x:c>
      <x:c r="K605" s="18" t="str">
        <x:v>transport-node:bd01bdac-4fe6-58a2-af6b-c31646022b15</x:v>
      </x:c>
      <x:c r="L605" s="19" t="str">
        <x:v>组件待审核</x:v>
      </x:c>
      <x:c r="M605" s="21" t="n">
        <x:v>35.78835</x:v>
      </x:c>
      <x:c r="N605" s="21" t="n">
        <x:v>139.612865</x:v>
      </x:c>
      <x:c r="O605" s="18" t="str">
        <x:v>003124</x:v>
      </x:c>
      <x:c r="P605" s="18" t="str">
        <x:v>東上本線</x:v>
      </x:c>
      <x:c r="Q605" s="19" t="str">
        <x:v>S12_061_GE_10000
OFFICIAL_HUB_COMPONENT_REVIEW</x:v>
      </x:c>
      <x:c r="R605" s="19" t="str">
        <x:v>S12_061 usage threshold</x:v>
      </x:c>
      <x:c r="S605" s="19" t="str">
        <x:v>https://nlftp.mlit.go.jp/ksj/gml/datalist/KsjTmplt-S12-2024.html</x:v>
      </x:c>
      <x:c r="T605" s="19" t="str">
        <x:v>https://nlftp.mlit.go.jp/ksj/gml/datalist/KsjTmplt-S12-2024.html
https://www.tokyometro.jp/station/wakoshi/index.html</x:v>
      </x:c>
      <x:c r="U605" s="19" t="str">
        <x:v>station-component|和光市|東武鉄道|private_rail|35.7884|139.6129|</x:v>
      </x:c>
      <x:c r="V605" s="19" t="str">
        <x:v>003123 / 003124 / 東上本線</x:v>
      </x:c>
      <x:c r="W605" s="18" t="str">
        <x:v>否</x:v>
      </x:c>
      <x:c r="X605" s="18" t="str">
        <x:v>0785e932a32b3ec15e1a1345537ae145eafe1c07bf38d5c16c11ee2b391e7a28</x:v>
      </x:c>
      <x:c r="Y605" s="20" t="n">
        <x:v>1</x:v>
      </x:c>
      <x:c r="Z605" s="20" t="n">
        <x:v>1</x:v>
      </x:c>
      <x:c r="AA605" s="19" t="str">
        <x:v>和光市</x:v>
      </x:c>
      <x:c r="AB605" s="18" t="str">
        <x:v>transport-hub-review:99b9d212-ac51-51b8-8820-f16f7bcf83f2</x:v>
      </x:c>
      <x:c r="AC605" s="19"/>
    </x:row>
    <x:row r="606" ht="47" customHeight="1">
      <x:c r="A606" s="18" t="str">
        <x:v>和歌山</x:v>
      </x:c>
      <x:c r="B606" s="18" t="str">
        <x:v>西日本旅客鉄道</x:v>
      </x:c>
      <x:c r="C606" s="18" t="str">
        <x:v>conventional_rail</x:v>
      </x:c>
      <x:c r="D606" s="19" t="str">
        <x:v>T2</x:v>
      </x:c>
      <x:c r="E606" s="20" t="n">
        <x:v>31906</x:v>
      </x:c>
      <x:c r="F606" s="18" t="str">
        <x:v>persons/day</x:v>
      </x:c>
      <x:c r="G606" s="18" t="str">
        <x:v>FY2024</x:v>
      </x:c>
      <x:c r="H606" s="18" t="str">
        <x:v>否</x:v>
      </x:c>
      <x:c r="I606" s="19" t="str">
        <x:v>DAILY_ENTRIES_EXITS</x:v>
      </x:c>
      <x:c r="J606" s="19" t="str">
        <x:v>和歌山線
紀勢線
阪和線</x:v>
      </x:c>
      <x:c r="K606" s="18" t="str">
        <x:v>transport-node:9976d36b-939c-5aab-9598-b8f00c359bb5</x:v>
      </x:c>
      <x:c r="L606" s="19" t="str">
        <x:v>组件待审核</x:v>
      </x:c>
      <x:c r="M606" s="21" t="n">
        <x:v>34.23248</x:v>
      </x:c>
      <x:c r="N606" s="21" t="n">
        <x:v>135.191395</x:v>
      </x:c>
      <x:c r="O606" s="18" t="str">
        <x:v>008365</x:v>
      </x:c>
      <x:c r="P606" s="18" t="str">
        <x:v>紀勢線</x:v>
      </x:c>
      <x:c r="Q606" s="19" t="str">
        <x:v>S12_061_GE_10000</x:v>
      </x:c>
      <x:c r="R606" s="19" t="str">
        <x:v>S12_061 usage threshold</x:v>
      </x:c>
      <x:c r="S606" s="19" t="str">
        <x:v>https://nlftp.mlit.go.jp/ksj/gml/datalist/KsjTmplt-S12-2024.html</x:v>
      </x:c>
      <x:c r="T606" s="19" t="str">
        <x:v>https://nlftp.mlit.go.jp/ksj/gml/datalist/KsjTmplt-S12-2024.html</x:v>
      </x:c>
      <x:c r="U606" s="19" t="str">
        <x:v>station-component|和歌山|西日本旅客鉄道|conventional_rail|34.2325|135.1914|</x:v>
      </x:c>
      <x:c r="V606" s="19" t="str">
        <x:v>008365 / 008365 / 紀勢線
008365 / 008366 / 阪和線
008365 / 008367 / 和歌山線</x:v>
      </x:c>
      <x:c r="W606" s="18" t="str">
        <x:v>否</x:v>
      </x:c>
      <x:c r="X606" s="18" t="str">
        <x:v>0785e932a32b3ec15e1a1345537ae145eafe1c07bf38d5c16c11ee2b391e7a28</x:v>
      </x:c>
      <x:c r="Y606" s="20" t="n">
        <x:v>1</x:v>
      </x:c>
      <x:c r="Z606" s="20" t="n">
        <x:v>1</x:v>
      </x:c>
      <x:c r="AA606" s="19"/>
      <x:c r="AB606" s="18"/>
      <x:c r="AC606" s="19"/>
    </x:row>
    <x:row r="607" ht="33" customHeight="1">
      <x:c r="A607" s="18" t="str">
        <x:v>和歌山市</x:v>
      </x:c>
      <x:c r="B607" s="18" t="str">
        <x:v>南海電気鉄道</x:v>
      </x:c>
      <x:c r="C607" s="18" t="str">
        <x:v>private_rail</x:v>
      </x:c>
      <x:c r="D607" s="19" t="str">
        <x:v>T2</x:v>
      </x:c>
      <x:c r="E607" s="20" t="n">
        <x:v>15373</x:v>
      </x:c>
      <x:c r="F607" s="18" t="str">
        <x:v>persons/day</x:v>
      </x:c>
      <x:c r="G607" s="18" t="str">
        <x:v>FY2024</x:v>
      </x:c>
      <x:c r="H607" s="18" t="str">
        <x:v>否</x:v>
      </x:c>
      <x:c r="I607" s="19" t="str">
        <x:v>DAILY_ENTRIES_EXITS</x:v>
      </x:c>
      <x:c r="J607" s="19" t="str">
        <x:v>南海本線
和歌山港線</x:v>
      </x:c>
      <x:c r="K607" s="18" t="str">
        <x:v>transport-node:ee7386a9-de38-5e72-8455-54a6b7e2d4fc</x:v>
      </x:c>
      <x:c r="L607" s="19" t="str">
        <x:v>组件待审核</x:v>
      </x:c>
      <x:c r="M607" s="21" t="n">
        <x:v>34.23604</x:v>
      </x:c>
      <x:c r="N607" s="21" t="n">
        <x:v>135.165385</x:v>
      </x:c>
      <x:c r="O607" s="18" t="str">
        <x:v>008358</x:v>
      </x:c>
      <x:c r="P607" s="18" t="str">
        <x:v>南海本線</x:v>
      </x:c>
      <x:c r="Q607" s="19" t="str">
        <x:v>S12_061_GE_10000</x:v>
      </x:c>
      <x:c r="R607" s="19" t="str">
        <x:v>S12_061 usage threshold</x:v>
      </x:c>
      <x:c r="S607" s="19" t="str">
        <x:v>https://nlftp.mlit.go.jp/ksj/gml/datalist/KsjTmplt-S12-2024.html</x:v>
      </x:c>
      <x:c r="T607" s="19" t="str">
        <x:v>https://nlftp.mlit.go.jp/ksj/gml/datalist/KsjTmplt-S12-2024.html</x:v>
      </x:c>
      <x:c r="U607" s="19" t="str">
        <x:v>station-component|和歌山市|南海電気鉄道|private_rail|34.2360|135.1654|</x:v>
      </x:c>
      <x:c r="V607" s="19" t="str">
        <x:v>008358 / 008358 / 南海本線
008358 / 008359 / 和歌山港線</x:v>
      </x:c>
      <x:c r="W607" s="18" t="str">
        <x:v>否</x:v>
      </x:c>
      <x:c r="X607" s="18" t="str">
        <x:v>0785e932a32b3ec15e1a1345537ae145eafe1c07bf38d5c16c11ee2b391e7a28</x:v>
      </x:c>
      <x:c r="Y607" s="20" t="n">
        <x:v>1</x:v>
      </x:c>
      <x:c r="Z607" s="20" t="n">
        <x:v>1</x:v>
      </x:c>
      <x:c r="AA607" s="19"/>
      <x:c r="AB607" s="18"/>
      <x:c r="AC607" s="19"/>
    </x:row>
    <x:row r="608" ht="47" customHeight="1">
      <x:c r="A608" s="18" t="str">
        <x:v>和泉中央</x:v>
      </x:c>
      <x:c r="B608" s="18" t="str">
        <x:v>泉北高速鉄道</x:v>
      </x:c>
      <x:c r="C608" s="18" t="str">
        <x:v>private_rail</x:v>
      </x:c>
      <x:c r="D608" s="19" t="str">
        <x:v>T2</x:v>
      </x:c>
      <x:c r="E608" s="20" t="n">
        <x:v>30875</x:v>
      </x:c>
      <x:c r="F608" s="18" t="str">
        <x:v>persons/day</x:v>
      </x:c>
      <x:c r="G608" s="18" t="str">
        <x:v>FY2024</x:v>
      </x:c>
      <x:c r="H608" s="18" t="str">
        <x:v>否</x:v>
      </x:c>
      <x:c r="I608" s="19" t="str">
        <x:v>DAILY_ENTRIES_EXITS</x:v>
      </x:c>
      <x:c r="J608" s="19" t="str">
        <x:v>泉北高速鉄道線</x:v>
      </x:c>
      <x:c r="K608" s="18" t="str">
        <x:v>transport-node:7d2f9cb6-5a7c-567d-88cb-b84093f25816</x:v>
      </x:c>
      <x:c r="L608" s="19" t="str">
        <x:v>组件待审核</x:v>
      </x:c>
      <x:c r="M608" s="21" t="n">
        <x:v>34.461565</x:v>
      </x:c>
      <x:c r="N608" s="21" t="n">
        <x:v>135.456715</x:v>
      </x:c>
      <x:c r="O608" s="18" t="str">
        <x:v>007922</x:v>
      </x:c>
      <x:c r="P608" s="18" t="str">
        <x:v>泉北高速鉄道線</x:v>
      </x:c>
      <x:c r="Q608" s="19" t="str">
        <x:v>S12_061_GE_10000</x:v>
      </x:c>
      <x:c r="R608" s="19" t="str">
        <x:v>S12_061 usage threshold</x:v>
      </x:c>
      <x:c r="S608" s="19" t="str">
        <x:v>https://nlftp.mlit.go.jp/ksj/gml/datalist/KsjTmplt-S12-2024.html</x:v>
      </x:c>
      <x:c r="T608" s="19" t="str">
        <x:v>https://nlftp.mlit.go.jp/ksj/gml/datalist/KsjTmplt-S12-2024.html</x:v>
      </x:c>
      <x:c r="U608" s="19" t="str">
        <x:v>station-component|和泉中央|泉北高速鉄道|private_rail|34.4616|135.4567|</x:v>
      </x:c>
      <x:c r="V608" s="19" t="str">
        <x:v>007922 / 007922 / 泉北高速鉄道線</x:v>
      </x:c>
      <x:c r="W608" s="18" t="str">
        <x:v>否</x:v>
      </x:c>
      <x:c r="X608" s="18" t="str">
        <x:v>0785e932a32b3ec15e1a1345537ae145eafe1c07bf38d5c16c11ee2b391e7a28</x:v>
      </x:c>
      <x:c r="Y608" s="20" t="n">
        <x:v>1</x:v>
      </x:c>
      <x:c r="Z608" s="20" t="n">
        <x:v>1</x:v>
      </x:c>
      <x:c r="AA608" s="19"/>
      <x:c r="AB608" s="18"/>
      <x:c r="AC608" s="19" t="str">
        <x:v>{"documentedSuccessor":"南海電気鉄道","effectiveDate":"2025-04-01","historicalSourceOperator":"泉北高速鉄道","identityRebound":false,"officialSource":"https://www.nankai.co.jp/news/241101_1.html","status":"HISTORICAL_S12_OPERATOR_IDENTITY_REVIEW_REQUIRED"}</x:v>
      </x:c>
    </x:row>
    <x:row r="609" ht="28" customHeight="1">
      <x:c r="A609" s="18" t="str">
        <x:v>和泉多摩川</x:v>
      </x:c>
      <x:c r="B609" s="18" t="str">
        <x:v>小田急電鉄</x:v>
      </x:c>
      <x:c r="C609" s="18" t="str">
        <x:v>private_rail</x:v>
      </x:c>
      <x:c r="D609" s="19" t="str">
        <x:v>T2</x:v>
      </x:c>
      <x:c r="E609" s="20" t="n">
        <x:v>14474</x:v>
      </x:c>
      <x:c r="F609" s="18" t="str">
        <x:v>persons/day</x:v>
      </x:c>
      <x:c r="G609" s="18" t="str">
        <x:v>FY2024</x:v>
      </x:c>
      <x:c r="H609" s="18" t="str">
        <x:v>否</x:v>
      </x:c>
      <x:c r="I609" s="19" t="str">
        <x:v>DAILY_ENTRIES_EXITS</x:v>
      </x:c>
      <x:c r="J609" s="19" t="str">
        <x:v>小田原線</x:v>
      </x:c>
      <x:c r="K609" s="18" t="str">
        <x:v>transport-node:ea8104d1-b4fe-51cc-9cd1-9d552c928965</x:v>
      </x:c>
      <x:c r="L609" s="19" t="str">
        <x:v>组件待审核</x:v>
      </x:c>
      <x:c r="M609" s="21" t="n">
        <x:v>35.627415</x:v>
      </x:c>
      <x:c r="N609" s="21" t="n">
        <x:v>139.57372</x:v>
      </x:c>
      <x:c r="O609" s="18" t="str">
        <x:v>004105</x:v>
      </x:c>
      <x:c r="P609" s="18" t="str">
        <x:v>小田原線</x:v>
      </x:c>
      <x:c r="Q609" s="19" t="str">
        <x:v>S12_061_GE_10000</x:v>
      </x:c>
      <x:c r="R609" s="19" t="str">
        <x:v>S12_061 usage threshold</x:v>
      </x:c>
      <x:c r="S609" s="19" t="str">
        <x:v>https://nlftp.mlit.go.jp/ksj/gml/datalist/KsjTmplt-S12-2024.html</x:v>
      </x:c>
      <x:c r="T609" s="19" t="str">
        <x:v>https://nlftp.mlit.go.jp/ksj/gml/datalist/KsjTmplt-S12-2024.html</x:v>
      </x:c>
      <x:c r="U609" s="19" t="str">
        <x:v>station-component|和泉多摩川|小田急電鉄|private_rail|35.6274|139.5737|</x:v>
      </x:c>
      <x:c r="V609" s="19" t="str">
        <x:v>004105 / 004105 / 小田原線</x:v>
      </x:c>
      <x:c r="W609" s="18" t="str">
        <x:v>否</x:v>
      </x:c>
      <x:c r="X609" s="18" t="str">
        <x:v>0785e932a32b3ec15e1a1345537ae145eafe1c07bf38d5c16c11ee2b391e7a28</x:v>
      </x:c>
      <x:c r="Y609" s="20" t="n">
        <x:v>1</x:v>
      </x:c>
      <x:c r="Z609" s="20" t="n">
        <x:v>1</x:v>
      </x:c>
      <x:c r="AA609" s="19"/>
      <x:c r="AB609" s="18"/>
      <x:c r="AC609" s="19"/>
    </x:row>
    <x:row r="610" ht="28" customHeight="1">
      <x:c r="A610" s="18" t="str">
        <x:v>和泉府中</x:v>
      </x:c>
      <x:c r="B610" s="18" t="str">
        <x:v>西日本旅客鉄道</x:v>
      </x:c>
      <x:c r="C610" s="18" t="str">
        <x:v>conventional_rail</x:v>
      </x:c>
      <x:c r="D610" s="19" t="str">
        <x:v>T2</x:v>
      </x:c>
      <x:c r="E610" s="20" t="n">
        <x:v>31936</x:v>
      </x:c>
      <x:c r="F610" s="18" t="str">
        <x:v>persons/day</x:v>
      </x:c>
      <x:c r="G610" s="18" t="str">
        <x:v>FY2024</x:v>
      </x:c>
      <x:c r="H610" s="18" t="str">
        <x:v>否</x:v>
      </x:c>
      <x:c r="I610" s="19" t="str">
        <x:v>DAILY_ENTRIES_EXITS</x:v>
      </x:c>
      <x:c r="J610" s="19" t="str">
        <x:v>阪和線</x:v>
      </x:c>
      <x:c r="K610" s="18" t="str">
        <x:v>transport-node:22b045a6-c73c-5fe7-9969-1f1bae645ffc</x:v>
      </x:c>
      <x:c r="L610" s="19" t="str">
        <x:v>组件待审核</x:v>
      </x:c>
      <x:c r="M610" s="21" t="n">
        <x:v>34.487985</x:v>
      </x:c>
      <x:c r="N610" s="21" t="n">
        <x:v>135.42387</x:v>
      </x:c>
      <x:c r="O610" s="18" t="str">
        <x:v>007871</x:v>
      </x:c>
      <x:c r="P610" s="18" t="str">
        <x:v>阪和線</x:v>
      </x:c>
      <x:c r="Q610" s="19" t="str">
        <x:v>S12_061_GE_10000</x:v>
      </x:c>
      <x:c r="R610" s="19" t="str">
        <x:v>S12_061 usage threshold</x:v>
      </x:c>
      <x:c r="S610" s="19" t="str">
        <x:v>https://nlftp.mlit.go.jp/ksj/gml/datalist/KsjTmplt-S12-2024.html</x:v>
      </x:c>
      <x:c r="T610" s="19" t="str">
        <x:v>https://nlftp.mlit.go.jp/ksj/gml/datalist/KsjTmplt-S12-2024.html</x:v>
      </x:c>
      <x:c r="U610" s="19" t="str">
        <x:v>station-component|和泉府中|西日本旅客鉄道|conventional_rail|34.4880|135.4239|</x:v>
      </x:c>
      <x:c r="V610" s="19" t="str">
        <x:v>007871 / 007871 / 阪和線</x:v>
      </x:c>
      <x:c r="W610" s="18" t="str">
        <x:v>否</x:v>
      </x:c>
      <x:c r="X610" s="18" t="str">
        <x:v>0785e932a32b3ec15e1a1345537ae145eafe1c07bf38d5c16c11ee2b391e7a28</x:v>
      </x:c>
      <x:c r="Y610" s="20" t="n">
        <x:v>1</x:v>
      </x:c>
      <x:c r="Z610" s="20" t="n">
        <x:v>1</x:v>
      </x:c>
      <x:c r="AA610" s="19"/>
      <x:c r="AB610" s="18"/>
      <x:c r="AC610" s="19"/>
    </x:row>
    <x:row r="611" ht="33" customHeight="1">
      <x:c r="A611" s="18" t="str">
        <x:v>和田岬</x:v>
      </x:c>
      <x:c r="B611" s="18" t="str">
        <x:v>神戸市</x:v>
      </x:c>
      <x:c r="C611" s="18" t="str">
        <x:v>metro</x:v>
      </x:c>
      <x:c r="D611" s="19" t="str">
        <x:v>T2</x:v>
      </x:c>
      <x:c r="E611" s="20" t="n">
        <x:v>15620</x:v>
      </x:c>
      <x:c r="F611" s="18" t="str">
        <x:v>persons/day</x:v>
      </x:c>
      <x:c r="G611" s="18" t="str">
        <x:v>FY2024</x:v>
      </x:c>
      <x:c r="H611" s="18" t="str">
        <x:v>否</x:v>
      </x:c>
      <x:c r="I611" s="19" t="str">
        <x:v>DAILY_ENTRIES_EXITS</x:v>
      </x:c>
      <x:c r="J611" s="19" t="str">
        <x:v>海岸線</x:v>
      </x:c>
      <x:c r="K611" s="18" t="str">
        <x:v>transport-node:4e697eff-5633-5fb9-84f6-cccfe29a1c00</x:v>
      </x:c>
      <x:c r="L611" s="19" t="str">
        <x:v>组件待审核</x:v>
      </x:c>
      <x:c r="M611" s="21" t="n">
        <x:v>34.657935</x:v>
      </x:c>
      <x:c r="N611" s="21" t="n">
        <x:v>135.176055</x:v>
      </x:c>
      <x:c r="O611" s="18" t="str">
        <x:v>007385</x:v>
      </x:c>
      <x:c r="P611" s="18" t="str">
        <x:v>海岸線</x:v>
      </x:c>
      <x:c r="Q611" s="19" t="str">
        <x:v>S12_061_GE_10000
OFFICIAL_HUB_COMPONENT_REVIEW</x:v>
      </x:c>
      <x:c r="R611" s="19" t="str">
        <x:v>S12_061 usage threshold</x:v>
      </x:c>
      <x:c r="S611" s="19" t="str">
        <x:v>https://nlftp.mlit.go.jp/ksj/gml/datalist/KsjTmplt-S12-2024.html</x:v>
      </x:c>
      <x:c r="T611" s="19" t="str">
        <x:v>https://kotsu.city.kobe.lg.jp/chinese-trad/cnt-subway-map/
https://nlftp.mlit.go.jp/ksj/gml/datalist/KsjTmplt-S12-2024.html</x:v>
      </x:c>
      <x:c r="U611" s="19" t="str">
        <x:v>station-component|和田岬|神戸市|metro|34.6579|135.1761|</x:v>
      </x:c>
      <x:c r="V611" s="19" t="str">
        <x:v>007385 / 007385 / 海岸線</x:v>
      </x:c>
      <x:c r="W611" s="18" t="str">
        <x:v>否</x:v>
      </x:c>
      <x:c r="X611" s="18" t="str">
        <x:v>0785e932a32b3ec15e1a1345537ae145eafe1c07bf38d5c16c11ee2b391e7a28</x:v>
      </x:c>
      <x:c r="Y611" s="20" t="n">
        <x:v>1</x:v>
      </x:c>
      <x:c r="Z611" s="20" t="n">
        <x:v>1</x:v>
      </x:c>
      <x:c r="AA611" s="19" t="str">
        <x:v>和田岬</x:v>
      </x:c>
      <x:c r="AB611" s="18" t="str">
        <x:v>transport-hub-review:2c86c6d8-301c-542b-8946-ef76e35a4bd4</x:v>
      </x:c>
      <x:c r="AC611" s="19"/>
    </x:row>
    <x:row r="612" ht="33" customHeight="1">
      <x:c r="A612" s="18" t="str">
        <x:v>和田岬</x:v>
      </x:c>
      <x:c r="B612" s="18" t="str">
        <x:v>西日本旅客鉄道</x:v>
      </x:c>
      <x:c r="C612" s="18" t="str">
        <x:v>conventional_rail</x:v>
      </x:c>
      <x:c r="D612" s="19" t="str">
        <x:v>T3</x:v>
      </x:c>
      <x:c r="E612" s="20" t="n">
        <x:v>7588</x:v>
      </x:c>
      <x:c r="F612" s="18" t="str">
        <x:v>persons/day</x:v>
      </x:c>
      <x:c r="G612" s="18" t="str">
        <x:v>FY2024</x:v>
      </x:c>
      <x:c r="H612" s="18" t="str">
        <x:v>否</x:v>
      </x:c>
      <x:c r="I612" s="19" t="str">
        <x:v>DAILY_ENTRIES_EXITS</x:v>
      </x:c>
      <x:c r="J612" s="19" t="str">
        <x:v>山陽線</x:v>
      </x:c>
      <x:c r="K612" s="18" t="str">
        <x:v>transport-node:129cffa8-7b20-5f26-bce7-728f6a0d5b77</x:v>
      </x:c>
      <x:c r="L612" s="19" t="str">
        <x:v>组件待审核</x:v>
      </x:c>
      <x:c r="M612" s="21" t="n">
        <x:v>34.6575</x:v>
      </x:c>
      <x:c r="N612" s="21" t="n">
        <x:v>135.173755</x:v>
      </x:c>
      <x:c r="O612" s="18" t="str">
        <x:v>007389</x:v>
      </x:c>
      <x:c r="P612" s="18" t="str">
        <x:v>山陽線</x:v>
      </x:c>
      <x:c r="Q612" s="19" t="str">
        <x:v>OFFICIAL_HUB_COMPONENT_REVIEW</x:v>
      </x:c>
      <x:c r="R612" s="19" t="str">
        <x:v>S12_061 usage threshold; low-flow inclusion justified by official Hub component review</x:v>
      </x:c>
      <x:c r="S612" s="19" t="str">
        <x:v>https://nlftp.mlit.go.jp/ksj/gml/datalist/KsjTmplt-S12-2024.html</x:v>
      </x:c>
      <x:c r="T612" s="19" t="str">
        <x:v>https://kotsu.city.kobe.lg.jp/chinese-trad/cnt-subway-map/
https://nlftp.mlit.go.jp/ksj/gml/datalist/KsjTmplt-S12-2024.html</x:v>
      </x:c>
      <x:c r="U612" s="19" t="str">
        <x:v>station-component|和田岬|西日本旅客鉄道|conventional_rail|34.6575|135.1738|</x:v>
      </x:c>
      <x:c r="V612" s="19" t="str">
        <x:v>007385 / 007389 / 山陽線</x:v>
      </x:c>
      <x:c r="W612" s="18" t="str">
        <x:v>否</x:v>
      </x:c>
      <x:c r="X612" s="18" t="str">
        <x:v>0785e932a32b3ec15e1a1345537ae145eafe1c07bf38d5c16c11ee2b391e7a28</x:v>
      </x:c>
      <x:c r="Y612" s="20" t="n">
        <x:v>1</x:v>
      </x:c>
      <x:c r="Z612" s="20" t="n">
        <x:v>1</x:v>
      </x:c>
      <x:c r="AA612" s="19" t="str">
        <x:v>和田岬</x:v>
      </x:c>
      <x:c r="AB612" s="18" t="str">
        <x:v>transport-hub-review:2c86c6d8-301c-542b-8946-ef76e35a4bd4</x:v>
      </x:c>
      <x:c r="AC612" s="19"/>
    </x:row>
    <x:row r="613" ht="28" customHeight="1">
      <x:c r="A613" s="18" t="str">
        <x:v>和田町</x:v>
      </x:c>
      <x:c r="B613" s="18" t="str">
        <x:v>相模鉄道</x:v>
      </x:c>
      <x:c r="C613" s="18" t="str">
        <x:v>private_rail</x:v>
      </x:c>
      <x:c r="D613" s="19" t="str">
        <x:v>T2</x:v>
      </x:c>
      <x:c r="E613" s="20" t="n">
        <x:v>14473</x:v>
      </x:c>
      <x:c r="F613" s="18" t="str">
        <x:v>persons/day</x:v>
      </x:c>
      <x:c r="G613" s="18" t="str">
        <x:v>FY2024</x:v>
      </x:c>
      <x:c r="H613" s="18" t="str">
        <x:v>否</x:v>
      </x:c>
      <x:c r="I613" s="19" t="str">
        <x:v>DAILY_ENTRIES_EXITS</x:v>
      </x:c>
      <x:c r="J613" s="19" t="str">
        <x:v>相鉄本線</x:v>
      </x:c>
      <x:c r="K613" s="18" t="str">
        <x:v>transport-node:ce3ba74d-04cf-5d55-8d3c-08105d0706a5</x:v>
      </x:c>
      <x:c r="L613" s="19" t="str">
        <x:v>组件待审核</x:v>
      </x:c>
      <x:c r="M613" s="21" t="n">
        <x:v>35.46371</x:v>
      </x:c>
      <x:c r="N613" s="21" t="n">
        <x:v>139.58638</x:v>
      </x:c>
      <x:c r="O613" s="18" t="str">
        <x:v>004640</x:v>
      </x:c>
      <x:c r="P613" s="18" t="str">
        <x:v>相鉄本線</x:v>
      </x:c>
      <x:c r="Q613" s="19" t="str">
        <x:v>S12_061_GE_10000</x:v>
      </x:c>
      <x:c r="R613" s="19" t="str">
        <x:v>S12_061 usage threshold</x:v>
      </x:c>
      <x:c r="S613" s="19" t="str">
        <x:v>https://nlftp.mlit.go.jp/ksj/gml/datalist/KsjTmplt-S12-2024.html</x:v>
      </x:c>
      <x:c r="T613" s="19" t="str">
        <x:v>https://nlftp.mlit.go.jp/ksj/gml/datalist/KsjTmplt-S12-2024.html</x:v>
      </x:c>
      <x:c r="U613" s="19" t="str">
        <x:v>station-component|和田町|相模鉄道|private_rail|35.4637|139.5864|</x:v>
      </x:c>
      <x:c r="V613" s="19" t="str">
        <x:v>004640 / 004640 / 相鉄本線</x:v>
      </x:c>
      <x:c r="W613" s="18" t="str">
        <x:v>否</x:v>
      </x:c>
      <x:c r="X613" s="18" t="str">
        <x:v>0785e932a32b3ec15e1a1345537ae145eafe1c07bf38d5c16c11ee2b391e7a28</x:v>
      </x:c>
      <x:c r="Y613" s="20" t="n">
        <x:v>1</x:v>
      </x:c>
      <x:c r="Z613" s="20" t="n">
        <x:v>1</x:v>
      </x:c>
      <x:c r="AA613" s="19"/>
      <x:c r="AB613" s="18"/>
      <x:c r="AC613" s="19"/>
    </x:row>
    <x:row r="614" ht="33" customHeight="1">
      <x:c r="A614" s="18" t="str">
        <x:v>品川</x:v>
      </x:c>
      <x:c r="B614" s="18" t="str">
        <x:v>京浜急行電鉄</x:v>
      </x:c>
      <x:c r="C614" s="18" t="str">
        <x:v>private_rail</x:v>
      </x:c>
      <x:c r="D614" s="19" t="str">
        <x:v>T0</x:v>
      </x:c>
      <x:c r="E614" s="20" t="n">
        <x:v>241688</x:v>
      </x:c>
      <x:c r="F614" s="18" t="str">
        <x:v>persons/day</x:v>
      </x:c>
      <x:c r="G614" s="18" t="str">
        <x:v>FY2024</x:v>
      </x:c>
      <x:c r="H614" s="18" t="str">
        <x:v>否</x:v>
      </x:c>
      <x:c r="I614" s="19" t="str">
        <x:v>DAILY_ENTRIES_EXITS</x:v>
      </x:c>
      <x:c r="J614" s="19" t="str">
        <x:v>本線</x:v>
      </x:c>
      <x:c r="K614" s="18" t="str">
        <x:v>transport-node:d82e7388-8510-589b-bdfe-dadbcb8e2e7f</x:v>
      </x:c>
      <x:c r="L614" s="19" t="str">
        <x:v>组件待审核</x:v>
      </x:c>
      <x:c r="M614" s="21" t="n">
        <x:v>35.627714</x:v>
      </x:c>
      <x:c r="N614" s="21" t="n">
        <x:v>139.738094</x:v>
      </x:c>
      <x:c r="O614" s="18" t="str">
        <x:v>004101</x:v>
      </x:c>
      <x:c r="P614" s="18" t="str">
        <x:v>本線</x:v>
      </x:c>
      <x:c r="Q614" s="19" t="str">
        <x:v>S12_061_GE_10000
OFFICIAL_HUB_COMPONENT_REVIEW</x:v>
      </x:c>
      <x:c r="R614" s="19" t="str">
        <x:v>S12_061 usage threshold</x:v>
      </x:c>
      <x:c r="S614" s="19" t="str">
        <x:v>https://nlftp.mlit.go.jp/ksj/gml/datalist/KsjTmplt-S12-2024.html</x:v>
      </x:c>
      <x:c r="T614" s="19" t="str">
        <x:v>https://nlftp.mlit.go.jp/ksj/gml/datalist/KsjTmplt-S12-2024.html
https://www.keikyu.co.jp/ride/kakueki/</x:v>
      </x:c>
      <x:c r="U614" s="19" t="str">
        <x:v>station-component|品川|京浜急行電鉄|private_rail|35.6277|139.7381|</x:v>
      </x:c>
      <x:c r="V614" s="19" t="str">
        <x:v>004095 / 004101 / 本線</x:v>
      </x:c>
      <x:c r="W614" s="18" t="str">
        <x:v>否</x:v>
      </x:c>
      <x:c r="X614" s="18" t="str">
        <x:v>0785e932a32b3ec15e1a1345537ae145eafe1c07bf38d5c16c11ee2b391e7a28</x:v>
      </x:c>
      <x:c r="Y614" s="20" t="n">
        <x:v>1</x:v>
      </x:c>
      <x:c r="Z614" s="20" t="n">
        <x:v>1</x:v>
      </x:c>
      <x:c r="AA614" s="19" t="str">
        <x:v>品川</x:v>
      </x:c>
      <x:c r="AB614" s="18" t="str">
        <x:v>transport-hub-review:43a08ee6-0ea0-5b94-8a28-c9e12b77f245</x:v>
      </x:c>
      <x:c r="AC614" s="19"/>
    </x:row>
    <x:row r="615" ht="33" customHeight="1">
      <x:c r="A615" s="18" t="str">
        <x:v>品川</x:v>
      </x:c>
      <x:c r="B615" s="18" t="str">
        <x:v>東日本旅客鉄道</x:v>
      </x:c>
      <x:c r="C615" s="18" t="str">
        <x:v>conventional_rail</x:v>
      </x:c>
      <x:c r="D615" s="19" t="str">
        <x:v>T0</x:v>
      </x:c>
      <x:c r="E615" s="20" t="n">
        <x:v>575878</x:v>
      </x:c>
      <x:c r="F615" s="18" t="str">
        <x:v>persons/day</x:v>
      </x:c>
      <x:c r="G615" s="18" t="str">
        <x:v>FY2024</x:v>
      </x:c>
      <x:c r="H615" s="18" t="str">
        <x:v>否</x:v>
      </x:c>
      <x:c r="I615" s="19" t="str">
        <x:v>DAILY_ENTRIES_EXITS</x:v>
      </x:c>
      <x:c r="J615" s="19" t="str">
        <x:v>山手線
東海道線</x:v>
      </x:c>
      <x:c r="K615" s="18" t="str">
        <x:v>transport-node:95fe3463-50f3-543c-975f-9b81c5ef9522</x:v>
      </x:c>
      <x:c r="L615" s="19" t="str">
        <x:v>组件待审核</x:v>
      </x:c>
      <x:c r="M615" s="21" t="n">
        <x:v>35.628135</x:v>
      </x:c>
      <x:c r="N615" s="21" t="n">
        <x:v>139.738535</x:v>
      </x:c>
      <x:c r="O615" s="18" t="str">
        <x:v>004097</x:v>
      </x:c>
      <x:c r="P615" s="18" t="str">
        <x:v>山手線</x:v>
      </x:c>
      <x:c r="Q615" s="19" t="str">
        <x:v>S12_061_GE_10000
OFFICIAL_HUB_COMPONENT_REVIEW</x:v>
      </x:c>
      <x:c r="R615" s="19" t="str">
        <x:v>S12_061 usage threshold</x:v>
      </x:c>
      <x:c r="S615" s="19" t="str">
        <x:v>https://nlftp.mlit.go.jp/ksj/gml/datalist/KsjTmplt-S12-2024.html</x:v>
      </x:c>
      <x:c r="T615" s="19" t="str">
        <x:v>https://nlftp.mlit.go.jp/ksj/gml/datalist/KsjTmplt-S12-2024.html
https://www.keikyu.co.jp/ride/kakueki/</x:v>
      </x:c>
      <x:c r="U615" s="19" t="str">
        <x:v>station-component|品川|東日本旅客鉄道|conventional_rail|35.6281|139.7385|</x:v>
      </x:c>
      <x:c r="V615" s="19" t="str">
        <x:v>004095 / 004095 / 東海道線
004095 / 004097 / 山手線</x:v>
      </x:c>
      <x:c r="W615" s="18" t="str">
        <x:v>否</x:v>
      </x:c>
      <x:c r="X615" s="18" t="str">
        <x:v>0785e932a32b3ec15e1a1345537ae145eafe1c07bf38d5c16c11ee2b391e7a28</x:v>
      </x:c>
      <x:c r="Y615" s="20" t="n">
        <x:v>1</x:v>
      </x:c>
      <x:c r="Z615" s="20" t="n">
        <x:v>1</x:v>
      </x:c>
      <x:c r="AA615" s="19" t="str">
        <x:v>品川</x:v>
      </x:c>
      <x:c r="AB615" s="18" t="str">
        <x:v>transport-hub-review:43a08ee6-0ea0-5b94-8a28-c9e12b77f245</x:v>
      </x:c>
      <x:c r="AC615" s="19"/>
    </x:row>
    <x:row r="616" ht="47" customHeight="1">
      <x:c r="A616" s="18" t="str">
        <x:v>品川</x:v>
      </x:c>
      <x:c r="B616" s="18" t="str">
        <x:v>東海旅客鉄道</x:v>
      </x:c>
      <x:c r="C616" s="18" t="str">
        <x:v>shinkansen</x:v>
      </x:c>
      <x:c r="D616" s="19" t="str">
        <x:v>T1</x:v>
      </x:c>
      <x:c r="E616" s="20" t="n">
        <x:v>75403</x:v>
      </x:c>
      <x:c r="F616" s="18" t="str">
        <x:v>persons/day</x:v>
      </x:c>
      <x:c r="G616" s="18" t="str">
        <x:v>FY2024</x:v>
      </x:c>
      <x:c r="H616" s="18" t="str">
        <x:v>否</x:v>
      </x:c>
      <x:c r="I616" s="19" t="str">
        <x:v>DAILY_ENTRIES_EXITS</x:v>
      </x:c>
      <x:c r="J616" s="19" t="str">
        <x:v>東海道新幹線</x:v>
      </x:c>
      <x:c r="K616" s="18" t="str">
        <x:v>transport-node:4389b278-793b-5b40-81c9-642cb58c1d93</x:v>
      </x:c>
      <x:c r="L616" s="19" t="str">
        <x:v>组件待审核</x:v>
      </x:c>
      <x:c r="M616" s="21" t="n">
        <x:v>35.6295638</x:v>
      </x:c>
      <x:c r="N616" s="21" t="n">
        <x:v>139.7400688</x:v>
      </x:c>
      <x:c r="O616" s="18" t="str">
        <x:v>004092</x:v>
      </x:c>
      <x:c r="P616" s="18" t="str">
        <x:v>東海道新幹線</x:v>
      </x:c>
      <x:c r="Q616" s="19" t="str">
        <x:v>S12_061_GE_10000
SHINKANSEN
OFFICIAL_HUB_COMPONENT_REVIEW</x:v>
      </x:c>
      <x:c r="R616" s="19" t="str">
        <x:v>S12_061 usage threshold</x:v>
      </x:c>
      <x:c r="S616" s="19" t="str">
        <x:v>https://nlftp.mlit.go.jp/ksj/gml/datalist/KsjTmplt-S12-2024.html</x:v>
      </x:c>
      <x:c r="T616" s="19" t="str">
        <x:v>https://nlftp.mlit.go.jp/ksj/gml/datalist/KsjTmplt-S12-2024.html
https://www.keikyu.co.jp/ride/kakueki/</x:v>
      </x:c>
      <x:c r="U616" s="19" t="str">
        <x:v>station-component|品川|東海旅客鉄道|shinkansen|35.6296|139.7401|</x:v>
      </x:c>
      <x:c r="V616" s="19" t="str">
        <x:v>004095 / 004092 / 東海道新幹線</x:v>
      </x:c>
      <x:c r="W616" s="18" t="str">
        <x:v>否</x:v>
      </x:c>
      <x:c r="X616" s="18" t="str">
        <x:v>0785e932a32b3ec15e1a1345537ae145eafe1c07bf38d5c16c11ee2b391e7a28</x:v>
      </x:c>
      <x:c r="Y616" s="20" t="n">
        <x:v>1</x:v>
      </x:c>
      <x:c r="Z616" s="20" t="n">
        <x:v>1</x:v>
      </x:c>
      <x:c r="AA616" s="19" t="str">
        <x:v>品川</x:v>
      </x:c>
      <x:c r="AB616" s="18" t="str">
        <x:v>transport-hub-review:43a08ee6-0ea0-5b94-8a28-c9e12b77f245</x:v>
      </x:c>
      <x:c r="AC616" s="19"/>
    </x:row>
    <x:row r="617" ht="28" customHeight="1">
      <x:c r="A617" s="18" t="str">
        <x:v>品川シーサイド</x:v>
      </x:c>
      <x:c r="B617" s="18" t="str">
        <x:v>東京臨海高速鉄道</x:v>
      </x:c>
      <x:c r="C617" s="18" t="str">
        <x:v>private_rail</x:v>
      </x:c>
      <x:c r="D617" s="19" t="str">
        <x:v>T2</x:v>
      </x:c>
      <x:c r="E617" s="20" t="n">
        <x:v>37378</x:v>
      </x:c>
      <x:c r="F617" s="18" t="str">
        <x:v>persons/day</x:v>
      </x:c>
      <x:c r="G617" s="18" t="str">
        <x:v>FY2024</x:v>
      </x:c>
      <x:c r="H617" s="18" t="str">
        <x:v>否</x:v>
      </x:c>
      <x:c r="I617" s="19" t="str">
        <x:v>DAILY_ENTRIES_EXITS</x:v>
      </x:c>
      <x:c r="J617" s="19" t="str">
        <x:v>臨海副都心線</x:v>
      </x:c>
      <x:c r="K617" s="18" t="str">
        <x:v>transport-node:e40c30b2-e1d8-52ad-93f6-e971e1dd0cfc</x:v>
      </x:c>
      <x:c r="L617" s="19" t="str">
        <x:v>组件待审核</x:v>
      </x:c>
      <x:c r="M617" s="21" t="n">
        <x:v>35.60979</x:v>
      </x:c>
      <x:c r="N617" s="21" t="n">
        <x:v>139.749795</x:v>
      </x:c>
      <x:c r="O617" s="18" t="str">
        <x:v>004182</x:v>
      </x:c>
      <x:c r="P617" s="18" t="str">
        <x:v>臨海副都心線</x:v>
      </x:c>
      <x:c r="Q617" s="19" t="str">
        <x:v>S12_061_GE_10000</x:v>
      </x:c>
      <x:c r="R617" s="19" t="str">
        <x:v>S12_061 usage threshold</x:v>
      </x:c>
      <x:c r="S617" s="19" t="str">
        <x:v>https://nlftp.mlit.go.jp/ksj/gml/datalist/KsjTmplt-S12-2024.html</x:v>
      </x:c>
      <x:c r="T617" s="19" t="str">
        <x:v>https://nlftp.mlit.go.jp/ksj/gml/datalist/KsjTmplt-S12-2024.html</x:v>
      </x:c>
      <x:c r="U617" s="19" t="str">
        <x:v>station-component|品川シーサイド|東京臨海高速鉄道|private_rail|35.6098|139.7498|</x:v>
      </x:c>
      <x:c r="V617" s="19" t="str">
        <x:v>004182 / 004182 / 臨海副都心線</x:v>
      </x:c>
      <x:c r="W617" s="18" t="str">
        <x:v>否</x:v>
      </x:c>
      <x:c r="X617" s="18" t="str">
        <x:v>0785e932a32b3ec15e1a1345537ae145eafe1c07bf38d5c16c11ee2b391e7a28</x:v>
      </x:c>
      <x:c r="Y617" s="20" t="n">
        <x:v>1</x:v>
      </x:c>
      <x:c r="Z617" s="20" t="n">
        <x:v>1</x:v>
      </x:c>
      <x:c r="AA617" s="19"/>
      <x:c r="AB617" s="18"/>
      <x:c r="AC617" s="19"/>
    </x:row>
    <x:row r="618" ht="28" customHeight="1">
      <x:c r="A618" s="18" t="str">
        <x:v>唐人町</x:v>
      </x:c>
      <x:c r="B618" s="18" t="str">
        <x:v>福岡市</x:v>
      </x:c>
      <x:c r="C618" s="18" t="str">
        <x:v>metro</x:v>
      </x:c>
      <x:c r="D618" s="19" t="str">
        <x:v>T2</x:v>
      </x:c>
      <x:c r="E618" s="20" t="n">
        <x:v>27111</x:v>
      </x:c>
      <x:c r="F618" s="18" t="str">
        <x:v>persons/day</x:v>
      </x:c>
      <x:c r="G618" s="18" t="str">
        <x:v>FY2024</x:v>
      </x:c>
      <x:c r="H618" s="18" t="str">
        <x:v>否</x:v>
      </x:c>
      <x:c r="I618" s="19" t="str">
        <x:v>DAILY_ENTRIES_EXITS</x:v>
      </x:c>
      <x:c r="J618" s="19" t="str">
        <x:v>1号線(空港線)</x:v>
      </x:c>
      <x:c r="K618" s="18" t="str">
        <x:v>transport-node:1ea5ce00-e632-5393-9973-f4f9bb9ac708</x:v>
      </x:c>
      <x:c r="L618" s="19" t="str">
        <x:v>组件待审核</x:v>
      </x:c>
      <x:c r="M618" s="21" t="n">
        <x:v>33.5900867</x:v>
      </x:c>
      <x:c r="N618" s="21" t="n">
        <x:v>130.3699433</x:v>
      </x:c>
      <x:c r="O618" s="18" t="str">
        <x:v>009028</x:v>
      </x:c>
      <x:c r="P618" s="18" t="str">
        <x:v>1号線(空港線)</x:v>
      </x:c>
      <x:c r="Q618" s="19" t="str">
        <x:v>S12_061_GE_10000</x:v>
      </x:c>
      <x:c r="R618" s="19" t="str">
        <x:v>S12_061 usage threshold</x:v>
      </x:c>
      <x:c r="S618" s="19" t="str">
        <x:v>https://nlftp.mlit.go.jp/ksj/gml/datalist/KsjTmplt-S12-2024.html</x:v>
      </x:c>
      <x:c r="T618" s="19" t="str">
        <x:v>https://nlftp.mlit.go.jp/ksj/gml/datalist/KsjTmplt-S12-2024.html</x:v>
      </x:c>
      <x:c r="U618" s="19" t="str">
        <x:v>station-component|唐人町|福岡市|metro|33.5901|130.3699|</x:v>
      </x:c>
      <x:c r="V618" s="19" t="str">
        <x:v>009028 / 009028 / 1号線(空港線)</x:v>
      </x:c>
      <x:c r="W618" s="18" t="str">
        <x:v>否</x:v>
      </x:c>
      <x:c r="X618" s="18" t="str">
        <x:v>0785e932a32b3ec15e1a1345537ae145eafe1c07bf38d5c16c11ee2b391e7a28</x:v>
      </x:c>
      <x:c r="Y618" s="20" t="n">
        <x:v>1</x:v>
      </x:c>
      <x:c r="Z618" s="20" t="n">
        <x:v>1</x:v>
      </x:c>
      <x:c r="AA618" s="19"/>
      <x:c r="AB618" s="18"/>
      <x:c r="AC618" s="19"/>
    </x:row>
    <x:row r="619" ht="28" customHeight="1">
      <x:c r="A619" s="18" t="str">
        <x:v>唐木田</x:v>
      </x:c>
      <x:c r="B619" s="18" t="str">
        <x:v>小田急電鉄</x:v>
      </x:c>
      <x:c r="C619" s="18" t="str">
        <x:v>private_rail</x:v>
      </x:c>
      <x:c r="D619" s="19" t="str">
        <x:v>T2</x:v>
      </x:c>
      <x:c r="E619" s="20" t="n">
        <x:v>14316</x:v>
      </x:c>
      <x:c r="F619" s="18" t="str">
        <x:v>persons/day</x:v>
      </x:c>
      <x:c r="G619" s="18" t="str">
        <x:v>FY2024</x:v>
      </x:c>
      <x:c r="H619" s="18" t="str">
        <x:v>否</x:v>
      </x:c>
      <x:c r="I619" s="19" t="str">
        <x:v>DAILY_ENTRIES_EXITS</x:v>
      </x:c>
      <x:c r="J619" s="19" t="str">
        <x:v>多摩線</x:v>
      </x:c>
      <x:c r="K619" s="18" t="str">
        <x:v>transport-node:f9059245-8876-599b-bb9c-7473f5291999</x:v>
      </x:c>
      <x:c r="L619" s="19" t="str">
        <x:v>组件待审核</x:v>
      </x:c>
      <x:c r="M619" s="21" t="n">
        <x:v>35.616565</x:v>
      </x:c>
      <x:c r="N619" s="21" t="n">
        <x:v>139.411675</x:v>
      </x:c>
      <x:c r="O619" s="18" t="str">
        <x:v>004154</x:v>
      </x:c>
      <x:c r="P619" s="18" t="str">
        <x:v>多摩線</x:v>
      </x:c>
      <x:c r="Q619" s="19" t="str">
        <x:v>S12_061_GE_10000</x:v>
      </x:c>
      <x:c r="R619" s="19" t="str">
        <x:v>S12_061 usage threshold</x:v>
      </x:c>
      <x:c r="S619" s="19" t="str">
        <x:v>https://nlftp.mlit.go.jp/ksj/gml/datalist/KsjTmplt-S12-2024.html</x:v>
      </x:c>
      <x:c r="T619" s="19" t="str">
        <x:v>https://nlftp.mlit.go.jp/ksj/gml/datalist/KsjTmplt-S12-2024.html</x:v>
      </x:c>
      <x:c r="U619" s="19" t="str">
        <x:v>station-component|唐木田|小田急電鉄|private_rail|35.6166|139.4117|</x:v>
      </x:c>
      <x:c r="V619" s="19" t="str">
        <x:v>004154 / 004154 / 多摩線</x:v>
      </x:c>
      <x:c r="W619" s="18" t="str">
        <x:v>否</x:v>
      </x:c>
      <x:c r="X619" s="18" t="str">
        <x:v>0785e932a32b3ec15e1a1345537ae145eafe1c07bf38d5c16c11ee2b391e7a28</x:v>
      </x:c>
      <x:c r="Y619" s="20" t="n">
        <x:v>1</x:v>
      </x:c>
      <x:c r="Z619" s="20" t="n">
        <x:v>1</x:v>
      </x:c>
      <x:c r="AA619" s="19"/>
      <x:c r="AB619" s="18"/>
      <x:c r="AC619" s="19"/>
    </x:row>
    <x:row r="620" ht="28" customHeight="1">
      <x:c r="A620" s="18" t="str">
        <x:v>善行</x:v>
      </x:c>
      <x:c r="B620" s="18" t="str">
        <x:v>小田急電鉄</x:v>
      </x:c>
      <x:c r="C620" s="18" t="str">
        <x:v>private_rail</x:v>
      </x:c>
      <x:c r="D620" s="19" t="str">
        <x:v>T2</x:v>
      </x:c>
      <x:c r="E620" s="20" t="n">
        <x:v>26612</x:v>
      </x:c>
      <x:c r="F620" s="18" t="str">
        <x:v>persons/day</x:v>
      </x:c>
      <x:c r="G620" s="18" t="str">
        <x:v>FY2024</x:v>
      </x:c>
      <x:c r="H620" s="18" t="str">
        <x:v>否</x:v>
      </x:c>
      <x:c r="I620" s="19" t="str">
        <x:v>DAILY_ENTRIES_EXITS</x:v>
      </x:c>
      <x:c r="J620" s="19" t="str">
        <x:v>江ノ島線</x:v>
      </x:c>
      <x:c r="K620" s="18" t="str">
        <x:v>transport-node:b0b9bb1a-445e-598a-8119-8e71ed84a1ca</x:v>
      </x:c>
      <x:c r="L620" s="19" t="str">
        <x:v>组件待审核</x:v>
      </x:c>
      <x:c r="M620" s="21" t="n">
        <x:v>35.36259</x:v>
      </x:c>
      <x:c r="N620" s="21" t="n">
        <x:v>139.473265</x:v>
      </x:c>
      <x:c r="O620" s="18" t="str">
        <x:v>004937</x:v>
      </x:c>
      <x:c r="P620" s="18" t="str">
        <x:v>江ノ島線</x:v>
      </x:c>
      <x:c r="Q620" s="19" t="str">
        <x:v>S12_061_GE_10000</x:v>
      </x:c>
      <x:c r="R620" s="19" t="str">
        <x:v>S12_061 usage threshold</x:v>
      </x:c>
      <x:c r="S620" s="19" t="str">
        <x:v>https://nlftp.mlit.go.jp/ksj/gml/datalist/KsjTmplt-S12-2024.html</x:v>
      </x:c>
      <x:c r="T620" s="19" t="str">
        <x:v>https://nlftp.mlit.go.jp/ksj/gml/datalist/KsjTmplt-S12-2024.html</x:v>
      </x:c>
      <x:c r="U620" s="19" t="str">
        <x:v>station-component|善行|小田急電鉄|private_rail|35.3626|139.4733|</x:v>
      </x:c>
      <x:c r="V620" s="19" t="str">
        <x:v>004937 / 004937 / 江ノ島線</x:v>
      </x:c>
      <x:c r="W620" s="18" t="str">
        <x:v>否</x:v>
      </x:c>
      <x:c r="X620" s="18" t="str">
        <x:v>0785e932a32b3ec15e1a1345537ae145eafe1c07bf38d5c16c11ee2b391e7a28</x:v>
      </x:c>
      <x:c r="Y620" s="20" t="n">
        <x:v>1</x:v>
      </x:c>
      <x:c r="Z620" s="20" t="n">
        <x:v>1</x:v>
      </x:c>
      <x:c r="AA620" s="19"/>
      <x:c r="AB620" s="18"/>
      <x:c r="AC620" s="19"/>
    </x:row>
    <x:row r="621" ht="28" customHeight="1">
      <x:c r="A621" s="18" t="str">
        <x:v>喜多見</x:v>
      </x:c>
      <x:c r="B621" s="18" t="str">
        <x:v>小田急電鉄</x:v>
      </x:c>
      <x:c r="C621" s="18" t="str">
        <x:v>private_rail</x:v>
      </x:c>
      <x:c r="D621" s="19" t="str">
        <x:v>T2</x:v>
      </x:c>
      <x:c r="E621" s="20" t="n">
        <x:v>30793</x:v>
      </x:c>
      <x:c r="F621" s="18" t="str">
        <x:v>persons/day</x:v>
      </x:c>
      <x:c r="G621" s="18" t="str">
        <x:v>FY2024</x:v>
      </x:c>
      <x:c r="H621" s="18" t="str">
        <x:v>否</x:v>
      </x:c>
      <x:c r="I621" s="19" t="str">
        <x:v>DAILY_ENTRIES_EXITS</x:v>
      </x:c>
      <x:c r="J621" s="19" t="str">
        <x:v>小田原線</x:v>
      </x:c>
      <x:c r="K621" s="18" t="str">
        <x:v>transport-node:3c26b681-c25c-56b5-8209-e445097afe19</x:v>
      </x:c>
      <x:c r="L621" s="19" t="str">
        <x:v>组件待审核</x:v>
      </x:c>
      <x:c r="M621" s="21" t="n">
        <x:v>35.6364867</x:v>
      </x:c>
      <x:c r="N621" s="21" t="n">
        <x:v>139.5867433</x:v>
      </x:c>
      <x:c r="O621" s="18" t="str">
        <x:v>004053</x:v>
      </x:c>
      <x:c r="P621" s="18" t="str">
        <x:v>小田原線</x:v>
      </x:c>
      <x:c r="Q621" s="19" t="str">
        <x:v>S12_061_GE_10000</x:v>
      </x:c>
      <x:c r="R621" s="19" t="str">
        <x:v>S12_061 usage threshold</x:v>
      </x:c>
      <x:c r="S621" s="19" t="str">
        <x:v>https://nlftp.mlit.go.jp/ksj/gml/datalist/KsjTmplt-S12-2024.html</x:v>
      </x:c>
      <x:c r="T621" s="19" t="str">
        <x:v>https://nlftp.mlit.go.jp/ksj/gml/datalist/KsjTmplt-S12-2024.html</x:v>
      </x:c>
      <x:c r="U621" s="19" t="str">
        <x:v>station-component|喜多見|小田急電鉄|private_rail|35.6365|139.5867|</x:v>
      </x:c>
      <x:c r="V621" s="19" t="str">
        <x:v>004053 / 004053 / 小田原線</x:v>
      </x:c>
      <x:c r="W621" s="18" t="str">
        <x:v>否</x:v>
      </x:c>
      <x:c r="X621" s="18" t="str">
        <x:v>0785e932a32b3ec15e1a1345537ae145eafe1c07bf38d5c16c11ee2b391e7a28</x:v>
      </x:c>
      <x:c r="Y621" s="20" t="n">
        <x:v>1</x:v>
      </x:c>
      <x:c r="Z621" s="20" t="n">
        <x:v>1</x:v>
      </x:c>
      <x:c r="AA621" s="19"/>
      <x:c r="AB621" s="18"/>
      <x:c r="AC621" s="19"/>
    </x:row>
    <x:row r="622" ht="28" customHeight="1">
      <x:c r="A622" s="18" t="str">
        <x:v>喜志</x:v>
      </x:c>
      <x:c r="B622" s="18" t="str">
        <x:v>近畿日本鉄道</x:v>
      </x:c>
      <x:c r="C622" s="18" t="str">
        <x:v>private_rail</x:v>
      </x:c>
      <x:c r="D622" s="19" t="str">
        <x:v>T2</x:v>
      </x:c>
      <x:c r="E622" s="20" t="n">
        <x:v>15527</x:v>
      </x:c>
      <x:c r="F622" s="18" t="str">
        <x:v>persons/day</x:v>
      </x:c>
      <x:c r="G622" s="18" t="str">
        <x:v>FY2024</x:v>
      </x:c>
      <x:c r="H622" s="18" t="str">
        <x:v>否</x:v>
      </x:c>
      <x:c r="I622" s="19" t="str">
        <x:v>DAILY_ENTRIES_EXITS</x:v>
      </x:c>
      <x:c r="J622" s="19" t="str">
        <x:v>長野線</x:v>
      </x:c>
      <x:c r="K622" s="18" t="str">
        <x:v>transport-node:82a44d50-ee74-5a9e-8178-bc8e2c115bee</x:v>
      </x:c>
      <x:c r="L622" s="19" t="str">
        <x:v>组件待审核</x:v>
      </x:c>
      <x:c r="M622" s="21" t="n">
        <x:v>34.522645</x:v>
      </x:c>
      <x:c r="N622" s="21" t="n">
        <x:v>135.607245</x:v>
      </x:c>
      <x:c r="O622" s="18" t="str">
        <x:v>007790</x:v>
      </x:c>
      <x:c r="P622" s="18" t="str">
        <x:v>長野線</x:v>
      </x:c>
      <x:c r="Q622" s="19" t="str">
        <x:v>S12_061_GE_10000</x:v>
      </x:c>
      <x:c r="R622" s="19" t="str">
        <x:v>S12_061 usage threshold</x:v>
      </x:c>
      <x:c r="S622" s="19" t="str">
        <x:v>https://nlftp.mlit.go.jp/ksj/gml/datalist/KsjTmplt-S12-2024.html</x:v>
      </x:c>
      <x:c r="T622" s="19" t="str">
        <x:v>https://nlftp.mlit.go.jp/ksj/gml/datalist/KsjTmplt-S12-2024.html</x:v>
      </x:c>
      <x:c r="U622" s="19" t="str">
        <x:v>station-component|喜志|近畿日本鉄道|private_rail|34.5226|135.6072|</x:v>
      </x:c>
      <x:c r="V622" s="19" t="str">
        <x:v>007790 / 007790 / 長野線</x:v>
      </x:c>
      <x:c r="W622" s="18" t="str">
        <x:v>否</x:v>
      </x:c>
      <x:c r="X622" s="18" t="str">
        <x:v>0785e932a32b3ec15e1a1345537ae145eafe1c07bf38d5c16c11ee2b391e7a28</x:v>
      </x:c>
      <x:c r="Y622" s="20" t="n">
        <x:v>1</x:v>
      </x:c>
      <x:c r="Z622" s="20" t="n">
        <x:v>1</x:v>
      </x:c>
      <x:c r="AA622" s="19"/>
      <x:c r="AB622" s="18"/>
      <x:c r="AC622" s="19"/>
    </x:row>
    <x:row r="623" ht="28" customHeight="1">
      <x:c r="A623" s="18" t="str">
        <x:v>喜連瓜破</x:v>
      </x:c>
      <x:c r="B623" s="18" t="str">
        <x:v>大阪市高速電気軌道</x:v>
      </x:c>
      <x:c r="C623" s="18" t="str">
        <x:v>metro</x:v>
      </x:c>
      <x:c r="D623" s="19" t="str">
        <x:v>T2</x:v>
      </x:c>
      <x:c r="E623" s="20" t="n">
        <x:v>21856</x:v>
      </x:c>
      <x:c r="F623" s="18" t="str">
        <x:v>persons/day</x:v>
      </x:c>
      <x:c r="G623" s="18" t="str">
        <x:v>FY2024</x:v>
      </x:c>
      <x:c r="H623" s="18" t="str">
        <x:v>否</x:v>
      </x:c>
      <x:c r="I623" s="19" t="str">
        <x:v>DAILY_ENTRIES_EXITS</x:v>
      </x:c>
      <x:c r="J623" s="19" t="str">
        <x:v>2号線(谷町線)</x:v>
      </x:c>
      <x:c r="K623" s="18" t="str">
        <x:v>transport-node:4026796b-b7ce-5a72-a32d-49f0f071b72a</x:v>
      </x:c>
      <x:c r="L623" s="19" t="str">
        <x:v>组件待审核</x:v>
      </x:c>
      <x:c r="M623" s="21" t="n">
        <x:v>34.60919</x:v>
      </x:c>
      <x:c r="N623" s="21" t="n">
        <x:v>135.55209</x:v>
      </x:c>
      <x:c r="O623" s="18" t="str">
        <x:v>007581</x:v>
      </x:c>
      <x:c r="P623" s="18" t="str">
        <x:v>2号線(谷町線)</x:v>
      </x:c>
      <x:c r="Q623" s="19" t="str">
        <x:v>S12_061_GE_10000</x:v>
      </x:c>
      <x:c r="R623" s="19" t="str">
        <x:v>S12_061 usage threshold</x:v>
      </x:c>
      <x:c r="S623" s="19" t="str">
        <x:v>https://nlftp.mlit.go.jp/ksj/gml/datalist/KsjTmplt-S12-2024.html</x:v>
      </x:c>
      <x:c r="T623" s="19" t="str">
        <x:v>https://nlftp.mlit.go.jp/ksj/gml/datalist/KsjTmplt-S12-2024.html</x:v>
      </x:c>
      <x:c r="U623" s="19" t="str">
        <x:v>station-component|喜連瓜破|大阪市高速電気軌道|metro|34.6092|135.5521|</x:v>
      </x:c>
      <x:c r="V623" s="19" t="str">
        <x:v>007581 / 007581 / 2号線(谷町線)</x:v>
      </x:c>
      <x:c r="W623" s="18" t="str">
        <x:v>否</x:v>
      </x:c>
      <x:c r="X623" s="18" t="str">
        <x:v>0785e932a32b3ec15e1a1345537ae145eafe1c07bf38d5c16c11ee2b391e7a28</x:v>
      </x:c>
      <x:c r="Y623" s="20" t="n">
        <x:v>1</x:v>
      </x:c>
      <x:c r="Z623" s="20" t="n">
        <x:v>1</x:v>
      </x:c>
      <x:c r="AA623" s="19"/>
      <x:c r="AB623" s="18"/>
      <x:c r="AC623" s="19"/>
    </x:row>
    <x:row r="624" ht="28" customHeight="1">
      <x:c r="A624" s="18" t="str">
        <x:v>四ツ木</x:v>
      </x:c>
      <x:c r="B624" s="18" t="str">
        <x:v>京成電鉄</x:v>
      </x:c>
      <x:c r="C624" s="18" t="str">
        <x:v>private_rail</x:v>
      </x:c>
      <x:c r="D624" s="19" t="str">
        <x:v>T2</x:v>
      </x:c>
      <x:c r="E624" s="20" t="n">
        <x:v>18180</x:v>
      </x:c>
      <x:c r="F624" s="18" t="str">
        <x:v>persons/day</x:v>
      </x:c>
      <x:c r="G624" s="18" t="str">
        <x:v>FY2024</x:v>
      </x:c>
      <x:c r="H624" s="18" t="str">
        <x:v>否</x:v>
      </x:c>
      <x:c r="I624" s="19" t="str">
        <x:v>DAILY_ENTRIES_EXITS</x:v>
      </x:c>
      <x:c r="J624" s="19" t="str">
        <x:v>押上線</x:v>
      </x:c>
      <x:c r="K624" s="18" t="str">
        <x:v>transport-node:b58dbcdf-64c8-5fda-9e5c-0921dc346323</x:v>
      </x:c>
      <x:c r="L624" s="19" t="str">
        <x:v>组件待审核</x:v>
      </x:c>
      <x:c r="M624" s="21" t="n">
        <x:v>35.731715</x:v>
      </x:c>
      <x:c r="N624" s="21" t="n">
        <x:v>139.834655</x:v>
      </x:c>
      <x:c r="O624" s="18" t="str">
        <x:v>003376</x:v>
      </x:c>
      <x:c r="P624" s="18" t="str">
        <x:v>押上線</x:v>
      </x:c>
      <x:c r="Q624" s="19" t="str">
        <x:v>S12_061_GE_10000</x:v>
      </x:c>
      <x:c r="R624" s="19" t="str">
        <x:v>S12_061 usage threshold</x:v>
      </x:c>
      <x:c r="S624" s="19" t="str">
        <x:v>https://nlftp.mlit.go.jp/ksj/gml/datalist/KsjTmplt-S12-2024.html</x:v>
      </x:c>
      <x:c r="T624" s="19" t="str">
        <x:v>https://nlftp.mlit.go.jp/ksj/gml/datalist/KsjTmplt-S12-2024.html</x:v>
      </x:c>
      <x:c r="U624" s="19" t="str">
        <x:v>station-component|四ツ木|京成電鉄|private_rail|35.7317|139.8347|</x:v>
      </x:c>
      <x:c r="V624" s="19" t="str">
        <x:v>003376 / 003376 / 押上線</x:v>
      </x:c>
      <x:c r="W624" s="18" t="str">
        <x:v>否</x:v>
      </x:c>
      <x:c r="X624" s="18" t="str">
        <x:v>0785e932a32b3ec15e1a1345537ae145eafe1c07bf38d5c16c11ee2b391e7a28</x:v>
      </x:c>
      <x:c r="Y624" s="20" t="n">
        <x:v>1</x:v>
      </x:c>
      <x:c r="Z624" s="20" t="n">
        <x:v>1</x:v>
      </x:c>
      <x:c r="AA624" s="19"/>
      <x:c r="AB624" s="18"/>
      <x:c r="AC624" s="19"/>
    </x:row>
    <x:row r="625" ht="33" customHeight="1">
      <x:c r="A625" s="18" t="str">
        <x:v>四ツ橋</x:v>
      </x:c>
      <x:c r="B625" s="18" t="str">
        <x:v>大阪市高速電気軌道</x:v>
      </x:c>
      <x:c r="C625" s="18" t="str">
        <x:v>metro</x:v>
      </x:c>
      <x:c r="D625" s="19" t="str">
        <x:v>T2</x:v>
      </x:c>
      <x:c r="E625" s="20" t="n">
        <x:v>35308</x:v>
      </x:c>
      <x:c r="F625" s="18" t="str">
        <x:v>persons/day</x:v>
      </x:c>
      <x:c r="G625" s="18" t="str">
        <x:v>FY2024</x:v>
      </x:c>
      <x:c r="H625" s="18" t="str">
        <x:v>否</x:v>
      </x:c>
      <x:c r="I625" s="19" t="str">
        <x:v>DAILY_ENTRIES_EXITS</x:v>
      </x:c>
      <x:c r="J625" s="19" t="str">
        <x:v>3号線(四つ橋線)</x:v>
      </x:c>
      <x:c r="K625" s="18" t="str">
        <x:v>transport-node:8b2d328a-ab5a-52b9-9bc1-692aacdbc078</x:v>
      </x:c>
      <x:c r="L625" s="19" t="str">
        <x:v>组件待审核</x:v>
      </x:c>
      <x:c r="M625" s="21" t="n">
        <x:v>34.67394</x:v>
      </x:c>
      <x:c r="N625" s="21" t="n">
        <x:v>135.496745</x:v>
      </x:c>
      <x:c r="O625" s="18" t="str">
        <x:v>007268</x:v>
      </x:c>
      <x:c r="P625" s="18" t="str">
        <x:v>3号線(四つ橋線)</x:v>
      </x:c>
      <x:c r="Q625" s="19" t="str">
        <x:v>S12_061_GE_10000
OFFICIAL_HUB_COMPONENT_REVIEW</x:v>
      </x:c>
      <x:c r="R625" s="19" t="str">
        <x:v>S12_061 usage threshold</x:v>
      </x:c>
      <x:c r="S625" s="19" t="str">
        <x:v>https://nlftp.mlit.go.jp/ksj/gml/datalist/KsjTmplt-S12-2024.html</x:v>
      </x:c>
      <x:c r="T625" s="19" t="str">
        <x:v>https://nlftp.mlit.go.jp/ksj/gml/datalist/KsjTmplt-S12-2024.html
https://subway.osakametro.co.jp/station_guide/M/m19/index.php</x:v>
      </x:c>
      <x:c r="U625" s="19" t="str">
        <x:v>station-component|四ツ橋|大阪市高速電気軌道|metro|34.6739|135.4967|</x:v>
      </x:c>
      <x:c r="V625" s="19" t="str">
        <x:v>007268 / 007268 / 3号線(四つ橋線)</x:v>
      </x:c>
      <x:c r="W625" s="18" t="str">
        <x:v>否</x:v>
      </x:c>
      <x:c r="X625" s="18" t="str">
        <x:v>0785e932a32b3ec15e1a1345537ae145eafe1c07bf38d5c16c11ee2b391e7a28</x:v>
      </x:c>
      <x:c r="Y625" s="20" t="n">
        <x:v>1</x:v>
      </x:c>
      <x:c r="Z625" s="20" t="n">
        <x:v>1</x:v>
      </x:c>
      <x:c r="AA625" s="19" t="str">
        <x:v>心斎橋・四ツ橋</x:v>
      </x:c>
      <x:c r="AB625" s="18" t="str">
        <x:v>transport-hub-review:f271b758-de3f-53bd-b118-49d887518644</x:v>
      </x:c>
      <x:c r="AC625" s="19"/>
    </x:row>
    <x:row r="626" ht="33" customHeight="1">
      <x:c r="A626" s="18" t="str">
        <x:v>四ツ谷</x:v>
      </x:c>
      <x:c r="B626" s="18" t="str">
        <x:v>東京地下鉄</x:v>
      </x:c>
      <x:c r="C626" s="18" t="str">
        <x:v>metro</x:v>
      </x:c>
      <x:c r="D626" s="19" t="str">
        <x:v>T1</x:v>
      </x:c>
      <x:c r="E626" s="20" t="n">
        <x:v>117584</x:v>
      </x:c>
      <x:c r="F626" s="18" t="str">
        <x:v>persons/day</x:v>
      </x:c>
      <x:c r="G626" s="18" t="str">
        <x:v>FY2024</x:v>
      </x:c>
      <x:c r="H626" s="18" t="str">
        <x:v>否</x:v>
      </x:c>
      <x:c r="I626" s="19" t="str">
        <x:v>DAILY_ENTRIES_EXITS</x:v>
      </x:c>
      <x:c r="J626" s="19" t="str">
        <x:v>4号線丸ノ内線
7号線南北線</x:v>
      </x:c>
      <x:c r="K626" s="18" t="str">
        <x:v>transport-node:60ff71a2-c631-5c22-8f19-e236a2c4f99e</x:v>
      </x:c>
      <x:c r="L626" s="19" t="str">
        <x:v>组件待审核</x:v>
      </x:c>
      <x:c r="M626" s="21" t="n">
        <x:v>35.6842513</x:v>
      </x:c>
      <x:c r="N626" s="21" t="n">
        <x:v>139.73004</x:v>
      </x:c>
      <x:c r="O626" s="18" t="str">
        <x:v>003740</x:v>
      </x:c>
      <x:c r="P626" s="18" t="str">
        <x:v>4号線丸ノ内線</x:v>
      </x:c>
      <x:c r="Q626" s="19" t="str">
        <x:v>S12_061_GE_10000
OFFICIAL_HUB_COMPONENT_REVIEW</x:v>
      </x:c>
      <x:c r="R626" s="19" t="str">
        <x:v>S12_061 usage threshold</x:v>
      </x:c>
      <x:c r="S626" s="19" t="str">
        <x:v>https://nlftp.mlit.go.jp/ksj/gml/datalist/KsjTmplt-S12-2024.html</x:v>
      </x:c>
      <x:c r="T626" s="19" t="str">
        <x:v>https://nlftp.mlit.go.jp/ksj/gml/datalist/KsjTmplt-S12-2024.html
https://www.tokyometro.jp/station/yotsuya/index.html</x:v>
      </x:c>
      <x:c r="U626" s="19" t="str">
        <x:v>station-component|四ツ谷|東京地下鉄|metro|35.6843|139.7300|</x:v>
      </x:c>
      <x:c r="V626" s="19" t="str">
        <x:v>003728 / 003723 / 7号線南北線
003728 / 003740 / 4号線丸ノ内線</x:v>
      </x:c>
      <x:c r="W626" s="18" t="str">
        <x:v>否</x:v>
      </x:c>
      <x:c r="X626" s="18" t="str">
        <x:v>0785e932a32b3ec15e1a1345537ae145eafe1c07bf38d5c16c11ee2b391e7a28</x:v>
      </x:c>
      <x:c r="Y626" s="20" t="n">
        <x:v>1</x:v>
      </x:c>
      <x:c r="Z626" s="20" t="n">
        <x:v>1</x:v>
      </x:c>
      <x:c r="AA626" s="19" t="str">
        <x:v>四ツ谷</x:v>
      </x:c>
      <x:c r="AB626" s="18" t="str">
        <x:v>transport-hub-review:bdc5f35d-a34a-56f1-9ad3-d072d02ceb92</x:v>
      </x:c>
      <x:c r="AC626" s="19"/>
    </x:row>
    <x:row r="627" ht="33" customHeight="1">
      <x:c r="A627" s="18" t="str">
        <x:v>四ツ谷</x:v>
      </x:c>
      <x:c r="B627" s="18" t="str">
        <x:v>東日本旅客鉄道</x:v>
      </x:c>
      <x:c r="C627" s="18" t="str">
        <x:v>conventional_rail</x:v>
      </x:c>
      <x:c r="D627" s="19" t="str">
        <x:v>T1</x:v>
      </x:c>
      <x:c r="E627" s="20" t="n">
        <x:v>177874</x:v>
      </x:c>
      <x:c r="F627" s="18" t="str">
        <x:v>persons/day</x:v>
      </x:c>
      <x:c r="G627" s="18" t="str">
        <x:v>FY2024</x:v>
      </x:c>
      <x:c r="H627" s="18" t="str">
        <x:v>否</x:v>
      </x:c>
      <x:c r="I627" s="19" t="str">
        <x:v>DAILY_ENTRIES_EXITS</x:v>
      </x:c>
      <x:c r="J627" s="19" t="str">
        <x:v>中央線</x:v>
      </x:c>
      <x:c r="K627" s="18" t="str">
        <x:v>transport-node:8f1662d9-edda-5742-b65c-0b26594e906e</x:v>
      </x:c>
      <x:c r="L627" s="19" t="str">
        <x:v>组件待审核</x:v>
      </x:c>
      <x:c r="M627" s="21" t="n">
        <x:v>35.685732</x:v>
      </x:c>
      <x:c r="N627" s="21" t="n">
        <x:v>139.730562</x:v>
      </x:c>
      <x:c r="O627" s="18" t="str">
        <x:v>003728</x:v>
      </x:c>
      <x:c r="P627" s="18" t="str">
        <x:v>中央線</x:v>
      </x:c>
      <x:c r="Q627" s="19" t="str">
        <x:v>S12_061_GE_10000
OFFICIAL_HUB_COMPONENT_REVIEW</x:v>
      </x:c>
      <x:c r="R627" s="19" t="str">
        <x:v>S12_061 usage threshold</x:v>
      </x:c>
      <x:c r="S627" s="19" t="str">
        <x:v>https://nlftp.mlit.go.jp/ksj/gml/datalist/KsjTmplt-S12-2024.html</x:v>
      </x:c>
      <x:c r="T627" s="19" t="str">
        <x:v>https://nlftp.mlit.go.jp/ksj/gml/datalist/KsjTmplt-S12-2024.html
https://www.tokyometro.jp/station/yotsuya/index.html</x:v>
      </x:c>
      <x:c r="U627" s="19" t="str">
        <x:v>station-component|四ツ谷|東日本旅客鉄道|conventional_rail|35.6857|139.7306|</x:v>
      </x:c>
      <x:c r="V627" s="19" t="str">
        <x:v>003728 / 003728 / 中央線</x:v>
      </x:c>
      <x:c r="W627" s="18" t="str">
        <x:v>否</x:v>
      </x:c>
      <x:c r="X627" s="18" t="str">
        <x:v>0785e932a32b3ec15e1a1345537ae145eafe1c07bf38d5c16c11ee2b391e7a28</x:v>
      </x:c>
      <x:c r="Y627" s="20" t="n">
        <x:v>1</x:v>
      </x:c>
      <x:c r="Z627" s="20" t="n">
        <x:v>1</x:v>
      </x:c>
      <x:c r="AA627" s="19" t="str">
        <x:v>四ツ谷</x:v>
      </x:c>
      <x:c r="AB627" s="18" t="str">
        <x:v>transport-hub-review:bdc5f35d-a34a-56f1-9ad3-d072d02ceb92</x:v>
      </x:c>
      <x:c r="AC627" s="19"/>
    </x:row>
    <x:row r="628" ht="28" customHeight="1">
      <x:c r="A628" s="18" t="str">
        <x:v>四天王寺前夕陽ヶ丘</x:v>
      </x:c>
      <x:c r="B628" s="18" t="str">
        <x:v>大阪市高速電気軌道</x:v>
      </x:c>
      <x:c r="C628" s="18" t="str">
        <x:v>metro</x:v>
      </x:c>
      <x:c r="D628" s="19" t="str">
        <x:v>T2</x:v>
      </x:c>
      <x:c r="E628" s="20" t="n">
        <x:v>25405</x:v>
      </x:c>
      <x:c r="F628" s="18" t="str">
        <x:v>persons/day</x:v>
      </x:c>
      <x:c r="G628" s="18" t="str">
        <x:v>FY2024</x:v>
      </x:c>
      <x:c r="H628" s="18" t="str">
        <x:v>否</x:v>
      </x:c>
      <x:c r="I628" s="19" t="str">
        <x:v>DAILY_ENTRIES_EXITS</x:v>
      </x:c>
      <x:c r="J628" s="19" t="str">
        <x:v>2号線(谷町線)</x:v>
      </x:c>
      <x:c r="K628" s="18" t="str">
        <x:v>transport-node:34f5a220-cba2-53f5-ba92-ea4e89c37daa</x:v>
      </x:c>
      <x:c r="L628" s="19" t="str">
        <x:v>组件待审核</x:v>
      </x:c>
      <x:c r="M628" s="21" t="n">
        <x:v>34.65841</x:v>
      </x:c>
      <x:c r="N628" s="21" t="n">
        <x:v>135.514185</x:v>
      </x:c>
      <x:c r="O628" s="18" t="str">
        <x:v>007382</x:v>
      </x:c>
      <x:c r="P628" s="18" t="str">
        <x:v>2号線(谷町線)</x:v>
      </x:c>
      <x:c r="Q628" s="19" t="str">
        <x:v>S12_061_GE_10000</x:v>
      </x:c>
      <x:c r="R628" s="19" t="str">
        <x:v>S12_061 usage threshold</x:v>
      </x:c>
      <x:c r="S628" s="19" t="str">
        <x:v>https://nlftp.mlit.go.jp/ksj/gml/datalist/KsjTmplt-S12-2024.html</x:v>
      </x:c>
      <x:c r="T628" s="19" t="str">
        <x:v>https://nlftp.mlit.go.jp/ksj/gml/datalist/KsjTmplt-S12-2024.html</x:v>
      </x:c>
      <x:c r="U628" s="19" t="str">
        <x:v>station-component|四天王寺前夕陽ヶ丘|大阪市高速電気軌道|metro|34.6584|135.5142|</x:v>
      </x:c>
      <x:c r="V628" s="19" t="str">
        <x:v>007382 / 007382 / 2号線(谷町線)</x:v>
      </x:c>
      <x:c r="W628" s="18" t="str">
        <x:v>否</x:v>
      </x:c>
      <x:c r="X628" s="18" t="str">
        <x:v>0785e932a32b3ec15e1a1345537ae145eafe1c07bf38d5c16c11ee2b391e7a28</x:v>
      </x:c>
      <x:c r="Y628" s="20" t="n">
        <x:v>1</x:v>
      </x:c>
      <x:c r="Z628" s="20" t="n">
        <x:v>1</x:v>
      </x:c>
      <x:c r="AA628" s="19"/>
      <x:c r="AB628" s="18"/>
      <x:c r="AC628" s="19"/>
    </x:row>
    <x:row r="629" ht="33" customHeight="1">
      <x:c r="A629" s="18" t="str">
        <x:v>四条</x:v>
      </x:c>
      <x:c r="B629" s="18" t="str">
        <x:v>京都市</x:v>
      </x:c>
      <x:c r="C629" s="18" t="str">
        <x:v>metro</x:v>
      </x:c>
      <x:c r="D629" s="19" t="str">
        <x:v>T1</x:v>
      </x:c>
      <x:c r="E629" s="20" t="n">
        <x:v>103026</x:v>
      </x:c>
      <x:c r="F629" s="18" t="str">
        <x:v>persons/day</x:v>
      </x:c>
      <x:c r="G629" s="18" t="str">
        <x:v>FY2024</x:v>
      </x:c>
      <x:c r="H629" s="18" t="str">
        <x:v>否</x:v>
      </x:c>
      <x:c r="I629" s="19" t="str">
        <x:v>DAILY_ENTRIES_EXITS</x:v>
      </x:c>
      <x:c r="J629" s="19" t="str">
        <x:v>烏丸線</x:v>
      </x:c>
      <x:c r="K629" s="18" t="str">
        <x:v>transport-node:87c3c818-c300-5e3f-9096-ba9a267fd857</x:v>
      </x:c>
      <x:c r="L629" s="19" t="str">
        <x:v>组件待审核</x:v>
      </x:c>
      <x:c r="M629" s="21" t="n">
        <x:v>35.00281</x:v>
      </x:c>
      <x:c r="N629" s="21" t="n">
        <x:v>135.759675</x:v>
      </x:c>
      <x:c r="O629" s="18" t="str">
        <x:v>006001</x:v>
      </x:c>
      <x:c r="P629" s="18" t="str">
        <x:v>烏丸線</x:v>
      </x:c>
      <x:c r="Q629" s="19" t="str">
        <x:v>S12_061_GE_10000
OFFICIAL_HUB_COMPONENT_REVIEW</x:v>
      </x:c>
      <x:c r="R629" s="19" t="str">
        <x:v>S12_061 usage threshold</x:v>
      </x:c>
      <x:c r="S629" s="19" t="str">
        <x:v>https://nlftp.mlit.go.jp/ksj/gml/datalist/KsjTmplt-S12-2024.html</x:v>
      </x:c>
      <x:c r="T629" s="19" t="str">
        <x:v>https://nlftp.mlit.go.jp/ksj/gml/datalist/KsjTmplt-S12-2024.html
https://www.hankyu.co.jp/station/index.html</x:v>
      </x:c>
      <x:c r="U629" s="19" t="str">
        <x:v>station-component|四条|京都市|metro|35.0028|135.7597|</x:v>
      </x:c>
      <x:c r="V629" s="19" t="str">
        <x:v>006001 / 006001 / 烏丸線</x:v>
      </x:c>
      <x:c r="W629" s="18" t="str">
        <x:v>否</x:v>
      </x:c>
      <x:c r="X629" s="18" t="str">
        <x:v>0785e932a32b3ec15e1a1345537ae145eafe1c07bf38d5c16c11ee2b391e7a28</x:v>
      </x:c>
      <x:c r="Y629" s="20" t="n">
        <x:v>1</x:v>
      </x:c>
      <x:c r="Z629" s="20" t="n">
        <x:v>1</x:v>
      </x:c>
      <x:c r="AA629" s="19" t="str">
        <x:v>烏丸・四条</x:v>
      </x:c>
      <x:c r="AB629" s="18" t="str">
        <x:v>transport-hub-review:e2d38b26-899a-56b2-aa18-d0eae57cc5df</x:v>
      </x:c>
      <x:c r="AC629" s="19"/>
    </x:row>
    <x:row r="630" ht="33" customHeight="1">
      <x:c r="A630" s="18" t="str">
        <x:v>四条大宮</x:v>
      </x:c>
      <x:c r="B630" s="18" t="str">
        <x:v>京福電気鉄道</x:v>
      </x:c>
      <x:c r="C630" s="18" t="str">
        <x:v>tram</x:v>
      </x:c>
      <x:c r="D630" s="19" t="str">
        <x:v>T3</x:v>
      </x:c>
      <x:c r="E630" s="20" t="n">
        <x:v>5054</x:v>
      </x:c>
      <x:c r="F630" s="18" t="str">
        <x:v>persons/day</x:v>
      </x:c>
      <x:c r="G630" s="18" t="str">
        <x:v>FY2024</x:v>
      </x:c>
      <x:c r="H630" s="18" t="str">
        <x:v>否</x:v>
      </x:c>
      <x:c r="I630" s="19" t="str">
        <x:v>DAILY_ENTRIES_EXITS</x:v>
      </x:c>
      <x:c r="J630" s="19" t="str">
        <x:v>嵐山本線</x:v>
      </x:c>
      <x:c r="K630" s="18" t="str">
        <x:v>transport-node:c0f3edff-ff59-566c-aad1-c34e1bb62975</x:v>
      </x:c>
      <x:c r="L630" s="19" t="str">
        <x:v>组件待审核</x:v>
      </x:c>
      <x:c r="M630" s="21" t="n">
        <x:v>35.003145</x:v>
      </x:c>
      <x:c r="N630" s="21" t="n">
        <x:v>135.74824</x:v>
      </x:c>
      <x:c r="O630" s="18" t="str">
        <x:v>005999</x:v>
      </x:c>
      <x:c r="P630" s="18" t="str">
        <x:v>嵐山本線</x:v>
      </x:c>
      <x:c r="Q630" s="19" t="str">
        <x:v>OFFICIAL_HUB_COMPONENT_REVIEW</x:v>
      </x:c>
      <x:c r="R630" s="19" t="str">
        <x:v>S12_061 usage threshold; low-flow inclusion justified by official Hub component review</x:v>
      </x:c>
      <x:c r="S630" s="19" t="str">
        <x:v>https://nlftp.mlit.go.jp/ksj/gml/datalist/KsjTmplt-S12-2024.html</x:v>
      </x:c>
      <x:c r="T630" s="19" t="str">
        <x:v>https://nlftp.mlit.go.jp/ksj/gml/datalist/KsjTmplt-S12-2024.html
https://www.hankyu.co.jp/station/index.html</x:v>
      </x:c>
      <x:c r="U630" s="19" t="str">
        <x:v>station-component|四条大宮|京福電気鉄道|tram|35.0031|135.7482|</x:v>
      </x:c>
      <x:c r="V630" s="19" t="str">
        <x:v>005999 / 005999 / 嵐山本線</x:v>
      </x:c>
      <x:c r="W630" s="18" t="str">
        <x:v>否</x:v>
      </x:c>
      <x:c r="X630" s="18" t="str">
        <x:v>0785e932a32b3ec15e1a1345537ae145eafe1c07bf38d5c16c11ee2b391e7a28</x:v>
      </x:c>
      <x:c r="Y630" s="20" t="n">
        <x:v>1</x:v>
      </x:c>
      <x:c r="Z630" s="20" t="n">
        <x:v>1</x:v>
      </x:c>
      <x:c r="AA630" s="19" t="str">
        <x:v>大宮・四条大宮</x:v>
      </x:c>
      <x:c r="AB630" s="18" t="str">
        <x:v>transport-hub-review:b30b067a-338e-5b85-811a-497dbaa709b9</x:v>
      </x:c>
      <x:c r="AC630" s="19"/>
    </x:row>
    <x:row r="631" ht="28" customHeight="1">
      <x:c r="A631" s="18" t="str">
        <x:v>四条畷</x:v>
      </x:c>
      <x:c r="B631" s="18" t="str">
        <x:v>西日本旅客鉄道</x:v>
      </x:c>
      <x:c r="C631" s="18" t="str">
        <x:v>conventional_rail</x:v>
      </x:c>
      <x:c r="D631" s="19" t="str">
        <x:v>T2</x:v>
      </x:c>
      <x:c r="E631" s="20" t="n">
        <x:v>32994</x:v>
      </x:c>
      <x:c r="F631" s="18" t="str">
        <x:v>persons/day</x:v>
      </x:c>
      <x:c r="G631" s="18" t="str">
        <x:v>FY2024</x:v>
      </x:c>
      <x:c r="H631" s="18" t="str">
        <x:v>否</x:v>
      </x:c>
      <x:c r="I631" s="19" t="str">
        <x:v>DAILY_ENTRIES_EXITS</x:v>
      </x:c>
      <x:c r="J631" s="19" t="str">
        <x:v>片町線</x:v>
      </x:c>
      <x:c r="K631" s="18" t="str">
        <x:v>transport-node:98cd366d-dab7-5eb0-81b8-b95f33f49b5e</x:v>
      </x:c>
      <x:c r="L631" s="19" t="str">
        <x:v>组件待审核</x:v>
      </x:c>
      <x:c r="M631" s="21" t="n">
        <x:v>34.7304</x:v>
      </x:c>
      <x:c r="N631" s="21" t="n">
        <x:v>135.639245</x:v>
      </x:c>
      <x:c r="O631" s="18" t="str">
        <x:v>006928</x:v>
      </x:c>
      <x:c r="P631" s="18" t="str">
        <x:v>片町線</x:v>
      </x:c>
      <x:c r="Q631" s="19" t="str">
        <x:v>S12_061_GE_10000</x:v>
      </x:c>
      <x:c r="R631" s="19" t="str">
        <x:v>S12_061 usage threshold</x:v>
      </x:c>
      <x:c r="S631" s="19" t="str">
        <x:v>https://nlftp.mlit.go.jp/ksj/gml/datalist/KsjTmplt-S12-2024.html</x:v>
      </x:c>
      <x:c r="T631" s="19" t="str">
        <x:v>https://nlftp.mlit.go.jp/ksj/gml/datalist/KsjTmplt-S12-2024.html</x:v>
      </x:c>
      <x:c r="U631" s="19" t="str">
        <x:v>station-component|四条畷|西日本旅客鉄道|conventional_rail|34.7304|135.6392|</x:v>
      </x:c>
      <x:c r="V631" s="19" t="str">
        <x:v>006928 / 006928 / 片町線</x:v>
      </x:c>
      <x:c r="W631" s="18" t="str">
        <x:v>否</x:v>
      </x:c>
      <x:c r="X631" s="18" t="str">
        <x:v>0785e932a32b3ec15e1a1345537ae145eafe1c07bf38d5c16c11ee2b391e7a28</x:v>
      </x:c>
      <x:c r="Y631" s="20" t="n">
        <x:v>1</x:v>
      </x:c>
      <x:c r="Z631" s="20" t="n">
        <x:v>1</x:v>
      </x:c>
      <x:c r="AA631" s="19"/>
      <x:c r="AB631" s="18"/>
      <x:c r="AC631" s="19"/>
    </x:row>
    <x:row r="632" ht="28" customHeight="1">
      <x:c r="A632" s="18" t="str">
        <x:v>四街道</x:v>
      </x:c>
      <x:c r="B632" s="18" t="str">
        <x:v>東日本旅客鉄道</x:v>
      </x:c>
      <x:c r="C632" s="18" t="str">
        <x:v>conventional_rail</x:v>
      </x:c>
      <x:c r="D632" s="19" t="str">
        <x:v>T2</x:v>
      </x:c>
      <x:c r="E632" s="20" t="n">
        <x:v>40648</x:v>
      </x:c>
      <x:c r="F632" s="18" t="str">
        <x:v>persons/day</x:v>
      </x:c>
      <x:c r="G632" s="18" t="str">
        <x:v>FY2024</x:v>
      </x:c>
      <x:c r="H632" s="18" t="str">
        <x:v>否</x:v>
      </x:c>
      <x:c r="I632" s="19" t="str">
        <x:v>DAILY_ENTRIES_EXITS</x:v>
      </x:c>
      <x:c r="J632" s="19" t="str">
        <x:v>総武線</x:v>
      </x:c>
      <x:c r="K632" s="18" t="str">
        <x:v>transport-node:c767d26a-06ed-5c81-9040-380fc0544829</x:v>
      </x:c>
      <x:c r="L632" s="19" t="str">
        <x:v>组件待审核</x:v>
      </x:c>
      <x:c r="M632" s="21" t="n">
        <x:v>35.6629075</x:v>
      </x:c>
      <x:c r="N632" s="21" t="n">
        <x:v>140.1652</x:v>
      </x:c>
      <x:c r="O632" s="18" t="str">
        <x:v>003898</x:v>
      </x:c>
      <x:c r="P632" s="18" t="str">
        <x:v>総武線</x:v>
      </x:c>
      <x:c r="Q632" s="19" t="str">
        <x:v>S12_061_GE_10000</x:v>
      </x:c>
      <x:c r="R632" s="19" t="str">
        <x:v>S12_061 usage threshold</x:v>
      </x:c>
      <x:c r="S632" s="19" t="str">
        <x:v>https://nlftp.mlit.go.jp/ksj/gml/datalist/KsjTmplt-S12-2024.html</x:v>
      </x:c>
      <x:c r="T632" s="19" t="str">
        <x:v>https://nlftp.mlit.go.jp/ksj/gml/datalist/KsjTmplt-S12-2024.html</x:v>
      </x:c>
      <x:c r="U632" s="19" t="str">
        <x:v>station-component|四街道|東日本旅客鉄道|conventional_rail|35.6629|140.1652|</x:v>
      </x:c>
      <x:c r="V632" s="19" t="str">
        <x:v>003898 / 003898 / 総武線</x:v>
      </x:c>
      <x:c r="W632" s="18" t="str">
        <x:v>否</x:v>
      </x:c>
      <x:c r="X632" s="18" t="str">
        <x:v>0785e932a32b3ec15e1a1345537ae145eafe1c07bf38d5c16c11ee2b391e7a28</x:v>
      </x:c>
      <x:c r="Y632" s="20" t="n">
        <x:v>1</x:v>
      </x:c>
      <x:c r="Z632" s="20" t="n">
        <x:v>1</x:v>
      </x:c>
      <x:c r="AA632" s="19"/>
      <x:c r="AB632" s="18"/>
      <x:c r="AC632" s="19"/>
    </x:row>
    <x:row r="633" ht="28" customHeight="1">
      <x:c r="A633" s="18" t="str">
        <x:v>四谷三丁目</x:v>
      </x:c>
      <x:c r="B633" s="18" t="str">
        <x:v>東京地下鉄</x:v>
      </x:c>
      <x:c r="C633" s="18" t="str">
        <x:v>metro</x:v>
      </x:c>
      <x:c r="D633" s="19" t="str">
        <x:v>T2</x:v>
      </x:c>
      <x:c r="E633" s="20" t="n">
        <x:v>42890</x:v>
      </x:c>
      <x:c r="F633" s="18" t="str">
        <x:v>persons/day</x:v>
      </x:c>
      <x:c r="G633" s="18" t="str">
        <x:v>FY2024</x:v>
      </x:c>
      <x:c r="H633" s="18" t="str">
        <x:v>否</x:v>
      </x:c>
      <x:c r="I633" s="19" t="str">
        <x:v>DAILY_ENTRIES_EXITS</x:v>
      </x:c>
      <x:c r="J633" s="19" t="str">
        <x:v>4号線丸ノ内線</x:v>
      </x:c>
      <x:c r="K633" s="18" t="str">
        <x:v>transport-node:56887a77-4d16-5acc-af51-65e930f425ee</x:v>
      </x:c>
      <x:c r="L633" s="19" t="str">
        <x:v>组件待审核</x:v>
      </x:c>
      <x:c r="M633" s="21" t="n">
        <x:v>35.687835</x:v>
      </x:c>
      <x:c r="N633" s="21" t="n">
        <x:v>139.719325</x:v>
      </x:c>
      <x:c r="O633" s="18" t="str">
        <x:v>003713</x:v>
      </x:c>
      <x:c r="P633" s="18" t="str">
        <x:v>4号線丸ノ内線</x:v>
      </x:c>
      <x:c r="Q633" s="19" t="str">
        <x:v>S12_061_GE_10000</x:v>
      </x:c>
      <x:c r="R633" s="19" t="str">
        <x:v>S12_061 usage threshold</x:v>
      </x:c>
      <x:c r="S633" s="19" t="str">
        <x:v>https://nlftp.mlit.go.jp/ksj/gml/datalist/KsjTmplt-S12-2024.html</x:v>
      </x:c>
      <x:c r="T633" s="19" t="str">
        <x:v>https://nlftp.mlit.go.jp/ksj/gml/datalist/KsjTmplt-S12-2024.html</x:v>
      </x:c>
      <x:c r="U633" s="19" t="str">
        <x:v>station-component|四谷三丁目|東京地下鉄|metro|35.6878|139.7193|</x:v>
      </x:c>
      <x:c r="V633" s="19" t="str">
        <x:v>003713 / 003713 / 4号線丸ノ内線</x:v>
      </x:c>
      <x:c r="W633" s="18" t="str">
        <x:v>否</x:v>
      </x:c>
      <x:c r="X633" s="18" t="str">
        <x:v>0785e932a32b3ec15e1a1345537ae145eafe1c07bf38d5c16c11ee2b391e7a28</x:v>
      </x:c>
      <x:c r="Y633" s="20" t="n">
        <x:v>1</x:v>
      </x:c>
      <x:c r="Z633" s="20" t="n">
        <x:v>1</x:v>
      </x:c>
      <x:c r="AA633" s="19"/>
      <x:c r="AB633" s="18"/>
      <x:c r="AC633" s="19"/>
    </x:row>
    <x:row r="634" ht="33" customHeight="1">
      <x:c r="A634" s="18" t="str">
        <x:v>国会議事堂前</x:v>
      </x:c>
      <x:c r="B634" s="18" t="str">
        <x:v>東京地下鉄</x:v>
      </x:c>
      <x:c r="C634" s="18" t="str">
        <x:v>metro</x:v>
      </x:c>
      <x:c r="D634" s="19" t="str">
        <x:v>T2</x:v>
      </x:c>
      <x:c r="E634" s="20" t="n">
        <x:v>40907</x:v>
      </x:c>
      <x:c r="F634" s="18" t="str">
        <x:v>persons/day</x:v>
      </x:c>
      <x:c r="G634" s="18" t="str">
        <x:v>FY2024</x:v>
      </x:c>
      <x:c r="H634" s="18" t="str">
        <x:v>否</x:v>
      </x:c>
      <x:c r="I634" s="19" t="str">
        <x:v>DAILY_ENTRIES_EXITS</x:v>
      </x:c>
      <x:c r="J634" s="19" t="str">
        <x:v>4号線丸ノ内線
9号線千代田線</x:v>
      </x:c>
      <x:c r="K634" s="18" t="str">
        <x:v>transport-node:5ced7062-83be-5a94-8a79-e988fe6f5f0b</x:v>
      </x:c>
      <x:c r="L634" s="19" t="str">
        <x:v>组件待审核</x:v>
      </x:c>
      <x:c r="M634" s="21" t="n">
        <x:v>35.6735433</x:v>
      </x:c>
      <x:c r="N634" s="21" t="n">
        <x:v>139.7430533</x:v>
      </x:c>
      <x:c r="O634" s="18" t="str">
        <x:v>003807</x:v>
      </x:c>
      <x:c r="P634" s="18" t="str">
        <x:v>9号線千代田線</x:v>
      </x:c>
      <x:c r="Q634" s="19" t="str">
        <x:v>S12_061_GE_10000
OFFICIAL_HUB_COMPONENT_REVIEW</x:v>
      </x:c>
      <x:c r="R634" s="19" t="str">
        <x:v>S12_061 usage threshold</x:v>
      </x:c>
      <x:c r="S634" s="19" t="str">
        <x:v>https://nlftp.mlit.go.jp/ksj/gml/datalist/KsjTmplt-S12-2024.html</x:v>
      </x:c>
      <x:c r="T634" s="19" t="str">
        <x:v>https://nlftp.mlit.go.jp/ksj/gml/datalist/KsjTmplt-S12-2024.html
https://www.tokyometro.jp/station/tameike-sanno/index.html</x:v>
      </x:c>
      <x:c r="U634" s="19" t="str">
        <x:v>station-component|国会議事堂前|東京地下鉄|metro|35.6735|139.7431|</x:v>
      </x:c>
      <x:c r="V634" s="19" t="str">
        <x:v>003799 / 003799 / 4号線丸ノ内線
003799 / 003807 / 9号線千代田線</x:v>
      </x:c>
      <x:c r="W634" s="18" t="str">
        <x:v>否</x:v>
      </x:c>
      <x:c r="X634" s="18" t="str">
        <x:v>0785e932a32b3ec15e1a1345537ae145eafe1c07bf38d5c16c11ee2b391e7a28</x:v>
      </x:c>
      <x:c r="Y634" s="20" t="n">
        <x:v>1</x:v>
      </x:c>
      <x:c r="Z634" s="20" t="n">
        <x:v>1</x:v>
      </x:c>
      <x:c r="AA634" s="19" t="str">
        <x:v>溜池山王・国会議事堂前</x:v>
      </x:c>
      <x:c r="AB634" s="18" t="str">
        <x:v>transport-hub-review:8efae5b1-0839-5990-9c13-e93ed3118e39</x:v>
      </x:c>
      <x:c r="AC634" s="19"/>
    </x:row>
    <x:row r="635" ht="33" customHeight="1">
      <x:c r="A635" s="18" t="str">
        <x:v>国分寺</x:v>
      </x:c>
      <x:c r="B635" s="18" t="str">
        <x:v>東日本旅客鉄道</x:v>
      </x:c>
      <x:c r="C635" s="18" t="str">
        <x:v>conventional_rail</x:v>
      </x:c>
      <x:c r="D635" s="19" t="str">
        <x:v>T0</x:v>
      </x:c>
      <x:c r="E635" s="20" t="n">
        <x:v>202312</x:v>
      </x:c>
      <x:c r="F635" s="18" t="str">
        <x:v>persons/day</x:v>
      </x:c>
      <x:c r="G635" s="18" t="str">
        <x:v>FY2024</x:v>
      </x:c>
      <x:c r="H635" s="18" t="str">
        <x:v>否</x:v>
      </x:c>
      <x:c r="I635" s="19" t="str">
        <x:v>DAILY_ENTRIES_EXITS</x:v>
      </x:c>
      <x:c r="J635" s="19" t="str">
        <x:v>中央線</x:v>
      </x:c>
      <x:c r="K635" s="18" t="str">
        <x:v>transport-node:70d8d9e4-c60f-5fb7-b80f-cc5d3fcdca57</x:v>
      </x:c>
      <x:c r="L635" s="19" t="str">
        <x:v>组件待审核</x:v>
      </x:c>
      <x:c r="M635" s="21" t="n">
        <x:v>35.700132</x:v>
      </x:c>
      <x:c r="N635" s="21" t="n">
        <x:v>139.480558</x:v>
      </x:c>
      <x:c r="O635" s="18" t="str">
        <x:v>003606</x:v>
      </x:c>
      <x:c r="P635" s="18" t="str">
        <x:v>中央線</x:v>
      </x:c>
      <x:c r="Q635" s="19" t="str">
        <x:v>S12_061_GE_10000
OFFICIAL_HUB_COMPONENT_REVIEW</x:v>
      </x:c>
      <x:c r="R635" s="19" t="str">
        <x:v>S12_061 usage threshold</x:v>
      </x:c>
      <x:c r="S635" s="19" t="str">
        <x:v>https://nlftp.mlit.go.jp/ksj/gml/datalist/KsjTmplt-S12-2024.html</x:v>
      </x:c>
      <x:c r="T635" s="19" t="str">
        <x:v>https://nlftp.mlit.go.jp/ksj/gml/datalist/KsjTmplt-S12-2024.html
https://www.seiburailway.jp/railway/station/</x:v>
      </x:c>
      <x:c r="U635" s="19" t="str">
        <x:v>station-component|国分寺|東日本旅客鉄道|conventional_rail|35.7001|139.4806|</x:v>
      </x:c>
      <x:c r="V635" s="19" t="str">
        <x:v>003606 / 003606 / 中央線</x:v>
      </x:c>
      <x:c r="W635" s="18" t="str">
        <x:v>否</x:v>
      </x:c>
      <x:c r="X635" s="18" t="str">
        <x:v>0785e932a32b3ec15e1a1345537ae145eafe1c07bf38d5c16c11ee2b391e7a28</x:v>
      </x:c>
      <x:c r="Y635" s="20" t="n">
        <x:v>1</x:v>
      </x:c>
      <x:c r="Z635" s="20" t="n">
        <x:v>1</x:v>
      </x:c>
      <x:c r="AA635" s="19" t="str">
        <x:v>国分寺</x:v>
      </x:c>
      <x:c r="AB635" s="18" t="str">
        <x:v>transport-hub-review:3471876b-fac6-5001-9548-1617965ac08e</x:v>
      </x:c>
      <x:c r="AC635" s="19"/>
    </x:row>
    <x:row r="636" ht="33" customHeight="1">
      <x:c r="A636" s="18" t="str">
        <x:v>国分寺</x:v>
      </x:c>
      <x:c r="B636" s="18" t="str">
        <x:v>西武鉄道</x:v>
      </x:c>
      <x:c r="C636" s="18" t="str">
        <x:v>private_rail</x:v>
      </x:c>
      <x:c r="D636" s="19" t="str">
        <x:v>T1</x:v>
      </x:c>
      <x:c r="E636" s="20" t="n">
        <x:v>111199</x:v>
      </x:c>
      <x:c r="F636" s="18" t="str">
        <x:v>persons/day</x:v>
      </x:c>
      <x:c r="G636" s="18" t="str">
        <x:v>FY2024</x:v>
      </x:c>
      <x:c r="H636" s="18" t="str">
        <x:v>否</x:v>
      </x:c>
      <x:c r="I636" s="19" t="str">
        <x:v>DAILY_ENTRIES_EXITS</x:v>
      </x:c>
      <x:c r="J636" s="19" t="str">
        <x:v>国分寺線
多摩湖線</x:v>
      </x:c>
      <x:c r="K636" s="18" t="str">
        <x:v>transport-node:3e687503-3bbc-5c40-b0e1-872938aae52e</x:v>
      </x:c>
      <x:c r="L636" s="19" t="str">
        <x:v>组件待审核</x:v>
      </x:c>
      <x:c r="M636" s="21" t="n">
        <x:v>35.700132</x:v>
      </x:c>
      <x:c r="N636" s="21" t="n">
        <x:v>139.480558</x:v>
      </x:c>
      <x:c r="O636" s="18" t="str">
        <x:v>003607</x:v>
      </x:c>
      <x:c r="P636" s="18" t="str">
        <x:v>国分寺線</x:v>
      </x:c>
      <x:c r="Q636" s="19" t="str">
        <x:v>S12_061_GE_10000
OFFICIAL_HUB_COMPONENT_REVIEW</x:v>
      </x:c>
      <x:c r="R636" s="19" t="str">
        <x:v>S12_061 usage threshold</x:v>
      </x:c>
      <x:c r="S636" s="19" t="str">
        <x:v>https://nlftp.mlit.go.jp/ksj/gml/datalist/KsjTmplt-S12-2024.html</x:v>
      </x:c>
      <x:c r="T636" s="19" t="str">
        <x:v>https://nlftp.mlit.go.jp/ksj/gml/datalist/KsjTmplt-S12-2024.html
https://www.seiburailway.jp/railway/station/</x:v>
      </x:c>
      <x:c r="U636" s="19" t="str">
        <x:v>station-component|国分寺|西武鉄道|private_rail|35.7001|139.4806|</x:v>
      </x:c>
      <x:c r="V636" s="19" t="str">
        <x:v>003606 / 003599 / 多摩湖線
003606 / 003607 / 国分寺線</x:v>
      </x:c>
      <x:c r="W636" s="18" t="str">
        <x:v>否</x:v>
      </x:c>
      <x:c r="X636" s="18" t="str">
        <x:v>0785e932a32b3ec15e1a1345537ae145eafe1c07bf38d5c16c11ee2b391e7a28</x:v>
      </x:c>
      <x:c r="Y636" s="20" t="n">
        <x:v>1</x:v>
      </x:c>
      <x:c r="Z636" s="20" t="n">
        <x:v>1</x:v>
      </x:c>
      <x:c r="AA636" s="19" t="str">
        <x:v>国分寺</x:v>
      </x:c>
      <x:c r="AB636" s="18" t="str">
        <x:v>transport-hub-review:3471876b-fac6-5001-9548-1617965ac08e</x:v>
      </x:c>
      <x:c r="AC636" s="19"/>
    </x:row>
    <x:row r="637" ht="28" customHeight="1">
      <x:c r="A637" s="18" t="str">
        <x:v>国府台</x:v>
      </x:c>
      <x:c r="B637" s="18" t="str">
        <x:v>京成電鉄</x:v>
      </x:c>
      <x:c r="C637" s="18" t="str">
        <x:v>private_rail</x:v>
      </x:c>
      <x:c r="D637" s="19" t="str">
        <x:v>T2</x:v>
      </x:c>
      <x:c r="E637" s="20" t="n">
        <x:v>11912</x:v>
      </x:c>
      <x:c r="F637" s="18" t="str">
        <x:v>persons/day</x:v>
      </x:c>
      <x:c r="G637" s="18" t="str">
        <x:v>FY2024</x:v>
      </x:c>
      <x:c r="H637" s="18" t="str">
        <x:v>否</x:v>
      </x:c>
      <x:c r="I637" s="19" t="str">
        <x:v>DAILY_ENTRIES_EXITS</x:v>
      </x:c>
      <x:c r="J637" s="19" t="str">
        <x:v>本線</x:v>
      </x:c>
      <x:c r="K637" s="18" t="str">
        <x:v>transport-node:e25c3596-94dd-55e3-9c7f-0d5f5eb2a6ea</x:v>
      </x:c>
      <x:c r="L637" s="19" t="str">
        <x:v>组件待审核</x:v>
      </x:c>
      <x:c r="M637" s="21" t="n">
        <x:v>35.73631</x:v>
      </x:c>
      <x:c r="N637" s="21" t="n">
        <x:v>139.90354</x:v>
      </x:c>
      <x:c r="O637" s="18" t="str">
        <x:v>003346</x:v>
      </x:c>
      <x:c r="P637" s="18" t="str">
        <x:v>本線</x:v>
      </x:c>
      <x:c r="Q637" s="19" t="str">
        <x:v>S12_061_GE_10000</x:v>
      </x:c>
      <x:c r="R637" s="19" t="str">
        <x:v>S12_061 usage threshold</x:v>
      </x:c>
      <x:c r="S637" s="19" t="str">
        <x:v>https://nlftp.mlit.go.jp/ksj/gml/datalist/KsjTmplt-S12-2024.html</x:v>
      </x:c>
      <x:c r="T637" s="19" t="str">
        <x:v>https://nlftp.mlit.go.jp/ksj/gml/datalist/KsjTmplt-S12-2024.html</x:v>
      </x:c>
      <x:c r="U637" s="19" t="str">
        <x:v>station-component|国府台|京成電鉄|private_rail|35.7363|139.9035|</x:v>
      </x:c>
      <x:c r="V637" s="19" t="str">
        <x:v>003346 / 003346 / 本線</x:v>
      </x:c>
      <x:c r="W637" s="18" t="str">
        <x:v>否</x:v>
      </x:c>
      <x:c r="X637" s="18" t="str">
        <x:v>0785e932a32b3ec15e1a1345537ae145eafe1c07bf38d5c16c11ee2b391e7a28</x:v>
      </x:c>
      <x:c r="Y637" s="20" t="n">
        <x:v>1</x:v>
      </x:c>
      <x:c r="Z637" s="20" t="n">
        <x:v>1</x:v>
      </x:c>
      <x:c r="AA637" s="19"/>
      <x:c r="AB637" s="18"/>
      <x:c r="AC637" s="19"/>
    </x:row>
    <x:row r="638" ht="28" customHeight="1">
      <x:c r="A638" s="18" t="str">
        <x:v>国府宮</x:v>
      </x:c>
      <x:c r="B638" s="18" t="str">
        <x:v>名古屋鉄道</x:v>
      </x:c>
      <x:c r="C638" s="18" t="str">
        <x:v>private_rail</x:v>
      </x:c>
      <x:c r="D638" s="19" t="str">
        <x:v>T2</x:v>
      </x:c>
      <x:c r="E638" s="20" t="n">
        <x:v>20189</x:v>
      </x:c>
      <x:c r="F638" s="18" t="str">
        <x:v>persons/day</x:v>
      </x:c>
      <x:c r="G638" s="18" t="str">
        <x:v>FY2024</x:v>
      </x:c>
      <x:c r="H638" s="18" t="str">
        <x:v>否</x:v>
      </x:c>
      <x:c r="I638" s="19" t="str">
        <x:v>DAILY_ENTRIES_EXITS</x:v>
      </x:c>
      <x:c r="J638" s="19" t="str">
        <x:v>名古屋本線</x:v>
      </x:c>
      <x:c r="K638" s="18" t="str">
        <x:v>transport-node:164d1417-b33e-52e9-9587-4ab02e23aa69</x:v>
      </x:c>
      <x:c r="L638" s="19" t="str">
        <x:v>组件待审核</x:v>
      </x:c>
      <x:c r="M638" s="21" t="n">
        <x:v>35.25428</x:v>
      </x:c>
      <x:c r="N638" s="21" t="n">
        <x:v>136.802935</x:v>
      </x:c>
      <x:c r="O638" s="18" t="str">
        <x:v>005223</x:v>
      </x:c>
      <x:c r="P638" s="18" t="str">
        <x:v>名古屋本線</x:v>
      </x:c>
      <x:c r="Q638" s="19" t="str">
        <x:v>S12_061_GE_10000</x:v>
      </x:c>
      <x:c r="R638" s="19" t="str">
        <x:v>S12_061 usage threshold</x:v>
      </x:c>
      <x:c r="S638" s="19" t="str">
        <x:v>https://nlftp.mlit.go.jp/ksj/gml/datalist/KsjTmplt-S12-2024.html</x:v>
      </x:c>
      <x:c r="T638" s="19" t="str">
        <x:v>https://nlftp.mlit.go.jp/ksj/gml/datalist/KsjTmplt-S12-2024.html</x:v>
      </x:c>
      <x:c r="U638" s="19" t="str">
        <x:v>station-component|国府宮|名古屋鉄道|private_rail|35.2543|136.8029|</x:v>
      </x:c>
      <x:c r="V638" s="19" t="str">
        <x:v>005223 / 005223 / 名古屋本線</x:v>
      </x:c>
      <x:c r="W638" s="18" t="str">
        <x:v>否</x:v>
      </x:c>
      <x:c r="X638" s="18" t="str">
        <x:v>0785e932a32b3ec15e1a1345537ae145eafe1c07bf38d5c16c11ee2b391e7a28</x:v>
      </x:c>
      <x:c r="Y638" s="20" t="n">
        <x:v>1</x:v>
      </x:c>
      <x:c r="Z638" s="20" t="n">
        <x:v>1</x:v>
      </x:c>
      <x:c r="AA638" s="19"/>
      <x:c r="AB638" s="18"/>
      <x:c r="AC638" s="19"/>
    </x:row>
    <x:row r="639" ht="28" customHeight="1">
      <x:c r="A639" s="18" t="str">
        <x:v>国府津</x:v>
      </x:c>
      <x:c r="B639" s="18" t="str">
        <x:v>東日本旅客鉄道</x:v>
      </x:c>
      <x:c r="C639" s="18" t="str">
        <x:v>conventional_rail</x:v>
      </x:c>
      <x:c r="D639" s="19" t="str">
        <x:v>T2</x:v>
      </x:c>
      <x:c r="E639" s="20" t="n">
        <x:v>10236</x:v>
      </x:c>
      <x:c r="F639" s="18" t="str">
        <x:v>persons/day</x:v>
      </x:c>
      <x:c r="G639" s="18" t="str">
        <x:v>FY2024</x:v>
      </x:c>
      <x:c r="H639" s="18" t="str">
        <x:v>否</x:v>
      </x:c>
      <x:c r="I639" s="19" t="str">
        <x:v>DAILY_ENTRIES_EXITS</x:v>
      </x:c>
      <x:c r="J639" s="19" t="str">
        <x:v>東海道線</x:v>
      </x:c>
      <x:c r="K639" s="18" t="str">
        <x:v>transport-node:51b74368-3202-5f1d-be2e-66cb7e329797</x:v>
      </x:c>
      <x:c r="L639" s="19" t="str">
        <x:v>组件待审核</x:v>
      </x:c>
      <x:c r="M639" s="21" t="n">
        <x:v>35.281395</x:v>
      </x:c>
      <x:c r="N639" s="21" t="n">
        <x:v>139.214955</x:v>
      </x:c>
      <x:c r="O639" s="18" t="str">
        <x:v>005158</x:v>
      </x:c>
      <x:c r="P639" s="18" t="str">
        <x:v>東海道線</x:v>
      </x:c>
      <x:c r="Q639" s="19" t="str">
        <x:v>S12_061_GE_10000</x:v>
      </x:c>
      <x:c r="R639" s="19" t="str">
        <x:v>S12_061 usage threshold</x:v>
      </x:c>
      <x:c r="S639" s="19" t="str">
        <x:v>https://nlftp.mlit.go.jp/ksj/gml/datalist/KsjTmplt-S12-2024.html</x:v>
      </x:c>
      <x:c r="T639" s="19" t="str">
        <x:v>https://nlftp.mlit.go.jp/ksj/gml/datalist/KsjTmplt-S12-2024.html</x:v>
      </x:c>
      <x:c r="U639" s="19" t="str">
        <x:v>station-component|国府津|東日本旅客鉄道|conventional_rail|35.2814|139.2150|</x:v>
      </x:c>
      <x:c r="V639" s="19" t="str">
        <x:v>005157 / 005158 / 東海道線</x:v>
      </x:c>
      <x:c r="W639" s="18" t="str">
        <x:v>否</x:v>
      </x:c>
      <x:c r="X639" s="18" t="str">
        <x:v>0785e932a32b3ec15e1a1345537ae145eafe1c07bf38d5c16c11ee2b391e7a28</x:v>
      </x:c>
      <x:c r="Y639" s="20" t="n">
        <x:v>1</x:v>
      </x:c>
      <x:c r="Z639" s="20" t="n">
        <x:v>1</x:v>
      </x:c>
      <x:c r="AA639" s="19"/>
      <x:c r="AB639" s="18"/>
      <x:c r="AC639" s="19"/>
    </x:row>
    <x:row r="640" ht="28" customHeight="1">
      <x:c r="A640" s="18" t="str">
        <x:v>国立</x:v>
      </x:c>
      <x:c r="B640" s="18" t="str">
        <x:v>東日本旅客鉄道</x:v>
      </x:c>
      <x:c r="C640" s="18" t="str">
        <x:v>conventional_rail</x:v>
      </x:c>
      <x:c r="D640" s="19" t="str">
        <x:v>T1</x:v>
      </x:c>
      <x:c r="E640" s="20" t="n">
        <x:v>97096</x:v>
      </x:c>
      <x:c r="F640" s="18" t="str">
        <x:v>persons/day</x:v>
      </x:c>
      <x:c r="G640" s="18" t="str">
        <x:v>FY2024</x:v>
      </x:c>
      <x:c r="H640" s="18" t="str">
        <x:v>否</x:v>
      </x:c>
      <x:c r="I640" s="19" t="str">
        <x:v>DAILY_ENTRIES_EXITS</x:v>
      </x:c>
      <x:c r="J640" s="19" t="str">
        <x:v>中央線</x:v>
      </x:c>
      <x:c r="K640" s="18" t="str">
        <x:v>transport-node:b62ffaf7-aa60-59e3-a823-f97a2e867949</x:v>
      </x:c>
      <x:c r="L640" s="19" t="str">
        <x:v>组件待审核</x:v>
      </x:c>
      <x:c r="M640" s="21" t="n">
        <x:v>35.699195</x:v>
      </x:c>
      <x:c r="N640" s="21" t="n">
        <x:v>139.446415</x:v>
      </x:c>
      <x:c r="O640" s="18" t="str">
        <x:v>003622</x:v>
      </x:c>
      <x:c r="P640" s="18" t="str">
        <x:v>中央線</x:v>
      </x:c>
      <x:c r="Q640" s="19" t="str">
        <x:v>S12_061_GE_10000</x:v>
      </x:c>
      <x:c r="R640" s="19" t="str">
        <x:v>S12_061 usage threshold</x:v>
      </x:c>
      <x:c r="S640" s="19" t="str">
        <x:v>https://nlftp.mlit.go.jp/ksj/gml/datalist/KsjTmplt-S12-2024.html</x:v>
      </x:c>
      <x:c r="T640" s="19" t="str">
        <x:v>https://nlftp.mlit.go.jp/ksj/gml/datalist/KsjTmplt-S12-2024.html</x:v>
      </x:c>
      <x:c r="U640" s="19" t="str">
        <x:v>station-component|国立|東日本旅客鉄道|conventional_rail|35.6992|139.4464|</x:v>
      </x:c>
      <x:c r="V640" s="19" t="str">
        <x:v>003622 / 003622 / 中央線</x:v>
      </x:c>
      <x:c r="W640" s="18" t="str">
        <x:v>否</x:v>
      </x:c>
      <x:c r="X640" s="18" t="str">
        <x:v>0785e932a32b3ec15e1a1345537ae145eafe1c07bf38d5c16c11ee2b391e7a28</x:v>
      </x:c>
      <x:c r="Y640" s="20" t="n">
        <x:v>1</x:v>
      </x:c>
      <x:c r="Z640" s="20" t="n">
        <x:v>1</x:v>
      </x:c>
      <x:c r="AA640" s="19"/>
      <x:c r="AB640" s="18"/>
      <x:c r="AC640" s="19"/>
    </x:row>
    <x:row r="641" ht="28" customHeight="1">
      <x:c r="A641" s="18" t="str">
        <x:v>国立競技場</x:v>
      </x:c>
      <x:c r="B641" s="18" t="str">
        <x:v>東京都</x:v>
      </x:c>
      <x:c r="C641" s="18" t="str">
        <x:v>metro</x:v>
      </x:c>
      <x:c r="D641" s="19" t="str">
        <x:v>T2</x:v>
      </x:c>
      <x:c r="E641" s="20" t="n">
        <x:v>13711</x:v>
      </x:c>
      <x:c r="F641" s="18" t="str">
        <x:v>persons/day</x:v>
      </x:c>
      <x:c r="G641" s="18" t="str">
        <x:v>FY2024</x:v>
      </x:c>
      <x:c r="H641" s="18" t="str">
        <x:v>否</x:v>
      </x:c>
      <x:c r="I641" s="19" t="str">
        <x:v>DAILY_ENTRIES_EXITS</x:v>
      </x:c>
      <x:c r="J641" s="19" t="str">
        <x:v>12号線大江戸線</x:v>
      </x:c>
      <x:c r="K641" s="18" t="str">
        <x:v>transport-node:a23d1994-6268-51a5-b4f5-715b3cb6741b</x:v>
      </x:c>
      <x:c r="L641" s="19" t="str">
        <x:v>组件待审核</x:v>
      </x:c>
      <x:c r="M641" s="21" t="n">
        <x:v>35.6798933</x:v>
      </x:c>
      <x:c r="N641" s="21" t="n">
        <x:v>139.71472</x:v>
      </x:c>
      <x:c r="O641" s="18" t="str">
        <x:v>003775</x:v>
      </x:c>
      <x:c r="P641" s="18" t="str">
        <x:v>12号線大江戸線</x:v>
      </x:c>
      <x:c r="Q641" s="19" t="str">
        <x:v>S12_061_GE_10000</x:v>
      </x:c>
      <x:c r="R641" s="19" t="str">
        <x:v>S12_061 usage threshold</x:v>
      </x:c>
      <x:c r="S641" s="19" t="str">
        <x:v>https://nlftp.mlit.go.jp/ksj/gml/datalist/KsjTmplt-S12-2024.html</x:v>
      </x:c>
      <x:c r="T641" s="19" t="str">
        <x:v>https://nlftp.mlit.go.jp/ksj/gml/datalist/KsjTmplt-S12-2024.html</x:v>
      </x:c>
      <x:c r="U641" s="19" t="str">
        <x:v>station-component|国立競技場|東京都|metro|35.6799|139.7147|</x:v>
      </x:c>
      <x:c r="V641" s="19" t="str">
        <x:v>003775 / 003775 / 12号線大江戸線</x:v>
      </x:c>
      <x:c r="W641" s="18" t="str">
        <x:v>否</x:v>
      </x:c>
      <x:c r="X641" s="18" t="str">
        <x:v>0785e932a32b3ec15e1a1345537ae145eafe1c07bf38d5c16c11ee2b391e7a28</x:v>
      </x:c>
      <x:c r="Y641" s="20" t="n">
        <x:v>1</x:v>
      </x:c>
      <x:c r="Z641" s="20" t="n">
        <x:v>1</x:v>
      </x:c>
      <x:c r="AA641" s="19"/>
      <x:c r="AB641" s="18"/>
      <x:c r="AC641" s="19"/>
    </x:row>
    <x:row r="642" ht="28" customHeight="1">
      <x:c r="A642" s="18" t="str">
        <x:v>国際センター</x:v>
      </x:c>
      <x:c r="B642" s="18" t="str">
        <x:v>名古屋市</x:v>
      </x:c>
      <x:c r="C642" s="18" t="str">
        <x:v>metro</x:v>
      </x:c>
      <x:c r="D642" s="19" t="str">
        <x:v>T2</x:v>
      </x:c>
      <x:c r="E642" s="20" t="n">
        <x:v>13768</x:v>
      </x:c>
      <x:c r="F642" s="18" t="str">
        <x:v>persons/day</x:v>
      </x:c>
      <x:c r="G642" s="18" t="str">
        <x:v>FY2024</x:v>
      </x:c>
      <x:c r="H642" s="18" t="str">
        <x:v>否</x:v>
      </x:c>
      <x:c r="I642" s="19" t="str">
        <x:v>DAILY_ENTRIES_EXITS</x:v>
      </x:c>
      <x:c r="J642" s="19" t="str">
        <x:v>6号線桜通線</x:v>
      </x:c>
      <x:c r="K642" s="18" t="str">
        <x:v>transport-node:8669a178-7518-5b83-825d-2672a42515f4</x:v>
      </x:c>
      <x:c r="L642" s="19" t="str">
        <x:v>组件待审核</x:v>
      </x:c>
      <x:c r="M642" s="21" t="n">
        <x:v>35.172055</x:v>
      </x:c>
      <x:c r="N642" s="21" t="n">
        <x:v>136.888975</x:v>
      </x:c>
      <x:c r="O642" s="18" t="str">
        <x:v>005441</x:v>
      </x:c>
      <x:c r="P642" s="18" t="str">
        <x:v>6号線桜通線</x:v>
      </x:c>
      <x:c r="Q642" s="19" t="str">
        <x:v>S12_061_GE_10000</x:v>
      </x:c>
      <x:c r="R642" s="19" t="str">
        <x:v>S12_061 usage threshold</x:v>
      </x:c>
      <x:c r="S642" s="19" t="str">
        <x:v>https://nlftp.mlit.go.jp/ksj/gml/datalist/KsjTmplt-S12-2024.html</x:v>
      </x:c>
      <x:c r="T642" s="19" t="str">
        <x:v>https://nlftp.mlit.go.jp/ksj/gml/datalist/KsjTmplt-S12-2024.html</x:v>
      </x:c>
      <x:c r="U642" s="19" t="str">
        <x:v>station-component|国際センター|名古屋市|metro|35.1721|136.8890|</x:v>
      </x:c>
      <x:c r="V642" s="19" t="str">
        <x:v>005441 / 005441 / 6号線桜通線</x:v>
      </x:c>
      <x:c r="W642" s="18" t="str">
        <x:v>否</x:v>
      </x:c>
      <x:c r="X642" s="18" t="str">
        <x:v>0785e932a32b3ec15e1a1345537ae145eafe1c07bf38d5c16c11ee2b391e7a28</x:v>
      </x:c>
      <x:c r="Y642" s="20" t="n">
        <x:v>1</x:v>
      </x:c>
      <x:c r="Z642" s="20" t="n">
        <x:v>1</x:v>
      </x:c>
      <x:c r="AA642" s="19"/>
      <x:c r="AB642" s="18"/>
      <x:c r="AC642" s="19"/>
    </x:row>
    <x:row r="643" ht="28" customHeight="1">
      <x:c r="A643" s="18" t="str">
        <x:v>国際会館</x:v>
      </x:c>
      <x:c r="B643" s="18" t="str">
        <x:v>京都市</x:v>
      </x:c>
      <x:c r="C643" s="18" t="str">
        <x:v>metro</x:v>
      </x:c>
      <x:c r="D643" s="19" t="str">
        <x:v>T2</x:v>
      </x:c>
      <x:c r="E643" s="20" t="n">
        <x:v>25863</x:v>
      </x:c>
      <x:c r="F643" s="18" t="str">
        <x:v>persons/day</x:v>
      </x:c>
      <x:c r="G643" s="18" t="str">
        <x:v>FY2024</x:v>
      </x:c>
      <x:c r="H643" s="18" t="str">
        <x:v>否</x:v>
      </x:c>
      <x:c r="I643" s="19" t="str">
        <x:v>DAILY_ENTRIES_EXITS</x:v>
      </x:c>
      <x:c r="J643" s="19" t="str">
        <x:v>烏丸線</x:v>
      </x:c>
      <x:c r="K643" s="18" t="str">
        <x:v>transport-node:fc18e4d0-cfca-5df0-8f72-d736508147ba</x:v>
      </x:c>
      <x:c r="L643" s="19" t="str">
        <x:v>组件待审核</x:v>
      </x:c>
      <x:c r="M643" s="21" t="n">
        <x:v>35.06289</x:v>
      </x:c>
      <x:c r="N643" s="21" t="n">
        <x:v>135.7850867</x:v>
      </x:c>
      <x:c r="O643" s="18" t="str">
        <x:v>005791</x:v>
      </x:c>
      <x:c r="P643" s="18" t="str">
        <x:v>烏丸線</x:v>
      </x:c>
      <x:c r="Q643" s="19" t="str">
        <x:v>S12_061_GE_10000</x:v>
      </x:c>
      <x:c r="R643" s="19" t="str">
        <x:v>S12_061 usage threshold</x:v>
      </x:c>
      <x:c r="S643" s="19" t="str">
        <x:v>https://nlftp.mlit.go.jp/ksj/gml/datalist/KsjTmplt-S12-2024.html</x:v>
      </x:c>
      <x:c r="T643" s="19" t="str">
        <x:v>https://nlftp.mlit.go.jp/ksj/gml/datalist/KsjTmplt-S12-2024.html</x:v>
      </x:c>
      <x:c r="U643" s="19" t="str">
        <x:v>station-component|国際会館|京都市|metro|35.0629|135.7851|</x:v>
      </x:c>
      <x:c r="V643" s="19" t="str">
        <x:v>005791 / 005791 / 烏丸線</x:v>
      </x:c>
      <x:c r="W643" s="18" t="str">
        <x:v>否</x:v>
      </x:c>
      <x:c r="X643" s="18" t="str">
        <x:v>0785e932a32b3ec15e1a1345537ae145eafe1c07bf38d5c16c11ee2b391e7a28</x:v>
      </x:c>
      <x:c r="Y643" s="20" t="n">
        <x:v>1</x:v>
      </x:c>
      <x:c r="Z643" s="20" t="n">
        <x:v>1</x:v>
      </x:c>
      <x:c r="AA643" s="19"/>
      <x:c r="AB643" s="18"/>
      <x:c r="AC643" s="19"/>
    </x:row>
    <x:row r="644" ht="28" customHeight="1">
      <x:c r="A644" s="18" t="str">
        <x:v>国際展示場</x:v>
      </x:c>
      <x:c r="B644" s="18" t="str">
        <x:v>東京臨海高速鉄道</x:v>
      </x:c>
      <x:c r="C644" s="18" t="str">
        <x:v>private_rail</x:v>
      </x:c>
      <x:c r="D644" s="19" t="str">
        <x:v>T1</x:v>
      </x:c>
      <x:c r="E644" s="20" t="n">
        <x:v>70461</x:v>
      </x:c>
      <x:c r="F644" s="18" t="str">
        <x:v>persons/day</x:v>
      </x:c>
      <x:c r="G644" s="18" t="str">
        <x:v>FY2024</x:v>
      </x:c>
      <x:c r="H644" s="18" t="str">
        <x:v>否</x:v>
      </x:c>
      <x:c r="I644" s="19" t="str">
        <x:v>DAILY_ENTRIES_EXITS</x:v>
      </x:c>
      <x:c r="J644" s="19" t="str">
        <x:v>臨海副都心線</x:v>
      </x:c>
      <x:c r="K644" s="18" t="str">
        <x:v>transport-node:308d1f22-653a-5549-8ed9-4424f6f14cf9</x:v>
      </x:c>
      <x:c r="L644" s="19" t="str">
        <x:v>组件待审核</x:v>
      </x:c>
      <x:c r="M644" s="21" t="n">
        <x:v>35.63441</x:v>
      </x:c>
      <x:c r="N644" s="21" t="n">
        <x:v>139.791695</x:v>
      </x:c>
      <x:c r="O644" s="18" t="str">
        <x:v>004065</x:v>
      </x:c>
      <x:c r="P644" s="18" t="str">
        <x:v>臨海副都心線</x:v>
      </x:c>
      <x:c r="Q644" s="19" t="str">
        <x:v>S12_061_GE_10000</x:v>
      </x:c>
      <x:c r="R644" s="19" t="str">
        <x:v>S12_061 usage threshold</x:v>
      </x:c>
      <x:c r="S644" s="19" t="str">
        <x:v>https://nlftp.mlit.go.jp/ksj/gml/datalist/KsjTmplt-S12-2024.html</x:v>
      </x:c>
      <x:c r="T644" s="19" t="str">
        <x:v>https://nlftp.mlit.go.jp/ksj/gml/datalist/KsjTmplt-S12-2024.html</x:v>
      </x:c>
      <x:c r="U644" s="19" t="str">
        <x:v>station-component|国際展示場|東京臨海高速鉄道|private_rail|35.6344|139.7917|</x:v>
      </x:c>
      <x:c r="V644" s="19" t="str">
        <x:v>004065 / 004065 / 臨海副都心線</x:v>
      </x:c>
      <x:c r="W644" s="18" t="str">
        <x:v>否</x:v>
      </x:c>
      <x:c r="X644" s="18" t="str">
        <x:v>0785e932a32b3ec15e1a1345537ae145eafe1c07bf38d5c16c11ee2b391e7a28</x:v>
      </x:c>
      <x:c r="Y644" s="20" t="n">
        <x:v>1</x:v>
      </x:c>
      <x:c r="Z644" s="20" t="n">
        <x:v>1</x:v>
      </x:c>
      <x:c r="AA644" s="19"/>
      <x:c r="AB644" s="18"/>
      <x:c r="AC644" s="19"/>
    </x:row>
    <x:row r="645" ht="28" customHeight="1">
      <x:c r="A645" s="18" t="str">
        <x:v>国領</x:v>
      </x:c>
      <x:c r="B645" s="18" t="str">
        <x:v>京王電鉄</x:v>
      </x:c>
      <x:c r="C645" s="18" t="str">
        <x:v>private_rail</x:v>
      </x:c>
      <x:c r="D645" s="19" t="str">
        <x:v>T2</x:v>
      </x:c>
      <x:c r="E645" s="20" t="n">
        <x:v>32992</x:v>
      </x:c>
      <x:c r="F645" s="18" t="str">
        <x:v>persons/day</x:v>
      </x:c>
      <x:c r="G645" s="18" t="str">
        <x:v>FY2024</x:v>
      </x:c>
      <x:c r="H645" s="18" t="str">
        <x:v>否</x:v>
      </x:c>
      <x:c r="I645" s="19" t="str">
        <x:v>DAILY_ENTRIES_EXITS</x:v>
      </x:c>
      <x:c r="J645" s="19" t="str">
        <x:v>京王線</x:v>
      </x:c>
      <x:c r="K645" s="18" t="str">
        <x:v>transport-node:1e278abe-38f7-5d38-8d3f-7c57898106f7</x:v>
      </x:c>
      <x:c r="L645" s="19" t="str">
        <x:v>组件待审核</x:v>
      </x:c>
      <x:c r="M645" s="21" t="n">
        <x:v>35.650185</x:v>
      </x:c>
      <x:c r="N645" s="21" t="n">
        <x:v>139.55843</x:v>
      </x:c>
      <x:c r="O645" s="18" t="str">
        <x:v>003973</x:v>
      </x:c>
      <x:c r="P645" s="18" t="str">
        <x:v>京王線</x:v>
      </x:c>
      <x:c r="Q645" s="19" t="str">
        <x:v>S12_061_GE_10000</x:v>
      </x:c>
      <x:c r="R645" s="19" t="str">
        <x:v>S12_061 usage threshold</x:v>
      </x:c>
      <x:c r="S645" s="19" t="str">
        <x:v>https://nlftp.mlit.go.jp/ksj/gml/datalist/KsjTmplt-S12-2024.html</x:v>
      </x:c>
      <x:c r="T645" s="19" t="str">
        <x:v>https://nlftp.mlit.go.jp/ksj/gml/datalist/KsjTmplt-S12-2024.html</x:v>
      </x:c>
      <x:c r="U645" s="19" t="str">
        <x:v>station-component|国領|京王電鉄|private_rail|35.6502|139.5584|</x:v>
      </x:c>
      <x:c r="V645" s="19" t="str">
        <x:v>003973 / 003973 / 京王線</x:v>
      </x:c>
      <x:c r="W645" s="18" t="str">
        <x:v>否</x:v>
      </x:c>
      <x:c r="X645" s="18" t="str">
        <x:v>0785e932a32b3ec15e1a1345537ae145eafe1c07bf38d5c16c11ee2b391e7a28</x:v>
      </x:c>
      <x:c r="Y645" s="20" t="n">
        <x:v>1</x:v>
      </x:c>
      <x:c r="Z645" s="20" t="n">
        <x:v>1</x:v>
      </x:c>
      <x:c r="AA645" s="19"/>
      <x:c r="AB645" s="18"/>
      <x:c r="AC645" s="19"/>
    </x:row>
    <x:row r="646" ht="28" customHeight="1">
      <x:c r="A646" s="18" t="str">
        <x:v>園田</x:v>
      </x:c>
      <x:c r="B646" s="18" t="str">
        <x:v>阪急電鉄</x:v>
      </x:c>
      <x:c r="C646" s="18" t="str">
        <x:v>private_rail</x:v>
      </x:c>
      <x:c r="D646" s="19" t="str">
        <x:v>T2</x:v>
      </x:c>
      <x:c r="E646" s="20" t="n">
        <x:v>28319</x:v>
      </x:c>
      <x:c r="F646" s="18" t="str">
        <x:v>persons/day</x:v>
      </x:c>
      <x:c r="G646" s="18" t="str">
        <x:v>FY2024</x:v>
      </x:c>
      <x:c r="H646" s="18" t="str">
        <x:v>否</x:v>
      </x:c>
      <x:c r="I646" s="19" t="str">
        <x:v>DAILY_ENTRIES_EXITS</x:v>
      </x:c>
      <x:c r="J646" s="19" t="str">
        <x:v>神戸線</x:v>
      </x:c>
      <x:c r="K646" s="18" t="str">
        <x:v>transport-node:8e0649a6-c760-54ae-87bf-b10c22adfa3a</x:v>
      </x:c>
      <x:c r="L646" s="19" t="str">
        <x:v>组件待审核</x:v>
      </x:c>
      <x:c r="M646" s="21" t="n">
        <x:v>34.751845</x:v>
      </x:c>
      <x:c r="N646" s="21" t="n">
        <x:v>135.44811</x:v>
      </x:c>
      <x:c r="O646" s="18" t="str">
        <x:v>006826</x:v>
      </x:c>
      <x:c r="P646" s="18" t="str">
        <x:v>神戸線</x:v>
      </x:c>
      <x:c r="Q646" s="19" t="str">
        <x:v>S12_061_GE_10000</x:v>
      </x:c>
      <x:c r="R646" s="19" t="str">
        <x:v>S12_061 usage threshold</x:v>
      </x:c>
      <x:c r="S646" s="19" t="str">
        <x:v>https://nlftp.mlit.go.jp/ksj/gml/datalist/KsjTmplt-S12-2024.html</x:v>
      </x:c>
      <x:c r="T646" s="19" t="str">
        <x:v>https://nlftp.mlit.go.jp/ksj/gml/datalist/KsjTmplt-S12-2024.html</x:v>
      </x:c>
      <x:c r="U646" s="19" t="str">
        <x:v>station-component|園田|阪急電鉄|private_rail|34.7518|135.4481|</x:v>
      </x:c>
      <x:c r="V646" s="19" t="str">
        <x:v>006826 / 006826 / 神戸線</x:v>
      </x:c>
      <x:c r="W646" s="18" t="str">
        <x:v>否</x:v>
      </x:c>
      <x:c r="X646" s="18" t="str">
        <x:v>0785e932a32b3ec15e1a1345537ae145eafe1c07bf38d5c16c11ee2b391e7a28</x:v>
      </x:c>
      <x:c r="Y646" s="20" t="n">
        <x:v>1</x:v>
      </x:c>
      <x:c r="Z646" s="20" t="n">
        <x:v>1</x:v>
      </x:c>
      <x:c r="AA646" s="19"/>
      <x:c r="AB646" s="18"/>
      <x:c r="AC646" s="19"/>
    </x:row>
    <x:row r="647" ht="28" customHeight="1">
      <x:c r="A647" s="18" t="str">
        <x:v>土呂</x:v>
      </x:c>
      <x:c r="B647" s="18" t="str">
        <x:v>東日本旅客鉄道</x:v>
      </x:c>
      <x:c r="C647" s="18" t="str">
        <x:v>conventional_rail</x:v>
      </x:c>
      <x:c r="D647" s="19" t="str">
        <x:v>T2</x:v>
      </x:c>
      <x:c r="E647" s="20" t="n">
        <x:v>30412</x:v>
      </x:c>
      <x:c r="F647" s="18" t="str">
        <x:v>persons/day</x:v>
      </x:c>
      <x:c r="G647" s="18" t="str">
        <x:v>FY2024</x:v>
      </x:c>
      <x:c r="H647" s="18" t="str">
        <x:v>否</x:v>
      </x:c>
      <x:c r="I647" s="19" t="str">
        <x:v>DAILY_ENTRIES_EXITS</x:v>
      </x:c>
      <x:c r="J647" s="19" t="str">
        <x:v>東北線</x:v>
      </x:c>
      <x:c r="K647" s="18" t="str">
        <x:v>transport-node:e5b12766-7f35-5b30-8951-6930bfefe45f</x:v>
      </x:c>
      <x:c r="L647" s="19" t="str">
        <x:v>组件待审核</x:v>
      </x:c>
      <x:c r="M647" s="21" t="n">
        <x:v>35.931915</x:v>
      </x:c>
      <x:c r="N647" s="21" t="n">
        <x:v>139.632195</x:v>
      </x:c>
      <x:c r="O647" s="18" t="str">
        <x:v>002859</x:v>
      </x:c>
      <x:c r="P647" s="18" t="str">
        <x:v>東北線</x:v>
      </x:c>
      <x:c r="Q647" s="19" t="str">
        <x:v>S12_061_GE_10000</x:v>
      </x:c>
      <x:c r="R647" s="19" t="str">
        <x:v>S12_061 usage threshold</x:v>
      </x:c>
      <x:c r="S647" s="19" t="str">
        <x:v>https://nlftp.mlit.go.jp/ksj/gml/datalist/KsjTmplt-S12-2024.html</x:v>
      </x:c>
      <x:c r="T647" s="19" t="str">
        <x:v>https://nlftp.mlit.go.jp/ksj/gml/datalist/KsjTmplt-S12-2024.html</x:v>
      </x:c>
      <x:c r="U647" s="19" t="str">
        <x:v>station-component|土呂|東日本旅客鉄道|conventional_rail|35.9319|139.6322|</x:v>
      </x:c>
      <x:c r="V647" s="19" t="str">
        <x:v>002859 / 002859 / 東北線</x:v>
      </x:c>
      <x:c r="W647" s="18" t="str">
        <x:v>否</x:v>
      </x:c>
      <x:c r="X647" s="18" t="str">
        <x:v>0785e932a32b3ec15e1a1345537ae145eafe1c07bf38d5c16c11ee2b391e7a28</x:v>
      </x:c>
      <x:c r="Y647" s="20" t="n">
        <x:v>1</x:v>
      </x:c>
      <x:c r="Z647" s="20" t="n">
        <x:v>1</x:v>
      </x:c>
      <x:c r="AA647" s="19"/>
      <x:c r="AB647" s="18"/>
      <x:c r="AC647" s="19"/>
    </x:row>
    <x:row r="648" ht="28" customHeight="1">
      <x:c r="A648" s="18" t="str">
        <x:v>土山</x:v>
      </x:c>
      <x:c r="B648" s="18" t="str">
        <x:v>西日本旅客鉄道</x:v>
      </x:c>
      <x:c r="C648" s="18" t="str">
        <x:v>conventional_rail</x:v>
      </x:c>
      <x:c r="D648" s="19" t="str">
        <x:v>T2</x:v>
      </x:c>
      <x:c r="E648" s="20" t="n">
        <x:v>25336</x:v>
      </x:c>
      <x:c r="F648" s="18" t="str">
        <x:v>persons/day</x:v>
      </x:c>
      <x:c r="G648" s="18" t="str">
        <x:v>FY2024</x:v>
      </x:c>
      <x:c r="H648" s="18" t="str">
        <x:v>否</x:v>
      </x:c>
      <x:c r="I648" s="19" t="str">
        <x:v>DAILY_ENTRIES_EXITS</x:v>
      </x:c>
      <x:c r="J648" s="19" t="str">
        <x:v>山陽線</x:v>
      </x:c>
      <x:c r="K648" s="18" t="str">
        <x:v>transport-node:6760f59d-6e59-5456-ba89-b4906690e0c3</x:v>
      </x:c>
      <x:c r="L648" s="19" t="str">
        <x:v>组件待审核</x:v>
      </x:c>
      <x:c r="M648" s="21" t="n">
        <x:v>34.7203167</x:v>
      </x:c>
      <x:c r="N648" s="21" t="n">
        <x:v>134.8890233</x:v>
      </x:c>
      <x:c r="O648" s="18" t="str">
        <x:v>006969</x:v>
      </x:c>
      <x:c r="P648" s="18" t="str">
        <x:v>山陽線</x:v>
      </x:c>
      <x:c r="Q648" s="19" t="str">
        <x:v>S12_061_GE_10000</x:v>
      </x:c>
      <x:c r="R648" s="19" t="str">
        <x:v>S12_061 usage threshold</x:v>
      </x:c>
      <x:c r="S648" s="19" t="str">
        <x:v>https://nlftp.mlit.go.jp/ksj/gml/datalist/KsjTmplt-S12-2024.html</x:v>
      </x:c>
      <x:c r="T648" s="19" t="str">
        <x:v>https://nlftp.mlit.go.jp/ksj/gml/datalist/KsjTmplt-S12-2024.html</x:v>
      </x:c>
      <x:c r="U648" s="19" t="str">
        <x:v>station-component|土山|西日本旅客鉄道|conventional_rail|34.7203|134.8890|</x:v>
      </x:c>
      <x:c r="V648" s="19" t="str">
        <x:v>006969 / 006969 / 山陽線</x:v>
      </x:c>
      <x:c r="W648" s="18" t="str">
        <x:v>否</x:v>
      </x:c>
      <x:c r="X648" s="18" t="str">
        <x:v>0785e932a32b3ec15e1a1345537ae145eafe1c07bf38d5c16c11ee2b391e7a28</x:v>
      </x:c>
      <x:c r="Y648" s="20" t="n">
        <x:v>1</x:v>
      </x:c>
      <x:c r="Z648" s="20" t="n">
        <x:v>1</x:v>
      </x:c>
      <x:c r="AA648" s="19"/>
      <x:c r="AB648" s="18"/>
      <x:c r="AC648" s="19"/>
    </x:row>
    <x:row r="649" ht="28" customHeight="1">
      <x:c r="A649" s="18" t="str">
        <x:v>土気</x:v>
      </x:c>
      <x:c r="B649" s="18" t="str">
        <x:v>東日本旅客鉄道</x:v>
      </x:c>
      <x:c r="C649" s="18" t="str">
        <x:v>conventional_rail</x:v>
      </x:c>
      <x:c r="D649" s="19" t="str">
        <x:v>T2</x:v>
      </x:c>
      <x:c r="E649" s="20" t="n">
        <x:v>22160</x:v>
      </x:c>
      <x:c r="F649" s="18" t="str">
        <x:v>persons/day</x:v>
      </x:c>
      <x:c r="G649" s="18" t="str">
        <x:v>FY2024</x:v>
      </x:c>
      <x:c r="H649" s="18" t="str">
        <x:v>否</x:v>
      </x:c>
      <x:c r="I649" s="19" t="str">
        <x:v>DAILY_ENTRIES_EXITS</x:v>
      </x:c>
      <x:c r="J649" s="19" t="str">
        <x:v>外房線</x:v>
      </x:c>
      <x:c r="K649" s="18" t="str">
        <x:v>transport-node:e28d9af6-08b6-5386-a7a6-000c19930b88</x:v>
      </x:c>
      <x:c r="L649" s="19" t="str">
        <x:v>组件待审核</x:v>
      </x:c>
      <x:c r="M649" s="21" t="n">
        <x:v>35.5309025</x:v>
      </x:c>
      <x:c r="N649" s="21" t="n">
        <x:v>140.26982</x:v>
      </x:c>
      <x:c r="O649" s="18" t="str">
        <x:v>004436</x:v>
      </x:c>
      <x:c r="P649" s="18" t="str">
        <x:v>外房線</x:v>
      </x:c>
      <x:c r="Q649" s="19" t="str">
        <x:v>S12_061_GE_10000</x:v>
      </x:c>
      <x:c r="R649" s="19" t="str">
        <x:v>S12_061 usage threshold</x:v>
      </x:c>
      <x:c r="S649" s="19" t="str">
        <x:v>https://nlftp.mlit.go.jp/ksj/gml/datalist/KsjTmplt-S12-2024.html</x:v>
      </x:c>
      <x:c r="T649" s="19" t="str">
        <x:v>https://nlftp.mlit.go.jp/ksj/gml/datalist/KsjTmplt-S12-2024.html</x:v>
      </x:c>
      <x:c r="U649" s="19" t="str">
        <x:v>station-component|土気|東日本旅客鉄道|conventional_rail|35.5309|140.2698|</x:v>
      </x:c>
      <x:c r="V649" s="19" t="str">
        <x:v>004436 / 004436 / 外房線</x:v>
      </x:c>
      <x:c r="W649" s="18" t="str">
        <x:v>否</x:v>
      </x:c>
      <x:c r="X649" s="18" t="str">
        <x:v>0785e932a32b3ec15e1a1345537ae145eafe1c07bf38d5c16c11ee2b391e7a28</x:v>
      </x:c>
      <x:c r="Y649" s="20" t="n">
        <x:v>1</x:v>
      </x:c>
      <x:c r="Z649" s="20" t="n">
        <x:v>1</x:v>
      </x:c>
      <x:c r="AA649" s="19"/>
      <x:c r="AB649" s="18"/>
      <x:c r="AC649" s="19"/>
    </x:row>
    <x:row r="650" ht="28" customHeight="1">
      <x:c r="A650" s="18" t="str">
        <x:v>土浦</x:v>
      </x:c>
      <x:c r="B650" s="18" t="str">
        <x:v>東日本旅客鉄道</x:v>
      </x:c>
      <x:c r="C650" s="18" t="str">
        <x:v>conventional_rail</x:v>
      </x:c>
      <x:c r="D650" s="19" t="str">
        <x:v>T2</x:v>
      </x:c>
      <x:c r="E650" s="20" t="n">
        <x:v>28752</x:v>
      </x:c>
      <x:c r="F650" s="18" t="str">
        <x:v>persons/day</x:v>
      </x:c>
      <x:c r="G650" s="18" t="str">
        <x:v>FY2024</x:v>
      </x:c>
      <x:c r="H650" s="18" t="str">
        <x:v>否</x:v>
      </x:c>
      <x:c r="I650" s="19" t="str">
        <x:v>DAILY_ENTRIES_EXITS</x:v>
      </x:c>
      <x:c r="J650" s="19" t="str">
        <x:v>常磐線</x:v>
      </x:c>
      <x:c r="K650" s="18" t="str">
        <x:v>transport-node:8fc07c25-b6a1-530d-b5ad-eb4de811cb8e</x:v>
      </x:c>
      <x:c r="L650" s="19" t="str">
        <x:v>组件待审核</x:v>
      </x:c>
      <x:c r="M650" s="21" t="n">
        <x:v>36.078595</x:v>
      </x:c>
      <x:c r="N650" s="21" t="n">
        <x:v>140.20624</x:v>
      </x:c>
      <x:c r="O650" s="18" t="str">
        <x:v>002660</x:v>
      </x:c>
      <x:c r="P650" s="18" t="str">
        <x:v>常磐線</x:v>
      </x:c>
      <x:c r="Q650" s="19" t="str">
        <x:v>S12_061_GE_10000</x:v>
      </x:c>
      <x:c r="R650" s="19" t="str">
        <x:v>S12_061 usage threshold</x:v>
      </x:c>
      <x:c r="S650" s="19" t="str">
        <x:v>https://nlftp.mlit.go.jp/ksj/gml/datalist/KsjTmplt-S12-2024.html</x:v>
      </x:c>
      <x:c r="T650" s="19" t="str">
        <x:v>https://nlftp.mlit.go.jp/ksj/gml/datalist/KsjTmplt-S12-2024.html</x:v>
      </x:c>
      <x:c r="U650" s="19" t="str">
        <x:v>station-component|土浦|東日本旅客鉄道|conventional_rail|36.0786|140.2062|</x:v>
      </x:c>
      <x:c r="V650" s="19" t="str">
        <x:v>002660 / 002660 / 常磐線</x:v>
      </x:c>
      <x:c r="W650" s="18" t="str">
        <x:v>否</x:v>
      </x:c>
      <x:c r="X650" s="18" t="str">
        <x:v>0785e932a32b3ec15e1a1345537ae145eafe1c07bf38d5c16c11ee2b391e7a28</x:v>
      </x:c>
      <x:c r="Y650" s="20" t="n">
        <x:v>1</x:v>
      </x:c>
      <x:c r="Z650" s="20" t="n">
        <x:v>1</x:v>
      </x:c>
      <x:c r="AA650" s="19"/>
      <x:c r="AB650" s="18"/>
      <x:c r="AC650" s="19"/>
    </x:row>
    <x:row r="651" ht="28" customHeight="1">
      <x:c r="A651" s="18" t="str">
        <x:v>地下鉄成増</x:v>
      </x:c>
      <x:c r="B651" s="18" t="str">
        <x:v>東京地下鉄</x:v>
      </x:c>
      <x:c r="C651" s="18" t="str">
        <x:v>metro</x:v>
      </x:c>
      <x:c r="D651" s="19" t="str">
        <x:v>T1</x:v>
      </x:c>
      <x:c r="E651" s="20" t="n">
        <x:v>50698</x:v>
      </x:c>
      <x:c r="F651" s="18" t="str">
        <x:v>persons/day</x:v>
      </x:c>
      <x:c r="G651" s="18" t="str">
        <x:v>FY2024</x:v>
      </x:c>
      <x:c r="H651" s="18" t="str">
        <x:v>否</x:v>
      </x:c>
      <x:c r="I651" s="19" t="str">
        <x:v>DAILY_ENTRIES_EXITS</x:v>
      </x:c>
      <x:c r="J651" s="19" t="str">
        <x:v>8号線有楽町線</x:v>
      </x:c>
      <x:c r="K651" s="18" t="str">
        <x:v>transport-node:f12cdaa4-0426-586b-9cfd-e784f1c0a5d0</x:v>
      </x:c>
      <x:c r="L651" s="19" t="str">
        <x:v>组件待审核</x:v>
      </x:c>
      <x:c r="M651" s="21" t="n">
        <x:v>35.77674</x:v>
      </x:c>
      <x:c r="N651" s="21" t="n">
        <x:v>139.63117</x:v>
      </x:c>
      <x:c r="O651" s="18" t="str">
        <x:v>003163</x:v>
      </x:c>
      <x:c r="P651" s="18" t="str">
        <x:v>8号線有楽町線</x:v>
      </x:c>
      <x:c r="Q651" s="19" t="str">
        <x:v>S12_061_GE_10000</x:v>
      </x:c>
      <x:c r="R651" s="19" t="str">
        <x:v>S12_061 usage threshold</x:v>
      </x:c>
      <x:c r="S651" s="19" t="str">
        <x:v>https://nlftp.mlit.go.jp/ksj/gml/datalist/KsjTmplt-S12-2024.html</x:v>
      </x:c>
      <x:c r="T651" s="19" t="str">
        <x:v>https://nlftp.mlit.go.jp/ksj/gml/datalist/KsjTmplt-S12-2024.html</x:v>
      </x:c>
      <x:c r="U651" s="19" t="str">
        <x:v>station-component|地下鉄成増|東京地下鉄|metro|35.7767|139.6312|</x:v>
      </x:c>
      <x:c r="V651" s="19" t="str">
        <x:v>003163 / 003163 / 8号線有楽町線</x:v>
      </x:c>
      <x:c r="W651" s="18" t="str">
        <x:v>否</x:v>
      </x:c>
      <x:c r="X651" s="18" t="str">
        <x:v>0785e932a32b3ec15e1a1345537ae145eafe1c07bf38d5c16c11ee2b391e7a28</x:v>
      </x:c>
      <x:c r="Y651" s="20" t="n">
        <x:v>1</x:v>
      </x:c>
      <x:c r="Z651" s="20" t="n">
        <x:v>1</x:v>
      </x:c>
      <x:c r="AA651" s="19"/>
      <x:c r="AB651" s="18"/>
      <x:c r="AC651" s="19"/>
    </x:row>
    <x:row r="652" ht="28" customHeight="1">
      <x:c r="A652" s="18" t="str">
        <x:v>地下鉄赤塚</x:v>
      </x:c>
      <x:c r="B652" s="18" t="str">
        <x:v>東京地下鉄</x:v>
      </x:c>
      <x:c r="C652" s="18" t="str">
        <x:v>metro</x:v>
      </x:c>
      <x:c r="D652" s="19" t="str">
        <x:v>T2</x:v>
      </x:c>
      <x:c r="E652" s="20" t="n">
        <x:v>40077</x:v>
      </x:c>
      <x:c r="F652" s="18" t="str">
        <x:v>persons/day</x:v>
      </x:c>
      <x:c r="G652" s="18" t="str">
        <x:v>FY2024</x:v>
      </x:c>
      <x:c r="H652" s="18" t="str">
        <x:v>否</x:v>
      </x:c>
      <x:c r="I652" s="19" t="str">
        <x:v>DAILY_ENTRIES_EXITS</x:v>
      </x:c>
      <x:c r="J652" s="19" t="str">
        <x:v>8号線有楽町線</x:v>
      </x:c>
      <x:c r="K652" s="18" t="str">
        <x:v>transport-node:147bafaa-f49c-5d5c-84a9-30265edec684</x:v>
      </x:c>
      <x:c r="L652" s="19" t="str">
        <x:v>组件待审核</x:v>
      </x:c>
      <x:c r="M652" s="21" t="n">
        <x:v>35.7702167</x:v>
      </x:c>
      <x:c r="N652" s="21" t="n">
        <x:v>139.6435967</x:v>
      </x:c>
      <x:c r="O652" s="18" t="str">
        <x:v>003186</x:v>
      </x:c>
      <x:c r="P652" s="18" t="str">
        <x:v>8号線有楽町線</x:v>
      </x:c>
      <x:c r="Q652" s="19" t="str">
        <x:v>S12_061_GE_10000</x:v>
      </x:c>
      <x:c r="R652" s="19" t="str">
        <x:v>S12_061 usage threshold</x:v>
      </x:c>
      <x:c r="S652" s="19" t="str">
        <x:v>https://nlftp.mlit.go.jp/ksj/gml/datalist/KsjTmplt-S12-2024.html</x:v>
      </x:c>
      <x:c r="T652" s="19" t="str">
        <x:v>https://nlftp.mlit.go.jp/ksj/gml/datalist/KsjTmplt-S12-2024.html</x:v>
      </x:c>
      <x:c r="U652" s="19" t="str">
        <x:v>station-component|地下鉄赤塚|東京地下鉄|metro|35.7702|139.6436|</x:v>
      </x:c>
      <x:c r="V652" s="19" t="str">
        <x:v>003186 / 003186 / 8号線有楽町線</x:v>
      </x:c>
      <x:c r="W652" s="18" t="str">
        <x:v>否</x:v>
      </x:c>
      <x:c r="X652" s="18" t="str">
        <x:v>0785e932a32b3ec15e1a1345537ae145eafe1c07bf38d5c16c11ee2b391e7a28</x:v>
      </x:c>
      <x:c r="Y652" s="20" t="n">
        <x:v>1</x:v>
      </x:c>
      <x:c r="Z652" s="20" t="n">
        <x:v>1</x:v>
      </x:c>
      <x:c r="AA652" s="19"/>
      <x:c r="AB652" s="18"/>
      <x:c r="AC652" s="19"/>
    </x:row>
    <x:row r="653" ht="33" customHeight="1">
      <x:c r="A653" s="18" t="str">
        <x:v>坂戸</x:v>
      </x:c>
      <x:c r="B653" s="18" t="str">
        <x:v>東武鉄道</x:v>
      </x:c>
      <x:c r="C653" s="18" t="str">
        <x:v>private_rail</x:v>
      </x:c>
      <x:c r="D653" s="19" t="str">
        <x:v>T2</x:v>
      </x:c>
      <x:c r="E653" s="20" t="n">
        <x:v>28330</x:v>
      </x:c>
      <x:c r="F653" s="18" t="str">
        <x:v>persons/day</x:v>
      </x:c>
      <x:c r="G653" s="18" t="str">
        <x:v>FY2024</x:v>
      </x:c>
      <x:c r="H653" s="18" t="str">
        <x:v>否</x:v>
      </x:c>
      <x:c r="I653" s="19" t="str">
        <x:v>DAILY_ENTRIES_EXITS</x:v>
      </x:c>
      <x:c r="J653" s="19" t="str">
        <x:v>東上本線
越生線</x:v>
      </x:c>
      <x:c r="K653" s="18" t="str">
        <x:v>transport-node:a4076268-5b4f-5688-8eb3-223b4621543e</x:v>
      </x:c>
      <x:c r="L653" s="19" t="str">
        <x:v>组件待审核</x:v>
      </x:c>
      <x:c r="M653" s="21" t="n">
        <x:v>35.95724</x:v>
      </x:c>
      <x:c r="N653" s="21" t="n">
        <x:v>139.3939067</x:v>
      </x:c>
      <x:c r="O653" s="18" t="str">
        <x:v>002822</x:v>
      </x:c>
      <x:c r="P653" s="18" t="str">
        <x:v>東上本線</x:v>
      </x:c>
      <x:c r="Q653" s="19" t="str">
        <x:v>S12_061_GE_10000</x:v>
      </x:c>
      <x:c r="R653" s="19" t="str">
        <x:v>S12_061 usage threshold</x:v>
      </x:c>
      <x:c r="S653" s="19" t="str">
        <x:v>https://nlftp.mlit.go.jp/ksj/gml/datalist/KsjTmplt-S12-2024.html</x:v>
      </x:c>
      <x:c r="T653" s="19" t="str">
        <x:v>https://nlftp.mlit.go.jp/ksj/gml/datalist/KsjTmplt-S12-2024.html</x:v>
      </x:c>
      <x:c r="U653" s="19" t="str">
        <x:v>station-component|坂戸|東武鉄道|private_rail|35.9572|139.3939|</x:v>
      </x:c>
      <x:c r="V653" s="19" t="str">
        <x:v>002822 / 002822 / 東上本線
002822 / 002823 / 越生線</x:v>
      </x:c>
      <x:c r="W653" s="18" t="str">
        <x:v>否</x:v>
      </x:c>
      <x:c r="X653" s="18" t="str">
        <x:v>0785e932a32b3ec15e1a1345537ae145eafe1c07bf38d5c16c11ee2b391e7a28</x:v>
      </x:c>
      <x:c r="Y653" s="20" t="n">
        <x:v>1</x:v>
      </x:c>
      <x:c r="Z653" s="20" t="n">
        <x:v>1</x:v>
      </x:c>
      <x:c r="AA653" s="19"/>
      <x:c r="AB653" s="18"/>
      <x:c r="AC653" s="19"/>
    </x:row>
    <x:row r="654" ht="28" customHeight="1">
      <x:c r="A654" s="18" t="str">
        <x:v>垂水</x:v>
      </x:c>
      <x:c r="B654" s="18" t="str">
        <x:v>西日本旅客鉄道</x:v>
      </x:c>
      <x:c r="C654" s="18" t="str">
        <x:v>conventional_rail</x:v>
      </x:c>
      <x:c r="D654" s="19" t="str">
        <x:v>T1</x:v>
      </x:c>
      <x:c r="E654" s="20" t="n">
        <x:v>56556</x:v>
      </x:c>
      <x:c r="F654" s="18" t="str">
        <x:v>persons/day</x:v>
      </x:c>
      <x:c r="G654" s="18" t="str">
        <x:v>FY2024</x:v>
      </x:c>
      <x:c r="H654" s="18" t="str">
        <x:v>否</x:v>
      </x:c>
      <x:c r="I654" s="19" t="str">
        <x:v>DAILY_ENTRIES_EXITS</x:v>
      </x:c>
      <x:c r="J654" s="19" t="str">
        <x:v>山陽線</x:v>
      </x:c>
      <x:c r="K654" s="18" t="str">
        <x:v>transport-node:4e210535-4240-5ba7-9526-74bc26ee6b4f</x:v>
      </x:c>
      <x:c r="L654" s="19" t="str">
        <x:v>组件待审核</x:v>
      </x:c>
      <x:c r="M654" s="21" t="n">
        <x:v>34.62909</x:v>
      </x:c>
      <x:c r="N654" s="21" t="n">
        <x:v>135.053855</x:v>
      </x:c>
      <x:c r="O654" s="18" t="str">
        <x:v>007516</x:v>
      </x:c>
      <x:c r="P654" s="18" t="str">
        <x:v>山陽線</x:v>
      </x:c>
      <x:c r="Q654" s="19" t="str">
        <x:v>S12_061_GE_10000</x:v>
      </x:c>
      <x:c r="R654" s="19" t="str">
        <x:v>S12_061 usage threshold</x:v>
      </x:c>
      <x:c r="S654" s="19" t="str">
        <x:v>https://nlftp.mlit.go.jp/ksj/gml/datalist/KsjTmplt-S12-2024.html</x:v>
      </x:c>
      <x:c r="T654" s="19" t="str">
        <x:v>https://nlftp.mlit.go.jp/ksj/gml/datalist/KsjTmplt-S12-2024.html</x:v>
      </x:c>
      <x:c r="U654" s="19" t="str">
        <x:v>station-component|垂水|西日本旅客鉄道|conventional_rail|34.6291|135.0539|</x:v>
      </x:c>
      <x:c r="V654" s="19" t="str">
        <x:v>007516 / 007516 / 山陽線</x:v>
      </x:c>
      <x:c r="W654" s="18" t="str">
        <x:v>否</x:v>
      </x:c>
      <x:c r="X654" s="18" t="str">
        <x:v>0785e932a32b3ec15e1a1345537ae145eafe1c07bf38d5c16c11ee2b391e7a28</x:v>
      </x:c>
      <x:c r="Y654" s="20" t="n">
        <x:v>1</x:v>
      </x:c>
      <x:c r="Z654" s="20" t="n">
        <x:v>1</x:v>
      </x:c>
      <x:c r="AA654" s="19"/>
      <x:c r="AB654" s="18"/>
      <x:c r="AC654" s="19"/>
    </x:row>
    <x:row r="655" ht="28" customHeight="1">
      <x:c r="A655" s="18" t="str">
        <x:v>城北公園通</x:v>
      </x:c>
      <x:c r="B655" s="18" t="str">
        <x:v>西日本旅客鉄道</x:v>
      </x:c>
      <x:c r="C655" s="18" t="str">
        <x:v>conventional_rail</x:v>
      </x:c>
      <x:c r="D655" s="19" t="str">
        <x:v>T2</x:v>
      </x:c>
      <x:c r="E655" s="20" t="n">
        <x:v>14338</x:v>
      </x:c>
      <x:c r="F655" s="18" t="str">
        <x:v>persons/day</x:v>
      </x:c>
      <x:c r="G655" s="18" t="str">
        <x:v>FY2024</x:v>
      </x:c>
      <x:c r="H655" s="18" t="str">
        <x:v>否</x:v>
      </x:c>
      <x:c r="I655" s="19" t="str">
        <x:v>DAILY_ENTRIES_EXITS</x:v>
      </x:c>
      <x:c r="J655" s="19" t="str">
        <x:v>おおさか東線</x:v>
      </x:c>
      <x:c r="K655" s="18" t="str">
        <x:v>transport-node:f23d3516-e15a-5e6e-a7f1-bfc9f0efad09</x:v>
      </x:c>
      <x:c r="L655" s="19" t="str">
        <x:v>组件待审核</x:v>
      </x:c>
      <x:c r="M655" s="21" t="n">
        <x:v>34.7237023</x:v>
      </x:c>
      <x:c r="N655" s="21" t="n">
        <x:v>135.5306005</x:v>
      </x:c>
      <x:c r="O655" s="18" t="str">
        <x:v>006956</x:v>
      </x:c>
      <x:c r="P655" s="18" t="str">
        <x:v>おおさか東線</x:v>
      </x:c>
      <x:c r="Q655" s="19" t="str">
        <x:v>S12_061_GE_10000</x:v>
      </x:c>
      <x:c r="R655" s="19" t="str">
        <x:v>S12_061 usage threshold</x:v>
      </x:c>
      <x:c r="S655" s="19" t="str">
        <x:v>https://nlftp.mlit.go.jp/ksj/gml/datalist/KsjTmplt-S12-2024.html</x:v>
      </x:c>
      <x:c r="T655" s="19" t="str">
        <x:v>https://nlftp.mlit.go.jp/ksj/gml/datalist/KsjTmplt-S12-2024.html</x:v>
      </x:c>
      <x:c r="U655" s="19" t="str">
        <x:v>station-component|城北公園通|西日本旅客鉄道|conventional_rail|34.7237|135.5306|</x:v>
      </x:c>
      <x:c r="V655" s="19" t="str">
        <x:v>006956 / 006956 / おおさか東線</x:v>
      </x:c>
      <x:c r="W655" s="18" t="str">
        <x:v>否</x:v>
      </x:c>
      <x:c r="X655" s="18" t="str">
        <x:v>0785e932a32b3ec15e1a1345537ae145eafe1c07bf38d5c16c11ee2b391e7a28</x:v>
      </x:c>
      <x:c r="Y655" s="20" t="n">
        <x:v>1</x:v>
      </x:c>
      <x:c r="Z655" s="20" t="n">
        <x:v>1</x:v>
      </x:c>
      <x:c r="AA655" s="19"/>
      <x:c r="AB655" s="18"/>
      <x:c r="AC655" s="19"/>
    </x:row>
    <x:row r="656" ht="33" customHeight="1">
      <x:c r="A656" s="18" t="str">
        <x:v>堀ノ内</x:v>
      </x:c>
      <x:c r="B656" s="18" t="str">
        <x:v>京浜急行電鉄</x:v>
      </x:c>
      <x:c r="C656" s="18" t="str">
        <x:v>private_rail</x:v>
      </x:c>
      <x:c r="D656" s="19" t="str">
        <x:v>T2</x:v>
      </x:c>
      <x:c r="E656" s="20" t="n">
        <x:v>11365</x:v>
      </x:c>
      <x:c r="F656" s="18" t="str">
        <x:v>persons/day</x:v>
      </x:c>
      <x:c r="G656" s="18" t="str">
        <x:v>FY2024</x:v>
      </x:c>
      <x:c r="H656" s="18" t="str">
        <x:v>否</x:v>
      </x:c>
      <x:c r="I656" s="19" t="str">
        <x:v>DAILY_ENTRIES_EXITS</x:v>
      </x:c>
      <x:c r="J656" s="19" t="str">
        <x:v>久里浜線
本線</x:v>
      </x:c>
      <x:c r="K656" s="18" t="str">
        <x:v>transport-node:357dd442-3e75-5311-adc0-63e4d81611f2</x:v>
      </x:c>
      <x:c r="L656" s="19" t="str">
        <x:v>组件待审核</x:v>
      </x:c>
      <x:c r="M656" s="21" t="n">
        <x:v>35.26315</x:v>
      </x:c>
      <x:c r="N656" s="21" t="n">
        <x:v>139.687035</x:v>
      </x:c>
      <x:c r="O656" s="18" t="str">
        <x:v>005200</x:v>
      </x:c>
      <x:c r="P656" s="18" t="str">
        <x:v>本線</x:v>
      </x:c>
      <x:c r="Q656" s="19" t="str">
        <x:v>S12_061_GE_10000</x:v>
      </x:c>
      <x:c r="R656" s="19" t="str">
        <x:v>S12_061 usage threshold</x:v>
      </x:c>
      <x:c r="S656" s="19" t="str">
        <x:v>https://nlftp.mlit.go.jp/ksj/gml/datalist/KsjTmplt-S12-2024.html</x:v>
      </x:c>
      <x:c r="T656" s="19" t="str">
        <x:v>https://nlftp.mlit.go.jp/ksj/gml/datalist/KsjTmplt-S12-2024.html</x:v>
      </x:c>
      <x:c r="U656" s="19" t="str">
        <x:v>station-component|堀ノ内|京浜急行電鉄|private_rail|35.2632|139.6870|</x:v>
      </x:c>
      <x:c r="V656" s="19" t="str">
        <x:v>005199 / 005199 / 久里浜線
005199 / 005200 / 本線</x:v>
      </x:c>
      <x:c r="W656" s="18" t="str">
        <x:v>否</x:v>
      </x:c>
      <x:c r="X656" s="18" t="str">
        <x:v>0785e932a32b3ec15e1a1345537ae145eafe1c07bf38d5c16c11ee2b391e7a28</x:v>
      </x:c>
      <x:c r="Y656" s="20" t="n">
        <x:v>1</x:v>
      </x:c>
      <x:c r="Z656" s="20" t="n">
        <x:v>1</x:v>
      </x:c>
      <x:c r="AA656" s="19"/>
      <x:c r="AB656" s="18"/>
      <x:c r="AC656" s="19"/>
    </x:row>
    <x:row r="657" ht="28" customHeight="1">
      <x:c r="A657" s="18" t="str">
        <x:v>堀切菖蒲園</x:v>
      </x:c>
      <x:c r="B657" s="18" t="str">
        <x:v>京成電鉄</x:v>
      </x:c>
      <x:c r="C657" s="18" t="str">
        <x:v>private_rail</x:v>
      </x:c>
      <x:c r="D657" s="19" t="str">
        <x:v>T2</x:v>
      </x:c>
      <x:c r="E657" s="20" t="n">
        <x:v>22096</x:v>
      </x:c>
      <x:c r="F657" s="18" t="str">
        <x:v>persons/day</x:v>
      </x:c>
      <x:c r="G657" s="18" t="str">
        <x:v>FY2024</x:v>
      </x:c>
      <x:c r="H657" s="18" t="str">
        <x:v>否</x:v>
      </x:c>
      <x:c r="I657" s="19" t="str">
        <x:v>DAILY_ENTRIES_EXITS</x:v>
      </x:c>
      <x:c r="J657" s="19" t="str">
        <x:v>本線</x:v>
      </x:c>
      <x:c r="K657" s="18" t="str">
        <x:v>transport-node:ef55bd47-37ac-5176-91f4-fd6140bdceab</x:v>
      </x:c>
      <x:c r="L657" s="19" t="str">
        <x:v>组件待审核</x:v>
      </x:c>
      <x:c r="M657" s="21" t="n">
        <x:v>35.74765</x:v>
      </x:c>
      <x:c r="N657" s="21" t="n">
        <x:v>139.82754</x:v>
      </x:c>
      <x:c r="O657" s="18" t="str">
        <x:v>003273</x:v>
      </x:c>
      <x:c r="P657" s="18" t="str">
        <x:v>本線</x:v>
      </x:c>
      <x:c r="Q657" s="19" t="str">
        <x:v>S12_061_GE_10000</x:v>
      </x:c>
      <x:c r="R657" s="19" t="str">
        <x:v>S12_061 usage threshold</x:v>
      </x:c>
      <x:c r="S657" s="19" t="str">
        <x:v>https://nlftp.mlit.go.jp/ksj/gml/datalist/KsjTmplt-S12-2024.html</x:v>
      </x:c>
      <x:c r="T657" s="19" t="str">
        <x:v>https://nlftp.mlit.go.jp/ksj/gml/datalist/KsjTmplt-S12-2024.html</x:v>
      </x:c>
      <x:c r="U657" s="19" t="str">
        <x:v>station-component|堀切菖蒲園|京成電鉄|private_rail|35.7477|139.8275|</x:v>
      </x:c>
      <x:c r="V657" s="19" t="str">
        <x:v>003273 / 003273 / 本線</x:v>
      </x:c>
      <x:c r="W657" s="18" t="str">
        <x:v>否</x:v>
      </x:c>
      <x:c r="X657" s="18" t="str">
        <x:v>0785e932a32b3ec15e1a1345537ae145eafe1c07bf38d5c16c11ee2b391e7a28</x:v>
      </x:c>
      <x:c r="Y657" s="20" t="n">
        <x:v>1</x:v>
      </x:c>
      <x:c r="Z657" s="20" t="n">
        <x:v>1</x:v>
      </x:c>
      <x:c r="AA657" s="19"/>
      <x:c r="AB657" s="18"/>
      <x:c r="AC657" s="19"/>
    </x:row>
    <x:row r="658" ht="28" customHeight="1">
      <x:c r="A658" s="18" t="str">
        <x:v>堀田</x:v>
      </x:c>
      <x:c r="B658" s="18" t="str">
        <x:v>名古屋市</x:v>
      </x:c>
      <x:c r="C658" s="18" t="str">
        <x:v>metro</x:v>
      </x:c>
      <x:c r="D658" s="19" t="str">
        <x:v>T2</x:v>
      </x:c>
      <x:c r="E658" s="20" t="n">
        <x:v>12990</x:v>
      </x:c>
      <x:c r="F658" s="18" t="str">
        <x:v>persons/day</x:v>
      </x:c>
      <x:c r="G658" s="18" t="str">
        <x:v>FY2024</x:v>
      </x:c>
      <x:c r="H658" s="18" t="str">
        <x:v>否</x:v>
      </x:c>
      <x:c r="I658" s="19" t="str">
        <x:v>DAILY_ENTRIES_EXITS</x:v>
      </x:c>
      <x:c r="J658" s="19" t="str">
        <x:v>4号線名城線</x:v>
      </x:c>
      <x:c r="K658" s="18" t="str">
        <x:v>transport-node:0633abf8-ba08-5b77-8a86-1799974a9dbd</x:v>
      </x:c>
      <x:c r="L658" s="19" t="str">
        <x:v>组件待审核</x:v>
      </x:c>
      <x:c r="M658" s="21" t="n">
        <x:v>35.116455</x:v>
      </x:c>
      <x:c r="N658" s="21" t="n">
        <x:v>136.92146</x:v>
      </x:c>
      <x:c r="O658" s="18" t="str">
        <x:v>005640</x:v>
      </x:c>
      <x:c r="P658" s="18" t="str">
        <x:v>4号線名城線</x:v>
      </x:c>
      <x:c r="Q658" s="19" t="str">
        <x:v>S12_061_GE_10000</x:v>
      </x:c>
      <x:c r="R658" s="19" t="str">
        <x:v>S12_061 usage threshold</x:v>
      </x:c>
      <x:c r="S658" s="19" t="str">
        <x:v>https://nlftp.mlit.go.jp/ksj/gml/datalist/KsjTmplt-S12-2024.html</x:v>
      </x:c>
      <x:c r="T658" s="19" t="str">
        <x:v>https://nlftp.mlit.go.jp/ksj/gml/datalist/KsjTmplt-S12-2024.html</x:v>
      </x:c>
      <x:c r="U658" s="19" t="str">
        <x:v>station-component|堀田|名古屋市|metro|35.1165|136.9215|</x:v>
      </x:c>
      <x:c r="V658" s="19" t="str">
        <x:v>005640 / 005640 / 4号線名城線</x:v>
      </x:c>
      <x:c r="W658" s="18" t="str">
        <x:v>否</x:v>
      </x:c>
      <x:c r="X658" s="18" t="str">
        <x:v>0785e932a32b3ec15e1a1345537ae145eafe1c07bf38d5c16c11ee2b391e7a28</x:v>
      </x:c>
      <x:c r="Y658" s="20" t="n">
        <x:v>1</x:v>
      </x:c>
      <x:c r="Z658" s="20" t="n">
        <x:v>1</x:v>
      </x:c>
      <x:c r="AA658" s="19"/>
      <x:c r="AB658" s="18"/>
      <x:c r="AC658" s="19"/>
    </x:row>
    <x:row r="659" ht="28" customHeight="1">
      <x:c r="A659" s="18" t="str">
        <x:v>堀田</x:v>
      </x:c>
      <x:c r="B659" s="18" t="str">
        <x:v>名古屋鉄道</x:v>
      </x:c>
      <x:c r="C659" s="18" t="str">
        <x:v>private_rail</x:v>
      </x:c>
      <x:c r="D659" s="19" t="str">
        <x:v>T2</x:v>
      </x:c>
      <x:c r="E659" s="20" t="n">
        <x:v>12049</x:v>
      </x:c>
      <x:c r="F659" s="18" t="str">
        <x:v>persons/day</x:v>
      </x:c>
      <x:c r="G659" s="18" t="str">
        <x:v>FY2024</x:v>
      </x:c>
      <x:c r="H659" s="18" t="str">
        <x:v>否</x:v>
      </x:c>
      <x:c r="I659" s="19" t="str">
        <x:v>DAILY_ENTRIES_EXITS</x:v>
      </x:c>
      <x:c r="J659" s="19" t="str">
        <x:v>名古屋本線</x:v>
      </x:c>
      <x:c r="K659" s="18" t="str">
        <x:v>transport-node:4210ff66-c197-5117-ad28-38d88f84e20b</x:v>
      </x:c>
      <x:c r="L659" s="19" t="str">
        <x:v>组件待审核</x:v>
      </x:c>
      <x:c r="M659" s="21" t="n">
        <x:v>35.120225</x:v>
      </x:c>
      <x:c r="N659" s="21" t="n">
        <x:v>136.919995</x:v>
      </x:c>
      <x:c r="O659" s="18" t="str">
        <x:v>005628</x:v>
      </x:c>
      <x:c r="P659" s="18" t="str">
        <x:v>名古屋本線</x:v>
      </x:c>
      <x:c r="Q659" s="19" t="str">
        <x:v>S12_061_GE_10000</x:v>
      </x:c>
      <x:c r="R659" s="19" t="str">
        <x:v>S12_061 usage threshold</x:v>
      </x:c>
      <x:c r="S659" s="19" t="str">
        <x:v>https://nlftp.mlit.go.jp/ksj/gml/datalist/KsjTmplt-S12-2024.html</x:v>
      </x:c>
      <x:c r="T659" s="19" t="str">
        <x:v>https://nlftp.mlit.go.jp/ksj/gml/datalist/KsjTmplt-S12-2024.html</x:v>
      </x:c>
      <x:c r="U659" s="19" t="str">
        <x:v>station-component|堀田|名古屋鉄道|private_rail|35.1202|136.9200|</x:v>
      </x:c>
      <x:c r="V659" s="19" t="str">
        <x:v>005628 / 005628 / 名古屋本線</x:v>
      </x:c>
      <x:c r="W659" s="18" t="str">
        <x:v>否</x:v>
      </x:c>
      <x:c r="X659" s="18" t="str">
        <x:v>0785e932a32b3ec15e1a1345537ae145eafe1c07bf38d5c16c11ee2b391e7a28</x:v>
      </x:c>
      <x:c r="Y659" s="20" t="n">
        <x:v>1</x:v>
      </x:c>
      <x:c r="Z659" s="20" t="n">
        <x:v>1</x:v>
      </x:c>
      <x:c r="AA659" s="19"/>
      <x:c r="AB659" s="18"/>
      <x:c r="AC659" s="19"/>
    </x:row>
    <x:row r="660" ht="28" customHeight="1">
      <x:c r="A660" s="18" t="str">
        <x:v>堅田</x:v>
      </x:c>
      <x:c r="B660" s="18" t="str">
        <x:v>西日本旅客鉄道</x:v>
      </x:c>
      <x:c r="C660" s="18" t="str">
        <x:v>conventional_rail</x:v>
      </x:c>
      <x:c r="D660" s="19" t="str">
        <x:v>T2</x:v>
      </x:c>
      <x:c r="E660" s="20" t="n">
        <x:v>14884</x:v>
      </x:c>
      <x:c r="F660" s="18" t="str">
        <x:v>persons/day</x:v>
      </x:c>
      <x:c r="G660" s="18" t="str">
        <x:v>FY2024</x:v>
      </x:c>
      <x:c r="H660" s="18" t="str">
        <x:v>否</x:v>
      </x:c>
      <x:c r="I660" s="19" t="str">
        <x:v>DAILY_ENTRIES_EXITS</x:v>
      </x:c>
      <x:c r="J660" s="19" t="str">
        <x:v>湖西線</x:v>
      </x:c>
      <x:c r="K660" s="18" t="str">
        <x:v>transport-node:cd50bc90-e6e9-5644-baf1-29c5ab790fb7</x:v>
      </x:c>
      <x:c r="L660" s="19" t="str">
        <x:v>组件待审核</x:v>
      </x:c>
      <x:c r="M660" s="21" t="n">
        <x:v>35.121015</x:v>
      </x:c>
      <x:c r="N660" s="21" t="n">
        <x:v>135.9151</x:v>
      </x:c>
      <x:c r="O660" s="18" t="str">
        <x:v>005626</x:v>
      </x:c>
      <x:c r="P660" s="18" t="str">
        <x:v>湖西線</x:v>
      </x:c>
      <x:c r="Q660" s="19" t="str">
        <x:v>S12_061_GE_10000</x:v>
      </x:c>
      <x:c r="R660" s="19" t="str">
        <x:v>S12_061 usage threshold</x:v>
      </x:c>
      <x:c r="S660" s="19" t="str">
        <x:v>https://nlftp.mlit.go.jp/ksj/gml/datalist/KsjTmplt-S12-2024.html</x:v>
      </x:c>
      <x:c r="T660" s="19" t="str">
        <x:v>https://nlftp.mlit.go.jp/ksj/gml/datalist/KsjTmplt-S12-2024.html</x:v>
      </x:c>
      <x:c r="U660" s="19" t="str">
        <x:v>station-component|堅田|西日本旅客鉄道|conventional_rail|35.1210|135.9151|</x:v>
      </x:c>
      <x:c r="V660" s="19" t="str">
        <x:v>005626 / 005626 / 湖西線</x:v>
      </x:c>
      <x:c r="W660" s="18" t="str">
        <x:v>否</x:v>
      </x:c>
      <x:c r="X660" s="18" t="str">
        <x:v>0785e932a32b3ec15e1a1345537ae145eafe1c07bf38d5c16c11ee2b391e7a28</x:v>
      </x:c>
      <x:c r="Y660" s="20" t="n">
        <x:v>1</x:v>
      </x:c>
      <x:c r="Z660" s="20" t="n">
        <x:v>1</x:v>
      </x:c>
      <x:c r="AA660" s="19"/>
      <x:c r="AB660" s="18"/>
      <x:c r="AC660" s="19"/>
    </x:row>
    <x:row r="661" ht="28" customHeight="1">
      <x:c r="A661" s="18" t="str">
        <x:v>堺</x:v>
      </x:c>
      <x:c r="B661" s="18" t="str">
        <x:v>南海電気鉄道</x:v>
      </x:c>
      <x:c r="C661" s="18" t="str">
        <x:v>private_rail</x:v>
      </x:c>
      <x:c r="D661" s="19" t="str">
        <x:v>T2</x:v>
      </x:c>
      <x:c r="E661" s="20" t="n">
        <x:v>36452</x:v>
      </x:c>
      <x:c r="F661" s="18" t="str">
        <x:v>persons/day</x:v>
      </x:c>
      <x:c r="G661" s="18" t="str">
        <x:v>FY2024</x:v>
      </x:c>
      <x:c r="H661" s="18" t="str">
        <x:v>否</x:v>
      </x:c>
      <x:c r="I661" s="19" t="str">
        <x:v>DAILY_ENTRIES_EXITS</x:v>
      </x:c>
      <x:c r="J661" s="19" t="str">
        <x:v>南海本線</x:v>
      </x:c>
      <x:c r="K661" s="18" t="str">
        <x:v>transport-node:f5cccee0-5006-5a94-9953-327afc203075</x:v>
      </x:c>
      <x:c r="L661" s="19" t="str">
        <x:v>组件待审核</x:v>
      </x:c>
      <x:c r="M661" s="21" t="n">
        <x:v>34.58171</x:v>
      </x:c>
      <x:c r="N661" s="21" t="n">
        <x:v>135.46855</x:v>
      </x:c>
      <x:c r="O661" s="18" t="str">
        <x:v>007649</x:v>
      </x:c>
      <x:c r="P661" s="18" t="str">
        <x:v>南海本線</x:v>
      </x:c>
      <x:c r="Q661" s="19" t="str">
        <x:v>S12_061_GE_10000</x:v>
      </x:c>
      <x:c r="R661" s="19" t="str">
        <x:v>S12_061 usage threshold</x:v>
      </x:c>
      <x:c r="S661" s="19" t="str">
        <x:v>https://nlftp.mlit.go.jp/ksj/gml/datalist/KsjTmplt-S12-2024.html</x:v>
      </x:c>
      <x:c r="T661" s="19" t="str">
        <x:v>https://nlftp.mlit.go.jp/ksj/gml/datalist/KsjTmplt-S12-2024.html</x:v>
      </x:c>
      <x:c r="U661" s="19" t="str">
        <x:v>station-component|堺|南海電気鉄道|private_rail|34.5817|135.4685|</x:v>
      </x:c>
      <x:c r="V661" s="19" t="str">
        <x:v>007649 / 007649 / 南海本線</x:v>
      </x:c>
      <x:c r="W661" s="18" t="str">
        <x:v>否</x:v>
      </x:c>
      <x:c r="X661" s="18" t="str">
        <x:v>0785e932a32b3ec15e1a1345537ae145eafe1c07bf38d5c16c11ee2b391e7a28</x:v>
      </x:c>
      <x:c r="Y661" s="20" t="n">
        <x:v>1</x:v>
      </x:c>
      <x:c r="Z661" s="20" t="n">
        <x:v>1</x:v>
      </x:c>
      <x:c r="AA661" s="19"/>
      <x:c r="AB661" s="18"/>
      <x:c r="AC661" s="19"/>
    </x:row>
    <x:row r="662" ht="28" customHeight="1">
      <x:c r="A662" s="18" t="str">
        <x:v>堺市</x:v>
      </x:c>
      <x:c r="B662" s="18" t="str">
        <x:v>西日本旅客鉄道</x:v>
      </x:c>
      <x:c r="C662" s="18" t="str">
        <x:v>conventional_rail</x:v>
      </x:c>
      <x:c r="D662" s="19" t="str">
        <x:v>T2</x:v>
      </x:c>
      <x:c r="E662" s="20" t="n">
        <x:v>23256</x:v>
      </x:c>
      <x:c r="F662" s="18" t="str">
        <x:v>persons/day</x:v>
      </x:c>
      <x:c r="G662" s="18" t="str">
        <x:v>FY2024</x:v>
      </x:c>
      <x:c r="H662" s="18" t="str">
        <x:v>否</x:v>
      </x:c>
      <x:c r="I662" s="19" t="str">
        <x:v>DAILY_ENTRIES_EXITS</x:v>
      </x:c>
      <x:c r="J662" s="19" t="str">
        <x:v>阪和線</x:v>
      </x:c>
      <x:c r="K662" s="18" t="str">
        <x:v>transport-node:82f91122-f467-5631-a259-ae9a9f3d3a11</x:v>
      </x:c>
      <x:c r="L662" s="19" t="str">
        <x:v>组件待审核</x:v>
      </x:c>
      <x:c r="M662" s="21" t="n">
        <x:v>34.57762</x:v>
      </x:c>
      <x:c r="N662" s="21" t="n">
        <x:v>135.49867</x:v>
      </x:c>
      <x:c r="O662" s="18" t="str">
        <x:v>007660</x:v>
      </x:c>
      <x:c r="P662" s="18" t="str">
        <x:v>阪和線</x:v>
      </x:c>
      <x:c r="Q662" s="19" t="str">
        <x:v>S12_061_GE_10000</x:v>
      </x:c>
      <x:c r="R662" s="19" t="str">
        <x:v>S12_061 usage threshold</x:v>
      </x:c>
      <x:c r="S662" s="19" t="str">
        <x:v>https://nlftp.mlit.go.jp/ksj/gml/datalist/KsjTmplt-S12-2024.html</x:v>
      </x:c>
      <x:c r="T662" s="19" t="str">
        <x:v>https://nlftp.mlit.go.jp/ksj/gml/datalist/KsjTmplt-S12-2024.html</x:v>
      </x:c>
      <x:c r="U662" s="19" t="str">
        <x:v>station-component|堺市|西日本旅客鉄道|conventional_rail|34.5776|135.4987|</x:v>
      </x:c>
      <x:c r="V662" s="19" t="str">
        <x:v>007660 / 007660 / 阪和線</x:v>
      </x:c>
      <x:c r="W662" s="18" t="str">
        <x:v>否</x:v>
      </x:c>
      <x:c r="X662" s="18" t="str">
        <x:v>0785e932a32b3ec15e1a1345537ae145eafe1c07bf38d5c16c11ee2b391e7a28</x:v>
      </x:c>
      <x:c r="Y662" s="20" t="n">
        <x:v>1</x:v>
      </x:c>
      <x:c r="Z662" s="20" t="n">
        <x:v>1</x:v>
      </x:c>
      <x:c r="AA662" s="19"/>
      <x:c r="AB662" s="18"/>
      <x:c r="AC662" s="19"/>
    </x:row>
    <x:row r="663" ht="28" customHeight="1">
      <x:c r="A663" s="18" t="str">
        <x:v>堺東</x:v>
      </x:c>
      <x:c r="B663" s="18" t="str">
        <x:v>南海電気鉄道</x:v>
      </x:c>
      <x:c r="C663" s="18" t="str">
        <x:v>private_rail</x:v>
      </x:c>
      <x:c r="D663" s="19" t="str">
        <x:v>T1</x:v>
      </x:c>
      <x:c r="E663" s="20" t="n">
        <x:v>55072</x:v>
      </x:c>
      <x:c r="F663" s="18" t="str">
        <x:v>persons/day</x:v>
      </x:c>
      <x:c r="G663" s="18" t="str">
        <x:v>FY2024</x:v>
      </x:c>
      <x:c r="H663" s="18" t="str">
        <x:v>否</x:v>
      </x:c>
      <x:c r="I663" s="19" t="str">
        <x:v>DAILY_ENTRIES_EXITS</x:v>
      </x:c>
      <x:c r="J663" s="19" t="str">
        <x:v>高野線</x:v>
      </x:c>
      <x:c r="K663" s="18" t="str">
        <x:v>transport-node:c42fa712-4d73-5fe1-9f93-df28a3559a9b</x:v>
      </x:c>
      <x:c r="L663" s="19" t="str">
        <x:v>组件待审核</x:v>
      </x:c>
      <x:c r="M663" s="21" t="n">
        <x:v>34.575855</x:v>
      </x:c>
      <x:c r="N663" s="21" t="n">
        <x:v>135.48503</x:v>
      </x:c>
      <x:c r="O663" s="18" t="str">
        <x:v>007667</x:v>
      </x:c>
      <x:c r="P663" s="18" t="str">
        <x:v>高野線</x:v>
      </x:c>
      <x:c r="Q663" s="19" t="str">
        <x:v>S12_061_GE_10000</x:v>
      </x:c>
      <x:c r="R663" s="19" t="str">
        <x:v>S12_061 usage threshold</x:v>
      </x:c>
      <x:c r="S663" s="19" t="str">
        <x:v>https://nlftp.mlit.go.jp/ksj/gml/datalist/KsjTmplt-S12-2024.html</x:v>
      </x:c>
      <x:c r="T663" s="19" t="str">
        <x:v>https://nlftp.mlit.go.jp/ksj/gml/datalist/KsjTmplt-S12-2024.html</x:v>
      </x:c>
      <x:c r="U663" s="19" t="str">
        <x:v>station-component|堺東|南海電気鉄道|private_rail|34.5759|135.4850|</x:v>
      </x:c>
      <x:c r="V663" s="19" t="str">
        <x:v>007667 / 007667 / 高野線</x:v>
      </x:c>
      <x:c r="W663" s="18" t="str">
        <x:v>否</x:v>
      </x:c>
      <x:c r="X663" s="18" t="str">
        <x:v>0785e932a32b3ec15e1a1345537ae145eafe1c07bf38d5c16c11ee2b391e7a28</x:v>
      </x:c>
      <x:c r="Y663" s="20" t="n">
        <x:v>1</x:v>
      </x:c>
      <x:c r="Z663" s="20" t="n">
        <x:v>1</x:v>
      </x:c>
      <x:c r="AA663" s="19"/>
      <x:c r="AB663" s="18"/>
      <x:c r="AC663" s="19"/>
    </x:row>
    <x:row r="664" ht="33" customHeight="1">
      <x:c r="A664" s="18" t="str">
        <x:v>堺筋本町</x:v>
      </x:c>
      <x:c r="B664" s="18" t="str">
        <x:v>大阪市高速電気軌道</x:v>
      </x:c>
      <x:c r="C664" s="18" t="str">
        <x:v>metro</x:v>
      </x:c>
      <x:c r="D664" s="19" t="str">
        <x:v>T1</x:v>
      </x:c>
      <x:c r="E664" s="20" t="n">
        <x:v>106800</x:v>
      </x:c>
      <x:c r="F664" s="18" t="str">
        <x:v>persons/day</x:v>
      </x:c>
      <x:c r="G664" s="18" t="str">
        <x:v>FY2024</x:v>
      </x:c>
      <x:c r="H664" s="18" t="str">
        <x:v>否</x:v>
      </x:c>
      <x:c r="I664" s="19" t="str">
        <x:v>DAILY_ENTRIES_EXITS</x:v>
      </x:c>
      <x:c r="J664" s="19" t="str">
        <x:v>4号線(中央線)
6号線(堺筋線)</x:v>
      </x:c>
      <x:c r="K664" s="18" t="str">
        <x:v>transport-node:d0dde335-038a-54d5-aff4-8d657b3beaca</x:v>
      </x:c>
      <x:c r="L664" s="19" t="str">
        <x:v>组件待审核</x:v>
      </x:c>
      <x:c r="M664" s="21" t="n">
        <x:v>34.68188</x:v>
      </x:c>
      <x:c r="N664" s="21" t="n">
        <x:v>135.50688</x:v>
      </x:c>
      <x:c r="O664" s="18" t="str">
        <x:v>007197</x:v>
      </x:c>
      <x:c r="P664" s="18" t="str">
        <x:v>4号線(中央線)</x:v>
      </x:c>
      <x:c r="Q664" s="19" t="str">
        <x:v>S12_061_GE_10000
OFFICIAL_HUB_COMPONENT_REVIEW</x:v>
      </x:c>
      <x:c r="R664" s="19" t="str">
        <x:v>S12_061 usage threshold</x:v>
      </x:c>
      <x:c r="S664" s="19" t="str">
        <x:v>https://nlftp.mlit.go.jp/ksj/gml/datalist/KsjTmplt-S12-2024.html</x:v>
      </x:c>
      <x:c r="T664" s="19" t="str">
        <x:v>https://nlftp.mlit.go.jp/ksj/gml/datalist/KsjTmplt-S12-2024.html
https://subway.osakametro.co.jp/station_guide/C/c17/index.php</x:v>
      </x:c>
      <x:c r="U664" s="19" t="str">
        <x:v>station-component|堺筋本町|大阪市高速電気軌道|metro|34.6819|135.5069|</x:v>
      </x:c>
      <x:c r="V664" s="19" t="str">
        <x:v>007190 / 007190 / 6号線(堺筋線)
007190 / 007197 / 4号線(中央線)</x:v>
      </x:c>
      <x:c r="W664" s="18" t="str">
        <x:v>否</x:v>
      </x:c>
      <x:c r="X664" s="18" t="str">
        <x:v>0785e932a32b3ec15e1a1345537ae145eafe1c07bf38d5c16c11ee2b391e7a28</x:v>
      </x:c>
      <x:c r="Y664" s="20" t="n">
        <x:v>1</x:v>
      </x:c>
      <x:c r="Z664" s="20" t="n">
        <x:v>1</x:v>
      </x:c>
      <x:c r="AA664" s="19" t="str">
        <x:v>堺筋本町</x:v>
      </x:c>
      <x:c r="AB664" s="18" t="str">
        <x:v>transport-hub-review:6708d182-b0b2-5d31-a9b3-e59ee09e0bf9</x:v>
      </x:c>
      <x:c r="AC664" s="19"/>
    </x:row>
    <x:row r="665" ht="28" customHeight="1">
      <x:c r="A665" s="18" t="str">
        <x:v>塚口</x:v>
      </x:c>
      <x:c r="B665" s="18" t="str">
        <x:v>西日本旅客鉄道</x:v>
      </x:c>
      <x:c r="C665" s="18" t="str">
        <x:v>conventional_rail</x:v>
      </x:c>
      <x:c r="D665" s="19" t="str">
        <x:v>T2</x:v>
      </x:c>
      <x:c r="E665" s="20" t="n">
        <x:v>22996</x:v>
      </x:c>
      <x:c r="F665" s="18" t="str">
        <x:v>persons/day</x:v>
      </x:c>
      <x:c r="G665" s="18" t="str">
        <x:v>FY2024</x:v>
      </x:c>
      <x:c r="H665" s="18" t="str">
        <x:v>否</x:v>
      </x:c>
      <x:c r="I665" s="19" t="str">
        <x:v>DAILY_ENTRIES_EXITS</x:v>
      </x:c>
      <x:c r="J665" s="19" t="str">
        <x:v>福知山線</x:v>
      </x:c>
      <x:c r="K665" s="18" t="str">
        <x:v>transport-node:337c3b5f-b10d-54fb-a813-5619273a555e</x:v>
      </x:c>
      <x:c r="L665" s="19" t="str">
        <x:v>组件待审核</x:v>
      </x:c>
      <x:c r="M665" s="21" t="n">
        <x:v>34.75083</x:v>
      </x:c>
      <x:c r="N665" s="21" t="n">
        <x:v>135.42512</x:v>
      </x:c>
      <x:c r="O665" s="18" t="str">
        <x:v>006830</x:v>
      </x:c>
      <x:c r="P665" s="18" t="str">
        <x:v>福知山線</x:v>
      </x:c>
      <x:c r="Q665" s="19" t="str">
        <x:v>S12_061_GE_10000</x:v>
      </x:c>
      <x:c r="R665" s="19" t="str">
        <x:v>S12_061 usage threshold</x:v>
      </x:c>
      <x:c r="S665" s="19" t="str">
        <x:v>https://nlftp.mlit.go.jp/ksj/gml/datalist/KsjTmplt-S12-2024.html</x:v>
      </x:c>
      <x:c r="T665" s="19" t="str">
        <x:v>https://nlftp.mlit.go.jp/ksj/gml/datalist/KsjTmplt-S12-2024.html</x:v>
      </x:c>
      <x:c r="U665" s="19" t="str">
        <x:v>station-component|塚口|西日本旅客鉄道|conventional_rail|34.7508|135.4251|</x:v>
      </x:c>
      <x:c r="V665" s="19" t="str">
        <x:v>006830 / 006830 / 福知山線</x:v>
      </x:c>
      <x:c r="W665" s="18" t="str">
        <x:v>否</x:v>
      </x:c>
      <x:c r="X665" s="18" t="str">
        <x:v>0785e932a32b3ec15e1a1345537ae145eafe1c07bf38d5c16c11ee2b391e7a28</x:v>
      </x:c>
      <x:c r="Y665" s="20" t="n">
        <x:v>1</x:v>
      </x:c>
      <x:c r="Z665" s="20" t="n">
        <x:v>1</x:v>
      </x:c>
      <x:c r="AA665" s="19"/>
      <x:c r="AB665" s="18"/>
      <x:c r="AC665" s="19"/>
    </x:row>
    <x:row r="666" ht="33" customHeight="1">
      <x:c r="A666" s="18" t="str">
        <x:v>塚口</x:v>
      </x:c>
      <x:c r="B666" s="18" t="str">
        <x:v>阪急電鉄</x:v>
      </x:c>
      <x:c r="C666" s="18" t="str">
        <x:v>private_rail</x:v>
      </x:c>
      <x:c r="D666" s="19" t="str">
        <x:v>T2</x:v>
      </x:c>
      <x:c r="E666" s="20" t="n">
        <x:v>43059</x:v>
      </x:c>
      <x:c r="F666" s="18" t="str">
        <x:v>persons/day</x:v>
      </x:c>
      <x:c r="G666" s="18" t="str">
        <x:v>FY2024</x:v>
      </x:c>
      <x:c r="H666" s="18" t="str">
        <x:v>否</x:v>
      </x:c>
      <x:c r="I666" s="19" t="str">
        <x:v>DAILY_ENTRIES_EXITS</x:v>
      </x:c>
      <x:c r="J666" s="19" t="str">
        <x:v>伊丹線
神戸線</x:v>
      </x:c>
      <x:c r="K666" s="18" t="str">
        <x:v>transport-node:efe6fcd7-e27b-5bca-9c72-31d334759162</x:v>
      </x:c>
      <x:c r="L666" s="19" t="str">
        <x:v>组件待审核</x:v>
      </x:c>
      <x:c r="M666" s="21" t="n">
        <x:v>34.75286</x:v>
      </x:c>
      <x:c r="N666" s="21" t="n">
        <x:v>135.4161</x:v>
      </x:c>
      <x:c r="O666" s="18" t="str">
        <x:v>006821</x:v>
      </x:c>
      <x:c r="P666" s="18" t="str">
        <x:v>神戸線</x:v>
      </x:c>
      <x:c r="Q666" s="19" t="str">
        <x:v>S12_061_GE_10000</x:v>
      </x:c>
      <x:c r="R666" s="19" t="str">
        <x:v>S12_061 usage threshold</x:v>
      </x:c>
      <x:c r="S666" s="19" t="str">
        <x:v>https://nlftp.mlit.go.jp/ksj/gml/datalist/KsjTmplt-S12-2024.html</x:v>
      </x:c>
      <x:c r="T666" s="19" t="str">
        <x:v>https://nlftp.mlit.go.jp/ksj/gml/datalist/KsjTmplt-S12-2024.html</x:v>
      </x:c>
      <x:c r="U666" s="19" t="str">
        <x:v>station-component|塚口|阪急電鉄|private_rail|34.7529|135.4161|</x:v>
      </x:c>
      <x:c r="V666" s="19" t="str">
        <x:v>006820 / 006820 / 伊丹線
006820 / 006821 / 神戸線</x:v>
      </x:c>
      <x:c r="W666" s="18" t="str">
        <x:v>否</x:v>
      </x:c>
      <x:c r="X666" s="18" t="str">
        <x:v>0785e932a32b3ec15e1a1345537ae145eafe1c07bf38d5c16c11ee2b391e7a28</x:v>
      </x:c>
      <x:c r="Y666" s="20" t="n">
        <x:v>1</x:v>
      </x:c>
      <x:c r="Z666" s="20" t="n">
        <x:v>1</x:v>
      </x:c>
      <x:c r="AA666" s="19"/>
      <x:c r="AB666" s="18"/>
      <x:c r="AC666" s="19"/>
    </x:row>
    <x:row r="667" ht="28" customHeight="1">
      <x:c r="A667" s="18" t="str">
        <x:v>塚本</x:v>
      </x:c>
      <x:c r="B667" s="18" t="str">
        <x:v>西日本旅客鉄道</x:v>
      </x:c>
      <x:c r="C667" s="18" t="str">
        <x:v>conventional_rail</x:v>
      </x:c>
      <x:c r="D667" s="19" t="str">
        <x:v>T2</x:v>
      </x:c>
      <x:c r="E667" s="20" t="n">
        <x:v>39146</x:v>
      </x:c>
      <x:c r="F667" s="18" t="str">
        <x:v>persons/day</x:v>
      </x:c>
      <x:c r="G667" s="18" t="str">
        <x:v>FY2024</x:v>
      </x:c>
      <x:c r="H667" s="18" t="str">
        <x:v>否</x:v>
      </x:c>
      <x:c r="I667" s="19" t="str">
        <x:v>DAILY_ENTRIES_EXITS</x:v>
      </x:c>
      <x:c r="J667" s="19" t="str">
        <x:v>東海道線</x:v>
      </x:c>
      <x:c r="K667" s="18" t="str">
        <x:v>transport-node:862fe492-38d6-5664-9347-ef22ee835f6e</x:v>
      </x:c>
      <x:c r="L667" s="19" t="str">
        <x:v>组件待审核</x:v>
      </x:c>
      <x:c r="M667" s="21" t="n">
        <x:v>34.712735</x:v>
      </x:c>
      <x:c r="N667" s="21" t="n">
        <x:v>135.46889</x:v>
      </x:c>
      <x:c r="O667" s="18" t="str">
        <x:v>007009</x:v>
      </x:c>
      <x:c r="P667" s="18" t="str">
        <x:v>東海道線</x:v>
      </x:c>
      <x:c r="Q667" s="19" t="str">
        <x:v>S12_061_GE_10000</x:v>
      </x:c>
      <x:c r="R667" s="19" t="str">
        <x:v>S12_061 usage threshold</x:v>
      </x:c>
      <x:c r="S667" s="19" t="str">
        <x:v>https://nlftp.mlit.go.jp/ksj/gml/datalist/KsjTmplt-S12-2024.html</x:v>
      </x:c>
      <x:c r="T667" s="19" t="str">
        <x:v>https://nlftp.mlit.go.jp/ksj/gml/datalist/KsjTmplt-S12-2024.html</x:v>
      </x:c>
      <x:c r="U667" s="19" t="str">
        <x:v>station-component|塚本|西日本旅客鉄道|conventional_rail|34.7127|135.4689|</x:v>
      </x:c>
      <x:c r="V667" s="19" t="str">
        <x:v>007009 / 007009 / 東海道線</x:v>
      </x:c>
      <x:c r="W667" s="18" t="str">
        <x:v>否</x:v>
      </x:c>
      <x:c r="X667" s="18" t="str">
        <x:v>0785e932a32b3ec15e1a1345537ae145eafe1c07bf38d5c16c11ee2b391e7a28</x:v>
      </x:c>
      <x:c r="Y667" s="20" t="n">
        <x:v>1</x:v>
      </x:c>
      <x:c r="Z667" s="20" t="n">
        <x:v>1</x:v>
      </x:c>
      <x:c r="AA667" s="19"/>
      <x:c r="AB667" s="18"/>
      <x:c r="AC667" s="19"/>
    </x:row>
    <x:row r="668" ht="28" customHeight="1">
      <x:c r="A668" s="18" t="str">
        <x:v>塚田</x:v>
      </x:c>
      <x:c r="B668" s="18" t="str">
        <x:v>東武鉄道</x:v>
      </x:c>
      <x:c r="C668" s="18" t="str">
        <x:v>private_rail</x:v>
      </x:c>
      <x:c r="D668" s="19" t="str">
        <x:v>T2</x:v>
      </x:c>
      <x:c r="E668" s="20" t="n">
        <x:v>18137</x:v>
      </x:c>
      <x:c r="F668" s="18" t="str">
        <x:v>persons/day</x:v>
      </x:c>
      <x:c r="G668" s="18" t="str">
        <x:v>FY2024</x:v>
      </x:c>
      <x:c r="H668" s="18" t="str">
        <x:v>否</x:v>
      </x:c>
      <x:c r="I668" s="19" t="str">
        <x:v>DAILY_ENTRIES_EXITS</x:v>
      </x:c>
      <x:c r="J668" s="19" t="str">
        <x:v>野田線</x:v>
      </x:c>
      <x:c r="K668" s="18" t="str">
        <x:v>transport-node:83ff918e-4872-5dbf-80e4-ea04c30bbf0e</x:v>
      </x:c>
      <x:c r="L668" s="19" t="str">
        <x:v>组件待审核</x:v>
      </x:c>
      <x:c r="M668" s="21" t="n">
        <x:v>35.722125</x:v>
      </x:c>
      <x:c r="N668" s="21" t="n">
        <x:v>139.982905</x:v>
      </x:c>
      <x:c r="O668" s="18" t="str">
        <x:v>003454</x:v>
      </x:c>
      <x:c r="P668" s="18" t="str">
        <x:v>野田線</x:v>
      </x:c>
      <x:c r="Q668" s="19" t="str">
        <x:v>S12_061_GE_10000</x:v>
      </x:c>
      <x:c r="R668" s="19" t="str">
        <x:v>S12_061 usage threshold</x:v>
      </x:c>
      <x:c r="S668" s="19" t="str">
        <x:v>https://nlftp.mlit.go.jp/ksj/gml/datalist/KsjTmplt-S12-2024.html</x:v>
      </x:c>
      <x:c r="T668" s="19" t="str">
        <x:v>https://nlftp.mlit.go.jp/ksj/gml/datalist/KsjTmplt-S12-2024.html</x:v>
      </x:c>
      <x:c r="U668" s="19" t="str">
        <x:v>station-component|塚田|東武鉄道|private_rail|35.7221|139.9829|</x:v>
      </x:c>
      <x:c r="V668" s="19" t="str">
        <x:v>003454 / 003454 / 野田線</x:v>
      </x:c>
      <x:c r="W668" s="18" t="str">
        <x:v>否</x:v>
      </x:c>
      <x:c r="X668" s="18" t="str">
        <x:v>0785e932a32b3ec15e1a1345537ae145eafe1c07bf38d5c16c11ee2b391e7a28</x:v>
      </x:c>
      <x:c r="Y668" s="20" t="n">
        <x:v>1</x:v>
      </x:c>
      <x:c r="Z668" s="20" t="n">
        <x:v>1</x:v>
      </x:c>
      <x:c r="AA668" s="19"/>
      <x:c r="AB668" s="18"/>
      <x:c r="AC668" s="19"/>
    </x:row>
    <x:row r="669" ht="28" customHeight="1">
      <x:c r="A669" s="18" t="str">
        <x:v>塩屋</x:v>
      </x:c>
      <x:c r="B669" s="18" t="str">
        <x:v>西日本旅客鉄道</x:v>
      </x:c>
      <x:c r="C669" s="18" t="str">
        <x:v>conventional_rail</x:v>
      </x:c>
      <x:c r="D669" s="19" t="str">
        <x:v>T2</x:v>
      </x:c>
      <x:c r="E669" s="20" t="n">
        <x:v>10488</x:v>
      </x:c>
      <x:c r="F669" s="18" t="str">
        <x:v>persons/day</x:v>
      </x:c>
      <x:c r="G669" s="18" t="str">
        <x:v>FY2024</x:v>
      </x:c>
      <x:c r="H669" s="18" t="str">
        <x:v>否</x:v>
      </x:c>
      <x:c r="I669" s="19" t="str">
        <x:v>DAILY_ENTRIES_EXITS</x:v>
      </x:c>
      <x:c r="J669" s="19" t="str">
        <x:v>山陽線</x:v>
      </x:c>
      <x:c r="K669" s="18" t="str">
        <x:v>transport-node:ef8dc344-2a08-5a2d-a450-979e8643be6e</x:v>
      </x:c>
      <x:c r="L669" s="19" t="str">
        <x:v>组件待审核</x:v>
      </x:c>
      <x:c r="M669" s="21" t="n">
        <x:v>34.63372</x:v>
      </x:c>
      <x:c r="N669" s="21" t="n">
        <x:v>135.0832775</x:v>
      </x:c>
      <x:c r="O669" s="18" t="str">
        <x:v>007495</x:v>
      </x:c>
      <x:c r="P669" s="18" t="str">
        <x:v>山陽線</x:v>
      </x:c>
      <x:c r="Q669" s="19" t="str">
        <x:v>S12_061_GE_10000</x:v>
      </x:c>
      <x:c r="R669" s="19" t="str">
        <x:v>S12_061 usage threshold</x:v>
      </x:c>
      <x:c r="S669" s="19" t="str">
        <x:v>https://nlftp.mlit.go.jp/ksj/gml/datalist/KsjTmplt-S12-2024.html</x:v>
      </x:c>
      <x:c r="T669" s="19" t="str">
        <x:v>https://nlftp.mlit.go.jp/ksj/gml/datalist/KsjTmplt-S12-2024.html</x:v>
      </x:c>
      <x:c r="U669" s="19" t="str">
        <x:v>station-component|塩屋|西日本旅客鉄道|conventional_rail|34.6337|135.0833|</x:v>
      </x:c>
      <x:c r="V669" s="19" t="str">
        <x:v>007495 / 007495 / 山陽線</x:v>
      </x:c>
      <x:c r="W669" s="18" t="str">
        <x:v>否</x:v>
      </x:c>
      <x:c r="X669" s="18" t="str">
        <x:v>0785e932a32b3ec15e1a1345537ae145eafe1c07bf38d5c16c11ee2b391e7a28</x:v>
      </x:c>
      <x:c r="Y669" s="20" t="n">
        <x:v>1</x:v>
      </x:c>
      <x:c r="Z669" s="20" t="n">
        <x:v>1</x:v>
      </x:c>
      <x:c r="AA669" s="19"/>
      <x:c r="AB669" s="18"/>
      <x:c r="AC669" s="19"/>
    </x:row>
    <x:row r="670" ht="28" customHeight="1">
      <x:c r="A670" s="18" t="str">
        <x:v>塩釜口</x:v>
      </x:c>
      <x:c r="B670" s="18" t="str">
        <x:v>名古屋市</x:v>
      </x:c>
      <x:c r="C670" s="18" t="str">
        <x:v>metro</x:v>
      </x:c>
      <x:c r="D670" s="19" t="str">
        <x:v>T2</x:v>
      </x:c>
      <x:c r="E670" s="20" t="n">
        <x:v>22430</x:v>
      </x:c>
      <x:c r="F670" s="18" t="str">
        <x:v>persons/day</x:v>
      </x:c>
      <x:c r="G670" s="18" t="str">
        <x:v>FY2024</x:v>
      </x:c>
      <x:c r="H670" s="18" t="str">
        <x:v>否</x:v>
      </x:c>
      <x:c r="I670" s="19" t="str">
        <x:v>DAILY_ENTRIES_EXITS</x:v>
      </x:c>
      <x:c r="J670" s="19" t="str">
        <x:v>3号線鶴舞線</x:v>
      </x:c>
      <x:c r="K670" s="18" t="str">
        <x:v>transport-node:ae6867cd-4556-5d78-aac5-4a340eb483c6</x:v>
      </x:c>
      <x:c r="L670" s="19" t="str">
        <x:v>组件待审核</x:v>
      </x:c>
      <x:c r="M670" s="21" t="n">
        <x:v>35.13243</x:v>
      </x:c>
      <x:c r="N670" s="21" t="n">
        <x:v>136.97863</x:v>
      </x:c>
      <x:c r="O670" s="18" t="str">
        <x:v>005582</x:v>
      </x:c>
      <x:c r="P670" s="18" t="str">
        <x:v>3号線鶴舞線</x:v>
      </x:c>
      <x:c r="Q670" s="19" t="str">
        <x:v>S12_061_GE_10000</x:v>
      </x:c>
      <x:c r="R670" s="19" t="str">
        <x:v>S12_061 usage threshold</x:v>
      </x:c>
      <x:c r="S670" s="19" t="str">
        <x:v>https://nlftp.mlit.go.jp/ksj/gml/datalist/KsjTmplt-S12-2024.html</x:v>
      </x:c>
      <x:c r="T670" s="19" t="str">
        <x:v>https://nlftp.mlit.go.jp/ksj/gml/datalist/KsjTmplt-S12-2024.html</x:v>
      </x:c>
      <x:c r="U670" s="19" t="str">
        <x:v>station-component|塩釜口|名古屋市|metro|35.1324|136.9786|</x:v>
      </x:c>
      <x:c r="V670" s="19" t="str">
        <x:v>005582 / 005582 / 3号線鶴舞線</x:v>
      </x:c>
      <x:c r="W670" s="18" t="str">
        <x:v>否</x:v>
      </x:c>
      <x:c r="X670" s="18" t="str">
        <x:v>0785e932a32b3ec15e1a1345537ae145eafe1c07bf38d5c16c11ee2b391e7a28</x:v>
      </x:c>
      <x:c r="Y670" s="20" t="n">
        <x:v>1</x:v>
      </x:c>
      <x:c r="Z670" s="20" t="n">
        <x:v>1</x:v>
      </x:c>
      <x:c r="AA670" s="19"/>
      <x:c r="AB670" s="18"/>
      <x:c r="AC670" s="19"/>
    </x:row>
    <x:row r="671" ht="28" customHeight="1">
      <x:c r="A671" s="18" t="str">
        <x:v>増尾</x:v>
      </x:c>
      <x:c r="B671" s="18" t="str">
        <x:v>東武鉄道</x:v>
      </x:c>
      <x:c r="C671" s="18" t="str">
        <x:v>private_rail</x:v>
      </x:c>
      <x:c r="D671" s="19" t="str">
        <x:v>T2</x:v>
      </x:c>
      <x:c r="E671" s="20" t="n">
        <x:v>12532</x:v>
      </x:c>
      <x:c r="F671" s="18" t="str">
        <x:v>persons/day</x:v>
      </x:c>
      <x:c r="G671" s="18" t="str">
        <x:v>FY2024</x:v>
      </x:c>
      <x:c r="H671" s="18" t="str">
        <x:v>否</x:v>
      </x:c>
      <x:c r="I671" s="19" t="str">
        <x:v>DAILY_ENTRIES_EXITS</x:v>
      </x:c>
      <x:c r="J671" s="19" t="str">
        <x:v>野田線</x:v>
      </x:c>
      <x:c r="K671" s="18" t="str">
        <x:v>transport-node:1128b47d-7f11-5062-977f-4e9d1c36ee24</x:v>
      </x:c>
      <x:c r="L671" s="19" t="str">
        <x:v>组件待审核</x:v>
      </x:c>
      <x:c r="M671" s="21" t="n">
        <x:v>35.82982</x:v>
      </x:c>
      <x:c r="N671" s="21" t="n">
        <x:v>139.976325</x:v>
      </x:c>
      <x:c r="O671" s="18" t="str">
        <x:v>003039</x:v>
      </x:c>
      <x:c r="P671" s="18" t="str">
        <x:v>野田線</x:v>
      </x:c>
      <x:c r="Q671" s="19" t="str">
        <x:v>S12_061_GE_10000</x:v>
      </x:c>
      <x:c r="R671" s="19" t="str">
        <x:v>S12_061 usage threshold</x:v>
      </x:c>
      <x:c r="S671" s="19" t="str">
        <x:v>https://nlftp.mlit.go.jp/ksj/gml/datalist/KsjTmplt-S12-2024.html</x:v>
      </x:c>
      <x:c r="T671" s="19" t="str">
        <x:v>https://nlftp.mlit.go.jp/ksj/gml/datalist/KsjTmplt-S12-2024.html</x:v>
      </x:c>
      <x:c r="U671" s="19" t="str">
        <x:v>station-component|増尾|東武鉄道|private_rail|35.8298|139.9763|</x:v>
      </x:c>
      <x:c r="V671" s="19" t="str">
        <x:v>003039 / 003039 / 野田線</x:v>
      </x:c>
      <x:c r="W671" s="18" t="str">
        <x:v>否</x:v>
      </x:c>
      <x:c r="X671" s="18" t="str">
        <x:v>0785e932a32b3ec15e1a1345537ae145eafe1c07bf38d5c16c11ee2b391e7a28</x:v>
      </x:c>
      <x:c r="Y671" s="20" t="n">
        <x:v>1</x:v>
      </x:c>
      <x:c r="Z671" s="20" t="n">
        <x:v>1</x:v>
      </x:c>
      <x:c r="AA671" s="19"/>
      <x:c r="AB671" s="18"/>
      <x:c r="AC671" s="19"/>
    </x:row>
    <x:row r="672" ht="28" customHeight="1">
      <x:c r="A672" s="18" t="str">
        <x:v>外苑前</x:v>
      </x:c>
      <x:c r="B672" s="18" t="str">
        <x:v>東京地下鉄</x:v>
      </x:c>
      <x:c r="C672" s="18" t="str">
        <x:v>metro</x:v>
      </x:c>
      <x:c r="D672" s="19" t="str">
        <x:v>T1</x:v>
      </x:c>
      <x:c r="E672" s="20" t="n">
        <x:v>74637</x:v>
      </x:c>
      <x:c r="F672" s="18" t="str">
        <x:v>persons/day</x:v>
      </x:c>
      <x:c r="G672" s="18" t="str">
        <x:v>FY2024</x:v>
      </x:c>
      <x:c r="H672" s="18" t="str">
        <x:v>否</x:v>
      </x:c>
      <x:c r="I672" s="19" t="str">
        <x:v>DAILY_ENTRIES_EXITS</x:v>
      </x:c>
      <x:c r="J672" s="19" t="str">
        <x:v>3号線銀座線</x:v>
      </x:c>
      <x:c r="K672" s="18" t="str">
        <x:v>transport-node:279e7b53-5532-53be-b4b6-ac7590c434b5</x:v>
      </x:c>
      <x:c r="L672" s="19" t="str">
        <x:v>组件待审核</x:v>
      </x:c>
      <x:c r="M672" s="21" t="n">
        <x:v>35.670375</x:v>
      </x:c>
      <x:c r="N672" s="21" t="n">
        <x:v>139.717825</x:v>
      </x:c>
      <x:c r="O672" s="18" t="str">
        <x:v>003834</x:v>
      </x:c>
      <x:c r="P672" s="18" t="str">
        <x:v>3号線銀座線</x:v>
      </x:c>
      <x:c r="Q672" s="19" t="str">
        <x:v>S12_061_GE_10000</x:v>
      </x:c>
      <x:c r="R672" s="19" t="str">
        <x:v>S12_061 usage threshold</x:v>
      </x:c>
      <x:c r="S672" s="19" t="str">
        <x:v>https://nlftp.mlit.go.jp/ksj/gml/datalist/KsjTmplt-S12-2024.html</x:v>
      </x:c>
      <x:c r="T672" s="19" t="str">
        <x:v>https://nlftp.mlit.go.jp/ksj/gml/datalist/KsjTmplt-S12-2024.html</x:v>
      </x:c>
      <x:c r="U672" s="19" t="str">
        <x:v>station-component|外苑前|東京地下鉄|metro|35.6704|139.7178|</x:v>
      </x:c>
      <x:c r="V672" s="19" t="str">
        <x:v>003834 / 003834 / 3号線銀座線</x:v>
      </x:c>
      <x:c r="W672" s="18" t="str">
        <x:v>否</x:v>
      </x:c>
      <x:c r="X672" s="18" t="str">
        <x:v>0785e932a32b3ec15e1a1345537ae145eafe1c07bf38d5c16c11ee2b391e7a28</x:v>
      </x:c>
      <x:c r="Y672" s="20" t="n">
        <x:v>1</x:v>
      </x:c>
      <x:c r="Z672" s="20" t="n">
        <x:v>1</x:v>
      </x:c>
      <x:c r="AA672" s="19"/>
      <x:c r="AB672" s="18"/>
      <x:c r="AC672" s="19"/>
    </x:row>
    <x:row r="673" ht="33" customHeight="1">
      <x:c r="A673" s="18" t="str">
        <x:v>夙川</x:v>
      </x:c>
      <x:c r="B673" s="18" t="str">
        <x:v>阪急電鉄</x:v>
      </x:c>
      <x:c r="C673" s="18" t="str">
        <x:v>private_rail</x:v>
      </x:c>
      <x:c r="D673" s="19" t="str">
        <x:v>T2</x:v>
      </x:c>
      <x:c r="E673" s="20" t="n">
        <x:v>25370</x:v>
      </x:c>
      <x:c r="F673" s="18" t="str">
        <x:v>persons/day</x:v>
      </x:c>
      <x:c r="G673" s="18" t="str">
        <x:v>FY2024</x:v>
      </x:c>
      <x:c r="H673" s="18" t="str">
        <x:v>否</x:v>
      </x:c>
      <x:c r="I673" s="19" t="str">
        <x:v>DAILY_ENTRIES_EXITS</x:v>
      </x:c>
      <x:c r="J673" s="19" t="str">
        <x:v>甲陽線
神戸線</x:v>
      </x:c>
      <x:c r="K673" s="18" t="str">
        <x:v>transport-node:6a4364d2-a577-540a-bc29-72d4082acab2</x:v>
      </x:c>
      <x:c r="L673" s="19" t="str">
        <x:v>组件待审核</x:v>
      </x:c>
      <x:c r="M673" s="21" t="n">
        <x:v>34.7422567</x:v>
      </x:c>
      <x:c r="N673" s="21" t="n">
        <x:v>135.3280733</x:v>
      </x:c>
      <x:c r="O673" s="18" t="str">
        <x:v>006863</x:v>
      </x:c>
      <x:c r="P673" s="18" t="str">
        <x:v>神戸線</x:v>
      </x:c>
      <x:c r="Q673" s="19" t="str">
        <x:v>S12_061_GE_10000</x:v>
      </x:c>
      <x:c r="R673" s="19" t="str">
        <x:v>S12_061 usage threshold</x:v>
      </x:c>
      <x:c r="S673" s="19" t="str">
        <x:v>https://nlftp.mlit.go.jp/ksj/gml/datalist/KsjTmplt-S12-2024.html</x:v>
      </x:c>
      <x:c r="T673" s="19" t="str">
        <x:v>https://nlftp.mlit.go.jp/ksj/gml/datalist/KsjTmplt-S12-2024.html</x:v>
      </x:c>
      <x:c r="U673" s="19" t="str">
        <x:v>station-component|夙川|阪急電鉄|private_rail|34.7423|135.3281|</x:v>
      </x:c>
      <x:c r="V673" s="19" t="str">
        <x:v>006862 / 006862 / 甲陽線
006862 / 006863 / 神戸線</x:v>
      </x:c>
      <x:c r="W673" s="18" t="str">
        <x:v>否</x:v>
      </x:c>
      <x:c r="X673" s="18" t="str">
        <x:v>0785e932a32b3ec15e1a1345537ae145eafe1c07bf38d5c16c11ee2b391e7a28</x:v>
      </x:c>
      <x:c r="Y673" s="20" t="n">
        <x:v>1</x:v>
      </x:c>
      <x:c r="Z673" s="20" t="n">
        <x:v>1</x:v>
      </x:c>
      <x:c r="AA673" s="19"/>
      <x:c r="AB673" s="18"/>
      <x:c r="AC673" s="19"/>
    </x:row>
    <x:row r="674" ht="33" customHeight="1">
      <x:c r="A674" s="18" t="str">
        <x:v>多摩センター</x:v>
      </x:c>
      <x:c r="B674" s="18" t="str">
        <x:v>多摩都市モノレール</x:v>
      </x:c>
      <x:c r="C674" s="18" t="str">
        <x:v>fixed_guideway</x:v>
      </x:c>
      <x:c r="D674" s="19" t="str">
        <x:v>T2</x:v>
      </x:c>
      <x:c r="E674" s="20" t="n">
        <x:v>34556</x:v>
      </x:c>
      <x:c r="F674" s="18" t="str">
        <x:v>persons/day</x:v>
      </x:c>
      <x:c r="G674" s="18" t="str">
        <x:v>FY2024</x:v>
      </x:c>
      <x:c r="H674" s="18" t="str">
        <x:v>否</x:v>
      </x:c>
      <x:c r="I674" s="19" t="str">
        <x:v>DAILY_ENTRIES_EXITS</x:v>
      </x:c>
      <x:c r="J674" s="19" t="str">
        <x:v>多摩都市モノレール線</x:v>
      </x:c>
      <x:c r="K674" s="18" t="str">
        <x:v>transport-node:a232cb11-6f05-5d08-8d2c-f2cead2577fa</x:v>
      </x:c>
      <x:c r="L674" s="19" t="str">
        <x:v>组件待审核</x:v>
      </x:c>
      <x:c r="M674" s="21" t="n">
        <x:v>35.623855</x:v>
      </x:c>
      <x:c r="N674" s="21" t="n">
        <x:v>139.422785</x:v>
      </x:c>
      <x:c r="O674" s="18" t="str">
        <x:v>004121</x:v>
      </x:c>
      <x:c r="P674" s="18" t="str">
        <x:v>多摩都市モノレール線</x:v>
      </x:c>
      <x:c r="Q674" s="19" t="str">
        <x:v>S12_061_GE_10000
OFFICIAL_HUB_COMPONENT_REVIEW</x:v>
      </x:c>
      <x:c r="R674" s="19" t="str">
        <x:v>S12_061 usage threshold</x:v>
      </x:c>
      <x:c r="S674" s="19" t="str">
        <x:v>https://nlftp.mlit.go.jp/ksj/gml/datalist/KsjTmplt-S12-2024.html</x:v>
      </x:c>
      <x:c r="T674" s="19" t="str">
        <x:v>https://nlftp.mlit.go.jp/ksj/gml/datalist/KsjTmplt-S12-2024.html
https://www.odakyu.jp/station/</x:v>
      </x:c>
      <x:c r="U674" s="19" t="str">
        <x:v>station-component|多摩センター|多摩都市モノレール|fixed_guideway|35.6239|139.4228|</x:v>
      </x:c>
      <x:c r="V674" s="19" t="str">
        <x:v>004121 / 004121 / 多摩都市モノレール線</x:v>
      </x:c>
      <x:c r="W674" s="18" t="str">
        <x:v>否</x:v>
      </x:c>
      <x:c r="X674" s="18" t="str">
        <x:v>0785e932a32b3ec15e1a1345537ae145eafe1c07bf38d5c16c11ee2b391e7a28</x:v>
      </x:c>
      <x:c r="Y674" s="20" t="n">
        <x:v>1</x:v>
      </x:c>
      <x:c r="Z674" s="20" t="n">
        <x:v>1</x:v>
      </x:c>
      <x:c r="AA674" s="19" t="str">
        <x:v>多摩センター</x:v>
      </x:c>
      <x:c r="AB674" s="18" t="str">
        <x:v>transport-hub-review:811222cd-59bb-5bf5-af4e-cbfa916d1f40</x:v>
      </x:c>
      <x:c r="AC674" s="19"/>
    </x:row>
    <x:row r="675" ht="28" customHeight="1">
      <x:c r="A675" s="18" t="str">
        <x:v>多摩境</x:v>
      </x:c>
      <x:c r="B675" s="18" t="str">
        <x:v>京王電鉄</x:v>
      </x:c>
      <x:c r="C675" s="18" t="str">
        <x:v>private_rail</x:v>
      </x:c>
      <x:c r="D675" s="19" t="str">
        <x:v>T2</x:v>
      </x:c>
      <x:c r="E675" s="20" t="n">
        <x:v>20444</x:v>
      </x:c>
      <x:c r="F675" s="18" t="str">
        <x:v>persons/day</x:v>
      </x:c>
      <x:c r="G675" s="18" t="str">
        <x:v>FY2024</x:v>
      </x:c>
      <x:c r="H675" s="18" t="str">
        <x:v>否</x:v>
      </x:c>
      <x:c r="I675" s="19" t="str">
        <x:v>DAILY_ENTRIES_EXITS</x:v>
      </x:c>
      <x:c r="J675" s="19" t="str">
        <x:v>相模原線</x:v>
      </x:c>
      <x:c r="K675" s="18" t="str">
        <x:v>transport-node:6b949d68-e813-5ea3-97f2-9026d20497f3</x:v>
      </x:c>
      <x:c r="L675" s="19" t="str">
        <x:v>组件待审核</x:v>
      </x:c>
      <x:c r="M675" s="21" t="n">
        <x:v>35.6017975</x:v>
      </x:c>
      <x:c r="N675" s="21" t="n">
        <x:v>139.36697</x:v>
      </x:c>
      <x:c r="O675" s="18" t="str">
        <x:v>004234</x:v>
      </x:c>
      <x:c r="P675" s="18" t="str">
        <x:v>相模原線</x:v>
      </x:c>
      <x:c r="Q675" s="19" t="str">
        <x:v>S12_061_GE_10000</x:v>
      </x:c>
      <x:c r="R675" s="19" t="str">
        <x:v>S12_061 usage threshold</x:v>
      </x:c>
      <x:c r="S675" s="19" t="str">
        <x:v>https://nlftp.mlit.go.jp/ksj/gml/datalist/KsjTmplt-S12-2024.html</x:v>
      </x:c>
      <x:c r="T675" s="19" t="str">
        <x:v>https://nlftp.mlit.go.jp/ksj/gml/datalist/KsjTmplt-S12-2024.html</x:v>
      </x:c>
      <x:c r="U675" s="19" t="str">
        <x:v>station-component|多摩境|京王電鉄|private_rail|35.6018|139.3670|</x:v>
      </x:c>
      <x:c r="V675" s="19" t="str">
        <x:v>004234 / 004234 / 相模原線</x:v>
      </x:c>
      <x:c r="W675" s="18" t="str">
        <x:v>否</x:v>
      </x:c>
      <x:c r="X675" s="18" t="str">
        <x:v>0785e932a32b3ec15e1a1345537ae145eafe1c07bf38d5c16c11ee2b391e7a28</x:v>
      </x:c>
      <x:c r="Y675" s="20" t="n">
        <x:v>1</x:v>
      </x:c>
      <x:c r="Z675" s="20" t="n">
        <x:v>1</x:v>
      </x:c>
      <x:c r="AA675" s="19"/>
      <x:c r="AB675" s="18"/>
      <x:c r="AC675" s="19"/>
    </x:row>
    <x:row r="676" ht="33" customHeight="1">
      <x:c r="A676" s="18" t="str">
        <x:v>多摩川</x:v>
      </x:c>
      <x:c r="B676" s="18" t="str">
        <x:v>東急電鉄</x:v>
      </x:c>
      <x:c r="C676" s="18" t="str">
        <x:v>private_rail</x:v>
      </x:c>
      <x:c r="D676" s="19" t="str">
        <x:v>T2</x:v>
      </x:c>
      <x:c r="E676" s="20" t="n">
        <x:v>21510</x:v>
      </x:c>
      <x:c r="F676" s="18" t="str">
        <x:v>persons/day</x:v>
      </x:c>
      <x:c r="G676" s="18" t="str">
        <x:v>FY2024</x:v>
      </x:c>
      <x:c r="H676" s="18" t="str">
        <x:v>否</x:v>
      </x:c>
      <x:c r="I676" s="19" t="str">
        <x:v>DAILY_ENTRIES_EXITS</x:v>
      </x:c>
      <x:c r="J676" s="19" t="str">
        <x:v>東急多摩川線
東横線</x:v>
      </x:c>
      <x:c r="K676" s="18" t="str">
        <x:v>transport-node:4df4da31-5475-5d45-b190-eed6c90bb318</x:v>
      </x:c>
      <x:c r="L676" s="19" t="str">
        <x:v>组件待审核</x:v>
      </x:c>
      <x:c r="M676" s="21" t="n">
        <x:v>35.58941</x:v>
      </x:c>
      <x:c r="N676" s="21" t="n">
        <x:v>139.66876</x:v>
      </x:c>
      <x:c r="O676" s="18" t="str">
        <x:v>004262</x:v>
      </x:c>
      <x:c r="P676" s="18" t="str">
        <x:v>東横線</x:v>
      </x:c>
      <x:c r="Q676" s="19" t="str">
        <x:v>S12_061_GE_10000</x:v>
      </x:c>
      <x:c r="R676" s="19" t="str">
        <x:v>S12_061 usage threshold</x:v>
      </x:c>
      <x:c r="S676" s="19" t="str">
        <x:v>https://nlftp.mlit.go.jp/ksj/gml/datalist/KsjTmplt-S12-2024.html</x:v>
      </x:c>
      <x:c r="T676" s="19" t="str">
        <x:v>https://nlftp.mlit.go.jp/ksj/gml/datalist/KsjTmplt-S12-2024.html</x:v>
      </x:c>
      <x:c r="U676" s="19" t="str">
        <x:v>station-component|多摩川|東急電鉄|private_rail|35.5894|139.6688|</x:v>
      </x:c>
      <x:c r="V676" s="19" t="str">
        <x:v>004261 / 004261 / 東急多摩川線
004261 / 004262 / 東横線</x:v>
      </x:c>
      <x:c r="W676" s="18" t="str">
        <x:v>否</x:v>
      </x:c>
      <x:c r="X676" s="18" t="str">
        <x:v>0785e932a32b3ec15e1a1345537ae145eafe1c07bf38d5c16c11ee2b391e7a28</x:v>
      </x:c>
      <x:c r="Y676" s="20" t="n">
        <x:v>1</x:v>
      </x:c>
      <x:c r="Z676" s="20" t="n">
        <x:v>1</x:v>
      </x:c>
      <x:c r="AA676" s="19"/>
      <x:c r="AB676" s="18"/>
      <x:c r="AC676" s="19"/>
    </x:row>
    <x:row r="677" ht="33" customHeight="1">
      <x:c r="A677" s="18" t="str">
        <x:v>多治見</x:v>
      </x:c>
      <x:c r="B677" s="18" t="str">
        <x:v>東海旅客鉄道</x:v>
      </x:c>
      <x:c r="C677" s="18" t="str">
        <x:v>conventional_rail</x:v>
      </x:c>
      <x:c r="D677" s="19" t="str">
        <x:v>T2</x:v>
      </x:c>
      <x:c r="E677" s="20" t="n">
        <x:v>22864</x:v>
      </x:c>
      <x:c r="F677" s="18" t="str">
        <x:v>persons/day</x:v>
      </x:c>
      <x:c r="G677" s="18" t="str">
        <x:v>FY2024</x:v>
      </x:c>
      <x:c r="H677" s="18" t="str">
        <x:v>否</x:v>
      </x:c>
      <x:c r="I677" s="19" t="str">
        <x:v>DAILY_ENTRIES_EXITS</x:v>
      </x:c>
      <x:c r="J677" s="19" t="str">
        <x:v>中央線
太多線</x:v>
      </x:c>
      <x:c r="K677" s="18" t="str">
        <x:v>transport-node:c89a3578-2630-561d-a49a-a4d172d85bdc</x:v>
      </x:c>
      <x:c r="L677" s="19" t="str">
        <x:v>组件待审核</x:v>
      </x:c>
      <x:c r="M677" s="21" t="n">
        <x:v>35.334835</x:v>
      </x:c>
      <x:c r="N677" s="21" t="n">
        <x:v>137.120285</x:v>
      </x:c>
      <x:c r="O677" s="18" t="str">
        <x:v>005010</x:v>
      </x:c>
      <x:c r="P677" s="18" t="str">
        <x:v>中央線</x:v>
      </x:c>
      <x:c r="Q677" s="19" t="str">
        <x:v>S12_061_GE_10000</x:v>
      </x:c>
      <x:c r="R677" s="19" t="str">
        <x:v>S12_061 usage threshold</x:v>
      </x:c>
      <x:c r="S677" s="19" t="str">
        <x:v>https://nlftp.mlit.go.jp/ksj/gml/datalist/KsjTmplt-S12-2024.html</x:v>
      </x:c>
      <x:c r="T677" s="19" t="str">
        <x:v>https://nlftp.mlit.go.jp/ksj/gml/datalist/KsjTmplt-S12-2024.html</x:v>
      </x:c>
      <x:c r="U677" s="19" t="str">
        <x:v>station-component|多治見|東海旅客鉄道|conventional_rail|35.3348|137.1203|</x:v>
      </x:c>
      <x:c r="V677" s="19" t="str">
        <x:v>005009 / 005009 / 太多線
005009 / 005010 / 中央線</x:v>
      </x:c>
      <x:c r="W677" s="18" t="str">
        <x:v>否</x:v>
      </x:c>
      <x:c r="X677" s="18" t="str">
        <x:v>0785e932a32b3ec15e1a1345537ae145eafe1c07bf38d5c16c11ee2b391e7a28</x:v>
      </x:c>
      <x:c r="Y677" s="20" t="n">
        <x:v>1</x:v>
      </x:c>
      <x:c r="Z677" s="20" t="n">
        <x:v>1</x:v>
      </x:c>
      <x:c r="AA677" s="19"/>
      <x:c r="AB677" s="18"/>
      <x:c r="AC677" s="19"/>
    </x:row>
    <x:row r="678" ht="28" customHeight="1">
      <x:c r="A678" s="18" t="str">
        <x:v>多磨</x:v>
      </x:c>
      <x:c r="B678" s="18" t="str">
        <x:v>西武鉄道</x:v>
      </x:c>
      <x:c r="C678" s="18" t="str">
        <x:v>private_rail</x:v>
      </x:c>
      <x:c r="D678" s="19" t="str">
        <x:v>T2</x:v>
      </x:c>
      <x:c r="E678" s="20" t="n">
        <x:v>12915</x:v>
      </x:c>
      <x:c r="F678" s="18" t="str">
        <x:v>persons/day</x:v>
      </x:c>
      <x:c r="G678" s="18" t="str">
        <x:v>FY2024</x:v>
      </x:c>
      <x:c r="H678" s="18" t="str">
        <x:v>否</x:v>
      </x:c>
      <x:c r="I678" s="19" t="str">
        <x:v>DAILY_ENTRIES_EXITS</x:v>
      </x:c>
      <x:c r="J678" s="19" t="str">
        <x:v>多摩川線</x:v>
      </x:c>
      <x:c r="K678" s="18" t="str">
        <x:v>transport-node:e7ec54ba-0c39-50ec-a157-46b5fbfebc6d</x:v>
      </x:c>
      <x:c r="L678" s="19" t="str">
        <x:v>组件待审核</x:v>
      </x:c>
      <x:c r="M678" s="21" t="n">
        <x:v>35.676825</x:v>
      </x:c>
      <x:c r="N678" s="21" t="n">
        <x:v>139.51715</x:v>
      </x:c>
      <x:c r="O678" s="18" t="str">
        <x:v>003790</x:v>
      </x:c>
      <x:c r="P678" s="18" t="str">
        <x:v>多摩川線</x:v>
      </x:c>
      <x:c r="Q678" s="19" t="str">
        <x:v>S12_061_GE_10000</x:v>
      </x:c>
      <x:c r="R678" s="19" t="str">
        <x:v>S12_061 usage threshold</x:v>
      </x:c>
      <x:c r="S678" s="19" t="str">
        <x:v>https://nlftp.mlit.go.jp/ksj/gml/datalist/KsjTmplt-S12-2024.html</x:v>
      </x:c>
      <x:c r="T678" s="19" t="str">
        <x:v>https://nlftp.mlit.go.jp/ksj/gml/datalist/KsjTmplt-S12-2024.html</x:v>
      </x:c>
      <x:c r="U678" s="19" t="str">
        <x:v>station-component|多磨|西武鉄道|private_rail|35.6768|139.5171|</x:v>
      </x:c>
      <x:c r="V678" s="19" t="str">
        <x:v>003790 / 003790 / 多摩川線</x:v>
      </x:c>
      <x:c r="W678" s="18" t="str">
        <x:v>否</x:v>
      </x:c>
      <x:c r="X678" s="18" t="str">
        <x:v>0785e932a32b3ec15e1a1345537ae145eafe1c07bf38d5c16c11ee2b391e7a28</x:v>
      </x:c>
      <x:c r="Y678" s="20" t="n">
        <x:v>1</x:v>
      </x:c>
      <x:c r="Z678" s="20" t="n">
        <x:v>1</x:v>
      </x:c>
      <x:c r="AA678" s="19"/>
      <x:c r="AB678" s="18"/>
      <x:c r="AC678" s="19"/>
    </x:row>
    <x:row r="679" ht="28" customHeight="1">
      <x:c r="A679" s="18" t="str">
        <x:v>多磨霊園</x:v>
      </x:c>
      <x:c r="B679" s="18" t="str">
        <x:v>京王電鉄</x:v>
      </x:c>
      <x:c r="C679" s="18" t="str">
        <x:v>private_rail</x:v>
      </x:c>
      <x:c r="D679" s="19" t="str">
        <x:v>T2</x:v>
      </x:c>
      <x:c r="E679" s="20" t="n">
        <x:v>12850</x:v>
      </x:c>
      <x:c r="F679" s="18" t="str">
        <x:v>persons/day</x:v>
      </x:c>
      <x:c r="G679" s="18" t="str">
        <x:v>FY2024</x:v>
      </x:c>
      <x:c r="H679" s="18" t="str">
        <x:v>否</x:v>
      </x:c>
      <x:c r="I679" s="19" t="str">
        <x:v>DAILY_ENTRIES_EXITS</x:v>
      </x:c>
      <x:c r="J679" s="19" t="str">
        <x:v>京王線</x:v>
      </x:c>
      <x:c r="K679" s="18" t="str">
        <x:v>transport-node:27d7f4a3-f4b1-53c2-b8a6-fbcd78803181</x:v>
      </x:c>
      <x:c r="L679" s="19" t="str">
        <x:v>组件待审核</x:v>
      </x:c>
      <x:c r="M679" s="21" t="n">
        <x:v>35.66636</x:v>
      </x:c>
      <x:c r="N679" s="21" t="n">
        <x:v>139.50212</x:v>
      </x:c>
      <x:c r="O679" s="18" t="str">
        <x:v>003871</x:v>
      </x:c>
      <x:c r="P679" s="18" t="str">
        <x:v>京王線</x:v>
      </x:c>
      <x:c r="Q679" s="19" t="str">
        <x:v>S12_061_GE_10000</x:v>
      </x:c>
      <x:c r="R679" s="19" t="str">
        <x:v>S12_061 usage threshold</x:v>
      </x:c>
      <x:c r="S679" s="19" t="str">
        <x:v>https://nlftp.mlit.go.jp/ksj/gml/datalist/KsjTmplt-S12-2024.html</x:v>
      </x:c>
      <x:c r="T679" s="19" t="str">
        <x:v>https://nlftp.mlit.go.jp/ksj/gml/datalist/KsjTmplt-S12-2024.html</x:v>
      </x:c>
      <x:c r="U679" s="19" t="str">
        <x:v>station-component|多磨霊園|京王電鉄|private_rail|35.6664|139.5021|</x:v>
      </x:c>
      <x:c r="V679" s="19" t="str">
        <x:v>003871 / 003871 / 京王線</x:v>
      </x:c>
      <x:c r="W679" s="18" t="str">
        <x:v>否</x:v>
      </x:c>
      <x:c r="X679" s="18" t="str">
        <x:v>0785e932a32b3ec15e1a1345537ae145eafe1c07bf38d5c16c11ee2b391e7a28</x:v>
      </x:c>
      <x:c r="Y679" s="20" t="n">
        <x:v>1</x:v>
      </x:c>
      <x:c r="Z679" s="20" t="n">
        <x:v>1</x:v>
      </x:c>
      <x:c r="AA679" s="19"/>
      <x:c r="AB679" s="18"/>
      <x:c r="AC679" s="19"/>
    </x:row>
    <x:row r="680" ht="28" customHeight="1">
      <x:c r="A680" s="18" t="str">
        <x:v>多賀城</x:v>
      </x:c>
      <x:c r="B680" s="18" t="str">
        <x:v>東日本旅客鉄道</x:v>
      </x:c>
      <x:c r="C680" s="18" t="str">
        <x:v>conventional_rail</x:v>
      </x:c>
      <x:c r="D680" s="19" t="str">
        <x:v>T2</x:v>
      </x:c>
      <x:c r="E680" s="20" t="n">
        <x:v>11302</x:v>
      </x:c>
      <x:c r="F680" s="18" t="str">
        <x:v>persons/day</x:v>
      </x:c>
      <x:c r="G680" s="18" t="str">
        <x:v>FY2024</x:v>
      </x:c>
      <x:c r="H680" s="18" t="str">
        <x:v>否</x:v>
      </x:c>
      <x:c r="I680" s="19" t="str">
        <x:v>DAILY_ENTRIES_EXITS</x:v>
      </x:c>
      <x:c r="J680" s="19" t="str">
        <x:v>仙石線</x:v>
      </x:c>
      <x:c r="K680" s="18" t="str">
        <x:v>transport-node:807fa9a6-907e-5b1c-a1f9-73c37f2dd2ce</x:v>
      </x:c>
      <x:c r="L680" s="19" t="str">
        <x:v>组件待审核</x:v>
      </x:c>
      <x:c r="M680" s="21" t="n">
        <x:v>38.29168</x:v>
      </x:c>
      <x:c r="N680" s="21" t="n">
        <x:v>141.00538</x:v>
      </x:c>
      <x:c r="O680" s="18" t="str">
        <x:v>001146</x:v>
      </x:c>
      <x:c r="P680" s="18" t="str">
        <x:v>仙石線</x:v>
      </x:c>
      <x:c r="Q680" s="19" t="str">
        <x:v>S12_061_GE_10000</x:v>
      </x:c>
      <x:c r="R680" s="19" t="str">
        <x:v>S12_061 usage threshold</x:v>
      </x:c>
      <x:c r="S680" s="19" t="str">
        <x:v>https://nlftp.mlit.go.jp/ksj/gml/datalist/KsjTmplt-S12-2024.html</x:v>
      </x:c>
      <x:c r="T680" s="19" t="str">
        <x:v>https://nlftp.mlit.go.jp/ksj/gml/datalist/KsjTmplt-S12-2024.html</x:v>
      </x:c>
      <x:c r="U680" s="19" t="str">
        <x:v>station-component|多賀城|東日本旅客鉄道|conventional_rail|38.2917|141.0054|</x:v>
      </x:c>
      <x:c r="V680" s="19" t="str">
        <x:v>001146 / 001146 / 仙石線</x:v>
      </x:c>
      <x:c r="W680" s="18" t="str">
        <x:v>否</x:v>
      </x:c>
      <x:c r="X680" s="18" t="str">
        <x:v>0785e932a32b3ec15e1a1345537ae145eafe1c07bf38d5c16c11ee2b391e7a28</x:v>
      </x:c>
      <x:c r="Y680" s="20" t="n">
        <x:v>1</x:v>
      </x:c>
      <x:c r="Z680" s="20" t="n">
        <x:v>1</x:v>
      </x:c>
      <x:c r="AA680" s="19"/>
      <x:c r="AB680" s="18"/>
      <x:c r="AC680" s="19"/>
    </x:row>
    <x:row r="681" ht="28" customHeight="1">
      <x:c r="A681" s="18" t="str">
        <x:v>大久保</x:v>
      </x:c>
      <x:c r="B681" s="18" t="str">
        <x:v>東日本旅客鉄道</x:v>
      </x:c>
      <x:c r="C681" s="18" t="str">
        <x:v>conventional_rail</x:v>
      </x:c>
      <x:c r="D681" s="19" t="str">
        <x:v>T1</x:v>
      </x:c>
      <x:c r="E681" s="20" t="n">
        <x:v>51544</x:v>
      </x:c>
      <x:c r="F681" s="18" t="str">
        <x:v>persons/day</x:v>
      </x:c>
      <x:c r="G681" s="18" t="str">
        <x:v>FY2024</x:v>
      </x:c>
      <x:c r="H681" s="18" t="str">
        <x:v>否</x:v>
      </x:c>
      <x:c r="I681" s="19" t="str">
        <x:v>DAILY_ENTRIES_EXITS</x:v>
      </x:c>
      <x:c r="J681" s="19" t="str">
        <x:v>中央線</x:v>
      </x:c>
      <x:c r="K681" s="18" t="str">
        <x:v>transport-node:d36be1aa-09e0-5aee-81c3-96618787021e</x:v>
      </x:c>
      <x:c r="L681" s="19" t="str">
        <x:v>组件待审核</x:v>
      </x:c>
      <x:c r="M681" s="21" t="n">
        <x:v>35.700635</x:v>
      </x:c>
      <x:c r="N681" s="21" t="n">
        <x:v>139.697445</x:v>
      </x:c>
      <x:c r="O681" s="18" t="str">
        <x:v>003604</x:v>
      </x:c>
      <x:c r="P681" s="18" t="str">
        <x:v>中央線</x:v>
      </x:c>
      <x:c r="Q681" s="19" t="str">
        <x:v>S12_061_GE_10000</x:v>
      </x:c>
      <x:c r="R681" s="19" t="str">
        <x:v>S12_061 usage threshold</x:v>
      </x:c>
      <x:c r="S681" s="19" t="str">
        <x:v>https://nlftp.mlit.go.jp/ksj/gml/datalist/KsjTmplt-S12-2024.html</x:v>
      </x:c>
      <x:c r="T681" s="19" t="str">
        <x:v>https://nlftp.mlit.go.jp/ksj/gml/datalist/KsjTmplt-S12-2024.html</x:v>
      </x:c>
      <x:c r="U681" s="19" t="str">
        <x:v>station-component|大久保|東日本旅客鉄道|conventional_rail|35.7006|139.6974|</x:v>
      </x:c>
      <x:c r="V681" s="19" t="str">
        <x:v>003604 / 003604 / 中央線</x:v>
      </x:c>
      <x:c r="W681" s="18" t="str">
        <x:v>否</x:v>
      </x:c>
      <x:c r="X681" s="18" t="str">
        <x:v>0785e932a32b3ec15e1a1345537ae145eafe1c07bf38d5c16c11ee2b391e7a28</x:v>
      </x:c>
      <x:c r="Y681" s="20" t="n">
        <x:v>1</x:v>
      </x:c>
      <x:c r="Z681" s="20" t="n">
        <x:v>1</x:v>
      </x:c>
      <x:c r="AA681" s="19"/>
      <x:c r="AB681" s="18"/>
      <x:c r="AC681" s="19"/>
    </x:row>
    <x:row r="682" ht="28" customHeight="1">
      <x:c r="A682" s="18" t="str">
        <x:v>大久保</x:v>
      </x:c>
      <x:c r="B682" s="18" t="str">
        <x:v>西日本旅客鉄道</x:v>
      </x:c>
      <x:c r="C682" s="18" t="str">
        <x:v>conventional_rail</x:v>
      </x:c>
      <x:c r="D682" s="19" t="str">
        <x:v>T2</x:v>
      </x:c>
      <x:c r="E682" s="20" t="n">
        <x:v>38520</x:v>
      </x:c>
      <x:c r="F682" s="18" t="str">
        <x:v>persons/day</x:v>
      </x:c>
      <x:c r="G682" s="18" t="str">
        <x:v>FY2024</x:v>
      </x:c>
      <x:c r="H682" s="18" t="str">
        <x:v>否</x:v>
      </x:c>
      <x:c r="I682" s="19" t="str">
        <x:v>DAILY_ENTRIES_EXITS</x:v>
      </x:c>
      <x:c r="J682" s="19" t="str">
        <x:v>山陽線</x:v>
      </x:c>
      <x:c r="K682" s="18" t="str">
        <x:v>transport-node:c24cc117-eed8-5da4-9947-a74ac56d5615</x:v>
      </x:c>
      <x:c r="L682" s="19" t="str">
        <x:v>组件待审核</x:v>
      </x:c>
      <x:c r="M682" s="21" t="n">
        <x:v>34.681985</x:v>
      </x:c>
      <x:c r="N682" s="21" t="n">
        <x:v>134.939175</x:v>
      </x:c>
      <x:c r="O682" s="18" t="str">
        <x:v>007196</x:v>
      </x:c>
      <x:c r="P682" s="18" t="str">
        <x:v>山陽線</x:v>
      </x:c>
      <x:c r="Q682" s="19" t="str">
        <x:v>S12_061_GE_10000</x:v>
      </x:c>
      <x:c r="R682" s="19" t="str">
        <x:v>S12_061 usage threshold</x:v>
      </x:c>
      <x:c r="S682" s="19" t="str">
        <x:v>https://nlftp.mlit.go.jp/ksj/gml/datalist/KsjTmplt-S12-2024.html</x:v>
      </x:c>
      <x:c r="T682" s="19" t="str">
        <x:v>https://nlftp.mlit.go.jp/ksj/gml/datalist/KsjTmplt-S12-2024.html</x:v>
      </x:c>
      <x:c r="U682" s="19" t="str">
        <x:v>station-component|大久保|西日本旅客鉄道|conventional_rail|34.6820|134.9392|</x:v>
      </x:c>
      <x:c r="V682" s="19" t="str">
        <x:v>007196 / 007196 / 山陽線</x:v>
      </x:c>
      <x:c r="W682" s="18" t="str">
        <x:v>否</x:v>
      </x:c>
      <x:c r="X682" s="18" t="str">
        <x:v>0785e932a32b3ec15e1a1345537ae145eafe1c07bf38d5c16c11ee2b391e7a28</x:v>
      </x:c>
      <x:c r="Y682" s="20" t="n">
        <x:v>1</x:v>
      </x:c>
      <x:c r="Z682" s="20" t="n">
        <x:v>1</x:v>
      </x:c>
      <x:c r="AA682" s="19"/>
      <x:c r="AB682" s="18"/>
      <x:c r="AC682" s="19"/>
    </x:row>
    <x:row r="683" ht="28" customHeight="1">
      <x:c r="A683" s="18" t="str">
        <x:v>大久保</x:v>
      </x:c>
      <x:c r="B683" s="18" t="str">
        <x:v>近畿日本鉄道</x:v>
      </x:c>
      <x:c r="C683" s="18" t="str">
        <x:v>private_rail</x:v>
      </x:c>
      <x:c r="D683" s="19" t="str">
        <x:v>T2</x:v>
      </x:c>
      <x:c r="E683" s="20" t="n">
        <x:v>23355</x:v>
      </x:c>
      <x:c r="F683" s="18" t="str">
        <x:v>persons/day</x:v>
      </x:c>
      <x:c r="G683" s="18" t="str">
        <x:v>FY2024</x:v>
      </x:c>
      <x:c r="H683" s="18" t="str">
        <x:v>否</x:v>
      </x:c>
      <x:c r="I683" s="19" t="str">
        <x:v>DAILY_ENTRIES_EXITS</x:v>
      </x:c>
      <x:c r="J683" s="19" t="str">
        <x:v>京都線</x:v>
      </x:c>
      <x:c r="K683" s="18" t="str">
        <x:v>transport-node:333e0031-9684-564f-87f0-7b9da0273cc7</x:v>
      </x:c>
      <x:c r="L683" s="19" t="str">
        <x:v>组件待审核</x:v>
      </x:c>
      <x:c r="M683" s="21" t="n">
        <x:v>34.87463</x:v>
      </x:c>
      <x:c r="N683" s="21" t="n">
        <x:v>135.77706</x:v>
      </x:c>
      <x:c r="O683" s="18" t="str">
        <x:v>006378</x:v>
      </x:c>
      <x:c r="P683" s="18" t="str">
        <x:v>京都線</x:v>
      </x:c>
      <x:c r="Q683" s="19" t="str">
        <x:v>S12_061_GE_10000</x:v>
      </x:c>
      <x:c r="R683" s="19" t="str">
        <x:v>S12_061 usage threshold</x:v>
      </x:c>
      <x:c r="S683" s="19" t="str">
        <x:v>https://nlftp.mlit.go.jp/ksj/gml/datalist/KsjTmplt-S12-2024.html</x:v>
      </x:c>
      <x:c r="T683" s="19" t="str">
        <x:v>https://nlftp.mlit.go.jp/ksj/gml/datalist/KsjTmplt-S12-2024.html</x:v>
      </x:c>
      <x:c r="U683" s="19" t="str">
        <x:v>station-component|大久保|近畿日本鉄道|private_rail|34.8746|135.7771|</x:v>
      </x:c>
      <x:c r="V683" s="19" t="str">
        <x:v>006378 / 006378 / 京都線</x:v>
      </x:c>
      <x:c r="W683" s="18" t="str">
        <x:v>否</x:v>
      </x:c>
      <x:c r="X683" s="18" t="str">
        <x:v>0785e932a32b3ec15e1a1345537ae145eafe1c07bf38d5c16c11ee2b391e7a28</x:v>
      </x:c>
      <x:c r="Y683" s="20" t="n">
        <x:v>1</x:v>
      </x:c>
      <x:c r="Z683" s="20" t="n">
        <x:v>1</x:v>
      </x:c>
      <x:c r="AA683" s="19"/>
      <x:c r="AB683" s="18"/>
      <x:c r="AC683" s="19"/>
    </x:row>
    <x:row r="684" ht="33" customHeight="1">
      <x:c r="A684" s="18" t="str">
        <x:v>大井町</x:v>
      </x:c>
      <x:c r="B684" s="18" t="str">
        <x:v>東京臨海高速鉄道</x:v>
      </x:c>
      <x:c r="C684" s="18" t="str">
        <x:v>private_rail</x:v>
      </x:c>
      <x:c r="D684" s="19" t="str">
        <x:v>T1</x:v>
      </x:c>
      <x:c r="E684" s="20" t="n">
        <x:v>73761</x:v>
      </x:c>
      <x:c r="F684" s="18" t="str">
        <x:v>persons/day</x:v>
      </x:c>
      <x:c r="G684" s="18" t="str">
        <x:v>FY2024</x:v>
      </x:c>
      <x:c r="H684" s="18" t="str">
        <x:v>否</x:v>
      </x:c>
      <x:c r="I684" s="19" t="str">
        <x:v>DAILY_ENTRIES_EXITS</x:v>
      </x:c>
      <x:c r="J684" s="19" t="str">
        <x:v>臨海副都心線</x:v>
      </x:c>
      <x:c r="K684" s="18" t="str">
        <x:v>transport-node:6fd8e4ae-23d8-55d1-9bfc-63d273b90e3a</x:v>
      </x:c>
      <x:c r="L684" s="19" t="str">
        <x:v>组件待审核</x:v>
      </x:c>
      <x:c r="M684" s="21" t="n">
        <x:v>35.607385</x:v>
      </x:c>
      <x:c r="N684" s="21" t="n">
        <x:v>139.734355</x:v>
      </x:c>
      <x:c r="O684" s="18" t="str">
        <x:v>004197</x:v>
      </x:c>
      <x:c r="P684" s="18" t="str">
        <x:v>臨海副都心線</x:v>
      </x:c>
      <x:c r="Q684" s="19" t="str">
        <x:v>S12_061_GE_10000
OFFICIAL_HUB_COMPONENT_REVIEW</x:v>
      </x:c>
      <x:c r="R684" s="19" t="str">
        <x:v>S12_061 usage threshold</x:v>
      </x:c>
      <x:c r="S684" s="19" t="str">
        <x:v>https://nlftp.mlit.go.jp/ksj/gml/datalist/KsjTmplt-S12-2024.html</x:v>
      </x:c>
      <x:c r="T684" s="19" t="str">
        <x:v>https://nlftp.mlit.go.jp/ksj/gml/datalist/KsjTmplt-S12-2024.html
https://www.tokyu.co.jp/area/oimachi/station/</x:v>
      </x:c>
      <x:c r="U684" s="19" t="str">
        <x:v>station-component|大井町|東京臨海高速鉄道|private_rail|35.6074|139.7344|</x:v>
      </x:c>
      <x:c r="V684" s="19" t="str">
        <x:v>004197 / 004197 / 臨海副都心線</x:v>
      </x:c>
      <x:c r="W684" s="18" t="str">
        <x:v>否</x:v>
      </x:c>
      <x:c r="X684" s="18" t="str">
        <x:v>0785e932a32b3ec15e1a1345537ae145eafe1c07bf38d5c16c11ee2b391e7a28</x:v>
      </x:c>
      <x:c r="Y684" s="20" t="n">
        <x:v>1</x:v>
      </x:c>
      <x:c r="Z684" s="20" t="n">
        <x:v>1</x:v>
      </x:c>
      <x:c r="AA684" s="19" t="str">
        <x:v>大井町</x:v>
      </x:c>
      <x:c r="AB684" s="18" t="str">
        <x:v>transport-hub-review:37f83a89-385e-50b4-8bd6-dd22b90a8678</x:v>
      </x:c>
      <x:c r="AC684" s="19"/>
    </x:row>
    <x:row r="685" ht="33" customHeight="1">
      <x:c r="A685" s="18" t="str">
        <x:v>大井町</x:v>
      </x:c>
      <x:c r="B685" s="18" t="str">
        <x:v>東急電鉄</x:v>
      </x:c>
      <x:c r="C685" s="18" t="str">
        <x:v>private_rail</x:v>
      </x:c>
      <x:c r="D685" s="19" t="str">
        <x:v>T1</x:v>
      </x:c>
      <x:c r="E685" s="20" t="n">
        <x:v>116836</x:v>
      </x:c>
      <x:c r="F685" s="18" t="str">
        <x:v>persons/day</x:v>
      </x:c>
      <x:c r="G685" s="18" t="str">
        <x:v>FY2024</x:v>
      </x:c>
      <x:c r="H685" s="18" t="str">
        <x:v>否</x:v>
      </x:c>
      <x:c r="I685" s="19" t="str">
        <x:v>DAILY_ENTRIES_EXITS</x:v>
      </x:c>
      <x:c r="J685" s="19" t="str">
        <x:v>大井町線</x:v>
      </x:c>
      <x:c r="K685" s="18" t="str">
        <x:v>transport-node:4a22589b-9ccd-5b7b-8204-89ead51f1509</x:v>
      </x:c>
      <x:c r="L685" s="19" t="str">
        <x:v>组件待审核</x:v>
      </x:c>
      <x:c r="M685" s="21" t="n">
        <x:v>35.6077167</x:v>
      </x:c>
      <x:c r="N685" s="21" t="n">
        <x:v>139.73401</x:v>
      </x:c>
      <x:c r="O685" s="18" t="str">
        <x:v>004193</x:v>
      </x:c>
      <x:c r="P685" s="18" t="str">
        <x:v>大井町線</x:v>
      </x:c>
      <x:c r="Q685" s="19" t="str">
        <x:v>S12_061_GE_10000
OFFICIAL_HUB_COMPONENT_REVIEW</x:v>
      </x:c>
      <x:c r="R685" s="19" t="str">
        <x:v>S12_061 usage threshold</x:v>
      </x:c>
      <x:c r="S685" s="19" t="str">
        <x:v>https://nlftp.mlit.go.jp/ksj/gml/datalist/KsjTmplt-S12-2024.html</x:v>
      </x:c>
      <x:c r="T685" s="19" t="str">
        <x:v>https://nlftp.mlit.go.jp/ksj/gml/datalist/KsjTmplt-S12-2024.html
https://www.tokyu.co.jp/area/oimachi/station/</x:v>
      </x:c>
      <x:c r="U685" s="19" t="str">
        <x:v>station-component|大井町|東急電鉄|private_rail|35.6077|139.7340|</x:v>
      </x:c>
      <x:c r="V685" s="19" t="str">
        <x:v>004197 / 004193 / 大井町線</x:v>
      </x:c>
      <x:c r="W685" s="18" t="str">
        <x:v>否</x:v>
      </x:c>
      <x:c r="X685" s="18" t="str">
        <x:v>0785e932a32b3ec15e1a1345537ae145eafe1c07bf38d5c16c11ee2b391e7a28</x:v>
      </x:c>
      <x:c r="Y685" s="20" t="n">
        <x:v>1</x:v>
      </x:c>
      <x:c r="Z685" s="20" t="n">
        <x:v>1</x:v>
      </x:c>
      <x:c r="AA685" s="19" t="str">
        <x:v>大井町</x:v>
      </x:c>
      <x:c r="AB685" s="18" t="str">
        <x:v>transport-hub-review:37f83a89-385e-50b4-8bd6-dd22b90a8678</x:v>
      </x:c>
      <x:c r="AC685" s="19"/>
    </x:row>
    <x:row r="686" ht="33" customHeight="1">
      <x:c r="A686" s="18" t="str">
        <x:v>大井町</x:v>
      </x:c>
      <x:c r="B686" s="18" t="str">
        <x:v>東日本旅客鉄道</x:v>
      </x:c>
      <x:c r="C686" s="18" t="str">
        <x:v>conventional_rail</x:v>
      </x:c>
      <x:c r="D686" s="19" t="str">
        <x:v>T1</x:v>
      </x:c>
      <x:c r="E686" s="20" t="n">
        <x:v>176304</x:v>
      </x:c>
      <x:c r="F686" s="18" t="str">
        <x:v>persons/day</x:v>
      </x:c>
      <x:c r="G686" s="18" t="str">
        <x:v>FY2024</x:v>
      </x:c>
      <x:c r="H686" s="18" t="str">
        <x:v>否</x:v>
      </x:c>
      <x:c r="I686" s="19" t="str">
        <x:v>DAILY_ENTRIES_EXITS</x:v>
      </x:c>
      <x:c r="J686" s="19" t="str">
        <x:v>東海道線</x:v>
      </x:c>
      <x:c r="K686" s="18" t="str">
        <x:v>transport-node:c62b5a6f-b990-58a9-976e-4ebee3808fae</x:v>
      </x:c>
      <x:c r="L686" s="19" t="str">
        <x:v>组件待审核</x:v>
      </x:c>
      <x:c r="M686" s="21" t="n">
        <x:v>35.60707</x:v>
      </x:c>
      <x:c r="N686" s="21" t="n">
        <x:v>139.7350133</x:v>
      </x:c>
      <x:c r="O686" s="18" t="str">
        <x:v>004207</x:v>
      </x:c>
      <x:c r="P686" s="18" t="str">
        <x:v>東海道線</x:v>
      </x:c>
      <x:c r="Q686" s="19" t="str">
        <x:v>S12_061_GE_10000
OFFICIAL_HUB_COMPONENT_REVIEW</x:v>
      </x:c>
      <x:c r="R686" s="19" t="str">
        <x:v>S12_061 usage threshold</x:v>
      </x:c>
      <x:c r="S686" s="19" t="str">
        <x:v>https://nlftp.mlit.go.jp/ksj/gml/datalist/KsjTmplt-S12-2024.html</x:v>
      </x:c>
      <x:c r="T686" s="19" t="str">
        <x:v>https://nlftp.mlit.go.jp/ksj/gml/datalist/KsjTmplt-S12-2024.html
https://www.tokyu.co.jp/area/oimachi/station/</x:v>
      </x:c>
      <x:c r="U686" s="19" t="str">
        <x:v>station-component|大井町|東日本旅客鉄道|conventional_rail|35.6071|139.7350|</x:v>
      </x:c>
      <x:c r="V686" s="19" t="str">
        <x:v>004197 / 004207 / 東海道線</x:v>
      </x:c>
      <x:c r="W686" s="18" t="str">
        <x:v>否</x:v>
      </x:c>
      <x:c r="X686" s="18" t="str">
        <x:v>0785e932a32b3ec15e1a1345537ae145eafe1c07bf38d5c16c11ee2b391e7a28</x:v>
      </x:c>
      <x:c r="Y686" s="20" t="n">
        <x:v>1</x:v>
      </x:c>
      <x:c r="Z686" s="20" t="n">
        <x:v>1</x:v>
      </x:c>
      <x:c r="AA686" s="19" t="str">
        <x:v>大井町</x:v>
      </x:c>
      <x:c r="AB686" s="18" t="str">
        <x:v>transport-hub-review:37f83a89-385e-50b4-8bd6-dd22b90a8678</x:v>
      </x:c>
      <x:c r="AC686" s="19"/>
    </x:row>
    <x:row r="687" ht="28" customHeight="1">
      <x:c r="A687" s="18" t="str">
        <x:v>大井競馬場前</x:v>
      </x:c>
      <x:c r="B687" s="18" t="str">
        <x:v>東京モノレール</x:v>
      </x:c>
      <x:c r="C687" s="18" t="str">
        <x:v>fixed_guideway</x:v>
      </x:c>
      <x:c r="D687" s="19" t="str">
        <x:v>T2</x:v>
      </x:c>
      <x:c r="E687" s="20" t="n">
        <x:v>11828</x:v>
      </x:c>
      <x:c r="F687" s="18" t="str">
        <x:v>persons/day</x:v>
      </x:c>
      <x:c r="G687" s="18" t="str">
        <x:v>FY2024</x:v>
      </x:c>
      <x:c r="H687" s="18" t="str">
        <x:v>否</x:v>
      </x:c>
      <x:c r="I687" s="19" t="str">
        <x:v>DAILY_ENTRIES_EXITS</x:v>
      </x:c>
      <x:c r="J687" s="19" t="str">
        <x:v>東京モノレール羽田空港線</x:v>
      </x:c>
      <x:c r="K687" s="18" t="str">
        <x:v>transport-node:4191cf17-afe7-539c-9031-34814a90b536</x:v>
      </x:c>
      <x:c r="L687" s="19" t="str">
        <x:v>组件待审核</x:v>
      </x:c>
      <x:c r="M687" s="21" t="n">
        <x:v>35.59503</x:v>
      </x:c>
      <x:c r="N687" s="21" t="n">
        <x:v>139.7472</x:v>
      </x:c>
      <x:c r="O687" s="18" t="str">
        <x:v>004251</x:v>
      </x:c>
      <x:c r="P687" s="18" t="str">
        <x:v>東京モノレール羽田空港線</x:v>
      </x:c>
      <x:c r="Q687" s="19" t="str">
        <x:v>S12_061_GE_10000</x:v>
      </x:c>
      <x:c r="R687" s="19" t="str">
        <x:v>S12_061 usage threshold</x:v>
      </x:c>
      <x:c r="S687" s="19" t="str">
        <x:v>https://nlftp.mlit.go.jp/ksj/gml/datalist/KsjTmplt-S12-2024.html</x:v>
      </x:c>
      <x:c r="T687" s="19" t="str">
        <x:v>https://nlftp.mlit.go.jp/ksj/gml/datalist/KsjTmplt-S12-2024.html</x:v>
      </x:c>
      <x:c r="U687" s="19" t="str">
        <x:v>station-component|大井競馬場前|東京モノレール|fixed_guideway|35.5950|139.7472|</x:v>
      </x:c>
      <x:c r="V687" s="19" t="str">
        <x:v>004251 / 004251 / 東京モノレール羽田空港線</x:v>
      </x:c>
      <x:c r="W687" s="18" t="str">
        <x:v>否</x:v>
      </x:c>
      <x:c r="X687" s="18" t="str">
        <x:v>0785e932a32b3ec15e1a1345537ae145eafe1c07bf38d5c16c11ee2b391e7a28</x:v>
      </x:c>
      <x:c r="Y687" s="20" t="n">
        <x:v>1</x:v>
      </x:c>
      <x:c r="Z687" s="20" t="n">
        <x:v>1</x:v>
      </x:c>
      <x:c r="AA687" s="19"/>
      <x:c r="AB687" s="18"/>
      <x:c r="AC687" s="19"/>
    </x:row>
    <x:row r="688" ht="28" customHeight="1">
      <x:c r="A688" s="18" t="str">
        <x:v>大倉山</x:v>
      </x:c>
      <x:c r="B688" s="18" t="str">
        <x:v>東急電鉄</x:v>
      </x:c>
      <x:c r="C688" s="18" t="str">
        <x:v>private_rail</x:v>
      </x:c>
      <x:c r="D688" s="19" t="str">
        <x:v>T2</x:v>
      </x:c>
      <x:c r="E688" s="20" t="n">
        <x:v>49730</x:v>
      </x:c>
      <x:c r="F688" s="18" t="str">
        <x:v>persons/day</x:v>
      </x:c>
      <x:c r="G688" s="18" t="str">
        <x:v>FY2024</x:v>
      </x:c>
      <x:c r="H688" s="18" t="str">
        <x:v>否</x:v>
      </x:c>
      <x:c r="I688" s="19" t="str">
        <x:v>DAILY_ENTRIES_EXITS</x:v>
      </x:c>
      <x:c r="J688" s="19" t="str">
        <x:v>東横線</x:v>
      </x:c>
      <x:c r="K688" s="18" t="str">
        <x:v>transport-node:cdf5d80f-7ef3-5d7c-b697-8ded6fb18db4</x:v>
      </x:c>
      <x:c r="L688" s="19" t="str">
        <x:v>组件待审核</x:v>
      </x:c>
      <x:c r="M688" s="21" t="n">
        <x:v>35.5224316</x:v>
      </x:c>
      <x:c r="N688" s="21" t="n">
        <x:v>139.6298262</x:v>
      </x:c>
      <x:c r="O688" s="18" t="str">
        <x:v>004452</x:v>
      </x:c>
      <x:c r="P688" s="18" t="str">
        <x:v>東横線</x:v>
      </x:c>
      <x:c r="Q688" s="19" t="str">
        <x:v>S12_061_GE_10000</x:v>
      </x:c>
      <x:c r="R688" s="19" t="str">
        <x:v>S12_061 usage threshold</x:v>
      </x:c>
      <x:c r="S688" s="19" t="str">
        <x:v>https://nlftp.mlit.go.jp/ksj/gml/datalist/KsjTmplt-S12-2024.html</x:v>
      </x:c>
      <x:c r="T688" s="19" t="str">
        <x:v>https://nlftp.mlit.go.jp/ksj/gml/datalist/KsjTmplt-S12-2024.html</x:v>
      </x:c>
      <x:c r="U688" s="19" t="str">
        <x:v>station-component|大倉山|東急電鉄|private_rail|35.5224|139.6298|</x:v>
      </x:c>
      <x:c r="V688" s="19" t="str">
        <x:v>004452 / 004452 / 東横線</x:v>
      </x:c>
      <x:c r="W688" s="18" t="str">
        <x:v>否</x:v>
      </x:c>
      <x:c r="X688" s="18" t="str">
        <x:v>0785e932a32b3ec15e1a1345537ae145eafe1c07bf38d5c16c11ee2b391e7a28</x:v>
      </x:c>
      <x:c r="Y688" s="20" t="n">
        <x:v>1</x:v>
      </x:c>
      <x:c r="Z688" s="20" t="n">
        <x:v>1</x:v>
      </x:c>
      <x:c r="AA688" s="19"/>
      <x:c r="AB688" s="18"/>
      <x:c r="AC688" s="19"/>
    </x:row>
    <x:row r="689" ht="28" customHeight="1">
      <x:c r="A689" s="18" t="str">
        <x:v>大倉山</x:v>
      </x:c>
      <x:c r="B689" s="18" t="str">
        <x:v>神戸市</x:v>
      </x:c>
      <x:c r="C689" s="18" t="str">
        <x:v>metro</x:v>
      </x:c>
      <x:c r="D689" s="19" t="str">
        <x:v>T2</x:v>
      </x:c>
      <x:c r="E689" s="20" t="n">
        <x:v>10097</x:v>
      </x:c>
      <x:c r="F689" s="18" t="str">
        <x:v>persons/day</x:v>
      </x:c>
      <x:c r="G689" s="18" t="str">
        <x:v>FY2024</x:v>
      </x:c>
      <x:c r="H689" s="18" t="str">
        <x:v>否</x:v>
      </x:c>
      <x:c r="I689" s="19" t="str">
        <x:v>DAILY_ENTRIES_EXITS</x:v>
      </x:c>
      <x:c r="J689" s="19" t="str">
        <x:v>山手線</x:v>
      </x:c>
      <x:c r="K689" s="18" t="str">
        <x:v>transport-node:ee19ffc7-a06b-5409-b972-428eb2042522</x:v>
      </x:c>
      <x:c r="L689" s="19" t="str">
        <x:v>组件待审核</x:v>
      </x:c>
      <x:c r="M689" s="21" t="n">
        <x:v>34.6847</x:v>
      </x:c>
      <x:c r="N689" s="21" t="n">
        <x:v>135.174675</x:v>
      </x:c>
      <x:c r="O689" s="18" t="str">
        <x:v>007179</x:v>
      </x:c>
      <x:c r="P689" s="18" t="str">
        <x:v>山手線</x:v>
      </x:c>
      <x:c r="Q689" s="19" t="str">
        <x:v>S12_061_GE_10000</x:v>
      </x:c>
      <x:c r="R689" s="19" t="str">
        <x:v>S12_061 usage threshold</x:v>
      </x:c>
      <x:c r="S689" s="19" t="str">
        <x:v>https://nlftp.mlit.go.jp/ksj/gml/datalist/KsjTmplt-S12-2024.html</x:v>
      </x:c>
      <x:c r="T689" s="19" t="str">
        <x:v>https://nlftp.mlit.go.jp/ksj/gml/datalist/KsjTmplt-S12-2024.html</x:v>
      </x:c>
      <x:c r="U689" s="19" t="str">
        <x:v>station-component|大倉山|神戸市|metro|34.6847|135.1747|</x:v>
      </x:c>
      <x:c r="V689" s="19" t="str">
        <x:v>007179 / 007179 / 山手線</x:v>
      </x:c>
      <x:c r="W689" s="18" t="str">
        <x:v>否</x:v>
      </x:c>
      <x:c r="X689" s="18" t="str">
        <x:v>0785e932a32b3ec15e1a1345537ae145eafe1c07bf38d5c16c11ee2b391e7a28</x:v>
      </x:c>
      <x:c r="Y689" s="20" t="n">
        <x:v>1</x:v>
      </x:c>
      <x:c r="Z689" s="20" t="n">
        <x:v>1</x:v>
      </x:c>
      <x:c r="AA689" s="19"/>
      <x:c r="AB689" s="18"/>
      <x:c r="AC689" s="19"/>
    </x:row>
    <x:row r="690" ht="47" customHeight="1">
      <x:c r="A690" s="18" t="str">
        <x:v>大分</x:v>
      </x:c>
      <x:c r="B690" s="18" t="str">
        <x:v>九州旅客鉄道</x:v>
      </x:c>
      <x:c r="C690" s="18" t="str">
        <x:v>conventional_rail</x:v>
      </x:c>
      <x:c r="D690" s="19" t="str">
        <x:v>T2</x:v>
      </x:c>
      <x:c r="E690" s="20" t="n">
        <x:v>35560</x:v>
      </x:c>
      <x:c r="F690" s="18" t="str">
        <x:v>persons/day</x:v>
      </x:c>
      <x:c r="G690" s="18" t="str">
        <x:v>FY2024</x:v>
      </x:c>
      <x:c r="H690" s="18" t="str">
        <x:v>否</x:v>
      </x:c>
      <x:c r="I690" s="19" t="str">
        <x:v>DAILY_ENTRIES_EXITS</x:v>
      </x:c>
      <x:c r="J690" s="19" t="str">
        <x:v>久大線
日豊線
豊肥線</x:v>
      </x:c>
      <x:c r="K690" s="18" t="str">
        <x:v>transport-node:b0e13408-6b0a-5ad6-829d-b35d94da2b08</x:v>
      </x:c>
      <x:c r="L690" s="19" t="str">
        <x:v>组件待审核</x:v>
      </x:c>
      <x:c r="M690" s="21" t="n">
        <x:v>33.233135</x:v>
      </x:c>
      <x:c r="N690" s="21" t="n">
        <x:v>131.606425</x:v>
      </x:c>
      <x:c r="O690" s="18" t="str">
        <x:v>009480</x:v>
      </x:c>
      <x:c r="P690" s="18" t="str">
        <x:v>日豊線</x:v>
      </x:c>
      <x:c r="Q690" s="19" t="str">
        <x:v>S12_061_GE_10000</x:v>
      </x:c>
      <x:c r="R690" s="19" t="str">
        <x:v>S12_061 usage threshold</x:v>
      </x:c>
      <x:c r="S690" s="19" t="str">
        <x:v>https://nlftp.mlit.go.jp/ksj/gml/datalist/KsjTmplt-S12-2024.html</x:v>
      </x:c>
      <x:c r="T690" s="19" t="str">
        <x:v>https://nlftp.mlit.go.jp/ksj/gml/datalist/KsjTmplt-S12-2024.html</x:v>
      </x:c>
      <x:c r="U690" s="19" t="str">
        <x:v>station-component|大分|九州旅客鉄道|conventional_rail|33.2331|131.6064|</x:v>
      </x:c>
      <x:c r="V690" s="19" t="str">
        <x:v>009479 / 009479 / 久大線
009479 / 009480 / 日豊線
009479 / 009481 / 豊肥線</x:v>
      </x:c>
      <x:c r="W690" s="18" t="str">
        <x:v>否</x:v>
      </x:c>
      <x:c r="X690" s="18" t="str">
        <x:v>0785e932a32b3ec15e1a1345537ae145eafe1c07bf38d5c16c11ee2b391e7a28</x:v>
      </x:c>
      <x:c r="Y690" s="20" t="n">
        <x:v>1</x:v>
      </x:c>
      <x:c r="Z690" s="20" t="n">
        <x:v>1</x:v>
      </x:c>
      <x:c r="AA690" s="19"/>
      <x:c r="AB690" s="18"/>
      <x:c r="AC690" s="19"/>
    </x:row>
    <x:row r="691" ht="28" customHeight="1">
      <x:c r="A691" s="18" t="str">
        <x:v>大口</x:v>
      </x:c>
      <x:c r="B691" s="18" t="str">
        <x:v>東日本旅客鉄道</x:v>
      </x:c>
      <x:c r="C691" s="18" t="str">
        <x:v>conventional_rail</x:v>
      </x:c>
      <x:c r="D691" s="19" t="str">
        <x:v>T2</x:v>
      </x:c>
      <x:c r="E691" s="20" t="n">
        <x:v>37382</x:v>
      </x:c>
      <x:c r="F691" s="18" t="str">
        <x:v>persons/day</x:v>
      </x:c>
      <x:c r="G691" s="18" t="str">
        <x:v>FY2024</x:v>
      </x:c>
      <x:c r="H691" s="18" t="str">
        <x:v>否</x:v>
      </x:c>
      <x:c r="I691" s="19" t="str">
        <x:v>DAILY_ENTRIES_EXITS</x:v>
      </x:c>
      <x:c r="J691" s="19" t="str">
        <x:v>横浜線</x:v>
      </x:c>
      <x:c r="K691" s="18" t="str">
        <x:v>transport-node:f4e931b9-6450-556e-b050-fa775463c903</x:v>
      </x:c>
      <x:c r="L691" s="19" t="str">
        <x:v>组件待审核</x:v>
      </x:c>
      <x:c r="M691" s="21" t="n">
        <x:v>35.492295</x:v>
      </x:c>
      <x:c r="N691" s="21" t="n">
        <x:v>139.646335</x:v>
      </x:c>
      <x:c r="O691" s="18" t="str">
        <x:v>004546</x:v>
      </x:c>
      <x:c r="P691" s="18" t="str">
        <x:v>横浜線</x:v>
      </x:c>
      <x:c r="Q691" s="19" t="str">
        <x:v>S12_061_GE_10000</x:v>
      </x:c>
      <x:c r="R691" s="19" t="str">
        <x:v>S12_061 usage threshold</x:v>
      </x:c>
      <x:c r="S691" s="19" t="str">
        <x:v>https://nlftp.mlit.go.jp/ksj/gml/datalist/KsjTmplt-S12-2024.html</x:v>
      </x:c>
      <x:c r="T691" s="19" t="str">
        <x:v>https://nlftp.mlit.go.jp/ksj/gml/datalist/KsjTmplt-S12-2024.html</x:v>
      </x:c>
      <x:c r="U691" s="19" t="str">
        <x:v>station-component|大口|東日本旅客鉄道|conventional_rail|35.4923|139.6463|</x:v>
      </x:c>
      <x:c r="V691" s="19" t="str">
        <x:v>004546 / 004546 / 横浜線</x:v>
      </x:c>
      <x:c r="W691" s="18" t="str">
        <x:v>否</x:v>
      </x:c>
      <x:c r="X691" s="18" t="str">
        <x:v>0785e932a32b3ec15e1a1345537ae145eafe1c07bf38d5c16c11ee2b391e7a28</x:v>
      </x:c>
      <x:c r="Y691" s="20" t="n">
        <x:v>1</x:v>
      </x:c>
      <x:c r="Z691" s="20" t="n">
        <x:v>1</x:v>
      </x:c>
      <x:c r="AA691" s="19"/>
      <x:c r="AB691" s="18"/>
      <x:c r="AC691" s="19"/>
    </x:row>
    <x:row r="692" ht="28" customHeight="1">
      <x:c r="A692" s="18" t="str">
        <x:v>大同町</x:v>
      </x:c>
      <x:c r="B692" s="18" t="str">
        <x:v>名古屋鉄道</x:v>
      </x:c>
      <x:c r="C692" s="18" t="str">
        <x:v>private_rail</x:v>
      </x:c>
      <x:c r="D692" s="19" t="str">
        <x:v>T2</x:v>
      </x:c>
      <x:c r="E692" s="20" t="n">
        <x:v>12652</x:v>
      </x:c>
      <x:c r="F692" s="18" t="str">
        <x:v>persons/day</x:v>
      </x:c>
      <x:c r="G692" s="18" t="str">
        <x:v>FY2024</x:v>
      </x:c>
      <x:c r="H692" s="18" t="str">
        <x:v>否</x:v>
      </x:c>
      <x:c r="I692" s="19" t="str">
        <x:v>DAILY_ENTRIES_EXITS</x:v>
      </x:c>
      <x:c r="J692" s="19" t="str">
        <x:v>常滑線</x:v>
      </x:c>
      <x:c r="K692" s="18" t="str">
        <x:v>transport-node:a2a0ece3-7df0-5503-830c-ea74365c8340</x:v>
      </x:c>
      <x:c r="L692" s="19" t="str">
        <x:v>组件待审核</x:v>
      </x:c>
      <x:c r="M692" s="21" t="n">
        <x:v>35.08026</x:v>
      </x:c>
      <x:c r="N692" s="21" t="n">
        <x:v>136.90935</x:v>
      </x:c>
      <x:c r="O692" s="18" t="str">
        <x:v>005743</x:v>
      </x:c>
      <x:c r="P692" s="18" t="str">
        <x:v>常滑線</x:v>
      </x:c>
      <x:c r="Q692" s="19" t="str">
        <x:v>S12_061_GE_10000</x:v>
      </x:c>
      <x:c r="R692" s="19" t="str">
        <x:v>S12_061 usage threshold</x:v>
      </x:c>
      <x:c r="S692" s="19" t="str">
        <x:v>https://nlftp.mlit.go.jp/ksj/gml/datalist/KsjTmplt-S12-2024.html</x:v>
      </x:c>
      <x:c r="T692" s="19" t="str">
        <x:v>https://nlftp.mlit.go.jp/ksj/gml/datalist/KsjTmplt-S12-2024.html</x:v>
      </x:c>
      <x:c r="U692" s="19" t="str">
        <x:v>station-component|大同町|名古屋鉄道|private_rail|35.0803|136.9093|</x:v>
      </x:c>
      <x:c r="V692" s="19" t="str">
        <x:v>005743 / 005743 / 常滑線</x:v>
      </x:c>
      <x:c r="W692" s="18" t="str">
        <x:v>否</x:v>
      </x:c>
      <x:c r="X692" s="18" t="str">
        <x:v>0785e932a32b3ec15e1a1345537ae145eafe1c07bf38d5c16c11ee2b391e7a28</x:v>
      </x:c>
      <x:c r="Y692" s="20" t="n">
        <x:v>1</x:v>
      </x:c>
      <x:c r="Z692" s="20" t="n">
        <x:v>1</x:v>
      </x:c>
      <x:c r="AA692" s="19"/>
      <x:c r="AB692" s="18"/>
      <x:c r="AC692" s="19"/>
    </x:row>
    <x:row r="693" ht="33" customHeight="1">
      <x:c r="A693" s="18" t="str">
        <x:v>大和</x:v>
      </x:c>
      <x:c r="B693" s="18" t="str">
        <x:v>小田急電鉄</x:v>
      </x:c>
      <x:c r="C693" s="18" t="str">
        <x:v>private_rail</x:v>
      </x:c>
      <x:c r="D693" s="19" t="str">
        <x:v>T1</x:v>
      </x:c>
      <x:c r="E693" s="20" t="n">
        <x:v>112087</x:v>
      </x:c>
      <x:c r="F693" s="18" t="str">
        <x:v>persons/day</x:v>
      </x:c>
      <x:c r="G693" s="18" t="str">
        <x:v>FY2024</x:v>
      </x:c>
      <x:c r="H693" s="18" t="str">
        <x:v>否</x:v>
      </x:c>
      <x:c r="I693" s="19" t="str">
        <x:v>DAILY_ENTRIES_EXITS</x:v>
      </x:c>
      <x:c r="J693" s="19" t="str">
        <x:v>江ノ島線</x:v>
      </x:c>
      <x:c r="K693" s="18" t="str">
        <x:v>transport-node:e41a956d-a922-5b7b-919c-fa3dfc3fb329</x:v>
      </x:c>
      <x:c r="L693" s="19" t="str">
        <x:v>组件待审核</x:v>
      </x:c>
      <x:c r="M693" s="21" t="n">
        <x:v>35.469845</x:v>
      </x:c>
      <x:c r="N693" s="21" t="n">
        <x:v>139.46147</x:v>
      </x:c>
      <x:c r="O693" s="18" t="str">
        <x:v>004618</x:v>
      </x:c>
      <x:c r="P693" s="18" t="str">
        <x:v>江ノ島線</x:v>
      </x:c>
      <x:c r="Q693" s="19" t="str">
        <x:v>S12_061_GE_10000
OFFICIAL_HUB_COMPONENT_REVIEW</x:v>
      </x:c>
      <x:c r="R693" s="19" t="str">
        <x:v>S12_061 usage threshold</x:v>
      </x:c>
      <x:c r="S693" s="19" t="str">
        <x:v>https://nlftp.mlit.go.jp/ksj/gml/datalist/KsjTmplt-S12-2024.html</x:v>
      </x:c>
      <x:c r="T693" s="19" t="str">
        <x:v>https://nlftp.mlit.go.jp/ksj/gml/datalist/KsjTmplt-S12-2024.html
https://www.odakyu.jp/station/</x:v>
      </x:c>
      <x:c r="U693" s="19" t="str">
        <x:v>station-component|大和|小田急電鉄|private_rail|35.4698|139.4615|</x:v>
      </x:c>
      <x:c r="V693" s="19" t="str">
        <x:v>004617 / 004618 / 江ノ島線</x:v>
      </x:c>
      <x:c r="W693" s="18" t="str">
        <x:v>否</x:v>
      </x:c>
      <x:c r="X693" s="18" t="str">
        <x:v>0785e932a32b3ec15e1a1345537ae145eafe1c07bf38d5c16c11ee2b391e7a28</x:v>
      </x:c>
      <x:c r="Y693" s="20" t="n">
        <x:v>1</x:v>
      </x:c>
      <x:c r="Z693" s="20" t="n">
        <x:v>1</x:v>
      </x:c>
      <x:c r="AA693" s="19" t="str">
        <x:v>大和</x:v>
      </x:c>
      <x:c r="AB693" s="18" t="str">
        <x:v>transport-hub-review:a34e8681-bd49-5763-a9a0-18b22ec21a02</x:v>
      </x:c>
      <x:c r="AC693" s="19"/>
    </x:row>
    <x:row r="694" ht="33" customHeight="1">
      <x:c r="A694" s="18" t="str">
        <x:v>大和</x:v>
      </x:c>
      <x:c r="B694" s="18" t="str">
        <x:v>相模鉄道</x:v>
      </x:c>
      <x:c r="C694" s="18" t="str">
        <x:v>private_rail</x:v>
      </x:c>
      <x:c r="D694" s="19" t="str">
        <x:v>T1</x:v>
      </x:c>
      <x:c r="E694" s="20" t="n">
        <x:v>109219</x:v>
      </x:c>
      <x:c r="F694" s="18" t="str">
        <x:v>persons/day</x:v>
      </x:c>
      <x:c r="G694" s="18" t="str">
        <x:v>FY2024</x:v>
      </x:c>
      <x:c r="H694" s="18" t="str">
        <x:v>否</x:v>
      </x:c>
      <x:c r="I694" s="19" t="str">
        <x:v>DAILY_ENTRIES_EXITS</x:v>
      </x:c>
      <x:c r="J694" s="19" t="str">
        <x:v>相鉄本線</x:v>
      </x:c>
      <x:c r="K694" s="18" t="str">
        <x:v>transport-node:c4a75717-16ad-5685-82ec-82a670cfbcd7</x:v>
      </x:c>
      <x:c r="L694" s="19" t="str">
        <x:v>组件待审核</x:v>
      </x:c>
      <x:c r="M694" s="21" t="n">
        <x:v>35.46993</x:v>
      </x:c>
      <x:c r="N694" s="21" t="n">
        <x:v>139.461</x:v>
      </x:c>
      <x:c r="O694" s="18" t="str">
        <x:v>004617</x:v>
      </x:c>
      <x:c r="P694" s="18" t="str">
        <x:v>相鉄本線</x:v>
      </x:c>
      <x:c r="Q694" s="19" t="str">
        <x:v>S12_061_GE_10000
OFFICIAL_HUB_COMPONENT_REVIEW</x:v>
      </x:c>
      <x:c r="R694" s="19" t="str">
        <x:v>S12_061 usage threshold</x:v>
      </x:c>
      <x:c r="S694" s="19" t="str">
        <x:v>https://nlftp.mlit.go.jp/ksj/gml/datalist/KsjTmplt-S12-2024.html</x:v>
      </x:c>
      <x:c r="T694" s="19" t="str">
        <x:v>https://nlftp.mlit.go.jp/ksj/gml/datalist/KsjTmplt-S12-2024.html
https://www.odakyu.jp/station/</x:v>
      </x:c>
      <x:c r="U694" s="19" t="str">
        <x:v>station-component|大和|相模鉄道|private_rail|35.4699|139.4610|</x:v>
      </x:c>
      <x:c r="V694" s="19" t="str">
        <x:v>004617 / 004617 / 相鉄本線</x:v>
      </x:c>
      <x:c r="W694" s="18" t="str">
        <x:v>否</x:v>
      </x:c>
      <x:c r="X694" s="18" t="str">
        <x:v>0785e932a32b3ec15e1a1345537ae145eafe1c07bf38d5c16c11ee2b391e7a28</x:v>
      </x:c>
      <x:c r="Y694" s="20" t="n">
        <x:v>1</x:v>
      </x:c>
      <x:c r="Z694" s="20" t="n">
        <x:v>1</x:v>
      </x:c>
      <x:c r="AA694" s="19" t="str">
        <x:v>大和</x:v>
      </x:c>
      <x:c r="AB694" s="18" t="str">
        <x:v>transport-hub-review:a34e8681-bd49-5763-a9a0-18b22ec21a02</x:v>
      </x:c>
      <x:c r="AC694" s="19"/>
    </x:row>
    <x:row r="695" ht="33" customHeight="1">
      <x:c r="A695" s="18" t="str">
        <x:v>大和八木</x:v>
      </x:c>
      <x:c r="B695" s="18" t="str">
        <x:v>近畿日本鉄道</x:v>
      </x:c>
      <x:c r="C695" s="18" t="str">
        <x:v>private_rail</x:v>
      </x:c>
      <x:c r="D695" s="19" t="str">
        <x:v>T2</x:v>
      </x:c>
      <x:c r="E695" s="20" t="n">
        <x:v>34158</x:v>
      </x:c>
      <x:c r="F695" s="18" t="str">
        <x:v>persons/day</x:v>
      </x:c>
      <x:c r="G695" s="18" t="str">
        <x:v>FY2024</x:v>
      </x:c>
      <x:c r="H695" s="18" t="str">
        <x:v>否</x:v>
      </x:c>
      <x:c r="I695" s="19" t="str">
        <x:v>DAILY_ENTRIES_EXITS</x:v>
      </x:c>
      <x:c r="J695" s="19" t="str">
        <x:v>大阪線
橿原線</x:v>
      </x:c>
      <x:c r="K695" s="18" t="str">
        <x:v>transport-node:7ad850e6-748f-573e-8fc3-0ab3f1ae26db</x:v>
      </x:c>
      <x:c r="L695" s="19" t="str">
        <x:v>组件待审核</x:v>
      </x:c>
      <x:c r="M695" s="21" t="n">
        <x:v>34.5131825</x:v>
      </x:c>
      <x:c r="N695" s="21" t="n">
        <x:v>135.7919175</x:v>
      </x:c>
      <x:c r="O695" s="18" t="str">
        <x:v>007811</x:v>
      </x:c>
      <x:c r="P695" s="18" t="str">
        <x:v>大阪線</x:v>
      </x:c>
      <x:c r="Q695" s="19" t="str">
        <x:v>S12_061_GE_10000
OFFICIAL_HUB_COMPONENT_REVIEW</x:v>
      </x:c>
      <x:c r="R695" s="19" t="str">
        <x:v>S12_061 usage threshold</x:v>
      </x:c>
      <x:c r="S695" s="19" t="str">
        <x:v>https://nlftp.mlit.go.jp/ksj/gml/datalist/KsjTmplt-S12-2024.html</x:v>
      </x:c>
      <x:c r="T695" s="19" t="str">
        <x:v>https://nlftp.mlit.go.jp/ksj/gml/datalist/KsjTmplt-S12-2024.html
https://www.kintetsu.co.jp/station/</x:v>
      </x:c>
      <x:c r="U695" s="19" t="str">
        <x:v>station-component|大和八木|近畿日本鉄道|private_rail|34.5132|135.7919|</x:v>
      </x:c>
      <x:c r="V695" s="19" t="str">
        <x:v>007811 / 007811 / 大阪線
007811 / 007812 / 橿原線</x:v>
      </x:c>
      <x:c r="W695" s="18" t="str">
        <x:v>否</x:v>
      </x:c>
      <x:c r="X695" s="18" t="str">
        <x:v>0785e932a32b3ec15e1a1345537ae145eafe1c07bf38d5c16c11ee2b391e7a28</x:v>
      </x:c>
      <x:c r="Y695" s="20" t="n">
        <x:v>1</x:v>
      </x:c>
      <x:c r="Z695" s="20" t="n">
        <x:v>1</x:v>
      </x:c>
      <x:c r="AA695" s="19" t="str">
        <x:v>大和八木</x:v>
      </x:c>
      <x:c r="AB695" s="18" t="str">
        <x:v>transport-hub-review:02583a98-f32a-5668-8381-65afcd258c41</x:v>
      </x:c>
      <x:c r="AC695" s="19"/>
    </x:row>
    <x:row r="696" ht="28" customHeight="1">
      <x:c r="A696" s="18" t="str">
        <x:v>大和小泉</x:v>
      </x:c>
      <x:c r="B696" s="18" t="str">
        <x:v>西日本旅客鉄道</x:v>
      </x:c>
      <x:c r="C696" s="18" t="str">
        <x:v>conventional_rail</x:v>
      </x:c>
      <x:c r="D696" s="19" t="str">
        <x:v>T2</x:v>
      </x:c>
      <x:c r="E696" s="20" t="n">
        <x:v>14404</x:v>
      </x:c>
      <x:c r="F696" s="18" t="str">
        <x:v>persons/day</x:v>
      </x:c>
      <x:c r="G696" s="18" t="str">
        <x:v>FY2024</x:v>
      </x:c>
      <x:c r="H696" s="18" t="str">
        <x:v>否</x:v>
      </x:c>
      <x:c r="I696" s="19" t="str">
        <x:v>DAILY_ENTRIES_EXITS</x:v>
      </x:c>
      <x:c r="J696" s="19" t="str">
        <x:v>関西線</x:v>
      </x:c>
      <x:c r="K696" s="18" t="str">
        <x:v>transport-node:ee2008ab-0325-5c6c-8bb4-553bd3a97655</x:v>
      </x:c>
      <x:c r="L696" s="19" t="str">
        <x:v>组件待审核</x:v>
      </x:c>
      <x:c r="M696" s="21" t="n">
        <x:v>34.622195</x:v>
      </x:c>
      <x:c r="N696" s="21" t="n">
        <x:v>135.76345</x:v>
      </x:c>
      <x:c r="O696" s="18" t="str">
        <x:v>007537</x:v>
      </x:c>
      <x:c r="P696" s="18" t="str">
        <x:v>関西線</x:v>
      </x:c>
      <x:c r="Q696" s="19" t="str">
        <x:v>S12_061_GE_10000</x:v>
      </x:c>
      <x:c r="R696" s="19" t="str">
        <x:v>S12_061 usage threshold</x:v>
      </x:c>
      <x:c r="S696" s="19" t="str">
        <x:v>https://nlftp.mlit.go.jp/ksj/gml/datalist/KsjTmplt-S12-2024.html</x:v>
      </x:c>
      <x:c r="T696" s="19" t="str">
        <x:v>https://nlftp.mlit.go.jp/ksj/gml/datalist/KsjTmplt-S12-2024.html</x:v>
      </x:c>
      <x:c r="U696" s="19" t="str">
        <x:v>station-component|大和小泉|西日本旅客鉄道|conventional_rail|34.6222|135.7635|</x:v>
      </x:c>
      <x:c r="V696" s="19" t="str">
        <x:v>007537 / 007537 / 関西線</x:v>
      </x:c>
      <x:c r="W696" s="18" t="str">
        <x:v>否</x:v>
      </x:c>
      <x:c r="X696" s="18" t="str">
        <x:v>0785e932a32b3ec15e1a1345537ae145eafe1c07bf38d5c16c11ee2b391e7a28</x:v>
      </x:c>
      <x:c r="Y696" s="20" t="n">
        <x:v>1</x:v>
      </x:c>
      <x:c r="Z696" s="20" t="n">
        <x:v>1</x:v>
      </x:c>
      <x:c r="AA696" s="19"/>
      <x:c r="AB696" s="18"/>
      <x:c r="AC696" s="19"/>
    </x:row>
    <x:row r="697" ht="28" customHeight="1">
      <x:c r="A697" s="18" t="str">
        <x:v>大和田</x:v>
      </x:c>
      <x:c r="B697" s="18" t="str">
        <x:v>京阪電気鉄道</x:v>
      </x:c>
      <x:c r="C697" s="18" t="str">
        <x:v>private_rail</x:v>
      </x:c>
      <x:c r="D697" s="19" t="str">
        <x:v>T2</x:v>
      </x:c>
      <x:c r="E697" s="20" t="n">
        <x:v>14866</x:v>
      </x:c>
      <x:c r="F697" s="18" t="str">
        <x:v>persons/day</x:v>
      </x:c>
      <x:c r="G697" s="18" t="str">
        <x:v>FY2024</x:v>
      </x:c>
      <x:c r="H697" s="18" t="str">
        <x:v>否</x:v>
      </x:c>
      <x:c r="I697" s="19" t="str">
        <x:v>DAILY_ENTRIES_EXITS</x:v>
      </x:c>
      <x:c r="J697" s="19" t="str">
        <x:v>京阪本線</x:v>
      </x:c>
      <x:c r="K697" s="18" t="str">
        <x:v>transport-node:ca139e5a-a9b7-5142-af0f-72cbb8d2348d</x:v>
      </x:c>
      <x:c r="L697" s="19" t="str">
        <x:v>组件待审核</x:v>
      </x:c>
      <x:c r="M697" s="21" t="n">
        <x:v>34.742934</x:v>
      </x:c>
      <x:c r="N697" s="21" t="n">
        <x:v>135.602552</x:v>
      </x:c>
      <x:c r="O697" s="18" t="str">
        <x:v>006861</x:v>
      </x:c>
      <x:c r="P697" s="18" t="str">
        <x:v>京阪本線</x:v>
      </x:c>
      <x:c r="Q697" s="19" t="str">
        <x:v>S12_061_GE_10000</x:v>
      </x:c>
      <x:c r="R697" s="19" t="str">
        <x:v>S12_061 usage threshold</x:v>
      </x:c>
      <x:c r="S697" s="19" t="str">
        <x:v>https://nlftp.mlit.go.jp/ksj/gml/datalist/KsjTmplt-S12-2024.html</x:v>
      </x:c>
      <x:c r="T697" s="19" t="str">
        <x:v>https://nlftp.mlit.go.jp/ksj/gml/datalist/KsjTmplt-S12-2024.html</x:v>
      </x:c>
      <x:c r="U697" s="19" t="str">
        <x:v>station-component|大和田|京阪電気鉄道|private_rail|34.7429|135.6026|</x:v>
      </x:c>
      <x:c r="V697" s="19" t="str">
        <x:v>006861 / 006861 / 京阪本線</x:v>
      </x:c>
      <x:c r="W697" s="18" t="str">
        <x:v>否</x:v>
      </x:c>
      <x:c r="X697" s="18" t="str">
        <x:v>0785e932a32b3ec15e1a1345537ae145eafe1c07bf38d5c16c11ee2b391e7a28</x:v>
      </x:c>
      <x:c r="Y697" s="20" t="n">
        <x:v>1</x:v>
      </x:c>
      <x:c r="Z697" s="20" t="n">
        <x:v>1</x:v>
      </x:c>
      <x:c r="AA697" s="19"/>
      <x:c r="AB697" s="18"/>
      <x:c r="AC697" s="19"/>
    </x:row>
    <x:row r="698" ht="28" customHeight="1">
      <x:c r="A698" s="18" t="str">
        <x:v>大和田</x:v>
      </x:c>
      <x:c r="B698" s="18" t="str">
        <x:v>東武鉄道</x:v>
      </x:c>
      <x:c r="C698" s="18" t="str">
        <x:v>private_rail</x:v>
      </x:c>
      <x:c r="D698" s="19" t="str">
        <x:v>T2</x:v>
      </x:c>
      <x:c r="E698" s="20" t="n">
        <x:v>18986</x:v>
      </x:c>
      <x:c r="F698" s="18" t="str">
        <x:v>persons/day</x:v>
      </x:c>
      <x:c r="G698" s="18" t="str">
        <x:v>FY2024</x:v>
      </x:c>
      <x:c r="H698" s="18" t="str">
        <x:v>否</x:v>
      </x:c>
      <x:c r="I698" s="19" t="str">
        <x:v>DAILY_ENTRIES_EXITS</x:v>
      </x:c>
      <x:c r="J698" s="19" t="str">
        <x:v>野田線</x:v>
      </x:c>
      <x:c r="K698" s="18" t="str">
        <x:v>transport-node:090b2e3b-f117-58b1-aa0f-8c56f15f6833</x:v>
      </x:c>
      <x:c r="L698" s="19" t="str">
        <x:v>组件待审核</x:v>
      </x:c>
      <x:c r="M698" s="21" t="n">
        <x:v>35.92935</x:v>
      </x:c>
      <x:c r="N698" s="21" t="n">
        <x:v>139.651015</x:v>
      </x:c>
      <x:c r="O698" s="18" t="str">
        <x:v>002869</x:v>
      </x:c>
      <x:c r="P698" s="18" t="str">
        <x:v>野田線</x:v>
      </x:c>
      <x:c r="Q698" s="19" t="str">
        <x:v>S12_061_GE_10000</x:v>
      </x:c>
      <x:c r="R698" s="19" t="str">
        <x:v>S12_061 usage threshold</x:v>
      </x:c>
      <x:c r="S698" s="19" t="str">
        <x:v>https://nlftp.mlit.go.jp/ksj/gml/datalist/KsjTmplt-S12-2024.html</x:v>
      </x:c>
      <x:c r="T698" s="19" t="str">
        <x:v>https://nlftp.mlit.go.jp/ksj/gml/datalist/KsjTmplt-S12-2024.html</x:v>
      </x:c>
      <x:c r="U698" s="19" t="str">
        <x:v>station-component|大和田|東武鉄道|private_rail|35.9293|139.6510|</x:v>
      </x:c>
      <x:c r="V698" s="19" t="str">
        <x:v>002869 / 002869 / 野田線</x:v>
      </x:c>
      <x:c r="W698" s="18" t="str">
        <x:v>否</x:v>
      </x:c>
      <x:c r="X698" s="18" t="str">
        <x:v>0785e932a32b3ec15e1a1345537ae145eafe1c07bf38d5c16c11ee2b391e7a28</x:v>
      </x:c>
      <x:c r="Y698" s="20" t="n">
        <x:v>1</x:v>
      </x:c>
      <x:c r="Z698" s="20" t="n">
        <x:v>1</x:v>
      </x:c>
      <x:c r="AA698" s="19"/>
      <x:c r="AB698" s="18"/>
      <x:c r="AC698" s="19"/>
    </x:row>
    <x:row r="699" ht="47" customHeight="1">
      <x:c r="A699" s="18" t="str">
        <x:v>大和西大寺</x:v>
      </x:c>
      <x:c r="B699" s="18" t="str">
        <x:v>近畿日本鉄道</x:v>
      </x:c>
      <x:c r="C699" s="18" t="str">
        <x:v>private_rail</x:v>
      </x:c>
      <x:c r="D699" s="19" t="str">
        <x:v>T2</x:v>
      </x:c>
      <x:c r="E699" s="20" t="n">
        <x:v>43655</x:v>
      </x:c>
      <x:c r="F699" s="18" t="str">
        <x:v>persons/day</x:v>
      </x:c>
      <x:c r="G699" s="18" t="str">
        <x:v>FY2024</x:v>
      </x:c>
      <x:c r="H699" s="18" t="str">
        <x:v>否</x:v>
      </x:c>
      <x:c r="I699" s="19" t="str">
        <x:v>DAILY_ENTRIES_EXITS</x:v>
      </x:c>
      <x:c r="J699" s="19" t="str">
        <x:v>京都線
奈良線
橿原線</x:v>
      </x:c>
      <x:c r="K699" s="18" t="str">
        <x:v>transport-node:f4f6e90a-d04c-586e-9ad9-44fef5a733a3</x:v>
      </x:c>
      <x:c r="L699" s="19" t="str">
        <x:v>组件待审核</x:v>
      </x:c>
      <x:c r="M699" s="21" t="n">
        <x:v>34.69365</x:v>
      </x:c>
      <x:c r="N699" s="21" t="n">
        <x:v>135.78307</x:v>
      </x:c>
      <x:c r="O699" s="18" t="str">
        <x:v>007118</x:v>
      </x:c>
      <x:c r="P699" s="18" t="str">
        <x:v>京都線</x:v>
      </x:c>
      <x:c r="Q699" s="19" t="str">
        <x:v>S12_061_GE_10000
OFFICIAL_HUB_COMPONENT_REVIEW</x:v>
      </x:c>
      <x:c r="R699" s="19" t="str">
        <x:v>S12_061 usage threshold</x:v>
      </x:c>
      <x:c r="S699" s="19" t="str">
        <x:v>https://nlftp.mlit.go.jp/ksj/gml/datalist/KsjTmplt-S12-2024.html</x:v>
      </x:c>
      <x:c r="T699" s="19" t="str">
        <x:v>https://nlftp.mlit.go.jp/ksj/gml/datalist/KsjTmplt-S12-2024.html
https://www.kintetsu.co.jp/station/</x:v>
      </x:c>
      <x:c r="U699" s="19" t="str">
        <x:v>station-component|大和西大寺|近畿日本鉄道|private_rail|34.6936|135.7831|</x:v>
      </x:c>
      <x:c r="V699" s="19" t="str">
        <x:v>007117 / 007117 / 橿原線
007117 / 007118 / 京都線
007117 / 007119 / 奈良線</x:v>
      </x:c>
      <x:c r="W699" s="18" t="str">
        <x:v>否</x:v>
      </x:c>
      <x:c r="X699" s="18" t="str">
        <x:v>0785e932a32b3ec15e1a1345537ae145eafe1c07bf38d5c16c11ee2b391e7a28</x:v>
      </x:c>
      <x:c r="Y699" s="20" t="n">
        <x:v>1</x:v>
      </x:c>
      <x:c r="Z699" s="20" t="n">
        <x:v>1</x:v>
      </x:c>
      <x:c r="AA699" s="19" t="str">
        <x:v>大和西大寺</x:v>
      </x:c>
      <x:c r="AB699" s="18" t="str">
        <x:v>transport-hub-review:01e04ad1-b35b-5928-9ec7-7d86809a6c03</x:v>
      </x:c>
      <x:c r="AC699" s="19"/>
    </x:row>
    <x:row r="700" ht="28" customHeight="1">
      <x:c r="A700" s="18" t="str">
        <x:v>大和高田</x:v>
      </x:c>
      <x:c r="B700" s="18" t="str">
        <x:v>近畿日本鉄道</x:v>
      </x:c>
      <x:c r="C700" s="18" t="str">
        <x:v>private_rail</x:v>
      </x:c>
      <x:c r="D700" s="19" t="str">
        <x:v>T2</x:v>
      </x:c>
      <x:c r="E700" s="20" t="n">
        <x:v>13770</x:v>
      </x:c>
      <x:c r="F700" s="18" t="str">
        <x:v>persons/day</x:v>
      </x:c>
      <x:c r="G700" s="18" t="str">
        <x:v>FY2024</x:v>
      </x:c>
      <x:c r="H700" s="18" t="str">
        <x:v>否</x:v>
      </x:c>
      <x:c r="I700" s="19" t="str">
        <x:v>DAILY_ENTRIES_EXITS</x:v>
      </x:c>
      <x:c r="J700" s="19" t="str">
        <x:v>大阪線</x:v>
      </x:c>
      <x:c r="K700" s="18" t="str">
        <x:v>transport-node:1b0c9f83-7a0e-5376-ae2e-283a29d652df</x:v>
      </x:c>
      <x:c r="L700" s="19" t="str">
        <x:v>组件待审核</x:v>
      </x:c>
      <x:c r="M700" s="21" t="n">
        <x:v>34.51978</x:v>
      </x:c>
      <x:c r="N700" s="21" t="n">
        <x:v>135.7423233</x:v>
      </x:c>
      <x:c r="O700" s="18" t="str">
        <x:v>007796</x:v>
      </x:c>
      <x:c r="P700" s="18" t="str">
        <x:v>大阪線</x:v>
      </x:c>
      <x:c r="Q700" s="19" t="str">
        <x:v>S12_061_GE_10000</x:v>
      </x:c>
      <x:c r="R700" s="19" t="str">
        <x:v>S12_061 usage threshold</x:v>
      </x:c>
      <x:c r="S700" s="19" t="str">
        <x:v>https://nlftp.mlit.go.jp/ksj/gml/datalist/KsjTmplt-S12-2024.html</x:v>
      </x:c>
      <x:c r="T700" s="19" t="str">
        <x:v>https://nlftp.mlit.go.jp/ksj/gml/datalist/KsjTmplt-S12-2024.html</x:v>
      </x:c>
      <x:c r="U700" s="19" t="str">
        <x:v>station-component|大和高田|近畿日本鉄道|private_rail|34.5198|135.7423|</x:v>
      </x:c>
      <x:c r="V700" s="19" t="str">
        <x:v>007796 / 007796 / 大阪線</x:v>
      </x:c>
      <x:c r="W700" s="18" t="str">
        <x:v>否</x:v>
      </x:c>
      <x:c r="X700" s="18" t="str">
        <x:v>0785e932a32b3ec15e1a1345537ae145eafe1c07bf38d5c16c11ee2b391e7a28</x:v>
      </x:c>
      <x:c r="Y700" s="20" t="n">
        <x:v>1</x:v>
      </x:c>
      <x:c r="Z700" s="20" t="n">
        <x:v>1</x:v>
      </x:c>
      <x:c r="AA700" s="19"/>
      <x:c r="AB700" s="18"/>
      <x:c r="AC700" s="19"/>
    </x:row>
    <x:row r="701" ht="33" customHeight="1">
      <x:c r="A701" s="18" t="str">
        <x:v>大国町</x:v>
      </x:c>
      <x:c r="B701" s="18" t="str">
        <x:v>大阪市高速電気軌道</x:v>
      </x:c>
      <x:c r="C701" s="18" t="str">
        <x:v>metro</x:v>
      </x:c>
      <x:c r="D701" s="19" t="str">
        <x:v>T2</x:v>
      </x:c>
      <x:c r="E701" s="20" t="n">
        <x:v>39965</x:v>
      </x:c>
      <x:c r="F701" s="18" t="str">
        <x:v>persons/day</x:v>
      </x:c>
      <x:c r="G701" s="18" t="str">
        <x:v>FY2024</x:v>
      </x:c>
      <x:c r="H701" s="18" t="str">
        <x:v>否</x:v>
      </x:c>
      <x:c r="I701" s="19" t="str">
        <x:v>DAILY_ENTRIES_EXITS</x:v>
      </x:c>
      <x:c r="J701" s="19" t="str">
        <x:v>1号線(御堂筋線)
3号線(四つ橋線)</x:v>
      </x:c>
      <x:c r="K701" s="18" t="str">
        <x:v>transport-node:b776af86-c628-523f-b2b6-4ea0cc02c1e8</x:v>
      </x:c>
      <x:c r="L701" s="19" t="str">
        <x:v>组件待审核</x:v>
      </x:c>
      <x:c r="M701" s="21" t="n">
        <x:v>34.656295</x:v>
      </x:c>
      <x:c r="N701" s="21" t="n">
        <x:v>135.49786</x:v>
      </x:c>
      <x:c r="O701" s="18" t="str">
        <x:v>007395</x:v>
      </x:c>
      <x:c r="P701" s="18" t="str">
        <x:v>1号線(御堂筋線)</x:v>
      </x:c>
      <x:c r="Q701" s="19" t="str">
        <x:v>S12_061_GE_10000</x:v>
      </x:c>
      <x:c r="R701" s="19" t="str">
        <x:v>S12_061 usage threshold</x:v>
      </x:c>
      <x:c r="S701" s="19" t="str">
        <x:v>https://nlftp.mlit.go.jp/ksj/gml/datalist/KsjTmplt-S12-2024.html</x:v>
      </x:c>
      <x:c r="T701" s="19" t="str">
        <x:v>https://nlftp.mlit.go.jp/ksj/gml/datalist/KsjTmplt-S12-2024.html</x:v>
      </x:c>
      <x:c r="U701" s="19" t="str">
        <x:v>station-component|大国町|大阪市高速電気軌道|metro|34.6563|135.4979|</x:v>
      </x:c>
      <x:c r="V701" s="19" t="str">
        <x:v>007395 / 007395 / 1号線(御堂筋線)
007395 / 007396 / 3号線(四つ橋線)</x:v>
      </x:c>
      <x:c r="W701" s="18" t="str">
        <x:v>否</x:v>
      </x:c>
      <x:c r="X701" s="18" t="str">
        <x:v>0785e932a32b3ec15e1a1345537ae145eafe1c07bf38d5c16c11ee2b391e7a28</x:v>
      </x:c>
      <x:c r="Y701" s="20" t="n">
        <x:v>1</x:v>
      </x:c>
      <x:c r="Z701" s="20" t="n">
        <x:v>1</x:v>
      </x:c>
      <x:c r="AA701" s="19"/>
      <x:c r="AB701" s="18"/>
      <x:c r="AC701" s="19"/>
    </x:row>
    <x:row r="702" ht="28" customHeight="1">
      <x:c r="A702" s="18" t="str">
        <x:v>大垣</x:v>
      </x:c>
      <x:c r="B702" s="18" t="str">
        <x:v>東海旅客鉄道</x:v>
      </x:c>
      <x:c r="C702" s="18" t="str">
        <x:v>conventional_rail</x:v>
      </x:c>
      <x:c r="D702" s="19" t="str">
        <x:v>T2</x:v>
      </x:c>
      <x:c r="E702" s="20" t="n">
        <x:v>32006</x:v>
      </x:c>
      <x:c r="F702" s="18" t="str">
        <x:v>persons/day</x:v>
      </x:c>
      <x:c r="G702" s="18" t="str">
        <x:v>FY2024</x:v>
      </x:c>
      <x:c r="H702" s="18" t="str">
        <x:v>否</x:v>
      </x:c>
      <x:c r="I702" s="19" t="str">
        <x:v>DAILY_ENTRIES_EXITS</x:v>
      </x:c>
      <x:c r="J702" s="19" t="str">
        <x:v>東海道線</x:v>
      </x:c>
      <x:c r="K702" s="18" t="str">
        <x:v>transport-node:aa3e5032-f847-5f32-99c1-cb35fd438975</x:v>
      </x:c>
      <x:c r="L702" s="19" t="str">
        <x:v>组件待审核</x:v>
      </x:c>
      <x:c r="M702" s="21" t="n">
        <x:v>35.367105</x:v>
      </x:c>
      <x:c r="N702" s="21" t="n">
        <x:v>136.617965</x:v>
      </x:c>
      <x:c r="O702" s="18" t="str">
        <x:v>004923</x:v>
      </x:c>
      <x:c r="P702" s="18" t="str">
        <x:v>東海道線</x:v>
      </x:c>
      <x:c r="Q702" s="19" t="str">
        <x:v>S12_061_GE_10000</x:v>
      </x:c>
      <x:c r="R702" s="19" t="str">
        <x:v>S12_061 usage threshold</x:v>
      </x:c>
      <x:c r="S702" s="19" t="str">
        <x:v>https://nlftp.mlit.go.jp/ksj/gml/datalist/KsjTmplt-S12-2024.html</x:v>
      </x:c>
      <x:c r="T702" s="19" t="str">
        <x:v>https://nlftp.mlit.go.jp/ksj/gml/datalist/KsjTmplt-S12-2024.html</x:v>
      </x:c>
      <x:c r="U702" s="19" t="str">
        <x:v>station-component|大垣|東海旅客鉄道|conventional_rail|35.3671|136.6180|</x:v>
      </x:c>
      <x:c r="V702" s="19" t="str">
        <x:v>004923 / 004923 / 東海道線</x:v>
      </x:c>
      <x:c r="W702" s="18" t="str">
        <x:v>否</x:v>
      </x:c>
      <x:c r="X702" s="18" t="str">
        <x:v>0785e932a32b3ec15e1a1345537ae145eafe1c07bf38d5c16c11ee2b391e7a28</x:v>
      </x:c>
      <x:c r="Y702" s="20" t="n">
        <x:v>1</x:v>
      </x:c>
      <x:c r="Z702" s="20" t="n">
        <x:v>1</x:v>
      </x:c>
      <x:c r="AA702" s="19"/>
      <x:c r="AB702" s="18"/>
      <x:c r="AC702" s="19"/>
    </x:row>
    <x:row r="703" ht="28" customHeight="1">
      <x:c r="A703" s="18" t="str">
        <x:v>大塚</x:v>
      </x:c>
      <x:c r="B703" s="18" t="str">
        <x:v>東日本旅客鉄道</x:v>
      </x:c>
      <x:c r="C703" s="18" t="str">
        <x:v>conventional_rail</x:v>
      </x:c>
      <x:c r="D703" s="19" t="str">
        <x:v>T1</x:v>
      </x:c>
      <x:c r="E703" s="20" t="n">
        <x:v>108702</x:v>
      </x:c>
      <x:c r="F703" s="18" t="str">
        <x:v>persons/day</x:v>
      </x:c>
      <x:c r="G703" s="18" t="str">
        <x:v>FY2024</x:v>
      </x:c>
      <x:c r="H703" s="18" t="str">
        <x:v>否</x:v>
      </x:c>
      <x:c r="I703" s="19" t="str">
        <x:v>DAILY_ENTRIES_EXITS</x:v>
      </x:c>
      <x:c r="J703" s="19" t="str">
        <x:v>山手線</x:v>
      </x:c>
      <x:c r="K703" s="18" t="str">
        <x:v>transport-node:0403011e-ae38-5b6f-92b3-0fd3abc4de37</x:v>
      </x:c>
      <x:c r="L703" s="19" t="str">
        <x:v>组件待审核</x:v>
      </x:c>
      <x:c r="M703" s="21" t="n">
        <x:v>35.731785</x:v>
      </x:c>
      <x:c r="N703" s="21" t="n">
        <x:v>139.72794</x:v>
      </x:c>
      <x:c r="O703" s="18" t="str">
        <x:v>003375</x:v>
      </x:c>
      <x:c r="P703" s="18" t="str">
        <x:v>山手線</x:v>
      </x:c>
      <x:c r="Q703" s="19" t="str">
        <x:v>S12_061_GE_10000</x:v>
      </x:c>
      <x:c r="R703" s="19" t="str">
        <x:v>S12_061 usage threshold</x:v>
      </x:c>
      <x:c r="S703" s="19" t="str">
        <x:v>https://nlftp.mlit.go.jp/ksj/gml/datalist/KsjTmplt-S12-2024.html</x:v>
      </x:c>
      <x:c r="T703" s="19" t="str">
        <x:v>https://nlftp.mlit.go.jp/ksj/gml/datalist/KsjTmplt-S12-2024.html</x:v>
      </x:c>
      <x:c r="U703" s="19" t="str">
        <x:v>station-component|大塚|東日本旅客鉄道|conventional_rail|35.7318|139.7279|</x:v>
      </x:c>
      <x:c r="V703" s="19" t="str">
        <x:v>003375 / 003375 / 山手線</x:v>
      </x:c>
      <x:c r="W703" s="18" t="str">
        <x:v>否</x:v>
      </x:c>
      <x:c r="X703" s="18" t="str">
        <x:v>0785e932a32b3ec15e1a1345537ae145eafe1c07bf38d5c16c11ee2b391e7a28</x:v>
      </x:c>
      <x:c r="Y703" s="20" t="n">
        <x:v>1</x:v>
      </x:c>
      <x:c r="Z703" s="20" t="n">
        <x:v>1</x:v>
      </x:c>
      <x:c r="AA703" s="19"/>
      <x:c r="AB703" s="18"/>
      <x:c r="AC703" s="19"/>
    </x:row>
    <x:row r="704" ht="33" customHeight="1">
      <x:c r="A704" s="18" t="str">
        <x:v>大宮</x:v>
      </x:c>
      <x:c r="B704" s="18" t="str">
        <x:v>埼玉新都市交通</x:v>
      </x:c>
      <x:c r="C704" s="18" t="str">
        <x:v>fixed_guideway</x:v>
      </x:c>
      <x:c r="D704" s="19" t="str">
        <x:v>T2</x:v>
      </x:c>
      <x:c r="E704" s="20" t="n">
        <x:v>48989</x:v>
      </x:c>
      <x:c r="F704" s="18" t="str">
        <x:v>persons/day</x:v>
      </x:c>
      <x:c r="G704" s="18" t="str">
        <x:v>FY2024</x:v>
      </x:c>
      <x:c r="H704" s="18" t="str">
        <x:v>否</x:v>
      </x:c>
      <x:c r="I704" s="19" t="str">
        <x:v>DAILY_ENTRIES_EXITS</x:v>
      </x:c>
      <x:c r="J704" s="19" t="str">
        <x:v>伊奈線</x:v>
      </x:c>
      <x:c r="K704" s="18" t="str">
        <x:v>transport-node:98560968-8f8b-5503-ae9a-3f62b1124114</x:v>
      </x:c>
      <x:c r="L704" s="19" t="str">
        <x:v>组件待审核</x:v>
      </x:c>
      <x:c r="M704" s="21" t="n">
        <x:v>35.907795</x:v>
      </x:c>
      <x:c r="N704" s="21" t="n">
        <x:v>139.622255</x:v>
      </x:c>
      <x:c r="O704" s="18" t="str">
        <x:v>002906</x:v>
      </x:c>
      <x:c r="P704" s="18" t="str">
        <x:v>伊奈線</x:v>
      </x:c>
      <x:c r="Q704" s="19" t="str">
        <x:v>S12_061_GE_10000
OFFICIAL_HUB_COMPONENT_REVIEW</x:v>
      </x:c>
      <x:c r="R704" s="19" t="str">
        <x:v>S12_061 usage threshold</x:v>
      </x:c>
      <x:c r="S704" s="19" t="str">
        <x:v>https://nlftp.mlit.go.jp/ksj/gml/datalist/KsjTmplt-S12-2024.html</x:v>
      </x:c>
      <x:c r="T704" s="19" t="str">
        <x:v>https://nlftp.mlit.go.jp/ksj/gml/datalist/KsjTmplt-S12-2024.html
https://www.tobu.co.jp/railway/guide/station/info/6102/</x:v>
      </x:c>
      <x:c r="U704" s="19" t="str">
        <x:v>station-component|大宮|埼玉新都市交通|fixed_guideway|35.9078|139.6223|</x:v>
      </x:c>
      <x:c r="V704" s="19" t="str">
        <x:v>002914 / 002906 / 伊奈線</x:v>
      </x:c>
      <x:c r="W704" s="18" t="str">
        <x:v>否</x:v>
      </x:c>
      <x:c r="X704" s="18" t="str">
        <x:v>0785e932a32b3ec15e1a1345537ae145eafe1c07bf38d5c16c11ee2b391e7a28</x:v>
      </x:c>
      <x:c r="Y704" s="20" t="n">
        <x:v>1</x:v>
      </x:c>
      <x:c r="Z704" s="20" t="n">
        <x:v>1</x:v>
      </x:c>
      <x:c r="AA704" s="19" t="str">
        <x:v>大宮</x:v>
      </x:c>
      <x:c r="AB704" s="18" t="str">
        <x:v>transport-hub-review:3fc37f12-6d20-5678-8d39-bd8967884661</x:v>
      </x:c>
      <x:c r="AC704" s="19"/>
    </x:row>
    <x:row r="705" ht="47" customHeight="1">
      <x:c r="A705" s="18" t="str">
        <x:v>大宮</x:v>
      </x:c>
      <x:c r="B705" s="18" t="str">
        <x:v>東日本旅客鉄道</x:v>
      </x:c>
      <x:c r="C705" s="18" t="str">
        <x:v>conventional_rail</x:v>
      </x:c>
      <x:c r="D705" s="19" t="str">
        <x:v>T0</x:v>
      </x:c>
      <x:c r="E705" s="20" t="n">
        <x:v>508440</x:v>
      </x:c>
      <x:c r="F705" s="18" t="str">
        <x:v>persons/day</x:v>
      </x:c>
      <x:c r="G705" s="18" t="str">
        <x:v>FY2024</x:v>
      </x:c>
      <x:c r="H705" s="18" t="str">
        <x:v>否</x:v>
      </x:c>
      <x:c r="I705" s="19" t="str">
        <x:v>DAILY_ENTRIES_EXITS</x:v>
      </x:c>
      <x:c r="J705" s="19" t="str">
        <x:v>川越線
東北線
高崎線</x:v>
      </x:c>
      <x:c r="K705" s="18" t="str">
        <x:v>transport-node:44af7ff3-0250-5814-8203-ab282ae6ac6d</x:v>
      </x:c>
      <x:c r="L705" s="19" t="str">
        <x:v>组件待审核</x:v>
      </x:c>
      <x:c r="M705" s="21" t="n">
        <x:v>35.90571</x:v>
      </x:c>
      <x:c r="N705" s="21" t="n">
        <x:v>139.6243733</x:v>
      </x:c>
      <x:c r="O705" s="18" t="str">
        <x:v>002912</x:v>
      </x:c>
      <x:c r="P705" s="18" t="str">
        <x:v>東北線</x:v>
      </x:c>
      <x:c r="Q705" s="19" t="str">
        <x:v>S12_061_GE_10000
OFFICIAL_HUB_COMPONENT_REVIEW</x:v>
      </x:c>
      <x:c r="R705" s="19" t="str">
        <x:v>S12_061 usage threshold</x:v>
      </x:c>
      <x:c r="S705" s="19" t="str">
        <x:v>https://nlftp.mlit.go.jp/ksj/gml/datalist/KsjTmplt-S12-2024.html</x:v>
      </x:c>
      <x:c r="T705" s="19" t="str">
        <x:v>https://nlftp.mlit.go.jp/ksj/gml/datalist/KsjTmplt-S12-2024.html
https://www.tobu.co.jp/railway/guide/station/info/6102/</x:v>
      </x:c>
      <x:c r="U705" s="19" t="str">
        <x:v>station-component|大宮|東日本旅客鉄道|conventional_rail|35.9057|139.6244|</x:v>
      </x:c>
      <x:c r="V705" s="19" t="str">
        <x:v>002914 / 002912 / 東北線
002914 / 002913 / 高崎線
002914 / 002916 / 川越線</x:v>
      </x:c>
      <x:c r="W705" s="18" t="str">
        <x:v>否</x:v>
      </x:c>
      <x:c r="X705" s="18" t="str">
        <x:v>0785e932a32b3ec15e1a1345537ae145eafe1c07bf38d5c16c11ee2b391e7a28</x:v>
      </x:c>
      <x:c r="Y705" s="20" t="n">
        <x:v>1</x:v>
      </x:c>
      <x:c r="Z705" s="20" t="n">
        <x:v>1</x:v>
      </x:c>
      <x:c r="AA705" s="19" t="str">
        <x:v>大宮</x:v>
      </x:c>
      <x:c r="AB705" s="18" t="str">
        <x:v>transport-hub-review:3fc37f12-6d20-5678-8d39-bd8967884661</x:v>
      </x:c>
      <x:c r="AC705" s="19"/>
    </x:row>
    <x:row r="706" ht="47" customHeight="1">
      <x:c r="A706" s="18" t="str">
        <x:v>大宮</x:v>
      </x:c>
      <x:c r="B706" s="18" t="str">
        <x:v>東日本旅客鉄道</x:v>
      </x:c>
      <x:c r="C706" s="18" t="str">
        <x:v>shinkansen</x:v>
      </x:c>
      <x:c r="D706" s="19"/>
      <x:c r="E706" s="20" t="n">
        <x:v>32143</x:v>
      </x:c>
      <x:c r="F706" s="18" t="str">
        <x:v>boardings/day</x:v>
      </x:c>
      <x:c r="G706" s="18" t="str">
        <x:v>FY2024</x:v>
      </x:c>
      <x:c r="H706" s="18" t="str">
        <x:v>是</x:v>
      </x:c>
      <x:c r="I706" s="19" t="str">
        <x:v>DAILY_SHINKANSEN_BOARDINGS</x:v>
      </x:c>
      <x:c r="J706" s="19" t="str">
        <x:v>上越新幹線
東北新幹線</x:v>
      </x:c>
      <x:c r="K706" s="18" t="str">
        <x:v>transport-node:9e608705-640b-5efe-80f3-5ce28cdbd6c2</x:v>
      </x:c>
      <x:c r="L706" s="19" t="str">
        <x:v>组件待审核</x:v>
      </x:c>
      <x:c r="M706" s="21" t="n">
        <x:v>35.90617</x:v>
      </x:c>
      <x:c r="N706" s="21" t="n">
        <x:v>139.6230967</x:v>
      </x:c>
      <x:c r="O706" s="18" t="str">
        <x:v>002914</x:v>
      </x:c>
      <x:c r="P706" s="18" t="str">
        <x:v>上越新幹線</x:v>
      </x:c>
      <x:c r="Q706" s="19" t="str">
        <x:v>SHINKANSEN
OFFICIAL_HUB_COMPONENT_REVIEW</x:v>
      </x:c>
      <x:c r="R706" s="19" t="str">
        <x:v>Official fallback retained in published scope/unit; tier remains null pending metric/manual review.</x:v>
      </x:c>
      <x:c r="S706" s="19" t="str">
        <x:v>https://www.jreast.co.jp/company/data/passenger/2024_shinkansen.html/</x:v>
      </x:c>
      <x:c r="T706" s="19" t="str">
        <x:v>https://nlftp.mlit.go.jp/ksj/gml/datalist/KsjTmplt-S12-2024.html
https://www.jreast.co.jp/company/data/passenger/2024_shinkansen.html/
https://www.tobu.co.jp/railway/guide/station/info/6102/</x:v>
      </x:c>
      <x:c r="U706" s="19" t="str">
        <x:v>station-component|大宮|東日本旅客鉄道|shinkansen|35.9062|139.6231|</x:v>
      </x:c>
      <x:c r="V706" s="19" t="str">
        <x:v>002914 / 002914 / 上越新幹線
002914 / 002915 / 東北新幹線</x:v>
      </x:c>
      <x:c r="W706" s="18" t="str">
        <x:v>否</x:v>
      </x:c>
      <x:c r="X706" s="18" t="str">
        <x:v>0785e932a32b3ec15e1a1345537ae145eafe1c07bf38d5c16c11ee2b391e7a28</x:v>
      </x:c>
      <x:c r="Y706" s="20" t="n">
        <x:v>1</x:v>
      </x:c>
      <x:c r="Z706" s="20" t="n">
        <x:v>2</x:v>
      </x:c>
      <x:c r="AA706" s="19" t="str">
        <x:v>大宮</x:v>
      </x:c>
      <x:c r="AB706" s="18" t="str">
        <x:v>transport-hub-review:3fc37f12-6d20-5678-8d39-bd8967884661</x:v>
      </x:c>
      <x:c r="AC706" s="19"/>
    </x:row>
    <x:row r="707" ht="33" customHeight="1">
      <x:c r="A707" s="18" t="str">
        <x:v>大宮</x:v>
      </x:c>
      <x:c r="B707" s="18" t="str">
        <x:v>東武鉄道</x:v>
      </x:c>
      <x:c r="C707" s="18" t="str">
        <x:v>private_rail</x:v>
      </x:c>
      <x:c r="D707" s="19" t="str">
        <x:v>T1</x:v>
      </x:c>
      <x:c r="E707" s="20" t="n">
        <x:v>127644</x:v>
      </x:c>
      <x:c r="F707" s="18" t="str">
        <x:v>persons/day</x:v>
      </x:c>
      <x:c r="G707" s="18" t="str">
        <x:v>FY2024</x:v>
      </x:c>
      <x:c r="H707" s="18" t="str">
        <x:v>否</x:v>
      </x:c>
      <x:c r="I707" s="19" t="str">
        <x:v>DAILY_ENTRIES_EXITS</x:v>
      </x:c>
      <x:c r="J707" s="19" t="str">
        <x:v>野田線</x:v>
      </x:c>
      <x:c r="K707" s="18" t="str">
        <x:v>transport-node:288ac346-1508-540c-87bd-c56c6cdf6365</x:v>
      </x:c>
      <x:c r="L707" s="19" t="str">
        <x:v>组件待审核</x:v>
      </x:c>
      <x:c r="M707" s="21" t="n">
        <x:v>35.90775</x:v>
      </x:c>
      <x:c r="N707" s="21" t="n">
        <x:v>139.62425</x:v>
      </x:c>
      <x:c r="O707" s="18" t="str">
        <x:v>002907</x:v>
      </x:c>
      <x:c r="P707" s="18" t="str">
        <x:v>野田線</x:v>
      </x:c>
      <x:c r="Q707" s="19" t="str">
        <x:v>S12_061_GE_10000
OFFICIAL_HUB_COMPONENT_REVIEW</x:v>
      </x:c>
      <x:c r="R707" s="19" t="str">
        <x:v>S12_061 usage threshold</x:v>
      </x:c>
      <x:c r="S707" s="19" t="str">
        <x:v>https://nlftp.mlit.go.jp/ksj/gml/datalist/KsjTmplt-S12-2024.html</x:v>
      </x:c>
      <x:c r="T707" s="19" t="str">
        <x:v>https://nlftp.mlit.go.jp/ksj/gml/datalist/KsjTmplt-S12-2024.html
https://www.tobu.co.jp/railway/guide/station/info/6102/</x:v>
      </x:c>
      <x:c r="U707" s="19" t="str">
        <x:v>station-component|大宮|東武鉄道|private_rail|35.9078|139.6242|</x:v>
      </x:c>
      <x:c r="V707" s="19" t="str">
        <x:v>002914 / 002907 / 野田線</x:v>
      </x:c>
      <x:c r="W707" s="18" t="str">
        <x:v>否</x:v>
      </x:c>
      <x:c r="X707" s="18" t="str">
        <x:v>0785e932a32b3ec15e1a1345537ae145eafe1c07bf38d5c16c11ee2b391e7a28</x:v>
      </x:c>
      <x:c r="Y707" s="20" t="n">
        <x:v>1</x:v>
      </x:c>
      <x:c r="Z707" s="20" t="n">
        <x:v>1</x:v>
      </x:c>
      <x:c r="AA707" s="19" t="str">
        <x:v>大宮</x:v>
      </x:c>
      <x:c r="AB707" s="18" t="str">
        <x:v>transport-hub-review:3fc37f12-6d20-5678-8d39-bd8967884661</x:v>
      </x:c>
      <x:c r="AC707" s="19"/>
    </x:row>
    <x:row r="708" ht="33" customHeight="1">
      <x:c r="A708" s="18" t="str">
        <x:v>大宮</x:v>
      </x:c>
      <x:c r="B708" s="18" t="str">
        <x:v>阪急電鉄</x:v>
      </x:c>
      <x:c r="C708" s="18" t="str">
        <x:v>private_rail</x:v>
      </x:c>
      <x:c r="D708" s="19" t="str">
        <x:v>T2</x:v>
      </x:c>
      <x:c r="E708" s="20" t="n">
        <x:v>23622</x:v>
      </x:c>
      <x:c r="F708" s="18" t="str">
        <x:v>persons/day</x:v>
      </x:c>
      <x:c r="G708" s="18" t="str">
        <x:v>FY2024</x:v>
      </x:c>
      <x:c r="H708" s="18" t="str">
        <x:v>否</x:v>
      </x:c>
      <x:c r="I708" s="19" t="str">
        <x:v>DAILY_ENTRIES_EXITS</x:v>
      </x:c>
      <x:c r="J708" s="19" t="str">
        <x:v>京都線</x:v>
      </x:c>
      <x:c r="K708" s="18" t="str">
        <x:v>transport-node:6b8a9b19-190c-52b3-8e3a-a72cc214a428</x:v>
      </x:c>
      <x:c r="L708" s="19" t="str">
        <x:v>组件待审核</x:v>
      </x:c>
      <x:c r="M708" s="21" t="n">
        <x:v>35.0036525</x:v>
      </x:c>
      <x:c r="N708" s="21" t="n">
        <x:v>135.749515</x:v>
      </x:c>
      <x:c r="O708" s="18" t="str">
        <x:v>005995</x:v>
      </x:c>
      <x:c r="P708" s="18" t="str">
        <x:v>京都線</x:v>
      </x:c>
      <x:c r="Q708" s="19" t="str">
        <x:v>S12_061_GE_10000
OFFICIAL_HUB_COMPONENT_REVIEW</x:v>
      </x:c>
      <x:c r="R708" s="19" t="str">
        <x:v>S12_061 usage threshold</x:v>
      </x:c>
      <x:c r="S708" s="19" t="str">
        <x:v>https://nlftp.mlit.go.jp/ksj/gml/datalist/KsjTmplt-S12-2024.html</x:v>
      </x:c>
      <x:c r="T708" s="19" t="str">
        <x:v>https://nlftp.mlit.go.jp/ksj/gml/datalist/KsjTmplt-S12-2024.html
https://www.hankyu.co.jp/station/index.html</x:v>
      </x:c>
      <x:c r="U708" s="19" t="str">
        <x:v>station-component|大宮|阪急電鉄|private_rail|35.0037|135.7495|</x:v>
      </x:c>
      <x:c r="V708" s="19" t="str">
        <x:v>005995 / 005995 / 京都線</x:v>
      </x:c>
      <x:c r="W708" s="18" t="str">
        <x:v>否</x:v>
      </x:c>
      <x:c r="X708" s="18" t="str">
        <x:v>0785e932a32b3ec15e1a1345537ae145eafe1c07bf38d5c16c11ee2b391e7a28</x:v>
      </x:c>
      <x:c r="Y708" s="20" t="n">
        <x:v>1</x:v>
      </x:c>
      <x:c r="Z708" s="20" t="n">
        <x:v>1</x:v>
      </x:c>
      <x:c r="AA708" s="19" t="str">
        <x:v>大宮・四条大宮</x:v>
      </x:c>
      <x:c r="AB708" s="18" t="str">
        <x:v>transport-hub-review:b30b067a-338e-5b85-811a-497dbaa709b9</x:v>
      </x:c>
      <x:c r="AC708" s="19"/>
    </x:row>
    <x:row r="709" ht="28" customHeight="1">
      <x:c r="A709" s="18" t="str">
        <x:v>大山</x:v>
      </x:c>
      <x:c r="B709" s="18" t="str">
        <x:v>東武鉄道</x:v>
      </x:c>
      <x:c r="C709" s="18" t="str">
        <x:v>private_rail</x:v>
      </x:c>
      <x:c r="D709" s="19" t="str">
        <x:v>T2</x:v>
      </x:c>
      <x:c r="E709" s="20" t="n">
        <x:v>48683</x:v>
      </x:c>
      <x:c r="F709" s="18" t="str">
        <x:v>persons/day</x:v>
      </x:c>
      <x:c r="G709" s="18" t="str">
        <x:v>FY2024</x:v>
      </x:c>
      <x:c r="H709" s="18" t="str">
        <x:v>否</x:v>
      </x:c>
      <x:c r="I709" s="19" t="str">
        <x:v>DAILY_ENTRIES_EXITS</x:v>
      </x:c>
      <x:c r="J709" s="19" t="str">
        <x:v>東上本線</x:v>
      </x:c>
      <x:c r="K709" s="18" t="str">
        <x:v>transport-node:e3a4eaf8-6dc4-5064-91c2-02e9803b7e59</x:v>
      </x:c>
      <x:c r="L709" s="19" t="str">
        <x:v>组件待审核</x:v>
      </x:c>
      <x:c r="M709" s="21" t="n">
        <x:v>35.74841</x:v>
      </x:c>
      <x:c r="N709" s="21" t="n">
        <x:v>139.7026233</x:v>
      </x:c>
      <x:c r="O709" s="18" t="str">
        <x:v>003269</x:v>
      </x:c>
      <x:c r="P709" s="18" t="str">
        <x:v>東上本線</x:v>
      </x:c>
      <x:c r="Q709" s="19" t="str">
        <x:v>S12_061_GE_10000</x:v>
      </x:c>
      <x:c r="R709" s="19" t="str">
        <x:v>S12_061 usage threshold</x:v>
      </x:c>
      <x:c r="S709" s="19" t="str">
        <x:v>https://nlftp.mlit.go.jp/ksj/gml/datalist/KsjTmplt-S12-2024.html</x:v>
      </x:c>
      <x:c r="T709" s="19" t="str">
        <x:v>https://nlftp.mlit.go.jp/ksj/gml/datalist/KsjTmplt-S12-2024.html</x:v>
      </x:c>
      <x:c r="U709" s="19" t="str">
        <x:v>station-component|大山|東武鉄道|private_rail|35.7484|139.7026|</x:v>
      </x:c>
      <x:c r="V709" s="19" t="str">
        <x:v>003269 / 003269 / 東上本線</x:v>
      </x:c>
      <x:c r="W709" s="18" t="str">
        <x:v>否</x:v>
      </x:c>
      <x:c r="X709" s="18" t="str">
        <x:v>0785e932a32b3ec15e1a1345537ae145eafe1c07bf38d5c16c11ee2b391e7a28</x:v>
      </x:c>
      <x:c r="Y709" s="20" t="n">
        <x:v>1</x:v>
      </x:c>
      <x:c r="Z709" s="20" t="n">
        <x:v>1</x:v>
      </x:c>
      <x:c r="AA709" s="19"/>
      <x:c r="AB709" s="18"/>
      <x:c r="AC709" s="19"/>
    </x:row>
    <x:row r="710" ht="33" customHeight="1">
      <x:c r="A710" s="18" t="str">
        <x:v>大岡山</x:v>
      </x:c>
      <x:c r="B710" s="18" t="str">
        <x:v>東急電鉄</x:v>
      </x:c>
      <x:c r="C710" s="18" t="str">
        <x:v>private_rail</x:v>
      </x:c>
      <x:c r="D710" s="19" t="str">
        <x:v>T2</x:v>
      </x:c>
      <x:c r="E710" s="20" t="n">
        <x:v>47370</x:v>
      </x:c>
      <x:c r="F710" s="18" t="str">
        <x:v>persons/day</x:v>
      </x:c>
      <x:c r="G710" s="18" t="str">
        <x:v>FY2024</x:v>
      </x:c>
      <x:c r="H710" s="18" t="str">
        <x:v>否</x:v>
      </x:c>
      <x:c r="I710" s="19" t="str">
        <x:v>DAILY_ENTRIES_EXITS</x:v>
      </x:c>
      <x:c r="J710" s="19" t="str">
        <x:v>大井町線
目黒線</x:v>
      </x:c>
      <x:c r="K710" s="18" t="str">
        <x:v>transport-node:fe7ce2c5-f779-5b2d-8d63-715358a9bbee</x:v>
      </x:c>
      <x:c r="L710" s="19" t="str">
        <x:v>组件待审核</x:v>
      </x:c>
      <x:c r="M710" s="21" t="n">
        <x:v>35.6072</x:v>
      </x:c>
      <x:c r="N710" s="21" t="n">
        <x:v>139.6848267</x:v>
      </x:c>
      <x:c r="O710" s="18" t="str">
        <x:v>004200</x:v>
      </x:c>
      <x:c r="P710" s="18" t="str">
        <x:v>目黒線</x:v>
      </x:c>
      <x:c r="Q710" s="19" t="str">
        <x:v>S12_061_GE_10000</x:v>
      </x:c>
      <x:c r="R710" s="19" t="str">
        <x:v>S12_061 usage threshold</x:v>
      </x:c>
      <x:c r="S710" s="19" t="str">
        <x:v>https://nlftp.mlit.go.jp/ksj/gml/datalist/KsjTmplt-S12-2024.html</x:v>
      </x:c>
      <x:c r="T710" s="19" t="str">
        <x:v>https://nlftp.mlit.go.jp/ksj/gml/datalist/KsjTmplt-S12-2024.html</x:v>
      </x:c>
      <x:c r="U710" s="19" t="str">
        <x:v>station-component|大岡山|東急電鉄|private_rail|35.6072|139.6848|</x:v>
      </x:c>
      <x:c r="V710" s="19" t="str">
        <x:v>004200 / 004200 / 目黒線
004200 / 004202 / 大井町線</x:v>
      </x:c>
      <x:c r="W710" s="18" t="str">
        <x:v>否</x:v>
      </x:c>
      <x:c r="X710" s="18" t="str">
        <x:v>0785e932a32b3ec15e1a1345537ae145eafe1c07bf38d5c16c11ee2b391e7a28</x:v>
      </x:c>
      <x:c r="Y710" s="20" t="n">
        <x:v>1</x:v>
      </x:c>
      <x:c r="Z710" s="20" t="n">
        <x:v>1</x:v>
      </x:c>
      <x:c r="AA710" s="19"/>
      <x:c r="AB710" s="18"/>
      <x:c r="AC710" s="19"/>
    </x:row>
    <x:row r="711" ht="28" customHeight="1">
      <x:c r="A711" s="18" t="str">
        <x:v>大島</x:v>
      </x:c>
      <x:c r="B711" s="18" t="str">
        <x:v>東京都</x:v>
      </x:c>
      <x:c r="C711" s="18" t="str">
        <x:v>metro</x:v>
      </x:c>
      <x:c r="D711" s="19" t="str">
        <x:v>T2</x:v>
      </x:c>
      <x:c r="E711" s="20" t="n">
        <x:v>31661</x:v>
      </x:c>
      <x:c r="F711" s="18" t="str">
        <x:v>persons/day</x:v>
      </x:c>
      <x:c r="G711" s="18" t="str">
        <x:v>FY2024</x:v>
      </x:c>
      <x:c r="H711" s="18" t="str">
        <x:v>否</x:v>
      </x:c>
      <x:c r="I711" s="19" t="str">
        <x:v>DAILY_ENTRIES_EXITS</x:v>
      </x:c>
      <x:c r="J711" s="19" t="str">
        <x:v>10号線新宿線</x:v>
      </x:c>
      <x:c r="K711" s="18" t="str">
        <x:v>transport-node:0a64c83f-83c3-5df4-a61e-28cea5df6ccb</x:v>
      </x:c>
      <x:c r="L711" s="19" t="str">
        <x:v>组件待审核</x:v>
      </x:c>
      <x:c r="M711" s="21" t="n">
        <x:v>35.689766</x:v>
      </x:c>
      <x:c r="N711" s="21" t="n">
        <x:v>139.834384</x:v>
      </x:c>
      <x:c r="O711" s="18" t="str">
        <x:v>003698</x:v>
      </x:c>
      <x:c r="P711" s="18" t="str">
        <x:v>10号線新宿線</x:v>
      </x:c>
      <x:c r="Q711" s="19" t="str">
        <x:v>S12_061_GE_10000</x:v>
      </x:c>
      <x:c r="R711" s="19" t="str">
        <x:v>S12_061 usage threshold</x:v>
      </x:c>
      <x:c r="S711" s="19" t="str">
        <x:v>https://nlftp.mlit.go.jp/ksj/gml/datalist/KsjTmplt-S12-2024.html</x:v>
      </x:c>
      <x:c r="T711" s="19" t="str">
        <x:v>https://nlftp.mlit.go.jp/ksj/gml/datalist/KsjTmplt-S12-2024.html</x:v>
      </x:c>
      <x:c r="U711" s="19" t="str">
        <x:v>station-component|大島|東京都|metro|35.6898|139.8344|</x:v>
      </x:c>
      <x:c r="V711" s="19" t="str">
        <x:v>003698 / 003698 / 10号線新宿線</x:v>
      </x:c>
      <x:c r="W711" s="18" t="str">
        <x:v>否</x:v>
      </x:c>
      <x:c r="X711" s="18" t="str">
        <x:v>0785e932a32b3ec15e1a1345537ae145eafe1c07bf38d5c16c11ee2b391e7a28</x:v>
      </x:c>
      <x:c r="Y711" s="20" t="n">
        <x:v>1</x:v>
      </x:c>
      <x:c r="Z711" s="20" t="n">
        <x:v>1</x:v>
      </x:c>
      <x:c r="AA711" s="19"/>
      <x:c r="AB711" s="18"/>
      <x:c r="AC711" s="19"/>
    </x:row>
    <x:row r="712" ht="33" customHeight="1">
      <x:c r="A712" s="18" t="str">
        <x:v>大崎</x:v>
      </x:c>
      <x:c r="B712" s="18" t="str">
        <x:v>東京臨海高速鉄道</x:v>
      </x:c>
      <x:c r="C712" s="18" t="str">
        <x:v>private_rail</x:v>
      </x:c>
      <x:c r="D712" s="19"/>
      <x:c r="E712" s="20"/>
      <x:c r="F712" s="18"/>
      <x:c r="G712" s="18" t="str">
        <x:v>FY2024</x:v>
      </x:c>
      <x:c r="H712" s="18" t="str">
        <x:v>是</x:v>
      </x:c>
      <x:c r="I712" s="19" t="str">
        <x:v>USAGE_DATA_UNAVAILABLE</x:v>
      </x:c>
      <x:c r="J712" s="19" t="str">
        <x:v>臨海副都心線</x:v>
      </x:c>
      <x:c r="K712" s="18" t="str">
        <x:v>transport-node:5d616652-cb8c-559e-84c6-288de1136b70</x:v>
      </x:c>
      <x:c r="L712" s="19" t="str">
        <x:v>组件待审核</x:v>
      </x:c>
      <x:c r="M712" s="21" t="n">
        <x:v>35.61975</x:v>
      </x:c>
      <x:c r="N712" s="21" t="n">
        <x:v>139.727895</x:v>
      </x:c>
      <x:c r="O712" s="18" t="str">
        <x:v>004136</x:v>
      </x:c>
      <x:c r="P712" s="18" t="str">
        <x:v>臨海副都心線</x:v>
      </x:c>
      <x:c r="Q712" s="19" t="str">
        <x:v>OFFICIAL_HUB_COMPONENT_REVIEW</x:v>
      </x:c>
      <x:c r="R712" s="19" t="str">
        <x:v>Official S12 usage unavailable; manual tier review required</x:v>
      </x:c>
      <x:c r="S712" s="19" t="str">
        <x:v>https://nlftp.mlit.go.jp/ksj/gml/datalist/KsjTmplt-S12-2024.html</x:v>
      </x:c>
      <x:c r="T712" s="19" t="str">
        <x:v>https://nlftp.mlit.go.jp/ksj/gml/datalist/KsjTmplt-S12-2024.html
https://www.twr.co.jp/route/tabid/120/Default.aspx</x:v>
      </x:c>
      <x:c r="U712" s="19" t="str">
        <x:v>station-component|大崎|東京臨海高速鉄道|private_rail|35.6198|139.7279|</x:v>
      </x:c>
      <x:c r="V712" s="19" t="str">
        <x:v>004135 / 004136 / 臨海副都心線</x:v>
      </x:c>
      <x:c r="W712" s="18" t="str">
        <x:v>否</x:v>
      </x:c>
      <x:c r="X712" s="18" t="str">
        <x:v>0785e932a32b3ec15e1a1345537ae145eafe1c07bf38d5c16c11ee2b391e7a28</x:v>
      </x:c>
      <x:c r="Y712" s="20" t="n">
        <x:v>1</x:v>
      </x:c>
      <x:c r="Z712" s="20" t="n">
        <x:v>2</x:v>
      </x:c>
      <x:c r="AA712" s="19" t="str">
        <x:v>大崎</x:v>
      </x:c>
      <x:c r="AB712" s="18" t="str">
        <x:v>transport-hub-review:dc0a88e6-dd2c-5945-b91f-e559abca4809</x:v>
      </x:c>
      <x:c r="AC712" s="19"/>
    </x:row>
    <x:row r="713" ht="33" customHeight="1">
      <x:c r="A713" s="18" t="str">
        <x:v>大崎</x:v>
      </x:c>
      <x:c r="B713" s="18" t="str">
        <x:v>東日本旅客鉄道</x:v>
      </x:c>
      <x:c r="C713" s="18" t="str">
        <x:v>conventional_rail</x:v>
      </x:c>
      <x:c r="D713" s="19" t="str">
        <x:v>T0</x:v>
      </x:c>
      <x:c r="E713" s="20" t="n">
        <x:v>290388</x:v>
      </x:c>
      <x:c r="F713" s="18" t="str">
        <x:v>persons/day</x:v>
      </x:c>
      <x:c r="G713" s="18" t="str">
        <x:v>FY2024</x:v>
      </x:c>
      <x:c r="H713" s="18" t="str">
        <x:v>否</x:v>
      </x:c>
      <x:c r="I713" s="19" t="str">
        <x:v>DAILY_ENTRIES_EXITS</x:v>
      </x:c>
      <x:c r="J713" s="19" t="str">
        <x:v>山手線</x:v>
      </x:c>
      <x:c r="K713" s="18" t="str">
        <x:v>transport-node:9c7a262f-1953-51f4-a9de-8efb9ff85ab7</x:v>
      </x:c>
      <x:c r="L713" s="19" t="str">
        <x:v>组件待审核</x:v>
      </x:c>
      <x:c r="M713" s="21" t="n">
        <x:v>35.619945</x:v>
      </x:c>
      <x:c r="N713" s="21" t="n">
        <x:v>139.728245</x:v>
      </x:c>
      <x:c r="O713" s="18" t="str">
        <x:v>004135</x:v>
      </x:c>
      <x:c r="P713" s="18" t="str">
        <x:v>山手線</x:v>
      </x:c>
      <x:c r="Q713" s="19" t="str">
        <x:v>S12_061_GE_10000
OFFICIAL_HUB_COMPONENT_REVIEW</x:v>
      </x:c>
      <x:c r="R713" s="19" t="str">
        <x:v>S12_061 usage threshold</x:v>
      </x:c>
      <x:c r="S713" s="19" t="str">
        <x:v>https://nlftp.mlit.go.jp/ksj/gml/datalist/KsjTmplt-S12-2024.html</x:v>
      </x:c>
      <x:c r="T713" s="19" t="str">
        <x:v>https://nlftp.mlit.go.jp/ksj/gml/datalist/KsjTmplt-S12-2024.html
https://www.twr.co.jp/route/tabid/120/Default.aspx</x:v>
      </x:c>
      <x:c r="U713" s="19" t="str">
        <x:v>station-component|大崎|東日本旅客鉄道|conventional_rail|35.6199|139.7282|</x:v>
      </x:c>
      <x:c r="V713" s="19" t="str">
        <x:v>004135 / 004135 / 山手線</x:v>
      </x:c>
      <x:c r="W713" s="18" t="str">
        <x:v>否</x:v>
      </x:c>
      <x:c r="X713" s="18" t="str">
        <x:v>0785e932a32b3ec15e1a1345537ae145eafe1c07bf38d5c16c11ee2b391e7a28</x:v>
      </x:c>
      <x:c r="Y713" s="20" t="n">
        <x:v>1</x:v>
      </x:c>
      <x:c r="Z713" s="20" t="n">
        <x:v>1</x:v>
      </x:c>
      <x:c r="AA713" s="19" t="str">
        <x:v>大崎</x:v>
      </x:c>
      <x:c r="AB713" s="18" t="str">
        <x:v>transport-hub-review:dc0a88e6-dd2c-5945-b91f-e559abca4809</x:v>
      </x:c>
      <x:c r="AC713" s="19"/>
    </x:row>
    <x:row r="714" ht="28" customHeight="1">
      <x:c r="A714" s="18" t="str">
        <x:v>大師前</x:v>
      </x:c>
      <x:c r="B714" s="18" t="str">
        <x:v>東武鉄道</x:v>
      </x:c>
      <x:c r="C714" s="18" t="str">
        <x:v>private_rail</x:v>
      </x:c>
      <x:c r="D714" s="19" t="str">
        <x:v>T2</x:v>
      </x:c>
      <x:c r="E714" s="20" t="n">
        <x:v>12621</x:v>
      </x:c>
      <x:c r="F714" s="18" t="str">
        <x:v>persons/day</x:v>
      </x:c>
      <x:c r="G714" s="18" t="str">
        <x:v>FY2024</x:v>
      </x:c>
      <x:c r="H714" s="18" t="str">
        <x:v>否</x:v>
      </x:c>
      <x:c r="I714" s="19" t="str">
        <x:v>DAILY_ENTRIES_EXITS</x:v>
      </x:c>
      <x:c r="J714" s="19" t="str">
        <x:v>大師線</x:v>
      </x:c>
      <x:c r="K714" s="18" t="str">
        <x:v>transport-node:eca63d38-a066-52c2-8e65-67ed27a174a2</x:v>
      </x:c>
      <x:c r="L714" s="19" t="str">
        <x:v>组件待审核</x:v>
      </x:c>
      <x:c r="M714" s="21" t="n">
        <x:v>35.77895</x:v>
      </x:c>
      <x:c r="N714" s="21" t="n">
        <x:v>139.781655</x:v>
      </x:c>
      <x:c r="O714" s="18" t="str">
        <x:v>003150</x:v>
      </x:c>
      <x:c r="P714" s="18" t="str">
        <x:v>大師線</x:v>
      </x:c>
      <x:c r="Q714" s="19" t="str">
        <x:v>S12_061_GE_10000</x:v>
      </x:c>
      <x:c r="R714" s="19" t="str">
        <x:v>S12_061 usage threshold</x:v>
      </x:c>
      <x:c r="S714" s="19" t="str">
        <x:v>https://nlftp.mlit.go.jp/ksj/gml/datalist/KsjTmplt-S12-2024.html</x:v>
      </x:c>
      <x:c r="T714" s="19" t="str">
        <x:v>https://nlftp.mlit.go.jp/ksj/gml/datalist/KsjTmplt-S12-2024.html</x:v>
      </x:c>
      <x:c r="U714" s="19" t="str">
        <x:v>station-component|大師前|東武鉄道|private_rail|35.7790|139.7817|</x:v>
      </x:c>
      <x:c r="V714" s="19" t="str">
        <x:v>003150 / 003150 / 大師線</x:v>
      </x:c>
      <x:c r="W714" s="18" t="str">
        <x:v>否</x:v>
      </x:c>
      <x:c r="X714" s="18" t="str">
        <x:v>0785e932a32b3ec15e1a1345537ae145eafe1c07bf38d5c16c11ee2b391e7a28</x:v>
      </x:c>
      <x:c r="Y714" s="20" t="n">
        <x:v>1</x:v>
      </x:c>
      <x:c r="Z714" s="20" t="n">
        <x:v>1</x:v>
      </x:c>
      <x:c r="AA714" s="19"/>
      <x:c r="AB714" s="18"/>
      <x:c r="AC714" s="19"/>
    </x:row>
    <x:row r="715" ht="28" customHeight="1">
      <x:c r="A715" s="18" t="str">
        <x:v>大師橋</x:v>
      </x:c>
      <x:c r="B715" s="18" t="str">
        <x:v>京浜急行電鉄</x:v>
      </x:c>
      <x:c r="C715" s="18" t="str">
        <x:v>private_rail</x:v>
      </x:c>
      <x:c r="D715" s="19" t="str">
        <x:v>T2</x:v>
      </x:c>
      <x:c r="E715" s="20" t="n">
        <x:v>10557</x:v>
      </x:c>
      <x:c r="F715" s="18" t="str">
        <x:v>persons/day</x:v>
      </x:c>
      <x:c r="G715" s="18" t="str">
        <x:v>FY2024</x:v>
      </x:c>
      <x:c r="H715" s="18" t="str">
        <x:v>否</x:v>
      </x:c>
      <x:c r="I715" s="19" t="str">
        <x:v>DAILY_ENTRIES_EXITS</x:v>
      </x:c>
      <x:c r="J715" s="19" t="str">
        <x:v>大師線</x:v>
      </x:c>
      <x:c r="K715" s="18" t="str">
        <x:v>transport-node:fbb669d5-2042-58a3-8dfd-4c634e33f822</x:v>
      </x:c>
      <x:c r="L715" s="19" t="str">
        <x:v>组件待审核</x:v>
      </x:c>
      <x:c r="M715" s="21" t="n">
        <x:v>35.536605</x:v>
      </x:c>
      <x:c r="N715" s="21" t="n">
        <x:v>139.740445</x:v>
      </x:c>
      <x:c r="O715" s="18" t="str">
        <x:v>004407</x:v>
      </x:c>
      <x:c r="P715" s="18" t="str">
        <x:v>大師線</x:v>
      </x:c>
      <x:c r="Q715" s="19" t="str">
        <x:v>S12_061_GE_10000</x:v>
      </x:c>
      <x:c r="R715" s="19" t="str">
        <x:v>S12_061 usage threshold</x:v>
      </x:c>
      <x:c r="S715" s="19" t="str">
        <x:v>https://nlftp.mlit.go.jp/ksj/gml/datalist/KsjTmplt-S12-2024.html</x:v>
      </x:c>
      <x:c r="T715" s="19" t="str">
        <x:v>https://nlftp.mlit.go.jp/ksj/gml/datalist/KsjTmplt-S12-2024.html</x:v>
      </x:c>
      <x:c r="U715" s="19" t="str">
        <x:v>station-component|大師橋|京浜急行電鉄|private_rail|35.5366|139.7404|</x:v>
      </x:c>
      <x:c r="V715" s="19" t="str">
        <x:v>004407 / 004407 / 大師線</x:v>
      </x:c>
      <x:c r="W715" s="18" t="str">
        <x:v>否</x:v>
      </x:c>
      <x:c r="X715" s="18" t="str">
        <x:v>0785e932a32b3ec15e1a1345537ae145eafe1c07bf38d5c16c11ee2b391e7a28</x:v>
      </x:c>
      <x:c r="Y715" s="20" t="n">
        <x:v>1</x:v>
      </x:c>
      <x:c r="Z715" s="20" t="n">
        <x:v>1</x:v>
      </x:c>
      <x:c r="AA715" s="19"/>
      <x:c r="AB715" s="18"/>
      <x:c r="AC715" s="19"/>
    </x:row>
    <x:row r="716" ht="33" customHeight="1">
      <x:c r="A716" s="18" t="str">
        <x:v>大府</x:v>
      </x:c>
      <x:c r="B716" s="18" t="str">
        <x:v>東海旅客鉄道</x:v>
      </x:c>
      <x:c r="C716" s="18" t="str">
        <x:v>conventional_rail</x:v>
      </x:c>
      <x:c r="D716" s="19" t="str">
        <x:v>T2</x:v>
      </x:c>
      <x:c r="E716" s="20" t="n">
        <x:v>27374</x:v>
      </x:c>
      <x:c r="F716" s="18" t="str">
        <x:v>persons/day</x:v>
      </x:c>
      <x:c r="G716" s="18" t="str">
        <x:v>FY2024</x:v>
      </x:c>
      <x:c r="H716" s="18" t="str">
        <x:v>否</x:v>
      </x:c>
      <x:c r="I716" s="19" t="str">
        <x:v>DAILY_ENTRIES_EXITS</x:v>
      </x:c>
      <x:c r="J716" s="19" t="str">
        <x:v>東海道線
武豊線</x:v>
      </x:c>
      <x:c r="K716" s="18" t="str">
        <x:v>transport-node:a44e5a71-b01c-5f9e-9cf9-041671f68a03</x:v>
      </x:c>
      <x:c r="L716" s="19" t="str">
        <x:v>组件待审核</x:v>
      </x:c>
      <x:c r="M716" s="21" t="n">
        <x:v>35.008695</x:v>
      </x:c>
      <x:c r="N716" s="21" t="n">
        <x:v>136.961805</x:v>
      </x:c>
      <x:c r="O716" s="18" t="str">
        <x:v>005974</x:v>
      </x:c>
      <x:c r="P716" s="18" t="str">
        <x:v>東海道線</x:v>
      </x:c>
      <x:c r="Q716" s="19" t="str">
        <x:v>S12_061_GE_10000</x:v>
      </x:c>
      <x:c r="R716" s="19" t="str">
        <x:v>S12_061 usage threshold</x:v>
      </x:c>
      <x:c r="S716" s="19" t="str">
        <x:v>https://nlftp.mlit.go.jp/ksj/gml/datalist/KsjTmplt-S12-2024.html</x:v>
      </x:c>
      <x:c r="T716" s="19" t="str">
        <x:v>https://nlftp.mlit.go.jp/ksj/gml/datalist/KsjTmplt-S12-2024.html</x:v>
      </x:c>
      <x:c r="U716" s="19" t="str">
        <x:v>station-component|大府|東海旅客鉄道|conventional_rail|35.0087|136.9618|</x:v>
      </x:c>
      <x:c r="V716" s="19" t="str">
        <x:v>005974 / 005974 / 東海道線
005974 / 005975 / 武豊線</x:v>
      </x:c>
      <x:c r="W716" s="18" t="str">
        <x:v>否</x:v>
      </x:c>
      <x:c r="X716" s="18" t="str">
        <x:v>0785e932a32b3ec15e1a1345537ae145eafe1c07bf38d5c16c11ee2b391e7a28</x:v>
      </x:c>
      <x:c r="Y716" s="20" t="n">
        <x:v>1</x:v>
      </x:c>
      <x:c r="Z716" s="20" t="n">
        <x:v>1</x:v>
      </x:c>
      <x:c r="AA716" s="19"/>
      <x:c r="AB716" s="18"/>
      <x:c r="AC716" s="19"/>
    </x:row>
    <x:row r="717" ht="61" customHeight="1">
      <x:c r="A717" s="18" t="str">
        <x:v>大手町</x:v>
      </x:c>
      <x:c r="B717" s="18" t="str">
        <x:v>東京地下鉄</x:v>
      </x:c>
      <x:c r="C717" s="18" t="str">
        <x:v>metro</x:v>
      </x:c>
      <x:c r="D717" s="19" t="str">
        <x:v>T0</x:v>
      </x:c>
      <x:c r="E717" s="20" t="n">
        <x:v>334541</x:v>
      </x:c>
      <x:c r="F717" s="18" t="str">
        <x:v>persons/day</x:v>
      </x:c>
      <x:c r="G717" s="18" t="str">
        <x:v>FY2024</x:v>
      </x:c>
      <x:c r="H717" s="18" t="str">
        <x:v>否</x:v>
      </x:c>
      <x:c r="I717" s="19" t="str">
        <x:v>DAILY_ENTRIES_EXITS</x:v>
      </x:c>
      <x:c r="J717" s="19" t="str">
        <x:v>11号線半蔵門線
4号線丸ノ内線
5号線東西線
9号線千代田線</x:v>
      </x:c>
      <x:c r="K717" s="18" t="str">
        <x:v>transport-node:9cf00795-9ac1-50c2-8f70-ab4feb875e14</x:v>
      </x:c>
      <x:c r="L717" s="19" t="str">
        <x:v>组件待审核</x:v>
      </x:c>
      <x:c r="M717" s="21" t="n">
        <x:v>35.68677</x:v>
      </x:c>
      <x:c r="N717" s="21" t="n">
        <x:v>139.7661767</x:v>
      </x:c>
      <x:c r="O717" s="18" t="str">
        <x:v>003717</x:v>
      </x:c>
      <x:c r="P717" s="18" t="str">
        <x:v>4号線丸ノ内線</x:v>
      </x:c>
      <x:c r="Q717" s="19" t="str">
        <x:v>S12_061_GE_10000
OFFICIAL_HUB_COMPONENT_REVIEW</x:v>
      </x:c>
      <x:c r="R717" s="19" t="str">
        <x:v>S12_061 usage threshold</x:v>
      </x:c>
      <x:c r="S717" s="19" t="str">
        <x:v>https://nlftp.mlit.go.jp/ksj/gml/datalist/KsjTmplt-S12-2024.html</x:v>
      </x:c>
      <x:c r="T717" s="19" t="str">
        <x:v>https://nlftp.mlit.go.jp/ksj/gml/datalist/KsjTmplt-S12-2024.html
https://www.tokyometro.jp/station/otemachi/index.html</x:v>
      </x:c>
      <x:c r="U717" s="19" t="str">
        <x:v>station-component|大手町|東京地下鉄|metro|35.6868|139.7662|</x:v>
      </x:c>
      <x:c r="V717" s="19" t="str">
        <x:v>003719 / 003717 / 4号線丸ノ内線
003719 / 003719 / 11号線半蔵門線
003719 / 003730 / 9号線千代田線
003719 / 003738 / 5号線東西線</x:v>
      </x:c>
      <x:c r="W717" s="18" t="str">
        <x:v>否</x:v>
      </x:c>
      <x:c r="X717" s="18" t="str">
        <x:v>0785e932a32b3ec15e1a1345537ae145eafe1c07bf38d5c16c11ee2b391e7a28</x:v>
      </x:c>
      <x:c r="Y717" s="20" t="n">
        <x:v>1</x:v>
      </x:c>
      <x:c r="Z717" s="20" t="n">
        <x:v>1</x:v>
      </x:c>
      <x:c r="AA717" s="19" t="str">
        <x:v>大手町</x:v>
      </x:c>
      <x:c r="AB717" s="18" t="str">
        <x:v>transport-hub-review:1381cb37-f196-567f-89d3-7316094fe7bb</x:v>
      </x:c>
      <x:c r="AC717" s="19"/>
    </x:row>
    <x:row r="718" ht="33" customHeight="1">
      <x:c r="A718" s="18" t="str">
        <x:v>大手町</x:v>
      </x:c>
      <x:c r="B718" s="18" t="str">
        <x:v>東京都</x:v>
      </x:c>
      <x:c r="C718" s="18" t="str">
        <x:v>metro</x:v>
      </x:c>
      <x:c r="D718" s="19" t="str">
        <x:v>T1</x:v>
      </x:c>
      <x:c r="E718" s="20" t="n">
        <x:v>61653</x:v>
      </x:c>
      <x:c r="F718" s="18" t="str">
        <x:v>persons/day</x:v>
      </x:c>
      <x:c r="G718" s="18" t="str">
        <x:v>FY2024</x:v>
      </x:c>
      <x:c r="H718" s="18" t="str">
        <x:v>否</x:v>
      </x:c>
      <x:c r="I718" s="19" t="str">
        <x:v>DAILY_ENTRIES_EXITS</x:v>
      </x:c>
      <x:c r="J718" s="19" t="str">
        <x:v>6号線三田線</x:v>
      </x:c>
      <x:c r="K718" s="18" t="str">
        <x:v>transport-node:516b1319-ceca-5ef9-b232-a2625b324410</x:v>
      </x:c>
      <x:c r="L718" s="19" t="str">
        <x:v>组件待审核</x:v>
      </x:c>
      <x:c r="M718" s="21" t="n">
        <x:v>35.68407</x:v>
      </x:c>
      <x:c r="N718" s="21" t="n">
        <x:v>139.76261</x:v>
      </x:c>
      <x:c r="O718" s="18" t="str">
        <x:v>003742</x:v>
      </x:c>
      <x:c r="P718" s="18" t="str">
        <x:v>6号線三田線</x:v>
      </x:c>
      <x:c r="Q718" s="19" t="str">
        <x:v>S12_061_GE_10000
OFFICIAL_HUB_COMPONENT_REVIEW</x:v>
      </x:c>
      <x:c r="R718" s="19" t="str">
        <x:v>S12_061 usage threshold</x:v>
      </x:c>
      <x:c r="S718" s="19" t="str">
        <x:v>https://nlftp.mlit.go.jp/ksj/gml/datalist/KsjTmplt-S12-2024.html</x:v>
      </x:c>
      <x:c r="T718" s="19" t="str">
        <x:v>https://nlftp.mlit.go.jp/ksj/gml/datalist/KsjTmplt-S12-2024.html
https://www.tokyometro.jp/station/otemachi/index.html</x:v>
      </x:c>
      <x:c r="U718" s="19" t="str">
        <x:v>station-component|大手町|東京都|metro|35.6841|139.7626|</x:v>
      </x:c>
      <x:c r="V718" s="19" t="str">
        <x:v>003719 / 003742 / 6号線三田線</x:v>
      </x:c>
      <x:c r="W718" s="18" t="str">
        <x:v>否</x:v>
      </x:c>
      <x:c r="X718" s="18" t="str">
        <x:v>0785e932a32b3ec15e1a1345537ae145eafe1c07bf38d5c16c11ee2b391e7a28</x:v>
      </x:c>
      <x:c r="Y718" s="20" t="n">
        <x:v>1</x:v>
      </x:c>
      <x:c r="Z718" s="20" t="n">
        <x:v>1</x:v>
      </x:c>
      <x:c r="AA718" s="19" t="str">
        <x:v>大手町</x:v>
      </x:c>
      <x:c r="AB718" s="18" t="str">
        <x:v>transport-hub-review:1381cb37-f196-567f-89d3-7316094fe7bb</x:v>
      </x:c>
      <x:c r="AC718" s="19"/>
    </x:row>
    <x:row r="719" ht="33" customHeight="1">
      <x:c r="A719" s="18" t="str">
        <x:v>大日</x:v>
      </x:c>
      <x:c r="B719" s="18" t="str">
        <x:v>大阪モノレール</x:v>
      </x:c>
      <x:c r="C719" s="18" t="str">
        <x:v>fixed_guideway</x:v>
      </x:c>
      <x:c r="D719" s="19" t="str">
        <x:v>T2</x:v>
      </x:c>
      <x:c r="E719" s="20" t="n">
        <x:v>15400</x:v>
      </x:c>
      <x:c r="F719" s="18" t="str">
        <x:v>persons/day</x:v>
      </x:c>
      <x:c r="G719" s="18" t="str">
        <x:v>FY2024</x:v>
      </x:c>
      <x:c r="H719" s="18" t="str">
        <x:v>否</x:v>
      </x:c>
      <x:c r="I719" s="19" t="str">
        <x:v>DAILY_ENTRIES_EXITS</x:v>
      </x:c>
      <x:c r="J719" s="19" t="str">
        <x:v>大阪モノレール線</x:v>
      </x:c>
      <x:c r="K719" s="18" t="str">
        <x:v>transport-node:357d111b-fa31-5099-8f84-f734bae42a61</x:v>
      </x:c>
      <x:c r="L719" s="19" t="str">
        <x:v>组件待审核</x:v>
      </x:c>
      <x:c r="M719" s="21" t="n">
        <x:v>34.74894</x:v>
      </x:c>
      <x:c r="N719" s="21" t="n">
        <x:v>135.578935</x:v>
      </x:c>
      <x:c r="O719" s="18" t="str">
        <x:v>006838</x:v>
      </x:c>
      <x:c r="P719" s="18" t="str">
        <x:v>大阪モノレール線</x:v>
      </x:c>
      <x:c r="Q719" s="19" t="str">
        <x:v>S12_061_GE_10000
OFFICIAL_HUB_COMPONENT_REVIEW</x:v>
      </x:c>
      <x:c r="R719" s="19" t="str">
        <x:v>S12_061 usage threshold</x:v>
      </x:c>
      <x:c r="S719" s="19" t="str">
        <x:v>https://nlftp.mlit.go.jp/ksj/gml/datalist/KsjTmplt-S12-2024.html</x:v>
      </x:c>
      <x:c r="T719" s="19" t="str">
        <x:v>https://nlftp.mlit.go.jp/ksj/gml/datalist/KsjTmplt-S12-2024.html
https://subway.osakametro.co.jp/station_guide/T/t11/index.php</x:v>
      </x:c>
      <x:c r="U719" s="19" t="str">
        <x:v>station-component|大日|大阪モノレール|fixed_guideway|34.7489|135.5789|</x:v>
      </x:c>
      <x:c r="V719" s="19" t="str">
        <x:v>006835 / 006838 / 大阪モノレール線</x:v>
      </x:c>
      <x:c r="W719" s="18" t="str">
        <x:v>否</x:v>
      </x:c>
      <x:c r="X719" s="18" t="str">
        <x:v>0785e932a32b3ec15e1a1345537ae145eafe1c07bf38d5c16c11ee2b391e7a28</x:v>
      </x:c>
      <x:c r="Y719" s="20" t="n">
        <x:v>1</x:v>
      </x:c>
      <x:c r="Z719" s="20" t="n">
        <x:v>1</x:v>
      </x:c>
      <x:c r="AA719" s="19" t="str">
        <x:v>大日</x:v>
      </x:c>
      <x:c r="AB719" s="18" t="str">
        <x:v>transport-hub-review:98cbf32b-972b-57fb-b406-492dd7de0f95</x:v>
      </x:c>
      <x:c r="AC719" s="19"/>
    </x:row>
    <x:row r="720" ht="33" customHeight="1">
      <x:c r="A720" s="18" t="str">
        <x:v>大日</x:v>
      </x:c>
      <x:c r="B720" s="18" t="str">
        <x:v>大阪市高速電気軌道</x:v>
      </x:c>
      <x:c r="C720" s="18" t="str">
        <x:v>metro</x:v>
      </x:c>
      <x:c r="D720" s="19" t="str">
        <x:v>T2</x:v>
      </x:c>
      <x:c r="E720" s="20" t="n">
        <x:v>32802</x:v>
      </x:c>
      <x:c r="F720" s="18" t="str">
        <x:v>persons/day</x:v>
      </x:c>
      <x:c r="G720" s="18" t="str">
        <x:v>FY2024</x:v>
      </x:c>
      <x:c r="H720" s="18" t="str">
        <x:v>否</x:v>
      </x:c>
      <x:c r="I720" s="19" t="str">
        <x:v>DAILY_ENTRIES_EXITS</x:v>
      </x:c>
      <x:c r="J720" s="19" t="str">
        <x:v>2号線(谷町線)</x:v>
      </x:c>
      <x:c r="K720" s="18" t="str">
        <x:v>transport-node:fc529027-8727-5780-90b4-cef0c0dc70a3</x:v>
      </x:c>
      <x:c r="L720" s="19" t="str">
        <x:v>组件待审核</x:v>
      </x:c>
      <x:c r="M720" s="21" t="n">
        <x:v>34.749495</x:v>
      </x:c>
      <x:c r="N720" s="21" t="n">
        <x:v>135.578315</x:v>
      </x:c>
      <x:c r="O720" s="18" t="str">
        <x:v>006835</x:v>
      </x:c>
      <x:c r="P720" s="18" t="str">
        <x:v>2号線(谷町線)</x:v>
      </x:c>
      <x:c r="Q720" s="19" t="str">
        <x:v>S12_061_GE_10000
OFFICIAL_HUB_COMPONENT_REVIEW</x:v>
      </x:c>
      <x:c r="R720" s="19" t="str">
        <x:v>S12_061 usage threshold</x:v>
      </x:c>
      <x:c r="S720" s="19" t="str">
        <x:v>https://nlftp.mlit.go.jp/ksj/gml/datalist/KsjTmplt-S12-2024.html</x:v>
      </x:c>
      <x:c r="T720" s="19" t="str">
        <x:v>https://nlftp.mlit.go.jp/ksj/gml/datalist/KsjTmplt-S12-2024.html
https://subway.osakametro.co.jp/station_guide/T/t11/index.php</x:v>
      </x:c>
      <x:c r="U720" s="19" t="str">
        <x:v>station-component|大日|大阪市高速電気軌道|metro|34.7495|135.5783|</x:v>
      </x:c>
      <x:c r="V720" s="19" t="str">
        <x:v>006835 / 006835 / 2号線(谷町線)</x:v>
      </x:c>
      <x:c r="W720" s="18" t="str">
        <x:v>否</x:v>
      </x:c>
      <x:c r="X720" s="18" t="str">
        <x:v>0785e932a32b3ec15e1a1345537ae145eafe1c07bf38d5c16c11ee2b391e7a28</x:v>
      </x:c>
      <x:c r="Y720" s="20" t="n">
        <x:v>1</x:v>
      </x:c>
      <x:c r="Z720" s="20" t="n">
        <x:v>1</x:v>
      </x:c>
      <x:c r="AA720" s="19" t="str">
        <x:v>大日</x:v>
      </x:c>
      <x:c r="AB720" s="18" t="str">
        <x:v>transport-hub-review:98cbf32b-972b-57fb-b406-492dd7de0f95</x:v>
      </x:c>
      <x:c r="AC720" s="19"/>
    </x:row>
    <x:row r="721" ht="33" customHeight="1">
      <x:c r="A721" s="18" t="str">
        <x:v>大曽根</x:v>
      </x:c>
      <x:c r="B721" s="18" t="str">
        <x:v>名古屋ガイドウェイバス</x:v>
      </x:c>
      <x:c r="C721" s="18" t="str">
        <x:v>fixed_guideway</x:v>
      </x:c>
      <x:c r="D721" s="19" t="str">
        <x:v>T3</x:v>
      </x:c>
      <x:c r="E721" s="20" t="n">
        <x:v>4415</x:v>
      </x:c>
      <x:c r="F721" s="18" t="str">
        <x:v>persons/day</x:v>
      </x:c>
      <x:c r="G721" s="18" t="str">
        <x:v>FY2024</x:v>
      </x:c>
      <x:c r="H721" s="18" t="str">
        <x:v>否</x:v>
      </x:c>
      <x:c r="I721" s="19" t="str">
        <x:v>DAILY_ENTRIES_EXITS</x:v>
      </x:c>
      <x:c r="J721" s="19" t="str">
        <x:v>ガイドウェイバス志段味線</x:v>
      </x:c>
      <x:c r="K721" s="18" t="str">
        <x:v>transport-node:eee39276-a347-5fe1-ad77-06f2f493b12a</x:v>
      </x:c>
      <x:c r="L721" s="19" t="str">
        <x:v>组件待审核</x:v>
      </x:c>
      <x:c r="M721" s="21" t="n">
        <x:v>35.191525</x:v>
      </x:c>
      <x:c r="N721" s="21" t="n">
        <x:v>136.9375</x:v>
      </x:c>
      <x:c r="O721" s="18" t="str">
        <x:v>005388</x:v>
      </x:c>
      <x:c r="P721" s="18" t="str">
        <x:v>ガイドウェイバス志段味線</x:v>
      </x:c>
      <x:c r="Q721" s="19" t="str">
        <x:v>OFFICIAL_HUB_COMPONENT_REVIEW</x:v>
      </x:c>
      <x:c r="R721" s="19" t="str">
        <x:v>S12_061 usage threshold; low-flow inclusion justified by official Hub component review</x:v>
      </x:c>
      <x:c r="S721" s="19" t="str">
        <x:v>https://nlftp.mlit.go.jp/ksj/gml/datalist/KsjTmplt-S12-2024.html</x:v>
      </x:c>
      <x:c r="T721" s="19" t="str">
        <x:v>https://nlftp.mlit.go.jp/ksj/gml/datalist/KsjTmplt-S12-2024.html
https://www.kotsu.city.nagoya.jp/rp/ticket/TRP0001550.htm</x:v>
      </x:c>
      <x:c r="U721" s="19" t="str">
        <x:v>station-component|大曽根|名古屋ガイドウェイバス|fixed_guideway|35.1915|136.9375|</x:v>
      </x:c>
      <x:c r="V721" s="19" t="str">
        <x:v>005387 / 005388 / ガイドウェイバス志段味線</x:v>
      </x:c>
      <x:c r="W721" s="18" t="str">
        <x:v>否</x:v>
      </x:c>
      <x:c r="X721" s="18" t="str">
        <x:v>0785e932a32b3ec15e1a1345537ae145eafe1c07bf38d5c16c11ee2b391e7a28</x:v>
      </x:c>
      <x:c r="Y721" s="20" t="n">
        <x:v>1</x:v>
      </x:c>
      <x:c r="Z721" s="20" t="n">
        <x:v>1</x:v>
      </x:c>
      <x:c r="AA721" s="19" t="str">
        <x:v>大曽根</x:v>
      </x:c>
      <x:c r="AB721" s="18" t="str">
        <x:v>transport-hub-review:34dc1348-9c78-5a4c-a3f3-0a77356c11ac</x:v>
      </x:c>
      <x:c r="AC721" s="19"/>
    </x:row>
    <x:row r="722" ht="33" customHeight="1">
      <x:c r="A722" s="18" t="str">
        <x:v>大曽根</x:v>
      </x:c>
      <x:c r="B722" s="18" t="str">
        <x:v>名古屋市</x:v>
      </x:c>
      <x:c r="C722" s="18" t="str">
        <x:v>metro</x:v>
      </x:c>
      <x:c r="D722" s="19" t="str">
        <x:v>T2</x:v>
      </x:c>
      <x:c r="E722" s="20" t="n">
        <x:v>35318</x:v>
      </x:c>
      <x:c r="F722" s="18" t="str">
        <x:v>persons/day</x:v>
      </x:c>
      <x:c r="G722" s="18" t="str">
        <x:v>FY2024</x:v>
      </x:c>
      <x:c r="H722" s="18" t="str">
        <x:v>否</x:v>
      </x:c>
      <x:c r="I722" s="19" t="str">
        <x:v>DAILY_ENTRIES_EXITS</x:v>
      </x:c>
      <x:c r="J722" s="19" t="str">
        <x:v>2号線名城線
4号線名城線</x:v>
      </x:c>
      <x:c r="K722" s="18" t="str">
        <x:v>transport-node:9f9a87ae-1a3a-5e2b-95f2-6162d196fbef</x:v>
      </x:c>
      <x:c r="L722" s="19" t="str">
        <x:v>组件待审核</x:v>
      </x:c>
      <x:c r="M722" s="21" t="n">
        <x:v>35.192755</x:v>
      </x:c>
      <x:c r="N722" s="21" t="n">
        <x:v>136.936175</x:v>
      </x:c>
      <x:c r="O722" s="18" t="str">
        <x:v>005381</x:v>
      </x:c>
      <x:c r="P722" s="18" t="str">
        <x:v>2号線名城線</x:v>
      </x:c>
      <x:c r="Q722" s="19" t="str">
        <x:v>S12_061_GE_10000
OFFICIAL_HUB_COMPONENT_REVIEW</x:v>
      </x:c>
      <x:c r="R722" s="19" t="str">
        <x:v>S12_061 usage threshold</x:v>
      </x:c>
      <x:c r="S722" s="19" t="str">
        <x:v>https://nlftp.mlit.go.jp/ksj/gml/datalist/KsjTmplt-S12-2024.html</x:v>
      </x:c>
      <x:c r="T722" s="19" t="str">
        <x:v>https://nlftp.mlit.go.jp/ksj/gml/datalist/KsjTmplt-S12-2024.html
https://www.kotsu.city.nagoya.jp/rp/ticket/TRP0001550.htm</x:v>
      </x:c>
      <x:c r="U722" s="19" t="str">
        <x:v>station-component|大曽根|名古屋市|metro|35.1928|136.9362|</x:v>
      </x:c>
      <x:c r="V722" s="19" t="str">
        <x:v>005387 / 005381 / 2号線名城線
005387 / 005382 / 4号線名城線</x:v>
      </x:c>
      <x:c r="W722" s="18" t="str">
        <x:v>否</x:v>
      </x:c>
      <x:c r="X722" s="18" t="str">
        <x:v>0785e932a32b3ec15e1a1345537ae145eafe1c07bf38d5c16c11ee2b391e7a28</x:v>
      </x:c>
      <x:c r="Y722" s="20" t="n">
        <x:v>1</x:v>
      </x:c>
      <x:c r="Z722" s="20" t="n">
        <x:v>1</x:v>
      </x:c>
      <x:c r="AA722" s="19" t="str">
        <x:v>大曽根</x:v>
      </x:c>
      <x:c r="AB722" s="18" t="str">
        <x:v>transport-hub-review:34dc1348-9c78-5a4c-a3f3-0a77356c11ac</x:v>
      </x:c>
      <x:c r="AC722" s="19"/>
    </x:row>
    <x:row r="723" ht="33" customHeight="1">
      <x:c r="A723" s="18" t="str">
        <x:v>大曽根</x:v>
      </x:c>
      <x:c r="B723" s="18" t="str">
        <x:v>名古屋鉄道</x:v>
      </x:c>
      <x:c r="C723" s="18" t="str">
        <x:v>private_rail</x:v>
      </x:c>
      <x:c r="D723" s="19" t="str">
        <x:v>T2</x:v>
      </x:c>
      <x:c r="E723" s="20" t="n">
        <x:v>33348</x:v>
      </x:c>
      <x:c r="F723" s="18" t="str">
        <x:v>persons/day</x:v>
      </x:c>
      <x:c r="G723" s="18" t="str">
        <x:v>FY2024</x:v>
      </x:c>
      <x:c r="H723" s="18" t="str">
        <x:v>否</x:v>
      </x:c>
      <x:c r="I723" s="19" t="str">
        <x:v>DAILY_ENTRIES_EXITS</x:v>
      </x:c>
      <x:c r="J723" s="19" t="str">
        <x:v>瀬戸線</x:v>
      </x:c>
      <x:c r="K723" s="18" t="str">
        <x:v>transport-node:30673ace-0d46-5064-a03f-226be5533af6</x:v>
      </x:c>
      <x:c r="L723" s="19" t="str">
        <x:v>组件待审核</x:v>
      </x:c>
      <x:c r="M723" s="21" t="n">
        <x:v>35.191595</x:v>
      </x:c>
      <x:c r="N723" s="21" t="n">
        <x:v>136.93695</x:v>
      </x:c>
      <x:c r="O723" s="18" t="str">
        <x:v>005387</x:v>
      </x:c>
      <x:c r="P723" s="18" t="str">
        <x:v>瀬戸線</x:v>
      </x:c>
      <x:c r="Q723" s="19" t="str">
        <x:v>S12_061_GE_10000
OFFICIAL_HUB_COMPONENT_REVIEW</x:v>
      </x:c>
      <x:c r="R723" s="19" t="str">
        <x:v>S12_061 usage threshold</x:v>
      </x:c>
      <x:c r="S723" s="19" t="str">
        <x:v>https://nlftp.mlit.go.jp/ksj/gml/datalist/KsjTmplt-S12-2024.html</x:v>
      </x:c>
      <x:c r="T723" s="19" t="str">
        <x:v>https://nlftp.mlit.go.jp/ksj/gml/datalist/KsjTmplt-S12-2024.html
https://www.kotsu.city.nagoya.jp/rp/ticket/TRP0001550.htm</x:v>
      </x:c>
      <x:c r="U723" s="19" t="str">
        <x:v>station-component|大曽根|名古屋鉄道|private_rail|35.1916|136.9369|</x:v>
      </x:c>
      <x:c r="V723" s="19" t="str">
        <x:v>005387 / 005387 / 瀬戸線</x:v>
      </x:c>
      <x:c r="W723" s="18" t="str">
        <x:v>否</x:v>
      </x:c>
      <x:c r="X723" s="18" t="str">
        <x:v>0785e932a32b3ec15e1a1345537ae145eafe1c07bf38d5c16c11ee2b391e7a28</x:v>
      </x:c>
      <x:c r="Y723" s="20" t="n">
        <x:v>1</x:v>
      </x:c>
      <x:c r="Z723" s="20" t="n">
        <x:v>1</x:v>
      </x:c>
      <x:c r="AA723" s="19" t="str">
        <x:v>大曽根</x:v>
      </x:c>
      <x:c r="AB723" s="18" t="str">
        <x:v>transport-hub-review:34dc1348-9c78-5a4c-a3f3-0a77356c11ac</x:v>
      </x:c>
      <x:c r="AC723" s="19"/>
    </x:row>
    <x:row r="724" ht="33" customHeight="1">
      <x:c r="A724" s="18" t="str">
        <x:v>大曽根</x:v>
      </x:c>
      <x:c r="B724" s="18" t="str">
        <x:v>東海旅客鉄道</x:v>
      </x:c>
      <x:c r="C724" s="18" t="str">
        <x:v>conventional_rail</x:v>
      </x:c>
      <x:c r="D724" s="19" t="str">
        <x:v>T1</x:v>
      </x:c>
      <x:c r="E724" s="20" t="n">
        <x:v>66113</x:v>
      </x:c>
      <x:c r="F724" s="18" t="str">
        <x:v>persons/day</x:v>
      </x:c>
      <x:c r="G724" s="18" t="str">
        <x:v>FY2024</x:v>
      </x:c>
      <x:c r="H724" s="18" t="str">
        <x:v>否</x:v>
      </x:c>
      <x:c r="I724" s="19" t="str">
        <x:v>DAILY_ENTRIES_EXITS</x:v>
      </x:c>
      <x:c r="J724" s="19" t="str">
        <x:v>中央線</x:v>
      </x:c>
      <x:c r="K724" s="18" t="str">
        <x:v>transport-node:00756203-3145-5da7-ac4e-32d3600736d7</x:v>
      </x:c>
      <x:c r="L724" s="19" t="str">
        <x:v>组件待审核</x:v>
      </x:c>
      <x:c r="M724" s="21" t="n">
        <x:v>35.18947</x:v>
      </x:c>
      <x:c r="N724" s="21" t="n">
        <x:v>136.93718</x:v>
      </x:c>
      <x:c r="O724" s="18" t="str">
        <x:v>005395</x:v>
      </x:c>
      <x:c r="P724" s="18" t="str">
        <x:v>中央線</x:v>
      </x:c>
      <x:c r="Q724" s="19" t="str">
        <x:v>S12_061_GE_10000
OFFICIAL_HUB_COMPONENT_REVIEW</x:v>
      </x:c>
      <x:c r="R724" s="19" t="str">
        <x:v>S12_061 usage threshold</x:v>
      </x:c>
      <x:c r="S724" s="19" t="str">
        <x:v>https://nlftp.mlit.go.jp/ksj/gml/datalist/KsjTmplt-S12-2024.html</x:v>
      </x:c>
      <x:c r="T724" s="19" t="str">
        <x:v>https://nlftp.mlit.go.jp/ksj/gml/datalist/KsjTmplt-S12-2024.html
https://www.kotsu.city.nagoya.jp/rp/ticket/TRP0001550.htm</x:v>
      </x:c>
      <x:c r="U724" s="19" t="str">
        <x:v>station-component|大曽根|東海旅客鉄道|conventional_rail|35.1895|136.9372|</x:v>
      </x:c>
      <x:c r="V724" s="19" t="str">
        <x:v>005387 / 005395 / 中央線</x:v>
      </x:c>
      <x:c r="W724" s="18" t="str">
        <x:v>否</x:v>
      </x:c>
      <x:c r="X724" s="18" t="str">
        <x:v>0785e932a32b3ec15e1a1345537ae145eafe1c07bf38d5c16c11ee2b391e7a28</x:v>
      </x:c>
      <x:c r="Y724" s="20" t="n">
        <x:v>1</x:v>
      </x:c>
      <x:c r="Z724" s="20" t="n">
        <x:v>1</x:v>
      </x:c>
      <x:c r="AA724" s="19" t="str">
        <x:v>大曽根</x:v>
      </x:c>
      <x:c r="AB724" s="18" t="str">
        <x:v>transport-hub-review:34dc1348-9c78-5a4c-a3f3-0a77356c11ac</x:v>
      </x:c>
      <x:c r="AC724" s="19"/>
    </x:row>
    <x:row r="725" ht="28" customHeight="1">
      <x:c r="A725" s="18" t="str">
        <x:v>大月</x:v>
      </x:c>
      <x:c r="B725" s="18" t="str">
        <x:v>東日本旅客鉄道</x:v>
      </x:c>
      <x:c r="C725" s="18" t="str">
        <x:v>conventional_rail</x:v>
      </x:c>
      <x:c r="D725" s="19" t="str">
        <x:v>T2</x:v>
      </x:c>
      <x:c r="E725" s="20" t="n">
        <x:v>11288</x:v>
      </x:c>
      <x:c r="F725" s="18" t="str">
        <x:v>persons/day</x:v>
      </x:c>
      <x:c r="G725" s="18" t="str">
        <x:v>FY2024</x:v>
      </x:c>
      <x:c r="H725" s="18" t="str">
        <x:v>否</x:v>
      </x:c>
      <x:c r="I725" s="19" t="str">
        <x:v>DAILY_ENTRIES_EXITS</x:v>
      </x:c>
      <x:c r="J725" s="19" t="str">
        <x:v>中央線</x:v>
      </x:c>
      <x:c r="K725" s="18" t="str">
        <x:v>transport-node:722853eb-872b-5dcd-b69b-a38d49d8e1c7</x:v>
      </x:c>
      <x:c r="L725" s="19" t="str">
        <x:v>组件待审核</x:v>
      </x:c>
      <x:c r="M725" s="21" t="n">
        <x:v>35.6130833</x:v>
      </x:c>
      <x:c r="N725" s="21" t="n">
        <x:v>138.9421533</x:v>
      </x:c>
      <x:c r="O725" s="18" t="str">
        <x:v>004166</x:v>
      </x:c>
      <x:c r="P725" s="18" t="str">
        <x:v>中央線</x:v>
      </x:c>
      <x:c r="Q725" s="19" t="str">
        <x:v>S12_061_GE_10000</x:v>
      </x:c>
      <x:c r="R725" s="19" t="str">
        <x:v>S12_061 usage threshold</x:v>
      </x:c>
      <x:c r="S725" s="19" t="str">
        <x:v>https://nlftp.mlit.go.jp/ksj/gml/datalist/KsjTmplt-S12-2024.html</x:v>
      </x:c>
      <x:c r="T725" s="19" t="str">
        <x:v>https://nlftp.mlit.go.jp/ksj/gml/datalist/KsjTmplt-S12-2024.html</x:v>
      </x:c>
      <x:c r="U725" s="19" t="str">
        <x:v>station-component|大月|東日本旅客鉄道|conventional_rail|35.6131|138.9422|</x:v>
      </x:c>
      <x:c r="V725" s="19" t="str">
        <x:v>004166 / 004166 / 中央線</x:v>
      </x:c>
      <x:c r="W725" s="18" t="str">
        <x:v>否</x:v>
      </x:c>
      <x:c r="X725" s="18" t="str">
        <x:v>0785e932a32b3ec15e1a1345537ae145eafe1c07bf38d5c16c11ee2b391e7a28</x:v>
      </x:c>
      <x:c r="Y725" s="20" t="n">
        <x:v>1</x:v>
      </x:c>
      <x:c r="Z725" s="20" t="n">
        <x:v>1</x:v>
      </x:c>
      <x:c r="AA725" s="19"/>
      <x:c r="AB725" s="18"/>
      <x:c r="AC725" s="19"/>
    </x:row>
    <x:row r="726" ht="28" customHeight="1">
      <x:c r="A726" s="18" t="str">
        <x:v>大森</x:v>
      </x:c>
      <x:c r="B726" s="18" t="str">
        <x:v>東日本旅客鉄道</x:v>
      </x:c>
      <x:c r="C726" s="18" t="str">
        <x:v>conventional_rail</x:v>
      </x:c>
      <x:c r="D726" s="19" t="str">
        <x:v>T1</x:v>
      </x:c>
      <x:c r="E726" s="20" t="n">
        <x:v>165460</x:v>
      </x:c>
      <x:c r="F726" s="18" t="str">
        <x:v>persons/day</x:v>
      </x:c>
      <x:c r="G726" s="18" t="str">
        <x:v>FY2024</x:v>
      </x:c>
      <x:c r="H726" s="18" t="str">
        <x:v>否</x:v>
      </x:c>
      <x:c r="I726" s="19" t="str">
        <x:v>DAILY_ENTRIES_EXITS</x:v>
      </x:c>
      <x:c r="J726" s="19" t="str">
        <x:v>東海道線</x:v>
      </x:c>
      <x:c r="K726" s="18" t="str">
        <x:v>transport-node:1f093a4f-9c95-5681-b3cc-d514ce6a4b34</x:v>
      </x:c>
      <x:c r="L726" s="19" t="str">
        <x:v>组件待审核</x:v>
      </x:c>
      <x:c r="M726" s="21" t="n">
        <x:v>35.58885</x:v>
      </x:c>
      <x:c r="N726" s="21" t="n">
        <x:v>139.7281067</x:v>
      </x:c>
      <x:c r="O726" s="18" t="str">
        <x:v>004264</x:v>
      </x:c>
      <x:c r="P726" s="18" t="str">
        <x:v>東海道線</x:v>
      </x:c>
      <x:c r="Q726" s="19" t="str">
        <x:v>S12_061_GE_10000</x:v>
      </x:c>
      <x:c r="R726" s="19" t="str">
        <x:v>S12_061 usage threshold</x:v>
      </x:c>
      <x:c r="S726" s="19" t="str">
        <x:v>https://nlftp.mlit.go.jp/ksj/gml/datalist/KsjTmplt-S12-2024.html</x:v>
      </x:c>
      <x:c r="T726" s="19" t="str">
        <x:v>https://nlftp.mlit.go.jp/ksj/gml/datalist/KsjTmplt-S12-2024.html</x:v>
      </x:c>
      <x:c r="U726" s="19" t="str">
        <x:v>station-component|大森|東日本旅客鉄道|conventional_rail|35.5889|139.7281|</x:v>
      </x:c>
      <x:c r="V726" s="19" t="str">
        <x:v>004264 / 004264 / 東海道線</x:v>
      </x:c>
      <x:c r="W726" s="18" t="str">
        <x:v>否</x:v>
      </x:c>
      <x:c r="X726" s="18" t="str">
        <x:v>0785e932a32b3ec15e1a1345537ae145eafe1c07bf38d5c16c11ee2b391e7a28</x:v>
      </x:c>
      <x:c r="Y726" s="20" t="n">
        <x:v>1</x:v>
      </x:c>
      <x:c r="Z726" s="20" t="n">
        <x:v>1</x:v>
      </x:c>
      <x:c r="AA726" s="19"/>
      <x:c r="AB726" s="18"/>
      <x:c r="AC726" s="19"/>
    </x:row>
    <x:row r="727" ht="28" customHeight="1">
      <x:c r="A727" s="18" t="str">
        <x:v>大森・金城学院前</x:v>
      </x:c>
      <x:c r="B727" s="18" t="str">
        <x:v>名古屋鉄道</x:v>
      </x:c>
      <x:c r="C727" s="18" t="str">
        <x:v>private_rail</x:v>
      </x:c>
      <x:c r="D727" s="19" t="str">
        <x:v>T2</x:v>
      </x:c>
      <x:c r="E727" s="20" t="n">
        <x:v>11768</x:v>
      </x:c>
      <x:c r="F727" s="18" t="str">
        <x:v>persons/day</x:v>
      </x:c>
      <x:c r="G727" s="18" t="str">
        <x:v>FY2024</x:v>
      </x:c>
      <x:c r="H727" s="18" t="str">
        <x:v>否</x:v>
      </x:c>
      <x:c r="I727" s="19" t="str">
        <x:v>DAILY_ENTRIES_EXITS</x:v>
      </x:c>
      <x:c r="J727" s="19" t="str">
        <x:v>瀬戸線</x:v>
      </x:c>
      <x:c r="K727" s="18" t="str">
        <x:v>transport-node:36241209-f180-5f9b-b573-c8d48c75ed7e</x:v>
      </x:c>
      <x:c r="L727" s="19" t="str">
        <x:v>组件待审核</x:v>
      </x:c>
      <x:c r="M727" s="21" t="n">
        <x:v>35.206935</x:v>
      </x:c>
      <x:c r="N727" s="21" t="n">
        <x:v>136.99659</x:v>
      </x:c>
      <x:c r="O727" s="18" t="str">
        <x:v>005328</x:v>
      </x:c>
      <x:c r="P727" s="18" t="str">
        <x:v>瀬戸線</x:v>
      </x:c>
      <x:c r="Q727" s="19" t="str">
        <x:v>S12_061_GE_10000</x:v>
      </x:c>
      <x:c r="R727" s="19" t="str">
        <x:v>S12_061 usage threshold</x:v>
      </x:c>
      <x:c r="S727" s="19" t="str">
        <x:v>https://nlftp.mlit.go.jp/ksj/gml/datalist/KsjTmplt-S12-2024.html</x:v>
      </x:c>
      <x:c r="T727" s="19" t="str">
        <x:v>https://nlftp.mlit.go.jp/ksj/gml/datalist/KsjTmplt-S12-2024.html</x:v>
      </x:c>
      <x:c r="U727" s="19" t="str">
        <x:v>station-component|大森・金城学院前|名古屋鉄道|private_rail|35.2069|136.9966|</x:v>
      </x:c>
      <x:c r="V727" s="19" t="str">
        <x:v>005328 / 005328 / 瀬戸線</x:v>
      </x:c>
      <x:c r="W727" s="18" t="str">
        <x:v>否</x:v>
      </x:c>
      <x:c r="X727" s="18" t="str">
        <x:v>0785e932a32b3ec15e1a1345537ae145eafe1c07bf38d5c16c11ee2b391e7a28</x:v>
      </x:c>
      <x:c r="Y727" s="20" t="n">
        <x:v>1</x:v>
      </x:c>
      <x:c r="Z727" s="20" t="n">
        <x:v>1</x:v>
      </x:c>
      <x:c r="AA727" s="19"/>
      <x:c r="AB727" s="18"/>
      <x:c r="AC727" s="19"/>
    </x:row>
    <x:row r="728" ht="28" customHeight="1">
      <x:c r="A728" s="18" t="str">
        <x:v>大森海岸</x:v>
      </x:c>
      <x:c r="B728" s="18" t="str">
        <x:v>京浜急行電鉄</x:v>
      </x:c>
      <x:c r="C728" s="18" t="str">
        <x:v>private_rail</x:v>
      </x:c>
      <x:c r="D728" s="19" t="str">
        <x:v>T2</x:v>
      </x:c>
      <x:c r="E728" s="20" t="n">
        <x:v>13644</x:v>
      </x:c>
      <x:c r="F728" s="18" t="str">
        <x:v>persons/day</x:v>
      </x:c>
      <x:c r="G728" s="18" t="str">
        <x:v>FY2024</x:v>
      </x:c>
      <x:c r="H728" s="18" t="str">
        <x:v>否</x:v>
      </x:c>
      <x:c r="I728" s="19" t="str">
        <x:v>DAILY_ENTRIES_EXITS</x:v>
      </x:c>
      <x:c r="J728" s="19" t="str">
        <x:v>本線</x:v>
      </x:c>
      <x:c r="K728" s="18" t="str">
        <x:v>transport-node:a51fbdd1-0a5f-5550-8f82-d839fa264395</x:v>
      </x:c>
      <x:c r="L728" s="19" t="str">
        <x:v>组件待审核</x:v>
      </x:c>
      <x:c r="M728" s="21" t="n">
        <x:v>35.58741</x:v>
      </x:c>
      <x:c r="N728" s="21" t="n">
        <x:v>139.7353075</x:v>
      </x:c>
      <x:c r="O728" s="18" t="str">
        <x:v>004268</x:v>
      </x:c>
      <x:c r="P728" s="18" t="str">
        <x:v>本線</x:v>
      </x:c>
      <x:c r="Q728" s="19" t="str">
        <x:v>S12_061_GE_10000</x:v>
      </x:c>
      <x:c r="R728" s="19" t="str">
        <x:v>S12_061 usage threshold</x:v>
      </x:c>
      <x:c r="S728" s="19" t="str">
        <x:v>https://nlftp.mlit.go.jp/ksj/gml/datalist/KsjTmplt-S12-2024.html</x:v>
      </x:c>
      <x:c r="T728" s="19" t="str">
        <x:v>https://nlftp.mlit.go.jp/ksj/gml/datalist/KsjTmplt-S12-2024.html</x:v>
      </x:c>
      <x:c r="U728" s="19" t="str">
        <x:v>station-component|大森海岸|京浜急行電鉄|private_rail|35.5874|139.7353|</x:v>
      </x:c>
      <x:c r="V728" s="19" t="str">
        <x:v>004268 / 004268 / 本線</x:v>
      </x:c>
      <x:c r="W728" s="18" t="str">
        <x:v>否</x:v>
      </x:c>
      <x:c r="X728" s="18" t="str">
        <x:v>0785e932a32b3ec15e1a1345537ae145eafe1c07bf38d5c16c11ee2b391e7a28</x:v>
      </x:c>
      <x:c r="Y728" s="20" t="n">
        <x:v>1</x:v>
      </x:c>
      <x:c r="Z728" s="20" t="n">
        <x:v>1</x:v>
      </x:c>
      <x:c r="AA728" s="19"/>
      <x:c r="AB728" s="18"/>
      <x:c r="AC728" s="19"/>
    </x:row>
    <x:row r="729" ht="28" customHeight="1">
      <x:c r="A729" s="18" t="str">
        <x:v>大森町</x:v>
      </x:c>
      <x:c r="B729" s="18" t="str">
        <x:v>京浜急行電鉄</x:v>
      </x:c>
      <x:c r="C729" s="18" t="str">
        <x:v>private_rail</x:v>
      </x:c>
      <x:c r="D729" s="19" t="str">
        <x:v>T2</x:v>
      </x:c>
      <x:c r="E729" s="20" t="n">
        <x:v>21817</x:v>
      </x:c>
      <x:c r="F729" s="18" t="str">
        <x:v>persons/day</x:v>
      </x:c>
      <x:c r="G729" s="18" t="str">
        <x:v>FY2024</x:v>
      </x:c>
      <x:c r="H729" s="18" t="str">
        <x:v>否</x:v>
      </x:c>
      <x:c r="I729" s="19" t="str">
        <x:v>DAILY_ENTRIES_EXITS</x:v>
      </x:c>
      <x:c r="J729" s="19" t="str">
        <x:v>本線</x:v>
      </x:c>
      <x:c r="K729" s="18" t="str">
        <x:v>transport-node:d9c278c5-9e5d-58b8-a79c-2181bcf4318f</x:v>
      </x:c>
      <x:c r="L729" s="19" t="str">
        <x:v>组件待审核</x:v>
      </x:c>
      <x:c r="M729" s="21" t="n">
        <x:v>35.5725</x:v>
      </x:c>
      <x:c r="N729" s="21" t="n">
        <x:v>139.73201</x:v>
      </x:c>
      <x:c r="O729" s="18" t="str">
        <x:v>004307</x:v>
      </x:c>
      <x:c r="P729" s="18" t="str">
        <x:v>本線</x:v>
      </x:c>
      <x:c r="Q729" s="19" t="str">
        <x:v>S12_061_GE_10000</x:v>
      </x:c>
      <x:c r="R729" s="19" t="str">
        <x:v>S12_061 usage threshold</x:v>
      </x:c>
      <x:c r="S729" s="19" t="str">
        <x:v>https://nlftp.mlit.go.jp/ksj/gml/datalist/KsjTmplt-S12-2024.html</x:v>
      </x:c>
      <x:c r="T729" s="19" t="str">
        <x:v>https://nlftp.mlit.go.jp/ksj/gml/datalist/KsjTmplt-S12-2024.html</x:v>
      </x:c>
      <x:c r="U729" s="19" t="str">
        <x:v>station-component|大森町|京浜急行電鉄|private_rail|35.5725|139.7320|</x:v>
      </x:c>
      <x:c r="V729" s="19" t="str">
        <x:v>004307 / 004307 / 本線</x:v>
      </x:c>
      <x:c r="W729" s="18" t="str">
        <x:v>否</x:v>
      </x:c>
      <x:c r="X729" s="18" t="str">
        <x:v>0785e932a32b3ec15e1a1345537ae145eafe1c07bf38d5c16c11ee2b391e7a28</x:v>
      </x:c>
      <x:c r="Y729" s="20" t="n">
        <x:v>1</x:v>
      </x:c>
      <x:c r="Z729" s="20" t="n">
        <x:v>1</x:v>
      </x:c>
      <x:c r="AA729" s="19"/>
      <x:c r="AB729" s="18"/>
      <x:c r="AC729" s="19"/>
    </x:row>
    <x:row r="730" ht="28" customHeight="1">
      <x:c r="A730" s="18" t="str">
        <x:v>大橋</x:v>
      </x:c>
      <x:c r="B730" s="18" t="str">
        <x:v>西日本鉄道</x:v>
      </x:c>
      <x:c r="C730" s="18" t="str">
        <x:v>private_rail</x:v>
      </x:c>
      <x:c r="D730" s="19" t="str">
        <x:v>T2</x:v>
      </x:c>
      <x:c r="E730" s="20" t="n">
        <x:v>40753</x:v>
      </x:c>
      <x:c r="F730" s="18" t="str">
        <x:v>persons/day</x:v>
      </x:c>
      <x:c r="G730" s="18" t="str">
        <x:v>FY2024</x:v>
      </x:c>
      <x:c r="H730" s="18" t="str">
        <x:v>否</x:v>
      </x:c>
      <x:c r="I730" s="19" t="str">
        <x:v>DAILY_ENTRIES_EXITS</x:v>
      </x:c>
      <x:c r="J730" s="19" t="str">
        <x:v>天神大牟田線</x:v>
      </x:c>
      <x:c r="K730" s="18" t="str">
        <x:v>transport-node:14bc159f-3ffe-5378-8539-2c3780f412e8</x:v>
      </x:c>
      <x:c r="L730" s="19" t="str">
        <x:v>组件待审核</x:v>
      </x:c>
      <x:c r="M730" s="21" t="n">
        <x:v>33.559085</x:v>
      </x:c>
      <x:c r="N730" s="21" t="n">
        <x:v>130.426805</x:v>
      </x:c>
      <x:c r="O730" s="18" t="str">
        <x:v>009125</x:v>
      </x:c>
      <x:c r="P730" s="18" t="str">
        <x:v>天神大牟田線</x:v>
      </x:c>
      <x:c r="Q730" s="19" t="str">
        <x:v>S12_061_GE_10000</x:v>
      </x:c>
      <x:c r="R730" s="19" t="str">
        <x:v>S12_061 usage threshold</x:v>
      </x:c>
      <x:c r="S730" s="19" t="str">
        <x:v>https://nlftp.mlit.go.jp/ksj/gml/datalist/KsjTmplt-S12-2024.html</x:v>
      </x:c>
      <x:c r="T730" s="19" t="str">
        <x:v>https://nlftp.mlit.go.jp/ksj/gml/datalist/KsjTmplt-S12-2024.html</x:v>
      </x:c>
      <x:c r="U730" s="19" t="str">
        <x:v>station-component|大橋|西日本鉄道|private_rail|33.5591|130.4268|</x:v>
      </x:c>
      <x:c r="V730" s="19" t="str">
        <x:v>009125 / 009125 / 天神大牟田線</x:v>
      </x:c>
      <x:c r="W730" s="18" t="str">
        <x:v>否</x:v>
      </x:c>
      <x:c r="X730" s="18" t="str">
        <x:v>0785e932a32b3ec15e1a1345537ae145eafe1c07bf38d5c16c11ee2b391e7a28</x:v>
      </x:c>
      <x:c r="Y730" s="20" t="n">
        <x:v>1</x:v>
      </x:c>
      <x:c r="Z730" s="20" t="n">
        <x:v>1</x:v>
      </x:c>
      <x:c r="AA730" s="19"/>
      <x:c r="AB730" s="18"/>
      <x:c r="AC730" s="19"/>
    </x:row>
    <x:row r="731" ht="33" customHeight="1">
      <x:c r="A731" s="18" t="str">
        <x:v>大正</x:v>
      </x:c>
      <x:c r="B731" s="18" t="str">
        <x:v>大阪市高速電気軌道</x:v>
      </x:c>
      <x:c r="C731" s="18" t="str">
        <x:v>metro</x:v>
      </x:c>
      <x:c r="D731" s="19" t="str">
        <x:v>T2</x:v>
      </x:c>
      <x:c r="E731" s="20" t="n">
        <x:v>11485</x:v>
      </x:c>
      <x:c r="F731" s="18" t="str">
        <x:v>persons/day</x:v>
      </x:c>
      <x:c r="G731" s="18" t="str">
        <x:v>FY2024</x:v>
      </x:c>
      <x:c r="H731" s="18" t="str">
        <x:v>否</x:v>
      </x:c>
      <x:c r="I731" s="19" t="str">
        <x:v>DAILY_ENTRIES_EXITS</x:v>
      </x:c>
      <x:c r="J731" s="19" t="str">
        <x:v>7号線(長堀鶴見緑地線)</x:v>
      </x:c>
      <x:c r="K731" s="18" t="str">
        <x:v>transport-node:66346081-ce64-5994-bfe8-4e79087de437</x:v>
      </x:c>
      <x:c r="L731" s="19" t="str">
        <x:v>组件待审核</x:v>
      </x:c>
      <x:c r="M731" s="21" t="n">
        <x:v>34.665835</x:v>
      </x:c>
      <x:c r="N731" s="21" t="n">
        <x:v>135.47877</x:v>
      </x:c>
      <x:c r="O731" s="18" t="str">
        <x:v>007327</x:v>
      </x:c>
      <x:c r="P731" s="18" t="str">
        <x:v>7号線(長堀鶴見緑地線)</x:v>
      </x:c>
      <x:c r="Q731" s="19" t="str">
        <x:v>S12_061_GE_10000
OFFICIAL_HUB_COMPONENT_REVIEW</x:v>
      </x:c>
      <x:c r="R731" s="19" t="str">
        <x:v>S12_061 usage threshold</x:v>
      </x:c>
      <x:c r="S731" s="19" t="str">
        <x:v>https://nlftp.mlit.go.jp/ksj/gml/datalist/KsjTmplt-S12-2024.html</x:v>
      </x:c>
      <x:c r="T731" s="19" t="str">
        <x:v>https://nlftp.mlit.go.jp/ksj/gml/datalist/KsjTmplt-S12-2024.html
https://subway.osakametro.co.jp/station_guide/N/n11/index.php</x:v>
      </x:c>
      <x:c r="U731" s="19" t="str">
        <x:v>station-component|大正|大阪市高速電気軌道|metro|34.6658|135.4788|</x:v>
      </x:c>
      <x:c r="V731" s="19" t="str">
        <x:v>007327 / 007327 / 7号線(長堀鶴見緑地線)</x:v>
      </x:c>
      <x:c r="W731" s="18" t="str">
        <x:v>否</x:v>
      </x:c>
      <x:c r="X731" s="18" t="str">
        <x:v>0785e932a32b3ec15e1a1345537ae145eafe1c07bf38d5c16c11ee2b391e7a28</x:v>
      </x:c>
      <x:c r="Y731" s="20" t="n">
        <x:v>1</x:v>
      </x:c>
      <x:c r="Z731" s="20" t="n">
        <x:v>1</x:v>
      </x:c>
      <x:c r="AA731" s="19" t="str">
        <x:v>大正</x:v>
      </x:c>
      <x:c r="AB731" s="18" t="str">
        <x:v>transport-hub-review:a6c4f76d-a4db-5593-831b-8f780f7fdde4</x:v>
      </x:c>
      <x:c r="AC731" s="19"/>
    </x:row>
    <x:row r="732" ht="33" customHeight="1">
      <x:c r="A732" s="18" t="str">
        <x:v>大正</x:v>
      </x:c>
      <x:c r="B732" s="18" t="str">
        <x:v>西日本旅客鉄道</x:v>
      </x:c>
      <x:c r="C732" s="18" t="str">
        <x:v>conventional_rail</x:v>
      </x:c>
      <x:c r="D732" s="19" t="str">
        <x:v>T2</x:v>
      </x:c>
      <x:c r="E732" s="20" t="n">
        <x:v>48252</x:v>
      </x:c>
      <x:c r="F732" s="18" t="str">
        <x:v>persons/day</x:v>
      </x:c>
      <x:c r="G732" s="18" t="str">
        <x:v>FY2024</x:v>
      </x:c>
      <x:c r="H732" s="18" t="str">
        <x:v>否</x:v>
      </x:c>
      <x:c r="I732" s="19" t="str">
        <x:v>DAILY_ENTRIES_EXITS</x:v>
      </x:c>
      <x:c r="J732" s="19" t="str">
        <x:v>大阪環状線</x:v>
      </x:c>
      <x:c r="K732" s="18" t="str">
        <x:v>transport-node:d8662668-aa3b-5330-b36f-bb507066c9f1</x:v>
      </x:c>
      <x:c r="L732" s="19" t="str">
        <x:v>组件待审核</x:v>
      </x:c>
      <x:c r="M732" s="21" t="n">
        <x:v>34.665515</x:v>
      </x:c>
      <x:c r="N732" s="21" t="n">
        <x:v>135.479995</x:v>
      </x:c>
      <x:c r="O732" s="18" t="str">
        <x:v>007336</x:v>
      </x:c>
      <x:c r="P732" s="18" t="str">
        <x:v>大阪環状線</x:v>
      </x:c>
      <x:c r="Q732" s="19" t="str">
        <x:v>S12_061_GE_10000
OFFICIAL_HUB_COMPONENT_REVIEW</x:v>
      </x:c>
      <x:c r="R732" s="19" t="str">
        <x:v>S12_061 usage threshold</x:v>
      </x:c>
      <x:c r="S732" s="19" t="str">
        <x:v>https://nlftp.mlit.go.jp/ksj/gml/datalist/KsjTmplt-S12-2024.html</x:v>
      </x:c>
      <x:c r="T732" s="19" t="str">
        <x:v>https://nlftp.mlit.go.jp/ksj/gml/datalist/KsjTmplt-S12-2024.html
https://subway.osakametro.co.jp/station_guide/N/n11/index.php</x:v>
      </x:c>
      <x:c r="U732" s="19" t="str">
        <x:v>station-component|大正|西日本旅客鉄道|conventional_rail|34.6655|135.4800|</x:v>
      </x:c>
      <x:c r="V732" s="19" t="str">
        <x:v>007327 / 007336 / 大阪環状線</x:v>
      </x:c>
      <x:c r="W732" s="18" t="str">
        <x:v>否</x:v>
      </x:c>
      <x:c r="X732" s="18" t="str">
        <x:v>0785e932a32b3ec15e1a1345537ae145eafe1c07bf38d5c16c11ee2b391e7a28</x:v>
      </x:c>
      <x:c r="Y732" s="20" t="n">
        <x:v>1</x:v>
      </x:c>
      <x:c r="Z732" s="20" t="n">
        <x:v>1</x:v>
      </x:c>
      <x:c r="AA732" s="19" t="str">
        <x:v>大正</x:v>
      </x:c>
      <x:c r="AB732" s="18" t="str">
        <x:v>transport-hub-review:a6c4f76d-a4db-5593-831b-8f780f7fdde4</x:v>
      </x:c>
      <x:c r="AC732" s="19"/>
    </x:row>
    <x:row r="733" ht="28" customHeight="1">
      <x:c r="A733" s="18" t="str">
        <x:v>大泉学園</x:v>
      </x:c>
      <x:c r="B733" s="18" t="str">
        <x:v>西武鉄道</x:v>
      </x:c>
      <x:c r="C733" s="18" t="str">
        <x:v>private_rail</x:v>
      </x:c>
      <x:c r="D733" s="19" t="str">
        <x:v>T1</x:v>
      </x:c>
      <x:c r="E733" s="20" t="n">
        <x:v>80236</x:v>
      </x:c>
      <x:c r="F733" s="18" t="str">
        <x:v>persons/day</x:v>
      </x:c>
      <x:c r="G733" s="18" t="str">
        <x:v>FY2024</x:v>
      </x:c>
      <x:c r="H733" s="18" t="str">
        <x:v>否</x:v>
      </x:c>
      <x:c r="I733" s="19" t="str">
        <x:v>DAILY_ENTRIES_EXITS</x:v>
      </x:c>
      <x:c r="J733" s="19" t="str">
        <x:v>池袋線</x:v>
      </x:c>
      <x:c r="K733" s="18" t="str">
        <x:v>transport-node:cd6e5757-82cb-52ac-bedd-5c7e10a3d3d8</x:v>
      </x:c>
      <x:c r="L733" s="19" t="str">
        <x:v>组件待审核</x:v>
      </x:c>
      <x:c r="M733" s="21" t="n">
        <x:v>35.7494075</x:v>
      </x:c>
      <x:c r="N733" s="21" t="n">
        <x:v>139.5866525</x:v>
      </x:c>
      <x:c r="O733" s="18" t="str">
        <x:v>003263</x:v>
      </x:c>
      <x:c r="P733" s="18" t="str">
        <x:v>池袋線</x:v>
      </x:c>
      <x:c r="Q733" s="19" t="str">
        <x:v>S12_061_GE_10000</x:v>
      </x:c>
      <x:c r="R733" s="19" t="str">
        <x:v>S12_061 usage threshold</x:v>
      </x:c>
      <x:c r="S733" s="19" t="str">
        <x:v>https://nlftp.mlit.go.jp/ksj/gml/datalist/KsjTmplt-S12-2024.html</x:v>
      </x:c>
      <x:c r="T733" s="19" t="str">
        <x:v>https://nlftp.mlit.go.jp/ksj/gml/datalist/KsjTmplt-S12-2024.html</x:v>
      </x:c>
      <x:c r="U733" s="19" t="str">
        <x:v>station-component|大泉学園|西武鉄道|private_rail|35.7494|139.5867|</x:v>
      </x:c>
      <x:c r="V733" s="19" t="str">
        <x:v>003263 / 003263 / 池袋線</x:v>
      </x:c>
      <x:c r="W733" s="18" t="str">
        <x:v>否</x:v>
      </x:c>
      <x:c r="X733" s="18" t="str">
        <x:v>0785e932a32b3ec15e1a1345537ae145eafe1c07bf38d5c16c11ee2b391e7a28</x:v>
      </x:c>
      <x:c r="Y733" s="20" t="n">
        <x:v>1</x:v>
      </x:c>
      <x:c r="Z733" s="20" t="n">
        <x:v>1</x:v>
      </x:c>
      <x:c r="AA733" s="19"/>
      <x:c r="AB733" s="18"/>
      <x:c r="AC733" s="19"/>
    </x:row>
    <x:row r="734" ht="28" customHeight="1">
      <x:c r="A734" s="18" t="str">
        <x:v>大津</x:v>
      </x:c>
      <x:c r="B734" s="18" t="str">
        <x:v>西日本旅客鉄道</x:v>
      </x:c>
      <x:c r="C734" s="18" t="str">
        <x:v>conventional_rail</x:v>
      </x:c>
      <x:c r="D734" s="19" t="str">
        <x:v>T2</x:v>
      </x:c>
      <x:c r="E734" s="20" t="n">
        <x:v>33978</x:v>
      </x:c>
      <x:c r="F734" s="18" t="str">
        <x:v>persons/day</x:v>
      </x:c>
      <x:c r="G734" s="18" t="str">
        <x:v>FY2024</x:v>
      </x:c>
      <x:c r="H734" s="18" t="str">
        <x:v>否</x:v>
      </x:c>
      <x:c r="I734" s="19" t="str">
        <x:v>DAILY_ENTRIES_EXITS</x:v>
      </x:c>
      <x:c r="J734" s="19" t="str">
        <x:v>東海道線</x:v>
      </x:c>
      <x:c r="K734" s="18" t="str">
        <x:v>transport-node:c6b47a6e-f0ba-5cc0-abb1-c031d19eaf7a</x:v>
      </x:c>
      <x:c r="L734" s="19" t="str">
        <x:v>组件待审核</x:v>
      </x:c>
      <x:c r="M734" s="21" t="n">
        <x:v>35.003015</x:v>
      </x:c>
      <x:c r="N734" s="21" t="n">
        <x:v>135.86501</x:v>
      </x:c>
      <x:c r="O734" s="18" t="str">
        <x:v>006000</x:v>
      </x:c>
      <x:c r="P734" s="18" t="str">
        <x:v>東海道線</x:v>
      </x:c>
      <x:c r="Q734" s="19" t="str">
        <x:v>S12_061_GE_10000</x:v>
      </x:c>
      <x:c r="R734" s="19" t="str">
        <x:v>S12_061 usage threshold</x:v>
      </x:c>
      <x:c r="S734" s="19" t="str">
        <x:v>https://nlftp.mlit.go.jp/ksj/gml/datalist/KsjTmplt-S12-2024.html</x:v>
      </x:c>
      <x:c r="T734" s="19" t="str">
        <x:v>https://nlftp.mlit.go.jp/ksj/gml/datalist/KsjTmplt-S12-2024.html</x:v>
      </x:c>
      <x:c r="U734" s="19" t="str">
        <x:v>station-component|大津|西日本旅客鉄道|conventional_rail|35.0030|135.8650|</x:v>
      </x:c>
      <x:c r="V734" s="19" t="str">
        <x:v>006000 / 006000 / 東海道線</x:v>
      </x:c>
      <x:c r="W734" s="18" t="str">
        <x:v>否</x:v>
      </x:c>
      <x:c r="X734" s="18" t="str">
        <x:v>0785e932a32b3ec15e1a1345537ae145eafe1c07bf38d5c16c11ee2b391e7a28</x:v>
      </x:c>
      <x:c r="Y734" s="20" t="n">
        <x:v>1</x:v>
      </x:c>
      <x:c r="Z734" s="20" t="n">
        <x:v>1</x:v>
      </x:c>
      <x:c r="AA734" s="19"/>
      <x:c r="AB734" s="18"/>
      <x:c r="AC734" s="19"/>
    </x:row>
    <x:row r="735" ht="28" customHeight="1">
      <x:c r="A735" s="18" t="str">
        <x:v>大津京</x:v>
      </x:c>
      <x:c r="B735" s="18" t="str">
        <x:v>西日本旅客鉄道</x:v>
      </x:c>
      <x:c r="C735" s="18" t="str">
        <x:v>conventional_rail</x:v>
      </x:c>
      <x:c r="D735" s="19" t="str">
        <x:v>T2</x:v>
      </x:c>
      <x:c r="E735" s="20" t="n">
        <x:v>18064</x:v>
      </x:c>
      <x:c r="F735" s="18" t="str">
        <x:v>persons/day</x:v>
      </x:c>
      <x:c r="G735" s="18" t="str">
        <x:v>FY2024</x:v>
      </x:c>
      <x:c r="H735" s="18" t="str">
        <x:v>否</x:v>
      </x:c>
      <x:c r="I735" s="19" t="str">
        <x:v>DAILY_ENTRIES_EXITS</x:v>
      </x:c>
      <x:c r="J735" s="19" t="str">
        <x:v>湖西線</x:v>
      </x:c>
      <x:c r="K735" s="18" t="str">
        <x:v>transport-node:89ddeb59-1837-596c-86fb-62e5091b52c7</x:v>
      </x:c>
      <x:c r="L735" s="19" t="str">
        <x:v>组件待审核</x:v>
      </x:c>
      <x:c r="M735" s="21" t="n">
        <x:v>35.0241275</x:v>
      </x:c>
      <x:c r="N735" s="21" t="n">
        <x:v>135.8568925</x:v>
      </x:c>
      <x:c r="O735" s="18" t="str">
        <x:v>005894</x:v>
      </x:c>
      <x:c r="P735" s="18" t="str">
        <x:v>湖西線</x:v>
      </x:c>
      <x:c r="Q735" s="19" t="str">
        <x:v>S12_061_GE_10000</x:v>
      </x:c>
      <x:c r="R735" s="19" t="str">
        <x:v>S12_061 usage threshold</x:v>
      </x:c>
      <x:c r="S735" s="19" t="str">
        <x:v>https://nlftp.mlit.go.jp/ksj/gml/datalist/KsjTmplt-S12-2024.html</x:v>
      </x:c>
      <x:c r="T735" s="19" t="str">
        <x:v>https://nlftp.mlit.go.jp/ksj/gml/datalist/KsjTmplt-S12-2024.html</x:v>
      </x:c>
      <x:c r="U735" s="19" t="str">
        <x:v>station-component|大津京|西日本旅客鉄道|conventional_rail|35.0241|135.8569|</x:v>
      </x:c>
      <x:c r="V735" s="19" t="str">
        <x:v>005894 / 005894 / 湖西線</x:v>
      </x:c>
      <x:c r="W735" s="18" t="str">
        <x:v>否</x:v>
      </x:c>
      <x:c r="X735" s="18" t="str">
        <x:v>0785e932a32b3ec15e1a1345537ae145eafe1c07bf38d5c16c11ee2b391e7a28</x:v>
      </x:c>
      <x:c r="Y735" s="20" t="n">
        <x:v>1</x:v>
      </x:c>
      <x:c r="Z735" s="20" t="n">
        <x:v>1</x:v>
      </x:c>
      <x:c r="AA735" s="19"/>
      <x:c r="AB735" s="18"/>
      <x:c r="AC735" s="19"/>
    </x:row>
    <x:row r="736" ht="28" customHeight="1">
      <x:c r="A736" s="18" t="str">
        <x:v>大濠公園</x:v>
      </x:c>
      <x:c r="B736" s="18" t="str">
        <x:v>福岡市</x:v>
      </x:c>
      <x:c r="C736" s="18" t="str">
        <x:v>metro</x:v>
      </x:c>
      <x:c r="D736" s="19" t="str">
        <x:v>T2</x:v>
      </x:c>
      <x:c r="E736" s="20" t="n">
        <x:v>23375</x:v>
      </x:c>
      <x:c r="F736" s="18" t="str">
        <x:v>persons/day</x:v>
      </x:c>
      <x:c r="G736" s="18" t="str">
        <x:v>FY2024</x:v>
      </x:c>
      <x:c r="H736" s="18" t="str">
        <x:v>否</x:v>
      </x:c>
      <x:c r="I736" s="19" t="str">
        <x:v>DAILY_ENTRIES_EXITS</x:v>
      </x:c>
      <x:c r="J736" s="19" t="str">
        <x:v>1号線(空港線)</x:v>
      </x:c>
      <x:c r="K736" s="18" t="str">
        <x:v>transport-node:0183e270-5353-57b4-b589-184d84830e60</x:v>
      </x:c>
      <x:c r="L736" s="19" t="str">
        <x:v>组件待审核</x:v>
      </x:c>
      <x:c r="M736" s="21" t="n">
        <x:v>33.589955</x:v>
      </x:c>
      <x:c r="N736" s="21" t="n">
        <x:v>130.379615</x:v>
      </x:c>
      <x:c r="O736" s="18" t="str">
        <x:v>009031</x:v>
      </x:c>
      <x:c r="P736" s="18" t="str">
        <x:v>1号線(空港線)</x:v>
      </x:c>
      <x:c r="Q736" s="19" t="str">
        <x:v>S12_061_GE_10000</x:v>
      </x:c>
      <x:c r="R736" s="19" t="str">
        <x:v>S12_061 usage threshold</x:v>
      </x:c>
      <x:c r="S736" s="19" t="str">
        <x:v>https://nlftp.mlit.go.jp/ksj/gml/datalist/KsjTmplt-S12-2024.html</x:v>
      </x:c>
      <x:c r="T736" s="19" t="str">
        <x:v>https://nlftp.mlit.go.jp/ksj/gml/datalist/KsjTmplt-S12-2024.html</x:v>
      </x:c>
      <x:c r="U736" s="19" t="str">
        <x:v>station-component|大濠公園|福岡市|metro|33.5900|130.3796|</x:v>
      </x:c>
      <x:c r="V736" s="19" t="str">
        <x:v>009031 / 009031 / 1号線(空港線)</x:v>
      </x:c>
      <x:c r="W736" s="18" t="str">
        <x:v>否</x:v>
      </x:c>
      <x:c r="X736" s="18" t="str">
        <x:v>0785e932a32b3ec15e1a1345537ae145eafe1c07bf38d5c16c11ee2b391e7a28</x:v>
      </x:c>
      <x:c r="Y736" s="20" t="n">
        <x:v>1</x:v>
      </x:c>
      <x:c r="Z736" s="20" t="n">
        <x:v>1</x:v>
      </x:c>
      <x:c r="AA736" s="19"/>
      <x:c r="AB736" s="18"/>
      <x:c r="AC736" s="19"/>
    </x:row>
    <x:row r="737" ht="33" customHeight="1">
      <x:c r="A737" s="18" t="str">
        <x:v>大町</x:v>
      </x:c>
      <x:c r="B737" s="18" t="str">
        <x:v>広島高速交通</x:v>
      </x:c>
      <x:c r="C737" s="18" t="str">
        <x:v>fixed_guideway</x:v>
      </x:c>
      <x:c r="D737" s="19" t="str">
        <x:v>T3</x:v>
      </x:c>
      <x:c r="E737" s="20" t="n">
        <x:v>9357</x:v>
      </x:c>
      <x:c r="F737" s="18" t="str">
        <x:v>persons/day</x:v>
      </x:c>
      <x:c r="G737" s="18" t="str">
        <x:v>FY2024</x:v>
      </x:c>
      <x:c r="H737" s="18" t="str">
        <x:v>否</x:v>
      </x:c>
      <x:c r="I737" s="19" t="str">
        <x:v>DAILY_ENTRIES_EXITS</x:v>
      </x:c>
      <x:c r="J737" s="19" t="str">
        <x:v>広島新交通1号線</x:v>
      </x:c>
      <x:c r="K737" s="18" t="str">
        <x:v>transport-node:ec2851cf-c8e8-5c81-9eb2-bd753cbe086c</x:v>
      </x:c>
      <x:c r="L737" s="19" t="str">
        <x:v>组件待审核</x:v>
      </x:c>
      <x:c r="M737" s="21" t="n">
        <x:v>34.461515</x:v>
      </x:c>
      <x:c r="N737" s="21" t="n">
        <x:v>132.47072</x:v>
      </x:c>
      <x:c r="O737" s="18" t="str">
        <x:v>007921</x:v>
      </x:c>
      <x:c r="P737" s="18" t="str">
        <x:v>広島新交通1号線</x:v>
      </x:c>
      <x:c r="Q737" s="19" t="str">
        <x:v>OFFICIAL_HUB_COMPONENT_REVIEW</x:v>
      </x:c>
      <x:c r="R737" s="19" t="str">
        <x:v>S12_061 usage threshold; low-flow inclusion justified by official Hub component review</x:v>
      </x:c>
      <x:c r="S737" s="19" t="str">
        <x:v>https://nlftp.mlit.go.jp/ksj/gml/datalist/KsjTmplt-S12-2024.html</x:v>
      </x:c>
      <x:c r="T737" s="19" t="str">
        <x:v>https://nlftp.mlit.go.jp/ksj/gml/datalist/KsjTmplt-S12-2024.html
https://www.astramline.co.jp/station/info.html?name=%E5%A4%A7%E7%94%BA</x:v>
      </x:c>
      <x:c r="U737" s="19" t="str">
        <x:v>station-component|大町|広島高速交通|fixed_guideway|34.4615|132.4707|</x:v>
      </x:c>
      <x:c r="V737" s="19" t="str">
        <x:v>007921 / 007921 / 広島新交通1号線</x:v>
      </x:c>
      <x:c r="W737" s="18" t="str">
        <x:v>否</x:v>
      </x:c>
      <x:c r="X737" s="18" t="str">
        <x:v>0785e932a32b3ec15e1a1345537ae145eafe1c07bf38d5c16c11ee2b391e7a28</x:v>
      </x:c>
      <x:c r="Y737" s="20" t="n">
        <x:v>1</x:v>
      </x:c>
      <x:c r="Z737" s="20" t="n">
        <x:v>1</x:v>
      </x:c>
      <x:c r="AA737" s="19" t="str">
        <x:v>大町</x:v>
      </x:c>
      <x:c r="AB737" s="18" t="str">
        <x:v>transport-hub-review:23a995e1-3830-5576-b89d-f20c798c88cb</x:v>
      </x:c>
      <x:c r="AC737" s="19"/>
    </x:row>
    <x:row r="738" ht="33" customHeight="1">
      <x:c r="A738" s="18" t="str">
        <x:v>大町</x:v>
      </x:c>
      <x:c r="B738" s="18" t="str">
        <x:v>西日本旅客鉄道</x:v>
      </x:c>
      <x:c r="C738" s="18" t="str">
        <x:v>conventional_rail</x:v>
      </x:c>
      <x:c r="D738" s="19" t="str">
        <x:v>T3</x:v>
      </x:c>
      <x:c r="E738" s="20" t="n">
        <x:v>8528</x:v>
      </x:c>
      <x:c r="F738" s="18" t="str">
        <x:v>persons/day</x:v>
      </x:c>
      <x:c r="G738" s="18" t="str">
        <x:v>FY2024</x:v>
      </x:c>
      <x:c r="H738" s="18" t="str">
        <x:v>否</x:v>
      </x:c>
      <x:c r="I738" s="19" t="str">
        <x:v>DAILY_ENTRIES_EXITS</x:v>
      </x:c>
      <x:c r="J738" s="19" t="str">
        <x:v>可部線</x:v>
      </x:c>
      <x:c r="K738" s="18" t="str">
        <x:v>transport-node:4702837e-8b91-56b8-be2e-10caba48d927</x:v>
      </x:c>
      <x:c r="L738" s="19" t="str">
        <x:v>组件待审核</x:v>
      </x:c>
      <x:c r="M738" s="21" t="n">
        <x:v>34.461384</x:v>
      </x:c>
      <x:c r="N738" s="21" t="n">
        <x:v>132.470772</x:v>
      </x:c>
      <x:c r="O738" s="18" t="str">
        <x:v>007923</x:v>
      </x:c>
      <x:c r="P738" s="18" t="str">
        <x:v>可部線</x:v>
      </x:c>
      <x:c r="Q738" s="19" t="str">
        <x:v>OFFICIAL_HUB_COMPONENT_REVIEW</x:v>
      </x:c>
      <x:c r="R738" s="19" t="str">
        <x:v>S12_061 usage threshold; low-flow inclusion justified by official Hub component review</x:v>
      </x:c>
      <x:c r="S738" s="19" t="str">
        <x:v>https://nlftp.mlit.go.jp/ksj/gml/datalist/KsjTmplt-S12-2024.html</x:v>
      </x:c>
      <x:c r="T738" s="19" t="str">
        <x:v>https://nlftp.mlit.go.jp/ksj/gml/datalist/KsjTmplt-S12-2024.html
https://www.astramline.co.jp/station/info.html?name=%E5%A4%A7%E7%94%BA</x:v>
      </x:c>
      <x:c r="U738" s="19" t="str">
        <x:v>station-component|大町|西日本旅客鉄道|conventional_rail|34.4614|132.4708|</x:v>
      </x:c>
      <x:c r="V738" s="19" t="str">
        <x:v>007921 / 007923 / 可部線</x:v>
      </x:c>
      <x:c r="W738" s="18" t="str">
        <x:v>否</x:v>
      </x:c>
      <x:c r="X738" s="18" t="str">
        <x:v>0785e932a32b3ec15e1a1345537ae145eafe1c07bf38d5c16c11ee2b391e7a28</x:v>
      </x:c>
      <x:c r="Y738" s="20" t="n">
        <x:v>1</x:v>
      </x:c>
      <x:c r="Z738" s="20" t="n">
        <x:v>1</x:v>
      </x:c>
      <x:c r="AA738" s="19" t="str">
        <x:v>大町</x:v>
      </x:c>
      <x:c r="AB738" s="18" t="str">
        <x:v>transport-hub-review:23a995e1-3830-5576-b89d-f20c798c88cb</x:v>
      </x:c>
      <x:c r="AC738" s="19"/>
    </x:row>
    <x:row r="739" ht="28" customHeight="1">
      <x:c r="A739" s="18" t="str">
        <x:v>大磯</x:v>
      </x:c>
      <x:c r="B739" s="18" t="str">
        <x:v>東日本旅客鉄道</x:v>
      </x:c>
      <x:c r="C739" s="18" t="str">
        <x:v>conventional_rail</x:v>
      </x:c>
      <x:c r="D739" s="19" t="str">
        <x:v>T2</x:v>
      </x:c>
      <x:c r="E739" s="20" t="n">
        <x:v>15194</x:v>
      </x:c>
      <x:c r="F739" s="18" t="str">
        <x:v>persons/day</x:v>
      </x:c>
      <x:c r="G739" s="18" t="str">
        <x:v>FY2024</x:v>
      </x:c>
      <x:c r="H739" s="18" t="str">
        <x:v>否</x:v>
      </x:c>
      <x:c r="I739" s="19" t="str">
        <x:v>DAILY_ENTRIES_EXITS</x:v>
      </x:c>
      <x:c r="J739" s="19" t="str">
        <x:v>東海道線</x:v>
      </x:c>
      <x:c r="K739" s="18" t="str">
        <x:v>transport-node:8af8a1d0-dee0-58e3-adae-6a0c1cba90cd</x:v>
      </x:c>
      <x:c r="L739" s="19" t="str">
        <x:v>组件待审核</x:v>
      </x:c>
      <x:c r="M739" s="21" t="n">
        <x:v>35.3115</x:v>
      </x:c>
      <x:c r="N739" s="21" t="n">
        <x:v>139.31334</x:v>
      </x:c>
      <x:c r="O739" s="18" t="str">
        <x:v>005085</x:v>
      </x:c>
      <x:c r="P739" s="18" t="str">
        <x:v>東海道線</x:v>
      </x:c>
      <x:c r="Q739" s="19" t="str">
        <x:v>S12_061_GE_10000</x:v>
      </x:c>
      <x:c r="R739" s="19" t="str">
        <x:v>S12_061 usage threshold</x:v>
      </x:c>
      <x:c r="S739" s="19" t="str">
        <x:v>https://nlftp.mlit.go.jp/ksj/gml/datalist/KsjTmplt-S12-2024.html</x:v>
      </x:c>
      <x:c r="T739" s="19" t="str">
        <x:v>https://nlftp.mlit.go.jp/ksj/gml/datalist/KsjTmplt-S12-2024.html</x:v>
      </x:c>
      <x:c r="U739" s="19" t="str">
        <x:v>station-component|大磯|東日本旅客鉄道|conventional_rail|35.3115|139.3133|</x:v>
      </x:c>
      <x:c r="V739" s="19" t="str">
        <x:v>005085 / 005085 / 東海道線</x:v>
      </x:c>
      <x:c r="W739" s="18" t="str">
        <x:v>否</x:v>
      </x:c>
      <x:c r="X739" s="18" t="str">
        <x:v>0785e932a32b3ec15e1a1345537ae145eafe1c07bf38d5c16c11ee2b391e7a28</x:v>
      </x:c>
      <x:c r="Y739" s="20" t="n">
        <x:v>1</x:v>
      </x:c>
      <x:c r="Z739" s="20" t="n">
        <x:v>1</x:v>
      </x:c>
      <x:c r="AA739" s="19"/>
      <x:c r="AB739" s="18"/>
      <x:c r="AC739" s="19"/>
    </x:row>
    <x:row r="740" ht="33" customHeight="1">
      <x:c r="A740" s="18" t="str">
        <x:v>大網</x:v>
      </x:c>
      <x:c r="B740" s="18" t="str">
        <x:v>東日本旅客鉄道</x:v>
      </x:c>
      <x:c r="C740" s="18" t="str">
        <x:v>conventional_rail</x:v>
      </x:c>
      <x:c r="D740" s="19" t="str">
        <x:v>T2</x:v>
      </x:c>
      <x:c r="E740" s="20" t="n">
        <x:v>17304</x:v>
      </x:c>
      <x:c r="F740" s="18" t="str">
        <x:v>persons/day</x:v>
      </x:c>
      <x:c r="G740" s="18" t="str">
        <x:v>FY2024</x:v>
      </x:c>
      <x:c r="H740" s="18" t="str">
        <x:v>否</x:v>
      </x:c>
      <x:c r="I740" s="19" t="str">
        <x:v>DAILY_ENTRIES_EXITS</x:v>
      </x:c>
      <x:c r="J740" s="19" t="str">
        <x:v>外房線
東金線</x:v>
      </x:c>
      <x:c r="K740" s="18" t="str">
        <x:v>transport-node:8a1401f9-e1da-5f41-a5f2-99abdbb048bd</x:v>
      </x:c>
      <x:c r="L740" s="19" t="str">
        <x:v>组件待审核</x:v>
      </x:c>
      <x:c r="M740" s="21" t="n">
        <x:v>35.5223882</x:v>
      </x:c>
      <x:c r="N740" s="21" t="n">
        <x:v>140.3111382</x:v>
      </x:c>
      <x:c r="O740" s="18" t="str">
        <x:v>004451</x:v>
      </x:c>
      <x:c r="P740" s="18" t="str">
        <x:v>外房線</x:v>
      </x:c>
      <x:c r="Q740" s="19" t="str">
        <x:v>S12_061_GE_10000</x:v>
      </x:c>
      <x:c r="R740" s="19" t="str">
        <x:v>S12_061 usage threshold</x:v>
      </x:c>
      <x:c r="S740" s="19" t="str">
        <x:v>https://nlftp.mlit.go.jp/ksj/gml/datalist/KsjTmplt-S12-2024.html</x:v>
      </x:c>
      <x:c r="T740" s="19" t="str">
        <x:v>https://nlftp.mlit.go.jp/ksj/gml/datalist/KsjTmplt-S12-2024.html</x:v>
      </x:c>
      <x:c r="U740" s="19" t="str">
        <x:v>station-component|大網|東日本旅客鉄道|conventional_rail|35.5224|140.3111|</x:v>
      </x:c>
      <x:c r="V740" s="19" t="str">
        <x:v>004450 / 004450 / 東金線
004450 / 004451 / 外房線</x:v>
      </x:c>
      <x:c r="W740" s="18" t="str">
        <x:v>否</x:v>
      </x:c>
      <x:c r="X740" s="18" t="str">
        <x:v>0785e932a32b3ec15e1a1345537ae145eafe1c07bf38d5c16c11ee2b391e7a28</x:v>
      </x:c>
      <x:c r="Y740" s="20" t="n">
        <x:v>1</x:v>
      </x:c>
      <x:c r="Z740" s="20" t="n">
        <x:v>1</x:v>
      </x:c>
      <x:c r="AA740" s="19"/>
      <x:c r="AB740" s="18"/>
      <x:c r="AC740" s="19"/>
    </x:row>
    <x:row r="741" ht="47" customHeight="1">
      <x:c r="A741" s="18" t="str">
        <x:v>大船</x:v>
      </x:c>
      <x:c r="B741" s="18" t="str">
        <x:v>東日本旅客鉄道</x:v>
      </x:c>
      <x:c r="C741" s="18" t="str">
        <x:v>conventional_rail</x:v>
      </x:c>
      <x:c r="D741" s="19" t="str">
        <x:v>T1</x:v>
      </x:c>
      <x:c r="E741" s="20" t="n">
        <x:v>182518</x:v>
      </x:c>
      <x:c r="F741" s="18" t="str">
        <x:v>persons/day</x:v>
      </x:c>
      <x:c r="G741" s="18" t="str">
        <x:v>FY2024</x:v>
      </x:c>
      <x:c r="H741" s="18" t="str">
        <x:v>否</x:v>
      </x:c>
      <x:c r="I741" s="19" t="str">
        <x:v>DAILY_ENTRIES_EXITS</x:v>
      </x:c>
      <x:c r="J741" s="19" t="str">
        <x:v>東海道線
根岸線
横須賀線</x:v>
      </x:c>
      <x:c r="K741" s="18" t="str">
        <x:v>transport-node:434a9770-6df0-5681-bfa4-3b22ac1c7a16</x:v>
      </x:c>
      <x:c r="L741" s="19" t="str">
        <x:v>组件待审核</x:v>
      </x:c>
      <x:c r="M741" s="21" t="n">
        <x:v>35.3541433</x:v>
      </x:c>
      <x:c r="N741" s="21" t="n">
        <x:v>139.53116</x:v>
      </x:c>
      <x:c r="O741" s="18" t="str">
        <x:v>004959</x:v>
      </x:c>
      <x:c r="P741" s="18" t="str">
        <x:v>東海道線</x:v>
      </x:c>
      <x:c r="Q741" s="19" t="str">
        <x:v>S12_061_GE_10000</x:v>
      </x:c>
      <x:c r="R741" s="19" t="str">
        <x:v>S12_061 usage threshold</x:v>
      </x:c>
      <x:c r="S741" s="19" t="str">
        <x:v>https://nlftp.mlit.go.jp/ksj/gml/datalist/KsjTmplt-S12-2024.html</x:v>
      </x:c>
      <x:c r="T741" s="19" t="str">
        <x:v>https://nlftp.mlit.go.jp/ksj/gml/datalist/KsjTmplt-S12-2024.html</x:v>
      </x:c>
      <x:c r="U741" s="19" t="str">
        <x:v>station-component|大船|東日本旅客鉄道|conventional_rail|35.3541|139.5312|</x:v>
      </x:c>
      <x:c r="V741" s="19" t="str">
        <x:v>004961 / 004959 / 東海道線
004961 / 004960 / 根岸線
004961 / 004961 / 横須賀線</x:v>
      </x:c>
      <x:c r="W741" s="18" t="str">
        <x:v>否</x:v>
      </x:c>
      <x:c r="X741" s="18" t="str">
        <x:v>0785e932a32b3ec15e1a1345537ae145eafe1c07bf38d5c16c11ee2b391e7a28</x:v>
      </x:c>
      <x:c r="Y741" s="20" t="n">
        <x:v>1</x:v>
      </x:c>
      <x:c r="Z741" s="20" t="n">
        <x:v>1</x:v>
      </x:c>
      <x:c r="AA741" s="19"/>
      <x:c r="AB741" s="18"/>
      <x:c r="AC741" s="19"/>
    </x:row>
    <x:row r="742" ht="28" customHeight="1">
      <x:c r="A742" s="18" t="str">
        <x:v>大船</x:v>
      </x:c>
      <x:c r="B742" s="18" t="str">
        <x:v>湘南モノレール</x:v>
      </x:c>
      <x:c r="C742" s="18" t="str">
        <x:v>fixed_guideway</x:v>
      </x:c>
      <x:c r="D742" s="19" t="str">
        <x:v>T2</x:v>
      </x:c>
      <x:c r="E742" s="20" t="n">
        <x:v>31196</x:v>
      </x:c>
      <x:c r="F742" s="18" t="str">
        <x:v>persons/day</x:v>
      </x:c>
      <x:c r="G742" s="18" t="str">
        <x:v>FY2024</x:v>
      </x:c>
      <x:c r="H742" s="18" t="str">
        <x:v>否</x:v>
      </x:c>
      <x:c r="I742" s="19" t="str">
        <x:v>DAILY_ENTRIES_EXITS</x:v>
      </x:c>
      <x:c r="J742" s="19" t="str">
        <x:v>江の島線</x:v>
      </x:c>
      <x:c r="K742" s="18" t="str">
        <x:v>transport-node:56e4b760-1d52-58a4-9fd3-2933ee9f6ce1</x:v>
      </x:c>
      <x:c r="L742" s="19" t="str">
        <x:v>组件待审核</x:v>
      </x:c>
      <x:c r="M742" s="21" t="n">
        <x:v>35.35252</x:v>
      </x:c>
      <x:c r="N742" s="21" t="n">
        <x:v>139.5313933</x:v>
      </x:c>
      <x:c r="O742" s="18" t="str">
        <x:v>004964</x:v>
      </x:c>
      <x:c r="P742" s="18" t="str">
        <x:v>江の島線</x:v>
      </x:c>
      <x:c r="Q742" s="19" t="str">
        <x:v>S12_061_GE_10000</x:v>
      </x:c>
      <x:c r="R742" s="19" t="str">
        <x:v>S12_061 usage threshold</x:v>
      </x:c>
      <x:c r="S742" s="19" t="str">
        <x:v>https://nlftp.mlit.go.jp/ksj/gml/datalist/KsjTmplt-S12-2024.html</x:v>
      </x:c>
      <x:c r="T742" s="19" t="str">
        <x:v>https://nlftp.mlit.go.jp/ksj/gml/datalist/KsjTmplt-S12-2024.html</x:v>
      </x:c>
      <x:c r="U742" s="19" t="str">
        <x:v>station-component|大船|湘南モノレール|fixed_guideway|35.3525|139.5314|</x:v>
      </x:c>
      <x:c r="V742" s="19" t="str">
        <x:v>004961 / 004964 / 江の島線</x:v>
      </x:c>
      <x:c r="W742" s="18" t="str">
        <x:v>否</x:v>
      </x:c>
      <x:c r="X742" s="18" t="str">
        <x:v>0785e932a32b3ec15e1a1345537ae145eafe1c07bf38d5c16c11ee2b391e7a28</x:v>
      </x:c>
      <x:c r="Y742" s="20" t="n">
        <x:v>1</x:v>
      </x:c>
      <x:c r="Z742" s="20" t="n">
        <x:v>1</x:v>
      </x:c>
      <x:c r="AA742" s="19"/>
      <x:c r="AB742" s="18"/>
      <x:c r="AC742" s="19"/>
    </x:row>
    <x:row r="743" ht="28" customHeight="1">
      <x:c r="A743" s="18" t="str">
        <x:v>大袋</x:v>
      </x:c>
      <x:c r="B743" s="18" t="str">
        <x:v>東武鉄道</x:v>
      </x:c>
      <x:c r="C743" s="18" t="str">
        <x:v>private_rail</x:v>
      </x:c>
      <x:c r="D743" s="19" t="str">
        <x:v>T2</x:v>
      </x:c>
      <x:c r="E743" s="20" t="n">
        <x:v>17909</x:v>
      </x:c>
      <x:c r="F743" s="18" t="str">
        <x:v>persons/day</x:v>
      </x:c>
      <x:c r="G743" s="18" t="str">
        <x:v>FY2024</x:v>
      </x:c>
      <x:c r="H743" s="18" t="str">
        <x:v>否</x:v>
      </x:c>
      <x:c r="I743" s="19" t="str">
        <x:v>DAILY_ENTRIES_EXITS</x:v>
      </x:c>
      <x:c r="J743" s="19" t="str">
        <x:v>伊勢崎線</x:v>
      </x:c>
      <x:c r="K743" s="18" t="str">
        <x:v>transport-node:87e83efc-0669-58f8-9fa6-262bbdb170e4</x:v>
      </x:c>
      <x:c r="L743" s="19" t="str">
        <x:v>组件待审核</x:v>
      </x:c>
      <x:c r="M743" s="21" t="n">
        <x:v>35.9246</x:v>
      </x:c>
      <x:c r="N743" s="21" t="n">
        <x:v>139.77794</x:v>
      </x:c>
      <x:c r="O743" s="18" t="str">
        <x:v>002875</x:v>
      </x:c>
      <x:c r="P743" s="18" t="str">
        <x:v>伊勢崎線</x:v>
      </x:c>
      <x:c r="Q743" s="19" t="str">
        <x:v>S12_061_GE_10000</x:v>
      </x:c>
      <x:c r="R743" s="19" t="str">
        <x:v>S12_061 usage threshold</x:v>
      </x:c>
      <x:c r="S743" s="19" t="str">
        <x:v>https://nlftp.mlit.go.jp/ksj/gml/datalist/KsjTmplt-S12-2024.html</x:v>
      </x:c>
      <x:c r="T743" s="19" t="str">
        <x:v>https://nlftp.mlit.go.jp/ksj/gml/datalist/KsjTmplt-S12-2024.html</x:v>
      </x:c>
      <x:c r="U743" s="19" t="str">
        <x:v>station-component|大袋|東武鉄道|private_rail|35.9246|139.7779|</x:v>
      </x:c>
      <x:c r="V743" s="19" t="str">
        <x:v>002875 / 002875 / 伊勢崎線</x:v>
      </x:c>
      <x:c r="W743" s="18" t="str">
        <x:v>否</x:v>
      </x:c>
      <x:c r="X743" s="18" t="str">
        <x:v>0785e932a32b3ec15e1a1345537ae145eafe1c07bf38d5c16c11ee2b391e7a28</x:v>
      </x:c>
      <x:c r="Y743" s="20" t="n">
        <x:v>1</x:v>
      </x:c>
      <x:c r="Z743" s="20" t="n">
        <x:v>1</x:v>
      </x:c>
      <x:c r="AA743" s="19"/>
      <x:c r="AB743" s="18"/>
      <x:c r="AC743" s="19"/>
    </x:row>
    <x:row r="744" ht="28" customHeight="1">
      <x:c r="A744" s="18" t="str">
        <x:v>大谷地</x:v>
      </x:c>
      <x:c r="B744" s="18" t="str">
        <x:v>札幌市</x:v>
      </x:c>
      <x:c r="C744" s="18" t="str">
        <x:v>metro</x:v>
      </x:c>
      <x:c r="D744" s="19" t="str">
        <x:v>T2</x:v>
      </x:c>
      <x:c r="E744" s="20" t="n">
        <x:v>25090</x:v>
      </x:c>
      <x:c r="F744" s="18" t="str">
        <x:v>persons/day</x:v>
      </x:c>
      <x:c r="G744" s="18" t="str">
        <x:v>FY2024</x:v>
      </x:c>
      <x:c r="H744" s="18" t="str">
        <x:v>否</x:v>
      </x:c>
      <x:c r="I744" s="19" t="str">
        <x:v>DAILY_ENTRIES_EXITS</x:v>
      </x:c>
      <x:c r="J744" s="19" t="str">
        <x:v>東西線</x:v>
      </x:c>
      <x:c r="K744" s="18" t="str">
        <x:v>transport-node:b913b353-94df-54d0-a7b2-4d5a96e40df5</x:v>
      </x:c>
      <x:c r="L744" s="19" t="str">
        <x:v>组件待审核</x:v>
      </x:c>
      <x:c r="M744" s="21" t="n">
        <x:v>43.02793</x:v>
      </x:c>
      <x:c r="N744" s="21" t="n">
        <x:v>141.453145</x:v>
      </x:c>
      <x:c r="O744" s="18" t="str">
        <x:v>000297</x:v>
      </x:c>
      <x:c r="P744" s="18" t="str">
        <x:v>東西線</x:v>
      </x:c>
      <x:c r="Q744" s="19" t="str">
        <x:v>S12_061_GE_10000</x:v>
      </x:c>
      <x:c r="R744" s="19" t="str">
        <x:v>S12_061 usage threshold</x:v>
      </x:c>
      <x:c r="S744" s="19" t="str">
        <x:v>https://nlftp.mlit.go.jp/ksj/gml/datalist/KsjTmplt-S12-2024.html</x:v>
      </x:c>
      <x:c r="T744" s="19" t="str">
        <x:v>https://nlftp.mlit.go.jp/ksj/gml/datalist/KsjTmplt-S12-2024.html</x:v>
      </x:c>
      <x:c r="U744" s="19" t="str">
        <x:v>station-component|大谷地|札幌市|metro|43.0279|141.4531|</x:v>
      </x:c>
      <x:c r="V744" s="19" t="str">
        <x:v>000297 / 000297 / 東西線</x:v>
      </x:c>
      <x:c r="W744" s="18" t="str">
        <x:v>否</x:v>
      </x:c>
      <x:c r="X744" s="18" t="str">
        <x:v>0785e932a32b3ec15e1a1345537ae145eafe1c07bf38d5c16c11ee2b391e7a28</x:v>
      </x:c>
      <x:c r="Y744" s="20" t="n">
        <x:v>1</x:v>
      </x:c>
      <x:c r="Z744" s="20" t="n">
        <x:v>1</x:v>
      </x:c>
      <x:c r="AA744" s="19"/>
      <x:c r="AB744" s="18"/>
      <x:c r="AC744" s="19"/>
    </x:row>
    <x:row r="745" ht="47" customHeight="1">
      <x:c r="A745" s="18" t="str">
        <x:v>大通</x:v>
      </x:c>
      <x:c r="B745" s="18" t="str">
        <x:v>札幌市</x:v>
      </x:c>
      <x:c r="C745" s="18" t="str">
        <x:v>metro</x:v>
      </x:c>
      <x:c r="D745" s="19" t="str">
        <x:v>T1</x:v>
      </x:c>
      <x:c r="E745" s="20" t="n">
        <x:v>168312</x:v>
      </x:c>
      <x:c r="F745" s="18" t="str">
        <x:v>persons/day</x:v>
      </x:c>
      <x:c r="G745" s="18" t="str">
        <x:v>FY2024</x:v>
      </x:c>
      <x:c r="H745" s="18" t="str">
        <x:v>否</x:v>
      </x:c>
      <x:c r="I745" s="19" t="str">
        <x:v>DAILY_ENTRIES_EXITS</x:v>
      </x:c>
      <x:c r="J745" s="19" t="str">
        <x:v>南北線
東西線
東豊線</x:v>
      </x:c>
      <x:c r="K745" s="18" t="str">
        <x:v>transport-node:6ba0c297-44c0-593e-96a5-1f0e66588649</x:v>
      </x:c>
      <x:c r="L745" s="19" t="str">
        <x:v>组件待审核</x:v>
      </x:c>
      <x:c r="M745" s="21" t="n">
        <x:v>43.0600267</x:v>
      </x:c>
      <x:c r="N745" s="21" t="n">
        <x:v>141.3521367</x:v>
      </x:c>
      <x:c r="O745" s="18" t="str">
        <x:v>000234</x:v>
      </x:c>
      <x:c r="P745" s="18" t="str">
        <x:v>南北線</x:v>
      </x:c>
      <x:c r="Q745" s="19" t="str">
        <x:v>S12_061_GE_10000
OFFICIAL_HUB_COMPONENT_REVIEW</x:v>
      </x:c>
      <x:c r="R745" s="19" t="str">
        <x:v>S12_061 usage threshold</x:v>
      </x:c>
      <x:c r="S745" s="19" t="str">
        <x:v>https://nlftp.mlit.go.jp/ksj/gml/datalist/KsjTmplt-S12-2024.html</x:v>
      </x:c>
      <x:c r="T745" s="19" t="str">
        <x:v>https://nlftp.mlit.go.jp/ksj/gml/datalist/KsjTmplt-S12-2024.html
https://www.city.sapporo.jp/st/subway/ekikonaizu/ekikonaizu.html</x:v>
      </x:c>
      <x:c r="U745" s="19" t="str">
        <x:v>station-component|大通|札幌市|metro|43.0600|141.3521|</x:v>
      </x:c>
      <x:c r="V745" s="19" t="str">
        <x:v>000233 / 000232 / 東豊線
000233 / 000233 / 東西線
000233 / 000234 / 南北線</x:v>
      </x:c>
      <x:c r="W745" s="18" t="str">
        <x:v>否</x:v>
      </x:c>
      <x:c r="X745" s="18" t="str">
        <x:v>0785e932a32b3ec15e1a1345537ae145eafe1c07bf38d5c16c11ee2b391e7a28</x:v>
      </x:c>
      <x:c r="Y745" s="20" t="n">
        <x:v>1</x:v>
      </x:c>
      <x:c r="Z745" s="20" t="n">
        <x:v>1</x:v>
      </x:c>
      <x:c r="AA745" s="19" t="str">
        <x:v>大通</x:v>
      </x:c>
      <x:c r="AB745" s="18" t="str">
        <x:v>transport-hub-review:daa1df74-3f1d-5ec3-91d8-6dd0a7686003</x:v>
      </x:c>
      <x:c r="AC745" s="19"/>
    </x:row>
    <x:row r="746" ht="28" customHeight="1">
      <x:c r="A746" s="18" t="str">
        <x:v>大野城</x:v>
      </x:c>
      <x:c r="B746" s="18" t="str">
        <x:v>九州旅客鉄道</x:v>
      </x:c>
      <x:c r="C746" s="18" t="str">
        <x:v>conventional_rail</x:v>
      </x:c>
      <x:c r="D746" s="19" t="str">
        <x:v>T2</x:v>
      </x:c>
      <x:c r="E746" s="20" t="n">
        <x:v>16140</x:v>
      </x:c>
      <x:c r="F746" s="18" t="str">
        <x:v>persons/day</x:v>
      </x:c>
      <x:c r="G746" s="18" t="str">
        <x:v>FY2024</x:v>
      </x:c>
      <x:c r="H746" s="18" t="str">
        <x:v>否</x:v>
      </x:c>
      <x:c r="I746" s="19" t="str">
        <x:v>DAILY_ENTRIES_EXITS</x:v>
      </x:c>
      <x:c r="J746" s="19" t="str">
        <x:v>鹿児島線</x:v>
      </x:c>
      <x:c r="K746" s="18" t="str">
        <x:v>transport-node:df7aa400-994d-58f4-8b51-04dff177aa37</x:v>
      </x:c>
      <x:c r="L746" s="19" t="str">
        <x:v>组件待审核</x:v>
      </x:c>
      <x:c r="M746" s="21" t="n">
        <x:v>33.524965</x:v>
      </x:c>
      <x:c r="N746" s="21" t="n">
        <x:v>130.48007</x:v>
      </x:c>
      <x:c r="O746" s="18" t="str">
        <x:v>009220</x:v>
      </x:c>
      <x:c r="P746" s="18" t="str">
        <x:v>鹿児島線</x:v>
      </x:c>
      <x:c r="Q746" s="19" t="str">
        <x:v>S12_061_GE_10000</x:v>
      </x:c>
      <x:c r="R746" s="19" t="str">
        <x:v>S12_061 usage threshold</x:v>
      </x:c>
      <x:c r="S746" s="19" t="str">
        <x:v>https://nlftp.mlit.go.jp/ksj/gml/datalist/KsjTmplt-S12-2024.html</x:v>
      </x:c>
      <x:c r="T746" s="19" t="str">
        <x:v>https://nlftp.mlit.go.jp/ksj/gml/datalist/KsjTmplt-S12-2024.html</x:v>
      </x:c>
      <x:c r="U746" s="19" t="str">
        <x:v>station-component|大野城|九州旅客鉄道|conventional_rail|33.5250|130.4801|</x:v>
      </x:c>
      <x:c r="V746" s="19" t="str">
        <x:v>009220 / 009220 / 鹿児島線</x:v>
      </x:c>
      <x:c r="W746" s="18" t="str">
        <x:v>否</x:v>
      </x:c>
      <x:c r="X746" s="18" t="str">
        <x:v>0785e932a32b3ec15e1a1345537ae145eafe1c07bf38d5c16c11ee2b391e7a28</x:v>
      </x:c>
      <x:c r="Y746" s="20" t="n">
        <x:v>1</x:v>
      </x:c>
      <x:c r="Z746" s="20" t="n">
        <x:v>1</x:v>
      </x:c>
      <x:c r="AA746" s="19"/>
      <x:c r="AB746" s="18"/>
      <x:c r="AC746" s="19"/>
    </x:row>
    <x:row r="747" ht="33" customHeight="1">
      <x:c r="A747" s="18" t="str">
        <x:v>大門</x:v>
      </x:c>
      <x:c r="B747" s="18" t="str">
        <x:v>東京都</x:v>
      </x:c>
      <x:c r="C747" s="18" t="str">
        <x:v>metro</x:v>
      </x:c>
      <x:c r="D747" s="19" t="str">
        <x:v>T1</x:v>
      </x:c>
      <x:c r="E747" s="20" t="n">
        <x:v>101853</x:v>
      </x:c>
      <x:c r="F747" s="18" t="str">
        <x:v>persons/day</x:v>
      </x:c>
      <x:c r="G747" s="18" t="str">
        <x:v>FY2024</x:v>
      </x:c>
      <x:c r="H747" s="18" t="str">
        <x:v>否</x:v>
      </x:c>
      <x:c r="I747" s="19" t="str">
        <x:v>DAILY_ENTRIES_EXITS</x:v>
      </x:c>
      <x:c r="J747" s="19" t="str">
        <x:v>12号線大江戸線
1号線浅草線</x:v>
      </x:c>
      <x:c r="K747" s="18" t="str">
        <x:v>transport-node:af50f020-b2f9-534c-8933-5b0951ed814b</x:v>
      </x:c>
      <x:c r="L747" s="19" t="str">
        <x:v>组件待审核</x:v>
      </x:c>
      <x:c r="M747" s="21" t="n">
        <x:v>35.65672</x:v>
      </x:c>
      <x:c r="N747" s="21" t="n">
        <x:v>139.754682</x:v>
      </x:c>
      <x:c r="O747" s="18" t="str">
        <x:v>003940</x:v>
      </x:c>
      <x:c r="P747" s="18" t="str">
        <x:v>1号線浅草線</x:v>
      </x:c>
      <x:c r="Q747" s="19" t="str">
        <x:v>S12_061_GE_10000
OFFICIAL_HUB_COMPONENT_REVIEW</x:v>
      </x:c>
      <x:c r="R747" s="19" t="str">
        <x:v>S12_061 usage threshold</x:v>
      </x:c>
      <x:c r="S747" s="19" t="str">
        <x:v>https://nlftp.mlit.go.jp/ksj/gml/datalist/KsjTmplt-S12-2024.html</x:v>
      </x:c>
      <x:c r="T747" s="19" t="str">
        <x:v>https://nlftp.mlit.go.jp/ksj/gml/datalist/KsjTmplt-S12-2024.html
https://www.kotsu.metro.tokyo.jp/subway/stations/daimon.html</x:v>
      </x:c>
      <x:c r="U747" s="19" t="str">
        <x:v>station-component|大門|東京都|metro|35.6567|139.7547|</x:v>
      </x:c>
      <x:c r="V747" s="19" t="str">
        <x:v>003939 / 003939 / 12号線大江戸線
003939 / 003940 / 1号線浅草線</x:v>
      </x:c>
      <x:c r="W747" s="18" t="str">
        <x:v>否</x:v>
      </x:c>
      <x:c r="X747" s="18" t="str">
        <x:v>0785e932a32b3ec15e1a1345537ae145eafe1c07bf38d5c16c11ee2b391e7a28</x:v>
      </x:c>
      <x:c r="Y747" s="20" t="n">
        <x:v>1</x:v>
      </x:c>
      <x:c r="Z747" s="20" t="n">
        <x:v>1</x:v>
      </x:c>
      <x:c r="AA747" s="19" t="str">
        <x:v>浜松町・大門</x:v>
      </x:c>
      <x:c r="AB747" s="18" t="str">
        <x:v>transport-hub-review:f5527a45-84f9-5ed7-92ba-fde5ceafd3da</x:v>
      </x:c>
      <x:c r="AC747" s="19"/>
    </x:row>
    <x:row r="748" ht="33" customHeight="1">
      <x:c r="A748" s="18" t="str">
        <x:v>大阪</x:v>
      </x:c>
      <x:c r="B748" s="18" t="str">
        <x:v>西日本旅客鉄道</x:v>
      </x:c>
      <x:c r="C748" s="18" t="str">
        <x:v>conventional_rail</x:v>
      </x:c>
      <x:c r="D748" s="19" t="str">
        <x:v>T0</x:v>
      </x:c>
      <x:c r="E748" s="20" t="n">
        <x:v>751006</x:v>
      </x:c>
      <x:c r="F748" s="18" t="str">
        <x:v>persons/day</x:v>
      </x:c>
      <x:c r="G748" s="18" t="str">
        <x:v>FY2024</x:v>
      </x:c>
      <x:c r="H748" s="18" t="str">
        <x:v>否</x:v>
      </x:c>
      <x:c r="I748" s="19" t="str">
        <x:v>DAILY_ENTRIES_EXITS</x:v>
      </x:c>
      <x:c r="J748" s="19" t="str">
        <x:v>大阪環状線
東海道線</x:v>
      </x:c>
      <x:c r="K748" s="18" t="str">
        <x:v>transport-node:2ef60e02-6df3-5535-a8a9-8901626a9ee8</x:v>
      </x:c>
      <x:c r="L748" s="19" t="str">
        <x:v>组件待审核</x:v>
      </x:c>
      <x:c r="M748" s="21" t="n">
        <x:v>34.702325</x:v>
      </x:c>
      <x:c r="N748" s="21" t="n">
        <x:v>135.495095</x:v>
      </x:c>
      <x:c r="O748" s="18" t="str">
        <x:v>007068</x:v>
      </x:c>
      <x:c r="P748" s="18" t="str">
        <x:v>東海道線</x:v>
      </x:c>
      <x:c r="Q748" s="19" t="str">
        <x:v>S12_061_GE_10000
OFFICIAL_HUB_COMPONENT_REVIEW</x:v>
      </x:c>
      <x:c r="R748" s="19" t="str">
        <x:v>S12_061 usage threshold</x:v>
      </x:c>
      <x:c r="S748" s="19" t="str">
        <x:v>https://nlftp.mlit.go.jp/ksj/gml/datalist/KsjTmplt-S12-2024.html</x:v>
      </x:c>
      <x:c r="T748" s="19" t="str">
        <x:v>https://nlftp.mlit.go.jp/ksj/gml/datalist/KsjTmplt-S12-2024.html
https://subway.osakametro.co.jp/station_guide/M/m16/index.php</x:v>
      </x:c>
      <x:c r="U748" s="19" t="str">
        <x:v>station-component|大阪|西日本旅客鉄道|conventional_rail|34.7023|135.4951|</x:v>
      </x:c>
      <x:c r="V748" s="19" t="str">
        <x:v>007068 / 007068 / 東海道線
007068 / 007069 / 大阪環状線</x:v>
      </x:c>
      <x:c r="W748" s="18" t="str">
        <x:v>否</x:v>
      </x:c>
      <x:c r="X748" s="18" t="str">
        <x:v>0785e932a32b3ec15e1a1345537ae145eafe1c07bf38d5c16c11ee2b391e7a28</x:v>
      </x:c>
      <x:c r="Y748" s="20" t="n">
        <x:v>1</x:v>
      </x:c>
      <x:c r="Z748" s="20" t="n">
        <x:v>1</x:v>
      </x:c>
      <x:c r="AA748" s="19" t="str">
        <x:v>大阪・梅田</x:v>
      </x:c>
      <x:c r="AB748" s="18" t="str">
        <x:v>transport-hub-review:c874f3c0-4c3d-5ef3-adac-91c1a118c3b7</x:v>
      </x:c>
      <x:c r="AC748" s="19"/>
    </x:row>
    <x:row r="749" ht="28" customHeight="1">
      <x:c r="A749" s="18" t="str">
        <x:v>大阪ビジネスパーク</x:v>
      </x:c>
      <x:c r="B749" s="18" t="str">
        <x:v>大阪市高速電気軌道</x:v>
      </x:c>
      <x:c r="C749" s="18" t="str">
        <x:v>metro</x:v>
      </x:c>
      <x:c r="D749" s="19" t="str">
        <x:v>T2</x:v>
      </x:c>
      <x:c r="E749" s="20" t="n">
        <x:v>14644</x:v>
      </x:c>
      <x:c r="F749" s="18" t="str">
        <x:v>persons/day</x:v>
      </x:c>
      <x:c r="G749" s="18" t="str">
        <x:v>FY2024</x:v>
      </x:c>
      <x:c r="H749" s="18" t="str">
        <x:v>否</x:v>
      </x:c>
      <x:c r="I749" s="19" t="str">
        <x:v>DAILY_ENTRIES_EXITS</x:v>
      </x:c>
      <x:c r="J749" s="19" t="str">
        <x:v>7号線(長堀鶴見緑地線)</x:v>
      </x:c>
      <x:c r="K749" s="18" t="str">
        <x:v>transport-node:860a9a25-b6ed-5a75-903c-fe6567b9ff3d</x:v>
      </x:c>
      <x:c r="L749" s="19" t="str">
        <x:v>组件待审核</x:v>
      </x:c>
      <x:c r="M749" s="21" t="n">
        <x:v>34.69187</x:v>
      </x:c>
      <x:c r="N749" s="21" t="n">
        <x:v>135.529765</x:v>
      </x:c>
      <x:c r="O749" s="18" t="str">
        <x:v>007137</x:v>
      </x:c>
      <x:c r="P749" s="18" t="str">
        <x:v>7号線(長堀鶴見緑地線)</x:v>
      </x:c>
      <x:c r="Q749" s="19" t="str">
        <x:v>S12_061_GE_10000</x:v>
      </x:c>
      <x:c r="R749" s="19" t="str">
        <x:v>S12_061 usage threshold</x:v>
      </x:c>
      <x:c r="S749" s="19" t="str">
        <x:v>https://nlftp.mlit.go.jp/ksj/gml/datalist/KsjTmplt-S12-2024.html</x:v>
      </x:c>
      <x:c r="T749" s="19" t="str">
        <x:v>https://nlftp.mlit.go.jp/ksj/gml/datalist/KsjTmplt-S12-2024.html</x:v>
      </x:c>
      <x:c r="U749" s="19" t="str">
        <x:v>station-component|大阪ビジネスパーク|大阪市高速電気軌道|metro|34.6919|135.5298|</x:v>
      </x:c>
      <x:c r="V749" s="19" t="str">
        <x:v>007137 / 007137 / 7号線(長堀鶴見緑地線)</x:v>
      </x:c>
      <x:c r="W749" s="18" t="str">
        <x:v>否</x:v>
      </x:c>
      <x:c r="X749" s="18" t="str">
        <x:v>0785e932a32b3ec15e1a1345537ae145eafe1c07bf38d5c16c11ee2b391e7a28</x:v>
      </x:c>
      <x:c r="Y749" s="20" t="n">
        <x:v>1</x:v>
      </x:c>
      <x:c r="Z749" s="20" t="n">
        <x:v>1</x:v>
      </x:c>
      <x:c r="AA749" s="19"/>
      <x:c r="AB749" s="18"/>
      <x:c r="AC749" s="19"/>
    </x:row>
    <x:row r="750" ht="33" customHeight="1">
      <x:c r="A750" s="18" t="str">
        <x:v>大阪上本町</x:v>
      </x:c>
      <x:c r="B750" s="18" t="str">
        <x:v>近畿日本鉄道</x:v>
      </x:c>
      <x:c r="C750" s="18" t="str">
        <x:v>private_rail</x:v>
      </x:c>
      <x:c r="D750" s="19" t="str">
        <x:v>T1</x:v>
      </x:c>
      <x:c r="E750" s="20" t="n">
        <x:v>65681</x:v>
      </x:c>
      <x:c r="F750" s="18" t="str">
        <x:v>persons/day</x:v>
      </x:c>
      <x:c r="G750" s="18" t="str">
        <x:v>FY2024</x:v>
      </x:c>
      <x:c r="H750" s="18" t="str">
        <x:v>否</x:v>
      </x:c>
      <x:c r="I750" s="19" t="str">
        <x:v>DAILY_ENTRIES_EXITS</x:v>
      </x:c>
      <x:c r="J750" s="19" t="str">
        <x:v>大阪線
難波線</x:v>
      </x:c>
      <x:c r="K750" s="18" t="str">
        <x:v>transport-node:3ceea07b-e2dc-5c9a-8d24-5d0069ceeb29</x:v>
      </x:c>
      <x:c r="L750" s="19" t="str">
        <x:v>组件待审核</x:v>
      </x:c>
      <x:c r="M750" s="21" t="n">
        <x:v>34.6661038</x:v>
      </x:c>
      <x:c r="N750" s="21" t="n">
        <x:v>135.5193293</x:v>
      </x:c>
      <x:c r="O750" s="18" t="str">
        <x:v>007323</x:v>
      </x:c>
      <x:c r="P750" s="18" t="str">
        <x:v>難波線</x:v>
      </x:c>
      <x:c r="Q750" s="19" t="str">
        <x:v>S12_061_GE_10000
OFFICIAL_HUB_COMPONENT_REVIEW</x:v>
      </x:c>
      <x:c r="R750" s="19" t="str">
        <x:v>S12_061 usage threshold</x:v>
      </x:c>
      <x:c r="S750" s="19" t="str">
        <x:v>https://nlftp.mlit.go.jp/ksj/gml/datalist/KsjTmplt-S12-2024.html</x:v>
      </x:c>
      <x:c r="T750" s="19" t="str">
        <x:v>https://nlftp.mlit.go.jp/ksj/gml/datalist/KsjTmplt-S12-2024.html
https://subway.osakametro.co.jp/station_guide/S/s18/index.php</x:v>
      </x:c>
      <x:c r="U750" s="19" t="str">
        <x:v>station-component|大阪上本町|近畿日本鉄道|private_rail|34.6661|135.5193|</x:v>
      </x:c>
      <x:c r="V750" s="19" t="str">
        <x:v>007323 / 007323 / 難波線
007323 / 007326 / 大阪線</x:v>
      </x:c>
      <x:c r="W750" s="18" t="str">
        <x:v>否</x:v>
      </x:c>
      <x:c r="X750" s="18" t="str">
        <x:v>0785e932a32b3ec15e1a1345537ae145eafe1c07bf38d5c16c11ee2b391e7a28</x:v>
      </x:c>
      <x:c r="Y750" s="20" t="n">
        <x:v>1</x:v>
      </x:c>
      <x:c r="Z750" s="20" t="n">
        <x:v>1</x:v>
      </x:c>
      <x:c r="AA750" s="19" t="str">
        <x:v>谷町九丁目・大阪上本町</x:v>
      </x:c>
      <x:c r="AB750" s="18" t="str">
        <x:v>transport-hub-review:85b906d6-551b-5f9c-aad6-f4e56572c3b8</x:v>
      </x:c>
      <x:c r="AC750" s="19"/>
    </x:row>
    <x:row r="751" ht="28" customHeight="1">
      <x:c r="A751" s="18" t="str">
        <x:v>大阪城公園</x:v>
      </x:c>
      <x:c r="B751" s="18" t="str">
        <x:v>西日本旅客鉄道</x:v>
      </x:c>
      <x:c r="C751" s="18" t="str">
        <x:v>conventional_rail</x:v>
      </x:c>
      <x:c r="D751" s="19" t="str">
        <x:v>T2</x:v>
      </x:c>
      <x:c r="E751" s="20" t="n">
        <x:v>26878</x:v>
      </x:c>
      <x:c r="F751" s="18" t="str">
        <x:v>persons/day</x:v>
      </x:c>
      <x:c r="G751" s="18" t="str">
        <x:v>FY2024</x:v>
      </x:c>
      <x:c r="H751" s="18" t="str">
        <x:v>否</x:v>
      </x:c>
      <x:c r="I751" s="19" t="str">
        <x:v>DAILY_ENTRIES_EXITS</x:v>
      </x:c>
      <x:c r="J751" s="19" t="str">
        <x:v>大阪環状線</x:v>
      </x:c>
      <x:c r="K751" s="18" t="str">
        <x:v>transport-node:a52561af-52a0-51c3-886f-091d8ede6f56</x:v>
      </x:c>
      <x:c r="L751" s="19" t="str">
        <x:v>组件待审核</x:v>
      </x:c>
      <x:c r="M751" s="21" t="n">
        <x:v>34.6879125</x:v>
      </x:c>
      <x:c r="N751" s="21" t="n">
        <x:v>135.5344025</x:v>
      </x:c>
      <x:c r="O751" s="18" t="str">
        <x:v>007164</x:v>
      </x:c>
      <x:c r="P751" s="18" t="str">
        <x:v>大阪環状線</x:v>
      </x:c>
      <x:c r="Q751" s="19" t="str">
        <x:v>S12_061_GE_10000</x:v>
      </x:c>
      <x:c r="R751" s="19" t="str">
        <x:v>S12_061 usage threshold</x:v>
      </x:c>
      <x:c r="S751" s="19" t="str">
        <x:v>https://nlftp.mlit.go.jp/ksj/gml/datalist/KsjTmplt-S12-2024.html</x:v>
      </x:c>
      <x:c r="T751" s="19" t="str">
        <x:v>https://nlftp.mlit.go.jp/ksj/gml/datalist/KsjTmplt-S12-2024.html</x:v>
      </x:c>
      <x:c r="U751" s="19" t="str">
        <x:v>station-component|大阪城公園|西日本旅客鉄道|conventional_rail|34.6879|135.5344|</x:v>
      </x:c>
      <x:c r="V751" s="19" t="str">
        <x:v>007164 / 007164 / 大阪環状線</x:v>
      </x:c>
      <x:c r="W751" s="18" t="str">
        <x:v>否</x:v>
      </x:c>
      <x:c r="X751" s="18" t="str">
        <x:v>0785e932a32b3ec15e1a1345537ae145eafe1c07bf38d5c16c11ee2b391e7a28</x:v>
      </x:c>
      <x:c r="Y751" s="20" t="n">
        <x:v>1</x:v>
      </x:c>
      <x:c r="Z751" s="20" t="n">
        <x:v>1</x:v>
      </x:c>
      <x:c r="AA751" s="19"/>
      <x:c r="AB751" s="18"/>
      <x:c r="AC751" s="19"/>
    </x:row>
    <x:row r="752" ht="33" customHeight="1">
      <x:c r="A752" s="18" t="str">
        <x:v>大阪天満宮</x:v>
      </x:c>
      <x:c r="B752" s="18" t="str">
        <x:v>西日本旅客鉄道</x:v>
      </x:c>
      <x:c r="C752" s="18" t="str">
        <x:v>conventional_rail</x:v>
      </x:c>
      <x:c r="D752" s="19" t="str">
        <x:v>T2</x:v>
      </x:c>
      <x:c r="E752" s="20" t="n">
        <x:v>47942</x:v>
      </x:c>
      <x:c r="F752" s="18" t="str">
        <x:v>persons/day</x:v>
      </x:c>
      <x:c r="G752" s="18" t="str">
        <x:v>FY2024</x:v>
      </x:c>
      <x:c r="H752" s="18" t="str">
        <x:v>否</x:v>
      </x:c>
      <x:c r="I752" s="19" t="str">
        <x:v>DAILY_ENTRIES_EXITS</x:v>
      </x:c>
      <x:c r="J752" s="19" t="str">
        <x:v>JR東西線</x:v>
      </x:c>
      <x:c r="K752" s="18" t="str">
        <x:v>transport-node:36b1ac6d-7f1d-5b4c-b329-4b0c92abdbff</x:v>
      </x:c>
      <x:c r="L752" s="19" t="str">
        <x:v>组件待审核</x:v>
      </x:c>
      <x:c r="M752" s="21" t="n">
        <x:v>34.697415</x:v>
      </x:c>
      <x:c r="N752" s="21" t="n">
        <x:v>135.513345</x:v>
      </x:c>
      <x:c r="O752" s="18" t="str">
        <x:v>007090</x:v>
      </x:c>
      <x:c r="P752" s="18" t="str">
        <x:v>JR東西線</x:v>
      </x:c>
      <x:c r="Q752" s="19" t="str">
        <x:v>S12_061_GE_10000
OFFICIAL_HUB_COMPONENT_REVIEW</x:v>
      </x:c>
      <x:c r="R752" s="19" t="str">
        <x:v>S12_061 usage threshold</x:v>
      </x:c>
      <x:c r="S752" s="19" t="str">
        <x:v>https://nlftp.mlit.go.jp/ksj/gml/datalist/KsjTmplt-S12-2024.html</x:v>
      </x:c>
      <x:c r="T752" s="19" t="str">
        <x:v>https://nlftp.mlit.go.jp/ksj/gml/datalist/KsjTmplt-S12-2024.html
https://subway.osakametro.co.jp/station_guide/K/k13/index.php</x:v>
      </x:c>
      <x:c r="U752" s="19" t="str">
        <x:v>station-component|大阪天満宮|西日本旅客鉄道|conventional_rail|34.6974|135.5133|</x:v>
      </x:c>
      <x:c r="V752" s="19" t="str">
        <x:v>007090 / 007090 / JR東西線</x:v>
      </x:c>
      <x:c r="W752" s="18" t="str">
        <x:v>否</x:v>
      </x:c>
      <x:c r="X752" s="18" t="str">
        <x:v>0785e932a32b3ec15e1a1345537ae145eafe1c07bf38d5c16c11ee2b391e7a28</x:v>
      </x:c>
      <x:c r="Y752" s="20" t="n">
        <x:v>1</x:v>
      </x:c>
      <x:c r="Z752" s="20" t="n">
        <x:v>1</x:v>
      </x:c>
      <x:c r="AA752" s="19" t="str">
        <x:v>南森町・大阪天満宮</x:v>
      </x:c>
      <x:c r="AB752" s="18" t="str">
        <x:v>transport-hub-review:a15fd3a0-2a06-5c01-b277-d2261be08fdb</x:v>
      </x:c>
      <x:c r="AC752" s="19"/>
    </x:row>
    <x:row r="753" ht="33" customHeight="1">
      <x:c r="A753" s="18" t="str">
        <x:v>大阪梅田</x:v>
      </x:c>
      <x:c r="B753" s="18" t="str">
        <x:v>阪急電鉄</x:v>
      </x:c>
      <x:c r="C753" s="18" t="str">
        <x:v>private_rail</x:v>
      </x:c>
      <x:c r="D753" s="19" t="str">
        <x:v>T0</x:v>
      </x:c>
      <x:c r="E753" s="20" t="n">
        <x:v>451568</x:v>
      </x:c>
      <x:c r="F753" s="18" t="str">
        <x:v>persons/day</x:v>
      </x:c>
      <x:c r="G753" s="18" t="str">
        <x:v>FY2024</x:v>
      </x:c>
      <x:c r="H753" s="18" t="str">
        <x:v>否</x:v>
      </x:c>
      <x:c r="I753" s="19" t="str">
        <x:v>DAILY_ENTRIES_EXITS</x:v>
      </x:c>
      <x:c r="J753" s="19" t="str">
        <x:v>宝塚線
神戸線</x:v>
      </x:c>
      <x:c r="K753" s="18" t="str">
        <x:v>transport-node:fad63bab-da5f-5325-b971-54089055836a</x:v>
      </x:c>
      <x:c r="L753" s="19" t="str">
        <x:v>组件待审核</x:v>
      </x:c>
      <x:c r="M753" s="21" t="n">
        <x:v>34.70558</x:v>
      </x:c>
      <x:c r="N753" s="21" t="n">
        <x:v>135.49834</x:v>
      </x:c>
      <x:c r="O753" s="18" t="str">
        <x:v>007049</x:v>
      </x:c>
      <x:c r="P753" s="18" t="str">
        <x:v>神戸線</x:v>
      </x:c>
      <x:c r="Q753" s="19" t="str">
        <x:v>S12_061_GE_10000
OFFICIAL_HUB_COMPONENT_REVIEW</x:v>
      </x:c>
      <x:c r="R753" s="19" t="str">
        <x:v>S12_061 usage threshold</x:v>
      </x:c>
      <x:c r="S753" s="19" t="str">
        <x:v>https://nlftp.mlit.go.jp/ksj/gml/datalist/KsjTmplt-S12-2024.html</x:v>
      </x:c>
      <x:c r="T753" s="19" t="str">
        <x:v>https://nlftp.mlit.go.jp/ksj/gml/datalist/KsjTmplt-S12-2024.html
https://subway.osakametro.co.jp/station_guide/M/m16/index.php</x:v>
      </x:c>
      <x:c r="U753" s="19" t="str">
        <x:v>station-component|大阪梅田|阪急電鉄|private_rail|34.7056|135.4983|</x:v>
      </x:c>
      <x:c r="V753" s="19" t="str">
        <x:v>007048 / 007048 / 宝塚線
007048 / 007049 / 神戸線</x:v>
      </x:c>
      <x:c r="W753" s="18" t="str">
        <x:v>否</x:v>
      </x:c>
      <x:c r="X753" s="18" t="str">
        <x:v>0785e932a32b3ec15e1a1345537ae145eafe1c07bf38d5c16c11ee2b391e7a28</x:v>
      </x:c>
      <x:c r="Y753" s="20" t="n">
        <x:v>1</x:v>
      </x:c>
      <x:c r="Z753" s="20" t="n">
        <x:v>1</x:v>
      </x:c>
      <x:c r="AA753" s="19" t="str">
        <x:v>大阪・梅田</x:v>
      </x:c>
      <x:c r="AB753" s="18" t="str">
        <x:v>transport-hub-review:c874f3c0-4c3d-5ef3-adac-91c1a118c3b7</x:v>
      </x:c>
      <x:c r="AC753" s="19"/>
    </x:row>
    <x:row r="754" ht="33" customHeight="1">
      <x:c r="A754" s="18" t="str">
        <x:v>大阪梅田</x:v>
      </x:c>
      <x:c r="B754" s="18" t="str">
        <x:v>阪神電気鉄道</x:v>
      </x:c>
      <x:c r="C754" s="18" t="str">
        <x:v>private_rail</x:v>
      </x:c>
      <x:c r="D754" s="19" t="str">
        <x:v>T1</x:v>
      </x:c>
      <x:c r="E754" s="20" t="n">
        <x:v>163506</x:v>
      </x:c>
      <x:c r="F754" s="18" t="str">
        <x:v>persons/day</x:v>
      </x:c>
      <x:c r="G754" s="18" t="str">
        <x:v>FY2024</x:v>
      </x:c>
      <x:c r="H754" s="18" t="str">
        <x:v>否</x:v>
      </x:c>
      <x:c r="I754" s="19" t="str">
        <x:v>DAILY_ENTRIES_EXITS</x:v>
      </x:c>
      <x:c r="J754" s="19" t="str">
        <x:v>本線</x:v>
      </x:c>
      <x:c r="K754" s="18" t="str">
        <x:v>transport-node:69a04810-484b-5ecd-ae0b-d4d18eaec452</x:v>
      </x:c>
      <x:c r="L754" s="19" t="str">
        <x:v>组件待审核</x:v>
      </x:c>
      <x:c r="M754" s="21" t="n">
        <x:v>34.7015033</x:v>
      </x:c>
      <x:c r="N754" s="21" t="n">
        <x:v>135.4972533</x:v>
      </x:c>
      <x:c r="O754" s="18" t="str">
        <x:v>007071</x:v>
      </x:c>
      <x:c r="P754" s="18" t="str">
        <x:v>本線</x:v>
      </x:c>
      <x:c r="Q754" s="19" t="str">
        <x:v>S12_061_GE_10000
OFFICIAL_HUB_COMPONENT_REVIEW</x:v>
      </x:c>
      <x:c r="R754" s="19" t="str">
        <x:v>S12_061 usage threshold</x:v>
      </x:c>
      <x:c r="S754" s="19" t="str">
        <x:v>https://nlftp.mlit.go.jp/ksj/gml/datalist/KsjTmplt-S12-2024.html</x:v>
      </x:c>
      <x:c r="T754" s="19" t="str">
        <x:v>https://nlftp.mlit.go.jp/ksj/gml/datalist/KsjTmplt-S12-2024.html
https://subway.osakametro.co.jp/station_guide/M/m16/index.php</x:v>
      </x:c>
      <x:c r="U754" s="19" t="str">
        <x:v>station-component|大阪梅田|阪神電気鉄道|private_rail|34.7015|135.4973|</x:v>
      </x:c>
      <x:c r="V754" s="19" t="str">
        <x:v>007071 / 007071 / 本線</x:v>
      </x:c>
      <x:c r="W754" s="18" t="str">
        <x:v>否</x:v>
      </x:c>
      <x:c r="X754" s="18" t="str">
        <x:v>0785e932a32b3ec15e1a1345537ae145eafe1c07bf38d5c16c11ee2b391e7a28</x:v>
      </x:c>
      <x:c r="Y754" s="20" t="n">
        <x:v>1</x:v>
      </x:c>
      <x:c r="Z754" s="20" t="n">
        <x:v>1</x:v>
      </x:c>
      <x:c r="AA754" s="19" t="str">
        <x:v>大阪・梅田</x:v>
      </x:c>
      <x:c r="AB754" s="18" t="str">
        <x:v>transport-hub-review:c874f3c0-4c3d-5ef3-adac-91c1a118c3b7</x:v>
      </x:c>
      <x:c r="AC754" s="19"/>
    </x:row>
    <x:row r="755" ht="28" customHeight="1">
      <x:c r="A755" s="18" t="str">
        <x:v>大阪港</x:v>
      </x:c>
      <x:c r="B755" s="18" t="str">
        <x:v>大阪市高速電気軌道</x:v>
      </x:c>
      <x:c r="C755" s="18" t="str">
        <x:v>metro</x:v>
      </x:c>
      <x:c r="D755" s="19" t="str">
        <x:v>T2</x:v>
      </x:c>
      <x:c r="E755" s="20" t="n">
        <x:v>23298</x:v>
      </x:c>
      <x:c r="F755" s="18" t="str">
        <x:v>persons/day</x:v>
      </x:c>
      <x:c r="G755" s="18" t="str">
        <x:v>FY2024</x:v>
      </x:c>
      <x:c r="H755" s="18" t="str">
        <x:v>否</x:v>
      </x:c>
      <x:c r="I755" s="19" t="str">
        <x:v>DAILY_ENTRIES_EXITS</x:v>
      </x:c>
      <x:c r="J755" s="19" t="str">
        <x:v>4号線(中央線)</x:v>
      </x:c>
      <x:c r="K755" s="18" t="str">
        <x:v>transport-node:f83fab9b-55e6-5630-955b-ab45be2115a7</x:v>
      </x:c>
      <x:c r="L755" s="19" t="str">
        <x:v>组件待审核</x:v>
      </x:c>
      <x:c r="M755" s="21" t="n">
        <x:v>34.65385</x:v>
      </x:c>
      <x:c r="N755" s="21" t="n">
        <x:v>135.434284</x:v>
      </x:c>
      <x:c r="O755" s="18" t="str">
        <x:v>007409</x:v>
      </x:c>
      <x:c r="P755" s="18" t="str">
        <x:v>4号線(中央線)</x:v>
      </x:c>
      <x:c r="Q755" s="19" t="str">
        <x:v>S12_061_GE_10000</x:v>
      </x:c>
      <x:c r="R755" s="19" t="str">
        <x:v>S12_061 usage threshold</x:v>
      </x:c>
      <x:c r="S755" s="19" t="str">
        <x:v>https://nlftp.mlit.go.jp/ksj/gml/datalist/KsjTmplt-S12-2024.html</x:v>
      </x:c>
      <x:c r="T755" s="19" t="str">
        <x:v>https://nlftp.mlit.go.jp/ksj/gml/datalist/KsjTmplt-S12-2024.html</x:v>
      </x:c>
      <x:c r="U755" s="19" t="str">
        <x:v>station-component|大阪港|大阪市高速電気軌道|metro|34.6538|135.4343|</x:v>
      </x:c>
      <x:c r="V755" s="19" t="str">
        <x:v>007409 / 007409 / 4号線(中央線)</x:v>
      </x:c>
      <x:c r="W755" s="18" t="str">
        <x:v>否</x:v>
      </x:c>
      <x:c r="X755" s="18" t="str">
        <x:v>0785e932a32b3ec15e1a1345537ae145eafe1c07bf38d5c16c11ee2b391e7a28</x:v>
      </x:c>
      <x:c r="Y755" s="20" t="n">
        <x:v>1</x:v>
      </x:c>
      <x:c r="Z755" s="20" t="n">
        <x:v>1</x:v>
      </x:c>
      <x:c r="AA755" s="19"/>
      <x:c r="AB755" s="18"/>
      <x:c r="AC755" s="19"/>
    </x:row>
    <x:row r="756" ht="33" customHeight="1">
      <x:c r="A756" s="18" t="str">
        <x:v>大阪空港</x:v>
      </x:c>
      <x:c r="B756" s="18" t="str">
        <x:v>大阪モノレール</x:v>
      </x:c>
      <x:c r="C756" s="18" t="str">
        <x:v>fixed_guideway</x:v>
      </x:c>
      <x:c r="D756" s="19" t="str">
        <x:v>T2</x:v>
      </x:c>
      <x:c r="E756" s="20" t="n">
        <x:v>17334</x:v>
      </x:c>
      <x:c r="F756" s="18" t="str">
        <x:v>persons/day</x:v>
      </x:c>
      <x:c r="G756" s="18" t="str">
        <x:v>FY2024</x:v>
      </x:c>
      <x:c r="H756" s="18" t="str">
        <x:v>否</x:v>
      </x:c>
      <x:c r="I756" s="19" t="str">
        <x:v>DAILY_ENTRIES_EXITS</x:v>
      </x:c>
      <x:c r="J756" s="19" t="str">
        <x:v>大阪モノレール線</x:v>
      </x:c>
      <x:c r="K756" s="18" t="str">
        <x:v>transport-node:abdd0eb8-a64e-57f3-8678-b3a2098faae4</x:v>
      </x:c>
      <x:c r="L756" s="19" t="str">
        <x:v>组件待审核</x:v>
      </x:c>
      <x:c r="M756" s="21" t="n">
        <x:v>34.7912067</x:v>
      </x:c>
      <x:c r="N756" s="21" t="n">
        <x:v>135.44212</x:v>
      </x:c>
      <x:c r="O756" s="18" t="str">
        <x:v>006674</x:v>
      </x:c>
      <x:c r="P756" s="18" t="str">
        <x:v>大阪モノレール線</x:v>
      </x:c>
      <x:c r="Q756" s="19" t="str">
        <x:v>S12_061_GE_10000
AIRPORT_ACCESS_AUDIT</x:v>
      </x:c>
      <x:c r="R756" s="19" t="str">
        <x:v>S12_061 usage threshold</x:v>
      </x:c>
      <x:c r="S756" s="19" t="str">
        <x:v>https://nlftp.mlit.go.jp/ksj/gml/datalist/KsjTmplt-S12-2024.html</x:v>
      </x:c>
      <x:c r="T756" s="19" t="str">
        <x:v>https://nlftp.mlit.go.jp/ksj/gml/datalist/KsjTmplt-S12-2024.html</x:v>
      </x:c>
      <x:c r="U756" s="19" t="str">
        <x:v>station-component|大阪空港|大阪モノレール|fixed_guideway|34.7912|135.4421|</x:v>
      </x:c>
      <x:c r="V756" s="19" t="str">
        <x:v>006674 / 006674 / 大阪モノレール線</x:v>
      </x:c>
      <x:c r="W756" s="18" t="str">
        <x:v>否</x:v>
      </x:c>
      <x:c r="X756" s="18" t="str">
        <x:v>0785e932a32b3ec15e1a1345537ae145eafe1c07bf38d5c16c11ee2b391e7a28</x:v>
      </x:c>
      <x:c r="Y756" s="20" t="n">
        <x:v>1</x:v>
      </x:c>
      <x:c r="Z756" s="20" t="n">
        <x:v>1</x:v>
      </x:c>
      <x:c r="AA756" s="19"/>
      <x:c r="AB756" s="18"/>
      <x:c r="AC756" s="19"/>
    </x:row>
    <x:row r="757" ht="33" customHeight="1">
      <x:c r="A757" s="18" t="str">
        <x:v>大阪阿部野橋</x:v>
      </x:c>
      <x:c r="B757" s="18" t="str">
        <x:v>近畿日本鉄道</x:v>
      </x:c>
      <x:c r="C757" s="18" t="str">
        <x:v>private_rail</x:v>
      </x:c>
      <x:c r="D757" s="19" t="str">
        <x:v>T1</x:v>
      </x:c>
      <x:c r="E757" s="20" t="n">
        <x:v>140418</x:v>
      </x:c>
      <x:c r="F757" s="18" t="str">
        <x:v>persons/day</x:v>
      </x:c>
      <x:c r="G757" s="18" t="str">
        <x:v>FY2024</x:v>
      </x:c>
      <x:c r="H757" s="18" t="str">
        <x:v>否</x:v>
      </x:c>
      <x:c r="I757" s="19" t="str">
        <x:v>DAILY_ENTRIES_EXITS</x:v>
      </x:c>
      <x:c r="J757" s="19" t="str">
        <x:v>南大阪線</x:v>
      </x:c>
      <x:c r="K757" s="18" t="str">
        <x:v>transport-node:787d9e24-83b6-57ed-9786-3c348003b214</x:v>
      </x:c>
      <x:c r="L757" s="19" t="str">
        <x:v>组件待审核</x:v>
      </x:c>
      <x:c r="M757" s="21" t="n">
        <x:v>34.645625</x:v>
      </x:c>
      <x:c r="N757" s="21" t="n">
        <x:v>135.51451</x:v>
      </x:c>
      <x:c r="O757" s="18" t="str">
        <x:v>007451</x:v>
      </x:c>
      <x:c r="P757" s="18" t="str">
        <x:v>南大阪線</x:v>
      </x:c>
      <x:c r="Q757" s="19" t="str">
        <x:v>S12_061_GE_10000
OFFICIAL_HUB_COMPONENT_REVIEW</x:v>
      </x:c>
      <x:c r="R757" s="19" t="str">
        <x:v>S12_061 usage threshold</x:v>
      </x:c>
      <x:c r="S757" s="19" t="str">
        <x:v>https://nlftp.mlit.go.jp/ksj/gml/datalist/KsjTmplt-S12-2024.html</x:v>
      </x:c>
      <x:c r="T757" s="19" t="str">
        <x:v>https://nlftp.mlit.go.jp/ksj/gml/datalist/KsjTmplt-S12-2024.html
https://subway.osakametro.co.jp/station_guide/M/m23/index.php</x:v>
      </x:c>
      <x:c r="U757" s="19" t="str">
        <x:v>station-component|大阪阿部野橋|近畿日本鉄道|private_rail|34.6456|135.5145|</x:v>
      </x:c>
      <x:c r="V757" s="19" t="str">
        <x:v>007451 / 007451 / 南大阪線</x:v>
      </x:c>
      <x:c r="W757" s="18" t="str">
        <x:v>否</x:v>
      </x:c>
      <x:c r="X757" s="18" t="str">
        <x:v>0785e932a32b3ec15e1a1345537ae145eafe1c07bf38d5c16c11ee2b391e7a28</x:v>
      </x:c>
      <x:c r="Y757" s="20" t="n">
        <x:v>1</x:v>
      </x:c>
      <x:c r="Z757" s="20" t="n">
        <x:v>1</x:v>
      </x:c>
      <x:c r="AA757" s="19" t="str">
        <x:v>天王寺・大阪阿部野橋</x:v>
      </x:c>
      <x:c r="AB757" s="18" t="str">
        <x:v>transport-hub-review:4bf95fae-b2a8-53f8-bdab-cbc0040063f6</x:v>
      </x:c>
      <x:c r="AC757" s="19"/>
    </x:row>
    <x:row r="758" ht="33" customHeight="1">
      <x:c r="A758" s="18" t="str">
        <x:v>大阪難波</x:v>
      </x:c>
      <x:c r="B758" s="18" t="str">
        <x:v>近畿日本鉄道</x:v>
      </x:c>
      <x:c r="C758" s="18" t="str">
        <x:v>private_rail</x:v>
      </x:c>
      <x:c r="D758" s="19" t="str">
        <x:v>T1</x:v>
      </x:c>
      <x:c r="E758" s="20" t="n">
        <x:v>154667</x:v>
      </x:c>
      <x:c r="F758" s="18" t="str">
        <x:v>persons/day</x:v>
      </x:c>
      <x:c r="G758" s="18" t="str">
        <x:v>FY2024</x:v>
      </x:c>
      <x:c r="H758" s="18" t="str">
        <x:v>否</x:v>
      </x:c>
      <x:c r="I758" s="19" t="str">
        <x:v>DAILY_ENTRIES_EXITS</x:v>
      </x:c>
      <x:c r="J758" s="19" t="str">
        <x:v>難波線</x:v>
      </x:c>
      <x:c r="K758" s="18" t="str">
        <x:v>transport-node:bb2bc91d-43c7-5d54-9ce0-8f8a5945f670</x:v>
      </x:c>
      <x:c r="L758" s="19" t="str">
        <x:v>组件待审核</x:v>
      </x:c>
      <x:c r="M758" s="21" t="n">
        <x:v>34.6670567</x:v>
      </x:c>
      <x:c r="N758" s="21" t="n">
        <x:v>135.49903</x:v>
      </x:c>
      <x:c r="O758" s="18" t="str">
        <x:v>007309</x:v>
      </x:c>
      <x:c r="P758" s="18" t="str">
        <x:v>難波線</x:v>
      </x:c>
      <x:c r="Q758" s="19" t="str">
        <x:v>S12_061_GE_10000
OFFICIAL_HUB_COMPONENT_REVIEW</x:v>
      </x:c>
      <x:c r="R758" s="19" t="str">
        <x:v>S12_061 usage threshold</x:v>
      </x:c>
      <x:c r="S758" s="19" t="str">
        <x:v>https://nlftp.mlit.go.jp/ksj/gml/datalist/KsjTmplt-S12-2024.html</x:v>
      </x:c>
      <x:c r="T758" s="19" t="str">
        <x:v>https://nlftp.mlit.go.jp/ksj/gml/datalist/KsjTmplt-S12-2024.html
https://subway.osakametro.co.jp/station_guide/M/m20/index.php</x:v>
      </x:c>
      <x:c r="U758" s="19" t="str">
        <x:v>station-component|大阪難波|近畿日本鉄道|private_rail|34.6671|135.4990|</x:v>
      </x:c>
      <x:c r="V758" s="19" t="str">
        <x:v>007308 / 007309 / 難波線</x:v>
      </x:c>
      <x:c r="W758" s="18" t="str">
        <x:v>否</x:v>
      </x:c>
      <x:c r="X758" s="18" t="str">
        <x:v>0785e932a32b3ec15e1a1345537ae145eafe1c07bf38d5c16c11ee2b391e7a28</x:v>
      </x:c>
      <x:c r="Y758" s="20" t="n">
        <x:v>1</x:v>
      </x:c>
      <x:c r="Z758" s="20" t="n">
        <x:v>1</x:v>
      </x:c>
      <x:c r="AA758" s="19" t="str">
        <x:v>なんば・大阪難波</x:v>
      </x:c>
      <x:c r="AB758" s="18" t="str">
        <x:v>transport-hub-review:58068a40-9f72-57b2-9003-7470fd60b33f</x:v>
      </x:c>
      <x:c r="AC758" s="19"/>
    </x:row>
    <x:row r="759" ht="33" customHeight="1">
      <x:c r="A759" s="18" t="str">
        <x:v>大阪難波</x:v>
      </x:c>
      <x:c r="B759" s="18" t="str">
        <x:v>阪神電気鉄道</x:v>
      </x:c>
      <x:c r="C759" s="18" t="str">
        <x:v>private_rail</x:v>
      </x:c>
      <x:c r="D759" s="19"/>
      <x:c r="E759" s="20"/>
      <x:c r="F759" s="18"/>
      <x:c r="G759" s="18" t="str">
        <x:v>FY2024</x:v>
      </x:c>
      <x:c r="H759" s="18" t="str">
        <x:v>是</x:v>
      </x:c>
      <x:c r="I759" s="19" t="str">
        <x:v>USAGE_DATA_UNAVAILABLE</x:v>
      </x:c>
      <x:c r="J759" s="19" t="str">
        <x:v>阪神なんば線</x:v>
      </x:c>
      <x:c r="K759" s="18" t="str">
        <x:v>transport-node:e62b6875-f208-5226-9df3-fb3f7a9c2189</x:v>
      </x:c>
      <x:c r="L759" s="19" t="str">
        <x:v>组件待审核</x:v>
      </x:c>
      <x:c r="M759" s="21" t="n">
        <x:v>34.6670567</x:v>
      </x:c>
      <x:c r="N759" s="21" t="n">
        <x:v>135.49903</x:v>
      </x:c>
      <x:c r="O759" s="18" t="str">
        <x:v>007308</x:v>
      </x:c>
      <x:c r="P759" s="18" t="str">
        <x:v>阪神なんば線</x:v>
      </x:c>
      <x:c r="Q759" s="19" t="str">
        <x:v>OFFICIAL_HUB_COMPONENT_REVIEW</x:v>
      </x:c>
      <x:c r="R759" s="19" t="str">
        <x:v>Official S12 usage unavailable; manual tier review required</x:v>
      </x:c>
      <x:c r="S759" s="19" t="str">
        <x:v>https://nlftp.mlit.go.jp/ksj/gml/datalist/KsjTmplt-S12-2024.html</x:v>
      </x:c>
      <x:c r="T759" s="19" t="str">
        <x:v>https://nlftp.mlit.go.jp/ksj/gml/datalist/KsjTmplt-S12-2024.html
https://subway.osakametro.co.jp/station_guide/M/m20/index.php</x:v>
      </x:c>
      <x:c r="U759" s="19" t="str">
        <x:v>station-component|大阪難波|阪神電気鉄道|private_rail|34.6671|135.4990|</x:v>
      </x:c>
      <x:c r="V759" s="19" t="str">
        <x:v>007308 / 007308 / 阪神なんば線</x:v>
      </x:c>
      <x:c r="W759" s="18" t="str">
        <x:v>否</x:v>
      </x:c>
      <x:c r="X759" s="18" t="str">
        <x:v>0785e932a32b3ec15e1a1345537ae145eafe1c07bf38d5c16c11ee2b391e7a28</x:v>
      </x:c>
      <x:c r="Y759" s="20" t="n">
        <x:v>1</x:v>
      </x:c>
      <x:c r="Z759" s="20" t="n">
        <x:v>2</x:v>
      </x:c>
      <x:c r="AA759" s="19" t="str">
        <x:v>なんば・大阪難波</x:v>
      </x:c>
      <x:c r="AB759" s="18" t="str">
        <x:v>transport-hub-review:58068a40-9f72-57b2-9003-7470fd60b33f</x:v>
      </x:c>
      <x:c r="AC759" s="19"/>
    </x:row>
    <x:row r="760" ht="28" customHeight="1">
      <x:c r="A760" s="18" t="str">
        <x:v>大須観音</x:v>
      </x:c>
      <x:c r="B760" s="18" t="str">
        <x:v>名古屋市</x:v>
      </x:c>
      <x:c r="C760" s="18" t="str">
        <x:v>metro</x:v>
      </x:c>
      <x:c r="D760" s="19" t="str">
        <x:v>T2</x:v>
      </x:c>
      <x:c r="E760" s="20" t="n">
        <x:v>20063</x:v>
      </x:c>
      <x:c r="F760" s="18" t="str">
        <x:v>persons/day</x:v>
      </x:c>
      <x:c r="G760" s="18" t="str">
        <x:v>FY2024</x:v>
      </x:c>
      <x:c r="H760" s="18" t="str">
        <x:v>否</x:v>
      </x:c>
      <x:c r="I760" s="19" t="str">
        <x:v>DAILY_ENTRIES_EXITS</x:v>
      </x:c>
      <x:c r="J760" s="19" t="str">
        <x:v>3号線鶴舞線</x:v>
      </x:c>
      <x:c r="K760" s="18" t="str">
        <x:v>transport-node:4781ef4c-4696-58d1-b85b-7ab4a6acddce</x:v>
      </x:c>
      <x:c r="L760" s="19" t="str">
        <x:v>组件待审核</x:v>
      </x:c>
      <x:c r="M760" s="21" t="n">
        <x:v>35.16141</x:v>
      </x:c>
      <x:c r="N760" s="21" t="n">
        <x:v>136.898075</x:v>
      </x:c>
      <x:c r="O760" s="18" t="str">
        <x:v>005494</x:v>
      </x:c>
      <x:c r="P760" s="18" t="str">
        <x:v>3号線鶴舞線</x:v>
      </x:c>
      <x:c r="Q760" s="19" t="str">
        <x:v>S12_061_GE_10000</x:v>
      </x:c>
      <x:c r="R760" s="19" t="str">
        <x:v>S12_061 usage threshold</x:v>
      </x:c>
      <x:c r="S760" s="19" t="str">
        <x:v>https://nlftp.mlit.go.jp/ksj/gml/datalist/KsjTmplt-S12-2024.html</x:v>
      </x:c>
      <x:c r="T760" s="19" t="str">
        <x:v>https://nlftp.mlit.go.jp/ksj/gml/datalist/KsjTmplt-S12-2024.html</x:v>
      </x:c>
      <x:c r="U760" s="19" t="str">
        <x:v>station-component|大須観音|名古屋市|metro|35.1614|136.8981|</x:v>
      </x:c>
      <x:c r="V760" s="19" t="str">
        <x:v>005494 / 005494 / 3号線鶴舞線</x:v>
      </x:c>
      <x:c r="W760" s="18" t="str">
        <x:v>否</x:v>
      </x:c>
      <x:c r="X760" s="18" t="str">
        <x:v>0785e932a32b3ec15e1a1345537ae145eafe1c07bf38d5c16c11ee2b391e7a28</x:v>
      </x:c>
      <x:c r="Y760" s="20" t="n">
        <x:v>1</x:v>
      </x:c>
      <x:c r="Z760" s="20" t="n">
        <x:v>1</x:v>
      </x:c>
      <x:c r="AA760" s="19"/>
      <x:c r="AB760" s="18"/>
      <x:c r="AC760" s="19"/>
    </x:row>
    <x:row r="761" ht="28" customHeight="1">
      <x:c r="A761" s="18" t="str">
        <x:v>大鳥居</x:v>
      </x:c>
      <x:c r="B761" s="18" t="str">
        <x:v>京浜急行電鉄</x:v>
      </x:c>
      <x:c r="C761" s="18" t="str">
        <x:v>private_rail</x:v>
      </x:c>
      <x:c r="D761" s="19" t="str">
        <x:v>T2</x:v>
      </x:c>
      <x:c r="E761" s="20" t="n">
        <x:v>30660</x:v>
      </x:c>
      <x:c r="F761" s="18" t="str">
        <x:v>persons/day</x:v>
      </x:c>
      <x:c r="G761" s="18" t="str">
        <x:v>FY2024</x:v>
      </x:c>
      <x:c r="H761" s="18" t="str">
        <x:v>否</x:v>
      </x:c>
      <x:c r="I761" s="19" t="str">
        <x:v>DAILY_ENTRIES_EXITS</x:v>
      </x:c>
      <x:c r="J761" s="19" t="str">
        <x:v>空港線</x:v>
      </x:c>
      <x:c r="K761" s="18" t="str">
        <x:v>transport-node:c400f3db-589d-5f12-b05d-d34fa9b565fe</x:v>
      </x:c>
      <x:c r="L761" s="19" t="str">
        <x:v>组件待审核</x:v>
      </x:c>
      <x:c r="M761" s="21" t="n">
        <x:v>35.55232</x:v>
      </x:c>
      <x:c r="N761" s="21" t="n">
        <x:v>139.740225</x:v>
      </x:c>
      <x:c r="O761" s="18" t="str">
        <x:v>004356</x:v>
      </x:c>
      <x:c r="P761" s="18" t="str">
        <x:v>空港線</x:v>
      </x:c>
      <x:c r="Q761" s="19" t="str">
        <x:v>S12_061_GE_10000</x:v>
      </x:c>
      <x:c r="R761" s="19" t="str">
        <x:v>S12_061 usage threshold</x:v>
      </x:c>
      <x:c r="S761" s="19" t="str">
        <x:v>https://nlftp.mlit.go.jp/ksj/gml/datalist/KsjTmplt-S12-2024.html</x:v>
      </x:c>
      <x:c r="T761" s="19" t="str">
        <x:v>https://nlftp.mlit.go.jp/ksj/gml/datalist/KsjTmplt-S12-2024.html</x:v>
      </x:c>
      <x:c r="U761" s="19" t="str">
        <x:v>station-component|大鳥居|京浜急行電鉄|private_rail|35.5523|139.7402|</x:v>
      </x:c>
      <x:c r="V761" s="19" t="str">
        <x:v>004356 / 004356 / 空港線</x:v>
      </x:c>
      <x:c r="W761" s="18" t="str">
        <x:v>否</x:v>
      </x:c>
      <x:c r="X761" s="18" t="str">
        <x:v>0785e932a32b3ec15e1a1345537ae145eafe1c07bf38d5c16c11ee2b391e7a28</x:v>
      </x:c>
      <x:c r="Y761" s="20" t="n">
        <x:v>1</x:v>
      </x:c>
      <x:c r="Z761" s="20" t="n">
        <x:v>1</x:v>
      </x:c>
      <x:c r="AA761" s="19"/>
      <x:c r="AB761" s="18"/>
      <x:c r="AC761" s="19"/>
    </x:row>
    <x:row r="762" ht="28" customHeight="1">
      <x:c r="A762" s="18" t="str">
        <x:v>大麻</x:v>
      </x:c>
      <x:c r="B762" s="18" t="str">
        <x:v>北海道旅客鉄道</x:v>
      </x:c>
      <x:c r="C762" s="18" t="str">
        <x:v>conventional_rail</x:v>
      </x:c>
      <x:c r="D762" s="19" t="str">
        <x:v>T2</x:v>
      </x:c>
      <x:c r="E762" s="20" t="n">
        <x:v>10636</x:v>
      </x:c>
      <x:c r="F762" s="18" t="str">
        <x:v>persons/day</x:v>
      </x:c>
      <x:c r="G762" s="18" t="str">
        <x:v>FY2024</x:v>
      </x:c>
      <x:c r="H762" s="18" t="str">
        <x:v>否</x:v>
      </x:c>
      <x:c r="I762" s="19" t="str">
        <x:v>DAILY_ENTRIES_EXITS</x:v>
      </x:c>
      <x:c r="J762" s="19" t="str">
        <x:v>函館線</x:v>
      </x:c>
      <x:c r="K762" s="18" t="str">
        <x:v>transport-node:cee25d78-e57c-5a5b-8e2e-1a234683f08a</x:v>
      </x:c>
      <x:c r="L762" s="19" t="str">
        <x:v>组件待审核</x:v>
      </x:c>
      <x:c r="M762" s="21" t="n">
        <x:v>43.0721767</x:v>
      </x:c>
      <x:c r="N762" s="21" t="n">
        <x:v>141.49658</x:v>
      </x:c>
      <x:c r="O762" s="18" t="str">
        <x:v>000222</x:v>
      </x:c>
      <x:c r="P762" s="18" t="str">
        <x:v>函館線</x:v>
      </x:c>
      <x:c r="Q762" s="19" t="str">
        <x:v>S12_061_GE_10000</x:v>
      </x:c>
      <x:c r="R762" s="19" t="str">
        <x:v>S12_061 usage threshold</x:v>
      </x:c>
      <x:c r="S762" s="19" t="str">
        <x:v>https://nlftp.mlit.go.jp/ksj/gml/datalist/KsjTmplt-S12-2024.html</x:v>
      </x:c>
      <x:c r="T762" s="19" t="str">
        <x:v>https://nlftp.mlit.go.jp/ksj/gml/datalist/KsjTmplt-S12-2024.html</x:v>
      </x:c>
      <x:c r="U762" s="19" t="str">
        <x:v>station-component|大麻|北海道旅客鉄道|conventional_rail|43.0722|141.4966|</x:v>
      </x:c>
      <x:c r="V762" s="19" t="str">
        <x:v>000222 / 000222 / 函館線</x:v>
      </x:c>
      <x:c r="W762" s="18" t="str">
        <x:v>否</x:v>
      </x:c>
      <x:c r="X762" s="18" t="str">
        <x:v>0785e932a32b3ec15e1a1345537ae145eafe1c07bf38d5c16c11ee2b391e7a28</x:v>
      </x:c>
      <x:c r="Y762" s="20" t="n">
        <x:v>1</x:v>
      </x:c>
      <x:c r="Z762" s="20" t="n">
        <x:v>1</x:v>
      </x:c>
      <x:c r="AA762" s="19"/>
      <x:c r="AB762" s="18"/>
      <x:c r="AC762" s="19"/>
    </x:row>
    <x:row r="763" ht="33" customHeight="1">
      <x:c r="A763" s="18" t="str">
        <x:v>天下茶屋</x:v>
      </x:c>
      <x:c r="B763" s="18" t="str">
        <x:v>南海電気鉄道</x:v>
      </x:c>
      <x:c r="C763" s="18" t="str">
        <x:v>private_rail</x:v>
      </x:c>
      <x:c r="D763" s="19" t="str">
        <x:v>T1</x:v>
      </x:c>
      <x:c r="E763" s="20" t="n">
        <x:v>74857</x:v>
      </x:c>
      <x:c r="F763" s="18" t="str">
        <x:v>persons/day</x:v>
      </x:c>
      <x:c r="G763" s="18" t="str">
        <x:v>FY2024</x:v>
      </x:c>
      <x:c r="H763" s="18" t="str">
        <x:v>否</x:v>
      </x:c>
      <x:c r="I763" s="19" t="str">
        <x:v>DAILY_ENTRIES_EXITS</x:v>
      </x:c>
      <x:c r="J763" s="19" t="str">
        <x:v>南海本線</x:v>
      </x:c>
      <x:c r="K763" s="18" t="str">
        <x:v>transport-node:29b4a7e7-672e-55cb-b3c8-f0079c981e80</x:v>
      </x:c>
      <x:c r="L763" s="19" t="str">
        <x:v>组件待审核</x:v>
      </x:c>
      <x:c r="M763" s="21" t="n">
        <x:v>34.637125</x:v>
      </x:c>
      <x:c r="N763" s="21" t="n">
        <x:v>135.49666</x:v>
      </x:c>
      <x:c r="O763" s="18" t="str">
        <x:v>007483</x:v>
      </x:c>
      <x:c r="P763" s="18" t="str">
        <x:v>南海本線</x:v>
      </x:c>
      <x:c r="Q763" s="19" t="str">
        <x:v>S12_061_GE_10000
OFFICIAL_HUB_COMPONENT_REVIEW</x:v>
      </x:c>
      <x:c r="R763" s="19" t="str">
        <x:v>S12_061 usage threshold</x:v>
      </x:c>
      <x:c r="S763" s="19" t="str">
        <x:v>https://nlftp.mlit.go.jp/ksj/gml/datalist/KsjTmplt-S12-2024.html</x:v>
      </x:c>
      <x:c r="T763" s="19" t="str">
        <x:v>https://nlftp.mlit.go.jp/ksj/gml/datalist/KsjTmplt-S12-2024.html
https://subway.osakametro.co.jp/station_guide/K/k20/index.php</x:v>
      </x:c>
      <x:c r="U763" s="19" t="str">
        <x:v>station-component|天下茶屋|南海電気鉄道|private_rail|34.6371|135.4967|</x:v>
      </x:c>
      <x:c r="V763" s="19" t="str">
        <x:v>007483 / 007483 / 南海本線</x:v>
      </x:c>
      <x:c r="W763" s="18" t="str">
        <x:v>否</x:v>
      </x:c>
      <x:c r="X763" s="18" t="str">
        <x:v>0785e932a32b3ec15e1a1345537ae145eafe1c07bf38d5c16c11ee2b391e7a28</x:v>
      </x:c>
      <x:c r="Y763" s="20" t="n">
        <x:v>1</x:v>
      </x:c>
      <x:c r="Z763" s="20" t="n">
        <x:v>1</x:v>
      </x:c>
      <x:c r="AA763" s="19" t="str">
        <x:v>天下茶屋</x:v>
      </x:c>
      <x:c r="AB763" s="18" t="str">
        <x:v>transport-hub-review:250e8bc5-4ad4-58f5-b454-c214e40fbe86</x:v>
      </x:c>
      <x:c r="AC763" s="19"/>
    </x:row>
    <x:row r="764" ht="33" customHeight="1">
      <x:c r="A764" s="18" t="str">
        <x:v>天下茶屋</x:v>
      </x:c>
      <x:c r="B764" s="18" t="str">
        <x:v>大阪市高速電気軌道</x:v>
      </x:c>
      <x:c r="C764" s="18" t="str">
        <x:v>metro</x:v>
      </x:c>
      <x:c r="D764" s="19" t="str">
        <x:v>T1</x:v>
      </x:c>
      <x:c r="E764" s="20" t="n">
        <x:v>71099</x:v>
      </x:c>
      <x:c r="F764" s="18" t="str">
        <x:v>persons/day</x:v>
      </x:c>
      <x:c r="G764" s="18" t="str">
        <x:v>FY2024</x:v>
      </x:c>
      <x:c r="H764" s="18" t="str">
        <x:v>否</x:v>
      </x:c>
      <x:c r="I764" s="19" t="str">
        <x:v>DAILY_ENTRIES_EXITS</x:v>
      </x:c>
      <x:c r="J764" s="19" t="str">
        <x:v>6号線(堺筋線)</x:v>
      </x:c>
      <x:c r="K764" s="18" t="str">
        <x:v>transport-node:7c9c73af-6677-59be-b58c-67ce8e9aaf1d</x:v>
      </x:c>
      <x:c r="L764" s="19" t="str">
        <x:v>组件待审核</x:v>
      </x:c>
      <x:c r="M764" s="21" t="n">
        <x:v>34.637035</x:v>
      </x:c>
      <x:c r="N764" s="21" t="n">
        <x:v>135.496975</x:v>
      </x:c>
      <x:c r="O764" s="18" t="str">
        <x:v>007484</x:v>
      </x:c>
      <x:c r="P764" s="18" t="str">
        <x:v>6号線(堺筋線)</x:v>
      </x:c>
      <x:c r="Q764" s="19" t="str">
        <x:v>S12_061_GE_10000
OFFICIAL_HUB_COMPONENT_REVIEW</x:v>
      </x:c>
      <x:c r="R764" s="19" t="str">
        <x:v>S12_061 usage threshold</x:v>
      </x:c>
      <x:c r="S764" s="19" t="str">
        <x:v>https://nlftp.mlit.go.jp/ksj/gml/datalist/KsjTmplt-S12-2024.html</x:v>
      </x:c>
      <x:c r="T764" s="19" t="str">
        <x:v>https://nlftp.mlit.go.jp/ksj/gml/datalist/KsjTmplt-S12-2024.html
https://subway.osakametro.co.jp/station_guide/K/k20/index.php</x:v>
      </x:c>
      <x:c r="U764" s="19" t="str">
        <x:v>station-component|天下茶屋|大阪市高速電気軌道|metro|34.6370|135.4970|</x:v>
      </x:c>
      <x:c r="V764" s="19" t="str">
        <x:v>007483 / 007484 / 6号線(堺筋線)</x:v>
      </x:c>
      <x:c r="W764" s="18" t="str">
        <x:v>否</x:v>
      </x:c>
      <x:c r="X764" s="18" t="str">
        <x:v>0785e932a32b3ec15e1a1345537ae145eafe1c07bf38d5c16c11ee2b391e7a28</x:v>
      </x:c>
      <x:c r="Y764" s="20" t="n">
        <x:v>1</x:v>
      </x:c>
      <x:c r="Z764" s="20" t="n">
        <x:v>1</x:v>
      </x:c>
      <x:c r="AA764" s="19" t="str">
        <x:v>天下茶屋</x:v>
      </x:c>
      <x:c r="AB764" s="18" t="str">
        <x:v>transport-hub-review:250e8bc5-4ad4-58f5-b454-c214e40fbe86</x:v>
      </x:c>
      <x:c r="AC764" s="19"/>
    </x:row>
    <x:row r="765" ht="33" customHeight="1">
      <x:c r="A765" s="18" t="str">
        <x:v>天満</x:v>
      </x:c>
      <x:c r="B765" s="18" t="str">
        <x:v>西日本旅客鉄道</x:v>
      </x:c>
      <x:c r="C765" s="18" t="str">
        <x:v>conventional_rail</x:v>
      </x:c>
      <x:c r="D765" s="19" t="str">
        <x:v>T1</x:v>
      </x:c>
      <x:c r="E765" s="20" t="n">
        <x:v>51750</x:v>
      </x:c>
      <x:c r="F765" s="18" t="str">
        <x:v>persons/day</x:v>
      </x:c>
      <x:c r="G765" s="18" t="str">
        <x:v>FY2024</x:v>
      </x:c>
      <x:c r="H765" s="18" t="str">
        <x:v>否</x:v>
      </x:c>
      <x:c r="I765" s="19" t="str">
        <x:v>DAILY_ENTRIES_EXITS</x:v>
      </x:c>
      <x:c r="J765" s="19" t="str">
        <x:v>大阪環状線</x:v>
      </x:c>
      <x:c r="K765" s="18" t="str">
        <x:v>transport-node:ebce482c-c88f-5063-82e3-d04d40b88539</x:v>
      </x:c>
      <x:c r="L765" s="19" t="str">
        <x:v>组件待审核</x:v>
      </x:c>
      <x:c r="M765" s="21" t="n">
        <x:v>34.70494</x:v>
      </x:c>
      <x:c r="N765" s="21" t="n">
        <x:v>135.51237</x:v>
      </x:c>
      <x:c r="O765" s="18" t="str">
        <x:v>007051</x:v>
      </x:c>
      <x:c r="P765" s="18" t="str">
        <x:v>大阪環状線</x:v>
      </x:c>
      <x:c r="Q765" s="19" t="str">
        <x:v>S12_061_GE_10000
OFFICIAL_HUB_COMPONENT_REVIEW</x:v>
      </x:c>
      <x:c r="R765" s="19" t="str">
        <x:v>S12_061 usage threshold</x:v>
      </x:c>
      <x:c r="S765" s="19" t="str">
        <x:v>https://nlftp.mlit.go.jp/ksj/gml/datalist/KsjTmplt-S12-2024.html</x:v>
      </x:c>
      <x:c r="T765" s="19" t="str">
        <x:v>https://nlftp.mlit.go.jp/ksj/gml/datalist/KsjTmplt-S12-2024.html
https://subway.osakametro.co.jp/station_guide/K/k12/index.php</x:v>
      </x:c>
      <x:c r="U765" s="19" t="str">
        <x:v>station-component|天満|西日本旅客鉄道|conventional_rail|34.7049|135.5124|</x:v>
      </x:c>
      <x:c r="V765" s="19" t="str">
        <x:v>007051 / 007051 / 大阪環状線</x:v>
      </x:c>
      <x:c r="W765" s="18" t="str">
        <x:v>否</x:v>
      </x:c>
      <x:c r="X765" s="18" t="str">
        <x:v>0785e932a32b3ec15e1a1345537ae145eafe1c07bf38d5c16c11ee2b391e7a28</x:v>
      </x:c>
      <x:c r="Y765" s="20" t="n">
        <x:v>1</x:v>
      </x:c>
      <x:c r="Z765" s="20" t="n">
        <x:v>1</x:v>
      </x:c>
      <x:c r="AA765" s="19" t="str">
        <x:v>扇町・天満</x:v>
      </x:c>
      <x:c r="AB765" s="18" t="str">
        <x:v>transport-hub-review:2bec3097-717d-5989-a7a9-8d8bcd1e2c1a</x:v>
      </x:c>
      <x:c r="AC765" s="19"/>
    </x:row>
    <x:row r="766" ht="33" customHeight="1">
      <x:c r="A766" s="18" t="str">
        <x:v>天満橋</x:v>
      </x:c>
      <x:c r="B766" s="18" t="str">
        <x:v>京阪電気鉄道</x:v>
      </x:c>
      <x:c r="C766" s="18" t="str">
        <x:v>private_rail</x:v>
      </x:c>
      <x:c r="D766" s="19" t="str">
        <x:v>T2</x:v>
      </x:c>
      <x:c r="E766" s="20" t="n">
        <x:v>42702</x:v>
      </x:c>
      <x:c r="F766" s="18" t="str">
        <x:v>persons/day</x:v>
      </x:c>
      <x:c r="G766" s="18" t="str">
        <x:v>FY2024</x:v>
      </x:c>
      <x:c r="H766" s="18" t="str">
        <x:v>否</x:v>
      </x:c>
      <x:c r="I766" s="19" t="str">
        <x:v>DAILY_ENTRIES_EXITS</x:v>
      </x:c>
      <x:c r="J766" s="19" t="str">
        <x:v>中之島線
京阪本線</x:v>
      </x:c>
      <x:c r="K766" s="18" t="str">
        <x:v>transport-node:3a591920-b3d4-5397-a8b6-a2c8db1afa01</x:v>
      </x:c>
      <x:c r="L766" s="19" t="str">
        <x:v>组件待审核</x:v>
      </x:c>
      <x:c r="M766" s="21" t="n">
        <x:v>34.690395</x:v>
      </x:c>
      <x:c r="N766" s="21" t="n">
        <x:v>135.516295</x:v>
      </x:c>
      <x:c r="O766" s="18" t="str">
        <x:v>007148</x:v>
      </x:c>
      <x:c r="P766" s="18" t="str">
        <x:v>京阪本線</x:v>
      </x:c>
      <x:c r="Q766" s="19" t="str">
        <x:v>S12_061_GE_10000
OFFICIAL_HUB_COMPONENT_REVIEW</x:v>
      </x:c>
      <x:c r="R766" s="19" t="str">
        <x:v>S12_061 usage threshold</x:v>
      </x:c>
      <x:c r="S766" s="19" t="str">
        <x:v>https://nlftp.mlit.go.jp/ksj/gml/datalist/KsjTmplt-S12-2024.html</x:v>
      </x:c>
      <x:c r="T766" s="19" t="str">
        <x:v>https://nlftp.mlit.go.jp/ksj/gml/datalist/KsjTmplt-S12-2024.html
https://subway.osakametro.co.jp/station_guide/T/t22/index.php</x:v>
      </x:c>
      <x:c r="U766" s="19" t="str">
        <x:v>station-component|天満橋|京阪電気鉄道|private_rail|34.6904|135.5163|</x:v>
      </x:c>
      <x:c r="V766" s="19" t="str">
        <x:v>007148 / 007148 / 京阪本線
007148 / 007149 / 中之島線</x:v>
      </x:c>
      <x:c r="W766" s="18" t="str">
        <x:v>否</x:v>
      </x:c>
      <x:c r="X766" s="18" t="str">
        <x:v>0785e932a32b3ec15e1a1345537ae145eafe1c07bf38d5c16c11ee2b391e7a28</x:v>
      </x:c>
      <x:c r="Y766" s="20" t="n">
        <x:v>1</x:v>
      </x:c>
      <x:c r="Z766" s="20" t="n">
        <x:v>1</x:v>
      </x:c>
      <x:c r="AA766" s="19" t="str">
        <x:v>天満橋</x:v>
      </x:c>
      <x:c r="AB766" s="18" t="str">
        <x:v>transport-hub-review:eadb11d6-f6c0-5149-bf0d-5365cd294959</x:v>
      </x:c>
      <x:c r="AC766" s="19"/>
    </x:row>
    <x:row r="767" ht="33" customHeight="1">
      <x:c r="A767" s="18" t="str">
        <x:v>天満橋</x:v>
      </x:c>
      <x:c r="B767" s="18" t="str">
        <x:v>大阪市高速電気軌道</x:v>
      </x:c>
      <x:c r="C767" s="18" t="str">
        <x:v>metro</x:v>
      </x:c>
      <x:c r="D767" s="19" t="str">
        <x:v>T1</x:v>
      </x:c>
      <x:c r="E767" s="20" t="n">
        <x:v>82422</x:v>
      </x:c>
      <x:c r="F767" s="18" t="str">
        <x:v>persons/day</x:v>
      </x:c>
      <x:c r="G767" s="18" t="str">
        <x:v>FY2024</x:v>
      </x:c>
      <x:c r="H767" s="18" t="str">
        <x:v>否</x:v>
      </x:c>
      <x:c r="I767" s="19" t="str">
        <x:v>DAILY_ENTRIES_EXITS</x:v>
      </x:c>
      <x:c r="J767" s="19" t="str">
        <x:v>2号線(谷町線)</x:v>
      </x:c>
      <x:c r="K767" s="18" t="str">
        <x:v>transport-node:8fc5c26f-197c-5c8d-99c2-37efb118ef32</x:v>
      </x:c>
      <x:c r="L767" s="19" t="str">
        <x:v>组件待审核</x:v>
      </x:c>
      <x:c r="M767" s="21" t="n">
        <x:v>34.689175</x:v>
      </x:c>
      <x:c r="N767" s="21" t="n">
        <x:v>135.517305</x:v>
      </x:c>
      <x:c r="O767" s="18" t="str">
        <x:v>007157</x:v>
      </x:c>
      <x:c r="P767" s="18" t="str">
        <x:v>2号線(谷町線)</x:v>
      </x:c>
      <x:c r="Q767" s="19" t="str">
        <x:v>S12_061_GE_10000
OFFICIAL_HUB_COMPONENT_REVIEW</x:v>
      </x:c>
      <x:c r="R767" s="19" t="str">
        <x:v>S12_061 usage threshold</x:v>
      </x:c>
      <x:c r="S767" s="19" t="str">
        <x:v>https://nlftp.mlit.go.jp/ksj/gml/datalist/KsjTmplt-S12-2024.html</x:v>
      </x:c>
      <x:c r="T767" s="19" t="str">
        <x:v>https://nlftp.mlit.go.jp/ksj/gml/datalist/KsjTmplt-S12-2024.html
https://subway.osakametro.co.jp/station_guide/T/t22/index.php</x:v>
      </x:c>
      <x:c r="U767" s="19" t="str">
        <x:v>station-component|天満橋|大阪市高速電気軌道|metro|34.6892|135.5173|</x:v>
      </x:c>
      <x:c r="V767" s="19" t="str">
        <x:v>007148 / 007157 / 2号線(谷町線)</x:v>
      </x:c>
      <x:c r="W767" s="18" t="str">
        <x:v>否</x:v>
      </x:c>
      <x:c r="X767" s="18" t="str">
        <x:v>0785e932a32b3ec15e1a1345537ae145eafe1c07bf38d5c16c11ee2b391e7a28</x:v>
      </x:c>
      <x:c r="Y767" s="20" t="n">
        <x:v>1</x:v>
      </x:c>
      <x:c r="Z767" s="20" t="n">
        <x:v>1</x:v>
      </x:c>
      <x:c r="AA767" s="19" t="str">
        <x:v>天満橋</x:v>
      </x:c>
      <x:c r="AB767" s="18" t="str">
        <x:v>transport-hub-review:eadb11d6-f6c0-5149-bf0d-5365cd294959</x:v>
      </x:c>
      <x:c r="AC767" s="19"/>
    </x:row>
    <x:row r="768" ht="28" customHeight="1">
      <x:c r="A768" s="18" t="str">
        <x:v>天王台</x:v>
      </x:c>
      <x:c r="B768" s="18" t="str">
        <x:v>東日本旅客鉄道</x:v>
      </x:c>
      <x:c r="C768" s="18" t="str">
        <x:v>conventional_rail</x:v>
      </x:c>
      <x:c r="D768" s="19" t="str">
        <x:v>T2</x:v>
      </x:c>
      <x:c r="E768" s="20" t="n">
        <x:v>32568</x:v>
      </x:c>
      <x:c r="F768" s="18" t="str">
        <x:v>persons/day</x:v>
      </x:c>
      <x:c r="G768" s="18" t="str">
        <x:v>FY2024</x:v>
      </x:c>
      <x:c r="H768" s="18" t="str">
        <x:v>否</x:v>
      </x:c>
      <x:c r="I768" s="19" t="str">
        <x:v>DAILY_ENTRIES_EXITS</x:v>
      </x:c>
      <x:c r="J768" s="19" t="str">
        <x:v>常磐線</x:v>
      </x:c>
      <x:c r="K768" s="18" t="str">
        <x:v>transport-node:b8a9a81c-1d53-5b78-9b76-9933e454956f</x:v>
      </x:c>
      <x:c r="L768" s="19" t="str">
        <x:v>组件待审核</x:v>
      </x:c>
      <x:c r="M768" s="21" t="n">
        <x:v>35.87247</x:v>
      </x:c>
      <x:c r="N768" s="21" t="n">
        <x:v>140.04232</x:v>
      </x:c>
      <x:c r="O768" s="18" t="str">
        <x:v>002967</x:v>
      </x:c>
      <x:c r="P768" s="18" t="str">
        <x:v>常磐線</x:v>
      </x:c>
      <x:c r="Q768" s="19" t="str">
        <x:v>S12_061_GE_10000</x:v>
      </x:c>
      <x:c r="R768" s="19" t="str">
        <x:v>S12_061 usage threshold</x:v>
      </x:c>
      <x:c r="S768" s="19" t="str">
        <x:v>https://nlftp.mlit.go.jp/ksj/gml/datalist/KsjTmplt-S12-2024.html</x:v>
      </x:c>
      <x:c r="T768" s="19" t="str">
        <x:v>https://nlftp.mlit.go.jp/ksj/gml/datalist/KsjTmplt-S12-2024.html</x:v>
      </x:c>
      <x:c r="U768" s="19" t="str">
        <x:v>station-component|天王台|東日本旅客鉄道|conventional_rail|35.8725|140.0423|</x:v>
      </x:c>
      <x:c r="V768" s="19" t="str">
        <x:v>002967 / 002967 / 常磐線</x:v>
      </x:c>
      <x:c r="W768" s="18" t="str">
        <x:v>否</x:v>
      </x:c>
      <x:c r="X768" s="18" t="str">
        <x:v>0785e932a32b3ec15e1a1345537ae145eafe1c07bf38d5c16c11ee2b391e7a28</x:v>
      </x:c>
      <x:c r="Y768" s="20" t="n">
        <x:v>1</x:v>
      </x:c>
      <x:c r="Z768" s="20" t="n">
        <x:v>1</x:v>
      </x:c>
      <x:c r="AA768" s="19"/>
      <x:c r="AB768" s="18"/>
      <x:c r="AC768" s="19"/>
    </x:row>
    <x:row r="769" ht="33" customHeight="1">
      <x:c r="A769" s="18" t="str">
        <x:v>天王寺</x:v>
      </x:c>
      <x:c r="B769" s="18" t="str">
        <x:v>大阪市高速電気軌道</x:v>
      </x:c>
      <x:c r="C769" s="18" t="str">
        <x:v>metro</x:v>
      </x:c>
      <x:c r="D769" s="19" t="str">
        <x:v>T0</x:v>
      </x:c>
      <x:c r="E769" s="20" t="n">
        <x:v>243476</x:v>
      </x:c>
      <x:c r="F769" s="18" t="str">
        <x:v>persons/day</x:v>
      </x:c>
      <x:c r="G769" s="18" t="str">
        <x:v>FY2024</x:v>
      </x:c>
      <x:c r="H769" s="18" t="str">
        <x:v>否</x:v>
      </x:c>
      <x:c r="I769" s="19" t="str">
        <x:v>DAILY_ENTRIES_EXITS</x:v>
      </x:c>
      <x:c r="J769" s="19" t="str">
        <x:v>1号線(御堂筋線)
2号線(谷町線)</x:v>
      </x:c>
      <x:c r="K769" s="18" t="str">
        <x:v>transport-node:7a9f1457-29c3-5ec1-b589-0462bf30082e</x:v>
      </x:c>
      <x:c r="L769" s="19" t="str">
        <x:v>组件待审核</x:v>
      </x:c>
      <x:c r="M769" s="21" t="n">
        <x:v>34.64626</x:v>
      </x:c>
      <x:c r="N769" s="21" t="n">
        <x:v>135.51452</x:v>
      </x:c>
      <x:c r="O769" s="18" t="str">
        <x:v>007446</x:v>
      </x:c>
      <x:c r="P769" s="18" t="str">
        <x:v>1号線(御堂筋線)</x:v>
      </x:c>
      <x:c r="Q769" s="19" t="str">
        <x:v>S12_061_GE_10000
OFFICIAL_HUB_COMPONENT_REVIEW</x:v>
      </x:c>
      <x:c r="R769" s="19" t="str">
        <x:v>S12_061 usage threshold</x:v>
      </x:c>
      <x:c r="S769" s="19" t="str">
        <x:v>https://nlftp.mlit.go.jp/ksj/gml/datalist/KsjTmplt-S12-2024.html</x:v>
      </x:c>
      <x:c r="T769" s="19" t="str">
        <x:v>https://nlftp.mlit.go.jp/ksj/gml/datalist/KsjTmplt-S12-2024.html
https://subway.osakametro.co.jp/station_guide/M/m23/index.php</x:v>
      </x:c>
      <x:c r="U769" s="19" t="str">
        <x:v>station-component|天王寺|大阪市高速電気軌道|metro|34.6463|135.5145|</x:v>
      </x:c>
      <x:c r="V769" s="19" t="str">
        <x:v>007439 / 007432 / 2号線(谷町線)
007439 / 007446 / 1号線(御堂筋線)</x:v>
      </x:c>
      <x:c r="W769" s="18" t="str">
        <x:v>否</x:v>
      </x:c>
      <x:c r="X769" s="18" t="str">
        <x:v>0785e932a32b3ec15e1a1345537ae145eafe1c07bf38d5c16c11ee2b391e7a28</x:v>
      </x:c>
      <x:c r="Y769" s="20" t="n">
        <x:v>1</x:v>
      </x:c>
      <x:c r="Z769" s="20" t="n">
        <x:v>1</x:v>
      </x:c>
      <x:c r="AA769" s="19" t="str">
        <x:v>天王寺・大阪阿部野橋</x:v>
      </x:c>
      <x:c r="AB769" s="18" t="str">
        <x:v>transport-hub-review:4bf95fae-b2a8-53f8-bdab-cbc0040063f6</x:v>
      </x:c>
      <x:c r="AC769" s="19"/>
    </x:row>
    <x:row r="770" ht="47" customHeight="1">
      <x:c r="A770" s="18" t="str">
        <x:v>天王寺</x:v>
      </x:c>
      <x:c r="B770" s="18" t="str">
        <x:v>西日本旅客鉄道</x:v>
      </x:c>
      <x:c r="C770" s="18" t="str">
        <x:v>conventional_rail</x:v>
      </x:c>
      <x:c r="D770" s="19" t="str">
        <x:v>T0</x:v>
      </x:c>
      <x:c r="E770" s="20" t="n">
        <x:v>267658</x:v>
      </x:c>
      <x:c r="F770" s="18" t="str">
        <x:v>persons/day</x:v>
      </x:c>
      <x:c r="G770" s="18" t="str">
        <x:v>FY2024</x:v>
      </x:c>
      <x:c r="H770" s="18" t="str">
        <x:v>否</x:v>
      </x:c>
      <x:c r="I770" s="19" t="str">
        <x:v>DAILY_ENTRIES_EXITS</x:v>
      </x:c>
      <x:c r="J770" s="19" t="str">
        <x:v>大阪環状線
関西線
阪和線</x:v>
      </x:c>
      <x:c r="K770" s="18" t="str">
        <x:v>transport-node:93a2ea5b-722d-5fd4-8985-1158da78962a</x:v>
      </x:c>
      <x:c r="L770" s="19" t="str">
        <x:v>组件待审核</x:v>
      </x:c>
      <x:c r="M770" s="21" t="n">
        <x:v>34.646565</x:v>
      </x:c>
      <x:c r="N770" s="21" t="n">
        <x:v>135.515575</x:v>
      </x:c>
      <x:c r="O770" s="18" t="str">
        <x:v>007445</x:v>
      </x:c>
      <x:c r="P770" s="18" t="str">
        <x:v>関西線</x:v>
      </x:c>
      <x:c r="Q770" s="19" t="str">
        <x:v>S12_061_GE_10000
OFFICIAL_HUB_COMPONENT_REVIEW</x:v>
      </x:c>
      <x:c r="R770" s="19" t="str">
        <x:v>S12_061 usage threshold</x:v>
      </x:c>
      <x:c r="S770" s="19" t="str">
        <x:v>https://nlftp.mlit.go.jp/ksj/gml/datalist/KsjTmplt-S12-2024.html</x:v>
      </x:c>
      <x:c r="T770" s="19" t="str">
        <x:v>https://nlftp.mlit.go.jp/ksj/gml/datalist/KsjTmplt-S12-2024.html
https://subway.osakametro.co.jp/station_guide/M/m23/index.php</x:v>
      </x:c>
      <x:c r="U770" s="19" t="str">
        <x:v>station-component|天王寺|西日本旅客鉄道|conventional_rail|34.6466|135.5156|</x:v>
      </x:c>
      <x:c r="V770" s="19" t="str">
        <x:v>007439 / 007439 / 阪和線
007439 / 007443 / 大阪環状線
007439 / 007445 / 関西線</x:v>
      </x:c>
      <x:c r="W770" s="18" t="str">
        <x:v>否</x:v>
      </x:c>
      <x:c r="X770" s="18" t="str">
        <x:v>0785e932a32b3ec15e1a1345537ae145eafe1c07bf38d5c16c11ee2b391e7a28</x:v>
      </x:c>
      <x:c r="Y770" s="20" t="n">
        <x:v>1</x:v>
      </x:c>
      <x:c r="Z770" s="20" t="n">
        <x:v>1</x:v>
      </x:c>
      <x:c r="AA770" s="19" t="str">
        <x:v>天王寺・大阪阿部野橋</x:v>
      </x:c>
      <x:c r="AB770" s="18" t="str">
        <x:v>transport-hub-review:4bf95fae-b2a8-53f8-bdab-cbc0040063f6</x:v>
      </x:c>
      <x:c r="AC770" s="19"/>
    </x:row>
    <x:row r="771" ht="33" customHeight="1">
      <x:c r="A771" s="18" t="str">
        <x:v>天王寺駅前</x:v>
      </x:c>
      <x:c r="B771" s="18" t="str">
        <x:v>阪堺電気軌道</x:v>
      </x:c>
      <x:c r="C771" s="18" t="str">
        <x:v>tram</x:v>
      </x:c>
      <x:c r="D771" s="19" t="str">
        <x:v>T2</x:v>
      </x:c>
      <x:c r="E771" s="20" t="n">
        <x:v>10624</x:v>
      </x:c>
      <x:c r="F771" s="18" t="str">
        <x:v>persons/day</x:v>
      </x:c>
      <x:c r="G771" s="18" t="str">
        <x:v>FY2024</x:v>
      </x:c>
      <x:c r="H771" s="18" t="str">
        <x:v>否</x:v>
      </x:c>
      <x:c r="I771" s="19" t="str">
        <x:v>DAILY_ENTRIES_EXITS</x:v>
      </x:c>
      <x:c r="J771" s="19" t="str">
        <x:v>上町線</x:v>
      </x:c>
      <x:c r="K771" s="18" t="str">
        <x:v>transport-node:59d9c53d-c606-58eb-b842-6184f2d6b3c2</x:v>
      </x:c>
      <x:c r="L771" s="19" t="str">
        <x:v>组件待审核</x:v>
      </x:c>
      <x:c r="M771" s="21" t="n">
        <x:v>34.6462767</x:v>
      </x:c>
      <x:c r="N771" s="21" t="n">
        <x:v>135.5130167</x:v>
      </x:c>
      <x:c r="O771" s="18" t="str">
        <x:v>007447</x:v>
      </x:c>
      <x:c r="P771" s="18" t="str">
        <x:v>上町線</x:v>
      </x:c>
      <x:c r="Q771" s="19" t="str">
        <x:v>S12_061_GE_10000
OFFICIAL_HUB_COMPONENT_REVIEW</x:v>
      </x:c>
      <x:c r="R771" s="19" t="str">
        <x:v>S12_061 usage threshold</x:v>
      </x:c>
      <x:c r="S771" s="19" t="str">
        <x:v>https://nlftp.mlit.go.jp/ksj/gml/datalist/KsjTmplt-S12-2024.html</x:v>
      </x:c>
      <x:c r="T771" s="19" t="str">
        <x:v>https://nlftp.mlit.go.jp/ksj/gml/datalist/KsjTmplt-S12-2024.html
https://subway.osakametro.co.jp/station_guide/M/m23/index.php</x:v>
      </x:c>
      <x:c r="U771" s="19" t="str">
        <x:v>station-component|天王寺駅前|阪堺電気軌道|tram|34.6463|135.5130|</x:v>
      </x:c>
      <x:c r="V771" s="19" t="str">
        <x:v>007447 / 007447 / 上町線</x:v>
      </x:c>
      <x:c r="W771" s="18" t="str">
        <x:v>否</x:v>
      </x:c>
      <x:c r="X771" s="18" t="str">
        <x:v>0785e932a32b3ec15e1a1345537ae145eafe1c07bf38d5c16c11ee2b391e7a28</x:v>
      </x:c>
      <x:c r="Y771" s="20" t="n">
        <x:v>1</x:v>
      </x:c>
      <x:c r="Z771" s="20" t="n">
        <x:v>1</x:v>
      </x:c>
      <x:c r="AA771" s="19" t="str">
        <x:v>天王寺・大阪阿部野橋</x:v>
      </x:c>
      <x:c r="AB771" s="18" t="str">
        <x:v>transport-hub-review:4bf95fae-b2a8-53f8-bdab-cbc0040063f6</x:v>
      </x:c>
      <x:c r="AC771" s="19"/>
    </x:row>
    <x:row r="772" ht="28" customHeight="1">
      <x:c r="A772" s="18" t="str">
        <x:v>天王洲アイル</x:v>
      </x:c>
      <x:c r="B772" s="18" t="str">
        <x:v>東京モノレール</x:v>
      </x:c>
      <x:c r="C772" s="18" t="str">
        <x:v>fixed_guideway</x:v>
      </x:c>
      <x:c r="D772" s="19" t="str">
        <x:v>T2</x:v>
      </x:c>
      <x:c r="E772" s="20" t="n">
        <x:v>23112</x:v>
      </x:c>
      <x:c r="F772" s="18" t="str">
        <x:v>persons/day</x:v>
      </x:c>
      <x:c r="G772" s="18" t="str">
        <x:v>FY2024</x:v>
      </x:c>
      <x:c r="H772" s="18" t="str">
        <x:v>否</x:v>
      </x:c>
      <x:c r="I772" s="19" t="str">
        <x:v>DAILY_ENTRIES_EXITS</x:v>
      </x:c>
      <x:c r="J772" s="19" t="str">
        <x:v>東京モノレール羽田空港線</x:v>
      </x:c>
      <x:c r="K772" s="18" t="str">
        <x:v>transport-node:66af508b-c8d5-5da7-ac72-c3e77a1c7aa6</x:v>
      </x:c>
      <x:c r="L772" s="19" t="str">
        <x:v>组件待审核</x:v>
      </x:c>
      <x:c r="M772" s="21" t="n">
        <x:v>35.62287</x:v>
      </x:c>
      <x:c r="N772" s="21" t="n">
        <x:v>139.750905</x:v>
      </x:c>
      <x:c r="O772" s="18" t="str">
        <x:v>004123</x:v>
      </x:c>
      <x:c r="P772" s="18" t="str">
        <x:v>東京モノレール羽田空港線</x:v>
      </x:c>
      <x:c r="Q772" s="19" t="str">
        <x:v>S12_061_GE_10000</x:v>
      </x:c>
      <x:c r="R772" s="19" t="str">
        <x:v>S12_061 usage threshold</x:v>
      </x:c>
      <x:c r="S772" s="19" t="str">
        <x:v>https://nlftp.mlit.go.jp/ksj/gml/datalist/KsjTmplt-S12-2024.html</x:v>
      </x:c>
      <x:c r="T772" s="19" t="str">
        <x:v>https://nlftp.mlit.go.jp/ksj/gml/datalist/KsjTmplt-S12-2024.html</x:v>
      </x:c>
      <x:c r="U772" s="19" t="str">
        <x:v>station-component|天王洲アイル|東京モノレール|fixed_guideway|35.6229|139.7509|</x:v>
      </x:c>
      <x:c r="V772" s="19" t="str">
        <x:v>004123 / 004123 / 東京モノレール羽田空港線</x:v>
      </x:c>
      <x:c r="W772" s="18" t="str">
        <x:v>否</x:v>
      </x:c>
      <x:c r="X772" s="18" t="str">
        <x:v>0785e932a32b3ec15e1a1345537ae145eafe1c07bf38d5c16c11ee2b391e7a28</x:v>
      </x:c>
      <x:c r="Y772" s="20" t="n">
        <x:v>1</x:v>
      </x:c>
      <x:c r="Z772" s="20" t="n">
        <x:v>1</x:v>
      </x:c>
      <x:c r="AA772" s="19"/>
      <x:c r="AB772" s="18"/>
      <x:c r="AC772" s="19"/>
    </x:row>
    <x:row r="773" ht="28" customHeight="1">
      <x:c r="A773" s="18" t="str">
        <x:v>天王洲アイル</x:v>
      </x:c>
      <x:c r="B773" s="18" t="str">
        <x:v>東京臨海高速鉄道</x:v>
      </x:c>
      <x:c r="C773" s="18" t="str">
        <x:v>private_rail</x:v>
      </x:c>
      <x:c r="D773" s="19" t="str">
        <x:v>T2</x:v>
      </x:c>
      <x:c r="E773" s="20" t="n">
        <x:v>31595</x:v>
      </x:c>
      <x:c r="F773" s="18" t="str">
        <x:v>persons/day</x:v>
      </x:c>
      <x:c r="G773" s="18" t="str">
        <x:v>FY2024</x:v>
      </x:c>
      <x:c r="H773" s="18" t="str">
        <x:v>否</x:v>
      </x:c>
      <x:c r="I773" s="19" t="str">
        <x:v>DAILY_ENTRIES_EXITS</x:v>
      </x:c>
      <x:c r="J773" s="19" t="str">
        <x:v>臨海副都心線</x:v>
      </x:c>
      <x:c r="K773" s="18" t="str">
        <x:v>transport-node:1e4a1ca2-9623-5248-9590-5ca9b87fcdba</x:v>
      </x:c>
      <x:c r="L773" s="19" t="str">
        <x:v>组件待审核</x:v>
      </x:c>
      <x:c r="M773" s="21" t="n">
        <x:v>35.62072</x:v>
      </x:c>
      <x:c r="N773" s="21" t="n">
        <x:v>139.750885</x:v>
      </x:c>
      <x:c r="O773" s="18" t="str">
        <x:v>004129</x:v>
      </x:c>
      <x:c r="P773" s="18" t="str">
        <x:v>臨海副都心線</x:v>
      </x:c>
      <x:c r="Q773" s="19" t="str">
        <x:v>S12_061_GE_10000</x:v>
      </x:c>
      <x:c r="R773" s="19" t="str">
        <x:v>S12_061 usage threshold</x:v>
      </x:c>
      <x:c r="S773" s="19" t="str">
        <x:v>https://nlftp.mlit.go.jp/ksj/gml/datalist/KsjTmplt-S12-2024.html</x:v>
      </x:c>
      <x:c r="T773" s="19" t="str">
        <x:v>https://nlftp.mlit.go.jp/ksj/gml/datalist/KsjTmplt-S12-2024.html</x:v>
      </x:c>
      <x:c r="U773" s="19" t="str">
        <x:v>station-component|天王洲アイル|東京臨海高速鉄道|private_rail|35.6207|139.7509|</x:v>
      </x:c>
      <x:c r="V773" s="19" t="str">
        <x:v>004123 / 004129 / 臨海副都心線</x:v>
      </x:c>
      <x:c r="W773" s="18" t="str">
        <x:v>否</x:v>
      </x:c>
      <x:c r="X773" s="18" t="str">
        <x:v>0785e932a32b3ec15e1a1345537ae145eafe1c07bf38d5c16c11ee2b391e7a28</x:v>
      </x:c>
      <x:c r="Y773" s="20" t="n">
        <x:v>1</x:v>
      </x:c>
      <x:c r="Z773" s="20" t="n">
        <x:v>1</x:v>
      </x:c>
      <x:c r="AA773" s="19"/>
      <x:c r="AB773" s="18"/>
      <x:c r="AC773" s="19"/>
    </x:row>
    <x:row r="774" ht="28" customHeight="1">
      <x:c r="A774" s="18" t="str">
        <x:v>天王町</x:v>
      </x:c>
      <x:c r="B774" s="18" t="str">
        <x:v>相模鉄道</x:v>
      </x:c>
      <x:c r="C774" s="18" t="str">
        <x:v>private_rail</x:v>
      </x:c>
      <x:c r="D774" s="19" t="str">
        <x:v>T2</x:v>
      </x:c>
      <x:c r="E774" s="20" t="n">
        <x:v>22980</x:v>
      </x:c>
      <x:c r="F774" s="18" t="str">
        <x:v>persons/day</x:v>
      </x:c>
      <x:c r="G774" s="18" t="str">
        <x:v>FY2024</x:v>
      </x:c>
      <x:c r="H774" s="18" t="str">
        <x:v>否</x:v>
      </x:c>
      <x:c r="I774" s="19" t="str">
        <x:v>DAILY_ENTRIES_EXITS</x:v>
      </x:c>
      <x:c r="J774" s="19" t="str">
        <x:v>相鉄本線</x:v>
      </x:c>
      <x:c r="K774" s="18" t="str">
        <x:v>transport-node:83000d75-71a1-55d2-a343-3d2e6f8c6408</x:v>
      </x:c>
      <x:c r="L774" s="19" t="str">
        <x:v>组件待审核</x:v>
      </x:c>
      <x:c r="M774" s="21" t="n">
        <x:v>35.45401</x:v>
      </x:c>
      <x:c r="N774" s="21" t="n">
        <x:v>139.60253</x:v>
      </x:c>
      <x:c r="O774" s="18" t="str">
        <x:v>004668</x:v>
      </x:c>
      <x:c r="P774" s="18" t="str">
        <x:v>相鉄本線</x:v>
      </x:c>
      <x:c r="Q774" s="19" t="str">
        <x:v>S12_061_GE_10000</x:v>
      </x:c>
      <x:c r="R774" s="19" t="str">
        <x:v>S12_061 usage threshold</x:v>
      </x:c>
      <x:c r="S774" s="19" t="str">
        <x:v>https://nlftp.mlit.go.jp/ksj/gml/datalist/KsjTmplt-S12-2024.html</x:v>
      </x:c>
      <x:c r="T774" s="19" t="str">
        <x:v>https://nlftp.mlit.go.jp/ksj/gml/datalist/KsjTmplt-S12-2024.html</x:v>
      </x:c>
      <x:c r="U774" s="19" t="str">
        <x:v>station-component|天王町|相模鉄道|private_rail|35.4540|139.6025|</x:v>
      </x:c>
      <x:c r="V774" s="19" t="str">
        <x:v>004668 / 004668 / 相鉄本線</x:v>
      </x:c>
      <x:c r="W774" s="18" t="str">
        <x:v>否</x:v>
      </x:c>
      <x:c r="X774" s="18" t="str">
        <x:v>0785e932a32b3ec15e1a1345537ae145eafe1c07bf38d5c16c11ee2b391e7a28</x:v>
      </x:c>
      <x:c r="Y774" s="20" t="n">
        <x:v>1</x:v>
      </x:c>
      <x:c r="Z774" s="20" t="n">
        <x:v>1</x:v>
      </x:c>
      <x:c r="AA774" s="19"/>
      <x:c r="AB774" s="18"/>
      <x:c r="AC774" s="19"/>
    </x:row>
    <x:row r="775" ht="33" customHeight="1">
      <x:c r="A775" s="18" t="str">
        <x:v>天神</x:v>
      </x:c>
      <x:c r="B775" s="18" t="str">
        <x:v>福岡市</x:v>
      </x:c>
      <x:c r="C775" s="18" t="str">
        <x:v>metro</x:v>
      </x:c>
      <x:c r="D775" s="19" t="str">
        <x:v>T1</x:v>
      </x:c>
      <x:c r="E775" s="20" t="n">
        <x:v>138727</x:v>
      </x:c>
      <x:c r="F775" s="18" t="str">
        <x:v>persons/day</x:v>
      </x:c>
      <x:c r="G775" s="18" t="str">
        <x:v>FY2024</x:v>
      </x:c>
      <x:c r="H775" s="18" t="str">
        <x:v>否</x:v>
      </x:c>
      <x:c r="I775" s="19" t="str">
        <x:v>DAILY_ENTRIES_EXITS</x:v>
      </x:c>
      <x:c r="J775" s="19" t="str">
        <x:v>1号線(空港線)</x:v>
      </x:c>
      <x:c r="K775" s="18" t="str">
        <x:v>transport-node:35f0fe15-dedc-585a-bb06-c3c2cbf2a853</x:v>
      </x:c>
      <x:c r="L775" s="19" t="str">
        <x:v>组件待审核</x:v>
      </x:c>
      <x:c r="M775" s="21" t="n">
        <x:v>33.59126</x:v>
      </x:c>
      <x:c r="N775" s="21" t="n">
        <x:v>130.39863</x:v>
      </x:c>
      <x:c r="O775" s="18" t="str">
        <x:v>009026</x:v>
      </x:c>
      <x:c r="P775" s="18" t="str">
        <x:v>1号線(空港線)</x:v>
      </x:c>
      <x:c r="Q775" s="19" t="str">
        <x:v>S12_061_GE_10000
OFFICIAL_HUB_COMPONENT_REVIEW</x:v>
      </x:c>
      <x:c r="R775" s="19" t="str">
        <x:v>S12_061 usage threshold</x:v>
      </x:c>
      <x:c r="S775" s="19" t="str">
        <x:v>https://nlftp.mlit.go.jp/ksj/gml/datalist/KsjTmplt-S12-2024.html</x:v>
      </x:c>
      <x:c r="T775" s="19" t="str">
        <x:v>https://nlftp.mlit.go.jp/ksj/gml/datalist/KsjTmplt-S12-2024.html
https://subway.city.fukuoka.lg.jp/?lan=ja</x:v>
      </x:c>
      <x:c r="U775" s="19" t="str">
        <x:v>station-component|天神|福岡市|metro|33.5913|130.3986|</x:v>
      </x:c>
      <x:c r="V775" s="19" t="str">
        <x:v>009026 / 009026 / 1号線(空港線)</x:v>
      </x:c>
      <x:c r="W775" s="18" t="str">
        <x:v>否</x:v>
      </x:c>
      <x:c r="X775" s="18" t="str">
        <x:v>0785e932a32b3ec15e1a1345537ae145eafe1c07bf38d5c16c11ee2b391e7a28</x:v>
      </x:c>
      <x:c r="Y775" s="20" t="n">
        <x:v>1</x:v>
      </x:c>
      <x:c r="Z775" s="20" t="n">
        <x:v>1</x:v>
      </x:c>
      <x:c r="AA775" s="19" t="str">
        <x:v>天神・西鉄福岡・天神南</x:v>
      </x:c>
      <x:c r="AB775" s="18" t="str">
        <x:v>transport-hub-review:063472a3-45f9-5bb7-8a3b-d43f8c6c39a1</x:v>
      </x:c>
      <x:c r="AC775" s="19"/>
    </x:row>
    <x:row r="776" ht="33" customHeight="1">
      <x:c r="A776" s="18" t="str">
        <x:v>天神南</x:v>
      </x:c>
      <x:c r="B776" s="18" t="str">
        <x:v>福岡市</x:v>
      </x:c>
      <x:c r="C776" s="18" t="str">
        <x:v>metro</x:v>
      </x:c>
      <x:c r="D776" s="19" t="str">
        <x:v>T2</x:v>
      </x:c>
      <x:c r="E776" s="20" t="n">
        <x:v>47204</x:v>
      </x:c>
      <x:c r="F776" s="18" t="str">
        <x:v>persons/day</x:v>
      </x:c>
      <x:c r="G776" s="18" t="str">
        <x:v>FY2024</x:v>
      </x:c>
      <x:c r="H776" s="18" t="str">
        <x:v>否</x:v>
      </x:c>
      <x:c r="I776" s="19" t="str">
        <x:v>DAILY_ENTRIES_EXITS</x:v>
      </x:c>
      <x:c r="J776" s="19" t="str">
        <x:v>3号線(七隈線)</x:v>
      </x:c>
      <x:c r="K776" s="18" t="str">
        <x:v>transport-node:3fb57767-254a-5ef3-8c02-aea30c919c24</x:v>
      </x:c>
      <x:c r="L776" s="19" t="str">
        <x:v>组件待审核</x:v>
      </x:c>
      <x:c r="M776" s="21" t="n">
        <x:v>33.588275</x:v>
      </x:c>
      <x:c r="N776" s="21" t="n">
        <x:v>130.4021125</x:v>
      </x:c>
      <x:c r="O776" s="18" t="str">
        <x:v>009038</x:v>
      </x:c>
      <x:c r="P776" s="18" t="str">
        <x:v>3号線(七隈線)</x:v>
      </x:c>
      <x:c r="Q776" s="19" t="str">
        <x:v>S12_061_GE_10000
OFFICIAL_HUB_COMPONENT_REVIEW</x:v>
      </x:c>
      <x:c r="R776" s="19" t="str">
        <x:v>S12_061 usage threshold</x:v>
      </x:c>
      <x:c r="S776" s="19" t="str">
        <x:v>https://nlftp.mlit.go.jp/ksj/gml/datalist/KsjTmplt-S12-2024.html</x:v>
      </x:c>
      <x:c r="T776" s="19" t="str">
        <x:v>https://nlftp.mlit.go.jp/ksj/gml/datalist/KsjTmplt-S12-2024.html
https://subway.city.fukuoka.lg.jp/?lan=ja</x:v>
      </x:c>
      <x:c r="U776" s="19" t="str">
        <x:v>station-component|天神南|福岡市|metro|33.5883|130.4021|</x:v>
      </x:c>
      <x:c r="V776" s="19" t="str">
        <x:v>009038 / 009038 / 3号線(七隈線)</x:v>
      </x:c>
      <x:c r="W776" s="18" t="str">
        <x:v>否</x:v>
      </x:c>
      <x:c r="X776" s="18" t="str">
        <x:v>0785e932a32b3ec15e1a1345537ae145eafe1c07bf38d5c16c11ee2b391e7a28</x:v>
      </x:c>
      <x:c r="Y776" s="20" t="n">
        <x:v>1</x:v>
      </x:c>
      <x:c r="Z776" s="20" t="n">
        <x:v>1</x:v>
      </x:c>
      <x:c r="AA776" s="19" t="str">
        <x:v>天神・西鉄福岡・天神南</x:v>
      </x:c>
      <x:c r="AB776" s="18" t="str">
        <x:v>transport-hub-review:063472a3-45f9-5bb7-8a3b-d43f8c6c39a1</x:v>
      </x:c>
      <x:c r="AC776" s="19"/>
    </x:row>
    <x:row r="777" ht="28" customHeight="1">
      <x:c r="A777" s="18" t="str">
        <x:v>天神川</x:v>
      </x:c>
      <x:c r="B777" s="18" t="str">
        <x:v>西日本旅客鉄道</x:v>
      </x:c>
      <x:c r="C777" s="18" t="str">
        <x:v>conventional_rail</x:v>
      </x:c>
      <x:c r="D777" s="19" t="str">
        <x:v>T2</x:v>
      </x:c>
      <x:c r="E777" s="20" t="n">
        <x:v>18476</x:v>
      </x:c>
      <x:c r="F777" s="18" t="str">
        <x:v>persons/day</x:v>
      </x:c>
      <x:c r="G777" s="18" t="str">
        <x:v>FY2024</x:v>
      </x:c>
      <x:c r="H777" s="18" t="str">
        <x:v>否</x:v>
      </x:c>
      <x:c r="I777" s="19" t="str">
        <x:v>DAILY_ENTRIES_EXITS</x:v>
      </x:c>
      <x:c r="J777" s="19" t="str">
        <x:v>山陽線</x:v>
      </x:c>
      <x:c r="K777" s="18" t="str">
        <x:v>transport-node:82b38787-e68d-5d48-879a-b987b9e13ec5</x:v>
      </x:c>
      <x:c r="L777" s="19" t="str">
        <x:v>组件待审核</x:v>
      </x:c>
      <x:c r="M777" s="21" t="n">
        <x:v>34.389755</x:v>
      </x:c>
      <x:c r="N777" s="21" t="n">
        <x:v>132.49747</x:v>
      </x:c>
      <x:c r="O777" s="18" t="str">
        <x:v>008077</x:v>
      </x:c>
      <x:c r="P777" s="18" t="str">
        <x:v>山陽線</x:v>
      </x:c>
      <x:c r="Q777" s="19" t="str">
        <x:v>S12_061_GE_10000</x:v>
      </x:c>
      <x:c r="R777" s="19" t="str">
        <x:v>S12_061 usage threshold</x:v>
      </x:c>
      <x:c r="S777" s="19" t="str">
        <x:v>https://nlftp.mlit.go.jp/ksj/gml/datalist/KsjTmplt-S12-2024.html</x:v>
      </x:c>
      <x:c r="T777" s="19" t="str">
        <x:v>https://nlftp.mlit.go.jp/ksj/gml/datalist/KsjTmplt-S12-2024.html</x:v>
      </x:c>
      <x:c r="U777" s="19" t="str">
        <x:v>station-component|天神川|西日本旅客鉄道|conventional_rail|34.3898|132.4975|</x:v>
      </x:c>
      <x:c r="V777" s="19" t="str">
        <x:v>008077 / 008077 / 山陽線</x:v>
      </x:c>
      <x:c r="W777" s="18" t="str">
        <x:v>否</x:v>
      </x:c>
      <x:c r="X777" s="18" t="str">
        <x:v>0785e932a32b3ec15e1a1345537ae145eafe1c07bf38d5c16c11ee2b391e7a28</x:v>
      </x:c>
      <x:c r="Y777" s="20" t="n">
        <x:v>1</x:v>
      </x:c>
      <x:c r="Z777" s="20" t="n">
        <x:v>1</x:v>
      </x:c>
      <x:c r="AA777" s="19"/>
      <x:c r="AB777" s="18"/>
      <x:c r="AC777" s="19"/>
    </x:row>
    <x:row r="778" ht="33" customHeight="1">
      <x:c r="A778" s="18" t="str">
        <x:v>天神橋筋六丁目</x:v>
      </x:c>
      <x:c r="B778" s="18" t="str">
        <x:v>大阪市高速電気軌道</x:v>
      </x:c>
      <x:c r="C778" s="18" t="str">
        <x:v>metro</x:v>
      </x:c>
      <x:c r="D778" s="19" t="str">
        <x:v>T2</x:v>
      </x:c>
      <x:c r="E778" s="20" t="n">
        <x:v>37233</x:v>
      </x:c>
      <x:c r="F778" s="18" t="str">
        <x:v>persons/day</x:v>
      </x:c>
      <x:c r="G778" s="18" t="str">
        <x:v>FY2024</x:v>
      </x:c>
      <x:c r="H778" s="18" t="str">
        <x:v>否</x:v>
      </x:c>
      <x:c r="I778" s="19" t="str">
        <x:v>DAILY_ENTRIES_EXITS</x:v>
      </x:c>
      <x:c r="J778" s="19" t="str">
        <x:v>2号線(谷町線)
6号線(堺筋線)</x:v>
      </x:c>
      <x:c r="K778" s="18" t="str">
        <x:v>transport-node:45b746bd-a40d-5e8d-bb07-1967f81ab61b</x:v>
      </x:c>
      <x:c r="L778" s="19" t="str">
        <x:v>组件待审核</x:v>
      </x:c>
      <x:c r="M778" s="21" t="n">
        <x:v>34.7107171</x:v>
      </x:c>
      <x:c r="N778" s="21" t="n">
        <x:v>135.5114057</x:v>
      </x:c>
      <x:c r="O778" s="18" t="str">
        <x:v>007021</x:v>
      </x:c>
      <x:c r="P778" s="18" t="str">
        <x:v>2号線(谷町線)</x:v>
      </x:c>
      <x:c r="Q778" s="19" t="str">
        <x:v>S12_061_GE_10000
OFFICIAL_HUB_COMPONENT_REVIEW</x:v>
      </x:c>
      <x:c r="R778" s="19" t="str">
        <x:v>S12_061 usage threshold</x:v>
      </x:c>
      <x:c r="S778" s="19" t="str">
        <x:v>https://nlftp.mlit.go.jp/ksj/gml/datalist/KsjTmplt-S12-2024.html</x:v>
      </x:c>
      <x:c r="T778" s="19" t="str">
        <x:v>https://nlftp.mlit.go.jp/ksj/gml/datalist/KsjTmplt-S12-2024.html
https://subway.osakametro.co.jp/station_guide/K/k11/index.php</x:v>
      </x:c>
      <x:c r="U778" s="19" t="str">
        <x:v>station-component|天神橋筋六丁目|大阪市高速電気軌道|metro|34.7107|135.5114|</x:v>
      </x:c>
      <x:c r="V778" s="19" t="str">
        <x:v>007028 / 007021 / 2号線(谷町線)
007028 / 007029 / 6号線(堺筋線)</x:v>
      </x:c>
      <x:c r="W778" s="18" t="str">
        <x:v>否</x:v>
      </x:c>
      <x:c r="X778" s="18" t="str">
        <x:v>0785e932a32b3ec15e1a1345537ae145eafe1c07bf38d5c16c11ee2b391e7a28</x:v>
      </x:c>
      <x:c r="Y778" s="20" t="n">
        <x:v>1</x:v>
      </x:c>
      <x:c r="Z778" s="20" t="n">
        <x:v>1</x:v>
      </x:c>
      <x:c r="AA778" s="19" t="str">
        <x:v>天神橋筋六丁目</x:v>
      </x:c>
      <x:c r="AB778" s="18" t="str">
        <x:v>transport-hub-review:11816d25-17bc-5419-86a1-7334395977ac</x:v>
      </x:c>
      <x:c r="AC778" s="19"/>
    </x:row>
    <x:row r="779" ht="33" customHeight="1">
      <x:c r="A779" s="18" t="str">
        <x:v>天神橋筋六丁目</x:v>
      </x:c>
      <x:c r="B779" s="18" t="str">
        <x:v>阪急電鉄</x:v>
      </x:c>
      <x:c r="C779" s="18" t="str">
        <x:v>private_rail</x:v>
      </x:c>
      <x:c r="D779" s="19"/>
      <x:c r="E779" s="20"/>
      <x:c r="F779" s="18"/>
      <x:c r="G779" s="18" t="str">
        <x:v>FY2024</x:v>
      </x:c>
      <x:c r="H779" s="18" t="str">
        <x:v>是</x:v>
      </x:c>
      <x:c r="I779" s="19" t="str">
        <x:v>USAGE_DATA_UNAVAILABLE</x:v>
      </x:c>
      <x:c r="J779" s="19" t="str">
        <x:v>千里線</x:v>
      </x:c>
      <x:c r="K779" s="18" t="str">
        <x:v>transport-node:052fa935-a6b6-53f0-89b2-3ac49048f8b6</x:v>
      </x:c>
      <x:c r="L779" s="19" t="str">
        <x:v>组件待审核</x:v>
      </x:c>
      <x:c r="M779" s="21" t="n">
        <x:v>34.71019</x:v>
      </x:c>
      <x:c r="N779" s="21" t="n">
        <x:v>135.51075</x:v>
      </x:c>
      <x:c r="O779" s="18" t="str">
        <x:v>007028</x:v>
      </x:c>
      <x:c r="P779" s="18" t="str">
        <x:v>千里線</x:v>
      </x:c>
      <x:c r="Q779" s="19" t="str">
        <x:v>OFFICIAL_HUB_COMPONENT_REVIEW</x:v>
      </x:c>
      <x:c r="R779" s="19" t="str">
        <x:v>Official S12 usage unavailable; manual tier review required</x:v>
      </x:c>
      <x:c r="S779" s="19" t="str">
        <x:v>https://nlftp.mlit.go.jp/ksj/gml/datalist/KsjTmplt-S12-2024.html</x:v>
      </x:c>
      <x:c r="T779" s="19" t="str">
        <x:v>https://nlftp.mlit.go.jp/ksj/gml/datalist/KsjTmplt-S12-2024.html
https://subway.osakametro.co.jp/station_guide/K/k11/index.php</x:v>
      </x:c>
      <x:c r="U779" s="19" t="str">
        <x:v>station-component|天神橋筋六丁目|阪急電鉄|private_rail|34.7102|135.5108|</x:v>
      </x:c>
      <x:c r="V779" s="19" t="str">
        <x:v>007028 / 007028 / 千里線</x:v>
      </x:c>
      <x:c r="W779" s="18" t="str">
        <x:v>否</x:v>
      </x:c>
      <x:c r="X779" s="18" t="str">
        <x:v>0785e932a32b3ec15e1a1345537ae145eafe1c07bf38d5c16c11ee2b391e7a28</x:v>
      </x:c>
      <x:c r="Y779" s="20" t="n">
        <x:v>1</x:v>
      </x:c>
      <x:c r="Z779" s="20" t="n">
        <x:v>2</x:v>
      </x:c>
      <x:c r="AA779" s="19" t="str">
        <x:v>天神橋筋六丁目</x:v>
      </x:c>
      <x:c r="AB779" s="18" t="str">
        <x:v>transport-hub-review:11816d25-17bc-5419-86a1-7334395977ac</x:v>
      </x:c>
      <x:c r="AC779" s="19"/>
    </x:row>
    <x:row r="780" ht="28" customHeight="1">
      <x:c r="A780" s="18" t="str">
        <x:v>天空橋</x:v>
      </x:c>
      <x:c r="B780" s="18" t="str">
        <x:v>京浜急行電鉄</x:v>
      </x:c>
      <x:c r="C780" s="18" t="str">
        <x:v>private_rail</x:v>
      </x:c>
      <x:c r="D780" s="19" t="str">
        <x:v>T2</x:v>
      </x:c>
      <x:c r="E780" s="20" t="n">
        <x:v>18979</x:v>
      </x:c>
      <x:c r="F780" s="18" t="str">
        <x:v>persons/day</x:v>
      </x:c>
      <x:c r="G780" s="18" t="str">
        <x:v>FY2024</x:v>
      </x:c>
      <x:c r="H780" s="18" t="str">
        <x:v>否</x:v>
      </x:c>
      <x:c r="I780" s="19" t="str">
        <x:v>DAILY_ENTRIES_EXITS</x:v>
      </x:c>
      <x:c r="J780" s="19" t="str">
        <x:v>空港線</x:v>
      </x:c>
      <x:c r="K780" s="18" t="str">
        <x:v>transport-node:abeb5381-d3c5-5ded-9f0d-4e3551ae413e</x:v>
      </x:c>
      <x:c r="L780" s="19" t="str">
        <x:v>组件待审核</x:v>
      </x:c>
      <x:c r="M780" s="21" t="n">
        <x:v>35.5481533</x:v>
      </x:c>
      <x:c r="N780" s="21" t="n">
        <x:v>139.75462</x:v>
      </x:c>
      <x:c r="O780" s="18" t="str">
        <x:v>004374</x:v>
      </x:c>
      <x:c r="P780" s="18" t="str">
        <x:v>空港線</x:v>
      </x:c>
      <x:c r="Q780" s="19" t="str">
        <x:v>S12_061_GE_10000</x:v>
      </x:c>
      <x:c r="R780" s="19" t="str">
        <x:v>S12_061 usage threshold</x:v>
      </x:c>
      <x:c r="S780" s="19" t="str">
        <x:v>https://nlftp.mlit.go.jp/ksj/gml/datalist/KsjTmplt-S12-2024.html</x:v>
      </x:c>
      <x:c r="T780" s="19" t="str">
        <x:v>https://nlftp.mlit.go.jp/ksj/gml/datalist/KsjTmplt-S12-2024.html</x:v>
      </x:c>
      <x:c r="U780" s="19" t="str">
        <x:v>station-component|天空橋|京浜急行電鉄|private_rail|35.5482|139.7546|</x:v>
      </x:c>
      <x:c r="V780" s="19" t="str">
        <x:v>004373 / 004374 / 空港線</x:v>
      </x:c>
      <x:c r="W780" s="18" t="str">
        <x:v>否</x:v>
      </x:c>
      <x:c r="X780" s="18" t="str">
        <x:v>0785e932a32b3ec15e1a1345537ae145eafe1c07bf38d5c16c11ee2b391e7a28</x:v>
      </x:c>
      <x:c r="Y780" s="20" t="n">
        <x:v>1</x:v>
      </x:c>
      <x:c r="Z780" s="20" t="n">
        <x:v>1</x:v>
      </x:c>
      <x:c r="AA780" s="19"/>
      <x:c r="AB780" s="18"/>
      <x:c r="AC780" s="19"/>
    </x:row>
    <x:row r="781" ht="28" customHeight="1">
      <x:c r="A781" s="18" t="str">
        <x:v>天空橋</x:v>
      </x:c>
      <x:c r="B781" s="18" t="str">
        <x:v>東京モノレール</x:v>
      </x:c>
      <x:c r="C781" s="18" t="str">
        <x:v>fixed_guideway</x:v>
      </x:c>
      <x:c r="D781" s="19" t="str">
        <x:v>T2</x:v>
      </x:c>
      <x:c r="E781" s="20" t="n">
        <x:v>11448</x:v>
      </x:c>
      <x:c r="F781" s="18" t="str">
        <x:v>persons/day</x:v>
      </x:c>
      <x:c r="G781" s="18" t="str">
        <x:v>FY2024</x:v>
      </x:c>
      <x:c r="H781" s="18" t="str">
        <x:v>否</x:v>
      </x:c>
      <x:c r="I781" s="19" t="str">
        <x:v>DAILY_ENTRIES_EXITS</x:v>
      </x:c>
      <x:c r="J781" s="19" t="str">
        <x:v>東京モノレール羽田空港線</x:v>
      </x:c>
      <x:c r="K781" s="18" t="str">
        <x:v>transport-node:3899f1db-f68e-5efa-ba2f-ea7ea17fadba</x:v>
      </x:c>
      <x:c r="L781" s="19" t="str">
        <x:v>组件待审核</x:v>
      </x:c>
      <x:c r="M781" s="21" t="n">
        <x:v>35.548355</x:v>
      </x:c>
      <x:c r="N781" s="21" t="n">
        <x:v>139.7546</x:v>
      </x:c>
      <x:c r="O781" s="18" t="str">
        <x:v>004373</x:v>
      </x:c>
      <x:c r="P781" s="18" t="str">
        <x:v>東京モノレール羽田空港線</x:v>
      </x:c>
      <x:c r="Q781" s="19" t="str">
        <x:v>S12_061_GE_10000</x:v>
      </x:c>
      <x:c r="R781" s="19" t="str">
        <x:v>S12_061 usage threshold</x:v>
      </x:c>
      <x:c r="S781" s="19" t="str">
        <x:v>https://nlftp.mlit.go.jp/ksj/gml/datalist/KsjTmplt-S12-2024.html</x:v>
      </x:c>
      <x:c r="T781" s="19" t="str">
        <x:v>https://nlftp.mlit.go.jp/ksj/gml/datalist/KsjTmplt-S12-2024.html</x:v>
      </x:c>
      <x:c r="U781" s="19" t="str">
        <x:v>station-component|天空橋|東京モノレール|fixed_guideway|35.5484|139.7546|</x:v>
      </x:c>
      <x:c r="V781" s="19" t="str">
        <x:v>004373 / 004373 / 東京モノレール羽田空港線</x:v>
      </x:c>
      <x:c r="W781" s="18" t="str">
        <x:v>否</x:v>
      </x:c>
      <x:c r="X781" s="18" t="str">
        <x:v>0785e932a32b3ec15e1a1345537ae145eafe1c07bf38d5c16c11ee2b391e7a28</x:v>
      </x:c>
      <x:c r="Y781" s="20" t="n">
        <x:v>1</x:v>
      </x:c>
      <x:c r="Z781" s="20" t="n">
        <x:v>1</x:v>
      </x:c>
      <x:c r="AA781" s="19"/>
      <x:c r="AB781" s="18"/>
      <x:c r="AC781" s="19"/>
    </x:row>
    <x:row r="782" ht="33" customHeight="1">
      <x:c r="A782" s="18" t="str">
        <x:v>太子橋今市</x:v>
      </x:c>
      <x:c r="B782" s="18" t="str">
        <x:v>大阪市高速電気軌道</x:v>
      </x:c>
      <x:c r="C782" s="18" t="str">
        <x:v>metro</x:v>
      </x:c>
      <x:c r="D782" s="19" t="str">
        <x:v>T2</x:v>
      </x:c>
      <x:c r="E782" s="20" t="n">
        <x:v>12904</x:v>
      </x:c>
      <x:c r="F782" s="18" t="str">
        <x:v>persons/day</x:v>
      </x:c>
      <x:c r="G782" s="18" t="str">
        <x:v>FY2024</x:v>
      </x:c>
      <x:c r="H782" s="18" t="str">
        <x:v>否</x:v>
      </x:c>
      <x:c r="I782" s="19" t="str">
        <x:v>DAILY_ENTRIES_EXITS</x:v>
      </x:c>
      <x:c r="J782" s="19" t="str">
        <x:v>2号線(谷町線)
8号線(今里筋線)</x:v>
      </x:c>
      <x:c r="K782" s="18" t="str">
        <x:v>transport-node:943bca55-44f9-5662-bb51-7a7f59fe3dd6</x:v>
      </x:c>
      <x:c r="L782" s="19" t="str">
        <x:v>组件待审核</x:v>
      </x:c>
      <x:c r="M782" s="21" t="n">
        <x:v>34.7311433</x:v>
      </x:c>
      <x:c r="N782" s="21" t="n">
        <x:v>135.5545833</x:v>
      </x:c>
      <x:c r="O782" s="18" t="str">
        <x:v>006923</x:v>
      </x:c>
      <x:c r="P782" s="18" t="str">
        <x:v>2号線(谷町線)</x:v>
      </x:c>
      <x:c r="Q782" s="19" t="str">
        <x:v>S12_061_GE_10000
OFFICIAL_HUB_COMPONENT_REVIEW</x:v>
      </x:c>
      <x:c r="R782" s="19" t="str">
        <x:v>S12_061 usage threshold</x:v>
      </x:c>
      <x:c r="S782" s="19" t="str">
        <x:v>https://nlftp.mlit.go.jp/ksj/gml/datalist/KsjTmplt-S12-2024.html</x:v>
      </x:c>
      <x:c r="T782" s="19" t="str">
        <x:v>https://nlftp.mlit.go.jp/ksj/gml/datalist/KsjTmplt-S12-2024.html
https://subway.osakametro.co.jp/station_guide/I/i14/index.php</x:v>
      </x:c>
      <x:c r="U782" s="19" t="str">
        <x:v>station-component|太子橋今市|大阪市高速電気軌道|metro|34.7311|135.5546|</x:v>
      </x:c>
      <x:c r="V782" s="19" t="str">
        <x:v>006922 / 006922 / 8号線(今里筋線)
006922 / 006923 / 2号線(谷町線)</x:v>
      </x:c>
      <x:c r="W782" s="18" t="str">
        <x:v>否</x:v>
      </x:c>
      <x:c r="X782" s="18" t="str">
        <x:v>0785e932a32b3ec15e1a1345537ae145eafe1c07bf38d5c16c11ee2b391e7a28</x:v>
      </x:c>
      <x:c r="Y782" s="20" t="n">
        <x:v>1</x:v>
      </x:c>
      <x:c r="Z782" s="20" t="n">
        <x:v>1</x:v>
      </x:c>
      <x:c r="AA782" s="19" t="str">
        <x:v>太子橋今市</x:v>
      </x:c>
      <x:c r="AB782" s="18" t="str">
        <x:v>transport-hub-review:332dc417-8a7d-5d8c-a7a3-fa7b0d9c0393</x:v>
      </x:c>
      <x:c r="AC782" s="19"/>
    </x:row>
    <x:row r="783" ht="28" customHeight="1">
      <x:c r="A783" s="18" t="str">
        <x:v>太宰府</x:v>
      </x:c>
      <x:c r="B783" s="18" t="str">
        <x:v>西日本鉄道</x:v>
      </x:c>
      <x:c r="C783" s="18" t="str">
        <x:v>private_rail</x:v>
      </x:c>
      <x:c r="D783" s="19" t="str">
        <x:v>T2</x:v>
      </x:c>
      <x:c r="E783" s="20" t="n">
        <x:v>13174</x:v>
      </x:c>
      <x:c r="F783" s="18" t="str">
        <x:v>persons/day</x:v>
      </x:c>
      <x:c r="G783" s="18" t="str">
        <x:v>FY2024</x:v>
      </x:c>
      <x:c r="H783" s="18" t="str">
        <x:v>否</x:v>
      </x:c>
      <x:c r="I783" s="19" t="str">
        <x:v>DAILY_ENTRIES_EXITS</x:v>
      </x:c>
      <x:c r="J783" s="19" t="str">
        <x:v>太宰府線</x:v>
      </x:c>
      <x:c r="K783" s="18" t="str">
        <x:v>transport-node:941da339-d3e1-51e5-9a1f-2c322ec76e97</x:v>
      </x:c>
      <x:c r="L783" s="19" t="str">
        <x:v>组件待审核</x:v>
      </x:c>
      <x:c r="M783" s="21" t="n">
        <x:v>33.51834</x:v>
      </x:c>
      <x:c r="N783" s="21" t="n">
        <x:v>130.5312</x:v>
      </x:c>
      <x:c r="O783" s="18" t="str">
        <x:v>009225</x:v>
      </x:c>
      <x:c r="P783" s="18" t="str">
        <x:v>太宰府線</x:v>
      </x:c>
      <x:c r="Q783" s="19" t="str">
        <x:v>S12_061_GE_10000</x:v>
      </x:c>
      <x:c r="R783" s="19" t="str">
        <x:v>S12_061 usage threshold</x:v>
      </x:c>
      <x:c r="S783" s="19" t="str">
        <x:v>https://nlftp.mlit.go.jp/ksj/gml/datalist/KsjTmplt-S12-2024.html</x:v>
      </x:c>
      <x:c r="T783" s="19" t="str">
        <x:v>https://nlftp.mlit.go.jp/ksj/gml/datalist/KsjTmplt-S12-2024.html</x:v>
      </x:c>
      <x:c r="U783" s="19" t="str">
        <x:v>station-component|太宰府|西日本鉄道|private_rail|33.5183|130.5312|</x:v>
      </x:c>
      <x:c r="V783" s="19" t="str">
        <x:v>009225 / 009225 / 太宰府線</x:v>
      </x:c>
      <x:c r="W783" s="18" t="str">
        <x:v>否</x:v>
      </x:c>
      <x:c r="X783" s="18" t="str">
        <x:v>0785e932a32b3ec15e1a1345537ae145eafe1c07bf38d5c16c11ee2b391e7a28</x:v>
      </x:c>
      <x:c r="Y783" s="20" t="n">
        <x:v>1</x:v>
      </x:c>
      <x:c r="Z783" s="20" t="n">
        <x:v>1</x:v>
      </x:c>
      <x:c r="AA783" s="19"/>
      <x:c r="AB783" s="18"/>
      <x:c r="AC783" s="19"/>
    </x:row>
    <x:row r="784" ht="47" customHeight="1">
      <x:c r="A784" s="18" t="str">
        <x:v>太田</x:v>
      </x:c>
      <x:c r="B784" s="18" t="str">
        <x:v>東武鉄道</x:v>
      </x:c>
      <x:c r="C784" s="18" t="str">
        <x:v>private_rail</x:v>
      </x:c>
      <x:c r="D784" s="19" t="str">
        <x:v>T2</x:v>
      </x:c>
      <x:c r="E784" s="20" t="n">
        <x:v>10599</x:v>
      </x:c>
      <x:c r="F784" s="18" t="str">
        <x:v>persons/day</x:v>
      </x:c>
      <x:c r="G784" s="18" t="str">
        <x:v>FY2024</x:v>
      </x:c>
      <x:c r="H784" s="18" t="str">
        <x:v>否</x:v>
      </x:c>
      <x:c r="I784" s="19" t="str">
        <x:v>DAILY_ENTRIES_EXITS</x:v>
      </x:c>
      <x:c r="J784" s="19" t="str">
        <x:v>伊勢崎線
小泉線
桐生線</x:v>
      </x:c>
      <x:c r="K784" s="18" t="str">
        <x:v>transport-node:75df2c76-b5a0-570d-94a9-d92724c19257</x:v>
      </x:c>
      <x:c r="L784" s="19" t="str">
        <x:v>组件待审核</x:v>
      </x:c>
      <x:c r="M784" s="21" t="n">
        <x:v>36.29421</x:v>
      </x:c>
      <x:c r="N784" s="21" t="n">
        <x:v>139.3787683</x:v>
      </x:c>
      <x:c r="O784" s="18" t="str">
        <x:v>002437</x:v>
      </x:c>
      <x:c r="P784" s="18" t="str">
        <x:v>伊勢崎線</x:v>
      </x:c>
      <x:c r="Q784" s="19" t="str">
        <x:v>S12_061_GE_10000</x:v>
      </x:c>
      <x:c r="R784" s="19" t="str">
        <x:v>S12_061 usage threshold</x:v>
      </x:c>
      <x:c r="S784" s="19" t="str">
        <x:v>https://nlftp.mlit.go.jp/ksj/gml/datalist/KsjTmplt-S12-2024.html</x:v>
      </x:c>
      <x:c r="T784" s="19" t="str">
        <x:v>https://nlftp.mlit.go.jp/ksj/gml/datalist/KsjTmplt-S12-2024.html</x:v>
      </x:c>
      <x:c r="U784" s="19" t="str">
        <x:v>station-component|太田|東武鉄道|private_rail|36.2942|139.3788|</x:v>
      </x:c>
      <x:c r="V784" s="19" t="str">
        <x:v>002437 / 002437 / 伊勢崎線
002437 / 002438 / 桐生線
002437 / 002439 / 小泉線</x:v>
      </x:c>
      <x:c r="W784" s="18" t="str">
        <x:v>否</x:v>
      </x:c>
      <x:c r="X784" s="18" t="str">
        <x:v>0785e932a32b3ec15e1a1345537ae145eafe1c07bf38d5c16c11ee2b391e7a28</x:v>
      </x:c>
      <x:c r="Y784" s="20" t="n">
        <x:v>1</x:v>
      </x:c>
      <x:c r="Z784" s="20" t="n">
        <x:v>1</x:v>
      </x:c>
      <x:c r="AA784" s="19"/>
      <x:c r="AB784" s="18"/>
      <x:c r="AC784" s="19"/>
    </x:row>
    <x:row r="785" ht="33" customHeight="1">
      <x:c r="A785" s="18" t="str">
        <x:v>太田川</x:v>
      </x:c>
      <x:c r="B785" s="18" t="str">
        <x:v>名古屋鉄道</x:v>
      </x:c>
      <x:c r="C785" s="18" t="str">
        <x:v>private_rail</x:v>
      </x:c>
      <x:c r="D785" s="19" t="str">
        <x:v>T2</x:v>
      </x:c>
      <x:c r="E785" s="20" t="n">
        <x:v>20284</x:v>
      </x:c>
      <x:c r="F785" s="18" t="str">
        <x:v>persons/day</x:v>
      </x:c>
      <x:c r="G785" s="18" t="str">
        <x:v>FY2024</x:v>
      </x:c>
      <x:c r="H785" s="18" t="str">
        <x:v>否</x:v>
      </x:c>
      <x:c r="I785" s="19" t="str">
        <x:v>DAILY_ENTRIES_EXITS</x:v>
      </x:c>
      <x:c r="J785" s="19" t="str">
        <x:v>常滑線
河和線</x:v>
      </x:c>
      <x:c r="K785" s="18" t="str">
        <x:v>transport-node:badc162f-8a08-5b37-8c44-0990c371e8bc</x:v>
      </x:c>
      <x:c r="L785" s="19" t="str">
        <x:v>组件待审核</x:v>
      </x:c>
      <x:c r="M785" s="21" t="n">
        <x:v>35.020305</x:v>
      </x:c>
      <x:c r="N785" s="21" t="n">
        <x:v>136.89257</x:v>
      </x:c>
      <x:c r="O785" s="18" t="str">
        <x:v>005912</x:v>
      </x:c>
      <x:c r="P785" s="18" t="str">
        <x:v>常滑線</x:v>
      </x:c>
      <x:c r="Q785" s="19" t="str">
        <x:v>S12_061_GE_10000</x:v>
      </x:c>
      <x:c r="R785" s="19" t="str">
        <x:v>S12_061 usage threshold</x:v>
      </x:c>
      <x:c r="S785" s="19" t="str">
        <x:v>https://nlftp.mlit.go.jp/ksj/gml/datalist/KsjTmplt-S12-2024.html</x:v>
      </x:c>
      <x:c r="T785" s="19" t="str">
        <x:v>https://nlftp.mlit.go.jp/ksj/gml/datalist/KsjTmplt-S12-2024.html</x:v>
      </x:c>
      <x:c r="U785" s="19" t="str">
        <x:v>station-component|太田川|名古屋鉄道|private_rail|35.0203|136.8926|</x:v>
      </x:c>
      <x:c r="V785" s="19" t="str">
        <x:v>005911 / 005911 / 河和線
005911 / 005912 / 常滑線</x:v>
      </x:c>
      <x:c r="W785" s="18" t="str">
        <x:v>否</x:v>
      </x:c>
      <x:c r="X785" s="18" t="str">
        <x:v>0785e932a32b3ec15e1a1345537ae145eafe1c07bf38d5c16c11ee2b391e7a28</x:v>
      </x:c>
      <x:c r="Y785" s="20" t="n">
        <x:v>1</x:v>
      </x:c>
      <x:c r="Z785" s="20" t="n">
        <x:v>1</x:v>
      </x:c>
      <x:c r="AA785" s="19"/>
      <x:c r="AB785" s="18"/>
      <x:c r="AC785" s="19"/>
    </x:row>
    <x:row r="786" ht="28" customHeight="1">
      <x:c r="A786" s="18" t="str">
        <x:v>太秦天神川</x:v>
      </x:c>
      <x:c r="B786" s="18" t="str">
        <x:v>京都市</x:v>
      </x:c>
      <x:c r="C786" s="18" t="str">
        <x:v>metro</x:v>
      </x:c>
      <x:c r="D786" s="19" t="str">
        <x:v>T2</x:v>
      </x:c>
      <x:c r="E786" s="20" t="n">
        <x:v>17708</x:v>
      </x:c>
      <x:c r="F786" s="18" t="str">
        <x:v>persons/day</x:v>
      </x:c>
      <x:c r="G786" s="18" t="str">
        <x:v>FY2024</x:v>
      </x:c>
      <x:c r="H786" s="18" t="str">
        <x:v>否</x:v>
      </x:c>
      <x:c r="I786" s="19" t="str">
        <x:v>DAILY_ENTRIES_EXITS</x:v>
      </x:c>
      <x:c r="J786" s="19" t="str">
        <x:v>東西線</x:v>
      </x:c>
      <x:c r="K786" s="18" t="str">
        <x:v>transport-node:1aa03774-a5d0-52b2-9440-de45e086e355</x:v>
      </x:c>
      <x:c r="L786" s="19" t="str">
        <x:v>组件待审核</x:v>
      </x:c>
      <x:c r="M786" s="21" t="n">
        <x:v>35.01094</x:v>
      </x:c>
      <x:c r="N786" s="21" t="n">
        <x:v>135.716055</x:v>
      </x:c>
      <x:c r="O786" s="18" t="str">
        <x:v>005959</x:v>
      </x:c>
      <x:c r="P786" s="18" t="str">
        <x:v>東西線</x:v>
      </x:c>
      <x:c r="Q786" s="19" t="str">
        <x:v>S12_061_GE_10000</x:v>
      </x:c>
      <x:c r="R786" s="19" t="str">
        <x:v>S12_061 usage threshold</x:v>
      </x:c>
      <x:c r="S786" s="19" t="str">
        <x:v>https://nlftp.mlit.go.jp/ksj/gml/datalist/KsjTmplt-S12-2024.html</x:v>
      </x:c>
      <x:c r="T786" s="19" t="str">
        <x:v>https://nlftp.mlit.go.jp/ksj/gml/datalist/KsjTmplt-S12-2024.html</x:v>
      </x:c>
      <x:c r="U786" s="19" t="str">
        <x:v>station-component|太秦天神川|京都市|metro|35.0109|135.7161|</x:v>
      </x:c>
      <x:c r="V786" s="19" t="str">
        <x:v>005959 / 005959 / 東西線</x:v>
      </x:c>
      <x:c r="W786" s="18" t="str">
        <x:v>否</x:v>
      </x:c>
      <x:c r="X786" s="18" t="str">
        <x:v>0785e932a32b3ec15e1a1345537ae145eafe1c07bf38d5c16c11ee2b391e7a28</x:v>
      </x:c>
      <x:c r="Y786" s="20" t="n">
        <x:v>1</x:v>
      </x:c>
      <x:c r="Z786" s="20" t="n">
        <x:v>1</x:v>
      </x:c>
      <x:c r="AA786" s="19"/>
      <x:c r="AB786" s="18"/>
      <x:c r="AC786" s="19"/>
    </x:row>
    <x:row r="787" ht="28" customHeight="1">
      <x:c r="A787" s="18" t="str">
        <x:v>太閤通</x:v>
      </x:c>
      <x:c r="B787" s="18" t="str">
        <x:v>名古屋市</x:v>
      </x:c>
      <x:c r="C787" s="18" t="str">
        <x:v>metro</x:v>
      </x:c>
      <x:c r="D787" s="19" t="str">
        <x:v>T2</x:v>
      </x:c>
      <x:c r="E787" s="20" t="n">
        <x:v>13096</x:v>
      </x:c>
      <x:c r="F787" s="18" t="str">
        <x:v>persons/day</x:v>
      </x:c>
      <x:c r="G787" s="18" t="str">
        <x:v>FY2024</x:v>
      </x:c>
      <x:c r="H787" s="18" t="str">
        <x:v>否</x:v>
      </x:c>
      <x:c r="I787" s="19" t="str">
        <x:v>DAILY_ENTRIES_EXITS</x:v>
      </x:c>
      <x:c r="J787" s="19" t="str">
        <x:v>6号線桜通線</x:v>
      </x:c>
      <x:c r="K787" s="18" t="str">
        <x:v>transport-node:6c6b6272-0069-5781-bdbe-873dd82a22a3</x:v>
      </x:c>
      <x:c r="L787" s="19" t="str">
        <x:v>组件待审核</x:v>
      </x:c>
      <x:c r="M787" s="21" t="n">
        <x:v>35.16763</x:v>
      </x:c>
      <x:c r="N787" s="21" t="n">
        <x:v>136.873385</x:v>
      </x:c>
      <x:c r="O787" s="18" t="str">
        <x:v>005476</x:v>
      </x:c>
      <x:c r="P787" s="18" t="str">
        <x:v>6号線桜通線</x:v>
      </x:c>
      <x:c r="Q787" s="19" t="str">
        <x:v>S12_061_GE_10000</x:v>
      </x:c>
      <x:c r="R787" s="19" t="str">
        <x:v>S12_061 usage threshold</x:v>
      </x:c>
      <x:c r="S787" s="19" t="str">
        <x:v>https://nlftp.mlit.go.jp/ksj/gml/datalist/KsjTmplt-S12-2024.html</x:v>
      </x:c>
      <x:c r="T787" s="19" t="str">
        <x:v>https://nlftp.mlit.go.jp/ksj/gml/datalist/KsjTmplt-S12-2024.html</x:v>
      </x:c>
      <x:c r="U787" s="19" t="str">
        <x:v>station-component|太閤通|名古屋市|metro|35.1676|136.8734|</x:v>
      </x:c>
      <x:c r="V787" s="19" t="str">
        <x:v>005476 / 005476 / 6号線桜通線</x:v>
      </x:c>
      <x:c r="W787" s="18" t="str">
        <x:v>否</x:v>
      </x:c>
      <x:c r="X787" s="18" t="str">
        <x:v>0785e932a32b3ec15e1a1345537ae145eafe1c07bf38d5c16c11ee2b391e7a28</x:v>
      </x:c>
      <x:c r="Y787" s="20" t="n">
        <x:v>1</x:v>
      </x:c>
      <x:c r="Z787" s="20" t="n">
        <x:v>1</x:v>
      </x:c>
      <x:c r="AA787" s="19"/>
      <x:c r="AB787" s="18"/>
      <x:c r="AC787" s="19"/>
    </x:row>
    <x:row r="788" ht="33" customHeight="1">
      <x:c r="A788" s="18" t="str">
        <x:v>奈良</x:v>
      </x:c>
      <x:c r="B788" s="18" t="str">
        <x:v>西日本旅客鉄道</x:v>
      </x:c>
      <x:c r="C788" s="18" t="str">
        <x:v>conventional_rail</x:v>
      </x:c>
      <x:c r="D788" s="19" t="str">
        <x:v>T2</x:v>
      </x:c>
      <x:c r="E788" s="20" t="n">
        <x:v>36318</x:v>
      </x:c>
      <x:c r="F788" s="18" t="str">
        <x:v>persons/day</x:v>
      </x:c>
      <x:c r="G788" s="18" t="str">
        <x:v>FY2024</x:v>
      </x:c>
      <x:c r="H788" s="18" t="str">
        <x:v>否</x:v>
      </x:c>
      <x:c r="I788" s="19" t="str">
        <x:v>DAILY_ENTRIES_EXITS</x:v>
      </x:c>
      <x:c r="J788" s="19" t="str">
        <x:v>桜井線
関西線</x:v>
      </x:c>
      <x:c r="K788" s="18" t="str">
        <x:v>transport-node:8d41d891-17f0-514f-b0af-ccc7624f8570</x:v>
      </x:c>
      <x:c r="L788" s="19" t="str">
        <x:v>组件待审核</x:v>
      </x:c>
      <x:c r="M788" s="21" t="n">
        <x:v>34.680495</x:v>
      </x:c>
      <x:c r="N788" s="21" t="n">
        <x:v>135.81885</x:v>
      </x:c>
      <x:c r="O788" s="18" t="str">
        <x:v>007210</x:v>
      </x:c>
      <x:c r="P788" s="18" t="str">
        <x:v>関西線</x:v>
      </x:c>
      <x:c r="Q788" s="19" t="str">
        <x:v>S12_061_GE_10000
OFFICIAL_HUB_COMPONENT_REVIEW</x:v>
      </x:c>
      <x:c r="R788" s="19" t="str">
        <x:v>S12_061 usage threshold</x:v>
      </x:c>
      <x:c r="S788" s="19" t="str">
        <x:v>https://nlftp.mlit.go.jp/ksj/gml/datalist/KsjTmplt-S12-2024.html</x:v>
      </x:c>
      <x:c r="T788" s="19" t="str">
        <x:v>https://eki.jr-odekake.net/premises?id=0620816
https://nlftp.mlit.go.jp/ksj/gml/datalist/KsjTmplt-S12-2024.html</x:v>
      </x:c>
      <x:c r="U788" s="19" t="str">
        <x:v>station-component|奈良|西日本旅客鉄道|conventional_rail|34.6805|135.8188|</x:v>
      </x:c>
      <x:c r="V788" s="19" t="str">
        <x:v>007210 / 007210 / 関西線
007210 / 007211 / 桜井線</x:v>
      </x:c>
      <x:c r="W788" s="18" t="str">
        <x:v>否</x:v>
      </x:c>
      <x:c r="X788" s="18" t="str">
        <x:v>0785e932a32b3ec15e1a1345537ae145eafe1c07bf38d5c16c11ee2b391e7a28</x:v>
      </x:c>
      <x:c r="Y788" s="20" t="n">
        <x:v>1</x:v>
      </x:c>
      <x:c r="Z788" s="20" t="n">
        <x:v>1</x:v>
      </x:c>
      <x:c r="AA788" s="19" t="str">
        <x:v>奈良</x:v>
      </x:c>
      <x:c r="AB788" s="18" t="str">
        <x:v>transport-hub-review:6dfe15f9-1668-5999-a7b0-e8ccdd825a07</x:v>
      </x:c>
      <x:c r="AC788" s="19"/>
    </x:row>
    <x:row r="789" ht="28" customHeight="1">
      <x:c r="A789" s="18" t="str">
        <x:v>奥沢</x:v>
      </x:c>
      <x:c r="B789" s="18" t="str">
        <x:v>東急電鉄</x:v>
      </x:c>
      <x:c r="C789" s="18" t="str">
        <x:v>private_rail</x:v>
      </x:c>
      <x:c r="D789" s="19" t="str">
        <x:v>T2</x:v>
      </x:c>
      <x:c r="E789" s="20" t="n">
        <x:v>12146</x:v>
      </x:c>
      <x:c r="F789" s="18" t="str">
        <x:v>persons/day</x:v>
      </x:c>
      <x:c r="G789" s="18" t="str">
        <x:v>FY2024</x:v>
      </x:c>
      <x:c r="H789" s="18" t="str">
        <x:v>否</x:v>
      </x:c>
      <x:c r="I789" s="19" t="str">
        <x:v>DAILY_ENTRIES_EXITS</x:v>
      </x:c>
      <x:c r="J789" s="19" t="str">
        <x:v>目黒線</x:v>
      </x:c>
      <x:c r="K789" s="18" t="str">
        <x:v>transport-node:21d6a816-5f2d-534e-87de-5185e9099509</x:v>
      </x:c>
      <x:c r="L789" s="19" t="str">
        <x:v>组件待审核</x:v>
      </x:c>
      <x:c r="M789" s="21" t="n">
        <x:v>35.603945</x:v>
      </x:c>
      <x:c r="N789" s="21" t="n">
        <x:v>139.67241</x:v>
      </x:c>
      <x:c r="O789" s="18" t="str">
        <x:v>004223</x:v>
      </x:c>
      <x:c r="P789" s="18" t="str">
        <x:v>目黒線</x:v>
      </x:c>
      <x:c r="Q789" s="19" t="str">
        <x:v>S12_061_GE_10000</x:v>
      </x:c>
      <x:c r="R789" s="19" t="str">
        <x:v>S12_061 usage threshold</x:v>
      </x:c>
      <x:c r="S789" s="19" t="str">
        <x:v>https://nlftp.mlit.go.jp/ksj/gml/datalist/KsjTmplt-S12-2024.html</x:v>
      </x:c>
      <x:c r="T789" s="19" t="str">
        <x:v>https://nlftp.mlit.go.jp/ksj/gml/datalist/KsjTmplt-S12-2024.html</x:v>
      </x:c>
      <x:c r="U789" s="19" t="str">
        <x:v>station-component|奥沢|東急電鉄|private_rail|35.6039|139.6724|</x:v>
      </x:c>
      <x:c r="V789" s="19" t="str">
        <x:v>004223 / 004223 / 目黒線</x:v>
      </x:c>
      <x:c r="W789" s="18" t="str">
        <x:v>否</x:v>
      </x:c>
      <x:c r="X789" s="18" t="str">
        <x:v>0785e932a32b3ec15e1a1345537ae145eafe1c07bf38d5c16c11ee2b391e7a28</x:v>
      </x:c>
      <x:c r="Y789" s="20" t="n">
        <x:v>1</x:v>
      </x:c>
      <x:c r="Z789" s="20" t="n">
        <x:v>1</x:v>
      </x:c>
      <x:c r="AA789" s="19"/>
      <x:c r="AB789" s="18"/>
      <x:c r="AC789" s="19"/>
    </x:row>
    <x:row r="790" ht="33" customHeight="1">
      <x:c r="A790" s="18" t="str">
        <x:v>奥津軽いまべつ</x:v>
      </x:c>
      <x:c r="B790" s="18" t="str">
        <x:v>北海道旅客鉄道</x:v>
      </x:c>
      <x:c r="C790" s="18" t="str">
        <x:v>shinkansen</x:v>
      </x:c>
      <x:c r="D790" s="19" t="str">
        <x:v>T3</x:v>
      </x:c>
      <x:c r="E790" s="20" t="n">
        <x:v>40</x:v>
      </x:c>
      <x:c r="F790" s="18" t="str">
        <x:v>persons/day</x:v>
      </x:c>
      <x:c r="G790" s="18" t="str">
        <x:v>FY2024</x:v>
      </x:c>
      <x:c r="H790" s="18" t="str">
        <x:v>否</x:v>
      </x:c>
      <x:c r="I790" s="19" t="str">
        <x:v>DAILY_ENTRIES_EXITS</x:v>
      </x:c>
      <x:c r="J790" s="19" t="str">
        <x:v>北海道新幹線</x:v>
      </x:c>
      <x:c r="K790" s="18" t="str">
        <x:v>transport-node:58389fa4-e5c0-555d-8a5a-54adce87bc2a</x:v>
      </x:c>
      <x:c r="L790" s="19" t="str">
        <x:v>组件待审核</x:v>
      </x:c>
      <x:c r="M790" s="21" t="n">
        <x:v>41.1449411</x:v>
      </x:c>
      <x:c r="N790" s="21" t="n">
        <x:v>140.515612</x:v>
      </x:c>
      <x:c r="O790" s="18" t="str">
        <x:v>000491</x:v>
      </x:c>
      <x:c r="P790" s="18" t="str">
        <x:v>北海道新幹線</x:v>
      </x:c>
      <x:c r="Q790" s="19" t="str">
        <x:v>SHINKANSEN</x:v>
      </x:c>
      <x:c r="R790" s="19" t="str">
        <x:v>S12_061 usage threshold; low-flow inclusion justified by Shinkansen inventory</x:v>
      </x:c>
      <x:c r="S790" s="19" t="str">
        <x:v>https://nlftp.mlit.go.jp/ksj/gml/datalist/KsjTmplt-S12-2024.html</x:v>
      </x:c>
      <x:c r="T790" s="19" t="str">
        <x:v>https://nlftp.mlit.go.jp/ksj/gml/datalist/KsjTmplt-S12-2024.html</x:v>
      </x:c>
      <x:c r="U790" s="19" t="str">
        <x:v>station-component|奥津軽いまべつ|北海道旅客鉄道|shinkansen|41.1449|140.5156|</x:v>
      </x:c>
      <x:c r="V790" s="19" t="str">
        <x:v>000491 / 000491 / 北海道新幹線</x:v>
      </x:c>
      <x:c r="W790" s="18" t="str">
        <x:v>否</x:v>
      </x:c>
      <x:c r="X790" s="18" t="str">
        <x:v>0785e932a32b3ec15e1a1345537ae145eafe1c07bf38d5c16c11ee2b391e7a28</x:v>
      </x:c>
      <x:c r="Y790" s="20" t="n">
        <x:v>1</x:v>
      </x:c>
      <x:c r="Z790" s="20" t="n">
        <x:v>1</x:v>
      </x:c>
      <x:c r="AA790" s="19"/>
      <x:c r="AB790" s="18"/>
      <x:c r="AC790" s="19"/>
    </x:row>
    <x:row r="791" ht="28" customHeight="1">
      <x:c r="A791" s="18" t="str">
        <x:v>妙典</x:v>
      </x:c>
      <x:c r="B791" s="18" t="str">
        <x:v>東京地下鉄</x:v>
      </x:c>
      <x:c r="C791" s="18" t="str">
        <x:v>metro</x:v>
      </x:c>
      <x:c r="D791" s="19" t="str">
        <x:v>T1</x:v>
      </x:c>
      <x:c r="E791" s="20" t="n">
        <x:v>50244</x:v>
      </x:c>
      <x:c r="F791" s="18" t="str">
        <x:v>persons/day</x:v>
      </x:c>
      <x:c r="G791" s="18" t="str">
        <x:v>FY2024</x:v>
      </x:c>
      <x:c r="H791" s="18" t="str">
        <x:v>否</x:v>
      </x:c>
      <x:c r="I791" s="19" t="str">
        <x:v>DAILY_ENTRIES_EXITS</x:v>
      </x:c>
      <x:c r="J791" s="19" t="str">
        <x:v>5号線東西線</x:v>
      </x:c>
      <x:c r="K791" s="18" t="str">
        <x:v>transport-node:28a218a0-4388-587d-a21d-f6919e1fcc06</x:v>
      </x:c>
      <x:c r="L791" s="19" t="str">
        <x:v>组件待审核</x:v>
      </x:c>
      <x:c r="M791" s="21" t="n">
        <x:v>35.6908675</x:v>
      </x:c>
      <x:c r="N791" s="21" t="n">
        <x:v>139.924115</x:v>
      </x:c>
      <x:c r="O791" s="18" t="str">
        <x:v>003686</x:v>
      </x:c>
      <x:c r="P791" s="18" t="str">
        <x:v>5号線東西線</x:v>
      </x:c>
      <x:c r="Q791" s="19" t="str">
        <x:v>S12_061_GE_10000</x:v>
      </x:c>
      <x:c r="R791" s="19" t="str">
        <x:v>S12_061 usage threshold</x:v>
      </x:c>
      <x:c r="S791" s="19" t="str">
        <x:v>https://nlftp.mlit.go.jp/ksj/gml/datalist/KsjTmplt-S12-2024.html</x:v>
      </x:c>
      <x:c r="T791" s="19" t="str">
        <x:v>https://nlftp.mlit.go.jp/ksj/gml/datalist/KsjTmplt-S12-2024.html</x:v>
      </x:c>
      <x:c r="U791" s="19" t="str">
        <x:v>station-component|妙典|東京地下鉄|metro|35.6909|139.9241|</x:v>
      </x:c>
      <x:c r="V791" s="19" t="str">
        <x:v>003686 / 003686 / 5号線東西線</x:v>
      </x:c>
      <x:c r="W791" s="18" t="str">
        <x:v>否</x:v>
      </x:c>
      <x:c r="X791" s="18" t="str">
        <x:v>0785e932a32b3ec15e1a1345537ae145eafe1c07bf38d5c16c11ee2b391e7a28</x:v>
      </x:c>
      <x:c r="Y791" s="20" t="n">
        <x:v>1</x:v>
      </x:c>
      <x:c r="Z791" s="20" t="n">
        <x:v>1</x:v>
      </x:c>
      <x:c r="AA791" s="19"/>
      <x:c r="AB791" s="18"/>
      <x:c r="AC791" s="19"/>
    </x:row>
    <x:row r="792" ht="28" customHeight="1">
      <x:c r="A792" s="18" t="str">
        <x:v>妙法寺</x:v>
      </x:c>
      <x:c r="B792" s="18" t="str">
        <x:v>神戸市</x:v>
      </x:c>
      <x:c r="C792" s="18" t="str">
        <x:v>metro</x:v>
      </x:c>
      <x:c r="D792" s="19" t="str">
        <x:v>T2</x:v>
      </x:c>
      <x:c r="E792" s="20" t="n">
        <x:v>22562</x:v>
      </x:c>
      <x:c r="F792" s="18" t="str">
        <x:v>persons/day</x:v>
      </x:c>
      <x:c r="G792" s="18" t="str">
        <x:v>FY2024</x:v>
      </x:c>
      <x:c r="H792" s="18" t="str">
        <x:v>否</x:v>
      </x:c>
      <x:c r="I792" s="19" t="str">
        <x:v>DAILY_ENTRIES_EXITS</x:v>
      </x:c>
      <x:c r="J792" s="19" t="str">
        <x:v>西神線</x:v>
      </x:c>
      <x:c r="K792" s="18" t="str">
        <x:v>transport-node:2925b153-0f67-54e1-902c-4ca3675325d5</x:v>
      </x:c>
      <x:c r="L792" s="19" t="str">
        <x:v>组件待审核</x:v>
      </x:c>
      <x:c r="M792" s="21" t="n">
        <x:v>34.675</x:v>
      </x:c>
      <x:c r="N792" s="21" t="n">
        <x:v>135.110365</x:v>
      </x:c>
      <x:c r="O792" s="18" t="str">
        <x:v>007257</x:v>
      </x:c>
      <x:c r="P792" s="18" t="str">
        <x:v>西神線</x:v>
      </x:c>
      <x:c r="Q792" s="19" t="str">
        <x:v>S12_061_GE_10000</x:v>
      </x:c>
      <x:c r="R792" s="19" t="str">
        <x:v>S12_061 usage threshold</x:v>
      </x:c>
      <x:c r="S792" s="19" t="str">
        <x:v>https://nlftp.mlit.go.jp/ksj/gml/datalist/KsjTmplt-S12-2024.html</x:v>
      </x:c>
      <x:c r="T792" s="19" t="str">
        <x:v>https://nlftp.mlit.go.jp/ksj/gml/datalist/KsjTmplt-S12-2024.html</x:v>
      </x:c>
      <x:c r="U792" s="19" t="str">
        <x:v>station-component|妙法寺|神戸市|metro|34.6750|135.1104|</x:v>
      </x:c>
      <x:c r="V792" s="19" t="str">
        <x:v>007257 / 007257 / 西神線</x:v>
      </x:c>
      <x:c r="W792" s="18" t="str">
        <x:v>否</x:v>
      </x:c>
      <x:c r="X792" s="18" t="str">
        <x:v>0785e932a32b3ec15e1a1345537ae145eafe1c07bf38d5c16c11ee2b391e7a28</x:v>
      </x:c>
      <x:c r="Y792" s="20" t="n">
        <x:v>1</x:v>
      </x:c>
      <x:c r="Z792" s="20" t="n">
        <x:v>1</x:v>
      </x:c>
      <x:c r="AA792" s="19"/>
      <x:c r="AB792" s="18"/>
      <x:c r="AC792" s="19"/>
    </x:row>
    <x:row r="793" ht="28" customHeight="1">
      <x:c r="A793" s="18" t="str">
        <x:v>妙蓮寺</x:v>
      </x:c>
      <x:c r="B793" s="18" t="str">
        <x:v>東急電鉄</x:v>
      </x:c>
      <x:c r="C793" s="18" t="str">
        <x:v>private_rail</x:v>
      </x:c>
      <x:c r="D793" s="19" t="str">
        <x:v>T2</x:v>
      </x:c>
      <x:c r="E793" s="20" t="n">
        <x:v>24996</x:v>
      </x:c>
      <x:c r="F793" s="18" t="str">
        <x:v>persons/day</x:v>
      </x:c>
      <x:c r="G793" s="18" t="str">
        <x:v>FY2024</x:v>
      </x:c>
      <x:c r="H793" s="18" t="str">
        <x:v>否</x:v>
      </x:c>
      <x:c r="I793" s="19" t="str">
        <x:v>DAILY_ENTRIES_EXITS</x:v>
      </x:c>
      <x:c r="J793" s="19" t="str">
        <x:v>東横線</x:v>
      </x:c>
      <x:c r="K793" s="18" t="str">
        <x:v>transport-node:093d6197-f55e-5aa5-8310-b6f3c10634f6</x:v>
      </x:c>
      <x:c r="L793" s="19" t="str">
        <x:v>组件待审核</x:v>
      </x:c>
      <x:c r="M793" s="21" t="n">
        <x:v>35.498775</x:v>
      </x:c>
      <x:c r="N793" s="21" t="n">
        <x:v>139.633305</x:v>
      </x:c>
      <x:c r="O793" s="18" t="str">
        <x:v>004528</x:v>
      </x:c>
      <x:c r="P793" s="18" t="str">
        <x:v>東横線</x:v>
      </x:c>
      <x:c r="Q793" s="19" t="str">
        <x:v>S12_061_GE_10000</x:v>
      </x:c>
      <x:c r="R793" s="19" t="str">
        <x:v>S12_061 usage threshold</x:v>
      </x:c>
      <x:c r="S793" s="19" t="str">
        <x:v>https://nlftp.mlit.go.jp/ksj/gml/datalist/KsjTmplt-S12-2024.html</x:v>
      </x:c>
      <x:c r="T793" s="19" t="str">
        <x:v>https://nlftp.mlit.go.jp/ksj/gml/datalist/KsjTmplt-S12-2024.html</x:v>
      </x:c>
      <x:c r="U793" s="19" t="str">
        <x:v>station-component|妙蓮寺|東急電鉄|private_rail|35.4988|139.6333|</x:v>
      </x:c>
      <x:c r="V793" s="19" t="str">
        <x:v>004528 / 004528 / 東横線</x:v>
      </x:c>
      <x:c r="W793" s="18" t="str">
        <x:v>否</x:v>
      </x:c>
      <x:c r="X793" s="18" t="str">
        <x:v>0785e932a32b3ec15e1a1345537ae145eafe1c07bf38d5c16c11ee2b391e7a28</x:v>
      </x:c>
      <x:c r="Y793" s="20" t="n">
        <x:v>1</x:v>
      </x:c>
      <x:c r="Z793" s="20" t="n">
        <x:v>1</x:v>
      </x:c>
      <x:c r="AA793" s="19"/>
      <x:c r="AB793" s="18"/>
      <x:c r="AC793" s="19"/>
    </x:row>
    <x:row r="794" ht="28" customHeight="1">
      <x:c r="A794" s="18" t="str">
        <x:v>姉ヶ崎</x:v>
      </x:c>
      <x:c r="B794" s="18" t="str">
        <x:v>東日本旅客鉄道</x:v>
      </x:c>
      <x:c r="C794" s="18" t="str">
        <x:v>conventional_rail</x:v>
      </x:c>
      <x:c r="D794" s="19" t="str">
        <x:v>T2</x:v>
      </x:c>
      <x:c r="E794" s="20" t="n">
        <x:v>18488</x:v>
      </x:c>
      <x:c r="F794" s="18" t="str">
        <x:v>persons/day</x:v>
      </x:c>
      <x:c r="G794" s="18" t="str">
        <x:v>FY2024</x:v>
      </x:c>
      <x:c r="H794" s="18" t="str">
        <x:v>否</x:v>
      </x:c>
      <x:c r="I794" s="19" t="str">
        <x:v>DAILY_ENTRIES_EXITS</x:v>
      </x:c>
      <x:c r="J794" s="19" t="str">
        <x:v>内房線</x:v>
      </x:c>
      <x:c r="K794" s="18" t="str">
        <x:v>transport-node:02c5415c-2fbb-5c4c-a9ca-c18f4a5d6fe2</x:v>
      </x:c>
      <x:c r="L794" s="19" t="str">
        <x:v>组件待审核</x:v>
      </x:c>
      <x:c r="M794" s="21" t="n">
        <x:v>35.47865</x:v>
      </x:c>
      <x:c r="N794" s="21" t="n">
        <x:v>140.0419333</x:v>
      </x:c>
      <x:c r="O794" s="18" t="str">
        <x:v>004591</x:v>
      </x:c>
      <x:c r="P794" s="18" t="str">
        <x:v>内房線</x:v>
      </x:c>
      <x:c r="Q794" s="19" t="str">
        <x:v>S12_061_GE_10000</x:v>
      </x:c>
      <x:c r="R794" s="19" t="str">
        <x:v>S12_061 usage threshold</x:v>
      </x:c>
      <x:c r="S794" s="19" t="str">
        <x:v>https://nlftp.mlit.go.jp/ksj/gml/datalist/KsjTmplt-S12-2024.html</x:v>
      </x:c>
      <x:c r="T794" s="19" t="str">
        <x:v>https://nlftp.mlit.go.jp/ksj/gml/datalist/KsjTmplt-S12-2024.html</x:v>
      </x:c>
      <x:c r="U794" s="19" t="str">
        <x:v>station-component|姉ヶ崎|東日本旅客鉄道|conventional_rail|35.4787|140.0419|</x:v>
      </x:c>
      <x:c r="V794" s="19" t="str">
        <x:v>004591 / 004591 / 内房線</x:v>
      </x:c>
      <x:c r="W794" s="18" t="str">
        <x:v>否</x:v>
      </x:c>
      <x:c r="X794" s="18" t="str">
        <x:v>0785e932a32b3ec15e1a1345537ae145eafe1c07bf38d5c16c11ee2b391e7a28</x:v>
      </x:c>
      <x:c r="Y794" s="20" t="n">
        <x:v>1</x:v>
      </x:c>
      <x:c r="Z794" s="20" t="n">
        <x:v>1</x:v>
      </x:c>
      <x:c r="AA794" s="19"/>
      <x:c r="AB794" s="18"/>
      <x:c r="AC794" s="19"/>
    </x:row>
    <x:row r="795" ht="33" customHeight="1">
      <x:c r="A795" s="18" t="str">
        <x:v>姪浜</x:v>
      </x:c>
      <x:c r="B795" s="18" t="str">
        <x:v>九州旅客鉄道</x:v>
      </x:c>
      <x:c r="C795" s="18" t="str">
        <x:v>conventional_rail</x:v>
      </x:c>
      <x:c r="D795" s="19"/>
      <x:c r="E795" s="20"/>
      <x:c r="F795" s="18"/>
      <x:c r="G795" s="18" t="str">
        <x:v>FY2024</x:v>
      </x:c>
      <x:c r="H795" s="18" t="str">
        <x:v>是</x:v>
      </x:c>
      <x:c r="I795" s="19" t="str">
        <x:v>USAGE_DATA_UNAVAILABLE</x:v>
      </x:c>
      <x:c r="J795" s="19" t="str">
        <x:v>筑肥線</x:v>
      </x:c>
      <x:c r="K795" s="18" t="str">
        <x:v>transport-node:7006c3a0-5873-55fb-9ef9-b97a61a0ac65</x:v>
      </x:c>
      <x:c r="L795" s="19" t="str">
        <x:v>组件待审核</x:v>
      </x:c>
      <x:c r="M795" s="21" t="n">
        <x:v>33.58358</x:v>
      </x:c>
      <x:c r="N795" s="21" t="n">
        <x:v>130.325065</x:v>
      </x:c>
      <x:c r="O795" s="18" t="str">
        <x:v>009046</x:v>
      </x:c>
      <x:c r="P795" s="18" t="str">
        <x:v>筑肥線</x:v>
      </x:c>
      <x:c r="Q795" s="19" t="str">
        <x:v>OFFICIAL_HUB_COMPONENT_REVIEW</x:v>
      </x:c>
      <x:c r="R795" s="19" t="str">
        <x:v>Official S12 usage unavailable; manual tier review required</x:v>
      </x:c>
      <x:c r="S795" s="19" t="str">
        <x:v>https://nlftp.mlit.go.jp/ksj/gml/datalist/KsjTmplt-S12-2024.html</x:v>
      </x:c>
      <x:c r="T795" s="19" t="str">
        <x:v>https://nlftp.mlit.go.jp/ksj/gml/datalist/KsjTmplt-S12-2024.html
https://subway.city.fukuoka.lg.jp/?lan=ja</x:v>
      </x:c>
      <x:c r="U795" s="19" t="str">
        <x:v>station-component|姪浜|九州旅客鉄道|conventional_rail|33.5836|130.3251|</x:v>
      </x:c>
      <x:c r="V795" s="19" t="str">
        <x:v>009046 / 009046 / 筑肥線</x:v>
      </x:c>
      <x:c r="W795" s="18" t="str">
        <x:v>否</x:v>
      </x:c>
      <x:c r="X795" s="18" t="str">
        <x:v>0785e932a32b3ec15e1a1345537ae145eafe1c07bf38d5c16c11ee2b391e7a28</x:v>
      </x:c>
      <x:c r="Y795" s="20" t="n">
        <x:v>1</x:v>
      </x:c>
      <x:c r="Z795" s="20" t="n">
        <x:v>2</x:v>
      </x:c>
      <x:c r="AA795" s="19" t="str">
        <x:v>姪浜</x:v>
      </x:c>
      <x:c r="AB795" s="18" t="str">
        <x:v>transport-hub-review:3b9fef4e-c20c-5421-a812-4208fd956bbd</x:v>
      </x:c>
      <x:c r="AC795" s="19"/>
    </x:row>
    <x:row r="796" ht="33" customHeight="1">
      <x:c r="A796" s="18" t="str">
        <x:v>姪浜</x:v>
      </x:c>
      <x:c r="B796" s="18" t="str">
        <x:v>福岡市</x:v>
      </x:c>
      <x:c r="C796" s="18" t="str">
        <x:v>metro</x:v>
      </x:c>
      <x:c r="D796" s="19" t="str">
        <x:v>T1</x:v>
      </x:c>
      <x:c r="E796" s="20" t="n">
        <x:v>90685</x:v>
      </x:c>
      <x:c r="F796" s="18" t="str">
        <x:v>persons/day</x:v>
      </x:c>
      <x:c r="G796" s="18" t="str">
        <x:v>FY2024</x:v>
      </x:c>
      <x:c r="H796" s="18" t="str">
        <x:v>否</x:v>
      </x:c>
      <x:c r="I796" s="19" t="str">
        <x:v>DAILY_ENTRIES_EXITS</x:v>
      </x:c>
      <x:c r="J796" s="19" t="str">
        <x:v>1号線(空港線)</x:v>
      </x:c>
      <x:c r="K796" s="18" t="str">
        <x:v>transport-node:a7180949-b1e6-5fd3-a49f-dfe45ea691a8</x:v>
      </x:c>
      <x:c r="L796" s="19" t="str">
        <x:v>组件待审核</x:v>
      </x:c>
      <x:c r="M796" s="21" t="n">
        <x:v>33.58358</x:v>
      </x:c>
      <x:c r="N796" s="21" t="n">
        <x:v>130.325065</x:v>
      </x:c>
      <x:c r="O796" s="18" t="str">
        <x:v>009047</x:v>
      </x:c>
      <x:c r="P796" s="18" t="str">
        <x:v>1号線(空港線)</x:v>
      </x:c>
      <x:c r="Q796" s="19" t="str">
        <x:v>S12_061_GE_10000
OFFICIAL_HUB_COMPONENT_REVIEW</x:v>
      </x:c>
      <x:c r="R796" s="19" t="str">
        <x:v>S12_061 usage threshold</x:v>
      </x:c>
      <x:c r="S796" s="19" t="str">
        <x:v>https://nlftp.mlit.go.jp/ksj/gml/datalist/KsjTmplt-S12-2024.html</x:v>
      </x:c>
      <x:c r="T796" s="19" t="str">
        <x:v>https://nlftp.mlit.go.jp/ksj/gml/datalist/KsjTmplt-S12-2024.html
https://subway.city.fukuoka.lg.jp/?lan=ja</x:v>
      </x:c>
      <x:c r="U796" s="19" t="str">
        <x:v>station-component|姪浜|福岡市|metro|33.5836|130.3251|</x:v>
      </x:c>
      <x:c r="V796" s="19" t="str">
        <x:v>009046 / 009047 / 1号線(空港線)</x:v>
      </x:c>
      <x:c r="W796" s="18" t="str">
        <x:v>否</x:v>
      </x:c>
      <x:c r="X796" s="18" t="str">
        <x:v>0785e932a32b3ec15e1a1345537ae145eafe1c07bf38d5c16c11ee2b391e7a28</x:v>
      </x:c>
      <x:c r="Y796" s="20" t="n">
        <x:v>1</x:v>
      </x:c>
      <x:c r="Z796" s="20" t="n">
        <x:v>1</x:v>
      </x:c>
      <x:c r="AA796" s="19" t="str">
        <x:v>姪浜</x:v>
      </x:c>
      <x:c r="AB796" s="18" t="str">
        <x:v>transport-hub-review:3b9fef4e-c20c-5421-a812-4208fd956bbd</x:v>
      </x:c>
      <x:c r="AC796" s="19"/>
    </x:row>
    <x:row r="797" ht="28" customHeight="1">
      <x:c r="A797" s="18" t="str">
        <x:v>姫島</x:v>
      </x:c>
      <x:c r="B797" s="18" t="str">
        <x:v>阪神電気鉄道</x:v>
      </x:c>
      <x:c r="C797" s="18" t="str">
        <x:v>private_rail</x:v>
      </x:c>
      <x:c r="D797" s="19" t="str">
        <x:v>T2</x:v>
      </x:c>
      <x:c r="E797" s="20" t="n">
        <x:v>14060</x:v>
      </x:c>
      <x:c r="F797" s="18" t="str">
        <x:v>persons/day</x:v>
      </x:c>
      <x:c r="G797" s="18" t="str">
        <x:v>FY2024</x:v>
      </x:c>
      <x:c r="H797" s="18" t="str">
        <x:v>否</x:v>
      </x:c>
      <x:c r="I797" s="19" t="str">
        <x:v>DAILY_ENTRIES_EXITS</x:v>
      </x:c>
      <x:c r="J797" s="19" t="str">
        <x:v>本線</x:v>
      </x:c>
      <x:c r="K797" s="18" t="str">
        <x:v>transport-node:33efa2a3-824b-5268-873e-64b0a2ea3a88</x:v>
      </x:c>
      <x:c r="L797" s="19" t="str">
        <x:v>组件待审核</x:v>
      </x:c>
      <x:c r="M797" s="21" t="n">
        <x:v>34.70435</x:v>
      </x:c>
      <x:c r="N797" s="21" t="n">
        <x:v>135.45819</x:v>
      </x:c>
      <x:c r="O797" s="18" t="str">
        <x:v>007057</x:v>
      </x:c>
      <x:c r="P797" s="18" t="str">
        <x:v>本線</x:v>
      </x:c>
      <x:c r="Q797" s="19" t="str">
        <x:v>S12_061_GE_10000</x:v>
      </x:c>
      <x:c r="R797" s="19" t="str">
        <x:v>S12_061 usage threshold</x:v>
      </x:c>
      <x:c r="S797" s="19" t="str">
        <x:v>https://nlftp.mlit.go.jp/ksj/gml/datalist/KsjTmplt-S12-2024.html</x:v>
      </x:c>
      <x:c r="T797" s="19" t="str">
        <x:v>https://nlftp.mlit.go.jp/ksj/gml/datalist/KsjTmplt-S12-2024.html</x:v>
      </x:c>
      <x:c r="U797" s="19" t="str">
        <x:v>station-component|姫島|阪神電気鉄道|private_rail|34.7043|135.4582|</x:v>
      </x:c>
      <x:c r="V797" s="19" t="str">
        <x:v>007057 / 007057 / 本線</x:v>
      </x:c>
      <x:c r="W797" s="18" t="str">
        <x:v>否</x:v>
      </x:c>
      <x:c r="X797" s="18" t="str">
        <x:v>0785e932a32b3ec15e1a1345537ae145eafe1c07bf38d5c16c11ee2b391e7a28</x:v>
      </x:c>
      <x:c r="Y797" s="20" t="n">
        <x:v>1</x:v>
      </x:c>
      <x:c r="Z797" s="20" t="n">
        <x:v>1</x:v>
      </x:c>
      <x:c r="AA797" s="19"/>
      <x:c r="AB797" s="18"/>
      <x:c r="AC797" s="19"/>
    </x:row>
    <x:row r="798" ht="47" customHeight="1">
      <x:c r="A798" s="18" t="str">
        <x:v>姫路</x:v>
      </x:c>
      <x:c r="B798" s="18" t="str">
        <x:v>西日本旅客鉄道</x:v>
      </x:c>
      <x:c r="C798" s="18" t="str">
        <x:v>conventional_rail</x:v>
      </x:c>
      <x:c r="D798" s="19" t="str">
        <x:v>T1</x:v>
      </x:c>
      <x:c r="E798" s="20" t="n">
        <x:v>99298</x:v>
      </x:c>
      <x:c r="F798" s="18" t="str">
        <x:v>persons/day</x:v>
      </x:c>
      <x:c r="G798" s="18" t="str">
        <x:v>FY2024</x:v>
      </x:c>
      <x:c r="H798" s="18" t="str">
        <x:v>否</x:v>
      </x:c>
      <x:c r="I798" s="19" t="str">
        <x:v>DAILY_ENTRIES_EXITS</x:v>
      </x:c>
      <x:c r="J798" s="19" t="str">
        <x:v>姫新線
山陽線
播但線</x:v>
      </x:c>
      <x:c r="K798" s="18" t="str">
        <x:v>transport-node:4b9e1404-d9ae-533d-a302-305e0ff223a1</x:v>
      </x:c>
      <x:c r="L798" s="19" t="str">
        <x:v>组件待审核</x:v>
      </x:c>
      <x:c r="M798" s="21" t="n">
        <x:v>34.826737</x:v>
      </x:c>
      <x:c r="N798" s="21" t="n">
        <x:v>134.690754</x:v>
      </x:c>
      <x:c r="O798" s="18" t="str">
        <x:v>006509</x:v>
      </x:c>
      <x:c r="P798" s="18" t="str">
        <x:v>山陽線</x:v>
      </x:c>
      <x:c r="Q798" s="19" t="str">
        <x:v>S12_061_GE_10000</x:v>
      </x:c>
      <x:c r="R798" s="19" t="str">
        <x:v>S12_061 usage threshold</x:v>
      </x:c>
      <x:c r="S798" s="19" t="str">
        <x:v>https://nlftp.mlit.go.jp/ksj/gml/datalist/KsjTmplt-S12-2024.html</x:v>
      </x:c>
      <x:c r="T798" s="19" t="str">
        <x:v>https://nlftp.mlit.go.jp/ksj/gml/datalist/KsjTmplt-S12-2024.html</x:v>
      </x:c>
      <x:c r="U798" s="19" t="str">
        <x:v>station-component|姫路|西日本旅客鉄道|conventional_rail|34.8267|134.6908|</x:v>
      </x:c>
      <x:c r="V798" s="19" t="str">
        <x:v>006509 / 006502 / 播但線
006509 / 006503 / 姫新線
006509 / 006509 / 山陽線</x:v>
      </x:c>
      <x:c r="W798" s="18" t="str">
        <x:v>否</x:v>
      </x:c>
      <x:c r="X798" s="18" t="str">
        <x:v>0785e932a32b3ec15e1a1345537ae145eafe1c07bf38d5c16c11ee2b391e7a28</x:v>
      </x:c>
      <x:c r="Y798" s="20" t="n">
        <x:v>1</x:v>
      </x:c>
      <x:c r="Z798" s="20" t="n">
        <x:v>1</x:v>
      </x:c>
      <x:c r="AA798" s="19"/>
      <x:c r="AB798" s="18"/>
      <x:c r="AC798" s="19"/>
    </x:row>
    <x:row r="799" ht="33" customHeight="1">
      <x:c r="A799" s="18" t="str">
        <x:v>姫路</x:v>
      </x:c>
      <x:c r="B799" s="18" t="str">
        <x:v>西日本旅客鉄道</x:v>
      </x:c>
      <x:c r="C799" s="18" t="str">
        <x:v>shinkansen</x:v>
      </x:c>
      <x:c r="D799" s="19"/>
      <x:c r="E799" s="20" t="n">
        <x:v>51699</x:v>
      </x:c>
      <x:c r="F799" s="18" t="str">
        <x:v>boardings/day</x:v>
      </x:c>
      <x:c r="G799" s="18" t="str">
        <x:v>FY2025</x:v>
      </x:c>
      <x:c r="H799" s="18" t="str">
        <x:v>是</x:v>
      </x:c>
      <x:c r="I799" s="19" t="str">
        <x:v>STATION_COMPLEX_PROXY</x:v>
      </x:c>
      <x:c r="J799" s="19" t="str">
        <x:v>山陽新幹線</x:v>
      </x:c>
      <x:c r="K799" s="18" t="str">
        <x:v>transport-node:bb8c16d0-3d3e-5e9c-9fd3-5ff933a50c60</x:v>
      </x:c>
      <x:c r="L799" s="19" t="str">
        <x:v>组件待审核</x:v>
      </x:c>
      <x:c r="M799" s="21" t="n">
        <x:v>34.8263733</x:v>
      </x:c>
      <x:c r="N799" s="21" t="n">
        <x:v>134.6912233</x:v>
      </x:c>
      <x:c r="O799" s="18" t="str">
        <x:v>006511</x:v>
      </x:c>
      <x:c r="P799" s="18" t="str">
        <x:v>山陽新幹線</x:v>
      </x:c>
      <x:c r="Q799" s="19" t="str">
        <x:v>SHINKANSEN</x:v>
      </x:c>
      <x:c r="R799" s="19" t="str">
        <x:v>Official fallback retained in published scope/unit; tier remains null pending metric/manual review.</x:v>
      </x:c>
      <x:c r="S799" s="19" t="str">
        <x:v>https://www.westjr.co.jp/company/info/issue/data/pdf/data2026_11.pdf</x:v>
      </x:c>
      <x:c r="T799" s="19" t="str">
        <x:v>https://nlftp.mlit.go.jp/ksj/gml/datalist/KsjTmplt-S12-2024.html
https://www.westjr.co.jp/company/info/issue/data/pdf/data2026_11.pdf</x:v>
      </x:c>
      <x:c r="U799" s="19" t="str">
        <x:v>station-component|姫路|西日本旅客鉄道|shinkansen|34.8264|134.6912|</x:v>
      </x:c>
      <x:c r="V799" s="19" t="str">
        <x:v>006509 / 006511 / 山陽新幹線</x:v>
      </x:c>
      <x:c r="W799" s="18" t="str">
        <x:v>否</x:v>
      </x:c>
      <x:c r="X799" s="18" t="str">
        <x:v>0785e932a32b3ec15e1a1345537ae145eafe1c07bf38d5c16c11ee2b391e7a28</x:v>
      </x:c>
      <x:c r="Y799" s="20" t="n">
        <x:v>1</x:v>
      </x:c>
      <x:c r="Z799" s="20" t="n">
        <x:v>2</x:v>
      </x:c>
      <x:c r="AA799" s="19"/>
      <x:c r="AB799" s="18"/>
      <x:c r="AC799" s="19"/>
    </x:row>
    <x:row r="800" ht="33" customHeight="1">
      <x:c r="A800" s="18" t="str">
        <x:v>嬉野温泉</x:v>
      </x:c>
      <x:c r="B800" s="18" t="str">
        <x:v>九州旅客鉄道</x:v>
      </x:c>
      <x:c r="C800" s="18" t="str">
        <x:v>shinkansen</x:v>
      </x:c>
      <x:c r="D800" s="19"/>
      <x:c r="E800" s="20" t="n">
        <x:v>257</x:v>
      </x:c>
      <x:c r="F800" s="18" t="str">
        <x:v>boardings/day</x:v>
      </x:c>
      <x:c r="G800" s="18" t="str">
        <x:v>FY2024</x:v>
      </x:c>
      <x:c r="H800" s="18" t="str">
        <x:v>是</x:v>
      </x:c>
      <x:c r="I800" s="19" t="str">
        <x:v>DAILY_SHINKANSEN_BOARDINGS</x:v>
      </x:c>
      <x:c r="J800" s="19" t="str">
        <x:v>西九州新幹線</x:v>
      </x:c>
      <x:c r="K800" s="18" t="str">
        <x:v>transport-node:8ee6f28d-20b8-55c4-bec9-89fc88e82ec5</x:v>
      </x:c>
      <x:c r="L800" s="19" t="str">
        <x:v>组件待审核</x:v>
      </x:c>
      <x:c r="M800" s="21" t="n">
        <x:v>33.1066048</x:v>
      </x:c>
      <x:c r="N800" s="21" t="n">
        <x:v>129.9989526</x:v>
      </x:c>
      <x:c r="O800" s="18" t="str">
        <x:v>009578</x:v>
      </x:c>
      <x:c r="P800" s="18" t="str">
        <x:v>西九州新幹線</x:v>
      </x:c>
      <x:c r="Q800" s="19" t="str">
        <x:v>SHINKANSEN</x:v>
      </x:c>
      <x:c r="R800" s="19" t="str">
        <x:v>Official fallback retained in published scope/unit; tier remains null pending metric/manual review.</x:v>
      </x:c>
      <x:c r="S800" s="19" t="str">
        <x:v>https://www.jrkyushu.co.jp/company/info/data/pdf/2024ekibetsu.pdf</x:v>
      </x:c>
      <x:c r="T800" s="19" t="str">
        <x:v>https://nlftp.mlit.go.jp/ksj/gml/datalist/KsjTmplt-S12-2024.html
https://www.jrkyushu.co.jp/company/info/data/pdf/2024ekibetsu.pdf</x:v>
      </x:c>
      <x:c r="U800" s="19" t="str">
        <x:v>station-component|嬉野温泉|九州旅客鉄道|shinkansen|33.1066|129.9990|</x:v>
      </x:c>
      <x:c r="V800" s="19" t="str">
        <x:v>009578 / 009578 / 西九州新幹線</x:v>
      </x:c>
      <x:c r="W800" s="18" t="str">
        <x:v>否</x:v>
      </x:c>
      <x:c r="X800" s="18" t="str">
        <x:v>0785e932a32b3ec15e1a1345537ae145eafe1c07bf38d5c16c11ee2b391e7a28</x:v>
      </x:c>
      <x:c r="Y800" s="20" t="n">
        <x:v>2</x:v>
      </x:c>
      <x:c r="Z800" s="20" t="n">
        <x:v>1</x:v>
      </x:c>
      <x:c r="AA800" s="19"/>
      <x:c r="AB800" s="18"/>
      <x:c r="AC800" s="19"/>
    </x:row>
    <x:row r="801" ht="28" customHeight="1">
      <x:c r="A801" s="18" t="str">
        <x:v>学園前</x:v>
      </x:c>
      <x:c r="B801" s="18" t="str">
        <x:v>札幌市</x:v>
      </x:c>
      <x:c r="C801" s="18" t="str">
        <x:v>metro</x:v>
      </x:c>
      <x:c r="D801" s="19" t="str">
        <x:v>T2</x:v>
      </x:c>
      <x:c r="E801" s="20" t="n">
        <x:v>19636</x:v>
      </x:c>
      <x:c r="F801" s="18" t="str">
        <x:v>persons/day</x:v>
      </x:c>
      <x:c r="G801" s="18" t="str">
        <x:v>FY2024</x:v>
      </x:c>
      <x:c r="H801" s="18" t="str">
        <x:v>否</x:v>
      </x:c>
      <x:c r="I801" s="19" t="str">
        <x:v>DAILY_ENTRIES_EXITS</x:v>
      </x:c>
      <x:c r="J801" s="19" t="str">
        <x:v>東豊線</x:v>
      </x:c>
      <x:c r="K801" s="18" t="str">
        <x:v>transport-node:a25516ca-58b3-5802-8410-1c2259d5eafd</x:v>
      </x:c>
      <x:c r="L801" s="19" t="str">
        <x:v>组件待审核</x:v>
      </x:c>
      <x:c r="M801" s="21" t="n">
        <x:v>43.04771</x:v>
      </x:c>
      <x:c r="N801" s="21" t="n">
        <x:v>141.368955</x:v>
      </x:c>
      <x:c r="O801" s="18" t="str">
        <x:v>000264</x:v>
      </x:c>
      <x:c r="P801" s="18" t="str">
        <x:v>東豊線</x:v>
      </x:c>
      <x:c r="Q801" s="19" t="str">
        <x:v>S12_061_GE_10000</x:v>
      </x:c>
      <x:c r="R801" s="19" t="str">
        <x:v>S12_061 usage threshold</x:v>
      </x:c>
      <x:c r="S801" s="19" t="str">
        <x:v>https://nlftp.mlit.go.jp/ksj/gml/datalist/KsjTmplt-S12-2024.html</x:v>
      </x:c>
      <x:c r="T801" s="19" t="str">
        <x:v>https://nlftp.mlit.go.jp/ksj/gml/datalist/KsjTmplt-S12-2024.html</x:v>
      </x:c>
      <x:c r="U801" s="19" t="str">
        <x:v>station-component|学園前|札幌市|metro|43.0477|141.3690|</x:v>
      </x:c>
      <x:c r="V801" s="19" t="str">
        <x:v>000264 / 000264 / 東豊線</x:v>
      </x:c>
      <x:c r="W801" s="18" t="str">
        <x:v>否</x:v>
      </x:c>
      <x:c r="X801" s="18" t="str">
        <x:v>0785e932a32b3ec15e1a1345537ae145eafe1c07bf38d5c16c11ee2b391e7a28</x:v>
      </x:c>
      <x:c r="Y801" s="20" t="n">
        <x:v>1</x:v>
      </x:c>
      <x:c r="Z801" s="20" t="n">
        <x:v>1</x:v>
      </x:c>
      <x:c r="AA801" s="19"/>
      <x:c r="AB801" s="18"/>
      <x:c r="AC801" s="19"/>
    </x:row>
    <x:row r="802" ht="28" customHeight="1">
      <x:c r="A802" s="18" t="str">
        <x:v>学園前</x:v>
      </x:c>
      <x:c r="B802" s="18" t="str">
        <x:v>近畿日本鉄道</x:v>
      </x:c>
      <x:c r="C802" s="18" t="str">
        <x:v>private_rail</x:v>
      </x:c>
      <x:c r="D802" s="19" t="str">
        <x:v>T2</x:v>
      </x:c>
      <x:c r="E802" s="20" t="n">
        <x:v>43752</x:v>
      </x:c>
      <x:c r="F802" s="18" t="str">
        <x:v>persons/day</x:v>
      </x:c>
      <x:c r="G802" s="18" t="str">
        <x:v>FY2024</x:v>
      </x:c>
      <x:c r="H802" s="18" t="str">
        <x:v>否</x:v>
      </x:c>
      <x:c r="I802" s="19" t="str">
        <x:v>DAILY_ENTRIES_EXITS</x:v>
      </x:c>
      <x:c r="J802" s="19" t="str">
        <x:v>奈良線</x:v>
      </x:c>
      <x:c r="K802" s="18" t="str">
        <x:v>transport-node:7de021b6-e46e-55d0-92a4-fe341e2445f7</x:v>
      </x:c>
      <x:c r="L802" s="19" t="str">
        <x:v>组件待审核</x:v>
      </x:c>
      <x:c r="M802" s="21" t="n">
        <x:v>34.697015</x:v>
      </x:c>
      <x:c r="N802" s="21" t="n">
        <x:v>135.749805</x:v>
      </x:c>
      <x:c r="O802" s="18" t="str">
        <x:v>007094</x:v>
      </x:c>
      <x:c r="P802" s="18" t="str">
        <x:v>奈良線</x:v>
      </x:c>
      <x:c r="Q802" s="19" t="str">
        <x:v>S12_061_GE_10000</x:v>
      </x:c>
      <x:c r="R802" s="19" t="str">
        <x:v>S12_061 usage threshold</x:v>
      </x:c>
      <x:c r="S802" s="19" t="str">
        <x:v>https://nlftp.mlit.go.jp/ksj/gml/datalist/KsjTmplt-S12-2024.html</x:v>
      </x:c>
      <x:c r="T802" s="19" t="str">
        <x:v>https://nlftp.mlit.go.jp/ksj/gml/datalist/KsjTmplt-S12-2024.html</x:v>
      </x:c>
      <x:c r="U802" s="19" t="str">
        <x:v>station-component|学園前|近畿日本鉄道|private_rail|34.6970|135.7498|</x:v>
      </x:c>
      <x:c r="V802" s="19" t="str">
        <x:v>007094 / 007094 / 奈良線</x:v>
      </x:c>
      <x:c r="W802" s="18" t="str">
        <x:v>否</x:v>
      </x:c>
      <x:c r="X802" s="18" t="str">
        <x:v>0785e932a32b3ec15e1a1345537ae145eafe1c07bf38d5c16c11ee2b391e7a28</x:v>
      </x:c>
      <x:c r="Y802" s="20" t="n">
        <x:v>1</x:v>
      </x:c>
      <x:c r="Z802" s="20" t="n">
        <x:v>1</x:v>
      </x:c>
      <x:c r="AA802" s="19"/>
      <x:c r="AB802" s="18"/>
      <x:c r="AC802" s="19"/>
    </x:row>
    <x:row r="803" ht="28" customHeight="1">
      <x:c r="A803" s="18" t="str">
        <x:v>学園都市</x:v>
      </x:c>
      <x:c r="B803" s="18" t="str">
        <x:v>神戸市</x:v>
      </x:c>
      <x:c r="C803" s="18" t="str">
        <x:v>metro</x:v>
      </x:c>
      <x:c r="D803" s="19" t="str">
        <x:v>T2</x:v>
      </x:c>
      <x:c r="E803" s="20" t="n">
        <x:v>26272</x:v>
      </x:c>
      <x:c r="F803" s="18" t="str">
        <x:v>persons/day</x:v>
      </x:c>
      <x:c r="G803" s="18" t="str">
        <x:v>FY2024</x:v>
      </x:c>
      <x:c r="H803" s="18" t="str">
        <x:v>否</x:v>
      </x:c>
      <x:c r="I803" s="19" t="str">
        <x:v>DAILY_ENTRIES_EXITS</x:v>
      </x:c>
      <x:c r="J803" s="19" t="str">
        <x:v>西神延伸線</x:v>
      </x:c>
      <x:c r="K803" s="18" t="str">
        <x:v>transport-node:ce28ae14-591e-5d95-b975-82b6a44c7b6c</x:v>
      </x:c>
      <x:c r="L803" s="19" t="str">
        <x:v>组件待审核</x:v>
      </x:c>
      <x:c r="M803" s="21" t="n">
        <x:v>34.6814367</x:v>
      </x:c>
      <x:c r="N803" s="21" t="n">
        <x:v>135.05734</x:v>
      </x:c>
      <x:c r="O803" s="18" t="str">
        <x:v>007204</x:v>
      </x:c>
      <x:c r="P803" s="18" t="str">
        <x:v>西神延伸線</x:v>
      </x:c>
      <x:c r="Q803" s="19" t="str">
        <x:v>S12_061_GE_10000</x:v>
      </x:c>
      <x:c r="R803" s="19" t="str">
        <x:v>S12_061 usage threshold</x:v>
      </x:c>
      <x:c r="S803" s="19" t="str">
        <x:v>https://nlftp.mlit.go.jp/ksj/gml/datalist/KsjTmplt-S12-2024.html</x:v>
      </x:c>
      <x:c r="T803" s="19" t="str">
        <x:v>https://nlftp.mlit.go.jp/ksj/gml/datalist/KsjTmplt-S12-2024.html</x:v>
      </x:c>
      <x:c r="U803" s="19" t="str">
        <x:v>station-component|学園都市|神戸市|metro|34.6814|135.0573|</x:v>
      </x:c>
      <x:c r="V803" s="19" t="str">
        <x:v>007204 / 007204 / 西神延伸線</x:v>
      </x:c>
      <x:c r="W803" s="18" t="str">
        <x:v>否</x:v>
      </x:c>
      <x:c r="X803" s="18" t="str">
        <x:v>0785e932a32b3ec15e1a1345537ae145eafe1c07bf38d5c16c11ee2b391e7a28</x:v>
      </x:c>
      <x:c r="Y803" s="20" t="n">
        <x:v>1</x:v>
      </x:c>
      <x:c r="Z803" s="20" t="n">
        <x:v>1</x:v>
      </x:c>
      <x:c r="AA803" s="19"/>
      <x:c r="AB803" s="18"/>
      <x:c r="AC803" s="19"/>
    </x:row>
    <x:row r="804" ht="28" customHeight="1">
      <x:c r="A804" s="18" t="str">
        <x:v>学研奈良登美ヶ丘</x:v>
      </x:c>
      <x:c r="B804" s="18" t="str">
        <x:v>近畿日本鉄道</x:v>
      </x:c>
      <x:c r="C804" s="18" t="str">
        <x:v>private_rail</x:v>
      </x:c>
      <x:c r="D804" s="19" t="str">
        <x:v>T2</x:v>
      </x:c>
      <x:c r="E804" s="20" t="n">
        <x:v>13620</x:v>
      </x:c>
      <x:c r="F804" s="18" t="str">
        <x:v>persons/day</x:v>
      </x:c>
      <x:c r="G804" s="18" t="str">
        <x:v>FY2024</x:v>
      </x:c>
      <x:c r="H804" s="18" t="str">
        <x:v>否</x:v>
      </x:c>
      <x:c r="I804" s="19" t="str">
        <x:v>DAILY_ENTRIES_EXITS</x:v>
      </x:c>
      <x:c r="J804" s="19" t="str">
        <x:v>けいはんな線</x:v>
      </x:c>
      <x:c r="K804" s="18" t="str">
        <x:v>transport-node:03d3aa2c-02d3-5dcc-822f-278e0db5c14e</x:v>
      </x:c>
      <x:c r="L804" s="19" t="str">
        <x:v>组件待审核</x:v>
      </x:c>
      <x:c r="M804" s="21" t="n">
        <x:v>34.726385</x:v>
      </x:c>
      <x:c r="N804" s="21" t="n">
        <x:v>135.74916</x:v>
      </x:c>
      <x:c r="O804" s="18" t="str">
        <x:v>006945</x:v>
      </x:c>
      <x:c r="P804" s="18" t="str">
        <x:v>けいはんな線</x:v>
      </x:c>
      <x:c r="Q804" s="19" t="str">
        <x:v>S12_061_GE_10000</x:v>
      </x:c>
      <x:c r="R804" s="19" t="str">
        <x:v>S12_061 usage threshold</x:v>
      </x:c>
      <x:c r="S804" s="19" t="str">
        <x:v>https://nlftp.mlit.go.jp/ksj/gml/datalist/KsjTmplt-S12-2024.html</x:v>
      </x:c>
      <x:c r="T804" s="19" t="str">
        <x:v>https://nlftp.mlit.go.jp/ksj/gml/datalist/KsjTmplt-S12-2024.html</x:v>
      </x:c>
      <x:c r="U804" s="19" t="str">
        <x:v>station-component|学研奈良登美ヶ丘|近畿日本鉄道|private_rail|34.7264|135.7492|</x:v>
      </x:c>
      <x:c r="V804" s="19" t="str">
        <x:v>006945 / 006945 / けいはんな線</x:v>
      </x:c>
      <x:c r="W804" s="18" t="str">
        <x:v>否</x:v>
      </x:c>
      <x:c r="X804" s="18" t="str">
        <x:v>0785e932a32b3ec15e1a1345537ae145eafe1c07bf38d5c16c11ee2b391e7a28</x:v>
      </x:c>
      <x:c r="Y804" s="20" t="n">
        <x:v>1</x:v>
      </x:c>
      <x:c r="Z804" s="20" t="n">
        <x:v>1</x:v>
      </x:c>
      <x:c r="AA804" s="19"/>
      <x:c r="AB804" s="18"/>
      <x:c r="AC804" s="19"/>
    </x:row>
    <x:row r="805" ht="28" customHeight="1">
      <x:c r="A805" s="18" t="str">
        <x:v>学芸大学</x:v>
      </x:c>
      <x:c r="B805" s="18" t="str">
        <x:v>東急電鉄</x:v>
      </x:c>
      <x:c r="C805" s="18" t="str">
        <x:v>private_rail</x:v>
      </x:c>
      <x:c r="D805" s="19" t="str">
        <x:v>T1</x:v>
      </x:c>
      <x:c r="E805" s="20" t="n">
        <x:v>72696</x:v>
      </x:c>
      <x:c r="F805" s="18" t="str">
        <x:v>persons/day</x:v>
      </x:c>
      <x:c r="G805" s="18" t="str">
        <x:v>FY2024</x:v>
      </x:c>
      <x:c r="H805" s="18" t="str">
        <x:v>否</x:v>
      </x:c>
      <x:c r="I805" s="19" t="str">
        <x:v>DAILY_ENTRIES_EXITS</x:v>
      </x:c>
      <x:c r="J805" s="19" t="str">
        <x:v>東横線</x:v>
      </x:c>
      <x:c r="K805" s="18" t="str">
        <x:v>transport-node:cfbe78eb-cd46-52b3-92a7-13a676429c18</x:v>
      </x:c>
      <x:c r="L805" s="19" t="str">
        <x:v>组件待审核</x:v>
      </x:c>
      <x:c r="M805" s="21" t="n">
        <x:v>35.62877</x:v>
      </x:c>
      <x:c r="N805" s="21" t="n">
        <x:v>139.68524</x:v>
      </x:c>
      <x:c r="O805" s="18" t="str">
        <x:v>004094</x:v>
      </x:c>
      <x:c r="P805" s="18" t="str">
        <x:v>東横線</x:v>
      </x:c>
      <x:c r="Q805" s="19" t="str">
        <x:v>S12_061_GE_10000</x:v>
      </x:c>
      <x:c r="R805" s="19" t="str">
        <x:v>S12_061 usage threshold</x:v>
      </x:c>
      <x:c r="S805" s="19" t="str">
        <x:v>https://nlftp.mlit.go.jp/ksj/gml/datalist/KsjTmplt-S12-2024.html</x:v>
      </x:c>
      <x:c r="T805" s="19" t="str">
        <x:v>https://nlftp.mlit.go.jp/ksj/gml/datalist/KsjTmplt-S12-2024.html</x:v>
      </x:c>
      <x:c r="U805" s="19" t="str">
        <x:v>station-component|学芸大学|東急電鉄|private_rail|35.6288|139.6852|</x:v>
      </x:c>
      <x:c r="V805" s="19" t="str">
        <x:v>004094 / 004094 / 東横線</x:v>
      </x:c>
      <x:c r="W805" s="18" t="str">
        <x:v>否</x:v>
      </x:c>
      <x:c r="X805" s="18" t="str">
        <x:v>0785e932a32b3ec15e1a1345537ae145eafe1c07bf38d5c16c11ee2b391e7a28</x:v>
      </x:c>
      <x:c r="Y805" s="20" t="n">
        <x:v>1</x:v>
      </x:c>
      <x:c r="Z805" s="20" t="n">
        <x:v>1</x:v>
      </x:c>
      <x:c r="AA805" s="19"/>
      <x:c r="AB805" s="18"/>
      <x:c r="AC805" s="19"/>
    </x:row>
    <x:row r="806" ht="28" customHeight="1">
      <x:c r="A806" s="18" t="str">
        <x:v>宇治</x:v>
      </x:c>
      <x:c r="B806" s="18" t="str">
        <x:v>西日本旅客鉄道</x:v>
      </x:c>
      <x:c r="C806" s="18" t="str">
        <x:v>conventional_rail</x:v>
      </x:c>
      <x:c r="D806" s="19" t="str">
        <x:v>T2</x:v>
      </x:c>
      <x:c r="E806" s="20" t="n">
        <x:v>18726</x:v>
      </x:c>
      <x:c r="F806" s="18" t="str">
        <x:v>persons/day</x:v>
      </x:c>
      <x:c r="G806" s="18" t="str">
        <x:v>FY2024</x:v>
      </x:c>
      <x:c r="H806" s="18" t="str">
        <x:v>否</x:v>
      </x:c>
      <x:c r="I806" s="19" t="str">
        <x:v>DAILY_ENTRIES_EXITS</x:v>
      </x:c>
      <x:c r="J806" s="19" t="str">
        <x:v>奈良線</x:v>
      </x:c>
      <x:c r="K806" s="18" t="str">
        <x:v>transport-node:95885a41-423f-5b2f-9d74-39e3ae812193</x:v>
      </x:c>
      <x:c r="L806" s="19" t="str">
        <x:v>组件待审核</x:v>
      </x:c>
      <x:c r="M806" s="21" t="n">
        <x:v>34.89038</x:v>
      </x:c>
      <x:c r="N806" s="21" t="n">
        <x:v>135.80081</x:v>
      </x:c>
      <x:c r="O806" s="18" t="str">
        <x:v>006334</x:v>
      </x:c>
      <x:c r="P806" s="18" t="str">
        <x:v>奈良線</x:v>
      </x:c>
      <x:c r="Q806" s="19" t="str">
        <x:v>S12_061_GE_10000</x:v>
      </x:c>
      <x:c r="R806" s="19" t="str">
        <x:v>S12_061 usage threshold</x:v>
      </x:c>
      <x:c r="S806" s="19" t="str">
        <x:v>https://nlftp.mlit.go.jp/ksj/gml/datalist/KsjTmplt-S12-2024.html</x:v>
      </x:c>
      <x:c r="T806" s="19" t="str">
        <x:v>https://nlftp.mlit.go.jp/ksj/gml/datalist/KsjTmplt-S12-2024.html</x:v>
      </x:c>
      <x:c r="U806" s="19" t="str">
        <x:v>station-component|宇治|西日本旅客鉄道|conventional_rail|34.8904|135.8008|</x:v>
      </x:c>
      <x:c r="V806" s="19" t="str">
        <x:v>006334 / 006334 / 奈良線</x:v>
      </x:c>
      <x:c r="W806" s="18" t="str">
        <x:v>否</x:v>
      </x:c>
      <x:c r="X806" s="18" t="str">
        <x:v>0785e932a32b3ec15e1a1345537ae145eafe1c07bf38d5c16c11ee2b391e7a28</x:v>
      </x:c>
      <x:c r="Y806" s="20" t="n">
        <x:v>1</x:v>
      </x:c>
      <x:c r="Z806" s="20" t="n">
        <x:v>1</x:v>
      </x:c>
      <x:c r="AA806" s="19"/>
      <x:c r="AB806" s="18"/>
      <x:c r="AC806" s="19"/>
    </x:row>
    <x:row r="807" ht="33" customHeight="1">
      <x:c r="A807" s="18" t="str">
        <x:v>宇都宮</x:v>
      </x:c>
      <x:c r="B807" s="18" t="str">
        <x:v>東日本旅客鉄道</x:v>
      </x:c>
      <x:c r="C807" s="18" t="str">
        <x:v>conventional_rail</x:v>
      </x:c>
      <x:c r="D807" s="19" t="str">
        <x:v>T1</x:v>
      </x:c>
      <x:c r="E807" s="20" t="n">
        <x:v>72794</x:v>
      </x:c>
      <x:c r="F807" s="18" t="str">
        <x:v>persons/day</x:v>
      </x:c>
      <x:c r="G807" s="18" t="str">
        <x:v>FY2024</x:v>
      </x:c>
      <x:c r="H807" s="18" t="str">
        <x:v>否</x:v>
      </x:c>
      <x:c r="I807" s="19" t="str">
        <x:v>DAILY_ENTRIES_EXITS</x:v>
      </x:c>
      <x:c r="J807" s="19" t="str">
        <x:v>日光線
東北線</x:v>
      </x:c>
      <x:c r="K807" s="18" t="str">
        <x:v>transport-node:674ab067-935a-5100-a6a2-32fbfebc14fa</x:v>
      </x:c>
      <x:c r="L807" s="19" t="str">
        <x:v>组件待审核</x:v>
      </x:c>
      <x:c r="M807" s="21" t="n">
        <x:v>36.5598067</x:v>
      </x:c>
      <x:c r="N807" s="21" t="n">
        <x:v>139.8987433</x:v>
      </x:c>
      <x:c r="O807" s="18" t="str">
        <x:v>002113</x:v>
      </x:c>
      <x:c r="P807" s="18" t="str">
        <x:v>東北線</x:v>
      </x:c>
      <x:c r="Q807" s="19" t="str">
        <x:v>S12_061_GE_10000</x:v>
      </x:c>
      <x:c r="R807" s="19" t="str">
        <x:v>S12_061 usage threshold</x:v>
      </x:c>
      <x:c r="S807" s="19" t="str">
        <x:v>https://nlftp.mlit.go.jp/ksj/gml/datalist/KsjTmplt-S12-2024.html</x:v>
      </x:c>
      <x:c r="T807" s="19" t="str">
        <x:v>https://nlftp.mlit.go.jp/ksj/gml/datalist/KsjTmplt-S12-2024.html</x:v>
      </x:c>
      <x:c r="U807" s="19" t="str">
        <x:v>station-component|宇都宮|東日本旅客鉄道|conventional_rail|36.5598|139.8987|</x:v>
      </x:c>
      <x:c r="V807" s="19" t="str">
        <x:v>002113 / 002113 / 東北線
002113 / 002114 / 日光線</x:v>
      </x:c>
      <x:c r="W807" s="18" t="str">
        <x:v>否</x:v>
      </x:c>
      <x:c r="X807" s="18" t="str">
        <x:v>0785e932a32b3ec15e1a1345537ae145eafe1c07bf38d5c16c11ee2b391e7a28</x:v>
      </x:c>
      <x:c r="Y807" s="20" t="n">
        <x:v>1</x:v>
      </x:c>
      <x:c r="Z807" s="20" t="n">
        <x:v>1</x:v>
      </x:c>
      <x:c r="AA807" s="19"/>
      <x:c r="AB807" s="18"/>
      <x:c r="AC807" s="19"/>
    </x:row>
    <x:row r="808" ht="33" customHeight="1">
      <x:c r="A808" s="18" t="str">
        <x:v>宇都宮</x:v>
      </x:c>
      <x:c r="B808" s="18" t="str">
        <x:v>東日本旅客鉄道</x:v>
      </x:c>
      <x:c r="C808" s="18" t="str">
        <x:v>shinkansen</x:v>
      </x:c>
      <x:c r="D808" s="19"/>
      <x:c r="E808" s="20" t="n">
        <x:v>12592</x:v>
      </x:c>
      <x:c r="F808" s="18" t="str">
        <x:v>boardings/day</x:v>
      </x:c>
      <x:c r="G808" s="18" t="str">
        <x:v>FY2024</x:v>
      </x:c>
      <x:c r="H808" s="18" t="str">
        <x:v>是</x:v>
      </x:c>
      <x:c r="I808" s="19" t="str">
        <x:v>DAILY_SHINKANSEN_BOARDINGS</x:v>
      </x:c>
      <x:c r="J808" s="19" t="str">
        <x:v>東北新幹線</x:v>
      </x:c>
      <x:c r="K808" s="18" t="str">
        <x:v>transport-node:55f6c579-b784-50e9-a327-9fba2fbcbf3a</x:v>
      </x:c>
      <x:c r="L808" s="19" t="str">
        <x:v>组件待审核</x:v>
      </x:c>
      <x:c r="M808" s="21" t="n">
        <x:v>36.55877</x:v>
      </x:c>
      <x:c r="N808" s="21" t="n">
        <x:v>139.89809</x:v>
      </x:c>
      <x:c r="O808" s="18" t="str">
        <x:v>002115</x:v>
      </x:c>
      <x:c r="P808" s="18" t="str">
        <x:v>東北新幹線</x:v>
      </x:c>
      <x:c r="Q808" s="19" t="str">
        <x:v>SHINKANSEN</x:v>
      </x:c>
      <x:c r="R808" s="19" t="str">
        <x:v>Official fallback retained in published scope/unit; tier remains null pending metric/manual review.</x:v>
      </x:c>
      <x:c r="S808" s="19" t="str">
        <x:v>https://www.jreast.co.jp/company/data/passenger/2024_shinkansen.html/</x:v>
      </x:c>
      <x:c r="T808" s="19" t="str">
        <x:v>https://nlftp.mlit.go.jp/ksj/gml/datalist/KsjTmplt-S12-2024.html
https://www.jreast.co.jp/company/data/passenger/2024_shinkansen.html/</x:v>
      </x:c>
      <x:c r="U808" s="19" t="str">
        <x:v>station-component|宇都宮|東日本旅客鉄道|shinkansen|36.5588|139.8981|</x:v>
      </x:c>
      <x:c r="V808" s="19" t="str">
        <x:v>002113 / 002115 / 東北新幹線</x:v>
      </x:c>
      <x:c r="W808" s="18" t="str">
        <x:v>否</x:v>
      </x:c>
      <x:c r="X808" s="18" t="str">
        <x:v>0785e932a32b3ec15e1a1345537ae145eafe1c07bf38d5c16c11ee2b391e7a28</x:v>
      </x:c>
      <x:c r="Y808" s="20" t="n">
        <x:v>1</x:v>
      </x:c>
      <x:c r="Z808" s="20" t="n">
        <x:v>2</x:v>
      </x:c>
      <x:c r="AA808" s="19"/>
      <x:c r="AB808" s="18"/>
      <x:c r="AC808" s="19"/>
    </x:row>
    <x:row r="809" ht="28" customHeight="1">
      <x:c r="A809" s="18" t="str">
        <x:v>守口</x:v>
      </x:c>
      <x:c r="B809" s="18" t="str">
        <x:v>大阪市高速電気軌道</x:v>
      </x:c>
      <x:c r="C809" s="18" t="str">
        <x:v>metro</x:v>
      </x:c>
      <x:c r="D809" s="19" t="str">
        <x:v>T2</x:v>
      </x:c>
      <x:c r="E809" s="20" t="n">
        <x:v>17238</x:v>
      </x:c>
      <x:c r="F809" s="18" t="str">
        <x:v>persons/day</x:v>
      </x:c>
      <x:c r="G809" s="18" t="str">
        <x:v>FY2024</x:v>
      </x:c>
      <x:c r="H809" s="18" t="str">
        <x:v>否</x:v>
      </x:c>
      <x:c r="I809" s="19" t="str">
        <x:v>DAILY_ENTRIES_EXITS</x:v>
      </x:c>
      <x:c r="J809" s="19" t="str">
        <x:v>2号線(谷町線)</x:v>
      </x:c>
      <x:c r="K809" s="18" t="str">
        <x:v>transport-node:e8c3d8b2-5e73-58d2-8b7e-7ad2ddabee0e</x:v>
      </x:c>
      <x:c r="L809" s="19" t="str">
        <x:v>组件待审核</x:v>
      </x:c>
      <x:c r="M809" s="21" t="n">
        <x:v>34.73844</x:v>
      </x:c>
      <x:c r="N809" s="21" t="n">
        <x:v>135.564345</x:v>
      </x:c>
      <x:c r="O809" s="18" t="str">
        <x:v>006883</x:v>
      </x:c>
      <x:c r="P809" s="18" t="str">
        <x:v>2号線(谷町線)</x:v>
      </x:c>
      <x:c r="Q809" s="19" t="str">
        <x:v>S12_061_GE_10000</x:v>
      </x:c>
      <x:c r="R809" s="19" t="str">
        <x:v>S12_061 usage threshold</x:v>
      </x:c>
      <x:c r="S809" s="19" t="str">
        <x:v>https://nlftp.mlit.go.jp/ksj/gml/datalist/KsjTmplt-S12-2024.html</x:v>
      </x:c>
      <x:c r="T809" s="19" t="str">
        <x:v>https://nlftp.mlit.go.jp/ksj/gml/datalist/KsjTmplt-S12-2024.html</x:v>
      </x:c>
      <x:c r="U809" s="19" t="str">
        <x:v>station-component|守口|大阪市高速電気軌道|metro|34.7384|135.5643|</x:v>
      </x:c>
      <x:c r="V809" s="19" t="str">
        <x:v>006883 / 006883 / 2号線(谷町線)</x:v>
      </x:c>
      <x:c r="W809" s="18" t="str">
        <x:v>否</x:v>
      </x:c>
      <x:c r="X809" s="18" t="str">
        <x:v>0785e932a32b3ec15e1a1345537ae145eafe1c07bf38d5c16c11ee2b391e7a28</x:v>
      </x:c>
      <x:c r="Y809" s="20" t="n">
        <x:v>1</x:v>
      </x:c>
      <x:c r="Z809" s="20" t="n">
        <x:v>1</x:v>
      </x:c>
      <x:c r="AA809" s="19"/>
      <x:c r="AB809" s="18"/>
      <x:c r="AC809" s="19"/>
    </x:row>
    <x:row r="810" ht="28" customHeight="1">
      <x:c r="A810" s="18" t="str">
        <x:v>守口市</x:v>
      </x:c>
      <x:c r="B810" s="18" t="str">
        <x:v>京阪電気鉄道</x:v>
      </x:c>
      <x:c r="C810" s="18" t="str">
        <x:v>private_rail</x:v>
      </x:c>
      <x:c r="D810" s="19" t="str">
        <x:v>T2</x:v>
      </x:c>
      <x:c r="E810" s="20" t="n">
        <x:v>27308</x:v>
      </x:c>
      <x:c r="F810" s="18" t="str">
        <x:v>persons/day</x:v>
      </x:c>
      <x:c r="G810" s="18" t="str">
        <x:v>FY2024</x:v>
      </x:c>
      <x:c r="H810" s="18" t="str">
        <x:v>否</x:v>
      </x:c>
      <x:c r="I810" s="19" t="str">
        <x:v>DAILY_ENTRIES_EXITS</x:v>
      </x:c>
      <x:c r="J810" s="19" t="str">
        <x:v>京阪本線</x:v>
      </x:c>
      <x:c r="K810" s="18" t="str">
        <x:v>transport-node:22160a39-6863-52e5-b51e-479deb246651</x:v>
      </x:c>
      <x:c r="L810" s="19" t="str">
        <x:v>组件待审核</x:v>
      </x:c>
      <x:c r="M810" s="21" t="n">
        <x:v>34.7352367</x:v>
      </x:c>
      <x:c r="N810" s="21" t="n">
        <x:v>135.5651433</x:v>
      </x:c>
      <x:c r="O810" s="18" t="str">
        <x:v>006900</x:v>
      </x:c>
      <x:c r="P810" s="18" t="str">
        <x:v>京阪本線</x:v>
      </x:c>
      <x:c r="Q810" s="19" t="str">
        <x:v>S12_061_GE_10000</x:v>
      </x:c>
      <x:c r="R810" s="19" t="str">
        <x:v>S12_061 usage threshold</x:v>
      </x:c>
      <x:c r="S810" s="19" t="str">
        <x:v>https://nlftp.mlit.go.jp/ksj/gml/datalist/KsjTmplt-S12-2024.html</x:v>
      </x:c>
      <x:c r="T810" s="19" t="str">
        <x:v>https://nlftp.mlit.go.jp/ksj/gml/datalist/KsjTmplt-S12-2024.html</x:v>
      </x:c>
      <x:c r="U810" s="19" t="str">
        <x:v>station-component|守口市|京阪電気鉄道|private_rail|34.7352|135.5651|</x:v>
      </x:c>
      <x:c r="V810" s="19" t="str">
        <x:v>006900 / 006900 / 京阪本線</x:v>
      </x:c>
      <x:c r="W810" s="18" t="str">
        <x:v>否</x:v>
      </x:c>
      <x:c r="X810" s="18" t="str">
        <x:v>0785e932a32b3ec15e1a1345537ae145eafe1c07bf38d5c16c11ee2b391e7a28</x:v>
      </x:c>
      <x:c r="Y810" s="20" t="n">
        <x:v>1</x:v>
      </x:c>
      <x:c r="Z810" s="20" t="n">
        <x:v>1</x:v>
      </x:c>
      <x:c r="AA810" s="19"/>
      <x:c r="AB810" s="18"/>
      <x:c r="AC810" s="19"/>
    </x:row>
    <x:row r="811" ht="28" customHeight="1">
      <x:c r="A811" s="18" t="str">
        <x:v>守山</x:v>
      </x:c>
      <x:c r="B811" s="18" t="str">
        <x:v>西日本旅客鉄道</x:v>
      </x:c>
      <x:c r="C811" s="18" t="str">
        <x:v>conventional_rail</x:v>
      </x:c>
      <x:c r="D811" s="19" t="str">
        <x:v>T2</x:v>
      </x:c>
      <x:c r="E811" s="20" t="n">
        <x:v>34708</x:v>
      </x:c>
      <x:c r="F811" s="18" t="str">
        <x:v>persons/day</x:v>
      </x:c>
      <x:c r="G811" s="18" t="str">
        <x:v>FY2024</x:v>
      </x:c>
      <x:c r="H811" s="18" t="str">
        <x:v>否</x:v>
      </x:c>
      <x:c r="I811" s="19" t="str">
        <x:v>DAILY_ENTRIES_EXITS</x:v>
      </x:c>
      <x:c r="J811" s="19" t="str">
        <x:v>東海道線</x:v>
      </x:c>
      <x:c r="K811" s="18" t="str">
        <x:v>transport-node:5511fcda-0b32-52f3-806d-6477fbd9dcfc</x:v>
      </x:c>
      <x:c r="L811" s="19" t="str">
        <x:v>组件待审核</x:v>
      </x:c>
      <x:c r="M811" s="21" t="n">
        <x:v>35.050938</x:v>
      </x:c>
      <x:c r="N811" s="21" t="n">
        <x:v>135.996464</x:v>
      </x:c>
      <x:c r="O811" s="18" t="str">
        <x:v>005831</x:v>
      </x:c>
      <x:c r="P811" s="18" t="str">
        <x:v>東海道線</x:v>
      </x:c>
      <x:c r="Q811" s="19" t="str">
        <x:v>S12_061_GE_10000</x:v>
      </x:c>
      <x:c r="R811" s="19" t="str">
        <x:v>S12_061 usage threshold</x:v>
      </x:c>
      <x:c r="S811" s="19" t="str">
        <x:v>https://nlftp.mlit.go.jp/ksj/gml/datalist/KsjTmplt-S12-2024.html</x:v>
      </x:c>
      <x:c r="T811" s="19" t="str">
        <x:v>https://nlftp.mlit.go.jp/ksj/gml/datalist/KsjTmplt-S12-2024.html</x:v>
      </x:c>
      <x:c r="U811" s="19" t="str">
        <x:v>station-component|守山|西日本旅客鉄道|conventional_rail|35.0509|135.9965|</x:v>
      </x:c>
      <x:c r="V811" s="19" t="str">
        <x:v>005831 / 005831 / 東海道線</x:v>
      </x:c>
      <x:c r="W811" s="18" t="str">
        <x:v>否</x:v>
      </x:c>
      <x:c r="X811" s="18" t="str">
        <x:v>0785e932a32b3ec15e1a1345537ae145eafe1c07bf38d5c16c11ee2b391e7a28</x:v>
      </x:c>
      <x:c r="Y811" s="20" t="n">
        <x:v>1</x:v>
      </x:c>
      <x:c r="Z811" s="20" t="n">
        <x:v>1</x:v>
      </x:c>
      <x:c r="AA811" s="19"/>
      <x:c r="AB811" s="18"/>
      <x:c r="AC811" s="19"/>
    </x:row>
    <x:row r="812" ht="28" customHeight="1">
      <x:c r="A812" s="18" t="str">
        <x:v>守谷</x:v>
      </x:c>
      <x:c r="B812" s="18" t="str">
        <x:v>関東鉄道</x:v>
      </x:c>
      <x:c r="C812" s="18" t="str">
        <x:v>private_rail</x:v>
      </x:c>
      <x:c r="D812" s="19" t="str">
        <x:v>T2</x:v>
      </x:c>
      <x:c r="E812" s="20" t="n">
        <x:v>16612</x:v>
      </x:c>
      <x:c r="F812" s="18" t="str">
        <x:v>persons/day</x:v>
      </x:c>
      <x:c r="G812" s="18" t="str">
        <x:v>FY2024</x:v>
      </x:c>
      <x:c r="H812" s="18" t="str">
        <x:v>否</x:v>
      </x:c>
      <x:c r="I812" s="19" t="str">
        <x:v>DAILY_ENTRIES_EXITS</x:v>
      </x:c>
      <x:c r="J812" s="19" t="str">
        <x:v>常総線</x:v>
      </x:c>
      <x:c r="K812" s="18" t="str">
        <x:v>transport-node:95362403-7fb7-53f4-a982-ee11c1216e9f</x:v>
      </x:c>
      <x:c r="L812" s="19" t="str">
        <x:v>组件待审核</x:v>
      </x:c>
      <x:c r="M812" s="21" t="n">
        <x:v>35.95082</x:v>
      </x:c>
      <x:c r="N812" s="21" t="n">
        <x:v>139.99213</x:v>
      </x:c>
      <x:c r="O812" s="18" t="str">
        <x:v>002830</x:v>
      </x:c>
      <x:c r="P812" s="18" t="str">
        <x:v>常総線</x:v>
      </x:c>
      <x:c r="Q812" s="19" t="str">
        <x:v>S12_061_GE_10000</x:v>
      </x:c>
      <x:c r="R812" s="19" t="str">
        <x:v>S12_061 usage threshold</x:v>
      </x:c>
      <x:c r="S812" s="19" t="str">
        <x:v>https://nlftp.mlit.go.jp/ksj/gml/datalist/KsjTmplt-S12-2024.html</x:v>
      </x:c>
      <x:c r="T812" s="19" t="str">
        <x:v>https://nlftp.mlit.go.jp/ksj/gml/datalist/KsjTmplt-S12-2024.html</x:v>
      </x:c>
      <x:c r="U812" s="19" t="str">
        <x:v>station-component|守谷|関東鉄道|private_rail|35.9508|139.9921|</x:v>
      </x:c>
      <x:c r="V812" s="19" t="str">
        <x:v>002830 / 002830 / 常総線</x:v>
      </x:c>
      <x:c r="W812" s="18" t="str">
        <x:v>否</x:v>
      </x:c>
      <x:c r="X812" s="18" t="str">
        <x:v>0785e932a32b3ec15e1a1345537ae145eafe1c07bf38d5c16c11ee2b391e7a28</x:v>
      </x:c>
      <x:c r="Y812" s="20" t="n">
        <x:v>1</x:v>
      </x:c>
      <x:c r="Z812" s="20" t="n">
        <x:v>1</x:v>
      </x:c>
      <x:c r="AA812" s="19"/>
      <x:c r="AB812" s="18"/>
      <x:c r="AC812" s="19"/>
    </x:row>
    <x:row r="813" ht="28" customHeight="1">
      <x:c r="A813" s="18" t="str">
        <x:v>守谷</x:v>
      </x:c>
      <x:c r="B813" s="18" t="str">
        <x:v>首都圏新都市鉄道</x:v>
      </x:c>
      <x:c r="C813" s="18" t="str">
        <x:v>private_rail</x:v>
      </x:c>
      <x:c r="D813" s="19" t="str">
        <x:v>T2</x:v>
      </x:c>
      <x:c r="E813" s="20" t="n">
        <x:v>48627</x:v>
      </x:c>
      <x:c r="F813" s="18" t="str">
        <x:v>persons/day</x:v>
      </x:c>
      <x:c r="G813" s="18" t="str">
        <x:v>FY2024</x:v>
      </x:c>
      <x:c r="H813" s="18" t="str">
        <x:v>否</x:v>
      </x:c>
      <x:c r="I813" s="19" t="str">
        <x:v>DAILY_ENTRIES_EXITS</x:v>
      </x:c>
      <x:c r="J813" s="19" t="str">
        <x:v>常磐新線</x:v>
      </x:c>
      <x:c r="K813" s="18" t="str">
        <x:v>transport-node:97c6527d-9afa-549a-8612-6eedf3b27209</x:v>
      </x:c>
      <x:c r="L813" s="19" t="str">
        <x:v>组件待审核</x:v>
      </x:c>
      <x:c r="M813" s="21" t="n">
        <x:v>35.950015</x:v>
      </x:c>
      <x:c r="N813" s="21" t="n">
        <x:v>139.99201</x:v>
      </x:c>
      <x:c r="O813" s="18" t="str">
        <x:v>002834</x:v>
      </x:c>
      <x:c r="P813" s="18" t="str">
        <x:v>常磐新線</x:v>
      </x:c>
      <x:c r="Q813" s="19" t="str">
        <x:v>S12_061_GE_10000</x:v>
      </x:c>
      <x:c r="R813" s="19" t="str">
        <x:v>S12_061 usage threshold</x:v>
      </x:c>
      <x:c r="S813" s="19" t="str">
        <x:v>https://nlftp.mlit.go.jp/ksj/gml/datalist/KsjTmplt-S12-2024.html</x:v>
      </x:c>
      <x:c r="T813" s="19" t="str">
        <x:v>https://nlftp.mlit.go.jp/ksj/gml/datalist/KsjTmplt-S12-2024.html</x:v>
      </x:c>
      <x:c r="U813" s="19" t="str">
        <x:v>station-component|守谷|首都圏新都市鉄道|private_rail|35.9500|139.9920|</x:v>
      </x:c>
      <x:c r="V813" s="19" t="str">
        <x:v>002830 / 002834 / 常磐新線</x:v>
      </x:c>
      <x:c r="W813" s="18" t="str">
        <x:v>否</x:v>
      </x:c>
      <x:c r="X813" s="18" t="str">
        <x:v>0785e932a32b3ec15e1a1345537ae145eafe1c07bf38d5c16c11ee2b391e7a28</x:v>
      </x:c>
      <x:c r="Y813" s="20" t="n">
        <x:v>1</x:v>
      </x:c>
      <x:c r="Z813" s="20" t="n">
        <x:v>1</x:v>
      </x:c>
      <x:c r="AA813" s="19"/>
      <x:c r="AB813" s="18"/>
      <x:c r="AC813" s="19"/>
    </x:row>
    <x:row r="814" ht="33" customHeight="1">
      <x:c r="A814" s="18" t="str">
        <x:v>安中榛名</x:v>
      </x:c>
      <x:c r="B814" s="18" t="str">
        <x:v>東日本旅客鉄道</x:v>
      </x:c>
      <x:c r="C814" s="18" t="str">
        <x:v>shinkansen</x:v>
      </x:c>
      <x:c r="D814" s="19" t="str">
        <x:v>T3</x:v>
      </x:c>
      <x:c r="E814" s="20" t="n">
        <x:v>538</x:v>
      </x:c>
      <x:c r="F814" s="18" t="str">
        <x:v>persons/day</x:v>
      </x:c>
      <x:c r="G814" s="18" t="str">
        <x:v>FY2024</x:v>
      </x:c>
      <x:c r="H814" s="18" t="str">
        <x:v>否</x:v>
      </x:c>
      <x:c r="I814" s="19" t="str">
        <x:v>DAILY_ENTRIES_EXITS</x:v>
      </x:c>
      <x:c r="J814" s="19" t="str">
        <x:v>北陸新幹線</x:v>
      </x:c>
      <x:c r="K814" s="18" t="str">
        <x:v>transport-node:13a1cc93-9db9-5937-a3bc-6a4e031e0c8e</x:v>
      </x:c>
      <x:c r="L814" s="19" t="str">
        <x:v>组件待审核</x:v>
      </x:c>
      <x:c r="M814" s="21" t="n">
        <x:v>36.3625433</x:v>
      </x:c>
      <x:c r="N814" s="21" t="n">
        <x:v>138.8495933</x:v>
      </x:c>
      <x:c r="O814" s="18" t="str">
        <x:v>002328</x:v>
      </x:c>
      <x:c r="P814" s="18" t="str">
        <x:v>北陸新幹線</x:v>
      </x:c>
      <x:c r="Q814" s="19" t="str">
        <x:v>SHINKANSEN</x:v>
      </x:c>
      <x:c r="R814" s="19" t="str">
        <x:v>S12_061 usage threshold; low-flow inclusion justified by Shinkansen inventory</x:v>
      </x:c>
      <x:c r="S814" s="19" t="str">
        <x:v>https://nlftp.mlit.go.jp/ksj/gml/datalist/KsjTmplt-S12-2024.html</x:v>
      </x:c>
      <x:c r="T814" s="19" t="str">
        <x:v>https://nlftp.mlit.go.jp/ksj/gml/datalist/KsjTmplt-S12-2024.html</x:v>
      </x:c>
      <x:c r="U814" s="19" t="str">
        <x:v>station-component|安中榛名|東日本旅客鉄道|shinkansen|36.3625|138.8496|</x:v>
      </x:c>
      <x:c r="V814" s="19" t="str">
        <x:v>002328 / 002328 / 北陸新幹線</x:v>
      </x:c>
      <x:c r="W814" s="18" t="str">
        <x:v>否</x:v>
      </x:c>
      <x:c r="X814" s="18" t="str">
        <x:v>0785e932a32b3ec15e1a1345537ae145eafe1c07bf38d5c16c11ee2b391e7a28</x:v>
      </x:c>
      <x:c r="Y814" s="20" t="n">
        <x:v>1</x:v>
      </x:c>
      <x:c r="Z814" s="20" t="n">
        <x:v>1</x:v>
      </x:c>
      <x:c r="AA814" s="19"/>
      <x:c r="AB814" s="18"/>
      <x:c r="AC814" s="19"/>
    </x:row>
    <x:row r="815" ht="28" customHeight="1">
      <x:c r="A815" s="18" t="str">
        <x:v>安城</x:v>
      </x:c>
      <x:c r="B815" s="18" t="str">
        <x:v>東海旅客鉄道</x:v>
      </x:c>
      <x:c r="C815" s="18" t="str">
        <x:v>conventional_rail</x:v>
      </x:c>
      <x:c r="D815" s="19" t="str">
        <x:v>T2</x:v>
      </x:c>
      <x:c r="E815" s="20" t="n">
        <x:v>21874</x:v>
      </x:c>
      <x:c r="F815" s="18" t="str">
        <x:v>persons/day</x:v>
      </x:c>
      <x:c r="G815" s="18" t="str">
        <x:v>FY2024</x:v>
      </x:c>
      <x:c r="H815" s="18" t="str">
        <x:v>否</x:v>
      </x:c>
      <x:c r="I815" s="19" t="str">
        <x:v>DAILY_ENTRIES_EXITS</x:v>
      </x:c>
      <x:c r="J815" s="19" t="str">
        <x:v>東海道線</x:v>
      </x:c>
      <x:c r="K815" s="18" t="str">
        <x:v>transport-node:98d620fa-fa37-5035-963e-c8f44223a28b</x:v>
      </x:c>
      <x:c r="L815" s="19" t="str">
        <x:v>组件待审核</x:v>
      </x:c>
      <x:c r="M815" s="21" t="n">
        <x:v>34.96044</x:v>
      </x:c>
      <x:c r="N815" s="21" t="n">
        <x:v>137.08642</x:v>
      </x:c>
      <x:c r="O815" s="18" t="str">
        <x:v>006166</x:v>
      </x:c>
      <x:c r="P815" s="18" t="str">
        <x:v>東海道線</x:v>
      </x:c>
      <x:c r="Q815" s="19" t="str">
        <x:v>S12_061_GE_10000</x:v>
      </x:c>
      <x:c r="R815" s="19" t="str">
        <x:v>S12_061 usage threshold</x:v>
      </x:c>
      <x:c r="S815" s="19" t="str">
        <x:v>https://nlftp.mlit.go.jp/ksj/gml/datalist/KsjTmplt-S12-2024.html</x:v>
      </x:c>
      <x:c r="T815" s="19" t="str">
        <x:v>https://nlftp.mlit.go.jp/ksj/gml/datalist/KsjTmplt-S12-2024.html</x:v>
      </x:c>
      <x:c r="U815" s="19" t="str">
        <x:v>station-component|安城|東海旅客鉄道|conventional_rail|34.9604|137.0864|</x:v>
      </x:c>
      <x:c r="V815" s="19" t="str">
        <x:v>006166 / 006166 / 東海道線</x:v>
      </x:c>
      <x:c r="W815" s="18" t="str">
        <x:v>否</x:v>
      </x:c>
      <x:c r="X815" s="18" t="str">
        <x:v>0785e932a32b3ec15e1a1345537ae145eafe1c07bf38d5c16c11ee2b391e7a28</x:v>
      </x:c>
      <x:c r="Y815" s="20" t="n">
        <x:v>1</x:v>
      </x:c>
      <x:c r="Z815" s="20" t="n">
        <x:v>1</x:v>
      </x:c>
      <x:c r="AA815" s="19"/>
      <x:c r="AB815" s="18"/>
      <x:c r="AC815" s="19"/>
    </x:row>
    <x:row r="816" ht="28" customHeight="1">
      <x:c r="A816" s="18" t="str">
        <x:v>安治川口</x:v>
      </x:c>
      <x:c r="B816" s="18" t="str">
        <x:v>西日本旅客鉄道</x:v>
      </x:c>
      <x:c r="C816" s="18" t="str">
        <x:v>conventional_rail</x:v>
      </x:c>
      <x:c r="D816" s="19" t="str">
        <x:v>T2</x:v>
      </x:c>
      <x:c r="E816" s="20" t="n">
        <x:v>25100</x:v>
      </x:c>
      <x:c r="F816" s="18" t="str">
        <x:v>persons/day</x:v>
      </x:c>
      <x:c r="G816" s="18" t="str">
        <x:v>FY2024</x:v>
      </x:c>
      <x:c r="H816" s="18" t="str">
        <x:v>否</x:v>
      </x:c>
      <x:c r="I816" s="19" t="str">
        <x:v>DAILY_ENTRIES_EXITS</x:v>
      </x:c>
      <x:c r="J816" s="19" t="str">
        <x:v>桜島線</x:v>
      </x:c>
      <x:c r="K816" s="18" t="str">
        <x:v>transport-node:8806078a-c42f-5c0e-a44a-004a198c4ba0</x:v>
      </x:c>
      <x:c r="L816" s="19" t="str">
        <x:v>组件待审核</x:v>
      </x:c>
      <x:c r="M816" s="21" t="n">
        <x:v>34.673385</x:v>
      </x:c>
      <x:c r="N816" s="21" t="n">
        <x:v>135.44387</x:v>
      </x:c>
      <x:c r="O816" s="18" t="str">
        <x:v>007275</x:v>
      </x:c>
      <x:c r="P816" s="18" t="str">
        <x:v>桜島線</x:v>
      </x:c>
      <x:c r="Q816" s="19" t="str">
        <x:v>S12_061_GE_10000</x:v>
      </x:c>
      <x:c r="R816" s="19" t="str">
        <x:v>S12_061 usage threshold</x:v>
      </x:c>
      <x:c r="S816" s="19" t="str">
        <x:v>https://nlftp.mlit.go.jp/ksj/gml/datalist/KsjTmplt-S12-2024.html</x:v>
      </x:c>
      <x:c r="T816" s="19" t="str">
        <x:v>https://nlftp.mlit.go.jp/ksj/gml/datalist/KsjTmplt-S12-2024.html</x:v>
      </x:c>
      <x:c r="U816" s="19" t="str">
        <x:v>station-component|安治川口|西日本旅客鉄道|conventional_rail|34.6734|135.4439|</x:v>
      </x:c>
      <x:c r="V816" s="19" t="str">
        <x:v>007275 / 007275 / 桜島線</x:v>
      </x:c>
      <x:c r="W816" s="18" t="str">
        <x:v>否</x:v>
      </x:c>
      <x:c r="X816" s="18" t="str">
        <x:v>0785e932a32b3ec15e1a1345537ae145eafe1c07bf38d5c16c11ee2b391e7a28</x:v>
      </x:c>
      <x:c r="Y816" s="20" t="n">
        <x:v>1</x:v>
      </x:c>
      <x:c r="Z816" s="20" t="n">
        <x:v>1</x:v>
      </x:c>
      <x:c r="AA816" s="19"/>
      <x:c r="AB816" s="18"/>
      <x:c r="AC816" s="19"/>
    </x:row>
    <x:row r="817" ht="28" customHeight="1">
      <x:c r="A817" s="18" t="str">
        <x:v>宝塚</x:v>
      </x:c>
      <x:c r="B817" s="18" t="str">
        <x:v>西日本旅客鉄道</x:v>
      </x:c>
      <x:c r="C817" s="18" t="str">
        <x:v>conventional_rail</x:v>
      </x:c>
      <x:c r="D817" s="19" t="str">
        <x:v>T2</x:v>
      </x:c>
      <x:c r="E817" s="20" t="n">
        <x:v>45158</x:v>
      </x:c>
      <x:c r="F817" s="18" t="str">
        <x:v>persons/day</x:v>
      </x:c>
      <x:c r="G817" s="18" t="str">
        <x:v>FY2024</x:v>
      </x:c>
      <x:c r="H817" s="18" t="str">
        <x:v>否</x:v>
      </x:c>
      <x:c r="I817" s="19" t="str">
        <x:v>DAILY_ENTRIES_EXITS</x:v>
      </x:c>
      <x:c r="J817" s="19" t="str">
        <x:v>福知山線</x:v>
      </x:c>
      <x:c r="K817" s="18" t="str">
        <x:v>transport-node:5fda9588-ae44-5fee-b5c3-79969316736e</x:v>
      </x:c>
      <x:c r="L817" s="19" t="str">
        <x:v>组件待审核</x:v>
      </x:c>
      <x:c r="M817" s="21" t="n">
        <x:v>34.811355</x:v>
      </x:c>
      <x:c r="N817" s="21" t="n">
        <x:v>135.340845</x:v>
      </x:c>
      <x:c r="O817" s="18" t="str">
        <x:v>006581</x:v>
      </x:c>
      <x:c r="P817" s="18" t="str">
        <x:v>福知山線</x:v>
      </x:c>
      <x:c r="Q817" s="19" t="str">
        <x:v>S12_061_GE_10000</x:v>
      </x:c>
      <x:c r="R817" s="19" t="str">
        <x:v>S12_061 usage threshold</x:v>
      </x:c>
      <x:c r="S817" s="19" t="str">
        <x:v>https://nlftp.mlit.go.jp/ksj/gml/datalist/KsjTmplt-S12-2024.html</x:v>
      </x:c>
      <x:c r="T817" s="19" t="str">
        <x:v>https://nlftp.mlit.go.jp/ksj/gml/datalist/KsjTmplt-S12-2024.html</x:v>
      </x:c>
      <x:c r="U817" s="19" t="str">
        <x:v>station-component|宝塚|西日本旅客鉄道|conventional_rail|34.8114|135.3408|</x:v>
      </x:c>
      <x:c r="V817" s="19" t="str">
        <x:v>006585 / 006581 / 福知山線</x:v>
      </x:c>
      <x:c r="W817" s="18" t="str">
        <x:v>否</x:v>
      </x:c>
      <x:c r="X817" s="18" t="str">
        <x:v>0785e932a32b3ec15e1a1345537ae145eafe1c07bf38d5c16c11ee2b391e7a28</x:v>
      </x:c>
      <x:c r="Y817" s="20" t="n">
        <x:v>1</x:v>
      </x:c>
      <x:c r="Z817" s="20" t="n">
        <x:v>1</x:v>
      </x:c>
      <x:c r="AA817" s="19"/>
      <x:c r="AB817" s="18"/>
      <x:c r="AC817" s="19"/>
    </x:row>
    <x:row r="818" ht="33" customHeight="1">
      <x:c r="A818" s="18" t="str">
        <x:v>宝塚</x:v>
      </x:c>
      <x:c r="B818" s="18" t="str">
        <x:v>阪急電鉄</x:v>
      </x:c>
      <x:c r="C818" s="18" t="str">
        <x:v>private_rail</x:v>
      </x:c>
      <x:c r="D818" s="19" t="str">
        <x:v>T2</x:v>
      </x:c>
      <x:c r="E818" s="20" t="n">
        <x:v>38480</x:v>
      </x:c>
      <x:c r="F818" s="18" t="str">
        <x:v>persons/day</x:v>
      </x:c>
      <x:c r="G818" s="18" t="str">
        <x:v>FY2024</x:v>
      </x:c>
      <x:c r="H818" s="18" t="str">
        <x:v>否</x:v>
      </x:c>
      <x:c r="I818" s="19" t="str">
        <x:v>DAILY_ENTRIES_EXITS</x:v>
      </x:c>
      <x:c r="J818" s="19" t="str">
        <x:v>今津線
宝塚線</x:v>
      </x:c>
      <x:c r="K818" s="18" t="str">
        <x:v>transport-node:3fa6cd7a-e986-5c32-96b6-da8434fe8a28</x:v>
      </x:c>
      <x:c r="L818" s="19" t="str">
        <x:v>组件待审核</x:v>
      </x:c>
      <x:c r="M818" s="21" t="n">
        <x:v>34.810485</x:v>
      </x:c>
      <x:c r="N818" s="21" t="n">
        <x:v>135.340895</x:v>
      </x:c>
      <x:c r="O818" s="18" t="str">
        <x:v>006586</x:v>
      </x:c>
      <x:c r="P818" s="18" t="str">
        <x:v>宝塚線</x:v>
      </x:c>
      <x:c r="Q818" s="19" t="str">
        <x:v>S12_061_GE_10000</x:v>
      </x:c>
      <x:c r="R818" s="19" t="str">
        <x:v>S12_061 usage threshold</x:v>
      </x:c>
      <x:c r="S818" s="19" t="str">
        <x:v>https://nlftp.mlit.go.jp/ksj/gml/datalist/KsjTmplt-S12-2024.html</x:v>
      </x:c>
      <x:c r="T818" s="19" t="str">
        <x:v>https://nlftp.mlit.go.jp/ksj/gml/datalist/KsjTmplt-S12-2024.html</x:v>
      </x:c>
      <x:c r="U818" s="19" t="str">
        <x:v>station-component|宝塚|阪急電鉄|private_rail|34.8105|135.3409|</x:v>
      </x:c>
      <x:c r="V818" s="19" t="str">
        <x:v>006585 / 006585 / 今津線
006585 / 006586 / 宝塚線</x:v>
      </x:c>
      <x:c r="W818" s="18" t="str">
        <x:v>否</x:v>
      </x:c>
      <x:c r="X818" s="18" t="str">
        <x:v>0785e932a32b3ec15e1a1345537ae145eafe1c07bf38d5c16c11ee2b391e7a28</x:v>
      </x:c>
      <x:c r="Y818" s="20" t="n">
        <x:v>1</x:v>
      </x:c>
      <x:c r="Z818" s="20" t="n">
        <x:v>1</x:v>
      </x:c>
      <x:c r="AA818" s="19"/>
      <x:c r="AB818" s="18"/>
      <x:c r="AC818" s="19"/>
    </x:row>
    <x:row r="819" ht="28" customHeight="1">
      <x:c r="A819" s="18" t="str">
        <x:v>宝殿</x:v>
      </x:c>
      <x:c r="B819" s="18" t="str">
        <x:v>西日本旅客鉄道</x:v>
      </x:c>
      <x:c r="C819" s="18" t="str">
        <x:v>conventional_rail</x:v>
      </x:c>
      <x:c r="D819" s="19" t="str">
        <x:v>T2</x:v>
      </x:c>
      <x:c r="E819" s="20" t="n">
        <x:v>16214</x:v>
      </x:c>
      <x:c r="F819" s="18" t="str">
        <x:v>persons/day</x:v>
      </x:c>
      <x:c r="G819" s="18" t="str">
        <x:v>FY2024</x:v>
      </x:c>
      <x:c r="H819" s="18" t="str">
        <x:v>否</x:v>
      </x:c>
      <x:c r="I819" s="19" t="str">
        <x:v>DAILY_ENTRIES_EXITS</x:v>
      </x:c>
      <x:c r="J819" s="19" t="str">
        <x:v>山陽線</x:v>
      </x:c>
      <x:c r="K819" s="18" t="str">
        <x:v>transport-node:4a79351f-e9b0-5f01-8cb7-d5edaa9e77c6</x:v>
      </x:c>
      <x:c r="L819" s="19" t="str">
        <x:v>组件待审核</x:v>
      </x:c>
      <x:c r="M819" s="21" t="n">
        <x:v>34.7846433</x:v>
      </x:c>
      <x:c r="N819" s="21" t="n">
        <x:v>134.8125267</x:v>
      </x:c>
      <x:c r="O819" s="18" t="str">
        <x:v>006698</x:v>
      </x:c>
      <x:c r="P819" s="18" t="str">
        <x:v>山陽線</x:v>
      </x:c>
      <x:c r="Q819" s="19" t="str">
        <x:v>S12_061_GE_10000</x:v>
      </x:c>
      <x:c r="R819" s="19" t="str">
        <x:v>S12_061 usage threshold</x:v>
      </x:c>
      <x:c r="S819" s="19" t="str">
        <x:v>https://nlftp.mlit.go.jp/ksj/gml/datalist/KsjTmplt-S12-2024.html</x:v>
      </x:c>
      <x:c r="T819" s="19" t="str">
        <x:v>https://nlftp.mlit.go.jp/ksj/gml/datalist/KsjTmplt-S12-2024.html</x:v>
      </x:c>
      <x:c r="U819" s="19" t="str">
        <x:v>station-component|宝殿|西日本旅客鉄道|conventional_rail|34.7846|134.8125|</x:v>
      </x:c>
      <x:c r="V819" s="19" t="str">
        <x:v>006698 / 006698 / 山陽線</x:v>
      </x:c>
      <x:c r="W819" s="18" t="str">
        <x:v>否</x:v>
      </x:c>
      <x:c r="X819" s="18" t="str">
        <x:v>0785e932a32b3ec15e1a1345537ae145eafe1c07bf38d5c16c11ee2b391e7a28</x:v>
      </x:c>
      <x:c r="Y819" s="20" t="n">
        <x:v>1</x:v>
      </x:c>
      <x:c r="Z819" s="20" t="n">
        <x:v>1</x:v>
      </x:c>
      <x:c r="AA819" s="19"/>
      <x:c r="AB819" s="18"/>
      <x:c r="AC819" s="19"/>
    </x:row>
    <x:row r="820" ht="28" customHeight="1">
      <x:c r="A820" s="18" t="str">
        <x:v>宝町</x:v>
      </x:c>
      <x:c r="B820" s="18" t="str">
        <x:v>東京都</x:v>
      </x:c>
      <x:c r="C820" s="18" t="str">
        <x:v>metro</x:v>
      </x:c>
      <x:c r="D820" s="19" t="str">
        <x:v>T2</x:v>
      </x:c>
      <x:c r="E820" s="20" t="n">
        <x:v>31022</x:v>
      </x:c>
      <x:c r="F820" s="18" t="str">
        <x:v>persons/day</x:v>
      </x:c>
      <x:c r="G820" s="18" t="str">
        <x:v>FY2024</x:v>
      </x:c>
      <x:c r="H820" s="18" t="str">
        <x:v>否</x:v>
      </x:c>
      <x:c r="I820" s="19" t="str">
        <x:v>DAILY_ENTRIES_EXITS</x:v>
      </x:c>
      <x:c r="J820" s="19" t="str">
        <x:v>1号線浅草線</x:v>
      </x:c>
      <x:c r="K820" s="18" t="str">
        <x:v>transport-node:0007606c-892e-5b0d-984b-723672d839ab</x:v>
      </x:c>
      <x:c r="L820" s="19" t="str">
        <x:v>组件待审核</x:v>
      </x:c>
      <x:c r="M820" s="21" t="n">
        <x:v>35.675666</x:v>
      </x:c>
      <x:c r="N820" s="21" t="n">
        <x:v>139.772092</x:v>
      </x:c>
      <x:c r="O820" s="18" t="str">
        <x:v>003796</x:v>
      </x:c>
      <x:c r="P820" s="18" t="str">
        <x:v>1号線浅草線</x:v>
      </x:c>
      <x:c r="Q820" s="19" t="str">
        <x:v>S12_061_GE_10000</x:v>
      </x:c>
      <x:c r="R820" s="19" t="str">
        <x:v>S12_061 usage threshold</x:v>
      </x:c>
      <x:c r="S820" s="19" t="str">
        <x:v>https://nlftp.mlit.go.jp/ksj/gml/datalist/KsjTmplt-S12-2024.html</x:v>
      </x:c>
      <x:c r="T820" s="19" t="str">
        <x:v>https://nlftp.mlit.go.jp/ksj/gml/datalist/KsjTmplt-S12-2024.html</x:v>
      </x:c>
      <x:c r="U820" s="19" t="str">
        <x:v>station-component|宝町|東京都|metro|35.6757|139.7721|</x:v>
      </x:c>
      <x:c r="V820" s="19" t="str">
        <x:v>003796 / 003796 / 1号線浅草線</x:v>
      </x:c>
      <x:c r="W820" s="18" t="str">
        <x:v>否</x:v>
      </x:c>
      <x:c r="X820" s="18" t="str">
        <x:v>0785e932a32b3ec15e1a1345537ae145eafe1c07bf38d5c16c11ee2b391e7a28</x:v>
      </x:c>
      <x:c r="Y820" s="20" t="n">
        <x:v>1</x:v>
      </x:c>
      <x:c r="Z820" s="20" t="n">
        <x:v>1</x:v>
      </x:c>
      <x:c r="AA820" s="19"/>
      <x:c r="AB820" s="18"/>
      <x:c r="AC820" s="19"/>
    </x:row>
    <x:row r="821" ht="28" customHeight="1">
      <x:c r="A821" s="18" t="str">
        <x:v>実籾</x:v>
      </x:c>
      <x:c r="B821" s="18" t="str">
        <x:v>京成電鉄</x:v>
      </x:c>
      <x:c r="C821" s="18" t="str">
        <x:v>private_rail</x:v>
      </x:c>
      <x:c r="D821" s="19" t="str">
        <x:v>T2</x:v>
      </x:c>
      <x:c r="E821" s="20" t="n">
        <x:v>24292</x:v>
      </x:c>
      <x:c r="F821" s="18" t="str">
        <x:v>persons/day</x:v>
      </x:c>
      <x:c r="G821" s="18" t="str">
        <x:v>FY2024</x:v>
      </x:c>
      <x:c r="H821" s="18" t="str">
        <x:v>否</x:v>
      </x:c>
      <x:c r="I821" s="19" t="str">
        <x:v>DAILY_ENTRIES_EXITS</x:v>
      </x:c>
      <x:c r="J821" s="19" t="str">
        <x:v>本線</x:v>
      </x:c>
      <x:c r="K821" s="18" t="str">
        <x:v>transport-node:88f5fdca-f13d-5ccf-a33f-5042896aa508</x:v>
      </x:c>
      <x:c r="L821" s="19" t="str">
        <x:v>组件待审核</x:v>
      </x:c>
      <x:c r="M821" s="21" t="n">
        <x:v>35.68685</x:v>
      </x:c>
      <x:c r="N821" s="21" t="n">
        <x:v>140.06808</x:v>
      </x:c>
      <x:c r="O821" s="18" t="str">
        <x:v>003718</x:v>
      </x:c>
      <x:c r="P821" s="18" t="str">
        <x:v>本線</x:v>
      </x:c>
      <x:c r="Q821" s="19" t="str">
        <x:v>S12_061_GE_10000</x:v>
      </x:c>
      <x:c r="R821" s="19" t="str">
        <x:v>S12_061 usage threshold</x:v>
      </x:c>
      <x:c r="S821" s="19" t="str">
        <x:v>https://nlftp.mlit.go.jp/ksj/gml/datalist/KsjTmplt-S12-2024.html</x:v>
      </x:c>
      <x:c r="T821" s="19" t="str">
        <x:v>https://nlftp.mlit.go.jp/ksj/gml/datalist/KsjTmplt-S12-2024.html</x:v>
      </x:c>
      <x:c r="U821" s="19" t="str">
        <x:v>station-component|実籾|京成電鉄|private_rail|35.6868|140.0681|</x:v>
      </x:c>
      <x:c r="V821" s="19" t="str">
        <x:v>003718 / 003718 / 本線</x:v>
      </x:c>
      <x:c r="W821" s="18" t="str">
        <x:v>否</x:v>
      </x:c>
      <x:c r="X821" s="18" t="str">
        <x:v>0785e932a32b3ec15e1a1345537ae145eafe1c07bf38d5c16c11ee2b391e7a28</x:v>
      </x:c>
      <x:c r="Y821" s="20" t="n">
        <x:v>1</x:v>
      </x:c>
      <x:c r="Z821" s="20" t="n">
        <x:v>1</x:v>
      </x:c>
      <x:c r="AA821" s="19"/>
      <x:c r="AB821" s="18"/>
      <x:c r="AC821" s="19"/>
    </x:row>
    <x:row r="822" ht="28" customHeight="1">
      <x:c r="A822" s="18" t="str">
        <x:v>室見</x:v>
      </x:c>
      <x:c r="B822" s="18" t="str">
        <x:v>福岡市</x:v>
      </x:c>
      <x:c r="C822" s="18" t="str">
        <x:v>metro</x:v>
      </x:c>
      <x:c r="D822" s="19" t="str">
        <x:v>T2</x:v>
      </x:c>
      <x:c r="E822" s="20" t="n">
        <x:v>15855</x:v>
      </x:c>
      <x:c r="F822" s="18" t="str">
        <x:v>persons/day</x:v>
      </x:c>
      <x:c r="G822" s="18" t="str">
        <x:v>FY2024</x:v>
      </x:c>
      <x:c r="H822" s="18" t="str">
        <x:v>否</x:v>
      </x:c>
      <x:c r="I822" s="19" t="str">
        <x:v>DAILY_ENTRIES_EXITS</x:v>
      </x:c>
      <x:c r="J822" s="19" t="str">
        <x:v>1号線(空港線)</x:v>
      </x:c>
      <x:c r="K822" s="18" t="str">
        <x:v>transport-node:9e2254ae-52cf-59a5-82ea-58ef3fd05a78</x:v>
      </x:c>
      <x:c r="L822" s="19" t="str">
        <x:v>组件待审核</x:v>
      </x:c>
      <x:c r="M822" s="21" t="n">
        <x:v>33.580675</x:v>
      </x:c>
      <x:c r="N822" s="21" t="n">
        <x:v>130.33986</x:v>
      </x:c>
      <x:c r="O822" s="18" t="str">
        <x:v>009053</x:v>
      </x:c>
      <x:c r="P822" s="18" t="str">
        <x:v>1号線(空港線)</x:v>
      </x:c>
      <x:c r="Q822" s="19" t="str">
        <x:v>S12_061_GE_10000</x:v>
      </x:c>
      <x:c r="R822" s="19" t="str">
        <x:v>S12_061 usage threshold</x:v>
      </x:c>
      <x:c r="S822" s="19" t="str">
        <x:v>https://nlftp.mlit.go.jp/ksj/gml/datalist/KsjTmplt-S12-2024.html</x:v>
      </x:c>
      <x:c r="T822" s="19" t="str">
        <x:v>https://nlftp.mlit.go.jp/ksj/gml/datalist/KsjTmplt-S12-2024.html</x:v>
      </x:c>
      <x:c r="U822" s="19" t="str">
        <x:v>station-component|室見|福岡市|metro|33.5807|130.3399|</x:v>
      </x:c>
      <x:c r="V822" s="19" t="str">
        <x:v>009053 / 009053 / 1号線(空港線)</x:v>
      </x:c>
      <x:c r="W822" s="18" t="str">
        <x:v>否</x:v>
      </x:c>
      <x:c r="X822" s="18" t="str">
        <x:v>0785e932a32b3ec15e1a1345537ae145eafe1c07bf38d5c16c11ee2b391e7a28</x:v>
      </x:c>
      <x:c r="Y822" s="20" t="n">
        <x:v>1</x:v>
      </x:c>
      <x:c r="Z822" s="20" t="n">
        <x:v>1</x:v>
      </x:c>
      <x:c r="AA822" s="19"/>
      <x:c r="AB822" s="18"/>
      <x:c r="AC822" s="19"/>
    </x:row>
    <x:row r="823" ht="28" customHeight="1">
      <x:c r="A823" s="18" t="str">
        <x:v>宮の沢</x:v>
      </x:c>
      <x:c r="B823" s="18" t="str">
        <x:v>札幌市</x:v>
      </x:c>
      <x:c r="C823" s="18" t="str">
        <x:v>metro</x:v>
      </x:c>
      <x:c r="D823" s="19" t="str">
        <x:v>T2</x:v>
      </x:c>
      <x:c r="E823" s="20" t="n">
        <x:v>31878</x:v>
      </x:c>
      <x:c r="F823" s="18" t="str">
        <x:v>persons/day</x:v>
      </x:c>
      <x:c r="G823" s="18" t="str">
        <x:v>FY2024</x:v>
      </x:c>
      <x:c r="H823" s="18" t="str">
        <x:v>否</x:v>
      </x:c>
      <x:c r="I823" s="19" t="str">
        <x:v>DAILY_ENTRIES_EXITS</x:v>
      </x:c>
      <x:c r="J823" s="19" t="str">
        <x:v>東西線</x:v>
      </x:c>
      <x:c r="K823" s="18" t="str">
        <x:v>transport-node:0d02e70b-6dec-5708-a0ab-dbab870e148c</x:v>
      </x:c>
      <x:c r="L823" s="19" t="str">
        <x:v>组件待审核</x:v>
      </x:c>
      <x:c r="M823" s="21" t="n">
        <x:v>43.089525</x:v>
      </x:c>
      <x:c r="N823" s="21" t="n">
        <x:v>141.27776</x:v>
      </x:c>
      <x:c r="O823" s="18" t="str">
        <x:v>000208</x:v>
      </x:c>
      <x:c r="P823" s="18" t="str">
        <x:v>東西線</x:v>
      </x:c>
      <x:c r="Q823" s="19" t="str">
        <x:v>S12_061_GE_10000</x:v>
      </x:c>
      <x:c r="R823" s="19" t="str">
        <x:v>S12_061 usage threshold</x:v>
      </x:c>
      <x:c r="S823" s="19" t="str">
        <x:v>https://nlftp.mlit.go.jp/ksj/gml/datalist/KsjTmplt-S12-2024.html</x:v>
      </x:c>
      <x:c r="T823" s="19" t="str">
        <x:v>https://nlftp.mlit.go.jp/ksj/gml/datalist/KsjTmplt-S12-2024.html</x:v>
      </x:c>
      <x:c r="U823" s="19" t="str">
        <x:v>station-component|宮の沢|札幌市|metro|43.0895|141.2778|</x:v>
      </x:c>
      <x:c r="V823" s="19" t="str">
        <x:v>000208 / 000208 / 東西線</x:v>
      </x:c>
      <x:c r="W823" s="18" t="str">
        <x:v>否</x:v>
      </x:c>
      <x:c r="X823" s="18" t="str">
        <x:v>0785e932a32b3ec15e1a1345537ae145eafe1c07bf38d5c16c11ee2b391e7a28</x:v>
      </x:c>
      <x:c r="Y823" s="20" t="n">
        <x:v>1</x:v>
      </x:c>
      <x:c r="Z823" s="20" t="n">
        <x:v>1</x:v>
      </x:c>
      <x:c r="AA823" s="19"/>
      <x:c r="AB823" s="18"/>
      <x:c r="AC823" s="19"/>
    </x:row>
    <x:row r="824" ht="28" customHeight="1">
      <x:c r="A824" s="18" t="str">
        <x:v>宮前平</x:v>
      </x:c>
      <x:c r="B824" s="18" t="str">
        <x:v>東急電鉄</x:v>
      </x:c>
      <x:c r="C824" s="18" t="str">
        <x:v>private_rail</x:v>
      </x:c>
      <x:c r="D824" s="19" t="str">
        <x:v>T2</x:v>
      </x:c>
      <x:c r="E824" s="20" t="n">
        <x:v>46121</x:v>
      </x:c>
      <x:c r="F824" s="18" t="str">
        <x:v>persons/day</x:v>
      </x:c>
      <x:c r="G824" s="18" t="str">
        <x:v>FY2024</x:v>
      </x:c>
      <x:c r="H824" s="18" t="str">
        <x:v>否</x:v>
      </x:c>
      <x:c r="I824" s="19" t="str">
        <x:v>DAILY_ENTRIES_EXITS</x:v>
      </x:c>
      <x:c r="J824" s="19" t="str">
        <x:v>田園都市線</x:v>
      </x:c>
      <x:c r="K824" s="18" t="str">
        <x:v>transport-node:bbea5f46-da41-54a2-9f66-3df38a2a8e13</x:v>
      </x:c>
      <x:c r="L824" s="19" t="str">
        <x:v>组件待审核</x:v>
      </x:c>
      <x:c r="M824" s="21" t="n">
        <x:v>35.58496</x:v>
      </x:c>
      <x:c r="N824" s="21" t="n">
        <x:v>139.582255</x:v>
      </x:c>
      <x:c r="O824" s="18" t="str">
        <x:v>004274</x:v>
      </x:c>
      <x:c r="P824" s="18" t="str">
        <x:v>田園都市線</x:v>
      </x:c>
      <x:c r="Q824" s="19" t="str">
        <x:v>S12_061_GE_10000</x:v>
      </x:c>
      <x:c r="R824" s="19" t="str">
        <x:v>S12_061 usage threshold</x:v>
      </x:c>
      <x:c r="S824" s="19" t="str">
        <x:v>https://nlftp.mlit.go.jp/ksj/gml/datalist/KsjTmplt-S12-2024.html</x:v>
      </x:c>
      <x:c r="T824" s="19" t="str">
        <x:v>https://nlftp.mlit.go.jp/ksj/gml/datalist/KsjTmplt-S12-2024.html</x:v>
      </x:c>
      <x:c r="U824" s="19" t="str">
        <x:v>station-component|宮前平|東急電鉄|private_rail|35.5850|139.5823|</x:v>
      </x:c>
      <x:c r="V824" s="19" t="str">
        <x:v>004274 / 004274 / 田園都市線</x:v>
      </x:c>
      <x:c r="W824" s="18" t="str">
        <x:v>否</x:v>
      </x:c>
      <x:c r="X824" s="18" t="str">
        <x:v>0785e932a32b3ec15e1a1345537ae145eafe1c07bf38d5c16c11ee2b391e7a28</x:v>
      </x:c>
      <x:c r="Y824" s="20" t="n">
        <x:v>1</x:v>
      </x:c>
      <x:c r="Z824" s="20" t="n">
        <x:v>1</x:v>
      </x:c>
      <x:c r="AA824" s="19"/>
      <x:c r="AB824" s="18"/>
      <x:c r="AC824" s="19"/>
    </x:row>
    <x:row r="825" ht="28" customHeight="1">
      <x:c r="A825" s="18" t="str">
        <x:v>宮原</x:v>
      </x:c>
      <x:c r="B825" s="18" t="str">
        <x:v>東日本旅客鉄道</x:v>
      </x:c>
      <x:c r="C825" s="18" t="str">
        <x:v>conventional_rail</x:v>
      </x:c>
      <x:c r="D825" s="19" t="str">
        <x:v>T2</x:v>
      </x:c>
      <x:c r="E825" s="20" t="n">
        <x:v>42824</x:v>
      </x:c>
      <x:c r="F825" s="18" t="str">
        <x:v>persons/day</x:v>
      </x:c>
      <x:c r="G825" s="18" t="str">
        <x:v>FY2024</x:v>
      </x:c>
      <x:c r="H825" s="18" t="str">
        <x:v>否</x:v>
      </x:c>
      <x:c r="I825" s="19" t="str">
        <x:v>DAILY_ENTRIES_EXITS</x:v>
      </x:c>
      <x:c r="J825" s="19" t="str">
        <x:v>高崎線</x:v>
      </x:c>
      <x:c r="K825" s="18" t="str">
        <x:v>transport-node:95caa13e-4c5b-5ca4-93f2-15855fd60ff0</x:v>
      </x:c>
      <x:c r="L825" s="19" t="str">
        <x:v>组件待审核</x:v>
      </x:c>
      <x:c r="M825" s="21" t="n">
        <x:v>35.94053</x:v>
      </x:c>
      <x:c r="N825" s="21" t="n">
        <x:v>139.60952</x:v>
      </x:c>
      <x:c r="O825" s="18" t="str">
        <x:v>002847</x:v>
      </x:c>
      <x:c r="P825" s="18" t="str">
        <x:v>高崎線</x:v>
      </x:c>
      <x:c r="Q825" s="19" t="str">
        <x:v>S12_061_GE_10000</x:v>
      </x:c>
      <x:c r="R825" s="19" t="str">
        <x:v>S12_061 usage threshold</x:v>
      </x:c>
      <x:c r="S825" s="19" t="str">
        <x:v>https://nlftp.mlit.go.jp/ksj/gml/datalist/KsjTmplt-S12-2024.html</x:v>
      </x:c>
      <x:c r="T825" s="19" t="str">
        <x:v>https://nlftp.mlit.go.jp/ksj/gml/datalist/KsjTmplt-S12-2024.html</x:v>
      </x:c>
      <x:c r="U825" s="19" t="str">
        <x:v>station-component|宮原|東日本旅客鉄道|conventional_rail|35.9405|139.6095|</x:v>
      </x:c>
      <x:c r="V825" s="19" t="str">
        <x:v>002847 / 002847 / 高崎線</x:v>
      </x:c>
      <x:c r="W825" s="18" t="str">
        <x:v>否</x:v>
      </x:c>
      <x:c r="X825" s="18" t="str">
        <x:v>0785e932a32b3ec15e1a1345537ae145eafe1c07bf38d5c16c11ee2b391e7a28</x:v>
      </x:c>
      <x:c r="Y825" s="20" t="n">
        <x:v>1</x:v>
      </x:c>
      <x:c r="Z825" s="20" t="n">
        <x:v>1</x:v>
      </x:c>
      <x:c r="AA825" s="19"/>
      <x:c r="AB825" s="18"/>
      <x:c r="AC825" s="19"/>
    </x:row>
    <x:row r="826" ht="28" customHeight="1">
      <x:c r="A826" s="18" t="str">
        <x:v>宮城野原</x:v>
      </x:c>
      <x:c r="B826" s="18" t="str">
        <x:v>東日本旅客鉄道</x:v>
      </x:c>
      <x:c r="C826" s="18" t="str">
        <x:v>conventional_rail</x:v>
      </x:c>
      <x:c r="D826" s="19" t="str">
        <x:v>T2</x:v>
      </x:c>
      <x:c r="E826" s="20" t="n">
        <x:v>11340</x:v>
      </x:c>
      <x:c r="F826" s="18" t="str">
        <x:v>persons/day</x:v>
      </x:c>
      <x:c r="G826" s="18" t="str">
        <x:v>FY2024</x:v>
      </x:c>
      <x:c r="H826" s="18" t="str">
        <x:v>否</x:v>
      </x:c>
      <x:c r="I826" s="19" t="str">
        <x:v>DAILY_ENTRIES_EXITS</x:v>
      </x:c>
      <x:c r="J826" s="19" t="str">
        <x:v>仙石線</x:v>
      </x:c>
      <x:c r="K826" s="18" t="str">
        <x:v>transport-node:f8b6852e-5223-58fc-9a1d-dfff38c3c0e5</x:v>
      </x:c>
      <x:c r="L826" s="19" t="str">
        <x:v>组件待审核</x:v>
      </x:c>
      <x:c r="M826" s="21" t="n">
        <x:v>38.26069</x:v>
      </x:c>
      <x:c r="N826" s="21" t="n">
        <x:v>140.9047733</x:v>
      </x:c>
      <x:c r="O826" s="18" t="str">
        <x:v>001176</x:v>
      </x:c>
      <x:c r="P826" s="18" t="str">
        <x:v>仙石線</x:v>
      </x:c>
      <x:c r="Q826" s="19" t="str">
        <x:v>S12_061_GE_10000</x:v>
      </x:c>
      <x:c r="R826" s="19" t="str">
        <x:v>S12_061 usage threshold</x:v>
      </x:c>
      <x:c r="S826" s="19" t="str">
        <x:v>https://nlftp.mlit.go.jp/ksj/gml/datalist/KsjTmplt-S12-2024.html</x:v>
      </x:c>
      <x:c r="T826" s="19" t="str">
        <x:v>https://nlftp.mlit.go.jp/ksj/gml/datalist/KsjTmplt-S12-2024.html</x:v>
      </x:c>
      <x:c r="U826" s="19" t="str">
        <x:v>station-component|宮城野原|東日本旅客鉄道|conventional_rail|38.2607|140.9048|</x:v>
      </x:c>
      <x:c r="V826" s="19" t="str">
        <x:v>001176 / 001176 / 仙石線</x:v>
      </x:c>
      <x:c r="W826" s="18" t="str">
        <x:v>否</x:v>
      </x:c>
      <x:c r="X826" s="18" t="str">
        <x:v>0785e932a32b3ec15e1a1345537ae145eafe1c07bf38d5c16c11ee2b391e7a28</x:v>
      </x:c>
      <x:c r="Y826" s="20" t="n">
        <x:v>1</x:v>
      </x:c>
      <x:c r="Z826" s="20" t="n">
        <x:v>1</x:v>
      </x:c>
      <x:c r="AA826" s="19"/>
      <x:c r="AB826" s="18"/>
      <x:c r="AC826" s="19"/>
    </x:row>
    <x:row r="827" ht="28" customHeight="1">
      <x:c r="A827" s="18" t="str">
        <x:v>宮崎</x:v>
      </x:c>
      <x:c r="B827" s="18" t="str">
        <x:v>九州旅客鉄道</x:v>
      </x:c>
      <x:c r="C827" s="18" t="str">
        <x:v>conventional_rail</x:v>
      </x:c>
      <x:c r="D827" s="19" t="str">
        <x:v>T2</x:v>
      </x:c>
      <x:c r="E827" s="20" t="n">
        <x:v>11312</x:v>
      </x:c>
      <x:c r="F827" s="18" t="str">
        <x:v>persons/day</x:v>
      </x:c>
      <x:c r="G827" s="18" t="str">
        <x:v>FY2024</x:v>
      </x:c>
      <x:c r="H827" s="18" t="str">
        <x:v>否</x:v>
      </x:c>
      <x:c r="I827" s="19" t="str">
        <x:v>DAILY_ENTRIES_EXITS</x:v>
      </x:c>
      <x:c r="J827" s="19" t="str">
        <x:v>日豊線</x:v>
      </x:c>
      <x:c r="K827" s="18" t="str">
        <x:v>transport-node:677eb191-1d42-5be1-8394-135b0d5cd17b</x:v>
      </x:c>
      <x:c r="L827" s="19" t="str">
        <x:v>组件待审核</x:v>
      </x:c>
      <x:c r="M827" s="21" t="n">
        <x:v>31.915815</x:v>
      </x:c>
      <x:c r="N827" s="21" t="n">
        <x:v>131.432005</x:v>
      </x:c>
      <x:c r="O827" s="18" t="str">
        <x:v>009957</x:v>
      </x:c>
      <x:c r="P827" s="18" t="str">
        <x:v>日豊線</x:v>
      </x:c>
      <x:c r="Q827" s="19" t="str">
        <x:v>S12_061_GE_10000</x:v>
      </x:c>
      <x:c r="R827" s="19" t="str">
        <x:v>S12_061 usage threshold</x:v>
      </x:c>
      <x:c r="S827" s="19" t="str">
        <x:v>https://nlftp.mlit.go.jp/ksj/gml/datalist/KsjTmplt-S12-2024.html</x:v>
      </x:c>
      <x:c r="T827" s="19" t="str">
        <x:v>https://nlftp.mlit.go.jp/ksj/gml/datalist/KsjTmplt-S12-2024.html</x:v>
      </x:c>
      <x:c r="U827" s="19" t="str">
        <x:v>station-component|宮崎|九州旅客鉄道|conventional_rail|31.9158|131.4320|</x:v>
      </x:c>
      <x:c r="V827" s="19" t="str">
        <x:v>009957 / 009957 / 日豊線</x:v>
      </x:c>
      <x:c r="W827" s="18" t="str">
        <x:v>否</x:v>
      </x:c>
      <x:c r="X827" s="18" t="str">
        <x:v>0785e932a32b3ec15e1a1345537ae145eafe1c07bf38d5c16c11ee2b391e7a28</x:v>
      </x:c>
      <x:c r="Y827" s="20" t="n">
        <x:v>1</x:v>
      </x:c>
      <x:c r="Z827" s="20" t="n">
        <x:v>1</x:v>
      </x:c>
      <x:c r="AA827" s="19"/>
      <x:c r="AB827" s="18"/>
      <x:c r="AC827" s="19"/>
    </x:row>
    <x:row r="828" ht="28" customHeight="1">
      <x:c r="A828" s="18" t="str">
        <x:v>宮崎台</x:v>
      </x:c>
      <x:c r="B828" s="18" t="str">
        <x:v>東急電鉄</x:v>
      </x:c>
      <x:c r="C828" s="18" t="str">
        <x:v>private_rail</x:v>
      </x:c>
      <x:c r="D828" s="19" t="str">
        <x:v>T2</x:v>
      </x:c>
      <x:c r="E828" s="20" t="n">
        <x:v>47972</x:v>
      </x:c>
      <x:c r="F828" s="18" t="str">
        <x:v>persons/day</x:v>
      </x:c>
      <x:c r="G828" s="18" t="str">
        <x:v>FY2024</x:v>
      </x:c>
      <x:c r="H828" s="18" t="str">
        <x:v>否</x:v>
      </x:c>
      <x:c r="I828" s="19" t="str">
        <x:v>DAILY_ENTRIES_EXITS</x:v>
      </x:c>
      <x:c r="J828" s="19" t="str">
        <x:v>田園都市線</x:v>
      </x:c>
      <x:c r="K828" s="18" t="str">
        <x:v>transport-node:a1863786-5731-5539-9b02-054f6acf5eb0</x:v>
      </x:c>
      <x:c r="L828" s="19" t="str">
        <x:v>组件待审核</x:v>
      </x:c>
      <x:c r="M828" s="21" t="n">
        <x:v>35.58709</x:v>
      </x:c>
      <x:c r="N828" s="21" t="n">
        <x:v>139.59085</x:v>
      </x:c>
      <x:c r="O828" s="18" t="str">
        <x:v>004271</x:v>
      </x:c>
      <x:c r="P828" s="18" t="str">
        <x:v>田園都市線</x:v>
      </x:c>
      <x:c r="Q828" s="19" t="str">
        <x:v>S12_061_GE_10000</x:v>
      </x:c>
      <x:c r="R828" s="19" t="str">
        <x:v>S12_061 usage threshold</x:v>
      </x:c>
      <x:c r="S828" s="19" t="str">
        <x:v>https://nlftp.mlit.go.jp/ksj/gml/datalist/KsjTmplt-S12-2024.html</x:v>
      </x:c>
      <x:c r="T828" s="19" t="str">
        <x:v>https://nlftp.mlit.go.jp/ksj/gml/datalist/KsjTmplt-S12-2024.html</x:v>
      </x:c>
      <x:c r="U828" s="19" t="str">
        <x:v>station-component|宮崎台|東急電鉄|private_rail|35.5871|139.5908|</x:v>
      </x:c>
      <x:c r="V828" s="19" t="str">
        <x:v>004271 / 004271 / 田園都市線</x:v>
      </x:c>
      <x:c r="W828" s="18" t="str">
        <x:v>否</x:v>
      </x:c>
      <x:c r="X828" s="18" t="str">
        <x:v>0785e932a32b3ec15e1a1345537ae145eafe1c07bf38d5c16c11ee2b391e7a28</x:v>
      </x:c>
      <x:c r="Y828" s="20" t="n">
        <x:v>1</x:v>
      </x:c>
      <x:c r="Z828" s="20" t="n">
        <x:v>1</x:v>
      </x:c>
      <x:c r="AA828" s="19"/>
      <x:c r="AB828" s="18"/>
      <x:c r="AC828" s="19"/>
    </x:row>
    <x:row r="829" ht="33" customHeight="1">
      <x:c r="A829" s="18" t="str">
        <x:v>宮崎空港</x:v>
      </x:c>
      <x:c r="B829" s="18" t="str">
        <x:v>九州旅客鉄道</x:v>
      </x:c>
      <x:c r="C829" s="18" t="str">
        <x:v>conventional_rail</x:v>
      </x:c>
      <x:c r="D829" s="19" t="str">
        <x:v>T3</x:v>
      </x:c>
      <x:c r="E829" s="20" t="n">
        <x:v>1902</x:v>
      </x:c>
      <x:c r="F829" s="18" t="str">
        <x:v>persons/day</x:v>
      </x:c>
      <x:c r="G829" s="18" t="str">
        <x:v>FY2024</x:v>
      </x:c>
      <x:c r="H829" s="18" t="str">
        <x:v>否</x:v>
      </x:c>
      <x:c r="I829" s="19" t="str">
        <x:v>DAILY_ENTRIES_EXITS</x:v>
      </x:c>
      <x:c r="J829" s="19" t="str">
        <x:v>宮崎空港線</x:v>
      </x:c>
      <x:c r="K829" s="18" t="str">
        <x:v>transport-node:c40d5b58-21b7-5fe7-aa41-ca8bf98292f4</x:v>
      </x:c>
      <x:c r="L829" s="19" t="str">
        <x:v>组件待审核</x:v>
      </x:c>
      <x:c r="M829" s="21" t="n">
        <x:v>31.8724775</x:v>
      </x:c>
      <x:c r="N829" s="21" t="n">
        <x:v>131.43958</x:v>
      </x:c>
      <x:c r="O829" s="18" t="str">
        <x:v>009968</x:v>
      </x:c>
      <x:c r="P829" s="18" t="str">
        <x:v>宮崎空港線</x:v>
      </x:c>
      <x:c r="Q829" s="19" t="str">
        <x:v>AIRPORT_ACCESS_AUDIT</x:v>
      </x:c>
      <x:c r="R829" s="19" t="str">
        <x:v>S12_061 usage threshold; low-flow inclusion justified by airport access</x:v>
      </x:c>
      <x:c r="S829" s="19" t="str">
        <x:v>https://nlftp.mlit.go.jp/ksj/gml/datalist/KsjTmplt-S12-2024.html</x:v>
      </x:c>
      <x:c r="T829" s="19" t="str">
        <x:v>https://nlftp.mlit.go.jp/ksj/gml/datalist/KsjTmplt-S12-2024.html</x:v>
      </x:c>
      <x:c r="U829" s="19" t="str">
        <x:v>station-component|宮崎空港|九州旅客鉄道|conventional_rail|31.8725|131.4396|</x:v>
      </x:c>
      <x:c r="V829" s="19" t="str">
        <x:v>009968 / 009968 / 宮崎空港線</x:v>
      </x:c>
      <x:c r="W829" s="18" t="str">
        <x:v>否</x:v>
      </x:c>
      <x:c r="X829" s="18" t="str">
        <x:v>0785e932a32b3ec15e1a1345537ae145eafe1c07bf38d5c16c11ee2b391e7a28</x:v>
      </x:c>
      <x:c r="Y829" s="20" t="n">
        <x:v>1</x:v>
      </x:c>
      <x:c r="Z829" s="20" t="n">
        <x:v>1</x:v>
      </x:c>
      <x:c r="AA829" s="19"/>
      <x:c r="AB829" s="18"/>
      <x:c r="AC829" s="19"/>
    </x:row>
    <x:row r="830" ht="28" customHeight="1">
      <x:c r="A830" s="18" t="str">
        <x:v>宿河原</x:v>
      </x:c>
      <x:c r="B830" s="18" t="str">
        <x:v>東日本旅客鉄道</x:v>
      </x:c>
      <x:c r="C830" s="18" t="str">
        <x:v>conventional_rail</x:v>
      </x:c>
      <x:c r="D830" s="19" t="str">
        <x:v>T2</x:v>
      </x:c>
      <x:c r="E830" s="20" t="n">
        <x:v>16416</x:v>
      </x:c>
      <x:c r="F830" s="18" t="str">
        <x:v>persons/day</x:v>
      </x:c>
      <x:c r="G830" s="18" t="str">
        <x:v>FY2024</x:v>
      </x:c>
      <x:c r="H830" s="18" t="str">
        <x:v>否</x:v>
      </x:c>
      <x:c r="I830" s="19" t="str">
        <x:v>DAILY_ENTRIES_EXITS</x:v>
      </x:c>
      <x:c r="J830" s="19" t="str">
        <x:v>南武線</x:v>
      </x:c>
      <x:c r="K830" s="18" t="str">
        <x:v>transport-node:97f2c643-d03e-54d3-bbc6-efebe0f8aebc</x:v>
      </x:c>
      <x:c r="L830" s="19" t="str">
        <x:v>组件待审核</x:v>
      </x:c>
      <x:c r="M830" s="21" t="n">
        <x:v>35.61542</x:v>
      </x:c>
      <x:c r="N830" s="21" t="n">
        <x:v>139.579545</x:v>
      </x:c>
      <x:c r="O830" s="18" t="str">
        <x:v>004158</x:v>
      </x:c>
      <x:c r="P830" s="18" t="str">
        <x:v>南武線</x:v>
      </x:c>
      <x:c r="Q830" s="19" t="str">
        <x:v>S12_061_GE_10000</x:v>
      </x:c>
      <x:c r="R830" s="19" t="str">
        <x:v>S12_061 usage threshold</x:v>
      </x:c>
      <x:c r="S830" s="19" t="str">
        <x:v>https://nlftp.mlit.go.jp/ksj/gml/datalist/KsjTmplt-S12-2024.html</x:v>
      </x:c>
      <x:c r="T830" s="19" t="str">
        <x:v>https://nlftp.mlit.go.jp/ksj/gml/datalist/KsjTmplt-S12-2024.html</x:v>
      </x:c>
      <x:c r="U830" s="19" t="str">
        <x:v>station-component|宿河原|東日本旅客鉄道|conventional_rail|35.6154|139.5795|</x:v>
      </x:c>
      <x:c r="V830" s="19" t="str">
        <x:v>004158 / 004158 / 南武線</x:v>
      </x:c>
      <x:c r="W830" s="18" t="str">
        <x:v>否</x:v>
      </x:c>
      <x:c r="X830" s="18" t="str">
        <x:v>0785e932a32b3ec15e1a1345537ae145eafe1c07bf38d5c16c11ee2b391e7a28</x:v>
      </x:c>
      <x:c r="Y830" s="20" t="n">
        <x:v>1</x:v>
      </x:c>
      <x:c r="Z830" s="20" t="n">
        <x:v>1</x:v>
      </x:c>
      <x:c r="AA830" s="19"/>
      <x:c r="AB830" s="18"/>
      <x:c r="AC830" s="19"/>
    </x:row>
    <x:row r="831" ht="33" customHeight="1">
      <x:c r="A831" s="18" t="str">
        <x:v>富士</x:v>
      </x:c>
      <x:c r="B831" s="18" t="str">
        <x:v>東海旅客鉄道</x:v>
      </x:c>
      <x:c r="C831" s="18" t="str">
        <x:v>conventional_rail</x:v>
      </x:c>
      <x:c r="D831" s="19" t="str">
        <x:v>T2</x:v>
      </x:c>
      <x:c r="E831" s="20" t="n">
        <x:v>14924</x:v>
      </x:c>
      <x:c r="F831" s="18" t="str">
        <x:v>persons/day</x:v>
      </x:c>
      <x:c r="G831" s="18" t="str">
        <x:v>FY2024</x:v>
      </x:c>
      <x:c r="H831" s="18" t="str">
        <x:v>否</x:v>
      </x:c>
      <x:c r="I831" s="19" t="str">
        <x:v>DAILY_ENTRIES_EXITS</x:v>
      </x:c>
      <x:c r="J831" s="19" t="str">
        <x:v>東海道線
身延線</x:v>
      </x:c>
      <x:c r="K831" s="18" t="str">
        <x:v>transport-node:f84bf1fd-2b7f-5f4f-a9c1-716acddd5ad5</x:v>
      </x:c>
      <x:c r="L831" s="19" t="str">
        <x:v>组件待审核</x:v>
      </x:c>
      <x:c r="M831" s="21" t="n">
        <x:v>35.15127</x:v>
      </x:c>
      <x:c r="N831" s="21" t="n">
        <x:v>138.651848</x:v>
      </x:c>
      <x:c r="O831" s="18" t="str">
        <x:v>005523</x:v>
      </x:c>
      <x:c r="P831" s="18" t="str">
        <x:v>東海道線</x:v>
      </x:c>
      <x:c r="Q831" s="19" t="str">
        <x:v>S12_061_GE_10000</x:v>
      </x:c>
      <x:c r="R831" s="19" t="str">
        <x:v>S12_061 usage threshold</x:v>
      </x:c>
      <x:c r="S831" s="19" t="str">
        <x:v>https://nlftp.mlit.go.jp/ksj/gml/datalist/KsjTmplt-S12-2024.html</x:v>
      </x:c>
      <x:c r="T831" s="19" t="str">
        <x:v>https://nlftp.mlit.go.jp/ksj/gml/datalist/KsjTmplt-S12-2024.html</x:v>
      </x:c>
      <x:c r="U831" s="19" t="str">
        <x:v>station-component|富士|東海旅客鉄道|conventional_rail|35.1513|138.6518|</x:v>
      </x:c>
      <x:c r="V831" s="19" t="str">
        <x:v>005522 / 005522 / 身延線
005522 / 005523 / 東海道線</x:v>
      </x:c>
      <x:c r="W831" s="18" t="str">
        <x:v>否</x:v>
      </x:c>
      <x:c r="X831" s="18" t="str">
        <x:v>0785e932a32b3ec15e1a1345537ae145eafe1c07bf38d5c16c11ee2b391e7a28</x:v>
      </x:c>
      <x:c r="Y831" s="20" t="n">
        <x:v>1</x:v>
      </x:c>
      <x:c r="Z831" s="20" t="n">
        <x:v>1</x:v>
      </x:c>
      <x:c r="AA831" s="19"/>
      <x:c r="AB831" s="18"/>
      <x:c r="AC831" s="19"/>
    </x:row>
    <x:row r="832" ht="28" customHeight="1">
      <x:c r="A832" s="18" t="str">
        <x:v>富士見ヶ丘</x:v>
      </x:c>
      <x:c r="B832" s="18" t="str">
        <x:v>京王電鉄</x:v>
      </x:c>
      <x:c r="C832" s="18" t="str">
        <x:v>private_rail</x:v>
      </x:c>
      <x:c r="D832" s="19" t="str">
        <x:v>T2</x:v>
      </x:c>
      <x:c r="E832" s="20" t="n">
        <x:v>13091</x:v>
      </x:c>
      <x:c r="F832" s="18" t="str">
        <x:v>persons/day</x:v>
      </x:c>
      <x:c r="G832" s="18" t="str">
        <x:v>FY2024</x:v>
      </x:c>
      <x:c r="H832" s="18" t="str">
        <x:v>否</x:v>
      </x:c>
      <x:c r="I832" s="19" t="str">
        <x:v>DAILY_ENTRIES_EXITS</x:v>
      </x:c>
      <x:c r="J832" s="19" t="str">
        <x:v>井の頭線</x:v>
      </x:c>
      <x:c r="K832" s="18" t="str">
        <x:v>transport-node:29e4ea4e-8bee-58cb-ab9c-7966c8a3f42d</x:v>
      </x:c>
      <x:c r="L832" s="19" t="str">
        <x:v>组件待审核</x:v>
      </x:c>
      <x:c r="M832" s="21" t="n">
        <x:v>35.684805</x:v>
      </x:c>
      <x:c r="N832" s="21" t="n">
        <x:v>139.6072325</x:v>
      </x:c>
      <x:c r="O832" s="18" t="str">
        <x:v>003736</x:v>
      </x:c>
      <x:c r="P832" s="18" t="str">
        <x:v>井の頭線</x:v>
      </x:c>
      <x:c r="Q832" s="19" t="str">
        <x:v>S12_061_GE_10000</x:v>
      </x:c>
      <x:c r="R832" s="19" t="str">
        <x:v>S12_061 usage threshold</x:v>
      </x:c>
      <x:c r="S832" s="19" t="str">
        <x:v>https://nlftp.mlit.go.jp/ksj/gml/datalist/KsjTmplt-S12-2024.html</x:v>
      </x:c>
      <x:c r="T832" s="19" t="str">
        <x:v>https://nlftp.mlit.go.jp/ksj/gml/datalist/KsjTmplt-S12-2024.html</x:v>
      </x:c>
      <x:c r="U832" s="19" t="str">
        <x:v>station-component|富士見ヶ丘|京王電鉄|private_rail|35.6848|139.6072|</x:v>
      </x:c>
      <x:c r="V832" s="19" t="str">
        <x:v>003736 / 003736 / 井の頭線</x:v>
      </x:c>
      <x:c r="W832" s="18" t="str">
        <x:v>否</x:v>
      </x:c>
      <x:c r="X832" s="18" t="str">
        <x:v>0785e932a32b3ec15e1a1345537ae145eafe1c07bf38d5c16c11ee2b391e7a28</x:v>
      </x:c>
      <x:c r="Y832" s="20" t="n">
        <x:v>1</x:v>
      </x:c>
      <x:c r="Z832" s="20" t="n">
        <x:v>1</x:v>
      </x:c>
      <x:c r="AA832" s="19"/>
      <x:c r="AB832" s="18"/>
      <x:c r="AC832" s="19"/>
    </x:row>
    <x:row r="833" ht="28" customHeight="1">
      <x:c r="A833" s="18" t="str">
        <x:v>富士見台</x:v>
      </x:c>
      <x:c r="B833" s="18" t="str">
        <x:v>西武鉄道</x:v>
      </x:c>
      <x:c r="C833" s="18" t="str">
        <x:v>private_rail</x:v>
      </x:c>
      <x:c r="D833" s="19" t="str">
        <x:v>T2</x:v>
      </x:c>
      <x:c r="E833" s="20" t="n">
        <x:v>27732</x:v>
      </x:c>
      <x:c r="F833" s="18" t="str">
        <x:v>persons/day</x:v>
      </x:c>
      <x:c r="G833" s="18" t="str">
        <x:v>FY2024</x:v>
      </x:c>
      <x:c r="H833" s="18" t="str">
        <x:v>否</x:v>
      </x:c>
      <x:c r="I833" s="19" t="str">
        <x:v>DAILY_ENTRIES_EXITS</x:v>
      </x:c>
      <x:c r="J833" s="19" t="str">
        <x:v>池袋線</x:v>
      </x:c>
      <x:c r="K833" s="18" t="str">
        <x:v>transport-node:1f55586b-6d2f-5bfe-b30d-d127cd125b52</x:v>
      </x:c>
      <x:c r="L833" s="19" t="str">
        <x:v>组件待审核</x:v>
      </x:c>
      <x:c r="M833" s="21" t="n">
        <x:v>35.73585</x:v>
      </x:c>
      <x:c r="N833" s="21" t="n">
        <x:v>139.629815</x:v>
      </x:c>
      <x:c r="O833" s="18" t="str">
        <x:v>003349</x:v>
      </x:c>
      <x:c r="P833" s="18" t="str">
        <x:v>池袋線</x:v>
      </x:c>
      <x:c r="Q833" s="19" t="str">
        <x:v>S12_061_GE_10000</x:v>
      </x:c>
      <x:c r="R833" s="19" t="str">
        <x:v>S12_061 usage threshold</x:v>
      </x:c>
      <x:c r="S833" s="19" t="str">
        <x:v>https://nlftp.mlit.go.jp/ksj/gml/datalist/KsjTmplt-S12-2024.html</x:v>
      </x:c>
      <x:c r="T833" s="19" t="str">
        <x:v>https://nlftp.mlit.go.jp/ksj/gml/datalist/KsjTmplt-S12-2024.html</x:v>
      </x:c>
      <x:c r="U833" s="19" t="str">
        <x:v>station-component|富士見台|西武鉄道|private_rail|35.7358|139.6298|</x:v>
      </x:c>
      <x:c r="V833" s="19" t="str">
        <x:v>003349 / 003349 / 池袋線</x:v>
      </x:c>
      <x:c r="W833" s="18" t="str">
        <x:v>否</x:v>
      </x:c>
      <x:c r="X833" s="18" t="str">
        <x:v>0785e932a32b3ec15e1a1345537ae145eafe1c07bf38d5c16c11ee2b391e7a28</x:v>
      </x:c>
      <x:c r="Y833" s="20" t="n">
        <x:v>1</x:v>
      </x:c>
      <x:c r="Z833" s="20" t="n">
        <x:v>1</x:v>
      </x:c>
      <x:c r="AA833" s="19"/>
      <x:c r="AB833" s="18"/>
      <x:c r="AC833" s="19"/>
    </x:row>
    <x:row r="834" ht="28" customHeight="1">
      <x:c r="A834" s="18" t="str">
        <x:v>富山</x:v>
      </x:c>
      <x:c r="B834" s="18" t="str">
        <x:v>あいの風とやま鉄道</x:v>
      </x:c>
      <x:c r="C834" s="18" t="str">
        <x:v>private_rail</x:v>
      </x:c>
      <x:c r="D834" s="19" t="str">
        <x:v>T2</x:v>
      </x:c>
      <x:c r="E834" s="20" t="n">
        <x:v>25100</x:v>
      </x:c>
      <x:c r="F834" s="18" t="str">
        <x:v>persons/day</x:v>
      </x:c>
      <x:c r="G834" s="18" t="str">
        <x:v>FY2024</x:v>
      </x:c>
      <x:c r="H834" s="18" t="str">
        <x:v>否</x:v>
      </x:c>
      <x:c r="I834" s="19" t="str">
        <x:v>DAILY_ENTRIES_EXITS</x:v>
      </x:c>
      <x:c r="J834" s="19" t="str">
        <x:v>あいの風とやま鉄道線</x:v>
      </x:c>
      <x:c r="K834" s="18" t="str">
        <x:v>transport-node:fecf3231-635d-5989-97de-a1abdd005aa8</x:v>
      </x:c>
      <x:c r="L834" s="19" t="str">
        <x:v>组件待审核</x:v>
      </x:c>
      <x:c r="M834" s="21" t="n">
        <x:v>36.70169</x:v>
      </x:c>
      <x:c r="N834" s="21" t="n">
        <x:v>137.21321</x:v>
      </x:c>
      <x:c r="O834" s="18" t="str">
        <x:v>001926</x:v>
      </x:c>
      <x:c r="P834" s="18" t="str">
        <x:v>あいの風とやま鉄道線</x:v>
      </x:c>
      <x:c r="Q834" s="19" t="str">
        <x:v>S12_061_GE_10000</x:v>
      </x:c>
      <x:c r="R834" s="19" t="str">
        <x:v>S12_061 usage threshold</x:v>
      </x:c>
      <x:c r="S834" s="19" t="str">
        <x:v>https://nlftp.mlit.go.jp/ksj/gml/datalist/KsjTmplt-S12-2024.html</x:v>
      </x:c>
      <x:c r="T834" s="19" t="str">
        <x:v>https://nlftp.mlit.go.jp/ksj/gml/datalist/KsjTmplt-S12-2024.html</x:v>
      </x:c>
      <x:c r="U834" s="19" t="str">
        <x:v>station-component|富山|あいの風とやま鉄道|private_rail|36.7017|137.2132|</x:v>
      </x:c>
      <x:c r="V834" s="19" t="str">
        <x:v>001925 / 001926 / あいの風とやま鉄道線</x:v>
      </x:c>
      <x:c r="W834" s="18" t="str">
        <x:v>否</x:v>
      </x:c>
      <x:c r="X834" s="18" t="str">
        <x:v>0785e932a32b3ec15e1a1345537ae145eafe1c07bf38d5c16c11ee2b391e7a28</x:v>
      </x:c>
      <x:c r="Y834" s="20" t="n">
        <x:v>1</x:v>
      </x:c>
      <x:c r="Z834" s="20" t="n">
        <x:v>1</x:v>
      </x:c>
      <x:c r="AA834" s="19"/>
      <x:c r="AB834" s="18"/>
      <x:c r="AC834" s="19"/>
    </x:row>
    <x:row r="835" ht="33" customHeight="1">
      <x:c r="A835" s="18" t="str">
        <x:v>富山</x:v>
      </x:c>
      <x:c r="B835" s="18" t="str">
        <x:v>西日本旅客鉄道</x:v>
      </x:c>
      <x:c r="C835" s="18" t="str">
        <x:v>shinkansen</x:v>
      </x:c>
      <x:c r="D835" s="19" t="str">
        <x:v>T2</x:v>
      </x:c>
      <x:c r="E835" s="20" t="n">
        <x:v>17448</x:v>
      </x:c>
      <x:c r="F835" s="18" t="str">
        <x:v>persons/day</x:v>
      </x:c>
      <x:c r="G835" s="18" t="str">
        <x:v>FY2024</x:v>
      </x:c>
      <x:c r="H835" s="18" t="str">
        <x:v>否</x:v>
      </x:c>
      <x:c r="I835" s="19" t="str">
        <x:v>DAILY_ENTRIES_EXITS</x:v>
      </x:c>
      <x:c r="J835" s="19" t="str">
        <x:v>北陸新幹線</x:v>
      </x:c>
      <x:c r="K835" s="18" t="str">
        <x:v>transport-node:4d8e99b5-a44e-5409-a7b5-a1eefbb0fa4e</x:v>
      </x:c>
      <x:c r="L835" s="19" t="str">
        <x:v>组件待审核</x:v>
      </x:c>
      <x:c r="M835" s="21" t="n">
        <x:v>36.7014389</x:v>
      </x:c>
      <x:c r="N835" s="21" t="n">
        <x:v>137.2133064</x:v>
      </x:c>
      <x:c r="O835" s="18" t="str">
        <x:v>001927</x:v>
      </x:c>
      <x:c r="P835" s="18" t="str">
        <x:v>北陸新幹線</x:v>
      </x:c>
      <x:c r="Q835" s="19" t="str">
        <x:v>S12_061_GE_10000
SHINKANSEN</x:v>
      </x:c>
      <x:c r="R835" s="19" t="str">
        <x:v>S12_061 usage threshold</x:v>
      </x:c>
      <x:c r="S835" s="19" t="str">
        <x:v>https://nlftp.mlit.go.jp/ksj/gml/datalist/KsjTmplt-S12-2024.html</x:v>
      </x:c>
      <x:c r="T835" s="19" t="str">
        <x:v>https://nlftp.mlit.go.jp/ksj/gml/datalist/KsjTmplt-S12-2024.html</x:v>
      </x:c>
      <x:c r="U835" s="19" t="str">
        <x:v>station-component|富山|西日本旅客鉄道|shinkansen|36.7014|137.2133|</x:v>
      </x:c>
      <x:c r="V835" s="19" t="str">
        <x:v>001925 / 001927 / 北陸新幹線</x:v>
      </x:c>
      <x:c r="W835" s="18" t="str">
        <x:v>否</x:v>
      </x:c>
      <x:c r="X835" s="18" t="str">
        <x:v>0785e932a32b3ec15e1a1345537ae145eafe1c07bf38d5c16c11ee2b391e7a28</x:v>
      </x:c>
      <x:c r="Y835" s="20" t="n">
        <x:v>1</x:v>
      </x:c>
      <x:c r="Z835" s="20" t="n">
        <x:v>1</x:v>
      </x:c>
      <x:c r="AA835" s="19"/>
      <x:c r="AB835" s="18"/>
      <x:c r="AC835" s="19"/>
    </x:row>
    <x:row r="836" ht="28" customHeight="1">
      <x:c r="A836" s="18" t="str">
        <x:v>富田</x:v>
      </x:c>
      <x:c r="B836" s="18" t="str">
        <x:v>阪急電鉄</x:v>
      </x:c>
      <x:c r="C836" s="18" t="str">
        <x:v>private_rail</x:v>
      </x:c>
      <x:c r="D836" s="19" t="str">
        <x:v>T2</x:v>
      </x:c>
      <x:c r="E836" s="20" t="n">
        <x:v>15598</x:v>
      </x:c>
      <x:c r="F836" s="18" t="str">
        <x:v>persons/day</x:v>
      </x:c>
      <x:c r="G836" s="18" t="str">
        <x:v>FY2024</x:v>
      </x:c>
      <x:c r="H836" s="18" t="str">
        <x:v>否</x:v>
      </x:c>
      <x:c r="I836" s="19" t="str">
        <x:v>DAILY_ENTRIES_EXITS</x:v>
      </x:c>
      <x:c r="J836" s="19" t="str">
        <x:v>京都線</x:v>
      </x:c>
      <x:c r="K836" s="18" t="str">
        <x:v>transport-node:36eb7a48-e6db-5fef-9a70-86943690df28</x:v>
      </x:c>
      <x:c r="L836" s="19" t="str">
        <x:v>组件待审核</x:v>
      </x:c>
      <x:c r="M836" s="21" t="n">
        <x:v>34.83516</x:v>
      </x:c>
      <x:c r="N836" s="21" t="n">
        <x:v>135.59271</x:v>
      </x:c>
      <x:c r="O836" s="18" t="str">
        <x:v>006475</x:v>
      </x:c>
      <x:c r="P836" s="18" t="str">
        <x:v>京都線</x:v>
      </x:c>
      <x:c r="Q836" s="19" t="str">
        <x:v>S12_061_GE_10000</x:v>
      </x:c>
      <x:c r="R836" s="19" t="str">
        <x:v>S12_061 usage threshold</x:v>
      </x:c>
      <x:c r="S836" s="19" t="str">
        <x:v>https://nlftp.mlit.go.jp/ksj/gml/datalist/KsjTmplt-S12-2024.html</x:v>
      </x:c>
      <x:c r="T836" s="19" t="str">
        <x:v>https://nlftp.mlit.go.jp/ksj/gml/datalist/KsjTmplt-S12-2024.html</x:v>
      </x:c>
      <x:c r="U836" s="19" t="str">
        <x:v>station-component|富田|阪急電鉄|private_rail|34.8352|135.5927|</x:v>
      </x:c>
      <x:c r="V836" s="19" t="str">
        <x:v>006475 / 006475 / 京都線</x:v>
      </x:c>
      <x:c r="W836" s="18" t="str">
        <x:v>否</x:v>
      </x:c>
      <x:c r="X836" s="18" t="str">
        <x:v>0785e932a32b3ec15e1a1345537ae145eafe1c07bf38d5c16c11ee2b391e7a28</x:v>
      </x:c>
      <x:c r="Y836" s="20" t="n">
        <x:v>1</x:v>
      </x:c>
      <x:c r="Z836" s="20" t="n">
        <x:v>1</x:v>
      </x:c>
      <x:c r="AA836" s="19"/>
      <x:c r="AB836" s="18"/>
      <x:c r="AC836" s="19"/>
    </x:row>
    <x:row r="837" ht="28" customHeight="1">
      <x:c r="A837" s="18" t="str">
        <x:v>富田林</x:v>
      </x:c>
      <x:c r="B837" s="18" t="str">
        <x:v>近畿日本鉄道</x:v>
      </x:c>
      <x:c r="C837" s="18" t="str">
        <x:v>private_rail</x:v>
      </x:c>
      <x:c r="D837" s="19" t="str">
        <x:v>T2</x:v>
      </x:c>
      <x:c r="E837" s="20" t="n">
        <x:v>11063</x:v>
      </x:c>
      <x:c r="F837" s="18" t="str">
        <x:v>persons/day</x:v>
      </x:c>
      <x:c r="G837" s="18" t="str">
        <x:v>FY2024</x:v>
      </x:c>
      <x:c r="H837" s="18" t="str">
        <x:v>否</x:v>
      </x:c>
      <x:c r="I837" s="19" t="str">
        <x:v>DAILY_ENTRIES_EXITS</x:v>
      </x:c>
      <x:c r="J837" s="19" t="str">
        <x:v>長野線</x:v>
      </x:c>
      <x:c r="K837" s="18" t="str">
        <x:v>transport-node:4563f79b-d2e2-582c-9831-d5735f688516</x:v>
      </x:c>
      <x:c r="L837" s="19" t="str">
        <x:v>组件待审核</x:v>
      </x:c>
      <x:c r="M837" s="21" t="n">
        <x:v>34.504335</x:v>
      </x:c>
      <x:c r="N837" s="21" t="n">
        <x:v>135.60074</x:v>
      </x:c>
      <x:c r="O837" s="18" t="str">
        <x:v>007832</x:v>
      </x:c>
      <x:c r="P837" s="18" t="str">
        <x:v>長野線</x:v>
      </x:c>
      <x:c r="Q837" s="19" t="str">
        <x:v>S12_061_GE_10000</x:v>
      </x:c>
      <x:c r="R837" s="19" t="str">
        <x:v>S12_061 usage threshold</x:v>
      </x:c>
      <x:c r="S837" s="19" t="str">
        <x:v>https://nlftp.mlit.go.jp/ksj/gml/datalist/KsjTmplt-S12-2024.html</x:v>
      </x:c>
      <x:c r="T837" s="19" t="str">
        <x:v>https://nlftp.mlit.go.jp/ksj/gml/datalist/KsjTmplt-S12-2024.html</x:v>
      </x:c>
      <x:c r="U837" s="19" t="str">
        <x:v>station-component|富田林|近畿日本鉄道|private_rail|34.5043|135.6007|</x:v>
      </x:c>
      <x:c r="V837" s="19" t="str">
        <x:v>007832 / 007832 / 長野線</x:v>
      </x:c>
      <x:c r="W837" s="18" t="str">
        <x:v>否</x:v>
      </x:c>
      <x:c r="X837" s="18" t="str">
        <x:v>0785e932a32b3ec15e1a1345537ae145eafe1c07bf38d5c16c11ee2b391e7a28</x:v>
      </x:c>
      <x:c r="Y837" s="20" t="n">
        <x:v>1</x:v>
      </x:c>
      <x:c r="Z837" s="20" t="n">
        <x:v>1</x:v>
      </x:c>
      <x:c r="AA837" s="19"/>
      <x:c r="AB837" s="18"/>
      <x:c r="AC837" s="19"/>
    </x:row>
    <x:row r="838" ht="28" customHeight="1">
      <x:c r="A838" s="18" t="str">
        <x:v>富雄</x:v>
      </x:c>
      <x:c r="B838" s="18" t="str">
        <x:v>近畿日本鉄道</x:v>
      </x:c>
      <x:c r="C838" s="18" t="str">
        <x:v>private_rail</x:v>
      </x:c>
      <x:c r="D838" s="19" t="str">
        <x:v>T2</x:v>
      </x:c>
      <x:c r="E838" s="20" t="n">
        <x:v>24622</x:v>
      </x:c>
      <x:c r="F838" s="18" t="str">
        <x:v>persons/day</x:v>
      </x:c>
      <x:c r="G838" s="18" t="str">
        <x:v>FY2024</x:v>
      </x:c>
      <x:c r="H838" s="18" t="str">
        <x:v>否</x:v>
      </x:c>
      <x:c r="I838" s="19" t="str">
        <x:v>DAILY_ENTRIES_EXITS</x:v>
      </x:c>
      <x:c r="J838" s="19" t="str">
        <x:v>奈良線</x:v>
      </x:c>
      <x:c r="K838" s="18" t="str">
        <x:v>transport-node:893a8aa3-d50e-56f8-932a-ca7bee356669</x:v>
      </x:c>
      <x:c r="L838" s="19" t="str">
        <x:v>组件待审核</x:v>
      </x:c>
      <x:c r="M838" s="21" t="n">
        <x:v>34.694205</x:v>
      </x:c>
      <x:c r="N838" s="21" t="n">
        <x:v>135.73473</x:v>
      </x:c>
      <x:c r="O838" s="18" t="str">
        <x:v>007112</x:v>
      </x:c>
      <x:c r="P838" s="18" t="str">
        <x:v>奈良線</x:v>
      </x:c>
      <x:c r="Q838" s="19" t="str">
        <x:v>S12_061_GE_10000</x:v>
      </x:c>
      <x:c r="R838" s="19" t="str">
        <x:v>S12_061 usage threshold</x:v>
      </x:c>
      <x:c r="S838" s="19" t="str">
        <x:v>https://nlftp.mlit.go.jp/ksj/gml/datalist/KsjTmplt-S12-2024.html</x:v>
      </x:c>
      <x:c r="T838" s="19" t="str">
        <x:v>https://nlftp.mlit.go.jp/ksj/gml/datalist/KsjTmplt-S12-2024.html</x:v>
      </x:c>
      <x:c r="U838" s="19" t="str">
        <x:v>station-component|富雄|近畿日本鉄道|private_rail|34.6942|135.7347|</x:v>
      </x:c>
      <x:c r="V838" s="19" t="str">
        <x:v>007112 / 007112 / 奈良線</x:v>
      </x:c>
      <x:c r="W838" s="18" t="str">
        <x:v>否</x:v>
      </x:c>
      <x:c r="X838" s="18" t="str">
        <x:v>0785e932a32b3ec15e1a1345537ae145eafe1c07bf38d5c16c11ee2b391e7a28</x:v>
      </x:c>
      <x:c r="Y838" s="20" t="n">
        <x:v>1</x:v>
      </x:c>
      <x:c r="Z838" s="20" t="n">
        <x:v>1</x:v>
      </x:c>
      <x:c r="AA838" s="19"/>
      <x:c r="AB838" s="18"/>
      <x:c r="AC838" s="19"/>
    </x:row>
    <x:row r="839" ht="28" customHeight="1">
      <x:c r="A839" s="18" t="str">
        <x:v>寒川</x:v>
      </x:c>
      <x:c r="B839" s="18" t="str">
        <x:v>東日本旅客鉄道</x:v>
      </x:c>
      <x:c r="C839" s="18" t="str">
        <x:v>conventional_rail</x:v>
      </x:c>
      <x:c r="D839" s="19" t="str">
        <x:v>T2</x:v>
      </x:c>
      <x:c r="E839" s="20" t="n">
        <x:v>13070</x:v>
      </x:c>
      <x:c r="F839" s="18" t="str">
        <x:v>persons/day</x:v>
      </x:c>
      <x:c r="G839" s="18" t="str">
        <x:v>FY2024</x:v>
      </x:c>
      <x:c r="H839" s="18" t="str">
        <x:v>否</x:v>
      </x:c>
      <x:c r="I839" s="19" t="str">
        <x:v>DAILY_ENTRIES_EXITS</x:v>
      </x:c>
      <x:c r="J839" s="19" t="str">
        <x:v>相模線</x:v>
      </x:c>
      <x:c r="K839" s="18" t="str">
        <x:v>transport-node:10c5e4a6-9fb7-525b-9b2e-386126daa855</x:v>
      </x:c>
      <x:c r="L839" s="19" t="str">
        <x:v>组件待审核</x:v>
      </x:c>
      <x:c r="M839" s="21" t="n">
        <x:v>35.367705</x:v>
      </x:c>
      <x:c r="N839" s="21" t="n">
        <x:v>139.387315</x:v>
      </x:c>
      <x:c r="O839" s="18" t="str">
        <x:v>004920</x:v>
      </x:c>
      <x:c r="P839" s="18" t="str">
        <x:v>相模線</x:v>
      </x:c>
      <x:c r="Q839" s="19" t="str">
        <x:v>S12_061_GE_10000</x:v>
      </x:c>
      <x:c r="R839" s="19" t="str">
        <x:v>S12_061 usage threshold</x:v>
      </x:c>
      <x:c r="S839" s="19" t="str">
        <x:v>https://nlftp.mlit.go.jp/ksj/gml/datalist/KsjTmplt-S12-2024.html</x:v>
      </x:c>
      <x:c r="T839" s="19" t="str">
        <x:v>https://nlftp.mlit.go.jp/ksj/gml/datalist/KsjTmplt-S12-2024.html</x:v>
      </x:c>
      <x:c r="U839" s="19" t="str">
        <x:v>station-component|寒川|東日本旅客鉄道|conventional_rail|35.3677|139.3873|</x:v>
      </x:c>
      <x:c r="V839" s="19" t="str">
        <x:v>004920 / 004920 / 相模線</x:v>
      </x:c>
      <x:c r="W839" s="18" t="str">
        <x:v>否</x:v>
      </x:c>
      <x:c r="X839" s="18" t="str">
        <x:v>0785e932a32b3ec15e1a1345537ae145eafe1c07bf38d5c16c11ee2b391e7a28</x:v>
      </x:c>
      <x:c r="Y839" s="20" t="n">
        <x:v>1</x:v>
      </x:c>
      <x:c r="Z839" s="20" t="n">
        <x:v>1</x:v>
      </x:c>
      <x:c r="AA839" s="19"/>
      <x:c r="AB839" s="18"/>
      <x:c r="AC839" s="19"/>
    </x:row>
    <x:row r="840" ht="28" customHeight="1">
      <x:c r="A840" s="18" t="str">
        <x:v>寝屋川市</x:v>
      </x:c>
      <x:c r="B840" s="18" t="str">
        <x:v>京阪電気鉄道</x:v>
      </x:c>
      <x:c r="C840" s="18" t="str">
        <x:v>private_rail</x:v>
      </x:c>
      <x:c r="D840" s="19" t="str">
        <x:v>T2</x:v>
      </x:c>
      <x:c r="E840" s="20" t="n">
        <x:v>46612</x:v>
      </x:c>
      <x:c r="F840" s="18" t="str">
        <x:v>persons/day</x:v>
      </x:c>
      <x:c r="G840" s="18" t="str">
        <x:v>FY2024</x:v>
      </x:c>
      <x:c r="H840" s="18" t="str">
        <x:v>否</x:v>
      </x:c>
      <x:c r="I840" s="19" t="str">
        <x:v>DAILY_ENTRIES_EXITS</x:v>
      </x:c>
      <x:c r="J840" s="19" t="str">
        <x:v>京阪本線</x:v>
      </x:c>
      <x:c r="K840" s="18" t="str">
        <x:v>transport-node:e689d8f8-9b72-546d-97ff-1ecac06e04d4</x:v>
      </x:c>
      <x:c r="L840" s="19" t="str">
        <x:v>组件待审核</x:v>
      </x:c>
      <x:c r="M840" s="21" t="n">
        <x:v>34.764004</x:v>
      </x:c>
      <x:c r="N840" s="21" t="n">
        <x:v>135.620788</x:v>
      </x:c>
      <x:c r="O840" s="18" t="str">
        <x:v>006776</x:v>
      </x:c>
      <x:c r="P840" s="18" t="str">
        <x:v>京阪本線</x:v>
      </x:c>
      <x:c r="Q840" s="19" t="str">
        <x:v>S12_061_GE_10000</x:v>
      </x:c>
      <x:c r="R840" s="19" t="str">
        <x:v>S12_061 usage threshold</x:v>
      </x:c>
      <x:c r="S840" s="19" t="str">
        <x:v>https://nlftp.mlit.go.jp/ksj/gml/datalist/KsjTmplt-S12-2024.html</x:v>
      </x:c>
      <x:c r="T840" s="19" t="str">
        <x:v>https://nlftp.mlit.go.jp/ksj/gml/datalist/KsjTmplt-S12-2024.html</x:v>
      </x:c>
      <x:c r="U840" s="19" t="str">
        <x:v>station-component|寝屋川市|京阪電気鉄道|private_rail|34.7640|135.6208|</x:v>
      </x:c>
      <x:c r="V840" s="19" t="str">
        <x:v>006776 / 006776 / 京阪本線</x:v>
      </x:c>
      <x:c r="W840" s="18" t="str">
        <x:v>否</x:v>
      </x:c>
      <x:c r="X840" s="18" t="str">
        <x:v>0785e932a32b3ec15e1a1345537ae145eafe1c07bf38d5c16c11ee2b391e7a28</x:v>
      </x:c>
      <x:c r="Y840" s="20" t="n">
        <x:v>1</x:v>
      </x:c>
      <x:c r="Z840" s="20" t="n">
        <x:v>1</x:v>
      </x:c>
      <x:c r="AA840" s="19"/>
      <x:c r="AB840" s="18"/>
      <x:c r="AC840" s="19"/>
    </x:row>
    <x:row r="841" ht="28" customHeight="1">
      <x:c r="A841" s="18" t="str">
        <x:v>寺田町</x:v>
      </x:c>
      <x:c r="B841" s="18" t="str">
        <x:v>西日本旅客鉄道</x:v>
      </x:c>
      <x:c r="C841" s="18" t="str">
        <x:v>conventional_rail</x:v>
      </x:c>
      <x:c r="D841" s="19" t="str">
        <x:v>T2</x:v>
      </x:c>
      <x:c r="E841" s="20" t="n">
        <x:v>34244</x:v>
      </x:c>
      <x:c r="F841" s="18" t="str">
        <x:v>persons/day</x:v>
      </x:c>
      <x:c r="G841" s="18" t="str">
        <x:v>FY2024</x:v>
      </x:c>
      <x:c r="H841" s="18" t="str">
        <x:v>否</x:v>
      </x:c>
      <x:c r="I841" s="19" t="str">
        <x:v>DAILY_ENTRIES_EXITS</x:v>
      </x:c>
      <x:c r="J841" s="19" t="str">
        <x:v>大阪環状線</x:v>
      </x:c>
      <x:c r="K841" s="18" t="str">
        <x:v>transport-node:c51209ab-0a41-5089-9819-ba648716ff0f</x:v>
      </x:c>
      <x:c r="L841" s="19" t="str">
        <x:v>组件待审核</x:v>
      </x:c>
      <x:c r="M841" s="21" t="n">
        <x:v>34.64794</x:v>
      </x:c>
      <x:c r="N841" s="21" t="n">
        <x:v>135.5236</x:v>
      </x:c>
      <x:c r="O841" s="18" t="str">
        <x:v>007434</x:v>
      </x:c>
      <x:c r="P841" s="18" t="str">
        <x:v>大阪環状線</x:v>
      </x:c>
      <x:c r="Q841" s="19" t="str">
        <x:v>S12_061_GE_10000</x:v>
      </x:c>
      <x:c r="R841" s="19" t="str">
        <x:v>S12_061 usage threshold</x:v>
      </x:c>
      <x:c r="S841" s="19" t="str">
        <x:v>https://nlftp.mlit.go.jp/ksj/gml/datalist/KsjTmplt-S12-2024.html</x:v>
      </x:c>
      <x:c r="T841" s="19" t="str">
        <x:v>https://nlftp.mlit.go.jp/ksj/gml/datalist/KsjTmplt-S12-2024.html</x:v>
      </x:c>
      <x:c r="U841" s="19" t="str">
        <x:v>station-component|寺田町|西日本旅客鉄道|conventional_rail|34.6479|135.5236|</x:v>
      </x:c>
      <x:c r="V841" s="19" t="str">
        <x:v>007434 / 007434 / 大阪環状線</x:v>
      </x:c>
      <x:c r="W841" s="18" t="str">
        <x:v>否</x:v>
      </x:c>
      <x:c r="X841" s="18" t="str">
        <x:v>0785e932a32b3ec15e1a1345537ae145eafe1c07bf38d5c16c11ee2b391e7a28</x:v>
      </x:c>
      <x:c r="Y841" s="20" t="n">
        <x:v>1</x:v>
      </x:c>
      <x:c r="Z841" s="20" t="n">
        <x:v>1</x:v>
      </x:c>
      <x:c r="AA841" s="19"/>
      <x:c r="AB841" s="18"/>
      <x:c r="AC841" s="19"/>
    </x:row>
    <x:row r="842" ht="28" customHeight="1">
      <x:c r="A842" s="18" t="str">
        <x:v>小伝馬町</x:v>
      </x:c>
      <x:c r="B842" s="18" t="str">
        <x:v>東京地下鉄</x:v>
      </x:c>
      <x:c r="C842" s="18" t="str">
        <x:v>metro</x:v>
      </x:c>
      <x:c r="D842" s="19" t="str">
        <x:v>T2</x:v>
      </x:c>
      <x:c r="E842" s="20" t="n">
        <x:v>36068</x:v>
      </x:c>
      <x:c r="F842" s="18" t="str">
        <x:v>persons/day</x:v>
      </x:c>
      <x:c r="G842" s="18" t="str">
        <x:v>FY2024</x:v>
      </x:c>
      <x:c r="H842" s="18" t="str">
        <x:v>否</x:v>
      </x:c>
      <x:c r="I842" s="19" t="str">
        <x:v>DAILY_ENTRIES_EXITS</x:v>
      </x:c>
      <x:c r="J842" s="19" t="str">
        <x:v>2号線日比谷線</x:v>
      </x:c>
      <x:c r="K842" s="18" t="str">
        <x:v>transport-node:a2352dce-7874-5adf-9564-eb61d89147de</x:v>
      </x:c>
      <x:c r="L842" s="19" t="str">
        <x:v>组件待审核</x:v>
      </x:c>
      <x:c r="M842" s="21" t="n">
        <x:v>35.690364</x:v>
      </x:c>
      <x:c r="N842" s="21" t="n">
        <x:v>139.778808</x:v>
      </x:c>
      <x:c r="O842" s="18" t="str">
        <x:v>003692</x:v>
      </x:c>
      <x:c r="P842" s="18" t="str">
        <x:v>2号線日比谷線</x:v>
      </x:c>
      <x:c r="Q842" s="19" t="str">
        <x:v>S12_061_GE_10000</x:v>
      </x:c>
      <x:c r="R842" s="19" t="str">
        <x:v>S12_061 usage threshold</x:v>
      </x:c>
      <x:c r="S842" s="19" t="str">
        <x:v>https://nlftp.mlit.go.jp/ksj/gml/datalist/KsjTmplt-S12-2024.html</x:v>
      </x:c>
      <x:c r="T842" s="19" t="str">
        <x:v>https://nlftp.mlit.go.jp/ksj/gml/datalist/KsjTmplt-S12-2024.html</x:v>
      </x:c>
      <x:c r="U842" s="19" t="str">
        <x:v>station-component|小伝馬町|東京地下鉄|metro|35.6904|139.7788|</x:v>
      </x:c>
      <x:c r="V842" s="19" t="str">
        <x:v>003692 / 003692 / 2号線日比谷線</x:v>
      </x:c>
      <x:c r="W842" s="18" t="str">
        <x:v>否</x:v>
      </x:c>
      <x:c r="X842" s="18" t="str">
        <x:v>0785e932a32b3ec15e1a1345537ae145eafe1c07bf38d5c16c11ee2b391e7a28</x:v>
      </x:c>
      <x:c r="Y842" s="20" t="n">
        <x:v>1</x:v>
      </x:c>
      <x:c r="Z842" s="20" t="n">
        <x:v>1</x:v>
      </x:c>
      <x:c r="AA842" s="19"/>
      <x:c r="AB842" s="18"/>
      <x:c r="AC842" s="19"/>
    </x:row>
    <x:row r="843" ht="28" customHeight="1">
      <x:c r="A843" s="18" t="str">
        <x:v>小作</x:v>
      </x:c>
      <x:c r="B843" s="18" t="str">
        <x:v>東日本旅客鉄道</x:v>
      </x:c>
      <x:c r="C843" s="18" t="str">
        <x:v>conventional_rail</x:v>
      </x:c>
      <x:c r="D843" s="19" t="str">
        <x:v>T2</x:v>
      </x:c>
      <x:c r="E843" s="20" t="n">
        <x:v>30194</x:v>
      </x:c>
      <x:c r="F843" s="18" t="str">
        <x:v>persons/day</x:v>
      </x:c>
      <x:c r="G843" s="18" t="str">
        <x:v>FY2024</x:v>
      </x:c>
      <x:c r="H843" s="18" t="str">
        <x:v>否</x:v>
      </x:c>
      <x:c r="I843" s="19" t="str">
        <x:v>DAILY_ENTRIES_EXITS</x:v>
      </x:c>
      <x:c r="J843" s="19" t="str">
        <x:v>青梅線</x:v>
      </x:c>
      <x:c r="K843" s="18" t="str">
        <x:v>transport-node:26952c38-79aa-5bfc-b4e3-80295e31f894</x:v>
      </x:c>
      <x:c r="L843" s="19" t="str">
        <x:v>组件待审核</x:v>
      </x:c>
      <x:c r="M843" s="21" t="n">
        <x:v>35.776055</x:v>
      </x:c>
      <x:c r="N843" s="21" t="n">
        <x:v>139.302275</x:v>
      </x:c>
      <x:c r="O843" s="18" t="str">
        <x:v>003168</x:v>
      </x:c>
      <x:c r="P843" s="18" t="str">
        <x:v>青梅線</x:v>
      </x:c>
      <x:c r="Q843" s="19" t="str">
        <x:v>S12_061_GE_10000</x:v>
      </x:c>
      <x:c r="R843" s="19" t="str">
        <x:v>S12_061 usage threshold</x:v>
      </x:c>
      <x:c r="S843" s="19" t="str">
        <x:v>https://nlftp.mlit.go.jp/ksj/gml/datalist/KsjTmplt-S12-2024.html</x:v>
      </x:c>
      <x:c r="T843" s="19" t="str">
        <x:v>https://nlftp.mlit.go.jp/ksj/gml/datalist/KsjTmplt-S12-2024.html</x:v>
      </x:c>
      <x:c r="U843" s="19" t="str">
        <x:v>station-component|小作|東日本旅客鉄道|conventional_rail|35.7761|139.3023|</x:v>
      </x:c>
      <x:c r="V843" s="19" t="str">
        <x:v>003168 / 003168 / 青梅線</x:v>
      </x:c>
      <x:c r="W843" s="18" t="str">
        <x:v>否</x:v>
      </x:c>
      <x:c r="X843" s="18" t="str">
        <x:v>0785e932a32b3ec15e1a1345537ae145eafe1c07bf38d5c16c11ee2b391e7a28</x:v>
      </x:c>
      <x:c r="Y843" s="20" t="n">
        <x:v>1</x:v>
      </x:c>
      <x:c r="Z843" s="20" t="n">
        <x:v>1</x:v>
      </x:c>
      <x:c r="AA843" s="19"/>
      <x:c r="AB843" s="18"/>
      <x:c r="AC843" s="19"/>
    </x:row>
    <x:row r="844" ht="33" customHeight="1">
      <x:c r="A844" s="18" t="str">
        <x:v>小倉</x:v>
      </x:c>
      <x:c r="B844" s="18" t="str">
        <x:v>九州旅客鉄道</x:v>
      </x:c>
      <x:c r="C844" s="18" t="str">
        <x:v>conventional_rail</x:v>
      </x:c>
      <x:c r="D844" s="19" t="str">
        <x:v>T1</x:v>
      </x:c>
      <x:c r="E844" s="20" t="n">
        <x:v>66214</x:v>
      </x:c>
      <x:c r="F844" s="18" t="str">
        <x:v>persons/day</x:v>
      </x:c>
      <x:c r="G844" s="18" t="str">
        <x:v>FY2024</x:v>
      </x:c>
      <x:c r="H844" s="18" t="str">
        <x:v>否</x:v>
      </x:c>
      <x:c r="I844" s="19" t="str">
        <x:v>DAILY_ENTRIES_EXITS</x:v>
      </x:c>
      <x:c r="J844" s="19" t="str">
        <x:v>日豊線
鹿児島線</x:v>
      </x:c>
      <x:c r="K844" s="18" t="str">
        <x:v>transport-node:fb6211fc-af06-508d-95e3-d48873380d2c</x:v>
      </x:c>
      <x:c r="L844" s="19" t="str">
        <x:v>组件待审核</x:v>
      </x:c>
      <x:c r="M844" s="21" t="n">
        <x:v>33.8867433</x:v>
      </x:c>
      <x:c r="N844" s="21" t="n">
        <x:v>130.8830067</x:v>
      </x:c>
      <x:c r="O844" s="18" t="str">
        <x:v>008683</x:v>
      </x:c>
      <x:c r="P844" s="18" t="str">
        <x:v>鹿児島線</x:v>
      </x:c>
      <x:c r="Q844" s="19" t="str">
        <x:v>S12_061_GE_10000
OFFICIAL_HUB_COMPONENT_REVIEW</x:v>
      </x:c>
      <x:c r="R844" s="19" t="str">
        <x:v>S12_061 usage threshold</x:v>
      </x:c>
      <x:c r="S844" s="19" t="str">
        <x:v>https://nlftp.mlit.go.jp/ksj/gml/datalist/KsjTmplt-S12-2024.html</x:v>
      </x:c>
      <x:c r="T844" s="19" t="str">
        <x:v>https://nlftp.mlit.go.jp/ksj/gml/datalist/KsjTmplt-S12-2024.html
https://www.kitakyushu-monorail.co.jp/route/kokura.php</x:v>
      </x:c>
      <x:c r="U844" s="19" t="str">
        <x:v>station-component|小倉|九州旅客鉄道|conventional_rail|33.8867|130.8830|</x:v>
      </x:c>
      <x:c r="V844" s="19" t="str">
        <x:v>008684 / 008683 / 鹿児島線
008684 / 008684 / 日豊線</x:v>
      </x:c>
      <x:c r="W844" s="18" t="str">
        <x:v>否</x:v>
      </x:c>
      <x:c r="X844" s="18" t="str">
        <x:v>0785e932a32b3ec15e1a1345537ae145eafe1c07bf38d5c16c11ee2b391e7a28</x:v>
      </x:c>
      <x:c r="Y844" s="20" t="n">
        <x:v>1</x:v>
      </x:c>
      <x:c r="Z844" s="20" t="n">
        <x:v>1</x:v>
      </x:c>
      <x:c r="AA844" s="19" t="str">
        <x:v>小倉</x:v>
      </x:c>
      <x:c r="AB844" s="18" t="str">
        <x:v>transport-hub-review:1e3c8efd-07fb-5aa8-abb6-43039af1e609</x:v>
      </x:c>
      <x:c r="AC844" s="19"/>
    </x:row>
    <x:row r="845" ht="33" customHeight="1">
      <x:c r="A845" s="18" t="str">
        <x:v>小倉</x:v>
      </x:c>
      <x:c r="B845" s="18" t="str">
        <x:v>北九州高速鉄道</x:v>
      </x:c>
      <x:c r="C845" s="18" t="str">
        <x:v>fixed_guideway</x:v>
      </x:c>
      <x:c r="D845" s="19" t="str">
        <x:v>T2</x:v>
      </x:c>
      <x:c r="E845" s="20" t="n">
        <x:v>18687</x:v>
      </x:c>
      <x:c r="F845" s="18" t="str">
        <x:v>persons/day</x:v>
      </x:c>
      <x:c r="G845" s="18" t="str">
        <x:v>FY2024</x:v>
      </x:c>
      <x:c r="H845" s="18" t="str">
        <x:v>否</x:v>
      </x:c>
      <x:c r="I845" s="19" t="str">
        <x:v>DAILY_ENTRIES_EXITS</x:v>
      </x:c>
      <x:c r="J845" s="19" t="str">
        <x:v>小倉線</x:v>
      </x:c>
      <x:c r="K845" s="18" t="str">
        <x:v>transport-node:8481af63-7b81-507b-a847-011ef92b0796</x:v>
      </x:c>
      <x:c r="L845" s="19" t="str">
        <x:v>组件待审核</x:v>
      </x:c>
      <x:c r="M845" s="21" t="n">
        <x:v>33.88654</x:v>
      </x:c>
      <x:c r="N845" s="21" t="n">
        <x:v>130.882065</x:v>
      </x:c>
      <x:c r="O845" s="18" t="str">
        <x:v>008685</x:v>
      </x:c>
      <x:c r="P845" s="18" t="str">
        <x:v>小倉線</x:v>
      </x:c>
      <x:c r="Q845" s="19" t="str">
        <x:v>S12_061_GE_10000
OFFICIAL_HUB_COMPONENT_REVIEW</x:v>
      </x:c>
      <x:c r="R845" s="19" t="str">
        <x:v>S12_061 usage threshold</x:v>
      </x:c>
      <x:c r="S845" s="19" t="str">
        <x:v>https://nlftp.mlit.go.jp/ksj/gml/datalist/KsjTmplt-S12-2024.html</x:v>
      </x:c>
      <x:c r="T845" s="19" t="str">
        <x:v>https://nlftp.mlit.go.jp/ksj/gml/datalist/KsjTmplt-S12-2024.html
https://www.kitakyushu-monorail.co.jp/route/kokura.php</x:v>
      </x:c>
      <x:c r="U845" s="19" t="str">
        <x:v>station-component|小倉|北九州高速鉄道|fixed_guideway|33.8865|130.8821|</x:v>
      </x:c>
      <x:c r="V845" s="19" t="str">
        <x:v>008684 / 008685 / 小倉線</x:v>
      </x:c>
      <x:c r="W845" s="18" t="str">
        <x:v>否</x:v>
      </x:c>
      <x:c r="X845" s="18" t="str">
        <x:v>0785e932a32b3ec15e1a1345537ae145eafe1c07bf38d5c16c11ee2b391e7a28</x:v>
      </x:c>
      <x:c r="Y845" s="20" t="n">
        <x:v>1</x:v>
      </x:c>
      <x:c r="Z845" s="20" t="n">
        <x:v>1</x:v>
      </x:c>
      <x:c r="AA845" s="19" t="str">
        <x:v>小倉</x:v>
      </x:c>
      <x:c r="AB845" s="18" t="str">
        <x:v>transport-hub-review:1e3c8efd-07fb-5aa8-abb6-43039af1e609</x:v>
      </x:c>
      <x:c r="AC845" s="19"/>
    </x:row>
    <x:row r="846" ht="47" customHeight="1">
      <x:c r="A846" s="18" t="str">
        <x:v>小倉</x:v>
      </x:c>
      <x:c r="B846" s="18" t="str">
        <x:v>西日本旅客鉄道</x:v>
      </x:c>
      <x:c r="C846" s="18" t="str">
        <x:v>shinkansen</x:v>
      </x:c>
      <x:c r="D846" s="19" t="str">
        <x:v>T2</x:v>
      </x:c>
      <x:c r="E846" s="20" t="n">
        <x:v>24998</x:v>
      </x:c>
      <x:c r="F846" s="18" t="str">
        <x:v>persons/day</x:v>
      </x:c>
      <x:c r="G846" s="18" t="str">
        <x:v>FY2024</x:v>
      </x:c>
      <x:c r="H846" s="18" t="str">
        <x:v>否</x:v>
      </x:c>
      <x:c r="I846" s="19" t="str">
        <x:v>DAILY_ENTRIES_EXITS</x:v>
      </x:c>
      <x:c r="J846" s="19" t="str">
        <x:v>山陽新幹線</x:v>
      </x:c>
      <x:c r="K846" s="18" t="str">
        <x:v>transport-node:a0ec01da-54c0-5b19-8fbb-549e49c684f7</x:v>
      </x:c>
      <x:c r="L846" s="19" t="str">
        <x:v>组件待审核</x:v>
      </x:c>
      <x:c r="M846" s="21" t="n">
        <x:v>33.88712</x:v>
      </x:c>
      <x:c r="N846" s="21" t="n">
        <x:v>130.883455</x:v>
      </x:c>
      <x:c r="O846" s="18" t="str">
        <x:v>008682</x:v>
      </x:c>
      <x:c r="P846" s="18" t="str">
        <x:v>山陽新幹線</x:v>
      </x:c>
      <x:c r="Q846" s="19" t="str">
        <x:v>S12_061_GE_10000
SHINKANSEN
OFFICIAL_HUB_COMPONENT_REVIEW</x:v>
      </x:c>
      <x:c r="R846" s="19" t="str">
        <x:v>S12_061 usage threshold</x:v>
      </x:c>
      <x:c r="S846" s="19" t="str">
        <x:v>https://nlftp.mlit.go.jp/ksj/gml/datalist/KsjTmplt-S12-2024.html</x:v>
      </x:c>
      <x:c r="T846" s="19" t="str">
        <x:v>https://nlftp.mlit.go.jp/ksj/gml/datalist/KsjTmplt-S12-2024.html
https://www.kitakyushu-monorail.co.jp/route/kokura.php</x:v>
      </x:c>
      <x:c r="U846" s="19" t="str">
        <x:v>station-component|小倉|西日本旅客鉄道|shinkansen|33.8871|130.8835|</x:v>
      </x:c>
      <x:c r="V846" s="19" t="str">
        <x:v>008684 / 008682 / 山陽新幹線</x:v>
      </x:c>
      <x:c r="W846" s="18" t="str">
        <x:v>否</x:v>
      </x:c>
      <x:c r="X846" s="18" t="str">
        <x:v>0785e932a32b3ec15e1a1345537ae145eafe1c07bf38d5c16c11ee2b391e7a28</x:v>
      </x:c>
      <x:c r="Y846" s="20" t="n">
        <x:v>1</x:v>
      </x:c>
      <x:c r="Z846" s="20" t="n">
        <x:v>1</x:v>
      </x:c>
      <x:c r="AA846" s="19" t="str">
        <x:v>小倉</x:v>
      </x:c>
      <x:c r="AB846" s="18" t="str">
        <x:v>transport-hub-review:1e3c8efd-07fb-5aa8-abb6-43039af1e609</x:v>
      </x:c>
      <x:c r="AC846" s="19"/>
    </x:row>
    <x:row r="847" ht="28" customHeight="1">
      <x:c r="A847" s="18" t="str">
        <x:v>小倉</x:v>
      </x:c>
      <x:c r="B847" s="18" t="str">
        <x:v>近畿日本鉄道</x:v>
      </x:c>
      <x:c r="C847" s="18" t="str">
        <x:v>private_rail</x:v>
      </x:c>
      <x:c r="D847" s="19" t="str">
        <x:v>T2</x:v>
      </x:c>
      <x:c r="E847" s="20" t="n">
        <x:v>13674</x:v>
      </x:c>
      <x:c r="F847" s="18" t="str">
        <x:v>persons/day</x:v>
      </x:c>
      <x:c r="G847" s="18" t="str">
        <x:v>FY2024</x:v>
      </x:c>
      <x:c r="H847" s="18" t="str">
        <x:v>否</x:v>
      </x:c>
      <x:c r="I847" s="19" t="str">
        <x:v>DAILY_ENTRIES_EXITS</x:v>
      </x:c>
      <x:c r="J847" s="19" t="str">
        <x:v>京都線</x:v>
      </x:c>
      <x:c r="K847" s="18" t="str">
        <x:v>transport-node:34ebf45d-2fc2-5e82-b32a-d79e54caa077</x:v>
      </x:c>
      <x:c r="L847" s="19" t="str">
        <x:v>组件待审核</x:v>
      </x:c>
      <x:c r="M847" s="21" t="n">
        <x:v>34.893005</x:v>
      </x:c>
      <x:c r="N847" s="21" t="n">
        <x:v>135.78188</x:v>
      </x:c>
      <x:c r="O847" s="18" t="str">
        <x:v>006324</x:v>
      </x:c>
      <x:c r="P847" s="18" t="str">
        <x:v>京都線</x:v>
      </x:c>
      <x:c r="Q847" s="19" t="str">
        <x:v>S12_061_GE_10000</x:v>
      </x:c>
      <x:c r="R847" s="19" t="str">
        <x:v>S12_061 usage threshold</x:v>
      </x:c>
      <x:c r="S847" s="19" t="str">
        <x:v>https://nlftp.mlit.go.jp/ksj/gml/datalist/KsjTmplt-S12-2024.html</x:v>
      </x:c>
      <x:c r="T847" s="19" t="str">
        <x:v>https://nlftp.mlit.go.jp/ksj/gml/datalist/KsjTmplt-S12-2024.html</x:v>
      </x:c>
      <x:c r="U847" s="19" t="str">
        <x:v>station-component|小倉|近畿日本鉄道|private_rail|34.8930|135.7819|</x:v>
      </x:c>
      <x:c r="V847" s="19" t="str">
        <x:v>006324 / 006324 / 京都線</x:v>
      </x:c>
      <x:c r="W847" s="18" t="str">
        <x:v>否</x:v>
      </x:c>
      <x:c r="X847" s="18" t="str">
        <x:v>0785e932a32b3ec15e1a1345537ae145eafe1c07bf38d5c16c11ee2b391e7a28</x:v>
      </x:c>
      <x:c r="Y847" s="20" t="n">
        <x:v>1</x:v>
      </x:c>
      <x:c r="Z847" s="20" t="n">
        <x:v>1</x:v>
      </x:c>
      <x:c r="AA847" s="19"/>
      <x:c r="AB847" s="18"/>
      <x:c r="AC847" s="19"/>
    </x:row>
    <x:row r="848" ht="47" customHeight="1">
      <x:c r="A848" s="18" t="str">
        <x:v>小山</x:v>
      </x:c>
      <x:c r="B848" s="18" t="str">
        <x:v>東日本旅客鉄道</x:v>
      </x:c>
      <x:c r="C848" s="18" t="str">
        <x:v>conventional_rail</x:v>
      </x:c>
      <x:c r="D848" s="19" t="str">
        <x:v>T2</x:v>
      </x:c>
      <x:c r="E848" s="20" t="n">
        <x:v>42820</x:v>
      </x:c>
      <x:c r="F848" s="18" t="str">
        <x:v>persons/day</x:v>
      </x:c>
      <x:c r="G848" s="18" t="str">
        <x:v>FY2024</x:v>
      </x:c>
      <x:c r="H848" s="18" t="str">
        <x:v>否</x:v>
      </x:c>
      <x:c r="I848" s="19" t="str">
        <x:v>DAILY_ENTRIES_EXITS</x:v>
      </x:c>
      <x:c r="J848" s="19" t="str">
        <x:v>両毛線
東北線
水戸線</x:v>
      </x:c>
      <x:c r="K848" s="18" t="str">
        <x:v>transport-node:14527086-f7b9-59c8-90c8-c07943e4f66f</x:v>
      </x:c>
      <x:c r="L848" s="19" t="str">
        <x:v>组件待审核</x:v>
      </x:c>
      <x:c r="M848" s="21" t="n">
        <x:v>36.31344</x:v>
      </x:c>
      <x:c r="N848" s="21" t="n">
        <x:v>139.80663</x:v>
      </x:c>
      <x:c r="O848" s="18" t="str">
        <x:v>002407</x:v>
      </x:c>
      <x:c r="P848" s="18" t="str">
        <x:v>東北線</x:v>
      </x:c>
      <x:c r="Q848" s="19" t="str">
        <x:v>S12_061_GE_10000</x:v>
      </x:c>
      <x:c r="R848" s="19" t="str">
        <x:v>S12_061 usage threshold</x:v>
      </x:c>
      <x:c r="S848" s="19" t="str">
        <x:v>https://nlftp.mlit.go.jp/ksj/gml/datalist/KsjTmplt-S12-2024.html</x:v>
      </x:c>
      <x:c r="T848" s="19" t="str">
        <x:v>https://nlftp.mlit.go.jp/ksj/gml/datalist/KsjTmplt-S12-2024.html</x:v>
      </x:c>
      <x:c r="U848" s="19" t="str">
        <x:v>station-component|小山|東日本旅客鉄道|conventional_rail|36.3134|139.8066|</x:v>
      </x:c>
      <x:c r="V848" s="19" t="str">
        <x:v>002407 / 002407 / 東北線
002407 / 002410 / 水戸線
002407 / 002411 / 両毛線</x:v>
      </x:c>
      <x:c r="W848" s="18" t="str">
        <x:v>否</x:v>
      </x:c>
      <x:c r="X848" s="18" t="str">
        <x:v>0785e932a32b3ec15e1a1345537ae145eafe1c07bf38d5c16c11ee2b391e7a28</x:v>
      </x:c>
      <x:c r="Y848" s="20" t="n">
        <x:v>1</x:v>
      </x:c>
      <x:c r="Z848" s="20" t="n">
        <x:v>1</x:v>
      </x:c>
      <x:c r="AA848" s="19"/>
      <x:c r="AB848" s="18"/>
      <x:c r="AC848" s="19"/>
    </x:row>
    <x:row r="849" ht="33" customHeight="1">
      <x:c r="A849" s="18" t="str">
        <x:v>小山</x:v>
      </x:c>
      <x:c r="B849" s="18" t="str">
        <x:v>東日本旅客鉄道</x:v>
      </x:c>
      <x:c r="C849" s="18" t="str">
        <x:v>shinkansen</x:v>
      </x:c>
      <x:c r="D849" s="19"/>
      <x:c r="E849" s="20" t="n">
        <x:v>4271</x:v>
      </x:c>
      <x:c r="F849" s="18" t="str">
        <x:v>boardings/day</x:v>
      </x:c>
      <x:c r="G849" s="18" t="str">
        <x:v>FY2024</x:v>
      </x:c>
      <x:c r="H849" s="18" t="str">
        <x:v>是</x:v>
      </x:c>
      <x:c r="I849" s="19" t="str">
        <x:v>DAILY_SHINKANSEN_BOARDINGS</x:v>
      </x:c>
      <x:c r="J849" s="19" t="str">
        <x:v>東北新幹線</x:v>
      </x:c>
      <x:c r="K849" s="18" t="str">
        <x:v>transport-node:1e235f73-4ed8-5c3a-a231-b46305088d7b</x:v>
      </x:c>
      <x:c r="L849" s="19" t="str">
        <x:v>组件待审核</x:v>
      </x:c>
      <x:c r="M849" s="21" t="n">
        <x:v>36.313545</x:v>
      </x:c>
      <x:c r="N849" s="21" t="n">
        <x:v>139.806355</x:v>
      </x:c>
      <x:c r="O849" s="18" t="str">
        <x:v>002406</x:v>
      </x:c>
      <x:c r="P849" s="18" t="str">
        <x:v>東北新幹線</x:v>
      </x:c>
      <x:c r="Q849" s="19" t="str">
        <x:v>SHINKANSEN</x:v>
      </x:c>
      <x:c r="R849" s="19" t="str">
        <x:v>Official fallback retained in published scope/unit; tier remains null pending metric/manual review.</x:v>
      </x:c>
      <x:c r="S849" s="19" t="str">
        <x:v>https://www.jreast.co.jp/company/data/passenger/2024_shinkansen.html/</x:v>
      </x:c>
      <x:c r="T849" s="19" t="str">
        <x:v>https://nlftp.mlit.go.jp/ksj/gml/datalist/KsjTmplt-S12-2024.html
https://www.jreast.co.jp/company/data/passenger/2024_shinkansen.html/</x:v>
      </x:c>
      <x:c r="U849" s="19" t="str">
        <x:v>station-component|小山|東日本旅客鉄道|shinkansen|36.3135|139.8064|</x:v>
      </x:c>
      <x:c r="V849" s="19" t="str">
        <x:v>002407 / 002406 / 東北新幹線</x:v>
      </x:c>
      <x:c r="W849" s="18" t="str">
        <x:v>否</x:v>
      </x:c>
      <x:c r="X849" s="18" t="str">
        <x:v>0785e932a32b3ec15e1a1345537ae145eafe1c07bf38d5c16c11ee2b391e7a28</x:v>
      </x:c>
      <x:c r="Y849" s="20" t="n">
        <x:v>1</x:v>
      </x:c>
      <x:c r="Z849" s="20" t="n">
        <x:v>2</x:v>
      </x:c>
      <x:c r="AA849" s="19"/>
      <x:c r="AB849" s="18"/>
      <x:c r="AC849" s="19"/>
    </x:row>
    <x:row r="850" ht="28" customHeight="1">
      <x:c r="A850" s="18" t="str">
        <x:v>小岩</x:v>
      </x:c>
      <x:c r="B850" s="18" t="str">
        <x:v>東日本旅客鉄道</x:v>
      </x:c>
      <x:c r="C850" s="18" t="str">
        <x:v>conventional_rail</x:v>
      </x:c>
      <x:c r="D850" s="19" t="str">
        <x:v>T1</x:v>
      </x:c>
      <x:c r="E850" s="20" t="n">
        <x:v>120166</x:v>
      </x:c>
      <x:c r="F850" s="18" t="str">
        <x:v>persons/day</x:v>
      </x:c>
      <x:c r="G850" s="18" t="str">
        <x:v>FY2024</x:v>
      </x:c>
      <x:c r="H850" s="18" t="str">
        <x:v>否</x:v>
      </x:c>
      <x:c r="I850" s="19" t="str">
        <x:v>DAILY_ENTRIES_EXITS</x:v>
      </x:c>
      <x:c r="J850" s="19" t="str">
        <x:v>総武線</x:v>
      </x:c>
      <x:c r="K850" s="18" t="str">
        <x:v>transport-node:84d62ce8-11cb-5de6-8fa8-6ec546ad4c7e</x:v>
      </x:c>
      <x:c r="L850" s="19" t="str">
        <x:v>组件待审核</x:v>
      </x:c>
      <x:c r="M850" s="21" t="n">
        <x:v>35.73333</x:v>
      </x:c>
      <x:c r="N850" s="21" t="n">
        <x:v>139.88185</x:v>
      </x:c>
      <x:c r="O850" s="18" t="str">
        <x:v>003360</x:v>
      </x:c>
      <x:c r="P850" s="18" t="str">
        <x:v>総武線</x:v>
      </x:c>
      <x:c r="Q850" s="19" t="str">
        <x:v>S12_061_GE_10000</x:v>
      </x:c>
      <x:c r="R850" s="19" t="str">
        <x:v>S12_061 usage threshold</x:v>
      </x:c>
      <x:c r="S850" s="19" t="str">
        <x:v>https://nlftp.mlit.go.jp/ksj/gml/datalist/KsjTmplt-S12-2024.html</x:v>
      </x:c>
      <x:c r="T850" s="19" t="str">
        <x:v>https://nlftp.mlit.go.jp/ksj/gml/datalist/KsjTmplt-S12-2024.html</x:v>
      </x:c>
      <x:c r="U850" s="19" t="str">
        <x:v>station-component|小岩|東日本旅客鉄道|conventional_rail|35.7333|139.8818|</x:v>
      </x:c>
      <x:c r="V850" s="19" t="str">
        <x:v>003360 / 003360 / 総武線</x:v>
      </x:c>
      <x:c r="W850" s="18" t="str">
        <x:v>否</x:v>
      </x:c>
      <x:c r="X850" s="18" t="str">
        <x:v>0785e932a32b3ec15e1a1345537ae145eafe1c07bf38d5c16c11ee2b391e7a28</x:v>
      </x:c>
      <x:c r="Y850" s="20" t="n">
        <x:v>1</x:v>
      </x:c>
      <x:c r="Z850" s="20" t="n">
        <x:v>1</x:v>
      </x:c>
      <x:c r="AA850" s="19"/>
      <x:c r="AB850" s="18"/>
      <x:c r="AC850" s="19"/>
    </x:row>
    <x:row r="851" ht="28" customHeight="1">
      <x:c r="A851" s="18" t="str">
        <x:v>小島新田</x:v>
      </x:c>
      <x:c r="B851" s="18" t="str">
        <x:v>京浜急行電鉄</x:v>
      </x:c>
      <x:c r="C851" s="18" t="str">
        <x:v>private_rail</x:v>
      </x:c>
      <x:c r="D851" s="19" t="str">
        <x:v>T2</x:v>
      </x:c>
      <x:c r="E851" s="20" t="n">
        <x:v>21774</x:v>
      </x:c>
      <x:c r="F851" s="18" t="str">
        <x:v>persons/day</x:v>
      </x:c>
      <x:c r="G851" s="18" t="str">
        <x:v>FY2024</x:v>
      </x:c>
      <x:c r="H851" s="18" t="str">
        <x:v>否</x:v>
      </x:c>
      <x:c r="I851" s="19" t="str">
        <x:v>DAILY_ENTRIES_EXITS</x:v>
      </x:c>
      <x:c r="J851" s="19" t="str">
        <x:v>大師線</x:v>
      </x:c>
      <x:c r="K851" s="18" t="str">
        <x:v>transport-node:7bb1ca5f-df90-51cf-a2c1-4bd83cc70ab5</x:v>
      </x:c>
      <x:c r="L851" s="19" t="str">
        <x:v>组件待审核</x:v>
      </x:c>
      <x:c r="M851" s="21" t="n">
        <x:v>35.53464</x:v>
      </x:c>
      <x:c r="N851" s="21" t="n">
        <x:v>139.747555</x:v>
      </x:c>
      <x:c r="O851" s="18" t="str">
        <x:v>004418</x:v>
      </x:c>
      <x:c r="P851" s="18" t="str">
        <x:v>大師線</x:v>
      </x:c>
      <x:c r="Q851" s="19" t="str">
        <x:v>S12_061_GE_10000</x:v>
      </x:c>
      <x:c r="R851" s="19" t="str">
        <x:v>S12_061 usage threshold</x:v>
      </x:c>
      <x:c r="S851" s="19" t="str">
        <x:v>https://nlftp.mlit.go.jp/ksj/gml/datalist/KsjTmplt-S12-2024.html</x:v>
      </x:c>
      <x:c r="T851" s="19" t="str">
        <x:v>https://nlftp.mlit.go.jp/ksj/gml/datalist/KsjTmplt-S12-2024.html</x:v>
      </x:c>
      <x:c r="U851" s="19" t="str">
        <x:v>station-component|小島新田|京浜急行電鉄|private_rail|35.5346|139.7476|</x:v>
      </x:c>
      <x:c r="V851" s="19" t="str">
        <x:v>004418 / 004418 / 大師線</x:v>
      </x:c>
      <x:c r="W851" s="18" t="str">
        <x:v>否</x:v>
      </x:c>
      <x:c r="X851" s="18" t="str">
        <x:v>0785e932a32b3ec15e1a1345537ae145eafe1c07bf38d5c16c11ee2b391e7a28</x:v>
      </x:c>
      <x:c r="Y851" s="20" t="n">
        <x:v>1</x:v>
      </x:c>
      <x:c r="Z851" s="20" t="n">
        <x:v>1</x:v>
      </x:c>
      <x:c r="AA851" s="19"/>
      <x:c r="AB851" s="18"/>
      <x:c r="AC851" s="19"/>
    </x:row>
    <x:row r="852" ht="33" customHeight="1">
      <x:c r="A852" s="18" t="str">
        <x:v>小川</x:v>
      </x:c>
      <x:c r="B852" s="18" t="str">
        <x:v>西武鉄道</x:v>
      </x:c>
      <x:c r="C852" s="18" t="str">
        <x:v>private_rail</x:v>
      </x:c>
      <x:c r="D852" s="19" t="str">
        <x:v>T2</x:v>
      </x:c>
      <x:c r="E852" s="20" t="n">
        <x:v>27117</x:v>
      </x:c>
      <x:c r="F852" s="18" t="str">
        <x:v>persons/day</x:v>
      </x:c>
      <x:c r="G852" s="18" t="str">
        <x:v>FY2024</x:v>
      </x:c>
      <x:c r="H852" s="18" t="str">
        <x:v>否</x:v>
      </x:c>
      <x:c r="I852" s="19" t="str">
        <x:v>DAILY_ENTRIES_EXITS</x:v>
      </x:c>
      <x:c r="J852" s="19" t="str">
        <x:v>国分寺線
拝島線</x:v>
      </x:c>
      <x:c r="K852" s="18" t="str">
        <x:v>transport-node:3a577e71-9a20-590f-ac53-e84daf8a1bdd</x:v>
      </x:c>
      <x:c r="L852" s="19" t="str">
        <x:v>组件待审核</x:v>
      </x:c>
      <x:c r="M852" s="21" t="n">
        <x:v>35.737565</x:v>
      </x:c>
      <x:c r="N852" s="21" t="n">
        <x:v>139.463495</x:v>
      </x:c>
      <x:c r="O852" s="18" t="str">
        <x:v>003334</x:v>
      </x:c>
      <x:c r="P852" s="18" t="str">
        <x:v>拝島線</x:v>
      </x:c>
      <x:c r="Q852" s="19" t="str">
        <x:v>S12_061_GE_10000</x:v>
      </x:c>
      <x:c r="R852" s="19" t="str">
        <x:v>S12_061 usage threshold</x:v>
      </x:c>
      <x:c r="S852" s="19" t="str">
        <x:v>https://nlftp.mlit.go.jp/ksj/gml/datalist/KsjTmplt-S12-2024.html</x:v>
      </x:c>
      <x:c r="T852" s="19" t="str">
        <x:v>https://nlftp.mlit.go.jp/ksj/gml/datalist/KsjTmplt-S12-2024.html</x:v>
      </x:c>
      <x:c r="U852" s="19" t="str">
        <x:v>station-component|小川|西武鉄道|private_rail|35.7376|139.4635|</x:v>
      </x:c>
      <x:c r="V852" s="19" t="str">
        <x:v>003333 / 003333 / 国分寺線
003333 / 003334 / 拝島線</x:v>
      </x:c>
      <x:c r="W852" s="18" t="str">
        <x:v>否</x:v>
      </x:c>
      <x:c r="X852" s="18" t="str">
        <x:v>0785e932a32b3ec15e1a1345537ae145eafe1c07bf38d5c16c11ee2b391e7a28</x:v>
      </x:c>
      <x:c r="Y852" s="20" t="n">
        <x:v>1</x:v>
      </x:c>
      <x:c r="Z852" s="20" t="n">
        <x:v>1</x:v>
      </x:c>
      <x:c r="AA852" s="19"/>
      <x:c r="AB852" s="18"/>
      <x:c r="AC852" s="19"/>
    </x:row>
    <x:row r="853" ht="28" customHeight="1">
      <x:c r="A853" s="18" t="str">
        <x:v>小川町</x:v>
      </x:c>
      <x:c r="B853" s="18" t="str">
        <x:v>東京都</x:v>
      </x:c>
      <x:c r="C853" s="18" t="str">
        <x:v>metro</x:v>
      </x:c>
      <x:c r="D853" s="19" t="str">
        <x:v>T2</x:v>
      </x:c>
      <x:c r="E853" s="20" t="n">
        <x:v>37295</x:v>
      </x:c>
      <x:c r="F853" s="18" t="str">
        <x:v>persons/day</x:v>
      </x:c>
      <x:c r="G853" s="18" t="str">
        <x:v>FY2024</x:v>
      </x:c>
      <x:c r="H853" s="18" t="str">
        <x:v>否</x:v>
      </x:c>
      <x:c r="I853" s="19" t="str">
        <x:v>DAILY_ENTRIES_EXITS</x:v>
      </x:c>
      <x:c r="J853" s="19" t="str">
        <x:v>10号線新宿線</x:v>
      </x:c>
      <x:c r="K853" s="18" t="str">
        <x:v>transport-node:a5d29db1-113f-5aed-be43-49dbd6138e3a</x:v>
      </x:c>
      <x:c r="L853" s="19" t="str">
        <x:v>组件待审核</x:v>
      </x:c>
      <x:c r="M853" s="21" t="n">
        <x:v>35.695168</x:v>
      </x:c>
      <x:c r="N853" s="21" t="n">
        <x:v>139.766742</x:v>
      </x:c>
      <x:c r="O853" s="18" t="str">
        <x:v>003659</x:v>
      </x:c>
      <x:c r="P853" s="18" t="str">
        <x:v>10号線新宿線</x:v>
      </x:c>
      <x:c r="Q853" s="19" t="str">
        <x:v>S12_061_GE_10000</x:v>
      </x:c>
      <x:c r="R853" s="19" t="str">
        <x:v>S12_061 usage threshold</x:v>
      </x:c>
      <x:c r="S853" s="19" t="str">
        <x:v>https://nlftp.mlit.go.jp/ksj/gml/datalist/KsjTmplt-S12-2024.html</x:v>
      </x:c>
      <x:c r="T853" s="19" t="str">
        <x:v>https://nlftp.mlit.go.jp/ksj/gml/datalist/KsjTmplt-S12-2024.html</x:v>
      </x:c>
      <x:c r="U853" s="19" t="str">
        <x:v>station-component|小川町|東京都|metro|35.6952|139.7667|</x:v>
      </x:c>
      <x:c r="V853" s="19" t="str">
        <x:v>003659 / 003659 / 10号線新宿線</x:v>
      </x:c>
      <x:c r="W853" s="18" t="str">
        <x:v>否</x:v>
      </x:c>
      <x:c r="X853" s="18" t="str">
        <x:v>0785e932a32b3ec15e1a1345537ae145eafe1c07bf38d5c16c11ee2b391e7a28</x:v>
      </x:c>
      <x:c r="Y853" s="20" t="n">
        <x:v>1</x:v>
      </x:c>
      <x:c r="Z853" s="20" t="n">
        <x:v>1</x:v>
      </x:c>
      <x:c r="AA853" s="19"/>
      <x:c r="AB853" s="18"/>
      <x:c r="AC853" s="19"/>
    </x:row>
    <x:row r="854" ht="28" customHeight="1">
      <x:c r="A854" s="18" t="str">
        <x:v>小幡</x:v>
      </x:c>
      <x:c r="B854" s="18" t="str">
        <x:v>名古屋鉄道</x:v>
      </x:c>
      <x:c r="C854" s="18" t="str">
        <x:v>private_rail</x:v>
      </x:c>
      <x:c r="D854" s="19" t="str">
        <x:v>T2</x:v>
      </x:c>
      <x:c r="E854" s="20" t="n">
        <x:v>12437</x:v>
      </x:c>
      <x:c r="F854" s="18" t="str">
        <x:v>persons/day</x:v>
      </x:c>
      <x:c r="G854" s="18" t="str">
        <x:v>FY2024</x:v>
      </x:c>
      <x:c r="H854" s="18" t="str">
        <x:v>否</x:v>
      </x:c>
      <x:c r="I854" s="19" t="str">
        <x:v>DAILY_ENTRIES_EXITS</x:v>
      </x:c>
      <x:c r="J854" s="19" t="str">
        <x:v>瀬戸線</x:v>
      </x:c>
      <x:c r="K854" s="18" t="str">
        <x:v>transport-node:e3e4ce7b-d215-589e-a593-10f420235c3a</x:v>
      </x:c>
      <x:c r="L854" s="19" t="str">
        <x:v>组件待审核</x:v>
      </x:c>
      <x:c r="M854" s="21" t="n">
        <x:v>35.20007</x:v>
      </x:c>
      <x:c r="N854" s="21" t="n">
        <x:v>136.97556</x:v>
      </x:c>
      <x:c r="O854" s="18" t="str">
        <x:v>005348</x:v>
      </x:c>
      <x:c r="P854" s="18" t="str">
        <x:v>瀬戸線</x:v>
      </x:c>
      <x:c r="Q854" s="19" t="str">
        <x:v>S12_061_GE_10000</x:v>
      </x:c>
      <x:c r="R854" s="19" t="str">
        <x:v>S12_061 usage threshold</x:v>
      </x:c>
      <x:c r="S854" s="19" t="str">
        <x:v>https://nlftp.mlit.go.jp/ksj/gml/datalist/KsjTmplt-S12-2024.html</x:v>
      </x:c>
      <x:c r="T854" s="19" t="str">
        <x:v>https://nlftp.mlit.go.jp/ksj/gml/datalist/KsjTmplt-S12-2024.html</x:v>
      </x:c>
      <x:c r="U854" s="19" t="str">
        <x:v>station-component|小幡|名古屋鉄道|private_rail|35.2001|136.9756|</x:v>
      </x:c>
      <x:c r="V854" s="19" t="str">
        <x:v>005348 / 005348 / 瀬戸線</x:v>
      </x:c>
      <x:c r="W854" s="18" t="str">
        <x:v>否</x:v>
      </x:c>
      <x:c r="X854" s="18" t="str">
        <x:v>0785e932a32b3ec15e1a1345537ae145eafe1c07bf38d5c16c11ee2b391e7a28</x:v>
      </x:c>
      <x:c r="Y854" s="20" t="n">
        <x:v>1</x:v>
      </x:c>
      <x:c r="Z854" s="20" t="n">
        <x:v>1</x:v>
      </x:c>
      <x:c r="AA854" s="19"/>
      <x:c r="AB854" s="18"/>
      <x:c r="AC854" s="19"/>
    </x:row>
    <x:row r="855" ht="33" customHeight="1">
      <x:c r="A855" s="18" t="str">
        <x:v>小平</x:v>
      </x:c>
      <x:c r="B855" s="18" t="str">
        <x:v>西武鉄道</x:v>
      </x:c>
      <x:c r="C855" s="18" t="str">
        <x:v>private_rail</x:v>
      </x:c>
      <x:c r="D855" s="19" t="str">
        <x:v>T2</x:v>
      </x:c>
      <x:c r="E855" s="20" t="n">
        <x:v>35442</x:v>
      </x:c>
      <x:c r="F855" s="18" t="str">
        <x:v>persons/day</x:v>
      </x:c>
      <x:c r="G855" s="18" t="str">
        <x:v>FY2024</x:v>
      </x:c>
      <x:c r="H855" s="18" t="str">
        <x:v>否</x:v>
      </x:c>
      <x:c r="I855" s="19" t="str">
        <x:v>DAILY_ENTRIES_EXITS</x:v>
      </x:c>
      <x:c r="J855" s="19" t="str">
        <x:v>拝島線
新宿線</x:v>
      </x:c>
      <x:c r="K855" s="18" t="str">
        <x:v>transport-node:51b4add0-f6d2-5d2d-a5aa-9b2721a6d079</x:v>
      </x:c>
      <x:c r="L855" s="19" t="str">
        <x:v>组件待审核</x:v>
      </x:c>
      <x:c r="M855" s="21" t="n">
        <x:v>35.736915</x:v>
      </x:c>
      <x:c r="N855" s="21" t="n">
        <x:v>139.488445</x:v>
      </x:c>
      <x:c r="O855" s="18" t="str">
        <x:v>003340</x:v>
      </x:c>
      <x:c r="P855" s="18" t="str">
        <x:v>新宿線</x:v>
      </x:c>
      <x:c r="Q855" s="19" t="str">
        <x:v>S12_061_GE_10000
OFFICIAL_HUB_COMPONENT_REVIEW</x:v>
      </x:c>
      <x:c r="R855" s="19" t="str">
        <x:v>S12_061 usage threshold</x:v>
      </x:c>
      <x:c r="S855" s="19" t="str">
        <x:v>https://nlftp.mlit.go.jp/ksj/gml/datalist/KsjTmplt-S12-2024.html</x:v>
      </x:c>
      <x:c r="T855" s="19" t="str">
        <x:v>https://nlftp.mlit.go.jp/ksj/gml/datalist/KsjTmplt-S12-2024.html
https://www.seiburailway.jp/railway/station/</x:v>
      </x:c>
      <x:c r="U855" s="19" t="str">
        <x:v>station-component|小平|西武鉄道|private_rail|35.7369|139.4884|</x:v>
      </x:c>
      <x:c r="V855" s="19" t="str">
        <x:v>003340 / 003340 / 新宿線
003340 / 003341 / 拝島線</x:v>
      </x:c>
      <x:c r="W855" s="18" t="str">
        <x:v>否</x:v>
      </x:c>
      <x:c r="X855" s="18" t="str">
        <x:v>0785e932a32b3ec15e1a1345537ae145eafe1c07bf38d5c16c11ee2b391e7a28</x:v>
      </x:c>
      <x:c r="Y855" s="20" t="n">
        <x:v>1</x:v>
      </x:c>
      <x:c r="Z855" s="20" t="n">
        <x:v>1</x:v>
      </x:c>
      <x:c r="AA855" s="19" t="str">
        <x:v>小平</x:v>
      </x:c>
      <x:c r="AB855" s="18" t="str">
        <x:v>transport-hub-review:f0689e03-1dc4-5635-aeae-a8a6476344ab</x:v>
      </x:c>
      <x:c r="AC855" s="19"/>
    </x:row>
    <x:row r="856" ht="28" customHeight="1">
      <x:c r="A856" s="18" t="str">
        <x:v>小手指</x:v>
      </x:c>
      <x:c r="B856" s="18" t="str">
        <x:v>西武鉄道</x:v>
      </x:c>
      <x:c r="C856" s="18" t="str">
        <x:v>private_rail</x:v>
      </x:c>
      <x:c r="D856" s="19" t="str">
        <x:v>T2</x:v>
      </x:c>
      <x:c r="E856" s="20" t="n">
        <x:v>43489</x:v>
      </x:c>
      <x:c r="F856" s="18" t="str">
        <x:v>persons/day</x:v>
      </x:c>
      <x:c r="G856" s="18" t="str">
        <x:v>FY2024</x:v>
      </x:c>
      <x:c r="H856" s="18" t="str">
        <x:v>否</x:v>
      </x:c>
      <x:c r="I856" s="19" t="str">
        <x:v>DAILY_ENTRIES_EXITS</x:v>
      </x:c>
      <x:c r="J856" s="19" t="str">
        <x:v>池袋線</x:v>
      </x:c>
      <x:c r="K856" s="18" t="str">
        <x:v>transport-node:13148309-f0af-5ac8-8d07-75902fa6b3e8</x:v>
      </x:c>
      <x:c r="L856" s="19" t="str">
        <x:v>组件待审核</x:v>
      </x:c>
      <x:c r="M856" s="21" t="n">
        <x:v>35.800585</x:v>
      </x:c>
      <x:c r="N856" s="21" t="n">
        <x:v>139.43804</x:v>
      </x:c>
      <x:c r="O856" s="18" t="str">
        <x:v>003088</x:v>
      </x:c>
      <x:c r="P856" s="18" t="str">
        <x:v>池袋線</x:v>
      </x:c>
      <x:c r="Q856" s="19" t="str">
        <x:v>S12_061_GE_10000</x:v>
      </x:c>
      <x:c r="R856" s="19" t="str">
        <x:v>S12_061 usage threshold</x:v>
      </x:c>
      <x:c r="S856" s="19" t="str">
        <x:v>https://nlftp.mlit.go.jp/ksj/gml/datalist/KsjTmplt-S12-2024.html</x:v>
      </x:c>
      <x:c r="T856" s="19" t="str">
        <x:v>https://nlftp.mlit.go.jp/ksj/gml/datalist/KsjTmplt-S12-2024.html</x:v>
      </x:c>
      <x:c r="U856" s="19" t="str">
        <x:v>station-component|小手指|西武鉄道|private_rail|35.8006|139.4380|</x:v>
      </x:c>
      <x:c r="V856" s="19" t="str">
        <x:v>003088 / 003088 / 池袋線</x:v>
      </x:c>
      <x:c r="W856" s="18" t="str">
        <x:v>否</x:v>
      </x:c>
      <x:c r="X856" s="18" t="str">
        <x:v>0785e932a32b3ec15e1a1345537ae145eafe1c07bf38d5c16c11ee2b391e7a28</x:v>
      </x:c>
      <x:c r="Y856" s="20" t="n">
        <x:v>1</x:v>
      </x:c>
      <x:c r="Z856" s="20" t="n">
        <x:v>1</x:v>
      </x:c>
      <x:c r="AA856" s="19"/>
      <x:c r="AB856" s="18"/>
      <x:c r="AC856" s="19"/>
    </x:row>
    <x:row r="857" ht="28" customHeight="1">
      <x:c r="A857" s="18" t="str">
        <x:v>小机</x:v>
      </x:c>
      <x:c r="B857" s="18" t="str">
        <x:v>東日本旅客鉄道</x:v>
      </x:c>
      <x:c r="C857" s="18" t="str">
        <x:v>conventional_rail</x:v>
      </x:c>
      <x:c r="D857" s="19" t="str">
        <x:v>T2</x:v>
      </x:c>
      <x:c r="E857" s="20" t="n">
        <x:v>18506</x:v>
      </x:c>
      <x:c r="F857" s="18" t="str">
        <x:v>persons/day</x:v>
      </x:c>
      <x:c r="G857" s="18" t="str">
        <x:v>FY2024</x:v>
      </x:c>
      <x:c r="H857" s="18" t="str">
        <x:v>否</x:v>
      </x:c>
      <x:c r="I857" s="19" t="str">
        <x:v>DAILY_ENTRIES_EXITS</x:v>
      </x:c>
      <x:c r="J857" s="19" t="str">
        <x:v>横浜線</x:v>
      </x:c>
      <x:c r="K857" s="18" t="str">
        <x:v>transport-node:e303fd15-31dc-5967-b5ab-0a8a558b4624</x:v>
      </x:c>
      <x:c r="L857" s="19" t="str">
        <x:v>组件待审核</x:v>
      </x:c>
      <x:c r="M857" s="21" t="n">
        <x:v>35.508635</x:v>
      </x:c>
      <x:c r="N857" s="21" t="n">
        <x:v>139.59962</x:v>
      </x:c>
      <x:c r="O857" s="18" t="str">
        <x:v>004495</x:v>
      </x:c>
      <x:c r="P857" s="18" t="str">
        <x:v>横浜線</x:v>
      </x:c>
      <x:c r="Q857" s="19" t="str">
        <x:v>S12_061_GE_10000</x:v>
      </x:c>
      <x:c r="R857" s="19" t="str">
        <x:v>S12_061 usage threshold</x:v>
      </x:c>
      <x:c r="S857" s="19" t="str">
        <x:v>https://nlftp.mlit.go.jp/ksj/gml/datalist/KsjTmplt-S12-2024.html</x:v>
      </x:c>
      <x:c r="T857" s="19" t="str">
        <x:v>https://nlftp.mlit.go.jp/ksj/gml/datalist/KsjTmplt-S12-2024.html</x:v>
      </x:c>
      <x:c r="U857" s="19" t="str">
        <x:v>station-component|小机|東日本旅客鉄道|conventional_rail|35.5086|139.5996|</x:v>
      </x:c>
      <x:c r="V857" s="19" t="str">
        <x:v>004495 / 004495 / 横浜線</x:v>
      </x:c>
      <x:c r="W857" s="18" t="str">
        <x:v>否</x:v>
      </x:c>
      <x:c r="X857" s="18" t="str">
        <x:v>0785e932a32b3ec15e1a1345537ae145eafe1c07bf38d5c16c11ee2b391e7a28</x:v>
      </x:c>
      <x:c r="Y857" s="20" t="n">
        <x:v>1</x:v>
      </x:c>
      <x:c r="Z857" s="20" t="n">
        <x:v>1</x:v>
      </x:c>
      <x:c r="AA857" s="19"/>
      <x:c r="AB857" s="18"/>
      <x:c r="AC857" s="19"/>
    </x:row>
    <x:row r="858" ht="28" customHeight="1">
      <x:c r="A858" s="18" t="str">
        <x:v>小村井</x:v>
      </x:c>
      <x:c r="B858" s="18" t="str">
        <x:v>東武鉄道</x:v>
      </x:c>
      <x:c r="C858" s="18" t="str">
        <x:v>private_rail</x:v>
      </x:c>
      <x:c r="D858" s="19" t="str">
        <x:v>T2</x:v>
      </x:c>
      <x:c r="E858" s="20" t="n">
        <x:v>11154</x:v>
      </x:c>
      <x:c r="F858" s="18" t="str">
        <x:v>persons/day</x:v>
      </x:c>
      <x:c r="G858" s="18" t="str">
        <x:v>FY2024</x:v>
      </x:c>
      <x:c r="H858" s="18" t="str">
        <x:v>否</x:v>
      </x:c>
      <x:c r="I858" s="19" t="str">
        <x:v>DAILY_ENTRIES_EXITS</x:v>
      </x:c>
      <x:c r="J858" s="19" t="str">
        <x:v>亀戸線</x:v>
      </x:c>
      <x:c r="K858" s="18" t="str">
        <x:v>transport-node:d860419f-b650-58b5-97aa-bb13e24171c1</x:v>
      </x:c>
      <x:c r="L858" s="19" t="str">
        <x:v>组件待审核</x:v>
      </x:c>
      <x:c r="M858" s="21" t="n">
        <x:v>35.71032</x:v>
      </x:c>
      <x:c r="N858" s="21" t="n">
        <x:v>139.82761</x:v>
      </x:c>
      <x:c r="O858" s="18" t="str">
        <x:v>003525</x:v>
      </x:c>
      <x:c r="P858" s="18" t="str">
        <x:v>亀戸線</x:v>
      </x:c>
      <x:c r="Q858" s="19" t="str">
        <x:v>S12_061_GE_10000</x:v>
      </x:c>
      <x:c r="R858" s="19" t="str">
        <x:v>S12_061 usage threshold</x:v>
      </x:c>
      <x:c r="S858" s="19" t="str">
        <x:v>https://nlftp.mlit.go.jp/ksj/gml/datalist/KsjTmplt-S12-2024.html</x:v>
      </x:c>
      <x:c r="T858" s="19" t="str">
        <x:v>https://nlftp.mlit.go.jp/ksj/gml/datalist/KsjTmplt-S12-2024.html</x:v>
      </x:c>
      <x:c r="U858" s="19" t="str">
        <x:v>station-component|小村井|東武鉄道|private_rail|35.7103|139.8276|</x:v>
      </x:c>
      <x:c r="V858" s="19" t="str">
        <x:v>003525 / 003525 / 亀戸線</x:v>
      </x:c>
      <x:c r="W858" s="18" t="str">
        <x:v>否</x:v>
      </x:c>
      <x:c r="X858" s="18" t="str">
        <x:v>0785e932a32b3ec15e1a1345537ae145eafe1c07bf38d5c16c11ee2b391e7a28</x:v>
      </x:c>
      <x:c r="Y858" s="20" t="n">
        <x:v>1</x:v>
      </x:c>
      <x:c r="Z858" s="20" t="n">
        <x:v>1</x:v>
      </x:c>
      <x:c r="AA858" s="19"/>
      <x:c r="AB858" s="18"/>
      <x:c r="AC858" s="19"/>
    </x:row>
    <x:row r="859" ht="33" customHeight="1">
      <x:c r="A859" s="18" t="str">
        <x:v>小松</x:v>
      </x:c>
      <x:c r="B859" s="18" t="str">
        <x:v>西日本旅客鉄道</x:v>
      </x:c>
      <x:c r="C859" s="18" t="str">
        <x:v>shinkansen</x:v>
      </x:c>
      <x:c r="D859" s="19" t="str">
        <x:v>T3</x:v>
      </x:c>
      <x:c r="E859" s="20" t="n">
        <x:v>2308</x:v>
      </x:c>
      <x:c r="F859" s="18" t="str">
        <x:v>persons/day</x:v>
      </x:c>
      <x:c r="G859" s="18" t="str">
        <x:v>FY2024</x:v>
      </x:c>
      <x:c r="H859" s="18" t="str">
        <x:v>否</x:v>
      </x:c>
      <x:c r="I859" s="19" t="str">
        <x:v>DAILY_ENTRIES_EXITS</x:v>
      </x:c>
      <x:c r="J859" s="19" t="str">
        <x:v>北陸新幹線</x:v>
      </x:c>
      <x:c r="K859" s="18" t="str">
        <x:v>transport-node:6fb3599c-0b69-5a85-92e6-97c60e238e58</x:v>
      </x:c>
      <x:c r="L859" s="19" t="str">
        <x:v>组件待审核</x:v>
      </x:c>
      <x:c r="M859" s="21" t="n">
        <x:v>36.40234</x:v>
      </x:c>
      <x:c r="N859" s="21" t="n">
        <x:v>136.4530969</x:v>
      </x:c>
      <x:c r="O859" s="18" t="str">
        <x:v>010176</x:v>
      </x:c>
      <x:c r="P859" s="18" t="str">
        <x:v>北陸新幹線</x:v>
      </x:c>
      <x:c r="Q859" s="19" t="str">
        <x:v>SHINKANSEN</x:v>
      </x:c>
      <x:c r="R859" s="19" t="str">
        <x:v>S12_061 usage threshold; low-flow inclusion justified by Shinkansen inventory</x:v>
      </x:c>
      <x:c r="S859" s="19" t="str">
        <x:v>https://nlftp.mlit.go.jp/ksj/gml/datalist/KsjTmplt-S12-2024.html</x:v>
      </x:c>
      <x:c r="T859" s="19" t="str">
        <x:v>https://nlftp.mlit.go.jp/ksj/gml/datalist/KsjTmplt-S12-2024.html</x:v>
      </x:c>
      <x:c r="U859" s="19" t="str">
        <x:v>station-component|小松|西日本旅客鉄道|shinkansen|36.4023|136.4531|</x:v>
      </x:c>
      <x:c r="V859" s="19" t="str">
        <x:v>002267 / 010176 / 北陸新幹線</x:v>
      </x:c>
      <x:c r="W859" s="18" t="str">
        <x:v>否</x:v>
      </x:c>
      <x:c r="X859" s="18" t="str">
        <x:v>0785e932a32b3ec15e1a1345537ae145eafe1c07bf38d5c16c11ee2b391e7a28</x:v>
      </x:c>
      <x:c r="Y859" s="20" t="n">
        <x:v>1</x:v>
      </x:c>
      <x:c r="Z859" s="20" t="n">
        <x:v>1</x:v>
      </x:c>
      <x:c r="AA859" s="19"/>
      <x:c r="AB859" s="18"/>
      <x:c r="AC859" s="19"/>
    </x:row>
    <x:row r="860" ht="28" customHeight="1">
      <x:c r="A860" s="18" t="str">
        <x:v>小林</x:v>
      </x:c>
      <x:c r="B860" s="18" t="str">
        <x:v>阪急電鉄</x:v>
      </x:c>
      <x:c r="C860" s="18" t="str">
        <x:v>private_rail</x:v>
      </x:c>
      <x:c r="D860" s="19" t="str">
        <x:v>T2</x:v>
      </x:c>
      <x:c r="E860" s="20" t="n">
        <x:v>12879</x:v>
      </x:c>
      <x:c r="F860" s="18" t="str">
        <x:v>persons/day</x:v>
      </x:c>
      <x:c r="G860" s="18" t="str">
        <x:v>FY2024</x:v>
      </x:c>
      <x:c r="H860" s="18" t="str">
        <x:v>否</x:v>
      </x:c>
      <x:c r="I860" s="19" t="str">
        <x:v>DAILY_ENTRIES_EXITS</x:v>
      </x:c>
      <x:c r="J860" s="19" t="str">
        <x:v>今津線</x:v>
      </x:c>
      <x:c r="K860" s="18" t="str">
        <x:v>transport-node:a9e282fc-f17f-5f04-b40c-f842beb980ba</x:v>
      </x:c>
      <x:c r="L860" s="19" t="str">
        <x:v>组件待审核</x:v>
      </x:c>
      <x:c r="M860" s="21" t="n">
        <x:v>34.78938</x:v>
      </x:c>
      <x:c r="N860" s="21" t="n">
        <x:v>135.352335</x:v>
      </x:c>
      <x:c r="O860" s="18" t="str">
        <x:v>006682</x:v>
      </x:c>
      <x:c r="P860" s="18" t="str">
        <x:v>今津線</x:v>
      </x:c>
      <x:c r="Q860" s="19" t="str">
        <x:v>S12_061_GE_10000</x:v>
      </x:c>
      <x:c r="R860" s="19" t="str">
        <x:v>S12_061 usage threshold</x:v>
      </x:c>
      <x:c r="S860" s="19" t="str">
        <x:v>https://nlftp.mlit.go.jp/ksj/gml/datalist/KsjTmplt-S12-2024.html</x:v>
      </x:c>
      <x:c r="T860" s="19" t="str">
        <x:v>https://nlftp.mlit.go.jp/ksj/gml/datalist/KsjTmplt-S12-2024.html</x:v>
      </x:c>
      <x:c r="U860" s="19" t="str">
        <x:v>station-component|小林|阪急電鉄|private_rail|34.7894|135.3523|</x:v>
      </x:c>
      <x:c r="V860" s="19" t="str">
        <x:v>006682 / 006682 / 今津線</x:v>
      </x:c>
      <x:c r="W860" s="18" t="str">
        <x:v>否</x:v>
      </x:c>
      <x:c r="X860" s="18" t="str">
        <x:v>0785e932a32b3ec15e1a1345537ae145eafe1c07bf38d5c16c11ee2b391e7a28</x:v>
      </x:c>
      <x:c r="Y860" s="20" t="n">
        <x:v>1</x:v>
      </x:c>
      <x:c r="Z860" s="20" t="n">
        <x:v>1</x:v>
      </x:c>
      <x:c r="AA860" s="19"/>
      <x:c r="AB860" s="18"/>
      <x:c r="AC860" s="19"/>
    </x:row>
    <x:row r="861" ht="28" customHeight="1">
      <x:c r="A861" s="18" t="str">
        <x:v>小樽</x:v>
      </x:c>
      <x:c r="B861" s="18" t="str">
        <x:v>北海道旅客鉄道</x:v>
      </x:c>
      <x:c r="C861" s="18" t="str">
        <x:v>conventional_rail</x:v>
      </x:c>
      <x:c r="D861" s="19" t="str">
        <x:v>T2</x:v>
      </x:c>
      <x:c r="E861" s="20" t="n">
        <x:v>18074</x:v>
      </x:c>
      <x:c r="F861" s="18" t="str">
        <x:v>persons/day</x:v>
      </x:c>
      <x:c r="G861" s="18" t="str">
        <x:v>FY2024</x:v>
      </x:c>
      <x:c r="H861" s="18" t="str">
        <x:v>否</x:v>
      </x:c>
      <x:c r="I861" s="19" t="str">
        <x:v>DAILY_ENTRIES_EXITS</x:v>
      </x:c>
      <x:c r="J861" s="19" t="str">
        <x:v>函館線</x:v>
      </x:c>
      <x:c r="K861" s="18" t="str">
        <x:v>transport-node:97770a35-5cb0-5ec7-ac45-fecd111684eb</x:v>
      </x:c>
      <x:c r="L861" s="19" t="str">
        <x:v>组件待审核</x:v>
      </x:c>
      <x:c r="M861" s="21" t="n">
        <x:v>43.19712</x:v>
      </x:c>
      <x:c r="N861" s="21" t="n">
        <x:v>140.99368</x:v>
      </x:c>
      <x:c r="O861" s="18" t="str">
        <x:v>000159</x:v>
      </x:c>
      <x:c r="P861" s="18" t="str">
        <x:v>函館線</x:v>
      </x:c>
      <x:c r="Q861" s="19" t="str">
        <x:v>S12_061_GE_10000</x:v>
      </x:c>
      <x:c r="R861" s="19" t="str">
        <x:v>S12_061 usage threshold</x:v>
      </x:c>
      <x:c r="S861" s="19" t="str">
        <x:v>https://nlftp.mlit.go.jp/ksj/gml/datalist/KsjTmplt-S12-2024.html</x:v>
      </x:c>
      <x:c r="T861" s="19" t="str">
        <x:v>https://nlftp.mlit.go.jp/ksj/gml/datalist/KsjTmplt-S12-2024.html</x:v>
      </x:c>
      <x:c r="U861" s="19" t="str">
        <x:v>station-component|小樽|北海道旅客鉄道|conventional_rail|43.1971|140.9937|</x:v>
      </x:c>
      <x:c r="V861" s="19" t="str">
        <x:v>000159 / 000159 / 函館線</x:v>
      </x:c>
      <x:c r="W861" s="18" t="str">
        <x:v>否</x:v>
      </x:c>
      <x:c r="X861" s="18" t="str">
        <x:v>0785e932a32b3ec15e1a1345537ae145eafe1c07bf38d5c16c11ee2b391e7a28</x:v>
      </x:c>
      <x:c r="Y861" s="20" t="n">
        <x:v>1</x:v>
      </x:c>
      <x:c r="Z861" s="20" t="n">
        <x:v>1</x:v>
      </x:c>
      <x:c r="AA861" s="19"/>
      <x:c r="AB861" s="18"/>
      <x:c r="AC861" s="19"/>
    </x:row>
    <x:row r="862" ht="28" customHeight="1">
      <x:c r="A862" s="18" t="str">
        <x:v>小牧</x:v>
      </x:c>
      <x:c r="B862" s="18" t="str">
        <x:v>名古屋鉄道</x:v>
      </x:c>
      <x:c r="C862" s="18" t="str">
        <x:v>private_rail</x:v>
      </x:c>
      <x:c r="D862" s="19" t="str">
        <x:v>T2</x:v>
      </x:c>
      <x:c r="E862" s="20" t="n">
        <x:v>11037</x:v>
      </x:c>
      <x:c r="F862" s="18" t="str">
        <x:v>persons/day</x:v>
      </x:c>
      <x:c r="G862" s="18" t="str">
        <x:v>FY2024</x:v>
      </x:c>
      <x:c r="H862" s="18" t="str">
        <x:v>否</x:v>
      </x:c>
      <x:c r="I862" s="19" t="str">
        <x:v>DAILY_ENTRIES_EXITS</x:v>
      </x:c>
      <x:c r="J862" s="19" t="str">
        <x:v>小牧線</x:v>
      </x:c>
      <x:c r="K862" s="18" t="str">
        <x:v>transport-node:64e75371-0f92-52a3-b995-99d85aead524</x:v>
      </x:c>
      <x:c r="L862" s="19" t="str">
        <x:v>组件待审核</x:v>
      </x:c>
      <x:c r="M862" s="21" t="n">
        <x:v>35.288955</x:v>
      </x:c>
      <x:c r="N862" s="21" t="n">
        <x:v>136.927985</x:v>
      </x:c>
      <x:c r="O862" s="18" t="str">
        <x:v>005139</x:v>
      </x:c>
      <x:c r="P862" s="18" t="str">
        <x:v>小牧線</x:v>
      </x:c>
      <x:c r="Q862" s="19" t="str">
        <x:v>S12_061_GE_10000</x:v>
      </x:c>
      <x:c r="R862" s="19" t="str">
        <x:v>S12_061 usage threshold</x:v>
      </x:c>
      <x:c r="S862" s="19" t="str">
        <x:v>https://nlftp.mlit.go.jp/ksj/gml/datalist/KsjTmplt-S12-2024.html</x:v>
      </x:c>
      <x:c r="T862" s="19" t="str">
        <x:v>https://nlftp.mlit.go.jp/ksj/gml/datalist/KsjTmplt-S12-2024.html</x:v>
      </x:c>
      <x:c r="U862" s="19" t="str">
        <x:v>station-component|小牧|名古屋鉄道|private_rail|35.2890|136.9280|</x:v>
      </x:c>
      <x:c r="V862" s="19" t="str">
        <x:v>005139 / 005139 / 小牧線</x:v>
      </x:c>
      <x:c r="W862" s="18" t="str">
        <x:v>否</x:v>
      </x:c>
      <x:c r="X862" s="18" t="str">
        <x:v>0785e932a32b3ec15e1a1345537ae145eafe1c07bf38d5c16c11ee2b391e7a28</x:v>
      </x:c>
      <x:c r="Y862" s="20" t="n">
        <x:v>1</x:v>
      </x:c>
      <x:c r="Z862" s="20" t="n">
        <x:v>1</x:v>
      </x:c>
      <x:c r="AA862" s="19"/>
      <x:c r="AB862" s="18"/>
      <x:c r="AC862" s="19"/>
    </x:row>
    <x:row r="863" ht="28" customHeight="1">
      <x:c r="A863" s="18" t="str">
        <x:v>小田原</x:v>
      </x:c>
      <x:c r="B863" s="18" t="str">
        <x:v>伊豆箱根鉄道</x:v>
      </x:c>
      <x:c r="C863" s="18" t="str">
        <x:v>private_rail</x:v>
      </x:c>
      <x:c r="D863" s="19" t="str">
        <x:v>T2</x:v>
      </x:c>
      <x:c r="E863" s="20" t="n">
        <x:v>15364</x:v>
      </x:c>
      <x:c r="F863" s="18" t="str">
        <x:v>persons/day</x:v>
      </x:c>
      <x:c r="G863" s="18" t="str">
        <x:v>FY2024</x:v>
      </x:c>
      <x:c r="H863" s="18" t="str">
        <x:v>否</x:v>
      </x:c>
      <x:c r="I863" s="19" t="str">
        <x:v>DAILY_ENTRIES_EXITS</x:v>
      </x:c>
      <x:c r="J863" s="19" t="str">
        <x:v>大雄山線</x:v>
      </x:c>
      <x:c r="K863" s="18" t="str">
        <x:v>transport-node:18d6ac6a-0da3-5d54-ada1-fb2b209dca33</x:v>
      </x:c>
      <x:c r="L863" s="19" t="str">
        <x:v>组件待审核</x:v>
      </x:c>
      <x:c r="M863" s="21" t="n">
        <x:v>35.256405</x:v>
      </x:c>
      <x:c r="N863" s="21" t="n">
        <x:v>139.156505</x:v>
      </x:c>
      <x:c r="O863" s="18" t="str">
        <x:v>005214</x:v>
      </x:c>
      <x:c r="P863" s="18" t="str">
        <x:v>大雄山線</x:v>
      </x:c>
      <x:c r="Q863" s="19" t="str">
        <x:v>S12_061_GE_10000</x:v>
      </x:c>
      <x:c r="R863" s="19" t="str">
        <x:v>S12_061 usage threshold</x:v>
      </x:c>
      <x:c r="S863" s="19" t="str">
        <x:v>https://nlftp.mlit.go.jp/ksj/gml/datalist/KsjTmplt-S12-2024.html</x:v>
      </x:c>
      <x:c r="T863" s="19" t="str">
        <x:v>https://nlftp.mlit.go.jp/ksj/gml/datalist/KsjTmplt-S12-2024.html</x:v>
      </x:c>
      <x:c r="U863" s="19" t="str">
        <x:v>station-component|小田原|伊豆箱根鉄道|private_rail|35.2564|139.1565|</x:v>
      </x:c>
      <x:c r="V863" s="19" t="str">
        <x:v>005215 / 005214 / 大雄山線</x:v>
      </x:c>
      <x:c r="W863" s="18" t="str">
        <x:v>否</x:v>
      </x:c>
      <x:c r="X863" s="18" t="str">
        <x:v>0785e932a32b3ec15e1a1345537ae145eafe1c07bf38d5c16c11ee2b391e7a28</x:v>
      </x:c>
      <x:c r="Y863" s="20" t="n">
        <x:v>1</x:v>
      </x:c>
      <x:c r="Z863" s="20" t="n">
        <x:v>1</x:v>
      </x:c>
      <x:c r="AA863" s="19"/>
      <x:c r="AB863" s="18"/>
      <x:c r="AC863" s="19"/>
    </x:row>
    <x:row r="864" ht="28" customHeight="1">
      <x:c r="A864" s="18" t="str">
        <x:v>小田原</x:v>
      </x:c>
      <x:c r="B864" s="18" t="str">
        <x:v>小田急電鉄</x:v>
      </x:c>
      <x:c r="C864" s="18" t="str">
        <x:v>private_rail</x:v>
      </x:c>
      <x:c r="D864" s="19" t="str">
        <x:v>T1</x:v>
      </x:c>
      <x:c r="E864" s="20" t="n">
        <x:v>72843</x:v>
      </x:c>
      <x:c r="F864" s="18" t="str">
        <x:v>persons/day</x:v>
      </x:c>
      <x:c r="G864" s="18" t="str">
        <x:v>FY2024</x:v>
      </x:c>
      <x:c r="H864" s="18" t="str">
        <x:v>否</x:v>
      </x:c>
      <x:c r="I864" s="19" t="str">
        <x:v>DAILY_ENTRIES_EXITS</x:v>
      </x:c>
      <x:c r="J864" s="19" t="str">
        <x:v>小田原線</x:v>
      </x:c>
      <x:c r="K864" s="18" t="str">
        <x:v>transport-node:3b0eea9d-0501-53eb-b14a-c311953137b7</x:v>
      </x:c>
      <x:c r="L864" s="19" t="str">
        <x:v>组件待审核</x:v>
      </x:c>
      <x:c r="M864" s="21" t="n">
        <x:v>35.256355</x:v>
      </x:c>
      <x:c r="N864" s="21" t="n">
        <x:v>139.15543</x:v>
      </x:c>
      <x:c r="O864" s="18" t="str">
        <x:v>005215</x:v>
      </x:c>
      <x:c r="P864" s="18" t="str">
        <x:v>小田原線</x:v>
      </x:c>
      <x:c r="Q864" s="19" t="str">
        <x:v>S12_061_GE_10000</x:v>
      </x:c>
      <x:c r="R864" s="19" t="str">
        <x:v>S12_061 usage threshold</x:v>
      </x:c>
      <x:c r="S864" s="19" t="str">
        <x:v>https://nlftp.mlit.go.jp/ksj/gml/datalist/KsjTmplt-S12-2024.html</x:v>
      </x:c>
      <x:c r="T864" s="19" t="str">
        <x:v>https://nlftp.mlit.go.jp/ksj/gml/datalist/KsjTmplt-S12-2024.html</x:v>
      </x:c>
      <x:c r="U864" s="19" t="str">
        <x:v>station-component|小田原|小田急電鉄|private_rail|35.2564|139.1554|</x:v>
      </x:c>
      <x:c r="V864" s="19" t="str">
        <x:v>005215 / 005215 / 小田原線</x:v>
      </x:c>
      <x:c r="W864" s="18" t="str">
        <x:v>否</x:v>
      </x:c>
      <x:c r="X864" s="18" t="str">
        <x:v>0785e932a32b3ec15e1a1345537ae145eafe1c07bf38d5c16c11ee2b391e7a28</x:v>
      </x:c>
      <x:c r="Y864" s="20" t="n">
        <x:v>1</x:v>
      </x:c>
      <x:c r="Z864" s="20" t="n">
        <x:v>1</x:v>
      </x:c>
      <x:c r="AA864" s="19"/>
      <x:c r="AB864" s="18"/>
      <x:c r="AC864" s="19"/>
    </x:row>
    <x:row r="865" ht="28" customHeight="1">
      <x:c r="A865" s="18" t="str">
        <x:v>小田原</x:v>
      </x:c>
      <x:c r="B865" s="18" t="str">
        <x:v>東日本旅客鉄道</x:v>
      </x:c>
      <x:c r="C865" s="18" t="str">
        <x:v>conventional_rail</x:v>
      </x:c>
      <x:c r="D865" s="19" t="str">
        <x:v>T1</x:v>
      </x:c>
      <x:c r="E865" s="20" t="n">
        <x:v>63114</x:v>
      </x:c>
      <x:c r="F865" s="18" t="str">
        <x:v>persons/day</x:v>
      </x:c>
      <x:c r="G865" s="18" t="str">
        <x:v>FY2024</x:v>
      </x:c>
      <x:c r="H865" s="18" t="str">
        <x:v>否</x:v>
      </x:c>
      <x:c r="I865" s="19" t="str">
        <x:v>DAILY_ENTRIES_EXITS</x:v>
      </x:c>
      <x:c r="J865" s="19" t="str">
        <x:v>東海道線</x:v>
      </x:c>
      <x:c r="K865" s="18" t="str">
        <x:v>transport-node:a0c2ffc9-a29a-51cb-aa2a-7079e8fbb645</x:v>
      </x:c>
      <x:c r="L865" s="19" t="str">
        <x:v>组件待审核</x:v>
      </x:c>
      <x:c r="M865" s="21" t="n">
        <x:v>35.256105</x:v>
      </x:c>
      <x:c r="N865" s="21" t="n">
        <x:v>139.1557675</x:v>
      </x:c>
      <x:c r="O865" s="18" t="str">
        <x:v>005218</x:v>
      </x:c>
      <x:c r="P865" s="18" t="str">
        <x:v>東海道線</x:v>
      </x:c>
      <x:c r="Q865" s="19" t="str">
        <x:v>S12_061_GE_10000</x:v>
      </x:c>
      <x:c r="R865" s="19" t="str">
        <x:v>S12_061 usage threshold</x:v>
      </x:c>
      <x:c r="S865" s="19" t="str">
        <x:v>https://nlftp.mlit.go.jp/ksj/gml/datalist/KsjTmplt-S12-2024.html</x:v>
      </x:c>
      <x:c r="T865" s="19" t="str">
        <x:v>https://nlftp.mlit.go.jp/ksj/gml/datalist/KsjTmplt-S12-2024.html</x:v>
      </x:c>
      <x:c r="U865" s="19" t="str">
        <x:v>station-component|小田原|東日本旅客鉄道|conventional_rail|35.2561|139.1558|</x:v>
      </x:c>
      <x:c r="V865" s="19" t="str">
        <x:v>005215 / 005218 / 東海道線</x:v>
      </x:c>
      <x:c r="W865" s="18" t="str">
        <x:v>否</x:v>
      </x:c>
      <x:c r="X865" s="18" t="str">
        <x:v>0785e932a32b3ec15e1a1345537ae145eafe1c07bf38d5c16c11ee2b391e7a28</x:v>
      </x:c>
      <x:c r="Y865" s="20" t="n">
        <x:v>1</x:v>
      </x:c>
      <x:c r="Z865" s="20" t="n">
        <x:v>1</x:v>
      </x:c>
      <x:c r="AA865" s="19"/>
      <x:c r="AB865" s="18"/>
      <x:c r="AC865" s="19"/>
    </x:row>
    <x:row r="866" ht="33" customHeight="1">
      <x:c r="A866" s="18" t="str">
        <x:v>小田原</x:v>
      </x:c>
      <x:c r="B866" s="18" t="str">
        <x:v>東海旅客鉄道</x:v>
      </x:c>
      <x:c r="C866" s="18" t="str">
        <x:v>shinkansen</x:v>
      </x:c>
      <x:c r="D866" s="19" t="str">
        <x:v>T2</x:v>
      </x:c>
      <x:c r="E866" s="20" t="n">
        <x:v>22528</x:v>
      </x:c>
      <x:c r="F866" s="18" t="str">
        <x:v>persons/day</x:v>
      </x:c>
      <x:c r="G866" s="18" t="str">
        <x:v>FY2024</x:v>
      </x:c>
      <x:c r="H866" s="18" t="str">
        <x:v>否</x:v>
      </x:c>
      <x:c r="I866" s="19" t="str">
        <x:v>DAILY_ENTRIES_EXITS</x:v>
      </x:c>
      <x:c r="J866" s="19" t="str">
        <x:v>東海道新幹線</x:v>
      </x:c>
      <x:c r="K866" s="18" t="str">
        <x:v>transport-node:a3c4af67-520b-551d-9be8-70d3d5ce1008</x:v>
      </x:c>
      <x:c r="L866" s="19" t="str">
        <x:v>组件待审核</x:v>
      </x:c>
      <x:c r="M866" s="21" t="n">
        <x:v>35.25621</x:v>
      </x:c>
      <x:c r="N866" s="21" t="n">
        <x:v>139.154765</x:v>
      </x:c>
      <x:c r="O866" s="18" t="str">
        <x:v>005217</x:v>
      </x:c>
      <x:c r="P866" s="18" t="str">
        <x:v>東海道新幹線</x:v>
      </x:c>
      <x:c r="Q866" s="19" t="str">
        <x:v>S12_061_GE_10000
SHINKANSEN</x:v>
      </x:c>
      <x:c r="R866" s="19" t="str">
        <x:v>S12_061 usage threshold</x:v>
      </x:c>
      <x:c r="S866" s="19" t="str">
        <x:v>https://nlftp.mlit.go.jp/ksj/gml/datalist/KsjTmplt-S12-2024.html</x:v>
      </x:c>
      <x:c r="T866" s="19" t="str">
        <x:v>https://nlftp.mlit.go.jp/ksj/gml/datalist/KsjTmplt-S12-2024.html</x:v>
      </x:c>
      <x:c r="U866" s="19" t="str">
        <x:v>station-component|小田原|東海旅客鉄道|shinkansen|35.2562|139.1548|</x:v>
      </x:c>
      <x:c r="V866" s="19" t="str">
        <x:v>005215 / 005217 / 東海道新幹線</x:v>
      </x:c>
      <x:c r="W866" s="18" t="str">
        <x:v>否</x:v>
      </x:c>
      <x:c r="X866" s="18" t="str">
        <x:v>0785e932a32b3ec15e1a1345537ae145eafe1c07bf38d5c16c11ee2b391e7a28</x:v>
      </x:c>
      <x:c r="Y866" s="20" t="n">
        <x:v>1</x:v>
      </x:c>
      <x:c r="Z866" s="20" t="n">
        <x:v>1</x:v>
      </x:c>
      <x:c r="AA866" s="19"/>
      <x:c r="AB866" s="18"/>
      <x:c r="AC866" s="19"/>
    </x:row>
    <x:row r="867" ht="33" customHeight="1">
      <x:c r="A867" s="18" t="str">
        <x:v>小田急多摩センター</x:v>
      </x:c>
      <x:c r="B867" s="18" t="str">
        <x:v>小田急電鉄</x:v>
      </x:c>
      <x:c r="C867" s="18" t="str">
        <x:v>private_rail</x:v>
      </x:c>
      <x:c r="D867" s="19" t="str">
        <x:v>T2</x:v>
      </x:c>
      <x:c r="E867" s="20" t="n">
        <x:v>46353</x:v>
      </x:c>
      <x:c r="F867" s="18" t="str">
        <x:v>persons/day</x:v>
      </x:c>
      <x:c r="G867" s="18" t="str">
        <x:v>FY2024</x:v>
      </x:c>
      <x:c r="H867" s="18" t="str">
        <x:v>否</x:v>
      </x:c>
      <x:c r="I867" s="19" t="str">
        <x:v>DAILY_ENTRIES_EXITS</x:v>
      </x:c>
      <x:c r="J867" s="19" t="str">
        <x:v>多摩線</x:v>
      </x:c>
      <x:c r="K867" s="18" t="str">
        <x:v>transport-node:562b9d85-46e8-5c6e-817f-b52c002d1780</x:v>
      </x:c>
      <x:c r="L867" s="19" t="str">
        <x:v>组件待审核</x:v>
      </x:c>
      <x:c r="M867" s="21" t="n">
        <x:v>35.62493</x:v>
      </x:c>
      <x:c r="N867" s="21" t="n">
        <x:v>139.424375</x:v>
      </x:c>
      <x:c r="O867" s="18" t="str">
        <x:v>004118</x:v>
      </x:c>
      <x:c r="P867" s="18" t="str">
        <x:v>多摩線</x:v>
      </x:c>
      <x:c r="Q867" s="19" t="str">
        <x:v>S12_061_GE_10000
OFFICIAL_HUB_COMPONENT_REVIEW</x:v>
      </x:c>
      <x:c r="R867" s="19" t="str">
        <x:v>S12_061 usage threshold</x:v>
      </x:c>
      <x:c r="S867" s="19" t="str">
        <x:v>https://nlftp.mlit.go.jp/ksj/gml/datalist/KsjTmplt-S12-2024.html</x:v>
      </x:c>
      <x:c r="T867" s="19" t="str">
        <x:v>https://nlftp.mlit.go.jp/ksj/gml/datalist/KsjTmplt-S12-2024.html
https://www.odakyu.jp/station/</x:v>
      </x:c>
      <x:c r="U867" s="19" t="str">
        <x:v>station-component|小田急多摩センター|小田急電鉄|private_rail|35.6249|139.4244|</x:v>
      </x:c>
      <x:c r="V867" s="19" t="str">
        <x:v>004118 / 004118 / 多摩線</x:v>
      </x:c>
      <x:c r="W867" s="18" t="str">
        <x:v>否</x:v>
      </x:c>
      <x:c r="X867" s="18" t="str">
        <x:v>0785e932a32b3ec15e1a1345537ae145eafe1c07bf38d5c16c11ee2b391e7a28</x:v>
      </x:c>
      <x:c r="Y867" s="20" t="n">
        <x:v>1</x:v>
      </x:c>
      <x:c r="Z867" s="20" t="n">
        <x:v>1</x:v>
      </x:c>
      <x:c r="AA867" s="19" t="str">
        <x:v>多摩センター</x:v>
      </x:c>
      <x:c r="AB867" s="18" t="str">
        <x:v>transport-hub-review:811222cd-59bb-5bf5-af4e-cbfa916d1f40</x:v>
      </x:c>
      <x:c r="AC867" s="19"/>
    </x:row>
    <x:row r="868" ht="33" customHeight="1">
      <x:c r="A868" s="18" t="str">
        <x:v>小田急永山</x:v>
      </x:c>
      <x:c r="B868" s="18" t="str">
        <x:v>小田急電鉄</x:v>
      </x:c>
      <x:c r="C868" s="18" t="str">
        <x:v>private_rail</x:v>
      </x:c>
      <x:c r="D868" s="19" t="str">
        <x:v>T2</x:v>
      </x:c>
      <x:c r="E868" s="20" t="n">
        <x:v>27212</x:v>
      </x:c>
      <x:c r="F868" s="18" t="str">
        <x:v>persons/day</x:v>
      </x:c>
      <x:c r="G868" s="18" t="str">
        <x:v>FY2024</x:v>
      </x:c>
      <x:c r="H868" s="18" t="str">
        <x:v>否</x:v>
      </x:c>
      <x:c r="I868" s="19" t="str">
        <x:v>DAILY_ENTRIES_EXITS</x:v>
      </x:c>
      <x:c r="J868" s="19" t="str">
        <x:v>多摩線</x:v>
      </x:c>
      <x:c r="K868" s="18" t="str">
        <x:v>transport-node:2e83ead0-9805-54cf-8fd8-40268cf592de</x:v>
      </x:c>
      <x:c r="L868" s="19" t="str">
        <x:v>组件待审核</x:v>
      </x:c>
      <x:c r="M868" s="21" t="n">
        <x:v>35.6298975</x:v>
      </x:c>
      <x:c r="N868" s="21" t="n">
        <x:v>139.4481325</x:v>
      </x:c>
      <x:c r="O868" s="18" t="str">
        <x:v>004090</x:v>
      </x:c>
      <x:c r="P868" s="18" t="str">
        <x:v>多摩線</x:v>
      </x:c>
      <x:c r="Q868" s="19" t="str">
        <x:v>S12_061_GE_10000
OFFICIAL_HUB_COMPONENT_REVIEW</x:v>
      </x:c>
      <x:c r="R868" s="19" t="str">
        <x:v>S12_061 usage threshold</x:v>
      </x:c>
      <x:c r="S868" s="19" t="str">
        <x:v>https://nlftp.mlit.go.jp/ksj/gml/datalist/KsjTmplt-S12-2024.html</x:v>
      </x:c>
      <x:c r="T868" s="19" t="str">
        <x:v>https://nlftp.mlit.go.jp/ksj/gml/datalist/KsjTmplt-S12-2024.html
https://www.odakyu.jp/station/</x:v>
      </x:c>
      <x:c r="U868" s="19" t="str">
        <x:v>station-component|小田急永山|小田急電鉄|private_rail|35.6299|139.4481|</x:v>
      </x:c>
      <x:c r="V868" s="19" t="str">
        <x:v>004090 / 004090 / 多摩線</x:v>
      </x:c>
      <x:c r="W868" s="18" t="str">
        <x:v>否</x:v>
      </x:c>
      <x:c r="X868" s="18" t="str">
        <x:v>0785e932a32b3ec15e1a1345537ae145eafe1c07bf38d5c16c11ee2b391e7a28</x:v>
      </x:c>
      <x:c r="Y868" s="20" t="n">
        <x:v>1</x:v>
      </x:c>
      <x:c r="Z868" s="20" t="n">
        <x:v>1</x:v>
      </x:c>
      <x:c r="AA868" s="19" t="str">
        <x:v>永山</x:v>
      </x:c>
      <x:c r="AB868" s="18" t="str">
        <x:v>transport-hub-review:f0a76c74-ad31-5fae-91d6-c6b7da6e0a2e</x:v>
      </x:c>
      <x:c r="AC868" s="19"/>
    </x:row>
    <x:row r="869" ht="28" customHeight="1">
      <x:c r="A869" s="18" t="str">
        <x:v>小田急相模原</x:v>
      </x:c>
      <x:c r="B869" s="18" t="str">
        <x:v>小田急電鉄</x:v>
      </x:c>
      <x:c r="C869" s="18" t="str">
        <x:v>private_rail</x:v>
      </x:c>
      <x:c r="D869" s="19" t="str">
        <x:v>T1</x:v>
      </x:c>
      <x:c r="E869" s="20" t="n">
        <x:v>52578</x:v>
      </x:c>
      <x:c r="F869" s="18" t="str">
        <x:v>persons/day</x:v>
      </x:c>
      <x:c r="G869" s="18" t="str">
        <x:v>FY2024</x:v>
      </x:c>
      <x:c r="H869" s="18" t="str">
        <x:v>否</x:v>
      </x:c>
      <x:c r="I869" s="19" t="str">
        <x:v>DAILY_ENTRIES_EXITS</x:v>
      </x:c>
      <x:c r="J869" s="19" t="str">
        <x:v>小田原線</x:v>
      </x:c>
      <x:c r="K869" s="18" t="str">
        <x:v>transport-node:d6fbb3df-8968-5e9d-8133-d6509652d6fc</x:v>
      </x:c>
      <x:c r="L869" s="19" t="str">
        <x:v>组件待审核</x:v>
      </x:c>
      <x:c r="M869" s="21" t="n">
        <x:v>35.515555</x:v>
      </x:c>
      <x:c r="N869" s="21" t="n">
        <x:v>139.423025</x:v>
      </x:c>
      <x:c r="O869" s="18" t="str">
        <x:v>004470</x:v>
      </x:c>
      <x:c r="P869" s="18" t="str">
        <x:v>小田原線</x:v>
      </x:c>
      <x:c r="Q869" s="19" t="str">
        <x:v>S12_061_GE_10000</x:v>
      </x:c>
      <x:c r="R869" s="19" t="str">
        <x:v>S12_061 usage threshold</x:v>
      </x:c>
      <x:c r="S869" s="19" t="str">
        <x:v>https://nlftp.mlit.go.jp/ksj/gml/datalist/KsjTmplt-S12-2024.html</x:v>
      </x:c>
      <x:c r="T869" s="19" t="str">
        <x:v>https://nlftp.mlit.go.jp/ksj/gml/datalist/KsjTmplt-S12-2024.html</x:v>
      </x:c>
      <x:c r="U869" s="19" t="str">
        <x:v>station-component|小田急相模原|小田急電鉄|private_rail|35.5156|139.4230|</x:v>
      </x:c>
      <x:c r="V869" s="19" t="str">
        <x:v>004470 / 004470 / 小田原線</x:v>
      </x:c>
      <x:c r="W869" s="18" t="str">
        <x:v>否</x:v>
      </x:c>
      <x:c r="X869" s="18" t="str">
        <x:v>0785e932a32b3ec15e1a1345537ae145eafe1c07bf38d5c16c11ee2b391e7a28</x:v>
      </x:c>
      <x:c r="Y869" s="20" t="n">
        <x:v>1</x:v>
      </x:c>
      <x:c r="Z869" s="20" t="n">
        <x:v>1</x:v>
      </x:c>
      <x:c r="AA869" s="19"/>
      <x:c r="AB869" s="18"/>
      <x:c r="AC869" s="19"/>
    </x:row>
    <x:row r="870" ht="33" customHeight="1">
      <x:c r="A870" s="18" t="str">
        <x:v>小竹向原</x:v>
      </x:c>
      <x:c r="B870" s="18" t="str">
        <x:v>東京地下鉄</x:v>
      </x:c>
      <x:c r="C870" s="18" t="str">
        <x:v>metro</x:v>
      </x:c>
      <x:c r="D870" s="19" t="str">
        <x:v>T0</x:v>
      </x:c>
      <x:c r="E870" s="20" t="n">
        <x:v>317839</x:v>
      </x:c>
      <x:c r="F870" s="18" t="str">
        <x:v>persons/day</x:v>
      </x:c>
      <x:c r="G870" s="18" t="str">
        <x:v>FY2024</x:v>
      </x:c>
      <x:c r="H870" s="18" t="str">
        <x:v>否</x:v>
      </x:c>
      <x:c r="I870" s="19" t="str">
        <x:v>DAILY_ENTRIES_EXITS</x:v>
      </x:c>
      <x:c r="J870" s="19" t="str">
        <x:v>13号線副都心線
8号線有楽町線</x:v>
      </x:c>
      <x:c r="K870" s="18" t="str">
        <x:v>transport-node:4e298810-7cd9-5fce-936e-7e17f4b7f89b</x:v>
      </x:c>
      <x:c r="L870" s="19" t="str">
        <x:v>组件待审核</x:v>
      </x:c>
      <x:c r="M870" s="21" t="n">
        <x:v>35.743395</x:v>
      </x:c>
      <x:c r="N870" s="21" t="n">
        <x:v>139.67952</x:v>
      </x:c>
      <x:c r="O870" s="18" t="str">
        <x:v>003295</x:v>
      </x:c>
      <x:c r="P870" s="18" t="str">
        <x:v>8号線有楽町線</x:v>
      </x:c>
      <x:c r="Q870" s="19" t="str">
        <x:v>S12_061_GE_10000
OFFICIAL_HUB_COMPONENT_REVIEW</x:v>
      </x:c>
      <x:c r="R870" s="19" t="str">
        <x:v>S12_061 usage threshold</x:v>
      </x:c>
      <x:c r="S870" s="19" t="str">
        <x:v>https://nlftp.mlit.go.jp/ksj/gml/datalist/KsjTmplt-S12-2024.html</x:v>
      </x:c>
      <x:c r="T870" s="19" t="str">
        <x:v>https://nlftp.mlit.go.jp/ksj/gml/datalist/KsjTmplt-S12-2024.html
https://www.tokyometro.jp/station/kotake-mukaihara/index.html</x:v>
      </x:c>
      <x:c r="U870" s="19" t="str">
        <x:v>station-component|小竹向原|東京地下鉄|metro|35.7434|139.6795|</x:v>
      </x:c>
      <x:c r="V870" s="19" t="str">
        <x:v>003294 / 003294 / 13号線副都心線
003294 / 003295 / 8号線有楽町線</x:v>
      </x:c>
      <x:c r="W870" s="18" t="str">
        <x:v>否</x:v>
      </x:c>
      <x:c r="X870" s="18" t="str">
        <x:v>0785e932a32b3ec15e1a1345537ae145eafe1c07bf38d5c16c11ee2b391e7a28</x:v>
      </x:c>
      <x:c r="Y870" s="20" t="n">
        <x:v>1</x:v>
      </x:c>
      <x:c r="Z870" s="20" t="n">
        <x:v>1</x:v>
      </x:c>
      <x:c r="AA870" s="19" t="str">
        <x:v>小竹向原</x:v>
      </x:c>
      <x:c r="AB870" s="18" t="str">
        <x:v>transport-hub-review:a4c1e6ad-cc17-5ef8-93e4-96969ffdbf63</x:v>
      </x:c>
      <x:c r="AC870" s="19"/>
    </x:row>
    <x:row r="871" ht="33" customHeight="1">
      <x:c r="A871" s="18" t="str">
        <x:v>小竹向原</x:v>
      </x:c>
      <x:c r="B871" s="18" t="str">
        <x:v>西武鉄道</x:v>
      </x:c>
      <x:c r="C871" s="18" t="str">
        <x:v>private_rail</x:v>
      </x:c>
      <x:c r="D871" s="19"/>
      <x:c r="E871" s="20"/>
      <x:c r="F871" s="18"/>
      <x:c r="G871" s="18" t="str">
        <x:v>FY2024</x:v>
      </x:c>
      <x:c r="H871" s="18" t="str">
        <x:v>是</x:v>
      </x:c>
      <x:c r="I871" s="19" t="str">
        <x:v>USAGE_DATA_UNAVAILABLE</x:v>
      </x:c>
      <x:c r="J871" s="19" t="str">
        <x:v>西武有楽町線</x:v>
      </x:c>
      <x:c r="K871" s="18" t="str">
        <x:v>transport-node:319cbbd4-e78f-5b92-a508-7a2a62e9e3d6</x:v>
      </x:c>
      <x:c r="L871" s="19" t="str">
        <x:v>组件待审核</x:v>
      </x:c>
      <x:c r="M871" s="21" t="n">
        <x:v>35.743395</x:v>
      </x:c>
      <x:c r="N871" s="21" t="n">
        <x:v>139.67952</x:v>
      </x:c>
      <x:c r="O871" s="18" t="str">
        <x:v>003296</x:v>
      </x:c>
      <x:c r="P871" s="18" t="str">
        <x:v>西武有楽町線</x:v>
      </x:c>
      <x:c r="Q871" s="19" t="str">
        <x:v>OFFICIAL_HUB_COMPONENT_REVIEW</x:v>
      </x:c>
      <x:c r="R871" s="19" t="str">
        <x:v>Official S12 usage unavailable; manual tier review required</x:v>
      </x:c>
      <x:c r="S871" s="19" t="str">
        <x:v>https://nlftp.mlit.go.jp/ksj/gml/datalist/KsjTmplt-S12-2024.html</x:v>
      </x:c>
      <x:c r="T871" s="19" t="str">
        <x:v>https://nlftp.mlit.go.jp/ksj/gml/datalist/KsjTmplt-S12-2024.html
https://www.tokyometro.jp/station/kotake-mukaihara/index.html</x:v>
      </x:c>
      <x:c r="U871" s="19" t="str">
        <x:v>station-component|小竹向原|西武鉄道|private_rail|35.7434|139.6795|</x:v>
      </x:c>
      <x:c r="V871" s="19" t="str">
        <x:v>003294 / 003296 / 西武有楽町線</x:v>
      </x:c>
      <x:c r="W871" s="18" t="str">
        <x:v>否</x:v>
      </x:c>
      <x:c r="X871" s="18" t="str">
        <x:v>0785e932a32b3ec15e1a1345537ae145eafe1c07bf38d5c16c11ee2b391e7a28</x:v>
      </x:c>
      <x:c r="Y871" s="20" t="n">
        <x:v>1</x:v>
      </x:c>
      <x:c r="Z871" s="20" t="n">
        <x:v>2</x:v>
      </x:c>
      <x:c r="AA871" s="19" t="str">
        <x:v>小竹向原</x:v>
      </x:c>
      <x:c r="AB871" s="18" t="str">
        <x:v>transport-hub-review:a4c1e6ad-cc17-5ef8-93e4-96969ffdbf63</x:v>
      </x:c>
      <x:c r="AC871" s="19"/>
    </x:row>
    <x:row r="872" ht="28" customHeight="1">
      <x:c r="A872" s="18" t="str">
        <x:v>小鶴新田</x:v>
      </x:c>
      <x:c r="B872" s="18" t="str">
        <x:v>東日本旅客鉄道</x:v>
      </x:c>
      <x:c r="C872" s="18" t="str">
        <x:v>conventional_rail</x:v>
      </x:c>
      <x:c r="D872" s="19" t="str">
        <x:v>T2</x:v>
      </x:c>
      <x:c r="E872" s="20" t="n">
        <x:v>13280</x:v>
      </x:c>
      <x:c r="F872" s="18" t="str">
        <x:v>persons/day</x:v>
      </x:c>
      <x:c r="G872" s="18" t="str">
        <x:v>FY2024</x:v>
      </x:c>
      <x:c r="H872" s="18" t="str">
        <x:v>否</x:v>
      </x:c>
      <x:c r="I872" s="19" t="str">
        <x:v>DAILY_ENTRIES_EXITS</x:v>
      </x:c>
      <x:c r="J872" s="19" t="str">
        <x:v>仙石線</x:v>
      </x:c>
      <x:c r="K872" s="18" t="str">
        <x:v>transport-node:dca4fff4-0554-5a74-9f77-6cc87bb73fd5</x:v>
      </x:c>
      <x:c r="L872" s="19" t="str">
        <x:v>组件待审核</x:v>
      </x:c>
      <x:c r="M872" s="21" t="n">
        <x:v>38.273395</x:v>
      </x:c>
      <x:c r="N872" s="21" t="n">
        <x:v>140.934955</x:v>
      </x:c>
      <x:c r="O872" s="18" t="str">
        <x:v>001163</x:v>
      </x:c>
      <x:c r="P872" s="18" t="str">
        <x:v>仙石線</x:v>
      </x:c>
      <x:c r="Q872" s="19" t="str">
        <x:v>S12_061_GE_10000</x:v>
      </x:c>
      <x:c r="R872" s="19" t="str">
        <x:v>S12_061 usage threshold</x:v>
      </x:c>
      <x:c r="S872" s="19" t="str">
        <x:v>https://nlftp.mlit.go.jp/ksj/gml/datalist/KsjTmplt-S12-2024.html</x:v>
      </x:c>
      <x:c r="T872" s="19" t="str">
        <x:v>https://nlftp.mlit.go.jp/ksj/gml/datalist/KsjTmplt-S12-2024.html</x:v>
      </x:c>
      <x:c r="U872" s="19" t="str">
        <x:v>station-component|小鶴新田|東日本旅客鉄道|conventional_rail|38.2734|140.9350|</x:v>
      </x:c>
      <x:c r="V872" s="19" t="str">
        <x:v>001163 / 001163 / 仙石線</x:v>
      </x:c>
      <x:c r="W872" s="18" t="str">
        <x:v>否</x:v>
      </x:c>
      <x:c r="X872" s="18" t="str">
        <x:v>0785e932a32b3ec15e1a1345537ae145eafe1c07bf38d5c16c11ee2b391e7a28</x:v>
      </x:c>
      <x:c r="Y872" s="20" t="n">
        <x:v>1</x:v>
      </x:c>
      <x:c r="Z872" s="20" t="n">
        <x:v>1</x:v>
      </x:c>
      <x:c r="AA872" s="19"/>
      <x:c r="AB872" s="18"/>
      <x:c r="AC872" s="19"/>
    </x:row>
    <x:row r="873" ht="28" customHeight="1">
      <x:c r="A873" s="18" t="str">
        <x:v>少路</x:v>
      </x:c>
      <x:c r="B873" s="18" t="str">
        <x:v>大阪モノレール</x:v>
      </x:c>
      <x:c r="C873" s="18" t="str">
        <x:v>fixed_guideway</x:v>
      </x:c>
      <x:c r="D873" s="19" t="str">
        <x:v>T2</x:v>
      </x:c>
      <x:c r="E873" s="20" t="n">
        <x:v>13207</x:v>
      </x:c>
      <x:c r="F873" s="18" t="str">
        <x:v>persons/day</x:v>
      </x:c>
      <x:c r="G873" s="18" t="str">
        <x:v>FY2024</x:v>
      </x:c>
      <x:c r="H873" s="18" t="str">
        <x:v>否</x:v>
      </x:c>
      <x:c r="I873" s="19" t="str">
        <x:v>DAILY_ENTRIES_EXITS</x:v>
      </x:c>
      <x:c r="J873" s="19" t="str">
        <x:v>大阪モノレール線</x:v>
      </x:c>
      <x:c r="K873" s="18" t="str">
        <x:v>transport-node:63e9d3c5-d003-5c74-8c11-8faa7fa053a8</x:v>
      </x:c>
      <x:c r="L873" s="19" t="str">
        <x:v>组件待审核</x:v>
      </x:c>
      <x:c r="M873" s="21" t="n">
        <x:v>34.804275</x:v>
      </x:c>
      <x:c r="N873" s="21" t="n">
        <x:v>135.47534</x:v>
      </x:c>
      <x:c r="O873" s="18" t="str">
        <x:v>006608</x:v>
      </x:c>
      <x:c r="P873" s="18" t="str">
        <x:v>大阪モノレール線</x:v>
      </x:c>
      <x:c r="Q873" s="19" t="str">
        <x:v>S12_061_GE_10000</x:v>
      </x:c>
      <x:c r="R873" s="19" t="str">
        <x:v>S12_061 usage threshold</x:v>
      </x:c>
      <x:c r="S873" s="19" t="str">
        <x:v>https://nlftp.mlit.go.jp/ksj/gml/datalist/KsjTmplt-S12-2024.html</x:v>
      </x:c>
      <x:c r="T873" s="19" t="str">
        <x:v>https://nlftp.mlit.go.jp/ksj/gml/datalist/KsjTmplt-S12-2024.html</x:v>
      </x:c>
      <x:c r="U873" s="19" t="str">
        <x:v>station-component|少路|大阪モノレール|fixed_guideway|34.8043|135.4753|</x:v>
      </x:c>
      <x:c r="V873" s="19" t="str">
        <x:v>006608 / 006608 / 大阪モノレール線</x:v>
      </x:c>
      <x:c r="W873" s="18" t="str">
        <x:v>否</x:v>
      </x:c>
      <x:c r="X873" s="18" t="str">
        <x:v>0785e932a32b3ec15e1a1345537ae145eafe1c07bf38d5c16c11ee2b391e7a28</x:v>
      </x:c>
      <x:c r="Y873" s="20" t="n">
        <x:v>1</x:v>
      </x:c>
      <x:c r="Z873" s="20" t="n">
        <x:v>1</x:v>
      </x:c>
      <x:c r="AA873" s="19"/>
      <x:c r="AB873" s="18"/>
      <x:c r="AC873" s="19"/>
    </x:row>
    <x:row r="874" ht="28" customHeight="1">
      <x:c r="A874" s="18" t="str">
        <x:v>尻手</x:v>
      </x:c>
      <x:c r="B874" s="18" t="str">
        <x:v>東日本旅客鉄道</x:v>
      </x:c>
      <x:c r="C874" s="18" t="str">
        <x:v>conventional_rail</x:v>
      </x:c>
      <x:c r="D874" s="19" t="str">
        <x:v>T2</x:v>
      </x:c>
      <x:c r="E874" s="20" t="n">
        <x:v>28394</x:v>
      </x:c>
      <x:c r="F874" s="18" t="str">
        <x:v>persons/day</x:v>
      </x:c>
      <x:c r="G874" s="18" t="str">
        <x:v>FY2024</x:v>
      </x:c>
      <x:c r="H874" s="18" t="str">
        <x:v>否</x:v>
      </x:c>
      <x:c r="I874" s="19" t="str">
        <x:v>DAILY_ENTRIES_EXITS</x:v>
      </x:c>
      <x:c r="J874" s="19" t="str">
        <x:v>南武線</x:v>
      </x:c>
      <x:c r="K874" s="18" t="str">
        <x:v>transport-node:f476a507-c3a1-58c4-a87e-9bf9c1d25dfc</x:v>
      </x:c>
      <x:c r="L874" s="19" t="str">
        <x:v>组件待审核</x:v>
      </x:c>
      <x:c r="M874" s="21" t="n">
        <x:v>35.530975</x:v>
      </x:c>
      <x:c r="N874" s="21" t="n">
        <x:v>139.6843</x:v>
      </x:c>
      <x:c r="O874" s="18" t="str">
        <x:v>004435</x:v>
      </x:c>
      <x:c r="P874" s="18" t="str">
        <x:v>南武線</x:v>
      </x:c>
      <x:c r="Q874" s="19" t="str">
        <x:v>S12_061_GE_10000</x:v>
      </x:c>
      <x:c r="R874" s="19" t="str">
        <x:v>S12_061 usage threshold</x:v>
      </x:c>
      <x:c r="S874" s="19" t="str">
        <x:v>https://nlftp.mlit.go.jp/ksj/gml/datalist/KsjTmplt-S12-2024.html</x:v>
      </x:c>
      <x:c r="T874" s="19" t="str">
        <x:v>https://nlftp.mlit.go.jp/ksj/gml/datalist/KsjTmplt-S12-2024.html</x:v>
      </x:c>
      <x:c r="U874" s="19" t="str">
        <x:v>station-component|尻手|東日本旅客鉄道|conventional_rail|35.5310|139.6843|</x:v>
      </x:c>
      <x:c r="V874" s="19" t="str">
        <x:v>004435 / 004435 / 南武線</x:v>
      </x:c>
      <x:c r="W874" s="18" t="str">
        <x:v>否</x:v>
      </x:c>
      <x:c r="X874" s="18" t="str">
        <x:v>0785e932a32b3ec15e1a1345537ae145eafe1c07bf38d5c16c11ee2b391e7a28</x:v>
      </x:c>
      <x:c r="Y874" s="20" t="n">
        <x:v>1</x:v>
      </x:c>
      <x:c r="Z874" s="20" t="n">
        <x:v>1</x:v>
      </x:c>
      <x:c r="AA874" s="19"/>
      <x:c r="AB874" s="18"/>
      <x:c r="AC874" s="19"/>
    </x:row>
    <x:row r="875" ht="47" customHeight="1">
      <x:c r="A875" s="18" t="str">
        <x:v>尼崎</x:v>
      </x:c>
      <x:c r="B875" s="18" t="str">
        <x:v>西日本旅客鉄道</x:v>
      </x:c>
      <x:c r="C875" s="18" t="str">
        <x:v>conventional_rail</x:v>
      </x:c>
      <x:c r="D875" s="19" t="str">
        <x:v>T1</x:v>
      </x:c>
      <x:c r="E875" s="20" t="n">
        <x:v>89252</x:v>
      </x:c>
      <x:c r="F875" s="18" t="str">
        <x:v>persons/day</x:v>
      </x:c>
      <x:c r="G875" s="18" t="str">
        <x:v>FY2024</x:v>
      </x:c>
      <x:c r="H875" s="18" t="str">
        <x:v>否</x:v>
      </x:c>
      <x:c r="I875" s="19" t="str">
        <x:v>DAILY_ENTRIES_EXITS</x:v>
      </x:c>
      <x:c r="J875" s="19" t="str">
        <x:v>JR東西線
東海道線
福知山線</x:v>
      </x:c>
      <x:c r="K875" s="18" t="str">
        <x:v>transport-node:2055a55a-71bc-59cf-a523-d8de7713d97c</x:v>
      </x:c>
      <x:c r="L875" s="19" t="str">
        <x:v>组件待审核</x:v>
      </x:c>
      <x:c r="M875" s="21" t="n">
        <x:v>34.731855</x:v>
      </x:c>
      <x:c r="N875" s="21" t="n">
        <x:v>135.43178</x:v>
      </x:c>
      <x:c r="O875" s="18" t="str">
        <x:v>006919</x:v>
      </x:c>
      <x:c r="P875" s="18" t="str">
        <x:v>東海道線</x:v>
      </x:c>
      <x:c r="Q875" s="19" t="str">
        <x:v>S12_061_GE_10000</x:v>
      </x:c>
      <x:c r="R875" s="19" t="str">
        <x:v>S12_061 usage threshold</x:v>
      </x:c>
      <x:c r="S875" s="19" t="str">
        <x:v>https://nlftp.mlit.go.jp/ksj/gml/datalist/KsjTmplt-S12-2024.html</x:v>
      </x:c>
      <x:c r="T875" s="19" t="str">
        <x:v>https://nlftp.mlit.go.jp/ksj/gml/datalist/KsjTmplt-S12-2024.html</x:v>
      </x:c>
      <x:c r="U875" s="19" t="str">
        <x:v>station-component|尼崎|西日本旅客鉄道|conventional_rail|34.7319|135.4318|</x:v>
      </x:c>
      <x:c r="V875" s="19" t="str">
        <x:v>006918 / 006918 / JR東西線
006918 / 006919 / 東海道線
006918 / 006920 / 福知山線</x:v>
      </x:c>
      <x:c r="W875" s="18" t="str">
        <x:v>否</x:v>
      </x:c>
      <x:c r="X875" s="18" t="str">
        <x:v>0785e932a32b3ec15e1a1345537ae145eafe1c07bf38d5c16c11ee2b391e7a28</x:v>
      </x:c>
      <x:c r="Y875" s="20" t="n">
        <x:v>1</x:v>
      </x:c>
      <x:c r="Z875" s="20" t="n">
        <x:v>1</x:v>
      </x:c>
      <x:c r="AA875" s="19"/>
      <x:c r="AB875" s="18"/>
      <x:c r="AC875" s="19"/>
    </x:row>
    <x:row r="876" ht="33" customHeight="1">
      <x:c r="A876" s="18" t="str">
        <x:v>尼崎</x:v>
      </x:c>
      <x:c r="B876" s="18" t="str">
        <x:v>阪神電気鉄道</x:v>
      </x:c>
      <x:c r="C876" s="18" t="str">
        <x:v>private_rail</x:v>
      </x:c>
      <x:c r="D876" s="19" t="str">
        <x:v>T1</x:v>
      </x:c>
      <x:c r="E876" s="20" t="n">
        <x:v>52054</x:v>
      </x:c>
      <x:c r="F876" s="18" t="str">
        <x:v>persons/day</x:v>
      </x:c>
      <x:c r="G876" s="18" t="str">
        <x:v>FY2024</x:v>
      </x:c>
      <x:c r="H876" s="18" t="str">
        <x:v>否</x:v>
      </x:c>
      <x:c r="I876" s="19" t="str">
        <x:v>DAILY_ENTRIES_EXITS</x:v>
      </x:c>
      <x:c r="J876" s="19" t="str">
        <x:v>本線
阪神なんば線</x:v>
      </x:c>
      <x:c r="K876" s="18" t="str">
        <x:v>transport-node:36f19c97-3e7f-5be5-b5c4-64f6d13a8739</x:v>
      </x:c>
      <x:c r="L876" s="19" t="str">
        <x:v>组件待审核</x:v>
      </x:c>
      <x:c r="M876" s="21" t="n">
        <x:v>34.71851</x:v>
      </x:c>
      <x:c r="N876" s="21" t="n">
        <x:v>135.417315</x:v>
      </x:c>
      <x:c r="O876" s="18" t="str">
        <x:v>006982</x:v>
      </x:c>
      <x:c r="P876" s="18" t="str">
        <x:v>本線</x:v>
      </x:c>
      <x:c r="Q876" s="19" t="str">
        <x:v>S12_061_GE_10000</x:v>
      </x:c>
      <x:c r="R876" s="19" t="str">
        <x:v>S12_061 usage threshold</x:v>
      </x:c>
      <x:c r="S876" s="19" t="str">
        <x:v>https://nlftp.mlit.go.jp/ksj/gml/datalist/KsjTmplt-S12-2024.html</x:v>
      </x:c>
      <x:c r="T876" s="19" t="str">
        <x:v>https://nlftp.mlit.go.jp/ksj/gml/datalist/KsjTmplt-S12-2024.html</x:v>
      </x:c>
      <x:c r="U876" s="19" t="str">
        <x:v>station-component|尼崎|阪神電気鉄道|private_rail|34.7185|135.4173|</x:v>
      </x:c>
      <x:c r="V876" s="19" t="str">
        <x:v>006981 / 006981 / 阪神なんば線
006981 / 006982 / 本線</x:v>
      </x:c>
      <x:c r="W876" s="18" t="str">
        <x:v>否</x:v>
      </x:c>
      <x:c r="X876" s="18" t="str">
        <x:v>0785e932a32b3ec15e1a1345537ae145eafe1c07bf38d5c16c11ee2b391e7a28</x:v>
      </x:c>
      <x:c r="Y876" s="20" t="n">
        <x:v>1</x:v>
      </x:c>
      <x:c r="Z876" s="20" t="n">
        <x:v>1</x:v>
      </x:c>
      <x:c r="AA876" s="19"/>
      <x:c r="AB876" s="18"/>
      <x:c r="AC876" s="19"/>
    </x:row>
    <x:row r="877" ht="28" customHeight="1">
      <x:c r="A877" s="18" t="str">
        <x:v>尼崎センタープール前</x:v>
      </x:c>
      <x:c r="B877" s="18" t="str">
        <x:v>阪神電気鉄道</x:v>
      </x:c>
      <x:c r="C877" s="18" t="str">
        <x:v>private_rail</x:v>
      </x:c>
      <x:c r="D877" s="19" t="str">
        <x:v>T2</x:v>
      </x:c>
      <x:c r="E877" s="20" t="n">
        <x:v>11114</x:v>
      </x:c>
      <x:c r="F877" s="18" t="str">
        <x:v>persons/day</x:v>
      </x:c>
      <x:c r="G877" s="18" t="str">
        <x:v>FY2024</x:v>
      </x:c>
      <x:c r="H877" s="18" t="str">
        <x:v>否</x:v>
      </x:c>
      <x:c r="I877" s="19" t="str">
        <x:v>DAILY_ENTRIES_EXITS</x:v>
      </x:c>
      <x:c r="J877" s="19" t="str">
        <x:v>本線</x:v>
      </x:c>
      <x:c r="K877" s="18" t="str">
        <x:v>transport-node:4fb196e6-f570-5931-913f-79d227d8afdb</x:v>
      </x:c>
      <x:c r="L877" s="19" t="str">
        <x:v>组件待审核</x:v>
      </x:c>
      <x:c r="M877" s="21" t="n">
        <x:v>34.7178733</x:v>
      </x:c>
      <x:c r="N877" s="21" t="n">
        <x:v>135.3952533</x:v>
      </x:c>
      <x:c r="O877" s="18" t="str">
        <x:v>006988</x:v>
      </x:c>
      <x:c r="P877" s="18" t="str">
        <x:v>本線</x:v>
      </x:c>
      <x:c r="Q877" s="19" t="str">
        <x:v>S12_061_GE_10000</x:v>
      </x:c>
      <x:c r="R877" s="19" t="str">
        <x:v>S12_061 usage threshold</x:v>
      </x:c>
      <x:c r="S877" s="19" t="str">
        <x:v>https://nlftp.mlit.go.jp/ksj/gml/datalist/KsjTmplt-S12-2024.html</x:v>
      </x:c>
      <x:c r="T877" s="19" t="str">
        <x:v>https://nlftp.mlit.go.jp/ksj/gml/datalist/KsjTmplt-S12-2024.html</x:v>
      </x:c>
      <x:c r="U877" s="19" t="str">
        <x:v>station-component|尼崎センタープール前|阪神電気鉄道|private_rail|34.7179|135.3953|</x:v>
      </x:c>
      <x:c r="V877" s="19" t="str">
        <x:v>006988 / 006988 / 本線</x:v>
      </x:c>
      <x:c r="W877" s="18" t="str">
        <x:v>否</x:v>
      </x:c>
      <x:c r="X877" s="18" t="str">
        <x:v>0785e932a32b3ec15e1a1345537ae145eafe1c07bf38d5c16c11ee2b391e7a28</x:v>
      </x:c>
      <x:c r="Y877" s="20" t="n">
        <x:v>1</x:v>
      </x:c>
      <x:c r="Z877" s="20" t="n">
        <x:v>1</x:v>
      </x:c>
      <x:c r="AA877" s="19"/>
      <x:c r="AB877" s="18"/>
      <x:c r="AC877" s="19"/>
    </x:row>
    <x:row r="878" ht="28" customHeight="1">
      <x:c r="A878" s="18" t="str">
        <x:v>尾久</x:v>
      </x:c>
      <x:c r="B878" s="18" t="str">
        <x:v>東日本旅客鉄道</x:v>
      </x:c>
      <x:c r="C878" s="18" t="str">
        <x:v>conventional_rail</x:v>
      </x:c>
      <x:c r="D878" s="19" t="str">
        <x:v>T2</x:v>
      </x:c>
      <x:c r="E878" s="20" t="n">
        <x:v>20858</x:v>
      </x:c>
      <x:c r="F878" s="18" t="str">
        <x:v>persons/day</x:v>
      </x:c>
      <x:c r="G878" s="18" t="str">
        <x:v>FY2024</x:v>
      </x:c>
      <x:c r="H878" s="18" t="str">
        <x:v>否</x:v>
      </x:c>
      <x:c r="I878" s="19" t="str">
        <x:v>DAILY_ENTRIES_EXITS</x:v>
      </x:c>
      <x:c r="J878" s="19" t="str">
        <x:v>東北線</x:v>
      </x:c>
      <x:c r="K878" s="18" t="str">
        <x:v>transport-node:d1ce58fc-2e28-5daf-acdd-5789b12d0ab6</x:v>
      </x:c>
      <x:c r="L878" s="19" t="str">
        <x:v>组件待审核</x:v>
      </x:c>
      <x:c r="M878" s="21" t="n">
        <x:v>35.74687</x:v>
      </x:c>
      <x:c r="N878" s="21" t="n">
        <x:v>139.753725</x:v>
      </x:c>
      <x:c r="O878" s="18" t="str">
        <x:v>003278</x:v>
      </x:c>
      <x:c r="P878" s="18" t="str">
        <x:v>東北線</x:v>
      </x:c>
      <x:c r="Q878" s="19" t="str">
        <x:v>S12_061_GE_10000</x:v>
      </x:c>
      <x:c r="R878" s="19" t="str">
        <x:v>S12_061 usage threshold</x:v>
      </x:c>
      <x:c r="S878" s="19" t="str">
        <x:v>https://nlftp.mlit.go.jp/ksj/gml/datalist/KsjTmplt-S12-2024.html</x:v>
      </x:c>
      <x:c r="T878" s="19" t="str">
        <x:v>https://nlftp.mlit.go.jp/ksj/gml/datalist/KsjTmplt-S12-2024.html</x:v>
      </x:c>
      <x:c r="U878" s="19" t="str">
        <x:v>station-component|尾久|東日本旅客鉄道|conventional_rail|35.7469|139.7537|</x:v>
      </x:c>
      <x:c r="V878" s="19" t="str">
        <x:v>003278 / 003278 / 東北線</x:v>
      </x:c>
      <x:c r="W878" s="18" t="str">
        <x:v>否</x:v>
      </x:c>
      <x:c r="X878" s="18" t="str">
        <x:v>0785e932a32b3ec15e1a1345537ae145eafe1c07bf38d5c16c11ee2b391e7a28</x:v>
      </x:c>
      <x:c r="Y878" s="20" t="n">
        <x:v>1</x:v>
      </x:c>
      <x:c r="Z878" s="20" t="n">
        <x:v>1</x:v>
      </x:c>
      <x:c r="AA878" s="19"/>
      <x:c r="AB878" s="18"/>
      <x:c r="AC878" s="19"/>
    </x:row>
    <x:row r="879" ht="28" customHeight="1">
      <x:c r="A879" s="18" t="str">
        <x:v>尾山台</x:v>
      </x:c>
      <x:c r="B879" s="18" t="str">
        <x:v>東急電鉄</x:v>
      </x:c>
      <x:c r="C879" s="18" t="str">
        <x:v>private_rail</x:v>
      </x:c>
      <x:c r="D879" s="19" t="str">
        <x:v>T2</x:v>
      </x:c>
      <x:c r="E879" s="20" t="n">
        <x:v>30971</x:v>
      </x:c>
      <x:c r="F879" s="18" t="str">
        <x:v>persons/day</x:v>
      </x:c>
      <x:c r="G879" s="18" t="str">
        <x:v>FY2024</x:v>
      </x:c>
      <x:c r="H879" s="18" t="str">
        <x:v>否</x:v>
      </x:c>
      <x:c r="I879" s="19" t="str">
        <x:v>DAILY_ENTRIES_EXITS</x:v>
      </x:c>
      <x:c r="J879" s="19" t="str">
        <x:v>大井町線</x:v>
      </x:c>
      <x:c r="K879" s="18" t="str">
        <x:v>transport-node:0c073a2e-a7c5-547a-93fc-f175b8772c0a</x:v>
      </x:c>
      <x:c r="L879" s="19" t="str">
        <x:v>组件待审核</x:v>
      </x:c>
      <x:c r="M879" s="21" t="n">
        <x:v>35.606935</x:v>
      </x:c>
      <x:c r="N879" s="21" t="n">
        <x:v>139.65412</x:v>
      </x:c>
      <x:c r="O879" s="18" t="str">
        <x:v>004205</x:v>
      </x:c>
      <x:c r="P879" s="18" t="str">
        <x:v>大井町線</x:v>
      </x:c>
      <x:c r="Q879" s="19" t="str">
        <x:v>S12_061_GE_10000</x:v>
      </x:c>
      <x:c r="R879" s="19" t="str">
        <x:v>S12_061 usage threshold</x:v>
      </x:c>
      <x:c r="S879" s="19" t="str">
        <x:v>https://nlftp.mlit.go.jp/ksj/gml/datalist/KsjTmplt-S12-2024.html</x:v>
      </x:c>
      <x:c r="T879" s="19" t="str">
        <x:v>https://nlftp.mlit.go.jp/ksj/gml/datalist/KsjTmplt-S12-2024.html</x:v>
      </x:c>
      <x:c r="U879" s="19" t="str">
        <x:v>station-component|尾山台|東急電鉄|private_rail|35.6069|139.6541|</x:v>
      </x:c>
      <x:c r="V879" s="19" t="str">
        <x:v>004205 / 004205 / 大井町線</x:v>
      </x:c>
      <x:c r="W879" s="18" t="str">
        <x:v>否</x:v>
      </x:c>
      <x:c r="X879" s="18" t="str">
        <x:v>0785e932a32b3ec15e1a1345537ae145eafe1c07bf38d5c16c11ee2b391e7a28</x:v>
      </x:c>
      <x:c r="Y879" s="20" t="n">
        <x:v>1</x:v>
      </x:c>
      <x:c r="Z879" s="20" t="n">
        <x:v>1</x:v>
      </x:c>
      <x:c r="AA879" s="19"/>
      <x:c r="AB879" s="18"/>
      <x:c r="AC879" s="19"/>
    </x:row>
    <x:row r="880" ht="33" customHeight="1">
      <x:c r="A880" s="18" t="str">
        <x:v>尾張一宮</x:v>
      </x:c>
      <x:c r="B880" s="18" t="str">
        <x:v>東海旅客鉄道</x:v>
      </x:c>
      <x:c r="C880" s="18" t="str">
        <x:v>conventional_rail</x:v>
      </x:c>
      <x:c r="D880" s="19" t="str">
        <x:v>T1</x:v>
      </x:c>
      <x:c r="E880" s="20" t="n">
        <x:v>50332</x:v>
      </x:c>
      <x:c r="F880" s="18" t="str">
        <x:v>persons/day</x:v>
      </x:c>
      <x:c r="G880" s="18" t="str">
        <x:v>FY2024</x:v>
      </x:c>
      <x:c r="H880" s="18" t="str">
        <x:v>否</x:v>
      </x:c>
      <x:c r="I880" s="19" t="str">
        <x:v>DAILY_ENTRIES_EXITS</x:v>
      </x:c>
      <x:c r="J880" s="19" t="str">
        <x:v>東海道線</x:v>
      </x:c>
      <x:c r="K880" s="18" t="str">
        <x:v>transport-node:903bed75-d948-5da2-9e0d-fdaa84122275</x:v>
      </x:c>
      <x:c r="L880" s="19" t="str">
        <x:v>组件待审核</x:v>
      </x:c>
      <x:c r="M880" s="21" t="n">
        <x:v>35.302</x:v>
      </x:c>
      <x:c r="N880" s="21" t="n">
        <x:v>136.79738</x:v>
      </x:c>
      <x:c r="O880" s="18" t="str">
        <x:v>005111</x:v>
      </x:c>
      <x:c r="P880" s="18" t="str">
        <x:v>東海道線</x:v>
      </x:c>
      <x:c r="Q880" s="19" t="str">
        <x:v>S12_061_GE_10000
OFFICIAL_HUB_COMPONENT_REVIEW</x:v>
      </x:c>
      <x:c r="R880" s="19" t="str">
        <x:v>S12_061 usage threshold</x:v>
      </x:c>
      <x:c r="S880" s="19" t="str">
        <x:v>https://nlftp.mlit.go.jp/ksj/gml/datalist/KsjTmplt-S12-2024.html</x:v>
      </x:c>
      <x:c r="T880" s="19" t="str">
        <x:v>https://nlftp.mlit.go.jp/ksj/gml/datalist/KsjTmplt-S12-2024.html
https://www.meitetsu.co.jp/train/station_info/line10/station/1228.html</x:v>
      </x:c>
      <x:c r="U880" s="19" t="str">
        <x:v>station-component|尾張一宮|東海旅客鉄道|conventional_rail|35.3020|136.7974|</x:v>
      </x:c>
      <x:c r="V880" s="19" t="str">
        <x:v>005111 / 005111 / 東海道線</x:v>
      </x:c>
      <x:c r="W880" s="18" t="str">
        <x:v>否</x:v>
      </x:c>
      <x:c r="X880" s="18" t="str">
        <x:v>0785e932a32b3ec15e1a1345537ae145eafe1c07bf38d5c16c11ee2b391e7a28</x:v>
      </x:c>
      <x:c r="Y880" s="20" t="n">
        <x:v>1</x:v>
      </x:c>
      <x:c r="Z880" s="20" t="n">
        <x:v>1</x:v>
      </x:c>
      <x:c r="AA880" s="19" t="str">
        <x:v>尾張一宮・名鉄一宮</x:v>
      </x:c>
      <x:c r="AB880" s="18" t="str">
        <x:v>transport-hub-review:637cdbb7-038a-56cd-a587-93000979a03f</x:v>
      </x:c>
      <x:c r="AC880" s="19"/>
    </x:row>
    <x:row r="881" ht="28" customHeight="1">
      <x:c r="A881" s="18" t="str">
        <x:v>屏風浦</x:v>
      </x:c>
      <x:c r="B881" s="18" t="str">
        <x:v>京浜急行電鉄</x:v>
      </x:c>
      <x:c r="C881" s="18" t="str">
        <x:v>private_rail</x:v>
      </x:c>
      <x:c r="D881" s="19" t="str">
        <x:v>T2</x:v>
      </x:c>
      <x:c r="E881" s="20" t="n">
        <x:v>16607</x:v>
      </x:c>
      <x:c r="F881" s="18" t="str">
        <x:v>persons/day</x:v>
      </x:c>
      <x:c r="G881" s="18" t="str">
        <x:v>FY2024</x:v>
      </x:c>
      <x:c r="H881" s="18" t="str">
        <x:v>否</x:v>
      </x:c>
      <x:c r="I881" s="19" t="str">
        <x:v>DAILY_ENTRIES_EXITS</x:v>
      </x:c>
      <x:c r="J881" s="19" t="str">
        <x:v>本線</x:v>
      </x:c>
      <x:c r="K881" s="18" t="str">
        <x:v>transport-node:653258ae-1430-5c38-b487-169d1a0a8917</x:v>
      </x:c>
      <x:c r="L881" s="19" t="str">
        <x:v>组件待审核</x:v>
      </x:c>
      <x:c r="M881" s="21" t="n">
        <x:v>35.39413</x:v>
      </x:c>
      <x:c r="N881" s="21" t="n">
        <x:v>139.61044</x:v>
      </x:c>
      <x:c r="O881" s="18" t="str">
        <x:v>004852</x:v>
      </x:c>
      <x:c r="P881" s="18" t="str">
        <x:v>本線</x:v>
      </x:c>
      <x:c r="Q881" s="19" t="str">
        <x:v>S12_061_GE_10000</x:v>
      </x:c>
      <x:c r="R881" s="19" t="str">
        <x:v>S12_061 usage threshold</x:v>
      </x:c>
      <x:c r="S881" s="19" t="str">
        <x:v>https://nlftp.mlit.go.jp/ksj/gml/datalist/KsjTmplt-S12-2024.html</x:v>
      </x:c>
      <x:c r="T881" s="19" t="str">
        <x:v>https://nlftp.mlit.go.jp/ksj/gml/datalist/KsjTmplt-S12-2024.html</x:v>
      </x:c>
      <x:c r="U881" s="19" t="str">
        <x:v>station-component|屏風浦|京浜急行電鉄|private_rail|35.3941|139.6104|</x:v>
      </x:c>
      <x:c r="V881" s="19" t="str">
        <x:v>004852 / 004852 / 本線</x:v>
      </x:c>
      <x:c r="W881" s="18" t="str">
        <x:v>否</x:v>
      </x:c>
      <x:c r="X881" s="18" t="str">
        <x:v>0785e932a32b3ec15e1a1345537ae145eafe1c07bf38d5c16c11ee2b391e7a28</x:v>
      </x:c>
      <x:c r="Y881" s="20" t="n">
        <x:v>1</x:v>
      </x:c>
      <x:c r="Z881" s="20" t="n">
        <x:v>1</x:v>
      </x:c>
      <x:c r="AA881" s="19"/>
      <x:c r="AB881" s="18"/>
      <x:c r="AC881" s="19"/>
    </x:row>
    <x:row r="882" ht="33" customHeight="1">
      <x:c r="A882" s="18" t="str">
        <x:v>山下</x:v>
      </x:c>
      <x:c r="B882" s="18" t="str">
        <x:v>東急電鉄</x:v>
      </x:c>
      <x:c r="C882" s="18" t="str">
        <x:v>tram</x:v>
      </x:c>
      <x:c r="D882" s="19" t="str">
        <x:v>T3</x:v>
      </x:c>
      <x:c r="E882" s="20" t="n">
        <x:v>7784</x:v>
      </x:c>
      <x:c r="F882" s="18" t="str">
        <x:v>persons/day</x:v>
      </x:c>
      <x:c r="G882" s="18" t="str">
        <x:v>FY2024</x:v>
      </x:c>
      <x:c r="H882" s="18" t="str">
        <x:v>否</x:v>
      </x:c>
      <x:c r="I882" s="19" t="str">
        <x:v>DAILY_ENTRIES_EXITS</x:v>
      </x:c>
      <x:c r="J882" s="19" t="str">
        <x:v>世田谷線</x:v>
      </x:c>
      <x:c r="K882" s="18" t="str">
        <x:v>transport-node:d624e4c2-f8ce-5f4e-8c48-112c3a8a086d</x:v>
      </x:c>
      <x:c r="L882" s="19" t="str">
        <x:v>组件待审核</x:v>
      </x:c>
      <x:c r="M882" s="21" t="n">
        <x:v>35.6542457</x:v>
      </x:c>
      <x:c r="N882" s="21" t="n">
        <x:v>139.6464371</x:v>
      </x:c>
      <x:c r="O882" s="18" t="str">
        <x:v>003957</x:v>
      </x:c>
      <x:c r="P882" s="18" t="str">
        <x:v>世田谷線</x:v>
      </x:c>
      <x:c r="Q882" s="19" t="str">
        <x:v>OFFICIAL_HUB_COMPONENT_REVIEW</x:v>
      </x:c>
      <x:c r="R882" s="19" t="str">
        <x:v>S12_061 usage threshold; low-flow inclusion justified by official Hub component review</x:v>
      </x:c>
      <x:c r="S882" s="19" t="str">
        <x:v>https://nlftp.mlit.go.jp/ksj/gml/datalist/KsjTmplt-S12-2024.html</x:v>
      </x:c>
      <x:c r="T882" s="19" t="str">
        <x:v>https://nlftp.mlit.go.jp/ksj/gml/datalist/KsjTmplt-S12-2024.html
https://www.odakyu.jp/station/</x:v>
      </x:c>
      <x:c r="U882" s="19" t="str">
        <x:v>station-component|山下|東急電鉄|tram|35.6542|139.6464|</x:v>
      </x:c>
      <x:c r="V882" s="19" t="str">
        <x:v>003957 / 003957 / 世田谷線</x:v>
      </x:c>
      <x:c r="W882" s="18" t="str">
        <x:v>否</x:v>
      </x:c>
      <x:c r="X882" s="18" t="str">
        <x:v>0785e932a32b3ec15e1a1345537ae145eafe1c07bf38d5c16c11ee2b391e7a28</x:v>
      </x:c>
      <x:c r="Y882" s="20" t="n">
        <x:v>1</x:v>
      </x:c>
      <x:c r="Z882" s="20" t="n">
        <x:v>1</x:v>
      </x:c>
      <x:c r="AA882" s="19" t="str">
        <x:v>豪徳寺・山下</x:v>
      </x:c>
      <x:c r="AB882" s="18" t="str">
        <x:v>transport-hub-review:471b1ab6-f1bf-5a5a-ba9c-f4a190e410cf</x:v>
      </x:c>
      <x:c r="AC882" s="19"/>
    </x:row>
    <x:row r="883" ht="28" customHeight="1">
      <x:c r="A883" s="18" t="str">
        <x:v>山崎</x:v>
      </x:c>
      <x:c r="B883" s="18" t="str">
        <x:v>西日本旅客鉄道</x:v>
      </x:c>
      <x:c r="C883" s="18" t="str">
        <x:v>conventional_rail</x:v>
      </x:c>
      <x:c r="D883" s="19" t="str">
        <x:v>T2</x:v>
      </x:c>
      <x:c r="E883" s="20" t="n">
        <x:v>10642</x:v>
      </x:c>
      <x:c r="F883" s="18" t="str">
        <x:v>persons/day</x:v>
      </x:c>
      <x:c r="G883" s="18" t="str">
        <x:v>FY2024</x:v>
      </x:c>
      <x:c r="H883" s="18" t="str">
        <x:v>否</x:v>
      </x:c>
      <x:c r="I883" s="19" t="str">
        <x:v>DAILY_ENTRIES_EXITS</x:v>
      </x:c>
      <x:c r="J883" s="19" t="str">
        <x:v>東海道線</x:v>
      </x:c>
      <x:c r="K883" s="18" t="str">
        <x:v>transport-node:d309e3e6-5599-56f7-bbc1-2b69e9ef82f7</x:v>
      </x:c>
      <x:c r="L883" s="19" t="str">
        <x:v>组件待审核</x:v>
      </x:c>
      <x:c r="M883" s="21" t="n">
        <x:v>34.8922</x:v>
      </x:c>
      <x:c r="N883" s="21" t="n">
        <x:v>135.6790425</x:v>
      </x:c>
      <x:c r="O883" s="18" t="str">
        <x:v>006329</x:v>
      </x:c>
      <x:c r="P883" s="18" t="str">
        <x:v>東海道線</x:v>
      </x:c>
      <x:c r="Q883" s="19" t="str">
        <x:v>S12_061_GE_10000</x:v>
      </x:c>
      <x:c r="R883" s="19" t="str">
        <x:v>S12_061 usage threshold</x:v>
      </x:c>
      <x:c r="S883" s="19" t="str">
        <x:v>https://nlftp.mlit.go.jp/ksj/gml/datalist/KsjTmplt-S12-2024.html</x:v>
      </x:c>
      <x:c r="T883" s="19" t="str">
        <x:v>https://nlftp.mlit.go.jp/ksj/gml/datalist/KsjTmplt-S12-2024.html</x:v>
      </x:c>
      <x:c r="U883" s="19" t="str">
        <x:v>station-component|山崎|西日本旅客鉄道|conventional_rail|34.8922|135.6790|</x:v>
      </x:c>
      <x:c r="V883" s="19" t="str">
        <x:v>006329 / 006329 / 東海道線</x:v>
      </x:c>
      <x:c r="W883" s="18" t="str">
        <x:v>否</x:v>
      </x:c>
      <x:c r="X883" s="18" t="str">
        <x:v>0785e932a32b3ec15e1a1345537ae145eafe1c07bf38d5c16c11ee2b391e7a28</x:v>
      </x:c>
      <x:c r="Y883" s="20" t="n">
        <x:v>1</x:v>
      </x:c>
      <x:c r="Z883" s="20" t="n">
        <x:v>1</x:v>
      </x:c>
      <x:c r="AA883" s="19"/>
      <x:c r="AB883" s="18"/>
      <x:c r="AC883" s="19"/>
    </x:row>
    <x:row r="884" ht="28" customHeight="1">
      <x:c r="A884" s="18" t="str">
        <x:v>山形</x:v>
      </x:c>
      <x:c r="B884" s="18" t="str">
        <x:v>東日本旅客鉄道</x:v>
      </x:c>
      <x:c r="C884" s="18" t="str">
        <x:v>conventional_rail</x:v>
      </x:c>
      <x:c r="D884" s="19" t="str">
        <x:v>T2</x:v>
      </x:c>
      <x:c r="E884" s="20" t="n">
        <x:v>19802</x:v>
      </x:c>
      <x:c r="F884" s="18" t="str">
        <x:v>persons/day</x:v>
      </x:c>
      <x:c r="G884" s="18" t="str">
        <x:v>FY2024</x:v>
      </x:c>
      <x:c r="H884" s="18" t="str">
        <x:v>否</x:v>
      </x:c>
      <x:c r="I884" s="19" t="str">
        <x:v>DAILY_ENTRIES_EXITS</x:v>
      </x:c>
      <x:c r="J884" s="19" t="str">
        <x:v>奥羽線</x:v>
      </x:c>
      <x:c r="K884" s="18" t="str">
        <x:v>transport-node:af800cdd-a1bb-5059-a077-cefab67c31d3</x:v>
      </x:c>
      <x:c r="L884" s="19" t="str">
        <x:v>组件待审核</x:v>
      </x:c>
      <x:c r="M884" s="21" t="n">
        <x:v>38.24845</x:v>
      </x:c>
      <x:c r="N884" s="21" t="n">
        <x:v>140.3274725</x:v>
      </x:c>
      <x:c r="O884" s="18" t="str">
        <x:v>001194</x:v>
      </x:c>
      <x:c r="P884" s="18" t="str">
        <x:v>奥羽線</x:v>
      </x:c>
      <x:c r="Q884" s="19" t="str">
        <x:v>S12_061_GE_10000</x:v>
      </x:c>
      <x:c r="R884" s="19" t="str">
        <x:v>S12_061 usage threshold</x:v>
      </x:c>
      <x:c r="S884" s="19" t="str">
        <x:v>https://nlftp.mlit.go.jp/ksj/gml/datalist/KsjTmplt-S12-2024.html</x:v>
      </x:c>
      <x:c r="T884" s="19" t="str">
        <x:v>https://nlftp.mlit.go.jp/ksj/gml/datalist/KsjTmplt-S12-2024.html</x:v>
      </x:c>
      <x:c r="U884" s="19" t="str">
        <x:v>station-component|山形|東日本旅客鉄道|conventional_rail|38.2484|140.3275|</x:v>
      </x:c>
      <x:c r="V884" s="19" t="str">
        <x:v>001194 / 001194 / 奥羽線</x:v>
      </x:c>
      <x:c r="W884" s="18" t="str">
        <x:v>否</x:v>
      </x:c>
      <x:c r="X884" s="18" t="str">
        <x:v>0785e932a32b3ec15e1a1345537ae145eafe1c07bf38d5c16c11ee2b391e7a28</x:v>
      </x:c>
      <x:c r="Y884" s="20" t="n">
        <x:v>1</x:v>
      </x:c>
      <x:c r="Z884" s="20" t="n">
        <x:v>1</x:v>
      </x:c>
      <x:c r="AA884" s="19"/>
      <x:c r="AB884" s="18"/>
      <x:c r="AC884" s="19"/>
    </x:row>
    <x:row r="885" ht="28" customHeight="1">
      <x:c r="A885" s="18" t="str">
        <x:v>山手</x:v>
      </x:c>
      <x:c r="B885" s="18" t="str">
        <x:v>東日本旅客鉄道</x:v>
      </x:c>
      <x:c r="C885" s="18" t="str">
        <x:v>conventional_rail</x:v>
      </x:c>
      <x:c r="D885" s="19" t="str">
        <x:v>T2</x:v>
      </x:c>
      <x:c r="E885" s="20" t="n">
        <x:v>33896</x:v>
      </x:c>
      <x:c r="F885" s="18" t="str">
        <x:v>persons/day</x:v>
      </x:c>
      <x:c r="G885" s="18" t="str">
        <x:v>FY2024</x:v>
      </x:c>
      <x:c r="H885" s="18" t="str">
        <x:v>否</x:v>
      </x:c>
      <x:c r="I885" s="19" t="str">
        <x:v>DAILY_ENTRIES_EXITS</x:v>
      </x:c>
      <x:c r="J885" s="19" t="str">
        <x:v>根岸線</x:v>
      </x:c>
      <x:c r="K885" s="18" t="str">
        <x:v>transport-node:66e60ea0-a63b-5666-8d43-021bf0dddb2a</x:v>
      </x:c>
      <x:c r="L885" s="19" t="str">
        <x:v>组件待审核</x:v>
      </x:c>
      <x:c r="M885" s="21" t="n">
        <x:v>35.4268</x:v>
      </x:c>
      <x:c r="N885" s="21" t="n">
        <x:v>139.64647</x:v>
      </x:c>
      <x:c r="O885" s="18" t="str">
        <x:v>004752</x:v>
      </x:c>
      <x:c r="P885" s="18" t="str">
        <x:v>根岸線</x:v>
      </x:c>
      <x:c r="Q885" s="19" t="str">
        <x:v>S12_061_GE_10000</x:v>
      </x:c>
      <x:c r="R885" s="19" t="str">
        <x:v>S12_061 usage threshold</x:v>
      </x:c>
      <x:c r="S885" s="19" t="str">
        <x:v>https://nlftp.mlit.go.jp/ksj/gml/datalist/KsjTmplt-S12-2024.html</x:v>
      </x:c>
      <x:c r="T885" s="19" t="str">
        <x:v>https://nlftp.mlit.go.jp/ksj/gml/datalist/KsjTmplt-S12-2024.html</x:v>
      </x:c>
      <x:c r="U885" s="19" t="str">
        <x:v>station-component|山手|東日本旅客鉄道|conventional_rail|35.4268|139.6465|</x:v>
      </x:c>
      <x:c r="V885" s="19" t="str">
        <x:v>004752 / 004752 / 根岸線</x:v>
      </x:c>
      <x:c r="W885" s="18" t="str">
        <x:v>否</x:v>
      </x:c>
      <x:c r="X885" s="18" t="str">
        <x:v>0785e932a32b3ec15e1a1345537ae145eafe1c07bf38d5c16c11ee2b391e7a28</x:v>
      </x:c>
      <x:c r="Y885" s="20" t="n">
        <x:v>1</x:v>
      </x:c>
      <x:c r="Z885" s="20" t="n">
        <x:v>1</x:v>
      </x:c>
      <x:c r="AA885" s="19"/>
      <x:c r="AB885" s="18"/>
      <x:c r="AC885" s="19"/>
    </x:row>
    <x:row r="886" ht="28" customHeight="1">
      <x:c r="A886" s="18" t="str">
        <x:v>山本</x:v>
      </x:c>
      <x:c r="B886" s="18" t="str">
        <x:v>阪急電鉄</x:v>
      </x:c>
      <x:c r="C886" s="18" t="str">
        <x:v>private_rail</x:v>
      </x:c>
      <x:c r="D886" s="19" t="str">
        <x:v>T2</x:v>
      </x:c>
      <x:c r="E886" s="20" t="n">
        <x:v>15585</x:v>
      </x:c>
      <x:c r="F886" s="18" t="str">
        <x:v>persons/day</x:v>
      </x:c>
      <x:c r="G886" s="18" t="str">
        <x:v>FY2024</x:v>
      </x:c>
      <x:c r="H886" s="18" t="str">
        <x:v>否</x:v>
      </x:c>
      <x:c r="I886" s="19" t="str">
        <x:v>DAILY_ENTRIES_EXITS</x:v>
      </x:c>
      <x:c r="J886" s="19" t="str">
        <x:v>宝塚線</x:v>
      </x:c>
      <x:c r="K886" s="18" t="str">
        <x:v>transport-node:570004fc-18ae-5b40-bf8e-1ed992c3458f</x:v>
      </x:c>
      <x:c r="L886" s="19" t="str">
        <x:v>组件待审核</x:v>
      </x:c>
      <x:c r="M886" s="21" t="n">
        <x:v>34.82195</x:v>
      </x:c>
      <x:c r="N886" s="21" t="n">
        <x:v>135.38849</x:v>
      </x:c>
      <x:c r="O886" s="18" t="str">
        <x:v>006531</x:v>
      </x:c>
      <x:c r="P886" s="18" t="str">
        <x:v>宝塚線</x:v>
      </x:c>
      <x:c r="Q886" s="19" t="str">
        <x:v>S12_061_GE_10000</x:v>
      </x:c>
      <x:c r="R886" s="19" t="str">
        <x:v>S12_061 usage threshold</x:v>
      </x:c>
      <x:c r="S886" s="19" t="str">
        <x:v>https://nlftp.mlit.go.jp/ksj/gml/datalist/KsjTmplt-S12-2024.html</x:v>
      </x:c>
      <x:c r="T886" s="19" t="str">
        <x:v>https://nlftp.mlit.go.jp/ksj/gml/datalist/KsjTmplt-S12-2024.html</x:v>
      </x:c>
      <x:c r="U886" s="19" t="str">
        <x:v>station-component|山本|阪急電鉄|private_rail|34.8220|135.3885|</x:v>
      </x:c>
      <x:c r="V886" s="19" t="str">
        <x:v>006531 / 006531 / 宝塚線</x:v>
      </x:c>
      <x:c r="W886" s="18" t="str">
        <x:v>否</x:v>
      </x:c>
      <x:c r="X886" s="18" t="str">
        <x:v>0785e932a32b3ec15e1a1345537ae145eafe1c07bf38d5c16c11ee2b391e7a28</x:v>
      </x:c>
      <x:c r="Y886" s="20" t="n">
        <x:v>1</x:v>
      </x:c>
      <x:c r="Z886" s="20" t="n">
        <x:v>1</x:v>
      </x:c>
      <x:c r="AA886" s="19"/>
      <x:c r="AB886" s="18"/>
      <x:c r="AC886" s="19"/>
    </x:row>
    <x:row r="887" ht="33" customHeight="1">
      <x:c r="A887" s="18" t="str">
        <x:v>山田</x:v>
      </x:c>
      <x:c r="B887" s="18" t="str">
        <x:v>大阪モノレール</x:v>
      </x:c>
      <x:c r="C887" s="18" t="str">
        <x:v>fixed_guideway</x:v>
      </x:c>
      <x:c r="D887" s="19" t="str">
        <x:v>T2</x:v>
      </x:c>
      <x:c r="E887" s="20" t="n">
        <x:v>19211</x:v>
      </x:c>
      <x:c r="F887" s="18" t="str">
        <x:v>persons/day</x:v>
      </x:c>
      <x:c r="G887" s="18" t="str">
        <x:v>FY2024</x:v>
      </x:c>
      <x:c r="H887" s="18" t="str">
        <x:v>否</x:v>
      </x:c>
      <x:c r="I887" s="19" t="str">
        <x:v>DAILY_ENTRIES_EXITS</x:v>
      </x:c>
      <x:c r="J887" s="19" t="str">
        <x:v>大阪モノレール線</x:v>
      </x:c>
      <x:c r="K887" s="18" t="str">
        <x:v>transport-node:cf4b954a-da74-5f3e-90ef-d37bcfd52428</x:v>
      </x:c>
      <x:c r="L887" s="19" t="str">
        <x:v>组件待审核</x:v>
      </x:c>
      <x:c r="M887" s="21" t="n">
        <x:v>34.80564</x:v>
      </x:c>
      <x:c r="N887" s="21" t="n">
        <x:v>135.515545</x:v>
      </x:c>
      <x:c r="O887" s="18" t="str">
        <x:v>006604</x:v>
      </x:c>
      <x:c r="P887" s="18" t="str">
        <x:v>大阪モノレール線</x:v>
      </x:c>
      <x:c r="Q887" s="19" t="str">
        <x:v>S12_061_GE_10000
OFFICIAL_HUB_COMPONENT_REVIEW</x:v>
      </x:c>
      <x:c r="R887" s="19" t="str">
        <x:v>S12_061 usage threshold</x:v>
      </x:c>
      <x:c r="S887" s="19" t="str">
        <x:v>https://nlftp.mlit.go.jp/ksj/gml/datalist/KsjTmplt-S12-2024.html</x:v>
      </x:c>
      <x:c r="T887" s="19" t="str">
        <x:v>https://nlftp.mlit.go.jp/ksj/gml/datalist/KsjTmplt-S12-2024.html
https://www.hankyu.co.jp/station/index.html</x:v>
      </x:c>
      <x:c r="U887" s="19" t="str">
        <x:v>station-component|山田|大阪モノレール|fixed_guideway|34.8056|135.5155|</x:v>
      </x:c>
      <x:c r="V887" s="19" t="str">
        <x:v>006604 / 006604 / 大阪モノレール線</x:v>
      </x:c>
      <x:c r="W887" s="18" t="str">
        <x:v>否</x:v>
      </x:c>
      <x:c r="X887" s="18" t="str">
        <x:v>0785e932a32b3ec15e1a1345537ae145eafe1c07bf38d5c16c11ee2b391e7a28</x:v>
      </x:c>
      <x:c r="Y887" s="20" t="n">
        <x:v>1</x:v>
      </x:c>
      <x:c r="Z887" s="20" t="n">
        <x:v>1</x:v>
      </x:c>
      <x:c r="AA887" s="19" t="str">
        <x:v>山田</x:v>
      </x:c>
      <x:c r="AB887" s="18" t="str">
        <x:v>transport-hub-review:1f04dda0-ce47-515d-bde1-760d8be082e0</x:v>
      </x:c>
      <x:c r="AC887" s="19"/>
    </x:row>
    <x:row r="888" ht="33" customHeight="1">
      <x:c r="A888" s="18" t="str">
        <x:v>山田</x:v>
      </x:c>
      <x:c r="B888" s="18" t="str">
        <x:v>阪急電鉄</x:v>
      </x:c>
      <x:c r="C888" s="18" t="str">
        <x:v>private_rail</x:v>
      </x:c>
      <x:c r="D888" s="19" t="str">
        <x:v>T2</x:v>
      </x:c>
      <x:c r="E888" s="20" t="n">
        <x:v>22596</x:v>
      </x:c>
      <x:c r="F888" s="18" t="str">
        <x:v>persons/day</x:v>
      </x:c>
      <x:c r="G888" s="18" t="str">
        <x:v>FY2024</x:v>
      </x:c>
      <x:c r="H888" s="18" t="str">
        <x:v>否</x:v>
      </x:c>
      <x:c r="I888" s="19" t="str">
        <x:v>DAILY_ENTRIES_EXITS</x:v>
      </x:c>
      <x:c r="J888" s="19" t="str">
        <x:v>千里線</x:v>
      </x:c>
      <x:c r="K888" s="18" t="str">
        <x:v>transport-node:b7d57bb0-2a45-568e-8c7c-1c86530a5e63</x:v>
      </x:c>
      <x:c r="L888" s="19" t="str">
        <x:v>组件待审核</x:v>
      </x:c>
      <x:c r="M888" s="21" t="n">
        <x:v>34.80386</x:v>
      </x:c>
      <x:c r="N888" s="21" t="n">
        <x:v>135.515615</x:v>
      </x:c>
      <x:c r="O888" s="18" t="str">
        <x:v>006610</x:v>
      </x:c>
      <x:c r="P888" s="18" t="str">
        <x:v>千里線</x:v>
      </x:c>
      <x:c r="Q888" s="19" t="str">
        <x:v>S12_061_GE_10000
OFFICIAL_HUB_COMPONENT_REVIEW</x:v>
      </x:c>
      <x:c r="R888" s="19" t="str">
        <x:v>S12_061 usage threshold</x:v>
      </x:c>
      <x:c r="S888" s="19" t="str">
        <x:v>https://nlftp.mlit.go.jp/ksj/gml/datalist/KsjTmplt-S12-2024.html</x:v>
      </x:c>
      <x:c r="T888" s="19" t="str">
        <x:v>https://nlftp.mlit.go.jp/ksj/gml/datalist/KsjTmplt-S12-2024.html
https://www.hankyu.co.jp/station/index.html</x:v>
      </x:c>
      <x:c r="U888" s="19" t="str">
        <x:v>station-component|山田|阪急電鉄|private_rail|34.8039|135.5156|</x:v>
      </x:c>
      <x:c r="V888" s="19" t="str">
        <x:v>006604 / 006610 / 千里線</x:v>
      </x:c>
      <x:c r="W888" s="18" t="str">
        <x:v>否</x:v>
      </x:c>
      <x:c r="X888" s="18" t="str">
        <x:v>0785e932a32b3ec15e1a1345537ae145eafe1c07bf38d5c16c11ee2b391e7a28</x:v>
      </x:c>
      <x:c r="Y888" s="20" t="n">
        <x:v>1</x:v>
      </x:c>
      <x:c r="Z888" s="20" t="n">
        <x:v>1</x:v>
      </x:c>
      <x:c r="AA888" s="19" t="str">
        <x:v>山田</x:v>
      </x:c>
      <x:c r="AB888" s="18" t="str">
        <x:v>transport-hub-review:1f04dda0-ce47-515d-bde1-760d8be082e0</x:v>
      </x:c>
      <x:c r="AC888" s="19"/>
    </x:row>
    <x:row r="889" ht="28" customHeight="1">
      <x:c r="A889" s="18" t="str">
        <x:v>山科</x:v>
      </x:c>
      <x:c r="B889" s="18" t="str">
        <x:v>京都市</x:v>
      </x:c>
      <x:c r="C889" s="18" t="str">
        <x:v>metro</x:v>
      </x:c>
      <x:c r="D889" s="19" t="str">
        <x:v>T2</x:v>
      </x:c>
      <x:c r="E889" s="20" t="n">
        <x:v>42361</x:v>
      </x:c>
      <x:c r="F889" s="18" t="str">
        <x:v>persons/day</x:v>
      </x:c>
      <x:c r="G889" s="18" t="str">
        <x:v>FY2024</x:v>
      </x:c>
      <x:c r="H889" s="18" t="str">
        <x:v>否</x:v>
      </x:c>
      <x:c r="I889" s="19" t="str">
        <x:v>DAILY_ENTRIES_EXITS</x:v>
      </x:c>
      <x:c r="J889" s="19" t="str">
        <x:v>東西線</x:v>
      </x:c>
      <x:c r="K889" s="18" t="str">
        <x:v>transport-node:7a97f86b-9eed-5f42-bb92-0a676db440b6</x:v>
      </x:c>
      <x:c r="L889" s="19" t="str">
        <x:v>组件待审核</x:v>
      </x:c>
      <x:c r="M889" s="21" t="n">
        <x:v>34.99133</x:v>
      </x:c>
      <x:c r="N889" s="21" t="n">
        <x:v>135.817355</x:v>
      </x:c>
      <x:c r="O889" s="18" t="str">
        <x:v>006050</x:v>
      </x:c>
      <x:c r="P889" s="18" t="str">
        <x:v>東西線</x:v>
      </x:c>
      <x:c r="Q889" s="19" t="str">
        <x:v>S12_061_GE_10000</x:v>
      </x:c>
      <x:c r="R889" s="19" t="str">
        <x:v>S12_061 usage threshold</x:v>
      </x:c>
      <x:c r="S889" s="19" t="str">
        <x:v>https://nlftp.mlit.go.jp/ksj/gml/datalist/KsjTmplt-S12-2024.html</x:v>
      </x:c>
      <x:c r="T889" s="19" t="str">
        <x:v>https://nlftp.mlit.go.jp/ksj/gml/datalist/KsjTmplt-S12-2024.html</x:v>
      </x:c>
      <x:c r="U889" s="19" t="str">
        <x:v>station-component|山科|京都市|metro|34.9913|135.8174|</x:v>
      </x:c>
      <x:c r="V889" s="19" t="str">
        <x:v>006043 / 006050 / 東西線</x:v>
      </x:c>
      <x:c r="W889" s="18" t="str">
        <x:v>否</x:v>
      </x:c>
      <x:c r="X889" s="18" t="str">
        <x:v>0785e932a32b3ec15e1a1345537ae145eafe1c07bf38d5c16c11ee2b391e7a28</x:v>
      </x:c>
      <x:c r="Y889" s="20" t="n">
        <x:v>1</x:v>
      </x:c>
      <x:c r="Z889" s="20" t="n">
        <x:v>1</x:v>
      </x:c>
      <x:c r="AA889" s="19"/>
      <x:c r="AB889" s="18"/>
      <x:c r="AC889" s="19"/>
    </x:row>
    <x:row r="890" ht="33" customHeight="1">
      <x:c r="A890" s="18" t="str">
        <x:v>山科</x:v>
      </x:c>
      <x:c r="B890" s="18" t="str">
        <x:v>西日本旅客鉄道</x:v>
      </x:c>
      <x:c r="C890" s="18" t="str">
        <x:v>conventional_rail</x:v>
      </x:c>
      <x:c r="D890" s="19" t="str">
        <x:v>T1</x:v>
      </x:c>
      <x:c r="E890" s="20" t="n">
        <x:v>66618</x:v>
      </x:c>
      <x:c r="F890" s="18" t="str">
        <x:v>persons/day</x:v>
      </x:c>
      <x:c r="G890" s="18" t="str">
        <x:v>FY2024</x:v>
      </x:c>
      <x:c r="H890" s="18" t="str">
        <x:v>否</x:v>
      </x:c>
      <x:c r="I890" s="19" t="str">
        <x:v>DAILY_ENTRIES_EXITS</x:v>
      </x:c>
      <x:c r="J890" s="19" t="str">
        <x:v>東海道線
湖西線</x:v>
      </x:c>
      <x:c r="K890" s="18" t="str">
        <x:v>transport-node:c3505e6d-bd32-5070-885a-de95e6f96d25</x:v>
      </x:c>
      <x:c r="L890" s="19" t="str">
        <x:v>组件待审核</x:v>
      </x:c>
      <x:c r="M890" s="21" t="n">
        <x:v>34.9926</x:v>
      </x:c>
      <x:c r="N890" s="21" t="n">
        <x:v>135.81658</x:v>
      </x:c>
      <x:c r="O890" s="18" t="str">
        <x:v>006044</x:v>
      </x:c>
      <x:c r="P890" s="18" t="str">
        <x:v>東海道線</x:v>
      </x:c>
      <x:c r="Q890" s="19" t="str">
        <x:v>S12_061_GE_10000</x:v>
      </x:c>
      <x:c r="R890" s="19" t="str">
        <x:v>S12_061 usage threshold</x:v>
      </x:c>
      <x:c r="S890" s="19" t="str">
        <x:v>https://nlftp.mlit.go.jp/ksj/gml/datalist/KsjTmplt-S12-2024.html</x:v>
      </x:c>
      <x:c r="T890" s="19" t="str">
        <x:v>https://nlftp.mlit.go.jp/ksj/gml/datalist/KsjTmplt-S12-2024.html</x:v>
      </x:c>
      <x:c r="U890" s="19" t="str">
        <x:v>station-component|山科|西日本旅客鉄道|conventional_rail|34.9926|135.8166|</x:v>
      </x:c>
      <x:c r="V890" s="19" t="str">
        <x:v>006043 / 006043 / 湖西線
006043 / 006044 / 東海道線</x:v>
      </x:c>
      <x:c r="W890" s="18" t="str">
        <x:v>否</x:v>
      </x:c>
      <x:c r="X890" s="18" t="str">
        <x:v>0785e932a32b3ec15e1a1345537ae145eafe1c07bf38d5c16c11ee2b391e7a28</x:v>
      </x:c>
      <x:c r="Y890" s="20" t="n">
        <x:v>1</x:v>
      </x:c>
      <x:c r="Z890" s="20" t="n">
        <x:v>1</x:v>
      </x:c>
      <x:c r="AA890" s="19"/>
      <x:c r="AB890" s="18"/>
      <x:c r="AC890" s="19"/>
    </x:row>
    <x:row r="891" ht="28" customHeight="1">
      <x:c r="A891" s="18" t="str">
        <x:v>山陽姫路</x:v>
      </x:c>
      <x:c r="B891" s="18" t="str">
        <x:v>山陽電気鉄道</x:v>
      </x:c>
      <x:c r="C891" s="18" t="str">
        <x:v>private_rail</x:v>
      </x:c>
      <x:c r="D891" s="19" t="str">
        <x:v>T2</x:v>
      </x:c>
      <x:c r="E891" s="20" t="n">
        <x:v>23076</x:v>
      </x:c>
      <x:c r="F891" s="18" t="str">
        <x:v>persons/day</x:v>
      </x:c>
      <x:c r="G891" s="18" t="str">
        <x:v>FY2024</x:v>
      </x:c>
      <x:c r="H891" s="18" t="str">
        <x:v>否</x:v>
      </x:c>
      <x:c r="I891" s="19" t="str">
        <x:v>DAILY_ENTRIES_EXITS</x:v>
      </x:c>
      <x:c r="J891" s="19" t="str">
        <x:v>本線</x:v>
      </x:c>
      <x:c r="K891" s="18" t="str">
        <x:v>transport-node:7347cf01-d5c1-5573-8f49-6568c3a433ee</x:v>
      </x:c>
      <x:c r="L891" s="19" t="str">
        <x:v>组件待审核</x:v>
      </x:c>
      <x:c r="M891" s="21" t="n">
        <x:v>34.828785</x:v>
      </x:c>
      <x:c r="N891" s="21" t="n">
        <x:v>134.689335</x:v>
      </x:c>
      <x:c r="O891" s="18" t="str">
        <x:v>006497</x:v>
      </x:c>
      <x:c r="P891" s="18" t="str">
        <x:v>本線</x:v>
      </x:c>
      <x:c r="Q891" s="19" t="str">
        <x:v>S12_061_GE_10000</x:v>
      </x:c>
      <x:c r="R891" s="19" t="str">
        <x:v>S12_061 usage threshold</x:v>
      </x:c>
      <x:c r="S891" s="19" t="str">
        <x:v>https://nlftp.mlit.go.jp/ksj/gml/datalist/KsjTmplt-S12-2024.html</x:v>
      </x:c>
      <x:c r="T891" s="19" t="str">
        <x:v>https://nlftp.mlit.go.jp/ksj/gml/datalist/KsjTmplt-S12-2024.html</x:v>
      </x:c>
      <x:c r="U891" s="19" t="str">
        <x:v>station-component|山陽姫路|山陽電気鉄道|private_rail|34.8288|134.6893|</x:v>
      </x:c>
      <x:c r="V891" s="19" t="str">
        <x:v>006497 / 006497 / 本線</x:v>
      </x:c>
      <x:c r="W891" s="18" t="str">
        <x:v>否</x:v>
      </x:c>
      <x:c r="X891" s="18" t="str">
        <x:v>0785e932a32b3ec15e1a1345537ae145eafe1c07bf38d5c16c11ee2b391e7a28</x:v>
      </x:c>
      <x:c r="Y891" s="20" t="n">
        <x:v>1</x:v>
      </x:c>
      <x:c r="Z891" s="20" t="n">
        <x:v>1</x:v>
      </x:c>
      <x:c r="AA891" s="19"/>
      <x:c r="AB891" s="18"/>
      <x:c r="AC891" s="19"/>
    </x:row>
    <x:row r="892" ht="28" customHeight="1">
      <x:c r="A892" s="18" t="str">
        <x:v>山陽明石</x:v>
      </x:c>
      <x:c r="B892" s="18" t="str">
        <x:v>山陽電気鉄道</x:v>
      </x:c>
      <x:c r="C892" s="18" t="str">
        <x:v>private_rail</x:v>
      </x:c>
      <x:c r="D892" s="19" t="str">
        <x:v>T2</x:v>
      </x:c>
      <x:c r="E892" s="20" t="n">
        <x:v>25481</x:v>
      </x:c>
      <x:c r="F892" s="18" t="str">
        <x:v>persons/day</x:v>
      </x:c>
      <x:c r="G892" s="18" t="str">
        <x:v>FY2024</x:v>
      </x:c>
      <x:c r="H892" s="18" t="str">
        <x:v>否</x:v>
      </x:c>
      <x:c r="I892" s="19" t="str">
        <x:v>DAILY_ENTRIES_EXITS</x:v>
      </x:c>
      <x:c r="J892" s="19" t="str">
        <x:v>本線</x:v>
      </x:c>
      <x:c r="K892" s="18" t="str">
        <x:v>transport-node:eba287a1-0835-5324-8437-353eee0ad4bb</x:v>
      </x:c>
      <x:c r="L892" s="19" t="str">
        <x:v>组件待审核</x:v>
      </x:c>
      <x:c r="M892" s="21" t="n">
        <x:v>34.6488233</x:v>
      </x:c>
      <x:c r="N892" s="21" t="n">
        <x:v>134.99271</x:v>
      </x:c>
      <x:c r="O892" s="18" t="str">
        <x:v>007429</x:v>
      </x:c>
      <x:c r="P892" s="18" t="str">
        <x:v>本線</x:v>
      </x:c>
      <x:c r="Q892" s="19" t="str">
        <x:v>S12_061_GE_10000</x:v>
      </x:c>
      <x:c r="R892" s="19" t="str">
        <x:v>S12_061 usage threshold</x:v>
      </x:c>
      <x:c r="S892" s="19" t="str">
        <x:v>https://nlftp.mlit.go.jp/ksj/gml/datalist/KsjTmplt-S12-2024.html</x:v>
      </x:c>
      <x:c r="T892" s="19" t="str">
        <x:v>https://nlftp.mlit.go.jp/ksj/gml/datalist/KsjTmplt-S12-2024.html</x:v>
      </x:c>
      <x:c r="U892" s="19" t="str">
        <x:v>station-component|山陽明石|山陽電気鉄道|private_rail|34.6488|134.9927|</x:v>
      </x:c>
      <x:c r="V892" s="19" t="str">
        <x:v>007429 / 007429 / 本線</x:v>
      </x:c>
      <x:c r="W892" s="18" t="str">
        <x:v>否</x:v>
      </x:c>
      <x:c r="X892" s="18" t="str">
        <x:v>0785e932a32b3ec15e1a1345537ae145eafe1c07bf38d5c16c11ee2b391e7a28</x:v>
      </x:c>
      <x:c r="Y892" s="20" t="n">
        <x:v>1</x:v>
      </x:c>
      <x:c r="Z892" s="20" t="n">
        <x:v>1</x:v>
      </x:c>
      <x:c r="AA892" s="19"/>
      <x:c r="AB892" s="18"/>
      <x:c r="AC892" s="19"/>
    </x:row>
    <x:row r="893" ht="33" customHeight="1">
      <x:c r="A893" s="18" t="str">
        <x:v>岐阜</x:v>
      </x:c>
      <x:c r="B893" s="18" t="str">
        <x:v>東海旅客鉄道</x:v>
      </x:c>
      <x:c r="C893" s="18" t="str">
        <x:v>conventional_rail</x:v>
      </x:c>
      <x:c r="D893" s="19" t="str">
        <x:v>T1</x:v>
      </x:c>
      <x:c r="E893" s="20" t="n">
        <x:v>59073</x:v>
      </x:c>
      <x:c r="F893" s="18" t="str">
        <x:v>persons/day</x:v>
      </x:c>
      <x:c r="G893" s="18" t="str">
        <x:v>FY2024</x:v>
      </x:c>
      <x:c r="H893" s="18" t="str">
        <x:v>否</x:v>
      </x:c>
      <x:c r="I893" s="19" t="str">
        <x:v>DAILY_ENTRIES_EXITS</x:v>
      </x:c>
      <x:c r="J893" s="19" t="str">
        <x:v>東海道線
高山線</x:v>
      </x:c>
      <x:c r="K893" s="18" t="str">
        <x:v>transport-node:1b5bed43-c5cd-512f-aec2-bf57634c09f0</x:v>
      </x:c>
      <x:c r="L893" s="19" t="str">
        <x:v>组件待审核</x:v>
      </x:c>
      <x:c r="M893" s="21" t="n">
        <x:v>35.4095325</x:v>
      </x:c>
      <x:c r="N893" s="21" t="n">
        <x:v>136.75656</x:v>
      </x:c>
      <x:c r="O893" s="18" t="str">
        <x:v>004789</x:v>
      </x:c>
      <x:c r="P893" s="18" t="str">
        <x:v>東海道線</x:v>
      </x:c>
      <x:c r="Q893" s="19" t="str">
        <x:v>S12_061_GE_10000</x:v>
      </x:c>
      <x:c r="R893" s="19" t="str">
        <x:v>S12_061 usage threshold</x:v>
      </x:c>
      <x:c r="S893" s="19" t="str">
        <x:v>https://nlftp.mlit.go.jp/ksj/gml/datalist/KsjTmplt-S12-2024.html</x:v>
      </x:c>
      <x:c r="T893" s="19" t="str">
        <x:v>https://nlftp.mlit.go.jp/ksj/gml/datalist/KsjTmplt-S12-2024.html</x:v>
      </x:c>
      <x:c r="U893" s="19" t="str">
        <x:v>station-component|岐阜|東海旅客鉄道|conventional_rail|35.4095|136.7566|</x:v>
      </x:c>
      <x:c r="V893" s="19" t="str">
        <x:v>004788 / 004788 / 高山線
004788 / 004789 / 東海道線</x:v>
      </x:c>
      <x:c r="W893" s="18" t="str">
        <x:v>否</x:v>
      </x:c>
      <x:c r="X893" s="18" t="str">
        <x:v>0785e932a32b3ec15e1a1345537ae145eafe1c07bf38d5c16c11ee2b391e7a28</x:v>
      </x:c>
      <x:c r="Y893" s="20" t="n">
        <x:v>1</x:v>
      </x:c>
      <x:c r="Z893" s="20" t="n">
        <x:v>1</x:v>
      </x:c>
      <x:c r="AA893" s="19"/>
      <x:c r="AB893" s="18"/>
      <x:c r="AC893" s="19"/>
    </x:row>
    <x:row r="894" ht="33" customHeight="1">
      <x:c r="A894" s="18" t="str">
        <x:v>岐阜羽島</x:v>
      </x:c>
      <x:c r="B894" s="18" t="str">
        <x:v>東海旅客鉄道</x:v>
      </x:c>
      <x:c r="C894" s="18" t="str">
        <x:v>shinkansen</x:v>
      </x:c>
      <x:c r="D894" s="19" t="str">
        <x:v>T3</x:v>
      </x:c>
      <x:c r="E894" s="20" t="n">
        <x:v>5927</x:v>
      </x:c>
      <x:c r="F894" s="18" t="str">
        <x:v>persons/day</x:v>
      </x:c>
      <x:c r="G894" s="18" t="str">
        <x:v>FY2024</x:v>
      </x:c>
      <x:c r="H894" s="18" t="str">
        <x:v>否</x:v>
      </x:c>
      <x:c r="I894" s="19" t="str">
        <x:v>DAILY_ENTRIES_EXITS</x:v>
      </x:c>
      <x:c r="J894" s="19" t="str">
        <x:v>東海道新幹線</x:v>
      </x:c>
      <x:c r="K894" s="18" t="str">
        <x:v>transport-node:6c55ffc8-54f3-5f99-84f7-169d9aa954d6</x:v>
      </x:c>
      <x:c r="L894" s="19" t="str">
        <x:v>组件待审核</x:v>
      </x:c>
      <x:c r="M894" s="21" t="n">
        <x:v>35.31574</x:v>
      </x:c>
      <x:c r="N894" s="21" t="n">
        <x:v>136.685755</x:v>
      </x:c>
      <x:c r="O894" s="18" t="str">
        <x:v>005065</x:v>
      </x:c>
      <x:c r="P894" s="18" t="str">
        <x:v>東海道新幹線</x:v>
      </x:c>
      <x:c r="Q894" s="19" t="str">
        <x:v>SHINKANSEN</x:v>
      </x:c>
      <x:c r="R894" s="19" t="str">
        <x:v>S12_061 usage threshold; low-flow inclusion justified by Shinkansen inventory</x:v>
      </x:c>
      <x:c r="S894" s="19" t="str">
        <x:v>https://nlftp.mlit.go.jp/ksj/gml/datalist/KsjTmplt-S12-2024.html</x:v>
      </x:c>
      <x:c r="T894" s="19" t="str">
        <x:v>https://nlftp.mlit.go.jp/ksj/gml/datalist/KsjTmplt-S12-2024.html</x:v>
      </x:c>
      <x:c r="U894" s="19" t="str">
        <x:v>station-component|岐阜羽島|東海旅客鉄道|shinkansen|35.3157|136.6858|</x:v>
      </x:c>
      <x:c r="V894" s="19" t="str">
        <x:v>005065 / 005065 / 東海道新幹線</x:v>
      </x:c>
      <x:c r="W894" s="18" t="str">
        <x:v>否</x:v>
      </x:c>
      <x:c r="X894" s="18" t="str">
        <x:v>0785e932a32b3ec15e1a1345537ae145eafe1c07bf38d5c16c11ee2b391e7a28</x:v>
      </x:c>
      <x:c r="Y894" s="20" t="n">
        <x:v>1</x:v>
      </x:c>
      <x:c r="Z894" s="20" t="n">
        <x:v>1</x:v>
      </x:c>
      <x:c r="AA894" s="19"/>
      <x:c r="AB894" s="18"/>
      <x:c r="AC894" s="19"/>
    </x:row>
    <x:row r="895" ht="61" customHeight="1">
      <x:c r="A895" s="18" t="str">
        <x:v>岡山</x:v>
      </x:c>
      <x:c r="B895" s="18" t="str">
        <x:v>西日本旅客鉄道</x:v>
      </x:c>
      <x:c r="C895" s="18" t="str">
        <x:v>conventional_rail</x:v>
      </x:c>
      <x:c r="D895" s="19" t="str">
        <x:v>T1</x:v>
      </x:c>
      <x:c r="E895" s="20" t="n">
        <x:v>136100</x:v>
      </x:c>
      <x:c r="F895" s="18" t="str">
        <x:v>persons/day</x:v>
      </x:c>
      <x:c r="G895" s="18" t="str">
        <x:v>FY2024</x:v>
      </x:c>
      <x:c r="H895" s="18" t="str">
        <x:v>否</x:v>
      </x:c>
      <x:c r="I895" s="19" t="str">
        <x:v>DAILY_ENTRIES_EXITS</x:v>
      </x:c>
      <x:c r="J895" s="19" t="str">
        <x:v>吉備線
宇野線
山陽線
津山線</x:v>
      </x:c>
      <x:c r="K895" s="18" t="str">
        <x:v>transport-node:87f72998-3d87-5f22-89d7-8a82e77a81ad</x:v>
      </x:c>
      <x:c r="L895" s="19" t="str">
        <x:v>组件待审核</x:v>
      </x:c>
      <x:c r="M895" s="21" t="n">
        <x:v>34.66696</x:v>
      </x:c>
      <x:c r="N895" s="21" t="n">
        <x:v>133.91833</x:v>
      </x:c>
      <x:c r="O895" s="18" t="str">
        <x:v>007313</x:v>
      </x:c>
      <x:c r="P895" s="18" t="str">
        <x:v>山陽線</x:v>
      </x:c>
      <x:c r="Q895" s="19" t="str">
        <x:v>S12_061_GE_10000</x:v>
      </x:c>
      <x:c r="R895" s="19" t="str">
        <x:v>S12_061 usage threshold</x:v>
      </x:c>
      <x:c r="S895" s="19" t="str">
        <x:v>https://nlftp.mlit.go.jp/ksj/gml/datalist/KsjTmplt-S12-2024.html</x:v>
      </x:c>
      <x:c r="T895" s="19" t="str">
        <x:v>https://nlftp.mlit.go.jp/ksj/gml/datalist/KsjTmplt-S12-2024.html</x:v>
      </x:c>
      <x:c r="U895" s="19" t="str">
        <x:v>station-component|岡山|西日本旅客鉄道|conventional_rail|34.6670|133.9183|</x:v>
      </x:c>
      <x:c r="V895" s="19" t="str">
        <x:v>007310 / 007310 / 宇野線
007310 / 007311 / 津山線
007310 / 007313 / 山陽線
007310 / 007316 / 吉備線</x:v>
      </x:c>
      <x:c r="W895" s="18" t="str">
        <x:v>否</x:v>
      </x:c>
      <x:c r="X895" s="18" t="str">
        <x:v>0785e932a32b3ec15e1a1345537ae145eafe1c07bf38d5c16c11ee2b391e7a28</x:v>
      </x:c>
      <x:c r="Y895" s="20" t="n">
        <x:v>1</x:v>
      </x:c>
      <x:c r="Z895" s="20" t="n">
        <x:v>1</x:v>
      </x:c>
      <x:c r="AA895" s="19"/>
      <x:c r="AB895" s="18"/>
      <x:c r="AC895" s="19"/>
    </x:row>
    <x:row r="896" ht="33" customHeight="1">
      <x:c r="A896" s="18" t="str">
        <x:v>岡山</x:v>
      </x:c>
      <x:c r="B896" s="18" t="str">
        <x:v>西日本旅客鉄道</x:v>
      </x:c>
      <x:c r="C896" s="18" t="str">
        <x:v>shinkansen</x:v>
      </x:c>
      <x:c r="D896" s="19"/>
      <x:c r="E896" s="20" t="n">
        <x:v>70636</x:v>
      </x:c>
      <x:c r="F896" s="18" t="str">
        <x:v>boardings/day</x:v>
      </x:c>
      <x:c r="G896" s="18" t="str">
        <x:v>FY2025</x:v>
      </x:c>
      <x:c r="H896" s="18" t="str">
        <x:v>是</x:v>
      </x:c>
      <x:c r="I896" s="19" t="str">
        <x:v>STATION_COMPLEX_PROXY</x:v>
      </x:c>
      <x:c r="J896" s="19" t="str">
        <x:v>山陽新幹線</x:v>
      </x:c>
      <x:c r="K896" s="18" t="str">
        <x:v>transport-node:7dd04717-15fc-5772-b4e2-2182a0f04727</x:v>
      </x:c>
      <x:c r="L896" s="19" t="str">
        <x:v>组件待审核</x:v>
      </x:c>
      <x:c r="M896" s="21" t="n">
        <x:v>34.665634</x:v>
      </x:c>
      <x:c r="N896" s="21" t="n">
        <x:v>133.91797</x:v>
      </x:c>
      <x:c r="O896" s="18" t="str">
        <x:v>007329</x:v>
      </x:c>
      <x:c r="P896" s="18" t="str">
        <x:v>山陽新幹線</x:v>
      </x:c>
      <x:c r="Q896" s="19" t="str">
        <x:v>SHINKANSEN</x:v>
      </x:c>
      <x:c r="R896" s="19" t="str">
        <x:v>Official fallback retained in published scope/unit; tier remains null pending metric/manual review.</x:v>
      </x:c>
      <x:c r="S896" s="19" t="str">
        <x:v>https://www.westjr.co.jp/company/info/issue/data/pdf/data2026_11.pdf</x:v>
      </x:c>
      <x:c r="T896" s="19" t="str">
        <x:v>https://nlftp.mlit.go.jp/ksj/gml/datalist/KsjTmplt-S12-2024.html
https://www.westjr.co.jp/company/info/issue/data/pdf/data2026_11.pdf</x:v>
      </x:c>
      <x:c r="U896" s="19" t="str">
        <x:v>station-component|岡山|西日本旅客鉄道|shinkansen|34.6656|133.9180|</x:v>
      </x:c>
      <x:c r="V896" s="19" t="str">
        <x:v>007310 / 007329 / 山陽新幹線</x:v>
      </x:c>
      <x:c r="W896" s="18" t="str">
        <x:v>否</x:v>
      </x:c>
      <x:c r="X896" s="18" t="str">
        <x:v>0785e932a32b3ec15e1a1345537ae145eafe1c07bf38d5c16c11ee2b391e7a28</x:v>
      </x:c>
      <x:c r="Y896" s="20" t="n">
        <x:v>1</x:v>
      </x:c>
      <x:c r="Z896" s="20" t="n">
        <x:v>2</x:v>
      </x:c>
      <x:c r="AA896" s="19"/>
      <x:c r="AB896" s="18"/>
      <x:c r="AC896" s="19"/>
    </x:row>
    <x:row r="897" ht="28" customHeight="1">
      <x:c r="A897" s="18" t="str">
        <x:v>岡崎</x:v>
      </x:c>
      <x:c r="B897" s="18" t="str">
        <x:v>東海旅客鉄道</x:v>
      </x:c>
      <x:c r="C897" s="18" t="str">
        <x:v>conventional_rail</x:v>
      </x:c>
      <x:c r="D897" s="19" t="str">
        <x:v>T2</x:v>
      </x:c>
      <x:c r="E897" s="20" t="n">
        <x:v>43949</x:v>
      </x:c>
      <x:c r="F897" s="18" t="str">
        <x:v>persons/day</x:v>
      </x:c>
      <x:c r="G897" s="18" t="str">
        <x:v>FY2024</x:v>
      </x:c>
      <x:c r="H897" s="18" t="str">
        <x:v>否</x:v>
      </x:c>
      <x:c r="I897" s="19" t="str">
        <x:v>DAILY_ENTRIES_EXITS</x:v>
      </x:c>
      <x:c r="J897" s="19" t="str">
        <x:v>東海道線</x:v>
      </x:c>
      <x:c r="K897" s="18" t="str">
        <x:v>transport-node:11389c2f-7023-5dcf-90cf-ce4055ed0a11</x:v>
      </x:c>
      <x:c r="L897" s="19" t="str">
        <x:v>组件待审核</x:v>
      </x:c>
      <x:c r="M897" s="21" t="n">
        <x:v>34.9257833</x:v>
      </x:c>
      <x:c r="N897" s="21" t="n">
        <x:v>137.1572333</x:v>
      </x:c>
      <x:c r="O897" s="18" t="str">
        <x:v>006251</x:v>
      </x:c>
      <x:c r="P897" s="18" t="str">
        <x:v>東海道線</x:v>
      </x:c>
      <x:c r="Q897" s="19" t="str">
        <x:v>S12_061_GE_10000</x:v>
      </x:c>
      <x:c r="R897" s="19" t="str">
        <x:v>S12_061 usage threshold</x:v>
      </x:c>
      <x:c r="S897" s="19" t="str">
        <x:v>https://nlftp.mlit.go.jp/ksj/gml/datalist/KsjTmplt-S12-2024.html</x:v>
      </x:c>
      <x:c r="T897" s="19" t="str">
        <x:v>https://nlftp.mlit.go.jp/ksj/gml/datalist/KsjTmplt-S12-2024.html</x:v>
      </x:c>
      <x:c r="U897" s="19" t="str">
        <x:v>station-component|岡崎|東海旅客鉄道|conventional_rail|34.9258|137.1572|</x:v>
      </x:c>
      <x:c r="V897" s="19" t="str">
        <x:v>006251 / 006251 / 東海道線</x:v>
      </x:c>
      <x:c r="W897" s="18" t="str">
        <x:v>否</x:v>
      </x:c>
      <x:c r="X897" s="18" t="str">
        <x:v>0785e932a32b3ec15e1a1345537ae145eafe1c07bf38d5c16c11ee2b391e7a28</x:v>
      </x:c>
      <x:c r="Y897" s="20" t="n">
        <x:v>1</x:v>
      </x:c>
      <x:c r="Z897" s="20" t="n">
        <x:v>1</x:v>
      </x:c>
      <x:c r="AA897" s="19"/>
      <x:c r="AB897" s="18"/>
      <x:c r="AC897" s="19"/>
    </x:row>
    <x:row r="898" ht="28" customHeight="1">
      <x:c r="A898" s="18" t="str">
        <x:v>岡本</x:v>
      </x:c>
      <x:c r="B898" s="18" t="str">
        <x:v>阪急電鉄</x:v>
      </x:c>
      <x:c r="C898" s="18" t="str">
        <x:v>private_rail</x:v>
      </x:c>
      <x:c r="D898" s="19" t="str">
        <x:v>T2</x:v>
      </x:c>
      <x:c r="E898" s="20" t="n">
        <x:v>25581</x:v>
      </x:c>
      <x:c r="F898" s="18" t="str">
        <x:v>persons/day</x:v>
      </x:c>
      <x:c r="G898" s="18" t="str">
        <x:v>FY2024</x:v>
      </x:c>
      <x:c r="H898" s="18" t="str">
        <x:v>否</x:v>
      </x:c>
      <x:c r="I898" s="19" t="str">
        <x:v>DAILY_ENTRIES_EXITS</x:v>
      </x:c>
      <x:c r="J898" s="19" t="str">
        <x:v>神戸線</x:v>
      </x:c>
      <x:c r="K898" s="18" t="str">
        <x:v>transport-node:73fdff2a-4f34-51e0-a237-7ee35de836dd</x:v>
      </x:c>
      <x:c r="L898" s="19" t="str">
        <x:v>组件待审核</x:v>
      </x:c>
      <x:c r="M898" s="21" t="n">
        <x:v>34.729175</x:v>
      </x:c>
      <x:c r="N898" s="21" t="n">
        <x:v>135.27594</x:v>
      </x:c>
      <x:c r="O898" s="18" t="str">
        <x:v>006930</x:v>
      </x:c>
      <x:c r="P898" s="18" t="str">
        <x:v>神戸線</x:v>
      </x:c>
      <x:c r="Q898" s="19" t="str">
        <x:v>S12_061_GE_10000</x:v>
      </x:c>
      <x:c r="R898" s="19" t="str">
        <x:v>S12_061 usage threshold</x:v>
      </x:c>
      <x:c r="S898" s="19" t="str">
        <x:v>https://nlftp.mlit.go.jp/ksj/gml/datalist/KsjTmplt-S12-2024.html</x:v>
      </x:c>
      <x:c r="T898" s="19" t="str">
        <x:v>https://nlftp.mlit.go.jp/ksj/gml/datalist/KsjTmplt-S12-2024.html</x:v>
      </x:c>
      <x:c r="U898" s="19" t="str">
        <x:v>station-component|岡本|阪急電鉄|private_rail|34.7292|135.2759|</x:v>
      </x:c>
      <x:c r="V898" s="19" t="str">
        <x:v>006930 / 006930 / 神戸線</x:v>
      </x:c>
      <x:c r="W898" s="18" t="str">
        <x:v>否</x:v>
      </x:c>
      <x:c r="X898" s="18" t="str">
        <x:v>0785e932a32b3ec15e1a1345537ae145eafe1c07bf38d5c16c11ee2b391e7a28</x:v>
      </x:c>
      <x:c r="Y898" s="20" t="n">
        <x:v>1</x:v>
      </x:c>
      <x:c r="Z898" s="20" t="n">
        <x:v>1</x:v>
      </x:c>
      <x:c r="AA898" s="19"/>
      <x:c r="AB898" s="18"/>
      <x:c r="AC898" s="19"/>
    </x:row>
    <x:row r="899" ht="28" customHeight="1">
      <x:c r="A899" s="18" t="str">
        <x:v>岡町</x:v>
      </x:c>
      <x:c r="B899" s="18" t="str">
        <x:v>阪急電鉄</x:v>
      </x:c>
      <x:c r="C899" s="18" t="str">
        <x:v>private_rail</x:v>
      </x:c>
      <x:c r="D899" s="19" t="str">
        <x:v>T2</x:v>
      </x:c>
      <x:c r="E899" s="20" t="n">
        <x:v>15876</x:v>
      </x:c>
      <x:c r="F899" s="18" t="str">
        <x:v>persons/day</x:v>
      </x:c>
      <x:c r="G899" s="18" t="str">
        <x:v>FY2024</x:v>
      </x:c>
      <x:c r="H899" s="18" t="str">
        <x:v>否</x:v>
      </x:c>
      <x:c r="I899" s="19" t="str">
        <x:v>DAILY_ENTRIES_EXITS</x:v>
      </x:c>
      <x:c r="J899" s="19" t="str">
        <x:v>宝塚線</x:v>
      </x:c>
      <x:c r="K899" s="18" t="str">
        <x:v>transport-node:f7a236f3-da10-5907-b65a-bbaea791c21f</x:v>
      </x:c>
      <x:c r="L899" s="19" t="str">
        <x:v>组件待审核</x:v>
      </x:c>
      <x:c r="M899" s="21" t="n">
        <x:v>34.77892</x:v>
      </x:c>
      <x:c r="N899" s="21" t="n">
        <x:v>135.46507</x:v>
      </x:c>
      <x:c r="O899" s="18" t="str">
        <x:v>006717</x:v>
      </x:c>
      <x:c r="P899" s="18" t="str">
        <x:v>宝塚線</x:v>
      </x:c>
      <x:c r="Q899" s="19" t="str">
        <x:v>S12_061_GE_10000</x:v>
      </x:c>
      <x:c r="R899" s="19" t="str">
        <x:v>S12_061 usage threshold</x:v>
      </x:c>
      <x:c r="S899" s="19" t="str">
        <x:v>https://nlftp.mlit.go.jp/ksj/gml/datalist/KsjTmplt-S12-2024.html</x:v>
      </x:c>
      <x:c r="T899" s="19" t="str">
        <x:v>https://nlftp.mlit.go.jp/ksj/gml/datalist/KsjTmplt-S12-2024.html</x:v>
      </x:c>
      <x:c r="U899" s="19" t="str">
        <x:v>station-component|岡町|阪急電鉄|private_rail|34.7789|135.4651|</x:v>
      </x:c>
      <x:c r="V899" s="19" t="str">
        <x:v>006717 / 006717 / 宝塚線</x:v>
      </x:c>
      <x:c r="W899" s="18" t="str">
        <x:v>否</x:v>
      </x:c>
      <x:c r="X899" s="18" t="str">
        <x:v>0785e932a32b3ec15e1a1345537ae145eafe1c07bf38d5c16c11ee2b391e7a28</x:v>
      </x:c>
      <x:c r="Y899" s="20" t="n">
        <x:v>1</x:v>
      </x:c>
      <x:c r="Z899" s="20" t="n">
        <x:v>1</x:v>
      </x:c>
      <x:c r="AA899" s="19"/>
      <x:c r="AB899" s="18"/>
      <x:c r="AC899" s="19"/>
    </x:row>
    <x:row r="900" ht="28" customHeight="1">
      <x:c r="A900" s="18" t="str">
        <x:v>岩倉</x:v>
      </x:c>
      <x:c r="B900" s="18" t="str">
        <x:v>名古屋鉄道</x:v>
      </x:c>
      <x:c r="C900" s="18" t="str">
        <x:v>private_rail</x:v>
      </x:c>
      <x:c r="D900" s="19" t="str">
        <x:v>T2</x:v>
      </x:c>
      <x:c r="E900" s="20" t="n">
        <x:v>22315</x:v>
      </x:c>
      <x:c r="F900" s="18" t="str">
        <x:v>persons/day</x:v>
      </x:c>
      <x:c r="G900" s="18" t="str">
        <x:v>FY2024</x:v>
      </x:c>
      <x:c r="H900" s="18" t="str">
        <x:v>否</x:v>
      </x:c>
      <x:c r="I900" s="19" t="str">
        <x:v>DAILY_ENTRIES_EXITS</x:v>
      </x:c>
      <x:c r="J900" s="19" t="str">
        <x:v>犬山線</x:v>
      </x:c>
      <x:c r="K900" s="18" t="str">
        <x:v>transport-node:86648299-64f1-5d2e-9481-7d96a0a477f6</x:v>
      </x:c>
      <x:c r="L900" s="19" t="str">
        <x:v>组件待审核</x:v>
      </x:c>
      <x:c r="M900" s="21" t="n">
        <x:v>35.27797</x:v>
      </x:c>
      <x:c r="N900" s="21" t="n">
        <x:v>136.873575</x:v>
      </x:c>
      <x:c r="O900" s="18" t="str">
        <x:v>005165</x:v>
      </x:c>
      <x:c r="P900" s="18" t="str">
        <x:v>犬山線</x:v>
      </x:c>
      <x:c r="Q900" s="19" t="str">
        <x:v>S12_061_GE_10000</x:v>
      </x:c>
      <x:c r="R900" s="19" t="str">
        <x:v>S12_061 usage threshold</x:v>
      </x:c>
      <x:c r="S900" s="19" t="str">
        <x:v>https://nlftp.mlit.go.jp/ksj/gml/datalist/KsjTmplt-S12-2024.html</x:v>
      </x:c>
      <x:c r="T900" s="19" t="str">
        <x:v>https://nlftp.mlit.go.jp/ksj/gml/datalist/KsjTmplt-S12-2024.html</x:v>
      </x:c>
      <x:c r="U900" s="19" t="str">
        <x:v>station-component|岩倉|名古屋鉄道|private_rail|35.2780|136.8736|</x:v>
      </x:c>
      <x:c r="V900" s="19" t="str">
        <x:v>005165 / 005165 / 犬山線</x:v>
      </x:c>
      <x:c r="W900" s="18" t="str">
        <x:v>否</x:v>
      </x:c>
      <x:c r="X900" s="18" t="str">
        <x:v>0785e932a32b3ec15e1a1345537ae145eafe1c07bf38d5c16c11ee2b391e7a28</x:v>
      </x:c>
      <x:c r="Y900" s="20" t="n">
        <x:v>1</x:v>
      </x:c>
      <x:c r="Z900" s="20" t="n">
        <x:v>1</x:v>
      </x:c>
      <x:c r="AA900" s="19"/>
      <x:c r="AB900" s="18"/>
      <x:c r="AC900" s="19"/>
    </x:row>
    <x:row r="901" ht="33" customHeight="1">
      <x:c r="A901" s="18" t="str">
        <x:v>岩国</x:v>
      </x:c>
      <x:c r="B901" s="18" t="str">
        <x:v>西日本旅客鉄道</x:v>
      </x:c>
      <x:c r="C901" s="18" t="str">
        <x:v>conventional_rail</x:v>
      </x:c>
      <x:c r="D901" s="19" t="str">
        <x:v>T2</x:v>
      </x:c>
      <x:c r="E901" s="20" t="n">
        <x:v>10172</x:v>
      </x:c>
      <x:c r="F901" s="18" t="str">
        <x:v>persons/day</x:v>
      </x:c>
      <x:c r="G901" s="18" t="str">
        <x:v>FY2024</x:v>
      </x:c>
      <x:c r="H901" s="18" t="str">
        <x:v>否</x:v>
      </x:c>
      <x:c r="I901" s="19" t="str">
        <x:v>DAILY_ENTRIES_EXITS</x:v>
      </x:c>
      <x:c r="J901" s="19" t="str">
        <x:v>山陽線
岩徳線</x:v>
      </x:c>
      <x:c r="K901" s="18" t="str">
        <x:v>transport-node:07506c73-1cad-5f43-86a8-8071792eda7b</x:v>
      </x:c>
      <x:c r="L901" s="19" t="str">
        <x:v>组件待审核</x:v>
      </x:c>
      <x:c r="M901" s="21" t="n">
        <x:v>34.17178</x:v>
      </x:c>
      <x:c r="N901" s="21" t="n">
        <x:v>132.22561</x:v>
      </x:c>
      <x:c r="O901" s="18" t="str">
        <x:v>008420</x:v>
      </x:c>
      <x:c r="P901" s="18" t="str">
        <x:v>山陽線</x:v>
      </x:c>
      <x:c r="Q901" s="19" t="str">
        <x:v>S12_061_GE_10000</x:v>
      </x:c>
      <x:c r="R901" s="19" t="str">
        <x:v>S12_061 usage threshold</x:v>
      </x:c>
      <x:c r="S901" s="19" t="str">
        <x:v>https://nlftp.mlit.go.jp/ksj/gml/datalist/KsjTmplt-S12-2024.html</x:v>
      </x:c>
      <x:c r="T901" s="19" t="str">
        <x:v>https://nlftp.mlit.go.jp/ksj/gml/datalist/KsjTmplt-S12-2024.html</x:v>
      </x:c>
      <x:c r="U901" s="19" t="str">
        <x:v>station-component|岩国|西日本旅客鉄道|conventional_rail|34.1718|132.2256|</x:v>
      </x:c>
      <x:c r="V901" s="19" t="str">
        <x:v>008419 / 008419 / 岩徳線
008419 / 008420 / 山陽線</x:v>
      </x:c>
      <x:c r="W901" s="18" t="str">
        <x:v>否</x:v>
      </x:c>
      <x:c r="X901" s="18" t="str">
        <x:v>0785e932a32b3ec15e1a1345537ae145eafe1c07bf38d5c16c11ee2b391e7a28</x:v>
      </x:c>
      <x:c r="Y901" s="20" t="n">
        <x:v>1</x:v>
      </x:c>
      <x:c r="Z901" s="20" t="n">
        <x:v>1</x:v>
      </x:c>
      <x:c r="AA901" s="19"/>
      <x:c r="AB901" s="18"/>
      <x:c r="AC901" s="19"/>
    </x:row>
    <x:row r="902" ht="28" customHeight="1">
      <x:c r="A902" s="18" t="str">
        <x:v>岩塚</x:v>
      </x:c>
      <x:c r="B902" s="18" t="str">
        <x:v>名古屋市</x:v>
      </x:c>
      <x:c r="C902" s="18" t="str">
        <x:v>metro</x:v>
      </x:c>
      <x:c r="D902" s="19" t="str">
        <x:v>T2</x:v>
      </x:c>
      <x:c r="E902" s="20" t="n">
        <x:v>15455</x:v>
      </x:c>
      <x:c r="F902" s="18" t="str">
        <x:v>persons/day</x:v>
      </x:c>
      <x:c r="G902" s="18" t="str">
        <x:v>FY2024</x:v>
      </x:c>
      <x:c r="H902" s="18" t="str">
        <x:v>否</x:v>
      </x:c>
      <x:c r="I902" s="19" t="str">
        <x:v>DAILY_ENTRIES_EXITS</x:v>
      </x:c>
      <x:c r="J902" s="19" t="str">
        <x:v>1号線東山線</x:v>
      </x:c>
      <x:c r="K902" s="18" t="str">
        <x:v>transport-node:0c8b5ece-1bec-5dc5-af96-2f606008e026</x:v>
      </x:c>
      <x:c r="L902" s="19" t="str">
        <x:v>组件待审核</x:v>
      </x:c>
      <x:c r="M902" s="21" t="n">
        <x:v>35.1582</x:v>
      </x:c>
      <x:c r="N902" s="21" t="n">
        <x:v>136.8544167</x:v>
      </x:c>
      <x:c r="O902" s="18" t="str">
        <x:v>005504</x:v>
      </x:c>
      <x:c r="P902" s="18" t="str">
        <x:v>1号線東山線</x:v>
      </x:c>
      <x:c r="Q902" s="19" t="str">
        <x:v>S12_061_GE_10000</x:v>
      </x:c>
      <x:c r="R902" s="19" t="str">
        <x:v>S12_061 usage threshold</x:v>
      </x:c>
      <x:c r="S902" s="19" t="str">
        <x:v>https://nlftp.mlit.go.jp/ksj/gml/datalist/KsjTmplt-S12-2024.html</x:v>
      </x:c>
      <x:c r="T902" s="19" t="str">
        <x:v>https://nlftp.mlit.go.jp/ksj/gml/datalist/KsjTmplt-S12-2024.html</x:v>
      </x:c>
      <x:c r="U902" s="19" t="str">
        <x:v>station-component|岩塚|名古屋市|metro|35.1582|136.8544|</x:v>
      </x:c>
      <x:c r="V902" s="19" t="str">
        <x:v>005504 / 005504 / 1号線東山線</x:v>
      </x:c>
      <x:c r="W902" s="18" t="str">
        <x:v>否</x:v>
      </x:c>
      <x:c r="X902" s="18" t="str">
        <x:v>0785e932a32b3ec15e1a1345537ae145eafe1c07bf38d5c16c11ee2b391e7a28</x:v>
      </x:c>
      <x:c r="Y902" s="20" t="n">
        <x:v>1</x:v>
      </x:c>
      <x:c r="Z902" s="20" t="n">
        <x:v>1</x:v>
      </x:c>
      <x:c r="AA902" s="19"/>
      <x:c r="AB902" s="18"/>
      <x:c r="AC902" s="19"/>
    </x:row>
    <x:row r="903" ht="28" customHeight="1">
      <x:c r="A903" s="18" t="str">
        <x:v>岩屋</x:v>
      </x:c>
      <x:c r="B903" s="18" t="str">
        <x:v>阪神電気鉄道</x:v>
      </x:c>
      <x:c r="C903" s="18" t="str">
        <x:v>private_rail</x:v>
      </x:c>
      <x:c r="D903" s="19" t="str">
        <x:v>T2</x:v>
      </x:c>
      <x:c r="E903" s="20" t="n">
        <x:v>11280</x:v>
      </x:c>
      <x:c r="F903" s="18" t="str">
        <x:v>persons/day</x:v>
      </x:c>
      <x:c r="G903" s="18" t="str">
        <x:v>FY2024</x:v>
      </x:c>
      <x:c r="H903" s="18" t="str">
        <x:v>否</x:v>
      </x:c>
      <x:c r="I903" s="19" t="str">
        <x:v>DAILY_ENTRIES_EXITS</x:v>
      </x:c>
      <x:c r="J903" s="19" t="str">
        <x:v>本線</x:v>
      </x:c>
      <x:c r="K903" s="18" t="str">
        <x:v>transport-node:f98ad298-e859-509a-87ec-eeed1fa8ca1d</x:v>
      </x:c>
      <x:c r="L903" s="19" t="str">
        <x:v>组件待审核</x:v>
      </x:c>
      <x:c r="M903" s="21" t="n">
        <x:v>34.7042</x:v>
      </x:c>
      <x:c r="N903" s="21" t="n">
        <x:v>135.21849</x:v>
      </x:c>
      <x:c r="O903" s="18" t="str">
        <x:v>007058</x:v>
      </x:c>
      <x:c r="P903" s="18" t="str">
        <x:v>本線</x:v>
      </x:c>
      <x:c r="Q903" s="19" t="str">
        <x:v>S12_061_GE_10000</x:v>
      </x:c>
      <x:c r="R903" s="19" t="str">
        <x:v>S12_061 usage threshold</x:v>
      </x:c>
      <x:c r="S903" s="19" t="str">
        <x:v>https://nlftp.mlit.go.jp/ksj/gml/datalist/KsjTmplt-S12-2024.html</x:v>
      </x:c>
      <x:c r="T903" s="19" t="str">
        <x:v>https://nlftp.mlit.go.jp/ksj/gml/datalist/KsjTmplt-S12-2024.html</x:v>
      </x:c>
      <x:c r="U903" s="19" t="str">
        <x:v>station-component|岩屋|阪神電気鉄道|private_rail|34.7042|135.2185|</x:v>
      </x:c>
      <x:c r="V903" s="19" t="str">
        <x:v>007058 / 007058 / 本線</x:v>
      </x:c>
      <x:c r="W903" s="18" t="str">
        <x:v>否</x:v>
      </x:c>
      <x:c r="X903" s="18" t="str">
        <x:v>0785e932a32b3ec15e1a1345537ae145eafe1c07bf38d5c16c11ee2b391e7a28</x:v>
      </x:c>
      <x:c r="Y903" s="20" t="n">
        <x:v>1</x:v>
      </x:c>
      <x:c r="Z903" s="20" t="n">
        <x:v>1</x:v>
      </x:c>
      <x:c r="AA903" s="19"/>
      <x:c r="AB903" s="18"/>
      <x:c r="AC903" s="19"/>
    </x:row>
    <x:row r="904" ht="33" customHeight="1">
      <x:c r="A904" s="18" t="str">
        <x:v>岩本町</x:v>
      </x:c>
      <x:c r="B904" s="18" t="str">
        <x:v>東京都</x:v>
      </x:c>
      <x:c r="C904" s="18" t="str">
        <x:v>metro</x:v>
      </x:c>
      <x:c r="D904" s="19" t="str">
        <x:v>T2</x:v>
      </x:c>
      <x:c r="E904" s="20" t="n">
        <x:v>39177</x:v>
      </x:c>
      <x:c r="F904" s="18" t="str">
        <x:v>persons/day</x:v>
      </x:c>
      <x:c r="G904" s="18" t="str">
        <x:v>FY2024</x:v>
      </x:c>
      <x:c r="H904" s="18" t="str">
        <x:v>否</x:v>
      </x:c>
      <x:c r="I904" s="19" t="str">
        <x:v>DAILY_ENTRIES_EXITS</x:v>
      </x:c>
      <x:c r="J904" s="19" t="str">
        <x:v>10号線新宿線</x:v>
      </x:c>
      <x:c r="K904" s="18" t="str">
        <x:v>transport-node:cc90013d-4cc2-5fcc-8c4f-9dbc2e6db711</x:v>
      </x:c>
      <x:c r="L904" s="19" t="str">
        <x:v>组件待审核</x:v>
      </x:c>
      <x:c r="M904" s="21" t="n">
        <x:v>35.6955683</x:v>
      </x:c>
      <x:c r="N904" s="21" t="n">
        <x:v>139.7752883</x:v>
      </x:c>
      <x:c r="O904" s="18" t="str">
        <x:v>003655</x:v>
      </x:c>
      <x:c r="P904" s="18" t="str">
        <x:v>10号線新宿線</x:v>
      </x:c>
      <x:c r="Q904" s="19" t="str">
        <x:v>S12_061_GE_10000
OFFICIAL_HUB_COMPONENT_REVIEW</x:v>
      </x:c>
      <x:c r="R904" s="19" t="str">
        <x:v>S12_061 usage threshold</x:v>
      </x:c>
      <x:c r="S904" s="19" t="str">
        <x:v>https://nlftp.mlit.go.jp/ksj/gml/datalist/KsjTmplt-S12-2024.html</x:v>
      </x:c>
      <x:c r="T904" s="19" t="str">
        <x:v>https://nlftp.mlit.go.jp/ksj/gml/datalist/KsjTmplt-S12-2024.html
https://www.tokyometro.jp/station/akihabara/index.html</x:v>
      </x:c>
      <x:c r="U904" s="19" t="str">
        <x:v>station-component|岩本町|東京都|metro|35.6956|139.7753|</x:v>
      </x:c>
      <x:c r="V904" s="19" t="str">
        <x:v>003655 / 003655 / 10号線新宿線</x:v>
      </x:c>
      <x:c r="W904" s="18" t="str">
        <x:v>否</x:v>
      </x:c>
      <x:c r="X904" s="18" t="str">
        <x:v>0785e932a32b3ec15e1a1345537ae145eafe1c07bf38d5c16c11ee2b391e7a28</x:v>
      </x:c>
      <x:c r="Y904" s="20" t="n">
        <x:v>1</x:v>
      </x:c>
      <x:c r="Z904" s="20" t="n">
        <x:v>1</x:v>
      </x:c>
      <x:c r="AA904" s="19" t="str">
        <x:v>秋葉原・岩本町</x:v>
      </x:c>
      <x:c r="AB904" s="18" t="str">
        <x:v>transport-hub-review:5dffb3d9-b363-5c0b-ba0f-ccaacbdbb995</x:v>
      </x:c>
      <x:c r="AC904" s="19"/>
    </x:row>
    <x:row r="905" ht="28" customHeight="1">
      <x:c r="A905" s="18" t="str">
        <x:v>岩槻</x:v>
      </x:c>
      <x:c r="B905" s="18" t="str">
        <x:v>東武鉄道</x:v>
      </x:c>
      <x:c r="C905" s="18" t="str">
        <x:v>private_rail</x:v>
      </x:c>
      <x:c r="D905" s="19" t="str">
        <x:v>T2</x:v>
      </x:c>
      <x:c r="E905" s="20" t="n">
        <x:v>35091</x:v>
      </x:c>
      <x:c r="F905" s="18" t="str">
        <x:v>persons/day</x:v>
      </x:c>
      <x:c r="G905" s="18" t="str">
        <x:v>FY2024</x:v>
      </x:c>
      <x:c r="H905" s="18" t="str">
        <x:v>否</x:v>
      </x:c>
      <x:c r="I905" s="19" t="str">
        <x:v>DAILY_ENTRIES_EXITS</x:v>
      </x:c>
      <x:c r="J905" s="19" t="str">
        <x:v>野田線</x:v>
      </x:c>
      <x:c r="K905" s="18" t="str">
        <x:v>transport-node:b54aa43d-6b35-53ca-a615-ce26f9b11f91</x:v>
      </x:c>
      <x:c r="L905" s="19" t="str">
        <x:v>组件待审核</x:v>
      </x:c>
      <x:c r="M905" s="21" t="n">
        <x:v>35.95025</x:v>
      </x:c>
      <x:c r="N905" s="21" t="n">
        <x:v>139.69313</x:v>
      </x:c>
      <x:c r="O905" s="18" t="str">
        <x:v>002833</x:v>
      </x:c>
      <x:c r="P905" s="18" t="str">
        <x:v>野田線</x:v>
      </x:c>
      <x:c r="Q905" s="19" t="str">
        <x:v>S12_061_GE_10000</x:v>
      </x:c>
      <x:c r="R905" s="19" t="str">
        <x:v>S12_061 usage threshold</x:v>
      </x:c>
      <x:c r="S905" s="19" t="str">
        <x:v>https://nlftp.mlit.go.jp/ksj/gml/datalist/KsjTmplt-S12-2024.html</x:v>
      </x:c>
      <x:c r="T905" s="19" t="str">
        <x:v>https://nlftp.mlit.go.jp/ksj/gml/datalist/KsjTmplt-S12-2024.html</x:v>
      </x:c>
      <x:c r="U905" s="19" t="str">
        <x:v>station-component|岩槻|東武鉄道|private_rail|35.9502|139.6931|</x:v>
      </x:c>
      <x:c r="V905" s="19" t="str">
        <x:v>002833 / 002833 / 野田線</x:v>
      </x:c>
      <x:c r="W905" s="18" t="str">
        <x:v>否</x:v>
      </x:c>
      <x:c r="X905" s="18" t="str">
        <x:v>0785e932a32b3ec15e1a1345537ae145eafe1c07bf38d5c16c11ee2b391e7a28</x:v>
      </x:c>
      <x:c r="Y905" s="20" t="n">
        <x:v>1</x:v>
      </x:c>
      <x:c r="Z905" s="20" t="n">
        <x:v>1</x:v>
      </x:c>
      <x:c r="AA905" s="19"/>
      <x:c r="AB905" s="18"/>
      <x:c r="AC905" s="19"/>
    </x:row>
    <x:row r="906" ht="33" customHeight="1">
      <x:c r="A906" s="18" t="str">
        <x:v>岩沼</x:v>
      </x:c>
      <x:c r="B906" s="18" t="str">
        <x:v>東日本旅客鉄道</x:v>
      </x:c>
      <x:c r="C906" s="18" t="str">
        <x:v>conventional_rail</x:v>
      </x:c>
      <x:c r="D906" s="19" t="str">
        <x:v>T2</x:v>
      </x:c>
      <x:c r="E906" s="20" t="n">
        <x:v>13398</x:v>
      </x:c>
      <x:c r="F906" s="18" t="str">
        <x:v>persons/day</x:v>
      </x:c>
      <x:c r="G906" s="18" t="str">
        <x:v>FY2024</x:v>
      </x:c>
      <x:c r="H906" s="18" t="str">
        <x:v>否</x:v>
      </x:c>
      <x:c r="I906" s="19" t="str">
        <x:v>DAILY_ENTRIES_EXITS</x:v>
      </x:c>
      <x:c r="J906" s="19" t="str">
        <x:v>常磐線
東北線</x:v>
      </x:c>
      <x:c r="K906" s="18" t="str">
        <x:v>transport-node:dcdfe550-5953-5760-a9ae-d319060ee8c5</x:v>
      </x:c>
      <x:c r="L906" s="19" t="str">
        <x:v>组件待审核</x:v>
      </x:c>
      <x:c r="M906" s="21" t="n">
        <x:v>38.111865</x:v>
      </x:c>
      <x:c r="N906" s="21" t="n">
        <x:v>140.863655</x:v>
      </x:c>
      <x:c r="O906" s="18" t="str">
        <x:v>001229</x:v>
      </x:c>
      <x:c r="P906" s="18" t="str">
        <x:v>東北線</x:v>
      </x:c>
      <x:c r="Q906" s="19" t="str">
        <x:v>S12_061_GE_10000</x:v>
      </x:c>
      <x:c r="R906" s="19" t="str">
        <x:v>S12_061 usage threshold</x:v>
      </x:c>
      <x:c r="S906" s="19" t="str">
        <x:v>https://nlftp.mlit.go.jp/ksj/gml/datalist/KsjTmplt-S12-2024.html</x:v>
      </x:c>
      <x:c r="T906" s="19" t="str">
        <x:v>https://nlftp.mlit.go.jp/ksj/gml/datalist/KsjTmplt-S12-2024.html</x:v>
      </x:c>
      <x:c r="U906" s="19" t="str">
        <x:v>station-component|岩沼|東日本旅客鉄道|conventional_rail|38.1119|140.8637|</x:v>
      </x:c>
      <x:c r="V906" s="19" t="str">
        <x:v>001228 / 001228 / 常磐線
001228 / 001229 / 東北線</x:v>
      </x:c>
      <x:c r="W906" s="18" t="str">
        <x:v>否</x:v>
      </x:c>
      <x:c r="X906" s="18" t="str">
        <x:v>0785e932a32b3ec15e1a1345537ae145eafe1c07bf38d5c16c11ee2b391e7a28</x:v>
      </x:c>
      <x:c r="Y906" s="20" t="n">
        <x:v>1</x:v>
      </x:c>
      <x:c r="Z906" s="20" t="n">
        <x:v>1</x:v>
      </x:c>
      <x:c r="AA906" s="19"/>
      <x:c r="AB906" s="18"/>
      <x:c r="AC906" s="19"/>
    </x:row>
    <x:row r="907" ht="28" customHeight="1">
      <x:c r="A907" s="18" t="str">
        <x:v>岸和田</x:v>
      </x:c>
      <x:c r="B907" s="18" t="str">
        <x:v>南海電気鉄道</x:v>
      </x:c>
      <x:c r="C907" s="18" t="str">
        <x:v>private_rail</x:v>
      </x:c>
      <x:c r="D907" s="19" t="str">
        <x:v>T2</x:v>
      </x:c>
      <x:c r="E907" s="20" t="n">
        <x:v>19488</x:v>
      </x:c>
      <x:c r="F907" s="18" t="str">
        <x:v>persons/day</x:v>
      </x:c>
      <x:c r="G907" s="18" t="str">
        <x:v>FY2024</x:v>
      </x:c>
      <x:c r="H907" s="18" t="str">
        <x:v>否</x:v>
      </x:c>
      <x:c r="I907" s="19" t="str">
        <x:v>DAILY_ENTRIES_EXITS</x:v>
      </x:c>
      <x:c r="J907" s="19" t="str">
        <x:v>南海本線</x:v>
      </x:c>
      <x:c r="K907" s="18" t="str">
        <x:v>transport-node:28100caf-ea42-587f-8794-424bd3b371f5</x:v>
      </x:c>
      <x:c r="L907" s="19" t="str">
        <x:v>组件待审核</x:v>
      </x:c>
      <x:c r="M907" s="21" t="n">
        <x:v>34.460255</x:v>
      </x:c>
      <x:c r="N907" s="21" t="n">
        <x:v>135.37813</x:v>
      </x:c>
      <x:c r="O907" s="18" t="str">
        <x:v>007925</x:v>
      </x:c>
      <x:c r="P907" s="18" t="str">
        <x:v>南海本線</x:v>
      </x:c>
      <x:c r="Q907" s="19" t="str">
        <x:v>S12_061_GE_10000</x:v>
      </x:c>
      <x:c r="R907" s="19" t="str">
        <x:v>S12_061 usage threshold</x:v>
      </x:c>
      <x:c r="S907" s="19" t="str">
        <x:v>https://nlftp.mlit.go.jp/ksj/gml/datalist/KsjTmplt-S12-2024.html</x:v>
      </x:c>
      <x:c r="T907" s="19" t="str">
        <x:v>https://nlftp.mlit.go.jp/ksj/gml/datalist/KsjTmplt-S12-2024.html</x:v>
      </x:c>
      <x:c r="U907" s="19" t="str">
        <x:v>station-component|岸和田|南海電気鉄道|private_rail|34.4603|135.3781|</x:v>
      </x:c>
      <x:c r="V907" s="19" t="str">
        <x:v>007925 / 007925 / 南海本線</x:v>
      </x:c>
      <x:c r="W907" s="18" t="str">
        <x:v>否</x:v>
      </x:c>
      <x:c r="X907" s="18" t="str">
        <x:v>0785e932a32b3ec15e1a1345537ae145eafe1c07bf38d5c16c11ee2b391e7a28</x:v>
      </x:c>
      <x:c r="Y907" s="20" t="n">
        <x:v>1</x:v>
      </x:c>
      <x:c r="Z907" s="20" t="n">
        <x:v>1</x:v>
      </x:c>
      <x:c r="AA907" s="19"/>
      <x:c r="AB907" s="18"/>
      <x:c r="AC907" s="19"/>
    </x:row>
    <x:row r="908" ht="28" customHeight="1">
      <x:c r="A908" s="18" t="str">
        <x:v>岸辺</x:v>
      </x:c>
      <x:c r="B908" s="18" t="str">
        <x:v>西日本旅客鉄道</x:v>
      </x:c>
      <x:c r="C908" s="18" t="str">
        <x:v>conventional_rail</x:v>
      </x:c>
      <x:c r="D908" s="19" t="str">
        <x:v>T2</x:v>
      </x:c>
      <x:c r="E908" s="20" t="n">
        <x:v>41180</x:v>
      </x:c>
      <x:c r="F908" s="18" t="str">
        <x:v>persons/day</x:v>
      </x:c>
      <x:c r="G908" s="18" t="str">
        <x:v>FY2024</x:v>
      </x:c>
      <x:c r="H908" s="18" t="str">
        <x:v>否</x:v>
      </x:c>
      <x:c r="I908" s="19" t="str">
        <x:v>DAILY_ENTRIES_EXITS</x:v>
      </x:c>
      <x:c r="J908" s="19" t="str">
        <x:v>東海道線</x:v>
      </x:c>
      <x:c r="K908" s="18" t="str">
        <x:v>transport-node:940390ae-f2b9-57c9-943b-203015b06000</x:v>
      </x:c>
      <x:c r="L908" s="19" t="str">
        <x:v>组件待审核</x:v>
      </x:c>
      <x:c r="M908" s="21" t="n">
        <x:v>34.776935</x:v>
      </x:c>
      <x:c r="N908" s="21" t="n">
        <x:v>135.541325</x:v>
      </x:c>
      <x:c r="O908" s="18" t="str">
        <x:v>006721</x:v>
      </x:c>
      <x:c r="P908" s="18" t="str">
        <x:v>東海道線</x:v>
      </x:c>
      <x:c r="Q908" s="19" t="str">
        <x:v>S12_061_GE_10000</x:v>
      </x:c>
      <x:c r="R908" s="19" t="str">
        <x:v>S12_061 usage threshold</x:v>
      </x:c>
      <x:c r="S908" s="19" t="str">
        <x:v>https://nlftp.mlit.go.jp/ksj/gml/datalist/KsjTmplt-S12-2024.html</x:v>
      </x:c>
      <x:c r="T908" s="19" t="str">
        <x:v>https://nlftp.mlit.go.jp/ksj/gml/datalist/KsjTmplt-S12-2024.html</x:v>
      </x:c>
      <x:c r="U908" s="19" t="str">
        <x:v>station-component|岸辺|西日本旅客鉄道|conventional_rail|34.7769|135.5413|</x:v>
      </x:c>
      <x:c r="V908" s="19" t="str">
        <x:v>006721 / 006721 / 東海道線</x:v>
      </x:c>
      <x:c r="W908" s="18" t="str">
        <x:v>否</x:v>
      </x:c>
      <x:c r="X908" s="18" t="str">
        <x:v>0785e932a32b3ec15e1a1345537ae145eafe1c07bf38d5c16c11ee2b391e7a28</x:v>
      </x:c>
      <x:c r="Y908" s="20" t="n">
        <x:v>1</x:v>
      </x:c>
      <x:c r="Z908" s="20" t="n">
        <x:v>1</x:v>
      </x:c>
      <x:c r="AA908" s="19"/>
      <x:c r="AB908" s="18"/>
      <x:c r="AC908" s="19"/>
    </x:row>
    <x:row r="909" ht="28" customHeight="1">
      <x:c r="A909" s="18" t="str">
        <x:v>岸里</x:v>
      </x:c>
      <x:c r="B909" s="18" t="str">
        <x:v>大阪市高速電気軌道</x:v>
      </x:c>
      <x:c r="C909" s="18" t="str">
        <x:v>metro</x:v>
      </x:c>
      <x:c r="D909" s="19" t="str">
        <x:v>T2</x:v>
      </x:c>
      <x:c r="E909" s="20" t="n">
        <x:v>16493</x:v>
      </x:c>
      <x:c r="F909" s="18" t="str">
        <x:v>persons/day</x:v>
      </x:c>
      <x:c r="G909" s="18" t="str">
        <x:v>FY2024</x:v>
      </x:c>
      <x:c r="H909" s="18" t="str">
        <x:v>否</x:v>
      </x:c>
      <x:c r="I909" s="19" t="str">
        <x:v>DAILY_ENTRIES_EXITS</x:v>
      </x:c>
      <x:c r="J909" s="19" t="str">
        <x:v>3号線(四つ橋線)</x:v>
      </x:c>
      <x:c r="K909" s="18" t="str">
        <x:v>transport-node:66709be3-8ff1-5eae-aed3-403b74e8f9ab</x:v>
      </x:c>
      <x:c r="L909" s="19" t="str">
        <x:v>组件待审核</x:v>
      </x:c>
      <x:c r="M909" s="21" t="n">
        <x:v>34.6342</x:v>
      </x:c>
      <x:c r="N909" s="21" t="n">
        <x:v>135.4938</x:v>
      </x:c>
      <x:c r="O909" s="18" t="str">
        <x:v>007493</x:v>
      </x:c>
      <x:c r="P909" s="18" t="str">
        <x:v>3号線(四つ橋線)</x:v>
      </x:c>
      <x:c r="Q909" s="19" t="str">
        <x:v>S12_061_GE_10000</x:v>
      </x:c>
      <x:c r="R909" s="19" t="str">
        <x:v>S12_061 usage threshold</x:v>
      </x:c>
      <x:c r="S909" s="19" t="str">
        <x:v>https://nlftp.mlit.go.jp/ksj/gml/datalist/KsjTmplt-S12-2024.html</x:v>
      </x:c>
      <x:c r="T909" s="19" t="str">
        <x:v>https://nlftp.mlit.go.jp/ksj/gml/datalist/KsjTmplt-S12-2024.html</x:v>
      </x:c>
      <x:c r="U909" s="19" t="str">
        <x:v>station-component|岸里|大阪市高速電気軌道|metro|34.6342|135.4938|</x:v>
      </x:c>
      <x:c r="V909" s="19" t="str">
        <x:v>007493 / 007493 / 3号線(四つ橋線)</x:v>
      </x:c>
      <x:c r="W909" s="18" t="str">
        <x:v>否</x:v>
      </x:c>
      <x:c r="X909" s="18" t="str">
        <x:v>0785e932a32b3ec15e1a1345537ae145eafe1c07bf38d5c16c11ee2b391e7a28</x:v>
      </x:c>
      <x:c r="Y909" s="20" t="n">
        <x:v>1</x:v>
      </x:c>
      <x:c r="Z909" s="20" t="n">
        <x:v>1</x:v>
      </x:c>
      <x:c r="AA909" s="19"/>
      <x:c r="AB909" s="18"/>
      <x:c r="AC909" s="19"/>
    </x:row>
    <x:row r="910" ht="28" customHeight="1">
      <x:c r="A910" s="18" t="str">
        <x:v>島本</x:v>
      </x:c>
      <x:c r="B910" s="18" t="str">
        <x:v>西日本旅客鉄道</x:v>
      </x:c>
      <x:c r="C910" s="18" t="str">
        <x:v>conventional_rail</x:v>
      </x:c>
      <x:c r="D910" s="19" t="str">
        <x:v>T2</x:v>
      </x:c>
      <x:c r="E910" s="20" t="n">
        <x:v>15250</x:v>
      </x:c>
      <x:c r="F910" s="18" t="str">
        <x:v>persons/day</x:v>
      </x:c>
      <x:c r="G910" s="18" t="str">
        <x:v>FY2024</x:v>
      </x:c>
      <x:c r="H910" s="18" t="str">
        <x:v>否</x:v>
      </x:c>
      <x:c r="I910" s="19" t="str">
        <x:v>DAILY_ENTRIES_EXITS</x:v>
      </x:c>
      <x:c r="J910" s="19" t="str">
        <x:v>東海道線</x:v>
      </x:c>
      <x:c r="K910" s="18" t="str">
        <x:v>transport-node:9e5e6ad5-50ca-5e15-8128-ef38bf962ee1</x:v>
      </x:c>
      <x:c r="L910" s="19" t="str">
        <x:v>组件待审核</x:v>
      </x:c>
      <x:c r="M910" s="21" t="n">
        <x:v>34.8803667</x:v>
      </x:c>
      <x:c r="N910" s="21" t="n">
        <x:v>135.66251</x:v>
      </x:c>
      <x:c r="O910" s="18" t="str">
        <x:v>006359</x:v>
      </x:c>
      <x:c r="P910" s="18" t="str">
        <x:v>東海道線</x:v>
      </x:c>
      <x:c r="Q910" s="19" t="str">
        <x:v>S12_061_GE_10000</x:v>
      </x:c>
      <x:c r="R910" s="19" t="str">
        <x:v>S12_061 usage threshold</x:v>
      </x:c>
      <x:c r="S910" s="19" t="str">
        <x:v>https://nlftp.mlit.go.jp/ksj/gml/datalist/KsjTmplt-S12-2024.html</x:v>
      </x:c>
      <x:c r="T910" s="19" t="str">
        <x:v>https://nlftp.mlit.go.jp/ksj/gml/datalist/KsjTmplt-S12-2024.html</x:v>
      </x:c>
      <x:c r="U910" s="19" t="str">
        <x:v>station-component|島本|西日本旅客鉄道|conventional_rail|34.8804|135.6625|</x:v>
      </x:c>
      <x:c r="V910" s="19" t="str">
        <x:v>006359 / 006359 / 東海道線</x:v>
      </x:c>
      <x:c r="W910" s="18" t="str">
        <x:v>否</x:v>
      </x:c>
      <x:c r="X910" s="18" t="str">
        <x:v>0785e932a32b3ec15e1a1345537ae145eafe1c07bf38d5c16c11ee2b391e7a28</x:v>
      </x:c>
      <x:c r="Y910" s="20" t="n">
        <x:v>1</x:v>
      </x:c>
      <x:c r="Z910" s="20" t="n">
        <x:v>1</x:v>
      </x:c>
      <x:c r="AA910" s="19"/>
      <x:c r="AB910" s="18"/>
      <x:c r="AC910" s="19"/>
    </x:row>
    <x:row r="911" ht="28" customHeight="1">
      <x:c r="A911" s="18" t="str">
        <x:v>嵯峨嵐山</x:v>
      </x:c>
      <x:c r="B911" s="18" t="str">
        <x:v>西日本旅客鉄道</x:v>
      </x:c>
      <x:c r="C911" s="18" t="str">
        <x:v>conventional_rail</x:v>
      </x:c>
      <x:c r="D911" s="19" t="str">
        <x:v>T2</x:v>
      </x:c>
      <x:c r="E911" s="20" t="n">
        <x:v>19400</x:v>
      </x:c>
      <x:c r="F911" s="18" t="str">
        <x:v>persons/day</x:v>
      </x:c>
      <x:c r="G911" s="18" t="str">
        <x:v>FY2024</x:v>
      </x:c>
      <x:c r="H911" s="18" t="str">
        <x:v>否</x:v>
      </x:c>
      <x:c r="I911" s="19" t="str">
        <x:v>DAILY_ENTRIES_EXITS</x:v>
      </x:c>
      <x:c r="J911" s="19" t="str">
        <x:v>山陰線</x:v>
      </x:c>
      <x:c r="K911" s="18" t="str">
        <x:v>transport-node:7e77f659-0d19-5aa7-af7c-7d4eab1bb4f9</x:v>
      </x:c>
      <x:c r="L911" s="19" t="str">
        <x:v>组件待审核</x:v>
      </x:c>
      <x:c r="M911" s="21" t="n">
        <x:v>35.018785</x:v>
      </x:c>
      <x:c r="N911" s="21" t="n">
        <x:v>135.68131</x:v>
      </x:c>
      <x:c r="O911" s="18" t="str">
        <x:v>005914</x:v>
      </x:c>
      <x:c r="P911" s="18" t="str">
        <x:v>山陰線</x:v>
      </x:c>
      <x:c r="Q911" s="19" t="str">
        <x:v>S12_061_GE_10000</x:v>
      </x:c>
      <x:c r="R911" s="19" t="str">
        <x:v>S12_061 usage threshold</x:v>
      </x:c>
      <x:c r="S911" s="19" t="str">
        <x:v>https://nlftp.mlit.go.jp/ksj/gml/datalist/KsjTmplt-S12-2024.html</x:v>
      </x:c>
      <x:c r="T911" s="19" t="str">
        <x:v>https://nlftp.mlit.go.jp/ksj/gml/datalist/KsjTmplt-S12-2024.html</x:v>
      </x:c>
      <x:c r="U911" s="19" t="str">
        <x:v>station-component|嵯峨嵐山|西日本旅客鉄道|conventional_rail|35.0188|135.6813|</x:v>
      </x:c>
      <x:c r="V911" s="19" t="str">
        <x:v>005914 / 005914 / 山陰線</x:v>
      </x:c>
      <x:c r="W911" s="18" t="str">
        <x:v>否</x:v>
      </x:c>
      <x:c r="X911" s="18" t="str">
        <x:v>0785e932a32b3ec15e1a1345537ae145eafe1c07bf38d5c16c11ee2b391e7a28</x:v>
      </x:c>
      <x:c r="Y911" s="20" t="n">
        <x:v>1</x:v>
      </x:c>
      <x:c r="Z911" s="20" t="n">
        <x:v>1</x:v>
      </x:c>
      <x:c r="AA911" s="19"/>
      <x:c r="AB911" s="18"/>
      <x:c r="AC911" s="19"/>
    </x:row>
    <x:row r="912" ht="33" customHeight="1">
      <x:c r="A912" s="18" t="str">
        <x:v>川内</x:v>
      </x:c>
      <x:c r="B912" s="18" t="str">
        <x:v>九州旅客鉄道</x:v>
      </x:c>
      <x:c r="C912" s="18" t="str">
        <x:v>shinkansen</x:v>
      </x:c>
      <x:c r="D912" s="19"/>
      <x:c r="E912" s="20" t="n">
        <x:v>2792</x:v>
      </x:c>
      <x:c r="F912" s="18" t="str">
        <x:v>boardings/day</x:v>
      </x:c>
      <x:c r="G912" s="18" t="str">
        <x:v>FY2024</x:v>
      </x:c>
      <x:c r="H912" s="18" t="str">
        <x:v>是</x:v>
      </x:c>
      <x:c r="I912" s="19" t="str">
        <x:v>STATION_COMPLEX_PROXY</x:v>
      </x:c>
      <x:c r="J912" s="19" t="str">
        <x:v>九州新幹線</x:v>
      </x:c>
      <x:c r="K912" s="18" t="str">
        <x:v>transport-node:a98eee33-ebfd-5832-9ac6-fda8159ced18</x:v>
      </x:c>
      <x:c r="L912" s="19" t="str">
        <x:v>组件待审核</x:v>
      </x:c>
      <x:c r="M912" s="21" t="n">
        <x:v>31.813515</x:v>
      </x:c>
      <x:c r="N912" s="21" t="n">
        <x:v>130.312405</x:v>
      </x:c>
      <x:c r="O912" s="18" t="str">
        <x:v>009986</x:v>
      </x:c>
      <x:c r="P912" s="18" t="str">
        <x:v>九州新幹線</x:v>
      </x:c>
      <x:c r="Q912" s="19" t="str">
        <x:v>SHINKANSEN</x:v>
      </x:c>
      <x:c r="R912" s="19" t="str">
        <x:v>Official fallback retained in published scope/unit; tier remains null pending metric/manual review.</x:v>
      </x:c>
      <x:c r="S912" s="19" t="str">
        <x:v>https://www.jrkyushu.co.jp/company/info/data/pdf/2024ekibetsu.pdf</x:v>
      </x:c>
      <x:c r="T912" s="19" t="str">
        <x:v>https://nlftp.mlit.go.jp/ksj/gml/datalist/KsjTmplt-S12-2024.html
https://www.jrkyushu.co.jp/company/info/data/pdf/2024ekibetsu.pdf</x:v>
      </x:c>
      <x:c r="U912" s="19" t="str">
        <x:v>station-component|川内|九州旅客鉄道|shinkansen|31.8135|130.3124|</x:v>
      </x:c>
      <x:c r="V912" s="19" t="str">
        <x:v>009984 / 009986 / 九州新幹線</x:v>
      </x:c>
      <x:c r="W912" s="18" t="str">
        <x:v>否</x:v>
      </x:c>
      <x:c r="X912" s="18" t="str">
        <x:v>0785e932a32b3ec15e1a1345537ae145eafe1c07bf38d5c16c11ee2b391e7a28</x:v>
      </x:c>
      <x:c r="Y912" s="20" t="n">
        <x:v>1</x:v>
      </x:c>
      <x:c r="Z912" s="20" t="n">
        <x:v>2</x:v>
      </x:c>
      <x:c r="AA912" s="19"/>
      <x:c r="AB912" s="18"/>
      <x:c r="AC912" s="19"/>
    </x:row>
    <x:row r="913" ht="28" customHeight="1">
      <x:c r="A913" s="18" t="str">
        <x:v>川口</x:v>
      </x:c>
      <x:c r="B913" s="18" t="str">
        <x:v>東日本旅客鉄道</x:v>
      </x:c>
      <x:c r="C913" s="18" t="str">
        <x:v>conventional_rail</x:v>
      </x:c>
      <x:c r="D913" s="19" t="str">
        <x:v>T1</x:v>
      </x:c>
      <x:c r="E913" s="20" t="n">
        <x:v>150122</x:v>
      </x:c>
      <x:c r="F913" s="18" t="str">
        <x:v>persons/day</x:v>
      </x:c>
      <x:c r="G913" s="18" t="str">
        <x:v>FY2024</x:v>
      </x:c>
      <x:c r="H913" s="18" t="str">
        <x:v>否</x:v>
      </x:c>
      <x:c r="I913" s="19" t="str">
        <x:v>DAILY_ENTRIES_EXITS</x:v>
      </x:c>
      <x:c r="J913" s="19" t="str">
        <x:v>東北線</x:v>
      </x:c>
      <x:c r="K913" s="18" t="str">
        <x:v>transport-node:6104894b-22e5-5ede-84ca-fd86d8cbc289</x:v>
      </x:c>
      <x:c r="L913" s="19" t="str">
        <x:v>组件待审核</x:v>
      </x:c>
      <x:c r="M913" s="21" t="n">
        <x:v>35.801795</x:v>
      </x:c>
      <x:c r="N913" s="21" t="n">
        <x:v>139.71748</x:v>
      </x:c>
      <x:c r="O913" s="18" t="str">
        <x:v>003086</x:v>
      </x:c>
      <x:c r="P913" s="18" t="str">
        <x:v>東北線</x:v>
      </x:c>
      <x:c r="Q913" s="19" t="str">
        <x:v>S12_061_GE_10000</x:v>
      </x:c>
      <x:c r="R913" s="19" t="str">
        <x:v>S12_061 usage threshold</x:v>
      </x:c>
      <x:c r="S913" s="19" t="str">
        <x:v>https://nlftp.mlit.go.jp/ksj/gml/datalist/KsjTmplt-S12-2024.html</x:v>
      </x:c>
      <x:c r="T913" s="19" t="str">
        <x:v>https://nlftp.mlit.go.jp/ksj/gml/datalist/KsjTmplt-S12-2024.html</x:v>
      </x:c>
      <x:c r="U913" s="19" t="str">
        <x:v>station-component|川口|東日本旅客鉄道|conventional_rail|35.8018|139.7175|</x:v>
      </x:c>
      <x:c r="V913" s="19" t="str">
        <x:v>003086 / 003086 / 東北線</x:v>
      </x:c>
      <x:c r="W913" s="18" t="str">
        <x:v>否</x:v>
      </x:c>
      <x:c r="X913" s="18" t="str">
        <x:v>0785e932a32b3ec15e1a1345537ae145eafe1c07bf38d5c16c11ee2b391e7a28</x:v>
      </x:c>
      <x:c r="Y913" s="20" t="n">
        <x:v>1</x:v>
      </x:c>
      <x:c r="Z913" s="20" t="n">
        <x:v>1</x:v>
      </x:c>
      <x:c r="AA913" s="19"/>
      <x:c r="AB913" s="18"/>
      <x:c r="AC913" s="19"/>
    </x:row>
    <x:row r="914" ht="28" customHeight="1">
      <x:c r="A914" s="18" t="str">
        <x:v>川口元郷</x:v>
      </x:c>
      <x:c r="B914" s="18" t="str">
        <x:v>埼玉高速鉄道</x:v>
      </x:c>
      <x:c r="C914" s="18" t="str">
        <x:v>private_rail</x:v>
      </x:c>
      <x:c r="D914" s="19" t="str">
        <x:v>T2</x:v>
      </x:c>
      <x:c r="E914" s="20" t="n">
        <x:v>20900</x:v>
      </x:c>
      <x:c r="F914" s="18" t="str">
        <x:v>persons/day</x:v>
      </x:c>
      <x:c r="G914" s="18" t="str">
        <x:v>FY2024</x:v>
      </x:c>
      <x:c r="H914" s="18" t="str">
        <x:v>否</x:v>
      </x:c>
      <x:c r="I914" s="19" t="str">
        <x:v>DAILY_ENTRIES_EXITS</x:v>
      </x:c>
      <x:c r="J914" s="19" t="str">
        <x:v>埼玉高速鉄道線</x:v>
      </x:c>
      <x:c r="K914" s="18" t="str">
        <x:v>transport-node:24484e78-3704-5cea-990d-8da9e1edf3d9</x:v>
      </x:c>
      <x:c r="L914" s="19" t="str">
        <x:v>组件待审核</x:v>
      </x:c>
      <x:c r="M914" s="21" t="n">
        <x:v>35.79996</x:v>
      </x:c>
      <x:c r="N914" s="21" t="n">
        <x:v>139.7298633</x:v>
      </x:c>
      <x:c r="O914" s="18" t="str">
        <x:v>003092</x:v>
      </x:c>
      <x:c r="P914" s="18" t="str">
        <x:v>埼玉高速鉄道線</x:v>
      </x:c>
      <x:c r="Q914" s="19" t="str">
        <x:v>S12_061_GE_10000</x:v>
      </x:c>
      <x:c r="R914" s="19" t="str">
        <x:v>S12_061 usage threshold</x:v>
      </x:c>
      <x:c r="S914" s="19" t="str">
        <x:v>https://nlftp.mlit.go.jp/ksj/gml/datalist/KsjTmplt-S12-2024.html</x:v>
      </x:c>
      <x:c r="T914" s="19" t="str">
        <x:v>https://nlftp.mlit.go.jp/ksj/gml/datalist/KsjTmplt-S12-2024.html</x:v>
      </x:c>
      <x:c r="U914" s="19" t="str">
        <x:v>station-component|川口元郷|埼玉高速鉄道|private_rail|35.8000|139.7299|</x:v>
      </x:c>
      <x:c r="V914" s="19" t="str">
        <x:v>003092 / 003092 / 埼玉高速鉄道線</x:v>
      </x:c>
      <x:c r="W914" s="18" t="str">
        <x:v>否</x:v>
      </x:c>
      <x:c r="X914" s="18" t="str">
        <x:v>0785e932a32b3ec15e1a1345537ae145eafe1c07bf38d5c16c11ee2b391e7a28</x:v>
      </x:c>
      <x:c r="Y914" s="20" t="n">
        <x:v>1</x:v>
      </x:c>
      <x:c r="Z914" s="20" t="n">
        <x:v>1</x:v>
      </x:c>
      <x:c r="AA914" s="19"/>
      <x:c r="AB914" s="18"/>
      <x:c r="AC914" s="19"/>
    </x:row>
    <x:row r="915" ht="28" customHeight="1">
      <x:c r="A915" s="18" t="str">
        <x:v>川名</x:v>
      </x:c>
      <x:c r="B915" s="18" t="str">
        <x:v>名古屋市</x:v>
      </x:c>
      <x:c r="C915" s="18" t="str">
        <x:v>metro</x:v>
      </x:c>
      <x:c r="D915" s="19" t="str">
        <x:v>T2</x:v>
      </x:c>
      <x:c r="E915" s="20" t="n">
        <x:v>11209</x:v>
      </x:c>
      <x:c r="F915" s="18" t="str">
        <x:v>persons/day</x:v>
      </x:c>
      <x:c r="G915" s="18" t="str">
        <x:v>FY2024</x:v>
      </x:c>
      <x:c r="H915" s="18" t="str">
        <x:v>否</x:v>
      </x:c>
      <x:c r="I915" s="19" t="str">
        <x:v>DAILY_ENTRIES_EXITS</x:v>
      </x:c>
      <x:c r="J915" s="19" t="str">
        <x:v>3号線鶴舞線</x:v>
      </x:c>
      <x:c r="K915" s="18" t="str">
        <x:v>transport-node:b014ef06-3459-50e7-ae60-246cb0e1b3ac</x:v>
      </x:c>
      <x:c r="L915" s="19" t="str">
        <x:v>组件待审核</x:v>
      </x:c>
      <x:c r="M915" s="21" t="n">
        <x:v>35.148715</x:v>
      </x:c>
      <x:c r="N915" s="21" t="n">
        <x:v>136.94826</x:v>
      </x:c>
      <x:c r="O915" s="18" t="str">
        <x:v>005534</x:v>
      </x:c>
      <x:c r="P915" s="18" t="str">
        <x:v>3号線鶴舞線</x:v>
      </x:c>
      <x:c r="Q915" s="19" t="str">
        <x:v>S12_061_GE_10000</x:v>
      </x:c>
      <x:c r="R915" s="19" t="str">
        <x:v>S12_061 usage threshold</x:v>
      </x:c>
      <x:c r="S915" s="19" t="str">
        <x:v>https://nlftp.mlit.go.jp/ksj/gml/datalist/KsjTmplt-S12-2024.html</x:v>
      </x:c>
      <x:c r="T915" s="19" t="str">
        <x:v>https://nlftp.mlit.go.jp/ksj/gml/datalist/KsjTmplt-S12-2024.html</x:v>
      </x:c>
      <x:c r="U915" s="19" t="str">
        <x:v>station-component|川名|名古屋市|metro|35.1487|136.9483|</x:v>
      </x:c>
      <x:c r="V915" s="19" t="str">
        <x:v>005534 / 005534 / 3号線鶴舞線</x:v>
      </x:c>
      <x:c r="W915" s="18" t="str">
        <x:v>否</x:v>
      </x:c>
      <x:c r="X915" s="18" t="str">
        <x:v>0785e932a32b3ec15e1a1345537ae145eafe1c07bf38d5c16c11ee2b391e7a28</x:v>
      </x:c>
      <x:c r="Y915" s="20" t="n">
        <x:v>1</x:v>
      </x:c>
      <x:c r="Z915" s="20" t="n">
        <x:v>1</x:v>
      </x:c>
      <x:c r="AA915" s="19"/>
      <x:c r="AB915" s="18"/>
      <x:c r="AC915" s="19"/>
    </x:row>
    <x:row r="916" ht="33" customHeight="1">
      <x:c r="A916" s="18" t="str">
        <x:v>川崎</x:v>
      </x:c>
      <x:c r="B916" s="18" t="str">
        <x:v>東日本旅客鉄道</x:v>
      </x:c>
      <x:c r="C916" s="18" t="str">
        <x:v>conventional_rail</x:v>
      </x:c>
      <x:c r="D916" s="19" t="str">
        <x:v>T0</x:v>
      </x:c>
      <x:c r="E916" s="20" t="n">
        <x:v>388782</x:v>
      </x:c>
      <x:c r="F916" s="18" t="str">
        <x:v>persons/day</x:v>
      </x:c>
      <x:c r="G916" s="18" t="str">
        <x:v>FY2024</x:v>
      </x:c>
      <x:c r="H916" s="18" t="str">
        <x:v>否</x:v>
      </x:c>
      <x:c r="I916" s="19" t="str">
        <x:v>DAILY_ENTRIES_EXITS</x:v>
      </x:c>
      <x:c r="J916" s="19" t="str">
        <x:v>南武線
東海道線</x:v>
      </x:c>
      <x:c r="K916" s="18" t="str">
        <x:v>transport-node:ff0ff442-2faa-5485-936f-1e348b925594</x:v>
      </x:c>
      <x:c r="L916" s="19" t="str">
        <x:v>组件待审核</x:v>
      </x:c>
      <x:c r="M916" s="21" t="n">
        <x:v>35.531365</x:v>
      </x:c>
      <x:c r="N916" s="21" t="n">
        <x:v>139.69681</x:v>
      </x:c>
      <x:c r="O916" s="18" t="str">
        <x:v>004433</x:v>
      </x:c>
      <x:c r="P916" s="18" t="str">
        <x:v>南武線</x:v>
      </x:c>
      <x:c r="Q916" s="19" t="str">
        <x:v>S12_061_GE_10000
OFFICIAL_HUB_COMPONENT_REVIEW</x:v>
      </x:c>
      <x:c r="R916" s="19" t="str">
        <x:v>S12_061 usage threshold</x:v>
      </x:c>
      <x:c r="S916" s="19" t="str">
        <x:v>https://nlftp.mlit.go.jp/ksj/gml/datalist/KsjTmplt-S12-2024.html</x:v>
      </x:c>
      <x:c r="T916" s="19" t="str">
        <x:v>https://nlftp.mlit.go.jp/ksj/gml/datalist/KsjTmplt-S12-2024.html
https://timetables.jreast.co.jp/timetable/list0526.html</x:v>
      </x:c>
      <x:c r="U916" s="19" t="str">
        <x:v>station-component|川崎|東日本旅客鉄道|conventional_rail|35.5314|139.6968|</x:v>
      </x:c>
      <x:c r="V916" s="19" t="str">
        <x:v>004432 / 004432 / 東海道線
004432 / 004433 / 南武線</x:v>
      </x:c>
      <x:c r="W916" s="18" t="str">
        <x:v>否</x:v>
      </x:c>
      <x:c r="X916" s="18" t="str">
        <x:v>0785e932a32b3ec15e1a1345537ae145eafe1c07bf38d5c16c11ee2b391e7a28</x:v>
      </x:c>
      <x:c r="Y916" s="20" t="n">
        <x:v>1</x:v>
      </x:c>
      <x:c r="Z916" s="20" t="n">
        <x:v>1</x:v>
      </x:c>
      <x:c r="AA916" s="19" t="str">
        <x:v>川崎</x:v>
      </x:c>
      <x:c r="AB916" s="18" t="str">
        <x:v>transport-hub-review:0bf81cfe-3bc4-5f81-a208-95ca4caca6be</x:v>
      </x:c>
      <x:c r="AC916" s="19"/>
    </x:row>
    <x:row r="917" ht="28" customHeight="1">
      <x:c r="A917" s="18" t="str">
        <x:v>川崎大師</x:v>
      </x:c>
      <x:c r="B917" s="18" t="str">
        <x:v>京浜急行電鉄</x:v>
      </x:c>
      <x:c r="C917" s="18" t="str">
        <x:v>private_rail</x:v>
      </x:c>
      <x:c r="D917" s="19" t="str">
        <x:v>T2</x:v>
      </x:c>
      <x:c r="E917" s="20" t="n">
        <x:v>17432</x:v>
      </x:c>
      <x:c r="F917" s="18" t="str">
        <x:v>persons/day</x:v>
      </x:c>
      <x:c r="G917" s="18" t="str">
        <x:v>FY2024</x:v>
      </x:c>
      <x:c r="H917" s="18" t="str">
        <x:v>否</x:v>
      </x:c>
      <x:c r="I917" s="19" t="str">
        <x:v>DAILY_ENTRIES_EXITS</x:v>
      </x:c>
      <x:c r="J917" s="19" t="str">
        <x:v>大師線</x:v>
      </x:c>
      <x:c r="K917" s="18" t="str">
        <x:v>transport-node:ad1a62b0-0edc-5dc9-979a-cbcc1591d7d0</x:v>
      </x:c>
      <x:c r="L917" s="19" t="str">
        <x:v>组件待审核</x:v>
      </x:c>
      <x:c r="M917" s="21" t="n">
        <x:v>35.53577</x:v>
      </x:c>
      <x:c r="N917" s="21" t="n">
        <x:v>139.725995</x:v>
      </x:c>
      <x:c r="O917" s="18" t="str">
        <x:v>004413</x:v>
      </x:c>
      <x:c r="P917" s="18" t="str">
        <x:v>大師線</x:v>
      </x:c>
      <x:c r="Q917" s="19" t="str">
        <x:v>S12_061_GE_10000</x:v>
      </x:c>
      <x:c r="R917" s="19" t="str">
        <x:v>S12_061 usage threshold</x:v>
      </x:c>
      <x:c r="S917" s="19" t="str">
        <x:v>https://nlftp.mlit.go.jp/ksj/gml/datalist/KsjTmplt-S12-2024.html</x:v>
      </x:c>
      <x:c r="T917" s="19" t="str">
        <x:v>https://nlftp.mlit.go.jp/ksj/gml/datalist/KsjTmplt-S12-2024.html</x:v>
      </x:c>
      <x:c r="U917" s="19" t="str">
        <x:v>station-component|川崎大師|京浜急行電鉄|private_rail|35.5358|139.7260|</x:v>
      </x:c>
      <x:c r="V917" s="19" t="str">
        <x:v>004413 / 004413 / 大師線</x:v>
      </x:c>
      <x:c r="W917" s="18" t="str">
        <x:v>否</x:v>
      </x:c>
      <x:c r="X917" s="18" t="str">
        <x:v>0785e932a32b3ec15e1a1345537ae145eafe1c07bf38d5c16c11ee2b391e7a28</x:v>
      </x:c>
      <x:c r="Y917" s="20" t="n">
        <x:v>1</x:v>
      </x:c>
      <x:c r="Z917" s="20" t="n">
        <x:v>1</x:v>
      </x:c>
      <x:c r="AA917" s="19"/>
      <x:c r="AB917" s="18"/>
      <x:c r="AC917" s="19"/>
    </x:row>
    <x:row r="918" ht="28" customHeight="1">
      <x:c r="A918" s="18" t="str">
        <x:v>川西池田</x:v>
      </x:c>
      <x:c r="B918" s="18" t="str">
        <x:v>西日本旅客鉄道</x:v>
      </x:c>
      <x:c r="C918" s="18" t="str">
        <x:v>conventional_rail</x:v>
      </x:c>
      <x:c r="D918" s="19" t="str">
        <x:v>T2</x:v>
      </x:c>
      <x:c r="E918" s="20" t="n">
        <x:v>35374</x:v>
      </x:c>
      <x:c r="F918" s="18" t="str">
        <x:v>persons/day</x:v>
      </x:c>
      <x:c r="G918" s="18" t="str">
        <x:v>FY2024</x:v>
      </x:c>
      <x:c r="H918" s="18" t="str">
        <x:v>否</x:v>
      </x:c>
      <x:c r="I918" s="19" t="str">
        <x:v>DAILY_ENTRIES_EXITS</x:v>
      </x:c>
      <x:c r="J918" s="19" t="str">
        <x:v>福知山線</x:v>
      </x:c>
      <x:c r="K918" s="18" t="str">
        <x:v>transport-node:07694d91-4de1-57cc-9813-a302fa393c5f</x:v>
      </x:c>
      <x:c r="L918" s="19" t="str">
        <x:v>组件待审核</x:v>
      </x:c>
      <x:c r="M918" s="21" t="n">
        <x:v>34.82489</x:v>
      </x:c>
      <x:c r="N918" s="21" t="n">
        <x:v>135.40981</x:v>
      </x:c>
      <x:c r="O918" s="18" t="str">
        <x:v>006522</x:v>
      </x:c>
      <x:c r="P918" s="18" t="str">
        <x:v>福知山線</x:v>
      </x:c>
      <x:c r="Q918" s="19" t="str">
        <x:v>S12_061_GE_10000</x:v>
      </x:c>
      <x:c r="R918" s="19" t="str">
        <x:v>S12_061 usage threshold</x:v>
      </x:c>
      <x:c r="S918" s="19" t="str">
        <x:v>https://nlftp.mlit.go.jp/ksj/gml/datalist/KsjTmplt-S12-2024.html</x:v>
      </x:c>
      <x:c r="T918" s="19" t="str">
        <x:v>https://nlftp.mlit.go.jp/ksj/gml/datalist/KsjTmplt-S12-2024.html</x:v>
      </x:c>
      <x:c r="U918" s="19" t="str">
        <x:v>station-component|川西池田|西日本旅客鉄道|conventional_rail|34.8249|135.4098|</x:v>
      </x:c>
      <x:c r="V918" s="19" t="str">
        <x:v>006522 / 006522 / 福知山線</x:v>
      </x:c>
      <x:c r="W918" s="18" t="str">
        <x:v>否</x:v>
      </x:c>
      <x:c r="X918" s="18" t="str">
        <x:v>0785e932a32b3ec15e1a1345537ae145eafe1c07bf38d5c16c11ee2b391e7a28</x:v>
      </x:c>
      <x:c r="Y918" s="20" t="n">
        <x:v>1</x:v>
      </x:c>
      <x:c r="Z918" s="20" t="n">
        <x:v>1</x:v>
      </x:c>
      <x:c r="AA918" s="19"/>
      <x:c r="AB918" s="18"/>
      <x:c r="AC918" s="19"/>
    </x:row>
    <x:row r="919" ht="28" customHeight="1">
      <x:c r="A919" s="18" t="str">
        <x:v>川西能勢口</x:v>
      </x:c>
      <x:c r="B919" s="18" t="str">
        <x:v>阪急電鉄</x:v>
      </x:c>
      <x:c r="C919" s="18" t="str">
        <x:v>private_rail</x:v>
      </x:c>
      <x:c r="D919" s="19" t="str">
        <x:v>T1</x:v>
      </x:c>
      <x:c r="E919" s="20" t="n">
        <x:v>50798</x:v>
      </x:c>
      <x:c r="F919" s="18" t="str">
        <x:v>persons/day</x:v>
      </x:c>
      <x:c r="G919" s="18" t="str">
        <x:v>FY2024</x:v>
      </x:c>
      <x:c r="H919" s="18" t="str">
        <x:v>否</x:v>
      </x:c>
      <x:c r="I919" s="19" t="str">
        <x:v>DAILY_ENTRIES_EXITS</x:v>
      </x:c>
      <x:c r="J919" s="19" t="str">
        <x:v>宝塚線</x:v>
      </x:c>
      <x:c r="K919" s="18" t="str">
        <x:v>transport-node:134170ea-0739-506e-81e3-47021ef69d53</x:v>
      </x:c>
      <x:c r="L919" s="19" t="str">
        <x:v>组件待审核</x:v>
      </x:c>
      <x:c r="M919" s="21" t="n">
        <x:v>34.8274267</x:v>
      </x:c>
      <x:c r="N919" s="21" t="n">
        <x:v>135.413295</x:v>
      </x:c>
      <x:c r="O919" s="18" t="str">
        <x:v>006504</x:v>
      </x:c>
      <x:c r="P919" s="18" t="str">
        <x:v>宝塚線</x:v>
      </x:c>
      <x:c r="Q919" s="19" t="str">
        <x:v>S12_061_GE_10000</x:v>
      </x:c>
      <x:c r="R919" s="19" t="str">
        <x:v>S12_061 usage threshold</x:v>
      </x:c>
      <x:c r="S919" s="19" t="str">
        <x:v>https://nlftp.mlit.go.jp/ksj/gml/datalist/KsjTmplt-S12-2024.html</x:v>
      </x:c>
      <x:c r="T919" s="19" t="str">
        <x:v>https://nlftp.mlit.go.jp/ksj/gml/datalist/KsjTmplt-S12-2024.html</x:v>
      </x:c>
      <x:c r="U919" s="19" t="str">
        <x:v>station-component|川西能勢口|阪急電鉄|private_rail|34.8274|135.4133|</x:v>
      </x:c>
      <x:c r="V919" s="19" t="str">
        <x:v>006501 / 006504 / 宝塚線</x:v>
      </x:c>
      <x:c r="W919" s="18" t="str">
        <x:v>否</x:v>
      </x:c>
      <x:c r="X919" s="18" t="str">
        <x:v>0785e932a32b3ec15e1a1345537ae145eafe1c07bf38d5c16c11ee2b391e7a28</x:v>
      </x:c>
      <x:c r="Y919" s="20" t="n">
        <x:v>1</x:v>
      </x:c>
      <x:c r="Z919" s="20" t="n">
        <x:v>1</x:v>
      </x:c>
      <x:c r="AA919" s="19"/>
      <x:c r="AB919" s="18"/>
      <x:c r="AC919" s="19"/>
    </x:row>
    <x:row r="920" ht="28" customHeight="1">
      <x:c r="A920" s="18" t="str">
        <x:v>川角</x:v>
      </x:c>
      <x:c r="B920" s="18" t="str">
        <x:v>東武鉄道</x:v>
      </x:c>
      <x:c r="C920" s="18" t="str">
        <x:v>private_rail</x:v>
      </x:c>
      <x:c r="D920" s="19" t="str">
        <x:v>T2</x:v>
      </x:c>
      <x:c r="E920" s="20" t="n">
        <x:v>11886</x:v>
      </x:c>
      <x:c r="F920" s="18" t="str">
        <x:v>persons/day</x:v>
      </x:c>
      <x:c r="G920" s="18" t="str">
        <x:v>FY2024</x:v>
      </x:c>
      <x:c r="H920" s="18" t="str">
        <x:v>否</x:v>
      </x:c>
      <x:c r="I920" s="19" t="str">
        <x:v>DAILY_ENTRIES_EXITS</x:v>
      </x:c>
      <x:c r="J920" s="19" t="str">
        <x:v>越生線</x:v>
      </x:c>
      <x:c r="K920" s="18" t="str">
        <x:v>transport-node:8a60fad2-ccb6-5d8b-b275-f7beaad11078</x:v>
      </x:c>
      <x:c r="L920" s="19" t="str">
        <x:v>组件待审核</x:v>
      </x:c>
      <x:c r="M920" s="21" t="n">
        <x:v>35.937605</x:v>
      </x:c>
      <x:c r="N920" s="21" t="n">
        <x:v>139.346475</x:v>
      </x:c>
      <x:c r="O920" s="18" t="str">
        <x:v>002850</x:v>
      </x:c>
      <x:c r="P920" s="18" t="str">
        <x:v>越生線</x:v>
      </x:c>
      <x:c r="Q920" s="19" t="str">
        <x:v>S12_061_GE_10000</x:v>
      </x:c>
      <x:c r="R920" s="19" t="str">
        <x:v>S12_061 usage threshold</x:v>
      </x:c>
      <x:c r="S920" s="19" t="str">
        <x:v>https://nlftp.mlit.go.jp/ksj/gml/datalist/KsjTmplt-S12-2024.html</x:v>
      </x:c>
      <x:c r="T920" s="19" t="str">
        <x:v>https://nlftp.mlit.go.jp/ksj/gml/datalist/KsjTmplt-S12-2024.html</x:v>
      </x:c>
      <x:c r="U920" s="19" t="str">
        <x:v>station-component|川角|東武鉄道|private_rail|35.9376|139.3465|</x:v>
      </x:c>
      <x:c r="V920" s="19" t="str">
        <x:v>002850 / 002850 / 越生線</x:v>
      </x:c>
      <x:c r="W920" s="18" t="str">
        <x:v>否</x:v>
      </x:c>
      <x:c r="X920" s="18" t="str">
        <x:v>0785e932a32b3ec15e1a1345537ae145eafe1c07bf38d5c16c11ee2b391e7a28</x:v>
      </x:c>
      <x:c r="Y920" s="20" t="n">
        <x:v>1</x:v>
      </x:c>
      <x:c r="Z920" s="20" t="n">
        <x:v>1</x:v>
      </x:c>
      <x:c r="AA920" s="19"/>
      <x:c r="AB920" s="18"/>
      <x:c r="AC920" s="19"/>
    </x:row>
    <x:row r="921" ht="33" customHeight="1">
      <x:c r="A921" s="18" t="str">
        <x:v>川越</x:v>
      </x:c>
      <x:c r="B921" s="18" t="str">
        <x:v>東日本旅客鉄道</x:v>
      </x:c>
      <x:c r="C921" s="18" t="str">
        <x:v>conventional_rail</x:v>
      </x:c>
      <x:c r="D921" s="19" t="str">
        <x:v>T1</x:v>
      </x:c>
      <x:c r="E921" s="20" t="n">
        <x:v>72160</x:v>
      </x:c>
      <x:c r="F921" s="18" t="str">
        <x:v>persons/day</x:v>
      </x:c>
      <x:c r="G921" s="18" t="str">
        <x:v>FY2024</x:v>
      </x:c>
      <x:c r="H921" s="18" t="str">
        <x:v>否</x:v>
      </x:c>
      <x:c r="I921" s="19" t="str">
        <x:v>DAILY_ENTRIES_EXITS</x:v>
      </x:c>
      <x:c r="J921" s="19" t="str">
        <x:v>川越線</x:v>
      </x:c>
      <x:c r="K921" s="18" t="str">
        <x:v>transport-node:467227e4-1d40-5ba3-8baa-82f74b33dfe6</x:v>
      </x:c>
      <x:c r="L921" s="19" t="str">
        <x:v>组件待审核</x:v>
      </x:c>
      <x:c r="M921" s="21" t="n">
        <x:v>35.90675</x:v>
      </x:c>
      <x:c r="N921" s="21" t="n">
        <x:v>139.48314</x:v>
      </x:c>
      <x:c r="O921" s="18" t="str">
        <x:v>002910</x:v>
      </x:c>
      <x:c r="P921" s="18" t="str">
        <x:v>川越線</x:v>
      </x:c>
      <x:c r="Q921" s="19" t="str">
        <x:v>S12_061_GE_10000
OFFICIAL_HUB_COMPONENT_REVIEW</x:v>
      </x:c>
      <x:c r="R921" s="19" t="str">
        <x:v>S12_061 usage threshold</x:v>
      </x:c>
      <x:c r="S921" s="19" t="str">
        <x:v>https://nlftp.mlit.go.jp/ksj/gml/datalist/KsjTmplt-S12-2024.html</x:v>
      </x:c>
      <x:c r="T921" s="19" t="str">
        <x:v>https://nlftp.mlit.go.jp/ksj/gml/datalist/KsjTmplt-S12-2024.html
https://www.tobu.co.jp/railway/guide/station/info/7315/</x:v>
      </x:c>
      <x:c r="U921" s="19" t="str">
        <x:v>station-component|川越|東日本旅客鉄道|conventional_rail|35.9068|139.4831|</x:v>
      </x:c>
      <x:c r="V921" s="19" t="str">
        <x:v>002909 / 002910 / 川越線</x:v>
      </x:c>
      <x:c r="W921" s="18" t="str">
        <x:v>否</x:v>
      </x:c>
      <x:c r="X921" s="18" t="str">
        <x:v>0785e932a32b3ec15e1a1345537ae145eafe1c07bf38d5c16c11ee2b391e7a28</x:v>
      </x:c>
      <x:c r="Y921" s="20" t="n">
        <x:v>1</x:v>
      </x:c>
      <x:c r="Z921" s="20" t="n">
        <x:v>1</x:v>
      </x:c>
      <x:c r="AA921" s="19" t="str">
        <x:v>川越</x:v>
      </x:c>
      <x:c r="AB921" s="18" t="str">
        <x:v>transport-hub-review:f14c151c-962b-55be-846d-24e57eb961d2</x:v>
      </x:c>
      <x:c r="AC921" s="19"/>
    </x:row>
    <x:row r="922" ht="33" customHeight="1">
      <x:c r="A922" s="18" t="str">
        <x:v>川越</x:v>
      </x:c>
      <x:c r="B922" s="18" t="str">
        <x:v>東武鉄道</x:v>
      </x:c>
      <x:c r="C922" s="18" t="str">
        <x:v>private_rail</x:v>
      </x:c>
      <x:c r="D922" s="19" t="str">
        <x:v>T1</x:v>
      </x:c>
      <x:c r="E922" s="20" t="n">
        <x:v>117404</x:v>
      </x:c>
      <x:c r="F922" s="18" t="str">
        <x:v>persons/day</x:v>
      </x:c>
      <x:c r="G922" s="18" t="str">
        <x:v>FY2024</x:v>
      </x:c>
      <x:c r="H922" s="18" t="str">
        <x:v>否</x:v>
      </x:c>
      <x:c r="I922" s="19" t="str">
        <x:v>DAILY_ENTRIES_EXITS</x:v>
      </x:c>
      <x:c r="J922" s="19" t="str">
        <x:v>東上本線</x:v>
      </x:c>
      <x:c r="K922" s="18" t="str">
        <x:v>transport-node:02d9bf87-2c79-5a07-8ca8-97c973934be9</x:v>
      </x:c>
      <x:c r="L922" s="19" t="str">
        <x:v>组件待审核</x:v>
      </x:c>
      <x:c r="M922" s="21" t="n">
        <x:v>35.907355</x:v>
      </x:c>
      <x:c r="N922" s="21" t="n">
        <x:v>139.4829925</x:v>
      </x:c>
      <x:c r="O922" s="18" t="str">
        <x:v>002909</x:v>
      </x:c>
      <x:c r="P922" s="18" t="str">
        <x:v>東上本線</x:v>
      </x:c>
      <x:c r="Q922" s="19" t="str">
        <x:v>S12_061_GE_10000
OFFICIAL_HUB_COMPONENT_REVIEW</x:v>
      </x:c>
      <x:c r="R922" s="19" t="str">
        <x:v>S12_061 usage threshold</x:v>
      </x:c>
      <x:c r="S922" s="19" t="str">
        <x:v>https://nlftp.mlit.go.jp/ksj/gml/datalist/KsjTmplt-S12-2024.html</x:v>
      </x:c>
      <x:c r="T922" s="19" t="str">
        <x:v>https://nlftp.mlit.go.jp/ksj/gml/datalist/KsjTmplt-S12-2024.html
https://www.tobu.co.jp/railway/guide/station/info/7315/</x:v>
      </x:c>
      <x:c r="U922" s="19" t="str">
        <x:v>station-component|川越|東武鉄道|private_rail|35.9074|139.4830|</x:v>
      </x:c>
      <x:c r="V922" s="19" t="str">
        <x:v>002909 / 002909 / 東上本線</x:v>
      </x:c>
      <x:c r="W922" s="18" t="str">
        <x:v>否</x:v>
      </x:c>
      <x:c r="X922" s="18" t="str">
        <x:v>0785e932a32b3ec15e1a1345537ae145eafe1c07bf38d5c16c11ee2b391e7a28</x:v>
      </x:c>
      <x:c r="Y922" s="20" t="n">
        <x:v>1</x:v>
      </x:c>
      <x:c r="Z922" s="20" t="n">
        <x:v>1</x:v>
      </x:c>
      <x:c r="AA922" s="19" t="str">
        <x:v>川越</x:v>
      </x:c>
      <x:c r="AB922" s="18" t="str">
        <x:v>transport-hub-review:f14c151c-962b-55be-846d-24e57eb961d2</x:v>
      </x:c>
      <x:c r="AC922" s="19"/>
    </x:row>
    <x:row r="923" ht="28" customHeight="1">
      <x:c r="A923" s="18" t="str">
        <x:v>川越市</x:v>
      </x:c>
      <x:c r="B923" s="18" t="str">
        <x:v>東武鉄道</x:v>
      </x:c>
      <x:c r="C923" s="18" t="str">
        <x:v>private_rail</x:v>
      </x:c>
      <x:c r="D923" s="19" t="str">
        <x:v>T2</x:v>
      </x:c>
      <x:c r="E923" s="20" t="n">
        <x:v>43704</x:v>
      </x:c>
      <x:c r="F923" s="18" t="str">
        <x:v>persons/day</x:v>
      </x:c>
      <x:c r="G923" s="18" t="str">
        <x:v>FY2024</x:v>
      </x:c>
      <x:c r="H923" s="18" t="str">
        <x:v>否</x:v>
      </x:c>
      <x:c r="I923" s="19" t="str">
        <x:v>DAILY_ENTRIES_EXITS</x:v>
      </x:c>
      <x:c r="J923" s="19" t="str">
        <x:v>東上本線</x:v>
      </x:c>
      <x:c r="K923" s="18" t="str">
        <x:v>transport-node:1223f1a9-73ba-5990-8fb6-a35be0d93598</x:v>
      </x:c>
      <x:c r="L923" s="19" t="str">
        <x:v>组件待审核</x:v>
      </x:c>
      <x:c r="M923" s="21" t="n">
        <x:v>35.914135</x:v>
      </x:c>
      <x:c r="N923" s="21" t="n">
        <x:v>139.477095</x:v>
      </x:c>
      <x:c r="O923" s="18" t="str">
        <x:v>002893</x:v>
      </x:c>
      <x:c r="P923" s="18" t="str">
        <x:v>東上本線</x:v>
      </x:c>
      <x:c r="Q923" s="19" t="str">
        <x:v>S12_061_GE_10000</x:v>
      </x:c>
      <x:c r="R923" s="19" t="str">
        <x:v>S12_061 usage threshold</x:v>
      </x:c>
      <x:c r="S923" s="19" t="str">
        <x:v>https://nlftp.mlit.go.jp/ksj/gml/datalist/KsjTmplt-S12-2024.html</x:v>
      </x:c>
      <x:c r="T923" s="19" t="str">
        <x:v>https://nlftp.mlit.go.jp/ksj/gml/datalist/KsjTmplt-S12-2024.html</x:v>
      </x:c>
      <x:c r="U923" s="19" t="str">
        <x:v>station-component|川越市|東武鉄道|private_rail|35.9141|139.4771|</x:v>
      </x:c>
      <x:c r="V923" s="19" t="str">
        <x:v>002893 / 002893 / 東上本線</x:v>
      </x:c>
      <x:c r="W923" s="18" t="str">
        <x:v>否</x:v>
      </x:c>
      <x:c r="X923" s="18" t="str">
        <x:v>0785e932a32b3ec15e1a1345537ae145eafe1c07bf38d5c16c11ee2b391e7a28</x:v>
      </x:c>
      <x:c r="Y923" s="20" t="n">
        <x:v>1</x:v>
      </x:c>
      <x:c r="Z923" s="20" t="n">
        <x:v>1</x:v>
      </x:c>
      <x:c r="AA923" s="19"/>
      <x:c r="AB923" s="18"/>
      <x:c r="AC923" s="19"/>
    </x:row>
    <x:row r="924" ht="28" customHeight="1">
      <x:c r="A924" s="18" t="str">
        <x:v>川間</x:v>
      </x:c>
      <x:c r="B924" s="18" t="str">
        <x:v>東武鉄道</x:v>
      </x:c>
      <x:c r="C924" s="18" t="str">
        <x:v>private_rail</x:v>
      </x:c>
      <x:c r="D924" s="19" t="str">
        <x:v>T2</x:v>
      </x:c>
      <x:c r="E924" s="20" t="n">
        <x:v>15867</x:v>
      </x:c>
      <x:c r="F924" s="18" t="str">
        <x:v>persons/day</x:v>
      </x:c>
      <x:c r="G924" s="18" t="str">
        <x:v>FY2024</x:v>
      </x:c>
      <x:c r="H924" s="18" t="str">
        <x:v>否</x:v>
      </x:c>
      <x:c r="I924" s="19" t="str">
        <x:v>DAILY_ENTRIES_EXITS</x:v>
      </x:c>
      <x:c r="J924" s="19" t="str">
        <x:v>野田線</x:v>
      </x:c>
      <x:c r="K924" s="18" t="str">
        <x:v>transport-node:491f87a5-b338-53c9-ba3f-96918af1e25c</x:v>
      </x:c>
      <x:c r="L924" s="19" t="str">
        <x:v>组件待审核</x:v>
      </x:c>
      <x:c r="M924" s="21" t="n">
        <x:v>35.97919</x:v>
      </x:c>
      <x:c r="N924" s="21" t="n">
        <x:v>139.834545</x:v>
      </x:c>
      <x:c r="O924" s="18" t="str">
        <x:v>002788</x:v>
      </x:c>
      <x:c r="P924" s="18" t="str">
        <x:v>野田線</x:v>
      </x:c>
      <x:c r="Q924" s="19" t="str">
        <x:v>S12_061_GE_10000</x:v>
      </x:c>
      <x:c r="R924" s="19" t="str">
        <x:v>S12_061 usage threshold</x:v>
      </x:c>
      <x:c r="S924" s="19" t="str">
        <x:v>https://nlftp.mlit.go.jp/ksj/gml/datalist/KsjTmplt-S12-2024.html</x:v>
      </x:c>
      <x:c r="T924" s="19" t="str">
        <x:v>https://nlftp.mlit.go.jp/ksj/gml/datalist/KsjTmplt-S12-2024.html</x:v>
      </x:c>
      <x:c r="U924" s="19" t="str">
        <x:v>station-component|川間|東武鉄道|private_rail|35.9792|139.8345|</x:v>
      </x:c>
      <x:c r="V924" s="19" t="str">
        <x:v>002788 / 002788 / 野田線</x:v>
      </x:c>
      <x:c r="W924" s="18" t="str">
        <x:v>否</x:v>
      </x:c>
      <x:c r="X924" s="18" t="str">
        <x:v>0785e932a32b3ec15e1a1345537ae145eafe1c07bf38d5c16c11ee2b391e7a28</x:v>
      </x:c>
      <x:c r="Y924" s="20" t="n">
        <x:v>1</x:v>
      </x:c>
      <x:c r="Z924" s="20" t="n">
        <x:v>1</x:v>
      </x:c>
      <x:c r="AA924" s="19"/>
      <x:c r="AB924" s="18"/>
      <x:c r="AC924" s="19"/>
    </x:row>
    <x:row r="925" ht="33" customHeight="1">
      <x:c r="A925" s="18" t="str">
        <x:v>巣鴨</x:v>
      </x:c>
      <x:c r="B925" s="18" t="str">
        <x:v>東京都</x:v>
      </x:c>
      <x:c r="C925" s="18" t="str">
        <x:v>metro</x:v>
      </x:c>
      <x:c r="D925" s="19" t="str">
        <x:v>T1</x:v>
      </x:c>
      <x:c r="E925" s="20" t="n">
        <x:v>53999</x:v>
      </x:c>
      <x:c r="F925" s="18" t="str">
        <x:v>persons/day</x:v>
      </x:c>
      <x:c r="G925" s="18" t="str">
        <x:v>FY2024</x:v>
      </x:c>
      <x:c r="H925" s="18" t="str">
        <x:v>否</x:v>
      </x:c>
      <x:c r="I925" s="19" t="str">
        <x:v>DAILY_ENTRIES_EXITS</x:v>
      </x:c>
      <x:c r="J925" s="19" t="str">
        <x:v>6号線三田線</x:v>
      </x:c>
      <x:c r="K925" s="18" t="str">
        <x:v>transport-node:58f486f1-ef41-5687-bffe-4ba33922f688</x:v>
      </x:c>
      <x:c r="L925" s="19" t="str">
        <x:v>组件待审核</x:v>
      </x:c>
      <x:c r="M925" s="21" t="n">
        <x:v>35.73378</x:v>
      </x:c>
      <x:c r="N925" s="21" t="n">
        <x:v>139.738035</x:v>
      </x:c>
      <x:c r="O925" s="18" t="str">
        <x:v>003354</x:v>
      </x:c>
      <x:c r="P925" s="18" t="str">
        <x:v>6号線三田線</x:v>
      </x:c>
      <x:c r="Q925" s="19" t="str">
        <x:v>S12_061_GE_10000
OFFICIAL_HUB_COMPONENT_REVIEW</x:v>
      </x:c>
      <x:c r="R925" s="19" t="str">
        <x:v>S12_061 usage threshold</x:v>
      </x:c>
      <x:c r="S925" s="19" t="str">
        <x:v>https://nlftp.mlit.go.jp/ksj/gml/datalist/KsjTmplt-S12-2024.html</x:v>
      </x:c>
      <x:c r="T925" s="19" t="str">
        <x:v>https://nlftp.mlit.go.jp/ksj/gml/datalist/KsjTmplt-S12-2024.html
https://www.kotsu.metro.tokyo.jp/subway/stations/sugamo.html</x:v>
      </x:c>
      <x:c r="U925" s="19" t="str">
        <x:v>station-component|巣鴨|東京都|metro|35.7338|139.7380|</x:v>
      </x:c>
      <x:c r="V925" s="19" t="str">
        <x:v>003354 / 003354 / 6号線三田線</x:v>
      </x:c>
      <x:c r="W925" s="18" t="str">
        <x:v>否</x:v>
      </x:c>
      <x:c r="X925" s="18" t="str">
        <x:v>0785e932a32b3ec15e1a1345537ae145eafe1c07bf38d5c16c11ee2b391e7a28</x:v>
      </x:c>
      <x:c r="Y925" s="20" t="n">
        <x:v>1</x:v>
      </x:c>
      <x:c r="Z925" s="20" t="n">
        <x:v>1</x:v>
      </x:c>
      <x:c r="AA925" s="19" t="str">
        <x:v>巣鴨</x:v>
      </x:c>
      <x:c r="AB925" s="18" t="str">
        <x:v>transport-hub-review:288f9de0-b917-52fa-b053-328d3209147f</x:v>
      </x:c>
      <x:c r="AC925" s="19"/>
    </x:row>
    <x:row r="926" ht="33" customHeight="1">
      <x:c r="A926" s="18" t="str">
        <x:v>巣鴨</x:v>
      </x:c>
      <x:c r="B926" s="18" t="str">
        <x:v>東日本旅客鉄道</x:v>
      </x:c>
      <x:c r="C926" s="18" t="str">
        <x:v>conventional_rail</x:v>
      </x:c>
      <x:c r="D926" s="19" t="str">
        <x:v>T1</x:v>
      </x:c>
      <x:c r="E926" s="20" t="n">
        <x:v>134320</x:v>
      </x:c>
      <x:c r="F926" s="18" t="str">
        <x:v>persons/day</x:v>
      </x:c>
      <x:c r="G926" s="18" t="str">
        <x:v>FY2024</x:v>
      </x:c>
      <x:c r="H926" s="18" t="str">
        <x:v>否</x:v>
      </x:c>
      <x:c r="I926" s="19" t="str">
        <x:v>DAILY_ENTRIES_EXITS</x:v>
      </x:c>
      <x:c r="J926" s="19" t="str">
        <x:v>山手線</x:v>
      </x:c>
      <x:c r="K926" s="18" t="str">
        <x:v>transport-node:be5aee14-e90a-5e69-b519-ff263d5be1c0</x:v>
      </x:c>
      <x:c r="L926" s="19" t="str">
        <x:v>组件待审核</x:v>
      </x:c>
      <x:c r="M926" s="21" t="n">
        <x:v>35.73372</x:v>
      </x:c>
      <x:c r="N926" s="21" t="n">
        <x:v>139.74035</x:v>
      </x:c>
      <x:c r="O926" s="18" t="str">
        <x:v>003356</x:v>
      </x:c>
      <x:c r="P926" s="18" t="str">
        <x:v>山手線</x:v>
      </x:c>
      <x:c r="Q926" s="19" t="str">
        <x:v>S12_061_GE_10000
OFFICIAL_HUB_COMPONENT_REVIEW</x:v>
      </x:c>
      <x:c r="R926" s="19" t="str">
        <x:v>S12_061 usage threshold</x:v>
      </x:c>
      <x:c r="S926" s="19" t="str">
        <x:v>https://nlftp.mlit.go.jp/ksj/gml/datalist/KsjTmplt-S12-2024.html</x:v>
      </x:c>
      <x:c r="T926" s="19" t="str">
        <x:v>https://nlftp.mlit.go.jp/ksj/gml/datalist/KsjTmplt-S12-2024.html
https://www.kotsu.metro.tokyo.jp/subway/stations/sugamo.html</x:v>
      </x:c>
      <x:c r="U926" s="19" t="str">
        <x:v>station-component|巣鴨|東日本旅客鉄道|conventional_rail|35.7337|139.7404|</x:v>
      </x:c>
      <x:c r="V926" s="19" t="str">
        <x:v>003354 / 003356 / 山手線</x:v>
      </x:c>
      <x:c r="W926" s="18" t="str">
        <x:v>否</x:v>
      </x:c>
      <x:c r="X926" s="18" t="str">
        <x:v>0785e932a32b3ec15e1a1345537ae145eafe1c07bf38d5c16c11ee2b391e7a28</x:v>
      </x:c>
      <x:c r="Y926" s="20" t="n">
        <x:v>1</x:v>
      </x:c>
      <x:c r="Z926" s="20" t="n">
        <x:v>1</x:v>
      </x:c>
      <x:c r="AA926" s="19" t="str">
        <x:v>巣鴨</x:v>
      </x:c>
      <x:c r="AB926" s="18" t="str">
        <x:v>transport-hub-review:288f9de0-b917-52fa-b053-328d3209147f</x:v>
      </x:c>
      <x:c r="AC926" s="19"/>
    </x:row>
    <x:row r="927" ht="28" customHeight="1">
      <x:c r="A927" s="18" t="str">
        <x:v>市が尾</x:v>
      </x:c>
      <x:c r="B927" s="18" t="str">
        <x:v>東急電鉄</x:v>
      </x:c>
      <x:c r="C927" s="18" t="str">
        <x:v>private_rail</x:v>
      </x:c>
      <x:c r="D927" s="19" t="str">
        <x:v>T2</x:v>
      </x:c>
      <x:c r="E927" s="20" t="n">
        <x:v>38633</x:v>
      </x:c>
      <x:c r="F927" s="18" t="str">
        <x:v>persons/day</x:v>
      </x:c>
      <x:c r="G927" s="18" t="str">
        <x:v>FY2024</x:v>
      </x:c>
      <x:c r="H927" s="18" t="str">
        <x:v>否</x:v>
      </x:c>
      <x:c r="I927" s="19" t="str">
        <x:v>DAILY_ENTRIES_EXITS</x:v>
      </x:c>
      <x:c r="J927" s="19" t="str">
        <x:v>田園都市線</x:v>
      </x:c>
      <x:c r="K927" s="18" t="str">
        <x:v>transport-node:6f3cd3c9-6729-5a38-902a-bd6da0170220</x:v>
      </x:c>
      <x:c r="L927" s="19" t="str">
        <x:v>组件待审核</x:v>
      </x:c>
      <x:c r="M927" s="21" t="n">
        <x:v>35.551265</x:v>
      </x:c>
      <x:c r="N927" s="21" t="n">
        <x:v>139.54126</x:v>
      </x:c>
      <x:c r="O927" s="18" t="str">
        <x:v>004360</x:v>
      </x:c>
      <x:c r="P927" s="18" t="str">
        <x:v>田園都市線</x:v>
      </x:c>
      <x:c r="Q927" s="19" t="str">
        <x:v>S12_061_GE_10000</x:v>
      </x:c>
      <x:c r="R927" s="19" t="str">
        <x:v>S12_061 usage threshold</x:v>
      </x:c>
      <x:c r="S927" s="19" t="str">
        <x:v>https://nlftp.mlit.go.jp/ksj/gml/datalist/KsjTmplt-S12-2024.html</x:v>
      </x:c>
      <x:c r="T927" s="19" t="str">
        <x:v>https://nlftp.mlit.go.jp/ksj/gml/datalist/KsjTmplt-S12-2024.html</x:v>
      </x:c>
      <x:c r="U927" s="19" t="str">
        <x:v>station-component|市が尾|東急電鉄|private_rail|35.5513|139.5413|</x:v>
      </x:c>
      <x:c r="V927" s="19" t="str">
        <x:v>004360 / 004360 / 田園都市線</x:v>
      </x:c>
      <x:c r="W927" s="18" t="str">
        <x:v>否</x:v>
      </x:c>
      <x:c r="X927" s="18" t="str">
        <x:v>0785e932a32b3ec15e1a1345537ae145eafe1c07bf38d5c16c11ee2b391e7a28</x:v>
      </x:c>
      <x:c r="Y927" s="20" t="n">
        <x:v>1</x:v>
      </x:c>
      <x:c r="Z927" s="20" t="n">
        <x:v>1</x:v>
      </x:c>
      <x:c r="AA927" s="19"/>
      <x:c r="AB927" s="18"/>
      <x:c r="AC927" s="19"/>
    </x:row>
    <x:row r="928" ht="33" customHeight="1">
      <x:c r="A928" s="18" t="str">
        <x:v>市ヶ谷</x:v>
      </x:c>
      <x:c r="B928" s="18" t="str">
        <x:v>東京地下鉄</x:v>
      </x:c>
      <x:c r="C928" s="18" t="str">
        <x:v>metro</x:v>
      </x:c>
      <x:c r="D928" s="19" t="str">
        <x:v>T1</x:v>
      </x:c>
      <x:c r="E928" s="20" t="n">
        <x:v>133367</x:v>
      </x:c>
      <x:c r="F928" s="18" t="str">
        <x:v>persons/day</x:v>
      </x:c>
      <x:c r="G928" s="18" t="str">
        <x:v>FY2024</x:v>
      </x:c>
      <x:c r="H928" s="18" t="str">
        <x:v>否</x:v>
      </x:c>
      <x:c r="I928" s="19" t="str">
        <x:v>DAILY_ENTRIES_EXITS</x:v>
      </x:c>
      <x:c r="J928" s="19" t="str">
        <x:v>7号線南北線
8号線有楽町線</x:v>
      </x:c>
      <x:c r="K928" s="18" t="str">
        <x:v>transport-node:b032434f-ab95-569e-b1ee-a0d0d8a6af40</x:v>
      </x:c>
      <x:c r="L928" s="19" t="str">
        <x:v>组件待审核</x:v>
      </x:c>
      <x:c r="M928" s="21" t="n">
        <x:v>35.693025</x:v>
      </x:c>
      <x:c r="N928" s="21" t="n">
        <x:v>139.7364575</x:v>
      </x:c>
      <x:c r="O928" s="18" t="str">
        <x:v>003670</x:v>
      </x:c>
      <x:c r="P928" s="18" t="str">
        <x:v>7号線南北線</x:v>
      </x:c>
      <x:c r="Q928" s="19" t="str">
        <x:v>S12_061_GE_10000
OFFICIAL_HUB_COMPONENT_REVIEW</x:v>
      </x:c>
      <x:c r="R928" s="19" t="str">
        <x:v>S12_061 usage threshold</x:v>
      </x:c>
      <x:c r="S928" s="19" t="str">
        <x:v>https://nlftp.mlit.go.jp/ksj/gml/datalist/KsjTmplt-S12-2024.html</x:v>
      </x:c>
      <x:c r="T928" s="19" t="str">
        <x:v>https://nlftp.mlit.go.jp/ksj/gml/datalist/KsjTmplt-S12-2024.html
https://www.tokyometro.jp/station/ichigaya/index.html</x:v>
      </x:c>
      <x:c r="U928" s="19" t="str">
        <x:v>station-component|市ヶ谷|東京地下鉄|metro|35.6930|139.7365|</x:v>
      </x:c>
      <x:c r="V928" s="19" t="str">
        <x:v>003671 / 003670 / 7号線南北線
003671 / 003671 / 8号線有楽町線</x:v>
      </x:c>
      <x:c r="W928" s="18" t="str">
        <x:v>否</x:v>
      </x:c>
      <x:c r="X928" s="18" t="str">
        <x:v>0785e932a32b3ec15e1a1345537ae145eafe1c07bf38d5c16c11ee2b391e7a28</x:v>
      </x:c>
      <x:c r="Y928" s="20" t="n">
        <x:v>1</x:v>
      </x:c>
      <x:c r="Z928" s="20" t="n">
        <x:v>1</x:v>
      </x:c>
      <x:c r="AA928" s="19" t="str">
        <x:v>市ケ谷</x:v>
      </x:c>
      <x:c r="AB928" s="18" t="str">
        <x:v>transport-hub-review:e8b0aaf0-3a75-5626-a751-94af22702f51</x:v>
      </x:c>
      <x:c r="AC928" s="19"/>
    </x:row>
    <x:row r="929" ht="33" customHeight="1">
      <x:c r="A929" s="18" t="str">
        <x:v>市ヶ谷</x:v>
      </x:c>
      <x:c r="B929" s="18" t="str">
        <x:v>東京都</x:v>
      </x:c>
      <x:c r="C929" s="18" t="str">
        <x:v>metro</x:v>
      </x:c>
      <x:c r="D929" s="19" t="str">
        <x:v>T2</x:v>
      </x:c>
      <x:c r="E929" s="20" t="n">
        <x:v>43945</x:v>
      </x:c>
      <x:c r="F929" s="18" t="str">
        <x:v>persons/day</x:v>
      </x:c>
      <x:c r="G929" s="18" t="str">
        <x:v>FY2024</x:v>
      </x:c>
      <x:c r="H929" s="18" t="str">
        <x:v>否</x:v>
      </x:c>
      <x:c r="I929" s="19" t="str">
        <x:v>DAILY_ENTRIES_EXITS</x:v>
      </x:c>
      <x:c r="J929" s="19" t="str">
        <x:v>10号線新宿線</x:v>
      </x:c>
      <x:c r="K929" s="18" t="str">
        <x:v>transport-node:cbaf4dbe-9ede-5626-a926-f64c65feee31</x:v>
      </x:c>
      <x:c r="L929" s="19" t="str">
        <x:v>组件待审核</x:v>
      </x:c>
      <x:c r="M929" s="21" t="n">
        <x:v>35.691455</x:v>
      </x:c>
      <x:c r="N929" s="21" t="n">
        <x:v>139.737385</x:v>
      </x:c>
      <x:c r="O929" s="18" t="str">
        <x:v>003680</x:v>
      </x:c>
      <x:c r="P929" s="18" t="str">
        <x:v>10号線新宿線</x:v>
      </x:c>
      <x:c r="Q929" s="19" t="str">
        <x:v>S12_061_GE_10000
OFFICIAL_HUB_COMPONENT_REVIEW</x:v>
      </x:c>
      <x:c r="R929" s="19" t="str">
        <x:v>S12_061 usage threshold</x:v>
      </x:c>
      <x:c r="S929" s="19" t="str">
        <x:v>https://nlftp.mlit.go.jp/ksj/gml/datalist/KsjTmplt-S12-2024.html</x:v>
      </x:c>
      <x:c r="T929" s="19" t="str">
        <x:v>https://nlftp.mlit.go.jp/ksj/gml/datalist/KsjTmplt-S12-2024.html
https://www.tokyometro.jp/station/ichigaya/index.html</x:v>
      </x:c>
      <x:c r="U929" s="19" t="str">
        <x:v>station-component|市ヶ谷|東京都|metro|35.6915|139.7374|</x:v>
      </x:c>
      <x:c r="V929" s="19" t="str">
        <x:v>003671 / 003680 / 10号線新宿線</x:v>
      </x:c>
      <x:c r="W929" s="18" t="str">
        <x:v>否</x:v>
      </x:c>
      <x:c r="X929" s="18" t="str">
        <x:v>0785e932a32b3ec15e1a1345537ae145eafe1c07bf38d5c16c11ee2b391e7a28</x:v>
      </x:c>
      <x:c r="Y929" s="20" t="n">
        <x:v>1</x:v>
      </x:c>
      <x:c r="Z929" s="20" t="n">
        <x:v>1</x:v>
      </x:c>
      <x:c r="AA929" s="19" t="str">
        <x:v>市ケ谷</x:v>
      </x:c>
      <x:c r="AB929" s="18" t="str">
        <x:v>transport-hub-review:e8b0aaf0-3a75-5626-a751-94af22702f51</x:v>
      </x:c>
      <x:c r="AC929" s="19"/>
    </x:row>
    <x:row r="930" ht="33" customHeight="1">
      <x:c r="A930" s="18" t="str">
        <x:v>市ヶ谷</x:v>
      </x:c>
      <x:c r="B930" s="18" t="str">
        <x:v>東日本旅客鉄道</x:v>
      </x:c>
      <x:c r="C930" s="18" t="str">
        <x:v>conventional_rail</x:v>
      </x:c>
      <x:c r="D930" s="19" t="str">
        <x:v>T1</x:v>
      </x:c>
      <x:c r="E930" s="20" t="n">
        <x:v>102104</x:v>
      </x:c>
      <x:c r="F930" s="18" t="str">
        <x:v>persons/day</x:v>
      </x:c>
      <x:c r="G930" s="18" t="str">
        <x:v>FY2024</x:v>
      </x:c>
      <x:c r="H930" s="18" t="str">
        <x:v>否</x:v>
      </x:c>
      <x:c r="I930" s="19" t="str">
        <x:v>DAILY_ENTRIES_EXITS</x:v>
      </x:c>
      <x:c r="J930" s="19" t="str">
        <x:v>中央線</x:v>
      </x:c>
      <x:c r="K930" s="18" t="str">
        <x:v>transport-node:1e425af8-8da1-5f1f-844f-20add439e613</x:v>
      </x:c>
      <x:c r="L930" s="19" t="str">
        <x:v>组件待审核</x:v>
      </x:c>
      <x:c r="M930" s="21" t="n">
        <x:v>35.691155</x:v>
      </x:c>
      <x:c r="N930" s="21" t="n">
        <x:v>139.73532</x:v>
      </x:c>
      <x:c r="O930" s="18" t="str">
        <x:v>003685</x:v>
      </x:c>
      <x:c r="P930" s="18" t="str">
        <x:v>中央線</x:v>
      </x:c>
      <x:c r="Q930" s="19" t="str">
        <x:v>S12_061_GE_10000
OFFICIAL_HUB_COMPONENT_REVIEW</x:v>
      </x:c>
      <x:c r="R930" s="19" t="str">
        <x:v>S12_061 usage threshold</x:v>
      </x:c>
      <x:c r="S930" s="19" t="str">
        <x:v>https://nlftp.mlit.go.jp/ksj/gml/datalist/KsjTmplt-S12-2024.html</x:v>
      </x:c>
      <x:c r="T930" s="19" t="str">
        <x:v>https://nlftp.mlit.go.jp/ksj/gml/datalist/KsjTmplt-S12-2024.html
https://www.tokyometro.jp/station/ichigaya/index.html</x:v>
      </x:c>
      <x:c r="U930" s="19" t="str">
        <x:v>station-component|市ヶ谷|東日本旅客鉄道|conventional_rail|35.6912|139.7353|</x:v>
      </x:c>
      <x:c r="V930" s="19" t="str">
        <x:v>003671 / 003685 / 中央線</x:v>
      </x:c>
      <x:c r="W930" s="18" t="str">
        <x:v>否</x:v>
      </x:c>
      <x:c r="X930" s="18" t="str">
        <x:v>0785e932a32b3ec15e1a1345537ae145eafe1c07bf38d5c16c11ee2b391e7a28</x:v>
      </x:c>
      <x:c r="Y930" s="20" t="n">
        <x:v>1</x:v>
      </x:c>
      <x:c r="Z930" s="20" t="n">
        <x:v>1</x:v>
      </x:c>
      <x:c r="AA930" s="19" t="str">
        <x:v>市ケ谷</x:v>
      </x:c>
      <x:c r="AB930" s="18" t="str">
        <x:v>transport-hub-review:e8b0aaf0-3a75-5626-a751-94af22702f51</x:v>
      </x:c>
      <x:c r="AC930" s="19"/>
    </x:row>
    <x:row r="931" ht="28" customHeight="1">
      <x:c r="A931" s="18" t="str">
        <x:v>市場前</x:v>
      </x:c>
      <x:c r="B931" s="18" t="str">
        <x:v>ゆりかもめ</x:v>
      </x:c>
      <x:c r="C931" s="18" t="str">
        <x:v>fixed_guideway</x:v>
      </x:c>
      <x:c r="D931" s="19" t="str">
        <x:v>T2</x:v>
      </x:c>
      <x:c r="E931" s="20" t="n">
        <x:v>16534</x:v>
      </x:c>
      <x:c r="F931" s="18" t="str">
        <x:v>persons/day</x:v>
      </x:c>
      <x:c r="G931" s="18" t="str">
        <x:v>FY2024</x:v>
      </x:c>
      <x:c r="H931" s="18" t="str">
        <x:v>否</x:v>
      </x:c>
      <x:c r="I931" s="19" t="str">
        <x:v>DAILY_ENTRIES_EXITS</x:v>
      </x:c>
      <x:c r="J931" s="19" t="str">
        <x:v>東京臨海新交通臨海線</x:v>
      </x:c>
      <x:c r="K931" s="18" t="str">
        <x:v>transport-node:6388effc-cadc-5504-a4f7-085816e1b979</x:v>
      </x:c>
      <x:c r="L931" s="19" t="str">
        <x:v>组件待审核</x:v>
      </x:c>
      <x:c r="M931" s="21" t="n">
        <x:v>35.64569</x:v>
      </x:c>
      <x:c r="N931" s="21" t="n">
        <x:v>139.78565</x:v>
      </x:c>
      <x:c r="O931" s="18" t="str">
        <x:v>004001</x:v>
      </x:c>
      <x:c r="P931" s="18" t="str">
        <x:v>東京臨海新交通臨海線</x:v>
      </x:c>
      <x:c r="Q931" s="19" t="str">
        <x:v>S12_061_GE_10000</x:v>
      </x:c>
      <x:c r="R931" s="19" t="str">
        <x:v>S12_061 usage threshold</x:v>
      </x:c>
      <x:c r="S931" s="19" t="str">
        <x:v>https://nlftp.mlit.go.jp/ksj/gml/datalist/KsjTmplt-S12-2024.html</x:v>
      </x:c>
      <x:c r="T931" s="19" t="str">
        <x:v>https://nlftp.mlit.go.jp/ksj/gml/datalist/KsjTmplt-S12-2024.html</x:v>
      </x:c>
      <x:c r="U931" s="19" t="str">
        <x:v>station-component|市場前|ゆりかもめ|fixed_guideway|35.6457|139.7857|</x:v>
      </x:c>
      <x:c r="V931" s="19" t="str">
        <x:v>004001 / 004001 / 東京臨海新交通臨海線</x:v>
      </x:c>
      <x:c r="W931" s="18" t="str">
        <x:v>否</x:v>
      </x:c>
      <x:c r="X931" s="18" t="str">
        <x:v>0785e932a32b3ec15e1a1345537ae145eafe1c07bf38d5c16c11ee2b391e7a28</x:v>
      </x:c>
      <x:c r="Y931" s="20" t="n">
        <x:v>1</x:v>
      </x:c>
      <x:c r="Z931" s="20" t="n">
        <x:v>1</x:v>
      </x:c>
      <x:c r="AA931" s="19"/>
      <x:c r="AB931" s="18"/>
      <x:c r="AC931" s="19"/>
    </x:row>
    <x:row r="932" ht="28" customHeight="1">
      <x:c r="A932" s="18" t="str">
        <x:v>市大医学部</x:v>
      </x:c>
      <x:c r="B932" s="18" t="str">
        <x:v>横浜シーサイドライン</x:v>
      </x:c>
      <x:c r="C932" s="18" t="str">
        <x:v>fixed_guideway</x:v>
      </x:c>
      <x:c r="D932" s="19" t="str">
        <x:v>T2</x:v>
      </x:c>
      <x:c r="E932" s="20" t="n">
        <x:v>11058</x:v>
      </x:c>
      <x:c r="F932" s="18" t="str">
        <x:v>persons/day</x:v>
      </x:c>
      <x:c r="G932" s="18" t="str">
        <x:v>FY2024</x:v>
      </x:c>
      <x:c r="H932" s="18" t="str">
        <x:v>否</x:v>
      </x:c>
      <x:c r="I932" s="19" t="str">
        <x:v>DAILY_ENTRIES_EXITS</x:v>
      </x:c>
      <x:c r="J932" s="19" t="str">
        <x:v>金沢シーサイドライン</x:v>
      </x:c>
      <x:c r="K932" s="18" t="str">
        <x:v>transport-node:46e79241-8c13-5585-a3ed-8cfd913d3714</x:v>
      </x:c>
      <x:c r="L932" s="19" t="str">
        <x:v>组件待审核</x:v>
      </x:c>
      <x:c r="M932" s="21" t="n">
        <x:v>35.343905</x:v>
      </x:c>
      <x:c r="N932" s="21" t="n">
        <x:v>139.65013</x:v>
      </x:c>
      <x:c r="O932" s="18" t="str">
        <x:v>004984</x:v>
      </x:c>
      <x:c r="P932" s="18" t="str">
        <x:v>金沢シーサイドライン</x:v>
      </x:c>
      <x:c r="Q932" s="19" t="str">
        <x:v>S12_061_GE_10000</x:v>
      </x:c>
      <x:c r="R932" s="19" t="str">
        <x:v>S12_061 usage threshold</x:v>
      </x:c>
      <x:c r="S932" s="19" t="str">
        <x:v>https://nlftp.mlit.go.jp/ksj/gml/datalist/KsjTmplt-S12-2024.html</x:v>
      </x:c>
      <x:c r="T932" s="19" t="str">
        <x:v>https://nlftp.mlit.go.jp/ksj/gml/datalist/KsjTmplt-S12-2024.html</x:v>
      </x:c>
      <x:c r="U932" s="19" t="str">
        <x:v>station-component|市大医学部|横浜シーサイドライン|fixed_guideway|35.3439|139.6501|</x:v>
      </x:c>
      <x:c r="V932" s="19" t="str">
        <x:v>004984 / 004984 / 金沢シーサイドライン</x:v>
      </x:c>
      <x:c r="W932" s="18" t="str">
        <x:v>否</x:v>
      </x:c>
      <x:c r="X932" s="18" t="str">
        <x:v>0785e932a32b3ec15e1a1345537ae145eafe1c07bf38d5c16c11ee2b391e7a28</x:v>
      </x:c>
      <x:c r="Y932" s="20" t="n">
        <x:v>1</x:v>
      </x:c>
      <x:c r="Z932" s="20" t="n">
        <x:v>1</x:v>
      </x:c>
      <x:c r="AA932" s="19"/>
      <x:c r="AB932" s="18"/>
      <x:c r="AC932" s="19"/>
    </x:row>
    <x:row r="933" ht="28" customHeight="1">
      <x:c r="A933" s="18" t="str">
        <x:v>市川</x:v>
      </x:c>
      <x:c r="B933" s="18" t="str">
        <x:v>東日本旅客鉄道</x:v>
      </x:c>
      <x:c r="C933" s="18" t="str">
        <x:v>conventional_rail</x:v>
      </x:c>
      <x:c r="D933" s="19" t="str">
        <x:v>T1</x:v>
      </x:c>
      <x:c r="E933" s="20" t="n">
        <x:v>112842</x:v>
      </x:c>
      <x:c r="F933" s="18" t="str">
        <x:v>persons/day</x:v>
      </x:c>
      <x:c r="G933" s="18" t="str">
        <x:v>FY2024</x:v>
      </x:c>
      <x:c r="H933" s="18" t="str">
        <x:v>否</x:v>
      </x:c>
      <x:c r="I933" s="19" t="str">
        <x:v>DAILY_ENTRIES_EXITS</x:v>
      </x:c>
      <x:c r="J933" s="19" t="str">
        <x:v>総武線</x:v>
      </x:c>
      <x:c r="K933" s="18" t="str">
        <x:v>transport-node:2c092284-4e83-5b06-9d97-526734e4a284</x:v>
      </x:c>
      <x:c r="L933" s="19" t="str">
        <x:v>组件待审核</x:v>
      </x:c>
      <x:c r="M933" s="21" t="n">
        <x:v>35.72887</x:v>
      </x:c>
      <x:c r="N933" s="21" t="n">
        <x:v>139.90817</x:v>
      </x:c>
      <x:c r="O933" s="18" t="str">
        <x:v>003403</x:v>
      </x:c>
      <x:c r="P933" s="18" t="str">
        <x:v>総武線</x:v>
      </x:c>
      <x:c r="Q933" s="19" t="str">
        <x:v>S12_061_GE_10000</x:v>
      </x:c>
      <x:c r="R933" s="19" t="str">
        <x:v>S12_061 usage threshold</x:v>
      </x:c>
      <x:c r="S933" s="19" t="str">
        <x:v>https://nlftp.mlit.go.jp/ksj/gml/datalist/KsjTmplt-S12-2024.html</x:v>
      </x:c>
      <x:c r="T933" s="19" t="str">
        <x:v>https://nlftp.mlit.go.jp/ksj/gml/datalist/KsjTmplt-S12-2024.html</x:v>
      </x:c>
      <x:c r="U933" s="19" t="str">
        <x:v>station-component|市川|東日本旅客鉄道|conventional_rail|35.7289|139.9082|</x:v>
      </x:c>
      <x:c r="V933" s="19" t="str">
        <x:v>003403 / 003403 / 総武線</x:v>
      </x:c>
      <x:c r="W933" s="18" t="str">
        <x:v>否</x:v>
      </x:c>
      <x:c r="X933" s="18" t="str">
        <x:v>0785e932a32b3ec15e1a1345537ae145eafe1c07bf38d5c16c11ee2b391e7a28</x:v>
      </x:c>
      <x:c r="Y933" s="20" t="n">
        <x:v>1</x:v>
      </x:c>
      <x:c r="Z933" s="20" t="n">
        <x:v>1</x:v>
      </x:c>
      <x:c r="AA933" s="19"/>
      <x:c r="AB933" s="18"/>
      <x:c r="AC933" s="19"/>
    </x:row>
    <x:row r="934" ht="28" customHeight="1">
      <x:c r="A934" s="18" t="str">
        <x:v>市川塩浜</x:v>
      </x:c>
      <x:c r="B934" s="18" t="str">
        <x:v>東日本旅客鉄道</x:v>
      </x:c>
      <x:c r="C934" s="18" t="str">
        <x:v>conventional_rail</x:v>
      </x:c>
      <x:c r="D934" s="19" t="str">
        <x:v>T2</x:v>
      </x:c>
      <x:c r="E934" s="20" t="n">
        <x:v>15764</x:v>
      </x:c>
      <x:c r="F934" s="18" t="str">
        <x:v>persons/day</x:v>
      </x:c>
      <x:c r="G934" s="18" t="str">
        <x:v>FY2024</x:v>
      </x:c>
      <x:c r="H934" s="18" t="str">
        <x:v>否</x:v>
      </x:c>
      <x:c r="I934" s="19" t="str">
        <x:v>DAILY_ENTRIES_EXITS</x:v>
      </x:c>
      <x:c r="J934" s="19" t="str">
        <x:v>京葉線</x:v>
      </x:c>
      <x:c r="K934" s="18" t="str">
        <x:v>transport-node:89029416-7847-5e4e-93b9-170fc19ad507</x:v>
      </x:c>
      <x:c r="L934" s="19" t="str">
        <x:v>组件待审核</x:v>
      </x:c>
      <x:c r="M934" s="21" t="n">
        <x:v>35.6662325</x:v>
      </x:c>
      <x:c r="N934" s="21" t="n">
        <x:v>139.923525</x:v>
      </x:c>
      <x:c r="O934" s="18" t="str">
        <x:v>003870</x:v>
      </x:c>
      <x:c r="P934" s="18" t="str">
        <x:v>京葉線</x:v>
      </x:c>
      <x:c r="Q934" s="19" t="str">
        <x:v>S12_061_GE_10000</x:v>
      </x:c>
      <x:c r="R934" s="19" t="str">
        <x:v>S12_061 usage threshold</x:v>
      </x:c>
      <x:c r="S934" s="19" t="str">
        <x:v>https://nlftp.mlit.go.jp/ksj/gml/datalist/KsjTmplt-S12-2024.html</x:v>
      </x:c>
      <x:c r="T934" s="19" t="str">
        <x:v>https://nlftp.mlit.go.jp/ksj/gml/datalist/KsjTmplt-S12-2024.html</x:v>
      </x:c>
      <x:c r="U934" s="19" t="str">
        <x:v>station-component|市川塩浜|東日本旅客鉄道|conventional_rail|35.6662|139.9235|</x:v>
      </x:c>
      <x:c r="V934" s="19" t="str">
        <x:v>003870 / 003870 / 京葉線</x:v>
      </x:c>
      <x:c r="W934" s="18" t="str">
        <x:v>否</x:v>
      </x:c>
      <x:c r="X934" s="18" t="str">
        <x:v>0785e932a32b3ec15e1a1345537ae145eafe1c07bf38d5c16c11ee2b391e7a28</x:v>
      </x:c>
      <x:c r="Y934" s="20" t="n">
        <x:v>1</x:v>
      </x:c>
      <x:c r="Z934" s="20" t="n">
        <x:v>1</x:v>
      </x:c>
      <x:c r="AA934" s="19"/>
      <x:c r="AB934" s="18"/>
      <x:c r="AC934" s="19"/>
    </x:row>
    <x:row r="935" ht="28" customHeight="1">
      <x:c r="A935" s="18" t="str">
        <x:v>市川大野</x:v>
      </x:c>
      <x:c r="B935" s="18" t="str">
        <x:v>東日本旅客鉄道</x:v>
      </x:c>
      <x:c r="C935" s="18" t="str">
        <x:v>conventional_rail</x:v>
      </x:c>
      <x:c r="D935" s="19" t="str">
        <x:v>T2</x:v>
      </x:c>
      <x:c r="E935" s="20" t="n">
        <x:v>22360</x:v>
      </x:c>
      <x:c r="F935" s="18" t="str">
        <x:v>persons/day</x:v>
      </x:c>
      <x:c r="G935" s="18" t="str">
        <x:v>FY2024</x:v>
      </x:c>
      <x:c r="H935" s="18" t="str">
        <x:v>否</x:v>
      </x:c>
      <x:c r="I935" s="19" t="str">
        <x:v>DAILY_ENTRIES_EXITS</x:v>
      </x:c>
      <x:c r="J935" s="19" t="str">
        <x:v>武蔵野線</x:v>
      </x:c>
      <x:c r="K935" s="18" t="str">
        <x:v>transport-node:8887ea18-5911-5b37-9b87-994059426aa2</x:v>
      </x:c>
      <x:c r="L935" s="19" t="str">
        <x:v>组件待审核</x:v>
      </x:c>
      <x:c r="M935" s="21" t="n">
        <x:v>35.755405</x:v>
      </x:c>
      <x:c r="N935" s="21" t="n">
        <x:v>139.95128</x:v>
      </x:c>
      <x:c r="O935" s="18" t="str">
        <x:v>003234</x:v>
      </x:c>
      <x:c r="P935" s="18" t="str">
        <x:v>武蔵野線</x:v>
      </x:c>
      <x:c r="Q935" s="19" t="str">
        <x:v>S12_061_GE_10000</x:v>
      </x:c>
      <x:c r="R935" s="19" t="str">
        <x:v>S12_061 usage threshold</x:v>
      </x:c>
      <x:c r="S935" s="19" t="str">
        <x:v>https://nlftp.mlit.go.jp/ksj/gml/datalist/KsjTmplt-S12-2024.html</x:v>
      </x:c>
      <x:c r="T935" s="19" t="str">
        <x:v>https://nlftp.mlit.go.jp/ksj/gml/datalist/KsjTmplt-S12-2024.html</x:v>
      </x:c>
      <x:c r="U935" s="19" t="str">
        <x:v>station-component|市川大野|東日本旅客鉄道|conventional_rail|35.7554|139.9513|</x:v>
      </x:c>
      <x:c r="V935" s="19" t="str">
        <x:v>003234 / 003234 / 武蔵野線</x:v>
      </x:c>
      <x:c r="W935" s="18" t="str">
        <x:v>否</x:v>
      </x:c>
      <x:c r="X935" s="18" t="str">
        <x:v>0785e932a32b3ec15e1a1345537ae145eafe1c07bf38d5c16c11ee2b391e7a28</x:v>
      </x:c>
      <x:c r="Y935" s="20" t="n">
        <x:v>1</x:v>
      </x:c>
      <x:c r="Z935" s="20" t="n">
        <x:v>1</x:v>
      </x:c>
      <x:c r="AA935" s="19"/>
      <x:c r="AB935" s="18"/>
      <x:c r="AC935" s="19"/>
    </x:row>
    <x:row r="936" ht="28" customHeight="1">
      <x:c r="A936" s="18" t="str">
        <x:v>市民広場</x:v>
      </x:c>
      <x:c r="B936" s="18" t="str">
        <x:v>神戸新交通</x:v>
      </x:c>
      <x:c r="C936" s="18" t="str">
        <x:v>fixed_guideway</x:v>
      </x:c>
      <x:c r="D936" s="19" t="str">
        <x:v>T2</x:v>
      </x:c>
      <x:c r="E936" s="20" t="n">
        <x:v>13411</x:v>
      </x:c>
      <x:c r="F936" s="18" t="str">
        <x:v>persons/day</x:v>
      </x:c>
      <x:c r="G936" s="18" t="str">
        <x:v>FY2024</x:v>
      </x:c>
      <x:c r="H936" s="18" t="str">
        <x:v>否</x:v>
      </x:c>
      <x:c r="I936" s="19" t="str">
        <x:v>DAILY_ENTRIES_EXITS</x:v>
      </x:c>
      <x:c r="J936" s="19" t="str">
        <x:v>ポートアイランド線</x:v>
      </x:c>
      <x:c r="K936" s="18" t="str">
        <x:v>transport-node:9eda94d7-13ed-515f-9552-3bc258bd0808</x:v>
      </x:c>
      <x:c r="L936" s="19" t="str">
        <x:v>组件待审核</x:v>
      </x:c>
      <x:c r="M936" s="21" t="n">
        <x:v>34.664905</x:v>
      </x:c>
      <x:c r="N936" s="21" t="n">
        <x:v>135.21244</x:v>
      </x:c>
      <x:c r="O936" s="18" t="str">
        <x:v>007340</x:v>
      </x:c>
      <x:c r="P936" s="18" t="str">
        <x:v>ポートアイランド線</x:v>
      </x:c>
      <x:c r="Q936" s="19" t="str">
        <x:v>S12_061_GE_10000</x:v>
      </x:c>
      <x:c r="R936" s="19" t="str">
        <x:v>S12_061 usage threshold</x:v>
      </x:c>
      <x:c r="S936" s="19" t="str">
        <x:v>https://nlftp.mlit.go.jp/ksj/gml/datalist/KsjTmplt-S12-2024.html</x:v>
      </x:c>
      <x:c r="T936" s="19" t="str">
        <x:v>https://nlftp.mlit.go.jp/ksj/gml/datalist/KsjTmplt-S12-2024.html</x:v>
      </x:c>
      <x:c r="U936" s="19" t="str">
        <x:v>station-component|市民広場|神戸新交通|fixed_guideway|34.6649|135.2124|</x:v>
      </x:c>
      <x:c r="V936" s="19" t="str">
        <x:v>007340 / 007340 / ポートアイランド線</x:v>
      </x:c>
      <x:c r="W936" s="18" t="str">
        <x:v>否</x:v>
      </x:c>
      <x:c r="X936" s="18" t="str">
        <x:v>0785e932a32b3ec15e1a1345537ae145eafe1c07bf38d5c16c11ee2b391e7a28</x:v>
      </x:c>
      <x:c r="Y936" s="20" t="n">
        <x:v>1</x:v>
      </x:c>
      <x:c r="Z936" s="20" t="n">
        <x:v>1</x:v>
      </x:c>
      <x:c r="AA936" s="19"/>
      <x:c r="AB936" s="18"/>
      <x:c r="AC936" s="19"/>
    </x:row>
    <x:row r="937" ht="33" customHeight="1">
      <x:c r="A937" s="18" t="str">
        <x:v>布施</x:v>
      </x:c>
      <x:c r="B937" s="18" t="str">
        <x:v>近畿日本鉄道</x:v>
      </x:c>
      <x:c r="C937" s="18" t="str">
        <x:v>private_rail</x:v>
      </x:c>
      <x:c r="D937" s="19" t="str">
        <x:v>T2</x:v>
      </x:c>
      <x:c r="E937" s="20" t="n">
        <x:v>35636</x:v>
      </x:c>
      <x:c r="F937" s="18" t="str">
        <x:v>persons/day</x:v>
      </x:c>
      <x:c r="G937" s="18" t="str">
        <x:v>FY2024</x:v>
      </x:c>
      <x:c r="H937" s="18" t="str">
        <x:v>否</x:v>
      </x:c>
      <x:c r="I937" s="19" t="str">
        <x:v>DAILY_ENTRIES_EXITS</x:v>
      </x:c>
      <x:c r="J937" s="19" t="str">
        <x:v>大阪線
奈良線</x:v>
      </x:c>
      <x:c r="K937" s="18" t="str">
        <x:v>transport-node:c0fca377-99dc-5e04-99ef-26ac6861da0a</x:v>
      </x:c>
      <x:c r="L937" s="19" t="str">
        <x:v>组件待审核</x:v>
      </x:c>
      <x:c r="M937" s="21" t="n">
        <x:v>34.664085</x:v>
      </x:c>
      <x:c r="N937" s="21" t="n">
        <x:v>135.56357</x:v>
      </x:c>
      <x:c r="O937" s="18" t="str">
        <x:v>007348</x:v>
      </x:c>
      <x:c r="P937" s="18" t="str">
        <x:v>奈良線</x:v>
      </x:c>
      <x:c r="Q937" s="19" t="str">
        <x:v>S12_061_GE_10000</x:v>
      </x:c>
      <x:c r="R937" s="19" t="str">
        <x:v>S12_061 usage threshold</x:v>
      </x:c>
      <x:c r="S937" s="19" t="str">
        <x:v>https://nlftp.mlit.go.jp/ksj/gml/datalist/KsjTmplt-S12-2024.html</x:v>
      </x:c>
      <x:c r="T937" s="19" t="str">
        <x:v>https://nlftp.mlit.go.jp/ksj/gml/datalist/KsjTmplt-S12-2024.html</x:v>
      </x:c>
      <x:c r="U937" s="19" t="str">
        <x:v>station-component|布施|近畿日本鉄道|private_rail|34.6641|135.5636|</x:v>
      </x:c>
      <x:c r="V937" s="19" t="str">
        <x:v>007347 / 007347 / 大阪線
007347 / 007348 / 奈良線</x:v>
      </x:c>
      <x:c r="W937" s="18" t="str">
        <x:v>否</x:v>
      </x:c>
      <x:c r="X937" s="18" t="str">
        <x:v>0785e932a32b3ec15e1a1345537ae145eafe1c07bf38d5c16c11ee2b391e7a28</x:v>
      </x:c>
      <x:c r="Y937" s="20" t="n">
        <x:v>1</x:v>
      </x:c>
      <x:c r="Z937" s="20" t="n">
        <x:v>1</x:v>
      </x:c>
      <x:c r="AA937" s="19"/>
      <x:c r="AB937" s="18"/>
      <x:c r="AC937" s="19"/>
    </x:row>
    <x:row r="938" ht="28" customHeight="1">
      <x:c r="A938" s="18" t="str">
        <x:v>布田</x:v>
      </x:c>
      <x:c r="B938" s="18" t="str">
        <x:v>京王電鉄</x:v>
      </x:c>
      <x:c r="C938" s="18" t="str">
        <x:v>private_rail</x:v>
      </x:c>
      <x:c r="D938" s="19" t="str">
        <x:v>T2</x:v>
      </x:c>
      <x:c r="E938" s="20" t="n">
        <x:v>13497</x:v>
      </x:c>
      <x:c r="F938" s="18" t="str">
        <x:v>persons/day</x:v>
      </x:c>
      <x:c r="G938" s="18" t="str">
        <x:v>FY2024</x:v>
      </x:c>
      <x:c r="H938" s="18" t="str">
        <x:v>否</x:v>
      </x:c>
      <x:c r="I938" s="19" t="str">
        <x:v>DAILY_ENTRIES_EXITS</x:v>
      </x:c>
      <x:c r="J938" s="19" t="str">
        <x:v>京王線</x:v>
      </x:c>
      <x:c r="K938" s="18" t="str">
        <x:v>transport-node:f5412f80-0bd1-5f45-9e06-570d4eb3c65c</x:v>
      </x:c>
      <x:c r="L938" s="19" t="str">
        <x:v>组件待审核</x:v>
      </x:c>
      <x:c r="M938" s="21" t="n">
        <x:v>35.64986</x:v>
      </x:c>
      <x:c r="N938" s="21" t="n">
        <x:v>139.551715</x:v>
      </x:c>
      <x:c r="O938" s="18" t="str">
        <x:v>003975</x:v>
      </x:c>
      <x:c r="P938" s="18" t="str">
        <x:v>京王線</x:v>
      </x:c>
      <x:c r="Q938" s="19" t="str">
        <x:v>S12_061_GE_10000</x:v>
      </x:c>
      <x:c r="R938" s="19" t="str">
        <x:v>S12_061 usage threshold</x:v>
      </x:c>
      <x:c r="S938" s="19" t="str">
        <x:v>https://nlftp.mlit.go.jp/ksj/gml/datalist/KsjTmplt-S12-2024.html</x:v>
      </x:c>
      <x:c r="T938" s="19" t="str">
        <x:v>https://nlftp.mlit.go.jp/ksj/gml/datalist/KsjTmplt-S12-2024.html</x:v>
      </x:c>
      <x:c r="U938" s="19" t="str">
        <x:v>station-component|布田|京王電鉄|private_rail|35.6499|139.5517|</x:v>
      </x:c>
      <x:c r="V938" s="19" t="str">
        <x:v>003975 / 003975 / 京王線</x:v>
      </x:c>
      <x:c r="W938" s="18" t="str">
        <x:v>否</x:v>
      </x:c>
      <x:c r="X938" s="18" t="str">
        <x:v>0785e932a32b3ec15e1a1345537ae145eafe1c07bf38d5c16c11ee2b391e7a28</x:v>
      </x:c>
      <x:c r="Y938" s="20" t="n">
        <x:v>1</x:v>
      </x:c>
      <x:c r="Z938" s="20" t="n">
        <x:v>1</x:v>
      </x:c>
      <x:c r="AA938" s="19"/>
      <x:c r="AB938" s="18"/>
      <x:c r="AC938" s="19"/>
    </x:row>
    <x:row r="939" ht="28" customHeight="1">
      <x:c r="A939" s="18" t="str">
        <x:v>希望ヶ丘</x:v>
      </x:c>
      <x:c r="B939" s="18" t="str">
        <x:v>相模鉄道</x:v>
      </x:c>
      <x:c r="C939" s="18" t="str">
        <x:v>private_rail</x:v>
      </x:c>
      <x:c r="D939" s="19" t="str">
        <x:v>T2</x:v>
      </x:c>
      <x:c r="E939" s="20" t="n">
        <x:v>31558</x:v>
      </x:c>
      <x:c r="F939" s="18" t="str">
        <x:v>persons/day</x:v>
      </x:c>
      <x:c r="G939" s="18" t="str">
        <x:v>FY2024</x:v>
      </x:c>
      <x:c r="H939" s="18" t="str">
        <x:v>否</x:v>
      </x:c>
      <x:c r="I939" s="19" t="str">
        <x:v>DAILY_ENTRIES_EXITS</x:v>
      </x:c>
      <x:c r="J939" s="19" t="str">
        <x:v>相鉄本線</x:v>
      </x:c>
      <x:c r="K939" s="18" t="str">
        <x:v>transport-node:d7773ae0-c505-513f-9c50-2a5a07f31d2a</x:v>
      </x:c>
      <x:c r="L939" s="19" t="str">
        <x:v>组件待审核</x:v>
      </x:c>
      <x:c r="M939" s="21" t="n">
        <x:v>35.46054</x:v>
      </x:c>
      <x:c r="N939" s="21" t="n">
        <x:v>139.513475</x:v>
      </x:c>
      <x:c r="O939" s="18" t="str">
        <x:v>004652</x:v>
      </x:c>
      <x:c r="P939" s="18" t="str">
        <x:v>相鉄本線</x:v>
      </x:c>
      <x:c r="Q939" s="19" t="str">
        <x:v>S12_061_GE_10000</x:v>
      </x:c>
      <x:c r="R939" s="19" t="str">
        <x:v>S12_061 usage threshold</x:v>
      </x:c>
      <x:c r="S939" s="19" t="str">
        <x:v>https://nlftp.mlit.go.jp/ksj/gml/datalist/KsjTmplt-S12-2024.html</x:v>
      </x:c>
      <x:c r="T939" s="19" t="str">
        <x:v>https://nlftp.mlit.go.jp/ksj/gml/datalist/KsjTmplt-S12-2024.html</x:v>
      </x:c>
      <x:c r="U939" s="19" t="str">
        <x:v>station-component|希望ヶ丘|相模鉄道|private_rail|35.4605|139.5135|</x:v>
      </x:c>
      <x:c r="V939" s="19" t="str">
        <x:v>004652 / 004652 / 相鉄本線</x:v>
      </x:c>
      <x:c r="W939" s="18" t="str">
        <x:v>否</x:v>
      </x:c>
      <x:c r="X939" s="18" t="str">
        <x:v>0785e932a32b3ec15e1a1345537ae145eafe1c07bf38d5c16c11ee2b391e7a28</x:v>
      </x:c>
      <x:c r="Y939" s="20" t="n">
        <x:v>1</x:v>
      </x:c>
      <x:c r="Z939" s="20" t="n">
        <x:v>1</x:v>
      </x:c>
      <x:c r="AA939" s="19"/>
      <x:c r="AB939" s="18"/>
      <x:c r="AC939" s="19"/>
    </x:row>
    <x:row r="940" ht="33" customHeight="1">
      <x:c r="A940" s="18" t="str">
        <x:v>常滑</x:v>
      </x:c>
      <x:c r="B940" s="18" t="str">
        <x:v>名古屋鉄道</x:v>
      </x:c>
      <x:c r="C940" s="18" t="str">
        <x:v>private_rail</x:v>
      </x:c>
      <x:c r="D940" s="19" t="str">
        <x:v>T2</x:v>
      </x:c>
      <x:c r="E940" s="20" t="n">
        <x:v>11873</x:v>
      </x:c>
      <x:c r="F940" s="18" t="str">
        <x:v>persons/day</x:v>
      </x:c>
      <x:c r="G940" s="18" t="str">
        <x:v>FY2024</x:v>
      </x:c>
      <x:c r="H940" s="18" t="str">
        <x:v>否</x:v>
      </x:c>
      <x:c r="I940" s="19" t="str">
        <x:v>DAILY_ENTRIES_EXITS</x:v>
      </x:c>
      <x:c r="J940" s="19" t="str">
        <x:v>常滑線
空港線</x:v>
      </x:c>
      <x:c r="K940" s="18" t="str">
        <x:v>transport-node:8ea981d4-1b98-55f3-9930-63a1a1a4e40c</x:v>
      </x:c>
      <x:c r="L940" s="19" t="str">
        <x:v>组件待审核</x:v>
      </x:c>
      <x:c r="M940" s="21" t="n">
        <x:v>34.89117</x:v>
      </x:c>
      <x:c r="N940" s="21" t="n">
        <x:v>136.83511</x:v>
      </x:c>
      <x:c r="O940" s="18" t="str">
        <x:v>006333</x:v>
      </x:c>
      <x:c r="P940" s="18" t="str">
        <x:v>常滑線</x:v>
      </x:c>
      <x:c r="Q940" s="19" t="str">
        <x:v>S12_061_GE_10000</x:v>
      </x:c>
      <x:c r="R940" s="19" t="str">
        <x:v>S12_061 usage threshold</x:v>
      </x:c>
      <x:c r="S940" s="19" t="str">
        <x:v>https://nlftp.mlit.go.jp/ksj/gml/datalist/KsjTmplt-S12-2024.html</x:v>
      </x:c>
      <x:c r="T940" s="19" t="str">
        <x:v>https://nlftp.mlit.go.jp/ksj/gml/datalist/KsjTmplt-S12-2024.html</x:v>
      </x:c>
      <x:c r="U940" s="19" t="str">
        <x:v>station-component|常滑|名古屋鉄道|private_rail|34.8912|136.8351|</x:v>
      </x:c>
      <x:c r="V940" s="19" t="str">
        <x:v>006332 / 006332 / 空港線
006332 / 006333 / 常滑線</x:v>
      </x:c>
      <x:c r="W940" s="18" t="str">
        <x:v>否</x:v>
      </x:c>
      <x:c r="X940" s="18" t="str">
        <x:v>0785e932a32b3ec15e1a1345537ae145eafe1c07bf38d5c16c11ee2b391e7a28</x:v>
      </x:c>
      <x:c r="Y940" s="20" t="n">
        <x:v>1</x:v>
      </x:c>
      <x:c r="Z940" s="20" t="n">
        <x:v>1</x:v>
      </x:c>
      <x:c r="AA940" s="19"/>
      <x:c r="AB940" s="18"/>
      <x:c r="AC940" s="19"/>
    </x:row>
    <x:row r="941" ht="28" customHeight="1">
      <x:c r="A941" s="18" t="str">
        <x:v>常盤平</x:v>
      </x:c>
      <x:c r="B941" s="18" t="str">
        <x:v>新京成電鉄</x:v>
      </x:c>
      <x:c r="C941" s="18" t="str">
        <x:v>private_rail</x:v>
      </x:c>
      <x:c r="D941" s="19" t="str">
        <x:v>T2</x:v>
      </x:c>
      <x:c r="E941" s="20" t="n">
        <x:v>18549</x:v>
      </x:c>
      <x:c r="F941" s="18" t="str">
        <x:v>persons/day</x:v>
      </x:c>
      <x:c r="G941" s="18" t="str">
        <x:v>FY2024</x:v>
      </x:c>
      <x:c r="H941" s="18" t="str">
        <x:v>否</x:v>
      </x:c>
      <x:c r="I941" s="19" t="str">
        <x:v>DAILY_ENTRIES_EXITS</x:v>
      </x:c>
      <x:c r="J941" s="19" t="str">
        <x:v>新京成線</x:v>
      </x:c>
      <x:c r="K941" s="18" t="str">
        <x:v>transport-node:d2131641-ca73-506b-bd1b-5a19dd53fa52</x:v>
      </x:c>
      <x:c r="L941" s="19" t="str">
        <x:v>组件待审核</x:v>
      </x:c>
      <x:c r="M941" s="21" t="n">
        <x:v>35.80315</x:v>
      </x:c>
      <x:c r="N941" s="21" t="n">
        <x:v>139.949435</x:v>
      </x:c>
      <x:c r="O941" s="18" t="str">
        <x:v>003085</x:v>
      </x:c>
      <x:c r="P941" s="18" t="str">
        <x:v>新京成線</x:v>
      </x:c>
      <x:c r="Q941" s="19" t="str">
        <x:v>S12_061_GE_10000</x:v>
      </x:c>
      <x:c r="R941" s="19" t="str">
        <x:v>S12_061 usage threshold</x:v>
      </x:c>
      <x:c r="S941" s="19" t="str">
        <x:v>https://nlftp.mlit.go.jp/ksj/gml/datalist/KsjTmplt-S12-2024.html</x:v>
      </x:c>
      <x:c r="T941" s="19" t="str">
        <x:v>https://nlftp.mlit.go.jp/ksj/gml/datalist/KsjTmplt-S12-2024.html</x:v>
      </x:c>
      <x:c r="U941" s="19" t="str">
        <x:v>station-component|常盤平|新京成電鉄|private_rail|35.8032|139.9494|</x:v>
      </x:c>
      <x:c r="V941" s="19" t="str">
        <x:v>003085 / 003085 / 新京成線</x:v>
      </x:c>
      <x:c r="W941" s="18" t="str">
        <x:v>否</x:v>
      </x:c>
      <x:c r="X941" s="18" t="str">
        <x:v>0785e932a32b3ec15e1a1345537ae145eafe1c07bf38d5c16c11ee2b391e7a28</x:v>
      </x:c>
      <x:c r="Y941" s="20" t="n">
        <x:v>1</x:v>
      </x:c>
      <x:c r="Z941" s="20" t="n">
        <x:v>1</x:v>
      </x:c>
      <x:c r="AA941" s="19"/>
      <x:c r="AB941" s="18"/>
      <x:c r="AC941" s="19"/>
    </x:row>
    <x:row r="942" ht="28" customHeight="1">
      <x:c r="A942" s="18" t="str">
        <x:v>幌平橋</x:v>
      </x:c>
      <x:c r="B942" s="18" t="str">
        <x:v>札幌市</x:v>
      </x:c>
      <x:c r="C942" s="18" t="str">
        <x:v>metro</x:v>
      </x:c>
      <x:c r="D942" s="19" t="str">
        <x:v>T2</x:v>
      </x:c>
      <x:c r="E942" s="20" t="n">
        <x:v>10538</x:v>
      </x:c>
      <x:c r="F942" s="18" t="str">
        <x:v>persons/day</x:v>
      </x:c>
      <x:c r="G942" s="18" t="str">
        <x:v>FY2024</x:v>
      </x:c>
      <x:c r="H942" s="18" t="str">
        <x:v>否</x:v>
      </x:c>
      <x:c r="I942" s="19" t="str">
        <x:v>DAILY_ENTRIES_EXITS</x:v>
      </x:c>
      <x:c r="J942" s="19" t="str">
        <x:v>南北線</x:v>
      </x:c>
      <x:c r="K942" s="18" t="str">
        <x:v>transport-node:cec3dec8-2ca6-5670-95b8-fb25f2c112d6</x:v>
      </x:c>
      <x:c r="L942" s="19" t="str">
        <x:v>组件待审核</x:v>
      </x:c>
      <x:c r="M942" s="21" t="n">
        <x:v>43.04022</x:v>
      </x:c>
      <x:c r="N942" s="21" t="n">
        <x:v>141.355835</x:v>
      </x:c>
      <x:c r="O942" s="18" t="str">
        <x:v>000276</x:v>
      </x:c>
      <x:c r="P942" s="18" t="str">
        <x:v>南北線</x:v>
      </x:c>
      <x:c r="Q942" s="19" t="str">
        <x:v>S12_061_GE_10000</x:v>
      </x:c>
      <x:c r="R942" s="19" t="str">
        <x:v>S12_061 usage threshold</x:v>
      </x:c>
      <x:c r="S942" s="19" t="str">
        <x:v>https://nlftp.mlit.go.jp/ksj/gml/datalist/KsjTmplt-S12-2024.html</x:v>
      </x:c>
      <x:c r="T942" s="19" t="str">
        <x:v>https://nlftp.mlit.go.jp/ksj/gml/datalist/KsjTmplt-S12-2024.html</x:v>
      </x:c>
      <x:c r="U942" s="19" t="str">
        <x:v>station-component|幌平橋|札幌市|metro|43.0402|141.3558|</x:v>
      </x:c>
      <x:c r="V942" s="19" t="str">
        <x:v>000276 / 000276 / 南北線</x:v>
      </x:c>
      <x:c r="W942" s="18" t="str">
        <x:v>否</x:v>
      </x:c>
      <x:c r="X942" s="18" t="str">
        <x:v>0785e932a32b3ec15e1a1345537ae145eafe1c07bf38d5c16c11ee2b391e7a28</x:v>
      </x:c>
      <x:c r="Y942" s="20" t="n">
        <x:v>1</x:v>
      </x:c>
      <x:c r="Z942" s="20" t="n">
        <x:v>1</x:v>
      </x:c>
      <x:c r="AA942" s="19"/>
      <x:c r="AB942" s="18"/>
      <x:c r="AC942" s="19"/>
    </x:row>
    <x:row r="943" ht="28" customHeight="1">
      <x:c r="A943" s="18" t="str">
        <x:v>幕張</x:v>
      </x:c>
      <x:c r="B943" s="18" t="str">
        <x:v>東日本旅客鉄道</x:v>
      </x:c>
      <x:c r="C943" s="18" t="str">
        <x:v>conventional_rail</x:v>
      </x:c>
      <x:c r="D943" s="19" t="str">
        <x:v>T2</x:v>
      </x:c>
      <x:c r="E943" s="20" t="n">
        <x:v>30876</x:v>
      </x:c>
      <x:c r="F943" s="18" t="str">
        <x:v>persons/day</x:v>
      </x:c>
      <x:c r="G943" s="18" t="str">
        <x:v>FY2024</x:v>
      </x:c>
      <x:c r="H943" s="18" t="str">
        <x:v>否</x:v>
      </x:c>
      <x:c r="I943" s="19" t="str">
        <x:v>DAILY_ENTRIES_EXITS</x:v>
      </x:c>
      <x:c r="J943" s="19" t="str">
        <x:v>総武線</x:v>
      </x:c>
      <x:c r="K943" s="18" t="str">
        <x:v>transport-node:0545ed93-6f45-536e-88d7-5a6d6be13d70</x:v>
      </x:c>
      <x:c r="L943" s="19" t="str">
        <x:v>组件待审核</x:v>
      </x:c>
      <x:c r="M943" s="21" t="n">
        <x:v>35.659475</x:v>
      </x:c>
      <x:c r="N943" s="21" t="n">
        <x:v>140.0579</x:v>
      </x:c>
      <x:c r="O943" s="18" t="str">
        <x:v>003919</x:v>
      </x:c>
      <x:c r="P943" s="18" t="str">
        <x:v>総武線</x:v>
      </x:c>
      <x:c r="Q943" s="19" t="str">
        <x:v>S12_061_GE_10000</x:v>
      </x:c>
      <x:c r="R943" s="19" t="str">
        <x:v>S12_061 usage threshold</x:v>
      </x:c>
      <x:c r="S943" s="19" t="str">
        <x:v>https://nlftp.mlit.go.jp/ksj/gml/datalist/KsjTmplt-S12-2024.html</x:v>
      </x:c>
      <x:c r="T943" s="19" t="str">
        <x:v>https://nlftp.mlit.go.jp/ksj/gml/datalist/KsjTmplt-S12-2024.html</x:v>
      </x:c>
      <x:c r="U943" s="19" t="str">
        <x:v>station-component|幕張|東日本旅客鉄道|conventional_rail|35.6595|140.0579|</x:v>
      </x:c>
      <x:c r="V943" s="19" t="str">
        <x:v>003919 / 003919 / 総武線</x:v>
      </x:c>
      <x:c r="W943" s="18" t="str">
        <x:v>否</x:v>
      </x:c>
      <x:c r="X943" s="18" t="str">
        <x:v>0785e932a32b3ec15e1a1345537ae145eafe1c07bf38d5c16c11ee2b391e7a28</x:v>
      </x:c>
      <x:c r="Y943" s="20" t="n">
        <x:v>1</x:v>
      </x:c>
      <x:c r="Z943" s="20" t="n">
        <x:v>1</x:v>
      </x:c>
      <x:c r="AA943" s="19"/>
      <x:c r="AB943" s="18"/>
      <x:c r="AC943" s="19"/>
    </x:row>
    <x:row r="944" ht="28" customHeight="1">
      <x:c r="A944" s="18" t="str">
        <x:v>幕張本郷</x:v>
      </x:c>
      <x:c r="B944" s="18" t="str">
        <x:v>東日本旅客鉄道</x:v>
      </x:c>
      <x:c r="C944" s="18" t="str">
        <x:v>conventional_rail</x:v>
      </x:c>
      <x:c r="D944" s="19" t="str">
        <x:v>T1</x:v>
      </x:c>
      <x:c r="E944" s="20" t="n">
        <x:v>52018</x:v>
      </x:c>
      <x:c r="F944" s="18" t="str">
        <x:v>persons/day</x:v>
      </x:c>
      <x:c r="G944" s="18" t="str">
        <x:v>FY2024</x:v>
      </x:c>
      <x:c r="H944" s="18" t="str">
        <x:v>否</x:v>
      </x:c>
      <x:c r="I944" s="19" t="str">
        <x:v>DAILY_ENTRIES_EXITS</x:v>
      </x:c>
      <x:c r="J944" s="19" t="str">
        <x:v>総武線</x:v>
      </x:c>
      <x:c r="K944" s="18" t="str">
        <x:v>transport-node:2e3a2a45-eb03-5ae0-baa2-3f770853b6d7</x:v>
      </x:c>
      <x:c r="L944" s="19" t="str">
        <x:v>组件待审核</x:v>
      </x:c>
      <x:c r="M944" s="21" t="n">
        <x:v>35.67281</x:v>
      </x:c>
      <x:c r="N944" s="21" t="n">
        <x:v>140.0421875</x:v>
      </x:c>
      <x:c r="O944" s="18" t="str">
        <x:v>003815</x:v>
      </x:c>
      <x:c r="P944" s="18" t="str">
        <x:v>総武線</x:v>
      </x:c>
      <x:c r="Q944" s="19" t="str">
        <x:v>S12_061_GE_10000</x:v>
      </x:c>
      <x:c r="R944" s="19" t="str">
        <x:v>S12_061 usage threshold</x:v>
      </x:c>
      <x:c r="S944" s="19" t="str">
        <x:v>https://nlftp.mlit.go.jp/ksj/gml/datalist/KsjTmplt-S12-2024.html</x:v>
      </x:c>
      <x:c r="T944" s="19" t="str">
        <x:v>https://nlftp.mlit.go.jp/ksj/gml/datalist/KsjTmplt-S12-2024.html</x:v>
      </x:c>
      <x:c r="U944" s="19" t="str">
        <x:v>station-component|幕張本郷|東日本旅客鉄道|conventional_rail|35.6728|140.0422|</x:v>
      </x:c>
      <x:c r="V944" s="19" t="str">
        <x:v>003815 / 003815 / 総武線</x:v>
      </x:c>
      <x:c r="W944" s="18" t="str">
        <x:v>否</x:v>
      </x:c>
      <x:c r="X944" s="18" t="str">
        <x:v>0785e932a32b3ec15e1a1345537ae145eafe1c07bf38d5c16c11ee2b391e7a28</x:v>
      </x:c>
      <x:c r="Y944" s="20" t="n">
        <x:v>1</x:v>
      </x:c>
      <x:c r="Z944" s="20" t="n">
        <x:v>1</x:v>
      </x:c>
      <x:c r="AA944" s="19"/>
      <x:c r="AB944" s="18"/>
      <x:c r="AC944" s="19"/>
    </x:row>
    <x:row r="945" ht="28" customHeight="1">
      <x:c r="A945" s="18" t="str">
        <x:v>幕張豊砂</x:v>
      </x:c>
      <x:c r="B945" s="18" t="str">
        <x:v>東日本旅客鉄道</x:v>
      </x:c>
      <x:c r="C945" s="18" t="str">
        <x:v>conventional_rail</x:v>
      </x:c>
      <x:c r="D945" s="19" t="str">
        <x:v>T2</x:v>
      </x:c>
      <x:c r="E945" s="20" t="n">
        <x:v>14718</x:v>
      </x:c>
      <x:c r="F945" s="18" t="str">
        <x:v>persons/day</x:v>
      </x:c>
      <x:c r="G945" s="18" t="str">
        <x:v>FY2024</x:v>
      </x:c>
      <x:c r="H945" s="18" t="str">
        <x:v>否</x:v>
      </x:c>
      <x:c r="I945" s="19" t="str">
        <x:v>DAILY_ENTRIES_EXITS</x:v>
      </x:c>
      <x:c r="J945" s="19" t="str">
        <x:v>京葉線</x:v>
      </x:c>
      <x:c r="K945" s="18" t="str">
        <x:v>transport-node:f3e4fd95-6553-5736-901a-fa3f06ba5f97</x:v>
      </x:c>
      <x:c r="L945" s="19" t="str">
        <x:v>组件待审核</x:v>
      </x:c>
      <x:c r="M945" s="21" t="n">
        <x:v>35.658161</x:v>
      </x:c>
      <x:c r="N945" s="21" t="n">
        <x:v>140.0270731</x:v>
      </x:c>
      <x:c r="O945" s="18" t="str">
        <x:v>010168</x:v>
      </x:c>
      <x:c r="P945" s="18" t="str">
        <x:v>京葉線</x:v>
      </x:c>
      <x:c r="Q945" s="19" t="str">
        <x:v>S12_061_GE_10000</x:v>
      </x:c>
      <x:c r="R945" s="19" t="str">
        <x:v>S12_061 usage threshold</x:v>
      </x:c>
      <x:c r="S945" s="19" t="str">
        <x:v>https://nlftp.mlit.go.jp/ksj/gml/datalist/KsjTmplt-S12-2024.html</x:v>
      </x:c>
      <x:c r="T945" s="19" t="str">
        <x:v>https://nlftp.mlit.go.jp/ksj/gml/datalist/KsjTmplt-S12-2024.html</x:v>
      </x:c>
      <x:c r="U945" s="19" t="str">
        <x:v>station-component|幕張豊砂|東日本旅客鉄道|conventional_rail|35.6582|140.0271|</x:v>
      </x:c>
      <x:c r="V945" s="19" t="str">
        <x:v>010168 / 010168 / 京葉線</x:v>
      </x:c>
      <x:c r="W945" s="18" t="str">
        <x:v>否</x:v>
      </x:c>
      <x:c r="X945" s="18" t="str">
        <x:v>0785e932a32b3ec15e1a1345537ae145eafe1c07bf38d5c16c11ee2b391e7a28</x:v>
      </x:c>
      <x:c r="Y945" s="20" t="n">
        <x:v>1</x:v>
      </x:c>
      <x:c r="Z945" s="20" t="n">
        <x:v>1</x:v>
      </x:c>
      <x:c r="AA945" s="19"/>
      <x:c r="AB945" s="18"/>
      <x:c r="AC945" s="19"/>
    </x:row>
    <x:row r="946" ht="28" customHeight="1">
      <x:c r="A946" s="18" t="str">
        <x:v>幡ヶ谷</x:v>
      </x:c>
      <x:c r="B946" s="18" t="str">
        <x:v>京王電鉄</x:v>
      </x:c>
      <x:c r="C946" s="18" t="str">
        <x:v>private_rail</x:v>
      </x:c>
      <x:c r="D946" s="19" t="str">
        <x:v>T2</x:v>
      </x:c>
      <x:c r="E946" s="20" t="n">
        <x:v>29965</x:v>
      </x:c>
      <x:c r="F946" s="18" t="str">
        <x:v>persons/day</x:v>
      </x:c>
      <x:c r="G946" s="18" t="str">
        <x:v>FY2024</x:v>
      </x:c>
      <x:c r="H946" s="18" t="str">
        <x:v>否</x:v>
      </x:c>
      <x:c r="I946" s="19" t="str">
        <x:v>DAILY_ENTRIES_EXITS</x:v>
      </x:c>
      <x:c r="J946" s="19" t="str">
        <x:v>京王線</x:v>
      </x:c>
      <x:c r="K946" s="18" t="str">
        <x:v>transport-node:e3e2507b-2282-5548-85db-ff33d7d3e56a</x:v>
      </x:c>
      <x:c r="L946" s="19" t="str">
        <x:v>组件待审核</x:v>
      </x:c>
      <x:c r="M946" s="21" t="n">
        <x:v>35.67676</x:v>
      </x:c>
      <x:c r="N946" s="21" t="n">
        <x:v>139.67772</x:v>
      </x:c>
      <x:c r="O946" s="18" t="str">
        <x:v>003791</x:v>
      </x:c>
      <x:c r="P946" s="18" t="str">
        <x:v>京王線</x:v>
      </x:c>
      <x:c r="Q946" s="19" t="str">
        <x:v>S12_061_GE_10000</x:v>
      </x:c>
      <x:c r="R946" s="19" t="str">
        <x:v>S12_061 usage threshold</x:v>
      </x:c>
      <x:c r="S946" s="19" t="str">
        <x:v>https://nlftp.mlit.go.jp/ksj/gml/datalist/KsjTmplt-S12-2024.html</x:v>
      </x:c>
      <x:c r="T946" s="19" t="str">
        <x:v>https://nlftp.mlit.go.jp/ksj/gml/datalist/KsjTmplt-S12-2024.html</x:v>
      </x:c>
      <x:c r="U946" s="19" t="str">
        <x:v>station-component|幡ヶ谷|京王電鉄|private_rail|35.6768|139.6777|</x:v>
      </x:c>
      <x:c r="V946" s="19" t="str">
        <x:v>003791 / 003791 / 京王線</x:v>
      </x:c>
      <x:c r="W946" s="18" t="str">
        <x:v>否</x:v>
      </x:c>
      <x:c r="X946" s="18" t="str">
        <x:v>0785e932a32b3ec15e1a1345537ae145eafe1c07bf38d5c16c11ee2b391e7a28</x:v>
      </x:c>
      <x:c r="Y946" s="20" t="n">
        <x:v>1</x:v>
      </x:c>
      <x:c r="Z946" s="20" t="n">
        <x:v>1</x:v>
      </x:c>
      <x:c r="AA946" s="19"/>
      <x:c r="AB946" s="18"/>
      <x:c r="AC946" s="19"/>
    </x:row>
    <x:row r="947" ht="28" customHeight="1">
      <x:c r="A947" s="18" t="str">
        <x:v>平井</x:v>
      </x:c>
      <x:c r="B947" s="18" t="str">
        <x:v>東日本旅客鉄道</x:v>
      </x:c>
      <x:c r="C947" s="18" t="str">
        <x:v>conventional_rail</x:v>
      </x:c>
      <x:c r="D947" s="19" t="str">
        <x:v>T1</x:v>
      </x:c>
      <x:c r="E947" s="20" t="n">
        <x:v>62126</x:v>
      </x:c>
      <x:c r="F947" s="18" t="str">
        <x:v>persons/day</x:v>
      </x:c>
      <x:c r="G947" s="18" t="str">
        <x:v>FY2024</x:v>
      </x:c>
      <x:c r="H947" s="18" t="str">
        <x:v>否</x:v>
      </x:c>
      <x:c r="I947" s="19" t="str">
        <x:v>DAILY_ENTRIES_EXITS</x:v>
      </x:c>
      <x:c r="J947" s="19" t="str">
        <x:v>総武線</x:v>
      </x:c>
      <x:c r="K947" s="18" t="str">
        <x:v>transport-node:f2183b03-d05e-5fe6-a542-1c59602bdfb6</x:v>
      </x:c>
      <x:c r="L947" s="19" t="str">
        <x:v>组件待审核</x:v>
      </x:c>
      <x:c r="M947" s="21" t="n">
        <x:v>35.7065725</x:v>
      </x:c>
      <x:c r="N947" s="21" t="n">
        <x:v>139.8425825</x:v>
      </x:c>
      <x:c r="O947" s="18" t="str">
        <x:v>003561</x:v>
      </x:c>
      <x:c r="P947" s="18" t="str">
        <x:v>総武線</x:v>
      </x:c>
      <x:c r="Q947" s="19" t="str">
        <x:v>S12_061_GE_10000</x:v>
      </x:c>
      <x:c r="R947" s="19" t="str">
        <x:v>S12_061 usage threshold</x:v>
      </x:c>
      <x:c r="S947" s="19" t="str">
        <x:v>https://nlftp.mlit.go.jp/ksj/gml/datalist/KsjTmplt-S12-2024.html</x:v>
      </x:c>
      <x:c r="T947" s="19" t="str">
        <x:v>https://nlftp.mlit.go.jp/ksj/gml/datalist/KsjTmplt-S12-2024.html</x:v>
      </x:c>
      <x:c r="U947" s="19" t="str">
        <x:v>station-component|平井|東日本旅客鉄道|conventional_rail|35.7066|139.8426|</x:v>
      </x:c>
      <x:c r="V947" s="19" t="str">
        <x:v>003561 / 003561 / 総武線</x:v>
      </x:c>
      <x:c r="W947" s="18" t="str">
        <x:v>否</x:v>
      </x:c>
      <x:c r="X947" s="18" t="str">
        <x:v>0785e932a32b3ec15e1a1345537ae145eafe1c07bf38d5c16c11ee2b391e7a28</x:v>
      </x:c>
      <x:c r="Y947" s="20" t="n">
        <x:v>1</x:v>
      </x:c>
      <x:c r="Z947" s="20" t="n">
        <x:v>1</x:v>
      </x:c>
      <x:c r="AA947" s="19"/>
      <x:c r="AB947" s="18"/>
      <x:c r="AC947" s="19"/>
    </x:row>
    <x:row r="948" ht="28" customHeight="1">
      <x:c r="A948" s="18" t="str">
        <x:v>平和台</x:v>
      </x:c>
      <x:c r="B948" s="18" t="str">
        <x:v>東京地下鉄</x:v>
      </x:c>
      <x:c r="C948" s="18" t="str">
        <x:v>metro</x:v>
      </x:c>
      <x:c r="D948" s="19" t="str">
        <x:v>T2</x:v>
      </x:c>
      <x:c r="E948" s="20" t="n">
        <x:v>42893</x:v>
      </x:c>
      <x:c r="F948" s="18" t="str">
        <x:v>persons/day</x:v>
      </x:c>
      <x:c r="G948" s="18" t="str">
        <x:v>FY2024</x:v>
      </x:c>
      <x:c r="H948" s="18" t="str">
        <x:v>否</x:v>
      </x:c>
      <x:c r="I948" s="19" t="str">
        <x:v>DAILY_ENTRIES_EXITS</x:v>
      </x:c>
      <x:c r="J948" s="19" t="str">
        <x:v>8号線有楽町線</x:v>
      </x:c>
      <x:c r="K948" s="18" t="str">
        <x:v>transport-node:812bb3fb-87f1-5345-b91d-ed237efade51</x:v>
      </x:c>
      <x:c r="L948" s="19" t="str">
        <x:v>组件待审核</x:v>
      </x:c>
      <x:c r="M948" s="21" t="n">
        <x:v>35.757555</x:v>
      </x:c>
      <x:c r="N948" s="21" t="n">
        <x:v>139.6543</x:v>
      </x:c>
      <x:c r="O948" s="18" t="str">
        <x:v>003228</x:v>
      </x:c>
      <x:c r="P948" s="18" t="str">
        <x:v>8号線有楽町線</x:v>
      </x:c>
      <x:c r="Q948" s="19" t="str">
        <x:v>S12_061_GE_10000</x:v>
      </x:c>
      <x:c r="R948" s="19" t="str">
        <x:v>S12_061 usage threshold</x:v>
      </x:c>
      <x:c r="S948" s="19" t="str">
        <x:v>https://nlftp.mlit.go.jp/ksj/gml/datalist/KsjTmplt-S12-2024.html</x:v>
      </x:c>
      <x:c r="T948" s="19" t="str">
        <x:v>https://nlftp.mlit.go.jp/ksj/gml/datalist/KsjTmplt-S12-2024.html</x:v>
      </x:c>
      <x:c r="U948" s="19" t="str">
        <x:v>station-component|平和台|東京地下鉄|metro|35.7576|139.6543|</x:v>
      </x:c>
      <x:c r="V948" s="19" t="str">
        <x:v>003228 / 003228 / 8号線有楽町線</x:v>
      </x:c>
      <x:c r="W948" s="18" t="str">
        <x:v>否</x:v>
      </x:c>
      <x:c r="X948" s="18" t="str">
        <x:v>0785e932a32b3ec15e1a1345537ae145eafe1c07bf38d5c16c11ee2b391e7a28</x:v>
      </x:c>
      <x:c r="Y948" s="20" t="n">
        <x:v>1</x:v>
      </x:c>
      <x:c r="Z948" s="20" t="n">
        <x:v>1</x:v>
      </x:c>
      <x:c r="AA948" s="19"/>
      <x:c r="AB948" s="18"/>
      <x:c r="AC948" s="19"/>
    </x:row>
    <x:row r="949" ht="28" customHeight="1">
      <x:c r="A949" s="18" t="str">
        <x:v>平和島</x:v>
      </x:c>
      <x:c r="B949" s="18" t="str">
        <x:v>京浜急行電鉄</x:v>
      </x:c>
      <x:c r="C949" s="18" t="str">
        <x:v>private_rail</x:v>
      </x:c>
      <x:c r="D949" s="19" t="str">
        <x:v>T2</x:v>
      </x:c>
      <x:c r="E949" s="20" t="n">
        <x:v>44102</x:v>
      </x:c>
      <x:c r="F949" s="18" t="str">
        <x:v>persons/day</x:v>
      </x:c>
      <x:c r="G949" s="18" t="str">
        <x:v>FY2024</x:v>
      </x:c>
      <x:c r="H949" s="18" t="str">
        <x:v>否</x:v>
      </x:c>
      <x:c r="I949" s="19" t="str">
        <x:v>DAILY_ENTRIES_EXITS</x:v>
      </x:c>
      <x:c r="J949" s="19" t="str">
        <x:v>本線</x:v>
      </x:c>
      <x:c r="K949" s="18" t="str">
        <x:v>transport-node:181500c6-c189-5d85-9f98-4908bae8e2cd</x:v>
      </x:c>
      <x:c r="L949" s="19" t="str">
        <x:v>组件待审核</x:v>
      </x:c>
      <x:c r="M949" s="21" t="n">
        <x:v>35.578654</x:v>
      </x:c>
      <x:c r="N949" s="21" t="n">
        <x:v>139.734934</x:v>
      </x:c>
      <x:c r="O949" s="18" t="str">
        <x:v>004294</x:v>
      </x:c>
      <x:c r="P949" s="18" t="str">
        <x:v>本線</x:v>
      </x:c>
      <x:c r="Q949" s="19" t="str">
        <x:v>S12_061_GE_10000</x:v>
      </x:c>
      <x:c r="R949" s="19" t="str">
        <x:v>S12_061 usage threshold</x:v>
      </x:c>
      <x:c r="S949" s="19" t="str">
        <x:v>https://nlftp.mlit.go.jp/ksj/gml/datalist/KsjTmplt-S12-2024.html</x:v>
      </x:c>
      <x:c r="T949" s="19" t="str">
        <x:v>https://nlftp.mlit.go.jp/ksj/gml/datalist/KsjTmplt-S12-2024.html</x:v>
      </x:c>
      <x:c r="U949" s="19" t="str">
        <x:v>station-component|平和島|京浜急行電鉄|private_rail|35.5787|139.7349|</x:v>
      </x:c>
      <x:c r="V949" s="19" t="str">
        <x:v>004294 / 004294 / 本線</x:v>
      </x:c>
      <x:c r="W949" s="18" t="str">
        <x:v>否</x:v>
      </x:c>
      <x:c r="X949" s="18" t="str">
        <x:v>0785e932a32b3ec15e1a1345537ae145eafe1c07bf38d5c16c11ee2b391e7a28</x:v>
      </x:c>
      <x:c r="Y949" s="20" t="n">
        <x:v>1</x:v>
      </x:c>
      <x:c r="Z949" s="20" t="n">
        <x:v>1</x:v>
      </x:c>
      <x:c r="AA949" s="19"/>
      <x:c r="AB949" s="18"/>
      <x:c r="AC949" s="19"/>
    </x:row>
    <x:row r="950" ht="28" customHeight="1">
      <x:c r="A950" s="18" t="str">
        <x:v>平塚</x:v>
      </x:c>
      <x:c r="B950" s="18" t="str">
        <x:v>東日本旅客鉄道</x:v>
      </x:c>
      <x:c r="C950" s="18" t="str">
        <x:v>conventional_rail</x:v>
      </x:c>
      <x:c r="D950" s="19" t="str">
        <x:v>T1</x:v>
      </x:c>
      <x:c r="E950" s="20" t="n">
        <x:v>113340</x:v>
      </x:c>
      <x:c r="F950" s="18" t="str">
        <x:v>persons/day</x:v>
      </x:c>
      <x:c r="G950" s="18" t="str">
        <x:v>FY2024</x:v>
      </x:c>
      <x:c r="H950" s="18" t="str">
        <x:v>否</x:v>
      </x:c>
      <x:c r="I950" s="19" t="str">
        <x:v>DAILY_ENTRIES_EXITS</x:v>
      </x:c>
      <x:c r="J950" s="19" t="str">
        <x:v>東海道線</x:v>
      </x:c>
      <x:c r="K950" s="18" t="str">
        <x:v>transport-node:388a17d0-76c4-5e4f-8ad2-7b5cf1572cda</x:v>
      </x:c>
      <x:c r="L950" s="19" t="str">
        <x:v>组件待审核</x:v>
      </x:c>
      <x:c r="M950" s="21" t="n">
        <x:v>35.3275233</x:v>
      </x:c>
      <x:c r="N950" s="21" t="n">
        <x:v>139.3494767</x:v>
      </x:c>
      <x:c r="O950" s="18" t="str">
        <x:v>005034</x:v>
      </x:c>
      <x:c r="P950" s="18" t="str">
        <x:v>東海道線</x:v>
      </x:c>
      <x:c r="Q950" s="19" t="str">
        <x:v>S12_061_GE_10000</x:v>
      </x:c>
      <x:c r="R950" s="19" t="str">
        <x:v>S12_061 usage threshold</x:v>
      </x:c>
      <x:c r="S950" s="19" t="str">
        <x:v>https://nlftp.mlit.go.jp/ksj/gml/datalist/KsjTmplt-S12-2024.html</x:v>
      </x:c>
      <x:c r="T950" s="19" t="str">
        <x:v>https://nlftp.mlit.go.jp/ksj/gml/datalist/KsjTmplt-S12-2024.html</x:v>
      </x:c>
      <x:c r="U950" s="19" t="str">
        <x:v>station-component|平塚|東日本旅客鉄道|conventional_rail|35.3275|139.3495|</x:v>
      </x:c>
      <x:c r="V950" s="19" t="str">
        <x:v>005034 / 005034 / 東海道線</x:v>
      </x:c>
      <x:c r="W950" s="18" t="str">
        <x:v>否</x:v>
      </x:c>
      <x:c r="X950" s="18" t="str">
        <x:v>0785e932a32b3ec15e1a1345537ae145eafe1c07bf38d5c16c11ee2b391e7a28</x:v>
      </x:c>
      <x:c r="Y950" s="20" t="n">
        <x:v>1</x:v>
      </x:c>
      <x:c r="Z950" s="20" t="n">
        <x:v>1</x:v>
      </x:c>
      <x:c r="AA950" s="19"/>
      <x:c r="AB950" s="18"/>
      <x:c r="AC950" s="19"/>
    </x:row>
    <x:row r="951" ht="33" customHeight="1">
      <x:c r="A951" s="18" t="str">
        <x:v>平安通</x:v>
      </x:c>
      <x:c r="B951" s="18" t="str">
        <x:v>名古屋市</x:v>
      </x:c>
      <x:c r="C951" s="18" t="str">
        <x:v>metro</x:v>
      </x:c>
      <x:c r="D951" s="19" t="str">
        <x:v>T2</x:v>
      </x:c>
      <x:c r="E951" s="20" t="n">
        <x:v>11995</x:v>
      </x:c>
      <x:c r="F951" s="18" t="str">
        <x:v>persons/day</x:v>
      </x:c>
      <x:c r="G951" s="18" t="str">
        <x:v>FY2024</x:v>
      </x:c>
      <x:c r="H951" s="18" t="str">
        <x:v>否</x:v>
      </x:c>
      <x:c r="I951" s="19" t="str">
        <x:v>DAILY_ENTRIES_EXITS</x:v>
      </x:c>
      <x:c r="J951" s="19" t="str">
        <x:v>2号線名城線
上飯田線</x:v>
      </x:c>
      <x:c r="K951" s="18" t="str">
        <x:v>transport-node:a483e14d-b74f-59fa-a40f-789b3280ba54</x:v>
      </x:c>
      <x:c r="L951" s="19" t="str">
        <x:v>组件待审核</x:v>
      </x:c>
      <x:c r="M951" s="21" t="n">
        <x:v>35.19622</x:v>
      </x:c>
      <x:c r="N951" s="21" t="n">
        <x:v>136.92976</x:v>
      </x:c>
      <x:c r="O951" s="18" t="str">
        <x:v>005366</x:v>
      </x:c>
      <x:c r="P951" s="18" t="str">
        <x:v>上飯田線</x:v>
      </x:c>
      <x:c r="Q951" s="19" t="str">
        <x:v>S12_061_GE_10000
OFFICIAL_HUB_COMPONENT_REVIEW</x:v>
      </x:c>
      <x:c r="R951" s="19" t="str">
        <x:v>S12_061 usage threshold</x:v>
      </x:c>
      <x:c r="S951" s="19" t="str">
        <x:v>https://nlftp.mlit.go.jp/ksj/gml/datalist/KsjTmplt-S12-2024.html</x:v>
      </x:c>
      <x:c r="T951" s="19" t="str">
        <x:v>https://kotsu.city.nagoya.jp/rp/subway/
https://nlftp.mlit.go.jp/ksj/gml/datalist/KsjTmplt-S12-2024.html</x:v>
      </x:c>
      <x:c r="U951" s="19" t="str">
        <x:v>station-component|平安通|名古屋市|metro|35.1962|136.9298|</x:v>
      </x:c>
      <x:c r="V951" s="19" t="str">
        <x:v>005366 / 005366 / 上飯田線
005366 / 005369 / 2号線名城線</x:v>
      </x:c>
      <x:c r="W951" s="18" t="str">
        <x:v>否</x:v>
      </x:c>
      <x:c r="X951" s="18" t="str">
        <x:v>0785e932a32b3ec15e1a1345537ae145eafe1c07bf38d5c16c11ee2b391e7a28</x:v>
      </x:c>
      <x:c r="Y951" s="20" t="n">
        <x:v>1</x:v>
      </x:c>
      <x:c r="Z951" s="20" t="n">
        <x:v>1</x:v>
      </x:c>
      <x:c r="AA951" s="19" t="str">
        <x:v>平安通</x:v>
      </x:c>
      <x:c r="AB951" s="18" t="str">
        <x:v>transport-hub-review:4b9f9ca8-9c59-5409-b3ba-d8ecfa2677db</x:v>
      </x:c>
      <x:c r="AC951" s="19"/>
    </x:row>
    <x:row r="952" ht="28" customHeight="1">
      <x:c r="A952" s="18" t="str">
        <x:v>平岸</x:v>
      </x:c>
      <x:c r="B952" s="18" t="str">
        <x:v>札幌市</x:v>
      </x:c>
      <x:c r="C952" s="18" t="str">
        <x:v>metro</x:v>
      </x:c>
      <x:c r="D952" s="19" t="str">
        <x:v>T2</x:v>
      </x:c>
      <x:c r="E952" s="20" t="n">
        <x:v>16990</x:v>
      </x:c>
      <x:c r="F952" s="18" t="str">
        <x:v>persons/day</x:v>
      </x:c>
      <x:c r="G952" s="18" t="str">
        <x:v>FY2024</x:v>
      </x:c>
      <x:c r="H952" s="18" t="str">
        <x:v>否</x:v>
      </x:c>
      <x:c r="I952" s="19" t="str">
        <x:v>DAILY_ENTRIES_EXITS</x:v>
      </x:c>
      <x:c r="J952" s="19" t="str">
        <x:v>南北線</x:v>
      </x:c>
      <x:c r="K952" s="18" t="str">
        <x:v>transport-node:acf9a2ca-4f03-5c23-8341-5e162ed753f4</x:v>
      </x:c>
      <x:c r="L952" s="19" t="str">
        <x:v>组件待审核</x:v>
      </x:c>
      <x:c r="M952" s="21" t="n">
        <x:v>43.03462</x:v>
      </x:c>
      <x:c r="N952" s="21" t="n">
        <x:v>141.36837</x:v>
      </x:c>
      <x:c r="O952" s="18" t="str">
        <x:v>000285</x:v>
      </x:c>
      <x:c r="P952" s="18" t="str">
        <x:v>南北線</x:v>
      </x:c>
      <x:c r="Q952" s="19" t="str">
        <x:v>S12_061_GE_10000</x:v>
      </x:c>
      <x:c r="R952" s="19" t="str">
        <x:v>S12_061 usage threshold</x:v>
      </x:c>
      <x:c r="S952" s="19" t="str">
        <x:v>https://nlftp.mlit.go.jp/ksj/gml/datalist/KsjTmplt-S12-2024.html</x:v>
      </x:c>
      <x:c r="T952" s="19" t="str">
        <x:v>https://nlftp.mlit.go.jp/ksj/gml/datalist/KsjTmplt-S12-2024.html</x:v>
      </x:c>
      <x:c r="U952" s="19" t="str">
        <x:v>station-component|平岸|札幌市|metro|43.0346|141.3684|</x:v>
      </x:c>
      <x:c r="V952" s="19" t="str">
        <x:v>000285 / 000285 / 南北線</x:v>
      </x:c>
      <x:c r="W952" s="18" t="str">
        <x:v>否</x:v>
      </x:c>
      <x:c r="X952" s="18" t="str">
        <x:v>0785e932a32b3ec15e1a1345537ae145eafe1c07bf38d5c16c11ee2b391e7a28</x:v>
      </x:c>
      <x:c r="Y952" s="20" t="n">
        <x:v>1</x:v>
      </x:c>
      <x:c r="Z952" s="20" t="n">
        <x:v>1</x:v>
      </x:c>
      <x:c r="AA952" s="19"/>
      <x:c r="AB952" s="18"/>
      <x:c r="AC952" s="19"/>
    </x:row>
    <x:row r="953" ht="28" customHeight="1">
      <x:c r="A953" s="18" t="str">
        <x:v>平野</x:v>
      </x:c>
      <x:c r="B953" s="18" t="str">
        <x:v>大阪市高速電気軌道</x:v>
      </x:c>
      <x:c r="C953" s="18" t="str">
        <x:v>metro</x:v>
      </x:c>
      <x:c r="D953" s="19" t="str">
        <x:v>T2</x:v>
      </x:c>
      <x:c r="E953" s="20" t="n">
        <x:v>22537</x:v>
      </x:c>
      <x:c r="F953" s="18" t="str">
        <x:v>persons/day</x:v>
      </x:c>
      <x:c r="G953" s="18" t="str">
        <x:v>FY2024</x:v>
      </x:c>
      <x:c r="H953" s="18" t="str">
        <x:v>否</x:v>
      </x:c>
      <x:c r="I953" s="19" t="str">
        <x:v>DAILY_ENTRIES_EXITS</x:v>
      </x:c>
      <x:c r="J953" s="19" t="str">
        <x:v>2号線(谷町線)</x:v>
      </x:c>
      <x:c r="K953" s="18" t="str">
        <x:v>transport-node:10b675fc-fb41-5014-8df5-5360fc863f4f</x:v>
      </x:c>
      <x:c r="L953" s="19" t="str">
        <x:v>组件待审核</x:v>
      </x:c>
      <x:c r="M953" s="21" t="n">
        <x:v>34.6211829</x:v>
      </x:c>
      <x:c r="N953" s="21" t="n">
        <x:v>135.54853</x:v>
      </x:c>
      <x:c r="O953" s="18" t="str">
        <x:v>007546</x:v>
      </x:c>
      <x:c r="P953" s="18" t="str">
        <x:v>2号線(谷町線)</x:v>
      </x:c>
      <x:c r="Q953" s="19" t="str">
        <x:v>S12_061_GE_10000</x:v>
      </x:c>
      <x:c r="R953" s="19" t="str">
        <x:v>S12_061 usage threshold</x:v>
      </x:c>
      <x:c r="S953" s="19" t="str">
        <x:v>https://nlftp.mlit.go.jp/ksj/gml/datalist/KsjTmplt-S12-2024.html</x:v>
      </x:c>
      <x:c r="T953" s="19" t="str">
        <x:v>https://nlftp.mlit.go.jp/ksj/gml/datalist/KsjTmplt-S12-2024.html</x:v>
      </x:c>
      <x:c r="U953" s="19" t="str">
        <x:v>station-component|平野|大阪市高速電気軌道|metro|34.6212|135.5485|</x:v>
      </x:c>
      <x:c r="V953" s="19" t="str">
        <x:v>007546 / 007546 / 2号線(谷町線)</x:v>
      </x:c>
      <x:c r="W953" s="18" t="str">
        <x:v>否</x:v>
      </x:c>
      <x:c r="X953" s="18" t="str">
        <x:v>0785e932a32b3ec15e1a1345537ae145eafe1c07bf38d5c16c11ee2b391e7a28</x:v>
      </x:c>
      <x:c r="Y953" s="20" t="n">
        <x:v>1</x:v>
      </x:c>
      <x:c r="Z953" s="20" t="n">
        <x:v>1</x:v>
      </x:c>
      <x:c r="AA953" s="19"/>
      <x:c r="AB953" s="18"/>
      <x:c r="AC953" s="19"/>
    </x:row>
    <x:row r="954" ht="28" customHeight="1">
      <x:c r="A954" s="18" t="str">
        <x:v>平野</x:v>
      </x:c>
      <x:c r="B954" s="18" t="str">
        <x:v>西日本旅客鉄道</x:v>
      </x:c>
      <x:c r="C954" s="18" t="str">
        <x:v>conventional_rail</x:v>
      </x:c>
      <x:c r="D954" s="19" t="str">
        <x:v>T2</x:v>
      </x:c>
      <x:c r="E954" s="20" t="n">
        <x:v>18892</x:v>
      </x:c>
      <x:c r="F954" s="18" t="str">
        <x:v>persons/day</x:v>
      </x:c>
      <x:c r="G954" s="18" t="str">
        <x:v>FY2024</x:v>
      </x:c>
      <x:c r="H954" s="18" t="str">
        <x:v>否</x:v>
      </x:c>
      <x:c r="I954" s="19" t="str">
        <x:v>DAILY_ENTRIES_EXITS</x:v>
      </x:c>
      <x:c r="J954" s="19" t="str">
        <x:v>関西線</x:v>
      </x:c>
      <x:c r="K954" s="18" t="str">
        <x:v>transport-node:0e2e44ff-97a9-54f1-b346-357c1dcce64c</x:v>
      </x:c>
      <x:c r="L954" s="19" t="str">
        <x:v>组件待审核</x:v>
      </x:c>
      <x:c r="M954" s="21" t="n">
        <x:v>34.63091</x:v>
      </x:c>
      <x:c r="N954" s="21" t="n">
        <x:v>135.551025</x:v>
      </x:c>
      <x:c r="O954" s="18" t="str">
        <x:v>007505</x:v>
      </x:c>
      <x:c r="P954" s="18" t="str">
        <x:v>関西線</x:v>
      </x:c>
      <x:c r="Q954" s="19" t="str">
        <x:v>S12_061_GE_10000</x:v>
      </x:c>
      <x:c r="R954" s="19" t="str">
        <x:v>S12_061 usage threshold</x:v>
      </x:c>
      <x:c r="S954" s="19" t="str">
        <x:v>https://nlftp.mlit.go.jp/ksj/gml/datalist/KsjTmplt-S12-2024.html</x:v>
      </x:c>
      <x:c r="T954" s="19" t="str">
        <x:v>https://nlftp.mlit.go.jp/ksj/gml/datalist/KsjTmplt-S12-2024.html</x:v>
      </x:c>
      <x:c r="U954" s="19" t="str">
        <x:v>station-component|平野|西日本旅客鉄道|conventional_rail|34.6309|135.5510|</x:v>
      </x:c>
      <x:c r="V954" s="19" t="str">
        <x:v>007505 / 007505 / 関西線</x:v>
      </x:c>
      <x:c r="W954" s="18" t="str">
        <x:v>否</x:v>
      </x:c>
      <x:c r="X954" s="18" t="str">
        <x:v>0785e932a32b3ec15e1a1345537ae145eafe1c07bf38d5c16c11ee2b391e7a28</x:v>
      </x:c>
      <x:c r="Y954" s="20" t="n">
        <x:v>1</x:v>
      </x:c>
      <x:c r="Z954" s="20" t="n">
        <x:v>1</x:v>
      </x:c>
      <x:c r="AA954" s="19"/>
      <x:c r="AB954" s="18"/>
      <x:c r="AC954" s="19"/>
    </x:row>
    <x:row r="955" ht="28" customHeight="1">
      <x:c r="A955" s="18" t="str">
        <x:v>平針</x:v>
      </x:c>
      <x:c r="B955" s="18" t="str">
        <x:v>名古屋市</x:v>
      </x:c>
      <x:c r="C955" s="18" t="str">
        <x:v>metro</x:v>
      </x:c>
      <x:c r="D955" s="19" t="str">
        <x:v>T2</x:v>
      </x:c>
      <x:c r="E955" s="20" t="n">
        <x:v>14856</x:v>
      </x:c>
      <x:c r="F955" s="18" t="str">
        <x:v>persons/day</x:v>
      </x:c>
      <x:c r="G955" s="18" t="str">
        <x:v>FY2024</x:v>
      </x:c>
      <x:c r="H955" s="18" t="str">
        <x:v>否</x:v>
      </x:c>
      <x:c r="I955" s="19" t="str">
        <x:v>DAILY_ENTRIES_EXITS</x:v>
      </x:c>
      <x:c r="J955" s="19" t="str">
        <x:v>3号線鶴舞線</x:v>
      </x:c>
      <x:c r="K955" s="18" t="str">
        <x:v>transport-node:300ceb4e-2385-5fa9-b700-664e20e4c8a6</x:v>
      </x:c>
      <x:c r="L955" s="19" t="str">
        <x:v>组件待审核</x:v>
      </x:c>
      <x:c r="M955" s="21" t="n">
        <x:v>35.1227</x:v>
      </x:c>
      <x:c r="N955" s="21" t="n">
        <x:v>137.007215</x:v>
      </x:c>
      <x:c r="O955" s="18" t="str">
        <x:v>005618</x:v>
      </x:c>
      <x:c r="P955" s="18" t="str">
        <x:v>3号線鶴舞線</x:v>
      </x:c>
      <x:c r="Q955" s="19" t="str">
        <x:v>S12_061_GE_10000</x:v>
      </x:c>
      <x:c r="R955" s="19" t="str">
        <x:v>S12_061 usage threshold</x:v>
      </x:c>
      <x:c r="S955" s="19" t="str">
        <x:v>https://nlftp.mlit.go.jp/ksj/gml/datalist/KsjTmplt-S12-2024.html</x:v>
      </x:c>
      <x:c r="T955" s="19" t="str">
        <x:v>https://nlftp.mlit.go.jp/ksj/gml/datalist/KsjTmplt-S12-2024.html</x:v>
      </x:c>
      <x:c r="U955" s="19" t="str">
        <x:v>station-component|平針|名古屋市|metro|35.1227|137.0072|</x:v>
      </x:c>
      <x:c r="V955" s="19" t="str">
        <x:v>005618 / 005618 / 3号線鶴舞線</x:v>
      </x:c>
      <x:c r="W955" s="18" t="str">
        <x:v>否</x:v>
      </x:c>
      <x:c r="X955" s="18" t="str">
        <x:v>0785e932a32b3ec15e1a1345537ae145eafe1c07bf38d5c16c11ee2b391e7a28</x:v>
      </x:c>
      <x:c r="Y955" s="20" t="n">
        <x:v>1</x:v>
      </x:c>
      <x:c r="Z955" s="20" t="n">
        <x:v>1</x:v>
      </x:c>
      <x:c r="AA955" s="19"/>
      <x:c r="AB955" s="18"/>
      <x:c r="AC955" s="19"/>
    </x:row>
    <x:row r="956" ht="28" customHeight="1">
      <x:c r="A956" s="18" t="str">
        <x:v>平間</x:v>
      </x:c>
      <x:c r="B956" s="18" t="str">
        <x:v>東日本旅客鉄道</x:v>
      </x:c>
      <x:c r="C956" s="18" t="str">
        <x:v>conventional_rail</x:v>
      </x:c>
      <x:c r="D956" s="19" t="str">
        <x:v>T2</x:v>
      </x:c>
      <x:c r="E956" s="20" t="n">
        <x:v>26592</x:v>
      </x:c>
      <x:c r="F956" s="18" t="str">
        <x:v>persons/day</x:v>
      </x:c>
      <x:c r="G956" s="18" t="str">
        <x:v>FY2024</x:v>
      </x:c>
      <x:c r="H956" s="18" t="str">
        <x:v>否</x:v>
      </x:c>
      <x:c r="I956" s="19" t="str">
        <x:v>DAILY_ENTRIES_EXITS</x:v>
      </x:c>
      <x:c r="J956" s="19" t="str">
        <x:v>南武線</x:v>
      </x:c>
      <x:c r="K956" s="18" t="str">
        <x:v>transport-node:5ce47070-1fa1-5c83-8eec-348ffd7b999b</x:v>
      </x:c>
      <x:c r="L956" s="19" t="str">
        <x:v>组件待审核</x:v>
      </x:c>
      <x:c r="M956" s="21" t="n">
        <x:v>35.560565</x:v>
      </x:c>
      <x:c r="N956" s="21" t="n">
        <x:v>139.671095</x:v>
      </x:c>
      <x:c r="O956" s="18" t="str">
        <x:v>004336</x:v>
      </x:c>
      <x:c r="P956" s="18" t="str">
        <x:v>南武線</x:v>
      </x:c>
      <x:c r="Q956" s="19" t="str">
        <x:v>S12_061_GE_10000</x:v>
      </x:c>
      <x:c r="R956" s="19" t="str">
        <x:v>S12_061 usage threshold</x:v>
      </x:c>
      <x:c r="S956" s="19" t="str">
        <x:v>https://nlftp.mlit.go.jp/ksj/gml/datalist/KsjTmplt-S12-2024.html</x:v>
      </x:c>
      <x:c r="T956" s="19" t="str">
        <x:v>https://nlftp.mlit.go.jp/ksj/gml/datalist/KsjTmplt-S12-2024.html</x:v>
      </x:c>
      <x:c r="U956" s="19" t="str">
        <x:v>station-component|平間|東日本旅客鉄道|conventional_rail|35.5606|139.6711|</x:v>
      </x:c>
      <x:c r="V956" s="19" t="str">
        <x:v>004336 / 004336 / 南武線</x:v>
      </x:c>
      <x:c r="W956" s="18" t="str">
        <x:v>否</x:v>
      </x:c>
      <x:c r="X956" s="18" t="str">
        <x:v>0785e932a32b3ec15e1a1345537ae145eafe1c07bf38d5c16c11ee2b391e7a28</x:v>
      </x:c>
      <x:c r="Y956" s="20" t="n">
        <x:v>1</x:v>
      </x:c>
      <x:c r="Z956" s="20" t="n">
        <x:v>1</x:v>
      </x:c>
      <x:c r="AA956" s="19"/>
      <x:c r="AB956" s="18"/>
      <x:c r="AC956" s="19"/>
    </x:row>
    <x:row r="957" ht="28" customHeight="1">
      <x:c r="A957" s="18" t="str">
        <x:v>幸手</x:v>
      </x:c>
      <x:c r="B957" s="18" t="str">
        <x:v>東武鉄道</x:v>
      </x:c>
      <x:c r="C957" s="18" t="str">
        <x:v>private_rail</x:v>
      </x:c>
      <x:c r="D957" s="19" t="str">
        <x:v>T2</x:v>
      </x:c>
      <x:c r="E957" s="20" t="n">
        <x:v>11666</x:v>
      </x:c>
      <x:c r="F957" s="18" t="str">
        <x:v>persons/day</x:v>
      </x:c>
      <x:c r="G957" s="18" t="str">
        <x:v>FY2024</x:v>
      </x:c>
      <x:c r="H957" s="18" t="str">
        <x:v>否</x:v>
      </x:c>
      <x:c r="I957" s="19" t="str">
        <x:v>DAILY_ENTRIES_EXITS</x:v>
      </x:c>
      <x:c r="J957" s="19" t="str">
        <x:v>日光線</x:v>
      </x:c>
      <x:c r="K957" s="18" t="str">
        <x:v>transport-node:276b5b3c-76fb-59e5-add8-c63f4ddb80fc</x:v>
      </x:c>
      <x:c r="L957" s="19" t="str">
        <x:v>组件待审核</x:v>
      </x:c>
      <x:c r="M957" s="21" t="n">
        <x:v>36.07407</x:v>
      </x:c>
      <x:c r="N957" s="21" t="n">
        <x:v>139.71491</x:v>
      </x:c>
      <x:c r="O957" s="18" t="str">
        <x:v>002672</x:v>
      </x:c>
      <x:c r="P957" s="18" t="str">
        <x:v>日光線</x:v>
      </x:c>
      <x:c r="Q957" s="19" t="str">
        <x:v>S12_061_GE_10000</x:v>
      </x:c>
      <x:c r="R957" s="19" t="str">
        <x:v>S12_061 usage threshold</x:v>
      </x:c>
      <x:c r="S957" s="19" t="str">
        <x:v>https://nlftp.mlit.go.jp/ksj/gml/datalist/KsjTmplt-S12-2024.html</x:v>
      </x:c>
      <x:c r="T957" s="19" t="str">
        <x:v>https://nlftp.mlit.go.jp/ksj/gml/datalist/KsjTmplt-S12-2024.html</x:v>
      </x:c>
      <x:c r="U957" s="19" t="str">
        <x:v>station-component|幸手|東武鉄道|private_rail|36.0741|139.7149|</x:v>
      </x:c>
      <x:c r="V957" s="19" t="str">
        <x:v>002672 / 002672 / 日光線</x:v>
      </x:c>
      <x:c r="W957" s="18" t="str">
        <x:v>否</x:v>
      </x:c>
      <x:c r="X957" s="18" t="str">
        <x:v>0785e932a32b3ec15e1a1345537ae145eafe1c07bf38d5c16c11ee2b391e7a28</x:v>
      </x:c>
      <x:c r="Y957" s="20" t="n">
        <x:v>1</x:v>
      </x:c>
      <x:c r="Z957" s="20" t="n">
        <x:v>1</x:v>
      </x:c>
      <x:c r="AA957" s="19"/>
      <x:c r="AB957" s="18"/>
      <x:c r="AC957" s="19"/>
    </x:row>
    <x:row r="958" ht="28" customHeight="1">
      <x:c r="A958" s="18" t="str">
        <x:v>広尾</x:v>
      </x:c>
      <x:c r="B958" s="18" t="str">
        <x:v>東京地下鉄</x:v>
      </x:c>
      <x:c r="C958" s="18" t="str">
        <x:v>metro</x:v>
      </x:c>
      <x:c r="D958" s="19" t="str">
        <x:v>T1</x:v>
      </x:c>
      <x:c r="E958" s="20" t="n">
        <x:v>58660</x:v>
      </x:c>
      <x:c r="F958" s="18" t="str">
        <x:v>persons/day</x:v>
      </x:c>
      <x:c r="G958" s="18" t="str">
        <x:v>FY2024</x:v>
      </x:c>
      <x:c r="H958" s="18" t="str">
        <x:v>否</x:v>
      </x:c>
      <x:c r="I958" s="19" t="str">
        <x:v>DAILY_ENTRIES_EXITS</x:v>
      </x:c>
      <x:c r="J958" s="19" t="str">
        <x:v>2号線日比谷線</x:v>
      </x:c>
      <x:c r="K958" s="18" t="str">
        <x:v>transport-node:498bf027-56c6-5bd7-a4e8-5454a73f613f</x:v>
      </x:c>
      <x:c r="L958" s="19" t="str">
        <x:v>组件待审核</x:v>
      </x:c>
      <x:c r="M958" s="21" t="n">
        <x:v>35.6517833</x:v>
      </x:c>
      <x:c r="N958" s="21" t="n">
        <x:v>139.7221933</x:v>
      </x:c>
      <x:c r="O958" s="18" t="str">
        <x:v>003969</x:v>
      </x:c>
      <x:c r="P958" s="18" t="str">
        <x:v>2号線日比谷線</x:v>
      </x:c>
      <x:c r="Q958" s="19" t="str">
        <x:v>S12_061_GE_10000</x:v>
      </x:c>
      <x:c r="R958" s="19" t="str">
        <x:v>S12_061 usage threshold</x:v>
      </x:c>
      <x:c r="S958" s="19" t="str">
        <x:v>https://nlftp.mlit.go.jp/ksj/gml/datalist/KsjTmplt-S12-2024.html</x:v>
      </x:c>
      <x:c r="T958" s="19" t="str">
        <x:v>https://nlftp.mlit.go.jp/ksj/gml/datalist/KsjTmplt-S12-2024.html</x:v>
      </x:c>
      <x:c r="U958" s="19" t="str">
        <x:v>station-component|広尾|東京地下鉄|metro|35.6518|139.7222|</x:v>
      </x:c>
      <x:c r="V958" s="19" t="str">
        <x:v>003969 / 003969 / 2号線日比谷線</x:v>
      </x:c>
      <x:c r="W958" s="18" t="str">
        <x:v>否</x:v>
      </x:c>
      <x:c r="X958" s="18" t="str">
        <x:v>0785e932a32b3ec15e1a1345537ae145eafe1c07bf38d5c16c11ee2b391e7a28</x:v>
      </x:c>
      <x:c r="Y958" s="20" t="n">
        <x:v>1</x:v>
      </x:c>
      <x:c r="Z958" s="20" t="n">
        <x:v>1</x:v>
      </x:c>
      <x:c r="AA958" s="19"/>
      <x:c r="AB958" s="18"/>
      <x:c r="AC958" s="19"/>
    </x:row>
    <x:row r="959" ht="33" customHeight="1">
      <x:c r="A959" s="18" t="str">
        <x:v>広島</x:v>
      </x:c>
      <x:c r="B959" s="18" t="str">
        <x:v>西日本旅客鉄道</x:v>
      </x:c>
      <x:c r="C959" s="18" t="str">
        <x:v>conventional_rail</x:v>
      </x:c>
      <x:c r="D959" s="19" t="str">
        <x:v>T1</x:v>
      </x:c>
      <x:c r="E959" s="20" t="n">
        <x:v>150070</x:v>
      </x:c>
      <x:c r="F959" s="18" t="str">
        <x:v>persons/day</x:v>
      </x:c>
      <x:c r="G959" s="18" t="str">
        <x:v>FY2024</x:v>
      </x:c>
      <x:c r="H959" s="18" t="str">
        <x:v>否</x:v>
      </x:c>
      <x:c r="I959" s="19" t="str">
        <x:v>DAILY_ENTRIES_EXITS</x:v>
      </x:c>
      <x:c r="J959" s="19" t="str">
        <x:v>山陽線
芸備線</x:v>
      </x:c>
      <x:c r="K959" s="18" t="str">
        <x:v>transport-node:99f4ebcf-4e79-5646-a924-1560a3a95976</x:v>
      </x:c>
      <x:c r="L959" s="19" t="str">
        <x:v>组件待审核</x:v>
      </x:c>
      <x:c r="M959" s="21" t="n">
        <x:v>34.397225</x:v>
      </x:c>
      <x:c r="N959" s="21" t="n">
        <x:v>132.47569</x:v>
      </x:c>
      <x:c r="O959" s="18" t="str">
        <x:v>008031</x:v>
      </x:c>
      <x:c r="P959" s="18" t="str">
        <x:v>山陽線</x:v>
      </x:c>
      <x:c r="Q959" s="19" t="str">
        <x:v>S12_061_GE_10000
OFFICIAL_HUB_COMPONENT_REVIEW</x:v>
      </x:c>
      <x:c r="R959" s="19" t="str">
        <x:v>S12_061 usage threshold</x:v>
      </x:c>
      <x:c r="S959" s="19" t="str">
        <x:v>https://nlftp.mlit.go.jp/ksj/gml/datalist/KsjTmplt-S12-2024.html</x:v>
      </x:c>
      <x:c r="T959" s="19" t="str">
        <x:v>https://nlftp.mlit.go.jp/ksj/gml/datalist/KsjTmplt-S12-2024.html
https://www.hiroden.co.jp/company/csr/pdf/hiroshimastation/news_202508.pdf</x:v>
      </x:c>
      <x:c r="U959" s="19" t="str">
        <x:v>station-component|広島|西日本旅客鉄道|conventional_rail|34.3972|132.4757|</x:v>
      </x:c>
      <x:c r="V959" s="19" t="str">
        <x:v>008029 / 008029 / 芸備線
008029 / 008031 / 山陽線</x:v>
      </x:c>
      <x:c r="W959" s="18" t="str">
        <x:v>否</x:v>
      </x:c>
      <x:c r="X959" s="18" t="str">
        <x:v>0785e932a32b3ec15e1a1345537ae145eafe1c07bf38d5c16c11ee2b391e7a28</x:v>
      </x:c>
      <x:c r="Y959" s="20" t="n">
        <x:v>1</x:v>
      </x:c>
      <x:c r="Z959" s="20" t="n">
        <x:v>1</x:v>
      </x:c>
      <x:c r="AA959" s="19" t="str">
        <x:v>広島</x:v>
      </x:c>
      <x:c r="AB959" s="18" t="str">
        <x:v>transport-hub-review:9634ce29-42a0-58c2-9212-bbfbcc05a59f</x:v>
      </x:c>
      <x:c r="AC959" s="19"/>
    </x:row>
    <x:row r="960" ht="47" customHeight="1">
      <x:c r="A960" s="18" t="str">
        <x:v>広島</x:v>
      </x:c>
      <x:c r="B960" s="18" t="str">
        <x:v>西日本旅客鉄道</x:v>
      </x:c>
      <x:c r="C960" s="18" t="str">
        <x:v>shinkansen</x:v>
      </x:c>
      <x:c r="D960" s="19"/>
      <x:c r="E960" s="20" t="n">
        <x:v>83006</x:v>
      </x:c>
      <x:c r="F960" s="18" t="str">
        <x:v>boardings/day</x:v>
      </x:c>
      <x:c r="G960" s="18" t="str">
        <x:v>FY2025</x:v>
      </x:c>
      <x:c r="H960" s="18" t="str">
        <x:v>是</x:v>
      </x:c>
      <x:c r="I960" s="19" t="str">
        <x:v>STATION_COMPLEX_PROXY</x:v>
      </x:c>
      <x:c r="J960" s="19" t="str">
        <x:v>山陽新幹線</x:v>
      </x:c>
      <x:c r="K960" s="18" t="str">
        <x:v>transport-node:7dd65747-efc7-5aae-bb74-ddbc4590a941</x:v>
      </x:c>
      <x:c r="L960" s="19" t="str">
        <x:v>组件待审核</x:v>
      </x:c>
      <x:c r="M960" s="21" t="n">
        <x:v>34.398465</x:v>
      </x:c>
      <x:c r="N960" s="21" t="n">
        <x:v>132.47517</x:v>
      </x:c>
      <x:c r="O960" s="18" t="str">
        <x:v>008025</x:v>
      </x:c>
      <x:c r="P960" s="18" t="str">
        <x:v>山陽新幹線</x:v>
      </x:c>
      <x:c r="Q960" s="19" t="str">
        <x:v>SHINKANSEN
OFFICIAL_HUB_COMPONENT_REVIEW</x:v>
      </x:c>
      <x:c r="R960" s="19" t="str">
        <x:v>Official fallback retained in published scope/unit; tier remains null pending metric/manual review.</x:v>
      </x:c>
      <x:c r="S960" s="19" t="str">
        <x:v>https://www.westjr.co.jp/company/info/issue/data/pdf/data2026_11.pdf</x:v>
      </x:c>
      <x:c r="T960" s="19" t="str">
        <x:v>https://nlftp.mlit.go.jp/ksj/gml/datalist/KsjTmplt-S12-2024.html
https://www.hiroden.co.jp/company/csr/pdf/hiroshimastation/news_202508.pdf
https://www.westjr.co.jp/company/info/issue/data/pdf/data2026_11.pdf</x:v>
      </x:c>
      <x:c r="U960" s="19" t="str">
        <x:v>station-component|広島|西日本旅客鉄道|shinkansen|34.3985|132.4752|</x:v>
      </x:c>
      <x:c r="V960" s="19" t="str">
        <x:v>008029 / 008025 / 山陽新幹線</x:v>
      </x:c>
      <x:c r="W960" s="18" t="str">
        <x:v>否</x:v>
      </x:c>
      <x:c r="X960" s="18" t="str">
        <x:v>0785e932a32b3ec15e1a1345537ae145eafe1c07bf38d5c16c11ee2b391e7a28</x:v>
      </x:c>
      <x:c r="Y960" s="20" t="n">
        <x:v>1</x:v>
      </x:c>
      <x:c r="Z960" s="20" t="n">
        <x:v>2</x:v>
      </x:c>
      <x:c r="AA960" s="19" t="str">
        <x:v>広島</x:v>
      </x:c>
      <x:c r="AB960" s="18" t="str">
        <x:v>transport-hub-review:9634ce29-42a0-58c2-9212-bbfbcc05a59f</x:v>
      </x:c>
      <x:c r="AC960" s="19"/>
    </x:row>
    <x:row r="961" ht="33" customHeight="1">
      <x:c r="A961" s="18" t="str">
        <x:v>広島駅</x:v>
      </x:c>
      <x:c r="B961" s="18" t="str">
        <x:v>広島電鉄</x:v>
      </x:c>
      <x:c r="C961" s="18" t="str">
        <x:v>tram</x:v>
      </x:c>
      <x:c r="D961" s="19" t="str">
        <x:v>T2</x:v>
      </x:c>
      <x:c r="E961" s="20" t="n">
        <x:v>25881</x:v>
      </x:c>
      <x:c r="F961" s="18" t="str">
        <x:v>persons/day</x:v>
      </x:c>
      <x:c r="G961" s="18" t="str">
        <x:v>FY2024</x:v>
      </x:c>
      <x:c r="H961" s="18" t="str">
        <x:v>否</x:v>
      </x:c>
      <x:c r="I961" s="19" t="str">
        <x:v>DAILY_ENTRIES_EXITS</x:v>
      </x:c>
      <x:c r="J961" s="19" t="str">
        <x:v>本線</x:v>
      </x:c>
      <x:c r="K961" s="18" t="str">
        <x:v>transport-node:28242e2c-8393-5c2c-b884-f5d1783cfcfa</x:v>
      </x:c>
      <x:c r="L961" s="19" t="str">
        <x:v>组件待审核</x:v>
      </x:c>
      <x:c r="M961" s="21" t="n">
        <x:v>34.39633</x:v>
      </x:c>
      <x:c r="N961" s="21" t="n">
        <x:v>132.475435</x:v>
      </x:c>
      <x:c r="O961" s="18" t="str">
        <x:v>008038</x:v>
      </x:c>
      <x:c r="P961" s="18" t="str">
        <x:v>本線</x:v>
      </x:c>
      <x:c r="Q961" s="19" t="str">
        <x:v>S12_061_GE_10000
OFFICIAL_HUB_COMPONENT_REVIEW</x:v>
      </x:c>
      <x:c r="R961" s="19" t="str">
        <x:v>S12_061 usage threshold</x:v>
      </x:c>
      <x:c r="S961" s="19" t="str">
        <x:v>https://nlftp.mlit.go.jp/ksj/gml/datalist/KsjTmplt-S12-2024.html</x:v>
      </x:c>
      <x:c r="T961" s="19" t="str">
        <x:v>https://nlftp.mlit.go.jp/ksj/gml/datalist/KsjTmplt-S12-2024.html
https://www.hiroden.co.jp/company/csr/pdf/hiroshimastation/news_202508.pdf</x:v>
      </x:c>
      <x:c r="U961" s="19" t="str">
        <x:v>station-component|広島駅|広島電鉄|tram|34.3963|132.4754|</x:v>
      </x:c>
      <x:c r="V961" s="19" t="str">
        <x:v>008038 / 008038 / 本線</x:v>
      </x:c>
      <x:c r="W961" s="18" t="str">
        <x:v>否</x:v>
      </x:c>
      <x:c r="X961" s="18" t="str">
        <x:v>0785e932a32b3ec15e1a1345537ae145eafe1c07bf38d5c16c11ee2b391e7a28</x:v>
      </x:c>
      <x:c r="Y961" s="20" t="n">
        <x:v>1</x:v>
      </x:c>
      <x:c r="Z961" s="20" t="n">
        <x:v>1</x:v>
      </x:c>
      <x:c r="AA961" s="19" t="str">
        <x:v>広島</x:v>
      </x:c>
      <x:c r="AB961" s="18" t="str">
        <x:v>transport-hub-review:9634ce29-42a0-58c2-9212-bbfbcc05a59f</x:v>
      </x:c>
      <x:c r="AC961" s="19"/>
    </x:row>
    <x:row r="962" ht="28" customHeight="1">
      <x:c r="A962" s="18" t="str">
        <x:v>庄内</x:v>
      </x:c>
      <x:c r="B962" s="18" t="str">
        <x:v>阪急電鉄</x:v>
      </x:c>
      <x:c r="C962" s="18" t="str">
        <x:v>private_rail</x:v>
      </x:c>
      <x:c r="D962" s="19" t="str">
        <x:v>T2</x:v>
      </x:c>
      <x:c r="E962" s="20" t="n">
        <x:v>24867</x:v>
      </x:c>
      <x:c r="F962" s="18" t="str">
        <x:v>persons/day</x:v>
      </x:c>
      <x:c r="G962" s="18" t="str">
        <x:v>FY2024</x:v>
      </x:c>
      <x:c r="H962" s="18" t="str">
        <x:v>否</x:v>
      </x:c>
      <x:c r="I962" s="19" t="str">
        <x:v>DAILY_ENTRIES_EXITS</x:v>
      </x:c>
      <x:c r="J962" s="19" t="str">
        <x:v>宝塚線</x:v>
      </x:c>
      <x:c r="K962" s="18" t="str">
        <x:v>transport-node:2f879632-443d-5c25-b1e6-cd5cea9f4d7e</x:v>
      </x:c>
      <x:c r="L962" s="19" t="str">
        <x:v>组件待审核</x:v>
      </x:c>
      <x:c r="M962" s="21" t="n">
        <x:v>34.750345</x:v>
      </x:c>
      <x:c r="N962" s="21" t="n">
        <x:v>135.47514</x:v>
      </x:c>
      <x:c r="O962" s="18" t="str">
        <x:v>006832</x:v>
      </x:c>
      <x:c r="P962" s="18" t="str">
        <x:v>宝塚線</x:v>
      </x:c>
      <x:c r="Q962" s="19" t="str">
        <x:v>S12_061_GE_10000</x:v>
      </x:c>
      <x:c r="R962" s="19" t="str">
        <x:v>S12_061 usage threshold</x:v>
      </x:c>
      <x:c r="S962" s="19" t="str">
        <x:v>https://nlftp.mlit.go.jp/ksj/gml/datalist/KsjTmplt-S12-2024.html</x:v>
      </x:c>
      <x:c r="T962" s="19" t="str">
        <x:v>https://nlftp.mlit.go.jp/ksj/gml/datalist/KsjTmplt-S12-2024.html</x:v>
      </x:c>
      <x:c r="U962" s="19" t="str">
        <x:v>station-component|庄内|阪急電鉄|private_rail|34.7503|135.4751|</x:v>
      </x:c>
      <x:c r="V962" s="19" t="str">
        <x:v>006832 / 006832 / 宝塚線</x:v>
      </x:c>
      <x:c r="W962" s="18" t="str">
        <x:v>否</x:v>
      </x:c>
      <x:c r="X962" s="18" t="str">
        <x:v>0785e932a32b3ec15e1a1345537ae145eafe1c07bf38d5c16c11ee2b391e7a28</x:v>
      </x:c>
      <x:c r="Y962" s="20" t="n">
        <x:v>1</x:v>
      </x:c>
      <x:c r="Z962" s="20" t="n">
        <x:v>1</x:v>
      </x:c>
      <x:c r="AA962" s="19"/>
      <x:c r="AB962" s="18"/>
      <x:c r="AC962" s="19"/>
    </x:row>
    <x:row r="963" ht="28" customHeight="1">
      <x:c r="A963" s="18" t="str">
        <x:v>庄内通</x:v>
      </x:c>
      <x:c r="B963" s="18" t="str">
        <x:v>名古屋市</x:v>
      </x:c>
      <x:c r="C963" s="18" t="str">
        <x:v>metro</x:v>
      </x:c>
      <x:c r="D963" s="19" t="str">
        <x:v>T2</x:v>
      </x:c>
      <x:c r="E963" s="20" t="n">
        <x:v>14586</x:v>
      </x:c>
      <x:c r="F963" s="18" t="str">
        <x:v>persons/day</x:v>
      </x:c>
      <x:c r="G963" s="18" t="str">
        <x:v>FY2024</x:v>
      </x:c>
      <x:c r="H963" s="18" t="str">
        <x:v>否</x:v>
      </x:c>
      <x:c r="I963" s="19" t="str">
        <x:v>DAILY_ENTRIES_EXITS</x:v>
      </x:c>
      <x:c r="J963" s="19" t="str">
        <x:v>3号線鶴舞線</x:v>
      </x:c>
      <x:c r="K963" s="18" t="str">
        <x:v>transport-node:15b3c760-7cb9-54aa-a4e9-5874119b914c</x:v>
      </x:c>
      <x:c r="L963" s="19" t="str">
        <x:v>组件待审核</x:v>
      </x:c>
      <x:c r="M963" s="21" t="n">
        <x:v>35.203815</x:v>
      </x:c>
      <x:c r="N963" s="21" t="n">
        <x:v>136.891005</x:v>
      </x:c>
      <x:c r="O963" s="18" t="str">
        <x:v>005338</x:v>
      </x:c>
      <x:c r="P963" s="18" t="str">
        <x:v>3号線鶴舞線</x:v>
      </x:c>
      <x:c r="Q963" s="19" t="str">
        <x:v>S12_061_GE_10000</x:v>
      </x:c>
      <x:c r="R963" s="19" t="str">
        <x:v>S12_061 usage threshold</x:v>
      </x:c>
      <x:c r="S963" s="19" t="str">
        <x:v>https://nlftp.mlit.go.jp/ksj/gml/datalist/KsjTmplt-S12-2024.html</x:v>
      </x:c>
      <x:c r="T963" s="19" t="str">
        <x:v>https://nlftp.mlit.go.jp/ksj/gml/datalist/KsjTmplt-S12-2024.html</x:v>
      </x:c>
      <x:c r="U963" s="19" t="str">
        <x:v>station-component|庄内通|名古屋市|metro|35.2038|136.8910|</x:v>
      </x:c>
      <x:c r="V963" s="19" t="str">
        <x:v>005338 / 005338 / 3号線鶴舞線</x:v>
      </x:c>
      <x:c r="W963" s="18" t="str">
        <x:v>否</x:v>
      </x:c>
      <x:c r="X963" s="18" t="str">
        <x:v>0785e932a32b3ec15e1a1345537ae145eafe1c07bf38d5c16c11ee2b391e7a28</x:v>
      </x:c>
      <x:c r="Y963" s="20" t="n">
        <x:v>1</x:v>
      </x:c>
      <x:c r="Z963" s="20" t="n">
        <x:v>1</x:v>
      </x:c>
      <x:c r="AA963" s="19"/>
      <x:c r="AB963" s="18"/>
      <x:c r="AC963" s="19"/>
    </x:row>
    <x:row r="964" ht="28" customHeight="1">
      <x:c r="A964" s="18" t="str">
        <x:v>府中</x:v>
      </x:c>
      <x:c r="B964" s="18" t="str">
        <x:v>京王電鉄</x:v>
      </x:c>
      <x:c r="C964" s="18" t="str">
        <x:v>private_rail</x:v>
      </x:c>
      <x:c r="D964" s="19" t="str">
        <x:v>T1</x:v>
      </x:c>
      <x:c r="E964" s="20" t="n">
        <x:v>81516</x:v>
      </x:c>
      <x:c r="F964" s="18" t="str">
        <x:v>persons/day</x:v>
      </x:c>
      <x:c r="G964" s="18" t="str">
        <x:v>FY2024</x:v>
      </x:c>
      <x:c r="H964" s="18" t="str">
        <x:v>否</x:v>
      </x:c>
      <x:c r="I964" s="19" t="str">
        <x:v>DAILY_ENTRIES_EXITS</x:v>
      </x:c>
      <x:c r="J964" s="19" t="str">
        <x:v>京王線</x:v>
      </x:c>
      <x:c r="K964" s="18" t="str">
        <x:v>transport-node:85ecaa6d-315c-5370-82b4-499659596431</x:v>
      </x:c>
      <x:c r="L964" s="19" t="str">
        <x:v>组件待审核</x:v>
      </x:c>
      <x:c r="M964" s="21" t="n">
        <x:v>35.67219</x:v>
      </x:c>
      <x:c r="N964" s="21" t="n">
        <x:v>139.4801</x:v>
      </x:c>
      <x:c r="O964" s="18" t="str">
        <x:v>003821</x:v>
      </x:c>
      <x:c r="P964" s="18" t="str">
        <x:v>京王線</x:v>
      </x:c>
      <x:c r="Q964" s="19" t="str">
        <x:v>S12_061_GE_10000</x:v>
      </x:c>
      <x:c r="R964" s="19" t="str">
        <x:v>S12_061 usage threshold</x:v>
      </x:c>
      <x:c r="S964" s="19" t="str">
        <x:v>https://nlftp.mlit.go.jp/ksj/gml/datalist/KsjTmplt-S12-2024.html</x:v>
      </x:c>
      <x:c r="T964" s="19" t="str">
        <x:v>https://nlftp.mlit.go.jp/ksj/gml/datalist/KsjTmplt-S12-2024.html</x:v>
      </x:c>
      <x:c r="U964" s="19" t="str">
        <x:v>station-component|府中|京王電鉄|private_rail|35.6722|139.4801|</x:v>
      </x:c>
      <x:c r="V964" s="19" t="str">
        <x:v>003821 / 003821 / 京王線</x:v>
      </x:c>
      <x:c r="W964" s="18" t="str">
        <x:v>否</x:v>
      </x:c>
      <x:c r="X964" s="18" t="str">
        <x:v>0785e932a32b3ec15e1a1345537ae145eafe1c07bf38d5c16c11ee2b391e7a28</x:v>
      </x:c>
      <x:c r="Y964" s="20" t="n">
        <x:v>1</x:v>
      </x:c>
      <x:c r="Z964" s="20" t="n">
        <x:v>1</x:v>
      </x:c>
      <x:c r="AA964" s="19"/>
      <x:c r="AB964" s="18"/>
      <x:c r="AC964" s="19"/>
    </x:row>
    <x:row r="965" ht="33" customHeight="1">
      <x:c r="A965" s="18" t="str">
        <x:v>府中本町</x:v>
      </x:c>
      <x:c r="B965" s="18" t="str">
        <x:v>東日本旅客鉄道</x:v>
      </x:c>
      <x:c r="C965" s="18" t="str">
        <x:v>conventional_rail</x:v>
      </x:c>
      <x:c r="D965" s="19" t="str">
        <x:v>T2</x:v>
      </x:c>
      <x:c r="E965" s="20" t="n">
        <x:v>32500</x:v>
      </x:c>
      <x:c r="F965" s="18" t="str">
        <x:v>persons/day</x:v>
      </x:c>
      <x:c r="G965" s="18" t="str">
        <x:v>FY2024</x:v>
      </x:c>
      <x:c r="H965" s="18" t="str">
        <x:v>否</x:v>
      </x:c>
      <x:c r="I965" s="19" t="str">
        <x:v>DAILY_ENTRIES_EXITS</x:v>
      </x:c>
      <x:c r="J965" s="19" t="str">
        <x:v>南武線
武蔵野線</x:v>
      </x:c>
      <x:c r="K965" s="18" t="str">
        <x:v>transport-node:8f9c9a77-fcb3-5328-af57-23196aee414e</x:v>
      </x:c>
      <x:c r="L965" s="19" t="str">
        <x:v>组件待审核</x:v>
      </x:c>
      <x:c r="M965" s="21" t="n">
        <x:v>35.6658467</x:v>
      </x:c>
      <x:c r="N965" s="21" t="n">
        <x:v>139.4772633</x:v>
      </x:c>
      <x:c r="O965" s="18" t="str">
        <x:v>003876</x:v>
      </x:c>
      <x:c r="P965" s="18" t="str">
        <x:v>南武線</x:v>
      </x:c>
      <x:c r="Q965" s="19" t="str">
        <x:v>S12_061_GE_10000</x:v>
      </x:c>
      <x:c r="R965" s="19" t="str">
        <x:v>S12_061 usage threshold</x:v>
      </x:c>
      <x:c r="S965" s="19" t="str">
        <x:v>https://nlftp.mlit.go.jp/ksj/gml/datalist/KsjTmplt-S12-2024.html</x:v>
      </x:c>
      <x:c r="T965" s="19" t="str">
        <x:v>https://nlftp.mlit.go.jp/ksj/gml/datalist/KsjTmplt-S12-2024.html</x:v>
      </x:c>
      <x:c r="U965" s="19" t="str">
        <x:v>station-component|府中本町|東日本旅客鉄道|conventional_rail|35.6658|139.4773|</x:v>
      </x:c>
      <x:c r="V965" s="19" t="str">
        <x:v>003876 / 003876 / 南武線
003876 / 003878 / 武蔵野線</x:v>
      </x:c>
      <x:c r="W965" s="18" t="str">
        <x:v>否</x:v>
      </x:c>
      <x:c r="X965" s="18" t="str">
        <x:v>0785e932a32b3ec15e1a1345537ae145eafe1c07bf38d5c16c11ee2b391e7a28</x:v>
      </x:c>
      <x:c r="Y965" s="20" t="n">
        <x:v>1</x:v>
      </x:c>
      <x:c r="Z965" s="20" t="n">
        <x:v>1</x:v>
      </x:c>
      <x:c r="AA965" s="19"/>
      <x:c r="AB965" s="18"/>
      <x:c r="AC965" s="19"/>
    </x:row>
    <x:row r="966" ht="28" customHeight="1">
      <x:c r="A966" s="18" t="str">
        <x:v>座間</x:v>
      </x:c>
      <x:c r="B966" s="18" t="str">
        <x:v>小田急電鉄</x:v>
      </x:c>
      <x:c r="C966" s="18" t="str">
        <x:v>private_rail</x:v>
      </x:c>
      <x:c r="D966" s="19" t="str">
        <x:v>T2</x:v>
      </x:c>
      <x:c r="E966" s="20" t="n">
        <x:v>18701</x:v>
      </x:c>
      <x:c r="F966" s="18" t="str">
        <x:v>persons/day</x:v>
      </x:c>
      <x:c r="G966" s="18" t="str">
        <x:v>FY2024</x:v>
      </x:c>
      <x:c r="H966" s="18" t="str">
        <x:v>否</x:v>
      </x:c>
      <x:c r="I966" s="19" t="str">
        <x:v>DAILY_ENTRIES_EXITS</x:v>
      </x:c>
      <x:c r="J966" s="19" t="str">
        <x:v>小田原線</x:v>
      </x:c>
      <x:c r="K966" s="18" t="str">
        <x:v>transport-node:df3f7133-67d4-5587-a372-216374f1afff</x:v>
      </x:c>
      <x:c r="L966" s="19" t="str">
        <x:v>组件待审核</x:v>
      </x:c>
      <x:c r="M966" s="21" t="n">
        <x:v>35.48099</x:v>
      </x:c>
      <x:c r="N966" s="21" t="n">
        <x:v>139.399885</x:v>
      </x:c>
      <x:c r="O966" s="18" t="str">
        <x:v>004584</x:v>
      </x:c>
      <x:c r="P966" s="18" t="str">
        <x:v>小田原線</x:v>
      </x:c>
      <x:c r="Q966" s="19" t="str">
        <x:v>S12_061_GE_10000</x:v>
      </x:c>
      <x:c r="R966" s="19" t="str">
        <x:v>S12_061 usage threshold</x:v>
      </x:c>
      <x:c r="S966" s="19" t="str">
        <x:v>https://nlftp.mlit.go.jp/ksj/gml/datalist/KsjTmplt-S12-2024.html</x:v>
      </x:c>
      <x:c r="T966" s="19" t="str">
        <x:v>https://nlftp.mlit.go.jp/ksj/gml/datalist/KsjTmplt-S12-2024.html</x:v>
      </x:c>
      <x:c r="U966" s="19" t="str">
        <x:v>station-component|座間|小田急電鉄|private_rail|35.4810|139.3999|</x:v>
      </x:c>
      <x:c r="V966" s="19" t="str">
        <x:v>004584 / 004584 / 小田原線</x:v>
      </x:c>
      <x:c r="W966" s="18" t="str">
        <x:v>否</x:v>
      </x:c>
      <x:c r="X966" s="18" t="str">
        <x:v>0785e932a32b3ec15e1a1345537ae145eafe1c07bf38d5c16c11ee2b391e7a28</x:v>
      </x:c>
      <x:c r="Y966" s="20" t="n">
        <x:v>1</x:v>
      </x:c>
      <x:c r="Z966" s="20" t="n">
        <x:v>1</x:v>
      </x:c>
      <x:c r="AA966" s="19"/>
      <x:c r="AB966" s="18"/>
      <x:c r="AC966" s="19"/>
    </x:row>
    <x:row r="967" ht="33" customHeight="1">
      <x:c r="A967" s="18" t="str">
        <x:v>弁天町</x:v>
      </x:c>
      <x:c r="B967" s="18" t="str">
        <x:v>大阪市高速電気軌道</x:v>
      </x:c>
      <x:c r="C967" s="18" t="str">
        <x:v>metro</x:v>
      </x:c>
      <x:c r="D967" s="19" t="str">
        <x:v>T2</x:v>
      </x:c>
      <x:c r="E967" s="20" t="n">
        <x:v>41939</x:v>
      </x:c>
      <x:c r="F967" s="18" t="str">
        <x:v>persons/day</x:v>
      </x:c>
      <x:c r="G967" s="18" t="str">
        <x:v>FY2024</x:v>
      </x:c>
      <x:c r="H967" s="18" t="str">
        <x:v>否</x:v>
      </x:c>
      <x:c r="I967" s="19" t="str">
        <x:v>DAILY_ENTRIES_EXITS</x:v>
      </x:c>
      <x:c r="J967" s="19" t="str">
        <x:v>4号線(中央線)</x:v>
      </x:c>
      <x:c r="K967" s="18" t="str">
        <x:v>transport-node:b3d80ce6-75b5-5237-bec9-7cb36d55514a</x:v>
      </x:c>
      <x:c r="L967" s="19" t="str">
        <x:v>组件待审核</x:v>
      </x:c>
      <x:c r="M967" s="21" t="n">
        <x:v>34.6684467</x:v>
      </x:c>
      <x:c r="N967" s="21" t="n">
        <x:v>135.4621067</x:v>
      </x:c>
      <x:c r="O967" s="18" t="str">
        <x:v>007292</x:v>
      </x:c>
      <x:c r="P967" s="18" t="str">
        <x:v>4号線(中央線)</x:v>
      </x:c>
      <x:c r="Q967" s="19" t="str">
        <x:v>S12_061_GE_10000
OFFICIAL_HUB_COMPONENT_REVIEW</x:v>
      </x:c>
      <x:c r="R967" s="19" t="str">
        <x:v>S12_061 usage threshold</x:v>
      </x:c>
      <x:c r="S967" s="19" t="str">
        <x:v>https://nlftp.mlit.go.jp/ksj/gml/datalist/KsjTmplt-S12-2024.html</x:v>
      </x:c>
      <x:c r="T967" s="19" t="str">
        <x:v>https://nlftp.mlit.go.jp/ksj/gml/datalist/KsjTmplt-S12-2024.html
https://subway.osakametro.co.jp/station_guide/C/c13/index.php</x:v>
      </x:c>
      <x:c r="U967" s="19" t="str">
        <x:v>station-component|弁天町|大阪市高速電気軌道|metro|34.6684|135.4621|</x:v>
      </x:c>
      <x:c r="V967" s="19" t="str">
        <x:v>007285 / 007292 / 4号線(中央線)</x:v>
      </x:c>
      <x:c r="W967" s="18" t="str">
        <x:v>否</x:v>
      </x:c>
      <x:c r="X967" s="18" t="str">
        <x:v>0785e932a32b3ec15e1a1345537ae145eafe1c07bf38d5c16c11ee2b391e7a28</x:v>
      </x:c>
      <x:c r="Y967" s="20" t="n">
        <x:v>1</x:v>
      </x:c>
      <x:c r="Z967" s="20" t="n">
        <x:v>1</x:v>
      </x:c>
      <x:c r="AA967" s="19" t="str">
        <x:v>弁天町</x:v>
      </x:c>
      <x:c r="AB967" s="18" t="str">
        <x:v>transport-hub-review:eb0602f8-4871-5d61-a7f9-a188289a2842</x:v>
      </x:c>
      <x:c r="AC967" s="19"/>
    </x:row>
    <x:row r="968" ht="33" customHeight="1">
      <x:c r="A968" s="18" t="str">
        <x:v>弁天町</x:v>
      </x:c>
      <x:c r="B968" s="18" t="str">
        <x:v>西日本旅客鉄道</x:v>
      </x:c>
      <x:c r="C968" s="18" t="str">
        <x:v>conventional_rail</x:v>
      </x:c>
      <x:c r="D968" s="19" t="str">
        <x:v>T1</x:v>
      </x:c>
      <x:c r="E968" s="20" t="n">
        <x:v>69716</x:v>
      </x:c>
      <x:c r="F968" s="18" t="str">
        <x:v>persons/day</x:v>
      </x:c>
      <x:c r="G968" s="18" t="str">
        <x:v>FY2024</x:v>
      </x:c>
      <x:c r="H968" s="18" t="str">
        <x:v>否</x:v>
      </x:c>
      <x:c r="I968" s="19" t="str">
        <x:v>DAILY_ENTRIES_EXITS</x:v>
      </x:c>
      <x:c r="J968" s="19" t="str">
        <x:v>大阪環状線</x:v>
      </x:c>
      <x:c r="K968" s="18" t="str">
        <x:v>transport-node:34bdcdcf-4dde-54d2-a7c2-5b16c4c6eda5</x:v>
      </x:c>
      <x:c r="L968" s="19" t="str">
        <x:v>组件待审核</x:v>
      </x:c>
      <x:c r="M968" s="21" t="n">
        <x:v>34.67007</x:v>
      </x:c>
      <x:c r="N968" s="21" t="n">
        <x:v>135.4619525</x:v>
      </x:c>
      <x:c r="O968" s="18" t="str">
        <x:v>007285</x:v>
      </x:c>
      <x:c r="P968" s="18" t="str">
        <x:v>大阪環状線</x:v>
      </x:c>
      <x:c r="Q968" s="19" t="str">
        <x:v>S12_061_GE_10000
OFFICIAL_HUB_COMPONENT_REVIEW</x:v>
      </x:c>
      <x:c r="R968" s="19" t="str">
        <x:v>S12_061 usage threshold</x:v>
      </x:c>
      <x:c r="S968" s="19" t="str">
        <x:v>https://nlftp.mlit.go.jp/ksj/gml/datalist/KsjTmplt-S12-2024.html</x:v>
      </x:c>
      <x:c r="T968" s="19" t="str">
        <x:v>https://nlftp.mlit.go.jp/ksj/gml/datalist/KsjTmplt-S12-2024.html
https://subway.osakametro.co.jp/station_guide/C/c13/index.php</x:v>
      </x:c>
      <x:c r="U968" s="19" t="str">
        <x:v>station-component|弁天町|西日本旅客鉄道|conventional_rail|34.6701|135.4620|</x:v>
      </x:c>
      <x:c r="V968" s="19" t="str">
        <x:v>007285 / 007285 / 大阪環状線</x:v>
      </x:c>
      <x:c r="W968" s="18" t="str">
        <x:v>否</x:v>
      </x:c>
      <x:c r="X968" s="18" t="str">
        <x:v>0785e932a32b3ec15e1a1345537ae145eafe1c07bf38d5c16c11ee2b391e7a28</x:v>
      </x:c>
      <x:c r="Y968" s="20" t="n">
        <x:v>1</x:v>
      </x:c>
      <x:c r="Z968" s="20" t="n">
        <x:v>1</x:v>
      </x:c>
      <x:c r="AA968" s="19" t="str">
        <x:v>弁天町</x:v>
      </x:c>
      <x:c r="AB968" s="18" t="str">
        <x:v>transport-hub-review:eb0602f8-4871-5d61-a7f9-a188289a2842</x:v>
      </x:c>
      <x:c r="AC968" s="19"/>
    </x:row>
    <x:row r="969" ht="28" customHeight="1">
      <x:c r="A969" s="18" t="str">
        <x:v>弘明寺</x:v>
      </x:c>
      <x:c r="B969" s="18" t="str">
        <x:v>京浜急行電鉄</x:v>
      </x:c>
      <x:c r="C969" s="18" t="str">
        <x:v>private_rail</x:v>
      </x:c>
      <x:c r="D969" s="19" t="str">
        <x:v>T2</x:v>
      </x:c>
      <x:c r="E969" s="20" t="n">
        <x:v>26648</x:v>
      </x:c>
      <x:c r="F969" s="18" t="str">
        <x:v>persons/day</x:v>
      </x:c>
      <x:c r="G969" s="18" t="str">
        <x:v>FY2024</x:v>
      </x:c>
      <x:c r="H969" s="18" t="str">
        <x:v>否</x:v>
      </x:c>
      <x:c r="I969" s="19" t="str">
        <x:v>DAILY_ENTRIES_EXITS</x:v>
      </x:c>
      <x:c r="J969" s="19" t="str">
        <x:v>本線</x:v>
      </x:c>
      <x:c r="K969" s="18" t="str">
        <x:v>transport-node:e0cb5c3c-5367-540d-a92a-7facd950c22c</x:v>
      </x:c>
      <x:c r="L969" s="19" t="str">
        <x:v>组件待审核</x:v>
      </x:c>
      <x:c r="M969" s="21" t="n">
        <x:v>35.4241</x:v>
      </x:c>
      <x:c r="N969" s="21" t="n">
        <x:v>139.59691</x:v>
      </x:c>
      <x:c r="O969" s="18" t="str">
        <x:v>004756</x:v>
      </x:c>
      <x:c r="P969" s="18" t="str">
        <x:v>本線</x:v>
      </x:c>
      <x:c r="Q969" s="19" t="str">
        <x:v>S12_061_GE_10000</x:v>
      </x:c>
      <x:c r="R969" s="19" t="str">
        <x:v>S12_061 usage threshold</x:v>
      </x:c>
      <x:c r="S969" s="19" t="str">
        <x:v>https://nlftp.mlit.go.jp/ksj/gml/datalist/KsjTmplt-S12-2024.html</x:v>
      </x:c>
      <x:c r="T969" s="19" t="str">
        <x:v>https://nlftp.mlit.go.jp/ksj/gml/datalist/KsjTmplt-S12-2024.html</x:v>
      </x:c>
      <x:c r="U969" s="19" t="str">
        <x:v>station-component|弘明寺|京浜急行電鉄|private_rail|35.4241|139.5969|</x:v>
      </x:c>
      <x:c r="V969" s="19" t="str">
        <x:v>004756 / 004756 / 本線</x:v>
      </x:c>
      <x:c r="W969" s="18" t="str">
        <x:v>否</x:v>
      </x:c>
      <x:c r="X969" s="18" t="str">
        <x:v>0785e932a32b3ec15e1a1345537ae145eafe1c07bf38d5c16c11ee2b391e7a28</x:v>
      </x:c>
      <x:c r="Y969" s="20" t="n">
        <x:v>1</x:v>
      </x:c>
      <x:c r="Z969" s="20" t="n">
        <x:v>1</x:v>
      </x:c>
      <x:c r="AA969" s="19"/>
      <x:c r="AB969" s="18"/>
      <x:c r="AC969" s="19"/>
    </x:row>
    <x:row r="970" ht="28" customHeight="1">
      <x:c r="A970" s="18" t="str">
        <x:v>弘明寺</x:v>
      </x:c>
      <x:c r="B970" s="18" t="str">
        <x:v>横浜市</x:v>
      </x:c>
      <x:c r="C970" s="18" t="str">
        <x:v>metro</x:v>
      </x:c>
      <x:c r="D970" s="19" t="str">
        <x:v>T2</x:v>
      </x:c>
      <x:c r="E970" s="20" t="n">
        <x:v>10080</x:v>
      </x:c>
      <x:c r="F970" s="18" t="str">
        <x:v>persons/day</x:v>
      </x:c>
      <x:c r="G970" s="18" t="str">
        <x:v>FY2024</x:v>
      </x:c>
      <x:c r="H970" s="18" t="str">
        <x:v>否</x:v>
      </x:c>
      <x:c r="I970" s="19" t="str">
        <x:v>DAILY_ENTRIES_EXITS</x:v>
      </x:c>
      <x:c r="J970" s="19" t="str">
        <x:v>1号線</x:v>
      </x:c>
      <x:c r="K970" s="18" t="str">
        <x:v>transport-node:ef63e811-e616-5fda-b7b3-e11509c19410</x:v>
      </x:c>
      <x:c r="L970" s="19" t="str">
        <x:v>组件待审核</x:v>
      </x:c>
      <x:c r="M970" s="21" t="n">
        <x:v>35.42298</x:v>
      </x:c>
      <x:c r="N970" s="21" t="n">
        <x:v>139.6019975</x:v>
      </x:c>
      <x:c r="O970" s="18" t="str">
        <x:v>004761</x:v>
      </x:c>
      <x:c r="P970" s="18" t="str">
        <x:v>1号線</x:v>
      </x:c>
      <x:c r="Q970" s="19" t="str">
        <x:v>S12_061_GE_10000</x:v>
      </x:c>
      <x:c r="R970" s="19" t="str">
        <x:v>S12_061 usage threshold</x:v>
      </x:c>
      <x:c r="S970" s="19" t="str">
        <x:v>https://nlftp.mlit.go.jp/ksj/gml/datalist/KsjTmplt-S12-2024.html</x:v>
      </x:c>
      <x:c r="T970" s="19" t="str">
        <x:v>https://nlftp.mlit.go.jp/ksj/gml/datalist/KsjTmplt-S12-2024.html</x:v>
      </x:c>
      <x:c r="U970" s="19" t="str">
        <x:v>station-component|弘明寺|横浜市|metro|35.4230|139.6020|</x:v>
      </x:c>
      <x:c r="V970" s="19" t="str">
        <x:v>004761 / 004761 / 1号線</x:v>
      </x:c>
      <x:c r="W970" s="18" t="str">
        <x:v>否</x:v>
      </x:c>
      <x:c r="X970" s="18" t="str">
        <x:v>0785e932a32b3ec15e1a1345537ae145eafe1c07bf38d5c16c11ee2b391e7a28</x:v>
      </x:c>
      <x:c r="Y970" s="20" t="n">
        <x:v>1</x:v>
      </x:c>
      <x:c r="Z970" s="20" t="n">
        <x:v>1</x:v>
      </x:c>
      <x:c r="AA970" s="19"/>
      <x:c r="AB970" s="18"/>
      <x:c r="AC970" s="19"/>
    </x:row>
    <x:row r="971" ht="28" customHeight="1">
      <x:c r="A971" s="18" t="str">
        <x:v>弥生台</x:v>
      </x:c>
      <x:c r="B971" s="18" t="str">
        <x:v>相模鉄道</x:v>
      </x:c>
      <x:c r="C971" s="18" t="str">
        <x:v>private_rail</x:v>
      </x:c>
      <x:c r="D971" s="19" t="str">
        <x:v>T2</x:v>
      </x:c>
      <x:c r="E971" s="20" t="n">
        <x:v>14426</x:v>
      </x:c>
      <x:c r="F971" s="18" t="str">
        <x:v>persons/day</x:v>
      </x:c>
      <x:c r="G971" s="18" t="str">
        <x:v>FY2024</x:v>
      </x:c>
      <x:c r="H971" s="18" t="str">
        <x:v>否</x:v>
      </x:c>
      <x:c r="I971" s="19" t="str">
        <x:v>DAILY_ENTRIES_EXITS</x:v>
      </x:c>
      <x:c r="J971" s="19" t="str">
        <x:v>相鉄いずみ野線</x:v>
      </x:c>
      <x:c r="K971" s="18" t="str">
        <x:v>transport-node:31fa5724-dd0d-5dab-af5f-d97a3cbbfbed</x:v>
      </x:c>
      <x:c r="L971" s="19" t="str">
        <x:v>组件待审核</x:v>
      </x:c>
      <x:c r="M971" s="21" t="n">
        <x:v>35.42993</x:v>
      </x:c>
      <x:c r="N971" s="21" t="n">
        <x:v>139.506635</x:v>
      </x:c>
      <x:c r="O971" s="18" t="str">
        <x:v>004742</x:v>
      </x:c>
      <x:c r="P971" s="18" t="str">
        <x:v>相鉄いずみ野線</x:v>
      </x:c>
      <x:c r="Q971" s="19" t="str">
        <x:v>S12_061_GE_10000</x:v>
      </x:c>
      <x:c r="R971" s="19" t="str">
        <x:v>S12_061 usage threshold</x:v>
      </x:c>
      <x:c r="S971" s="19" t="str">
        <x:v>https://nlftp.mlit.go.jp/ksj/gml/datalist/KsjTmplt-S12-2024.html</x:v>
      </x:c>
      <x:c r="T971" s="19" t="str">
        <x:v>https://nlftp.mlit.go.jp/ksj/gml/datalist/KsjTmplt-S12-2024.html</x:v>
      </x:c>
      <x:c r="U971" s="19" t="str">
        <x:v>station-component|弥生台|相模鉄道|private_rail|35.4299|139.5066|</x:v>
      </x:c>
      <x:c r="V971" s="19" t="str">
        <x:v>004742 / 004742 / 相鉄いずみ野線</x:v>
      </x:c>
      <x:c r="W971" s="18" t="str">
        <x:v>否</x:v>
      </x:c>
      <x:c r="X971" s="18" t="str">
        <x:v>0785e932a32b3ec15e1a1345537ae145eafe1c07bf38d5c16c11ee2b391e7a28</x:v>
      </x:c>
      <x:c r="Y971" s="20" t="n">
        <x:v>1</x:v>
      </x:c>
      <x:c r="Z971" s="20" t="n">
        <x:v>1</x:v>
      </x:c>
      <x:c r="AA971" s="19"/>
      <x:c r="AB971" s="18"/>
      <x:c r="AC971" s="19"/>
    </x:row>
    <x:row r="972" ht="28" customHeight="1">
      <x:c r="A972" s="18" t="str">
        <x:v>彦根</x:v>
      </x:c>
      <x:c r="B972" s="18" t="str">
        <x:v>西日本旅客鉄道</x:v>
      </x:c>
      <x:c r="C972" s="18" t="str">
        <x:v>conventional_rail</x:v>
      </x:c>
      <x:c r="D972" s="19" t="str">
        <x:v>T2</x:v>
      </x:c>
      <x:c r="E972" s="20" t="n">
        <x:v>19618</x:v>
      </x:c>
      <x:c r="F972" s="18" t="str">
        <x:v>persons/day</x:v>
      </x:c>
      <x:c r="G972" s="18" t="str">
        <x:v>FY2024</x:v>
      </x:c>
      <x:c r="H972" s="18" t="str">
        <x:v>否</x:v>
      </x:c>
      <x:c r="I972" s="19" t="str">
        <x:v>DAILY_ENTRIES_EXITS</x:v>
      </x:c>
      <x:c r="J972" s="19" t="str">
        <x:v>東海道線</x:v>
      </x:c>
      <x:c r="K972" s="18" t="str">
        <x:v>transport-node:cac85a16-9db3-5872-9ae3-995111a274de</x:v>
      </x:c>
      <x:c r="L972" s="19" t="str">
        <x:v>组件待审核</x:v>
      </x:c>
      <x:c r="M972" s="21" t="n">
        <x:v>35.272485</x:v>
      </x:c>
      <x:c r="N972" s="21" t="n">
        <x:v>136.2634</x:v>
      </x:c>
      <x:c r="O972" s="18" t="str">
        <x:v>005176</x:v>
      </x:c>
      <x:c r="P972" s="18" t="str">
        <x:v>東海道線</x:v>
      </x:c>
      <x:c r="Q972" s="19" t="str">
        <x:v>S12_061_GE_10000</x:v>
      </x:c>
      <x:c r="R972" s="19" t="str">
        <x:v>S12_061 usage threshold</x:v>
      </x:c>
      <x:c r="S972" s="19" t="str">
        <x:v>https://nlftp.mlit.go.jp/ksj/gml/datalist/KsjTmplt-S12-2024.html</x:v>
      </x:c>
      <x:c r="T972" s="19" t="str">
        <x:v>https://nlftp.mlit.go.jp/ksj/gml/datalist/KsjTmplt-S12-2024.html</x:v>
      </x:c>
      <x:c r="U972" s="19" t="str">
        <x:v>station-component|彦根|西日本旅客鉄道|conventional_rail|35.2725|136.2634|</x:v>
      </x:c>
      <x:c r="V972" s="19" t="str">
        <x:v>005176 / 005176 / 東海道線</x:v>
      </x:c>
      <x:c r="W972" s="18" t="str">
        <x:v>否</x:v>
      </x:c>
      <x:c r="X972" s="18" t="str">
        <x:v>0785e932a32b3ec15e1a1345537ae145eafe1c07bf38d5c16c11ee2b391e7a28</x:v>
      </x:c>
      <x:c r="Y972" s="20" t="n">
        <x:v>1</x:v>
      </x:c>
      <x:c r="Z972" s="20" t="n">
        <x:v>1</x:v>
      </x:c>
      <x:c r="AA972" s="19"/>
      <x:c r="AB972" s="18"/>
      <x:c r="AC972" s="19"/>
    </x:row>
    <x:row r="973" ht="28" customHeight="1">
      <x:c r="A973" s="18" t="str">
        <x:v>彩都西</x:v>
      </x:c>
      <x:c r="B973" s="18" t="str">
        <x:v>大阪モノレール</x:v>
      </x:c>
      <x:c r="C973" s="18" t="str">
        <x:v>fixed_guideway</x:v>
      </x:c>
      <x:c r="D973" s="19" t="str">
        <x:v>T2</x:v>
      </x:c>
      <x:c r="E973" s="20" t="n">
        <x:v>10976</x:v>
      </x:c>
      <x:c r="F973" s="18" t="str">
        <x:v>persons/day</x:v>
      </x:c>
      <x:c r="G973" s="18" t="str">
        <x:v>FY2024</x:v>
      </x:c>
      <x:c r="H973" s="18" t="str">
        <x:v>否</x:v>
      </x:c>
      <x:c r="I973" s="19" t="str">
        <x:v>DAILY_ENTRIES_EXITS</x:v>
      </x:c>
      <x:c r="J973" s="19" t="str">
        <x:v>国際文化公園都市モノレール線(彩都線)</x:v>
      </x:c>
      <x:c r="K973" s="18" t="str">
        <x:v>transport-node:e0c65367-3571-588c-9b08-27de9a01af44</x:v>
      </x:c>
      <x:c r="L973" s="19" t="str">
        <x:v>组件待审核</x:v>
      </x:c>
      <x:c r="M973" s="21" t="n">
        <x:v>34.85507</x:v>
      </x:c>
      <x:c r="N973" s="21" t="n">
        <x:v>135.522865</x:v>
      </x:c>
      <x:c r="O973" s="18" t="str">
        <x:v>006427</x:v>
      </x:c>
      <x:c r="P973" s="18" t="str">
        <x:v>国際文化公園都市モノレール線(彩都線)</x:v>
      </x:c>
      <x:c r="Q973" s="19" t="str">
        <x:v>S12_061_GE_10000</x:v>
      </x:c>
      <x:c r="R973" s="19" t="str">
        <x:v>S12_061 usage threshold</x:v>
      </x:c>
      <x:c r="S973" s="19" t="str">
        <x:v>https://nlftp.mlit.go.jp/ksj/gml/datalist/KsjTmplt-S12-2024.html</x:v>
      </x:c>
      <x:c r="T973" s="19" t="str">
        <x:v>https://nlftp.mlit.go.jp/ksj/gml/datalist/KsjTmplt-S12-2024.html</x:v>
      </x:c>
      <x:c r="U973" s="19" t="str">
        <x:v>station-component|彩都西|大阪モノレール|fixed_guideway|34.8551|135.5229|</x:v>
      </x:c>
      <x:c r="V973" s="19" t="str">
        <x:v>006427 / 006427 / 国際文化公園都市モノレール線(彩都線)</x:v>
      </x:c>
      <x:c r="W973" s="18" t="str">
        <x:v>否</x:v>
      </x:c>
      <x:c r="X973" s="18" t="str">
        <x:v>0785e932a32b3ec15e1a1345537ae145eafe1c07bf38d5c16c11ee2b391e7a28</x:v>
      </x:c>
      <x:c r="Y973" s="20" t="n">
        <x:v>1</x:v>
      </x:c>
      <x:c r="Z973" s="20" t="n">
        <x:v>1</x:v>
      </x:c>
      <x:c r="AA973" s="19"/>
      <x:c r="AB973" s="18"/>
      <x:c r="AC973" s="19"/>
    </x:row>
    <x:row r="974" ht="33" customHeight="1">
      <x:c r="A974" s="18" t="str">
        <x:v>後楽園</x:v>
      </x:c>
      <x:c r="B974" s="18" t="str">
        <x:v>東京地下鉄</x:v>
      </x:c>
      <x:c r="C974" s="18" t="str">
        <x:v>metro</x:v>
      </x:c>
      <x:c r="D974" s="19" t="str">
        <x:v>T1</x:v>
      </x:c>
      <x:c r="E974" s="20" t="n">
        <x:v>104894</x:v>
      </x:c>
      <x:c r="F974" s="18" t="str">
        <x:v>persons/day</x:v>
      </x:c>
      <x:c r="G974" s="18" t="str">
        <x:v>FY2024</x:v>
      </x:c>
      <x:c r="H974" s="18" t="str">
        <x:v>否</x:v>
      </x:c>
      <x:c r="I974" s="19" t="str">
        <x:v>DAILY_ENTRIES_EXITS</x:v>
      </x:c>
      <x:c r="J974" s="19" t="str">
        <x:v>4号線丸ノ内線
7号線南北線</x:v>
      </x:c>
      <x:c r="K974" s="18" t="str">
        <x:v>transport-node:0ef74000-d523-5d3c-8593-d93927534d41</x:v>
      </x:c>
      <x:c r="L974" s="19" t="str">
        <x:v>组件待审核</x:v>
      </x:c>
      <x:c r="M974" s="21" t="n">
        <x:v>35.707315</x:v>
      </x:c>
      <x:c r="N974" s="21" t="n">
        <x:v>139.75106</x:v>
      </x:c>
      <x:c r="O974" s="18" t="str">
        <x:v>003550</x:v>
      </x:c>
      <x:c r="P974" s="18" t="str">
        <x:v>4号線丸ノ内線</x:v>
      </x:c>
      <x:c r="Q974" s="19" t="str">
        <x:v>S12_061_GE_10000
OFFICIAL_HUB_COMPONENT_REVIEW</x:v>
      </x:c>
      <x:c r="R974" s="19" t="str">
        <x:v>S12_061 usage threshold</x:v>
      </x:c>
      <x:c r="S974" s="19" t="str">
        <x:v>https://nlftp.mlit.go.jp/ksj/gml/datalist/KsjTmplt-S12-2024.html</x:v>
      </x:c>
      <x:c r="T974" s="19" t="str">
        <x:v>https://nlftp.mlit.go.jp/ksj/gml/datalist/KsjTmplt-S12-2024.html
https://www.tokyometro.jp/station/korakuen/index.html</x:v>
      </x:c>
      <x:c r="U974" s="19" t="str">
        <x:v>station-component|後楽園|東京地下鉄|metro|35.7073|139.7511|</x:v>
      </x:c>
      <x:c r="V974" s="19" t="str">
        <x:v>003542 / 003542 / 7号線南北線
003542 / 003550 / 4号線丸ノ内線</x:v>
      </x:c>
      <x:c r="W974" s="18" t="str">
        <x:v>否</x:v>
      </x:c>
      <x:c r="X974" s="18" t="str">
        <x:v>0785e932a32b3ec15e1a1345537ae145eafe1c07bf38d5c16c11ee2b391e7a28</x:v>
      </x:c>
      <x:c r="Y974" s="20" t="n">
        <x:v>1</x:v>
      </x:c>
      <x:c r="Z974" s="20" t="n">
        <x:v>1</x:v>
      </x:c>
      <x:c r="AA974" s="19" t="str">
        <x:v>後楽園・春日</x:v>
      </x:c>
      <x:c r="AB974" s="18" t="str">
        <x:v>transport-hub-review:2fc62095-4794-5412-92ea-251b3975e5e7</x:v>
      </x:c>
      <x:c r="AC974" s="19"/>
    </x:row>
    <x:row r="975" ht="33" customHeight="1">
      <x:c r="A975" s="18" t="str">
        <x:v>御器所</x:v>
      </x:c>
      <x:c r="B975" s="18" t="str">
        <x:v>名古屋市</x:v>
      </x:c>
      <x:c r="C975" s="18" t="str">
        <x:v>metro</x:v>
      </x:c>
      <x:c r="D975" s="19" t="str">
        <x:v>T2</x:v>
      </x:c>
      <x:c r="E975" s="20" t="n">
        <x:v>22747</x:v>
      </x:c>
      <x:c r="F975" s="18" t="str">
        <x:v>persons/day</x:v>
      </x:c>
      <x:c r="G975" s="18" t="str">
        <x:v>FY2024</x:v>
      </x:c>
      <x:c r="H975" s="18" t="str">
        <x:v>否</x:v>
      </x:c>
      <x:c r="I975" s="19" t="str">
        <x:v>DAILY_ENTRIES_EXITS</x:v>
      </x:c>
      <x:c r="J975" s="19" t="str">
        <x:v>3号線鶴舞線
6号線桜通線</x:v>
      </x:c>
      <x:c r="K975" s="18" t="str">
        <x:v>transport-node:5fcaf63a-3225-5119-a4ab-f2869b94ebb6</x:v>
      </x:c>
      <x:c r="L975" s="19" t="str">
        <x:v>组件待审核</x:v>
      </x:c>
      <x:c r="M975" s="21" t="n">
        <x:v>35.1494667</x:v>
      </x:c>
      <x:c r="N975" s="21" t="n">
        <x:v>136.9338833</x:v>
      </x:c>
      <x:c r="O975" s="18" t="str">
        <x:v>005530</x:v>
      </x:c>
      <x:c r="P975" s="18" t="str">
        <x:v>3号線鶴舞線</x:v>
      </x:c>
      <x:c r="Q975" s="19" t="str">
        <x:v>S12_061_GE_10000
OFFICIAL_HUB_COMPONENT_REVIEW</x:v>
      </x:c>
      <x:c r="R975" s="19" t="str">
        <x:v>S12_061 usage threshold</x:v>
      </x:c>
      <x:c r="S975" s="19" t="str">
        <x:v>https://nlftp.mlit.go.jp/ksj/gml/datalist/KsjTmplt-S12-2024.html</x:v>
      </x:c>
      <x:c r="T975" s="19" t="str">
        <x:v>https://kotsu.city.nagoya.jp/rp/subway/
https://nlftp.mlit.go.jp/ksj/gml/datalist/KsjTmplt-S12-2024.html</x:v>
      </x:c>
      <x:c r="U975" s="19" t="str">
        <x:v>station-component|御器所|名古屋市|metro|35.1495|136.9339|</x:v>
      </x:c>
      <x:c r="V975" s="19" t="str">
        <x:v>005526 / 005526 / 6号線桜通線
005526 / 005530 / 3号線鶴舞線</x:v>
      </x:c>
      <x:c r="W975" s="18" t="str">
        <x:v>否</x:v>
      </x:c>
      <x:c r="X975" s="18" t="str">
        <x:v>0785e932a32b3ec15e1a1345537ae145eafe1c07bf38d5c16c11ee2b391e7a28</x:v>
      </x:c>
      <x:c r="Y975" s="20" t="n">
        <x:v>1</x:v>
      </x:c>
      <x:c r="Z975" s="20" t="n">
        <x:v>1</x:v>
      </x:c>
      <x:c r="AA975" s="19" t="str">
        <x:v>御器所</x:v>
      </x:c>
      <x:c r="AB975" s="18" t="str">
        <x:v>transport-hub-review:699a1aba-d43e-5427-88ea-98471ae3332b</x:v>
      </x:c>
      <x:c r="AC975" s="19"/>
    </x:row>
    <x:row r="976" ht="28" customHeight="1">
      <x:c r="A976" s="18" t="str">
        <x:v>御嶽山</x:v>
      </x:c>
      <x:c r="B976" s="18" t="str">
        <x:v>東急電鉄</x:v>
      </x:c>
      <x:c r="C976" s="18" t="str">
        <x:v>private_rail</x:v>
      </x:c>
      <x:c r="D976" s="19" t="str">
        <x:v>T2</x:v>
      </x:c>
      <x:c r="E976" s="20" t="n">
        <x:v>23587</x:v>
      </x:c>
      <x:c r="F976" s="18" t="str">
        <x:v>persons/day</x:v>
      </x:c>
      <x:c r="G976" s="18" t="str">
        <x:v>FY2024</x:v>
      </x:c>
      <x:c r="H976" s="18" t="str">
        <x:v>否</x:v>
      </x:c>
      <x:c r="I976" s="19" t="str">
        <x:v>DAILY_ENTRIES_EXITS</x:v>
      </x:c>
      <x:c r="J976" s="19" t="str">
        <x:v>池上線</x:v>
      </x:c>
      <x:c r="K976" s="18" t="str">
        <x:v>transport-node:f734590e-7fda-5f61-9619-cc33a0132274</x:v>
      </x:c>
      <x:c r="L976" s="19" t="str">
        <x:v>组件待审核</x:v>
      </x:c>
      <x:c r="M976" s="21" t="n">
        <x:v>35.5851533</x:v>
      </x:c>
      <x:c r="N976" s="21" t="n">
        <x:v>139.68242</x:v>
      </x:c>
      <x:c r="O976" s="18" t="str">
        <x:v>004273</x:v>
      </x:c>
      <x:c r="P976" s="18" t="str">
        <x:v>池上線</x:v>
      </x:c>
      <x:c r="Q976" s="19" t="str">
        <x:v>S12_061_GE_10000</x:v>
      </x:c>
      <x:c r="R976" s="19" t="str">
        <x:v>S12_061 usage threshold</x:v>
      </x:c>
      <x:c r="S976" s="19" t="str">
        <x:v>https://nlftp.mlit.go.jp/ksj/gml/datalist/KsjTmplt-S12-2024.html</x:v>
      </x:c>
      <x:c r="T976" s="19" t="str">
        <x:v>https://nlftp.mlit.go.jp/ksj/gml/datalist/KsjTmplt-S12-2024.html</x:v>
      </x:c>
      <x:c r="U976" s="19" t="str">
        <x:v>station-component|御嶽山|東急電鉄|private_rail|35.5852|139.6824|</x:v>
      </x:c>
      <x:c r="V976" s="19" t="str">
        <x:v>004273 / 004273 / 池上線</x:v>
      </x:c>
      <x:c r="W976" s="18" t="str">
        <x:v>否</x:v>
      </x:c>
      <x:c r="X976" s="18" t="str">
        <x:v>0785e932a32b3ec15e1a1345537ae145eafe1c07bf38d5c16c11ee2b391e7a28</x:v>
      </x:c>
      <x:c r="Y976" s="20" t="n">
        <x:v>1</x:v>
      </x:c>
      <x:c r="Z976" s="20" t="n">
        <x:v>1</x:v>
      </x:c>
      <x:c r="AA976" s="19"/>
      <x:c r="AB976" s="18"/>
      <x:c r="AC976" s="19"/>
    </x:row>
    <x:row r="977" ht="28" customHeight="1">
      <x:c r="A977" s="18" t="str">
        <x:v>御幣島</x:v>
      </x:c>
      <x:c r="B977" s="18" t="str">
        <x:v>西日本旅客鉄道</x:v>
      </x:c>
      <x:c r="C977" s="18" t="str">
        <x:v>conventional_rail</x:v>
      </x:c>
      <x:c r="D977" s="19" t="str">
        <x:v>T2</x:v>
      </x:c>
      <x:c r="E977" s="20" t="n">
        <x:v>27056</x:v>
      </x:c>
      <x:c r="F977" s="18" t="str">
        <x:v>persons/day</x:v>
      </x:c>
      <x:c r="G977" s="18" t="str">
        <x:v>FY2024</x:v>
      </x:c>
      <x:c r="H977" s="18" t="str">
        <x:v>否</x:v>
      </x:c>
      <x:c r="I977" s="19" t="str">
        <x:v>DAILY_ENTRIES_EXITS</x:v>
      </x:c>
      <x:c r="J977" s="19" t="str">
        <x:v>JR東西線</x:v>
      </x:c>
      <x:c r="K977" s="18" t="str">
        <x:v>transport-node:66834ddf-45d8-554a-a79c-e9dfe460effc</x:v>
      </x:c>
      <x:c r="L977" s="19" t="str">
        <x:v>组件待审核</x:v>
      </x:c>
      <x:c r="M977" s="21" t="n">
        <x:v>34.712695</x:v>
      </x:c>
      <x:c r="N977" s="21" t="n">
        <x:v>135.45561</x:v>
      </x:c>
      <x:c r="O977" s="18" t="str">
        <x:v>007011</x:v>
      </x:c>
      <x:c r="P977" s="18" t="str">
        <x:v>JR東西線</x:v>
      </x:c>
      <x:c r="Q977" s="19" t="str">
        <x:v>S12_061_GE_10000</x:v>
      </x:c>
      <x:c r="R977" s="19" t="str">
        <x:v>S12_061 usage threshold</x:v>
      </x:c>
      <x:c r="S977" s="19" t="str">
        <x:v>https://nlftp.mlit.go.jp/ksj/gml/datalist/KsjTmplt-S12-2024.html</x:v>
      </x:c>
      <x:c r="T977" s="19" t="str">
        <x:v>https://nlftp.mlit.go.jp/ksj/gml/datalist/KsjTmplt-S12-2024.html</x:v>
      </x:c>
      <x:c r="U977" s="19" t="str">
        <x:v>station-component|御幣島|西日本旅客鉄道|conventional_rail|34.7127|135.4556|</x:v>
      </x:c>
      <x:c r="V977" s="19" t="str">
        <x:v>007011 / 007011 / JR東西線</x:v>
      </x:c>
      <x:c r="W977" s="18" t="str">
        <x:v>否</x:v>
      </x:c>
      <x:c r="X977" s="18" t="str">
        <x:v>0785e932a32b3ec15e1a1345537ae145eafe1c07bf38d5c16c11ee2b391e7a28</x:v>
      </x:c>
      <x:c r="Y977" s="20" t="n">
        <x:v>1</x:v>
      </x:c>
      <x:c r="Z977" s="20" t="n">
        <x:v>1</x:v>
      </x:c>
      <x:c r="AA977" s="19"/>
      <x:c r="AB977" s="18"/>
      <x:c r="AC977" s="19"/>
    </x:row>
    <x:row r="978" ht="28" customHeight="1">
      <x:c r="A978" s="18" t="str">
        <x:v>御影</x:v>
      </x:c>
      <x:c r="B978" s="18" t="str">
        <x:v>阪急電鉄</x:v>
      </x:c>
      <x:c r="C978" s="18" t="str">
        <x:v>private_rail</x:v>
      </x:c>
      <x:c r="D978" s="19" t="str">
        <x:v>T2</x:v>
      </x:c>
      <x:c r="E978" s="20" t="n">
        <x:v>15333</x:v>
      </x:c>
      <x:c r="F978" s="18" t="str">
        <x:v>persons/day</x:v>
      </x:c>
      <x:c r="G978" s="18" t="str">
        <x:v>FY2024</x:v>
      </x:c>
      <x:c r="H978" s="18" t="str">
        <x:v>否</x:v>
      </x:c>
      <x:c r="I978" s="19" t="str">
        <x:v>DAILY_ENTRIES_EXITS</x:v>
      </x:c>
      <x:c r="J978" s="19" t="str">
        <x:v>神戸線</x:v>
      </x:c>
      <x:c r="K978" s="18" t="str">
        <x:v>transport-node:b5db2d72-9f5c-58d6-9eb2-cd5eb8d1bc23</x:v>
      </x:c>
      <x:c r="L978" s="19" t="str">
        <x:v>组件待审核</x:v>
      </x:c>
      <x:c r="M978" s="21" t="n">
        <x:v>34.72457</x:v>
      </x:c>
      <x:c r="N978" s="21" t="n">
        <x:v>135.251875</x:v>
      </x:c>
      <x:c r="O978" s="18" t="str">
        <x:v>006951</x:v>
      </x:c>
      <x:c r="P978" s="18" t="str">
        <x:v>神戸線</x:v>
      </x:c>
      <x:c r="Q978" s="19" t="str">
        <x:v>S12_061_GE_10000</x:v>
      </x:c>
      <x:c r="R978" s="19" t="str">
        <x:v>S12_061 usage threshold</x:v>
      </x:c>
      <x:c r="S978" s="19" t="str">
        <x:v>https://nlftp.mlit.go.jp/ksj/gml/datalist/KsjTmplt-S12-2024.html</x:v>
      </x:c>
      <x:c r="T978" s="19" t="str">
        <x:v>https://nlftp.mlit.go.jp/ksj/gml/datalist/KsjTmplt-S12-2024.html</x:v>
      </x:c>
      <x:c r="U978" s="19" t="str">
        <x:v>station-component|御影|阪急電鉄|private_rail|34.7246|135.2519|</x:v>
      </x:c>
      <x:c r="V978" s="19" t="str">
        <x:v>006951 / 006951 / 神戸線</x:v>
      </x:c>
      <x:c r="W978" s="18" t="str">
        <x:v>否</x:v>
      </x:c>
      <x:c r="X978" s="18" t="str">
        <x:v>0785e932a32b3ec15e1a1345537ae145eafe1c07bf38d5c16c11ee2b391e7a28</x:v>
      </x:c>
      <x:c r="Y978" s="20" t="n">
        <x:v>1</x:v>
      </x:c>
      <x:c r="Z978" s="20" t="n">
        <x:v>1</x:v>
      </x:c>
      <x:c r="AA978" s="19"/>
      <x:c r="AB978" s="18"/>
      <x:c r="AC978" s="19"/>
    </x:row>
    <x:row r="979" ht="28" customHeight="1">
      <x:c r="A979" s="18" t="str">
        <x:v>御影</x:v>
      </x:c>
      <x:c r="B979" s="18" t="str">
        <x:v>阪神電気鉄道</x:v>
      </x:c>
      <x:c r="C979" s="18" t="str">
        <x:v>private_rail</x:v>
      </x:c>
      <x:c r="D979" s="19" t="str">
        <x:v>T2</x:v>
      </x:c>
      <x:c r="E979" s="20" t="n">
        <x:v>25907</x:v>
      </x:c>
      <x:c r="F979" s="18" t="str">
        <x:v>persons/day</x:v>
      </x:c>
      <x:c r="G979" s="18" t="str">
        <x:v>FY2024</x:v>
      </x:c>
      <x:c r="H979" s="18" t="str">
        <x:v>否</x:v>
      </x:c>
      <x:c r="I979" s="19" t="str">
        <x:v>DAILY_ENTRIES_EXITS</x:v>
      </x:c>
      <x:c r="J979" s="19" t="str">
        <x:v>本線</x:v>
      </x:c>
      <x:c r="K979" s="18" t="str">
        <x:v>transport-node:f767d09c-e808-56c0-a1c9-c8c4a68742ee</x:v>
      </x:c>
      <x:c r="L979" s="19" t="str">
        <x:v>组件待审核</x:v>
      </x:c>
      <x:c r="M979" s="21" t="n">
        <x:v>34.714915</x:v>
      </x:c>
      <x:c r="N979" s="21" t="n">
        <x:v>135.2555083</x:v>
      </x:c>
      <x:c r="O979" s="18" t="str">
        <x:v>007003</x:v>
      </x:c>
      <x:c r="P979" s="18" t="str">
        <x:v>本線</x:v>
      </x:c>
      <x:c r="Q979" s="19" t="str">
        <x:v>S12_061_GE_10000</x:v>
      </x:c>
      <x:c r="R979" s="19" t="str">
        <x:v>S12_061 usage threshold</x:v>
      </x:c>
      <x:c r="S979" s="19" t="str">
        <x:v>https://nlftp.mlit.go.jp/ksj/gml/datalist/KsjTmplt-S12-2024.html</x:v>
      </x:c>
      <x:c r="T979" s="19" t="str">
        <x:v>https://nlftp.mlit.go.jp/ksj/gml/datalist/KsjTmplt-S12-2024.html</x:v>
      </x:c>
      <x:c r="U979" s="19" t="str">
        <x:v>station-component|御影|阪神電気鉄道|private_rail|34.7149|135.2555|</x:v>
      </x:c>
      <x:c r="V979" s="19" t="str">
        <x:v>007003 / 007003 / 本線</x:v>
      </x:c>
      <x:c r="W979" s="18" t="str">
        <x:v>否</x:v>
      </x:c>
      <x:c r="X979" s="18" t="str">
        <x:v>0785e932a32b3ec15e1a1345537ae145eafe1c07bf38d5c16c11ee2b391e7a28</x:v>
      </x:c>
      <x:c r="Y979" s="20" t="n">
        <x:v>1</x:v>
      </x:c>
      <x:c r="Z979" s="20" t="n">
        <x:v>1</x:v>
      </x:c>
      <x:c r="AA979" s="19"/>
      <x:c r="AB979" s="18"/>
      <x:c r="AC979" s="19"/>
    </x:row>
    <x:row r="980" ht="28" customHeight="1">
      <x:c r="A980" s="18" t="str">
        <x:v>御徒町</x:v>
      </x:c>
      <x:c r="B980" s="18" t="str">
        <x:v>東日本旅客鉄道</x:v>
      </x:c>
      <x:c r="C980" s="18" t="str">
        <x:v>conventional_rail</x:v>
      </x:c>
      <x:c r="D980" s="19" t="str">
        <x:v>T1</x:v>
      </x:c>
      <x:c r="E980" s="20" t="n">
        <x:v>125968</x:v>
      </x:c>
      <x:c r="F980" s="18" t="str">
        <x:v>persons/day</x:v>
      </x:c>
      <x:c r="G980" s="18" t="str">
        <x:v>FY2024</x:v>
      </x:c>
      <x:c r="H980" s="18" t="str">
        <x:v>否</x:v>
      </x:c>
      <x:c r="I980" s="19" t="str">
        <x:v>DAILY_ENTRIES_EXITS</x:v>
      </x:c>
      <x:c r="J980" s="19" t="str">
        <x:v>東北線</x:v>
      </x:c>
      <x:c r="K980" s="18" t="str">
        <x:v>transport-node:0bfa5c3a-a3ae-5335-a9ba-0c5136869600</x:v>
      </x:c>
      <x:c r="L980" s="19" t="str">
        <x:v>组件待审核</x:v>
      </x:c>
      <x:c r="M980" s="21" t="n">
        <x:v>35.707195</x:v>
      </x:c>
      <x:c r="N980" s="21" t="n">
        <x:v>139.774715</x:v>
      </x:c>
      <x:c r="O980" s="18" t="str">
        <x:v>003555</x:v>
      </x:c>
      <x:c r="P980" s="18" t="str">
        <x:v>東北線</x:v>
      </x:c>
      <x:c r="Q980" s="19" t="str">
        <x:v>S12_061_GE_10000</x:v>
      </x:c>
      <x:c r="R980" s="19" t="str">
        <x:v>S12_061 usage threshold</x:v>
      </x:c>
      <x:c r="S980" s="19" t="str">
        <x:v>https://nlftp.mlit.go.jp/ksj/gml/datalist/KsjTmplt-S12-2024.html</x:v>
      </x:c>
      <x:c r="T980" s="19" t="str">
        <x:v>https://nlftp.mlit.go.jp/ksj/gml/datalist/KsjTmplt-S12-2024.html</x:v>
      </x:c>
      <x:c r="U980" s="19" t="str">
        <x:v>station-component|御徒町|東日本旅客鉄道|conventional_rail|35.7072|139.7747|</x:v>
      </x:c>
      <x:c r="V980" s="19" t="str">
        <x:v>003555 / 003555 / 東北線</x:v>
      </x:c>
      <x:c r="W980" s="18" t="str">
        <x:v>否</x:v>
      </x:c>
      <x:c r="X980" s="18" t="str">
        <x:v>0785e932a32b3ec15e1a1345537ae145eafe1c07bf38d5c16c11ee2b391e7a28</x:v>
      </x:c>
      <x:c r="Y980" s="20" t="n">
        <x:v>1</x:v>
      </x:c>
      <x:c r="Z980" s="20" t="n">
        <x:v>1</x:v>
      </x:c>
      <x:c r="AA980" s="19"/>
      <x:c r="AB980" s="18"/>
      <x:c r="AC980" s="19"/>
    </x:row>
    <x:row r="981" ht="28" customHeight="1">
      <x:c r="A981" s="18" t="str">
        <x:v>御成門</x:v>
      </x:c>
      <x:c r="B981" s="18" t="str">
        <x:v>東京都</x:v>
      </x:c>
      <x:c r="C981" s="18" t="str">
        <x:v>metro</x:v>
      </x:c>
      <x:c r="D981" s="19" t="str">
        <x:v>T2</x:v>
      </x:c>
      <x:c r="E981" s="20" t="n">
        <x:v>43230</x:v>
      </x:c>
      <x:c r="F981" s="18" t="str">
        <x:v>persons/day</x:v>
      </x:c>
      <x:c r="G981" s="18" t="str">
        <x:v>FY2024</x:v>
      </x:c>
      <x:c r="H981" s="18" t="str">
        <x:v>否</x:v>
      </x:c>
      <x:c r="I981" s="19" t="str">
        <x:v>DAILY_ENTRIES_EXITS</x:v>
      </x:c>
      <x:c r="J981" s="19" t="str">
        <x:v>6号線三田線</x:v>
      </x:c>
      <x:c r="K981" s="18" t="str">
        <x:v>transport-node:6507e9e3-c0e0-5ed5-a9d3-1be3ad30df0c</x:v>
      </x:c>
      <x:c r="L981" s="19" t="str">
        <x:v>组件待审核</x:v>
      </x:c>
      <x:c r="M981" s="21" t="n">
        <x:v>35.6609767</x:v>
      </x:c>
      <x:c r="N981" s="21" t="n">
        <x:v>139.7514867</x:v>
      </x:c>
      <x:c r="O981" s="18" t="str">
        <x:v>003911</x:v>
      </x:c>
      <x:c r="P981" s="18" t="str">
        <x:v>6号線三田線</x:v>
      </x:c>
      <x:c r="Q981" s="19" t="str">
        <x:v>S12_061_GE_10000</x:v>
      </x:c>
      <x:c r="R981" s="19" t="str">
        <x:v>S12_061 usage threshold</x:v>
      </x:c>
      <x:c r="S981" s="19" t="str">
        <x:v>https://nlftp.mlit.go.jp/ksj/gml/datalist/KsjTmplt-S12-2024.html</x:v>
      </x:c>
      <x:c r="T981" s="19" t="str">
        <x:v>https://nlftp.mlit.go.jp/ksj/gml/datalist/KsjTmplt-S12-2024.html</x:v>
      </x:c>
      <x:c r="U981" s="19" t="str">
        <x:v>station-component|御成門|東京都|metro|35.6610|139.7515|</x:v>
      </x:c>
      <x:c r="V981" s="19" t="str">
        <x:v>003911 / 003911 / 6号線三田線</x:v>
      </x:c>
      <x:c r="W981" s="18" t="str">
        <x:v>否</x:v>
      </x:c>
      <x:c r="X981" s="18" t="str">
        <x:v>0785e932a32b3ec15e1a1345537ae145eafe1c07bf38d5c16c11ee2b391e7a28</x:v>
      </x:c>
      <x:c r="Y981" s="20" t="n">
        <x:v>1</x:v>
      </x:c>
      <x:c r="Z981" s="20" t="n">
        <x:v>1</x:v>
      </x:c>
      <x:c r="AA981" s="19"/>
      <x:c r="AB981" s="18"/>
      <x:c r="AC981" s="19"/>
    </x:row>
    <x:row r="982" ht="28" customHeight="1">
      <x:c r="A982" s="18" t="str">
        <x:v>御殿山</x:v>
      </x:c>
      <x:c r="B982" s="18" t="str">
        <x:v>京阪電気鉄道</x:v>
      </x:c>
      <x:c r="C982" s="18" t="str">
        <x:v>private_rail</x:v>
      </x:c>
      <x:c r="D982" s="19" t="str">
        <x:v>T2</x:v>
      </x:c>
      <x:c r="E982" s="20" t="n">
        <x:v>10218</x:v>
      </x:c>
      <x:c r="F982" s="18" t="str">
        <x:v>persons/day</x:v>
      </x:c>
      <x:c r="G982" s="18" t="str">
        <x:v>FY2024</x:v>
      </x:c>
      <x:c r="H982" s="18" t="str">
        <x:v>否</x:v>
      </x:c>
      <x:c r="I982" s="19" t="str">
        <x:v>DAILY_ENTRIES_EXITS</x:v>
      </x:c>
      <x:c r="J982" s="19" t="str">
        <x:v>京阪本線</x:v>
      </x:c>
      <x:c r="K982" s="18" t="str">
        <x:v>transport-node:c9300b75-ddbd-5508-8c1a-ea7e6786347b</x:v>
      </x:c>
      <x:c r="L982" s="19" t="str">
        <x:v>组件待审核</x:v>
      </x:c>
      <x:c r="M982" s="21" t="n">
        <x:v>34.829165</x:v>
      </x:c>
      <x:c r="N982" s="21" t="n">
        <x:v>135.653995</x:v>
      </x:c>
      <x:c r="O982" s="18" t="str">
        <x:v>006495</x:v>
      </x:c>
      <x:c r="P982" s="18" t="str">
        <x:v>京阪本線</x:v>
      </x:c>
      <x:c r="Q982" s="19" t="str">
        <x:v>S12_061_GE_10000</x:v>
      </x:c>
      <x:c r="R982" s="19" t="str">
        <x:v>S12_061 usage threshold</x:v>
      </x:c>
      <x:c r="S982" s="19" t="str">
        <x:v>https://nlftp.mlit.go.jp/ksj/gml/datalist/KsjTmplt-S12-2024.html</x:v>
      </x:c>
      <x:c r="T982" s="19" t="str">
        <x:v>https://nlftp.mlit.go.jp/ksj/gml/datalist/KsjTmplt-S12-2024.html</x:v>
      </x:c>
      <x:c r="U982" s="19" t="str">
        <x:v>station-component|御殿山|京阪電気鉄道|private_rail|34.8292|135.6540|</x:v>
      </x:c>
      <x:c r="V982" s="19" t="str">
        <x:v>006495 / 006495 / 京阪本線</x:v>
      </x:c>
      <x:c r="W982" s="18" t="str">
        <x:v>否</x:v>
      </x:c>
      <x:c r="X982" s="18" t="str">
        <x:v>0785e932a32b3ec15e1a1345537ae145eafe1c07bf38d5c16c11ee2b391e7a28</x:v>
      </x:c>
      <x:c r="Y982" s="20" t="n">
        <x:v>1</x:v>
      </x:c>
      <x:c r="Z982" s="20" t="n">
        <x:v>1</x:v>
      </x:c>
      <x:c r="AA982" s="19"/>
      <x:c r="AB982" s="18"/>
      <x:c r="AC982" s="19"/>
    </x:row>
    <x:row r="983" ht="28" customHeight="1">
      <x:c r="A983" s="18" t="str">
        <x:v>御茶ノ水</x:v>
      </x:c>
      <x:c r="B983" s="18" t="str">
        <x:v>東京地下鉄</x:v>
      </x:c>
      <x:c r="C983" s="18" t="str">
        <x:v>metro</x:v>
      </x:c>
      <x:c r="D983" s="19" t="str">
        <x:v>T1</x:v>
      </x:c>
      <x:c r="E983" s="20" t="n">
        <x:v>54548</x:v>
      </x:c>
      <x:c r="F983" s="18" t="str">
        <x:v>persons/day</x:v>
      </x:c>
      <x:c r="G983" s="18" t="str">
        <x:v>FY2024</x:v>
      </x:c>
      <x:c r="H983" s="18" t="str">
        <x:v>否</x:v>
      </x:c>
      <x:c r="I983" s="19" t="str">
        <x:v>DAILY_ENTRIES_EXITS</x:v>
      </x:c>
      <x:c r="J983" s="19" t="str">
        <x:v>4号線丸ノ内線</x:v>
      </x:c>
      <x:c r="K983" s="18" t="str">
        <x:v>transport-node:5eead8a8-9235-5111-973a-ad7edb818b6c</x:v>
      </x:c>
      <x:c r="L983" s="19" t="str">
        <x:v>组件待审核</x:v>
      </x:c>
      <x:c r="M983" s="21" t="n">
        <x:v>35.70043</x:v>
      </x:c>
      <x:c r="N983" s="21" t="n">
        <x:v>139.764405</x:v>
      </x:c>
      <x:c r="O983" s="18" t="str">
        <x:v>003605</x:v>
      </x:c>
      <x:c r="P983" s="18" t="str">
        <x:v>4号線丸ノ内線</x:v>
      </x:c>
      <x:c r="Q983" s="19" t="str">
        <x:v>S12_061_GE_10000</x:v>
      </x:c>
      <x:c r="R983" s="19" t="str">
        <x:v>S12_061 usage threshold</x:v>
      </x:c>
      <x:c r="S983" s="19" t="str">
        <x:v>https://nlftp.mlit.go.jp/ksj/gml/datalist/KsjTmplt-S12-2024.html</x:v>
      </x:c>
      <x:c r="T983" s="19" t="str">
        <x:v>https://nlftp.mlit.go.jp/ksj/gml/datalist/KsjTmplt-S12-2024.html</x:v>
      </x:c>
      <x:c r="U983" s="19" t="str">
        <x:v>station-component|御茶ノ水|東京地下鉄|metro|35.7004|139.7644|</x:v>
      </x:c>
      <x:c r="V983" s="19" t="str">
        <x:v>003615 / 003605 / 4号線丸ノ内線</x:v>
      </x:c>
      <x:c r="W983" s="18" t="str">
        <x:v>否</x:v>
      </x:c>
      <x:c r="X983" s="18" t="str">
        <x:v>0785e932a32b3ec15e1a1345537ae145eafe1c07bf38d5c16c11ee2b391e7a28</x:v>
      </x:c>
      <x:c r="Y983" s="20" t="n">
        <x:v>1</x:v>
      </x:c>
      <x:c r="Z983" s="20" t="n">
        <x:v>1</x:v>
      </x:c>
      <x:c r="AA983" s="19"/>
      <x:c r="AB983" s="18"/>
      <x:c r="AC983" s="19"/>
    </x:row>
    <x:row r="984" ht="33" customHeight="1">
      <x:c r="A984" s="18" t="str">
        <x:v>御茶ノ水</x:v>
      </x:c>
      <x:c r="B984" s="18" t="str">
        <x:v>東日本旅客鉄道</x:v>
      </x:c>
      <x:c r="C984" s="18" t="str">
        <x:v>conventional_rail</x:v>
      </x:c>
      <x:c r="D984" s="19" t="str">
        <x:v>T1</x:v>
      </x:c>
      <x:c r="E984" s="20" t="n">
        <x:v>176728</x:v>
      </x:c>
      <x:c r="F984" s="18" t="str">
        <x:v>persons/day</x:v>
      </x:c>
      <x:c r="G984" s="18" t="str">
        <x:v>FY2024</x:v>
      </x:c>
      <x:c r="H984" s="18" t="str">
        <x:v>否</x:v>
      </x:c>
      <x:c r="I984" s="19" t="str">
        <x:v>DAILY_ENTRIES_EXITS</x:v>
      </x:c>
      <x:c r="J984" s="19" t="str">
        <x:v>中央線
総武線</x:v>
      </x:c>
      <x:c r="K984" s="18" t="str">
        <x:v>transport-node:53fa6ce3-ef67-5f5d-8fa3-f5298195e36b</x:v>
      </x:c>
      <x:c r="L984" s="19" t="str">
        <x:v>组件待审核</x:v>
      </x:c>
      <x:c r="M984" s="21" t="n">
        <x:v>35.699605</x:v>
      </x:c>
      <x:c r="N984" s="21" t="n">
        <x:v>139.76503</x:v>
      </x:c>
      <x:c r="O984" s="18" t="str">
        <x:v>003616</x:v>
      </x:c>
      <x:c r="P984" s="18" t="str">
        <x:v>中央線</x:v>
      </x:c>
      <x:c r="Q984" s="19" t="str">
        <x:v>S12_061_GE_10000</x:v>
      </x:c>
      <x:c r="R984" s="19" t="str">
        <x:v>S12_061 usage threshold</x:v>
      </x:c>
      <x:c r="S984" s="19" t="str">
        <x:v>https://nlftp.mlit.go.jp/ksj/gml/datalist/KsjTmplt-S12-2024.html</x:v>
      </x:c>
      <x:c r="T984" s="19" t="str">
        <x:v>https://nlftp.mlit.go.jp/ksj/gml/datalist/KsjTmplt-S12-2024.html</x:v>
      </x:c>
      <x:c r="U984" s="19" t="str">
        <x:v>station-component|御茶ノ水|東日本旅客鉄道|conventional_rail|35.6996|139.7650|</x:v>
      </x:c>
      <x:c r="V984" s="19" t="str">
        <x:v>003615 / 003615 / 総武線
003615 / 003616 / 中央線</x:v>
      </x:c>
      <x:c r="W984" s="18" t="str">
        <x:v>否</x:v>
      </x:c>
      <x:c r="X984" s="18" t="str">
        <x:v>0785e932a32b3ec15e1a1345537ae145eafe1c07bf38d5c16c11ee2b391e7a28</x:v>
      </x:c>
      <x:c r="Y984" s="20" t="n">
        <x:v>1</x:v>
      </x:c>
      <x:c r="Z984" s="20" t="n">
        <x:v>1</x:v>
      </x:c>
      <x:c r="AA984" s="19"/>
      <x:c r="AB984" s="18"/>
      <x:c r="AC984" s="19"/>
    </x:row>
    <x:row r="985" ht="28" customHeight="1">
      <x:c r="A985" s="18" t="str">
        <x:v>御陵</x:v>
      </x:c>
      <x:c r="B985" s="18" t="str">
        <x:v>京都市</x:v>
      </x:c>
      <x:c r="C985" s="18" t="str">
        <x:v>metro</x:v>
      </x:c>
      <x:c r="D985" s="19" t="str">
        <x:v>T2</x:v>
      </x:c>
      <x:c r="E985" s="20" t="n">
        <x:v>13038</x:v>
      </x:c>
      <x:c r="F985" s="18" t="str">
        <x:v>persons/day</x:v>
      </x:c>
      <x:c r="G985" s="18" t="str">
        <x:v>FY2024</x:v>
      </x:c>
      <x:c r="H985" s="18" t="str">
        <x:v>否</x:v>
      </x:c>
      <x:c r="I985" s="19" t="str">
        <x:v>DAILY_ENTRIES_EXITS</x:v>
      </x:c>
      <x:c r="J985" s="19" t="str">
        <x:v>東西線</x:v>
      </x:c>
      <x:c r="K985" s="18" t="str">
        <x:v>transport-node:46f762fa-98e9-56ed-a3af-1614a82004bb</x:v>
      </x:c>
      <x:c r="L985" s="19" t="str">
        <x:v>组件待审核</x:v>
      </x:c>
      <x:c r="M985" s="21" t="n">
        <x:v>34.99598</x:v>
      </x:c>
      <x:c r="N985" s="21" t="n">
        <x:v>135.801885</x:v>
      </x:c>
      <x:c r="O985" s="18" t="str">
        <x:v>006026</x:v>
      </x:c>
      <x:c r="P985" s="18" t="str">
        <x:v>東西線</x:v>
      </x:c>
      <x:c r="Q985" s="19" t="str">
        <x:v>S12_061_GE_10000</x:v>
      </x:c>
      <x:c r="R985" s="19" t="str">
        <x:v>S12_061 usage threshold</x:v>
      </x:c>
      <x:c r="S985" s="19" t="str">
        <x:v>https://nlftp.mlit.go.jp/ksj/gml/datalist/KsjTmplt-S12-2024.html</x:v>
      </x:c>
      <x:c r="T985" s="19" t="str">
        <x:v>https://nlftp.mlit.go.jp/ksj/gml/datalist/KsjTmplt-S12-2024.html</x:v>
      </x:c>
      <x:c r="U985" s="19" t="str">
        <x:v>station-component|御陵|京都市|metro|34.9960|135.8019|</x:v>
      </x:c>
      <x:c r="V985" s="19" t="str">
        <x:v>006026 / 006026 / 東西線</x:v>
      </x:c>
      <x:c r="W985" s="18" t="str">
        <x:v>否</x:v>
      </x:c>
      <x:c r="X985" s="18" t="str">
        <x:v>0785e932a32b3ec15e1a1345537ae145eafe1c07bf38d5c16c11ee2b391e7a28</x:v>
      </x:c>
      <x:c r="Y985" s="20" t="n">
        <x:v>1</x:v>
      </x:c>
      <x:c r="Z985" s="20" t="n">
        <x:v>1</x:v>
      </x:c>
      <x:c r="AA985" s="19"/>
      <x:c r="AB985" s="18"/>
      <x:c r="AC985" s="19"/>
    </x:row>
    <x:row r="986" ht="28" customHeight="1">
      <x:c r="A986" s="18" t="str">
        <x:v>徳山</x:v>
      </x:c>
      <x:c r="B986" s="18" t="str">
        <x:v>西日本旅客鉄道</x:v>
      </x:c>
      <x:c r="C986" s="18" t="str">
        <x:v>conventional_rail</x:v>
      </x:c>
      <x:c r="D986" s="19" t="str">
        <x:v>T2</x:v>
      </x:c>
      <x:c r="E986" s="20" t="n">
        <x:v>14410</x:v>
      </x:c>
      <x:c r="F986" s="18" t="str">
        <x:v>persons/day</x:v>
      </x:c>
      <x:c r="G986" s="18" t="str">
        <x:v>FY2024</x:v>
      </x:c>
      <x:c r="H986" s="18" t="str">
        <x:v>否</x:v>
      </x:c>
      <x:c r="I986" s="19" t="str">
        <x:v>DAILY_ENTRIES_EXITS</x:v>
      </x:c>
      <x:c r="J986" s="19" t="str">
        <x:v>山陽線</x:v>
      </x:c>
      <x:c r="K986" s="18" t="str">
        <x:v>transport-node:f473e68d-2a2b-5eb0-861c-d82368dd9dd5</x:v>
      </x:c>
      <x:c r="L986" s="19" t="str">
        <x:v>组件待审核</x:v>
      </x:c>
      <x:c r="M986" s="21" t="n">
        <x:v>34.05131</x:v>
      </x:c>
      <x:c r="N986" s="21" t="n">
        <x:v>131.80252</x:v>
      </x:c>
      <x:c r="O986" s="18" t="str">
        <x:v>008529</x:v>
      </x:c>
      <x:c r="P986" s="18" t="str">
        <x:v>山陽線</x:v>
      </x:c>
      <x:c r="Q986" s="19" t="str">
        <x:v>S12_061_GE_10000</x:v>
      </x:c>
      <x:c r="R986" s="19" t="str">
        <x:v>S12_061 usage threshold</x:v>
      </x:c>
      <x:c r="S986" s="19" t="str">
        <x:v>https://nlftp.mlit.go.jp/ksj/gml/datalist/KsjTmplt-S12-2024.html</x:v>
      </x:c>
      <x:c r="T986" s="19" t="str">
        <x:v>https://nlftp.mlit.go.jp/ksj/gml/datalist/KsjTmplt-S12-2024.html</x:v>
      </x:c>
      <x:c r="U986" s="19" t="str">
        <x:v>station-component|徳山|西日本旅客鉄道|conventional_rail|34.0513|131.8025|</x:v>
      </x:c>
      <x:c r="V986" s="19" t="str">
        <x:v>008529 / 008529 / 山陽線</x:v>
      </x:c>
      <x:c r="W986" s="18" t="str">
        <x:v>否</x:v>
      </x:c>
      <x:c r="X986" s="18" t="str">
        <x:v>0785e932a32b3ec15e1a1345537ae145eafe1c07bf38d5c16c11ee2b391e7a28</x:v>
      </x:c>
      <x:c r="Y986" s="20" t="n">
        <x:v>1</x:v>
      </x:c>
      <x:c r="Z986" s="20" t="n">
        <x:v>1</x:v>
      </x:c>
      <x:c r="AA986" s="19"/>
      <x:c r="AB986" s="18"/>
      <x:c r="AC986" s="19"/>
    </x:row>
    <x:row r="987" ht="28" customHeight="1">
      <x:c r="A987" s="18" t="str">
        <x:v>徳山</x:v>
      </x:c>
      <x:c r="B987" s="18" t="str">
        <x:v>西日本旅客鉄道</x:v>
      </x:c>
      <x:c r="C987" s="18" t="str">
        <x:v>shinkansen</x:v>
      </x:c>
      <x:c r="D987" s="19"/>
      <x:c r="E987" s="20"/>
      <x:c r="F987" s="18"/>
      <x:c r="G987" s="18" t="str">
        <x:v>FY2024</x:v>
      </x:c>
      <x:c r="H987" s="18" t="str">
        <x:v>是</x:v>
      </x:c>
      <x:c r="I987" s="19" t="str">
        <x:v>USAGE_DATA_UNAVAILABLE</x:v>
      </x:c>
      <x:c r="J987" s="19" t="str">
        <x:v>山陽新幹線</x:v>
      </x:c>
      <x:c r="K987" s="18" t="str">
        <x:v>transport-node:20789a72-4e5d-5060-a8a0-3f74b011a855</x:v>
      </x:c>
      <x:c r="L987" s="19" t="str">
        <x:v>组件待审核</x:v>
      </x:c>
      <x:c r="M987" s="21" t="n">
        <x:v>34.0510983</x:v>
      </x:c>
      <x:c r="N987" s="21" t="n">
        <x:v>131.8021283</x:v>
      </x:c>
      <x:c r="O987" s="18" t="str">
        <x:v>008530</x:v>
      </x:c>
      <x:c r="P987" s="18" t="str">
        <x:v>山陽新幹線</x:v>
      </x:c>
      <x:c r="Q987" s="19" t="str">
        <x:v>SHINKANSEN</x:v>
      </x:c>
      <x:c r="R987" s="19" t="str">
        <x:v>Official S12 usage unavailable; manual tier review required</x:v>
      </x:c>
      <x:c r="S987" s="19" t="str">
        <x:v>https://nlftp.mlit.go.jp/ksj/gml/datalist/KsjTmplt-S12-2024.html</x:v>
      </x:c>
      <x:c r="T987" s="19" t="str">
        <x:v>https://nlftp.mlit.go.jp/ksj/gml/datalist/KsjTmplt-S12-2024.html</x:v>
      </x:c>
      <x:c r="U987" s="19" t="str">
        <x:v>station-component|徳山|西日本旅客鉄道|shinkansen|34.0511|131.8021|</x:v>
      </x:c>
      <x:c r="V987" s="19" t="str">
        <x:v>008529 / 008530 / 山陽新幹線</x:v>
      </x:c>
      <x:c r="W987" s="18" t="str">
        <x:v>否</x:v>
      </x:c>
      <x:c r="X987" s="18" t="str">
        <x:v>0785e932a32b3ec15e1a1345537ae145eafe1c07bf38d5c16c11ee2b391e7a28</x:v>
      </x:c>
      <x:c r="Y987" s="20" t="n">
        <x:v>1</x:v>
      </x:c>
      <x:c r="Z987" s="20" t="n">
        <x:v>2</x:v>
      </x:c>
      <x:c r="AA987" s="19"/>
      <x:c r="AB987" s="18"/>
      <x:c r="AC987" s="19"/>
    </x:row>
    <x:row r="988" ht="33" customHeight="1">
      <x:c r="A988" s="18" t="str">
        <x:v>徳島</x:v>
      </x:c>
      <x:c r="B988" s="18" t="str">
        <x:v>四国旅客鉄道</x:v>
      </x:c>
      <x:c r="C988" s="18" t="str">
        <x:v>conventional_rail</x:v>
      </x:c>
      <x:c r="D988" s="19" t="str">
        <x:v>T2</x:v>
      </x:c>
      <x:c r="E988" s="20" t="n">
        <x:v>11020</x:v>
      </x:c>
      <x:c r="F988" s="18" t="str">
        <x:v>persons/day</x:v>
      </x:c>
      <x:c r="G988" s="18" t="str">
        <x:v>FY2024</x:v>
      </x:c>
      <x:c r="H988" s="18" t="str">
        <x:v>否</x:v>
      </x:c>
      <x:c r="I988" s="19" t="str">
        <x:v>DAILY_ENTRIES_EXITS</x:v>
      </x:c>
      <x:c r="J988" s="19" t="str">
        <x:v>牟岐線
高徳線</x:v>
      </x:c>
      <x:c r="K988" s="18" t="str">
        <x:v>transport-node:779393e9-80fa-556e-b59e-929192d5355c</x:v>
      </x:c>
      <x:c r="L988" s="19" t="str">
        <x:v>组件待审核</x:v>
      </x:c>
      <x:c r="M988" s="21" t="n">
        <x:v>34.07451</x:v>
      </x:c>
      <x:c r="N988" s="21" t="n">
        <x:v>134.5515</x:v>
      </x:c>
      <x:c r="O988" s="18" t="str">
        <x:v>008493</x:v>
      </x:c>
      <x:c r="P988" s="18" t="str">
        <x:v>高徳線</x:v>
      </x:c>
      <x:c r="Q988" s="19" t="str">
        <x:v>S12_061_GE_10000</x:v>
      </x:c>
      <x:c r="R988" s="19" t="str">
        <x:v>S12_061 usage threshold</x:v>
      </x:c>
      <x:c r="S988" s="19" t="str">
        <x:v>https://nlftp.mlit.go.jp/ksj/gml/datalist/KsjTmplt-S12-2024.html</x:v>
      </x:c>
      <x:c r="T988" s="19" t="str">
        <x:v>https://nlftp.mlit.go.jp/ksj/gml/datalist/KsjTmplt-S12-2024.html</x:v>
      </x:c>
      <x:c r="U988" s="19" t="str">
        <x:v>station-component|徳島|四国旅客鉄道|conventional_rail|34.0745|134.5515|</x:v>
      </x:c>
      <x:c r="V988" s="19" t="str">
        <x:v>008493 / 008493 / 高徳線
008493 / 008494 / 牟岐線</x:v>
      </x:c>
      <x:c r="W988" s="18" t="str">
        <x:v>否</x:v>
      </x:c>
      <x:c r="X988" s="18" t="str">
        <x:v>0785e932a32b3ec15e1a1345537ae145eafe1c07bf38d5c16c11ee2b391e7a28</x:v>
      </x:c>
      <x:c r="Y988" s="20" t="n">
        <x:v>1</x:v>
      </x:c>
      <x:c r="Z988" s="20" t="n">
        <x:v>1</x:v>
      </x:c>
      <x:c r="AA988" s="19"/>
      <x:c r="AB988" s="18"/>
      <x:c r="AC988" s="19"/>
    </x:row>
    <x:row r="989" ht="28" customHeight="1">
      <x:c r="A989" s="18" t="str">
        <x:v>徳庵</x:v>
      </x:c>
      <x:c r="B989" s="18" t="str">
        <x:v>西日本旅客鉄道</x:v>
      </x:c>
      <x:c r="C989" s="18" t="str">
        <x:v>conventional_rail</x:v>
      </x:c>
      <x:c r="D989" s="19" t="str">
        <x:v>T2</x:v>
      </x:c>
      <x:c r="E989" s="20" t="n">
        <x:v>19490</x:v>
      </x:c>
      <x:c r="F989" s="18" t="str">
        <x:v>persons/day</x:v>
      </x:c>
      <x:c r="G989" s="18" t="str">
        <x:v>FY2024</x:v>
      </x:c>
      <x:c r="H989" s="18" t="str">
        <x:v>否</x:v>
      </x:c>
      <x:c r="I989" s="19" t="str">
        <x:v>DAILY_ENTRIES_EXITS</x:v>
      </x:c>
      <x:c r="J989" s="19" t="str">
        <x:v>片町線</x:v>
      </x:c>
      <x:c r="K989" s="18" t="str">
        <x:v>transport-node:962866f8-4484-5b2c-a75a-f4b68011c098</x:v>
      </x:c>
      <x:c r="L989" s="19" t="str">
        <x:v>组件待审核</x:v>
      </x:c>
      <x:c r="M989" s="21" t="n">
        <x:v>34.69249</x:v>
      </x:c>
      <x:c r="N989" s="21" t="n">
        <x:v>135.58142</x:v>
      </x:c>
      <x:c r="O989" s="18" t="str">
        <x:v>007131</x:v>
      </x:c>
      <x:c r="P989" s="18" t="str">
        <x:v>片町線</x:v>
      </x:c>
      <x:c r="Q989" s="19" t="str">
        <x:v>S12_061_GE_10000</x:v>
      </x:c>
      <x:c r="R989" s="19" t="str">
        <x:v>S12_061 usage threshold</x:v>
      </x:c>
      <x:c r="S989" s="19" t="str">
        <x:v>https://nlftp.mlit.go.jp/ksj/gml/datalist/KsjTmplt-S12-2024.html</x:v>
      </x:c>
      <x:c r="T989" s="19" t="str">
        <x:v>https://nlftp.mlit.go.jp/ksj/gml/datalist/KsjTmplt-S12-2024.html</x:v>
      </x:c>
      <x:c r="U989" s="19" t="str">
        <x:v>station-component|徳庵|西日本旅客鉄道|conventional_rail|34.6925|135.5814|</x:v>
      </x:c>
      <x:c r="V989" s="19" t="str">
        <x:v>007131 / 007131 / 片町線</x:v>
      </x:c>
      <x:c r="W989" s="18" t="str">
        <x:v>否</x:v>
      </x:c>
      <x:c r="X989" s="18" t="str">
        <x:v>0785e932a32b3ec15e1a1345537ae145eafe1c07bf38d5c16c11ee2b391e7a28</x:v>
      </x:c>
      <x:c r="Y989" s="20" t="n">
        <x:v>1</x:v>
      </x:c>
      <x:c r="Z989" s="20" t="n">
        <x:v>1</x:v>
      </x:c>
      <x:c r="AA989" s="19"/>
      <x:c r="AB989" s="18"/>
      <x:c r="AC989" s="19"/>
    </x:row>
    <x:row r="990" ht="28" customHeight="1">
      <x:c r="A990" s="18" t="str">
        <x:v>徳重</x:v>
      </x:c>
      <x:c r="B990" s="18" t="str">
        <x:v>名古屋市</x:v>
      </x:c>
      <x:c r="C990" s="18" t="str">
        <x:v>metro</x:v>
      </x:c>
      <x:c r="D990" s="19" t="str">
        <x:v>T2</x:v>
      </x:c>
      <x:c r="E990" s="20" t="n">
        <x:v>20253</x:v>
      </x:c>
      <x:c r="F990" s="18" t="str">
        <x:v>persons/day</x:v>
      </x:c>
      <x:c r="G990" s="18" t="str">
        <x:v>FY2024</x:v>
      </x:c>
      <x:c r="H990" s="18" t="str">
        <x:v>否</x:v>
      </x:c>
      <x:c r="I990" s="19" t="str">
        <x:v>DAILY_ENTRIES_EXITS</x:v>
      </x:c>
      <x:c r="J990" s="19" t="str">
        <x:v>6号線桜通線</x:v>
      </x:c>
      <x:c r="K990" s="18" t="str">
        <x:v>transport-node:ad0c2618-a2ed-50ce-a551-aeb10811c6d9</x:v>
      </x:c>
      <x:c r="L990" s="19" t="str">
        <x:v>组件待审核</x:v>
      </x:c>
      <x:c r="M990" s="21" t="n">
        <x:v>35.0948883</x:v>
      </x:c>
      <x:c r="N990" s="21" t="n">
        <x:v>136.9976267</x:v>
      </x:c>
      <x:c r="O990" s="18" t="str">
        <x:v>005713</x:v>
      </x:c>
      <x:c r="P990" s="18" t="str">
        <x:v>6号線桜通線</x:v>
      </x:c>
      <x:c r="Q990" s="19" t="str">
        <x:v>S12_061_GE_10000</x:v>
      </x:c>
      <x:c r="R990" s="19" t="str">
        <x:v>S12_061 usage threshold</x:v>
      </x:c>
      <x:c r="S990" s="19" t="str">
        <x:v>https://nlftp.mlit.go.jp/ksj/gml/datalist/KsjTmplt-S12-2024.html</x:v>
      </x:c>
      <x:c r="T990" s="19" t="str">
        <x:v>https://nlftp.mlit.go.jp/ksj/gml/datalist/KsjTmplt-S12-2024.html</x:v>
      </x:c>
      <x:c r="U990" s="19" t="str">
        <x:v>station-component|徳重|名古屋市|metro|35.0949|136.9976|</x:v>
      </x:c>
      <x:c r="V990" s="19" t="str">
        <x:v>005713 / 005713 / 6号線桜通線</x:v>
      </x:c>
      <x:c r="W990" s="18" t="str">
        <x:v>否</x:v>
      </x:c>
      <x:c r="X990" s="18" t="str">
        <x:v>0785e932a32b3ec15e1a1345537ae145eafe1c07bf38d5c16c11ee2b391e7a28</x:v>
      </x:c>
      <x:c r="Y990" s="20" t="n">
        <x:v>1</x:v>
      </x:c>
      <x:c r="Z990" s="20" t="n">
        <x:v>1</x:v>
      </x:c>
      <x:c r="AA990" s="19"/>
      <x:c r="AB990" s="18"/>
      <x:c r="AC990" s="19"/>
    </x:row>
    <x:row r="991" ht="28" customHeight="1">
      <x:c r="A991" s="18" t="str">
        <x:v>徳重・名古屋芸大</x:v>
      </x:c>
      <x:c r="B991" s="18" t="str">
        <x:v>名古屋鉄道</x:v>
      </x:c>
      <x:c r="C991" s="18" t="str">
        <x:v>private_rail</x:v>
      </x:c>
      <x:c r="D991" s="19" t="str">
        <x:v>T2</x:v>
      </x:c>
      <x:c r="E991" s="20" t="n">
        <x:v>10970</x:v>
      </x:c>
      <x:c r="F991" s="18" t="str">
        <x:v>persons/day</x:v>
      </x:c>
      <x:c r="G991" s="18" t="str">
        <x:v>FY2024</x:v>
      </x:c>
      <x:c r="H991" s="18" t="str">
        <x:v>否</x:v>
      </x:c>
      <x:c r="I991" s="19" t="str">
        <x:v>DAILY_ENTRIES_EXITS</x:v>
      </x:c>
      <x:c r="J991" s="19" t="str">
        <x:v>犬山線</x:v>
      </x:c>
      <x:c r="K991" s="18" t="str">
        <x:v>transport-node:0bbdede3-3062-576b-9ad2-35d0e5cc7af1</x:v>
      </x:c>
      <x:c r="L991" s="19" t="str">
        <x:v>组件待审核</x:v>
      </x:c>
      <x:c r="M991" s="21" t="n">
        <x:v>35.255745</x:v>
      </x:c>
      <x:c r="N991" s="21" t="n">
        <x:v>136.873355</x:v>
      </x:c>
      <x:c r="O991" s="18" t="str">
        <x:v>005220</x:v>
      </x:c>
      <x:c r="P991" s="18" t="str">
        <x:v>犬山線</x:v>
      </x:c>
      <x:c r="Q991" s="19" t="str">
        <x:v>S12_061_GE_10000</x:v>
      </x:c>
      <x:c r="R991" s="19" t="str">
        <x:v>S12_061 usage threshold</x:v>
      </x:c>
      <x:c r="S991" s="19" t="str">
        <x:v>https://nlftp.mlit.go.jp/ksj/gml/datalist/KsjTmplt-S12-2024.html</x:v>
      </x:c>
      <x:c r="T991" s="19" t="str">
        <x:v>https://nlftp.mlit.go.jp/ksj/gml/datalist/KsjTmplt-S12-2024.html</x:v>
      </x:c>
      <x:c r="U991" s="19" t="str">
        <x:v>station-component|徳重・名古屋芸大|名古屋鉄道|private_rail|35.2557|136.8734|</x:v>
      </x:c>
      <x:c r="V991" s="19" t="str">
        <x:v>005220 / 005220 / 犬山線</x:v>
      </x:c>
      <x:c r="W991" s="18" t="str">
        <x:v>否</x:v>
      </x:c>
      <x:c r="X991" s="18" t="str">
        <x:v>0785e932a32b3ec15e1a1345537ae145eafe1c07bf38d5c16c11ee2b391e7a28</x:v>
      </x:c>
      <x:c r="Y991" s="20" t="n">
        <x:v>1</x:v>
      </x:c>
      <x:c r="Z991" s="20" t="n">
        <x:v>1</x:v>
      </x:c>
      <x:c r="AA991" s="19"/>
      <x:c r="AB991" s="18"/>
      <x:c r="AC991" s="19"/>
    </x:row>
    <x:row r="992" ht="33" customHeight="1">
      <x:c r="A992" s="18" t="str">
        <x:v>心斎橋</x:v>
      </x:c>
      <x:c r="B992" s="18" t="str">
        <x:v>大阪市高速電気軌道</x:v>
      </x:c>
      <x:c r="C992" s="18" t="str">
        <x:v>metro</x:v>
      </x:c>
      <x:c r="D992" s="19" t="str">
        <x:v>T1</x:v>
      </x:c>
      <x:c r="E992" s="20" t="n">
        <x:v>144868</x:v>
      </x:c>
      <x:c r="F992" s="18" t="str">
        <x:v>persons/day</x:v>
      </x:c>
      <x:c r="G992" s="18" t="str">
        <x:v>FY2024</x:v>
      </x:c>
      <x:c r="H992" s="18" t="str">
        <x:v>否</x:v>
      </x:c>
      <x:c r="I992" s="19" t="str">
        <x:v>DAILY_ENTRIES_EXITS</x:v>
      </x:c>
      <x:c r="J992" s="19" t="str">
        <x:v>1号線(御堂筋線)
7号線(長堀鶴見緑地線)</x:v>
      </x:c>
      <x:c r="K992" s="18" t="str">
        <x:v>transport-node:5121fee0-3821-5b50-a02d-763daa3a479e</x:v>
      </x:c>
      <x:c r="L992" s="19" t="str">
        <x:v>组件待审核</x:v>
      </x:c>
      <x:c r="M992" s="21" t="n">
        <x:v>34.6744</x:v>
      </x:c>
      <x:c r="N992" s="21" t="n">
        <x:v>135.500345</x:v>
      </x:c>
      <x:c r="O992" s="18" t="str">
        <x:v>007262</x:v>
      </x:c>
      <x:c r="P992" s="18" t="str">
        <x:v>1号線(御堂筋線)</x:v>
      </x:c>
      <x:c r="Q992" s="19" t="str">
        <x:v>S12_061_GE_10000
OFFICIAL_HUB_COMPONENT_REVIEW</x:v>
      </x:c>
      <x:c r="R992" s="19" t="str">
        <x:v>S12_061 usage threshold</x:v>
      </x:c>
      <x:c r="S992" s="19" t="str">
        <x:v>https://nlftp.mlit.go.jp/ksj/gml/datalist/KsjTmplt-S12-2024.html</x:v>
      </x:c>
      <x:c r="T992" s="19" t="str">
        <x:v>https://nlftp.mlit.go.jp/ksj/gml/datalist/KsjTmplt-S12-2024.html
https://subway.osakametro.co.jp/station_guide/M/m19/index.php</x:v>
      </x:c>
      <x:c r="U992" s="19" t="str">
        <x:v>station-component|心斎橋|大阪市高速電気軌道|metro|34.6744|135.5003|</x:v>
      </x:c>
      <x:c r="V992" s="19" t="str">
        <x:v>007252 / 007252 / 7号線(長堀鶴見緑地線)
007252 / 007262 / 1号線(御堂筋線)</x:v>
      </x:c>
      <x:c r="W992" s="18" t="str">
        <x:v>否</x:v>
      </x:c>
      <x:c r="X992" s="18" t="str">
        <x:v>0785e932a32b3ec15e1a1345537ae145eafe1c07bf38d5c16c11ee2b391e7a28</x:v>
      </x:c>
      <x:c r="Y992" s="20" t="n">
        <x:v>1</x:v>
      </x:c>
      <x:c r="Z992" s="20" t="n">
        <x:v>1</x:v>
      </x:c>
      <x:c r="AA992" s="19" t="str">
        <x:v>心斎橋・四ツ橋</x:v>
      </x:c>
      <x:c r="AB992" s="18" t="str">
        <x:v>transport-hub-review:f271b758-de3f-53bd-b118-49d887518644</x:v>
      </x:c>
      <x:c r="AC992" s="19"/>
    </x:row>
    <x:row r="993" ht="28" customHeight="1">
      <x:c r="A993" s="18" t="str">
        <x:v>忍ヶ丘</x:v>
      </x:c>
      <x:c r="B993" s="18" t="str">
        <x:v>西日本旅客鉄道</x:v>
      </x:c>
      <x:c r="C993" s="18" t="str">
        <x:v>conventional_rail</x:v>
      </x:c>
      <x:c r="D993" s="19" t="str">
        <x:v>T2</x:v>
      </x:c>
      <x:c r="E993" s="20" t="n">
        <x:v>16406</x:v>
      </x:c>
      <x:c r="F993" s="18" t="str">
        <x:v>persons/day</x:v>
      </x:c>
      <x:c r="G993" s="18" t="str">
        <x:v>FY2024</x:v>
      </x:c>
      <x:c r="H993" s="18" t="str">
        <x:v>否</x:v>
      </x:c>
      <x:c r="I993" s="19" t="str">
        <x:v>DAILY_ENTRIES_EXITS</x:v>
      </x:c>
      <x:c r="J993" s="19" t="str">
        <x:v>片町線</x:v>
      </x:c>
      <x:c r="K993" s="18" t="str">
        <x:v>transport-node:aa27f14f-b5ba-5058-a910-9ff40c1093e6</x:v>
      </x:c>
      <x:c r="L993" s="19" t="str">
        <x:v>组件待审核</x:v>
      </x:c>
      <x:c r="M993" s="21" t="n">
        <x:v>34.745645</x:v>
      </x:c>
      <x:c r="N993" s="21" t="n">
        <x:v>135.645155</x:v>
      </x:c>
      <x:c r="O993" s="18" t="str">
        <x:v>006855</x:v>
      </x:c>
      <x:c r="P993" s="18" t="str">
        <x:v>片町線</x:v>
      </x:c>
      <x:c r="Q993" s="19" t="str">
        <x:v>S12_061_GE_10000</x:v>
      </x:c>
      <x:c r="R993" s="19" t="str">
        <x:v>S12_061 usage threshold</x:v>
      </x:c>
      <x:c r="S993" s="19" t="str">
        <x:v>https://nlftp.mlit.go.jp/ksj/gml/datalist/KsjTmplt-S12-2024.html</x:v>
      </x:c>
      <x:c r="T993" s="19" t="str">
        <x:v>https://nlftp.mlit.go.jp/ksj/gml/datalist/KsjTmplt-S12-2024.html</x:v>
      </x:c>
      <x:c r="U993" s="19" t="str">
        <x:v>station-component|忍ヶ丘|西日本旅客鉄道|conventional_rail|34.7456|135.6452|</x:v>
      </x:c>
      <x:c r="V993" s="19" t="str">
        <x:v>006855 / 006855 / 片町線</x:v>
      </x:c>
      <x:c r="W993" s="18" t="str">
        <x:v>否</x:v>
      </x:c>
      <x:c r="X993" s="18" t="str">
        <x:v>0785e932a32b3ec15e1a1345537ae145eafe1c07bf38d5c16c11ee2b391e7a28</x:v>
      </x:c>
      <x:c r="Y993" s="20" t="n">
        <x:v>1</x:v>
      </x:c>
      <x:c r="Z993" s="20" t="n">
        <x:v>1</x:v>
      </x:c>
      <x:c r="AA993" s="19"/>
      <x:c r="AB993" s="18"/>
      <x:c r="AC993" s="19"/>
    </x:row>
    <x:row r="994" ht="28" customHeight="1">
      <x:c r="A994" s="18" t="str">
        <x:v>志木</x:v>
      </x:c>
      <x:c r="B994" s="18" t="str">
        <x:v>東武鉄道</x:v>
      </x:c>
      <x:c r="C994" s="18" t="str">
        <x:v>private_rail</x:v>
      </x:c>
      <x:c r="D994" s="19" t="str">
        <x:v>T1</x:v>
      </x:c>
      <x:c r="E994" s="20" t="n">
        <x:v>95860</x:v>
      </x:c>
      <x:c r="F994" s="18" t="str">
        <x:v>persons/day</x:v>
      </x:c>
      <x:c r="G994" s="18" t="str">
        <x:v>FY2024</x:v>
      </x:c>
      <x:c r="H994" s="18" t="str">
        <x:v>否</x:v>
      </x:c>
      <x:c r="I994" s="19" t="str">
        <x:v>DAILY_ENTRIES_EXITS</x:v>
      </x:c>
      <x:c r="J994" s="19" t="str">
        <x:v>東上本線</x:v>
      </x:c>
      <x:c r="K994" s="18" t="str">
        <x:v>transport-node:ce6c03c4-0fbd-5d66-9842-250c30f47905</x:v>
      </x:c>
      <x:c r="L994" s="19" t="str">
        <x:v>组件待审核</x:v>
      </x:c>
      <x:c r="M994" s="21" t="n">
        <x:v>35.82217</x:v>
      </x:c>
      <x:c r="N994" s="21" t="n">
        <x:v>139.5753</x:v>
      </x:c>
      <x:c r="O994" s="18" t="str">
        <x:v>003049</x:v>
      </x:c>
      <x:c r="P994" s="18" t="str">
        <x:v>東上本線</x:v>
      </x:c>
      <x:c r="Q994" s="19" t="str">
        <x:v>S12_061_GE_10000</x:v>
      </x:c>
      <x:c r="R994" s="19" t="str">
        <x:v>S12_061 usage threshold</x:v>
      </x:c>
      <x:c r="S994" s="19" t="str">
        <x:v>https://nlftp.mlit.go.jp/ksj/gml/datalist/KsjTmplt-S12-2024.html</x:v>
      </x:c>
      <x:c r="T994" s="19" t="str">
        <x:v>https://nlftp.mlit.go.jp/ksj/gml/datalist/KsjTmplt-S12-2024.html</x:v>
      </x:c>
      <x:c r="U994" s="19" t="str">
        <x:v>station-component|志木|東武鉄道|private_rail|35.8222|139.5753|</x:v>
      </x:c>
      <x:c r="V994" s="19" t="str">
        <x:v>003049 / 003049 / 東上本線</x:v>
      </x:c>
      <x:c r="W994" s="18" t="str">
        <x:v>否</x:v>
      </x:c>
      <x:c r="X994" s="18" t="str">
        <x:v>0785e932a32b3ec15e1a1345537ae145eafe1c07bf38d5c16c11ee2b391e7a28</x:v>
      </x:c>
      <x:c r="Y994" s="20" t="n">
        <x:v>1</x:v>
      </x:c>
      <x:c r="Z994" s="20" t="n">
        <x:v>1</x:v>
      </x:c>
      <x:c r="AA994" s="19"/>
      <x:c r="AB994" s="18"/>
      <x:c r="AC994" s="19"/>
    </x:row>
    <x:row r="995" ht="28" customHeight="1">
      <x:c r="A995" s="18" t="str">
        <x:v>志村三丁目</x:v>
      </x:c>
      <x:c r="B995" s="18" t="str">
        <x:v>東京都</x:v>
      </x:c>
      <x:c r="C995" s="18" t="str">
        <x:v>metro</x:v>
      </x:c>
      <x:c r="D995" s="19" t="str">
        <x:v>T2</x:v>
      </x:c>
      <x:c r="E995" s="20" t="n">
        <x:v>30055</x:v>
      </x:c>
      <x:c r="F995" s="18" t="str">
        <x:v>persons/day</x:v>
      </x:c>
      <x:c r="G995" s="18" t="str">
        <x:v>FY2024</x:v>
      </x:c>
      <x:c r="H995" s="18" t="str">
        <x:v>否</x:v>
      </x:c>
      <x:c r="I995" s="19" t="str">
        <x:v>DAILY_ENTRIES_EXITS</x:v>
      </x:c>
      <x:c r="J995" s="19" t="str">
        <x:v>6号線三田線</x:v>
      </x:c>
      <x:c r="K995" s="18" t="str">
        <x:v>transport-node:f3566bee-3422-5480-bc11-c57365059afb</x:v>
      </x:c>
      <x:c r="L995" s="19" t="str">
        <x:v>组件待审核</x:v>
      </x:c>
      <x:c r="M995" s="21" t="n">
        <x:v>35.777465</x:v>
      </x:c>
      <x:c r="N995" s="21" t="n">
        <x:v>139.68586</x:v>
      </x:c>
      <x:c r="O995" s="18" t="str">
        <x:v>003158</x:v>
      </x:c>
      <x:c r="P995" s="18" t="str">
        <x:v>6号線三田線</x:v>
      </x:c>
      <x:c r="Q995" s="19" t="str">
        <x:v>S12_061_GE_10000</x:v>
      </x:c>
      <x:c r="R995" s="19" t="str">
        <x:v>S12_061 usage threshold</x:v>
      </x:c>
      <x:c r="S995" s="19" t="str">
        <x:v>https://nlftp.mlit.go.jp/ksj/gml/datalist/KsjTmplt-S12-2024.html</x:v>
      </x:c>
      <x:c r="T995" s="19" t="str">
        <x:v>https://nlftp.mlit.go.jp/ksj/gml/datalist/KsjTmplt-S12-2024.html</x:v>
      </x:c>
      <x:c r="U995" s="19" t="str">
        <x:v>station-component|志村三丁目|東京都|metro|35.7775|139.6859|</x:v>
      </x:c>
      <x:c r="V995" s="19" t="str">
        <x:v>003158 / 003158 / 6号線三田線</x:v>
      </x:c>
      <x:c r="W995" s="18" t="str">
        <x:v>否</x:v>
      </x:c>
      <x:c r="X995" s="18" t="str">
        <x:v>0785e932a32b3ec15e1a1345537ae145eafe1c07bf38d5c16c11ee2b391e7a28</x:v>
      </x:c>
      <x:c r="Y995" s="20" t="n">
        <x:v>1</x:v>
      </x:c>
      <x:c r="Z995" s="20" t="n">
        <x:v>1</x:v>
      </x:c>
      <x:c r="AA995" s="19"/>
      <x:c r="AB995" s="18"/>
      <x:c r="AC995" s="19"/>
    </x:row>
    <x:row r="996" ht="28" customHeight="1">
      <x:c r="A996" s="18" t="str">
        <x:v>志村坂上</x:v>
      </x:c>
      <x:c r="B996" s="18" t="str">
        <x:v>東京都</x:v>
      </x:c>
      <x:c r="C996" s="18" t="str">
        <x:v>metro</x:v>
      </x:c>
      <x:c r="D996" s="19" t="str">
        <x:v>T2</x:v>
      </x:c>
      <x:c r="E996" s="20" t="n">
        <x:v>30150</x:v>
      </x:c>
      <x:c r="F996" s="18" t="str">
        <x:v>persons/day</x:v>
      </x:c>
      <x:c r="G996" s="18" t="str">
        <x:v>FY2024</x:v>
      </x:c>
      <x:c r="H996" s="18" t="str">
        <x:v>否</x:v>
      </x:c>
      <x:c r="I996" s="19" t="str">
        <x:v>DAILY_ENTRIES_EXITS</x:v>
      </x:c>
      <x:c r="J996" s="19" t="str">
        <x:v>6号線三田線</x:v>
      </x:c>
      <x:c r="K996" s="18" t="str">
        <x:v>transport-node:8211b477-b1ad-52ef-aa10-1edec4b497db</x:v>
      </x:c>
      <x:c r="L996" s="19" t="str">
        <x:v>组件待审核</x:v>
      </x:c>
      <x:c r="M996" s="21" t="n">
        <x:v>35.77634</x:v>
      </x:c>
      <x:c r="N996" s="21" t="n">
        <x:v>139.69473</x:v>
      </x:c>
      <x:c r="O996" s="18" t="str">
        <x:v>003165</x:v>
      </x:c>
      <x:c r="P996" s="18" t="str">
        <x:v>6号線三田線</x:v>
      </x:c>
      <x:c r="Q996" s="19" t="str">
        <x:v>S12_061_GE_10000</x:v>
      </x:c>
      <x:c r="R996" s="19" t="str">
        <x:v>S12_061 usage threshold</x:v>
      </x:c>
      <x:c r="S996" s="19" t="str">
        <x:v>https://nlftp.mlit.go.jp/ksj/gml/datalist/KsjTmplt-S12-2024.html</x:v>
      </x:c>
      <x:c r="T996" s="19" t="str">
        <x:v>https://nlftp.mlit.go.jp/ksj/gml/datalist/KsjTmplt-S12-2024.html</x:v>
      </x:c>
      <x:c r="U996" s="19" t="str">
        <x:v>station-component|志村坂上|東京都|metro|35.7763|139.6947|</x:v>
      </x:c>
      <x:c r="V996" s="19" t="str">
        <x:v>003165 / 003165 / 6号線三田線</x:v>
      </x:c>
      <x:c r="W996" s="18" t="str">
        <x:v>否</x:v>
      </x:c>
      <x:c r="X996" s="18" t="str">
        <x:v>0785e932a32b3ec15e1a1345537ae145eafe1c07bf38d5c16c11ee2b391e7a28</x:v>
      </x:c>
      <x:c r="Y996" s="20" t="n">
        <x:v>1</x:v>
      </x:c>
      <x:c r="Z996" s="20" t="n">
        <x:v>1</x:v>
      </x:c>
      <x:c r="AA996" s="19"/>
      <x:c r="AB996" s="18"/>
      <x:c r="AC996" s="19"/>
    </x:row>
    <x:row r="997" ht="28" customHeight="1">
      <x:c r="A997" s="18" t="str">
        <x:v>志津</x:v>
      </x:c>
      <x:c r="B997" s="18" t="str">
        <x:v>京成電鉄</x:v>
      </x:c>
      <x:c r="C997" s="18" t="str">
        <x:v>private_rail</x:v>
      </x:c>
      <x:c r="D997" s="19" t="str">
        <x:v>T2</x:v>
      </x:c>
      <x:c r="E997" s="20" t="n">
        <x:v>13757</x:v>
      </x:c>
      <x:c r="F997" s="18" t="str">
        <x:v>persons/day</x:v>
      </x:c>
      <x:c r="G997" s="18" t="str">
        <x:v>FY2024</x:v>
      </x:c>
      <x:c r="H997" s="18" t="str">
        <x:v>否</x:v>
      </x:c>
      <x:c r="I997" s="19" t="str">
        <x:v>DAILY_ENTRIES_EXITS</x:v>
      </x:c>
      <x:c r="J997" s="19" t="str">
        <x:v>本線</x:v>
      </x:c>
      <x:c r="K997" s="18" t="str">
        <x:v>transport-node:d4ed9470-e7b0-5f62-8549-89e2ac3f885c</x:v>
      </x:c>
      <x:c r="L997" s="19" t="str">
        <x:v>组件待审核</x:v>
      </x:c>
      <x:c r="M997" s="21" t="n">
        <x:v>35.717405</x:v>
      </x:c>
      <x:c r="N997" s="21" t="n">
        <x:v>140.14493</x:v>
      </x:c>
      <x:c r="O997" s="18" t="str">
        <x:v>003482</x:v>
      </x:c>
      <x:c r="P997" s="18" t="str">
        <x:v>本線</x:v>
      </x:c>
      <x:c r="Q997" s="19" t="str">
        <x:v>S12_061_GE_10000</x:v>
      </x:c>
      <x:c r="R997" s="19" t="str">
        <x:v>S12_061 usage threshold</x:v>
      </x:c>
      <x:c r="S997" s="19" t="str">
        <x:v>https://nlftp.mlit.go.jp/ksj/gml/datalist/KsjTmplt-S12-2024.html</x:v>
      </x:c>
      <x:c r="T997" s="19" t="str">
        <x:v>https://nlftp.mlit.go.jp/ksj/gml/datalist/KsjTmplt-S12-2024.html</x:v>
      </x:c>
      <x:c r="U997" s="19" t="str">
        <x:v>station-component|志津|京成電鉄|private_rail|35.7174|140.1449|</x:v>
      </x:c>
      <x:c r="V997" s="19" t="str">
        <x:v>003482 / 003482 / 本線</x:v>
      </x:c>
      <x:c r="W997" s="18" t="str">
        <x:v>否</x:v>
      </x:c>
      <x:c r="X997" s="18" t="str">
        <x:v>0785e932a32b3ec15e1a1345537ae145eafe1c07bf38d5c16c11ee2b391e7a28</x:v>
      </x:c>
      <x:c r="Y997" s="20" t="n">
        <x:v>1</x:v>
      </x:c>
      <x:c r="Z997" s="20" t="n">
        <x:v>1</x:v>
      </x:c>
      <x:c r="AA997" s="19"/>
      <x:c r="AB997" s="18"/>
      <x:c r="AC997" s="19"/>
    </x:row>
    <x:row r="998" ht="28" customHeight="1">
      <x:c r="A998" s="18" t="str">
        <x:v>志紀</x:v>
      </x:c>
      <x:c r="B998" s="18" t="str">
        <x:v>西日本旅客鉄道</x:v>
      </x:c>
      <x:c r="C998" s="18" t="str">
        <x:v>conventional_rail</x:v>
      </x:c>
      <x:c r="D998" s="19" t="str">
        <x:v>T2</x:v>
      </x:c>
      <x:c r="E998" s="20" t="n">
        <x:v>18626</x:v>
      </x:c>
      <x:c r="F998" s="18" t="str">
        <x:v>persons/day</x:v>
      </x:c>
      <x:c r="G998" s="18" t="str">
        <x:v>FY2024</x:v>
      </x:c>
      <x:c r="H998" s="18" t="str">
        <x:v>否</x:v>
      </x:c>
      <x:c r="I998" s="19" t="str">
        <x:v>DAILY_ENTRIES_EXITS</x:v>
      </x:c>
      <x:c r="J998" s="19" t="str">
        <x:v>関西線</x:v>
      </x:c>
      <x:c r="K998" s="18" t="str">
        <x:v>transport-node:dc5a309f-ed2b-5b5b-a8d4-01a7816327d7</x:v>
      </x:c>
      <x:c r="L998" s="19" t="str">
        <x:v>组件待审核</x:v>
      </x:c>
      <x:c r="M998" s="21" t="n">
        <x:v>34.60033</x:v>
      </x:c>
      <x:c r="N998" s="21" t="n">
        <x:v>135.61591</x:v>
      </x:c>
      <x:c r="O998" s="18" t="str">
        <x:v>007606</x:v>
      </x:c>
      <x:c r="P998" s="18" t="str">
        <x:v>関西線</x:v>
      </x:c>
      <x:c r="Q998" s="19" t="str">
        <x:v>S12_061_GE_10000</x:v>
      </x:c>
      <x:c r="R998" s="19" t="str">
        <x:v>S12_061 usage threshold</x:v>
      </x:c>
      <x:c r="S998" s="19" t="str">
        <x:v>https://nlftp.mlit.go.jp/ksj/gml/datalist/KsjTmplt-S12-2024.html</x:v>
      </x:c>
      <x:c r="T998" s="19" t="str">
        <x:v>https://nlftp.mlit.go.jp/ksj/gml/datalist/KsjTmplt-S12-2024.html</x:v>
      </x:c>
      <x:c r="U998" s="19" t="str">
        <x:v>station-component|志紀|西日本旅客鉄道|conventional_rail|34.6003|135.6159|</x:v>
      </x:c>
      <x:c r="V998" s="19" t="str">
        <x:v>007606 / 007606 / 関西線</x:v>
      </x:c>
      <x:c r="W998" s="18" t="str">
        <x:v>否</x:v>
      </x:c>
      <x:c r="X998" s="18" t="str">
        <x:v>0785e932a32b3ec15e1a1345537ae145eafe1c07bf38d5c16c11ee2b391e7a28</x:v>
      </x:c>
      <x:c r="Y998" s="20" t="n">
        <x:v>1</x:v>
      </x:c>
      <x:c r="Z998" s="20" t="n">
        <x:v>1</x:v>
      </x:c>
      <x:c r="AA998" s="19"/>
      <x:c r="AB998" s="18"/>
      <x:c r="AC998" s="19"/>
    </x:row>
    <x:row r="999" ht="28" customHeight="1">
      <x:c r="A999" s="18" t="str">
        <x:v>志茂</x:v>
      </x:c>
      <x:c r="B999" s="18" t="str">
        <x:v>東京地下鉄</x:v>
      </x:c>
      <x:c r="C999" s="18" t="str">
        <x:v>metro</x:v>
      </x:c>
      <x:c r="D999" s="19" t="str">
        <x:v>T2</x:v>
      </x:c>
      <x:c r="E999" s="20" t="n">
        <x:v>15187</x:v>
      </x:c>
      <x:c r="F999" s="18" t="str">
        <x:v>persons/day</x:v>
      </x:c>
      <x:c r="G999" s="18" t="str">
        <x:v>FY2024</x:v>
      </x:c>
      <x:c r="H999" s="18" t="str">
        <x:v>否</x:v>
      </x:c>
      <x:c r="I999" s="19" t="str">
        <x:v>DAILY_ENTRIES_EXITS</x:v>
      </x:c>
      <x:c r="J999" s="19" t="str">
        <x:v>7号線南北線</x:v>
      </x:c>
      <x:c r="K999" s="18" t="str">
        <x:v>transport-node:fafa242d-c912-590b-b309-f54a647add13</x:v>
      </x:c>
      <x:c r="L999" s="19" t="str">
        <x:v>组件待审核</x:v>
      </x:c>
      <x:c r="M999" s="21" t="n">
        <x:v>35.778025</x:v>
      </x:c>
      <x:c r="N999" s="21" t="n">
        <x:v>139.7325</x:v>
      </x:c>
      <x:c r="O999" s="18" t="str">
        <x:v>003153</x:v>
      </x:c>
      <x:c r="P999" s="18" t="str">
        <x:v>7号線南北線</x:v>
      </x:c>
      <x:c r="Q999" s="19" t="str">
        <x:v>S12_061_GE_10000</x:v>
      </x:c>
      <x:c r="R999" s="19" t="str">
        <x:v>S12_061 usage threshold</x:v>
      </x:c>
      <x:c r="S999" s="19" t="str">
        <x:v>https://nlftp.mlit.go.jp/ksj/gml/datalist/KsjTmplt-S12-2024.html</x:v>
      </x:c>
      <x:c r="T999" s="19" t="str">
        <x:v>https://nlftp.mlit.go.jp/ksj/gml/datalist/KsjTmplt-S12-2024.html</x:v>
      </x:c>
      <x:c r="U999" s="19" t="str">
        <x:v>station-component|志茂|東京地下鉄|metro|35.7780|139.7325|</x:v>
      </x:c>
      <x:c r="V999" s="19" t="str">
        <x:v>003153 / 003153 / 7号線南北線</x:v>
      </x:c>
      <x:c r="W999" s="18" t="str">
        <x:v>否</x:v>
      </x:c>
      <x:c r="X999" s="18" t="str">
        <x:v>0785e932a32b3ec15e1a1345537ae145eafe1c07bf38d5c16c11ee2b391e7a28</x:v>
      </x:c>
      <x:c r="Y999" s="20" t="n">
        <x:v>1</x:v>
      </x:c>
      <x:c r="Z999" s="20" t="n">
        <x:v>1</x:v>
      </x:c>
      <x:c r="AA999" s="19"/>
      <x:c r="AB999" s="18"/>
      <x:c r="AC999" s="19"/>
    </x:row>
    <x:row r="1000" ht="28" customHeight="1">
      <x:c r="A1000" s="18" t="str">
        <x:v>志賀本通</x:v>
      </x:c>
      <x:c r="B1000" s="18" t="str">
        <x:v>名古屋市</x:v>
      </x:c>
      <x:c r="C1000" s="18" t="str">
        <x:v>metro</x:v>
      </x:c>
      <x:c r="D1000" s="19" t="str">
        <x:v>T2</x:v>
      </x:c>
      <x:c r="E1000" s="20" t="n">
        <x:v>14338</x:v>
      </x:c>
      <x:c r="F1000" s="18" t="str">
        <x:v>persons/day</x:v>
      </x:c>
      <x:c r="G1000" s="18" t="str">
        <x:v>FY2024</x:v>
      </x:c>
      <x:c r="H1000" s="18" t="str">
        <x:v>否</x:v>
      </x:c>
      <x:c r="I1000" s="19" t="str">
        <x:v>DAILY_ENTRIES_EXITS</x:v>
      </x:c>
      <x:c r="J1000" s="19" t="str">
        <x:v>2号線名城線</x:v>
      </x:c>
      <x:c r="K1000" s="18" t="str">
        <x:v>transport-node:bd2b9a9b-f194-589a-9c92-4ba1e60535d6</x:v>
      </x:c>
      <x:c r="L1000" s="19" t="str">
        <x:v>组件待审核</x:v>
      </x:c>
      <x:c r="M1000" s="21" t="n">
        <x:v>35.196275</x:v>
      </x:c>
      <x:c r="N1000" s="21" t="n">
        <x:v>136.921215</x:v>
      </x:c>
      <x:c r="O1000" s="18" t="str">
        <x:v>005365</x:v>
      </x:c>
      <x:c r="P1000" s="18" t="str">
        <x:v>2号線名城線</x:v>
      </x:c>
      <x:c r="Q1000" s="19" t="str">
        <x:v>S12_061_GE_10000</x:v>
      </x:c>
      <x:c r="R1000" s="19" t="str">
        <x:v>S12_061 usage threshold</x:v>
      </x:c>
      <x:c r="S1000" s="19" t="str">
        <x:v>https://nlftp.mlit.go.jp/ksj/gml/datalist/KsjTmplt-S12-2024.html</x:v>
      </x:c>
      <x:c r="T1000" s="19" t="str">
        <x:v>https://nlftp.mlit.go.jp/ksj/gml/datalist/KsjTmplt-S12-2024.html</x:v>
      </x:c>
      <x:c r="U1000" s="19" t="str">
        <x:v>station-component|志賀本通|名古屋市|metro|35.1963|136.9212|</x:v>
      </x:c>
      <x:c r="V1000" s="19" t="str">
        <x:v>005365 / 005365 / 2号線名城線</x:v>
      </x:c>
      <x:c r="W1000" s="18" t="str">
        <x:v>否</x:v>
      </x:c>
      <x:c r="X1000" s="18" t="str">
        <x:v>0785e932a32b3ec15e1a1345537ae145eafe1c07bf38d5c16c11ee2b391e7a28</x:v>
      </x:c>
      <x:c r="Y1000" s="20" t="n">
        <x:v>1</x:v>
      </x:c>
      <x:c r="Z1000" s="20" t="n">
        <x:v>1</x:v>
      </x:c>
      <x:c r="AA1000" s="19"/>
      <x:c r="AB1000" s="18"/>
      <x:c r="AC1000" s="19"/>
    </x:row>
    <x:row r="1001" ht="28" customHeight="1">
      <x:c r="A1001" s="18" t="str">
        <x:v>恋ヶ窪</x:v>
      </x:c>
      <x:c r="B1001" s="18" t="str">
        <x:v>西武鉄道</x:v>
      </x:c>
      <x:c r="C1001" s="18" t="str">
        <x:v>private_rail</x:v>
      </x:c>
      <x:c r="D1001" s="19" t="str">
        <x:v>T2</x:v>
      </x:c>
      <x:c r="E1001" s="20" t="n">
        <x:v>12502</x:v>
      </x:c>
      <x:c r="F1001" s="18" t="str">
        <x:v>persons/day</x:v>
      </x:c>
      <x:c r="G1001" s="18" t="str">
        <x:v>FY2024</x:v>
      </x:c>
      <x:c r="H1001" s="18" t="str">
        <x:v>否</x:v>
      </x:c>
      <x:c r="I1001" s="19" t="str">
        <x:v>DAILY_ENTRIES_EXITS</x:v>
      </x:c>
      <x:c r="J1001" s="19" t="str">
        <x:v>国分寺線</x:v>
      </x:c>
      <x:c r="K1001" s="18" t="str">
        <x:v>transport-node:9bcfee1d-dd73-599c-b6be-3b95ee095845</x:v>
      </x:c>
      <x:c r="L1001" s="19" t="str">
        <x:v>组件待审核</x:v>
      </x:c>
      <x:c r="M1001" s="21" t="n">
        <x:v>35.71135</x:v>
      </x:c>
      <x:c r="N1001" s="21" t="n">
        <x:v>139.46389</x:v>
      </x:c>
      <x:c r="O1001" s="18" t="str">
        <x:v>003520</x:v>
      </x:c>
      <x:c r="P1001" s="18" t="str">
        <x:v>国分寺線</x:v>
      </x:c>
      <x:c r="Q1001" s="19" t="str">
        <x:v>S12_061_GE_10000</x:v>
      </x:c>
      <x:c r="R1001" s="19" t="str">
        <x:v>S12_061 usage threshold</x:v>
      </x:c>
      <x:c r="S1001" s="19" t="str">
        <x:v>https://nlftp.mlit.go.jp/ksj/gml/datalist/KsjTmplt-S12-2024.html</x:v>
      </x:c>
      <x:c r="T1001" s="19" t="str">
        <x:v>https://nlftp.mlit.go.jp/ksj/gml/datalist/KsjTmplt-S12-2024.html</x:v>
      </x:c>
      <x:c r="U1001" s="19" t="str">
        <x:v>station-component|恋ヶ窪|西武鉄道|private_rail|35.7114|139.4639|</x:v>
      </x:c>
      <x:c r="V1001" s="19" t="str">
        <x:v>003520 / 003520 / 国分寺線</x:v>
      </x:c>
      <x:c r="W1001" s="18" t="str">
        <x:v>否</x:v>
      </x:c>
      <x:c r="X1001" s="18" t="str">
        <x:v>0785e932a32b3ec15e1a1345537ae145eafe1c07bf38d5c16c11ee2b391e7a28</x:v>
      </x:c>
      <x:c r="Y1001" s="20" t="n">
        <x:v>1</x:v>
      </x:c>
      <x:c r="Z1001" s="20" t="n">
        <x:v>1</x:v>
      </x:c>
      <x:c r="AA1001" s="19"/>
      <x:c r="AB1001" s="18"/>
      <x:c r="AC1001" s="19"/>
    </x:row>
    <x:row r="1002" ht="28" customHeight="1">
      <x:c r="A1002" s="18" t="str">
        <x:v>恵庭</x:v>
      </x:c>
      <x:c r="B1002" s="18" t="str">
        <x:v>北海道旅客鉄道</x:v>
      </x:c>
      <x:c r="C1002" s="18" t="str">
        <x:v>conventional_rail</x:v>
      </x:c>
      <x:c r="D1002" s="19" t="str">
        <x:v>T2</x:v>
      </x:c>
      <x:c r="E1002" s="20" t="n">
        <x:v>14732</x:v>
      </x:c>
      <x:c r="F1002" s="18" t="str">
        <x:v>persons/day</x:v>
      </x:c>
      <x:c r="G1002" s="18" t="str">
        <x:v>FY2024</x:v>
      </x:c>
      <x:c r="H1002" s="18" t="str">
        <x:v>否</x:v>
      </x:c>
      <x:c r="I1002" s="19" t="str">
        <x:v>DAILY_ENTRIES_EXITS</x:v>
      </x:c>
      <x:c r="J1002" s="19" t="str">
        <x:v>千歳線</x:v>
      </x:c>
      <x:c r="K1002" s="18" t="str">
        <x:v>transport-node:fc63cb4f-1433-5ae0-830d-90179bd62919</x:v>
      </x:c>
      <x:c r="L1002" s="19" t="str">
        <x:v>组件待审核</x:v>
      </x:c>
      <x:c r="M1002" s="21" t="n">
        <x:v>42.883105</x:v>
      </x:c>
      <x:c r="N1002" s="21" t="n">
        <x:v>141.58632</x:v>
      </x:c>
      <x:c r="O1002" s="18" t="str">
        <x:v>000340</x:v>
      </x:c>
      <x:c r="P1002" s="18" t="str">
        <x:v>千歳線</x:v>
      </x:c>
      <x:c r="Q1002" s="19" t="str">
        <x:v>S12_061_GE_10000</x:v>
      </x:c>
      <x:c r="R1002" s="19" t="str">
        <x:v>S12_061 usage threshold</x:v>
      </x:c>
      <x:c r="S1002" s="19" t="str">
        <x:v>https://nlftp.mlit.go.jp/ksj/gml/datalist/KsjTmplt-S12-2024.html</x:v>
      </x:c>
      <x:c r="T1002" s="19" t="str">
        <x:v>https://nlftp.mlit.go.jp/ksj/gml/datalist/KsjTmplt-S12-2024.html</x:v>
      </x:c>
      <x:c r="U1002" s="19" t="str">
        <x:v>station-component|恵庭|北海道旅客鉄道|conventional_rail|42.8831|141.5863|</x:v>
      </x:c>
      <x:c r="V1002" s="19" t="str">
        <x:v>000340 / 000340 / 千歳線</x:v>
      </x:c>
      <x:c r="W1002" s="18" t="str">
        <x:v>否</x:v>
      </x:c>
      <x:c r="X1002" s="18" t="str">
        <x:v>0785e932a32b3ec15e1a1345537ae145eafe1c07bf38d5c16c11ee2b391e7a28</x:v>
      </x:c>
      <x:c r="Y1002" s="20" t="n">
        <x:v>1</x:v>
      </x:c>
      <x:c r="Z1002" s="20" t="n">
        <x:v>1</x:v>
      </x:c>
      <x:c r="AA1002" s="19"/>
      <x:c r="AB1002" s="18"/>
      <x:c r="AC1002" s="19"/>
    </x:row>
    <x:row r="1003" ht="33" customHeight="1">
      <x:c r="A1003" s="18" t="str">
        <x:v>恵比寿</x:v>
      </x:c>
      <x:c r="B1003" s="18" t="str">
        <x:v>東京地下鉄</x:v>
      </x:c>
      <x:c r="C1003" s="18" t="str">
        <x:v>metro</x:v>
      </x:c>
      <x:c r="D1003" s="19" t="str">
        <x:v>T1</x:v>
      </x:c>
      <x:c r="E1003" s="20" t="n">
        <x:v>104751</x:v>
      </x:c>
      <x:c r="F1003" s="18" t="str">
        <x:v>persons/day</x:v>
      </x:c>
      <x:c r="G1003" s="18" t="str">
        <x:v>FY2024</x:v>
      </x:c>
      <x:c r="H1003" s="18" t="str">
        <x:v>否</x:v>
      </x:c>
      <x:c r="I1003" s="19" t="str">
        <x:v>DAILY_ENTRIES_EXITS</x:v>
      </x:c>
      <x:c r="J1003" s="19" t="str">
        <x:v>2号線日比谷線</x:v>
      </x:c>
      <x:c r="K1003" s="18" t="str">
        <x:v>transport-node:7975352b-f38d-509f-91b4-6317bd4e9a4e</x:v>
      </x:c>
      <x:c r="L1003" s="19" t="str">
        <x:v>组件待审核</x:v>
      </x:c>
      <x:c r="M1003" s="21" t="n">
        <x:v>35.646915</x:v>
      </x:c>
      <x:c r="N1003" s="21" t="n">
        <x:v>139.70856</x:v>
      </x:c>
      <x:c r="O1003" s="18" t="str">
        <x:v>003991</x:v>
      </x:c>
      <x:c r="P1003" s="18" t="str">
        <x:v>2号線日比谷線</x:v>
      </x:c>
      <x:c r="Q1003" s="19" t="str">
        <x:v>S12_061_GE_10000
OFFICIAL_HUB_COMPONENT_REVIEW</x:v>
      </x:c>
      <x:c r="R1003" s="19" t="str">
        <x:v>S12_061 usage threshold</x:v>
      </x:c>
      <x:c r="S1003" s="19" t="str">
        <x:v>https://nlftp.mlit.go.jp/ksj/gml/datalist/KsjTmplt-S12-2024.html</x:v>
      </x:c>
      <x:c r="T1003" s="19" t="str">
        <x:v>https://nlftp.mlit.go.jp/ksj/gml/datalist/KsjTmplt-S12-2024.html
https://www.tokyometro.jp/station/ebisu/index.html</x:v>
      </x:c>
      <x:c r="U1003" s="19" t="str">
        <x:v>station-component|恵比寿|東京地下鉄|metro|35.6469|139.7086|</x:v>
      </x:c>
      <x:c r="V1003" s="19" t="str">
        <x:v>003991 / 003991 / 2号線日比谷線</x:v>
      </x:c>
      <x:c r="W1003" s="18" t="str">
        <x:v>否</x:v>
      </x:c>
      <x:c r="X1003" s="18" t="str">
        <x:v>0785e932a32b3ec15e1a1345537ae145eafe1c07bf38d5c16c11ee2b391e7a28</x:v>
      </x:c>
      <x:c r="Y1003" s="20" t="n">
        <x:v>1</x:v>
      </x:c>
      <x:c r="Z1003" s="20" t="n">
        <x:v>1</x:v>
      </x:c>
      <x:c r="AA1003" s="19" t="str">
        <x:v>恵比寿</x:v>
      </x:c>
      <x:c r="AB1003" s="18" t="str">
        <x:v>transport-hub-review:73e10138-4486-582c-8bc9-b6910b3ac27b</x:v>
      </x:c>
      <x:c r="AC1003" s="19"/>
    </x:row>
    <x:row r="1004" ht="33" customHeight="1">
      <x:c r="A1004" s="18" t="str">
        <x:v>恵比寿</x:v>
      </x:c>
      <x:c r="B1004" s="18" t="str">
        <x:v>東日本旅客鉄道</x:v>
      </x:c>
      <x:c r="C1004" s="18" t="str">
        <x:v>conventional_rail</x:v>
      </x:c>
      <x:c r="D1004" s="19" t="str">
        <x:v>T0</x:v>
      </x:c>
      <x:c r="E1004" s="20" t="n">
        <x:v>252020</x:v>
      </x:c>
      <x:c r="F1004" s="18" t="str">
        <x:v>persons/day</x:v>
      </x:c>
      <x:c r="G1004" s="18" t="str">
        <x:v>FY2024</x:v>
      </x:c>
      <x:c r="H1004" s="18" t="str">
        <x:v>否</x:v>
      </x:c>
      <x:c r="I1004" s="19" t="str">
        <x:v>DAILY_ENTRIES_EXITS</x:v>
      </x:c>
      <x:c r="J1004" s="19" t="str">
        <x:v>山手線</x:v>
      </x:c>
      <x:c r="K1004" s="18" t="str">
        <x:v>transport-node:c6a9421f-cdab-577f-ad22-eb9a3aadadfb</x:v>
      </x:c>
      <x:c r="L1004" s="19" t="str">
        <x:v>组件待审核</x:v>
      </x:c>
      <x:c r="M1004" s="21" t="n">
        <x:v>35.64668</x:v>
      </x:c>
      <x:c r="N1004" s="21" t="n">
        <x:v>139.710125</x:v>
      </x:c>
      <x:c r="O1004" s="18" t="str">
        <x:v>003992</x:v>
      </x:c>
      <x:c r="P1004" s="18" t="str">
        <x:v>山手線</x:v>
      </x:c>
      <x:c r="Q1004" s="19" t="str">
        <x:v>S12_061_GE_10000
OFFICIAL_HUB_COMPONENT_REVIEW</x:v>
      </x:c>
      <x:c r="R1004" s="19" t="str">
        <x:v>S12_061 usage threshold</x:v>
      </x:c>
      <x:c r="S1004" s="19" t="str">
        <x:v>https://nlftp.mlit.go.jp/ksj/gml/datalist/KsjTmplt-S12-2024.html</x:v>
      </x:c>
      <x:c r="T1004" s="19" t="str">
        <x:v>https://nlftp.mlit.go.jp/ksj/gml/datalist/KsjTmplt-S12-2024.html
https://www.tokyometro.jp/station/ebisu/index.html</x:v>
      </x:c>
      <x:c r="U1004" s="19" t="str">
        <x:v>station-component|恵比寿|東日本旅客鉄道|conventional_rail|35.6467|139.7101|</x:v>
      </x:c>
      <x:c r="V1004" s="19" t="str">
        <x:v>003991 / 003992 / 山手線</x:v>
      </x:c>
      <x:c r="W1004" s="18" t="str">
        <x:v>否</x:v>
      </x:c>
      <x:c r="X1004" s="18" t="str">
        <x:v>0785e932a32b3ec15e1a1345537ae145eafe1c07bf38d5c16c11ee2b391e7a28</x:v>
      </x:c>
      <x:c r="Y1004" s="20" t="n">
        <x:v>1</x:v>
      </x:c>
      <x:c r="Z1004" s="20" t="n">
        <x:v>1</x:v>
      </x:c>
      <x:c r="AA1004" s="19" t="str">
        <x:v>恵比寿</x:v>
      </x:c>
      <x:c r="AB1004" s="18" t="str">
        <x:v>transport-hub-review:73e10138-4486-582c-8bc9-b6910b3ac27b</x:v>
      </x:c>
      <x:c r="AC1004" s="19"/>
    </x:row>
    <x:row r="1005" ht="33" customHeight="1">
      <x:c r="A1005" s="18" t="str">
        <x:v>恵美須町</x:v>
      </x:c>
      <x:c r="B1005" s="18" t="str">
        <x:v>大阪市高速電気軌道</x:v>
      </x:c>
      <x:c r="C1005" s="18" t="str">
        <x:v>metro</x:v>
      </x:c>
      <x:c r="D1005" s="19" t="str">
        <x:v>T2</x:v>
      </x:c>
      <x:c r="E1005" s="20" t="n">
        <x:v>27510</x:v>
      </x:c>
      <x:c r="F1005" s="18" t="str">
        <x:v>persons/day</x:v>
      </x:c>
      <x:c r="G1005" s="18" t="str">
        <x:v>FY2024</x:v>
      </x:c>
      <x:c r="H1005" s="18" t="str">
        <x:v>否</x:v>
      </x:c>
      <x:c r="I1005" s="19" t="str">
        <x:v>DAILY_ENTRIES_EXITS</x:v>
      </x:c>
      <x:c r="J1005" s="19" t="str">
        <x:v>6号線(堺筋線)</x:v>
      </x:c>
      <x:c r="K1005" s="18" t="str">
        <x:v>transport-node:6ae7a787-57f2-5928-a18b-dcee6fb40aa8</x:v>
      </x:c>
      <x:c r="L1005" s="19" t="str">
        <x:v>组件待审核</x:v>
      </x:c>
      <x:c r="M1005" s="21" t="n">
        <x:v>34.655445</x:v>
      </x:c>
      <x:c r="N1005" s="21" t="n">
        <x:v>135.5056017</x:v>
      </x:c>
      <x:c r="O1005" s="18" t="str">
        <x:v>007399</x:v>
      </x:c>
      <x:c r="P1005" s="18" t="str">
        <x:v>6号線(堺筋線)</x:v>
      </x:c>
      <x:c r="Q1005" s="19" t="str">
        <x:v>S12_061_GE_10000
OFFICIAL_HUB_COMPONENT_REVIEW</x:v>
      </x:c>
      <x:c r="R1005" s="19" t="str">
        <x:v>S12_061 usage threshold</x:v>
      </x:c>
      <x:c r="S1005" s="19" t="str">
        <x:v>https://nlftp.mlit.go.jp/ksj/gml/datalist/KsjTmplt-S12-2024.html</x:v>
      </x:c>
      <x:c r="T1005" s="19" t="str">
        <x:v>https://nlftp.mlit.go.jp/ksj/gml/datalist/KsjTmplt-S12-2024.html
https://subway.osakametro.co.jp/station_guide/K/k18/index.php</x:v>
      </x:c>
      <x:c r="U1005" s="19" t="str">
        <x:v>station-component|恵美須町|大阪市高速電気軌道|metro|34.6554|135.5056|</x:v>
      </x:c>
      <x:c r="V1005" s="19" t="str">
        <x:v>007399 / 007399 / 6号線(堺筋線)</x:v>
      </x:c>
      <x:c r="W1005" s="18" t="str">
        <x:v>否</x:v>
      </x:c>
      <x:c r="X1005" s="18" t="str">
        <x:v>0785e932a32b3ec15e1a1345537ae145eafe1c07bf38d5c16c11ee2b391e7a28</x:v>
      </x:c>
      <x:c r="Y1005" s="20" t="n">
        <x:v>1</x:v>
      </x:c>
      <x:c r="Z1005" s="20" t="n">
        <x:v>1</x:v>
      </x:c>
      <x:c r="AA1005" s="19" t="str">
        <x:v>恵美須町</x:v>
      </x:c>
      <x:c r="AB1005" s="18" t="str">
        <x:v>transport-hub-review:3f691172-5577-5fe9-bf92-e7d4bb4d5697</x:v>
      </x:c>
      <x:c r="AC1005" s="19"/>
    </x:row>
    <x:row r="1006" ht="33" customHeight="1">
      <x:c r="A1006" s="18" t="str">
        <x:v>恵美須町</x:v>
      </x:c>
      <x:c r="B1006" s="18" t="str">
        <x:v>阪堺電気軌道</x:v>
      </x:c>
      <x:c r="C1006" s="18" t="str">
        <x:v>tram</x:v>
      </x:c>
      <x:c r="D1006" s="19" t="str">
        <x:v>T3</x:v>
      </x:c>
      <x:c r="E1006" s="20" t="n">
        <x:v>399</x:v>
      </x:c>
      <x:c r="F1006" s="18" t="str">
        <x:v>persons/day</x:v>
      </x:c>
      <x:c r="G1006" s="18" t="str">
        <x:v>FY2024</x:v>
      </x:c>
      <x:c r="H1006" s="18" t="str">
        <x:v>否</x:v>
      </x:c>
      <x:c r="I1006" s="19" t="str">
        <x:v>DAILY_ENTRIES_EXITS</x:v>
      </x:c>
      <x:c r="J1006" s="19" t="str">
        <x:v>阪堺線</x:v>
      </x:c>
      <x:c r="K1006" s="18" t="str">
        <x:v>transport-node:b6afffef-6b2f-5ead-90c4-451ceef67038</x:v>
      </x:c>
      <x:c r="L1006" s="19" t="str">
        <x:v>组件待审核</x:v>
      </x:c>
      <x:c r="M1006" s="21" t="n">
        <x:v>34.65367</x:v>
      </x:c>
      <x:c r="N1006" s="21" t="n">
        <x:v>135.50495</x:v>
      </x:c>
      <x:c r="O1006" s="18" t="str">
        <x:v>007411</x:v>
      </x:c>
      <x:c r="P1006" s="18" t="str">
        <x:v>阪堺線</x:v>
      </x:c>
      <x:c r="Q1006" s="19" t="str">
        <x:v>OFFICIAL_HUB_COMPONENT_REVIEW</x:v>
      </x:c>
      <x:c r="R1006" s="19" t="str">
        <x:v>S12_061 usage threshold; low-flow inclusion justified by official Hub component review</x:v>
      </x:c>
      <x:c r="S1006" s="19" t="str">
        <x:v>https://nlftp.mlit.go.jp/ksj/gml/datalist/KsjTmplt-S12-2024.html</x:v>
      </x:c>
      <x:c r="T1006" s="19" t="str">
        <x:v>https://nlftp.mlit.go.jp/ksj/gml/datalist/KsjTmplt-S12-2024.html
https://subway.osakametro.co.jp/station_guide/K/k18/index.php</x:v>
      </x:c>
      <x:c r="U1006" s="19" t="str">
        <x:v>station-component|恵美須町|阪堺電気軌道|tram|34.6537|135.5050|</x:v>
      </x:c>
      <x:c r="V1006" s="19" t="str">
        <x:v>007399 / 007411 / 阪堺線</x:v>
      </x:c>
      <x:c r="W1006" s="18" t="str">
        <x:v>否</x:v>
      </x:c>
      <x:c r="X1006" s="18" t="str">
        <x:v>0785e932a32b3ec15e1a1345537ae145eafe1c07bf38d5c16c11ee2b391e7a28</x:v>
      </x:c>
      <x:c r="Y1006" s="20" t="n">
        <x:v>1</x:v>
      </x:c>
      <x:c r="Z1006" s="20" t="n">
        <x:v>1</x:v>
      </x:c>
      <x:c r="AA1006" s="19" t="str">
        <x:v>恵美須町</x:v>
      </x:c>
      <x:c r="AB1006" s="18" t="str">
        <x:v>transport-hub-review:3f691172-5577-5fe9-bf92-e7d4bb4d5697</x:v>
      </x:c>
      <x:c r="AC1006" s="19"/>
    </x:row>
    <x:row r="1007" ht="28" customHeight="1">
      <x:c r="A1007" s="18" t="str">
        <x:v>愛宕</x:v>
      </x:c>
      <x:c r="B1007" s="18" t="str">
        <x:v>東武鉄道</x:v>
      </x:c>
      <x:c r="C1007" s="18" t="str">
        <x:v>private_rail</x:v>
      </x:c>
      <x:c r="D1007" s="19" t="str">
        <x:v>T2</x:v>
      </x:c>
      <x:c r="E1007" s="20" t="n">
        <x:v>10146</x:v>
      </x:c>
      <x:c r="F1007" s="18" t="str">
        <x:v>persons/day</x:v>
      </x:c>
      <x:c r="G1007" s="18" t="str">
        <x:v>FY2024</x:v>
      </x:c>
      <x:c r="H1007" s="18" t="str">
        <x:v>否</x:v>
      </x:c>
      <x:c r="I1007" s="19" t="str">
        <x:v>DAILY_ENTRIES_EXITS</x:v>
      </x:c>
      <x:c r="J1007" s="19" t="str">
        <x:v>野田線</x:v>
      </x:c>
      <x:c r="K1007" s="18" t="str">
        <x:v>transport-node:549a3038-e6f7-59ff-9abd-3064794bba41</x:v>
      </x:c>
      <x:c r="L1007" s="19" t="str">
        <x:v>组件待审核</x:v>
      </x:c>
      <x:c r="M1007" s="21" t="n">
        <x:v>35.950615</x:v>
      </x:c>
      <x:c r="N1007" s="21" t="n">
        <x:v>139.864625</x:v>
      </x:c>
      <x:c r="O1007" s="18" t="str">
        <x:v>002832</x:v>
      </x:c>
      <x:c r="P1007" s="18" t="str">
        <x:v>野田線</x:v>
      </x:c>
      <x:c r="Q1007" s="19" t="str">
        <x:v>S12_061_GE_10000</x:v>
      </x:c>
      <x:c r="R1007" s="19" t="str">
        <x:v>S12_061 usage threshold</x:v>
      </x:c>
      <x:c r="S1007" s="19" t="str">
        <x:v>https://nlftp.mlit.go.jp/ksj/gml/datalist/KsjTmplt-S12-2024.html</x:v>
      </x:c>
      <x:c r="T1007" s="19" t="str">
        <x:v>https://nlftp.mlit.go.jp/ksj/gml/datalist/KsjTmplt-S12-2024.html</x:v>
      </x:c>
      <x:c r="U1007" s="19" t="str">
        <x:v>station-component|愛宕|東武鉄道|private_rail|35.9506|139.8646|</x:v>
      </x:c>
      <x:c r="V1007" s="19" t="str">
        <x:v>002832 / 002832 / 野田線</x:v>
      </x:c>
      <x:c r="W1007" s="18" t="str">
        <x:v>否</x:v>
      </x:c>
      <x:c r="X1007" s="18" t="str">
        <x:v>0785e932a32b3ec15e1a1345537ae145eafe1c07bf38d5c16c11ee2b391e7a28</x:v>
      </x:c>
      <x:c r="Y1007" s="20" t="n">
        <x:v>1</x:v>
      </x:c>
      <x:c r="Z1007" s="20" t="n">
        <x:v>1</x:v>
      </x:c>
      <x:c r="AA1007" s="19"/>
      <x:c r="AB1007" s="18"/>
      <x:c r="AC1007" s="19"/>
    </x:row>
    <x:row r="1008" ht="28" customHeight="1">
      <x:c r="A1008" s="18" t="str">
        <x:v>愛甲石田</x:v>
      </x:c>
      <x:c r="B1008" s="18" t="str">
        <x:v>小田急電鉄</x:v>
      </x:c>
      <x:c r="C1008" s="18" t="str">
        <x:v>private_rail</x:v>
      </x:c>
      <x:c r="D1008" s="19" t="str">
        <x:v>T2</x:v>
      </x:c>
      <x:c r="E1008" s="20" t="n">
        <x:v>46455</x:v>
      </x:c>
      <x:c r="F1008" s="18" t="str">
        <x:v>persons/day</x:v>
      </x:c>
      <x:c r="G1008" s="18" t="str">
        <x:v>FY2024</x:v>
      </x:c>
      <x:c r="H1008" s="18" t="str">
        <x:v>否</x:v>
      </x:c>
      <x:c r="I1008" s="19" t="str">
        <x:v>DAILY_ENTRIES_EXITS</x:v>
      </x:c>
      <x:c r="J1008" s="19" t="str">
        <x:v>小田原線</x:v>
      </x:c>
      <x:c r="K1008" s="18" t="str">
        <x:v>transport-node:819aaa7f-e36f-5db7-917c-40d9e8c59ebc</x:v>
      </x:c>
      <x:c r="L1008" s="19" t="str">
        <x:v>组件待审核</x:v>
      </x:c>
      <x:c r="M1008" s="21" t="n">
        <x:v>35.41777</x:v>
      </x:c>
      <x:c r="N1008" s="21" t="n">
        <x:v>139.344155</x:v>
      </x:c>
      <x:c r="O1008" s="18" t="str">
        <x:v>004771</x:v>
      </x:c>
      <x:c r="P1008" s="18" t="str">
        <x:v>小田原線</x:v>
      </x:c>
      <x:c r="Q1008" s="19" t="str">
        <x:v>S12_061_GE_10000</x:v>
      </x:c>
      <x:c r="R1008" s="19" t="str">
        <x:v>S12_061 usage threshold</x:v>
      </x:c>
      <x:c r="S1008" s="19" t="str">
        <x:v>https://nlftp.mlit.go.jp/ksj/gml/datalist/KsjTmplt-S12-2024.html</x:v>
      </x:c>
      <x:c r="T1008" s="19" t="str">
        <x:v>https://nlftp.mlit.go.jp/ksj/gml/datalist/KsjTmplt-S12-2024.html</x:v>
      </x:c>
      <x:c r="U1008" s="19" t="str">
        <x:v>station-component|愛甲石田|小田急電鉄|private_rail|35.4178|139.3442|</x:v>
      </x:c>
      <x:c r="V1008" s="19" t="str">
        <x:v>004771 / 004771 / 小田原線</x:v>
      </x:c>
      <x:c r="W1008" s="18" t="str">
        <x:v>否</x:v>
      </x:c>
      <x:c r="X1008" s="18" t="str">
        <x:v>0785e932a32b3ec15e1a1345537ae145eafe1c07bf38d5c16c11ee2b391e7a28</x:v>
      </x:c>
      <x:c r="Y1008" s="20" t="n">
        <x:v>1</x:v>
      </x:c>
      <x:c r="Z1008" s="20" t="n">
        <x:v>1</x:v>
      </x:c>
      <x:c r="AA1008" s="19"/>
      <x:c r="AB1008" s="18"/>
      <x:c r="AC1008" s="19"/>
    </x:row>
    <x:row r="1009" ht="28" customHeight="1">
      <x:c r="A1009" s="18" t="str">
        <x:v>成城学園前</x:v>
      </x:c>
      <x:c r="B1009" s="18" t="str">
        <x:v>小田急電鉄</x:v>
      </x:c>
      <x:c r="C1009" s="18" t="str">
        <x:v>private_rail</x:v>
      </x:c>
      <x:c r="D1009" s="19" t="str">
        <x:v>T1</x:v>
      </x:c>
      <x:c r="E1009" s="20" t="n">
        <x:v>80513</x:v>
      </x:c>
      <x:c r="F1009" s="18" t="str">
        <x:v>persons/day</x:v>
      </x:c>
      <x:c r="G1009" s="18" t="str">
        <x:v>FY2024</x:v>
      </x:c>
      <x:c r="H1009" s="18" t="str">
        <x:v>否</x:v>
      </x:c>
      <x:c r="I1009" s="19" t="str">
        <x:v>DAILY_ENTRIES_EXITS</x:v>
      </x:c>
      <x:c r="J1009" s="19" t="str">
        <x:v>小田原線</x:v>
      </x:c>
      <x:c r="K1009" s="18" t="str">
        <x:v>transport-node:91022036-e215-53a7-8ccd-fd0db08b0461</x:v>
      </x:c>
      <x:c r="L1009" s="19" t="str">
        <x:v>组件待审核</x:v>
      </x:c>
      <x:c r="M1009" s="21" t="n">
        <x:v>35.640135</x:v>
      </x:c>
      <x:c r="N1009" s="21" t="n">
        <x:v>139.59908</x:v>
      </x:c>
      <x:c r="O1009" s="18" t="str">
        <x:v>004036</x:v>
      </x:c>
      <x:c r="P1009" s="18" t="str">
        <x:v>小田原線</x:v>
      </x:c>
      <x:c r="Q1009" s="19" t="str">
        <x:v>S12_061_GE_10000</x:v>
      </x:c>
      <x:c r="R1009" s="19" t="str">
        <x:v>S12_061 usage threshold</x:v>
      </x:c>
      <x:c r="S1009" s="19" t="str">
        <x:v>https://nlftp.mlit.go.jp/ksj/gml/datalist/KsjTmplt-S12-2024.html</x:v>
      </x:c>
      <x:c r="T1009" s="19" t="str">
        <x:v>https://nlftp.mlit.go.jp/ksj/gml/datalist/KsjTmplt-S12-2024.html</x:v>
      </x:c>
      <x:c r="U1009" s="19" t="str">
        <x:v>station-component|成城学園前|小田急電鉄|private_rail|35.6401|139.5991|</x:v>
      </x:c>
      <x:c r="V1009" s="19" t="str">
        <x:v>004036 / 004036 / 小田原線</x:v>
      </x:c>
      <x:c r="W1009" s="18" t="str">
        <x:v>否</x:v>
      </x:c>
      <x:c r="X1009" s="18" t="str">
        <x:v>0785e932a32b3ec15e1a1345537ae145eafe1c07bf38d5c16c11ee2b391e7a28</x:v>
      </x:c>
      <x:c r="Y1009" s="20" t="n">
        <x:v>1</x:v>
      </x:c>
      <x:c r="Z1009" s="20" t="n">
        <x:v>1</x:v>
      </x:c>
      <x:c r="AA1009" s="19"/>
      <x:c r="AB1009" s="18"/>
      <x:c r="AC1009" s="19"/>
    </x:row>
    <x:row r="1010" ht="28" customHeight="1">
      <x:c r="A1010" s="18" t="str">
        <x:v>成増</x:v>
      </x:c>
      <x:c r="B1010" s="18" t="str">
        <x:v>東武鉄道</x:v>
      </x:c>
      <x:c r="C1010" s="18" t="str">
        <x:v>private_rail</x:v>
      </x:c>
      <x:c r="D1010" s="19" t="str">
        <x:v>T1</x:v>
      </x:c>
      <x:c r="E1010" s="20" t="n">
        <x:v>53301</x:v>
      </x:c>
      <x:c r="F1010" s="18" t="str">
        <x:v>persons/day</x:v>
      </x:c>
      <x:c r="G1010" s="18" t="str">
        <x:v>FY2024</x:v>
      </x:c>
      <x:c r="H1010" s="18" t="str">
        <x:v>否</x:v>
      </x:c>
      <x:c r="I1010" s="19" t="str">
        <x:v>DAILY_ENTRIES_EXITS</x:v>
      </x:c>
      <x:c r="J1010" s="19" t="str">
        <x:v>東上本線</x:v>
      </x:c>
      <x:c r="K1010" s="18" t="str">
        <x:v>transport-node:bf2f43fd-a9b8-52ed-b7ef-27080447aba0</x:v>
      </x:c>
      <x:c r="L1010" s="19" t="str">
        <x:v>组件待审核</x:v>
      </x:c>
      <x:c r="M1010" s="21" t="n">
        <x:v>35.7775925</x:v>
      </x:c>
      <x:c r="N1010" s="21" t="n">
        <x:v>139.6328975</x:v>
      </x:c>
      <x:c r="O1010" s="18" t="str">
        <x:v>003156</x:v>
      </x:c>
      <x:c r="P1010" s="18" t="str">
        <x:v>東上本線</x:v>
      </x:c>
      <x:c r="Q1010" s="19" t="str">
        <x:v>S12_061_GE_10000</x:v>
      </x:c>
      <x:c r="R1010" s="19" t="str">
        <x:v>S12_061 usage threshold</x:v>
      </x:c>
      <x:c r="S1010" s="19" t="str">
        <x:v>https://nlftp.mlit.go.jp/ksj/gml/datalist/KsjTmplt-S12-2024.html</x:v>
      </x:c>
      <x:c r="T1010" s="19" t="str">
        <x:v>https://nlftp.mlit.go.jp/ksj/gml/datalist/KsjTmplt-S12-2024.html</x:v>
      </x:c>
      <x:c r="U1010" s="19" t="str">
        <x:v>station-component|成増|東武鉄道|private_rail|35.7776|139.6329|</x:v>
      </x:c>
      <x:c r="V1010" s="19" t="str">
        <x:v>003156 / 003156 / 東上本線</x:v>
      </x:c>
      <x:c r="W1010" s="18" t="str">
        <x:v>否</x:v>
      </x:c>
      <x:c r="X1010" s="18" t="str">
        <x:v>0785e932a32b3ec15e1a1345537ae145eafe1c07bf38d5c16c11ee2b391e7a28</x:v>
      </x:c>
      <x:c r="Y1010" s="20" t="n">
        <x:v>1</x:v>
      </x:c>
      <x:c r="Z1010" s="20" t="n">
        <x:v>1</x:v>
      </x:c>
      <x:c r="AA1010" s="19"/>
      <x:c r="AB1010" s="18"/>
      <x:c r="AC1010" s="19"/>
    </x:row>
    <x:row r="1011" ht="28" customHeight="1">
      <x:c r="A1011" s="18" t="str">
        <x:v>成瀬</x:v>
      </x:c>
      <x:c r="B1011" s="18" t="str">
        <x:v>東日本旅客鉄道</x:v>
      </x:c>
      <x:c r="C1011" s="18" t="str">
        <x:v>conventional_rail</x:v>
      </x:c>
      <x:c r="D1011" s="19" t="str">
        <x:v>T2</x:v>
      </x:c>
      <x:c r="E1011" s="20" t="n">
        <x:v>34478</x:v>
      </x:c>
      <x:c r="F1011" s="18" t="str">
        <x:v>persons/day</x:v>
      </x:c>
      <x:c r="G1011" s="18" t="str">
        <x:v>FY2024</x:v>
      </x:c>
      <x:c r="H1011" s="18" t="str">
        <x:v>否</x:v>
      </x:c>
      <x:c r="I1011" s="19" t="str">
        <x:v>DAILY_ENTRIES_EXITS</x:v>
      </x:c>
      <x:c r="J1011" s="19" t="str">
        <x:v>横浜線</x:v>
      </x:c>
      <x:c r="K1011" s="18" t="str">
        <x:v>transport-node:ad54903d-bd5f-5bb7-993b-1900cf669091</x:v>
      </x:c>
      <x:c r="L1011" s="19" t="str">
        <x:v>组件待审核</x:v>
      </x:c>
      <x:c r="M1011" s="21" t="n">
        <x:v>35.53538</x:v>
      </x:c>
      <x:c r="N1011" s="21" t="n">
        <x:v>139.4729667</x:v>
      </x:c>
      <x:c r="O1011" s="18" t="str">
        <x:v>004414</x:v>
      </x:c>
      <x:c r="P1011" s="18" t="str">
        <x:v>横浜線</x:v>
      </x:c>
      <x:c r="Q1011" s="19" t="str">
        <x:v>S12_061_GE_10000</x:v>
      </x:c>
      <x:c r="R1011" s="19" t="str">
        <x:v>S12_061 usage threshold</x:v>
      </x:c>
      <x:c r="S1011" s="19" t="str">
        <x:v>https://nlftp.mlit.go.jp/ksj/gml/datalist/KsjTmplt-S12-2024.html</x:v>
      </x:c>
      <x:c r="T1011" s="19" t="str">
        <x:v>https://nlftp.mlit.go.jp/ksj/gml/datalist/KsjTmplt-S12-2024.html</x:v>
      </x:c>
      <x:c r="U1011" s="19" t="str">
        <x:v>station-component|成瀬|東日本旅客鉄道|conventional_rail|35.5354|139.4730|</x:v>
      </x:c>
      <x:c r="V1011" s="19" t="str">
        <x:v>004414 / 004414 / 横浜線</x:v>
      </x:c>
      <x:c r="W1011" s="18" t="str">
        <x:v>否</x:v>
      </x:c>
      <x:c r="X1011" s="18" t="str">
        <x:v>0785e932a32b3ec15e1a1345537ae145eafe1c07bf38d5c16c11ee2b391e7a28</x:v>
      </x:c>
      <x:c r="Y1011" s="20" t="n">
        <x:v>1</x:v>
      </x:c>
      <x:c r="Z1011" s="20" t="n">
        <x:v>1</x:v>
      </x:c>
      <x:c r="AA1011" s="19"/>
      <x:c r="AB1011" s="18"/>
      <x:c r="AC1011" s="19"/>
    </x:row>
    <x:row r="1012" ht="28" customHeight="1">
      <x:c r="A1012" s="18" t="str">
        <x:v>成田</x:v>
      </x:c>
      <x:c r="B1012" s="18" t="str">
        <x:v>東日本旅客鉄道</x:v>
      </x:c>
      <x:c r="C1012" s="18" t="str">
        <x:v>conventional_rail</x:v>
      </x:c>
      <x:c r="D1012" s="19" t="str">
        <x:v>T2</x:v>
      </x:c>
      <x:c r="E1012" s="20" t="n">
        <x:v>31308</x:v>
      </x:c>
      <x:c r="F1012" s="18" t="str">
        <x:v>persons/day</x:v>
      </x:c>
      <x:c r="G1012" s="18" t="str">
        <x:v>FY2024</x:v>
      </x:c>
      <x:c r="H1012" s="18" t="str">
        <x:v>否</x:v>
      </x:c>
      <x:c r="I1012" s="19" t="str">
        <x:v>DAILY_ENTRIES_EXITS</x:v>
      </x:c>
      <x:c r="J1012" s="19" t="str">
        <x:v>成田線</x:v>
      </x:c>
      <x:c r="K1012" s="18" t="str">
        <x:v>transport-node:e309ac6f-99ee-5450-98dc-dcae4459abc4</x:v>
      </x:c>
      <x:c r="L1012" s="19" t="str">
        <x:v>组件待审核</x:v>
      </x:c>
      <x:c r="M1012" s="21" t="n">
        <x:v>35.77656</x:v>
      </x:c>
      <x:c r="N1012" s="21" t="n">
        <x:v>140.313346</x:v>
      </x:c>
      <x:c r="O1012" s="18" t="str">
        <x:v>003161</x:v>
      </x:c>
      <x:c r="P1012" s="18" t="str">
        <x:v>成田線</x:v>
      </x:c>
      <x:c r="Q1012" s="19" t="str">
        <x:v>S12_061_GE_10000</x:v>
      </x:c>
      <x:c r="R1012" s="19" t="str">
        <x:v>S12_061 usage threshold</x:v>
      </x:c>
      <x:c r="S1012" s="19" t="str">
        <x:v>https://nlftp.mlit.go.jp/ksj/gml/datalist/KsjTmplt-S12-2024.html</x:v>
      </x:c>
      <x:c r="T1012" s="19" t="str">
        <x:v>https://nlftp.mlit.go.jp/ksj/gml/datalist/KsjTmplt-S12-2024.html</x:v>
      </x:c>
      <x:c r="U1012" s="19" t="str">
        <x:v>station-component|成田|東日本旅客鉄道|conventional_rail|35.7766|140.3133|</x:v>
      </x:c>
      <x:c r="V1012" s="19" t="str">
        <x:v>003161 / 003161 / 成田線</x:v>
      </x:c>
      <x:c r="W1012" s="18" t="str">
        <x:v>否</x:v>
      </x:c>
      <x:c r="X1012" s="18" t="str">
        <x:v>0785e932a32b3ec15e1a1345537ae145eafe1c07bf38d5c16c11ee2b391e7a28</x:v>
      </x:c>
      <x:c r="Y1012" s="20" t="n">
        <x:v>1</x:v>
      </x:c>
      <x:c r="Z1012" s="20" t="n">
        <x:v>1</x:v>
      </x:c>
      <x:c r="AA1012" s="19"/>
      <x:c r="AB1012" s="18"/>
      <x:c r="AC1012" s="19"/>
    </x:row>
    <x:row r="1013" ht="33" customHeight="1">
      <x:c r="A1013" s="18" t="str">
        <x:v>成田空港</x:v>
      </x:c>
      <x:c r="B1013" s="18" t="str">
        <x:v>京成電鉄</x:v>
      </x:c>
      <x:c r="C1013" s="18" t="str">
        <x:v>private_rail</x:v>
      </x:c>
      <x:c r="D1013" s="19" t="str">
        <x:v>T2</x:v>
      </x:c>
      <x:c r="E1013" s="20" t="n">
        <x:v>35046</x:v>
      </x:c>
      <x:c r="F1013" s="18" t="str">
        <x:v>persons/day</x:v>
      </x:c>
      <x:c r="G1013" s="18" t="str">
        <x:v>FY2024</x:v>
      </x:c>
      <x:c r="H1013" s="18" t="str">
        <x:v>否</x:v>
      </x:c>
      <x:c r="I1013" s="19" t="str">
        <x:v>DAILY_ENTRIES_EXITS</x:v>
      </x:c>
      <x:c r="J1013" s="19" t="str">
        <x:v>成田空港線
本線</x:v>
      </x:c>
      <x:c r="K1013" s="18" t="str">
        <x:v>transport-node:407040ce-6e33-5e97-b1c8-dd6b5fa3dc83</x:v>
      </x:c>
      <x:c r="L1013" s="19" t="str">
        <x:v>组件待审核</x:v>
      </x:c>
      <x:c r="M1013" s="21" t="n">
        <x:v>35.765725</x:v>
      </x:c>
      <x:c r="N1013" s="21" t="n">
        <x:v>140.386305</x:v>
      </x:c>
      <x:c r="O1013" s="18" t="str">
        <x:v>003205</x:v>
      </x:c>
      <x:c r="P1013" s="18" t="str">
        <x:v>本線</x:v>
      </x:c>
      <x:c r="Q1013" s="19" t="str">
        <x:v>S12_061_GE_10000
AIRPORT_ACCESS_AUDIT</x:v>
      </x:c>
      <x:c r="R1013" s="19" t="str">
        <x:v>S12_061 usage threshold</x:v>
      </x:c>
      <x:c r="S1013" s="19" t="str">
        <x:v>https://nlftp.mlit.go.jp/ksj/gml/datalist/KsjTmplt-S12-2024.html</x:v>
      </x:c>
      <x:c r="T1013" s="19" t="str">
        <x:v>https://nlftp.mlit.go.jp/ksj/gml/datalist/KsjTmplt-S12-2024.html</x:v>
      </x:c>
      <x:c r="U1013" s="19" t="str">
        <x:v>station-component|成田空港|京成電鉄|private_rail|35.7657|140.3863|</x:v>
      </x:c>
      <x:c r="V1013" s="19" t="str">
        <x:v>003203 / 003204 / 成田空港線
003203 / 003205 / 本線</x:v>
      </x:c>
      <x:c r="W1013" s="18" t="str">
        <x:v>否</x:v>
      </x:c>
      <x:c r="X1013" s="18" t="str">
        <x:v>0785e932a32b3ec15e1a1345537ae145eafe1c07bf38d5c16c11ee2b391e7a28</x:v>
      </x:c>
      <x:c r="Y1013" s="20" t="n">
        <x:v>1</x:v>
      </x:c>
      <x:c r="Z1013" s="20" t="n">
        <x:v>1</x:v>
      </x:c>
      <x:c r="AA1013" s="19"/>
      <x:c r="AB1013" s="18"/>
      <x:c r="AC1013" s="19"/>
    </x:row>
    <x:row r="1014" ht="33" customHeight="1">
      <x:c r="A1014" s="18" t="str">
        <x:v>成田空港</x:v>
      </x:c>
      <x:c r="B1014" s="18" t="str">
        <x:v>東日本旅客鉄道</x:v>
      </x:c>
      <x:c r="C1014" s="18" t="str">
        <x:v>conventional_rail</x:v>
      </x:c>
      <x:c r="D1014" s="19" t="str">
        <x:v>T2</x:v>
      </x:c>
      <x:c r="E1014" s="20" t="n">
        <x:v>14290</x:v>
      </x:c>
      <x:c r="F1014" s="18" t="str">
        <x:v>persons/day</x:v>
      </x:c>
      <x:c r="G1014" s="18" t="str">
        <x:v>FY2024</x:v>
      </x:c>
      <x:c r="H1014" s="18" t="str">
        <x:v>否</x:v>
      </x:c>
      <x:c r="I1014" s="19" t="str">
        <x:v>DAILY_ENTRIES_EXITS</x:v>
      </x:c>
      <x:c r="J1014" s="19" t="str">
        <x:v>成田線</x:v>
      </x:c>
      <x:c r="K1014" s="18" t="str">
        <x:v>transport-node:924fc855-a6c6-59d6-a038-a10c6e03a648</x:v>
      </x:c>
      <x:c r="L1014" s="19" t="str">
        <x:v>组件待审核</x:v>
      </x:c>
      <x:c r="M1014" s="21" t="n">
        <x:v>35.765725</x:v>
      </x:c>
      <x:c r="N1014" s="21" t="n">
        <x:v>140.386305</x:v>
      </x:c>
      <x:c r="O1014" s="18" t="str">
        <x:v>003203</x:v>
      </x:c>
      <x:c r="P1014" s="18" t="str">
        <x:v>成田線</x:v>
      </x:c>
      <x:c r="Q1014" s="19" t="str">
        <x:v>S12_061_GE_10000
AIRPORT_ACCESS_AUDIT</x:v>
      </x:c>
      <x:c r="R1014" s="19" t="str">
        <x:v>S12_061 usage threshold</x:v>
      </x:c>
      <x:c r="S1014" s="19" t="str">
        <x:v>https://nlftp.mlit.go.jp/ksj/gml/datalist/KsjTmplt-S12-2024.html</x:v>
      </x:c>
      <x:c r="T1014" s="19" t="str">
        <x:v>https://nlftp.mlit.go.jp/ksj/gml/datalist/KsjTmplt-S12-2024.html</x:v>
      </x:c>
      <x:c r="U1014" s="19" t="str">
        <x:v>station-component|成田空港|東日本旅客鉄道|conventional_rail|35.7657|140.3863|</x:v>
      </x:c>
      <x:c r="V1014" s="19" t="str">
        <x:v>003203 / 003203 / 成田線</x:v>
      </x:c>
      <x:c r="W1014" s="18" t="str">
        <x:v>否</x:v>
      </x:c>
      <x:c r="X1014" s="18" t="str">
        <x:v>0785e932a32b3ec15e1a1345537ae145eafe1c07bf38d5c16c11ee2b391e7a28</x:v>
      </x:c>
      <x:c r="Y1014" s="20" t="n">
        <x:v>1</x:v>
      </x:c>
      <x:c r="Z1014" s="20" t="n">
        <x:v>1</x:v>
      </x:c>
      <x:c r="AA1014" s="19"/>
      <x:c r="AB1014" s="18"/>
      <x:c r="AC1014" s="19"/>
    </x:row>
    <x:row r="1015" ht="28" customHeight="1">
      <x:c r="A1015" s="18" t="str">
        <x:v>我孫子</x:v>
      </x:c>
      <x:c r="B1015" s="18" t="str">
        <x:v>大阪市高速電気軌道</x:v>
      </x:c>
      <x:c r="C1015" s="18" t="str">
        <x:v>metro</x:v>
      </x:c>
      <x:c r="D1015" s="19" t="str">
        <x:v>T2</x:v>
      </x:c>
      <x:c r="E1015" s="20" t="n">
        <x:v>34565</x:v>
      </x:c>
      <x:c r="F1015" s="18" t="str">
        <x:v>persons/day</x:v>
      </x:c>
      <x:c r="G1015" s="18" t="str">
        <x:v>FY2024</x:v>
      </x:c>
      <x:c r="H1015" s="18" t="str">
        <x:v>否</x:v>
      </x:c>
      <x:c r="I1015" s="19" t="str">
        <x:v>DAILY_ENTRIES_EXITS</x:v>
      </x:c>
      <x:c r="J1015" s="19" t="str">
        <x:v>1号線(御堂筋線)</x:v>
      </x:c>
      <x:c r="K1015" s="18" t="str">
        <x:v>transport-node:2a483560-3103-54da-9c7b-9659ee8242ad</x:v>
      </x:c>
      <x:c r="L1015" s="19" t="str">
        <x:v>组件待审核</x:v>
      </x:c>
      <x:c r="M1015" s="21" t="n">
        <x:v>34.599025</x:v>
      </x:c>
      <x:c r="N1015" s="21" t="n">
        <x:v>135.512785</x:v>
      </x:c>
      <x:c r="O1015" s="18" t="str">
        <x:v>007611</x:v>
      </x:c>
      <x:c r="P1015" s="18" t="str">
        <x:v>1号線(御堂筋線)</x:v>
      </x:c>
      <x:c r="Q1015" s="19" t="str">
        <x:v>S12_061_GE_10000</x:v>
      </x:c>
      <x:c r="R1015" s="19" t="str">
        <x:v>S12_061 usage threshold</x:v>
      </x:c>
      <x:c r="S1015" s="19" t="str">
        <x:v>https://nlftp.mlit.go.jp/ksj/gml/datalist/KsjTmplt-S12-2024.html</x:v>
      </x:c>
      <x:c r="T1015" s="19" t="str">
        <x:v>https://nlftp.mlit.go.jp/ksj/gml/datalist/KsjTmplt-S12-2024.html</x:v>
      </x:c>
      <x:c r="U1015" s="19" t="str">
        <x:v>station-component|我孫子|大阪市高速電気軌道|metro|34.5990|135.5128|</x:v>
      </x:c>
      <x:c r="V1015" s="19" t="str">
        <x:v>007611 / 007611 / 1号線(御堂筋線)</x:v>
      </x:c>
      <x:c r="W1015" s="18" t="str">
        <x:v>否</x:v>
      </x:c>
      <x:c r="X1015" s="18" t="str">
        <x:v>0785e932a32b3ec15e1a1345537ae145eafe1c07bf38d5c16c11ee2b391e7a28</x:v>
      </x:c>
      <x:c r="Y1015" s="20" t="n">
        <x:v>1</x:v>
      </x:c>
      <x:c r="Z1015" s="20" t="n">
        <x:v>1</x:v>
      </x:c>
      <x:c r="AA1015" s="19"/>
      <x:c r="AB1015" s="18"/>
      <x:c r="AC1015" s="19"/>
    </x:row>
    <x:row r="1016" ht="33" customHeight="1">
      <x:c r="A1016" s="18" t="str">
        <x:v>我孫子</x:v>
      </x:c>
      <x:c r="B1016" s="18" t="str">
        <x:v>東日本旅客鉄道</x:v>
      </x:c>
      <x:c r="C1016" s="18" t="str">
        <x:v>conventional_rail</x:v>
      </x:c>
      <x:c r="D1016" s="19" t="str">
        <x:v>T1</x:v>
      </x:c>
      <x:c r="E1016" s="20" t="n">
        <x:v>57512</x:v>
      </x:c>
      <x:c r="F1016" s="18" t="str">
        <x:v>persons/day</x:v>
      </x:c>
      <x:c r="G1016" s="18" t="str">
        <x:v>FY2024</x:v>
      </x:c>
      <x:c r="H1016" s="18" t="str">
        <x:v>否</x:v>
      </x:c>
      <x:c r="I1016" s="19" t="str">
        <x:v>DAILY_ENTRIES_EXITS</x:v>
      </x:c>
      <x:c r="J1016" s="19" t="str">
        <x:v>常磐線
成田線</x:v>
      </x:c>
      <x:c r="K1016" s="18" t="str">
        <x:v>transport-node:b0ea2105-34d6-5b56-ba1c-c5c1d77dba54</x:v>
      </x:c>
      <x:c r="L1016" s="19" t="str">
        <x:v>组件待审核</x:v>
      </x:c>
      <x:c r="M1016" s="21" t="n">
        <x:v>35.872826</x:v>
      </x:c>
      <x:c r="N1016" s="21" t="n">
        <x:v>140.01047</x:v>
      </x:c>
      <x:c r="O1016" s="18" t="str">
        <x:v>002965</x:v>
      </x:c>
      <x:c r="P1016" s="18" t="str">
        <x:v>常磐線</x:v>
      </x:c>
      <x:c r="Q1016" s="19" t="str">
        <x:v>S12_061_GE_10000</x:v>
      </x:c>
      <x:c r="R1016" s="19" t="str">
        <x:v>S12_061 usage threshold</x:v>
      </x:c>
      <x:c r="S1016" s="19" t="str">
        <x:v>https://nlftp.mlit.go.jp/ksj/gml/datalist/KsjTmplt-S12-2024.html</x:v>
      </x:c>
      <x:c r="T1016" s="19" t="str">
        <x:v>https://nlftp.mlit.go.jp/ksj/gml/datalist/KsjTmplt-S12-2024.html</x:v>
      </x:c>
      <x:c r="U1016" s="19" t="str">
        <x:v>station-component|我孫子|東日本旅客鉄道|conventional_rail|35.8728|140.0105|</x:v>
      </x:c>
      <x:c r="V1016" s="19" t="str">
        <x:v>002965 / 002965 / 常磐線
002965 / 002966 / 成田線</x:v>
      </x:c>
      <x:c r="W1016" s="18" t="str">
        <x:v>否</x:v>
      </x:c>
      <x:c r="X1016" s="18" t="str">
        <x:v>0785e932a32b3ec15e1a1345537ae145eafe1c07bf38d5c16c11ee2b391e7a28</x:v>
      </x:c>
      <x:c r="Y1016" s="20" t="n">
        <x:v>1</x:v>
      </x:c>
      <x:c r="Z1016" s="20" t="n">
        <x:v>1</x:v>
      </x:c>
      <x:c r="AA1016" s="19"/>
      <x:c r="AB1016" s="18"/>
      <x:c r="AC1016" s="19"/>
    </x:row>
    <x:row r="1017" ht="28" customHeight="1">
      <x:c r="A1017" s="18" t="str">
        <x:v>我孫子町</x:v>
      </x:c>
      <x:c r="B1017" s="18" t="str">
        <x:v>西日本旅客鉄道</x:v>
      </x:c>
      <x:c r="C1017" s="18" t="str">
        <x:v>conventional_rail</x:v>
      </x:c>
      <x:c r="D1017" s="19" t="str">
        <x:v>T2</x:v>
      </x:c>
      <x:c r="E1017" s="20" t="n">
        <x:v>10626</x:v>
      </x:c>
      <x:c r="F1017" s="18" t="str">
        <x:v>persons/day</x:v>
      </x:c>
      <x:c r="G1017" s="18" t="str">
        <x:v>FY2024</x:v>
      </x:c>
      <x:c r="H1017" s="18" t="str">
        <x:v>否</x:v>
      </x:c>
      <x:c r="I1017" s="19" t="str">
        <x:v>DAILY_ENTRIES_EXITS</x:v>
      </x:c>
      <x:c r="J1017" s="19" t="str">
        <x:v>阪和線</x:v>
      </x:c>
      <x:c r="K1017" s="18" t="str">
        <x:v>transport-node:2077d2ef-e846-54a3-a91b-ca6ce74cbd10</x:v>
      </x:c>
      <x:c r="L1017" s="19" t="str">
        <x:v>组件待审核</x:v>
      </x:c>
      <x:c r="M1017" s="21" t="n">
        <x:v>34.60229</x:v>
      </x:c>
      <x:c r="N1017" s="21" t="n">
        <x:v>135.507035</x:v>
      </x:c>
      <x:c r="O1017" s="18" t="str">
        <x:v>007595</x:v>
      </x:c>
      <x:c r="P1017" s="18" t="str">
        <x:v>阪和線</x:v>
      </x:c>
      <x:c r="Q1017" s="19" t="str">
        <x:v>S12_061_GE_10000</x:v>
      </x:c>
      <x:c r="R1017" s="19" t="str">
        <x:v>S12_061 usage threshold</x:v>
      </x:c>
      <x:c r="S1017" s="19" t="str">
        <x:v>https://nlftp.mlit.go.jp/ksj/gml/datalist/KsjTmplt-S12-2024.html</x:v>
      </x:c>
      <x:c r="T1017" s="19" t="str">
        <x:v>https://nlftp.mlit.go.jp/ksj/gml/datalist/KsjTmplt-S12-2024.html</x:v>
      </x:c>
      <x:c r="U1017" s="19" t="str">
        <x:v>station-component|我孫子町|西日本旅客鉄道|conventional_rail|34.6023|135.5070|</x:v>
      </x:c>
      <x:c r="V1017" s="19" t="str">
        <x:v>007595 / 007595 / 阪和線</x:v>
      </x:c>
      <x:c r="W1017" s="18" t="str">
        <x:v>否</x:v>
      </x:c>
      <x:c r="X1017" s="18" t="str">
        <x:v>0785e932a32b3ec15e1a1345537ae145eafe1c07bf38d5c16c11ee2b391e7a28</x:v>
      </x:c>
      <x:c r="Y1017" s="20" t="n">
        <x:v>1</x:v>
      </x:c>
      <x:c r="Z1017" s="20" t="n">
        <x:v>1</x:v>
      </x:c>
      <x:c r="AA1017" s="19"/>
      <x:c r="AB1017" s="18"/>
      <x:c r="AC1017" s="19"/>
    </x:row>
    <x:row r="1018" ht="33" customHeight="1">
      <x:c r="A1018" s="18" t="str">
        <x:v>戸塚</x:v>
      </x:c>
      <x:c r="B1018" s="18" t="str">
        <x:v>東日本旅客鉄道</x:v>
      </x:c>
      <x:c r="C1018" s="18" t="str">
        <x:v>conventional_rail</x:v>
      </x:c>
      <x:c r="D1018" s="19" t="str">
        <x:v>T0</x:v>
      </x:c>
      <x:c r="E1018" s="20" t="n">
        <x:v>200404</x:v>
      </x:c>
      <x:c r="F1018" s="18" t="str">
        <x:v>persons/day</x:v>
      </x:c>
      <x:c r="G1018" s="18" t="str">
        <x:v>FY2024</x:v>
      </x:c>
      <x:c r="H1018" s="18" t="str">
        <x:v>否</x:v>
      </x:c>
      <x:c r="I1018" s="19" t="str">
        <x:v>DAILY_ENTRIES_EXITS</x:v>
      </x:c>
      <x:c r="J1018" s="19" t="str">
        <x:v>東海道線</x:v>
      </x:c>
      <x:c r="K1018" s="18" t="str">
        <x:v>transport-node:f40d6b11-4b80-5c22-b980-617c05acf829</x:v>
      </x:c>
      <x:c r="L1018" s="19" t="str">
        <x:v>组件待审核</x:v>
      </x:c>
      <x:c r="M1018" s="21" t="n">
        <x:v>35.4000986</x:v>
      </x:c>
      <x:c r="N1018" s="21" t="n">
        <x:v>139.5344129</x:v>
      </x:c>
      <x:c r="O1018" s="18" t="str">
        <x:v>004824</x:v>
      </x:c>
      <x:c r="P1018" s="18" t="str">
        <x:v>東海道線</x:v>
      </x:c>
      <x:c r="Q1018" s="19" t="str">
        <x:v>S12_061_GE_10000
OFFICIAL_HUB_COMPONENT_REVIEW</x:v>
      </x:c>
      <x:c r="R1018" s="19" t="str">
        <x:v>S12_061 usage threshold</x:v>
      </x:c>
      <x:c r="S1018" s="19" t="str">
        <x:v>https://nlftp.mlit.go.jp/ksj/gml/datalist/KsjTmplt-S12-2024.html</x:v>
      </x:c>
      <x:c r="T1018" s="19" t="str">
        <x:v>https://navi.hamabus.city.yokohama.lg.jp/koutuu/smart/detail/Station?id=00002195
https://nlftp.mlit.go.jp/ksj/gml/datalist/KsjTmplt-S12-2024.html</x:v>
      </x:c>
      <x:c r="U1018" s="19" t="str">
        <x:v>station-component|戸塚|東日本旅客鉄道|conventional_rail|35.4001|139.5344|</x:v>
      </x:c>
      <x:c r="V1018" s="19" t="str">
        <x:v>004818 / 004824 / 東海道線</x:v>
      </x:c>
      <x:c r="W1018" s="18" t="str">
        <x:v>否</x:v>
      </x:c>
      <x:c r="X1018" s="18" t="str">
        <x:v>0785e932a32b3ec15e1a1345537ae145eafe1c07bf38d5c16c11ee2b391e7a28</x:v>
      </x:c>
      <x:c r="Y1018" s="20" t="n">
        <x:v>1</x:v>
      </x:c>
      <x:c r="Z1018" s="20" t="n">
        <x:v>1</x:v>
      </x:c>
      <x:c r="AA1018" s="19" t="str">
        <x:v>戸塚</x:v>
      </x:c>
      <x:c r="AB1018" s="18" t="str">
        <x:v>transport-hub-review:b1e4a97a-e548-5042-8dc5-8a656e938730</x:v>
      </x:c>
      <x:c r="AC1018" s="19"/>
    </x:row>
    <x:row r="1019" ht="33" customHeight="1">
      <x:c r="A1019" s="18" t="str">
        <x:v>戸塚</x:v>
      </x:c>
      <x:c r="B1019" s="18" t="str">
        <x:v>横浜市</x:v>
      </x:c>
      <x:c r="C1019" s="18" t="str">
        <x:v>metro</x:v>
      </x:c>
      <x:c r="D1019" s="19" t="str">
        <x:v>T2</x:v>
      </x:c>
      <x:c r="E1019" s="20" t="n">
        <x:v>41270</x:v>
      </x:c>
      <x:c r="F1019" s="18" t="str">
        <x:v>persons/day</x:v>
      </x:c>
      <x:c r="G1019" s="18" t="str">
        <x:v>FY2024</x:v>
      </x:c>
      <x:c r="H1019" s="18" t="str">
        <x:v>否</x:v>
      </x:c>
      <x:c r="I1019" s="19" t="str">
        <x:v>DAILY_ENTRIES_EXITS</x:v>
      </x:c>
      <x:c r="J1019" s="19" t="str">
        <x:v>1号線</x:v>
      </x:c>
      <x:c r="K1019" s="18" t="str">
        <x:v>transport-node:80826e4b-6428-5f4e-b7c6-c1f718c14039</x:v>
      </x:c>
      <x:c r="L1019" s="19" t="str">
        <x:v>组件待审核</x:v>
      </x:c>
      <x:c r="M1019" s="21" t="n">
        <x:v>35.40109</x:v>
      </x:c>
      <x:c r="N1019" s="21" t="n">
        <x:v>139.53489</x:v>
      </x:c>
      <x:c r="O1019" s="18" t="str">
        <x:v>004818</x:v>
      </x:c>
      <x:c r="P1019" s="18" t="str">
        <x:v>1号線</x:v>
      </x:c>
      <x:c r="Q1019" s="19" t="str">
        <x:v>S12_061_GE_10000
OFFICIAL_HUB_COMPONENT_REVIEW</x:v>
      </x:c>
      <x:c r="R1019" s="19" t="str">
        <x:v>S12_061 usage threshold</x:v>
      </x:c>
      <x:c r="S1019" s="19" t="str">
        <x:v>https://nlftp.mlit.go.jp/ksj/gml/datalist/KsjTmplt-S12-2024.html</x:v>
      </x:c>
      <x:c r="T1019" s="19" t="str">
        <x:v>https://navi.hamabus.city.yokohama.lg.jp/koutuu/smart/detail/Station?id=00002195
https://nlftp.mlit.go.jp/ksj/gml/datalist/KsjTmplt-S12-2024.html</x:v>
      </x:c>
      <x:c r="U1019" s="19" t="str">
        <x:v>station-component|戸塚|横浜市|metro|35.4011|139.5349|</x:v>
      </x:c>
      <x:c r="V1019" s="19" t="str">
        <x:v>004818 / 004818 / 1号線</x:v>
      </x:c>
      <x:c r="W1019" s="18" t="str">
        <x:v>否</x:v>
      </x:c>
      <x:c r="X1019" s="18" t="str">
        <x:v>0785e932a32b3ec15e1a1345537ae145eafe1c07bf38d5c16c11ee2b391e7a28</x:v>
      </x:c>
      <x:c r="Y1019" s="20" t="n">
        <x:v>1</x:v>
      </x:c>
      <x:c r="Z1019" s="20" t="n">
        <x:v>1</x:v>
      </x:c>
      <x:c r="AA1019" s="19" t="str">
        <x:v>戸塚</x:v>
      </x:c>
      <x:c r="AB1019" s="18" t="str">
        <x:v>transport-hub-review:b1e4a97a-e548-5042-8dc5-8a656e938730</x:v>
      </x:c>
      <x:c r="AC1019" s="19"/>
    </x:row>
    <x:row r="1020" ht="28" customHeight="1">
      <x:c r="A1020" s="18" t="str">
        <x:v>戸塚安行</x:v>
      </x:c>
      <x:c r="B1020" s="18" t="str">
        <x:v>埼玉高速鉄道</x:v>
      </x:c>
      <x:c r="C1020" s="18" t="str">
        <x:v>private_rail</x:v>
      </x:c>
      <x:c r="D1020" s="19" t="str">
        <x:v>T2</x:v>
      </x:c>
      <x:c r="E1020" s="20" t="n">
        <x:v>16800</x:v>
      </x:c>
      <x:c r="F1020" s="18" t="str">
        <x:v>persons/day</x:v>
      </x:c>
      <x:c r="G1020" s="18" t="str">
        <x:v>FY2024</x:v>
      </x:c>
      <x:c r="H1020" s="18" t="str">
        <x:v>否</x:v>
      </x:c>
      <x:c r="I1020" s="19" t="str">
        <x:v>DAILY_ENTRIES_EXITS</x:v>
      </x:c>
      <x:c r="J1020" s="19" t="str">
        <x:v>埼玉高速鉄道線</x:v>
      </x:c>
      <x:c r="K1020" s="18" t="str">
        <x:v>transport-node:10305fca-82ba-5d07-b5ba-0580023b7491</x:v>
      </x:c>
      <x:c r="L1020" s="19" t="str">
        <x:v>组件待审核</x:v>
      </x:c>
      <x:c r="M1020" s="21" t="n">
        <x:v>35.85907</x:v>
      </x:c>
      <x:c r="N1020" s="21" t="n">
        <x:v>139.753775</x:v>
      </x:c>
      <x:c r="O1020" s="18" t="str">
        <x:v>002988</x:v>
      </x:c>
      <x:c r="P1020" s="18" t="str">
        <x:v>埼玉高速鉄道線</x:v>
      </x:c>
      <x:c r="Q1020" s="19" t="str">
        <x:v>S12_061_GE_10000</x:v>
      </x:c>
      <x:c r="R1020" s="19" t="str">
        <x:v>S12_061 usage threshold</x:v>
      </x:c>
      <x:c r="S1020" s="19" t="str">
        <x:v>https://nlftp.mlit.go.jp/ksj/gml/datalist/KsjTmplt-S12-2024.html</x:v>
      </x:c>
      <x:c r="T1020" s="19" t="str">
        <x:v>https://nlftp.mlit.go.jp/ksj/gml/datalist/KsjTmplt-S12-2024.html</x:v>
      </x:c>
      <x:c r="U1020" s="19" t="str">
        <x:v>station-component|戸塚安行|埼玉高速鉄道|private_rail|35.8591|139.7538|</x:v>
      </x:c>
      <x:c r="V1020" s="19" t="str">
        <x:v>002988 / 002988 / 埼玉高速鉄道線</x:v>
      </x:c>
      <x:c r="W1020" s="18" t="str">
        <x:v>否</x:v>
      </x:c>
      <x:c r="X1020" s="18" t="str">
        <x:v>0785e932a32b3ec15e1a1345537ae145eafe1c07bf38d5c16c11ee2b391e7a28</x:v>
      </x:c>
      <x:c r="Y1020" s="20" t="n">
        <x:v>1</x:v>
      </x:c>
      <x:c r="Z1020" s="20" t="n">
        <x:v>1</x:v>
      </x:c>
      <x:c r="AA1020" s="19"/>
      <x:c r="AB1020" s="18"/>
      <x:c r="AC1020" s="19"/>
    </x:row>
    <x:row r="1021" ht="28" customHeight="1">
      <x:c r="A1021" s="18" t="str">
        <x:v>戸田</x:v>
      </x:c>
      <x:c r="B1021" s="18" t="str">
        <x:v>東日本旅客鉄道</x:v>
      </x:c>
      <x:c r="C1021" s="18" t="str">
        <x:v>conventional_rail</x:v>
      </x:c>
      <x:c r="D1021" s="19" t="str">
        <x:v>T2</x:v>
      </x:c>
      <x:c r="E1021" s="20" t="n">
        <x:v>42074</x:v>
      </x:c>
      <x:c r="F1021" s="18" t="str">
        <x:v>persons/day</x:v>
      </x:c>
      <x:c r="G1021" s="18" t="str">
        <x:v>FY2024</x:v>
      </x:c>
      <x:c r="H1021" s="18" t="str">
        <x:v>否</x:v>
      </x:c>
      <x:c r="I1021" s="19" t="str">
        <x:v>DAILY_ENTRIES_EXITS</x:v>
      </x:c>
      <x:c r="J1021" s="19" t="str">
        <x:v>東北線</x:v>
      </x:c>
      <x:c r="K1021" s="18" t="str">
        <x:v>transport-node:7cda3099-5042-563a-ac12-c0530f923a12</x:v>
      </x:c>
      <x:c r="L1021" s="19" t="str">
        <x:v>组件待审核</x:v>
      </x:c>
      <x:c r="M1021" s="21" t="n">
        <x:v>35.817595</x:v>
      </x:c>
      <x:c r="N1021" s="21" t="n">
        <x:v>139.66961</x:v>
      </x:c>
      <x:c r="O1021" s="18" t="str">
        <x:v>003052</x:v>
      </x:c>
      <x:c r="P1021" s="18" t="str">
        <x:v>東北線</x:v>
      </x:c>
      <x:c r="Q1021" s="19" t="str">
        <x:v>S12_061_GE_10000</x:v>
      </x:c>
      <x:c r="R1021" s="19" t="str">
        <x:v>S12_061 usage threshold</x:v>
      </x:c>
      <x:c r="S1021" s="19" t="str">
        <x:v>https://nlftp.mlit.go.jp/ksj/gml/datalist/KsjTmplt-S12-2024.html</x:v>
      </x:c>
      <x:c r="T1021" s="19" t="str">
        <x:v>https://nlftp.mlit.go.jp/ksj/gml/datalist/KsjTmplt-S12-2024.html</x:v>
      </x:c>
      <x:c r="U1021" s="19" t="str">
        <x:v>station-component|戸田|東日本旅客鉄道|conventional_rail|35.8176|139.6696|</x:v>
      </x:c>
      <x:c r="V1021" s="19" t="str">
        <x:v>003052 / 003052 / 東北線</x:v>
      </x:c>
      <x:c r="W1021" s="18" t="str">
        <x:v>否</x:v>
      </x:c>
      <x:c r="X1021" s="18" t="str">
        <x:v>0785e932a32b3ec15e1a1345537ae145eafe1c07bf38d5c16c11ee2b391e7a28</x:v>
      </x:c>
      <x:c r="Y1021" s="20" t="n">
        <x:v>1</x:v>
      </x:c>
      <x:c r="Z1021" s="20" t="n">
        <x:v>1</x:v>
      </x:c>
      <x:c r="AA1021" s="19"/>
      <x:c r="AB1021" s="18"/>
      <x:c r="AC1021" s="19"/>
    </x:row>
    <x:row r="1022" ht="28" customHeight="1">
      <x:c r="A1022" s="18" t="str">
        <x:v>戸田公園</x:v>
      </x:c>
      <x:c r="B1022" s="18" t="str">
        <x:v>東日本旅客鉄道</x:v>
      </x:c>
      <x:c r="C1022" s="18" t="str">
        <x:v>conventional_rail</x:v>
      </x:c>
      <x:c r="D1022" s="19" t="str">
        <x:v>T1</x:v>
      </x:c>
      <x:c r="E1022" s="20" t="n">
        <x:v>65930</x:v>
      </x:c>
      <x:c r="F1022" s="18" t="str">
        <x:v>persons/day</x:v>
      </x:c>
      <x:c r="G1022" s="18" t="str">
        <x:v>FY2024</x:v>
      </x:c>
      <x:c r="H1022" s="18" t="str">
        <x:v>否</x:v>
      </x:c>
      <x:c r="I1022" s="19" t="str">
        <x:v>DAILY_ENTRIES_EXITS</x:v>
      </x:c>
      <x:c r="J1022" s="19" t="str">
        <x:v>東北線</x:v>
      </x:c>
      <x:c r="K1022" s="18" t="str">
        <x:v>transport-node:db7d3123-ba09-5877-be8b-33470ea1f69d</x:v>
      </x:c>
      <x:c r="L1022" s="19" t="str">
        <x:v>组件待审核</x:v>
      </x:c>
      <x:c r="M1022" s="21" t="n">
        <x:v>35.807765</x:v>
      </x:c>
      <x:c r="N1022" s="21" t="n">
        <x:v>139.67835</x:v>
      </x:c>
      <x:c r="O1022" s="18" t="str">
        <x:v>003072</x:v>
      </x:c>
      <x:c r="P1022" s="18" t="str">
        <x:v>東北線</x:v>
      </x:c>
      <x:c r="Q1022" s="19" t="str">
        <x:v>S12_061_GE_10000</x:v>
      </x:c>
      <x:c r="R1022" s="19" t="str">
        <x:v>S12_061 usage threshold</x:v>
      </x:c>
      <x:c r="S1022" s="19" t="str">
        <x:v>https://nlftp.mlit.go.jp/ksj/gml/datalist/KsjTmplt-S12-2024.html</x:v>
      </x:c>
      <x:c r="T1022" s="19" t="str">
        <x:v>https://nlftp.mlit.go.jp/ksj/gml/datalist/KsjTmplt-S12-2024.html</x:v>
      </x:c>
      <x:c r="U1022" s="19" t="str">
        <x:v>station-component|戸田公園|東日本旅客鉄道|conventional_rail|35.8078|139.6783|</x:v>
      </x:c>
      <x:c r="V1022" s="19" t="str">
        <x:v>003072 / 003072 / 東北線</x:v>
      </x:c>
      <x:c r="W1022" s="18" t="str">
        <x:v>否</x:v>
      </x:c>
      <x:c r="X1022" s="18" t="str">
        <x:v>0785e932a32b3ec15e1a1345537ae145eafe1c07bf38d5c16c11ee2b391e7a28</x:v>
      </x:c>
      <x:c r="Y1022" s="20" t="n">
        <x:v>1</x:v>
      </x:c>
      <x:c r="Z1022" s="20" t="n">
        <x:v>1</x:v>
      </x:c>
      <x:c r="AA1022" s="19"/>
      <x:c r="AB1022" s="18"/>
      <x:c r="AC1022" s="19"/>
    </x:row>
    <x:row r="1023" ht="28" customHeight="1">
      <x:c r="A1023" s="18" t="str">
        <x:v>戸畑</x:v>
      </x:c>
      <x:c r="B1023" s="18" t="str">
        <x:v>九州旅客鉄道</x:v>
      </x:c>
      <x:c r="C1023" s="18" t="str">
        <x:v>conventional_rail</x:v>
      </x:c>
      <x:c r="D1023" s="19" t="str">
        <x:v>T2</x:v>
      </x:c>
      <x:c r="E1023" s="20" t="n">
        <x:v>16986</x:v>
      </x:c>
      <x:c r="F1023" s="18" t="str">
        <x:v>persons/day</x:v>
      </x:c>
      <x:c r="G1023" s="18" t="str">
        <x:v>FY2024</x:v>
      </x:c>
      <x:c r="H1023" s="18" t="str">
        <x:v>否</x:v>
      </x:c>
      <x:c r="I1023" s="19" t="str">
        <x:v>DAILY_ENTRIES_EXITS</x:v>
      </x:c>
      <x:c r="J1023" s="19" t="str">
        <x:v>鹿児島線</x:v>
      </x:c>
      <x:c r="K1023" s="18" t="str">
        <x:v>transport-node:96d331de-a89e-590c-b6f9-50cc24d2ecd9</x:v>
      </x:c>
      <x:c r="L1023" s="19" t="str">
        <x:v>组件待审核</x:v>
      </x:c>
      <x:c r="M1023" s="21" t="n">
        <x:v>33.897415</x:v>
      </x:c>
      <x:c r="N1023" s="21" t="n">
        <x:v>130.820915</x:v>
      </x:c>
      <x:c r="O1023" s="18" t="str">
        <x:v>008667</x:v>
      </x:c>
      <x:c r="P1023" s="18" t="str">
        <x:v>鹿児島線</x:v>
      </x:c>
      <x:c r="Q1023" s="19" t="str">
        <x:v>S12_061_GE_10000</x:v>
      </x:c>
      <x:c r="R1023" s="19" t="str">
        <x:v>S12_061 usage threshold</x:v>
      </x:c>
      <x:c r="S1023" s="19" t="str">
        <x:v>https://nlftp.mlit.go.jp/ksj/gml/datalist/KsjTmplt-S12-2024.html</x:v>
      </x:c>
      <x:c r="T1023" s="19" t="str">
        <x:v>https://nlftp.mlit.go.jp/ksj/gml/datalist/KsjTmplt-S12-2024.html</x:v>
      </x:c>
      <x:c r="U1023" s="19" t="str">
        <x:v>station-component|戸畑|九州旅客鉄道|conventional_rail|33.8974|130.8209|</x:v>
      </x:c>
      <x:c r="V1023" s="19" t="str">
        <x:v>008667 / 008667 / 鹿児島線</x:v>
      </x:c>
      <x:c r="W1023" s="18" t="str">
        <x:v>否</x:v>
      </x:c>
      <x:c r="X1023" s="18" t="str">
        <x:v>0785e932a32b3ec15e1a1345537ae145eafe1c07bf38d5c16c11ee2b391e7a28</x:v>
      </x:c>
      <x:c r="Y1023" s="20" t="n">
        <x:v>1</x:v>
      </x:c>
      <x:c r="Z1023" s="20" t="n">
        <x:v>1</x:v>
      </x:c>
      <x:c r="AA1023" s="19"/>
      <x:c r="AB1023" s="18"/>
      <x:c r="AC1023" s="19"/>
    </x:row>
    <x:row r="1024" ht="28" customHeight="1">
      <x:c r="A1024" s="18" t="str">
        <x:v>戸越</x:v>
      </x:c>
      <x:c r="B1024" s="18" t="str">
        <x:v>東京都</x:v>
      </x:c>
      <x:c r="C1024" s="18" t="str">
        <x:v>metro</x:v>
      </x:c>
      <x:c r="D1024" s="19" t="str">
        <x:v>T2</x:v>
      </x:c>
      <x:c r="E1024" s="20" t="n">
        <x:v>21299</x:v>
      </x:c>
      <x:c r="F1024" s="18" t="str">
        <x:v>persons/day</x:v>
      </x:c>
      <x:c r="G1024" s="18" t="str">
        <x:v>FY2024</x:v>
      </x:c>
      <x:c r="H1024" s="18" t="str">
        <x:v>否</x:v>
      </x:c>
      <x:c r="I1024" s="19" t="str">
        <x:v>DAILY_ENTRIES_EXITS</x:v>
      </x:c>
      <x:c r="J1024" s="19" t="str">
        <x:v>1号線浅草線</x:v>
      </x:c>
      <x:c r="K1024" s="18" t="str">
        <x:v>transport-node:f8ce6d3b-52c4-5301-bdff-7edd7078553f</x:v>
      </x:c>
      <x:c r="L1024" s="19" t="str">
        <x:v>组件待审核</x:v>
      </x:c>
      <x:c r="M1024" s="21" t="n">
        <x:v>35.614425</x:v>
      </x:c>
      <x:c r="N1024" s="21" t="n">
        <x:v>139.716375</x:v>
      </x:c>
      <x:c r="O1024" s="18" t="str">
        <x:v>004161</x:v>
      </x:c>
      <x:c r="P1024" s="18" t="str">
        <x:v>1号線浅草線</x:v>
      </x:c>
      <x:c r="Q1024" s="19" t="str">
        <x:v>S12_061_GE_10000</x:v>
      </x:c>
      <x:c r="R1024" s="19" t="str">
        <x:v>S12_061 usage threshold</x:v>
      </x:c>
      <x:c r="S1024" s="19" t="str">
        <x:v>https://nlftp.mlit.go.jp/ksj/gml/datalist/KsjTmplt-S12-2024.html</x:v>
      </x:c>
      <x:c r="T1024" s="19" t="str">
        <x:v>https://nlftp.mlit.go.jp/ksj/gml/datalist/KsjTmplt-S12-2024.html</x:v>
      </x:c>
      <x:c r="U1024" s="19" t="str">
        <x:v>station-component|戸越|東京都|metro|35.6144|139.7164|</x:v>
      </x:c>
      <x:c r="V1024" s="19" t="str">
        <x:v>004161 / 004161 / 1号線浅草線</x:v>
      </x:c>
      <x:c r="W1024" s="18" t="str">
        <x:v>否</x:v>
      </x:c>
      <x:c r="X1024" s="18" t="str">
        <x:v>0785e932a32b3ec15e1a1345537ae145eafe1c07bf38d5c16c11ee2b391e7a28</x:v>
      </x:c>
      <x:c r="Y1024" s="20" t="n">
        <x:v>1</x:v>
      </x:c>
      <x:c r="Z1024" s="20" t="n">
        <x:v>1</x:v>
      </x:c>
      <x:c r="AA1024" s="19"/>
      <x:c r="AB1024" s="18"/>
      <x:c r="AC1024" s="19"/>
    </x:row>
    <x:row r="1025" ht="28" customHeight="1">
      <x:c r="A1025" s="18" t="str">
        <x:v>戸越公園</x:v>
      </x:c>
      <x:c r="B1025" s="18" t="str">
        <x:v>東急電鉄</x:v>
      </x:c>
      <x:c r="C1025" s="18" t="str">
        <x:v>private_rail</x:v>
      </x:c>
      <x:c r="D1025" s="19" t="str">
        <x:v>T2</x:v>
      </x:c>
      <x:c r="E1025" s="20" t="n">
        <x:v>13597</x:v>
      </x:c>
      <x:c r="F1025" s="18" t="str">
        <x:v>persons/day</x:v>
      </x:c>
      <x:c r="G1025" s="18" t="str">
        <x:v>FY2024</x:v>
      </x:c>
      <x:c r="H1025" s="18" t="str">
        <x:v>否</x:v>
      </x:c>
      <x:c r="I1025" s="19" t="str">
        <x:v>DAILY_ENTRIES_EXITS</x:v>
      </x:c>
      <x:c r="J1025" s="19" t="str">
        <x:v>大井町線</x:v>
      </x:c>
      <x:c r="K1025" s="18" t="str">
        <x:v>transport-node:de1f3a1d-f8f9-5208-8861-f4ddad1de81a</x:v>
      </x:c>
      <x:c r="L1025" s="19" t="str">
        <x:v>组件待审核</x:v>
      </x:c>
      <x:c r="M1025" s="21" t="n">
        <x:v>35.60893</x:v>
      </x:c>
      <x:c r="N1025" s="21" t="n">
        <x:v>139.71839</x:v>
      </x:c>
      <x:c r="O1025" s="18" t="str">
        <x:v>004186</x:v>
      </x:c>
      <x:c r="P1025" s="18" t="str">
        <x:v>大井町線</x:v>
      </x:c>
      <x:c r="Q1025" s="19" t="str">
        <x:v>S12_061_GE_10000</x:v>
      </x:c>
      <x:c r="R1025" s="19" t="str">
        <x:v>S12_061 usage threshold</x:v>
      </x:c>
      <x:c r="S1025" s="19" t="str">
        <x:v>https://nlftp.mlit.go.jp/ksj/gml/datalist/KsjTmplt-S12-2024.html</x:v>
      </x:c>
      <x:c r="T1025" s="19" t="str">
        <x:v>https://nlftp.mlit.go.jp/ksj/gml/datalist/KsjTmplt-S12-2024.html</x:v>
      </x:c>
      <x:c r="U1025" s="19" t="str">
        <x:v>station-component|戸越公園|東急電鉄|private_rail|35.6089|139.7184|</x:v>
      </x:c>
      <x:c r="V1025" s="19" t="str">
        <x:v>004186 / 004186 / 大井町線</x:v>
      </x:c>
      <x:c r="W1025" s="18" t="str">
        <x:v>否</x:v>
      </x:c>
      <x:c r="X1025" s="18" t="str">
        <x:v>0785e932a32b3ec15e1a1345537ae145eafe1c07bf38d5c16c11ee2b391e7a28</x:v>
      </x:c>
      <x:c r="Y1025" s="20" t="n">
        <x:v>1</x:v>
      </x:c>
      <x:c r="Z1025" s="20" t="n">
        <x:v>1</x:v>
      </x:c>
      <x:c r="AA1025" s="19"/>
      <x:c r="AB1025" s="18"/>
      <x:c r="AC1025" s="19"/>
    </x:row>
    <x:row r="1026" ht="28" customHeight="1">
      <x:c r="A1026" s="18" t="str">
        <x:v>戸越銀座</x:v>
      </x:c>
      <x:c r="B1026" s="18" t="str">
        <x:v>東急電鉄</x:v>
      </x:c>
      <x:c r="C1026" s="18" t="str">
        <x:v>private_rail</x:v>
      </x:c>
      <x:c r="D1026" s="19" t="str">
        <x:v>T2</x:v>
      </x:c>
      <x:c r="E1026" s="20" t="n">
        <x:v>19370</x:v>
      </x:c>
      <x:c r="F1026" s="18" t="str">
        <x:v>persons/day</x:v>
      </x:c>
      <x:c r="G1026" s="18" t="str">
        <x:v>FY2024</x:v>
      </x:c>
      <x:c r="H1026" s="18" t="str">
        <x:v>否</x:v>
      </x:c>
      <x:c r="I1026" s="19" t="str">
        <x:v>DAILY_ENTRIES_EXITS</x:v>
      </x:c>
      <x:c r="J1026" s="19" t="str">
        <x:v>池上線</x:v>
      </x:c>
      <x:c r="K1026" s="18" t="str">
        <x:v>transport-node:e30fca97-811c-5fef-94e7-e62edef82c95</x:v>
      </x:c>
      <x:c r="L1026" s="19" t="str">
        <x:v>组件待审核</x:v>
      </x:c>
      <x:c r="M1026" s="21" t="n">
        <x:v>35.61601</x:v>
      </x:c>
      <x:c r="N1026" s="21" t="n">
        <x:v>139.715</x:v>
      </x:c>
      <x:c r="O1026" s="18" t="str">
        <x:v>004155</x:v>
      </x:c>
      <x:c r="P1026" s="18" t="str">
        <x:v>池上線</x:v>
      </x:c>
      <x:c r="Q1026" s="19" t="str">
        <x:v>S12_061_GE_10000</x:v>
      </x:c>
      <x:c r="R1026" s="19" t="str">
        <x:v>S12_061 usage threshold</x:v>
      </x:c>
      <x:c r="S1026" s="19" t="str">
        <x:v>https://nlftp.mlit.go.jp/ksj/gml/datalist/KsjTmplt-S12-2024.html</x:v>
      </x:c>
      <x:c r="T1026" s="19" t="str">
        <x:v>https://nlftp.mlit.go.jp/ksj/gml/datalist/KsjTmplt-S12-2024.html</x:v>
      </x:c>
      <x:c r="U1026" s="19" t="str">
        <x:v>station-component|戸越銀座|東急電鉄|private_rail|35.6160|139.7150|</x:v>
      </x:c>
      <x:c r="V1026" s="19" t="str">
        <x:v>004155 / 004155 / 池上線</x:v>
      </x:c>
      <x:c r="W1026" s="18" t="str">
        <x:v>否</x:v>
      </x:c>
      <x:c r="X1026" s="18" t="str">
        <x:v>0785e932a32b3ec15e1a1345537ae145eafe1c07bf38d5c16c11ee2b391e7a28</x:v>
      </x:c>
      <x:c r="Y1026" s="20" t="n">
        <x:v>1</x:v>
      </x:c>
      <x:c r="Z1026" s="20" t="n">
        <x:v>1</x:v>
      </x:c>
      <x:c r="AA1026" s="19"/>
      <x:c r="AB1026" s="18"/>
      <x:c r="AC1026" s="19"/>
    </x:row>
    <x:row r="1027" ht="28" customHeight="1">
      <x:c r="A1027" s="18" t="str">
        <x:v>戸部</x:v>
      </x:c>
      <x:c r="B1027" s="18" t="str">
        <x:v>京浜急行電鉄</x:v>
      </x:c>
      <x:c r="C1027" s="18" t="str">
        <x:v>private_rail</x:v>
      </x:c>
      <x:c r="D1027" s="19" t="str">
        <x:v>T2</x:v>
      </x:c>
      <x:c r="E1027" s="20" t="n">
        <x:v>16413</x:v>
      </x:c>
      <x:c r="F1027" s="18" t="str">
        <x:v>persons/day</x:v>
      </x:c>
      <x:c r="G1027" s="18" t="str">
        <x:v>FY2024</x:v>
      </x:c>
      <x:c r="H1027" s="18" t="str">
        <x:v>否</x:v>
      </x:c>
      <x:c r="I1027" s="19" t="str">
        <x:v>DAILY_ENTRIES_EXITS</x:v>
      </x:c>
      <x:c r="J1027" s="19" t="str">
        <x:v>本線</x:v>
      </x:c>
      <x:c r="K1027" s="18" t="str">
        <x:v>transport-node:a6199efb-d7ef-5540-ad4a-fda5faa1ca7f</x:v>
      </x:c>
      <x:c r="L1027" s="19" t="str">
        <x:v>组件待审核</x:v>
      </x:c>
      <x:c r="M1027" s="21" t="n">
        <x:v>35.45666</x:v>
      </x:c>
      <x:c r="N1027" s="21" t="n">
        <x:v>139.61956</x:v>
      </x:c>
      <x:c r="O1027" s="18" t="str">
        <x:v>004660</x:v>
      </x:c>
      <x:c r="P1027" s="18" t="str">
        <x:v>本線</x:v>
      </x:c>
      <x:c r="Q1027" s="19" t="str">
        <x:v>S12_061_GE_10000</x:v>
      </x:c>
      <x:c r="R1027" s="19" t="str">
        <x:v>S12_061 usage threshold</x:v>
      </x:c>
      <x:c r="S1027" s="19" t="str">
        <x:v>https://nlftp.mlit.go.jp/ksj/gml/datalist/KsjTmplt-S12-2024.html</x:v>
      </x:c>
      <x:c r="T1027" s="19" t="str">
        <x:v>https://nlftp.mlit.go.jp/ksj/gml/datalist/KsjTmplt-S12-2024.html</x:v>
      </x:c>
      <x:c r="U1027" s="19" t="str">
        <x:v>station-component|戸部|京浜急行電鉄|private_rail|35.4567|139.6196|</x:v>
      </x:c>
      <x:c r="V1027" s="19" t="str">
        <x:v>004660 / 004660 / 本線</x:v>
      </x:c>
      <x:c r="W1027" s="18" t="str">
        <x:v>否</x:v>
      </x:c>
      <x:c r="X1027" s="18" t="str">
        <x:v>0785e932a32b3ec15e1a1345537ae145eafe1c07bf38d5c16c11ee2b391e7a28</x:v>
      </x:c>
      <x:c r="Y1027" s="20" t="n">
        <x:v>1</x:v>
      </x:c>
      <x:c r="Z1027" s="20" t="n">
        <x:v>1</x:v>
      </x:c>
      <x:c r="AA1027" s="19"/>
      <x:c r="AB1027" s="18"/>
      <x:c r="AC1027" s="19"/>
    </x:row>
    <x:row r="1028" ht="33" customHeight="1">
      <x:c r="A1028" s="18" t="str">
        <x:v>所沢</x:v>
      </x:c>
      <x:c r="B1028" s="18" t="str">
        <x:v>西武鉄道</x:v>
      </x:c>
      <x:c r="C1028" s="18" t="str">
        <x:v>private_rail</x:v>
      </x:c>
      <x:c r="D1028" s="19" t="str">
        <x:v>T1</x:v>
      </x:c>
      <x:c r="E1028" s="20" t="n">
        <x:v>109930</x:v>
      </x:c>
      <x:c r="F1028" s="18" t="str">
        <x:v>persons/day</x:v>
      </x:c>
      <x:c r="G1028" s="18" t="str">
        <x:v>FY2024</x:v>
      </x:c>
      <x:c r="H1028" s="18" t="str">
        <x:v>否</x:v>
      </x:c>
      <x:c r="I1028" s="19" t="str">
        <x:v>DAILY_ENTRIES_EXITS</x:v>
      </x:c>
      <x:c r="J1028" s="19" t="str">
        <x:v>新宿線
池袋線</x:v>
      </x:c>
      <x:c r="K1028" s="18" t="str">
        <x:v>transport-node:1f7c9b59-c4f2-5e7b-b9ae-d1f3cf64440b</x:v>
      </x:c>
      <x:c r="L1028" s="19" t="str">
        <x:v>组件待审核</x:v>
      </x:c>
      <x:c r="M1028" s="21" t="n">
        <x:v>35.786685</x:v>
      </x:c>
      <x:c r="N1028" s="21" t="n">
        <x:v>139.473445</x:v>
      </x:c>
      <x:c r="O1028" s="18" t="str">
        <x:v>003132</x:v>
      </x:c>
      <x:c r="P1028" s="18" t="str">
        <x:v>池袋線</x:v>
      </x:c>
      <x:c r="Q1028" s="19" t="str">
        <x:v>S12_061_GE_10000
OFFICIAL_HUB_COMPONENT_REVIEW</x:v>
      </x:c>
      <x:c r="R1028" s="19" t="str">
        <x:v>S12_061 usage threshold</x:v>
      </x:c>
      <x:c r="S1028" s="19" t="str">
        <x:v>https://nlftp.mlit.go.jp/ksj/gml/datalist/KsjTmplt-S12-2024.html</x:v>
      </x:c>
      <x:c r="T1028" s="19" t="str">
        <x:v>https://nlftp.mlit.go.jp/ksj/gml/datalist/KsjTmplt-S12-2024.html
https://www.seiburailway.jp/railway/station/</x:v>
      </x:c>
      <x:c r="U1028" s="19" t="str">
        <x:v>station-component|所沢|西武鉄道|private_rail|35.7867|139.4734|</x:v>
      </x:c>
      <x:c r="V1028" s="19" t="str">
        <x:v>003131 / 003131 / 新宿線
003131 / 003132 / 池袋線</x:v>
      </x:c>
      <x:c r="W1028" s="18" t="str">
        <x:v>否</x:v>
      </x:c>
      <x:c r="X1028" s="18" t="str">
        <x:v>0785e932a32b3ec15e1a1345537ae145eafe1c07bf38d5c16c11ee2b391e7a28</x:v>
      </x:c>
      <x:c r="Y1028" s="20" t="n">
        <x:v>1</x:v>
      </x:c>
      <x:c r="Z1028" s="20" t="n">
        <x:v>1</x:v>
      </x:c>
      <x:c r="AA1028" s="19" t="str">
        <x:v>所沢</x:v>
      </x:c>
      <x:c r="AB1028" s="18" t="str">
        <x:v>transport-hub-review:ac06f87c-9559-5c65-a434-90f8339897c6</x:v>
      </x:c>
      <x:c r="AC1028" s="19"/>
    </x:row>
    <x:row r="1029" ht="28" customHeight="1">
      <x:c r="A1029" s="18" t="str">
        <x:v>扇大橋</x:v>
      </x:c>
      <x:c r="B1029" s="18" t="str">
        <x:v>東京都</x:v>
      </x:c>
      <x:c r="C1029" s="18" t="str">
        <x:v>fixed_guideway</x:v>
      </x:c>
      <x:c r="D1029" s="19" t="str">
        <x:v>T2</x:v>
      </x:c>
      <x:c r="E1029" s="20" t="n">
        <x:v>10663</x:v>
      </x:c>
      <x:c r="F1029" s="18" t="str">
        <x:v>persons/day</x:v>
      </x:c>
      <x:c r="G1029" s="18" t="str">
        <x:v>FY2024</x:v>
      </x:c>
      <x:c r="H1029" s="18" t="str">
        <x:v>否</x:v>
      </x:c>
      <x:c r="I1029" s="19" t="str">
        <x:v>DAILY_ENTRIES_EXITS</x:v>
      </x:c>
      <x:c r="J1029" s="19" t="str">
        <x:v>日暮里・舎人ライナー</x:v>
      </x:c>
      <x:c r="K1029" s="18" t="str">
        <x:v>transport-node:407d5747-9b02-51f6-af6e-2c075892bc38</x:v>
      </x:c>
      <x:c r="L1029" s="19" t="str">
        <x:v>组件待审核</x:v>
      </x:c>
      <x:c r="M1029" s="21" t="n">
        <x:v>35.764135</x:v>
      </x:c>
      <x:c r="N1029" s="21" t="n">
        <x:v>139.77085</x:v>
      </x:c>
      <x:c r="O1029" s="18" t="str">
        <x:v>003209</x:v>
      </x:c>
      <x:c r="P1029" s="18" t="str">
        <x:v>日暮里・舎人ライナー</x:v>
      </x:c>
      <x:c r="Q1029" s="19" t="str">
        <x:v>S12_061_GE_10000</x:v>
      </x:c>
      <x:c r="R1029" s="19" t="str">
        <x:v>S12_061 usage threshold</x:v>
      </x:c>
      <x:c r="S1029" s="19" t="str">
        <x:v>https://nlftp.mlit.go.jp/ksj/gml/datalist/KsjTmplt-S12-2024.html</x:v>
      </x:c>
      <x:c r="T1029" s="19" t="str">
        <x:v>https://nlftp.mlit.go.jp/ksj/gml/datalist/KsjTmplt-S12-2024.html</x:v>
      </x:c>
      <x:c r="U1029" s="19" t="str">
        <x:v>station-component|扇大橋|東京都|fixed_guideway|35.7641|139.7708|</x:v>
      </x:c>
      <x:c r="V1029" s="19" t="str">
        <x:v>003209 / 003209 / 日暮里・舎人ライナー</x:v>
      </x:c>
      <x:c r="W1029" s="18" t="str">
        <x:v>否</x:v>
      </x:c>
      <x:c r="X1029" s="18" t="str">
        <x:v>0785e932a32b3ec15e1a1345537ae145eafe1c07bf38d5c16c11ee2b391e7a28</x:v>
      </x:c>
      <x:c r="Y1029" s="20" t="n">
        <x:v>1</x:v>
      </x:c>
      <x:c r="Z1029" s="20" t="n">
        <x:v>1</x:v>
      </x:c>
      <x:c r="AA1029" s="19"/>
      <x:c r="AB1029" s="18"/>
      <x:c r="AC1029" s="19"/>
    </x:row>
    <x:row r="1030" ht="33" customHeight="1">
      <x:c r="A1030" s="18" t="str">
        <x:v>扇町</x:v>
      </x:c>
      <x:c r="B1030" s="18" t="str">
        <x:v>大阪市高速電気軌道</x:v>
      </x:c>
      <x:c r="C1030" s="18" t="str">
        <x:v>metro</x:v>
      </x:c>
      <x:c r="D1030" s="19" t="str">
        <x:v>T2</x:v>
      </x:c>
      <x:c r="E1030" s="20" t="n">
        <x:v>17607</x:v>
      </x:c>
      <x:c r="F1030" s="18" t="str">
        <x:v>persons/day</x:v>
      </x:c>
      <x:c r="G1030" s="18" t="str">
        <x:v>FY2024</x:v>
      </x:c>
      <x:c r="H1030" s="18" t="str">
        <x:v>否</x:v>
      </x:c>
      <x:c r="I1030" s="19" t="str">
        <x:v>DAILY_ENTRIES_EXITS</x:v>
      </x:c>
      <x:c r="J1030" s="19" t="str">
        <x:v>6号線(堺筋線)</x:v>
      </x:c>
      <x:c r="K1030" s="18" t="str">
        <x:v>transport-node:df027ced-be76-512b-8100-59dab2e15518</x:v>
      </x:c>
      <x:c r="L1030" s="19" t="str">
        <x:v>组件待审核</x:v>
      </x:c>
      <x:c r="M1030" s="21" t="n">
        <x:v>34.703825</x:v>
      </x:c>
      <x:c r="N1030" s="21" t="n">
        <x:v>135.51085</x:v>
      </x:c>
      <x:c r="O1030" s="18" t="str">
        <x:v>007061</x:v>
      </x:c>
      <x:c r="P1030" s="18" t="str">
        <x:v>6号線(堺筋線)</x:v>
      </x:c>
      <x:c r="Q1030" s="19" t="str">
        <x:v>S12_061_GE_10000
OFFICIAL_HUB_COMPONENT_REVIEW</x:v>
      </x:c>
      <x:c r="R1030" s="19" t="str">
        <x:v>S12_061 usage threshold</x:v>
      </x:c>
      <x:c r="S1030" s="19" t="str">
        <x:v>https://nlftp.mlit.go.jp/ksj/gml/datalist/KsjTmplt-S12-2024.html</x:v>
      </x:c>
      <x:c r="T1030" s="19" t="str">
        <x:v>https://nlftp.mlit.go.jp/ksj/gml/datalist/KsjTmplt-S12-2024.html
https://subway.osakametro.co.jp/station_guide/K/k12/index.php</x:v>
      </x:c>
      <x:c r="U1030" s="19" t="str">
        <x:v>station-component|扇町|大阪市高速電気軌道|metro|34.7038|135.5109|</x:v>
      </x:c>
      <x:c r="V1030" s="19" t="str">
        <x:v>007061 / 007061 / 6号線(堺筋線)</x:v>
      </x:c>
      <x:c r="W1030" s="18" t="str">
        <x:v>否</x:v>
      </x:c>
      <x:c r="X1030" s="18" t="str">
        <x:v>0785e932a32b3ec15e1a1345537ae145eafe1c07bf38d5c16c11ee2b391e7a28</x:v>
      </x:c>
      <x:c r="Y1030" s="20" t="n">
        <x:v>1</x:v>
      </x:c>
      <x:c r="Z1030" s="20" t="n">
        <x:v>1</x:v>
      </x:c>
      <x:c r="AA1030" s="19" t="str">
        <x:v>扇町・天満</x:v>
      </x:c>
      <x:c r="AB1030" s="18" t="str">
        <x:v>transport-hub-review:2bec3097-717d-5989-a7a9-8d8bcd1e2c1a</x:v>
      </x:c>
      <x:c r="AC1030" s="19"/>
    </x:row>
    <x:row r="1031" ht="28" customHeight="1">
      <x:c r="A1031" s="18" t="str">
        <x:v>手稲</x:v>
      </x:c>
      <x:c r="B1031" s="18" t="str">
        <x:v>北海道旅客鉄道</x:v>
      </x:c>
      <x:c r="C1031" s="18" t="str">
        <x:v>conventional_rail</x:v>
      </x:c>
      <x:c r="D1031" s="19" t="str">
        <x:v>T2</x:v>
      </x:c>
      <x:c r="E1031" s="20" t="n">
        <x:v>27098</x:v>
      </x:c>
      <x:c r="F1031" s="18" t="str">
        <x:v>persons/day</x:v>
      </x:c>
      <x:c r="G1031" s="18" t="str">
        <x:v>FY2024</x:v>
      </x:c>
      <x:c r="H1031" s="18" t="str">
        <x:v>否</x:v>
      </x:c>
      <x:c r="I1031" s="19" t="str">
        <x:v>DAILY_ENTRIES_EXITS</x:v>
      </x:c>
      <x:c r="J1031" s="19" t="str">
        <x:v>函館線</x:v>
      </x:c>
      <x:c r="K1031" s="18" t="str">
        <x:v>transport-node:fdfc74dc-c897-55e4-b0cb-67c26891efd3</x:v>
      </x:c>
      <x:c r="L1031" s="19" t="str">
        <x:v>组件待审核</x:v>
      </x:c>
      <x:c r="M1031" s="21" t="n">
        <x:v>43.120125</x:v>
      </x:c>
      <x:c r="N1031" s="21" t="n">
        <x:v>141.24385</x:v>
      </x:c>
      <x:c r="O1031" s="18" t="str">
        <x:v>000192</x:v>
      </x:c>
      <x:c r="P1031" s="18" t="str">
        <x:v>函館線</x:v>
      </x:c>
      <x:c r="Q1031" s="19" t="str">
        <x:v>S12_061_GE_10000</x:v>
      </x:c>
      <x:c r="R1031" s="19" t="str">
        <x:v>S12_061 usage threshold</x:v>
      </x:c>
      <x:c r="S1031" s="19" t="str">
        <x:v>https://nlftp.mlit.go.jp/ksj/gml/datalist/KsjTmplt-S12-2024.html</x:v>
      </x:c>
      <x:c r="T1031" s="19" t="str">
        <x:v>https://nlftp.mlit.go.jp/ksj/gml/datalist/KsjTmplt-S12-2024.html</x:v>
      </x:c>
      <x:c r="U1031" s="19" t="str">
        <x:v>station-component|手稲|北海道旅客鉄道|conventional_rail|43.1201|141.2439|</x:v>
      </x:c>
      <x:c r="V1031" s="19" t="str">
        <x:v>000192 / 000192 / 函館線</x:v>
      </x:c>
      <x:c r="W1031" s="18" t="str">
        <x:v>否</x:v>
      </x:c>
      <x:c r="X1031" s="18" t="str">
        <x:v>0785e932a32b3ec15e1a1345537ae145eafe1c07bf38d5c16c11ee2b391e7a28</x:v>
      </x:c>
      <x:c r="Y1031" s="20" t="n">
        <x:v>1</x:v>
      </x:c>
      <x:c r="Z1031" s="20" t="n">
        <x:v>1</x:v>
      </x:c>
      <x:c r="AA1031" s="19"/>
      <x:c r="AB1031" s="18"/>
      <x:c r="AC1031" s="19"/>
    </x:row>
    <x:row r="1032" ht="28" customHeight="1">
      <x:c r="A1032" s="18" t="str">
        <x:v>打出</x:v>
      </x:c>
      <x:c r="B1032" s="18" t="str">
        <x:v>阪神電気鉄道</x:v>
      </x:c>
      <x:c r="C1032" s="18" t="str">
        <x:v>private_rail</x:v>
      </x:c>
      <x:c r="D1032" s="19" t="str">
        <x:v>T2</x:v>
      </x:c>
      <x:c r="E1032" s="20" t="n">
        <x:v>14735</x:v>
      </x:c>
      <x:c r="F1032" s="18" t="str">
        <x:v>persons/day</x:v>
      </x:c>
      <x:c r="G1032" s="18" t="str">
        <x:v>FY2024</x:v>
      </x:c>
      <x:c r="H1032" s="18" t="str">
        <x:v>否</x:v>
      </x:c>
      <x:c r="I1032" s="19" t="str">
        <x:v>DAILY_ENTRIES_EXITS</x:v>
      </x:c>
      <x:c r="J1032" s="19" t="str">
        <x:v>本線</x:v>
      </x:c>
      <x:c r="K1032" s="18" t="str">
        <x:v>transport-node:19720f3e-a0ec-5452-81f5-74b5dc00b506</x:v>
      </x:c>
      <x:c r="L1032" s="19" t="str">
        <x:v>组件待审核</x:v>
      </x:c>
      <x:c r="M1032" s="21" t="n">
        <x:v>34.731605</x:v>
      </x:c>
      <x:c r="N1032" s="21" t="n">
        <x:v>135.315565</x:v>
      </x:c>
      <x:c r="O1032" s="18" t="str">
        <x:v>006921</x:v>
      </x:c>
      <x:c r="P1032" s="18" t="str">
        <x:v>本線</x:v>
      </x:c>
      <x:c r="Q1032" s="19" t="str">
        <x:v>S12_061_GE_10000</x:v>
      </x:c>
      <x:c r="R1032" s="19" t="str">
        <x:v>S12_061 usage threshold</x:v>
      </x:c>
      <x:c r="S1032" s="19" t="str">
        <x:v>https://nlftp.mlit.go.jp/ksj/gml/datalist/KsjTmplt-S12-2024.html</x:v>
      </x:c>
      <x:c r="T1032" s="19" t="str">
        <x:v>https://nlftp.mlit.go.jp/ksj/gml/datalist/KsjTmplt-S12-2024.html</x:v>
      </x:c>
      <x:c r="U1032" s="19" t="str">
        <x:v>station-component|打出|阪神電気鉄道|private_rail|34.7316|135.3156|</x:v>
      </x:c>
      <x:c r="V1032" s="19" t="str">
        <x:v>006921 / 006921 / 本線</x:v>
      </x:c>
      <x:c r="W1032" s="18" t="str">
        <x:v>否</x:v>
      </x:c>
      <x:c r="X1032" s="18" t="str">
        <x:v>0785e932a32b3ec15e1a1345537ae145eafe1c07bf38d5c16c11ee2b391e7a28</x:v>
      </x:c>
      <x:c r="Y1032" s="20" t="n">
        <x:v>1</x:v>
      </x:c>
      <x:c r="Z1032" s="20" t="n">
        <x:v>1</x:v>
      </x:c>
      <x:c r="AA1032" s="19"/>
      <x:c r="AB1032" s="18"/>
      <x:c r="AC1032" s="19"/>
    </x:row>
    <x:row r="1033" ht="33" customHeight="1">
      <x:c r="A1033" s="18" t="str">
        <x:v>折尾</x:v>
      </x:c>
      <x:c r="B1033" s="18" t="str">
        <x:v>九州旅客鉄道</x:v>
      </x:c>
      <x:c r="C1033" s="18" t="str">
        <x:v>conventional_rail</x:v>
      </x:c>
      <x:c r="D1033" s="19" t="str">
        <x:v>T2</x:v>
      </x:c>
      <x:c r="E1033" s="20" t="n">
        <x:v>28820</x:v>
      </x:c>
      <x:c r="F1033" s="18" t="str">
        <x:v>persons/day</x:v>
      </x:c>
      <x:c r="G1033" s="18" t="str">
        <x:v>FY2024</x:v>
      </x:c>
      <x:c r="H1033" s="18" t="str">
        <x:v>否</x:v>
      </x:c>
      <x:c r="I1033" s="19" t="str">
        <x:v>DAILY_ENTRIES_EXITS</x:v>
      </x:c>
      <x:c r="J1033" s="19" t="str">
        <x:v>筑豊線
鹿児島線</x:v>
      </x:c>
      <x:c r="K1033" s="18" t="str">
        <x:v>transport-node:b9078e0a-1590-5387-b2a8-736ad8637a26</x:v>
      </x:c>
      <x:c r="L1033" s="19" t="str">
        <x:v>组件待审核</x:v>
      </x:c>
      <x:c r="M1033" s="21" t="n">
        <x:v>33.8639033</x:v>
      </x:c>
      <x:c r="N1033" s="21" t="n">
        <x:v>130.7116267</x:v>
      </x:c>
      <x:c r="O1033" s="18" t="str">
        <x:v>008707</x:v>
      </x:c>
      <x:c r="P1033" s="18" t="str">
        <x:v>鹿児島線</x:v>
      </x:c>
      <x:c r="Q1033" s="19" t="str">
        <x:v>S12_061_GE_10000</x:v>
      </x:c>
      <x:c r="R1033" s="19" t="str">
        <x:v>S12_061 usage threshold</x:v>
      </x:c>
      <x:c r="S1033" s="19" t="str">
        <x:v>https://nlftp.mlit.go.jp/ksj/gml/datalist/KsjTmplt-S12-2024.html</x:v>
      </x:c>
      <x:c r="T1033" s="19" t="str">
        <x:v>https://nlftp.mlit.go.jp/ksj/gml/datalist/KsjTmplt-S12-2024.html</x:v>
      </x:c>
      <x:c r="U1033" s="19" t="str">
        <x:v>station-component|折尾|九州旅客鉄道|conventional_rail|33.8639|130.7116|</x:v>
      </x:c>
      <x:c r="V1033" s="19" t="str">
        <x:v>008707 / 008707 / 鹿児島線
008707 / 008708 / 筑豊線</x:v>
      </x:c>
      <x:c r="W1033" s="18" t="str">
        <x:v>否</x:v>
      </x:c>
      <x:c r="X1033" s="18" t="str">
        <x:v>0785e932a32b3ec15e1a1345537ae145eafe1c07bf38d5c16c11ee2b391e7a28</x:v>
      </x:c>
      <x:c r="Y1033" s="20" t="n">
        <x:v>1</x:v>
      </x:c>
      <x:c r="Z1033" s="20" t="n">
        <x:v>1</x:v>
      </x:c>
      <x:c r="AA1033" s="19"/>
      <x:c r="AB1033" s="18"/>
      <x:c r="AC1033" s="19"/>
    </x:row>
    <x:row r="1034" ht="33" customHeight="1">
      <x:c r="A1034" s="18" t="str">
        <x:v>押上</x:v>
      </x:c>
      <x:c r="B1034" s="18" t="str">
        <x:v>京成電鉄</x:v>
      </x:c>
      <x:c r="C1034" s="18" t="str">
        <x:v>private_rail</x:v>
      </x:c>
      <x:c r="D1034" s="19" t="str">
        <x:v>T0</x:v>
      </x:c>
      <x:c r="E1034" s="20" t="n">
        <x:v>222826</x:v>
      </x:c>
      <x:c r="F1034" s="18" t="str">
        <x:v>persons/day</x:v>
      </x:c>
      <x:c r="G1034" s="18" t="str">
        <x:v>FY2024</x:v>
      </x:c>
      <x:c r="H1034" s="18" t="str">
        <x:v>否</x:v>
      </x:c>
      <x:c r="I1034" s="19" t="str">
        <x:v>DAILY_ENTRIES_EXITS</x:v>
      </x:c>
      <x:c r="J1034" s="19" t="str">
        <x:v>押上線</x:v>
      </x:c>
      <x:c r="K1034" s="18" t="str">
        <x:v>transport-node:9e3a915a-dd99-5727-b560-a1dbdbab07fb</x:v>
      </x:c>
      <x:c r="L1034" s="19" t="str">
        <x:v>组件待审核</x:v>
      </x:c>
      <x:c r="M1034" s="21" t="n">
        <x:v>35.71022</x:v>
      </x:c>
      <x:c r="N1034" s="21" t="n">
        <x:v>139.81241</x:v>
      </x:c>
      <x:c r="O1034" s="18" t="str">
        <x:v>003527</x:v>
      </x:c>
      <x:c r="P1034" s="18" t="str">
        <x:v>押上線</x:v>
      </x:c>
      <x:c r="Q1034" s="19" t="str">
        <x:v>S12_061_GE_10000
OFFICIAL_HUB_COMPONENT_REVIEW</x:v>
      </x:c>
      <x:c r="R1034" s="19" t="str">
        <x:v>S12_061 usage threshold</x:v>
      </x:c>
      <x:c r="S1034" s="19" t="str">
        <x:v>https://nlftp.mlit.go.jp/ksj/gml/datalist/KsjTmplt-S12-2024.html</x:v>
      </x:c>
      <x:c r="T1034" s="19" t="str">
        <x:v>https://nlftp.mlit.go.jp/ksj/gml/datalist/KsjTmplt-S12-2024.html
https://www.tokyometro.jp/station/oshiage/index.html</x:v>
      </x:c>
      <x:c r="U1034" s="19" t="str">
        <x:v>station-component|押上|京成電鉄|private_rail|35.7102|139.8124|</x:v>
      </x:c>
      <x:c r="V1034" s="19" t="str">
        <x:v>003526 / 003527 / 押上線</x:v>
      </x:c>
      <x:c r="W1034" s="18" t="str">
        <x:v>否</x:v>
      </x:c>
      <x:c r="X1034" s="18" t="str">
        <x:v>0785e932a32b3ec15e1a1345537ae145eafe1c07bf38d5c16c11ee2b391e7a28</x:v>
      </x:c>
      <x:c r="Y1034" s="20" t="n">
        <x:v>1</x:v>
      </x:c>
      <x:c r="Z1034" s="20" t="n">
        <x:v>1</x:v>
      </x:c>
      <x:c r="AA1034" s="19" t="str">
        <x:v>押上・とうきょうスカイツリー</x:v>
      </x:c>
      <x:c r="AB1034" s="18" t="str">
        <x:v>transport-hub-review:26958e45-17bf-5070-bf9c-0a77198b34a2</x:v>
      </x:c>
      <x:c r="AC1034" s="19"/>
    </x:row>
    <x:row r="1035" ht="33" customHeight="1">
      <x:c r="A1035" s="18" t="str">
        <x:v>押上</x:v>
      </x:c>
      <x:c r="B1035" s="18" t="str">
        <x:v>東京地下鉄</x:v>
      </x:c>
      <x:c r="C1035" s="18" t="str">
        <x:v>metro</x:v>
      </x:c>
      <x:c r="D1035" s="19" t="str">
        <x:v>T1</x:v>
      </x:c>
      <x:c r="E1035" s="20" t="n">
        <x:v>183422</x:v>
      </x:c>
      <x:c r="F1035" s="18" t="str">
        <x:v>persons/day</x:v>
      </x:c>
      <x:c r="G1035" s="18" t="str">
        <x:v>FY2024</x:v>
      </x:c>
      <x:c r="H1035" s="18" t="str">
        <x:v>否</x:v>
      </x:c>
      <x:c r="I1035" s="19" t="str">
        <x:v>DAILY_ENTRIES_EXITS</x:v>
      </x:c>
      <x:c r="J1035" s="19" t="str">
        <x:v>11号線半蔵門線</x:v>
      </x:c>
      <x:c r="K1035" s="18" t="str">
        <x:v>transport-node:98f05af1-e47e-5d7f-8367-5b8b99e7f56c</x:v>
      </x:c>
      <x:c r="L1035" s="19" t="str">
        <x:v>组件待审核</x:v>
      </x:c>
      <x:c r="M1035" s="21" t="n">
        <x:v>35.7086833</x:v>
      </x:c>
      <x:c r="N1035" s="21" t="n">
        <x:v>139.81369</x:v>
      </x:c>
      <x:c r="O1035" s="18" t="str">
        <x:v>003540</x:v>
      </x:c>
      <x:c r="P1035" s="18" t="str">
        <x:v>11号線半蔵門線</x:v>
      </x:c>
      <x:c r="Q1035" s="19" t="str">
        <x:v>S12_061_GE_10000
OFFICIAL_HUB_COMPONENT_REVIEW</x:v>
      </x:c>
      <x:c r="R1035" s="19" t="str">
        <x:v>S12_061 usage threshold</x:v>
      </x:c>
      <x:c r="S1035" s="19" t="str">
        <x:v>https://nlftp.mlit.go.jp/ksj/gml/datalist/KsjTmplt-S12-2024.html</x:v>
      </x:c>
      <x:c r="T1035" s="19" t="str">
        <x:v>https://nlftp.mlit.go.jp/ksj/gml/datalist/KsjTmplt-S12-2024.html
https://www.tokyometro.jp/station/oshiage/index.html</x:v>
      </x:c>
      <x:c r="U1035" s="19" t="str">
        <x:v>station-component|押上|東京地下鉄|metro|35.7087|139.8137|</x:v>
      </x:c>
      <x:c r="V1035" s="19" t="str">
        <x:v>003526 / 003540 / 11号線半蔵門線</x:v>
      </x:c>
      <x:c r="W1035" s="18" t="str">
        <x:v>否</x:v>
      </x:c>
      <x:c r="X1035" s="18" t="str">
        <x:v>0785e932a32b3ec15e1a1345537ae145eafe1c07bf38d5c16c11ee2b391e7a28</x:v>
      </x:c>
      <x:c r="Y1035" s="20" t="n">
        <x:v>1</x:v>
      </x:c>
      <x:c r="Z1035" s="20" t="n">
        <x:v>1</x:v>
      </x:c>
      <x:c r="AA1035" s="19" t="str">
        <x:v>押上・とうきょうスカイツリー</x:v>
      </x:c>
      <x:c r="AB1035" s="18" t="str">
        <x:v>transport-hub-review:26958e45-17bf-5070-bf9c-0a77198b34a2</x:v>
      </x:c>
      <x:c r="AC1035" s="19"/>
    </x:row>
    <x:row r="1036" ht="33" customHeight="1">
      <x:c r="A1036" s="18" t="str">
        <x:v>押上</x:v>
      </x:c>
      <x:c r="B1036" s="18" t="str">
        <x:v>東京都</x:v>
      </x:c>
      <x:c r="C1036" s="18" t="str">
        <x:v>metro</x:v>
      </x:c>
      <x:c r="D1036" s="19"/>
      <x:c r="E1036" s="20"/>
      <x:c r="F1036" s="18"/>
      <x:c r="G1036" s="18" t="str">
        <x:v>FY2024</x:v>
      </x:c>
      <x:c r="H1036" s="18" t="str">
        <x:v>是</x:v>
      </x:c>
      <x:c r="I1036" s="19" t="str">
        <x:v>USAGE_DATA_UNAVAILABLE</x:v>
      </x:c>
      <x:c r="J1036" s="19" t="str">
        <x:v>1号線浅草線</x:v>
      </x:c>
      <x:c r="K1036" s="18" t="str">
        <x:v>transport-node:8c77979d-1d3b-5bf3-8caf-897a38713074</x:v>
      </x:c>
      <x:c r="L1036" s="19" t="str">
        <x:v>组件待审核</x:v>
      </x:c>
      <x:c r="M1036" s="21" t="n">
        <x:v>35.71022</x:v>
      </x:c>
      <x:c r="N1036" s="21" t="n">
        <x:v>139.81241</x:v>
      </x:c>
      <x:c r="O1036" s="18" t="str">
        <x:v>003526</x:v>
      </x:c>
      <x:c r="P1036" s="18" t="str">
        <x:v>1号線浅草線</x:v>
      </x:c>
      <x:c r="Q1036" s="19" t="str">
        <x:v>OFFICIAL_HUB_COMPONENT_REVIEW</x:v>
      </x:c>
      <x:c r="R1036" s="19" t="str">
        <x:v>Official S12 usage unavailable; manual tier review required</x:v>
      </x:c>
      <x:c r="S1036" s="19" t="str">
        <x:v>https://nlftp.mlit.go.jp/ksj/gml/datalist/KsjTmplt-S12-2024.html</x:v>
      </x:c>
      <x:c r="T1036" s="19" t="str">
        <x:v>https://nlftp.mlit.go.jp/ksj/gml/datalist/KsjTmplt-S12-2024.html
https://www.tokyometro.jp/station/oshiage/index.html</x:v>
      </x:c>
      <x:c r="U1036" s="19" t="str">
        <x:v>station-component|押上|東京都|metro|35.7102|139.8124|</x:v>
      </x:c>
      <x:c r="V1036" s="19" t="str">
        <x:v>003526 / 003526 / 1号線浅草線</x:v>
      </x:c>
      <x:c r="W1036" s="18" t="str">
        <x:v>否</x:v>
      </x:c>
      <x:c r="X1036" s="18" t="str">
        <x:v>0785e932a32b3ec15e1a1345537ae145eafe1c07bf38d5c16c11ee2b391e7a28</x:v>
      </x:c>
      <x:c r="Y1036" s="20" t="n">
        <x:v>1</x:v>
      </x:c>
      <x:c r="Z1036" s="20" t="n">
        <x:v>2</x:v>
      </x:c>
      <x:c r="AA1036" s="19" t="str">
        <x:v>押上・とうきょうスカイツリー</x:v>
      </x:c>
      <x:c r="AB1036" s="18" t="str">
        <x:v>transport-hub-review:26958e45-17bf-5070-bf9c-0a77198b34a2</x:v>
      </x:c>
      <x:c r="AC1036" s="19"/>
    </x:row>
    <x:row r="1037" ht="33" customHeight="1">
      <x:c r="A1037" s="18" t="str">
        <x:v>押上</x:v>
      </x:c>
      <x:c r="B1037" s="18" t="str">
        <x:v>東武鉄道</x:v>
      </x:c>
      <x:c r="C1037" s="18" t="str">
        <x:v>private_rail</x:v>
      </x:c>
      <x:c r="D1037" s="19" t="str">
        <x:v>T1</x:v>
      </x:c>
      <x:c r="E1037" s="20" t="n">
        <x:v>119805</x:v>
      </x:c>
      <x:c r="F1037" s="18" t="str">
        <x:v>persons/day</x:v>
      </x:c>
      <x:c r="G1037" s="18" t="str">
        <x:v>FY2024</x:v>
      </x:c>
      <x:c r="H1037" s="18" t="str">
        <x:v>否</x:v>
      </x:c>
      <x:c r="I1037" s="19" t="str">
        <x:v>DAILY_ENTRIES_EXITS</x:v>
      </x:c>
      <x:c r="J1037" s="19" t="str">
        <x:v>伊勢崎線</x:v>
      </x:c>
      <x:c r="K1037" s="18" t="str">
        <x:v>transport-node:49047f67-991e-5ce2-a06e-65eb379e64d9</x:v>
      </x:c>
      <x:c r="L1037" s="19" t="str">
        <x:v>组件待审核</x:v>
      </x:c>
      <x:c r="M1037" s="21" t="n">
        <x:v>35.7086833</x:v>
      </x:c>
      <x:c r="N1037" s="21" t="n">
        <x:v>139.81369</x:v>
      </x:c>
      <x:c r="O1037" s="18" t="str">
        <x:v>003541</x:v>
      </x:c>
      <x:c r="P1037" s="18" t="str">
        <x:v>伊勢崎線</x:v>
      </x:c>
      <x:c r="Q1037" s="19" t="str">
        <x:v>S12_061_GE_10000
OFFICIAL_HUB_COMPONENT_REVIEW</x:v>
      </x:c>
      <x:c r="R1037" s="19" t="str">
        <x:v>S12_061 usage threshold</x:v>
      </x:c>
      <x:c r="S1037" s="19" t="str">
        <x:v>https://nlftp.mlit.go.jp/ksj/gml/datalist/KsjTmplt-S12-2024.html</x:v>
      </x:c>
      <x:c r="T1037" s="19" t="str">
        <x:v>https://nlftp.mlit.go.jp/ksj/gml/datalist/KsjTmplt-S12-2024.html
https://www.tokyometro.jp/station/oshiage/index.html</x:v>
      </x:c>
      <x:c r="U1037" s="19" t="str">
        <x:v>station-component|押上|東武鉄道|private_rail|35.7087|139.8137|</x:v>
      </x:c>
      <x:c r="V1037" s="19" t="str">
        <x:v>003526 / 003541 / 伊勢崎線</x:v>
      </x:c>
      <x:c r="W1037" s="18" t="str">
        <x:v>否</x:v>
      </x:c>
      <x:c r="X1037" s="18" t="str">
        <x:v>0785e932a32b3ec15e1a1345537ae145eafe1c07bf38d5c16c11ee2b391e7a28</x:v>
      </x:c>
      <x:c r="Y1037" s="20" t="n">
        <x:v>1</x:v>
      </x:c>
      <x:c r="Z1037" s="20" t="n">
        <x:v>1</x:v>
      </x:c>
      <x:c r="AA1037" s="19" t="str">
        <x:v>押上・とうきょうスカイツリー</x:v>
      </x:c>
      <x:c r="AB1037" s="18" t="str">
        <x:v>transport-hub-review:26958e45-17bf-5070-bf9c-0a77198b34a2</x:v>
      </x:c>
      <x:c r="AC1037" s="19"/>
    </x:row>
    <x:row r="1038" ht="47" customHeight="1">
      <x:c r="A1038" s="18" t="str">
        <x:v>拝島</x:v>
      </x:c>
      <x:c r="B1038" s="18" t="str">
        <x:v>東日本旅客鉄道</x:v>
      </x:c>
      <x:c r="C1038" s="18" t="str">
        <x:v>conventional_rail</x:v>
      </x:c>
      <x:c r="D1038" s="19" t="str">
        <x:v>T1</x:v>
      </x:c>
      <x:c r="E1038" s="20" t="n">
        <x:v>56842</x:v>
      </x:c>
      <x:c r="F1038" s="18" t="str">
        <x:v>persons/day</x:v>
      </x:c>
      <x:c r="G1038" s="18" t="str">
        <x:v>FY2024</x:v>
      </x:c>
      <x:c r="H1038" s="18" t="str">
        <x:v>否</x:v>
      </x:c>
      <x:c r="I1038" s="19" t="str">
        <x:v>DAILY_ENTRIES_EXITS</x:v>
      </x:c>
      <x:c r="J1038" s="19" t="str">
        <x:v>五日市線
八高線
青梅線</x:v>
      </x:c>
      <x:c r="K1038" s="18" t="str">
        <x:v>transport-node:b921f6fb-8bc8-5f0e-a9a0-bf6054644a5f</x:v>
      </x:c>
      <x:c r="L1038" s="19" t="str">
        <x:v>组件待审核</x:v>
      </x:c>
      <x:c r="M1038" s="21" t="n">
        <x:v>35.7213167</x:v>
      </x:c>
      <x:c r="N1038" s="21" t="n">
        <x:v>139.3433767</x:v>
      </x:c>
      <x:c r="O1038" s="18" t="str">
        <x:v>003465</x:v>
      </x:c>
      <x:c r="P1038" s="18" t="str">
        <x:v>青梅線</x:v>
      </x:c>
      <x:c r="Q1038" s="19" t="str">
        <x:v>S12_061_GE_10000
OFFICIAL_HUB_COMPONENT_REVIEW</x:v>
      </x:c>
      <x:c r="R1038" s="19" t="str">
        <x:v>S12_061 usage threshold</x:v>
      </x:c>
      <x:c r="S1038" s="19" t="str">
        <x:v>https://nlftp.mlit.go.jp/ksj/gml/datalist/KsjTmplt-S12-2024.html</x:v>
      </x:c>
      <x:c r="T1038" s="19" t="str">
        <x:v>https://nlftp.mlit.go.jp/ksj/gml/datalist/KsjTmplt-S12-2024.html
https://www.seiburailway.jp/railway/station/</x:v>
      </x:c>
      <x:c r="U1038" s="19" t="str">
        <x:v>station-component|拝島|東日本旅客鉄道|conventional_rail|35.7213|139.3434|</x:v>
      </x:c>
      <x:c r="V1038" s="19" t="str">
        <x:v>003462 / 003462 / 八高線
003462 / 003464 / 五日市線
003462 / 003465 / 青梅線</x:v>
      </x:c>
      <x:c r="W1038" s="18" t="str">
        <x:v>否</x:v>
      </x:c>
      <x:c r="X1038" s="18" t="str">
        <x:v>0785e932a32b3ec15e1a1345537ae145eafe1c07bf38d5c16c11ee2b391e7a28</x:v>
      </x:c>
      <x:c r="Y1038" s="20" t="n">
        <x:v>1</x:v>
      </x:c>
      <x:c r="Z1038" s="20" t="n">
        <x:v>1</x:v>
      </x:c>
      <x:c r="AA1038" s="19" t="str">
        <x:v>拝島</x:v>
      </x:c>
      <x:c r="AB1038" s="18" t="str">
        <x:v>transport-hub-review:5734665b-2298-5777-afc9-ac021678388c</x:v>
      </x:c>
      <x:c r="AC1038" s="19"/>
    </x:row>
    <x:row r="1039" ht="33" customHeight="1">
      <x:c r="A1039" s="18" t="str">
        <x:v>拝島</x:v>
      </x:c>
      <x:c r="B1039" s="18" t="str">
        <x:v>西武鉄道</x:v>
      </x:c>
      <x:c r="C1039" s="18" t="str">
        <x:v>private_rail</x:v>
      </x:c>
      <x:c r="D1039" s="19" t="str">
        <x:v>T2</x:v>
      </x:c>
      <x:c r="E1039" s="20" t="n">
        <x:v>33874</x:v>
      </x:c>
      <x:c r="F1039" s="18" t="str">
        <x:v>persons/day</x:v>
      </x:c>
      <x:c r="G1039" s="18" t="str">
        <x:v>FY2024</x:v>
      </x:c>
      <x:c r="H1039" s="18" t="str">
        <x:v>否</x:v>
      </x:c>
      <x:c r="I1039" s="19" t="str">
        <x:v>DAILY_ENTRIES_EXITS</x:v>
      </x:c>
      <x:c r="J1039" s="19" t="str">
        <x:v>拝島線</x:v>
      </x:c>
      <x:c r="K1039" s="18" t="str">
        <x:v>transport-node:8cb9c1d1-c4c2-5b21-99f2-1298e1f8fe5e</x:v>
      </x:c>
      <x:c r="L1039" s="19" t="str">
        <x:v>组件待审核</x:v>
      </x:c>
      <x:c r="M1039" s="21" t="n">
        <x:v>35.72111</x:v>
      </x:c>
      <x:c r="N1039" s="21" t="n">
        <x:v>139.3441667</x:v>
      </x:c>
      <x:c r="O1039" s="18" t="str">
        <x:v>003466</x:v>
      </x:c>
      <x:c r="P1039" s="18" t="str">
        <x:v>拝島線</x:v>
      </x:c>
      <x:c r="Q1039" s="19" t="str">
        <x:v>S12_061_GE_10000
OFFICIAL_HUB_COMPONENT_REVIEW</x:v>
      </x:c>
      <x:c r="R1039" s="19" t="str">
        <x:v>S12_061 usage threshold</x:v>
      </x:c>
      <x:c r="S1039" s="19" t="str">
        <x:v>https://nlftp.mlit.go.jp/ksj/gml/datalist/KsjTmplt-S12-2024.html</x:v>
      </x:c>
      <x:c r="T1039" s="19" t="str">
        <x:v>https://nlftp.mlit.go.jp/ksj/gml/datalist/KsjTmplt-S12-2024.html
https://www.seiburailway.jp/railway/station/</x:v>
      </x:c>
      <x:c r="U1039" s="19" t="str">
        <x:v>station-component|拝島|西武鉄道|private_rail|35.7211|139.3442|</x:v>
      </x:c>
      <x:c r="V1039" s="19" t="str">
        <x:v>003462 / 003466 / 拝島線</x:v>
      </x:c>
      <x:c r="W1039" s="18" t="str">
        <x:v>否</x:v>
      </x:c>
      <x:c r="X1039" s="18" t="str">
        <x:v>0785e932a32b3ec15e1a1345537ae145eafe1c07bf38d5c16c11ee2b391e7a28</x:v>
      </x:c>
      <x:c r="Y1039" s="20" t="n">
        <x:v>1</x:v>
      </x:c>
      <x:c r="Z1039" s="20" t="n">
        <x:v>1</x:v>
      </x:c>
      <x:c r="AA1039" s="19" t="str">
        <x:v>拝島</x:v>
      </x:c>
      <x:c r="AB1039" s="18" t="str">
        <x:v>transport-hub-review:5734665b-2298-5777-afc9-ac021678388c</x:v>
      </x:c>
      <x:c r="AC1039" s="19"/>
    </x:row>
    <x:row r="1040" ht="28" customHeight="1">
      <x:c r="A1040" s="18" t="str">
        <x:v>指扇</x:v>
      </x:c>
      <x:c r="B1040" s="18" t="str">
        <x:v>東日本旅客鉄道</x:v>
      </x:c>
      <x:c r="C1040" s="18" t="str">
        <x:v>conventional_rail</x:v>
      </x:c>
      <x:c r="D1040" s="19" t="str">
        <x:v>T2</x:v>
      </x:c>
      <x:c r="E1040" s="20" t="n">
        <x:v>19130</x:v>
      </x:c>
      <x:c r="F1040" s="18" t="str">
        <x:v>persons/day</x:v>
      </x:c>
      <x:c r="G1040" s="18" t="str">
        <x:v>FY2024</x:v>
      </x:c>
      <x:c r="H1040" s="18" t="str">
        <x:v>否</x:v>
      </x:c>
      <x:c r="I1040" s="19" t="str">
        <x:v>DAILY_ENTRIES_EXITS</x:v>
      </x:c>
      <x:c r="J1040" s="19" t="str">
        <x:v>川越線</x:v>
      </x:c>
      <x:c r="K1040" s="18" t="str">
        <x:v>transport-node:2e9cabc3-74dd-5bd1-be51-2e118520951e</x:v>
      </x:c>
      <x:c r="L1040" s="19" t="str">
        <x:v>组件待审核</x:v>
      </x:c>
      <x:c r="M1040" s="21" t="n">
        <x:v>35.916965</x:v>
      </x:c>
      <x:c r="N1040" s="21" t="n">
        <x:v>139.56497</x:v>
      </x:c>
      <x:c r="O1040" s="18" t="str">
        <x:v>002891</x:v>
      </x:c>
      <x:c r="P1040" s="18" t="str">
        <x:v>川越線</x:v>
      </x:c>
      <x:c r="Q1040" s="19" t="str">
        <x:v>S12_061_GE_10000</x:v>
      </x:c>
      <x:c r="R1040" s="19" t="str">
        <x:v>S12_061 usage threshold</x:v>
      </x:c>
      <x:c r="S1040" s="19" t="str">
        <x:v>https://nlftp.mlit.go.jp/ksj/gml/datalist/KsjTmplt-S12-2024.html</x:v>
      </x:c>
      <x:c r="T1040" s="19" t="str">
        <x:v>https://nlftp.mlit.go.jp/ksj/gml/datalist/KsjTmplt-S12-2024.html</x:v>
      </x:c>
      <x:c r="U1040" s="19" t="str">
        <x:v>station-component|指扇|東日本旅客鉄道|conventional_rail|35.9170|139.5650|</x:v>
      </x:c>
      <x:c r="V1040" s="19" t="str">
        <x:v>002891 / 002891 / 川越線</x:v>
      </x:c>
      <x:c r="W1040" s="18" t="str">
        <x:v>否</x:v>
      </x:c>
      <x:c r="X1040" s="18" t="str">
        <x:v>0785e932a32b3ec15e1a1345537ae145eafe1c07bf38d5c16c11ee2b391e7a28</x:v>
      </x:c>
      <x:c r="Y1040" s="20" t="n">
        <x:v>1</x:v>
      </x:c>
      <x:c r="Z1040" s="20" t="n">
        <x:v>1</x:v>
      </x:c>
      <x:c r="AA1040" s="19"/>
      <x:c r="AB1040" s="18"/>
      <x:c r="AC1040" s="19"/>
    </x:row>
    <x:row r="1041" ht="28" customHeight="1">
      <x:c r="A1041" s="18" t="str">
        <x:v>掛川</x:v>
      </x:c>
      <x:c r="B1041" s="18" t="str">
        <x:v>東海旅客鉄道</x:v>
      </x:c>
      <x:c r="C1041" s="18" t="str">
        <x:v>conventional_rail</x:v>
      </x:c>
      <x:c r="D1041" s="19" t="str">
        <x:v>T2</x:v>
      </x:c>
      <x:c r="E1041" s="20" t="n">
        <x:v>21959</x:v>
      </x:c>
      <x:c r="F1041" s="18" t="str">
        <x:v>persons/day</x:v>
      </x:c>
      <x:c r="G1041" s="18" t="str">
        <x:v>FY2024</x:v>
      </x:c>
      <x:c r="H1041" s="18" t="str">
        <x:v>否</x:v>
      </x:c>
      <x:c r="I1041" s="19" t="str">
        <x:v>DAILY_ENTRIES_EXITS</x:v>
      </x:c>
      <x:c r="J1041" s="19" t="str">
        <x:v>東海道線</x:v>
      </x:c>
      <x:c r="K1041" s="18" t="str">
        <x:v>transport-node:0435c98e-e538-5463-ae12-f206815524cc</x:v>
      </x:c>
      <x:c r="L1041" s="19" t="str">
        <x:v>组件待审核</x:v>
      </x:c>
      <x:c r="M1041" s="21" t="n">
        <x:v>34.7694033</x:v>
      </x:c>
      <x:c r="N1041" s="21" t="n">
        <x:v>138.0145433</x:v>
      </x:c>
      <x:c r="O1041" s="18" t="str">
        <x:v>006746</x:v>
      </x:c>
      <x:c r="P1041" s="18" t="str">
        <x:v>東海道線</x:v>
      </x:c>
      <x:c r="Q1041" s="19" t="str">
        <x:v>S12_061_GE_10000</x:v>
      </x:c>
      <x:c r="R1041" s="19" t="str">
        <x:v>S12_061 usage threshold</x:v>
      </x:c>
      <x:c r="S1041" s="19" t="str">
        <x:v>https://nlftp.mlit.go.jp/ksj/gml/datalist/KsjTmplt-S12-2024.html</x:v>
      </x:c>
      <x:c r="T1041" s="19" t="str">
        <x:v>https://nlftp.mlit.go.jp/ksj/gml/datalist/KsjTmplt-S12-2024.html</x:v>
      </x:c>
      <x:c r="U1041" s="19" t="str">
        <x:v>station-component|掛川|東海旅客鉄道|conventional_rail|34.7694|138.0145|</x:v>
      </x:c>
      <x:c r="V1041" s="19" t="str">
        <x:v>006746 / 006746 / 東海道線</x:v>
      </x:c>
      <x:c r="W1041" s="18" t="str">
        <x:v>否</x:v>
      </x:c>
      <x:c r="X1041" s="18" t="str">
        <x:v>0785e932a32b3ec15e1a1345537ae145eafe1c07bf38d5c16c11ee2b391e7a28</x:v>
      </x:c>
      <x:c r="Y1041" s="20" t="n">
        <x:v>1</x:v>
      </x:c>
      <x:c r="Z1041" s="20" t="n">
        <x:v>1</x:v>
      </x:c>
      <x:c r="AA1041" s="19"/>
      <x:c r="AB1041" s="18"/>
      <x:c r="AC1041" s="19"/>
    </x:row>
    <x:row r="1042" ht="28" customHeight="1">
      <x:c r="A1042" s="18" t="str">
        <x:v>掛川</x:v>
      </x:c>
      <x:c r="B1042" s="18" t="str">
        <x:v>東海旅客鉄道</x:v>
      </x:c>
      <x:c r="C1042" s="18" t="str">
        <x:v>shinkansen</x:v>
      </x:c>
      <x:c r="D1042" s="19"/>
      <x:c r="E1042" s="20"/>
      <x:c r="F1042" s="18"/>
      <x:c r="G1042" s="18" t="str">
        <x:v>FY2024</x:v>
      </x:c>
      <x:c r="H1042" s="18" t="str">
        <x:v>是</x:v>
      </x:c>
      <x:c r="I1042" s="19" t="str">
        <x:v>USAGE_DATA_UNAVAILABLE</x:v>
      </x:c>
      <x:c r="J1042" s="19" t="str">
        <x:v>東海道新幹線</x:v>
      </x:c>
      <x:c r="K1042" s="18" t="str">
        <x:v>transport-node:d7497207-3073-5803-b1a4-11f831c49463</x:v>
      </x:c>
      <x:c r="L1042" s="19" t="str">
        <x:v>组件待审核</x:v>
      </x:c>
      <x:c r="M1042" s="21" t="n">
        <x:v>34.76925</x:v>
      </x:c>
      <x:c r="N1042" s="21" t="n">
        <x:v>138.0159983</x:v>
      </x:c>
      <x:c r="O1042" s="18" t="str">
        <x:v>006748</x:v>
      </x:c>
      <x:c r="P1042" s="18" t="str">
        <x:v>東海道新幹線</x:v>
      </x:c>
      <x:c r="Q1042" s="19" t="str">
        <x:v>SHINKANSEN</x:v>
      </x:c>
      <x:c r="R1042" s="19" t="str">
        <x:v>Official S12 usage unavailable; manual tier review required</x:v>
      </x:c>
      <x:c r="S1042" s="19" t="str">
        <x:v>https://nlftp.mlit.go.jp/ksj/gml/datalist/KsjTmplt-S12-2024.html</x:v>
      </x:c>
      <x:c r="T1042" s="19" t="str">
        <x:v>https://nlftp.mlit.go.jp/ksj/gml/datalist/KsjTmplt-S12-2024.html</x:v>
      </x:c>
      <x:c r="U1042" s="19" t="str">
        <x:v>station-component|掛川|東海旅客鉄道|shinkansen|34.7692|138.0160|</x:v>
      </x:c>
      <x:c r="V1042" s="19" t="str">
        <x:v>006746 / 006748 / 東海道新幹線</x:v>
      </x:c>
      <x:c r="W1042" s="18" t="str">
        <x:v>否</x:v>
      </x:c>
      <x:c r="X1042" s="18" t="str">
        <x:v>0785e932a32b3ec15e1a1345537ae145eafe1c07bf38d5c16c11ee2b391e7a28</x:v>
      </x:c>
      <x:c r="Y1042" s="20" t="n">
        <x:v>1</x:v>
      </x:c>
      <x:c r="Z1042" s="20" t="n">
        <x:v>2</x:v>
      </x:c>
      <x:c r="AA1042" s="19"/>
      <x:c r="AB1042" s="18"/>
      <x:c r="AC1042" s="19"/>
    </x:row>
    <x:row r="1043" ht="28" customHeight="1">
      <x:c r="A1043" s="18" t="str">
        <x:v>摂津富田</x:v>
      </x:c>
      <x:c r="B1043" s="18" t="str">
        <x:v>西日本旅客鉄道</x:v>
      </x:c>
      <x:c r="C1043" s="18" t="str">
        <x:v>conventional_rail</x:v>
      </x:c>
      <x:c r="D1043" s="19" t="str">
        <x:v>T2</x:v>
      </x:c>
      <x:c r="E1043" s="20" t="n">
        <x:v>37308</x:v>
      </x:c>
      <x:c r="F1043" s="18" t="str">
        <x:v>persons/day</x:v>
      </x:c>
      <x:c r="G1043" s="18" t="str">
        <x:v>FY2024</x:v>
      </x:c>
      <x:c r="H1043" s="18" t="str">
        <x:v>否</x:v>
      </x:c>
      <x:c r="I1043" s="19" t="str">
        <x:v>DAILY_ENTRIES_EXITS</x:v>
      </x:c>
      <x:c r="J1043" s="19" t="str">
        <x:v>東海道線</x:v>
      </x:c>
      <x:c r="K1043" s="18" t="str">
        <x:v>transport-node:ab5e21c5-0f55-5691-818a-2b724a5f6e57</x:v>
      </x:c>
      <x:c r="L1043" s="19" t="str">
        <x:v>组件待审核</x:v>
      </x:c>
      <x:c r="M1043" s="21" t="n">
        <x:v>34.83768</x:v>
      </x:c>
      <x:c r="N1043" s="21" t="n">
        <x:v>135.59333</x:v>
      </x:c>
      <x:c r="O1043" s="18" t="str">
        <x:v>006467</x:v>
      </x:c>
      <x:c r="P1043" s="18" t="str">
        <x:v>東海道線</x:v>
      </x:c>
      <x:c r="Q1043" s="19" t="str">
        <x:v>S12_061_GE_10000</x:v>
      </x:c>
      <x:c r="R1043" s="19" t="str">
        <x:v>S12_061 usage threshold</x:v>
      </x:c>
      <x:c r="S1043" s="19" t="str">
        <x:v>https://nlftp.mlit.go.jp/ksj/gml/datalist/KsjTmplt-S12-2024.html</x:v>
      </x:c>
      <x:c r="T1043" s="19" t="str">
        <x:v>https://nlftp.mlit.go.jp/ksj/gml/datalist/KsjTmplt-S12-2024.html</x:v>
      </x:c>
      <x:c r="U1043" s="19" t="str">
        <x:v>station-component|摂津富田|西日本旅客鉄道|conventional_rail|34.8377|135.5933|</x:v>
      </x:c>
      <x:c r="V1043" s="19" t="str">
        <x:v>006467 / 006467 / 東海道線</x:v>
      </x:c>
      <x:c r="W1043" s="18" t="str">
        <x:v>否</x:v>
      </x:c>
      <x:c r="X1043" s="18" t="str">
        <x:v>0785e932a32b3ec15e1a1345537ae145eafe1c07bf38d5c16c11ee2b391e7a28</x:v>
      </x:c>
      <x:c r="Y1043" s="20" t="n">
        <x:v>1</x:v>
      </x:c>
      <x:c r="Z1043" s="20" t="n">
        <x:v>1</x:v>
      </x:c>
      <x:c r="AA1043" s="19"/>
      <x:c r="AB1043" s="18"/>
      <x:c r="AC1043" s="19"/>
    </x:row>
    <x:row r="1044" ht="28" customHeight="1">
      <x:c r="A1044" s="18" t="str">
        <x:v>摂津市</x:v>
      </x:c>
      <x:c r="B1044" s="18" t="str">
        <x:v>阪急電鉄</x:v>
      </x:c>
      <x:c r="C1044" s="18" t="str">
        <x:v>private_rail</x:v>
      </x:c>
      <x:c r="D1044" s="19" t="str">
        <x:v>T2</x:v>
      </x:c>
      <x:c r="E1044" s="20" t="n">
        <x:v>10922</x:v>
      </x:c>
      <x:c r="F1044" s="18" t="str">
        <x:v>persons/day</x:v>
      </x:c>
      <x:c r="G1044" s="18" t="str">
        <x:v>FY2024</x:v>
      </x:c>
      <x:c r="H1044" s="18" t="str">
        <x:v>否</x:v>
      </x:c>
      <x:c r="I1044" s="19" t="str">
        <x:v>DAILY_ENTRIES_EXITS</x:v>
      </x:c>
      <x:c r="J1044" s="19" t="str">
        <x:v>京都線</x:v>
      </x:c>
      <x:c r="K1044" s="18" t="str">
        <x:v>transport-node:bead2733-0fd8-5774-bbb4-80f57993cb19</x:v>
      </x:c>
      <x:c r="L1044" s="19" t="str">
        <x:v>组件待审核</x:v>
      </x:c>
      <x:c r="M1044" s="21" t="n">
        <x:v>34.786369</x:v>
      </x:c>
      <x:c r="N1044" s="21" t="n">
        <x:v>135.553684</x:v>
      </x:c>
      <x:c r="O1044" s="18" t="str">
        <x:v>006695</x:v>
      </x:c>
      <x:c r="P1044" s="18" t="str">
        <x:v>京都線</x:v>
      </x:c>
      <x:c r="Q1044" s="19" t="str">
        <x:v>S12_061_GE_10000</x:v>
      </x:c>
      <x:c r="R1044" s="19" t="str">
        <x:v>S12_061 usage threshold</x:v>
      </x:c>
      <x:c r="S1044" s="19" t="str">
        <x:v>https://nlftp.mlit.go.jp/ksj/gml/datalist/KsjTmplt-S12-2024.html</x:v>
      </x:c>
      <x:c r="T1044" s="19" t="str">
        <x:v>https://nlftp.mlit.go.jp/ksj/gml/datalist/KsjTmplt-S12-2024.html</x:v>
      </x:c>
      <x:c r="U1044" s="19" t="str">
        <x:v>station-component|摂津市|阪急電鉄|private_rail|34.7864|135.5537|</x:v>
      </x:c>
      <x:c r="V1044" s="19" t="str">
        <x:v>006695 / 006695 / 京都線</x:v>
      </x:c>
      <x:c r="W1044" s="18" t="str">
        <x:v>否</x:v>
      </x:c>
      <x:c r="X1044" s="18" t="str">
        <x:v>0785e932a32b3ec15e1a1345537ae145eafe1c07bf38d5c16c11ee2b391e7a28</x:v>
      </x:c>
      <x:c r="Y1044" s="20" t="n">
        <x:v>1</x:v>
      </x:c>
      <x:c r="Z1044" s="20" t="n">
        <x:v>1</x:v>
      </x:c>
      <x:c r="AA1044" s="19"/>
      <x:c r="AB1044" s="18"/>
      <x:c r="AC1044" s="19"/>
    </x:row>
    <x:row r="1045" ht="28" customHeight="1">
      <x:c r="A1045" s="18" t="str">
        <x:v>摂津本山</x:v>
      </x:c>
      <x:c r="B1045" s="18" t="str">
        <x:v>西日本旅客鉄道</x:v>
      </x:c>
      <x:c r="C1045" s="18" t="str">
        <x:v>conventional_rail</x:v>
      </x:c>
      <x:c r="D1045" s="19" t="str">
        <x:v>T2</x:v>
      </x:c>
      <x:c r="E1045" s="20" t="n">
        <x:v>38984</x:v>
      </x:c>
      <x:c r="F1045" s="18" t="str">
        <x:v>persons/day</x:v>
      </x:c>
      <x:c r="G1045" s="18" t="str">
        <x:v>FY2024</x:v>
      </x:c>
      <x:c r="H1045" s="18" t="str">
        <x:v>否</x:v>
      </x:c>
      <x:c r="I1045" s="19" t="str">
        <x:v>DAILY_ENTRIES_EXITS</x:v>
      </x:c>
      <x:c r="J1045" s="19" t="str">
        <x:v>東海道線</x:v>
      </x:c>
      <x:c r="K1045" s="18" t="str">
        <x:v>transport-node:d478bb77-d8f9-5f72-9a84-997b38ebe285</x:v>
      </x:c>
      <x:c r="L1045" s="19" t="str">
        <x:v>组件待审核</x:v>
      </x:c>
      <x:c r="M1045" s="21" t="n">
        <x:v>34.726805</x:v>
      </x:c>
      <x:c r="N1045" s="21" t="n">
        <x:v>135.27757</x:v>
      </x:c>
      <x:c r="O1045" s="18" t="str">
        <x:v>006941</x:v>
      </x:c>
      <x:c r="P1045" s="18" t="str">
        <x:v>東海道線</x:v>
      </x:c>
      <x:c r="Q1045" s="19" t="str">
        <x:v>S12_061_GE_10000</x:v>
      </x:c>
      <x:c r="R1045" s="19" t="str">
        <x:v>S12_061 usage threshold</x:v>
      </x:c>
      <x:c r="S1045" s="19" t="str">
        <x:v>https://nlftp.mlit.go.jp/ksj/gml/datalist/KsjTmplt-S12-2024.html</x:v>
      </x:c>
      <x:c r="T1045" s="19" t="str">
        <x:v>https://nlftp.mlit.go.jp/ksj/gml/datalist/KsjTmplt-S12-2024.html</x:v>
      </x:c>
      <x:c r="U1045" s="19" t="str">
        <x:v>station-component|摂津本山|西日本旅客鉄道|conventional_rail|34.7268|135.2776|</x:v>
      </x:c>
      <x:c r="V1045" s="19" t="str">
        <x:v>006941 / 006941 / 東海道線</x:v>
      </x:c>
      <x:c r="W1045" s="18" t="str">
        <x:v>否</x:v>
      </x:c>
      <x:c r="X1045" s="18" t="str">
        <x:v>0785e932a32b3ec15e1a1345537ae145eafe1c07bf38d5c16c11ee2b391e7a28</x:v>
      </x:c>
      <x:c r="Y1045" s="20" t="n">
        <x:v>1</x:v>
      </x:c>
      <x:c r="Z1045" s="20" t="n">
        <x:v>1</x:v>
      </x:c>
      <x:c r="AA1045" s="19"/>
      <x:c r="AB1045" s="18"/>
      <x:c r="AC1045" s="19"/>
    </x:row>
    <x:row r="1046" ht="28" customHeight="1">
      <x:c r="A1046" s="18" t="str">
        <x:v>摩耶</x:v>
      </x:c>
      <x:c r="B1046" s="18" t="str">
        <x:v>西日本旅客鉄道</x:v>
      </x:c>
      <x:c r="C1046" s="18" t="str">
        <x:v>conventional_rail</x:v>
      </x:c>
      <x:c r="D1046" s="19" t="str">
        <x:v>T2</x:v>
      </x:c>
      <x:c r="E1046" s="20" t="n">
        <x:v>13572</x:v>
      </x:c>
      <x:c r="F1046" s="18" t="str">
        <x:v>persons/day</x:v>
      </x:c>
      <x:c r="G1046" s="18" t="str">
        <x:v>FY2024</x:v>
      </x:c>
      <x:c r="H1046" s="18" t="str">
        <x:v>否</x:v>
      </x:c>
      <x:c r="I1046" s="19" t="str">
        <x:v>DAILY_ENTRIES_EXITS</x:v>
      </x:c>
      <x:c r="J1046" s="19" t="str">
        <x:v>東海道線</x:v>
      </x:c>
      <x:c r="K1046" s="18" t="str">
        <x:v>transport-node:41506842-f02c-574c-b620-648155ae5d85</x:v>
      </x:c>
      <x:c r="L1046" s="19" t="str">
        <x:v>组件待审核</x:v>
      </x:c>
      <x:c r="M1046" s="21" t="n">
        <x:v>34.7085198</x:v>
      </x:c>
      <x:c r="N1046" s="21" t="n">
        <x:v>135.224752</x:v>
      </x:c>
      <x:c r="O1046" s="18" t="str">
        <x:v>007033</x:v>
      </x:c>
      <x:c r="P1046" s="18" t="str">
        <x:v>東海道線</x:v>
      </x:c>
      <x:c r="Q1046" s="19" t="str">
        <x:v>S12_061_GE_10000</x:v>
      </x:c>
      <x:c r="R1046" s="19" t="str">
        <x:v>S12_061 usage threshold</x:v>
      </x:c>
      <x:c r="S1046" s="19" t="str">
        <x:v>https://nlftp.mlit.go.jp/ksj/gml/datalist/KsjTmplt-S12-2024.html</x:v>
      </x:c>
      <x:c r="T1046" s="19" t="str">
        <x:v>https://nlftp.mlit.go.jp/ksj/gml/datalist/KsjTmplt-S12-2024.html</x:v>
      </x:c>
      <x:c r="U1046" s="19" t="str">
        <x:v>station-component|摩耶|西日本旅客鉄道|conventional_rail|34.7085|135.2248|</x:v>
      </x:c>
      <x:c r="V1046" s="19" t="str">
        <x:v>007033 / 007033 / 東海道線</x:v>
      </x:c>
      <x:c r="W1046" s="18" t="str">
        <x:v>否</x:v>
      </x:c>
      <x:c r="X1046" s="18" t="str">
        <x:v>0785e932a32b3ec15e1a1345537ae145eafe1c07bf38d5c16c11ee2b391e7a28</x:v>
      </x:c>
      <x:c r="Y1046" s="20" t="n">
        <x:v>1</x:v>
      </x:c>
      <x:c r="Z1046" s="20" t="n">
        <x:v>1</x:v>
      </x:c>
      <x:c r="AA1046" s="19"/>
      <x:c r="AB1046" s="18"/>
      <x:c r="AC1046" s="19"/>
    </x:row>
    <x:row r="1047" ht="33" customHeight="1">
      <x:c r="A1047" s="18" t="str">
        <x:v>放出</x:v>
      </x:c>
      <x:c r="B1047" s="18" t="str">
        <x:v>西日本旅客鉄道</x:v>
      </x:c>
      <x:c r="C1047" s="18" t="str">
        <x:v>conventional_rail</x:v>
      </x:c>
      <x:c r="D1047" s="19" t="str">
        <x:v>T2</x:v>
      </x:c>
      <x:c r="E1047" s="20" t="n">
        <x:v>33764</x:v>
      </x:c>
      <x:c r="F1047" s="18" t="str">
        <x:v>persons/day</x:v>
      </x:c>
      <x:c r="G1047" s="18" t="str">
        <x:v>FY2024</x:v>
      </x:c>
      <x:c r="H1047" s="18" t="str">
        <x:v>否</x:v>
      </x:c>
      <x:c r="I1047" s="19" t="str">
        <x:v>DAILY_ENTRIES_EXITS</x:v>
      </x:c>
      <x:c r="J1047" s="19" t="str">
        <x:v>おおさか東線
片町線</x:v>
      </x:c>
      <x:c r="K1047" s="18" t="str">
        <x:v>transport-node:c5dcc187-7049-50c6-859e-c3ea516203cd</x:v>
      </x:c>
      <x:c r="L1047" s="19" t="str">
        <x:v>组件待审核</x:v>
      </x:c>
      <x:c r="M1047" s="21" t="n">
        <x:v>34.6879992</x:v>
      </x:c>
      <x:c r="N1047" s="21" t="n">
        <x:v>135.5631375</x:v>
      </x:c>
      <x:c r="O1047" s="18" t="str">
        <x:v>007163</x:v>
      </x:c>
      <x:c r="P1047" s="18" t="str">
        <x:v>片町線</x:v>
      </x:c>
      <x:c r="Q1047" s="19" t="str">
        <x:v>S12_061_GE_10000</x:v>
      </x:c>
      <x:c r="R1047" s="19" t="str">
        <x:v>S12_061 usage threshold</x:v>
      </x:c>
      <x:c r="S1047" s="19" t="str">
        <x:v>https://nlftp.mlit.go.jp/ksj/gml/datalist/KsjTmplt-S12-2024.html</x:v>
      </x:c>
      <x:c r="T1047" s="19" t="str">
        <x:v>https://nlftp.mlit.go.jp/ksj/gml/datalist/KsjTmplt-S12-2024.html</x:v>
      </x:c>
      <x:c r="U1047" s="19" t="str">
        <x:v>station-component|放出|西日本旅客鉄道|conventional_rail|34.6880|135.5631|</x:v>
      </x:c>
      <x:c r="V1047" s="19" t="str">
        <x:v>007162 / 007162 / おおさか東線
007162 / 007163 / 片町線</x:v>
      </x:c>
      <x:c r="W1047" s="18" t="str">
        <x:v>否</x:v>
      </x:c>
      <x:c r="X1047" s="18" t="str">
        <x:v>0785e932a32b3ec15e1a1345537ae145eafe1c07bf38d5c16c11ee2b391e7a28</x:v>
      </x:c>
      <x:c r="Y1047" s="20" t="n">
        <x:v>1</x:v>
      </x:c>
      <x:c r="Z1047" s="20" t="n">
        <x:v>1</x:v>
      </x:c>
      <x:c r="AA1047" s="19"/>
      <x:c r="AB1047" s="18"/>
      <x:c r="AC1047" s="19"/>
    </x:row>
    <x:row r="1048" ht="33" customHeight="1">
      <x:c r="A1048" s="18" t="str">
        <x:v>敦賀</x:v>
      </x:c>
      <x:c r="B1048" s="18" t="str">
        <x:v>西日本旅客鉄道</x:v>
      </x:c>
      <x:c r="C1048" s="18" t="str">
        <x:v>conventional_rail</x:v>
      </x:c>
      <x:c r="D1048" s="19" t="str">
        <x:v>T2</x:v>
      </x:c>
      <x:c r="E1048" s="20" t="n">
        <x:v>10726</x:v>
      </x:c>
      <x:c r="F1048" s="18" t="str">
        <x:v>persons/day</x:v>
      </x:c>
      <x:c r="G1048" s="18" t="str">
        <x:v>FY2024</x:v>
      </x:c>
      <x:c r="H1048" s="18" t="str">
        <x:v>否</x:v>
      </x:c>
      <x:c r="I1048" s="19" t="str">
        <x:v>DAILY_ENTRIES_EXITS</x:v>
      </x:c>
      <x:c r="J1048" s="19" t="str">
        <x:v>北陸線
小浜線</x:v>
      </x:c>
      <x:c r="K1048" s="18" t="str">
        <x:v>transport-node:2816d74d-4b6c-5be2-add5-7f480fde2b1d</x:v>
      </x:c>
      <x:c r="L1048" s="19" t="str">
        <x:v>组件待审核</x:v>
      </x:c>
      <x:c r="M1048" s="21" t="n">
        <x:v>35.6446925</x:v>
      </x:c>
      <x:c r="N1048" s="21" t="n">
        <x:v>136.0765875</x:v>
      </x:c>
      <x:c r="O1048" s="18" t="str">
        <x:v>004004</x:v>
      </x:c>
      <x:c r="P1048" s="18" t="str">
        <x:v>北陸線</x:v>
      </x:c>
      <x:c r="Q1048" s="19" t="str">
        <x:v>S12_061_GE_10000</x:v>
      </x:c>
      <x:c r="R1048" s="19" t="str">
        <x:v>S12_061 usage threshold</x:v>
      </x:c>
      <x:c r="S1048" s="19" t="str">
        <x:v>https://nlftp.mlit.go.jp/ksj/gml/datalist/KsjTmplt-S12-2024.html</x:v>
      </x:c>
      <x:c r="T1048" s="19" t="str">
        <x:v>https://nlftp.mlit.go.jp/ksj/gml/datalist/KsjTmplt-S12-2024.html</x:v>
      </x:c>
      <x:c r="U1048" s="19" t="str">
        <x:v>station-component|敦賀|西日本旅客鉄道|conventional_rail|35.6447|136.0766|</x:v>
      </x:c>
      <x:c r="V1048" s="19" t="str">
        <x:v>010186 / 004003 / 小浜線
010186 / 004004 / 北陸線</x:v>
      </x:c>
      <x:c r="W1048" s="18" t="str">
        <x:v>否</x:v>
      </x:c>
      <x:c r="X1048" s="18" t="str">
        <x:v>0785e932a32b3ec15e1a1345537ae145eafe1c07bf38d5c16c11ee2b391e7a28</x:v>
      </x:c>
      <x:c r="Y1048" s="20" t="n">
        <x:v>1</x:v>
      </x:c>
      <x:c r="Z1048" s="20" t="n">
        <x:v>1</x:v>
      </x:c>
      <x:c r="AA1048" s="19"/>
      <x:c r="AB1048" s="18"/>
      <x:c r="AC1048" s="19"/>
    </x:row>
    <x:row r="1049" ht="28" customHeight="1">
      <x:c r="A1049" s="18" t="str">
        <x:v>敦賀</x:v>
      </x:c>
      <x:c r="B1049" s="18" t="str">
        <x:v>西日本旅客鉄道</x:v>
      </x:c>
      <x:c r="C1049" s="18" t="str">
        <x:v>shinkansen</x:v>
      </x:c>
      <x:c r="D1049" s="19"/>
      <x:c r="E1049" s="20"/>
      <x:c r="F1049" s="18"/>
      <x:c r="G1049" s="18" t="str">
        <x:v>FY2024</x:v>
      </x:c>
      <x:c r="H1049" s="18" t="str">
        <x:v>是</x:v>
      </x:c>
      <x:c r="I1049" s="19" t="str">
        <x:v>USAGE_DATA_UNAVAILABLE</x:v>
      </x:c>
      <x:c r="J1049" s="19" t="str">
        <x:v>北陸新幹線</x:v>
      </x:c>
      <x:c r="K1049" s="18" t="str">
        <x:v>transport-node:d193fd5b-ae9e-5518-9f94-0610885e79fa</x:v>
      </x:c>
      <x:c r="L1049" s="19" t="str">
        <x:v>组件待审核</x:v>
      </x:c>
      <x:c r="M1049" s="21" t="n">
        <x:v>35.6449548</x:v>
      </x:c>
      <x:c r="N1049" s="21" t="n">
        <x:v>136.0779182</x:v>
      </x:c>
      <x:c r="O1049" s="18" t="str">
        <x:v>010181</x:v>
      </x:c>
      <x:c r="P1049" s="18" t="str">
        <x:v>北陸新幹線</x:v>
      </x:c>
      <x:c r="Q1049" s="19" t="str">
        <x:v>SHINKANSEN</x:v>
      </x:c>
      <x:c r="R1049" s="19" t="str">
        <x:v>Official S12 usage unavailable; manual tier review required</x:v>
      </x:c>
      <x:c r="S1049" s="19" t="str">
        <x:v>https://nlftp.mlit.go.jp/ksj/gml/datalist/KsjTmplt-S12-2024.html</x:v>
      </x:c>
      <x:c r="T1049" s="19" t="str">
        <x:v>https://nlftp.mlit.go.jp/ksj/gml/datalist/KsjTmplt-S12-2024.html</x:v>
      </x:c>
      <x:c r="U1049" s="19" t="str">
        <x:v>station-component|敦賀|西日本旅客鉄道|shinkansen|35.6450|136.0779|</x:v>
      </x:c>
      <x:c r="V1049" s="19" t="str">
        <x:v>010186 / 010181 / 北陸新幹線</x:v>
      </x:c>
      <x:c r="W1049" s="18" t="str">
        <x:v>否</x:v>
      </x:c>
      <x:c r="X1049" s="18" t="str">
        <x:v>0785e932a32b3ec15e1a1345537ae145eafe1c07bf38d5c16c11ee2b391e7a28</x:v>
      </x:c>
      <x:c r="Y1049" s="20" t="n">
        <x:v>1</x:v>
      </x:c>
      <x:c r="Z1049" s="20" t="n">
        <x:v>2</x:v>
      </x:c>
      <x:c r="AA1049" s="19"/>
      <x:c r="AB1049" s="18"/>
      <x:c r="AC1049" s="19"/>
    </x:row>
    <x:row r="1050" ht="28" customHeight="1">
      <x:c r="A1050" s="18" t="str">
        <x:v>文の里</x:v>
      </x:c>
      <x:c r="B1050" s="18" t="str">
        <x:v>大阪市高速電気軌道</x:v>
      </x:c>
      <x:c r="C1050" s="18" t="str">
        <x:v>metro</x:v>
      </x:c>
      <x:c r="D1050" s="19" t="str">
        <x:v>T2</x:v>
      </x:c>
      <x:c r="E1050" s="20" t="n">
        <x:v>11329</x:v>
      </x:c>
      <x:c r="F1050" s="18" t="str">
        <x:v>persons/day</x:v>
      </x:c>
      <x:c r="G1050" s="18" t="str">
        <x:v>FY2024</x:v>
      </x:c>
      <x:c r="H1050" s="18" t="str">
        <x:v>否</x:v>
      </x:c>
      <x:c r="I1050" s="19" t="str">
        <x:v>DAILY_ENTRIES_EXITS</x:v>
      </x:c>
      <x:c r="J1050" s="19" t="str">
        <x:v>2号線(谷町線)</x:v>
      </x:c>
      <x:c r="K1050" s="18" t="str">
        <x:v>transport-node:c525890d-1fd3-5b56-a17a-82dc2d7118b5</x:v>
      </x:c>
      <x:c r="L1050" s="19" t="str">
        <x:v>组件待审核</x:v>
      </x:c>
      <x:c r="M1050" s="21" t="n">
        <x:v>34.63583</x:v>
      </x:c>
      <x:c r="N1050" s="21" t="n">
        <x:v>135.518285</x:v>
      </x:c>
      <x:c r="O1050" s="18" t="str">
        <x:v>007486</x:v>
      </x:c>
      <x:c r="P1050" s="18" t="str">
        <x:v>2号線(谷町線)</x:v>
      </x:c>
      <x:c r="Q1050" s="19" t="str">
        <x:v>S12_061_GE_10000</x:v>
      </x:c>
      <x:c r="R1050" s="19" t="str">
        <x:v>S12_061 usage threshold</x:v>
      </x:c>
      <x:c r="S1050" s="19" t="str">
        <x:v>https://nlftp.mlit.go.jp/ksj/gml/datalist/KsjTmplt-S12-2024.html</x:v>
      </x:c>
      <x:c r="T1050" s="19" t="str">
        <x:v>https://nlftp.mlit.go.jp/ksj/gml/datalist/KsjTmplt-S12-2024.html</x:v>
      </x:c>
      <x:c r="U1050" s="19" t="str">
        <x:v>station-component|文の里|大阪市高速電気軌道|metro|34.6358|135.5183|</x:v>
      </x:c>
      <x:c r="V1050" s="19" t="str">
        <x:v>007486 / 007486 / 2号線(谷町線)</x:v>
      </x:c>
      <x:c r="W1050" s="18" t="str">
        <x:v>否</x:v>
      </x:c>
      <x:c r="X1050" s="18" t="str">
        <x:v>0785e932a32b3ec15e1a1345537ae145eafe1c07bf38d5c16c11ee2b391e7a28</x:v>
      </x:c>
      <x:c r="Y1050" s="20" t="n">
        <x:v>1</x:v>
      </x:c>
      <x:c r="Z1050" s="20" t="n">
        <x:v>1</x:v>
      </x:c>
      <x:c r="AA1050" s="19"/>
      <x:c r="AB1050" s="18"/>
      <x:c r="AC1050" s="19"/>
    </x:row>
    <x:row r="1051" ht="47" customHeight="1">
      <x:c r="A1051" s="18" t="str">
        <x:v>新さっぽろ</x:v>
      </x:c>
      <x:c r="B1051" s="18" t="str">
        <x:v>札幌市</x:v>
      </x:c>
      <x:c r="C1051" s="18" t="str">
        <x:v>metro</x:v>
      </x:c>
      <x:c r="D1051" s="19" t="str">
        <x:v>T2</x:v>
      </x:c>
      <x:c r="E1051" s="20" t="n">
        <x:v>46554</x:v>
      </x:c>
      <x:c r="F1051" s="18" t="str">
        <x:v>persons/day</x:v>
      </x:c>
      <x:c r="G1051" s="18" t="str">
        <x:v>FY2024</x:v>
      </x:c>
      <x:c r="H1051" s="18" t="str">
        <x:v>否</x:v>
      </x:c>
      <x:c r="I1051" s="19" t="str">
        <x:v>DAILY_ENTRIES_EXITS</x:v>
      </x:c>
      <x:c r="J1051" s="19" t="str">
        <x:v>東西線</x:v>
      </x:c>
      <x:c r="K1051" s="18" t="str">
        <x:v>transport-node:bde00433-e495-58d4-9dc9-278e1966bddb</x:v>
      </x:c>
      <x:c r="L1051" s="19" t="str">
        <x:v>组件待审核</x:v>
      </x:c>
      <x:c r="M1051" s="21" t="n">
        <x:v>43.03893</x:v>
      </x:c>
      <x:c r="N1051" s="21" t="n">
        <x:v>141.474015</x:v>
      </x:c>
      <x:c r="O1051" s="18" t="str">
        <x:v>000277</x:v>
      </x:c>
      <x:c r="P1051" s="18" t="str">
        <x:v>東西線</x:v>
      </x:c>
      <x:c r="Q1051" s="19" t="str">
        <x:v>S12_061_GE_10000
OFFICIAL_HUB_COMPONENT_REVIEW</x:v>
      </x:c>
      <x:c r="R1051" s="19" t="str">
        <x:v>S12_061 usage threshold</x:v>
      </x:c>
      <x:c r="S1051" s="19" t="str">
        <x:v>https://nlftp.mlit.go.jp/ksj/gml/datalist/KsjTmplt-S12-2024.html</x:v>
      </x:c>
      <x:c r="T1051" s="19" t="str">
        <x:v>https://nlftp.mlit.go.jp/ksj/gml/datalist/KsjTmplt-S12-2024.html
https://www.city.sapporo.jp/st/subway/ekikonaizu/documents/shinsapporoekikounaizu.pdf</x:v>
      </x:c>
      <x:c r="U1051" s="19" t="str">
        <x:v>station-component|新さっぽろ|札幌市|metro|43.0389|141.4740|</x:v>
      </x:c>
      <x:c r="V1051" s="19" t="str">
        <x:v>000277 / 000277 / 東西線</x:v>
      </x:c>
      <x:c r="W1051" s="18" t="str">
        <x:v>否</x:v>
      </x:c>
      <x:c r="X1051" s="18" t="str">
        <x:v>0785e932a32b3ec15e1a1345537ae145eafe1c07bf38d5c16c11ee2b391e7a28</x:v>
      </x:c>
      <x:c r="Y1051" s="20" t="n">
        <x:v>1</x:v>
      </x:c>
      <x:c r="Z1051" s="20" t="n">
        <x:v>1</x:v>
      </x:c>
      <x:c r="AA1051" s="19" t="str">
        <x:v>新札幌・新さっぽろ</x:v>
      </x:c>
      <x:c r="AB1051" s="18" t="str">
        <x:v>transport-hub-review:52ce6659-da96-53e4-846d-77821541fd23</x:v>
      </x:c>
      <x:c r="AC1051" s="19"/>
    </x:row>
    <x:row r="1052" ht="28" customHeight="1">
      <x:c r="A1052" s="18" t="str">
        <x:v>新三田</x:v>
      </x:c>
      <x:c r="B1052" s="18" t="str">
        <x:v>西日本旅客鉄道</x:v>
      </x:c>
      <x:c r="C1052" s="18" t="str">
        <x:v>conventional_rail</x:v>
      </x:c>
      <x:c r="D1052" s="19" t="str">
        <x:v>T2</x:v>
      </x:c>
      <x:c r="E1052" s="20" t="n">
        <x:v>21218</x:v>
      </x:c>
      <x:c r="F1052" s="18" t="str">
        <x:v>persons/day</x:v>
      </x:c>
      <x:c r="G1052" s="18" t="str">
        <x:v>FY2024</x:v>
      </x:c>
      <x:c r="H1052" s="18" t="str">
        <x:v>否</x:v>
      </x:c>
      <x:c r="I1052" s="19" t="str">
        <x:v>DAILY_ENTRIES_EXITS</x:v>
      </x:c>
      <x:c r="J1052" s="19" t="str">
        <x:v>福知山線</x:v>
      </x:c>
      <x:c r="K1052" s="18" t="str">
        <x:v>transport-node:b04b6f5f-51fd-571a-af20-ebd5b9be6dc6</x:v>
      </x:c>
      <x:c r="L1052" s="19" t="str">
        <x:v>组件待审核</x:v>
      </x:c>
      <x:c r="M1052" s="21" t="n">
        <x:v>34.91014</x:v>
      </x:c>
      <x:c r="N1052" s="21" t="n">
        <x:v>135.208615</x:v>
      </x:c>
      <x:c r="O1052" s="18" t="str">
        <x:v>006289</x:v>
      </x:c>
      <x:c r="P1052" s="18" t="str">
        <x:v>福知山線</x:v>
      </x:c>
      <x:c r="Q1052" s="19" t="str">
        <x:v>S12_061_GE_10000</x:v>
      </x:c>
      <x:c r="R1052" s="19" t="str">
        <x:v>S12_061 usage threshold</x:v>
      </x:c>
      <x:c r="S1052" s="19" t="str">
        <x:v>https://nlftp.mlit.go.jp/ksj/gml/datalist/KsjTmplt-S12-2024.html</x:v>
      </x:c>
      <x:c r="T1052" s="19" t="str">
        <x:v>https://nlftp.mlit.go.jp/ksj/gml/datalist/KsjTmplt-S12-2024.html</x:v>
      </x:c>
      <x:c r="U1052" s="19" t="str">
        <x:v>station-component|新三田|西日本旅客鉄道|conventional_rail|34.9101|135.2086|</x:v>
      </x:c>
      <x:c r="V1052" s="19" t="str">
        <x:v>006289 / 006289 / 福知山線</x:v>
      </x:c>
      <x:c r="W1052" s="18" t="str">
        <x:v>否</x:v>
      </x:c>
      <x:c r="X1052" s="18" t="str">
        <x:v>0785e932a32b3ec15e1a1345537ae145eafe1c07bf38d5c16c11ee2b391e7a28</x:v>
      </x:c>
      <x:c r="Y1052" s="20" t="n">
        <x:v>1</x:v>
      </x:c>
      <x:c r="Z1052" s="20" t="n">
        <x:v>1</x:v>
      </x:c>
      <x:c r="AA1052" s="19"/>
      <x:c r="AB1052" s="18"/>
      <x:c r="AC1052" s="19"/>
    </x:row>
    <x:row r="1053" ht="28" customHeight="1">
      <x:c r="A1053" s="18" t="str">
        <x:v>新三郷</x:v>
      </x:c>
      <x:c r="B1053" s="18" t="str">
        <x:v>東日本旅客鉄道</x:v>
      </x:c>
      <x:c r="C1053" s="18" t="str">
        <x:v>conventional_rail</x:v>
      </x:c>
      <x:c r="D1053" s="19" t="str">
        <x:v>T2</x:v>
      </x:c>
      <x:c r="E1053" s="20" t="n">
        <x:v>27290</x:v>
      </x:c>
      <x:c r="F1053" s="18" t="str">
        <x:v>persons/day</x:v>
      </x:c>
      <x:c r="G1053" s="18" t="str">
        <x:v>FY2024</x:v>
      </x:c>
      <x:c r="H1053" s="18" t="str">
        <x:v>否</x:v>
      </x:c>
      <x:c r="I1053" s="19" t="str">
        <x:v>DAILY_ENTRIES_EXITS</x:v>
      </x:c>
      <x:c r="J1053" s="19" t="str">
        <x:v>武蔵野線</x:v>
      </x:c>
      <x:c r="K1053" s="18" t="str">
        <x:v>transport-node:8b1e3455-2e06-5533-8937-0f245e5d6d9e</x:v>
      </x:c>
      <x:c r="L1053" s="19" t="str">
        <x:v>组件待审核</x:v>
      </x:c>
      <x:c r="M1053" s="21" t="n">
        <x:v>35.85839</x:v>
      </x:c>
      <x:c r="N1053" s="21" t="n">
        <x:v>139.869535</x:v>
      </x:c>
      <x:c r="O1053" s="18" t="str">
        <x:v>002990</x:v>
      </x:c>
      <x:c r="P1053" s="18" t="str">
        <x:v>武蔵野線</x:v>
      </x:c>
      <x:c r="Q1053" s="19" t="str">
        <x:v>S12_061_GE_10000</x:v>
      </x:c>
      <x:c r="R1053" s="19" t="str">
        <x:v>S12_061 usage threshold</x:v>
      </x:c>
      <x:c r="S1053" s="19" t="str">
        <x:v>https://nlftp.mlit.go.jp/ksj/gml/datalist/KsjTmplt-S12-2024.html</x:v>
      </x:c>
      <x:c r="T1053" s="19" t="str">
        <x:v>https://nlftp.mlit.go.jp/ksj/gml/datalist/KsjTmplt-S12-2024.html</x:v>
      </x:c>
      <x:c r="U1053" s="19" t="str">
        <x:v>station-component|新三郷|東日本旅客鉄道|conventional_rail|35.8584|139.8695|</x:v>
      </x:c>
      <x:c r="V1053" s="19" t="str">
        <x:v>002990 / 002990 / 武蔵野線</x:v>
      </x:c>
      <x:c r="W1053" s="18" t="str">
        <x:v>否</x:v>
      </x:c>
      <x:c r="X1053" s="18" t="str">
        <x:v>0785e932a32b3ec15e1a1345537ae145eafe1c07bf38d5c16c11ee2b391e7a28</x:v>
      </x:c>
      <x:c r="Y1053" s="20" t="n">
        <x:v>1</x:v>
      </x:c>
      <x:c r="Z1053" s="20" t="n">
        <x:v>1</x:v>
      </x:c>
      <x:c r="AA1053" s="19"/>
      <x:c r="AB1053" s="18"/>
      <x:c r="AC1053" s="19"/>
    </x:row>
    <x:row r="1054" ht="28" customHeight="1">
      <x:c r="A1054" s="18" t="str">
        <x:v>新下関</x:v>
      </x:c>
      <x:c r="B1054" s="18" t="str">
        <x:v>西日本旅客鉄道</x:v>
      </x:c>
      <x:c r="C1054" s="18" t="str">
        <x:v>shinkansen</x:v>
      </x:c>
      <x:c r="D1054" s="19"/>
      <x:c r="E1054" s="20"/>
      <x:c r="F1054" s="18"/>
      <x:c r="G1054" s="18" t="str">
        <x:v>FY2024</x:v>
      </x:c>
      <x:c r="H1054" s="18" t="str">
        <x:v>是</x:v>
      </x:c>
      <x:c r="I1054" s="19" t="str">
        <x:v>USAGE_DATA_UNAVAILABLE</x:v>
      </x:c>
      <x:c r="J1054" s="19" t="str">
        <x:v>山陽新幹線</x:v>
      </x:c>
      <x:c r="K1054" s="18" t="str">
        <x:v>transport-node:c73bc1e1-64f1-546d-8442-9649aa9dd473</x:v>
      </x:c>
      <x:c r="L1054" s="19" t="str">
        <x:v>组件待审核</x:v>
      </x:c>
      <x:c r="M1054" s="21" t="n">
        <x:v>34.007405</x:v>
      </x:c>
      <x:c r="N1054" s="21" t="n">
        <x:v>130.949175</x:v>
      </x:c>
      <x:c r="O1054" s="18" t="str">
        <x:v>008577</x:v>
      </x:c>
      <x:c r="P1054" s="18" t="str">
        <x:v>山陽新幹線</x:v>
      </x:c>
      <x:c r="Q1054" s="19" t="str">
        <x:v>SHINKANSEN</x:v>
      </x:c>
      <x:c r="R1054" s="19" t="str">
        <x:v>Official S12 usage unavailable; manual tier review required</x:v>
      </x:c>
      <x:c r="S1054" s="19" t="str">
        <x:v>https://nlftp.mlit.go.jp/ksj/gml/datalist/KsjTmplt-S12-2024.html</x:v>
      </x:c>
      <x:c r="T1054" s="19" t="str">
        <x:v>https://nlftp.mlit.go.jp/ksj/gml/datalist/KsjTmplt-S12-2024.html</x:v>
      </x:c>
      <x:c r="U1054" s="19" t="str">
        <x:v>station-component|新下関|西日本旅客鉄道|shinkansen|34.0074|130.9492|</x:v>
      </x:c>
      <x:c r="V1054" s="19" t="str">
        <x:v>008577 / 008577 / 山陽新幹線</x:v>
      </x:c>
      <x:c r="W1054" s="18" t="str">
        <x:v>否</x:v>
      </x:c>
      <x:c r="X1054" s="18" t="str">
        <x:v>0785e932a32b3ec15e1a1345537ae145eafe1c07bf38d5c16c11ee2b391e7a28</x:v>
      </x:c>
      <x:c r="Y1054" s="20" t="n">
        <x:v>1</x:v>
      </x:c>
      <x:c r="Z1054" s="20" t="n">
        <x:v>2</x:v>
      </x:c>
      <x:c r="AA1054" s="19"/>
      <x:c r="AB1054" s="18"/>
      <x:c r="AC1054" s="19"/>
    </x:row>
    <x:row r="1055" ht="28" customHeight="1">
      <x:c r="A1055" s="18" t="str">
        <x:v>新中野</x:v>
      </x:c>
      <x:c r="B1055" s="18" t="str">
        <x:v>東京地下鉄</x:v>
      </x:c>
      <x:c r="C1055" s="18" t="str">
        <x:v>metro</x:v>
      </x:c>
      <x:c r="D1055" s="19" t="str">
        <x:v>T2</x:v>
      </x:c>
      <x:c r="E1055" s="20" t="n">
        <x:v>33550</x:v>
      </x:c>
      <x:c r="F1055" s="18" t="str">
        <x:v>persons/day</x:v>
      </x:c>
      <x:c r="G1055" s="18" t="str">
        <x:v>FY2024</x:v>
      </x:c>
      <x:c r="H1055" s="18" t="str">
        <x:v>否</x:v>
      </x:c>
      <x:c r="I1055" s="19" t="str">
        <x:v>DAILY_ENTRIES_EXITS</x:v>
      </x:c>
      <x:c r="J1055" s="19" t="str">
        <x:v>4号線丸ノ内線</x:v>
      </x:c>
      <x:c r="K1055" s="18" t="str">
        <x:v>transport-node:5c0bda0c-b47e-52af-9669-0227da5ab02e</x:v>
      </x:c>
      <x:c r="L1055" s="19" t="str">
        <x:v>组件待审核</x:v>
      </x:c>
      <x:c r="M1055" s="21" t="n">
        <x:v>35.697475</x:v>
      </x:c>
      <x:c r="N1055" s="21" t="n">
        <x:v>139.66951</x:v>
      </x:c>
      <x:c r="O1055" s="18" t="str">
        <x:v>003638</x:v>
      </x:c>
      <x:c r="P1055" s="18" t="str">
        <x:v>4号線丸ノ内線</x:v>
      </x:c>
      <x:c r="Q1055" s="19" t="str">
        <x:v>S12_061_GE_10000</x:v>
      </x:c>
      <x:c r="R1055" s="19" t="str">
        <x:v>S12_061 usage threshold</x:v>
      </x:c>
      <x:c r="S1055" s="19" t="str">
        <x:v>https://nlftp.mlit.go.jp/ksj/gml/datalist/KsjTmplt-S12-2024.html</x:v>
      </x:c>
      <x:c r="T1055" s="19" t="str">
        <x:v>https://nlftp.mlit.go.jp/ksj/gml/datalist/KsjTmplt-S12-2024.html</x:v>
      </x:c>
      <x:c r="U1055" s="19" t="str">
        <x:v>station-component|新中野|東京地下鉄|metro|35.6975|139.6695|</x:v>
      </x:c>
      <x:c r="V1055" s="19" t="str">
        <x:v>003638 / 003638 / 4号線丸ノ内線</x:v>
      </x:c>
      <x:c r="W1055" s="18" t="str">
        <x:v>否</x:v>
      </x:c>
      <x:c r="X1055" s="18" t="str">
        <x:v>0785e932a32b3ec15e1a1345537ae145eafe1c07bf38d5c16c11ee2b391e7a28</x:v>
      </x:c>
      <x:c r="Y1055" s="20" t="n">
        <x:v>1</x:v>
      </x:c>
      <x:c r="Z1055" s="20" t="n">
        <x:v>1</x:v>
      </x:c>
      <x:c r="AA1055" s="19"/>
      <x:c r="AB1055" s="18"/>
      <x:c r="AC1055" s="19"/>
    </x:row>
    <x:row r="1056" ht="28" customHeight="1">
      <x:c r="A1056" s="18" t="str">
        <x:v>新丸子</x:v>
      </x:c>
      <x:c r="B1056" s="18" t="str">
        <x:v>東急電鉄</x:v>
      </x:c>
      <x:c r="C1056" s="18" t="str">
        <x:v>private_rail</x:v>
      </x:c>
      <x:c r="D1056" s="19" t="str">
        <x:v>T2</x:v>
      </x:c>
      <x:c r="E1056" s="20" t="n">
        <x:v>26424</x:v>
      </x:c>
      <x:c r="F1056" s="18" t="str">
        <x:v>persons/day</x:v>
      </x:c>
      <x:c r="G1056" s="18" t="str">
        <x:v>FY2024</x:v>
      </x:c>
      <x:c r="H1056" s="18" t="str">
        <x:v>否</x:v>
      </x:c>
      <x:c r="I1056" s="19" t="str">
        <x:v>DAILY_ENTRIES_EXITS</x:v>
      </x:c>
      <x:c r="J1056" s="19" t="str">
        <x:v>東横線</x:v>
      </x:c>
      <x:c r="K1056" s="18" t="str">
        <x:v>transport-node:d367df11-c116-5d45-9ba5-a8abf28197f5</x:v>
      </x:c>
      <x:c r="L1056" s="19" t="str">
        <x:v>组件待审核</x:v>
      </x:c>
      <x:c r="M1056" s="21" t="n">
        <x:v>35.58046</x:v>
      </x:c>
      <x:c r="N1056" s="21" t="n">
        <x:v>139.66194</x:v>
      </x:c>
      <x:c r="O1056" s="18" t="str">
        <x:v>004287</x:v>
      </x:c>
      <x:c r="P1056" s="18" t="str">
        <x:v>東横線</x:v>
      </x:c>
      <x:c r="Q1056" s="19" t="str">
        <x:v>S12_061_GE_10000</x:v>
      </x:c>
      <x:c r="R1056" s="19" t="str">
        <x:v>S12_061 usage threshold</x:v>
      </x:c>
      <x:c r="S1056" s="19" t="str">
        <x:v>https://nlftp.mlit.go.jp/ksj/gml/datalist/KsjTmplt-S12-2024.html</x:v>
      </x:c>
      <x:c r="T1056" s="19" t="str">
        <x:v>https://nlftp.mlit.go.jp/ksj/gml/datalist/KsjTmplt-S12-2024.html</x:v>
      </x:c>
      <x:c r="U1056" s="19" t="str">
        <x:v>station-component|新丸子|東急電鉄|private_rail|35.5805|139.6619|</x:v>
      </x:c>
      <x:c r="V1056" s="19" t="str">
        <x:v>004287 / 004287 / 東横線</x:v>
      </x:c>
      <x:c r="W1056" s="18" t="str">
        <x:v>否</x:v>
      </x:c>
      <x:c r="X1056" s="18" t="str">
        <x:v>0785e932a32b3ec15e1a1345537ae145eafe1c07bf38d5c16c11ee2b391e7a28</x:v>
      </x:c>
      <x:c r="Y1056" s="20" t="n">
        <x:v>1</x:v>
      </x:c>
      <x:c r="Z1056" s="20" t="n">
        <x:v>1</x:v>
      </x:c>
      <x:c r="AA1056" s="19"/>
      <x:c r="AB1056" s="18"/>
      <x:c r="AC1056" s="19"/>
    </x:row>
    <x:row r="1057" ht="28" customHeight="1">
      <x:c r="A1057" s="18" t="str">
        <x:v>新井口</x:v>
      </x:c>
      <x:c r="B1057" s="18" t="str">
        <x:v>西日本旅客鉄道</x:v>
      </x:c>
      <x:c r="C1057" s="18" t="str">
        <x:v>conventional_rail</x:v>
      </x:c>
      <x:c r="D1057" s="19" t="str">
        <x:v>T2</x:v>
      </x:c>
      <x:c r="E1057" s="20" t="n">
        <x:v>14524</x:v>
      </x:c>
      <x:c r="F1057" s="18" t="str">
        <x:v>persons/day</x:v>
      </x:c>
      <x:c r="G1057" s="18" t="str">
        <x:v>FY2024</x:v>
      </x:c>
      <x:c r="H1057" s="18" t="str">
        <x:v>否</x:v>
      </x:c>
      <x:c r="I1057" s="19" t="str">
        <x:v>DAILY_ENTRIES_EXITS</x:v>
      </x:c>
      <x:c r="J1057" s="19" t="str">
        <x:v>山陽線</x:v>
      </x:c>
      <x:c r="K1057" s="18" t="str">
        <x:v>transport-node:5c7598df-e9c1-55fd-8761-e7c63635a844</x:v>
      </x:c>
      <x:c r="L1057" s="19" t="str">
        <x:v>组件待审核</x:v>
      </x:c>
      <x:c r="M1057" s="21" t="n">
        <x:v>34.375265</x:v>
      </x:c>
      <x:c r="N1057" s="21" t="n">
        <x:v>132.39124</x:v>
      </x:c>
      <x:c r="O1057" s="18" t="str">
        <x:v>008114</x:v>
      </x:c>
      <x:c r="P1057" s="18" t="str">
        <x:v>山陽線</x:v>
      </x:c>
      <x:c r="Q1057" s="19" t="str">
        <x:v>S12_061_GE_10000</x:v>
      </x:c>
      <x:c r="R1057" s="19" t="str">
        <x:v>S12_061 usage threshold</x:v>
      </x:c>
      <x:c r="S1057" s="19" t="str">
        <x:v>https://nlftp.mlit.go.jp/ksj/gml/datalist/KsjTmplt-S12-2024.html</x:v>
      </x:c>
      <x:c r="T1057" s="19" t="str">
        <x:v>https://nlftp.mlit.go.jp/ksj/gml/datalist/KsjTmplt-S12-2024.html</x:v>
      </x:c>
      <x:c r="U1057" s="19" t="str">
        <x:v>station-component|新井口|西日本旅客鉄道|conventional_rail|34.3753|132.3912|</x:v>
      </x:c>
      <x:c r="V1057" s="19" t="str">
        <x:v>008114 / 008114 / 山陽線</x:v>
      </x:c>
      <x:c r="W1057" s="18" t="str">
        <x:v>否</x:v>
      </x:c>
      <x:c r="X1057" s="18" t="str">
        <x:v>0785e932a32b3ec15e1a1345537ae145eafe1c07bf38d5c16c11ee2b391e7a28</x:v>
      </x:c>
      <x:c r="Y1057" s="20" t="n">
        <x:v>1</x:v>
      </x:c>
      <x:c r="Z1057" s="20" t="n">
        <x:v>1</x:v>
      </x:c>
      <x:c r="AA1057" s="19"/>
      <x:c r="AB1057" s="18"/>
      <x:c r="AC1057" s="19"/>
    </x:row>
    <x:row r="1058" ht="28" customHeight="1">
      <x:c r="A1058" s="18" t="str">
        <x:v>新井宿</x:v>
      </x:c>
      <x:c r="B1058" s="18" t="str">
        <x:v>埼玉高速鉄道</x:v>
      </x:c>
      <x:c r="C1058" s="18" t="str">
        <x:v>private_rail</x:v>
      </x:c>
      <x:c r="D1058" s="19" t="str">
        <x:v>T2</x:v>
      </x:c>
      <x:c r="E1058" s="20" t="n">
        <x:v>12000</x:v>
      </x:c>
      <x:c r="F1058" s="18" t="str">
        <x:v>persons/day</x:v>
      </x:c>
      <x:c r="G1058" s="18" t="str">
        <x:v>FY2024</x:v>
      </x:c>
      <x:c r="H1058" s="18" t="str">
        <x:v>否</x:v>
      </x:c>
      <x:c r="I1058" s="19" t="str">
        <x:v>DAILY_ENTRIES_EXITS</x:v>
      </x:c>
      <x:c r="J1058" s="19" t="str">
        <x:v>埼玉高速鉄道線</x:v>
      </x:c>
      <x:c r="K1058" s="18" t="str">
        <x:v>transport-node:adcfb639-81dd-5eb8-addd-b21cf7bde12e</x:v>
      </x:c>
      <x:c r="L1058" s="19" t="str">
        <x:v>组件待审核</x:v>
      </x:c>
      <x:c r="M1058" s="21" t="n">
        <x:v>35.84295</x:v>
      </x:c>
      <x:c r="N1058" s="21" t="n">
        <x:v>139.738115</x:v>
      </x:c>
      <x:c r="O1058" s="18" t="str">
        <x:v>003017</x:v>
      </x:c>
      <x:c r="P1058" s="18" t="str">
        <x:v>埼玉高速鉄道線</x:v>
      </x:c>
      <x:c r="Q1058" s="19" t="str">
        <x:v>S12_061_GE_10000</x:v>
      </x:c>
      <x:c r="R1058" s="19" t="str">
        <x:v>S12_061 usage threshold</x:v>
      </x:c>
      <x:c r="S1058" s="19" t="str">
        <x:v>https://nlftp.mlit.go.jp/ksj/gml/datalist/KsjTmplt-S12-2024.html</x:v>
      </x:c>
      <x:c r="T1058" s="19" t="str">
        <x:v>https://nlftp.mlit.go.jp/ksj/gml/datalist/KsjTmplt-S12-2024.html</x:v>
      </x:c>
      <x:c r="U1058" s="19" t="str">
        <x:v>station-component|新井宿|埼玉高速鉄道|private_rail|35.8430|139.7381|</x:v>
      </x:c>
      <x:c r="V1058" s="19" t="str">
        <x:v>003017 / 003017 / 埼玉高速鉄道線</x:v>
      </x:c>
      <x:c r="W1058" s="18" t="str">
        <x:v>否</x:v>
      </x:c>
      <x:c r="X1058" s="18" t="str">
        <x:v>0785e932a32b3ec15e1a1345537ae145eafe1c07bf38d5c16c11ee2b391e7a28</x:v>
      </x:c>
      <x:c r="Y1058" s="20" t="n">
        <x:v>1</x:v>
      </x:c>
      <x:c r="Z1058" s="20" t="n">
        <x:v>1</x:v>
      </x:c>
      <x:c r="AA1058" s="19"/>
      <x:c r="AB1058" s="18"/>
      <x:c r="AC1058" s="19"/>
    </x:row>
    <x:row r="1059" ht="28" customHeight="1">
      <x:c r="A1059" s="18" t="str">
        <x:v>新井薬師前</x:v>
      </x:c>
      <x:c r="B1059" s="18" t="str">
        <x:v>西武鉄道</x:v>
      </x:c>
      <x:c r="C1059" s="18" t="str">
        <x:v>private_rail</x:v>
      </x:c>
      <x:c r="D1059" s="19" t="str">
        <x:v>T2</x:v>
      </x:c>
      <x:c r="E1059" s="20" t="n">
        <x:v>19709</x:v>
      </x:c>
      <x:c r="F1059" s="18" t="str">
        <x:v>persons/day</x:v>
      </x:c>
      <x:c r="G1059" s="18" t="str">
        <x:v>FY2024</x:v>
      </x:c>
      <x:c r="H1059" s="18" t="str">
        <x:v>否</x:v>
      </x:c>
      <x:c r="I1059" s="19" t="str">
        <x:v>DAILY_ENTRIES_EXITS</x:v>
      </x:c>
      <x:c r="J1059" s="19" t="str">
        <x:v>新宿線</x:v>
      </x:c>
      <x:c r="K1059" s="18" t="str">
        <x:v>transport-node:b5013d6f-c39e-51ee-a768-5cd0c8469289</x:v>
      </x:c>
      <x:c r="L1059" s="19" t="str">
        <x:v>组件待审核</x:v>
      </x:c>
      <x:c r="M1059" s="21" t="n">
        <x:v>35.7158025</x:v>
      </x:c>
      <x:c r="N1059" s="21" t="n">
        <x:v>139.6724975</x:v>
      </x:c>
      <x:c r="O1059" s="18" t="str">
        <x:v>003489</x:v>
      </x:c>
      <x:c r="P1059" s="18" t="str">
        <x:v>新宿線</x:v>
      </x:c>
      <x:c r="Q1059" s="19" t="str">
        <x:v>S12_061_GE_10000</x:v>
      </x:c>
      <x:c r="R1059" s="19" t="str">
        <x:v>S12_061 usage threshold</x:v>
      </x:c>
      <x:c r="S1059" s="19" t="str">
        <x:v>https://nlftp.mlit.go.jp/ksj/gml/datalist/KsjTmplt-S12-2024.html</x:v>
      </x:c>
      <x:c r="T1059" s="19" t="str">
        <x:v>https://nlftp.mlit.go.jp/ksj/gml/datalist/KsjTmplt-S12-2024.html</x:v>
      </x:c>
      <x:c r="U1059" s="19" t="str">
        <x:v>station-component|新井薬師前|西武鉄道|private_rail|35.7158|139.6725|</x:v>
      </x:c>
      <x:c r="V1059" s="19" t="str">
        <x:v>003489 / 003489 / 新宿線</x:v>
      </x:c>
      <x:c r="W1059" s="18" t="str">
        <x:v>否</x:v>
      </x:c>
      <x:c r="X1059" s="18" t="str">
        <x:v>0785e932a32b3ec15e1a1345537ae145eafe1c07bf38d5c16c11ee2b391e7a28</x:v>
      </x:c>
      <x:c r="Y1059" s="20" t="n">
        <x:v>1</x:v>
      </x:c>
      <x:c r="Z1059" s="20" t="n">
        <x:v>1</x:v>
      </x:c>
      <x:c r="AA1059" s="19"/>
      <x:c r="AB1059" s="18"/>
      <x:c r="AC1059" s="19"/>
    </x:row>
    <x:row r="1060" ht="33" customHeight="1">
      <x:c r="A1060" s="18" t="str">
        <x:v>新今宮</x:v>
      </x:c>
      <x:c r="B1060" s="18" t="str">
        <x:v>南海電気鉄道</x:v>
      </x:c>
      <x:c r="C1060" s="18" t="str">
        <x:v>private_rail</x:v>
      </x:c>
      <x:c r="D1060" s="19" t="str">
        <x:v>T1</x:v>
      </x:c>
      <x:c r="E1060" s="20" t="n">
        <x:v>93414</x:v>
      </x:c>
      <x:c r="F1060" s="18" t="str">
        <x:v>persons/day</x:v>
      </x:c>
      <x:c r="G1060" s="18" t="str">
        <x:v>FY2024</x:v>
      </x:c>
      <x:c r="H1060" s="18" t="str">
        <x:v>否</x:v>
      </x:c>
      <x:c r="I1060" s="19" t="str">
        <x:v>DAILY_ENTRIES_EXITS</x:v>
      </x:c>
      <x:c r="J1060" s="19" t="str">
        <x:v>南海本線</x:v>
      </x:c>
      <x:c r="K1060" s="18" t="str">
        <x:v>transport-node:7dbb07d7-33d6-544e-b664-d955496fb6dd</x:v>
      </x:c>
      <x:c r="L1060" s="19" t="str">
        <x:v>组件待审核</x:v>
      </x:c>
      <x:c r="M1060" s="21" t="n">
        <x:v>34.6506467</x:v>
      </x:c>
      <x:c r="N1060" s="21" t="n">
        <x:v>135.50039</x:v>
      </x:c>
      <x:c r="O1060" s="18" t="str">
        <x:v>007419</x:v>
      </x:c>
      <x:c r="P1060" s="18" t="str">
        <x:v>南海本線</x:v>
      </x:c>
      <x:c r="Q1060" s="19" t="str">
        <x:v>S12_061_GE_10000
OFFICIAL_HUB_COMPONENT_REVIEW</x:v>
      </x:c>
      <x:c r="R1060" s="19" t="str">
        <x:v>S12_061 usage threshold</x:v>
      </x:c>
      <x:c r="S1060" s="19" t="str">
        <x:v>https://nlftp.mlit.go.jp/ksj/gml/datalist/KsjTmplt-S12-2024.html</x:v>
      </x:c>
      <x:c r="T1060" s="19" t="str">
        <x:v>https://nlftp.mlit.go.jp/ksj/gml/datalist/KsjTmplt-S12-2024.html
https://subway.osakametro.co.jp/station_guide/K/k19/index.php</x:v>
      </x:c>
      <x:c r="U1060" s="19" t="str">
        <x:v>station-component|新今宮|南海電気鉄道|private_rail|34.6506|135.5004|</x:v>
      </x:c>
      <x:c r="V1060" s="19" t="str">
        <x:v>007423 / 007419 / 南海本線</x:v>
      </x:c>
      <x:c r="W1060" s="18" t="str">
        <x:v>否</x:v>
      </x:c>
      <x:c r="X1060" s="18" t="str">
        <x:v>0785e932a32b3ec15e1a1345537ae145eafe1c07bf38d5c16c11ee2b391e7a28</x:v>
      </x:c>
      <x:c r="Y1060" s="20" t="n">
        <x:v>1</x:v>
      </x:c>
      <x:c r="Z1060" s="20" t="n">
        <x:v>1</x:v>
      </x:c>
      <x:c r="AA1060" s="19" t="str">
        <x:v>動物園前・新今宮</x:v>
      </x:c>
      <x:c r="AB1060" s="18" t="str">
        <x:v>transport-hub-review:86c67c92-2f28-5f2e-aec2-724346789840</x:v>
      </x:c>
      <x:c r="AC1060" s="19"/>
    </x:row>
    <x:row r="1061" ht="33" customHeight="1">
      <x:c r="A1061" s="18" t="str">
        <x:v>新今宮</x:v>
      </x:c>
      <x:c r="B1061" s="18" t="str">
        <x:v>西日本旅客鉄道</x:v>
      </x:c>
      <x:c r="C1061" s="18" t="str">
        <x:v>conventional_rail</x:v>
      </x:c>
      <x:c r="D1061" s="19" t="str">
        <x:v>T1</x:v>
      </x:c>
      <x:c r="E1061" s="20" t="n">
        <x:v>126228</x:v>
      </x:c>
      <x:c r="F1061" s="18" t="str">
        <x:v>persons/day</x:v>
      </x:c>
      <x:c r="G1061" s="18" t="str">
        <x:v>FY2024</x:v>
      </x:c>
      <x:c r="H1061" s="18" t="str">
        <x:v>否</x:v>
      </x:c>
      <x:c r="I1061" s="19" t="str">
        <x:v>DAILY_ENTRIES_EXITS</x:v>
      </x:c>
      <x:c r="J1061" s="19" t="str">
        <x:v>大阪環状線
関西線</x:v>
      </x:c>
      <x:c r="K1061" s="18" t="str">
        <x:v>transport-node:e9f7439f-6550-5727-a39a-198ef5497982</x:v>
      </x:c>
      <x:c r="L1061" s="19" t="str">
        <x:v>组件待审核</x:v>
      </x:c>
      <x:c r="M1061" s="21" t="n">
        <x:v>34.649905</x:v>
      </x:c>
      <x:c r="N1061" s="21" t="n">
        <x:v>135.50179</x:v>
      </x:c>
      <x:c r="O1061" s="18" t="str">
        <x:v>007424</x:v>
      </x:c>
      <x:c r="P1061" s="18" t="str">
        <x:v>大阪環状線</x:v>
      </x:c>
      <x:c r="Q1061" s="19" t="str">
        <x:v>S12_061_GE_10000
OFFICIAL_HUB_COMPONENT_REVIEW</x:v>
      </x:c>
      <x:c r="R1061" s="19" t="str">
        <x:v>S12_061 usage threshold</x:v>
      </x:c>
      <x:c r="S1061" s="19" t="str">
        <x:v>https://nlftp.mlit.go.jp/ksj/gml/datalist/KsjTmplt-S12-2024.html</x:v>
      </x:c>
      <x:c r="T1061" s="19" t="str">
        <x:v>https://nlftp.mlit.go.jp/ksj/gml/datalist/KsjTmplt-S12-2024.html
https://subway.osakametro.co.jp/station_guide/K/k19/index.php</x:v>
      </x:c>
      <x:c r="U1061" s="19" t="str">
        <x:v>station-component|新今宮|西日本旅客鉄道|conventional_rail|34.6499|135.5018|</x:v>
      </x:c>
      <x:c r="V1061" s="19" t="str">
        <x:v>007423 / 007423 / 関西線
007423 / 007424 / 大阪環状線</x:v>
      </x:c>
      <x:c r="W1061" s="18" t="str">
        <x:v>否</x:v>
      </x:c>
      <x:c r="X1061" s="18" t="str">
        <x:v>0785e932a32b3ec15e1a1345537ae145eafe1c07bf38d5c16c11ee2b391e7a28</x:v>
      </x:c>
      <x:c r="Y1061" s="20" t="n">
        <x:v>1</x:v>
      </x:c>
      <x:c r="Z1061" s="20" t="n">
        <x:v>1</x:v>
      </x:c>
      <x:c r="AA1061" s="19" t="str">
        <x:v>動物園前・新今宮</x:v>
      </x:c>
      <x:c r="AB1061" s="18" t="str">
        <x:v>transport-hub-review:86c67c92-2f28-5f2e-aec2-724346789840</x:v>
      </x:c>
      <x:c r="AC1061" s="19"/>
    </x:row>
    <x:row r="1062" ht="33" customHeight="1">
      <x:c r="A1062" s="18" t="str">
        <x:v>新今宮駅前</x:v>
      </x:c>
      <x:c r="B1062" s="18" t="str">
        <x:v>阪堺電気軌道</x:v>
      </x:c>
      <x:c r="C1062" s="18" t="str">
        <x:v>tram</x:v>
      </x:c>
      <x:c r="D1062" s="19" t="str">
        <x:v>T3</x:v>
      </x:c>
      <x:c r="E1062" s="20" t="n">
        <x:v>655</x:v>
      </x:c>
      <x:c r="F1062" s="18" t="str">
        <x:v>persons/day</x:v>
      </x:c>
      <x:c r="G1062" s="18" t="str">
        <x:v>FY2024</x:v>
      </x:c>
      <x:c r="H1062" s="18" t="str">
        <x:v>否</x:v>
      </x:c>
      <x:c r="I1062" s="19" t="str">
        <x:v>DAILY_ENTRIES_EXITS</x:v>
      </x:c>
      <x:c r="J1062" s="19" t="str">
        <x:v>阪堺線</x:v>
      </x:c>
      <x:c r="K1062" s="18" t="str">
        <x:v>transport-node:a43fbcd3-cb2b-543d-a2ec-503a575737dd</x:v>
      </x:c>
      <x:c r="L1062" s="19" t="str">
        <x:v>组件待审核</x:v>
      </x:c>
      <x:c r="M1062" s="21" t="n">
        <x:v>34.64953</x:v>
      </x:c>
      <x:c r="N1062" s="21" t="n">
        <x:v>135.503375</x:v>
      </x:c>
      <x:c r="O1062" s="18" t="str">
        <x:v>007427</x:v>
      </x:c>
      <x:c r="P1062" s="18" t="str">
        <x:v>阪堺線</x:v>
      </x:c>
      <x:c r="Q1062" s="19" t="str">
        <x:v>OFFICIAL_HUB_COMPONENT_REVIEW</x:v>
      </x:c>
      <x:c r="R1062" s="19" t="str">
        <x:v>S12_061 usage threshold; low-flow inclusion justified by official Hub component review</x:v>
      </x:c>
      <x:c r="S1062" s="19" t="str">
        <x:v>https://nlftp.mlit.go.jp/ksj/gml/datalist/KsjTmplt-S12-2024.html</x:v>
      </x:c>
      <x:c r="T1062" s="19" t="str">
        <x:v>https://nlftp.mlit.go.jp/ksj/gml/datalist/KsjTmplt-S12-2024.html
https://subway.osakametro.co.jp/station_guide/K/k19/index.php</x:v>
      </x:c>
      <x:c r="U1062" s="19" t="str">
        <x:v>station-component|新今宮駅前|阪堺電気軌道|tram|34.6495|135.5034|</x:v>
      </x:c>
      <x:c r="V1062" s="19" t="str">
        <x:v>007427 / 007427 / 阪堺線</x:v>
      </x:c>
      <x:c r="W1062" s="18" t="str">
        <x:v>否</x:v>
      </x:c>
      <x:c r="X1062" s="18" t="str">
        <x:v>0785e932a32b3ec15e1a1345537ae145eafe1c07bf38d5c16c11ee2b391e7a28</x:v>
      </x:c>
      <x:c r="Y1062" s="20" t="n">
        <x:v>1</x:v>
      </x:c>
      <x:c r="Z1062" s="20" t="n">
        <x:v>1</x:v>
      </x:c>
      <x:c r="AA1062" s="19" t="str">
        <x:v>動物園前・新今宮</x:v>
      </x:c>
      <x:c r="AB1062" s="18" t="str">
        <x:v>transport-hub-review:86c67c92-2f28-5f2e-aec2-724346789840</x:v>
      </x:c>
      <x:c r="AC1062" s="19"/>
    </x:row>
    <x:row r="1063" ht="28" customHeight="1">
      <x:c r="A1063" s="18" t="str">
        <x:v>新倉敷</x:v>
      </x:c>
      <x:c r="B1063" s="18" t="str">
        <x:v>西日本旅客鉄道</x:v>
      </x:c>
      <x:c r="C1063" s="18" t="str">
        <x:v>conventional_rail</x:v>
      </x:c>
      <x:c r="D1063" s="19" t="str">
        <x:v>T2</x:v>
      </x:c>
      <x:c r="E1063" s="20" t="n">
        <x:v>14112</x:v>
      </x:c>
      <x:c r="F1063" s="18" t="str">
        <x:v>persons/day</x:v>
      </x:c>
      <x:c r="G1063" s="18" t="str">
        <x:v>FY2024</x:v>
      </x:c>
      <x:c r="H1063" s="18" t="str">
        <x:v>否</x:v>
      </x:c>
      <x:c r="I1063" s="19" t="str">
        <x:v>DAILY_ENTRIES_EXITS</x:v>
      </x:c>
      <x:c r="J1063" s="19" t="str">
        <x:v>山陽線</x:v>
      </x:c>
      <x:c r="K1063" s="18" t="str">
        <x:v>transport-node:b761f5d9-b5db-5bf7-81bf-490703ce403c</x:v>
      </x:c>
      <x:c r="L1063" s="19" t="str">
        <x:v>组件待审核</x:v>
      </x:c>
      <x:c r="M1063" s="21" t="n">
        <x:v>34.56491</x:v>
      </x:c>
      <x:c r="N1063" s="21" t="n">
        <x:v>133.678825</x:v>
      </x:c>
      <x:c r="O1063" s="18" t="str">
        <x:v>007698</x:v>
      </x:c>
      <x:c r="P1063" s="18" t="str">
        <x:v>山陽線</x:v>
      </x:c>
      <x:c r="Q1063" s="19" t="str">
        <x:v>S12_061_GE_10000</x:v>
      </x:c>
      <x:c r="R1063" s="19" t="str">
        <x:v>S12_061 usage threshold</x:v>
      </x:c>
      <x:c r="S1063" s="19" t="str">
        <x:v>https://nlftp.mlit.go.jp/ksj/gml/datalist/KsjTmplt-S12-2024.html</x:v>
      </x:c>
      <x:c r="T1063" s="19" t="str">
        <x:v>https://nlftp.mlit.go.jp/ksj/gml/datalist/KsjTmplt-S12-2024.html</x:v>
      </x:c>
      <x:c r="U1063" s="19" t="str">
        <x:v>station-component|新倉敷|西日本旅客鉄道|conventional_rail|34.5649|133.6788|</x:v>
      </x:c>
      <x:c r="V1063" s="19" t="str">
        <x:v>007697 / 007698 / 山陽線</x:v>
      </x:c>
      <x:c r="W1063" s="18" t="str">
        <x:v>否</x:v>
      </x:c>
      <x:c r="X1063" s="18" t="str">
        <x:v>0785e932a32b3ec15e1a1345537ae145eafe1c07bf38d5c16c11ee2b391e7a28</x:v>
      </x:c>
      <x:c r="Y1063" s="20" t="n">
        <x:v>1</x:v>
      </x:c>
      <x:c r="Z1063" s="20" t="n">
        <x:v>1</x:v>
      </x:c>
      <x:c r="AA1063" s="19"/>
      <x:c r="AB1063" s="18"/>
      <x:c r="AC1063" s="19"/>
    </x:row>
    <x:row r="1064" ht="28" customHeight="1">
      <x:c r="A1064" s="18" t="str">
        <x:v>新倉敷</x:v>
      </x:c>
      <x:c r="B1064" s="18" t="str">
        <x:v>西日本旅客鉄道</x:v>
      </x:c>
      <x:c r="C1064" s="18" t="str">
        <x:v>shinkansen</x:v>
      </x:c>
      <x:c r="D1064" s="19"/>
      <x:c r="E1064" s="20"/>
      <x:c r="F1064" s="18"/>
      <x:c r="G1064" s="18" t="str">
        <x:v>FY2024</x:v>
      </x:c>
      <x:c r="H1064" s="18" t="str">
        <x:v>是</x:v>
      </x:c>
      <x:c r="I1064" s="19" t="str">
        <x:v>USAGE_DATA_UNAVAILABLE</x:v>
      </x:c>
      <x:c r="J1064" s="19" t="str">
        <x:v>山陽新幹線</x:v>
      </x:c>
      <x:c r="K1064" s="18" t="str">
        <x:v>transport-node:06921f2b-ee65-5df4-8413-3e4c0376f438</x:v>
      </x:c>
      <x:c r="L1064" s="19" t="str">
        <x:v>组件待审核</x:v>
      </x:c>
      <x:c r="M1064" s="21" t="n">
        <x:v>34.56508</x:v>
      </x:c>
      <x:c r="N1064" s="21" t="n">
        <x:v>133.67836</x:v>
      </x:c>
      <x:c r="O1064" s="18" t="str">
        <x:v>007697</x:v>
      </x:c>
      <x:c r="P1064" s="18" t="str">
        <x:v>山陽新幹線</x:v>
      </x:c>
      <x:c r="Q1064" s="19" t="str">
        <x:v>SHINKANSEN</x:v>
      </x:c>
      <x:c r="R1064" s="19" t="str">
        <x:v>Official S12 usage unavailable; manual tier review required</x:v>
      </x:c>
      <x:c r="S1064" s="19" t="str">
        <x:v>https://nlftp.mlit.go.jp/ksj/gml/datalist/KsjTmplt-S12-2024.html</x:v>
      </x:c>
      <x:c r="T1064" s="19" t="str">
        <x:v>https://nlftp.mlit.go.jp/ksj/gml/datalist/KsjTmplt-S12-2024.html</x:v>
      </x:c>
      <x:c r="U1064" s="19" t="str">
        <x:v>station-component|新倉敷|西日本旅客鉄道|shinkansen|34.5651|133.6784|</x:v>
      </x:c>
      <x:c r="V1064" s="19" t="str">
        <x:v>007697 / 007697 / 山陽新幹線</x:v>
      </x:c>
      <x:c r="W1064" s="18" t="str">
        <x:v>否</x:v>
      </x:c>
      <x:c r="X1064" s="18" t="str">
        <x:v>0785e932a32b3ec15e1a1345537ae145eafe1c07bf38d5c16c11ee2b391e7a28</x:v>
      </x:c>
      <x:c r="Y1064" s="20" t="n">
        <x:v>1</x:v>
      </x:c>
      <x:c r="Z1064" s="20" t="n">
        <x:v>2</x:v>
      </x:c>
      <x:c r="AA1064" s="19"/>
      <x:c r="AB1064" s="18"/>
      <x:c r="AC1064" s="19"/>
    </x:row>
    <x:row r="1065" ht="33" customHeight="1">
      <x:c r="A1065" s="18" t="str">
        <x:v>新八代</x:v>
      </x:c>
      <x:c r="B1065" s="18" t="str">
        <x:v>九州旅客鉄道</x:v>
      </x:c>
      <x:c r="C1065" s="18" t="str">
        <x:v>shinkansen</x:v>
      </x:c>
      <x:c r="D1065" s="19"/>
      <x:c r="E1065" s="20" t="n">
        <x:v>2130</x:v>
      </x:c>
      <x:c r="F1065" s="18" t="str">
        <x:v>boardings/day</x:v>
      </x:c>
      <x:c r="G1065" s="18" t="str">
        <x:v>FY2024</x:v>
      </x:c>
      <x:c r="H1065" s="18" t="str">
        <x:v>是</x:v>
      </x:c>
      <x:c r="I1065" s="19" t="str">
        <x:v>STATION_COMPLEX_PROXY</x:v>
      </x:c>
      <x:c r="J1065" s="19" t="str">
        <x:v>九州新幹線</x:v>
      </x:c>
      <x:c r="K1065" s="18" t="str">
        <x:v>transport-node:ceff2291-3bca-5453-acf3-b3616c6dee42</x:v>
      </x:c>
      <x:c r="L1065" s="19" t="str">
        <x:v>组件待审核</x:v>
      </x:c>
      <x:c r="M1065" s="21" t="n">
        <x:v>32.517586</x:v>
      </x:c>
      <x:c r="N1065" s="21" t="n">
        <x:v>130.635033</x:v>
      </x:c>
      <x:c r="O1065" s="18" t="str">
        <x:v>009870</x:v>
      </x:c>
      <x:c r="P1065" s="18" t="str">
        <x:v>九州新幹線</x:v>
      </x:c>
      <x:c r="Q1065" s="19" t="str">
        <x:v>SHINKANSEN</x:v>
      </x:c>
      <x:c r="R1065" s="19" t="str">
        <x:v>Official fallback retained in published scope/unit; tier remains null pending metric/manual review.</x:v>
      </x:c>
      <x:c r="S1065" s="19" t="str">
        <x:v>https://www.jrkyushu.co.jp/company/info/data/pdf/2024ekibetsu.pdf</x:v>
      </x:c>
      <x:c r="T1065" s="19" t="str">
        <x:v>https://nlftp.mlit.go.jp/ksj/gml/datalist/KsjTmplt-S12-2024.html
https://www.jrkyushu.co.jp/company/info/data/pdf/2024ekibetsu.pdf</x:v>
      </x:c>
      <x:c r="U1065" s="19" t="str">
        <x:v>station-component|新八代|九州旅客鉄道|shinkansen|32.5176|130.6350|</x:v>
      </x:c>
      <x:c r="V1065" s="19" t="str">
        <x:v>009869 / 009870 / 九州新幹線</x:v>
      </x:c>
      <x:c r="W1065" s="18" t="str">
        <x:v>否</x:v>
      </x:c>
      <x:c r="X1065" s="18" t="str">
        <x:v>0785e932a32b3ec15e1a1345537ae145eafe1c07bf38d5c16c11ee2b391e7a28</x:v>
      </x:c>
      <x:c r="Y1065" s="20" t="n">
        <x:v>1</x:v>
      </x:c>
      <x:c r="Z1065" s="20" t="n">
        <x:v>2</x:v>
      </x:c>
      <x:c r="AA1065" s="19"/>
      <x:c r="AB1065" s="18"/>
      <x:c r="AC1065" s="19"/>
    </x:row>
    <x:row r="1066" ht="28" customHeight="1">
      <x:c r="A1066" s="18" t="str">
        <x:v>新八柱</x:v>
      </x:c>
      <x:c r="B1066" s="18" t="str">
        <x:v>東日本旅客鉄道</x:v>
      </x:c>
      <x:c r="C1066" s="18" t="str">
        <x:v>conventional_rail</x:v>
      </x:c>
      <x:c r="D1066" s="19" t="str">
        <x:v>T2</x:v>
      </x:c>
      <x:c r="E1066" s="20" t="n">
        <x:v>47424</x:v>
      </x:c>
      <x:c r="F1066" s="18" t="str">
        <x:v>persons/day</x:v>
      </x:c>
      <x:c r="G1066" s="18" t="str">
        <x:v>FY2024</x:v>
      </x:c>
      <x:c r="H1066" s="18" t="str">
        <x:v>否</x:v>
      </x:c>
      <x:c r="I1066" s="19" t="str">
        <x:v>DAILY_ENTRIES_EXITS</x:v>
      </x:c>
      <x:c r="J1066" s="19" t="str">
        <x:v>武蔵野線</x:v>
      </x:c>
      <x:c r="K1066" s="18" t="str">
        <x:v>transport-node:497333ce-af13-5a9a-98ac-b417e6afb07c</x:v>
      </x:c>
      <x:c r="L1066" s="19" t="str">
        <x:v>组件待审核</x:v>
      </x:c>
      <x:c r="M1066" s="21" t="n">
        <x:v>35.79129</x:v>
      </x:c>
      <x:c r="N1066" s="21" t="n">
        <x:v>139.938555</x:v>
      </x:c>
      <x:c r="O1066" s="18" t="str">
        <x:v>003106</x:v>
      </x:c>
      <x:c r="P1066" s="18" t="str">
        <x:v>武蔵野線</x:v>
      </x:c>
      <x:c r="Q1066" s="19" t="str">
        <x:v>S12_061_GE_10000</x:v>
      </x:c>
      <x:c r="R1066" s="19" t="str">
        <x:v>S12_061 usage threshold</x:v>
      </x:c>
      <x:c r="S1066" s="19" t="str">
        <x:v>https://nlftp.mlit.go.jp/ksj/gml/datalist/KsjTmplt-S12-2024.html</x:v>
      </x:c>
      <x:c r="T1066" s="19" t="str">
        <x:v>https://nlftp.mlit.go.jp/ksj/gml/datalist/KsjTmplt-S12-2024.html</x:v>
      </x:c>
      <x:c r="U1066" s="19" t="str">
        <x:v>station-component|新八柱|東日本旅客鉄道|conventional_rail|35.7913|139.9386|</x:v>
      </x:c>
      <x:c r="V1066" s="19" t="str">
        <x:v>003106 / 003106 / 武蔵野線</x:v>
      </x:c>
      <x:c r="W1066" s="18" t="str">
        <x:v>否</x:v>
      </x:c>
      <x:c r="X1066" s="18" t="str">
        <x:v>0785e932a32b3ec15e1a1345537ae145eafe1c07bf38d5c16c11ee2b391e7a28</x:v>
      </x:c>
      <x:c r="Y1066" s="20" t="n">
        <x:v>1</x:v>
      </x:c>
      <x:c r="Z1066" s="20" t="n">
        <x:v>1</x:v>
      </x:c>
      <x:c r="AA1066" s="19"/>
      <x:c r="AB1066" s="18"/>
      <x:c r="AC1066" s="19"/>
    </x:row>
    <x:row r="1067" ht="33" customHeight="1">
      <x:c r="A1067" s="18" t="str">
        <x:v>新函館北斗</x:v>
      </x:c>
      <x:c r="B1067" s="18" t="str">
        <x:v>北海道旅客鉄道</x:v>
      </x:c>
      <x:c r="C1067" s="18" t="str">
        <x:v>shinkansen</x:v>
      </x:c>
      <x:c r="D1067" s="19" t="str">
        <x:v>T3</x:v>
      </x:c>
      <x:c r="E1067" s="20" t="n">
        <x:v>1494</x:v>
      </x:c>
      <x:c r="F1067" s="18" t="str">
        <x:v>persons/day</x:v>
      </x:c>
      <x:c r="G1067" s="18" t="str">
        <x:v>FY2024</x:v>
      </x:c>
      <x:c r="H1067" s="18" t="str">
        <x:v>否</x:v>
      </x:c>
      <x:c r="I1067" s="19" t="str">
        <x:v>DAILY_ENTRIES_EXITS</x:v>
      </x:c>
      <x:c r="J1067" s="19" t="str">
        <x:v>北海道新幹線</x:v>
      </x:c>
      <x:c r="K1067" s="18" t="str">
        <x:v>transport-node:252a2045-2af3-50df-9b88-87f1abf73c9b</x:v>
      </x:c>
      <x:c r="L1067" s="19" t="str">
        <x:v>组件待审核</x:v>
      </x:c>
      <x:c r="M1067" s="21" t="n">
        <x:v>41.9046323</x:v>
      </x:c>
      <x:c r="N1067" s="21" t="n">
        <x:v>140.6486498</x:v>
      </x:c>
      <x:c r="O1067" s="18" t="str">
        <x:v>000430</x:v>
      </x:c>
      <x:c r="P1067" s="18" t="str">
        <x:v>北海道新幹線</x:v>
      </x:c>
      <x:c r="Q1067" s="19" t="str">
        <x:v>SHINKANSEN</x:v>
      </x:c>
      <x:c r="R1067" s="19" t="str">
        <x:v>S12_061 usage threshold; low-flow inclusion justified by Shinkansen inventory</x:v>
      </x:c>
      <x:c r="S1067" s="19" t="str">
        <x:v>https://nlftp.mlit.go.jp/ksj/gml/datalist/KsjTmplt-S12-2024.html</x:v>
      </x:c>
      <x:c r="T1067" s="19" t="str">
        <x:v>https://nlftp.mlit.go.jp/ksj/gml/datalist/KsjTmplt-S12-2024.html</x:v>
      </x:c>
      <x:c r="U1067" s="19" t="str">
        <x:v>station-component|新函館北斗|北海道旅客鉄道|shinkansen|41.9046|140.6486|</x:v>
      </x:c>
      <x:c r="V1067" s="19" t="str">
        <x:v>000429 / 000430 / 北海道新幹線</x:v>
      </x:c>
      <x:c r="W1067" s="18" t="str">
        <x:v>否</x:v>
      </x:c>
      <x:c r="X1067" s="18" t="str">
        <x:v>0785e932a32b3ec15e1a1345537ae145eafe1c07bf38d5c16c11ee2b391e7a28</x:v>
      </x:c>
      <x:c r="Y1067" s="20" t="n">
        <x:v>1</x:v>
      </x:c>
      <x:c r="Z1067" s="20" t="n">
        <x:v>1</x:v>
      </x:c>
      <x:c r="AA1067" s="19"/>
      <x:c r="AB1067" s="18"/>
      <x:c r="AC1067" s="19"/>
    </x:row>
    <x:row r="1068" ht="33" customHeight="1">
      <x:c r="A1068" s="18" t="str">
        <x:v>新前橋</x:v>
      </x:c>
      <x:c r="B1068" s="18" t="str">
        <x:v>東日本旅客鉄道</x:v>
      </x:c>
      <x:c r="C1068" s="18" t="str">
        <x:v>conventional_rail</x:v>
      </x:c>
      <x:c r="D1068" s="19" t="str">
        <x:v>T2</x:v>
      </x:c>
      <x:c r="E1068" s="20" t="n">
        <x:v>11288</x:v>
      </x:c>
      <x:c r="F1068" s="18" t="str">
        <x:v>persons/day</x:v>
      </x:c>
      <x:c r="G1068" s="18" t="str">
        <x:v>FY2024</x:v>
      </x:c>
      <x:c r="H1068" s="18" t="str">
        <x:v>否</x:v>
      </x:c>
      <x:c r="I1068" s="19" t="str">
        <x:v>DAILY_ENTRIES_EXITS</x:v>
      </x:c>
      <x:c r="J1068" s="19" t="str">
        <x:v>上越線
両毛線</x:v>
      </x:c>
      <x:c r="K1068" s="18" t="str">
        <x:v>transport-node:c13c7730-7743-599e-b420-e315a3884a8c</x:v>
      </x:c>
      <x:c r="L1068" s="19" t="str">
        <x:v>组件待审核</x:v>
      </x:c>
      <x:c r="M1068" s="21" t="n">
        <x:v>36.379005</x:v>
      </x:c>
      <x:c r="N1068" s="21" t="n">
        <x:v>139.047</x:v>
      </x:c>
      <x:c r="O1068" s="18" t="str">
        <x:v>002301</x:v>
      </x:c>
      <x:c r="P1068" s="18" t="str">
        <x:v>上越線</x:v>
      </x:c>
      <x:c r="Q1068" s="19" t="str">
        <x:v>S12_061_GE_10000</x:v>
      </x:c>
      <x:c r="R1068" s="19" t="str">
        <x:v>S12_061 usage threshold</x:v>
      </x:c>
      <x:c r="S1068" s="19" t="str">
        <x:v>https://nlftp.mlit.go.jp/ksj/gml/datalist/KsjTmplt-S12-2024.html</x:v>
      </x:c>
      <x:c r="T1068" s="19" t="str">
        <x:v>https://nlftp.mlit.go.jp/ksj/gml/datalist/KsjTmplt-S12-2024.html</x:v>
      </x:c>
      <x:c r="U1068" s="19" t="str">
        <x:v>station-component|新前橋|東日本旅客鉄道|conventional_rail|36.3790|139.0470|</x:v>
      </x:c>
      <x:c r="V1068" s="19" t="str">
        <x:v>002301 / 002301 / 上越線
002301 / 002302 / 両毛線</x:v>
      </x:c>
      <x:c r="W1068" s="18" t="str">
        <x:v>否</x:v>
      </x:c>
      <x:c r="X1068" s="18" t="str">
        <x:v>0785e932a32b3ec15e1a1345537ae145eafe1c07bf38d5c16c11ee2b391e7a28</x:v>
      </x:c>
      <x:c r="Y1068" s="20" t="n">
        <x:v>1</x:v>
      </x:c>
      <x:c r="Z1068" s="20" t="n">
        <x:v>1</x:v>
      </x:c>
      <x:c r="AA1068" s="19"/>
      <x:c r="AB1068" s="18"/>
      <x:c r="AC1068" s="19"/>
    </x:row>
    <x:row r="1069" ht="33" customHeight="1">
      <x:c r="A1069" s="18" t="str">
        <x:v>新千歳空港</x:v>
      </x:c>
      <x:c r="B1069" s="18" t="str">
        <x:v>北海道旅客鉄道</x:v>
      </x:c>
      <x:c r="C1069" s="18" t="str">
        <x:v>conventional_rail</x:v>
      </x:c>
      <x:c r="D1069" s="19" t="str">
        <x:v>T2</x:v>
      </x:c>
      <x:c r="E1069" s="20" t="n">
        <x:v>41570</x:v>
      </x:c>
      <x:c r="F1069" s="18" t="str">
        <x:v>persons/day</x:v>
      </x:c>
      <x:c r="G1069" s="18" t="str">
        <x:v>FY2024</x:v>
      </x:c>
      <x:c r="H1069" s="18" t="str">
        <x:v>否</x:v>
      </x:c>
      <x:c r="I1069" s="19" t="str">
        <x:v>DAILY_ENTRIES_EXITS</x:v>
      </x:c>
      <x:c r="J1069" s="19" t="str">
        <x:v>千歳線</x:v>
      </x:c>
      <x:c r="K1069" s="18" t="str">
        <x:v>transport-node:b0733693-f1bc-5a25-be0c-1b5d078b51f5</x:v>
      </x:c>
      <x:c r="L1069" s="19" t="str">
        <x:v>组件待审核</x:v>
      </x:c>
      <x:c r="M1069" s="21" t="n">
        <x:v>42.78754</x:v>
      </x:c>
      <x:c r="N1069" s="21" t="n">
        <x:v>141.68079</x:v>
      </x:c>
      <x:c r="O1069" s="18" t="str">
        <x:v>000357</x:v>
      </x:c>
      <x:c r="P1069" s="18" t="str">
        <x:v>千歳線</x:v>
      </x:c>
      <x:c r="Q1069" s="19" t="str">
        <x:v>S12_061_GE_10000
AIRPORT_ACCESS_AUDIT</x:v>
      </x:c>
      <x:c r="R1069" s="19" t="str">
        <x:v>S12_061 usage threshold</x:v>
      </x:c>
      <x:c r="S1069" s="19" t="str">
        <x:v>https://nlftp.mlit.go.jp/ksj/gml/datalist/KsjTmplt-S12-2024.html</x:v>
      </x:c>
      <x:c r="T1069" s="19" t="str">
        <x:v>https://nlftp.mlit.go.jp/ksj/gml/datalist/KsjTmplt-S12-2024.html</x:v>
      </x:c>
      <x:c r="U1069" s="19" t="str">
        <x:v>station-component|新千歳空港|北海道旅客鉄道|conventional_rail|42.7875|141.6808|</x:v>
      </x:c>
      <x:c r="V1069" s="19" t="str">
        <x:v>000357 / 000357 / 千歳線</x:v>
      </x:c>
      <x:c r="W1069" s="18" t="str">
        <x:v>否</x:v>
      </x:c>
      <x:c r="X1069" s="18" t="str">
        <x:v>0785e932a32b3ec15e1a1345537ae145eafe1c07bf38d5c16c11ee2b391e7a28</x:v>
      </x:c>
      <x:c r="Y1069" s="20" t="n">
        <x:v>1</x:v>
      </x:c>
      <x:c r="Z1069" s="20" t="n">
        <x:v>1</x:v>
      </x:c>
      <x:c r="AA1069" s="19"/>
      <x:c r="AB1069" s="18"/>
      <x:c r="AC1069" s="19"/>
    </x:row>
    <x:row r="1070" ht="28" customHeight="1">
      <x:c r="A1070" s="18" t="str">
        <x:v>新在家</x:v>
      </x:c>
      <x:c r="B1070" s="18" t="str">
        <x:v>阪神電気鉄道</x:v>
      </x:c>
      <x:c r="C1070" s="18" t="str">
        <x:v>private_rail</x:v>
      </x:c>
      <x:c r="D1070" s="19" t="str">
        <x:v>T2</x:v>
      </x:c>
      <x:c r="E1070" s="20" t="n">
        <x:v>11005</x:v>
      </x:c>
      <x:c r="F1070" s="18" t="str">
        <x:v>persons/day</x:v>
      </x:c>
      <x:c r="G1070" s="18" t="str">
        <x:v>FY2024</x:v>
      </x:c>
      <x:c r="H1070" s="18" t="str">
        <x:v>否</x:v>
      </x:c>
      <x:c r="I1070" s="19" t="str">
        <x:v>DAILY_ENTRIES_EXITS</x:v>
      </x:c>
      <x:c r="J1070" s="19" t="str">
        <x:v>本線</x:v>
      </x:c>
      <x:c r="K1070" s="18" t="str">
        <x:v>transport-node:d5c4e684-236f-590b-8cc6-7483c4fb90e6</x:v>
      </x:c>
      <x:c r="L1070" s="19" t="str">
        <x:v>组件待审核</x:v>
      </x:c>
      <x:c r="M1070" s="21" t="n">
        <x:v>34.710605</x:v>
      </x:c>
      <x:c r="N1070" s="21" t="n">
        <x:v>135.24057</x:v>
      </x:c>
      <x:c r="O1070" s="18" t="str">
        <x:v>007020</x:v>
      </x:c>
      <x:c r="P1070" s="18" t="str">
        <x:v>本線</x:v>
      </x:c>
      <x:c r="Q1070" s="19" t="str">
        <x:v>S12_061_GE_10000</x:v>
      </x:c>
      <x:c r="R1070" s="19" t="str">
        <x:v>S12_061 usage threshold</x:v>
      </x:c>
      <x:c r="S1070" s="19" t="str">
        <x:v>https://nlftp.mlit.go.jp/ksj/gml/datalist/KsjTmplt-S12-2024.html</x:v>
      </x:c>
      <x:c r="T1070" s="19" t="str">
        <x:v>https://nlftp.mlit.go.jp/ksj/gml/datalist/KsjTmplt-S12-2024.html</x:v>
      </x:c>
      <x:c r="U1070" s="19" t="str">
        <x:v>station-component|新在家|阪神電気鉄道|private_rail|34.7106|135.2406|</x:v>
      </x:c>
      <x:c r="V1070" s="19" t="str">
        <x:v>007020 / 007020 / 本線</x:v>
      </x:c>
      <x:c r="W1070" s="18" t="str">
        <x:v>否</x:v>
      </x:c>
      <x:c r="X1070" s="18" t="str">
        <x:v>0785e932a32b3ec15e1a1345537ae145eafe1c07bf38d5c16c11ee2b391e7a28</x:v>
      </x:c>
      <x:c r="Y1070" s="20" t="n">
        <x:v>1</x:v>
      </x:c>
      <x:c r="Z1070" s="20" t="n">
        <x:v>1</x:v>
      </x:c>
      <x:c r="AA1070" s="19"/>
      <x:c r="AB1070" s="18"/>
      <x:c r="AC1070" s="19"/>
    </x:row>
    <x:row r="1071" ht="28" customHeight="1">
      <x:c r="A1071" s="18" t="str">
        <x:v>新大久保</x:v>
      </x:c>
      <x:c r="B1071" s="18" t="str">
        <x:v>東日本旅客鉄道</x:v>
      </x:c>
      <x:c r="C1071" s="18" t="str">
        <x:v>conventional_rail</x:v>
      </x:c>
      <x:c r="D1071" s="19" t="str">
        <x:v>T1</x:v>
      </x:c>
      <x:c r="E1071" s="20" t="n">
        <x:v>98492</x:v>
      </x:c>
      <x:c r="F1071" s="18" t="str">
        <x:v>persons/day</x:v>
      </x:c>
      <x:c r="G1071" s="18" t="str">
        <x:v>FY2024</x:v>
      </x:c>
      <x:c r="H1071" s="18" t="str">
        <x:v>否</x:v>
      </x:c>
      <x:c r="I1071" s="19" t="str">
        <x:v>DAILY_ENTRIES_EXITS</x:v>
      </x:c>
      <x:c r="J1071" s="19" t="str">
        <x:v>山手線</x:v>
      </x:c>
      <x:c r="K1071" s="18" t="str">
        <x:v>transport-node:89200fc7-d5e0-5971-a4c6-e16bb5383386</x:v>
      </x:c>
      <x:c r="L1071" s="19" t="str">
        <x:v>组件待审核</x:v>
      </x:c>
      <x:c r="M1071" s="21" t="n">
        <x:v>35.70093</x:v>
      </x:c>
      <x:c r="N1071" s="21" t="n">
        <x:v>139.700255</x:v>
      </x:c>
      <x:c r="O1071" s="18" t="str">
        <x:v>003601</x:v>
      </x:c>
      <x:c r="P1071" s="18" t="str">
        <x:v>山手線</x:v>
      </x:c>
      <x:c r="Q1071" s="19" t="str">
        <x:v>S12_061_GE_10000</x:v>
      </x:c>
      <x:c r="R1071" s="19" t="str">
        <x:v>S12_061 usage threshold</x:v>
      </x:c>
      <x:c r="S1071" s="19" t="str">
        <x:v>https://nlftp.mlit.go.jp/ksj/gml/datalist/KsjTmplt-S12-2024.html</x:v>
      </x:c>
      <x:c r="T1071" s="19" t="str">
        <x:v>https://nlftp.mlit.go.jp/ksj/gml/datalist/KsjTmplt-S12-2024.html</x:v>
      </x:c>
      <x:c r="U1071" s="19" t="str">
        <x:v>station-component|新大久保|東日本旅客鉄道|conventional_rail|35.7009|139.7003|</x:v>
      </x:c>
      <x:c r="V1071" s="19" t="str">
        <x:v>003601 / 003601 / 山手線</x:v>
      </x:c>
      <x:c r="W1071" s="18" t="str">
        <x:v>否</x:v>
      </x:c>
      <x:c r="X1071" s="18" t="str">
        <x:v>0785e932a32b3ec15e1a1345537ae145eafe1c07bf38d5c16c11ee2b391e7a28</x:v>
      </x:c>
      <x:c r="Y1071" s="20" t="n">
        <x:v>1</x:v>
      </x:c>
      <x:c r="Z1071" s="20" t="n">
        <x:v>1</x:v>
      </x:c>
      <x:c r="AA1071" s="19"/>
      <x:c r="AB1071" s="18"/>
      <x:c r="AC1071" s="19"/>
    </x:row>
    <x:row r="1072" ht="28" customHeight="1">
      <x:c r="A1072" s="18" t="str">
        <x:v>新大塚</x:v>
      </x:c>
      <x:c r="B1072" s="18" t="str">
        <x:v>東京地下鉄</x:v>
      </x:c>
      <x:c r="C1072" s="18" t="str">
        <x:v>metro</x:v>
      </x:c>
      <x:c r="D1072" s="19" t="str">
        <x:v>T2</x:v>
      </x:c>
      <x:c r="E1072" s="20" t="n">
        <x:v>25769</x:v>
      </x:c>
      <x:c r="F1072" s="18" t="str">
        <x:v>persons/day</x:v>
      </x:c>
      <x:c r="G1072" s="18" t="str">
        <x:v>FY2024</x:v>
      </x:c>
      <x:c r="H1072" s="18" t="str">
        <x:v>否</x:v>
      </x:c>
      <x:c r="I1072" s="19" t="str">
        <x:v>DAILY_ENTRIES_EXITS</x:v>
      </x:c>
      <x:c r="J1072" s="19" t="str">
        <x:v>4号線丸ノ内線</x:v>
      </x:c>
      <x:c r="K1072" s="18" t="str">
        <x:v>transport-node:24707657-89a1-5867-8904-2f8dc8ad18a7</x:v>
      </x:c>
      <x:c r="L1072" s="19" t="str">
        <x:v>组件待审核</x:v>
      </x:c>
      <x:c r="M1072" s="21" t="n">
        <x:v>35.7260933</x:v>
      </x:c>
      <x:c r="N1072" s="21" t="n">
        <x:v>139.7294067</x:v>
      </x:c>
      <x:c r="O1072" s="18" t="str">
        <x:v>003431</x:v>
      </x:c>
      <x:c r="P1072" s="18" t="str">
        <x:v>4号線丸ノ内線</x:v>
      </x:c>
      <x:c r="Q1072" s="19" t="str">
        <x:v>S12_061_GE_10000</x:v>
      </x:c>
      <x:c r="R1072" s="19" t="str">
        <x:v>S12_061 usage threshold</x:v>
      </x:c>
      <x:c r="S1072" s="19" t="str">
        <x:v>https://nlftp.mlit.go.jp/ksj/gml/datalist/KsjTmplt-S12-2024.html</x:v>
      </x:c>
      <x:c r="T1072" s="19" t="str">
        <x:v>https://nlftp.mlit.go.jp/ksj/gml/datalist/KsjTmplt-S12-2024.html</x:v>
      </x:c>
      <x:c r="U1072" s="19" t="str">
        <x:v>station-component|新大塚|東京地下鉄|metro|35.7261|139.7294|</x:v>
      </x:c>
      <x:c r="V1072" s="19" t="str">
        <x:v>003431 / 003431 / 4号線丸ノ内線</x:v>
      </x:c>
      <x:c r="W1072" s="18" t="str">
        <x:v>否</x:v>
      </x:c>
      <x:c r="X1072" s="18" t="str">
        <x:v>0785e932a32b3ec15e1a1345537ae145eafe1c07bf38d5c16c11ee2b391e7a28</x:v>
      </x:c>
      <x:c r="Y1072" s="20" t="n">
        <x:v>1</x:v>
      </x:c>
      <x:c r="Z1072" s="20" t="n">
        <x:v>1</x:v>
      </x:c>
      <x:c r="AA1072" s="19"/>
      <x:c r="AB1072" s="18"/>
      <x:c r="AC1072" s="19"/>
    </x:row>
    <x:row r="1073" ht="28" customHeight="1">
      <x:c r="A1073" s="18" t="str">
        <x:v>新大宮</x:v>
      </x:c>
      <x:c r="B1073" s="18" t="str">
        <x:v>近畿日本鉄道</x:v>
      </x:c>
      <x:c r="C1073" s="18" t="str">
        <x:v>private_rail</x:v>
      </x:c>
      <x:c r="D1073" s="19" t="str">
        <x:v>T2</x:v>
      </x:c>
      <x:c r="E1073" s="20" t="n">
        <x:v>25711</x:v>
      </x:c>
      <x:c r="F1073" s="18" t="str">
        <x:v>persons/day</x:v>
      </x:c>
      <x:c r="G1073" s="18" t="str">
        <x:v>FY2024</x:v>
      </x:c>
      <x:c r="H1073" s="18" t="str">
        <x:v>否</x:v>
      </x:c>
      <x:c r="I1073" s="19" t="str">
        <x:v>DAILY_ENTRIES_EXITS</x:v>
      </x:c>
      <x:c r="J1073" s="19" t="str">
        <x:v>奈良線</x:v>
      </x:c>
      <x:c r="K1073" s="18" t="str">
        <x:v>transport-node:4103a963-4b64-534b-af5d-100f6d037335</x:v>
      </x:c>
      <x:c r="L1073" s="19" t="str">
        <x:v>组件待审核</x:v>
      </x:c>
      <x:c r="M1073" s="21" t="n">
        <x:v>34.685425</x:v>
      </x:c>
      <x:c r="N1073" s="21" t="n">
        <x:v>135.810685</x:v>
      </x:c>
      <x:c r="O1073" s="18" t="str">
        <x:v>007176</x:v>
      </x:c>
      <x:c r="P1073" s="18" t="str">
        <x:v>奈良線</x:v>
      </x:c>
      <x:c r="Q1073" s="19" t="str">
        <x:v>S12_061_GE_10000</x:v>
      </x:c>
      <x:c r="R1073" s="19" t="str">
        <x:v>S12_061 usage threshold</x:v>
      </x:c>
      <x:c r="S1073" s="19" t="str">
        <x:v>https://nlftp.mlit.go.jp/ksj/gml/datalist/KsjTmplt-S12-2024.html</x:v>
      </x:c>
      <x:c r="T1073" s="19" t="str">
        <x:v>https://nlftp.mlit.go.jp/ksj/gml/datalist/KsjTmplt-S12-2024.html</x:v>
      </x:c>
      <x:c r="U1073" s="19" t="str">
        <x:v>station-component|新大宮|近畿日本鉄道|private_rail|34.6854|135.8107|</x:v>
      </x:c>
      <x:c r="V1073" s="19" t="str">
        <x:v>007176 / 007176 / 奈良線</x:v>
      </x:c>
      <x:c r="W1073" s="18" t="str">
        <x:v>否</x:v>
      </x:c>
      <x:c r="X1073" s="18" t="str">
        <x:v>0785e932a32b3ec15e1a1345537ae145eafe1c07bf38d5c16c11ee2b391e7a28</x:v>
      </x:c>
      <x:c r="Y1073" s="20" t="n">
        <x:v>1</x:v>
      </x:c>
      <x:c r="Z1073" s="20" t="n">
        <x:v>1</x:v>
      </x:c>
      <x:c r="AA1073" s="19"/>
      <x:c r="AB1073" s="18"/>
      <x:c r="AC1073" s="19"/>
    </x:row>
    <x:row r="1074" ht="33" customHeight="1">
      <x:c r="A1074" s="18" t="str">
        <x:v>新大村</x:v>
      </x:c>
      <x:c r="B1074" s="18" t="str">
        <x:v>九州旅客鉄道</x:v>
      </x:c>
      <x:c r="C1074" s="18" t="str">
        <x:v>shinkansen</x:v>
      </x:c>
      <x:c r="D1074" s="19"/>
      <x:c r="E1074" s="20" t="n">
        <x:v>943</x:v>
      </x:c>
      <x:c r="F1074" s="18" t="str">
        <x:v>boardings/day</x:v>
      </x:c>
      <x:c r="G1074" s="18" t="str">
        <x:v>FY2024</x:v>
      </x:c>
      <x:c r="H1074" s="18" t="str">
        <x:v>是</x:v>
      </x:c>
      <x:c r="I1074" s="19" t="str">
        <x:v>STATION_COMPLEX_PROXY</x:v>
      </x:c>
      <x:c r="J1074" s="19" t="str">
        <x:v>西九州新幹線</x:v>
      </x:c>
      <x:c r="K1074" s="18" t="str">
        <x:v>transport-node:417a4b6d-615b-516d-af1f-422da9ac5427</x:v>
      </x:c>
      <x:c r="L1074" s="19" t="str">
        <x:v>组件待审核</x:v>
      </x:c>
      <x:c r="M1074" s="21" t="n">
        <x:v>32.9330292</x:v>
      </x:c>
      <x:c r="N1074" s="21" t="n">
        <x:v>129.9571343</x:v>
      </x:c>
      <x:c r="O1074" s="18" t="str">
        <x:v>009648</x:v>
      </x:c>
      <x:c r="P1074" s="18" t="str">
        <x:v>西九州新幹線</x:v>
      </x:c>
      <x:c r="Q1074" s="19" t="str">
        <x:v>SHINKANSEN</x:v>
      </x:c>
      <x:c r="R1074" s="19" t="str">
        <x:v>Official fallback retained in published scope/unit; tier remains null pending metric/manual review.</x:v>
      </x:c>
      <x:c r="S1074" s="19" t="str">
        <x:v>https://www.jrkyushu.co.jp/company/info/data/pdf/2024ekibetsu.pdf</x:v>
      </x:c>
      <x:c r="T1074" s="19" t="str">
        <x:v>https://nlftp.mlit.go.jp/ksj/gml/datalist/KsjTmplt-S12-2024.html
https://www.jrkyushu.co.jp/company/info/data/pdf/2024ekibetsu.pdf</x:v>
      </x:c>
      <x:c r="U1074" s="19" t="str">
        <x:v>station-component|新大村|九州旅客鉄道|shinkansen|32.9330|129.9571|</x:v>
      </x:c>
      <x:c r="V1074" s="19" t="str">
        <x:v>009648 / 009648 / 西九州新幹線</x:v>
      </x:c>
      <x:c r="W1074" s="18" t="str">
        <x:v>否</x:v>
      </x:c>
      <x:c r="X1074" s="18" t="str">
        <x:v>0785e932a32b3ec15e1a1345537ae145eafe1c07bf38d5c16c11ee2b391e7a28</x:v>
      </x:c>
      <x:c r="Y1074" s="20" t="n">
        <x:v>1</x:v>
      </x:c>
      <x:c r="Z1074" s="20" t="n">
        <x:v>2</x:v>
      </x:c>
      <x:c r="AA1074" s="19"/>
      <x:c r="AB1074" s="18"/>
      <x:c r="AC1074" s="19"/>
    </x:row>
    <x:row r="1075" ht="33" customHeight="1">
      <x:c r="A1075" s="18" t="str">
        <x:v>新大牟田</x:v>
      </x:c>
      <x:c r="B1075" s="18" t="str">
        <x:v>九州旅客鉄道</x:v>
      </x:c>
      <x:c r="C1075" s="18" t="str">
        <x:v>shinkansen</x:v>
      </x:c>
      <x:c r="D1075" s="19" t="str">
        <x:v>T3</x:v>
      </x:c>
      <x:c r="E1075" s="20" t="n">
        <x:v>1134</x:v>
      </x:c>
      <x:c r="F1075" s="18" t="str">
        <x:v>persons/day</x:v>
      </x:c>
      <x:c r="G1075" s="18" t="str">
        <x:v>FY2024</x:v>
      </x:c>
      <x:c r="H1075" s="18" t="str">
        <x:v>否</x:v>
      </x:c>
      <x:c r="I1075" s="19" t="str">
        <x:v>DAILY_ENTRIES_EXITS</x:v>
      </x:c>
      <x:c r="J1075" s="19" t="str">
        <x:v>九州新幹線</x:v>
      </x:c>
      <x:c r="K1075" s="18" t="str">
        <x:v>transport-node:f391f4ce-aad4-5275-9cdf-1aab8f86c13e</x:v>
      </x:c>
      <x:c r="L1075" s="19" t="str">
        <x:v>组件待审核</x:v>
      </x:c>
      <x:c r="M1075" s="21" t="n">
        <x:v>33.071316</x:v>
      </x:c>
      <x:c r="N1075" s="21" t="n">
        <x:v>130.4887535</x:v>
      </x:c>
      <x:c r="O1075" s="18" t="str">
        <x:v>009591</x:v>
      </x:c>
      <x:c r="P1075" s="18" t="str">
        <x:v>九州新幹線</x:v>
      </x:c>
      <x:c r="Q1075" s="19" t="str">
        <x:v>SHINKANSEN</x:v>
      </x:c>
      <x:c r="R1075" s="19" t="str">
        <x:v>S12_061 usage threshold; low-flow inclusion justified by Shinkansen inventory</x:v>
      </x:c>
      <x:c r="S1075" s="19" t="str">
        <x:v>https://nlftp.mlit.go.jp/ksj/gml/datalist/KsjTmplt-S12-2024.html</x:v>
      </x:c>
      <x:c r="T1075" s="19" t="str">
        <x:v>https://nlftp.mlit.go.jp/ksj/gml/datalist/KsjTmplt-S12-2024.html</x:v>
      </x:c>
      <x:c r="U1075" s="19" t="str">
        <x:v>station-component|新大牟田|九州旅客鉄道|shinkansen|33.0713|130.4888|</x:v>
      </x:c>
      <x:c r="V1075" s="19" t="str">
        <x:v>009591 / 009591 / 九州新幹線</x:v>
      </x:c>
      <x:c r="W1075" s="18" t="str">
        <x:v>否</x:v>
      </x:c>
      <x:c r="X1075" s="18" t="str">
        <x:v>0785e932a32b3ec15e1a1345537ae145eafe1c07bf38d5c16c11ee2b391e7a28</x:v>
      </x:c>
      <x:c r="Y1075" s="20" t="n">
        <x:v>1</x:v>
      </x:c>
      <x:c r="Z1075" s="20" t="n">
        <x:v>1</x:v>
      </x:c>
      <x:c r="AA1075" s="19"/>
      <x:c r="AB1075" s="18"/>
      <x:c r="AC1075" s="19"/>
    </x:row>
    <x:row r="1076" ht="33" customHeight="1">
      <x:c r="A1076" s="18" t="str">
        <x:v>新大阪</x:v>
      </x:c>
      <x:c r="B1076" s="18" t="str">
        <x:v>大阪市高速電気軌道</x:v>
      </x:c>
      <x:c r="C1076" s="18" t="str">
        <x:v>metro</x:v>
      </x:c>
      <x:c r="D1076" s="19" t="str">
        <x:v>T1</x:v>
      </x:c>
      <x:c r="E1076" s="20" t="n">
        <x:v>151695</x:v>
      </x:c>
      <x:c r="F1076" s="18" t="str">
        <x:v>persons/day</x:v>
      </x:c>
      <x:c r="G1076" s="18" t="str">
        <x:v>FY2024</x:v>
      </x:c>
      <x:c r="H1076" s="18" t="str">
        <x:v>否</x:v>
      </x:c>
      <x:c r="I1076" s="19" t="str">
        <x:v>DAILY_ENTRIES_EXITS</x:v>
      </x:c>
      <x:c r="J1076" s="19" t="str">
        <x:v>1号線(御堂筋線)</x:v>
      </x:c>
      <x:c r="K1076" s="18" t="str">
        <x:v>transport-node:5ac1a1f5-9b57-5081-9e54-92a8c824e06a</x:v>
      </x:c>
      <x:c r="L1076" s="19" t="str">
        <x:v>组件待审核</x:v>
      </x:c>
      <x:c r="M1076" s="21" t="n">
        <x:v>34.73279</x:v>
      </x:c>
      <x:c r="N1076" s="21" t="n">
        <x:v>135.498545</x:v>
      </x:c>
      <x:c r="O1076" s="18" t="str">
        <x:v>006914</x:v>
      </x:c>
      <x:c r="P1076" s="18" t="str">
        <x:v>1号線(御堂筋線)</x:v>
      </x:c>
      <x:c r="Q1076" s="19" t="str">
        <x:v>S12_061_GE_10000
OFFICIAL_HUB_COMPONENT_REVIEW</x:v>
      </x:c>
      <x:c r="R1076" s="19" t="str">
        <x:v>S12_061 usage threshold</x:v>
      </x:c>
      <x:c r="S1076" s="19" t="str">
        <x:v>https://nlftp.mlit.go.jp/ksj/gml/datalist/KsjTmplt-S12-2024.html</x:v>
      </x:c>
      <x:c r="T1076" s="19" t="str">
        <x:v>https://nlftp.mlit.go.jp/ksj/gml/datalist/KsjTmplt-S12-2024.html
https://subway.osakametro.co.jp/station_guide/M/m13/index.php</x:v>
      </x:c>
      <x:c r="U1076" s="19" t="str">
        <x:v>station-component|新大阪|大阪市高速電気軌道|metro|34.7328|135.4985|</x:v>
      </x:c>
      <x:c r="V1076" s="19" t="str">
        <x:v>006911 / 006914 / 1号線(御堂筋線)</x:v>
      </x:c>
      <x:c r="W1076" s="18" t="str">
        <x:v>否</x:v>
      </x:c>
      <x:c r="X1076" s="18" t="str">
        <x:v>0785e932a32b3ec15e1a1345537ae145eafe1c07bf38d5c16c11ee2b391e7a28</x:v>
      </x:c>
      <x:c r="Y1076" s="20" t="n">
        <x:v>1</x:v>
      </x:c>
      <x:c r="Z1076" s="20" t="n">
        <x:v>1</x:v>
      </x:c>
      <x:c r="AA1076" s="19" t="str">
        <x:v>新大阪</x:v>
      </x:c>
      <x:c r="AB1076" s="18" t="str">
        <x:v>transport-hub-review:dfd6abd3-d2f1-5e4d-bf7c-a0072bc59fa4</x:v>
      </x:c>
      <x:c r="AC1076" s="19"/>
    </x:row>
    <x:row r="1077" ht="47" customHeight="1">
      <x:c r="A1077" s="18" t="str">
        <x:v>新大阪</x:v>
      </x:c>
      <x:c r="B1077" s="18" t="str">
        <x:v>東海旅客鉄道</x:v>
      </x:c>
      <x:c r="C1077" s="18" t="str">
        <x:v>shinkansen</x:v>
      </x:c>
      <x:c r="D1077" s="19" t="str">
        <x:v>T1</x:v>
      </x:c>
      <x:c r="E1077" s="20" t="n">
        <x:v>169417</x:v>
      </x:c>
      <x:c r="F1077" s="18" t="str">
        <x:v>persons/day</x:v>
      </x:c>
      <x:c r="G1077" s="18" t="str">
        <x:v>FY2024</x:v>
      </x:c>
      <x:c r="H1077" s="18" t="str">
        <x:v>否</x:v>
      </x:c>
      <x:c r="I1077" s="19" t="str">
        <x:v>DAILY_ENTRIES_EXITS</x:v>
      </x:c>
      <x:c r="J1077" s="19" t="str">
        <x:v>東海道新幹線</x:v>
      </x:c>
      <x:c r="K1077" s="18" t="str">
        <x:v>transport-node:a5a535f3-e9a8-565e-9efe-ea70928ad8ef</x:v>
      </x:c>
      <x:c r="L1077" s="19" t="str">
        <x:v>组件待审核</x:v>
      </x:c>
      <x:c r="M1077" s="21" t="n">
        <x:v>34.73368</x:v>
      </x:c>
      <x:c r="N1077" s="21" t="n">
        <x:v>135.500035</x:v>
      </x:c>
      <x:c r="O1077" s="18" t="str">
        <x:v>006912</x:v>
      </x:c>
      <x:c r="P1077" s="18" t="str">
        <x:v>東海道新幹線</x:v>
      </x:c>
      <x:c r="Q1077" s="19" t="str">
        <x:v>S12_061_GE_10000
SHINKANSEN
OFFICIAL_HUB_COMPONENT_REVIEW</x:v>
      </x:c>
      <x:c r="R1077" s="19" t="str">
        <x:v>S12_061 usage threshold</x:v>
      </x:c>
      <x:c r="S1077" s="19" t="str">
        <x:v>https://nlftp.mlit.go.jp/ksj/gml/datalist/KsjTmplt-S12-2024.html</x:v>
      </x:c>
      <x:c r="T1077" s="19" t="str">
        <x:v>https://nlftp.mlit.go.jp/ksj/gml/datalist/KsjTmplt-S12-2024.html
https://subway.osakametro.co.jp/station_guide/M/m13/index.php</x:v>
      </x:c>
      <x:c r="U1077" s="19" t="str">
        <x:v>station-component|新大阪|東海旅客鉄道|shinkansen|34.7337|135.5000|</x:v>
      </x:c>
      <x:c r="V1077" s="19" t="str">
        <x:v>006911 / 006912 / 東海道新幹線</x:v>
      </x:c>
      <x:c r="W1077" s="18" t="str">
        <x:v>否</x:v>
      </x:c>
      <x:c r="X1077" s="18" t="str">
        <x:v>0785e932a32b3ec15e1a1345537ae145eafe1c07bf38d5c16c11ee2b391e7a28</x:v>
      </x:c>
      <x:c r="Y1077" s="20" t="n">
        <x:v>1</x:v>
      </x:c>
      <x:c r="Z1077" s="20" t="n">
        <x:v>1</x:v>
      </x:c>
      <x:c r="AA1077" s="19" t="str">
        <x:v>新大阪</x:v>
      </x:c>
      <x:c r="AB1077" s="18" t="str">
        <x:v>transport-hub-review:dfd6abd3-d2f1-5e4d-bf7c-a0072bc59fa4</x:v>
      </x:c>
      <x:c r="AC1077" s="19"/>
    </x:row>
    <x:row r="1078" ht="33" customHeight="1">
      <x:c r="A1078" s="18" t="str">
        <x:v>新大阪</x:v>
      </x:c>
      <x:c r="B1078" s="18" t="str">
        <x:v>西日本旅客鉄道</x:v>
      </x:c>
      <x:c r="C1078" s="18" t="str">
        <x:v>conventional_rail</x:v>
      </x:c>
      <x:c r="D1078" s="19" t="str">
        <x:v>T1</x:v>
      </x:c>
      <x:c r="E1078" s="20" t="n">
        <x:v>148700</x:v>
      </x:c>
      <x:c r="F1078" s="18" t="str">
        <x:v>persons/day</x:v>
      </x:c>
      <x:c r="G1078" s="18" t="str">
        <x:v>FY2024</x:v>
      </x:c>
      <x:c r="H1078" s="18" t="str">
        <x:v>否</x:v>
      </x:c>
      <x:c r="I1078" s="19" t="str">
        <x:v>DAILY_ENTRIES_EXITS</x:v>
      </x:c>
      <x:c r="J1078" s="19" t="str">
        <x:v>おおさか東線
東海道線</x:v>
      </x:c>
      <x:c r="K1078" s="18" t="str">
        <x:v>transport-node:0663cba4-444d-5601-ab9c-b6d7ef355aae</x:v>
      </x:c>
      <x:c r="L1078" s="19" t="str">
        <x:v>组件待审核</x:v>
      </x:c>
      <x:c r="M1078" s="21" t="n">
        <x:v>34.7339043</x:v>
      </x:c>
      <x:c r="N1078" s="21" t="n">
        <x:v>135.502001</x:v>
      </x:c>
      <x:c r="O1078" s="18" t="str">
        <x:v>006910</x:v>
      </x:c>
      <x:c r="P1078" s="18" t="str">
        <x:v>東海道線</x:v>
      </x:c>
      <x:c r="Q1078" s="19" t="str">
        <x:v>S12_061_GE_10000
OFFICIAL_HUB_COMPONENT_REVIEW</x:v>
      </x:c>
      <x:c r="R1078" s="19" t="str">
        <x:v>S12_061 usage threshold</x:v>
      </x:c>
      <x:c r="S1078" s="19" t="str">
        <x:v>https://nlftp.mlit.go.jp/ksj/gml/datalist/KsjTmplt-S12-2024.html</x:v>
      </x:c>
      <x:c r="T1078" s="19" t="str">
        <x:v>https://nlftp.mlit.go.jp/ksj/gml/datalist/KsjTmplt-S12-2024.html
https://subway.osakametro.co.jp/station_guide/M/m13/index.php</x:v>
      </x:c>
      <x:c r="U1078" s="19" t="str">
        <x:v>station-component|新大阪|西日本旅客鉄道|conventional_rail|34.7339|135.5020|</x:v>
      </x:c>
      <x:c r="V1078" s="19" t="str">
        <x:v>006911 / 006909 / おおさか東線
006911 / 006910 / 東海道線</x:v>
      </x:c>
      <x:c r="W1078" s="18" t="str">
        <x:v>否</x:v>
      </x:c>
      <x:c r="X1078" s="18" t="str">
        <x:v>0785e932a32b3ec15e1a1345537ae145eafe1c07bf38d5c16c11ee2b391e7a28</x:v>
      </x:c>
      <x:c r="Y1078" s="20" t="n">
        <x:v>1</x:v>
      </x:c>
      <x:c r="Z1078" s="20" t="n">
        <x:v>1</x:v>
      </x:c>
      <x:c r="AA1078" s="19" t="str">
        <x:v>新大阪</x:v>
      </x:c>
      <x:c r="AB1078" s="18" t="str">
        <x:v>transport-hub-review:dfd6abd3-d2f1-5e4d-bf7c-a0072bc59fa4</x:v>
      </x:c>
      <x:c r="AC1078" s="19"/>
    </x:row>
    <x:row r="1079" ht="47" customHeight="1">
      <x:c r="A1079" s="18" t="str">
        <x:v>新大阪</x:v>
      </x:c>
      <x:c r="B1079" s="18" t="str">
        <x:v>西日本旅客鉄道</x:v>
      </x:c>
      <x:c r="C1079" s="18" t="str">
        <x:v>shinkansen</x:v>
      </x:c>
      <x:c r="D1079" s="19"/>
      <x:c r="E1079" s="20" t="n">
        <x:v>79582</x:v>
      </x:c>
      <x:c r="F1079" s="18" t="str">
        <x:v>boardings/day</x:v>
      </x:c>
      <x:c r="G1079" s="18" t="str">
        <x:v>FY2025</x:v>
      </x:c>
      <x:c r="H1079" s="18" t="str">
        <x:v>是</x:v>
      </x:c>
      <x:c r="I1079" s="19" t="str">
        <x:v>STATION_COMPLEX_PROXY</x:v>
      </x:c>
      <x:c r="J1079" s="19" t="str">
        <x:v>山陽新幹線</x:v>
      </x:c>
      <x:c r="K1079" s="18" t="str">
        <x:v>transport-node:e080eaa8-222e-52cf-868c-eb4ab2213d91</x:v>
      </x:c>
      <x:c r="L1079" s="19" t="str">
        <x:v>组件待审核</x:v>
      </x:c>
      <x:c r="M1079" s="21" t="n">
        <x:v>34.73368</x:v>
      </x:c>
      <x:c r="N1079" s="21" t="n">
        <x:v>135.500035</x:v>
      </x:c>
      <x:c r="O1079" s="18" t="str">
        <x:v>006911</x:v>
      </x:c>
      <x:c r="P1079" s="18" t="str">
        <x:v>山陽新幹線</x:v>
      </x:c>
      <x:c r="Q1079" s="19" t="str">
        <x:v>SHINKANSEN
OFFICIAL_HUB_COMPONENT_REVIEW</x:v>
      </x:c>
      <x:c r="R1079" s="19" t="str">
        <x:v>Official fallback retained in published scope/unit; tier remains null pending metric/manual review.</x:v>
      </x:c>
      <x:c r="S1079" s="19" t="str">
        <x:v>https://www.westjr.co.jp/company/info/issue/data/pdf/data2026_11.pdf</x:v>
      </x:c>
      <x:c r="T1079" s="19" t="str">
        <x:v>https://nlftp.mlit.go.jp/ksj/gml/datalist/KsjTmplt-S12-2024.html
https://subway.osakametro.co.jp/station_guide/M/m13/index.php
https://www.westjr.co.jp/company/info/issue/data/pdf/data2026_11.pdf</x:v>
      </x:c>
      <x:c r="U1079" s="19" t="str">
        <x:v>station-component|新大阪|西日本旅客鉄道|shinkansen|34.7337|135.5000|</x:v>
      </x:c>
      <x:c r="V1079" s="19" t="str">
        <x:v>006911 / 006911 / 山陽新幹線</x:v>
      </x:c>
      <x:c r="W1079" s="18" t="str">
        <x:v>否</x:v>
      </x:c>
      <x:c r="X1079" s="18" t="str">
        <x:v>0785e932a32b3ec15e1a1345537ae145eafe1c07bf38d5c16c11ee2b391e7a28</x:v>
      </x:c>
      <x:c r="Y1079" s="20" t="n">
        <x:v>1</x:v>
      </x:c>
      <x:c r="Z1079" s="20" t="n">
        <x:v>2</x:v>
      </x:c>
      <x:c r="AA1079" s="19" t="str">
        <x:v>新大阪</x:v>
      </x:c>
      <x:c r="AB1079" s="18" t="str">
        <x:v>transport-hub-review:dfd6abd3-d2f1-5e4d-bf7c-a0072bc59fa4</x:v>
      </x:c>
      <x:c r="AC1079" s="19"/>
    </x:row>
    <x:row r="1080" ht="28" customHeight="1">
      <x:c r="A1080" s="18" t="str">
        <x:v>新子安</x:v>
      </x:c>
      <x:c r="B1080" s="18" t="str">
        <x:v>東日本旅客鉄道</x:v>
      </x:c>
      <x:c r="C1080" s="18" t="str">
        <x:v>conventional_rail</x:v>
      </x:c>
      <x:c r="D1080" s="19" t="str">
        <x:v>T2</x:v>
      </x:c>
      <x:c r="E1080" s="20" t="n">
        <x:v>41780</x:v>
      </x:c>
      <x:c r="F1080" s="18" t="str">
        <x:v>persons/day</x:v>
      </x:c>
      <x:c r="G1080" s="18" t="str">
        <x:v>FY2024</x:v>
      </x:c>
      <x:c r="H1080" s="18" t="str">
        <x:v>否</x:v>
      </x:c>
      <x:c r="I1080" s="19" t="str">
        <x:v>DAILY_ENTRIES_EXITS</x:v>
      </x:c>
      <x:c r="J1080" s="19" t="str">
        <x:v>東海道線</x:v>
      </x:c>
      <x:c r="K1080" s="18" t="str">
        <x:v>transport-node:268c911f-0b5b-5c00-bcbb-b249c3985034</x:v>
      </x:c>
      <x:c r="L1080" s="19" t="str">
        <x:v>组件待审核</x:v>
      </x:c>
      <x:c r="M1080" s="21" t="n">
        <x:v>35.4868267</x:v>
      </x:c>
      <x:c r="N1080" s="21" t="n">
        <x:v>139.65409</x:v>
      </x:c>
      <x:c r="O1080" s="18" t="str">
        <x:v>004562</x:v>
      </x:c>
      <x:c r="P1080" s="18" t="str">
        <x:v>東海道線</x:v>
      </x:c>
      <x:c r="Q1080" s="19" t="str">
        <x:v>S12_061_GE_10000</x:v>
      </x:c>
      <x:c r="R1080" s="19" t="str">
        <x:v>S12_061 usage threshold</x:v>
      </x:c>
      <x:c r="S1080" s="19" t="str">
        <x:v>https://nlftp.mlit.go.jp/ksj/gml/datalist/KsjTmplt-S12-2024.html</x:v>
      </x:c>
      <x:c r="T1080" s="19" t="str">
        <x:v>https://nlftp.mlit.go.jp/ksj/gml/datalist/KsjTmplt-S12-2024.html</x:v>
      </x:c>
      <x:c r="U1080" s="19" t="str">
        <x:v>station-component|新子安|東日本旅客鉄道|conventional_rail|35.4868|139.6541|</x:v>
      </x:c>
      <x:c r="V1080" s="19" t="str">
        <x:v>004562 / 004562 / 東海道線</x:v>
      </x:c>
      <x:c r="W1080" s="18" t="str">
        <x:v>否</x:v>
      </x:c>
      <x:c r="X1080" s="18" t="str">
        <x:v>0785e932a32b3ec15e1a1345537ae145eafe1c07bf38d5c16c11ee2b391e7a28</x:v>
      </x:c>
      <x:c r="Y1080" s="20" t="n">
        <x:v>1</x:v>
      </x:c>
      <x:c r="Z1080" s="20" t="n">
        <x:v>1</x:v>
      </x:c>
      <x:c r="AA1080" s="19"/>
      <x:c r="AB1080" s="18"/>
      <x:c r="AC1080" s="19"/>
    </x:row>
    <x:row r="1081" ht="28" customHeight="1">
      <x:c r="A1081" s="18" t="str">
        <x:v>新守山</x:v>
      </x:c>
      <x:c r="B1081" s="18" t="str">
        <x:v>東海旅客鉄道</x:v>
      </x:c>
      <x:c r="C1081" s="18" t="str">
        <x:v>conventional_rail</x:v>
      </x:c>
      <x:c r="D1081" s="19" t="str">
        <x:v>T2</x:v>
      </x:c>
      <x:c r="E1081" s="20" t="n">
        <x:v>15236</x:v>
      </x:c>
      <x:c r="F1081" s="18" t="str">
        <x:v>persons/day</x:v>
      </x:c>
      <x:c r="G1081" s="18" t="str">
        <x:v>FY2024</x:v>
      </x:c>
      <x:c r="H1081" s="18" t="str">
        <x:v>否</x:v>
      </x:c>
      <x:c r="I1081" s="19" t="str">
        <x:v>DAILY_ENTRIES_EXITS</x:v>
      </x:c>
      <x:c r="J1081" s="19" t="str">
        <x:v>中央線</x:v>
      </x:c>
      <x:c r="K1081" s="18" t="str">
        <x:v>transport-node:fd31a52b-e6a4-5902-94ff-c84cc6a80a75</x:v>
      </x:c>
      <x:c r="L1081" s="19" t="str">
        <x:v>组件待审核</x:v>
      </x:c>
      <x:c r="M1081" s="21" t="n">
        <x:v>35.20604</x:v>
      </x:c>
      <x:c r="N1081" s="21" t="n">
        <x:v>136.9502375</x:v>
      </x:c>
      <x:c r="O1081" s="18" t="str">
        <x:v>005332</x:v>
      </x:c>
      <x:c r="P1081" s="18" t="str">
        <x:v>中央線</x:v>
      </x:c>
      <x:c r="Q1081" s="19" t="str">
        <x:v>S12_061_GE_10000</x:v>
      </x:c>
      <x:c r="R1081" s="19" t="str">
        <x:v>S12_061 usage threshold</x:v>
      </x:c>
      <x:c r="S1081" s="19" t="str">
        <x:v>https://nlftp.mlit.go.jp/ksj/gml/datalist/KsjTmplt-S12-2024.html</x:v>
      </x:c>
      <x:c r="T1081" s="19" t="str">
        <x:v>https://nlftp.mlit.go.jp/ksj/gml/datalist/KsjTmplt-S12-2024.html</x:v>
      </x:c>
      <x:c r="U1081" s="19" t="str">
        <x:v>station-component|新守山|東海旅客鉄道|conventional_rail|35.2060|136.9502|</x:v>
      </x:c>
      <x:c r="V1081" s="19" t="str">
        <x:v>005332 / 005332 / 中央線</x:v>
      </x:c>
      <x:c r="W1081" s="18" t="str">
        <x:v>否</x:v>
      </x:c>
      <x:c r="X1081" s="18" t="str">
        <x:v>0785e932a32b3ec15e1a1345537ae145eafe1c07bf38d5c16c11ee2b391e7a28</x:v>
      </x:c>
      <x:c r="Y1081" s="20" t="n">
        <x:v>1</x:v>
      </x:c>
      <x:c r="Z1081" s="20" t="n">
        <x:v>1</x:v>
      </x:c>
      <x:c r="AA1081" s="19"/>
      <x:c r="AB1081" s="18"/>
      <x:c r="AC1081" s="19"/>
    </x:row>
    <x:row r="1082" ht="33" customHeight="1">
      <x:c r="A1082" s="18" t="str">
        <x:v>新安城</x:v>
      </x:c>
      <x:c r="B1082" s="18" t="str">
        <x:v>名古屋鉄道</x:v>
      </x:c>
      <x:c r="C1082" s="18" t="str">
        <x:v>private_rail</x:v>
      </x:c>
      <x:c r="D1082" s="19" t="str">
        <x:v>T2</x:v>
      </x:c>
      <x:c r="E1082" s="20" t="n">
        <x:v>22150</x:v>
      </x:c>
      <x:c r="F1082" s="18" t="str">
        <x:v>persons/day</x:v>
      </x:c>
      <x:c r="G1082" s="18" t="str">
        <x:v>FY2024</x:v>
      </x:c>
      <x:c r="H1082" s="18" t="str">
        <x:v>否</x:v>
      </x:c>
      <x:c r="I1082" s="19" t="str">
        <x:v>DAILY_ENTRIES_EXITS</x:v>
      </x:c>
      <x:c r="J1082" s="19" t="str">
        <x:v>名古屋本線
西尾線</x:v>
      </x:c>
      <x:c r="K1082" s="18" t="str">
        <x:v>transport-node:ae55fdbf-5f73-55cd-ad8d-352f405d59fe</x:v>
      </x:c>
      <x:c r="L1082" s="19" t="str">
        <x:v>组件待审核</x:v>
      </x:c>
      <x:c r="M1082" s="21" t="n">
        <x:v>34.9869</x:v>
      </x:c>
      <x:c r="N1082" s="21" t="n">
        <x:v>137.085515</x:v>
      </x:c>
      <x:c r="O1082" s="18" t="str">
        <x:v>006073</x:v>
      </x:c>
      <x:c r="P1082" s="18" t="str">
        <x:v>名古屋本線</x:v>
      </x:c>
      <x:c r="Q1082" s="19" t="str">
        <x:v>S12_061_GE_10000</x:v>
      </x:c>
      <x:c r="R1082" s="19" t="str">
        <x:v>S12_061 usage threshold</x:v>
      </x:c>
      <x:c r="S1082" s="19" t="str">
        <x:v>https://nlftp.mlit.go.jp/ksj/gml/datalist/KsjTmplt-S12-2024.html</x:v>
      </x:c>
      <x:c r="T1082" s="19" t="str">
        <x:v>https://nlftp.mlit.go.jp/ksj/gml/datalist/KsjTmplt-S12-2024.html</x:v>
      </x:c>
      <x:c r="U1082" s="19" t="str">
        <x:v>station-component|新安城|名古屋鉄道|private_rail|34.9869|137.0855|</x:v>
      </x:c>
      <x:c r="V1082" s="19" t="str">
        <x:v>006072 / 006072 / 西尾線
006072 / 006073 / 名古屋本線</x:v>
      </x:c>
      <x:c r="W1082" s="18" t="str">
        <x:v>否</x:v>
      </x:c>
      <x:c r="X1082" s="18" t="str">
        <x:v>0785e932a32b3ec15e1a1345537ae145eafe1c07bf38d5c16c11ee2b391e7a28</x:v>
      </x:c>
      <x:c r="Y1082" s="20" t="n">
        <x:v>1</x:v>
      </x:c>
      <x:c r="Z1082" s="20" t="n">
        <x:v>1</x:v>
      </x:c>
      <x:c r="AA1082" s="19"/>
      <x:c r="AB1082" s="18"/>
      <x:c r="AC1082" s="19"/>
    </x:row>
    <x:row r="1083" ht="28" customHeight="1">
      <x:c r="A1083" s="18" t="str">
        <x:v>新宮中央</x:v>
      </x:c>
      <x:c r="B1083" s="18" t="str">
        <x:v>九州旅客鉄道</x:v>
      </x:c>
      <x:c r="C1083" s="18" t="str">
        <x:v>conventional_rail</x:v>
      </x:c>
      <x:c r="D1083" s="19" t="str">
        <x:v>T2</x:v>
      </x:c>
      <x:c r="E1083" s="20" t="n">
        <x:v>11150</x:v>
      </x:c>
      <x:c r="F1083" s="18" t="str">
        <x:v>persons/day</x:v>
      </x:c>
      <x:c r="G1083" s="18" t="str">
        <x:v>FY2024</x:v>
      </x:c>
      <x:c r="H1083" s="18" t="str">
        <x:v>否</x:v>
      </x:c>
      <x:c r="I1083" s="19" t="str">
        <x:v>DAILY_ENTRIES_EXITS</x:v>
      </x:c>
      <x:c r="J1083" s="19" t="str">
        <x:v>鹿児島線</x:v>
      </x:c>
      <x:c r="K1083" s="18" t="str">
        <x:v>transport-node:2ec9d1cd-bf30-50a7-9942-00227ec98bb7</x:v>
      </x:c>
      <x:c r="L1083" s="19" t="str">
        <x:v>组件待审核</x:v>
      </x:c>
      <x:c r="M1083" s="21" t="n">
        <x:v>33.7120255</x:v>
      </x:c>
      <x:c r="N1083" s="21" t="n">
        <x:v>130.4494425</x:v>
      </x:c>
      <x:c r="O1083" s="18" t="str">
        <x:v>008886</x:v>
      </x:c>
      <x:c r="P1083" s="18" t="str">
        <x:v>鹿児島線</x:v>
      </x:c>
      <x:c r="Q1083" s="19" t="str">
        <x:v>S12_061_GE_10000</x:v>
      </x:c>
      <x:c r="R1083" s="19" t="str">
        <x:v>S12_061 usage threshold</x:v>
      </x:c>
      <x:c r="S1083" s="19" t="str">
        <x:v>https://nlftp.mlit.go.jp/ksj/gml/datalist/KsjTmplt-S12-2024.html</x:v>
      </x:c>
      <x:c r="T1083" s="19" t="str">
        <x:v>https://nlftp.mlit.go.jp/ksj/gml/datalist/KsjTmplt-S12-2024.html</x:v>
      </x:c>
      <x:c r="U1083" s="19" t="str">
        <x:v>station-component|新宮中央|九州旅客鉄道|conventional_rail|33.7120|130.4494|</x:v>
      </x:c>
      <x:c r="V1083" s="19" t="str">
        <x:v>008886 / 008886 / 鹿児島線</x:v>
      </x:c>
      <x:c r="W1083" s="18" t="str">
        <x:v>否</x:v>
      </x:c>
      <x:c r="X1083" s="18" t="str">
        <x:v>0785e932a32b3ec15e1a1345537ae145eafe1c07bf38d5c16c11ee2b391e7a28</x:v>
      </x:c>
      <x:c r="Y1083" s="20" t="n">
        <x:v>1</x:v>
      </x:c>
      <x:c r="Z1083" s="20" t="n">
        <x:v>1</x:v>
      </x:c>
      <x:c r="AA1083" s="19"/>
      <x:c r="AB1083" s="18"/>
      <x:c r="AC1083" s="19"/>
    </x:row>
    <x:row r="1084" ht="33" customHeight="1">
      <x:c r="A1084" s="18" t="str">
        <x:v>新宿</x:v>
      </x:c>
      <x:c r="B1084" s="18" t="str">
        <x:v>京王電鉄</x:v>
      </x:c>
      <x:c r="C1084" s="18" t="str">
        <x:v>private_rail</x:v>
      </x:c>
      <x:c r="D1084" s="19" t="str">
        <x:v>T0</x:v>
      </x:c>
      <x:c r="E1084" s="20" t="n">
        <x:v>728874</x:v>
      </x:c>
      <x:c r="F1084" s="18" t="str">
        <x:v>persons/day</x:v>
      </x:c>
      <x:c r="G1084" s="18" t="str">
        <x:v>FY2024</x:v>
      </x:c>
      <x:c r="H1084" s="18" t="str">
        <x:v>否</x:v>
      </x:c>
      <x:c r="I1084" s="19" t="str">
        <x:v>DAILY_ENTRIES_EXITS</x:v>
      </x:c>
      <x:c r="J1084" s="19" t="str">
        <x:v>京王線</x:v>
      </x:c>
      <x:c r="K1084" s="18" t="str">
        <x:v>transport-node:1e7633cc-c81b-523e-bb06-e3080f15aaf5</x:v>
      </x:c>
      <x:c r="L1084" s="19" t="str">
        <x:v>组件待审核</x:v>
      </x:c>
      <x:c r="M1084" s="21" t="n">
        <x:v>35.689985</x:v>
      </x:c>
      <x:c r="N1084" s="21" t="n">
        <x:v>139.69921</x:v>
      </x:c>
      <x:c r="O1084" s="18" t="str">
        <x:v>003700</x:v>
      </x:c>
      <x:c r="P1084" s="18" t="str">
        <x:v>京王線</x:v>
      </x:c>
      <x:c r="Q1084" s="19" t="str">
        <x:v>S12_061_GE_10000
OFFICIAL_HUB_COMPONENT_REVIEW</x:v>
      </x:c>
      <x:c r="R1084" s="19" t="str">
        <x:v>S12_061 usage threshold</x:v>
      </x:c>
      <x:c r="S1084" s="19" t="str">
        <x:v>https://nlftp.mlit.go.jp/ksj/gml/datalist/KsjTmplt-S12-2024.html</x:v>
      </x:c>
      <x:c r="T1084" s="19" t="str">
        <x:v>https://nlftp.mlit.go.jp/ksj/gml/datalist/KsjTmplt-S12-2024.html
https://www.keio.co.jp/train/station/</x:v>
      </x:c>
      <x:c r="U1084" s="19" t="str">
        <x:v>station-component|新宿|京王電鉄|private_rail|35.6900|139.6992|</x:v>
      </x:c>
      <x:c r="V1084" s="19" t="str">
        <x:v>003700 / 003700 / 京王線</x:v>
      </x:c>
      <x:c r="W1084" s="18" t="str">
        <x:v>否</x:v>
      </x:c>
      <x:c r="X1084" s="18" t="str">
        <x:v>0785e932a32b3ec15e1a1345537ae145eafe1c07bf38d5c16c11ee2b391e7a28</x:v>
      </x:c>
      <x:c r="Y1084" s="20" t="n">
        <x:v>1</x:v>
      </x:c>
      <x:c r="Z1084" s="20" t="n">
        <x:v>1</x:v>
      </x:c>
      <x:c r="AA1084" s="19" t="str">
        <x:v>新宿</x:v>
      </x:c>
      <x:c r="AB1084" s="18" t="str">
        <x:v>transport-hub-review:b02888ff-fc4e-59be-9688-de71a6c0faab</x:v>
      </x:c>
      <x:c r="AC1084" s="19"/>
    </x:row>
    <x:row r="1085" ht="33" customHeight="1">
      <x:c r="A1085" s="18" t="str">
        <x:v>新宿</x:v>
      </x:c>
      <x:c r="B1085" s="18" t="str">
        <x:v>小田急電鉄</x:v>
      </x:c>
      <x:c r="C1085" s="18" t="str">
        <x:v>private_rail</x:v>
      </x:c>
      <x:c r="D1085" s="19" t="str">
        <x:v>T0</x:v>
      </x:c>
      <x:c r="E1085" s="20" t="n">
        <x:v>450952</x:v>
      </x:c>
      <x:c r="F1085" s="18" t="str">
        <x:v>persons/day</x:v>
      </x:c>
      <x:c r="G1085" s="18" t="str">
        <x:v>FY2024</x:v>
      </x:c>
      <x:c r="H1085" s="18" t="str">
        <x:v>否</x:v>
      </x:c>
      <x:c r="I1085" s="19" t="str">
        <x:v>DAILY_ENTRIES_EXITS</x:v>
      </x:c>
      <x:c r="J1085" s="19" t="str">
        <x:v>小田原線</x:v>
      </x:c>
      <x:c r="K1085" s="18" t="str">
        <x:v>transport-node:e67331c3-59dc-5280-af05-62420f46372d</x:v>
      </x:c>
      <x:c r="L1085" s="19" t="str">
        <x:v>组件待审核</x:v>
      </x:c>
      <x:c r="M1085" s="21" t="n">
        <x:v>35.69124</x:v>
      </x:c>
      <x:c r="N1085" s="21" t="n">
        <x:v>139.6996667</x:v>
      </x:c>
      <x:c r="O1085" s="18" t="str">
        <x:v>003683</x:v>
      </x:c>
      <x:c r="P1085" s="18" t="str">
        <x:v>小田原線</x:v>
      </x:c>
      <x:c r="Q1085" s="19" t="str">
        <x:v>S12_061_GE_10000
OFFICIAL_HUB_COMPONENT_REVIEW</x:v>
      </x:c>
      <x:c r="R1085" s="19" t="str">
        <x:v>S12_061 usage threshold</x:v>
      </x:c>
      <x:c r="S1085" s="19" t="str">
        <x:v>https://nlftp.mlit.go.jp/ksj/gml/datalist/KsjTmplt-S12-2024.html</x:v>
      </x:c>
      <x:c r="T1085" s="19" t="str">
        <x:v>https://nlftp.mlit.go.jp/ksj/gml/datalist/KsjTmplt-S12-2024.html
https://www.keio.co.jp/train/station/</x:v>
      </x:c>
      <x:c r="U1085" s="19" t="str">
        <x:v>station-component|新宿|小田急電鉄|private_rail|35.6912|139.6997|</x:v>
      </x:c>
      <x:c r="V1085" s="19" t="str">
        <x:v>003700 / 003683 / 小田原線</x:v>
      </x:c>
      <x:c r="W1085" s="18" t="str">
        <x:v>否</x:v>
      </x:c>
      <x:c r="X1085" s="18" t="str">
        <x:v>0785e932a32b3ec15e1a1345537ae145eafe1c07bf38d5c16c11ee2b391e7a28</x:v>
      </x:c>
      <x:c r="Y1085" s="20" t="n">
        <x:v>1</x:v>
      </x:c>
      <x:c r="Z1085" s="20" t="n">
        <x:v>1</x:v>
      </x:c>
      <x:c r="AA1085" s="19" t="str">
        <x:v>新宿</x:v>
      </x:c>
      <x:c r="AB1085" s="18" t="str">
        <x:v>transport-hub-review:b02888ff-fc4e-59be-9688-de71a6c0faab</x:v>
      </x:c>
      <x:c r="AC1085" s="19"/>
    </x:row>
    <x:row r="1086" ht="33" customHeight="1">
      <x:c r="A1086" s="18" t="str">
        <x:v>新宿</x:v>
      </x:c>
      <x:c r="B1086" s="18" t="str">
        <x:v>東京地下鉄</x:v>
      </x:c>
      <x:c r="C1086" s="18" t="str">
        <x:v>metro</x:v>
      </x:c>
      <x:c r="D1086" s="19" t="str">
        <x:v>T1</x:v>
      </x:c>
      <x:c r="E1086" s="20" t="n">
        <x:v>199942</x:v>
      </x:c>
      <x:c r="F1086" s="18" t="str">
        <x:v>persons/day</x:v>
      </x:c>
      <x:c r="G1086" s="18" t="str">
        <x:v>FY2024</x:v>
      </x:c>
      <x:c r="H1086" s="18" t="str">
        <x:v>否</x:v>
      </x:c>
      <x:c r="I1086" s="19" t="str">
        <x:v>DAILY_ENTRIES_EXITS</x:v>
      </x:c>
      <x:c r="J1086" s="19" t="str">
        <x:v>4号線丸ノ内線</x:v>
      </x:c>
      <x:c r="K1086" s="18" t="str">
        <x:v>transport-node:2aa7d103-4f50-5a7a-9c5e-f3dde41e2819</x:v>
      </x:c>
      <x:c r="L1086" s="19" t="str">
        <x:v>组件待审核</x:v>
      </x:c>
      <x:c r="M1086" s="21" t="n">
        <x:v>35.69244</x:v>
      </x:c>
      <x:c r="N1086" s="21" t="n">
        <x:v>139.70059</x:v>
      </x:c>
      <x:c r="O1086" s="18" t="str">
        <x:v>003672</x:v>
      </x:c>
      <x:c r="P1086" s="18" t="str">
        <x:v>4号線丸ノ内線</x:v>
      </x:c>
      <x:c r="Q1086" s="19" t="str">
        <x:v>S12_061_GE_10000
OFFICIAL_HUB_COMPONENT_REVIEW</x:v>
      </x:c>
      <x:c r="R1086" s="19" t="str">
        <x:v>S12_061 usage threshold</x:v>
      </x:c>
      <x:c r="S1086" s="19" t="str">
        <x:v>https://nlftp.mlit.go.jp/ksj/gml/datalist/KsjTmplt-S12-2024.html</x:v>
      </x:c>
      <x:c r="T1086" s="19" t="str">
        <x:v>https://nlftp.mlit.go.jp/ksj/gml/datalist/KsjTmplt-S12-2024.html
https://www.keio.co.jp/train/station/</x:v>
      </x:c>
      <x:c r="U1086" s="19" t="str">
        <x:v>station-component|新宿|東京地下鉄|metro|35.6924|139.7006|</x:v>
      </x:c>
      <x:c r="V1086" s="19" t="str">
        <x:v>003700 / 003672 / 4号線丸ノ内線</x:v>
      </x:c>
      <x:c r="W1086" s="18" t="str">
        <x:v>否</x:v>
      </x:c>
      <x:c r="X1086" s="18" t="str">
        <x:v>0785e932a32b3ec15e1a1345537ae145eafe1c07bf38d5c16c11ee2b391e7a28</x:v>
      </x:c>
      <x:c r="Y1086" s="20" t="n">
        <x:v>1</x:v>
      </x:c>
      <x:c r="Z1086" s="20" t="n">
        <x:v>1</x:v>
      </x:c>
      <x:c r="AA1086" s="19" t="str">
        <x:v>新宿</x:v>
      </x:c>
      <x:c r="AB1086" s="18" t="str">
        <x:v>transport-hub-review:b02888ff-fc4e-59be-9688-de71a6c0faab</x:v>
      </x:c>
      <x:c r="AC1086" s="19"/>
    </x:row>
    <x:row r="1087" ht="33" customHeight="1">
      <x:c r="A1087" s="18" t="str">
        <x:v>新宿</x:v>
      </x:c>
      <x:c r="B1087" s="18" t="str">
        <x:v>東京都</x:v>
      </x:c>
      <x:c r="C1087" s="18" t="str">
        <x:v>metro</x:v>
      </x:c>
      <x:c r="D1087" s="19"/>
      <x:c r="E1087" s="20"/>
      <x:c r="F1087" s="18"/>
      <x:c r="G1087" s="18" t="str">
        <x:v>FY2024</x:v>
      </x:c>
      <x:c r="H1087" s="18" t="str">
        <x:v>是</x:v>
      </x:c>
      <x:c r="I1087" s="19" t="str">
        <x:v>USAGE_DATA_UNAVAILABLE</x:v>
      </x:c>
      <x:c r="J1087" s="19" t="str">
        <x:v>10号線新宿線
12号線大江戸線</x:v>
      </x:c>
      <x:c r="K1087" s="18" t="str">
        <x:v>transport-node:e2bcf079-978c-5205-aa58-d14bbf5f9e6c</x:v>
      </x:c>
      <x:c r="L1087" s="19" t="str">
        <x:v>组件待审核</x:v>
      </x:c>
      <x:c r="M1087" s="21" t="n">
        <x:v>35.68843</x:v>
      </x:c>
      <x:c r="N1087" s="21" t="n">
        <x:v>139.698615</x:v>
      </x:c>
      <x:c r="O1087" s="18" t="str">
        <x:v>003708</x:v>
      </x:c>
      <x:c r="P1087" s="18" t="str">
        <x:v>10号線新宿線</x:v>
      </x:c>
      <x:c r="Q1087" s="19" t="str">
        <x:v>OFFICIAL_HUB_COMPONENT_REVIEW</x:v>
      </x:c>
      <x:c r="R1087" s="19" t="str">
        <x:v>Official S12 usage unavailable; manual tier review required</x:v>
      </x:c>
      <x:c r="S1087" s="19" t="str">
        <x:v>https://nlftp.mlit.go.jp/ksj/gml/datalist/KsjTmplt-S12-2024.html</x:v>
      </x:c>
      <x:c r="T1087" s="19" t="str">
        <x:v>https://nlftp.mlit.go.jp/ksj/gml/datalist/KsjTmplt-S12-2024.html
https://www.keio.co.jp/train/station/</x:v>
      </x:c>
      <x:c r="U1087" s="19" t="str">
        <x:v>station-component|新宿|東京都|metro|35.6884|139.6986|</x:v>
      </x:c>
      <x:c r="V1087" s="19" t="str">
        <x:v>003700 / 003708 / 10号線新宿線
003700 / 003715 / 12号線大江戸線</x:v>
      </x:c>
      <x:c r="W1087" s="18" t="str">
        <x:v>否</x:v>
      </x:c>
      <x:c r="X1087" s="18" t="str">
        <x:v>0785e932a32b3ec15e1a1345537ae145eafe1c07bf38d5c16c11ee2b391e7a28</x:v>
      </x:c>
      <x:c r="Y1087" s="20" t="n">
        <x:v>1</x:v>
      </x:c>
      <x:c r="Z1087" s="20" t="n">
        <x:v>2</x:v>
      </x:c>
      <x:c r="AA1087" s="19" t="str">
        <x:v>新宿</x:v>
      </x:c>
      <x:c r="AB1087" s="18" t="str">
        <x:v>transport-hub-review:b02888ff-fc4e-59be-9688-de71a6c0faab</x:v>
      </x:c>
      <x:c r="AC1087" s="19"/>
    </x:row>
    <x:row r="1088" ht="33" customHeight="1">
      <x:c r="A1088" s="18" t="str">
        <x:v>新宿</x:v>
      </x:c>
      <x:c r="B1088" s="18" t="str">
        <x:v>東日本旅客鉄道</x:v>
      </x:c>
      <x:c r="C1088" s="18" t="str">
        <x:v>conventional_rail</x:v>
      </x:c>
      <x:c r="D1088" s="19" t="str">
        <x:v>T0</x:v>
      </x:c>
      <x:c r="E1088" s="20" t="n">
        <x:v>1333618</x:v>
      </x:c>
      <x:c r="F1088" s="18" t="str">
        <x:v>persons/day</x:v>
      </x:c>
      <x:c r="G1088" s="18" t="str">
        <x:v>FY2024</x:v>
      </x:c>
      <x:c r="H1088" s="18" t="str">
        <x:v>否</x:v>
      </x:c>
      <x:c r="I1088" s="19" t="str">
        <x:v>DAILY_ENTRIES_EXITS</x:v>
      </x:c>
      <x:c r="J1088" s="19" t="str">
        <x:v>中央線
山手線</x:v>
      </x:c>
      <x:c r="K1088" s="18" t="str">
        <x:v>transport-node:89b07d95-ed68-5092-a531-07e2df74b03a</x:v>
      </x:c>
      <x:c r="L1088" s="19" t="str">
        <x:v>组件待审核</x:v>
      </x:c>
      <x:c r="M1088" s="21" t="n">
        <x:v>35.69011</x:v>
      </x:c>
      <x:c r="N1088" s="21" t="n">
        <x:v>139.70061</x:v>
      </x:c>
      <x:c r="O1088" s="18" t="str">
        <x:v>003693</x:v>
      </x:c>
      <x:c r="P1088" s="18" t="str">
        <x:v>中央線</x:v>
      </x:c>
      <x:c r="Q1088" s="19" t="str">
        <x:v>S12_061_GE_10000
OFFICIAL_HUB_COMPONENT_REVIEW</x:v>
      </x:c>
      <x:c r="R1088" s="19" t="str">
        <x:v>S12_061 usage threshold</x:v>
      </x:c>
      <x:c r="S1088" s="19" t="str">
        <x:v>https://nlftp.mlit.go.jp/ksj/gml/datalist/KsjTmplt-S12-2024.html</x:v>
      </x:c>
      <x:c r="T1088" s="19" t="str">
        <x:v>https://nlftp.mlit.go.jp/ksj/gml/datalist/KsjTmplt-S12-2024.html
https://www.keio.co.jp/train/station/</x:v>
      </x:c>
      <x:c r="U1088" s="19" t="str">
        <x:v>station-component|新宿|東日本旅客鉄道|conventional_rail|35.6901|139.7006|</x:v>
      </x:c>
      <x:c r="V1088" s="19" t="str">
        <x:v>003700 / 003693 / 中央線
003700 / 003701 / 山手線</x:v>
      </x:c>
      <x:c r="W1088" s="18" t="str">
        <x:v>否</x:v>
      </x:c>
      <x:c r="X1088" s="18" t="str">
        <x:v>0785e932a32b3ec15e1a1345537ae145eafe1c07bf38d5c16c11ee2b391e7a28</x:v>
      </x:c>
      <x:c r="Y1088" s="20" t="n">
        <x:v>1</x:v>
      </x:c>
      <x:c r="Z1088" s="20" t="n">
        <x:v>1</x:v>
      </x:c>
      <x:c r="AA1088" s="19" t="str">
        <x:v>新宿</x:v>
      </x:c>
      <x:c r="AB1088" s="18" t="str">
        <x:v>transport-hub-review:b02888ff-fc4e-59be-9688-de71a6c0faab</x:v>
      </x:c>
      <x:c r="AC1088" s="19"/>
    </x:row>
    <x:row r="1089" ht="33" customHeight="1">
      <x:c r="A1089" s="18" t="str">
        <x:v>新宿三丁目</x:v>
      </x:c>
      <x:c r="B1089" s="18" t="str">
        <x:v>東京地下鉄</x:v>
      </x:c>
      <x:c r="C1089" s="18" t="str">
        <x:v>metro</x:v>
      </x:c>
      <x:c r="D1089" s="19" t="str">
        <x:v>T1</x:v>
      </x:c>
      <x:c r="E1089" s="20" t="n">
        <x:v>152460</x:v>
      </x:c>
      <x:c r="F1089" s="18" t="str">
        <x:v>persons/day</x:v>
      </x:c>
      <x:c r="G1089" s="18" t="str">
        <x:v>FY2024</x:v>
      </x:c>
      <x:c r="H1089" s="18" t="str">
        <x:v>否</x:v>
      </x:c>
      <x:c r="I1089" s="19" t="str">
        <x:v>DAILY_ENTRIES_EXITS</x:v>
      </x:c>
      <x:c r="J1089" s="19" t="str">
        <x:v>13号線副都心線
4号線丸ノ内線</x:v>
      </x:c>
      <x:c r="K1089" s="18" t="str">
        <x:v>transport-node:86e4a472-b2ab-56fc-853a-764a853d9fb8</x:v>
      </x:c>
      <x:c r="L1089" s="19" t="str">
        <x:v>组件待审核</x:v>
      </x:c>
      <x:c r="M1089" s="21" t="n">
        <x:v>35.69118</x:v>
      </x:c>
      <x:c r="N1089" s="21" t="n">
        <x:v>139.70421</x:v>
      </x:c>
      <x:c r="O1089" s="18" t="str">
        <x:v>003684</x:v>
      </x:c>
      <x:c r="P1089" s="18" t="str">
        <x:v>4号線丸ノ内線</x:v>
      </x:c>
      <x:c r="Q1089" s="19" t="str">
        <x:v>S12_061_GE_10000
OFFICIAL_HUB_COMPONENT_REVIEW</x:v>
      </x:c>
      <x:c r="R1089" s="19" t="str">
        <x:v>S12_061 usage threshold</x:v>
      </x:c>
      <x:c r="S1089" s="19" t="str">
        <x:v>https://nlftp.mlit.go.jp/ksj/gml/datalist/KsjTmplt-S12-2024.html</x:v>
      </x:c>
      <x:c r="T1089" s="19" t="str">
        <x:v>https://nlftp.mlit.go.jp/ksj/gml/datalist/KsjTmplt-S12-2024.html
https://www.tokyometro.jp/station/shinjuku-sanchome/index.html</x:v>
      </x:c>
      <x:c r="U1089" s="19" t="str">
        <x:v>station-component|新宿三丁目|東京地下鉄|metro|35.6912|139.7042|</x:v>
      </x:c>
      <x:c r="V1089" s="19" t="str">
        <x:v>003689 / 003684 / 4号線丸ノ内線
003689 / 003689 / 13号線副都心線</x:v>
      </x:c>
      <x:c r="W1089" s="18" t="str">
        <x:v>否</x:v>
      </x:c>
      <x:c r="X1089" s="18" t="str">
        <x:v>0785e932a32b3ec15e1a1345537ae145eafe1c07bf38d5c16c11ee2b391e7a28</x:v>
      </x:c>
      <x:c r="Y1089" s="20" t="n">
        <x:v>1</x:v>
      </x:c>
      <x:c r="Z1089" s="20" t="n">
        <x:v>1</x:v>
      </x:c>
      <x:c r="AA1089" s="19" t="str">
        <x:v>新宿三丁目</x:v>
      </x:c>
      <x:c r="AB1089" s="18" t="str">
        <x:v>transport-hub-review:215d242c-3ae0-5650-adb4-0aa78b67e393</x:v>
      </x:c>
      <x:c r="AC1089" s="19"/>
    </x:row>
    <x:row r="1090" ht="33" customHeight="1">
      <x:c r="A1090" s="18" t="str">
        <x:v>新宿三丁目</x:v>
      </x:c>
      <x:c r="B1090" s="18" t="str">
        <x:v>東京都</x:v>
      </x:c>
      <x:c r="C1090" s="18" t="str">
        <x:v>metro</x:v>
      </x:c>
      <x:c r="D1090" s="19" t="str">
        <x:v>T2</x:v>
      </x:c>
      <x:c r="E1090" s="20" t="n">
        <x:v>46711</x:v>
      </x:c>
      <x:c r="F1090" s="18" t="str">
        <x:v>persons/day</x:v>
      </x:c>
      <x:c r="G1090" s="18" t="str">
        <x:v>FY2024</x:v>
      </x:c>
      <x:c r="H1090" s="18" t="str">
        <x:v>否</x:v>
      </x:c>
      <x:c r="I1090" s="19" t="str">
        <x:v>DAILY_ENTRIES_EXITS</x:v>
      </x:c>
      <x:c r="J1090" s="19" t="str">
        <x:v>10号線新宿線</x:v>
      </x:c>
      <x:c r="K1090" s="18" t="str">
        <x:v>transport-node:7366ebb0-a86d-5f24-80e5-37521bda63af</x:v>
      </x:c>
      <x:c r="L1090" s="19" t="str">
        <x:v>组件待审核</x:v>
      </x:c>
      <x:c r="M1090" s="21" t="n">
        <x:v>35.69084</x:v>
      </x:c>
      <x:c r="N1090" s="21" t="n">
        <x:v>139.706535</x:v>
      </x:c>
      <x:c r="O1090" s="18" t="str">
        <x:v>003687</x:v>
      </x:c>
      <x:c r="P1090" s="18" t="str">
        <x:v>10号線新宿線</x:v>
      </x:c>
      <x:c r="Q1090" s="19" t="str">
        <x:v>S12_061_GE_10000
OFFICIAL_HUB_COMPONENT_REVIEW</x:v>
      </x:c>
      <x:c r="R1090" s="19" t="str">
        <x:v>S12_061 usage threshold</x:v>
      </x:c>
      <x:c r="S1090" s="19" t="str">
        <x:v>https://nlftp.mlit.go.jp/ksj/gml/datalist/KsjTmplt-S12-2024.html</x:v>
      </x:c>
      <x:c r="T1090" s="19" t="str">
        <x:v>https://nlftp.mlit.go.jp/ksj/gml/datalist/KsjTmplt-S12-2024.html
https://www.tokyometro.jp/station/shinjuku-sanchome/index.html</x:v>
      </x:c>
      <x:c r="U1090" s="19" t="str">
        <x:v>station-component|新宿三丁目|東京都|metro|35.6908|139.7065|</x:v>
      </x:c>
      <x:c r="V1090" s="19" t="str">
        <x:v>003689 / 003687 / 10号線新宿線</x:v>
      </x:c>
      <x:c r="W1090" s="18" t="str">
        <x:v>否</x:v>
      </x:c>
      <x:c r="X1090" s="18" t="str">
        <x:v>0785e932a32b3ec15e1a1345537ae145eafe1c07bf38d5c16c11ee2b391e7a28</x:v>
      </x:c>
      <x:c r="Y1090" s="20" t="n">
        <x:v>1</x:v>
      </x:c>
      <x:c r="Z1090" s="20" t="n">
        <x:v>1</x:v>
      </x:c>
      <x:c r="AA1090" s="19" t="str">
        <x:v>新宿三丁目</x:v>
      </x:c>
      <x:c r="AB1090" s="18" t="str">
        <x:v>transport-hub-review:215d242c-3ae0-5650-adb4-0aa78b67e393</x:v>
      </x:c>
      <x:c r="AC1090" s="19"/>
    </x:row>
    <x:row r="1091" ht="28" customHeight="1">
      <x:c r="A1091" s="18" t="str">
        <x:v>新宿御苑前</x:v>
      </x:c>
      <x:c r="B1091" s="18" t="str">
        <x:v>東京地下鉄</x:v>
      </x:c>
      <x:c r="C1091" s="18" t="str">
        <x:v>metro</x:v>
      </x:c>
      <x:c r="D1091" s="19" t="str">
        <x:v>T2</x:v>
      </x:c>
      <x:c r="E1091" s="20" t="n">
        <x:v>48832</x:v>
      </x:c>
      <x:c r="F1091" s="18" t="str">
        <x:v>persons/day</x:v>
      </x:c>
      <x:c r="G1091" s="18" t="str">
        <x:v>FY2024</x:v>
      </x:c>
      <x:c r="H1091" s="18" t="str">
        <x:v>否</x:v>
      </x:c>
      <x:c r="I1091" s="19" t="str">
        <x:v>DAILY_ENTRIES_EXITS</x:v>
      </x:c>
      <x:c r="J1091" s="19" t="str">
        <x:v>4号線丸ノ内線</x:v>
      </x:c>
      <x:c r="K1091" s="18" t="str">
        <x:v>transport-node:d6c6849f-372a-5d78-9c7f-4d748c38dc53</x:v>
      </x:c>
      <x:c r="L1091" s="19" t="str">
        <x:v>组件待审核</x:v>
      </x:c>
      <x:c r="M1091" s="21" t="n">
        <x:v>35.688525</x:v>
      </x:c>
      <x:c r="N1091" s="21" t="n">
        <x:v>139.710915</x:v>
      </x:c>
      <x:c r="O1091" s="18" t="str">
        <x:v>003707</x:v>
      </x:c>
      <x:c r="P1091" s="18" t="str">
        <x:v>4号線丸ノ内線</x:v>
      </x:c>
      <x:c r="Q1091" s="19" t="str">
        <x:v>S12_061_GE_10000</x:v>
      </x:c>
      <x:c r="R1091" s="19" t="str">
        <x:v>S12_061 usage threshold</x:v>
      </x:c>
      <x:c r="S1091" s="19" t="str">
        <x:v>https://nlftp.mlit.go.jp/ksj/gml/datalist/KsjTmplt-S12-2024.html</x:v>
      </x:c>
      <x:c r="T1091" s="19" t="str">
        <x:v>https://nlftp.mlit.go.jp/ksj/gml/datalist/KsjTmplt-S12-2024.html</x:v>
      </x:c>
      <x:c r="U1091" s="19" t="str">
        <x:v>station-component|新宿御苑前|東京地下鉄|metro|35.6885|139.7109|</x:v>
      </x:c>
      <x:c r="V1091" s="19" t="str">
        <x:v>003707 / 003707 / 4号線丸ノ内線</x:v>
      </x:c>
      <x:c r="W1091" s="18" t="str">
        <x:v>否</x:v>
      </x:c>
      <x:c r="X1091" s="18" t="str">
        <x:v>0785e932a32b3ec15e1a1345537ae145eafe1c07bf38d5c16c11ee2b391e7a28</x:v>
      </x:c>
      <x:c r="Y1091" s="20" t="n">
        <x:v>1</x:v>
      </x:c>
      <x:c r="Z1091" s="20" t="n">
        <x:v>1</x:v>
      </x:c>
      <x:c r="AA1091" s="19"/>
      <x:c r="AB1091" s="18"/>
      <x:c r="AC1091" s="19"/>
    </x:row>
    <x:row r="1092" ht="28" customHeight="1">
      <x:c r="A1092" s="18" t="str">
        <x:v>新宿西口</x:v>
      </x:c>
      <x:c r="B1092" s="18" t="str">
        <x:v>東京都</x:v>
      </x:c>
      <x:c r="C1092" s="18" t="str">
        <x:v>metro</x:v>
      </x:c>
      <x:c r="D1092" s="19" t="str">
        <x:v>T2</x:v>
      </x:c>
      <x:c r="E1092" s="20" t="n">
        <x:v>36754</x:v>
      </x:c>
      <x:c r="F1092" s="18" t="str">
        <x:v>persons/day</x:v>
      </x:c>
      <x:c r="G1092" s="18" t="str">
        <x:v>FY2024</x:v>
      </x:c>
      <x:c r="H1092" s="18" t="str">
        <x:v>否</x:v>
      </x:c>
      <x:c r="I1092" s="19" t="str">
        <x:v>DAILY_ENTRIES_EXITS</x:v>
      </x:c>
      <x:c r="J1092" s="19" t="str">
        <x:v>12号線大江戸線</x:v>
      </x:c>
      <x:c r="K1092" s="18" t="str">
        <x:v>transport-node:b537830d-64f4-5838-b7ed-582cf5cc4ff5</x:v>
      </x:c>
      <x:c r="L1092" s="19" t="str">
        <x:v>组件待审核</x:v>
      </x:c>
      <x:c r="M1092" s="21" t="n">
        <x:v>35.69316</x:v>
      </x:c>
      <x:c r="N1092" s="21" t="n">
        <x:v>139.69916</x:v>
      </x:c>
      <x:c r="O1092" s="18" t="str">
        <x:v>003669</x:v>
      </x:c>
      <x:c r="P1092" s="18" t="str">
        <x:v>12号線大江戸線</x:v>
      </x:c>
      <x:c r="Q1092" s="19" t="str">
        <x:v>S12_061_GE_10000</x:v>
      </x:c>
      <x:c r="R1092" s="19" t="str">
        <x:v>S12_061 usage threshold</x:v>
      </x:c>
      <x:c r="S1092" s="19" t="str">
        <x:v>https://nlftp.mlit.go.jp/ksj/gml/datalist/KsjTmplt-S12-2024.html</x:v>
      </x:c>
      <x:c r="T1092" s="19" t="str">
        <x:v>https://nlftp.mlit.go.jp/ksj/gml/datalist/KsjTmplt-S12-2024.html</x:v>
      </x:c>
      <x:c r="U1092" s="19" t="str">
        <x:v>station-component|新宿西口|東京都|metro|35.6932|139.6992|</x:v>
      </x:c>
      <x:c r="V1092" s="19" t="str">
        <x:v>003669 / 003669 / 12号線大江戸線</x:v>
      </x:c>
      <x:c r="W1092" s="18" t="str">
        <x:v>否</x:v>
      </x:c>
      <x:c r="X1092" s="18" t="str">
        <x:v>0785e932a32b3ec15e1a1345537ae145eafe1c07bf38d5c16c11ee2b391e7a28</x:v>
      </x:c>
      <x:c r="Y1092" s="20" t="n">
        <x:v>1</x:v>
      </x:c>
      <x:c r="Z1092" s="20" t="n">
        <x:v>1</x:v>
      </x:c>
      <x:c r="AA1092" s="19"/>
      <x:c r="AB1092" s="18"/>
      <x:c r="AC1092" s="19"/>
    </x:row>
    <x:row r="1093" ht="33" customHeight="1">
      <x:c r="A1093" s="18" t="str">
        <x:v>新富士</x:v>
      </x:c>
      <x:c r="B1093" s="18" t="str">
        <x:v>東海旅客鉄道</x:v>
      </x:c>
      <x:c r="C1093" s="18" t="str">
        <x:v>shinkansen</x:v>
      </x:c>
      <x:c r="D1093" s="19" t="str">
        <x:v>T3</x:v>
      </x:c>
      <x:c r="E1093" s="20" t="n">
        <x:v>8852</x:v>
      </x:c>
      <x:c r="F1093" s="18" t="str">
        <x:v>persons/day</x:v>
      </x:c>
      <x:c r="G1093" s="18" t="str">
        <x:v>FY2024</x:v>
      </x:c>
      <x:c r="H1093" s="18" t="str">
        <x:v>否</x:v>
      </x:c>
      <x:c r="I1093" s="19" t="str">
        <x:v>DAILY_ENTRIES_EXITS</x:v>
      </x:c>
      <x:c r="J1093" s="19" t="str">
        <x:v>東海道新幹線</x:v>
      </x:c>
      <x:c r="K1093" s="18" t="str">
        <x:v>transport-node:10318077-4a91-5730-a04d-fd0bad33b282</x:v>
      </x:c>
      <x:c r="L1093" s="19" t="str">
        <x:v>组件待审核</x:v>
      </x:c>
      <x:c r="M1093" s="21" t="n">
        <x:v>35.1420675</x:v>
      </x:c>
      <x:c r="N1093" s="21" t="n">
        <x:v>138.6630088</x:v>
      </x:c>
      <x:c r="O1093" s="18" t="str">
        <x:v>005554</x:v>
      </x:c>
      <x:c r="P1093" s="18" t="str">
        <x:v>東海道新幹線</x:v>
      </x:c>
      <x:c r="Q1093" s="19" t="str">
        <x:v>SHINKANSEN</x:v>
      </x:c>
      <x:c r="R1093" s="19" t="str">
        <x:v>S12_061 usage threshold; low-flow inclusion justified by Shinkansen inventory</x:v>
      </x:c>
      <x:c r="S1093" s="19" t="str">
        <x:v>https://nlftp.mlit.go.jp/ksj/gml/datalist/KsjTmplt-S12-2024.html</x:v>
      </x:c>
      <x:c r="T1093" s="19" t="str">
        <x:v>https://nlftp.mlit.go.jp/ksj/gml/datalist/KsjTmplt-S12-2024.html</x:v>
      </x:c>
      <x:c r="U1093" s="19" t="str">
        <x:v>station-component|新富士|東海旅客鉄道|shinkansen|35.1421|138.6630|</x:v>
      </x:c>
      <x:c r="V1093" s="19" t="str">
        <x:v>005554 / 005554 / 東海道新幹線</x:v>
      </x:c>
      <x:c r="W1093" s="18" t="str">
        <x:v>否</x:v>
      </x:c>
      <x:c r="X1093" s="18" t="str">
        <x:v>0785e932a32b3ec15e1a1345537ae145eafe1c07bf38d5c16c11ee2b391e7a28</x:v>
      </x:c>
      <x:c r="Y1093" s="20" t="n">
        <x:v>1</x:v>
      </x:c>
      <x:c r="Z1093" s="20" t="n">
        <x:v>1</x:v>
      </x:c>
      <x:c r="AA1093" s="19"/>
      <x:c r="AB1093" s="18"/>
      <x:c r="AC1093" s="19"/>
    </x:row>
    <x:row r="1094" ht="28" customHeight="1">
      <x:c r="A1094" s="18" t="str">
        <x:v>新富町</x:v>
      </x:c>
      <x:c r="B1094" s="18" t="str">
        <x:v>東京地下鉄</x:v>
      </x:c>
      <x:c r="C1094" s="18" t="str">
        <x:v>metro</x:v>
      </x:c>
      <x:c r="D1094" s="19" t="str">
        <x:v>T2</x:v>
      </x:c>
      <x:c r="E1094" s="20" t="n">
        <x:v>36625</x:v>
      </x:c>
      <x:c r="F1094" s="18" t="str">
        <x:v>persons/day</x:v>
      </x:c>
      <x:c r="G1094" s="18" t="str">
        <x:v>FY2024</x:v>
      </x:c>
      <x:c r="H1094" s="18" t="str">
        <x:v>否</x:v>
      </x:c>
      <x:c r="I1094" s="19" t="str">
        <x:v>DAILY_ENTRIES_EXITS</x:v>
      </x:c>
      <x:c r="J1094" s="19" t="str">
        <x:v>8号線有楽町線</x:v>
      </x:c>
      <x:c r="K1094" s="18" t="str">
        <x:v>transport-node:75d69ca5-da23-5cbd-80f0-a4576c7205e1</x:v>
      </x:c>
      <x:c r="L1094" s="19" t="str">
        <x:v>组件待审核</x:v>
      </x:c>
      <x:c r="M1094" s="21" t="n">
        <x:v>35.6704567</x:v>
      </x:c>
      <x:c r="N1094" s="21" t="n">
        <x:v>139.7737733</x:v>
      </x:c>
      <x:c r="O1094" s="18" t="str">
        <x:v>003833</x:v>
      </x:c>
      <x:c r="P1094" s="18" t="str">
        <x:v>8号線有楽町線</x:v>
      </x:c>
      <x:c r="Q1094" s="19" t="str">
        <x:v>S12_061_GE_10000</x:v>
      </x:c>
      <x:c r="R1094" s="19" t="str">
        <x:v>S12_061 usage threshold</x:v>
      </x:c>
      <x:c r="S1094" s="19" t="str">
        <x:v>https://nlftp.mlit.go.jp/ksj/gml/datalist/KsjTmplt-S12-2024.html</x:v>
      </x:c>
      <x:c r="T1094" s="19" t="str">
        <x:v>https://nlftp.mlit.go.jp/ksj/gml/datalist/KsjTmplt-S12-2024.html</x:v>
      </x:c>
      <x:c r="U1094" s="19" t="str">
        <x:v>station-component|新富町|東京地下鉄|metro|35.6705|139.7738|</x:v>
      </x:c>
      <x:c r="V1094" s="19" t="str">
        <x:v>003833 / 003833 / 8号線有楽町線</x:v>
      </x:c>
      <x:c r="W1094" s="18" t="str">
        <x:v>否</x:v>
      </x:c>
      <x:c r="X1094" s="18" t="str">
        <x:v>0785e932a32b3ec15e1a1345537ae145eafe1c07bf38d5c16c11ee2b391e7a28</x:v>
      </x:c>
      <x:c r="Y1094" s="20" t="n">
        <x:v>1</x:v>
      </x:c>
      <x:c r="Z1094" s="20" t="n">
        <x:v>1</x:v>
      </x:c>
      <x:c r="AA1094" s="19"/>
      <x:c r="AB1094" s="18"/>
      <x:c r="AC1094" s="19"/>
    </x:row>
    <x:row r="1095" ht="28" customHeight="1">
      <x:c r="A1095" s="18" t="str">
        <x:v>新小岩</x:v>
      </x:c>
      <x:c r="B1095" s="18" t="str">
        <x:v>東日本旅客鉄道</x:v>
      </x:c>
      <x:c r="C1095" s="18" t="str">
        <x:v>conventional_rail</x:v>
      </x:c>
      <x:c r="D1095" s="19" t="str">
        <x:v>T1</x:v>
      </x:c>
      <x:c r="E1095" s="20" t="n">
        <x:v>146776</x:v>
      </x:c>
      <x:c r="F1095" s="18" t="str">
        <x:v>persons/day</x:v>
      </x:c>
      <x:c r="G1095" s="18" t="str">
        <x:v>FY2024</x:v>
      </x:c>
      <x:c r="H1095" s="18" t="str">
        <x:v>否</x:v>
      </x:c>
      <x:c r="I1095" s="19" t="str">
        <x:v>DAILY_ENTRIES_EXITS</x:v>
      </x:c>
      <x:c r="J1095" s="19" t="str">
        <x:v>総武線</x:v>
      </x:c>
      <x:c r="K1095" s="18" t="str">
        <x:v>transport-node:8d91b760-8603-502c-8c2d-cc9026ba45ee</x:v>
      </x:c>
      <x:c r="L1095" s="19" t="str">
        <x:v>组件待审核</x:v>
      </x:c>
      <x:c r="M1095" s="21" t="n">
        <x:v>35.716845</x:v>
      </x:c>
      <x:c r="N1095" s="21" t="n">
        <x:v>139.857735</x:v>
      </x:c>
      <x:c r="O1095" s="18" t="str">
        <x:v>003486</x:v>
      </x:c>
      <x:c r="P1095" s="18" t="str">
        <x:v>総武線</x:v>
      </x:c>
      <x:c r="Q1095" s="19" t="str">
        <x:v>S12_061_GE_10000</x:v>
      </x:c>
      <x:c r="R1095" s="19" t="str">
        <x:v>S12_061 usage threshold</x:v>
      </x:c>
      <x:c r="S1095" s="19" t="str">
        <x:v>https://nlftp.mlit.go.jp/ksj/gml/datalist/KsjTmplt-S12-2024.html</x:v>
      </x:c>
      <x:c r="T1095" s="19" t="str">
        <x:v>https://nlftp.mlit.go.jp/ksj/gml/datalist/KsjTmplt-S12-2024.html</x:v>
      </x:c>
      <x:c r="U1095" s="19" t="str">
        <x:v>station-component|新小岩|東日本旅客鉄道|conventional_rail|35.7168|139.8577|</x:v>
      </x:c>
      <x:c r="V1095" s="19" t="str">
        <x:v>003486 / 003486 / 総武線</x:v>
      </x:c>
      <x:c r="W1095" s="18" t="str">
        <x:v>否</x:v>
      </x:c>
      <x:c r="X1095" s="18" t="str">
        <x:v>0785e932a32b3ec15e1a1345537ae145eafe1c07bf38d5c16c11ee2b391e7a28</x:v>
      </x:c>
      <x:c r="Y1095" s="20" t="n">
        <x:v>1</x:v>
      </x:c>
      <x:c r="Z1095" s="20" t="n">
        <x:v>1</x:v>
      </x:c>
      <x:c r="AA1095" s="19"/>
      <x:c r="AB1095" s="18"/>
      <x:c r="AC1095" s="19"/>
    </x:row>
    <x:row r="1096" ht="28" customHeight="1">
      <x:c r="A1096" s="18" t="str">
        <x:v>新小平</x:v>
      </x:c>
      <x:c r="B1096" s="18" t="str">
        <x:v>東日本旅客鉄道</x:v>
      </x:c>
      <x:c r="C1096" s="18" t="str">
        <x:v>conventional_rail</x:v>
      </x:c>
      <x:c r="D1096" s="19" t="str">
        <x:v>T2</x:v>
      </x:c>
      <x:c r="E1096" s="20" t="n">
        <x:v>22178</x:v>
      </x:c>
      <x:c r="F1096" s="18" t="str">
        <x:v>persons/day</x:v>
      </x:c>
      <x:c r="G1096" s="18" t="str">
        <x:v>FY2024</x:v>
      </x:c>
      <x:c r="H1096" s="18" t="str">
        <x:v>否</x:v>
      </x:c>
      <x:c r="I1096" s="19" t="str">
        <x:v>DAILY_ENTRIES_EXITS</x:v>
      </x:c>
      <x:c r="J1096" s="19" t="str">
        <x:v>武蔵野線</x:v>
      </x:c>
      <x:c r="K1096" s="18" t="str">
        <x:v>transport-node:7b77c04c-c8c9-57c2-94c9-aa016c7254c0</x:v>
      </x:c>
      <x:c r="L1096" s="19" t="str">
        <x:v>组件待审核</x:v>
      </x:c>
      <x:c r="M1096" s="21" t="n">
        <x:v>35.7309433</x:v>
      </x:c>
      <x:c r="N1096" s="21" t="n">
        <x:v>139.4705067</x:v>
      </x:c>
      <x:c r="O1096" s="18" t="str">
        <x:v>003385</x:v>
      </x:c>
      <x:c r="P1096" s="18" t="str">
        <x:v>武蔵野線</x:v>
      </x:c>
      <x:c r="Q1096" s="19" t="str">
        <x:v>S12_061_GE_10000</x:v>
      </x:c>
      <x:c r="R1096" s="19" t="str">
        <x:v>S12_061 usage threshold</x:v>
      </x:c>
      <x:c r="S1096" s="19" t="str">
        <x:v>https://nlftp.mlit.go.jp/ksj/gml/datalist/KsjTmplt-S12-2024.html</x:v>
      </x:c>
      <x:c r="T1096" s="19" t="str">
        <x:v>https://nlftp.mlit.go.jp/ksj/gml/datalist/KsjTmplt-S12-2024.html</x:v>
      </x:c>
      <x:c r="U1096" s="19" t="str">
        <x:v>station-component|新小平|東日本旅客鉄道|conventional_rail|35.7309|139.4705|</x:v>
      </x:c>
      <x:c r="V1096" s="19" t="str">
        <x:v>003385 / 003385 / 武蔵野線</x:v>
      </x:c>
      <x:c r="W1096" s="18" t="str">
        <x:v>否</x:v>
      </x:c>
      <x:c r="X1096" s="18" t="str">
        <x:v>0785e932a32b3ec15e1a1345537ae145eafe1c07bf38d5c16c11ee2b391e7a28</x:v>
      </x:c>
      <x:c r="Y1096" s="20" t="n">
        <x:v>1</x:v>
      </x:c>
      <x:c r="Z1096" s="20" t="n">
        <x:v>1</x:v>
      </x:c>
      <x:c r="AA1096" s="19"/>
      <x:c r="AB1096" s="18"/>
      <x:c r="AC1096" s="19"/>
    </x:row>
    <x:row r="1097" ht="33" customHeight="1">
      <x:c r="A1097" s="18" t="str">
        <x:v>新尾道</x:v>
      </x:c>
      <x:c r="B1097" s="18" t="str">
        <x:v>西日本旅客鉄道</x:v>
      </x:c>
      <x:c r="C1097" s="18" t="str">
        <x:v>shinkansen</x:v>
      </x:c>
      <x:c r="D1097" s="19" t="str">
        <x:v>T3</x:v>
      </x:c>
      <x:c r="E1097" s="20" t="n">
        <x:v>2008</x:v>
      </x:c>
      <x:c r="F1097" s="18" t="str">
        <x:v>persons/day</x:v>
      </x:c>
      <x:c r="G1097" s="18" t="str">
        <x:v>FY2024</x:v>
      </x:c>
      <x:c r="H1097" s="18" t="str">
        <x:v>否</x:v>
      </x:c>
      <x:c r="I1097" s="19" t="str">
        <x:v>DAILY_ENTRIES_EXITS</x:v>
      </x:c>
      <x:c r="J1097" s="19" t="str">
        <x:v>山陽新幹線</x:v>
      </x:c>
      <x:c r="K1097" s="18" t="str">
        <x:v>transport-node:a53c148e-93e6-5d4a-827c-efdefe3b770f</x:v>
      </x:c>
      <x:c r="L1097" s="19" t="str">
        <x:v>组件待审核</x:v>
      </x:c>
      <x:c r="M1097" s="21" t="n">
        <x:v>34.43008</x:v>
      </x:c>
      <x:c r="N1097" s="21" t="n">
        <x:v>133.190215</x:v>
      </x:c>
      <x:c r="O1097" s="18" t="str">
        <x:v>007969</x:v>
      </x:c>
      <x:c r="P1097" s="18" t="str">
        <x:v>山陽新幹線</x:v>
      </x:c>
      <x:c r="Q1097" s="19" t="str">
        <x:v>SHINKANSEN</x:v>
      </x:c>
      <x:c r="R1097" s="19" t="str">
        <x:v>S12_061 usage threshold; low-flow inclusion justified by Shinkansen inventory</x:v>
      </x:c>
      <x:c r="S1097" s="19" t="str">
        <x:v>https://nlftp.mlit.go.jp/ksj/gml/datalist/KsjTmplt-S12-2024.html</x:v>
      </x:c>
      <x:c r="T1097" s="19" t="str">
        <x:v>https://nlftp.mlit.go.jp/ksj/gml/datalist/KsjTmplt-S12-2024.html</x:v>
      </x:c>
      <x:c r="U1097" s="19" t="str">
        <x:v>station-component|新尾道|西日本旅客鉄道|shinkansen|34.4301|133.1902|</x:v>
      </x:c>
      <x:c r="V1097" s="19" t="str">
        <x:v>007969 / 007969 / 山陽新幹線</x:v>
      </x:c>
      <x:c r="W1097" s="18" t="str">
        <x:v>否</x:v>
      </x:c>
      <x:c r="X1097" s="18" t="str">
        <x:v>0785e932a32b3ec15e1a1345537ae145eafe1c07bf38d5c16c11ee2b391e7a28</x:v>
      </x:c>
      <x:c r="Y1097" s="20" t="n">
        <x:v>1</x:v>
      </x:c>
      <x:c r="Z1097" s="20" t="n">
        <x:v>1</x:v>
      </x:c>
      <x:c r="AA1097" s="19"/>
      <x:c r="AB1097" s="18"/>
      <x:c r="AC1097" s="19"/>
    </x:row>
    <x:row r="1098" ht="47" customHeight="1">
      <x:c r="A1098" s="18" t="str">
        <x:v>新山口</x:v>
      </x:c>
      <x:c r="B1098" s="18" t="str">
        <x:v>西日本旅客鉄道</x:v>
      </x:c>
      <x:c r="C1098" s="18" t="str">
        <x:v>conventional_rail</x:v>
      </x:c>
      <x:c r="D1098" s="19" t="str">
        <x:v>T2</x:v>
      </x:c>
      <x:c r="E1098" s="20" t="n">
        <x:v>15880</x:v>
      </x:c>
      <x:c r="F1098" s="18" t="str">
        <x:v>persons/day</x:v>
      </x:c>
      <x:c r="G1098" s="18" t="str">
        <x:v>FY2024</x:v>
      </x:c>
      <x:c r="H1098" s="18" t="str">
        <x:v>否</x:v>
      </x:c>
      <x:c r="I1098" s="19" t="str">
        <x:v>DAILY_ENTRIES_EXITS</x:v>
      </x:c>
      <x:c r="J1098" s="19" t="str">
        <x:v>宇部線
山口線
山陽線</x:v>
      </x:c>
      <x:c r="K1098" s="18" t="str">
        <x:v>transport-node:41436c40-a761-5453-b728-0565bf74577c</x:v>
      </x:c>
      <x:c r="L1098" s="19" t="str">
        <x:v>组件待审核</x:v>
      </x:c>
      <x:c r="M1098" s="21" t="n">
        <x:v>34.093978</x:v>
      </x:c>
      <x:c r="N1098" s="21" t="n">
        <x:v>131.396206</x:v>
      </x:c>
      <x:c r="O1098" s="18" t="str">
        <x:v>008478</x:v>
      </x:c>
      <x:c r="P1098" s="18" t="str">
        <x:v>山陽線</x:v>
      </x:c>
      <x:c r="Q1098" s="19" t="str">
        <x:v>S12_061_GE_10000</x:v>
      </x:c>
      <x:c r="R1098" s="19" t="str">
        <x:v>S12_061 usage threshold</x:v>
      </x:c>
      <x:c r="S1098" s="19" t="str">
        <x:v>https://nlftp.mlit.go.jp/ksj/gml/datalist/KsjTmplt-S12-2024.html</x:v>
      </x:c>
      <x:c r="T1098" s="19" t="str">
        <x:v>https://nlftp.mlit.go.jp/ksj/gml/datalist/KsjTmplt-S12-2024.html</x:v>
      </x:c>
      <x:c r="U1098" s="19" t="str">
        <x:v>station-component|新山口|西日本旅客鉄道|conventional_rail|34.0940|131.3962|</x:v>
      </x:c>
      <x:c r="V1098" s="19" t="str">
        <x:v>008476 / 008476 / 宇部線
008476 / 008477 / 山口線
008476 / 008478 / 山陽線</x:v>
      </x:c>
      <x:c r="W1098" s="18" t="str">
        <x:v>否</x:v>
      </x:c>
      <x:c r="X1098" s="18" t="str">
        <x:v>0785e932a32b3ec15e1a1345537ae145eafe1c07bf38d5c16c11ee2b391e7a28</x:v>
      </x:c>
      <x:c r="Y1098" s="20" t="n">
        <x:v>1</x:v>
      </x:c>
      <x:c r="Z1098" s="20" t="n">
        <x:v>1</x:v>
      </x:c>
      <x:c r="AA1098" s="19"/>
      <x:c r="AB1098" s="18"/>
      <x:c r="AC1098" s="19"/>
    </x:row>
    <x:row r="1099" ht="28" customHeight="1">
      <x:c r="A1099" s="18" t="str">
        <x:v>新山口</x:v>
      </x:c>
      <x:c r="B1099" s="18" t="str">
        <x:v>西日本旅客鉄道</x:v>
      </x:c>
      <x:c r="C1099" s="18" t="str">
        <x:v>shinkansen</x:v>
      </x:c>
      <x:c r="D1099" s="19"/>
      <x:c r="E1099" s="20"/>
      <x:c r="F1099" s="18"/>
      <x:c r="G1099" s="18" t="str">
        <x:v>FY2024</x:v>
      </x:c>
      <x:c r="H1099" s="18" t="str">
        <x:v>是</x:v>
      </x:c>
      <x:c r="I1099" s="19" t="str">
        <x:v>USAGE_DATA_UNAVAILABLE</x:v>
      </x:c>
      <x:c r="J1099" s="19" t="str">
        <x:v>山陽新幹線</x:v>
      </x:c>
      <x:c r="K1099" s="18" t="str">
        <x:v>transport-node:dc923fdb-2dcd-5591-9017-912fdbaca9ec</x:v>
      </x:c>
      <x:c r="L1099" s="19" t="str">
        <x:v>组件待审核</x:v>
      </x:c>
      <x:c r="M1099" s="21" t="n">
        <x:v>34.0933</x:v>
      </x:c>
      <x:c r="N1099" s="21" t="n">
        <x:v>131.397235</x:v>
      </x:c>
      <x:c r="O1099" s="18" t="str">
        <x:v>008479</x:v>
      </x:c>
      <x:c r="P1099" s="18" t="str">
        <x:v>山陽新幹線</x:v>
      </x:c>
      <x:c r="Q1099" s="19" t="str">
        <x:v>SHINKANSEN</x:v>
      </x:c>
      <x:c r="R1099" s="19" t="str">
        <x:v>Official S12 usage unavailable; manual tier review required</x:v>
      </x:c>
      <x:c r="S1099" s="19" t="str">
        <x:v>https://nlftp.mlit.go.jp/ksj/gml/datalist/KsjTmplt-S12-2024.html</x:v>
      </x:c>
      <x:c r="T1099" s="19" t="str">
        <x:v>https://nlftp.mlit.go.jp/ksj/gml/datalist/KsjTmplt-S12-2024.html</x:v>
      </x:c>
      <x:c r="U1099" s="19" t="str">
        <x:v>station-component|新山口|西日本旅客鉄道|shinkansen|34.0933|131.3972|</x:v>
      </x:c>
      <x:c r="V1099" s="19" t="str">
        <x:v>008476 / 008479 / 山陽新幹線</x:v>
      </x:c>
      <x:c r="W1099" s="18" t="str">
        <x:v>否</x:v>
      </x:c>
      <x:c r="X1099" s="18" t="str">
        <x:v>0785e932a32b3ec15e1a1345537ae145eafe1c07bf38d5c16c11ee2b391e7a28</x:v>
      </x:c>
      <x:c r="Y1099" s="20" t="n">
        <x:v>1</x:v>
      </x:c>
      <x:c r="Z1099" s="20" t="n">
        <x:v>2</x:v>
      </x:c>
      <x:c r="AA1099" s="19"/>
      <x:c r="AB1099" s="18"/>
      <x:c r="AC1099" s="19"/>
    </x:row>
    <x:row r="1100" ht="33" customHeight="1">
      <x:c r="A1100" s="18" t="str">
        <x:v>新岩国</x:v>
      </x:c>
      <x:c r="B1100" s="18" t="str">
        <x:v>西日本旅客鉄道</x:v>
      </x:c>
      <x:c r="C1100" s="18" t="str">
        <x:v>shinkansen</x:v>
      </x:c>
      <x:c r="D1100" s="19" t="str">
        <x:v>T3</x:v>
      </x:c>
      <x:c r="E1100" s="20" t="n">
        <x:v>1938</x:v>
      </x:c>
      <x:c r="F1100" s="18" t="str">
        <x:v>persons/day</x:v>
      </x:c>
      <x:c r="G1100" s="18" t="str">
        <x:v>FY2024</x:v>
      </x:c>
      <x:c r="H1100" s="18" t="str">
        <x:v>否</x:v>
      </x:c>
      <x:c r="I1100" s="19" t="str">
        <x:v>DAILY_ENTRIES_EXITS</x:v>
      </x:c>
      <x:c r="J1100" s="19" t="str">
        <x:v>山陽新幹線</x:v>
      </x:c>
      <x:c r="K1100" s="18" t="str">
        <x:v>transport-node:f18bd458-c9d8-571f-976b-3e450f720b4f</x:v>
      </x:c>
      <x:c r="L1100" s="19" t="str">
        <x:v>组件待审核</x:v>
      </x:c>
      <x:c r="M1100" s="21" t="n">
        <x:v>34.16485</x:v>
      </x:c>
      <x:c r="N1100" s="21" t="n">
        <x:v>132.149695</x:v>
      </x:c>
      <x:c r="O1100" s="18" t="str">
        <x:v>008430</x:v>
      </x:c>
      <x:c r="P1100" s="18" t="str">
        <x:v>山陽新幹線</x:v>
      </x:c>
      <x:c r="Q1100" s="19" t="str">
        <x:v>SHINKANSEN</x:v>
      </x:c>
      <x:c r="R1100" s="19" t="str">
        <x:v>S12_061 usage threshold; low-flow inclusion justified by Shinkansen inventory</x:v>
      </x:c>
      <x:c r="S1100" s="19" t="str">
        <x:v>https://nlftp.mlit.go.jp/ksj/gml/datalist/KsjTmplt-S12-2024.html</x:v>
      </x:c>
      <x:c r="T1100" s="19" t="str">
        <x:v>https://nlftp.mlit.go.jp/ksj/gml/datalist/KsjTmplt-S12-2024.html</x:v>
      </x:c>
      <x:c r="U1100" s="19" t="str">
        <x:v>station-component|新岩国|西日本旅客鉄道|shinkansen|34.1649|132.1497|</x:v>
      </x:c>
      <x:c r="V1100" s="19" t="str">
        <x:v>008430 / 008430 / 山陽新幹線</x:v>
      </x:c>
      <x:c r="W1100" s="18" t="str">
        <x:v>否</x:v>
      </x:c>
      <x:c r="X1100" s="18" t="str">
        <x:v>0785e932a32b3ec15e1a1345537ae145eafe1c07bf38d5c16c11ee2b391e7a28</x:v>
      </x:c>
      <x:c r="Y1100" s="20" t="n">
        <x:v>1</x:v>
      </x:c>
      <x:c r="Z1100" s="20" t="n">
        <x:v>1</x:v>
      </x:c>
      <x:c r="AA1100" s="19"/>
      <x:c r="AB1100" s="18"/>
      <x:c r="AC1100" s="19"/>
    </x:row>
    <x:row r="1101" ht="28" customHeight="1">
      <x:c r="A1101" s="18" t="str">
        <x:v>新川崎</x:v>
      </x:c>
      <x:c r="B1101" s="18" t="str">
        <x:v>東日本旅客鉄道</x:v>
      </x:c>
      <x:c r="C1101" s="18" t="str">
        <x:v>conventional_rail</x:v>
      </x:c>
      <x:c r="D1101" s="19" t="str">
        <x:v>T1</x:v>
      </x:c>
      <x:c r="E1101" s="20" t="n">
        <x:v>51854</x:v>
      </x:c>
      <x:c r="F1101" s="18" t="str">
        <x:v>persons/day</x:v>
      </x:c>
      <x:c r="G1101" s="18" t="str">
        <x:v>FY2024</x:v>
      </x:c>
      <x:c r="H1101" s="18" t="str">
        <x:v>否</x:v>
      </x:c>
      <x:c r="I1101" s="19" t="str">
        <x:v>DAILY_ENTRIES_EXITS</x:v>
      </x:c>
      <x:c r="J1101" s="19" t="str">
        <x:v>東海道線</x:v>
      </x:c>
      <x:c r="K1101" s="18" t="str">
        <x:v>transport-node:c0cbc553-6076-5615-aa93-e0e3ad919ce4</x:v>
      </x:c>
      <x:c r="L1101" s="19" t="str">
        <x:v>组件待审核</x:v>
      </x:c>
      <x:c r="M1101" s="21" t="n">
        <x:v>35.551588</x:v>
      </x:c>
      <x:c r="N1101" s="21" t="n">
        <x:v>139.671604</x:v>
      </x:c>
      <x:c r="O1101" s="18" t="str">
        <x:v>004358</x:v>
      </x:c>
      <x:c r="P1101" s="18" t="str">
        <x:v>東海道線</x:v>
      </x:c>
      <x:c r="Q1101" s="19" t="str">
        <x:v>S12_061_GE_10000</x:v>
      </x:c>
      <x:c r="R1101" s="19" t="str">
        <x:v>S12_061 usage threshold</x:v>
      </x:c>
      <x:c r="S1101" s="19" t="str">
        <x:v>https://nlftp.mlit.go.jp/ksj/gml/datalist/KsjTmplt-S12-2024.html</x:v>
      </x:c>
      <x:c r="T1101" s="19" t="str">
        <x:v>https://nlftp.mlit.go.jp/ksj/gml/datalist/KsjTmplt-S12-2024.html</x:v>
      </x:c>
      <x:c r="U1101" s="19" t="str">
        <x:v>station-component|新川崎|東日本旅客鉄道|conventional_rail|35.5516|139.6716|</x:v>
      </x:c>
      <x:c r="V1101" s="19" t="str">
        <x:v>004358 / 004358 / 東海道線</x:v>
      </x:c>
      <x:c r="W1101" s="18" t="str">
        <x:v>否</x:v>
      </x:c>
      <x:c r="X1101" s="18" t="str">
        <x:v>0785e932a32b3ec15e1a1345537ae145eafe1c07bf38d5c16c11ee2b391e7a28</x:v>
      </x:c>
      <x:c r="Y1101" s="20" t="n">
        <x:v>1</x:v>
      </x:c>
      <x:c r="Z1101" s="20" t="n">
        <x:v>1</x:v>
      </x:c>
      <x:c r="AA1101" s="19"/>
      <x:c r="AB1101" s="18"/>
      <x:c r="AC1101" s="19"/>
    </x:row>
    <x:row r="1102" ht="28" customHeight="1">
      <x:c r="A1102" s="18" t="str">
        <x:v>新座</x:v>
      </x:c>
      <x:c r="B1102" s="18" t="str">
        <x:v>東日本旅客鉄道</x:v>
      </x:c>
      <x:c r="C1102" s="18" t="str">
        <x:v>conventional_rail</x:v>
      </x:c>
      <x:c r="D1102" s="19" t="str">
        <x:v>T2</x:v>
      </x:c>
      <x:c r="E1102" s="20" t="n">
        <x:v>40180</x:v>
      </x:c>
      <x:c r="F1102" s="18" t="str">
        <x:v>persons/day</x:v>
      </x:c>
      <x:c r="G1102" s="18" t="str">
        <x:v>FY2024</x:v>
      </x:c>
      <x:c r="H1102" s="18" t="str">
        <x:v>否</x:v>
      </x:c>
      <x:c r="I1102" s="19" t="str">
        <x:v>DAILY_ENTRIES_EXITS</x:v>
      </x:c>
      <x:c r="J1102" s="19" t="str">
        <x:v>武蔵野線</x:v>
      </x:c>
      <x:c r="K1102" s="18" t="str">
        <x:v>transport-node:26ae21c7-6baf-51d5-aebf-ea8bcc3ed452</x:v>
      </x:c>
      <x:c r="L1102" s="19" t="str">
        <x:v>组件待审核</x:v>
      </x:c>
      <x:c r="M1102" s="21" t="n">
        <x:v>35.80378</x:v>
      </x:c>
      <x:c r="N1102" s="21" t="n">
        <x:v>139.55623</x:v>
      </x:c>
      <x:c r="O1102" s="18" t="str">
        <x:v>003081</x:v>
      </x:c>
      <x:c r="P1102" s="18" t="str">
        <x:v>武蔵野線</x:v>
      </x:c>
      <x:c r="Q1102" s="19" t="str">
        <x:v>S12_061_GE_10000</x:v>
      </x:c>
      <x:c r="R1102" s="19" t="str">
        <x:v>S12_061 usage threshold</x:v>
      </x:c>
      <x:c r="S1102" s="19" t="str">
        <x:v>https://nlftp.mlit.go.jp/ksj/gml/datalist/KsjTmplt-S12-2024.html</x:v>
      </x:c>
      <x:c r="T1102" s="19" t="str">
        <x:v>https://nlftp.mlit.go.jp/ksj/gml/datalist/KsjTmplt-S12-2024.html</x:v>
      </x:c>
      <x:c r="U1102" s="19" t="str">
        <x:v>station-component|新座|東日本旅客鉄道|conventional_rail|35.8038|139.5562|</x:v>
      </x:c>
      <x:c r="V1102" s="19" t="str">
        <x:v>003081 / 003081 / 武蔵野線</x:v>
      </x:c>
      <x:c r="W1102" s="18" t="str">
        <x:v>否</x:v>
      </x:c>
      <x:c r="X1102" s="18" t="str">
        <x:v>0785e932a32b3ec15e1a1345537ae145eafe1c07bf38d5c16c11ee2b391e7a28</x:v>
      </x:c>
      <x:c r="Y1102" s="20" t="n">
        <x:v>1</x:v>
      </x:c>
      <x:c r="Z1102" s="20" t="n">
        <x:v>1</x:v>
      </x:c>
      <x:c r="AA1102" s="19"/>
      <x:c r="AB1102" s="18"/>
      <x:c r="AC1102" s="19"/>
    </x:row>
    <x:row r="1103" ht="28" customHeight="1">
      <x:c r="A1103" s="18" t="str">
        <x:v>新御徒町</x:v>
      </x:c>
      <x:c r="B1103" s="18" t="str">
        <x:v>東京都</x:v>
      </x:c>
      <x:c r="C1103" s="18" t="str">
        <x:v>metro</x:v>
      </x:c>
      <x:c r="D1103" s="19" t="str">
        <x:v>T2</x:v>
      </x:c>
      <x:c r="E1103" s="20" t="n">
        <x:v>35841</x:v>
      </x:c>
      <x:c r="F1103" s="18" t="str">
        <x:v>persons/day</x:v>
      </x:c>
      <x:c r="G1103" s="18" t="str">
        <x:v>FY2024</x:v>
      </x:c>
      <x:c r="H1103" s="18" t="str">
        <x:v>否</x:v>
      </x:c>
      <x:c r="I1103" s="19" t="str">
        <x:v>DAILY_ENTRIES_EXITS</x:v>
      </x:c>
      <x:c r="J1103" s="19" t="str">
        <x:v>12号線大江戸線</x:v>
      </x:c>
      <x:c r="K1103" s="18" t="str">
        <x:v>transport-node:cc87f2fb-978f-5749-86d7-a67f6c0e3824</x:v>
      </x:c>
      <x:c r="L1103" s="19" t="str">
        <x:v>组件待审核</x:v>
      </x:c>
      <x:c r="M1103" s="21" t="n">
        <x:v>35.707008</x:v>
      </x:c>
      <x:c r="N1103" s="21" t="n">
        <x:v>139.78187</x:v>
      </x:c>
      <x:c r="O1103" s="18" t="str">
        <x:v>003556</x:v>
      </x:c>
      <x:c r="P1103" s="18" t="str">
        <x:v>12号線大江戸線</x:v>
      </x:c>
      <x:c r="Q1103" s="19" t="str">
        <x:v>S12_061_GE_10000</x:v>
      </x:c>
      <x:c r="R1103" s="19" t="str">
        <x:v>S12_061 usage threshold</x:v>
      </x:c>
      <x:c r="S1103" s="19" t="str">
        <x:v>https://nlftp.mlit.go.jp/ksj/gml/datalist/KsjTmplt-S12-2024.html</x:v>
      </x:c>
      <x:c r="T1103" s="19" t="str">
        <x:v>https://nlftp.mlit.go.jp/ksj/gml/datalist/KsjTmplt-S12-2024.html</x:v>
      </x:c>
      <x:c r="U1103" s="19" t="str">
        <x:v>station-component|新御徒町|東京都|metro|35.7070|139.7819|</x:v>
      </x:c>
      <x:c r="V1103" s="19" t="str">
        <x:v>003556 / 003556 / 12号線大江戸線</x:v>
      </x:c>
      <x:c r="W1103" s="18" t="str">
        <x:v>否</x:v>
      </x:c>
      <x:c r="X1103" s="18" t="str">
        <x:v>0785e932a32b3ec15e1a1345537ae145eafe1c07bf38d5c16c11ee2b391e7a28</x:v>
      </x:c>
      <x:c r="Y1103" s="20" t="n">
        <x:v>1</x:v>
      </x:c>
      <x:c r="Z1103" s="20" t="n">
        <x:v>1</x:v>
      </x:c>
      <x:c r="AA1103" s="19"/>
      <x:c r="AB1103" s="18"/>
      <x:c r="AC1103" s="19"/>
    </x:row>
    <x:row r="1104" ht="28" customHeight="1">
      <x:c r="A1104" s="18" t="str">
        <x:v>新御徒町</x:v>
      </x:c>
      <x:c r="B1104" s="18" t="str">
        <x:v>首都圏新都市鉄道</x:v>
      </x:c>
      <x:c r="C1104" s="18" t="str">
        <x:v>private_rail</x:v>
      </x:c>
      <x:c r="D1104" s="19" t="str">
        <x:v>T2</x:v>
      </x:c>
      <x:c r="E1104" s="20" t="n">
        <x:v>48374</x:v>
      </x:c>
      <x:c r="F1104" s="18" t="str">
        <x:v>persons/day</x:v>
      </x:c>
      <x:c r="G1104" s="18" t="str">
        <x:v>FY2024</x:v>
      </x:c>
      <x:c r="H1104" s="18" t="str">
        <x:v>否</x:v>
      </x:c>
      <x:c r="I1104" s="19" t="str">
        <x:v>DAILY_ENTRIES_EXITS</x:v>
      </x:c>
      <x:c r="J1104" s="19" t="str">
        <x:v>常磐新線</x:v>
      </x:c>
      <x:c r="K1104" s="18" t="str">
        <x:v>transport-node:8c6a8b26-9b1b-55d6-8f63-e3cd993354b5</x:v>
      </x:c>
      <x:c r="L1104" s="19" t="str">
        <x:v>组件待审核</x:v>
      </x:c>
      <x:c r="M1104" s="21" t="n">
        <x:v>35.70688</x:v>
      </x:c>
      <x:c r="N1104" s="21" t="n">
        <x:v>139.78234</x:v>
      </x:c>
      <x:c r="O1104" s="18" t="str">
        <x:v>003557</x:v>
      </x:c>
      <x:c r="P1104" s="18" t="str">
        <x:v>常磐新線</x:v>
      </x:c>
      <x:c r="Q1104" s="19" t="str">
        <x:v>S12_061_GE_10000</x:v>
      </x:c>
      <x:c r="R1104" s="19" t="str">
        <x:v>S12_061 usage threshold</x:v>
      </x:c>
      <x:c r="S1104" s="19" t="str">
        <x:v>https://nlftp.mlit.go.jp/ksj/gml/datalist/KsjTmplt-S12-2024.html</x:v>
      </x:c>
      <x:c r="T1104" s="19" t="str">
        <x:v>https://nlftp.mlit.go.jp/ksj/gml/datalist/KsjTmplt-S12-2024.html</x:v>
      </x:c>
      <x:c r="U1104" s="19" t="str">
        <x:v>station-component|新御徒町|首都圏新都市鉄道|private_rail|35.7069|139.7823|</x:v>
      </x:c>
      <x:c r="V1104" s="19" t="str">
        <x:v>003556 / 003557 / 常磐新線</x:v>
      </x:c>
      <x:c r="W1104" s="18" t="str">
        <x:v>否</x:v>
      </x:c>
      <x:c r="X1104" s="18" t="str">
        <x:v>0785e932a32b3ec15e1a1345537ae145eafe1c07bf38d5c16c11ee2b391e7a28</x:v>
      </x:c>
      <x:c r="Y1104" s="20" t="n">
        <x:v>1</x:v>
      </x:c>
      <x:c r="Z1104" s="20" t="n">
        <x:v>1</x:v>
      </x:c>
      <x:c r="AA1104" s="19"/>
      <x:c r="AB1104" s="18"/>
      <x:c r="AC1104" s="19"/>
    </x:row>
    <x:row r="1105" ht="28" customHeight="1">
      <x:c r="A1105" s="18" t="str">
        <x:v>新御茶ノ水</x:v>
      </x:c>
      <x:c r="B1105" s="18" t="str">
        <x:v>東京地下鉄</x:v>
      </x:c>
      <x:c r="C1105" s="18" t="str">
        <x:v>metro</x:v>
      </x:c>
      <x:c r="D1105" s="19" t="str">
        <x:v>T1</x:v>
      </x:c>
      <x:c r="E1105" s="20" t="n">
        <x:v>87057</x:v>
      </x:c>
      <x:c r="F1105" s="18" t="str">
        <x:v>persons/day</x:v>
      </x:c>
      <x:c r="G1105" s="18" t="str">
        <x:v>FY2024</x:v>
      </x:c>
      <x:c r="H1105" s="18" t="str">
        <x:v>否</x:v>
      </x:c>
      <x:c r="I1105" s="19" t="str">
        <x:v>DAILY_ENTRIES_EXITS</x:v>
      </x:c>
      <x:c r="J1105" s="19" t="str">
        <x:v>9号線千代田線</x:v>
      </x:c>
      <x:c r="K1105" s="18" t="str">
        <x:v>transport-node:8101a647-4614-5a47-99cb-6f5f569d6860</x:v>
      </x:c>
      <x:c r="L1105" s="19" t="str">
        <x:v>组件待审核</x:v>
      </x:c>
      <x:c r="M1105" s="21" t="n">
        <x:v>35.696925</x:v>
      </x:c>
      <x:c r="N1105" s="21" t="n">
        <x:v>139.76545</x:v>
      </x:c>
      <x:c r="O1105" s="18" t="str">
        <x:v>003645</x:v>
      </x:c>
      <x:c r="P1105" s="18" t="str">
        <x:v>9号線千代田線</x:v>
      </x:c>
      <x:c r="Q1105" s="19" t="str">
        <x:v>S12_061_GE_10000</x:v>
      </x:c>
      <x:c r="R1105" s="19" t="str">
        <x:v>S12_061 usage threshold</x:v>
      </x:c>
      <x:c r="S1105" s="19" t="str">
        <x:v>https://nlftp.mlit.go.jp/ksj/gml/datalist/KsjTmplt-S12-2024.html</x:v>
      </x:c>
      <x:c r="T1105" s="19" t="str">
        <x:v>https://nlftp.mlit.go.jp/ksj/gml/datalist/KsjTmplt-S12-2024.html</x:v>
      </x:c>
      <x:c r="U1105" s="19" t="str">
        <x:v>station-component|新御茶ノ水|東京地下鉄|metro|35.6969|139.7654|</x:v>
      </x:c>
      <x:c r="V1105" s="19" t="str">
        <x:v>003645 / 003645 / 9号線千代田線</x:v>
      </x:c>
      <x:c r="W1105" s="18" t="str">
        <x:v>否</x:v>
      </x:c>
      <x:c r="X1105" s="18" t="str">
        <x:v>0785e932a32b3ec15e1a1345537ae145eafe1c07bf38d5c16c11ee2b391e7a28</x:v>
      </x:c>
      <x:c r="Y1105" s="20" t="n">
        <x:v>1</x:v>
      </x:c>
      <x:c r="Z1105" s="20" t="n">
        <x:v>1</x:v>
      </x:c>
      <x:c r="AA1105" s="19"/>
      <x:c r="AB1105" s="18"/>
      <x:c r="AC1105" s="19"/>
    </x:row>
    <x:row r="1106" ht="28" customHeight="1">
      <x:c r="A1106" s="18" t="str">
        <x:v>新所沢</x:v>
      </x:c>
      <x:c r="B1106" s="18" t="str">
        <x:v>西武鉄道</x:v>
      </x:c>
      <x:c r="C1106" s="18" t="str">
        <x:v>private_rail</x:v>
      </x:c>
      <x:c r="D1106" s="19" t="str">
        <x:v>T2</x:v>
      </x:c>
      <x:c r="E1106" s="20" t="n">
        <x:v>47629</x:v>
      </x:c>
      <x:c r="F1106" s="18" t="str">
        <x:v>persons/day</x:v>
      </x:c>
      <x:c r="G1106" s="18" t="str">
        <x:v>FY2024</x:v>
      </x:c>
      <x:c r="H1106" s="18" t="str">
        <x:v>否</x:v>
      </x:c>
      <x:c r="I1106" s="19" t="str">
        <x:v>DAILY_ENTRIES_EXITS</x:v>
      </x:c>
      <x:c r="J1106" s="19" t="str">
        <x:v>新宿線</x:v>
      </x:c>
      <x:c r="K1106" s="18" t="str">
        <x:v>transport-node:32daa18a-77b5-59ac-a593-21fb6bcdaff0</x:v>
      </x:c>
      <x:c r="L1106" s="19" t="str">
        <x:v>组件待审核</x:v>
      </x:c>
      <x:c r="M1106" s="21" t="n">
        <x:v>35.805805</x:v>
      </x:c>
      <x:c r="N1106" s="21" t="n">
        <x:v>139.45717</x:v>
      </x:c>
      <x:c r="O1106" s="18" t="str">
        <x:v>003077</x:v>
      </x:c>
      <x:c r="P1106" s="18" t="str">
        <x:v>新宿線</x:v>
      </x:c>
      <x:c r="Q1106" s="19" t="str">
        <x:v>S12_061_GE_10000</x:v>
      </x:c>
      <x:c r="R1106" s="19" t="str">
        <x:v>S12_061 usage threshold</x:v>
      </x:c>
      <x:c r="S1106" s="19" t="str">
        <x:v>https://nlftp.mlit.go.jp/ksj/gml/datalist/KsjTmplt-S12-2024.html</x:v>
      </x:c>
      <x:c r="T1106" s="19" t="str">
        <x:v>https://nlftp.mlit.go.jp/ksj/gml/datalist/KsjTmplt-S12-2024.html</x:v>
      </x:c>
      <x:c r="U1106" s="19" t="str">
        <x:v>station-component|新所沢|西武鉄道|private_rail|35.8058|139.4572|</x:v>
      </x:c>
      <x:c r="V1106" s="19" t="str">
        <x:v>003077 / 003077 / 新宿線</x:v>
      </x:c>
      <x:c r="W1106" s="18" t="str">
        <x:v>否</x:v>
      </x:c>
      <x:c r="X1106" s="18" t="str">
        <x:v>0785e932a32b3ec15e1a1345537ae145eafe1c07bf38d5c16c11ee2b391e7a28</x:v>
      </x:c>
      <x:c r="Y1106" s="20" t="n">
        <x:v>1</x:v>
      </x:c>
      <x:c r="Z1106" s="20" t="n">
        <x:v>1</x:v>
      </x:c>
      <x:c r="AA1106" s="19"/>
      <x:c r="AB1106" s="18"/>
      <x:c r="AC1106" s="19"/>
    </x:row>
    <x:row r="1107" ht="33" customHeight="1">
      <x:c r="A1107" s="18" t="str">
        <x:v>新日本橋</x:v>
      </x:c>
      <x:c r="B1107" s="18" t="str">
        <x:v>東日本旅客鉄道</x:v>
      </x:c>
      <x:c r="C1107" s="18" t="str">
        <x:v>conventional_rail</x:v>
      </x:c>
      <x:c r="D1107" s="19" t="str">
        <x:v>T2</x:v>
      </x:c>
      <x:c r="E1107" s="20" t="n">
        <x:v>36522</x:v>
      </x:c>
      <x:c r="F1107" s="18" t="str">
        <x:v>persons/day</x:v>
      </x:c>
      <x:c r="G1107" s="18" t="str">
        <x:v>FY2024</x:v>
      </x:c>
      <x:c r="H1107" s="18" t="str">
        <x:v>否</x:v>
      </x:c>
      <x:c r="I1107" s="19" t="str">
        <x:v>DAILY_ENTRIES_EXITS</x:v>
      </x:c>
      <x:c r="J1107" s="19" t="str">
        <x:v>総武線</x:v>
      </x:c>
      <x:c r="K1107" s="18" t="str">
        <x:v>transport-node:8097bb0e-09e0-5652-bb71-3128074ebae6</x:v>
      </x:c>
      <x:c r="L1107" s="19" t="str">
        <x:v>组件待审核</x:v>
      </x:c>
      <x:c r="M1107" s="21" t="n">
        <x:v>35.688995</x:v>
      </x:c>
      <x:c r="N1107" s="21" t="n">
        <x:v>139.7741625</x:v>
      </x:c>
      <x:c r="O1107" s="18" t="str">
        <x:v>003703</x:v>
      </x:c>
      <x:c r="P1107" s="18" t="str">
        <x:v>総武線</x:v>
      </x:c>
      <x:c r="Q1107" s="19" t="str">
        <x:v>S12_061_GE_10000
OFFICIAL_HUB_COMPONENT_REVIEW</x:v>
      </x:c>
      <x:c r="R1107" s="19" t="str">
        <x:v>S12_061 usage threshold</x:v>
      </x:c>
      <x:c r="S1107" s="19" t="str">
        <x:v>https://nlftp.mlit.go.jp/ksj/gml/datalist/KsjTmplt-S12-2024.html</x:v>
      </x:c>
      <x:c r="T1107" s="19" t="str">
        <x:v>https://nlftp.mlit.go.jp/ksj/gml/datalist/KsjTmplt-S12-2024.html
https://www.tokyometro.jp/station/mitsukoshimae/index.html</x:v>
      </x:c>
      <x:c r="U1107" s="19" t="str">
        <x:v>station-component|新日本橋|東日本旅客鉄道|conventional_rail|35.6890|139.7742|</x:v>
      </x:c>
      <x:c r="V1107" s="19" t="str">
        <x:v>003703 / 003703 / 総武線</x:v>
      </x:c>
      <x:c r="W1107" s="18" t="str">
        <x:v>否</x:v>
      </x:c>
      <x:c r="X1107" s="18" t="str">
        <x:v>0785e932a32b3ec15e1a1345537ae145eafe1c07bf38d5c16c11ee2b391e7a28</x:v>
      </x:c>
      <x:c r="Y1107" s="20" t="n">
        <x:v>1</x:v>
      </x:c>
      <x:c r="Z1107" s="20" t="n">
        <x:v>1</x:v>
      </x:c>
      <x:c r="AA1107" s="19" t="str">
        <x:v>三越前・新日本橋</x:v>
      </x:c>
      <x:c r="AB1107" s="18" t="str">
        <x:v>transport-hub-review:a90316a3-3ae2-50f0-beba-8a434a833ff7</x:v>
      </x:c>
      <x:c r="AC1107" s="19"/>
    </x:row>
    <x:row r="1108" ht="33" customHeight="1">
      <x:c r="A1108" s="18" t="str">
        <x:v>新木場</x:v>
      </x:c>
      <x:c r="B1108" s="18" t="str">
        <x:v>東京地下鉄</x:v>
      </x:c>
      <x:c r="C1108" s="18" t="str">
        <x:v>metro</x:v>
      </x:c>
      <x:c r="D1108" s="19" t="str">
        <x:v>T1</x:v>
      </x:c>
      <x:c r="E1108" s="20" t="n">
        <x:v>95764</x:v>
      </x:c>
      <x:c r="F1108" s="18" t="str">
        <x:v>persons/day</x:v>
      </x:c>
      <x:c r="G1108" s="18" t="str">
        <x:v>FY2024</x:v>
      </x:c>
      <x:c r="H1108" s="18" t="str">
        <x:v>否</x:v>
      </x:c>
      <x:c r="I1108" s="19" t="str">
        <x:v>DAILY_ENTRIES_EXITS</x:v>
      </x:c>
      <x:c r="J1108" s="19" t="str">
        <x:v>8号線有楽町線</x:v>
      </x:c>
      <x:c r="K1108" s="18" t="str">
        <x:v>transport-node:29061f55-92fc-53bb-b488-2e8ec002c417</x:v>
      </x:c>
      <x:c r="L1108" s="19" t="str">
        <x:v>组件待审核</x:v>
      </x:c>
      <x:c r="M1108" s="21" t="n">
        <x:v>35.64578</x:v>
      </x:c>
      <x:c r="N1108" s="21" t="n">
        <x:v>139.826605</x:v>
      </x:c>
      <x:c r="O1108" s="18" t="str">
        <x:v>003998</x:v>
      </x:c>
      <x:c r="P1108" s="18" t="str">
        <x:v>8号線有楽町線</x:v>
      </x:c>
      <x:c r="Q1108" s="19" t="str">
        <x:v>S12_061_GE_10000
OFFICIAL_HUB_COMPONENT_REVIEW</x:v>
      </x:c>
      <x:c r="R1108" s="19" t="str">
        <x:v>S12_061 usage threshold</x:v>
      </x:c>
      <x:c r="S1108" s="19" t="str">
        <x:v>https://nlftp.mlit.go.jp/ksj/gml/datalist/KsjTmplt-S12-2024.html</x:v>
      </x:c>
      <x:c r="T1108" s="19" t="str">
        <x:v>https://nlftp.mlit.go.jp/ksj/gml/datalist/KsjTmplt-S12-2024.html
https://www.tokyometro.jp/station/shin-kiba/index.html</x:v>
      </x:c>
      <x:c r="U1108" s="19" t="str">
        <x:v>station-component|新木場|東京地下鉄|metro|35.6458|139.8266|</x:v>
      </x:c>
      <x:c r="V1108" s="19" t="str">
        <x:v>003997 / 003998 / 8号線有楽町線</x:v>
      </x:c>
      <x:c r="W1108" s="18" t="str">
        <x:v>否</x:v>
      </x:c>
      <x:c r="X1108" s="18" t="str">
        <x:v>0785e932a32b3ec15e1a1345537ae145eafe1c07bf38d5c16c11ee2b391e7a28</x:v>
      </x:c>
      <x:c r="Y1108" s="20" t="n">
        <x:v>1</x:v>
      </x:c>
      <x:c r="Z1108" s="20" t="n">
        <x:v>1</x:v>
      </x:c>
      <x:c r="AA1108" s="19" t="str">
        <x:v>新木場</x:v>
      </x:c>
      <x:c r="AB1108" s="18" t="str">
        <x:v>transport-hub-review:1473438c-e174-5f25-bd0e-c716aad9dc00</x:v>
      </x:c>
      <x:c r="AC1108" s="19"/>
    </x:row>
    <x:row r="1109" ht="33" customHeight="1">
      <x:c r="A1109" s="18" t="str">
        <x:v>新木場</x:v>
      </x:c>
      <x:c r="B1109" s="18" t="str">
        <x:v>東京臨海高速鉄道</x:v>
      </x:c>
      <x:c r="C1109" s="18" t="str">
        <x:v>private_rail</x:v>
      </x:c>
      <x:c r="D1109" s="19" t="str">
        <x:v>T1</x:v>
      </x:c>
      <x:c r="E1109" s="20" t="n">
        <x:v>60354</x:v>
      </x:c>
      <x:c r="F1109" s="18" t="str">
        <x:v>persons/day</x:v>
      </x:c>
      <x:c r="G1109" s="18" t="str">
        <x:v>FY2024</x:v>
      </x:c>
      <x:c r="H1109" s="18" t="str">
        <x:v>否</x:v>
      </x:c>
      <x:c r="I1109" s="19" t="str">
        <x:v>DAILY_ENTRIES_EXITS</x:v>
      </x:c>
      <x:c r="J1109" s="19" t="str">
        <x:v>臨海副都心線</x:v>
      </x:c>
      <x:c r="K1109" s="18" t="str">
        <x:v>transport-node:f4150a2f-1422-54d5-835c-4f572436851e</x:v>
      </x:c>
      <x:c r="L1109" s="19" t="str">
        <x:v>组件待审核</x:v>
      </x:c>
      <x:c r="M1109" s="21" t="n">
        <x:v>35.64583</x:v>
      </x:c>
      <x:c r="N1109" s="21" t="n">
        <x:v>139.8266</x:v>
      </x:c>
      <x:c r="O1109" s="18" t="str">
        <x:v>003997</x:v>
      </x:c>
      <x:c r="P1109" s="18" t="str">
        <x:v>臨海副都心線</x:v>
      </x:c>
      <x:c r="Q1109" s="19" t="str">
        <x:v>S12_061_GE_10000
OFFICIAL_HUB_COMPONENT_REVIEW</x:v>
      </x:c>
      <x:c r="R1109" s="19" t="str">
        <x:v>S12_061 usage threshold</x:v>
      </x:c>
      <x:c r="S1109" s="19" t="str">
        <x:v>https://nlftp.mlit.go.jp/ksj/gml/datalist/KsjTmplt-S12-2024.html</x:v>
      </x:c>
      <x:c r="T1109" s="19" t="str">
        <x:v>https://nlftp.mlit.go.jp/ksj/gml/datalist/KsjTmplt-S12-2024.html
https://www.tokyometro.jp/station/shin-kiba/index.html</x:v>
      </x:c>
      <x:c r="U1109" s="19" t="str">
        <x:v>station-component|新木場|東京臨海高速鉄道|private_rail|35.6458|139.8266|</x:v>
      </x:c>
      <x:c r="V1109" s="19" t="str">
        <x:v>003997 / 003997 / 臨海副都心線</x:v>
      </x:c>
      <x:c r="W1109" s="18" t="str">
        <x:v>否</x:v>
      </x:c>
      <x:c r="X1109" s="18" t="str">
        <x:v>0785e932a32b3ec15e1a1345537ae145eafe1c07bf38d5c16c11ee2b391e7a28</x:v>
      </x:c>
      <x:c r="Y1109" s="20" t="n">
        <x:v>1</x:v>
      </x:c>
      <x:c r="Z1109" s="20" t="n">
        <x:v>1</x:v>
      </x:c>
      <x:c r="AA1109" s="19" t="str">
        <x:v>新木場</x:v>
      </x:c>
      <x:c r="AB1109" s="18" t="str">
        <x:v>transport-hub-review:1473438c-e174-5f25-bd0e-c716aad9dc00</x:v>
      </x:c>
      <x:c r="AC1109" s="19"/>
    </x:row>
    <x:row r="1110" ht="33" customHeight="1">
      <x:c r="A1110" s="18" t="str">
        <x:v>新木場</x:v>
      </x:c>
      <x:c r="B1110" s="18" t="str">
        <x:v>東日本旅客鉄道</x:v>
      </x:c>
      <x:c r="C1110" s="18" t="str">
        <x:v>conventional_rail</x:v>
      </x:c>
      <x:c r="D1110" s="19" t="str">
        <x:v>T1</x:v>
      </x:c>
      <x:c r="E1110" s="20" t="n">
        <x:v>140156</x:v>
      </x:c>
      <x:c r="F1110" s="18" t="str">
        <x:v>persons/day</x:v>
      </x:c>
      <x:c r="G1110" s="18" t="str">
        <x:v>FY2024</x:v>
      </x:c>
      <x:c r="H1110" s="18" t="str">
        <x:v>否</x:v>
      </x:c>
      <x:c r="I1110" s="19" t="str">
        <x:v>DAILY_ENTRIES_EXITS</x:v>
      </x:c>
      <x:c r="J1110" s="19" t="str">
        <x:v>京葉線</x:v>
      </x:c>
      <x:c r="K1110" s="18" t="str">
        <x:v>transport-node:cab99a51-db87-5b9f-8fa6-cf510e73ef38</x:v>
      </x:c>
      <x:c r="L1110" s="19" t="str">
        <x:v>组件待审核</x:v>
      </x:c>
      <x:c r="M1110" s="21" t="n">
        <x:v>35.645995</x:v>
      </x:c>
      <x:c r="N1110" s="21" t="n">
        <x:v>139.826845</x:v>
      </x:c>
      <x:c r="O1110" s="18" t="str">
        <x:v>003995</x:v>
      </x:c>
      <x:c r="P1110" s="18" t="str">
        <x:v>京葉線</x:v>
      </x:c>
      <x:c r="Q1110" s="19" t="str">
        <x:v>S12_061_GE_10000
OFFICIAL_HUB_COMPONENT_REVIEW</x:v>
      </x:c>
      <x:c r="R1110" s="19" t="str">
        <x:v>S12_061 usage threshold</x:v>
      </x:c>
      <x:c r="S1110" s="19" t="str">
        <x:v>https://nlftp.mlit.go.jp/ksj/gml/datalist/KsjTmplt-S12-2024.html</x:v>
      </x:c>
      <x:c r="T1110" s="19" t="str">
        <x:v>https://nlftp.mlit.go.jp/ksj/gml/datalist/KsjTmplt-S12-2024.html
https://www.tokyometro.jp/station/shin-kiba/index.html</x:v>
      </x:c>
      <x:c r="U1110" s="19" t="str">
        <x:v>station-component|新木場|東日本旅客鉄道|conventional_rail|35.6460|139.8268|</x:v>
      </x:c>
      <x:c r="V1110" s="19" t="str">
        <x:v>003997 / 003995 / 京葉線</x:v>
      </x:c>
      <x:c r="W1110" s="18" t="str">
        <x:v>否</x:v>
      </x:c>
      <x:c r="X1110" s="18" t="str">
        <x:v>0785e932a32b3ec15e1a1345537ae145eafe1c07bf38d5c16c11ee2b391e7a28</x:v>
      </x:c>
      <x:c r="Y1110" s="20" t="n">
        <x:v>1</x:v>
      </x:c>
      <x:c r="Z1110" s="20" t="n">
        <x:v>1</x:v>
      </x:c>
      <x:c r="AA1110" s="19" t="str">
        <x:v>新木場</x:v>
      </x:c>
      <x:c r="AB1110" s="18" t="str">
        <x:v>transport-hub-review:1473438c-e174-5f25-bd0e-c716aad9dc00</x:v>
      </x:c>
      <x:c r="AC1110" s="19"/>
    </x:row>
    <x:row r="1111" ht="47" customHeight="1">
      <x:c r="A1111" s="18" t="str">
        <x:v>新札幌</x:v>
      </x:c>
      <x:c r="B1111" s="18" t="str">
        <x:v>北海道旅客鉄道</x:v>
      </x:c>
      <x:c r="C1111" s="18" t="str">
        <x:v>conventional_rail</x:v>
      </x:c>
      <x:c r="D1111" s="19" t="str">
        <x:v>T2</x:v>
      </x:c>
      <x:c r="E1111" s="20" t="n">
        <x:v>29898</x:v>
      </x:c>
      <x:c r="F1111" s="18" t="str">
        <x:v>persons/day</x:v>
      </x:c>
      <x:c r="G1111" s="18" t="str">
        <x:v>FY2024</x:v>
      </x:c>
      <x:c r="H1111" s="18" t="str">
        <x:v>否</x:v>
      </x:c>
      <x:c r="I1111" s="19" t="str">
        <x:v>DAILY_ENTRIES_EXITS</x:v>
      </x:c>
      <x:c r="J1111" s="19" t="str">
        <x:v>千歳線</x:v>
      </x:c>
      <x:c r="K1111" s="18" t="str">
        <x:v>transport-node:fa8fb375-e428-5655-ac9a-e67abb8167cc</x:v>
      </x:c>
      <x:c r="L1111" s="19" t="str">
        <x:v>组件待审核</x:v>
      </x:c>
      <x:c r="M1111" s="21" t="n">
        <x:v>43.038685</x:v>
      </x:c>
      <x:c r="N1111" s="21" t="n">
        <x:v>141.472515</x:v>
      </x:c>
      <x:c r="O1111" s="18" t="str">
        <x:v>000278</x:v>
      </x:c>
      <x:c r="P1111" s="18" t="str">
        <x:v>千歳線</x:v>
      </x:c>
      <x:c r="Q1111" s="19" t="str">
        <x:v>S12_061_GE_10000
OFFICIAL_HUB_COMPONENT_REVIEW</x:v>
      </x:c>
      <x:c r="R1111" s="19" t="str">
        <x:v>S12_061 usage threshold</x:v>
      </x:c>
      <x:c r="S1111" s="19" t="str">
        <x:v>https://nlftp.mlit.go.jp/ksj/gml/datalist/KsjTmplt-S12-2024.html</x:v>
      </x:c>
      <x:c r="T1111" s="19" t="str">
        <x:v>https://nlftp.mlit.go.jp/ksj/gml/datalist/KsjTmplt-S12-2024.html
https://www.city.sapporo.jp/st/subway/ekikonaizu/documents/shinsapporoekikounaizu.pdf</x:v>
      </x:c>
      <x:c r="U1111" s="19" t="str">
        <x:v>station-component|新札幌|北海道旅客鉄道|conventional_rail|43.0387|141.4725|</x:v>
      </x:c>
      <x:c r="V1111" s="19" t="str">
        <x:v>000278 / 000278 / 千歳線</x:v>
      </x:c>
      <x:c r="W1111" s="18" t="str">
        <x:v>否</x:v>
      </x:c>
      <x:c r="X1111" s="18" t="str">
        <x:v>0785e932a32b3ec15e1a1345537ae145eafe1c07bf38d5c16c11ee2b391e7a28</x:v>
      </x:c>
      <x:c r="Y1111" s="20" t="n">
        <x:v>1</x:v>
      </x:c>
      <x:c r="Z1111" s="20" t="n">
        <x:v>1</x:v>
      </x:c>
      <x:c r="AA1111" s="19" t="str">
        <x:v>新札幌・新さっぽろ</x:v>
      </x:c>
      <x:c r="AB1111" s="18" t="str">
        <x:v>transport-hub-review:52ce6659-da96-53e4-846d-77821541fd23</x:v>
      </x:c>
      <x:c r="AC1111" s="19"/>
    </x:row>
    <x:row r="1112" ht="28" customHeight="1">
      <x:c r="A1112" s="18" t="str">
        <x:v>新杉田</x:v>
      </x:c>
      <x:c r="B1112" s="18" t="str">
        <x:v>東日本旅客鉄道</x:v>
      </x:c>
      <x:c r="C1112" s="18" t="str">
        <x:v>conventional_rail</x:v>
      </x:c>
      <x:c r="D1112" s="19" t="str">
        <x:v>T1</x:v>
      </x:c>
      <x:c r="E1112" s="20" t="n">
        <x:v>68910</x:v>
      </x:c>
      <x:c r="F1112" s="18" t="str">
        <x:v>persons/day</x:v>
      </x:c>
      <x:c r="G1112" s="18" t="str">
        <x:v>FY2024</x:v>
      </x:c>
      <x:c r="H1112" s="18" t="str">
        <x:v>否</x:v>
      </x:c>
      <x:c r="I1112" s="19" t="str">
        <x:v>DAILY_ENTRIES_EXITS</x:v>
      </x:c>
      <x:c r="J1112" s="19" t="str">
        <x:v>根岸線</x:v>
      </x:c>
      <x:c r="K1112" s="18" t="str">
        <x:v>transport-node:e0614225-e019-5797-b609-cb9dd9d875f0</x:v>
      </x:c>
      <x:c r="L1112" s="19" t="str">
        <x:v>组件待审核</x:v>
      </x:c>
      <x:c r="M1112" s="21" t="n">
        <x:v>35.3868</x:v>
      </x:c>
      <x:c r="N1112" s="21" t="n">
        <x:v>139.619435</x:v>
      </x:c>
      <x:c r="O1112" s="18" t="str">
        <x:v>004872</x:v>
      </x:c>
      <x:c r="P1112" s="18" t="str">
        <x:v>根岸線</x:v>
      </x:c>
      <x:c r="Q1112" s="19" t="str">
        <x:v>S12_061_GE_10000</x:v>
      </x:c>
      <x:c r="R1112" s="19" t="str">
        <x:v>S12_061 usage threshold</x:v>
      </x:c>
      <x:c r="S1112" s="19" t="str">
        <x:v>https://nlftp.mlit.go.jp/ksj/gml/datalist/KsjTmplt-S12-2024.html</x:v>
      </x:c>
      <x:c r="T1112" s="19" t="str">
        <x:v>https://nlftp.mlit.go.jp/ksj/gml/datalist/KsjTmplt-S12-2024.html</x:v>
      </x:c>
      <x:c r="U1112" s="19" t="str">
        <x:v>station-component|新杉田|東日本旅客鉄道|conventional_rail|35.3868|139.6194|</x:v>
      </x:c>
      <x:c r="V1112" s="19" t="str">
        <x:v>004872 / 004872 / 根岸線</x:v>
      </x:c>
      <x:c r="W1112" s="18" t="str">
        <x:v>否</x:v>
      </x:c>
      <x:c r="X1112" s="18" t="str">
        <x:v>0785e932a32b3ec15e1a1345537ae145eafe1c07bf38d5c16c11ee2b391e7a28</x:v>
      </x:c>
      <x:c r="Y1112" s="20" t="n">
        <x:v>1</x:v>
      </x:c>
      <x:c r="Z1112" s="20" t="n">
        <x:v>1</x:v>
      </x:c>
      <x:c r="AA1112" s="19"/>
      <x:c r="AB1112" s="18"/>
      <x:c r="AC1112" s="19"/>
    </x:row>
    <x:row r="1113" ht="28" customHeight="1">
      <x:c r="A1113" s="18" t="str">
        <x:v>新杉田</x:v>
      </x:c>
      <x:c r="B1113" s="18" t="str">
        <x:v>横浜シーサイドライン</x:v>
      </x:c>
      <x:c r="C1113" s="18" t="str">
        <x:v>fixed_guideway</x:v>
      </x:c>
      <x:c r="D1113" s="19" t="str">
        <x:v>T2</x:v>
      </x:c>
      <x:c r="E1113" s="20" t="n">
        <x:v>33253</x:v>
      </x:c>
      <x:c r="F1113" s="18" t="str">
        <x:v>persons/day</x:v>
      </x:c>
      <x:c r="G1113" s="18" t="str">
        <x:v>FY2024</x:v>
      </x:c>
      <x:c r="H1113" s="18" t="str">
        <x:v>否</x:v>
      </x:c>
      <x:c r="I1113" s="19" t="str">
        <x:v>DAILY_ENTRIES_EXITS</x:v>
      </x:c>
      <x:c r="J1113" s="19" t="str">
        <x:v>金沢シーサイドライン</x:v>
      </x:c>
      <x:c r="K1113" s="18" t="str">
        <x:v>transport-node:ce5fa02d-42a1-5924-8997-fdf293ddccad</x:v>
      </x:c>
      <x:c r="L1113" s="19" t="str">
        <x:v>组件待审核</x:v>
      </x:c>
      <x:c r="M1113" s="21" t="n">
        <x:v>35.38571</x:v>
      </x:c>
      <x:c r="N1113" s="21" t="n">
        <x:v>139.620745</x:v>
      </x:c>
      <x:c r="O1113" s="18" t="str">
        <x:v>004876</x:v>
      </x:c>
      <x:c r="P1113" s="18" t="str">
        <x:v>金沢シーサイドライン</x:v>
      </x:c>
      <x:c r="Q1113" s="19" t="str">
        <x:v>S12_061_GE_10000</x:v>
      </x:c>
      <x:c r="R1113" s="19" t="str">
        <x:v>S12_061 usage threshold</x:v>
      </x:c>
      <x:c r="S1113" s="19" t="str">
        <x:v>https://nlftp.mlit.go.jp/ksj/gml/datalist/KsjTmplt-S12-2024.html</x:v>
      </x:c>
      <x:c r="T1113" s="19" t="str">
        <x:v>https://nlftp.mlit.go.jp/ksj/gml/datalist/KsjTmplt-S12-2024.html</x:v>
      </x:c>
      <x:c r="U1113" s="19" t="str">
        <x:v>station-component|新杉田|横浜シーサイドライン|fixed_guideway|35.3857|139.6207|</x:v>
      </x:c>
      <x:c r="V1113" s="19" t="str">
        <x:v>004872 / 004876 / 金沢シーサイドライン</x:v>
      </x:c>
      <x:c r="W1113" s="18" t="str">
        <x:v>否</x:v>
      </x:c>
      <x:c r="X1113" s="18" t="str">
        <x:v>0785e932a32b3ec15e1a1345537ae145eafe1c07bf38d5c16c11ee2b391e7a28</x:v>
      </x:c>
      <x:c r="Y1113" s="20" t="n">
        <x:v>1</x:v>
      </x:c>
      <x:c r="Z1113" s="20" t="n">
        <x:v>1</x:v>
      </x:c>
      <x:c r="AA1113" s="19"/>
      <x:c r="AB1113" s="18"/>
      <x:c r="AC1113" s="19"/>
    </x:row>
    <x:row r="1114" ht="33" customHeight="1">
      <x:c r="A1114" s="18" t="str">
        <x:v>新松戸</x:v>
      </x:c>
      <x:c r="B1114" s="18" t="str">
        <x:v>東日本旅客鉄道</x:v>
      </x:c>
      <x:c r="C1114" s="18" t="str">
        <x:v>conventional_rail</x:v>
      </x:c>
      <x:c r="D1114" s="19" t="str">
        <x:v>T1</x:v>
      </x:c>
      <x:c r="E1114" s="20" t="n">
        <x:v>72338</x:v>
      </x:c>
      <x:c r="F1114" s="18" t="str">
        <x:v>persons/day</x:v>
      </x:c>
      <x:c r="G1114" s="18" t="str">
        <x:v>FY2024</x:v>
      </x:c>
      <x:c r="H1114" s="18" t="str">
        <x:v>否</x:v>
      </x:c>
      <x:c r="I1114" s="19" t="str">
        <x:v>DAILY_ENTRIES_EXITS</x:v>
      </x:c>
      <x:c r="J1114" s="19" t="str">
        <x:v>常磐線
武蔵野線</x:v>
      </x:c>
      <x:c r="K1114" s="18" t="str">
        <x:v>transport-node:ce84f910-8f51-5355-b745-58ef9589599f</x:v>
      </x:c>
      <x:c r="L1114" s="19" t="str">
        <x:v>组件待审核</x:v>
      </x:c>
      <x:c r="M1114" s="21" t="n">
        <x:v>35.8254367</x:v>
      </x:c>
      <x:c r="N1114" s="21" t="n">
        <x:v>139.9211933</x:v>
      </x:c>
      <x:c r="O1114" s="18" t="str">
        <x:v>003046</x:v>
      </x:c>
      <x:c r="P1114" s="18" t="str">
        <x:v>常磐線</x:v>
      </x:c>
      <x:c r="Q1114" s="19" t="str">
        <x:v>S12_061_GE_10000</x:v>
      </x:c>
      <x:c r="R1114" s="19" t="str">
        <x:v>S12_061 usage threshold</x:v>
      </x:c>
      <x:c r="S1114" s="19" t="str">
        <x:v>https://nlftp.mlit.go.jp/ksj/gml/datalist/KsjTmplt-S12-2024.html</x:v>
      </x:c>
      <x:c r="T1114" s="19" t="str">
        <x:v>https://nlftp.mlit.go.jp/ksj/gml/datalist/KsjTmplt-S12-2024.html</x:v>
      </x:c>
      <x:c r="U1114" s="19" t="str">
        <x:v>station-component|新松戸|東日本旅客鉄道|conventional_rail|35.8254|139.9212|</x:v>
      </x:c>
      <x:c r="V1114" s="19" t="str">
        <x:v>003045 / 003045 / 武蔵野線
003045 / 003046 / 常磐線</x:v>
      </x:c>
      <x:c r="W1114" s="18" t="str">
        <x:v>否</x:v>
      </x:c>
      <x:c r="X1114" s="18" t="str">
        <x:v>0785e932a32b3ec15e1a1345537ae145eafe1c07bf38d5c16c11ee2b391e7a28</x:v>
      </x:c>
      <x:c r="Y1114" s="20" t="n">
        <x:v>1</x:v>
      </x:c>
      <x:c r="Z1114" s="20" t="n">
        <x:v>1</x:v>
      </x:c>
      <x:c r="AA1114" s="19"/>
      <x:c r="AB1114" s="18"/>
      <x:c r="AC1114" s="19"/>
    </x:row>
    <x:row r="1115" ht="33" customHeight="1">
      <x:c r="A1115" s="18" t="str">
        <x:v>新松田</x:v>
      </x:c>
      <x:c r="B1115" s="18" t="str">
        <x:v>小田急電鉄</x:v>
      </x:c>
      <x:c r="C1115" s="18" t="str">
        <x:v>private_rail</x:v>
      </x:c>
      <x:c r="D1115" s="19" t="str">
        <x:v>T2</x:v>
      </x:c>
      <x:c r="E1115" s="20" t="n">
        <x:v>20403</x:v>
      </x:c>
      <x:c r="F1115" s="18" t="str">
        <x:v>persons/day</x:v>
      </x:c>
      <x:c r="G1115" s="18" t="str">
        <x:v>FY2024</x:v>
      </x:c>
      <x:c r="H1115" s="18" t="str">
        <x:v>否</x:v>
      </x:c>
      <x:c r="I1115" s="19" t="str">
        <x:v>DAILY_ENTRIES_EXITS</x:v>
      </x:c>
      <x:c r="J1115" s="19" t="str">
        <x:v>小田原線</x:v>
      </x:c>
      <x:c r="K1115" s="18" t="str">
        <x:v>transport-node:dd057d7c-fc75-5f2f-b070-d4e80294edb4</x:v>
      </x:c>
      <x:c r="L1115" s="19" t="str">
        <x:v>组件待审核</x:v>
      </x:c>
      <x:c r="M1115" s="21" t="n">
        <x:v>35.34461</x:v>
      </x:c>
      <x:c r="N1115" s="21" t="n">
        <x:v>139.13945</x:v>
      </x:c>
      <x:c r="O1115" s="18" t="str">
        <x:v>004981</x:v>
      </x:c>
      <x:c r="P1115" s="18" t="str">
        <x:v>小田原線</x:v>
      </x:c>
      <x:c r="Q1115" s="19" t="str">
        <x:v>S12_061_GE_10000
OFFICIAL_HUB_COMPONENT_REVIEW</x:v>
      </x:c>
      <x:c r="R1115" s="19" t="str">
        <x:v>S12_061 usage threshold</x:v>
      </x:c>
      <x:c r="S1115" s="19" t="str">
        <x:v>https://nlftp.mlit.go.jp/ksj/gml/datalist/KsjTmplt-S12-2024.html</x:v>
      </x:c>
      <x:c r="T1115" s="19" t="str">
        <x:v>https://nlftp.mlit.go.jp/ksj/gml/datalist/KsjTmplt-S12-2024.html
https://www.odakyu.jp/station/</x:v>
      </x:c>
      <x:c r="U1115" s="19" t="str">
        <x:v>station-component|新松田|小田急電鉄|private_rail|35.3446|139.1395|</x:v>
      </x:c>
      <x:c r="V1115" s="19" t="str">
        <x:v>004981 / 004981 / 小田原線</x:v>
      </x:c>
      <x:c r="W1115" s="18" t="str">
        <x:v>否</x:v>
      </x:c>
      <x:c r="X1115" s="18" t="str">
        <x:v>0785e932a32b3ec15e1a1345537ae145eafe1c07bf38d5c16c11ee2b391e7a28</x:v>
      </x:c>
      <x:c r="Y1115" s="20" t="n">
        <x:v>1</x:v>
      </x:c>
      <x:c r="Z1115" s="20" t="n">
        <x:v>1</x:v>
      </x:c>
      <x:c r="AA1115" s="19" t="str">
        <x:v>新松田・松田</x:v>
      </x:c>
      <x:c r="AB1115" s="18" t="str">
        <x:v>transport-hub-review:314de6b8-d5e8-5f64-8d6e-eec4c9a88b9a</x:v>
      </x:c>
      <x:c r="AC1115" s="19"/>
    </x:row>
    <x:row r="1116" ht="28" customHeight="1">
      <x:c r="A1116" s="18" t="str">
        <x:v>新板橋</x:v>
      </x:c>
      <x:c r="B1116" s="18" t="str">
        <x:v>東京都</x:v>
      </x:c>
      <x:c r="C1116" s="18" t="str">
        <x:v>metro</x:v>
      </x:c>
      <x:c r="D1116" s="19" t="str">
        <x:v>T2</x:v>
      </x:c>
      <x:c r="E1116" s="20" t="n">
        <x:v>24762</x:v>
      </x:c>
      <x:c r="F1116" s="18" t="str">
        <x:v>persons/day</x:v>
      </x:c>
      <x:c r="G1116" s="18" t="str">
        <x:v>FY2024</x:v>
      </x:c>
      <x:c r="H1116" s="18" t="str">
        <x:v>否</x:v>
      </x:c>
      <x:c r="I1116" s="19" t="str">
        <x:v>DAILY_ENTRIES_EXITS</x:v>
      </x:c>
      <x:c r="J1116" s="19" t="str">
        <x:v>6号線三田線</x:v>
      </x:c>
      <x:c r="K1116" s="18" t="str">
        <x:v>transport-node:0266ec23-ae1e-5329-9a40-a7a926a62f51</x:v>
      </x:c>
      <x:c r="L1116" s="19" t="str">
        <x:v>组件待审核</x:v>
      </x:c>
      <x:c r="M1116" s="21" t="n">
        <x:v>35.74884</x:v>
      </x:c>
      <x:c r="N1116" s="21" t="n">
        <x:v>139.719365</x:v>
      </x:c>
      <x:c r="O1116" s="18" t="str">
        <x:v>003268</x:v>
      </x:c>
      <x:c r="P1116" s="18" t="str">
        <x:v>6号線三田線</x:v>
      </x:c>
      <x:c r="Q1116" s="19" t="str">
        <x:v>S12_061_GE_10000</x:v>
      </x:c>
      <x:c r="R1116" s="19" t="str">
        <x:v>S12_061 usage threshold</x:v>
      </x:c>
      <x:c r="S1116" s="19" t="str">
        <x:v>https://nlftp.mlit.go.jp/ksj/gml/datalist/KsjTmplt-S12-2024.html</x:v>
      </x:c>
      <x:c r="T1116" s="19" t="str">
        <x:v>https://nlftp.mlit.go.jp/ksj/gml/datalist/KsjTmplt-S12-2024.html</x:v>
      </x:c>
      <x:c r="U1116" s="19" t="str">
        <x:v>station-component|新板橋|東京都|metro|35.7488|139.7194|</x:v>
      </x:c>
      <x:c r="V1116" s="19" t="str">
        <x:v>003268 / 003268 / 6号線三田線</x:v>
      </x:c>
      <x:c r="W1116" s="18" t="str">
        <x:v>否</x:v>
      </x:c>
      <x:c r="X1116" s="18" t="str">
        <x:v>0785e932a32b3ec15e1a1345537ae145eafe1c07bf38d5c16c11ee2b391e7a28</x:v>
      </x:c>
      <x:c r="Y1116" s="20" t="n">
        <x:v>1</x:v>
      </x:c>
      <x:c r="Z1116" s="20" t="n">
        <x:v>1</x:v>
      </x:c>
      <x:c r="AA1116" s="19"/>
      <x:c r="AB1116" s="18"/>
      <x:c r="AC1116" s="19"/>
    </x:row>
    <x:row r="1117" ht="28" customHeight="1">
      <x:c r="A1117" s="18" t="str">
        <x:v>新柏</x:v>
      </x:c>
      <x:c r="B1117" s="18" t="str">
        <x:v>東武鉄道</x:v>
      </x:c>
      <x:c r="C1117" s="18" t="str">
        <x:v>private_rail</x:v>
      </x:c>
      <x:c r="D1117" s="19" t="str">
        <x:v>T2</x:v>
      </x:c>
      <x:c r="E1117" s="20" t="n">
        <x:v>20960</x:v>
      </x:c>
      <x:c r="F1117" s="18" t="str">
        <x:v>persons/day</x:v>
      </x:c>
      <x:c r="G1117" s="18" t="str">
        <x:v>FY2024</x:v>
      </x:c>
      <x:c r="H1117" s="18" t="str">
        <x:v>否</x:v>
      </x:c>
      <x:c r="I1117" s="19" t="str">
        <x:v>DAILY_ENTRIES_EXITS</x:v>
      </x:c>
      <x:c r="J1117" s="19" t="str">
        <x:v>野田線</x:v>
      </x:c>
      <x:c r="K1117" s="18" t="str">
        <x:v>transport-node:b8dc204c-62df-5e42-a349-b43879d49d3b</x:v>
      </x:c>
      <x:c r="L1117" s="19" t="str">
        <x:v>组件待审核</x:v>
      </x:c>
      <x:c r="M1117" s="21" t="n">
        <x:v>35.8381</x:v>
      </x:c>
      <x:c r="N1117" s="21" t="n">
        <x:v>139.96704</x:v>
      </x:c>
      <x:c r="O1117" s="18" t="str">
        <x:v>003026</x:v>
      </x:c>
      <x:c r="P1117" s="18" t="str">
        <x:v>野田線</x:v>
      </x:c>
      <x:c r="Q1117" s="19" t="str">
        <x:v>S12_061_GE_10000</x:v>
      </x:c>
      <x:c r="R1117" s="19" t="str">
        <x:v>S12_061 usage threshold</x:v>
      </x:c>
      <x:c r="S1117" s="19" t="str">
        <x:v>https://nlftp.mlit.go.jp/ksj/gml/datalist/KsjTmplt-S12-2024.html</x:v>
      </x:c>
      <x:c r="T1117" s="19" t="str">
        <x:v>https://nlftp.mlit.go.jp/ksj/gml/datalist/KsjTmplt-S12-2024.html</x:v>
      </x:c>
      <x:c r="U1117" s="19" t="str">
        <x:v>station-component|新柏|東武鉄道|private_rail|35.8381|139.9670|</x:v>
      </x:c>
      <x:c r="V1117" s="19" t="str">
        <x:v>003026 / 003026 / 野田線</x:v>
      </x:c>
      <x:c r="W1117" s="18" t="str">
        <x:v>否</x:v>
      </x:c>
      <x:c r="X1117" s="18" t="str">
        <x:v>0785e932a32b3ec15e1a1345537ae145eafe1c07bf38d5c16c11ee2b391e7a28</x:v>
      </x:c>
      <x:c r="Y1117" s="20" t="n">
        <x:v>1</x:v>
      </x:c>
      <x:c r="Z1117" s="20" t="n">
        <x:v>1</x:v>
      </x:c>
      <x:c r="AA1117" s="19"/>
      <x:c r="AB1117" s="18"/>
      <x:c r="AC1117" s="19"/>
    </x:row>
    <x:row r="1118" ht="28" customHeight="1">
      <x:c r="A1118" s="18" t="str">
        <x:v>新栄町</x:v>
      </x:c>
      <x:c r="B1118" s="18" t="str">
        <x:v>名古屋市</x:v>
      </x:c>
      <x:c r="C1118" s="18" t="str">
        <x:v>metro</x:v>
      </x:c>
      <x:c r="D1118" s="19" t="str">
        <x:v>T2</x:v>
      </x:c>
      <x:c r="E1118" s="20" t="n">
        <x:v>31772</x:v>
      </x:c>
      <x:c r="F1118" s="18" t="str">
        <x:v>persons/day</x:v>
      </x:c>
      <x:c r="G1118" s="18" t="str">
        <x:v>FY2024</x:v>
      </x:c>
      <x:c r="H1118" s="18" t="str">
        <x:v>否</x:v>
      </x:c>
      <x:c r="I1118" s="19" t="str">
        <x:v>DAILY_ENTRIES_EXITS</x:v>
      </x:c>
      <x:c r="J1118" s="19" t="str">
        <x:v>1号線東山線</x:v>
      </x:c>
      <x:c r="K1118" s="18" t="str">
        <x:v>transport-node:57455ddb-66d8-5ea6-8481-9f26557c50fc</x:v>
      </x:c>
      <x:c r="L1118" s="19" t="str">
        <x:v>组件待审核</x:v>
      </x:c>
      <x:c r="M1118" s="21" t="n">
        <x:v>35.17067</x:v>
      </x:c>
      <x:c r="N1118" s="21" t="n">
        <x:v>136.920105</x:v>
      </x:c>
      <x:c r="O1118" s="18" t="str">
        <x:v>005453</x:v>
      </x:c>
      <x:c r="P1118" s="18" t="str">
        <x:v>1号線東山線</x:v>
      </x:c>
      <x:c r="Q1118" s="19" t="str">
        <x:v>S12_061_GE_10000</x:v>
      </x:c>
      <x:c r="R1118" s="19" t="str">
        <x:v>S12_061 usage threshold</x:v>
      </x:c>
      <x:c r="S1118" s="19" t="str">
        <x:v>https://nlftp.mlit.go.jp/ksj/gml/datalist/KsjTmplt-S12-2024.html</x:v>
      </x:c>
      <x:c r="T1118" s="19" t="str">
        <x:v>https://nlftp.mlit.go.jp/ksj/gml/datalist/KsjTmplt-S12-2024.html</x:v>
      </x:c>
      <x:c r="U1118" s="19" t="str">
        <x:v>station-component|新栄町|名古屋市|metro|35.1707|136.9201|</x:v>
      </x:c>
      <x:c r="V1118" s="19" t="str">
        <x:v>005453 / 005453 / 1号線東山線</x:v>
      </x:c>
      <x:c r="W1118" s="18" t="str">
        <x:v>否</x:v>
      </x:c>
      <x:c r="X1118" s="18" t="str">
        <x:v>0785e932a32b3ec15e1a1345537ae145eafe1c07bf38d5c16c11ee2b391e7a28</x:v>
      </x:c>
      <x:c r="Y1118" s="20" t="n">
        <x:v>1</x:v>
      </x:c>
      <x:c r="Z1118" s="20" t="n">
        <x:v>1</x:v>
      </x:c>
      <x:c r="AA1118" s="19"/>
      <x:c r="AB1118" s="18"/>
      <x:c r="AC1118" s="19"/>
    </x:row>
    <x:row r="1119" ht="28" customHeight="1">
      <x:c r="A1119" s="18" t="str">
        <x:v>新検見川</x:v>
      </x:c>
      <x:c r="B1119" s="18" t="str">
        <x:v>東日本旅客鉄道</x:v>
      </x:c>
      <x:c r="C1119" s="18" t="str">
        <x:v>conventional_rail</x:v>
      </x:c>
      <x:c r="D1119" s="19" t="str">
        <x:v>T2</x:v>
      </x:c>
      <x:c r="E1119" s="20" t="n">
        <x:v>41494</x:v>
      </x:c>
      <x:c r="F1119" s="18" t="str">
        <x:v>persons/day</x:v>
      </x:c>
      <x:c r="G1119" s="18" t="str">
        <x:v>FY2024</x:v>
      </x:c>
      <x:c r="H1119" s="18" t="str">
        <x:v>否</x:v>
      </x:c>
      <x:c r="I1119" s="19" t="str">
        <x:v>DAILY_ENTRIES_EXITS</x:v>
      </x:c>
      <x:c r="J1119" s="19" t="str">
        <x:v>総武線</x:v>
      </x:c>
      <x:c r="K1119" s="18" t="str">
        <x:v>transport-node:57b2e51a-a1e8-5b5e-b64f-57ac0d27121f</x:v>
      </x:c>
      <x:c r="L1119" s="19" t="str">
        <x:v>组件待审核</x:v>
      </x:c>
      <x:c r="M1119" s="21" t="n">
        <x:v>35.6518225</x:v>
      </x:c>
      <x:c r="N1119" s="21" t="n">
        <x:v>140.073145</x:v>
      </x:c>
      <x:c r="O1119" s="18" t="str">
        <x:v>003965</x:v>
      </x:c>
      <x:c r="P1119" s="18" t="str">
        <x:v>総武線</x:v>
      </x:c>
      <x:c r="Q1119" s="19" t="str">
        <x:v>S12_061_GE_10000</x:v>
      </x:c>
      <x:c r="R1119" s="19" t="str">
        <x:v>S12_061 usage threshold</x:v>
      </x:c>
      <x:c r="S1119" s="19" t="str">
        <x:v>https://nlftp.mlit.go.jp/ksj/gml/datalist/KsjTmplt-S12-2024.html</x:v>
      </x:c>
      <x:c r="T1119" s="19" t="str">
        <x:v>https://nlftp.mlit.go.jp/ksj/gml/datalist/KsjTmplt-S12-2024.html</x:v>
      </x:c>
      <x:c r="U1119" s="19" t="str">
        <x:v>station-component|新検見川|東日本旅客鉄道|conventional_rail|35.6518|140.0731|</x:v>
      </x:c>
      <x:c r="V1119" s="19" t="str">
        <x:v>003965 / 003965 / 総武線</x:v>
      </x:c>
      <x:c r="W1119" s="18" t="str">
        <x:v>否</x:v>
      </x:c>
      <x:c r="X1119" s="18" t="str">
        <x:v>0785e932a32b3ec15e1a1345537ae145eafe1c07bf38d5c16c11ee2b391e7a28</x:v>
      </x:c>
      <x:c r="Y1119" s="20" t="n">
        <x:v>1</x:v>
      </x:c>
      <x:c r="Z1119" s="20" t="n">
        <x:v>1</x:v>
      </x:c>
      <x:c r="AA1119" s="19"/>
      <x:c r="AB1119" s="18"/>
      <x:c r="AC1119" s="19"/>
    </x:row>
    <x:row r="1120" ht="33" customHeight="1">
      <x:c r="A1120" s="18" t="str">
        <x:v>新横浜</x:v>
      </x:c>
      <x:c r="B1120" s="18" t="str">
        <x:v>東急電鉄</x:v>
      </x:c>
      <x:c r="C1120" s="18" t="str">
        <x:v>private_rail</x:v>
      </x:c>
      <x:c r="D1120" s="19"/>
      <x:c r="E1120" s="20"/>
      <x:c r="F1120" s="18"/>
      <x:c r="G1120" s="18" t="str">
        <x:v>FY2024</x:v>
      </x:c>
      <x:c r="H1120" s="18" t="str">
        <x:v>是</x:v>
      </x:c>
      <x:c r="I1120" s="19" t="str">
        <x:v>USAGE_DATA_UNAVAILABLE</x:v>
      </x:c>
      <x:c r="J1120" s="19" t="str">
        <x:v>東急新横浜線</x:v>
      </x:c>
      <x:c r="K1120" s="18" t="str">
        <x:v>transport-node:f967d8aa-71c2-541e-9da3-212433d38474</x:v>
      </x:c>
      <x:c r="L1120" s="19" t="str">
        <x:v>组件待审核</x:v>
      </x:c>
      <x:c r="M1120" s="21" t="n">
        <x:v>35.5089511</x:v>
      </x:c>
      <x:c r="N1120" s="21" t="n">
        <x:v>139.617261</x:v>
      </x:c>
      <x:c r="O1120" s="18" t="str">
        <x:v>010166</x:v>
      </x:c>
      <x:c r="P1120" s="18" t="str">
        <x:v>東急新横浜線</x:v>
      </x:c>
      <x:c r="Q1120" s="19" t="str">
        <x:v>OFFICIAL_HUB_COMPONENT_REVIEW</x:v>
      </x:c>
      <x:c r="R1120" s="19" t="str">
        <x:v>Official S12 usage unavailable; manual tier review required</x:v>
      </x:c>
      <x:c r="S1120" s="19" t="str">
        <x:v>https://nlftp.mlit.go.jp/ksj/gml/datalist/KsjTmplt-S12-2024.html</x:v>
      </x:c>
      <x:c r="T1120" s="19" t="str">
        <x:v>https://nlftp.mlit.go.jp/ksj/gml/datalist/KsjTmplt-S12-2024.html
https://www.sotetsu.co.jp/train/stations/shinyokohama/</x:v>
      </x:c>
      <x:c r="U1120" s="19" t="str">
        <x:v>station-component|新横浜|東急電鉄|private_rail|35.5090|139.6173|</x:v>
      </x:c>
      <x:c r="V1120" s="19" t="str">
        <x:v>004501 / 010166 / 東急新横浜線</x:v>
      </x:c>
      <x:c r="W1120" s="18" t="str">
        <x:v>否</x:v>
      </x:c>
      <x:c r="X1120" s="18" t="str">
        <x:v>0785e932a32b3ec15e1a1345537ae145eafe1c07bf38d5c16c11ee2b391e7a28</x:v>
      </x:c>
      <x:c r="Y1120" s="20" t="n">
        <x:v>1</x:v>
      </x:c>
      <x:c r="Z1120" s="20" t="n">
        <x:v>2</x:v>
      </x:c>
      <x:c r="AA1120" s="19" t="str">
        <x:v>新横浜</x:v>
      </x:c>
      <x:c r="AB1120" s="18" t="str">
        <x:v>transport-hub-review:a8a9261d-2513-5c91-a475-f856442b38ab</x:v>
      </x:c>
      <x:c r="AC1120" s="19"/>
    </x:row>
    <x:row r="1121" ht="33" customHeight="1">
      <x:c r="A1121" s="18" t="str">
        <x:v>新横浜</x:v>
      </x:c>
      <x:c r="B1121" s="18" t="str">
        <x:v>東日本旅客鉄道</x:v>
      </x:c>
      <x:c r="C1121" s="18" t="str">
        <x:v>conventional_rail</x:v>
      </x:c>
      <x:c r="D1121" s="19" t="str">
        <x:v>T1</x:v>
      </x:c>
      <x:c r="E1121" s="20" t="n">
        <x:v>99626</x:v>
      </x:c>
      <x:c r="F1121" s="18" t="str">
        <x:v>persons/day</x:v>
      </x:c>
      <x:c r="G1121" s="18" t="str">
        <x:v>FY2024</x:v>
      </x:c>
      <x:c r="H1121" s="18" t="str">
        <x:v>否</x:v>
      </x:c>
      <x:c r="I1121" s="19" t="str">
        <x:v>DAILY_ENTRIES_EXITS</x:v>
      </x:c>
      <x:c r="J1121" s="19" t="str">
        <x:v>横浜線</x:v>
      </x:c>
      <x:c r="K1121" s="18" t="str">
        <x:v>transport-node:7d84f593-2e09-55e7-810f-b3225cb7648e</x:v>
      </x:c>
      <x:c r="L1121" s="19" t="str">
        <x:v>组件待审核</x:v>
      </x:c>
      <x:c r="M1121" s="21" t="n">
        <x:v>35.506765</x:v>
      </x:c>
      <x:c r="N1121" s="21" t="n">
        <x:v>139.617425</x:v>
      </x:c>
      <x:c r="O1121" s="18" t="str">
        <x:v>004504</x:v>
      </x:c>
      <x:c r="P1121" s="18" t="str">
        <x:v>横浜線</x:v>
      </x:c>
      <x:c r="Q1121" s="19" t="str">
        <x:v>S12_061_GE_10000
OFFICIAL_HUB_COMPONENT_REVIEW</x:v>
      </x:c>
      <x:c r="R1121" s="19" t="str">
        <x:v>S12_061 usage threshold</x:v>
      </x:c>
      <x:c r="S1121" s="19" t="str">
        <x:v>https://nlftp.mlit.go.jp/ksj/gml/datalist/KsjTmplt-S12-2024.html</x:v>
      </x:c>
      <x:c r="T1121" s="19" t="str">
        <x:v>https://nlftp.mlit.go.jp/ksj/gml/datalist/KsjTmplt-S12-2024.html
https://www.sotetsu.co.jp/train/stations/shinyokohama/</x:v>
      </x:c>
      <x:c r="U1121" s="19" t="str">
        <x:v>station-component|新横浜|東日本旅客鉄道|conventional_rail|35.5068|139.6174|</x:v>
      </x:c>
      <x:c r="V1121" s="19" t="str">
        <x:v>004501 / 004504 / 横浜線</x:v>
      </x:c>
      <x:c r="W1121" s="18" t="str">
        <x:v>否</x:v>
      </x:c>
      <x:c r="X1121" s="18" t="str">
        <x:v>0785e932a32b3ec15e1a1345537ae145eafe1c07bf38d5c16c11ee2b391e7a28</x:v>
      </x:c>
      <x:c r="Y1121" s="20" t="n">
        <x:v>1</x:v>
      </x:c>
      <x:c r="Z1121" s="20" t="n">
        <x:v>1</x:v>
      </x:c>
      <x:c r="AA1121" s="19" t="str">
        <x:v>新横浜</x:v>
      </x:c>
      <x:c r="AB1121" s="18" t="str">
        <x:v>transport-hub-review:a8a9261d-2513-5c91-a475-f856442b38ab</x:v>
      </x:c>
      <x:c r="AC1121" s="19"/>
    </x:row>
    <x:row r="1122" ht="47" customHeight="1">
      <x:c r="A1122" s="18" t="str">
        <x:v>新横浜</x:v>
      </x:c>
      <x:c r="B1122" s="18" t="str">
        <x:v>東海旅客鉄道</x:v>
      </x:c>
      <x:c r="C1122" s="18" t="str">
        <x:v>shinkansen</x:v>
      </x:c>
      <x:c r="D1122" s="19" t="str">
        <x:v>T1</x:v>
      </x:c>
      <x:c r="E1122" s="20" t="n">
        <x:v>71690</x:v>
      </x:c>
      <x:c r="F1122" s="18" t="str">
        <x:v>persons/day</x:v>
      </x:c>
      <x:c r="G1122" s="18" t="str">
        <x:v>FY2024</x:v>
      </x:c>
      <x:c r="H1122" s="18" t="str">
        <x:v>否</x:v>
      </x:c>
      <x:c r="I1122" s="19" t="str">
        <x:v>DAILY_ENTRIES_EXITS</x:v>
      </x:c>
      <x:c r="J1122" s="19" t="str">
        <x:v>東海道新幹線</x:v>
      </x:c>
      <x:c r="K1122" s="18" t="str">
        <x:v>transport-node:7953012b-45a2-5383-8351-16241f2ca000</x:v>
      </x:c>
      <x:c r="L1122" s="19" t="str">
        <x:v>组件待审核</x:v>
      </x:c>
      <x:c r="M1122" s="21" t="n">
        <x:v>35.5069825</x:v>
      </x:c>
      <x:c r="N1122" s="21" t="n">
        <x:v>139.617195</x:v>
      </x:c>
      <x:c r="O1122" s="18" t="str">
        <x:v>004501</x:v>
      </x:c>
      <x:c r="P1122" s="18" t="str">
        <x:v>東海道新幹線</x:v>
      </x:c>
      <x:c r="Q1122" s="19" t="str">
        <x:v>S12_061_GE_10000
SHINKANSEN
OFFICIAL_HUB_COMPONENT_REVIEW</x:v>
      </x:c>
      <x:c r="R1122" s="19" t="str">
        <x:v>S12_061 usage threshold</x:v>
      </x:c>
      <x:c r="S1122" s="19" t="str">
        <x:v>https://nlftp.mlit.go.jp/ksj/gml/datalist/KsjTmplt-S12-2024.html</x:v>
      </x:c>
      <x:c r="T1122" s="19" t="str">
        <x:v>https://nlftp.mlit.go.jp/ksj/gml/datalist/KsjTmplt-S12-2024.html
https://www.sotetsu.co.jp/train/stations/shinyokohama/</x:v>
      </x:c>
      <x:c r="U1122" s="19" t="str">
        <x:v>station-component|新横浜|東海旅客鉄道|shinkansen|35.5070|139.6172|</x:v>
      </x:c>
      <x:c r="V1122" s="19" t="str">
        <x:v>004501 / 004501 / 東海道新幹線</x:v>
      </x:c>
      <x:c r="W1122" s="18" t="str">
        <x:v>否</x:v>
      </x:c>
      <x:c r="X1122" s="18" t="str">
        <x:v>0785e932a32b3ec15e1a1345537ae145eafe1c07bf38d5c16c11ee2b391e7a28</x:v>
      </x:c>
      <x:c r="Y1122" s="20" t="n">
        <x:v>1</x:v>
      </x:c>
      <x:c r="Z1122" s="20" t="n">
        <x:v>1</x:v>
      </x:c>
      <x:c r="AA1122" s="19" t="str">
        <x:v>新横浜</x:v>
      </x:c>
      <x:c r="AB1122" s="18" t="str">
        <x:v>transport-hub-review:a8a9261d-2513-5c91-a475-f856442b38ab</x:v>
      </x:c>
      <x:c r="AC1122" s="19"/>
    </x:row>
    <x:row r="1123" ht="33" customHeight="1">
      <x:c r="A1123" s="18" t="str">
        <x:v>新横浜</x:v>
      </x:c>
      <x:c r="B1123" s="18" t="str">
        <x:v>横浜市</x:v>
      </x:c>
      <x:c r="C1123" s="18" t="str">
        <x:v>metro</x:v>
      </x:c>
      <x:c r="D1123" s="19" t="str">
        <x:v>T2</x:v>
      </x:c>
      <x:c r="E1123" s="20" t="n">
        <x:v>36989</x:v>
      </x:c>
      <x:c r="F1123" s="18" t="str">
        <x:v>persons/day</x:v>
      </x:c>
      <x:c r="G1123" s="18" t="str">
        <x:v>FY2024</x:v>
      </x:c>
      <x:c r="H1123" s="18" t="str">
        <x:v>否</x:v>
      </x:c>
      <x:c r="I1123" s="19" t="str">
        <x:v>DAILY_ENTRIES_EXITS</x:v>
      </x:c>
      <x:c r="J1123" s="19" t="str">
        <x:v>3号線</x:v>
      </x:c>
      <x:c r="K1123" s="18" t="str">
        <x:v>transport-node:6bb1116d-6395-5bc4-afac-aba9b4487be5</x:v>
      </x:c>
      <x:c r="L1123" s="19" t="str">
        <x:v>组件待审核</x:v>
      </x:c>
      <x:c r="M1123" s="21" t="n">
        <x:v>35.509055</x:v>
      </x:c>
      <x:c r="N1123" s="21" t="n">
        <x:v>139.617245</x:v>
      </x:c>
      <x:c r="O1123" s="18" t="str">
        <x:v>004493</x:v>
      </x:c>
      <x:c r="P1123" s="18" t="str">
        <x:v>3号線</x:v>
      </x:c>
      <x:c r="Q1123" s="19" t="str">
        <x:v>S12_061_GE_10000
OFFICIAL_HUB_COMPONENT_REVIEW</x:v>
      </x:c>
      <x:c r="R1123" s="19" t="str">
        <x:v>S12_061 usage threshold</x:v>
      </x:c>
      <x:c r="S1123" s="19" t="str">
        <x:v>https://nlftp.mlit.go.jp/ksj/gml/datalist/KsjTmplt-S12-2024.html</x:v>
      </x:c>
      <x:c r="T1123" s="19" t="str">
        <x:v>https://nlftp.mlit.go.jp/ksj/gml/datalist/KsjTmplt-S12-2024.html
https://www.sotetsu.co.jp/train/stations/shinyokohama/</x:v>
      </x:c>
      <x:c r="U1123" s="19" t="str">
        <x:v>station-component|新横浜|横浜市|metro|35.5091|139.6172|</x:v>
      </x:c>
      <x:c r="V1123" s="19" t="str">
        <x:v>004501 / 004493 / 3号線</x:v>
      </x:c>
      <x:c r="W1123" s="18" t="str">
        <x:v>否</x:v>
      </x:c>
      <x:c r="X1123" s="18" t="str">
        <x:v>0785e932a32b3ec15e1a1345537ae145eafe1c07bf38d5c16c11ee2b391e7a28</x:v>
      </x:c>
      <x:c r="Y1123" s="20" t="n">
        <x:v>1</x:v>
      </x:c>
      <x:c r="Z1123" s="20" t="n">
        <x:v>1</x:v>
      </x:c>
      <x:c r="AA1123" s="19" t="str">
        <x:v>新横浜</x:v>
      </x:c>
      <x:c r="AB1123" s="18" t="str">
        <x:v>transport-hub-review:a8a9261d-2513-5c91-a475-f856442b38ab</x:v>
      </x:c>
      <x:c r="AC1123" s="19"/>
    </x:row>
    <x:row r="1124" ht="33" customHeight="1">
      <x:c r="A1124" s="18" t="str">
        <x:v>新横浜</x:v>
      </x:c>
      <x:c r="B1124" s="18" t="str">
        <x:v>相模鉄道</x:v>
      </x:c>
      <x:c r="C1124" s="18" t="str">
        <x:v>private_rail</x:v>
      </x:c>
      <x:c r="D1124" s="19" t="str">
        <x:v>T1</x:v>
      </x:c>
      <x:c r="E1124" s="20" t="n">
        <x:v>154378</x:v>
      </x:c>
      <x:c r="F1124" s="18" t="str">
        <x:v>persons/day</x:v>
      </x:c>
      <x:c r="G1124" s="18" t="str">
        <x:v>FY2024</x:v>
      </x:c>
      <x:c r="H1124" s="18" t="str">
        <x:v>否</x:v>
      </x:c>
      <x:c r="I1124" s="19" t="str">
        <x:v>DAILY_ENTRIES_EXITS</x:v>
      </x:c>
      <x:c r="J1124" s="19" t="str">
        <x:v>相鉄新横浜線</x:v>
      </x:c>
      <x:c r="K1124" s="18" t="str">
        <x:v>transport-node:a01c7bd1-6ea7-5024-b83e-a2a4f2214782</x:v>
      </x:c>
      <x:c r="L1124" s="19" t="str">
        <x:v>组件待审核</x:v>
      </x:c>
      <x:c r="M1124" s="21" t="n">
        <x:v>35.5089511</x:v>
      </x:c>
      <x:c r="N1124" s="21" t="n">
        <x:v>139.617261</x:v>
      </x:c>
      <x:c r="O1124" s="18" t="str">
        <x:v>010164</x:v>
      </x:c>
      <x:c r="P1124" s="18" t="str">
        <x:v>相鉄新横浜線</x:v>
      </x:c>
      <x:c r="Q1124" s="19" t="str">
        <x:v>S12_061_GE_10000
OFFICIAL_HUB_COMPONENT_REVIEW</x:v>
      </x:c>
      <x:c r="R1124" s="19" t="str">
        <x:v>S12_061 usage threshold</x:v>
      </x:c>
      <x:c r="S1124" s="19" t="str">
        <x:v>https://nlftp.mlit.go.jp/ksj/gml/datalist/KsjTmplt-S12-2024.html</x:v>
      </x:c>
      <x:c r="T1124" s="19" t="str">
        <x:v>https://nlftp.mlit.go.jp/ksj/gml/datalist/KsjTmplt-S12-2024.html
https://www.sotetsu.co.jp/train/stations/shinyokohama/</x:v>
      </x:c>
      <x:c r="U1124" s="19" t="str">
        <x:v>station-component|新横浜|相模鉄道|private_rail|35.5090|139.6173|</x:v>
      </x:c>
      <x:c r="V1124" s="19" t="str">
        <x:v>004501 / 010164 / 相鉄新横浜線</x:v>
      </x:c>
      <x:c r="W1124" s="18" t="str">
        <x:v>否</x:v>
      </x:c>
      <x:c r="X1124" s="18" t="str">
        <x:v>0785e932a32b3ec15e1a1345537ae145eafe1c07bf38d5c16c11ee2b391e7a28</x:v>
      </x:c>
      <x:c r="Y1124" s="20" t="n">
        <x:v>1</x:v>
      </x:c>
      <x:c r="Z1124" s="20" t="n">
        <x:v>1</x:v>
      </x:c>
      <x:c r="AA1124" s="19" t="str">
        <x:v>新横浜</x:v>
      </x:c>
      <x:c r="AB1124" s="18" t="str">
        <x:v>transport-hub-review:a8a9261d-2513-5c91-a475-f856442b38ab</x:v>
      </x:c>
      <x:c r="AC1124" s="19"/>
    </x:row>
    <x:row r="1125" ht="33" customHeight="1">
      <x:c r="A1125" s="18" t="str">
        <x:v>新橋</x:v>
      </x:c>
      <x:c r="B1125" s="18" t="str">
        <x:v>ゆりかもめ</x:v>
      </x:c>
      <x:c r="C1125" s="18" t="str">
        <x:v>fixed_guideway</x:v>
      </x:c>
      <x:c r="D1125" s="19" t="str">
        <x:v>T1</x:v>
      </x:c>
      <x:c r="E1125" s="20" t="n">
        <x:v>58257</x:v>
      </x:c>
      <x:c r="F1125" s="18" t="str">
        <x:v>persons/day</x:v>
      </x:c>
      <x:c r="G1125" s="18" t="str">
        <x:v>FY2024</x:v>
      </x:c>
      <x:c r="H1125" s="18" t="str">
        <x:v>否</x:v>
      </x:c>
      <x:c r="I1125" s="19" t="str">
        <x:v>DAILY_ENTRIES_EXITS</x:v>
      </x:c>
      <x:c r="J1125" s="19" t="str">
        <x:v>東京臨海新交通臨海線</x:v>
      </x:c>
      <x:c r="K1125" s="18" t="str">
        <x:v>transport-node:9cd723d9-3d15-5eaa-9fad-9a5429183295</x:v>
      </x:c>
      <x:c r="L1125" s="19" t="str">
        <x:v>组件待审核</x:v>
      </x:c>
      <x:c r="M1125" s="21" t="n">
        <x:v>35.6655833</x:v>
      </x:c>
      <x:c r="N1125" s="21" t="n">
        <x:v>139.7595867</x:v>
      </x:c>
      <x:c r="O1125" s="18" t="str">
        <x:v>003882</x:v>
      </x:c>
      <x:c r="P1125" s="18" t="str">
        <x:v>東京臨海新交通臨海線</x:v>
      </x:c>
      <x:c r="Q1125" s="19" t="str">
        <x:v>S12_061_GE_10000
OFFICIAL_HUB_COMPONENT_REVIEW</x:v>
      </x:c>
      <x:c r="R1125" s="19" t="str">
        <x:v>S12_061 usage threshold</x:v>
      </x:c>
      <x:c r="S1125" s="19" t="str">
        <x:v>https://nlftp.mlit.go.jp/ksj/gml/datalist/KsjTmplt-S12-2024.html</x:v>
      </x:c>
      <x:c r="T1125" s="19" t="str">
        <x:v>https://nlftp.mlit.go.jp/ksj/gml/datalist/KsjTmplt-S12-2024.html
https://www.tokyometro.jp/station/shimbashi/index.html</x:v>
      </x:c>
      <x:c r="U1125" s="19" t="str">
        <x:v>station-component|新橋|ゆりかもめ|fixed_guideway|35.6656|139.7596|</x:v>
      </x:c>
      <x:c r="V1125" s="19" t="str">
        <x:v>003872 / 003882 / 東京臨海新交通臨海線</x:v>
      </x:c>
      <x:c r="W1125" s="18" t="str">
        <x:v>否</x:v>
      </x:c>
      <x:c r="X1125" s="18" t="str">
        <x:v>0785e932a32b3ec15e1a1345537ae145eafe1c07bf38d5c16c11ee2b391e7a28</x:v>
      </x:c>
      <x:c r="Y1125" s="20" t="n">
        <x:v>1</x:v>
      </x:c>
      <x:c r="Z1125" s="20" t="n">
        <x:v>1</x:v>
      </x:c>
      <x:c r="AA1125" s="19" t="str">
        <x:v>新橋</x:v>
      </x:c>
      <x:c r="AB1125" s="18" t="str">
        <x:v>transport-hub-review:f4456bf1-0cdc-59c4-adfe-e49b3f6ec32e</x:v>
      </x:c>
      <x:c r="AC1125" s="19"/>
    </x:row>
    <x:row r="1126" ht="33" customHeight="1">
      <x:c r="A1126" s="18" t="str">
        <x:v>新橋</x:v>
      </x:c>
      <x:c r="B1126" s="18" t="str">
        <x:v>東京地下鉄</x:v>
      </x:c>
      <x:c r="C1126" s="18" t="str">
        <x:v>metro</x:v>
      </x:c>
      <x:c r="D1126" s="19" t="str">
        <x:v>T0</x:v>
      </x:c>
      <x:c r="E1126" s="20" t="n">
        <x:v>204567</x:v>
      </x:c>
      <x:c r="F1126" s="18" t="str">
        <x:v>persons/day</x:v>
      </x:c>
      <x:c r="G1126" s="18" t="str">
        <x:v>FY2024</x:v>
      </x:c>
      <x:c r="H1126" s="18" t="str">
        <x:v>否</x:v>
      </x:c>
      <x:c r="I1126" s="19" t="str">
        <x:v>DAILY_ENTRIES_EXITS</x:v>
      </x:c>
      <x:c r="J1126" s="19" t="str">
        <x:v>3号線銀座線</x:v>
      </x:c>
      <x:c r="K1126" s="18" t="str">
        <x:v>transport-node:290b980d-b3d2-5827-a141-9afe59c39566</x:v>
      </x:c>
      <x:c r="L1126" s="19" t="str">
        <x:v>组件待审核</x:v>
      </x:c>
      <x:c r="M1126" s="21" t="n">
        <x:v>35.6674883</x:v>
      </x:c>
      <x:c r="N1126" s="21" t="n">
        <x:v>139.7581917</x:v>
      </x:c>
      <x:c r="O1126" s="18" t="str">
        <x:v>003864</x:v>
      </x:c>
      <x:c r="P1126" s="18" t="str">
        <x:v>3号線銀座線</x:v>
      </x:c>
      <x:c r="Q1126" s="19" t="str">
        <x:v>S12_061_GE_10000
OFFICIAL_HUB_COMPONENT_REVIEW</x:v>
      </x:c>
      <x:c r="R1126" s="19" t="str">
        <x:v>S12_061 usage threshold</x:v>
      </x:c>
      <x:c r="S1126" s="19" t="str">
        <x:v>https://nlftp.mlit.go.jp/ksj/gml/datalist/KsjTmplt-S12-2024.html</x:v>
      </x:c>
      <x:c r="T1126" s="19" t="str">
        <x:v>https://nlftp.mlit.go.jp/ksj/gml/datalist/KsjTmplt-S12-2024.html
https://www.tokyometro.jp/station/shimbashi/index.html</x:v>
      </x:c>
      <x:c r="U1126" s="19" t="str">
        <x:v>station-component|新橋|東京地下鉄|metro|35.6675|139.7582|</x:v>
      </x:c>
      <x:c r="V1126" s="19" t="str">
        <x:v>003872 / 003864 / 3号線銀座線</x:v>
      </x:c>
      <x:c r="W1126" s="18" t="str">
        <x:v>否</x:v>
      </x:c>
      <x:c r="X1126" s="18" t="str">
        <x:v>0785e932a32b3ec15e1a1345537ae145eafe1c07bf38d5c16c11ee2b391e7a28</x:v>
      </x:c>
      <x:c r="Y1126" s="20" t="n">
        <x:v>1</x:v>
      </x:c>
      <x:c r="Z1126" s="20" t="n">
        <x:v>1</x:v>
      </x:c>
      <x:c r="AA1126" s="19" t="str">
        <x:v>新橋</x:v>
      </x:c>
      <x:c r="AB1126" s="18" t="str">
        <x:v>transport-hub-review:f4456bf1-0cdc-59c4-adfe-e49b3f6ec32e</x:v>
      </x:c>
      <x:c r="AC1126" s="19"/>
    </x:row>
    <x:row r="1127" ht="33" customHeight="1">
      <x:c r="A1127" s="18" t="str">
        <x:v>新橋</x:v>
      </x:c>
      <x:c r="B1127" s="18" t="str">
        <x:v>東京都</x:v>
      </x:c>
      <x:c r="C1127" s="18" t="str">
        <x:v>metro</x:v>
      </x:c>
      <x:c r="D1127" s="19" t="str">
        <x:v>T1</x:v>
      </x:c>
      <x:c r="E1127" s="20" t="n">
        <x:v>61689</x:v>
      </x:c>
      <x:c r="F1127" s="18" t="str">
        <x:v>persons/day</x:v>
      </x:c>
      <x:c r="G1127" s="18" t="str">
        <x:v>FY2024</x:v>
      </x:c>
      <x:c r="H1127" s="18" t="str">
        <x:v>否</x:v>
      </x:c>
      <x:c r="I1127" s="19" t="str">
        <x:v>DAILY_ENTRIES_EXITS</x:v>
      </x:c>
      <x:c r="J1127" s="19" t="str">
        <x:v>1号線浅草線</x:v>
      </x:c>
      <x:c r="K1127" s="18" t="str">
        <x:v>transport-node:b5aee220-62bc-57c3-83a6-8a3b70bbb44a</x:v>
      </x:c>
      <x:c r="L1127" s="19" t="str">
        <x:v>组件待审核</x:v>
      </x:c>
      <x:c r="M1127" s="21" t="n">
        <x:v>35.664915</x:v>
      </x:c>
      <x:c r="N1127" s="21" t="n">
        <x:v>139.7590175</x:v>
      </x:c>
      <x:c r="O1127" s="18" t="str">
        <x:v>003888</x:v>
      </x:c>
      <x:c r="P1127" s="18" t="str">
        <x:v>1号線浅草線</x:v>
      </x:c>
      <x:c r="Q1127" s="19" t="str">
        <x:v>S12_061_GE_10000
OFFICIAL_HUB_COMPONENT_REVIEW</x:v>
      </x:c>
      <x:c r="R1127" s="19" t="str">
        <x:v>S12_061 usage threshold</x:v>
      </x:c>
      <x:c r="S1127" s="19" t="str">
        <x:v>https://nlftp.mlit.go.jp/ksj/gml/datalist/KsjTmplt-S12-2024.html</x:v>
      </x:c>
      <x:c r="T1127" s="19" t="str">
        <x:v>https://nlftp.mlit.go.jp/ksj/gml/datalist/KsjTmplt-S12-2024.html
https://www.tokyometro.jp/station/shimbashi/index.html</x:v>
      </x:c>
      <x:c r="U1127" s="19" t="str">
        <x:v>station-component|新橋|東京都|metro|35.6649|139.7590|</x:v>
      </x:c>
      <x:c r="V1127" s="19" t="str">
        <x:v>003872 / 003888 / 1号線浅草線</x:v>
      </x:c>
      <x:c r="W1127" s="18" t="str">
        <x:v>否</x:v>
      </x:c>
      <x:c r="X1127" s="18" t="str">
        <x:v>0785e932a32b3ec15e1a1345537ae145eafe1c07bf38d5c16c11ee2b391e7a28</x:v>
      </x:c>
      <x:c r="Y1127" s="20" t="n">
        <x:v>1</x:v>
      </x:c>
      <x:c r="Z1127" s="20" t="n">
        <x:v>1</x:v>
      </x:c>
      <x:c r="AA1127" s="19" t="str">
        <x:v>新橋</x:v>
      </x:c>
      <x:c r="AB1127" s="18" t="str">
        <x:v>transport-hub-review:f4456bf1-0cdc-59c4-adfe-e49b3f6ec32e</x:v>
      </x:c>
      <x:c r="AC1127" s="19"/>
    </x:row>
    <x:row r="1128" ht="33" customHeight="1">
      <x:c r="A1128" s="18" t="str">
        <x:v>新橋</x:v>
      </x:c>
      <x:c r="B1128" s="18" t="str">
        <x:v>東日本旅客鉄道</x:v>
      </x:c>
      <x:c r="C1128" s="18" t="str">
        <x:v>conventional_rail</x:v>
      </x:c>
      <x:c r="D1128" s="19" t="str">
        <x:v>T0</x:v>
      </x:c>
      <x:c r="E1128" s="20" t="n">
        <x:v>463256</x:v>
      </x:c>
      <x:c r="F1128" s="18" t="str">
        <x:v>persons/day</x:v>
      </x:c>
      <x:c r="G1128" s="18" t="str">
        <x:v>FY2024</x:v>
      </x:c>
      <x:c r="H1128" s="18" t="str">
        <x:v>否</x:v>
      </x:c>
      <x:c r="I1128" s="19" t="str">
        <x:v>DAILY_ENTRIES_EXITS</x:v>
      </x:c>
      <x:c r="J1128" s="19" t="str">
        <x:v>東海道線</x:v>
      </x:c>
      <x:c r="K1128" s="18" t="str">
        <x:v>transport-node:e26b0d4e-0899-5a05-aa89-a06ec37056ba</x:v>
      </x:c>
      <x:c r="L1128" s="19" t="str">
        <x:v>组件待审核</x:v>
      </x:c>
      <x:c r="M1128" s="21" t="n">
        <x:v>35.666205</x:v>
      </x:c>
      <x:c r="N1128" s="21" t="n">
        <x:v>139.75873</x:v>
      </x:c>
      <x:c r="O1128" s="18" t="str">
        <x:v>003872</x:v>
      </x:c>
      <x:c r="P1128" s="18" t="str">
        <x:v>東海道線</x:v>
      </x:c>
      <x:c r="Q1128" s="19" t="str">
        <x:v>S12_061_GE_10000
OFFICIAL_HUB_COMPONENT_REVIEW</x:v>
      </x:c>
      <x:c r="R1128" s="19" t="str">
        <x:v>S12_061 usage threshold</x:v>
      </x:c>
      <x:c r="S1128" s="19" t="str">
        <x:v>https://nlftp.mlit.go.jp/ksj/gml/datalist/KsjTmplt-S12-2024.html</x:v>
      </x:c>
      <x:c r="T1128" s="19" t="str">
        <x:v>https://nlftp.mlit.go.jp/ksj/gml/datalist/KsjTmplt-S12-2024.html
https://www.tokyometro.jp/station/shimbashi/index.html</x:v>
      </x:c>
      <x:c r="U1128" s="19" t="str">
        <x:v>station-component|新橋|東日本旅客鉄道|conventional_rail|35.6662|139.7587|</x:v>
      </x:c>
      <x:c r="V1128" s="19" t="str">
        <x:v>003872 / 003872 / 東海道線</x:v>
      </x:c>
      <x:c r="W1128" s="18" t="str">
        <x:v>否</x:v>
      </x:c>
      <x:c r="X1128" s="18" t="str">
        <x:v>0785e932a32b3ec15e1a1345537ae145eafe1c07bf38d5c16c11ee2b391e7a28</x:v>
      </x:c>
      <x:c r="Y1128" s="20" t="n">
        <x:v>1</x:v>
      </x:c>
      <x:c r="Z1128" s="20" t="n">
        <x:v>1</x:v>
      </x:c>
      <x:c r="AA1128" s="19" t="str">
        <x:v>新橋</x:v>
      </x:c>
      <x:c r="AB1128" s="18" t="str">
        <x:v>transport-hub-review:f4456bf1-0cdc-59c4-adfe-e49b3f6ec32e</x:v>
      </x:c>
      <x:c r="AC1128" s="19"/>
    </x:row>
    <x:row r="1129" ht="33" customHeight="1">
      <x:c r="A1129" s="18" t="str">
        <x:v>新水俣</x:v>
      </x:c>
      <x:c r="B1129" s="18" t="str">
        <x:v>九州旅客鉄道</x:v>
      </x:c>
      <x:c r="C1129" s="18" t="str">
        <x:v>shinkansen</x:v>
      </x:c>
      <x:c r="D1129" s="19" t="str">
        <x:v>T3</x:v>
      </x:c>
      <x:c r="E1129" s="20" t="n">
        <x:v>1054</x:v>
      </x:c>
      <x:c r="F1129" s="18" t="str">
        <x:v>persons/day</x:v>
      </x:c>
      <x:c r="G1129" s="18" t="str">
        <x:v>FY2024</x:v>
      </x:c>
      <x:c r="H1129" s="18" t="str">
        <x:v>否</x:v>
      </x:c>
      <x:c r="I1129" s="19" t="str">
        <x:v>DAILY_ENTRIES_EXITS</x:v>
      </x:c>
      <x:c r="J1129" s="19" t="str">
        <x:v>九州新幹線</x:v>
      </x:c>
      <x:c r="K1129" s="18" t="str">
        <x:v>transport-node:b2b74578-98e7-591d-a357-5b4aa82ade61</x:v>
      </x:c>
      <x:c r="L1129" s="19" t="str">
        <x:v>组件待审核</x:v>
      </x:c>
      <x:c r="M1129" s="21" t="n">
        <x:v>32.210645</x:v>
      </x:c>
      <x:c r="N1129" s="21" t="n">
        <x:v>130.428765</x:v>
      </x:c>
      <x:c r="O1129" s="18" t="str">
        <x:v>009919</x:v>
      </x:c>
      <x:c r="P1129" s="18" t="str">
        <x:v>九州新幹線</x:v>
      </x:c>
      <x:c r="Q1129" s="19" t="str">
        <x:v>SHINKANSEN</x:v>
      </x:c>
      <x:c r="R1129" s="19" t="str">
        <x:v>S12_061 usage threshold; low-flow inclusion justified by Shinkansen inventory</x:v>
      </x:c>
      <x:c r="S1129" s="19" t="str">
        <x:v>https://nlftp.mlit.go.jp/ksj/gml/datalist/KsjTmplt-S12-2024.html</x:v>
      </x:c>
      <x:c r="T1129" s="19" t="str">
        <x:v>https://nlftp.mlit.go.jp/ksj/gml/datalist/KsjTmplt-S12-2024.html</x:v>
      </x:c>
      <x:c r="U1129" s="19" t="str">
        <x:v>station-component|新水俣|九州旅客鉄道|shinkansen|32.2106|130.4288|</x:v>
      </x:c>
      <x:c r="V1129" s="19" t="str">
        <x:v>009918 / 009919 / 九州新幹線</x:v>
      </x:c>
      <x:c r="W1129" s="18" t="str">
        <x:v>否</x:v>
      </x:c>
      <x:c r="X1129" s="18" t="str">
        <x:v>0785e932a32b3ec15e1a1345537ae145eafe1c07bf38d5c16c11ee2b391e7a28</x:v>
      </x:c>
      <x:c r="Y1129" s="20" t="n">
        <x:v>1</x:v>
      </x:c>
      <x:c r="Z1129" s="20" t="n">
        <x:v>1</x:v>
      </x:c>
      <x:c r="AA1129" s="19"/>
      <x:c r="AB1129" s="18"/>
      <x:c r="AC1129" s="19"/>
    </x:row>
    <x:row r="1130" ht="28" customHeight="1">
      <x:c r="A1130" s="18" t="str">
        <x:v>新水前寺</x:v>
      </x:c>
      <x:c r="B1130" s="18" t="str">
        <x:v>九州旅客鉄道</x:v>
      </x:c>
      <x:c r="C1130" s="18" t="str">
        <x:v>conventional_rail</x:v>
      </x:c>
      <x:c r="D1130" s="19" t="str">
        <x:v>T2</x:v>
      </x:c>
      <x:c r="E1130" s="20" t="n">
        <x:v>10786</x:v>
      </x:c>
      <x:c r="F1130" s="18" t="str">
        <x:v>persons/day</x:v>
      </x:c>
      <x:c r="G1130" s="18" t="str">
        <x:v>FY2024</x:v>
      </x:c>
      <x:c r="H1130" s="18" t="str">
        <x:v>否</x:v>
      </x:c>
      <x:c r="I1130" s="19" t="str">
        <x:v>DAILY_ENTRIES_EXITS</x:v>
      </x:c>
      <x:c r="J1130" s="19" t="str">
        <x:v>豊肥線</x:v>
      </x:c>
      <x:c r="K1130" s="18" t="str">
        <x:v>transport-node:abcfbfcf-ccab-5536-af54-8fa12e5b7da8</x:v>
      </x:c>
      <x:c r="L1130" s="19" t="str">
        <x:v>组件待审核</x:v>
      </x:c>
      <x:c r="M1130" s="21" t="n">
        <x:v>32.79331</x:v>
      </x:c>
      <x:c r="N1130" s="21" t="n">
        <x:v>130.725855</x:v>
      </x:c>
      <x:c r="O1130" s="18" t="str">
        <x:v>009770</x:v>
      </x:c>
      <x:c r="P1130" s="18" t="str">
        <x:v>豊肥線</x:v>
      </x:c>
      <x:c r="Q1130" s="19" t="str">
        <x:v>S12_061_GE_10000</x:v>
      </x:c>
      <x:c r="R1130" s="19" t="str">
        <x:v>S12_061 usage threshold</x:v>
      </x:c>
      <x:c r="S1130" s="19" t="str">
        <x:v>https://nlftp.mlit.go.jp/ksj/gml/datalist/KsjTmplt-S12-2024.html</x:v>
      </x:c>
      <x:c r="T1130" s="19" t="str">
        <x:v>https://nlftp.mlit.go.jp/ksj/gml/datalist/KsjTmplt-S12-2024.html</x:v>
      </x:c>
      <x:c r="U1130" s="19" t="str">
        <x:v>station-component|新水前寺|九州旅客鉄道|conventional_rail|32.7933|130.7259|</x:v>
      </x:c>
      <x:c r="V1130" s="19" t="str">
        <x:v>009770 / 009770 / 豊肥線</x:v>
      </x:c>
      <x:c r="W1130" s="18" t="str">
        <x:v>否</x:v>
      </x:c>
      <x:c r="X1130" s="18" t="str">
        <x:v>0785e932a32b3ec15e1a1345537ae145eafe1c07bf38d5c16c11ee2b391e7a28</x:v>
      </x:c>
      <x:c r="Y1130" s="20" t="n">
        <x:v>1</x:v>
      </x:c>
      <x:c r="Z1130" s="20" t="n">
        <x:v>1</x:v>
      </x:c>
      <x:c r="AA1130" s="19"/>
      <x:c r="AB1130" s="18"/>
      <x:c r="AC1130" s="19"/>
    </x:row>
    <x:row r="1131" ht="28" customHeight="1">
      <x:c r="A1131" s="18" t="str">
        <x:v>新江古田</x:v>
      </x:c>
      <x:c r="B1131" s="18" t="str">
        <x:v>東京都</x:v>
      </x:c>
      <x:c r="C1131" s="18" t="str">
        <x:v>metro</x:v>
      </x:c>
      <x:c r="D1131" s="19" t="str">
        <x:v>T2</x:v>
      </x:c>
      <x:c r="E1131" s="20" t="n">
        <x:v>28904</x:v>
      </x:c>
      <x:c r="F1131" s="18" t="str">
        <x:v>persons/day</x:v>
      </x:c>
      <x:c r="G1131" s="18" t="str">
        <x:v>FY2024</x:v>
      </x:c>
      <x:c r="H1131" s="18" t="str">
        <x:v>否</x:v>
      </x:c>
      <x:c r="I1131" s="19" t="str">
        <x:v>DAILY_ENTRIES_EXITS</x:v>
      </x:c>
      <x:c r="J1131" s="19" t="str">
        <x:v>12号線大江戸線</x:v>
      </x:c>
      <x:c r="K1131" s="18" t="str">
        <x:v>transport-node:258c73fc-8a0c-52fb-aed9-7fe2d21c2696</x:v>
      </x:c>
      <x:c r="L1131" s="19" t="str">
        <x:v>组件待审核</x:v>
      </x:c>
      <x:c r="M1131" s="21" t="n">
        <x:v>35.73249</x:v>
      </x:c>
      <x:c r="N1131" s="21" t="n">
        <x:v>139.6705667</x:v>
      </x:c>
      <x:c r="O1131" s="18" t="str">
        <x:v>003367</x:v>
      </x:c>
      <x:c r="P1131" s="18" t="str">
        <x:v>12号線大江戸線</x:v>
      </x:c>
      <x:c r="Q1131" s="19" t="str">
        <x:v>S12_061_GE_10000</x:v>
      </x:c>
      <x:c r="R1131" s="19" t="str">
        <x:v>S12_061 usage threshold</x:v>
      </x:c>
      <x:c r="S1131" s="19" t="str">
        <x:v>https://nlftp.mlit.go.jp/ksj/gml/datalist/KsjTmplt-S12-2024.html</x:v>
      </x:c>
      <x:c r="T1131" s="19" t="str">
        <x:v>https://nlftp.mlit.go.jp/ksj/gml/datalist/KsjTmplt-S12-2024.html</x:v>
      </x:c>
      <x:c r="U1131" s="19" t="str">
        <x:v>station-component|新江古田|東京都|metro|35.7325|139.6706|</x:v>
      </x:c>
      <x:c r="V1131" s="19" t="str">
        <x:v>003367 / 003367 / 12号線大江戸線</x:v>
      </x:c>
      <x:c r="W1131" s="18" t="str">
        <x:v>否</x:v>
      </x:c>
      <x:c r="X1131" s="18" t="str">
        <x:v>0785e932a32b3ec15e1a1345537ae145eafe1c07bf38d5c16c11ee2b391e7a28</x:v>
      </x:c>
      <x:c r="Y1131" s="20" t="n">
        <x:v>1</x:v>
      </x:c>
      <x:c r="Z1131" s="20" t="n">
        <x:v>1</x:v>
      </x:c>
      <x:c r="AA1131" s="19"/>
      <x:c r="AB1131" s="18"/>
      <x:c r="AC1131" s="19"/>
    </x:row>
    <x:row r="1132" ht="28" customHeight="1">
      <x:c r="A1132" s="18" t="str">
        <x:v>新河岸</x:v>
      </x:c>
      <x:c r="B1132" s="18" t="str">
        <x:v>東武鉄道</x:v>
      </x:c>
      <x:c r="C1132" s="18" t="str">
        <x:v>private_rail</x:v>
      </x:c>
      <x:c r="D1132" s="19" t="str">
        <x:v>T2</x:v>
      </x:c>
      <x:c r="E1132" s="20" t="n">
        <x:v>25701</x:v>
      </x:c>
      <x:c r="F1132" s="18" t="str">
        <x:v>persons/day</x:v>
      </x:c>
      <x:c r="G1132" s="18" t="str">
        <x:v>FY2024</x:v>
      </x:c>
      <x:c r="H1132" s="18" t="str">
        <x:v>否</x:v>
      </x:c>
      <x:c r="I1132" s="19" t="str">
        <x:v>DAILY_ENTRIES_EXITS</x:v>
      </x:c>
      <x:c r="J1132" s="19" t="str">
        <x:v>東上本線</x:v>
      </x:c>
      <x:c r="K1132" s="18" t="str">
        <x:v>transport-node:787843b8-5a51-5b81-b610-6e7115a4a8e0</x:v>
      </x:c>
      <x:c r="L1132" s="19" t="str">
        <x:v>组件待审核</x:v>
      </x:c>
      <x:c r="M1132" s="21" t="n">
        <x:v>35.89102</x:v>
      </x:c>
      <x:c r="N1132" s="21" t="n">
        <x:v>139.4973</x:v>
      </x:c>
      <x:c r="O1132" s="18" t="str">
        <x:v>002937</x:v>
      </x:c>
      <x:c r="P1132" s="18" t="str">
        <x:v>東上本線</x:v>
      </x:c>
      <x:c r="Q1132" s="19" t="str">
        <x:v>S12_061_GE_10000</x:v>
      </x:c>
      <x:c r="R1132" s="19" t="str">
        <x:v>S12_061 usage threshold</x:v>
      </x:c>
      <x:c r="S1132" s="19" t="str">
        <x:v>https://nlftp.mlit.go.jp/ksj/gml/datalist/KsjTmplt-S12-2024.html</x:v>
      </x:c>
      <x:c r="T1132" s="19" t="str">
        <x:v>https://nlftp.mlit.go.jp/ksj/gml/datalist/KsjTmplt-S12-2024.html</x:v>
      </x:c>
      <x:c r="U1132" s="19" t="str">
        <x:v>station-component|新河岸|東武鉄道|private_rail|35.8910|139.4973|</x:v>
      </x:c>
      <x:c r="V1132" s="19" t="str">
        <x:v>002937 / 002937 / 東上本線</x:v>
      </x:c>
      <x:c r="W1132" s="18" t="str">
        <x:v>否</x:v>
      </x:c>
      <x:c r="X1132" s="18" t="str">
        <x:v>0785e932a32b3ec15e1a1345537ae145eafe1c07bf38d5c16c11ee2b391e7a28</x:v>
      </x:c>
      <x:c r="Y1132" s="20" t="n">
        <x:v>1</x:v>
      </x:c>
      <x:c r="Z1132" s="20" t="n">
        <x:v>1</x:v>
      </x:c>
      <x:c r="AA1132" s="19"/>
      <x:c r="AB1132" s="18"/>
      <x:c r="AC1132" s="19"/>
    </x:row>
    <x:row r="1133" ht="28" customHeight="1">
      <x:c r="A1133" s="18" t="str">
        <x:v>新津田沼</x:v>
      </x:c>
      <x:c r="B1133" s="18" t="str">
        <x:v>新京成電鉄</x:v>
      </x:c>
      <x:c r="C1133" s="18" t="str">
        <x:v>private_rail</x:v>
      </x:c>
      <x:c r="D1133" s="19" t="str">
        <x:v>T1</x:v>
      </x:c>
      <x:c r="E1133" s="20" t="n">
        <x:v>60382</x:v>
      </x:c>
      <x:c r="F1133" s="18" t="str">
        <x:v>persons/day</x:v>
      </x:c>
      <x:c r="G1133" s="18" t="str">
        <x:v>FY2024</x:v>
      </x:c>
      <x:c r="H1133" s="18" t="str">
        <x:v>否</x:v>
      </x:c>
      <x:c r="I1133" s="19" t="str">
        <x:v>DAILY_ENTRIES_EXITS</x:v>
      </x:c>
      <x:c r="J1133" s="19" t="str">
        <x:v>新京成線</x:v>
      </x:c>
      <x:c r="K1133" s="18" t="str">
        <x:v>transport-node:f1a3b1b1-3d86-5518-aefd-3ea13fcef709</x:v>
      </x:c>
      <x:c r="L1133" s="19" t="str">
        <x:v>组件待审核</x:v>
      </x:c>
      <x:c r="M1133" s="21" t="n">
        <x:v>35.690185</x:v>
      </x:c>
      <x:c r="N1133" s="21" t="n">
        <x:v>140.0237275</x:v>
      </x:c>
      <x:c r="O1133" s="18" t="str">
        <x:v>003694</x:v>
      </x:c>
      <x:c r="P1133" s="18" t="str">
        <x:v>新京成線</x:v>
      </x:c>
      <x:c r="Q1133" s="19" t="str">
        <x:v>S12_061_GE_10000</x:v>
      </x:c>
      <x:c r="R1133" s="19" t="str">
        <x:v>S12_061 usage threshold</x:v>
      </x:c>
      <x:c r="S1133" s="19" t="str">
        <x:v>https://nlftp.mlit.go.jp/ksj/gml/datalist/KsjTmplt-S12-2024.html</x:v>
      </x:c>
      <x:c r="T1133" s="19" t="str">
        <x:v>https://nlftp.mlit.go.jp/ksj/gml/datalist/KsjTmplt-S12-2024.html</x:v>
      </x:c>
      <x:c r="U1133" s="19" t="str">
        <x:v>station-component|新津田沼|新京成電鉄|private_rail|35.6902|140.0237|</x:v>
      </x:c>
      <x:c r="V1133" s="19" t="str">
        <x:v>003694 / 003694 / 新京成線</x:v>
      </x:c>
      <x:c r="W1133" s="18" t="str">
        <x:v>否</x:v>
      </x:c>
      <x:c r="X1133" s="18" t="str">
        <x:v>0785e932a32b3ec15e1a1345537ae145eafe1c07bf38d5c16c11ee2b391e7a28</x:v>
      </x:c>
      <x:c r="Y1133" s="20" t="n">
        <x:v>1</x:v>
      </x:c>
      <x:c r="Z1133" s="20" t="n">
        <x:v>1</x:v>
      </x:c>
      <x:c r="AA1133" s="19"/>
      <x:c r="AB1133" s="18"/>
      <x:c r="AC1133" s="19"/>
    </x:row>
    <x:row r="1134" ht="28" customHeight="1">
      <x:c r="A1134" s="18" t="str">
        <x:v>新浜松</x:v>
      </x:c>
      <x:c r="B1134" s="18" t="str">
        <x:v>遠州鉄道</x:v>
      </x:c>
      <x:c r="C1134" s="18" t="str">
        <x:v>private_rail</x:v>
      </x:c>
      <x:c r="D1134" s="19" t="str">
        <x:v>T2</x:v>
      </x:c>
      <x:c r="E1134" s="20" t="n">
        <x:v>15699</x:v>
      </x:c>
      <x:c r="F1134" s="18" t="str">
        <x:v>persons/day</x:v>
      </x:c>
      <x:c r="G1134" s="18" t="str">
        <x:v>FY2024</x:v>
      </x:c>
      <x:c r="H1134" s="18" t="str">
        <x:v>否</x:v>
      </x:c>
      <x:c r="I1134" s="19" t="str">
        <x:v>DAILY_ENTRIES_EXITS</x:v>
      </x:c>
      <x:c r="J1134" s="19" t="str">
        <x:v>鉄道線</x:v>
      </x:c>
      <x:c r="K1134" s="18" t="str">
        <x:v>transport-node:02c25b69-e71c-57d5-a6c9-d0665d4e3936</x:v>
      </x:c>
      <x:c r="L1134" s="19" t="str">
        <x:v>组件待审核</x:v>
      </x:c>
      <x:c r="M1134" s="21" t="n">
        <x:v>34.70341</x:v>
      </x:c>
      <x:c r="N1134" s="21" t="n">
        <x:v>137.73246</x:v>
      </x:c>
      <x:c r="O1134" s="18" t="str">
        <x:v>007064</x:v>
      </x:c>
      <x:c r="P1134" s="18" t="str">
        <x:v>鉄道線</x:v>
      </x:c>
      <x:c r="Q1134" s="19" t="str">
        <x:v>S12_061_GE_10000</x:v>
      </x:c>
      <x:c r="R1134" s="19" t="str">
        <x:v>S12_061 usage threshold</x:v>
      </x:c>
      <x:c r="S1134" s="19" t="str">
        <x:v>https://nlftp.mlit.go.jp/ksj/gml/datalist/KsjTmplt-S12-2024.html</x:v>
      </x:c>
      <x:c r="T1134" s="19" t="str">
        <x:v>https://nlftp.mlit.go.jp/ksj/gml/datalist/KsjTmplt-S12-2024.html</x:v>
      </x:c>
      <x:c r="U1134" s="19" t="str">
        <x:v>station-component|新浜松|遠州鉄道|private_rail|34.7034|137.7325|</x:v>
      </x:c>
      <x:c r="V1134" s="19" t="str">
        <x:v>007064 / 007064 / 鉄道線</x:v>
      </x:c>
      <x:c r="W1134" s="18" t="str">
        <x:v>否</x:v>
      </x:c>
      <x:c r="X1134" s="18" t="str">
        <x:v>0785e932a32b3ec15e1a1345537ae145eafe1c07bf38d5c16c11ee2b391e7a28</x:v>
      </x:c>
      <x:c r="Y1134" s="20" t="n">
        <x:v>1</x:v>
      </x:c>
      <x:c r="Z1134" s="20" t="n">
        <x:v>1</x:v>
      </x:c>
      <x:c r="AA1134" s="19"/>
      <x:c r="AB1134" s="18"/>
      <x:c r="AC1134" s="19"/>
    </x:row>
    <x:row r="1135" ht="28" customHeight="1">
      <x:c r="A1135" s="18" t="str">
        <x:v>新浦安</x:v>
      </x:c>
      <x:c r="B1135" s="18" t="str">
        <x:v>東日本旅客鉄道</x:v>
      </x:c>
      <x:c r="C1135" s="18" t="str">
        <x:v>conventional_rail</x:v>
      </x:c>
      <x:c r="D1135" s="19" t="str">
        <x:v>T1</x:v>
      </x:c>
      <x:c r="E1135" s="20" t="n">
        <x:v>103208</x:v>
      </x:c>
      <x:c r="F1135" s="18" t="str">
        <x:v>persons/day</x:v>
      </x:c>
      <x:c r="G1135" s="18" t="str">
        <x:v>FY2024</x:v>
      </x:c>
      <x:c r="H1135" s="18" t="str">
        <x:v>否</x:v>
      </x:c>
      <x:c r="I1135" s="19" t="str">
        <x:v>DAILY_ENTRIES_EXITS</x:v>
      </x:c>
      <x:c r="J1135" s="19" t="str">
        <x:v>京葉線</x:v>
      </x:c>
      <x:c r="K1135" s="18" t="str">
        <x:v>transport-node:9c6dbeb4-d305-59af-b79f-6d3e85884908</x:v>
      </x:c>
      <x:c r="L1135" s="19" t="str">
        <x:v>组件待审核</x:v>
      </x:c>
      <x:c r="M1135" s="21" t="n">
        <x:v>35.64952</x:v>
      </x:c>
      <x:c r="N1135" s="21" t="n">
        <x:v>139.91253</x:v>
      </x:c>
      <x:c r="O1135" s="18" t="str">
        <x:v>003978</x:v>
      </x:c>
      <x:c r="P1135" s="18" t="str">
        <x:v>京葉線</x:v>
      </x:c>
      <x:c r="Q1135" s="19" t="str">
        <x:v>S12_061_GE_10000</x:v>
      </x:c>
      <x:c r="R1135" s="19" t="str">
        <x:v>S12_061 usage threshold</x:v>
      </x:c>
      <x:c r="S1135" s="19" t="str">
        <x:v>https://nlftp.mlit.go.jp/ksj/gml/datalist/KsjTmplt-S12-2024.html</x:v>
      </x:c>
      <x:c r="T1135" s="19" t="str">
        <x:v>https://nlftp.mlit.go.jp/ksj/gml/datalist/KsjTmplt-S12-2024.html</x:v>
      </x:c>
      <x:c r="U1135" s="19" t="str">
        <x:v>station-component|新浦安|東日本旅客鉄道|conventional_rail|35.6495|139.9125|</x:v>
      </x:c>
      <x:c r="V1135" s="19" t="str">
        <x:v>003978 / 003978 / 京葉線</x:v>
      </x:c>
      <x:c r="W1135" s="18" t="str">
        <x:v>否</x:v>
      </x:c>
      <x:c r="X1135" s="18" t="str">
        <x:v>0785e932a32b3ec15e1a1345537ae145eafe1c07bf38d5c16c11ee2b391e7a28</x:v>
      </x:c>
      <x:c r="Y1135" s="20" t="n">
        <x:v>1</x:v>
      </x:c>
      <x:c r="Z1135" s="20" t="n">
        <x:v>1</x:v>
      </x:c>
      <x:c r="AA1135" s="19"/>
      <x:c r="AB1135" s="18"/>
      <x:c r="AC1135" s="19"/>
    </x:row>
    <x:row r="1136" ht="28" customHeight="1">
      <x:c r="A1136" s="18" t="str">
        <x:v>新深江</x:v>
      </x:c>
      <x:c r="B1136" s="18" t="str">
        <x:v>大阪市高速電気軌道</x:v>
      </x:c>
      <x:c r="C1136" s="18" t="str">
        <x:v>metro</x:v>
      </x:c>
      <x:c r="D1136" s="19" t="str">
        <x:v>T2</x:v>
      </x:c>
      <x:c r="E1136" s="20" t="n">
        <x:v>12805</x:v>
      </x:c>
      <x:c r="F1136" s="18" t="str">
        <x:v>persons/day</x:v>
      </x:c>
      <x:c r="G1136" s="18" t="str">
        <x:v>FY2024</x:v>
      </x:c>
      <x:c r="H1136" s="18" t="str">
        <x:v>否</x:v>
      </x:c>
      <x:c r="I1136" s="19" t="str">
        <x:v>DAILY_ENTRIES_EXITS</x:v>
      </x:c>
      <x:c r="J1136" s="19" t="str">
        <x:v>5号線(千日前線)</x:v>
      </x:c>
      <x:c r="K1136" s="18" t="str">
        <x:v>transport-node:77e7d96c-772a-5f1d-9637-e894a0df5821</x:v>
      </x:c>
      <x:c r="L1136" s="19" t="str">
        <x:v>组件待审核</x:v>
      </x:c>
      <x:c r="M1136" s="21" t="n">
        <x:v>34.668185</x:v>
      </x:c>
      <x:c r="N1136" s="21" t="n">
        <x:v>135.55421</x:v>
      </x:c>
      <x:c r="O1136" s="18" t="str">
        <x:v>007297</x:v>
      </x:c>
      <x:c r="P1136" s="18" t="str">
        <x:v>5号線(千日前線)</x:v>
      </x:c>
      <x:c r="Q1136" s="19" t="str">
        <x:v>S12_061_GE_10000</x:v>
      </x:c>
      <x:c r="R1136" s="19" t="str">
        <x:v>S12_061 usage threshold</x:v>
      </x:c>
      <x:c r="S1136" s="19" t="str">
        <x:v>https://nlftp.mlit.go.jp/ksj/gml/datalist/KsjTmplt-S12-2024.html</x:v>
      </x:c>
      <x:c r="T1136" s="19" t="str">
        <x:v>https://nlftp.mlit.go.jp/ksj/gml/datalist/KsjTmplt-S12-2024.html</x:v>
      </x:c>
      <x:c r="U1136" s="19" t="str">
        <x:v>station-component|新深江|大阪市高速電気軌道|metro|34.6682|135.5542|</x:v>
      </x:c>
      <x:c r="V1136" s="19" t="str">
        <x:v>007297 / 007297 / 5号線(千日前線)</x:v>
      </x:c>
      <x:c r="W1136" s="18" t="str">
        <x:v>否</x:v>
      </x:c>
      <x:c r="X1136" s="18" t="str">
        <x:v>0785e932a32b3ec15e1a1345537ae145eafe1c07bf38d5c16c11ee2b391e7a28</x:v>
      </x:c>
      <x:c r="Y1136" s="20" t="n">
        <x:v>1</x:v>
      </x:c>
      <x:c r="Z1136" s="20" t="n">
        <x:v>1</x:v>
      </x:c>
      <x:c r="AA1136" s="19"/>
      <x:c r="AB1136" s="18"/>
      <x:c r="AC1136" s="19"/>
    </x:row>
    <x:row r="1137" ht="47" customHeight="1">
      <x:c r="A1137" s="18" t="str">
        <x:v>新潟</x:v>
      </x:c>
      <x:c r="B1137" s="18" t="str">
        <x:v>東日本旅客鉄道</x:v>
      </x:c>
      <x:c r="C1137" s="18" t="str">
        <x:v>conventional_rail</x:v>
      </x:c>
      <x:c r="D1137" s="19" t="str">
        <x:v>T1</x:v>
      </x:c>
      <x:c r="E1137" s="20" t="n">
        <x:v>70902</x:v>
      </x:c>
      <x:c r="F1137" s="18" t="str">
        <x:v>persons/day</x:v>
      </x:c>
      <x:c r="G1137" s="18" t="str">
        <x:v>FY2024</x:v>
      </x:c>
      <x:c r="H1137" s="18" t="str">
        <x:v>否</x:v>
      </x:c>
      <x:c r="I1137" s="19" t="str">
        <x:v>DAILY_ENTRIES_EXITS</x:v>
      </x:c>
      <x:c r="J1137" s="19" t="str">
        <x:v>信越線
白新線
越後線</x:v>
      </x:c>
      <x:c r="K1137" s="18" t="str">
        <x:v>transport-node:33b4368b-a315-52a8-b1b0-71b7c18c2f4b</x:v>
      </x:c>
      <x:c r="L1137" s="19" t="str">
        <x:v>组件待审核</x:v>
      </x:c>
      <x:c r="M1137" s="21" t="n">
        <x:v>37.91223</x:v>
      </x:c>
      <x:c r="N1137" s="21" t="n">
        <x:v>139.0612467</x:v>
      </x:c>
      <x:c r="O1137" s="18" t="str">
        <x:v>001297</x:v>
      </x:c>
      <x:c r="P1137" s="18" t="str">
        <x:v>信越線</x:v>
      </x:c>
      <x:c r="Q1137" s="19" t="str">
        <x:v>S12_061_GE_10000</x:v>
      </x:c>
      <x:c r="R1137" s="19" t="str">
        <x:v>S12_061 usage threshold</x:v>
      </x:c>
      <x:c r="S1137" s="19" t="str">
        <x:v>https://nlftp.mlit.go.jp/ksj/gml/datalist/KsjTmplt-S12-2024.html</x:v>
      </x:c>
      <x:c r="T1137" s="19" t="str">
        <x:v>https://nlftp.mlit.go.jp/ksj/gml/datalist/KsjTmplt-S12-2024.html</x:v>
      </x:c>
      <x:c r="U1137" s="19" t="str">
        <x:v>station-component|新潟|東日本旅客鉄道|conventional_rail|37.9122|139.0612|</x:v>
      </x:c>
      <x:c r="V1137" s="19" t="str">
        <x:v>001296 / 001296 / 越後線
001296 / 001297 / 信越線
001296 / 001298 / 白新線</x:v>
      </x:c>
      <x:c r="W1137" s="18" t="str">
        <x:v>否</x:v>
      </x:c>
      <x:c r="X1137" s="18" t="str">
        <x:v>0785e932a32b3ec15e1a1345537ae145eafe1c07bf38d5c16c11ee2b391e7a28</x:v>
      </x:c>
      <x:c r="Y1137" s="20" t="n">
        <x:v>1</x:v>
      </x:c>
      <x:c r="Z1137" s="20" t="n">
        <x:v>1</x:v>
      </x:c>
      <x:c r="AA1137" s="19"/>
      <x:c r="AB1137" s="18"/>
      <x:c r="AC1137" s="19"/>
    </x:row>
    <x:row r="1138" ht="33" customHeight="1">
      <x:c r="A1138" s="18" t="str">
        <x:v>新潟</x:v>
      </x:c>
      <x:c r="B1138" s="18" t="str">
        <x:v>東日本旅客鉄道</x:v>
      </x:c>
      <x:c r="C1138" s="18" t="str">
        <x:v>shinkansen</x:v>
      </x:c>
      <x:c r="D1138" s="19"/>
      <x:c r="E1138" s="20" t="n">
        <x:v>9471</x:v>
      </x:c>
      <x:c r="F1138" s="18" t="str">
        <x:v>boardings/day</x:v>
      </x:c>
      <x:c r="G1138" s="18" t="str">
        <x:v>FY2024</x:v>
      </x:c>
      <x:c r="H1138" s="18" t="str">
        <x:v>是</x:v>
      </x:c>
      <x:c r="I1138" s="19" t="str">
        <x:v>DAILY_SHINKANSEN_BOARDINGS</x:v>
      </x:c>
      <x:c r="J1138" s="19" t="str">
        <x:v>上越新幹線</x:v>
      </x:c>
      <x:c r="K1138" s="18" t="str">
        <x:v>transport-node:95b05fc1-8022-5cd6-921c-d5afb9f5faa2</x:v>
      </x:c>
      <x:c r="L1138" s="19" t="str">
        <x:v>组件待审核</x:v>
      </x:c>
      <x:c r="M1138" s="21" t="n">
        <x:v>37.912005</x:v>
      </x:c>
      <x:c r="N1138" s="21" t="n">
        <x:v>139.061745</x:v>
      </x:c>
      <x:c r="O1138" s="18" t="str">
        <x:v>001300</x:v>
      </x:c>
      <x:c r="P1138" s="18" t="str">
        <x:v>上越新幹線</x:v>
      </x:c>
      <x:c r="Q1138" s="19" t="str">
        <x:v>SHINKANSEN</x:v>
      </x:c>
      <x:c r="R1138" s="19" t="str">
        <x:v>Official fallback retained in published scope/unit; tier remains null pending metric/manual review.</x:v>
      </x:c>
      <x:c r="S1138" s="19" t="str">
        <x:v>https://www.jreast.co.jp/company/data/passenger/2024_shinkansen.html/</x:v>
      </x:c>
      <x:c r="T1138" s="19" t="str">
        <x:v>https://nlftp.mlit.go.jp/ksj/gml/datalist/KsjTmplt-S12-2024.html
https://www.jreast.co.jp/company/data/passenger/2024_shinkansen.html/</x:v>
      </x:c>
      <x:c r="U1138" s="19" t="str">
        <x:v>station-component|新潟|東日本旅客鉄道|shinkansen|37.9120|139.0617|</x:v>
      </x:c>
      <x:c r="V1138" s="19" t="str">
        <x:v>001296 / 001300 / 上越新幹線</x:v>
      </x:c>
      <x:c r="W1138" s="18" t="str">
        <x:v>否</x:v>
      </x:c>
      <x:c r="X1138" s="18" t="str">
        <x:v>0785e932a32b3ec15e1a1345537ae145eafe1c07bf38d5c16c11ee2b391e7a28</x:v>
      </x:c>
      <x:c r="Y1138" s="20" t="n">
        <x:v>1</x:v>
      </x:c>
      <x:c r="Z1138" s="20" t="n">
        <x:v>2</x:v>
      </x:c>
      <x:c r="AA1138" s="19"/>
      <x:c r="AB1138" s="18"/>
      <x:c r="AC1138" s="19"/>
    </x:row>
    <x:row r="1139" ht="28" customHeight="1">
      <x:c r="A1139" s="18" t="str">
        <x:v>新狭山</x:v>
      </x:c>
      <x:c r="B1139" s="18" t="str">
        <x:v>西武鉄道</x:v>
      </x:c>
      <x:c r="C1139" s="18" t="str">
        <x:v>private_rail</x:v>
      </x:c>
      <x:c r="D1139" s="19" t="str">
        <x:v>T2</x:v>
      </x:c>
      <x:c r="E1139" s="20" t="n">
        <x:v>17696</x:v>
      </x:c>
      <x:c r="F1139" s="18" t="str">
        <x:v>persons/day</x:v>
      </x:c>
      <x:c r="G1139" s="18" t="str">
        <x:v>FY2024</x:v>
      </x:c>
      <x:c r="H1139" s="18" t="str">
        <x:v>否</x:v>
      </x:c>
      <x:c r="I1139" s="19" t="str">
        <x:v>DAILY_ENTRIES_EXITS</x:v>
      </x:c>
      <x:c r="J1139" s="19" t="str">
        <x:v>新宿線</x:v>
      </x:c>
      <x:c r="K1139" s="18" t="str">
        <x:v>transport-node:d8fd0b09-e16c-56bb-9030-40af867faeda</x:v>
      </x:c>
      <x:c r="L1139" s="19" t="str">
        <x:v>组件待审核</x:v>
      </x:c>
      <x:c r="M1139" s="21" t="n">
        <x:v>35.874155</x:v>
      </x:c>
      <x:c r="N1139" s="21" t="n">
        <x:v>139.43379</x:v>
      </x:c>
      <x:c r="O1139" s="18" t="str">
        <x:v>002963</x:v>
      </x:c>
      <x:c r="P1139" s="18" t="str">
        <x:v>新宿線</x:v>
      </x:c>
      <x:c r="Q1139" s="19" t="str">
        <x:v>S12_061_GE_10000</x:v>
      </x:c>
      <x:c r="R1139" s="19" t="str">
        <x:v>S12_061 usage threshold</x:v>
      </x:c>
      <x:c r="S1139" s="19" t="str">
        <x:v>https://nlftp.mlit.go.jp/ksj/gml/datalist/KsjTmplt-S12-2024.html</x:v>
      </x:c>
      <x:c r="T1139" s="19" t="str">
        <x:v>https://nlftp.mlit.go.jp/ksj/gml/datalist/KsjTmplt-S12-2024.html</x:v>
      </x:c>
      <x:c r="U1139" s="19" t="str">
        <x:v>station-component|新狭山|西武鉄道|private_rail|35.8742|139.4338|</x:v>
      </x:c>
      <x:c r="V1139" s="19" t="str">
        <x:v>002963 / 002963 / 新宿線</x:v>
      </x:c>
      <x:c r="W1139" s="18" t="str">
        <x:v>否</x:v>
      </x:c>
      <x:c r="X1139" s="18" t="str">
        <x:v>0785e932a32b3ec15e1a1345537ae145eafe1c07bf38d5c16c11ee2b391e7a28</x:v>
      </x:c>
      <x:c r="Y1139" s="20" t="n">
        <x:v>1</x:v>
      </x:c>
      <x:c r="Z1139" s="20" t="n">
        <x:v>1</x:v>
      </x:c>
      <x:c r="AA1139" s="19"/>
      <x:c r="AB1139" s="18"/>
      <x:c r="AC1139" s="19"/>
    </x:row>
    <x:row r="1140" ht="33" customHeight="1">
      <x:c r="A1140" s="18" t="str">
        <x:v>新玉名</x:v>
      </x:c>
      <x:c r="B1140" s="18" t="str">
        <x:v>九州旅客鉄道</x:v>
      </x:c>
      <x:c r="C1140" s="18" t="str">
        <x:v>shinkansen</x:v>
      </x:c>
      <x:c r="D1140" s="19" t="str">
        <x:v>T3</x:v>
      </x:c>
      <x:c r="E1140" s="20" t="n">
        <x:v>1104</x:v>
      </x:c>
      <x:c r="F1140" s="18" t="str">
        <x:v>persons/day</x:v>
      </x:c>
      <x:c r="G1140" s="18" t="str">
        <x:v>FY2024</x:v>
      </x:c>
      <x:c r="H1140" s="18" t="str">
        <x:v>否</x:v>
      </x:c>
      <x:c r="I1140" s="19" t="str">
        <x:v>DAILY_ENTRIES_EXITS</x:v>
      </x:c>
      <x:c r="J1140" s="19" t="str">
        <x:v>九州新幹線</x:v>
      </x:c>
      <x:c r="K1140" s="18" t="str">
        <x:v>transport-node:cd471872-e3b0-5bc4-b358-ddce8bfeacd2</x:v>
      </x:c>
      <x:c r="L1140" s="19" t="str">
        <x:v>组件待审核</x:v>
      </x:c>
      <x:c r="M1140" s="21" t="n">
        <x:v>32.942709</x:v>
      </x:c>
      <x:c r="N1140" s="21" t="n">
        <x:v>130.5734083</x:v>
      </x:c>
      <x:c r="O1140" s="18" t="str">
        <x:v>009638</x:v>
      </x:c>
      <x:c r="P1140" s="18" t="str">
        <x:v>九州新幹線</x:v>
      </x:c>
      <x:c r="Q1140" s="19" t="str">
        <x:v>SHINKANSEN</x:v>
      </x:c>
      <x:c r="R1140" s="19" t="str">
        <x:v>S12_061 usage threshold; low-flow inclusion justified by Shinkansen inventory</x:v>
      </x:c>
      <x:c r="S1140" s="19" t="str">
        <x:v>https://nlftp.mlit.go.jp/ksj/gml/datalist/KsjTmplt-S12-2024.html</x:v>
      </x:c>
      <x:c r="T1140" s="19" t="str">
        <x:v>https://nlftp.mlit.go.jp/ksj/gml/datalist/KsjTmplt-S12-2024.html</x:v>
      </x:c>
      <x:c r="U1140" s="19" t="str">
        <x:v>station-component|新玉名|九州旅客鉄道|shinkansen|32.9427|130.5734|</x:v>
      </x:c>
      <x:c r="V1140" s="19" t="str">
        <x:v>009638 / 009638 / 九州新幹線</x:v>
      </x:c>
      <x:c r="W1140" s="18" t="str">
        <x:v>否</x:v>
      </x:c>
      <x:c r="X1140" s="18" t="str">
        <x:v>0785e932a32b3ec15e1a1345537ae145eafe1c07bf38d5c16c11ee2b391e7a28</x:v>
      </x:c>
      <x:c r="Y1140" s="20" t="n">
        <x:v>1</x:v>
      </x:c>
      <x:c r="Z1140" s="20" t="n">
        <x:v>1</x:v>
      </x:c>
      <x:c r="AA1140" s="19"/>
      <x:c r="AB1140" s="18"/>
      <x:c r="AC1140" s="19"/>
    </x:row>
    <x:row r="1141" ht="33" customHeight="1">
      <x:c r="A1141" s="18" t="str">
        <x:v>新瑞橋</x:v>
      </x:c>
      <x:c r="B1141" s="18" t="str">
        <x:v>名古屋市</x:v>
      </x:c>
      <x:c r="C1141" s="18" t="str">
        <x:v>metro</x:v>
      </x:c>
      <x:c r="D1141" s="19" t="str">
        <x:v>T2</x:v>
      </x:c>
      <x:c r="E1141" s="20" t="n">
        <x:v>25255</x:v>
      </x:c>
      <x:c r="F1141" s="18" t="str">
        <x:v>persons/day</x:v>
      </x:c>
      <x:c r="G1141" s="18" t="str">
        <x:v>FY2024</x:v>
      </x:c>
      <x:c r="H1141" s="18" t="str">
        <x:v>否</x:v>
      </x:c>
      <x:c r="I1141" s="19" t="str">
        <x:v>DAILY_ENTRIES_EXITS</x:v>
      </x:c>
      <x:c r="J1141" s="19" t="str">
        <x:v>4号線名城線
6号線桜通線</x:v>
      </x:c>
      <x:c r="K1141" s="18" t="str">
        <x:v>transport-node:b5844f96-407c-5f0f-97a8-697625150dbc</x:v>
      </x:c>
      <x:c r="L1141" s="19" t="str">
        <x:v>组件待审核</x:v>
      </x:c>
      <x:c r="M1141" s="21" t="n">
        <x:v>35.11773</x:v>
      </x:c>
      <x:c r="N1141" s="21" t="n">
        <x:v>136.93722</x:v>
      </x:c>
      <x:c r="O1141" s="18" t="str">
        <x:v>005636</x:v>
      </x:c>
      <x:c r="P1141" s="18" t="str">
        <x:v>4号線名城線</x:v>
      </x:c>
      <x:c r="Q1141" s="19" t="str">
        <x:v>S12_061_GE_10000
OFFICIAL_HUB_COMPONENT_REVIEW</x:v>
      </x:c>
      <x:c r="R1141" s="19" t="str">
        <x:v>S12_061 usage threshold</x:v>
      </x:c>
      <x:c r="S1141" s="19" t="str">
        <x:v>https://nlftp.mlit.go.jp/ksj/gml/datalist/KsjTmplt-S12-2024.html</x:v>
      </x:c>
      <x:c r="T1141" s="19" t="str">
        <x:v>https://kotsu.city.nagoya.jp/rp/subway/
https://nlftp.mlit.go.jp/ksj/gml/datalist/KsjTmplt-S12-2024.html</x:v>
      </x:c>
      <x:c r="U1141" s="19" t="str">
        <x:v>station-component|新瑞橋|名古屋市|metro|35.1177|136.9372|</x:v>
      </x:c>
      <x:c r="V1141" s="19" t="str">
        <x:v>005632 / 005632 / 6号線桜通線
005632 / 005636 / 4号線名城線</x:v>
      </x:c>
      <x:c r="W1141" s="18" t="str">
        <x:v>否</x:v>
      </x:c>
      <x:c r="X1141" s="18" t="str">
        <x:v>0785e932a32b3ec15e1a1345537ae145eafe1c07bf38d5c16c11ee2b391e7a28</x:v>
      </x:c>
      <x:c r="Y1141" s="20" t="n">
        <x:v>1</x:v>
      </x:c>
      <x:c r="Z1141" s="20" t="n">
        <x:v>1</x:v>
      </x:c>
      <x:c r="AA1141" s="19" t="str">
        <x:v>新瑞橋</x:v>
      </x:c>
      <x:c r="AB1141" s="18" t="str">
        <x:v>transport-hub-review:1e29e307-f8e5-59e9-8c5f-df420a85caa7</x:v>
      </x:c>
      <x:c r="AC1141" s="19"/>
    </x:row>
    <x:row r="1142" ht="28" customHeight="1">
      <x:c r="A1142" s="18" t="str">
        <x:v>新田</x:v>
      </x:c>
      <x:c r="B1142" s="18" t="str">
        <x:v>東武鉄道</x:v>
      </x:c>
      <x:c r="C1142" s="18" t="str">
        <x:v>private_rail</x:v>
      </x:c>
      <x:c r="D1142" s="19" t="str">
        <x:v>T2</x:v>
      </x:c>
      <x:c r="E1142" s="20" t="n">
        <x:v>28998</x:v>
      </x:c>
      <x:c r="F1142" s="18" t="str">
        <x:v>persons/day</x:v>
      </x:c>
      <x:c r="G1142" s="18" t="str">
        <x:v>FY2024</x:v>
      </x:c>
      <x:c r="H1142" s="18" t="str">
        <x:v>否</x:v>
      </x:c>
      <x:c r="I1142" s="19" t="str">
        <x:v>DAILY_ENTRIES_EXITS</x:v>
      </x:c>
      <x:c r="J1142" s="19" t="str">
        <x:v>伊勢崎線</x:v>
      </x:c>
      <x:c r="K1142" s="18" t="str">
        <x:v>transport-node:563368a7-b481-5d62-a200-8d811bc37a04</x:v>
      </x:c>
      <x:c r="L1142" s="19" t="str">
        <x:v>组件待审核</x:v>
      </x:c>
      <x:c r="M1142" s="21" t="n">
        <x:v>35.85411</x:v>
      </x:c>
      <x:c r="N1142" s="21" t="n">
        <x:v>139.795425</x:v>
      </x:c>
      <x:c r="O1142" s="18" t="str">
        <x:v>002994</x:v>
      </x:c>
      <x:c r="P1142" s="18" t="str">
        <x:v>伊勢崎線</x:v>
      </x:c>
      <x:c r="Q1142" s="19" t="str">
        <x:v>S12_061_GE_10000</x:v>
      </x:c>
      <x:c r="R1142" s="19" t="str">
        <x:v>S12_061 usage threshold</x:v>
      </x:c>
      <x:c r="S1142" s="19" t="str">
        <x:v>https://nlftp.mlit.go.jp/ksj/gml/datalist/KsjTmplt-S12-2024.html</x:v>
      </x:c>
      <x:c r="T1142" s="19" t="str">
        <x:v>https://nlftp.mlit.go.jp/ksj/gml/datalist/KsjTmplt-S12-2024.html</x:v>
      </x:c>
      <x:c r="U1142" s="19" t="str">
        <x:v>station-component|新田|東武鉄道|private_rail|35.8541|139.7954|</x:v>
      </x:c>
      <x:c r="V1142" s="19" t="str">
        <x:v>002994 / 002994 / 伊勢崎線</x:v>
      </x:c>
      <x:c r="W1142" s="18" t="str">
        <x:v>否</x:v>
      </x:c>
      <x:c r="X1142" s="18" t="str">
        <x:v>0785e932a32b3ec15e1a1345537ae145eafe1c07bf38d5c16c11ee2b391e7a28</x:v>
      </x:c>
      <x:c r="Y1142" s="20" t="n">
        <x:v>1</x:v>
      </x:c>
      <x:c r="Z1142" s="20" t="n">
        <x:v>1</x:v>
      </x:c>
      <x:c r="AA1142" s="19"/>
      <x:c r="AB1142" s="18"/>
      <x:c r="AC1142" s="19"/>
    </x:row>
    <x:row r="1143" ht="28" customHeight="1">
      <x:c r="A1143" s="18" t="str">
        <x:v>新田辺</x:v>
      </x:c>
      <x:c r="B1143" s="18" t="str">
        <x:v>近畿日本鉄道</x:v>
      </x:c>
      <x:c r="C1143" s="18" t="str">
        <x:v>private_rail</x:v>
      </x:c>
      <x:c r="D1143" s="19" t="str">
        <x:v>T2</x:v>
      </x:c>
      <x:c r="E1143" s="20" t="n">
        <x:v>21861</x:v>
      </x:c>
      <x:c r="F1143" s="18" t="str">
        <x:v>persons/day</x:v>
      </x:c>
      <x:c r="G1143" s="18" t="str">
        <x:v>FY2024</x:v>
      </x:c>
      <x:c r="H1143" s="18" t="str">
        <x:v>否</x:v>
      </x:c>
      <x:c r="I1143" s="19" t="str">
        <x:v>DAILY_ENTRIES_EXITS</x:v>
      </x:c>
      <x:c r="J1143" s="19" t="str">
        <x:v>京都線</x:v>
      </x:c>
      <x:c r="K1143" s="18" t="str">
        <x:v>transport-node:79f25909-3558-5d34-868a-15ac70c86996</x:v>
      </x:c>
      <x:c r="L1143" s="19" t="str">
        <x:v>组件待审核</x:v>
      </x:c>
      <x:c r="M1143" s="21" t="n">
        <x:v>34.820718</x:v>
      </x:c>
      <x:c r="N1143" s="21" t="n">
        <x:v>135.772822</x:v>
      </x:c>
      <x:c r="O1143" s="18" t="str">
        <x:v>006538</x:v>
      </x:c>
      <x:c r="P1143" s="18" t="str">
        <x:v>京都線</x:v>
      </x:c>
      <x:c r="Q1143" s="19" t="str">
        <x:v>S12_061_GE_10000</x:v>
      </x:c>
      <x:c r="R1143" s="19" t="str">
        <x:v>S12_061 usage threshold</x:v>
      </x:c>
      <x:c r="S1143" s="19" t="str">
        <x:v>https://nlftp.mlit.go.jp/ksj/gml/datalist/KsjTmplt-S12-2024.html</x:v>
      </x:c>
      <x:c r="T1143" s="19" t="str">
        <x:v>https://nlftp.mlit.go.jp/ksj/gml/datalist/KsjTmplt-S12-2024.html</x:v>
      </x:c>
      <x:c r="U1143" s="19" t="str">
        <x:v>station-component|新田辺|近畿日本鉄道|private_rail|34.8207|135.7728|</x:v>
      </x:c>
      <x:c r="V1143" s="19" t="str">
        <x:v>006538 / 006538 / 京都線</x:v>
      </x:c>
      <x:c r="W1143" s="18" t="str">
        <x:v>否</x:v>
      </x:c>
      <x:c r="X1143" s="18" t="str">
        <x:v>0785e932a32b3ec15e1a1345537ae145eafe1c07bf38d5c16c11ee2b391e7a28</x:v>
      </x:c>
      <x:c r="Y1143" s="20" t="n">
        <x:v>1</x:v>
      </x:c>
      <x:c r="Z1143" s="20" t="n">
        <x:v>1</x:v>
      </x:c>
      <x:c r="AA1143" s="19"/>
      <x:c r="AB1143" s="18"/>
      <x:c r="AC1143" s="19"/>
    </x:row>
    <x:row r="1144" ht="28" customHeight="1">
      <x:c r="A1144" s="18" t="str">
        <x:v>新白岡</x:v>
      </x:c>
      <x:c r="B1144" s="18" t="str">
        <x:v>東日本旅客鉄道</x:v>
      </x:c>
      <x:c r="C1144" s="18" t="str">
        <x:v>conventional_rail</x:v>
      </x:c>
      <x:c r="D1144" s="19" t="str">
        <x:v>T2</x:v>
      </x:c>
      <x:c r="E1144" s="20" t="n">
        <x:v>12734</x:v>
      </x:c>
      <x:c r="F1144" s="18" t="str">
        <x:v>persons/day</x:v>
      </x:c>
      <x:c r="G1144" s="18" t="str">
        <x:v>FY2024</x:v>
      </x:c>
      <x:c r="H1144" s="18" t="str">
        <x:v>否</x:v>
      </x:c>
      <x:c r="I1144" s="19" t="str">
        <x:v>DAILY_ENTRIES_EXITS</x:v>
      </x:c>
      <x:c r="J1144" s="19" t="str">
        <x:v>東北線</x:v>
      </x:c>
      <x:c r="K1144" s="18" t="str">
        <x:v>transport-node:fb5fee8d-6ae0-56a7-b758-70b4f63eb032</x:v>
      </x:c>
      <x:c r="L1144" s="19" t="str">
        <x:v>组件待审核</x:v>
      </x:c>
      <x:c r="M1144" s="21" t="n">
        <x:v>36.03825</x:v>
      </x:c>
      <x:c r="N1144" s="21" t="n">
        <x:v>139.67189</x:v>
      </x:c>
      <x:c r="O1144" s="18" t="str">
        <x:v>002716</x:v>
      </x:c>
      <x:c r="P1144" s="18" t="str">
        <x:v>東北線</x:v>
      </x:c>
      <x:c r="Q1144" s="19" t="str">
        <x:v>S12_061_GE_10000</x:v>
      </x:c>
      <x:c r="R1144" s="19" t="str">
        <x:v>S12_061 usage threshold</x:v>
      </x:c>
      <x:c r="S1144" s="19" t="str">
        <x:v>https://nlftp.mlit.go.jp/ksj/gml/datalist/KsjTmplt-S12-2024.html</x:v>
      </x:c>
      <x:c r="T1144" s="19" t="str">
        <x:v>https://nlftp.mlit.go.jp/ksj/gml/datalist/KsjTmplt-S12-2024.html</x:v>
      </x:c>
      <x:c r="U1144" s="19" t="str">
        <x:v>station-component|新白岡|東日本旅客鉄道|conventional_rail|36.0382|139.6719|</x:v>
      </x:c>
      <x:c r="V1144" s="19" t="str">
        <x:v>002716 / 002716 / 東北線</x:v>
      </x:c>
      <x:c r="W1144" s="18" t="str">
        <x:v>否</x:v>
      </x:c>
      <x:c r="X1144" s="18" t="str">
        <x:v>0785e932a32b3ec15e1a1345537ae145eafe1c07bf38d5c16c11ee2b391e7a28</x:v>
      </x:c>
      <x:c r="Y1144" s="20" t="n">
        <x:v>1</x:v>
      </x:c>
      <x:c r="Z1144" s="20" t="n">
        <x:v>1</x:v>
      </x:c>
      <x:c r="AA1144" s="19"/>
      <x:c r="AB1144" s="18"/>
      <x:c r="AC1144" s="19"/>
    </x:row>
    <x:row r="1145" ht="33" customHeight="1">
      <x:c r="A1145" s="18" t="str">
        <x:v>新白島</x:v>
      </x:c>
      <x:c r="B1145" s="18" t="str">
        <x:v>広島高速交通</x:v>
      </x:c>
      <x:c r="C1145" s="18" t="str">
        <x:v>fixed_guideway</x:v>
      </x:c>
      <x:c r="D1145" s="19" t="str">
        <x:v>T2</x:v>
      </x:c>
      <x:c r="E1145" s="20" t="n">
        <x:v>14583</x:v>
      </x:c>
      <x:c r="F1145" s="18" t="str">
        <x:v>persons/day</x:v>
      </x:c>
      <x:c r="G1145" s="18" t="str">
        <x:v>FY2024</x:v>
      </x:c>
      <x:c r="H1145" s="18" t="str">
        <x:v>否</x:v>
      </x:c>
      <x:c r="I1145" s="19" t="str">
        <x:v>DAILY_ENTRIES_EXITS</x:v>
      </x:c>
      <x:c r="J1145" s="19" t="str">
        <x:v>広島新交通1号線</x:v>
      </x:c>
      <x:c r="K1145" s="18" t="str">
        <x:v>transport-node:dfd97b85-3bec-5cbc-909d-2f154f9ac27a</x:v>
      </x:c>
      <x:c r="L1145" s="19" t="str">
        <x:v>组件待审核</x:v>
      </x:c>
      <x:c r="M1145" s="21" t="n">
        <x:v>34.4083299</x:v>
      </x:c>
      <x:c r="N1145" s="21" t="n">
        <x:v>132.4612206</x:v>
      </x:c>
      <x:c r="O1145" s="18" t="str">
        <x:v>008003</x:v>
      </x:c>
      <x:c r="P1145" s="18" t="str">
        <x:v>広島新交通1号線</x:v>
      </x:c>
      <x:c r="Q1145" s="19" t="str">
        <x:v>S12_061_GE_10000
OFFICIAL_HUB_COMPONENT_REVIEW</x:v>
      </x:c>
      <x:c r="R1145" s="19" t="str">
        <x:v>S12_061 usage threshold</x:v>
      </x:c>
      <x:c r="S1145" s="19" t="str">
        <x:v>https://nlftp.mlit.go.jp/ksj/gml/datalist/KsjTmplt-S12-2024.html</x:v>
      </x:c>
      <x:c r="T1145" s="19" t="str">
        <x:v>https://nlftp.mlit.go.jp/ksj/gml/datalist/KsjTmplt-S12-2024.html
https://www.astramline.co.jp/station/info.html?name=%E6%96%B0%E7%99%BD%E5%B3%B6</x:v>
      </x:c>
      <x:c r="U1145" s="19" t="str">
        <x:v>station-component|新白島|広島高速交通|fixed_guideway|34.4083|132.4612|</x:v>
      </x:c>
      <x:c r="V1145" s="19" t="str">
        <x:v>008002 / 008003 / 広島新交通1号線</x:v>
      </x:c>
      <x:c r="W1145" s="18" t="str">
        <x:v>否</x:v>
      </x:c>
      <x:c r="X1145" s="18" t="str">
        <x:v>0785e932a32b3ec15e1a1345537ae145eafe1c07bf38d5c16c11ee2b391e7a28</x:v>
      </x:c>
      <x:c r="Y1145" s="20" t="n">
        <x:v>1</x:v>
      </x:c>
      <x:c r="Z1145" s="20" t="n">
        <x:v>1</x:v>
      </x:c>
      <x:c r="AA1145" s="19" t="str">
        <x:v>新白島</x:v>
      </x:c>
      <x:c r="AB1145" s="18" t="str">
        <x:v>transport-hub-review:469d5ce9-bdcd-50f2-9e53-3b08050465f5</x:v>
      </x:c>
      <x:c r="AC1145" s="19"/>
    </x:row>
    <x:row r="1146" ht="33" customHeight="1">
      <x:c r="A1146" s="18" t="str">
        <x:v>新白島</x:v>
      </x:c>
      <x:c r="B1146" s="18" t="str">
        <x:v>西日本旅客鉄道</x:v>
      </x:c>
      <x:c r="C1146" s="18" t="str">
        <x:v>conventional_rail</x:v>
      </x:c>
      <x:c r="D1146" s="19" t="str">
        <x:v>T2</x:v>
      </x:c>
      <x:c r="E1146" s="20" t="n">
        <x:v>26464</x:v>
      </x:c>
      <x:c r="F1146" s="18" t="str">
        <x:v>persons/day</x:v>
      </x:c>
      <x:c r="G1146" s="18" t="str">
        <x:v>FY2024</x:v>
      </x:c>
      <x:c r="H1146" s="18" t="str">
        <x:v>否</x:v>
      </x:c>
      <x:c r="I1146" s="19" t="str">
        <x:v>DAILY_ENTRIES_EXITS</x:v>
      </x:c>
      <x:c r="J1146" s="19" t="str">
        <x:v>山陽線</x:v>
      </x:c>
      <x:c r="K1146" s="18" t="str">
        <x:v>transport-node:6c4efdc7-f20b-5245-95d1-ddf7df23e3c1</x:v>
      </x:c>
      <x:c r="L1146" s="19" t="str">
        <x:v>组件待审核</x:v>
      </x:c>
      <x:c r="M1146" s="21" t="n">
        <x:v>34.4085037</x:v>
      </x:c>
      <x:c r="N1146" s="21" t="n">
        <x:v>132.4610434</x:v>
      </x:c>
      <x:c r="O1146" s="18" t="str">
        <x:v>008002</x:v>
      </x:c>
      <x:c r="P1146" s="18" t="str">
        <x:v>山陽線</x:v>
      </x:c>
      <x:c r="Q1146" s="19" t="str">
        <x:v>S12_061_GE_10000
OFFICIAL_HUB_COMPONENT_REVIEW</x:v>
      </x:c>
      <x:c r="R1146" s="19" t="str">
        <x:v>S12_061 usage threshold</x:v>
      </x:c>
      <x:c r="S1146" s="19" t="str">
        <x:v>https://nlftp.mlit.go.jp/ksj/gml/datalist/KsjTmplt-S12-2024.html</x:v>
      </x:c>
      <x:c r="T1146" s="19" t="str">
        <x:v>https://nlftp.mlit.go.jp/ksj/gml/datalist/KsjTmplt-S12-2024.html
https://www.astramline.co.jp/station/info.html?name=%E6%96%B0%E7%99%BD%E5%B3%B6</x:v>
      </x:c>
      <x:c r="U1146" s="19" t="str">
        <x:v>station-component|新白島|西日本旅客鉄道|conventional_rail|34.4085|132.4610|</x:v>
      </x:c>
      <x:c r="V1146" s="19" t="str">
        <x:v>008002 / 008002 / 山陽線</x:v>
      </x:c>
      <x:c r="W1146" s="18" t="str">
        <x:v>否</x:v>
      </x:c>
      <x:c r="X1146" s="18" t="str">
        <x:v>0785e932a32b3ec15e1a1345537ae145eafe1c07bf38d5c16c11ee2b391e7a28</x:v>
      </x:c>
      <x:c r="Y1146" s="20" t="n">
        <x:v>1</x:v>
      </x:c>
      <x:c r="Z1146" s="20" t="n">
        <x:v>1</x:v>
      </x:c>
      <x:c r="AA1146" s="19" t="str">
        <x:v>新白島</x:v>
      </x:c>
      <x:c r="AB1146" s="18" t="str">
        <x:v>transport-hub-review:469d5ce9-bdcd-50f2-9e53-3b08050465f5</x:v>
      </x:c>
      <x:c r="AC1146" s="19"/>
    </x:row>
    <x:row r="1147" ht="33" customHeight="1">
      <x:c r="A1147" s="18" t="str">
        <x:v>新白河</x:v>
      </x:c>
      <x:c r="B1147" s="18" t="str">
        <x:v>東日本旅客鉄道</x:v>
      </x:c>
      <x:c r="C1147" s="18" t="str">
        <x:v>shinkansen</x:v>
      </x:c>
      <x:c r="D1147" s="19"/>
      <x:c r="E1147" s="20" t="n">
        <x:v>1955</x:v>
      </x:c>
      <x:c r="F1147" s="18" t="str">
        <x:v>boardings/day</x:v>
      </x:c>
      <x:c r="G1147" s="18" t="str">
        <x:v>FY2024</x:v>
      </x:c>
      <x:c r="H1147" s="18" t="str">
        <x:v>是</x:v>
      </x:c>
      <x:c r="I1147" s="19" t="str">
        <x:v>DAILY_SHINKANSEN_BOARDINGS</x:v>
      </x:c>
      <x:c r="J1147" s="19" t="str">
        <x:v>東北新幹線</x:v>
      </x:c>
      <x:c r="K1147" s="18" t="str">
        <x:v>transport-node:6b9bbd2b-1a06-545c-8d9e-f137947f3905</x:v>
      </x:c>
      <x:c r="L1147" s="19" t="str">
        <x:v>组件待审核</x:v>
      </x:c>
      <x:c r="M1147" s="21" t="n">
        <x:v>37.12353</x:v>
      </x:c>
      <x:c r="N1147" s="21" t="n">
        <x:v>140.1890367</x:v>
      </x:c>
      <x:c r="O1147" s="18" t="str">
        <x:v>001629</x:v>
      </x:c>
      <x:c r="P1147" s="18" t="str">
        <x:v>東北新幹線</x:v>
      </x:c>
      <x:c r="Q1147" s="19" t="str">
        <x:v>SHINKANSEN</x:v>
      </x:c>
      <x:c r="R1147" s="19" t="str">
        <x:v>Official fallback retained in published scope/unit; tier remains null pending metric/manual review.</x:v>
      </x:c>
      <x:c r="S1147" s="19" t="str">
        <x:v>https://www.jreast.co.jp/company/data/passenger/2024_shinkansen.html/</x:v>
      </x:c>
      <x:c r="T1147" s="19" t="str">
        <x:v>https://nlftp.mlit.go.jp/ksj/gml/datalist/KsjTmplt-S12-2024.html
https://www.jreast.co.jp/company/data/passenger/2024_shinkansen.html/</x:v>
      </x:c>
      <x:c r="U1147" s="19" t="str">
        <x:v>station-component|新白河|東日本旅客鉄道|shinkansen|37.1235|140.1890|</x:v>
      </x:c>
      <x:c r="V1147" s="19" t="str">
        <x:v>001629 / 001629 / 東北新幹線</x:v>
      </x:c>
      <x:c r="W1147" s="18" t="str">
        <x:v>否</x:v>
      </x:c>
      <x:c r="X1147" s="18" t="str">
        <x:v>0785e932a32b3ec15e1a1345537ae145eafe1c07bf38d5c16c11ee2b391e7a28</x:v>
      </x:c>
      <x:c r="Y1147" s="20" t="n">
        <x:v>1</x:v>
      </x:c>
      <x:c r="Z1147" s="20" t="n">
        <x:v>2</x:v>
      </x:c>
      <x:c r="AA1147" s="19"/>
      <x:c r="AB1147" s="18"/>
      <x:c r="AC1147" s="19"/>
    </x:row>
    <x:row r="1148" ht="33" customHeight="1">
      <x:c r="A1148" s="18" t="str">
        <x:v>新百合ヶ丘</x:v>
      </x:c>
      <x:c r="B1148" s="18" t="str">
        <x:v>小田急電鉄</x:v>
      </x:c>
      <x:c r="C1148" s="18" t="str">
        <x:v>private_rail</x:v>
      </x:c>
      <x:c r="D1148" s="19" t="str">
        <x:v>T1</x:v>
      </x:c>
      <x:c r="E1148" s="20" t="n">
        <x:v>114816</x:v>
      </x:c>
      <x:c r="F1148" s="18" t="str">
        <x:v>persons/day</x:v>
      </x:c>
      <x:c r="G1148" s="18" t="str">
        <x:v>FY2024</x:v>
      </x:c>
      <x:c r="H1148" s="18" t="str">
        <x:v>否</x:v>
      </x:c>
      <x:c r="I1148" s="19" t="str">
        <x:v>DAILY_ENTRIES_EXITS</x:v>
      </x:c>
      <x:c r="J1148" s="19" t="str">
        <x:v>多摩線
小田原線</x:v>
      </x:c>
      <x:c r="K1148" s="18" t="str">
        <x:v>transport-node:7456262c-aff0-5bca-8003-206b666ba178</x:v>
      </x:c>
      <x:c r="L1148" s="19" t="str">
        <x:v>组件待审核</x:v>
      </x:c>
      <x:c r="M1148" s="21" t="n">
        <x:v>35.603705</x:v>
      </x:c>
      <x:c r="N1148" s="21" t="n">
        <x:v>139.507475</x:v>
      </x:c>
      <x:c r="O1148" s="18" t="str">
        <x:v>004227</x:v>
      </x:c>
      <x:c r="P1148" s="18" t="str">
        <x:v>小田原線</x:v>
      </x:c>
      <x:c r="Q1148" s="19" t="str">
        <x:v>S12_061_GE_10000
OFFICIAL_HUB_COMPONENT_REVIEW</x:v>
      </x:c>
      <x:c r="R1148" s="19" t="str">
        <x:v>S12_061 usage threshold</x:v>
      </x:c>
      <x:c r="S1148" s="19" t="str">
        <x:v>https://nlftp.mlit.go.jp/ksj/gml/datalist/KsjTmplt-S12-2024.html</x:v>
      </x:c>
      <x:c r="T1148" s="19" t="str">
        <x:v>https://nlftp.mlit.go.jp/ksj/gml/datalist/KsjTmplt-S12-2024.html
https://www.odakyu.jp/station/</x:v>
      </x:c>
      <x:c r="U1148" s="19" t="str">
        <x:v>station-component|新百合ヶ丘|小田急電鉄|private_rail|35.6037|139.5075|</x:v>
      </x:c>
      <x:c r="V1148" s="19" t="str">
        <x:v>004227 / 004227 / 小田原線
004227 / 004228 / 多摩線</x:v>
      </x:c>
      <x:c r="W1148" s="18" t="str">
        <x:v>否</x:v>
      </x:c>
      <x:c r="X1148" s="18" t="str">
        <x:v>0785e932a32b3ec15e1a1345537ae145eafe1c07bf38d5c16c11ee2b391e7a28</x:v>
      </x:c>
      <x:c r="Y1148" s="20" t="n">
        <x:v>1</x:v>
      </x:c>
      <x:c r="Z1148" s="20" t="n">
        <x:v>1</x:v>
      </x:c>
      <x:c r="AA1148" s="19" t="str">
        <x:v>新百合ヶ丘</x:v>
      </x:c>
      <x:c r="AB1148" s="18" t="str">
        <x:v>transport-hub-review:081cf655-2c15-5604-8388-fcc3a017ba8b</x:v>
      </x:c>
      <x:c r="AC1148" s="19"/>
    </x:row>
    <x:row r="1149" ht="28" customHeight="1">
      <x:c r="A1149" s="18" t="str">
        <x:v>新石切</x:v>
      </x:c>
      <x:c r="B1149" s="18" t="str">
        <x:v>近畿日本鉄道</x:v>
      </x:c>
      <x:c r="C1149" s="18" t="str">
        <x:v>private_rail</x:v>
      </x:c>
      <x:c r="D1149" s="19" t="str">
        <x:v>T2</x:v>
      </x:c>
      <x:c r="E1149" s="20" t="n">
        <x:v>17153</x:v>
      </x:c>
      <x:c r="F1149" s="18" t="str">
        <x:v>persons/day</x:v>
      </x:c>
      <x:c r="G1149" s="18" t="str">
        <x:v>FY2024</x:v>
      </x:c>
      <x:c r="H1149" s="18" t="str">
        <x:v>否</x:v>
      </x:c>
      <x:c r="I1149" s="19" t="str">
        <x:v>DAILY_ENTRIES_EXITS</x:v>
      </x:c>
      <x:c r="J1149" s="19" t="str">
        <x:v>けいはんな線</x:v>
      </x:c>
      <x:c r="K1149" s="18" t="str">
        <x:v>transport-node:bd9da556-2d92-52e4-92dd-7f568278dbbc</x:v>
      </x:c>
      <x:c r="L1149" s="19" t="str">
        <x:v>组件待审核</x:v>
      </x:c>
      <x:c r="M1149" s="21" t="n">
        <x:v>34.6800967</x:v>
      </x:c>
      <x:c r="N1149" s="21" t="n">
        <x:v>135.6410967</x:v>
      </x:c>
      <x:c r="O1149" s="18" t="str">
        <x:v>007215</x:v>
      </x:c>
      <x:c r="P1149" s="18" t="str">
        <x:v>けいはんな線</x:v>
      </x:c>
      <x:c r="Q1149" s="19" t="str">
        <x:v>S12_061_GE_10000</x:v>
      </x:c>
      <x:c r="R1149" s="19" t="str">
        <x:v>S12_061 usage threshold</x:v>
      </x:c>
      <x:c r="S1149" s="19" t="str">
        <x:v>https://nlftp.mlit.go.jp/ksj/gml/datalist/KsjTmplt-S12-2024.html</x:v>
      </x:c>
      <x:c r="T1149" s="19" t="str">
        <x:v>https://nlftp.mlit.go.jp/ksj/gml/datalist/KsjTmplt-S12-2024.html</x:v>
      </x:c>
      <x:c r="U1149" s="19" t="str">
        <x:v>station-component|新石切|近畿日本鉄道|private_rail|34.6801|135.6411|</x:v>
      </x:c>
      <x:c r="V1149" s="19" t="str">
        <x:v>007215 / 007215 / けいはんな線</x:v>
      </x:c>
      <x:c r="W1149" s="18" t="str">
        <x:v>否</x:v>
      </x:c>
      <x:c r="X1149" s="18" t="str">
        <x:v>0785e932a32b3ec15e1a1345537ae145eafe1c07bf38d5c16c11ee2b391e7a28</x:v>
      </x:c>
      <x:c r="Y1149" s="20" t="n">
        <x:v>1</x:v>
      </x:c>
      <x:c r="Z1149" s="20" t="n">
        <x:v>1</x:v>
      </x:c>
      <x:c r="AA1149" s="19"/>
      <x:c r="AB1149" s="18"/>
      <x:c r="AC1149" s="19"/>
    </x:row>
    <x:row r="1150" ht="33" customHeight="1">
      <x:c r="A1150" s="18" t="str">
        <x:v>新祝園</x:v>
      </x:c>
      <x:c r="B1150" s="18" t="str">
        <x:v>近畿日本鉄道</x:v>
      </x:c>
      <x:c r="C1150" s="18" t="str">
        <x:v>private_rail</x:v>
      </x:c>
      <x:c r="D1150" s="19" t="str">
        <x:v>T2</x:v>
      </x:c>
      <x:c r="E1150" s="20" t="n">
        <x:v>13900</x:v>
      </x:c>
      <x:c r="F1150" s="18" t="str">
        <x:v>persons/day</x:v>
      </x:c>
      <x:c r="G1150" s="18" t="str">
        <x:v>FY2024</x:v>
      </x:c>
      <x:c r="H1150" s="18" t="str">
        <x:v>否</x:v>
      </x:c>
      <x:c r="I1150" s="19" t="str">
        <x:v>DAILY_ENTRIES_EXITS</x:v>
      </x:c>
      <x:c r="J1150" s="19" t="str">
        <x:v>京都線</x:v>
      </x:c>
      <x:c r="K1150" s="18" t="str">
        <x:v>transport-node:8b078b7f-13ac-521a-82e8-260a34b2c843</x:v>
      </x:c>
      <x:c r="L1150" s="19" t="str">
        <x:v>组件待审核</x:v>
      </x:c>
      <x:c r="M1150" s="21" t="n">
        <x:v>34.7603267</x:v>
      </x:c>
      <x:c r="N1150" s="21" t="n">
        <x:v>135.7927733</x:v>
      </x:c>
      <x:c r="O1150" s="18" t="str">
        <x:v>006795</x:v>
      </x:c>
      <x:c r="P1150" s="18" t="str">
        <x:v>京都線</x:v>
      </x:c>
      <x:c r="Q1150" s="19" t="str">
        <x:v>S12_061_GE_10000
OFFICIAL_HUB_COMPONENT_REVIEW</x:v>
      </x:c>
      <x:c r="R1150" s="19" t="str">
        <x:v>S12_061 usage threshold</x:v>
      </x:c>
      <x:c r="S1150" s="19" t="str">
        <x:v>https://nlftp.mlit.go.jp/ksj/gml/datalist/KsjTmplt-S12-2024.html</x:v>
      </x:c>
      <x:c r="T1150" s="19" t="str">
        <x:v>https://nlftp.mlit.go.jp/ksj/gml/datalist/KsjTmplt-S12-2024.html
https://www.kintetsu.co.jp/station/</x:v>
      </x:c>
      <x:c r="U1150" s="19" t="str">
        <x:v>station-component|新祝園|近畿日本鉄道|private_rail|34.7603|135.7928|</x:v>
      </x:c>
      <x:c r="V1150" s="19" t="str">
        <x:v>006795 / 006795 / 京都線</x:v>
      </x:c>
      <x:c r="W1150" s="18" t="str">
        <x:v>否</x:v>
      </x:c>
      <x:c r="X1150" s="18" t="str">
        <x:v>0785e932a32b3ec15e1a1345537ae145eafe1c07bf38d5c16c11ee2b391e7a28</x:v>
      </x:c>
      <x:c r="Y1150" s="20" t="n">
        <x:v>1</x:v>
      </x:c>
      <x:c r="Z1150" s="20" t="n">
        <x:v>1</x:v>
      </x:c>
      <x:c r="AA1150" s="19" t="str">
        <x:v>新祝園・祝園</x:v>
      </x:c>
      <x:c r="AB1150" s="18" t="str">
        <x:v>transport-hub-review:27ce8e98-b8fa-5c16-acc6-073d99a9e053</x:v>
      </x:c>
      <x:c r="AC1150" s="19"/>
    </x:row>
    <x:row r="1151" ht="33" customHeight="1">
      <x:c r="A1151" s="18" t="str">
        <x:v>新神戸</x:v>
      </x:c>
      <x:c r="B1151" s="18" t="str">
        <x:v>神戸市</x:v>
      </x:c>
      <x:c r="C1151" s="18" t="str">
        <x:v>metro</x:v>
      </x:c>
      <x:c r="D1151" s="19" t="str">
        <x:v>T2</x:v>
      </x:c>
      <x:c r="E1151" s="20" t="n">
        <x:v>24815</x:v>
      </x:c>
      <x:c r="F1151" s="18" t="str">
        <x:v>persons/day</x:v>
      </x:c>
      <x:c r="G1151" s="18" t="str">
        <x:v>FY2024</x:v>
      </x:c>
      <x:c r="H1151" s="18" t="str">
        <x:v>否</x:v>
      </x:c>
      <x:c r="I1151" s="19" t="str">
        <x:v>DAILY_ENTRIES_EXITS</x:v>
      </x:c>
      <x:c r="J1151" s="19" t="str">
        <x:v>北神線
山手線</x:v>
      </x:c>
      <x:c r="K1151" s="18" t="str">
        <x:v>transport-node:2fa47b6f-ed6b-5ca2-ab80-538eca4c209a</x:v>
      </x:c>
      <x:c r="L1151" s="19" t="str">
        <x:v>组件待审核</x:v>
      </x:c>
      <x:c r="M1151" s="21" t="n">
        <x:v>34.704685</x:v>
      </x:c>
      <x:c r="N1151" s="21" t="n">
        <x:v>135.19566</x:v>
      </x:c>
      <x:c r="O1151" s="18" t="str">
        <x:v>007054</x:v>
      </x:c>
      <x:c r="P1151" s="18" t="str">
        <x:v>山手線</x:v>
      </x:c>
      <x:c r="Q1151" s="19" t="str">
        <x:v>S12_061_GE_10000
OFFICIAL_HUB_COMPONENT_REVIEW</x:v>
      </x:c>
      <x:c r="R1151" s="19" t="str">
        <x:v>S12_061 usage threshold</x:v>
      </x:c>
      <x:c r="S1151" s="19" t="str">
        <x:v>https://nlftp.mlit.go.jp/ksj/gml/datalist/KsjTmplt-S12-2024.html</x:v>
      </x:c>
      <x:c r="T1151" s="19" t="str">
        <x:v>https://kotsu.city.kobe.lg.jp/chinese-trad/cnt-subway-map/
https://nlftp.mlit.go.jp/ksj/gml/datalist/KsjTmplt-S12-2024.html</x:v>
      </x:c>
      <x:c r="U1151" s="19" t="str">
        <x:v>station-component|新神戸|神戸市|metro|34.7047|135.1957|</x:v>
      </x:c>
      <x:c r="V1151" s="19" t="str">
        <x:v>007054 / 007054 / 山手線
007054 / 007055 / 北神線</x:v>
      </x:c>
      <x:c r="W1151" s="18" t="str">
        <x:v>否</x:v>
      </x:c>
      <x:c r="X1151" s="18" t="str">
        <x:v>0785e932a32b3ec15e1a1345537ae145eafe1c07bf38d5c16c11ee2b391e7a28</x:v>
      </x:c>
      <x:c r="Y1151" s="20" t="n">
        <x:v>1</x:v>
      </x:c>
      <x:c r="Z1151" s="20" t="n">
        <x:v>1</x:v>
      </x:c>
      <x:c r="AA1151" s="19" t="str">
        <x:v>新神戸</x:v>
      </x:c>
      <x:c r="AB1151" s="18" t="str">
        <x:v>transport-hub-review:aa60527a-3d72-58f6-b2d8-f769279dcc8c</x:v>
      </x:c>
      <x:c r="AC1151" s="19"/>
    </x:row>
    <x:row r="1152" ht="47" customHeight="1">
      <x:c r="A1152" s="18" t="str">
        <x:v>新神戸</x:v>
      </x:c>
      <x:c r="B1152" s="18" t="str">
        <x:v>西日本旅客鉄道</x:v>
      </x:c>
      <x:c r="C1152" s="18" t="str">
        <x:v>shinkansen</x:v>
      </x:c>
      <x:c r="D1152" s="19" t="str">
        <x:v>T2</x:v>
      </x:c>
      <x:c r="E1152" s="20" t="n">
        <x:v>20522</x:v>
      </x:c>
      <x:c r="F1152" s="18" t="str">
        <x:v>persons/day</x:v>
      </x:c>
      <x:c r="G1152" s="18" t="str">
        <x:v>FY2024</x:v>
      </x:c>
      <x:c r="H1152" s="18" t="str">
        <x:v>否</x:v>
      </x:c>
      <x:c r="I1152" s="19" t="str">
        <x:v>DAILY_ENTRIES_EXITS</x:v>
      </x:c>
      <x:c r="J1152" s="19" t="str">
        <x:v>山陽新幹線</x:v>
      </x:c>
      <x:c r="K1152" s="18" t="str">
        <x:v>transport-node:d36d3208-3d50-522e-be5f-f83fcb70239b</x:v>
      </x:c>
      <x:c r="L1152" s="19" t="str">
        <x:v>组件待审核</x:v>
      </x:c>
      <x:c r="M1152" s="21" t="n">
        <x:v>34.70732</x:v>
      </x:c>
      <x:c r="N1152" s="21" t="n">
        <x:v>135.197035</x:v>
      </x:c>
      <x:c r="O1152" s="18" t="str">
        <x:v>007039</x:v>
      </x:c>
      <x:c r="P1152" s="18" t="str">
        <x:v>山陽新幹線</x:v>
      </x:c>
      <x:c r="Q1152" s="19" t="str">
        <x:v>S12_061_GE_10000
SHINKANSEN
OFFICIAL_HUB_COMPONENT_REVIEW</x:v>
      </x:c>
      <x:c r="R1152" s="19" t="str">
        <x:v>S12_061 usage threshold</x:v>
      </x:c>
      <x:c r="S1152" s="19" t="str">
        <x:v>https://nlftp.mlit.go.jp/ksj/gml/datalist/KsjTmplt-S12-2024.html</x:v>
      </x:c>
      <x:c r="T1152" s="19" t="str">
        <x:v>https://kotsu.city.kobe.lg.jp/chinese-trad/cnt-subway-map/
https://nlftp.mlit.go.jp/ksj/gml/datalist/KsjTmplt-S12-2024.html</x:v>
      </x:c>
      <x:c r="U1152" s="19" t="str">
        <x:v>station-component|新神戸|西日本旅客鉄道|shinkansen|34.7073|135.1970|</x:v>
      </x:c>
      <x:c r="V1152" s="19" t="str">
        <x:v>007054 / 007039 / 山陽新幹線</x:v>
      </x:c>
      <x:c r="W1152" s="18" t="str">
        <x:v>否</x:v>
      </x:c>
      <x:c r="X1152" s="18" t="str">
        <x:v>0785e932a32b3ec15e1a1345537ae145eafe1c07bf38d5c16c11ee2b391e7a28</x:v>
      </x:c>
      <x:c r="Y1152" s="20" t="n">
        <x:v>1</x:v>
      </x:c>
      <x:c r="Z1152" s="20" t="n">
        <x:v>1</x:v>
      </x:c>
      <x:c r="AA1152" s="19" t="str">
        <x:v>新神戸</x:v>
      </x:c>
      <x:c r="AB1152" s="18" t="str">
        <x:v>transport-hub-review:aa60527a-3d72-58f6-b2d8-f769279dcc8c</x:v>
      </x:c>
      <x:c r="AC1152" s="19"/>
    </x:row>
    <x:row r="1153" ht="28" customHeight="1">
      <x:c r="A1153" s="18" t="str">
        <x:v>新福島</x:v>
      </x:c>
      <x:c r="B1153" s="18" t="str">
        <x:v>西日本旅客鉄道</x:v>
      </x:c>
      <x:c r="C1153" s="18" t="str">
        <x:v>conventional_rail</x:v>
      </x:c>
      <x:c r="D1153" s="19" t="str">
        <x:v>T2</x:v>
      </x:c>
      <x:c r="E1153" s="20" t="n">
        <x:v>18728</x:v>
      </x:c>
      <x:c r="F1153" s="18" t="str">
        <x:v>persons/day</x:v>
      </x:c>
      <x:c r="G1153" s="18" t="str">
        <x:v>FY2024</x:v>
      </x:c>
      <x:c r="H1153" s="18" t="str">
        <x:v>否</x:v>
      </x:c>
      <x:c r="I1153" s="19" t="str">
        <x:v>DAILY_ENTRIES_EXITS</x:v>
      </x:c>
      <x:c r="J1153" s="19" t="str">
        <x:v>JR東西線</x:v>
      </x:c>
      <x:c r="K1153" s="18" t="str">
        <x:v>transport-node:e55cb82c-ef88-594f-89c5-8ce04dc403b5</x:v>
      </x:c>
      <x:c r="L1153" s="19" t="str">
        <x:v>组件待审核</x:v>
      </x:c>
      <x:c r="M1153" s="21" t="n">
        <x:v>34.69488</x:v>
      </x:c>
      <x:c r="N1153" s="21" t="n">
        <x:v>135.485555</x:v>
      </x:c>
      <x:c r="O1153" s="18" t="str">
        <x:v>007104</x:v>
      </x:c>
      <x:c r="P1153" s="18" t="str">
        <x:v>JR東西線</x:v>
      </x:c>
      <x:c r="Q1153" s="19" t="str">
        <x:v>S12_061_GE_10000</x:v>
      </x:c>
      <x:c r="R1153" s="19" t="str">
        <x:v>S12_061 usage threshold</x:v>
      </x:c>
      <x:c r="S1153" s="19" t="str">
        <x:v>https://nlftp.mlit.go.jp/ksj/gml/datalist/KsjTmplt-S12-2024.html</x:v>
      </x:c>
      <x:c r="T1153" s="19" t="str">
        <x:v>https://nlftp.mlit.go.jp/ksj/gml/datalist/KsjTmplt-S12-2024.html</x:v>
      </x:c>
      <x:c r="U1153" s="19" t="str">
        <x:v>station-component|新福島|西日本旅客鉄道|conventional_rail|34.6949|135.4856|</x:v>
      </x:c>
      <x:c r="V1153" s="19" t="str">
        <x:v>007104 / 007104 / JR東西線</x:v>
      </x:c>
      <x:c r="W1153" s="18" t="str">
        <x:v>否</x:v>
      </x:c>
      <x:c r="X1153" s="18" t="str">
        <x:v>0785e932a32b3ec15e1a1345537ae145eafe1c07bf38d5c16c11ee2b391e7a28</x:v>
      </x:c>
      <x:c r="Y1153" s="20" t="n">
        <x:v>1</x:v>
      </x:c>
      <x:c r="Z1153" s="20" t="n">
        <x:v>1</x:v>
      </x:c>
      <x:c r="AA1153" s="19"/>
      <x:c r="AB1153" s="18"/>
      <x:c r="AC1153" s="19"/>
    </x:row>
    <x:row r="1154" ht="28" customHeight="1">
      <x:c r="A1154" s="18" t="str">
        <x:v>新秋津</x:v>
      </x:c>
      <x:c r="B1154" s="18" t="str">
        <x:v>東日本旅客鉄道</x:v>
      </x:c>
      <x:c r="C1154" s="18" t="str">
        <x:v>conventional_rail</x:v>
      </x:c>
      <x:c r="D1154" s="19" t="str">
        <x:v>T1</x:v>
      </x:c>
      <x:c r="E1154" s="20" t="n">
        <x:v>74644</x:v>
      </x:c>
      <x:c r="F1154" s="18" t="str">
        <x:v>persons/day</x:v>
      </x:c>
      <x:c r="G1154" s="18" t="str">
        <x:v>FY2024</x:v>
      </x:c>
      <x:c r="H1154" s="18" t="str">
        <x:v>否</x:v>
      </x:c>
      <x:c r="I1154" s="19" t="str">
        <x:v>DAILY_ENTRIES_EXITS</x:v>
      </x:c>
      <x:c r="J1154" s="19" t="str">
        <x:v>武蔵野線</x:v>
      </x:c>
      <x:c r="K1154" s="18" t="str">
        <x:v>transport-node:26296a64-cbfc-54d5-b350-854399c133b1</x:v>
      </x:c>
      <x:c r="L1154" s="19" t="str">
        <x:v>组件待审核</x:v>
      </x:c>
      <x:c r="M1154" s="21" t="n">
        <x:v>35.77831</x:v>
      </x:c>
      <x:c r="N1154" s="21" t="n">
        <x:v>139.493755</x:v>
      </x:c>
      <x:c r="O1154" s="18" t="str">
        <x:v>003152</x:v>
      </x:c>
      <x:c r="P1154" s="18" t="str">
        <x:v>武蔵野線</x:v>
      </x:c>
      <x:c r="Q1154" s="19" t="str">
        <x:v>S12_061_GE_10000</x:v>
      </x:c>
      <x:c r="R1154" s="19" t="str">
        <x:v>S12_061 usage threshold</x:v>
      </x:c>
      <x:c r="S1154" s="19" t="str">
        <x:v>https://nlftp.mlit.go.jp/ksj/gml/datalist/KsjTmplt-S12-2024.html</x:v>
      </x:c>
      <x:c r="T1154" s="19" t="str">
        <x:v>https://nlftp.mlit.go.jp/ksj/gml/datalist/KsjTmplt-S12-2024.html</x:v>
      </x:c>
      <x:c r="U1154" s="19" t="str">
        <x:v>station-component|新秋津|東日本旅客鉄道|conventional_rail|35.7783|139.4938|</x:v>
      </x:c>
      <x:c r="V1154" s="19" t="str">
        <x:v>003152 / 003152 / 武蔵野線</x:v>
      </x:c>
      <x:c r="W1154" s="18" t="str">
        <x:v>否</x:v>
      </x:c>
      <x:c r="X1154" s="18" t="str">
        <x:v>0785e932a32b3ec15e1a1345537ae145eafe1c07bf38d5c16c11ee2b391e7a28</x:v>
      </x:c>
      <x:c r="Y1154" s="20" t="n">
        <x:v>1</x:v>
      </x:c>
      <x:c r="Z1154" s="20" t="n">
        <x:v>1</x:v>
      </x:c>
      <x:c r="AA1154" s="19"/>
      <x:c r="AB1154" s="18"/>
      <x:c r="AC1154" s="19"/>
    </x:row>
    <x:row r="1155" ht="28" customHeight="1">
      <x:c r="A1155" s="18" t="str">
        <x:v>新綱島</x:v>
      </x:c>
      <x:c r="B1155" s="18" t="str">
        <x:v>東急電鉄</x:v>
      </x:c>
      <x:c r="C1155" s="18" t="str">
        <x:v>private_rail</x:v>
      </x:c>
      <x:c r="D1155" s="19" t="str">
        <x:v>T2</x:v>
      </x:c>
      <x:c r="E1155" s="20" t="n">
        <x:v>16473</x:v>
      </x:c>
      <x:c r="F1155" s="18" t="str">
        <x:v>persons/day</x:v>
      </x:c>
      <x:c r="G1155" s="18" t="str">
        <x:v>FY2024</x:v>
      </x:c>
      <x:c r="H1155" s="18" t="str">
        <x:v>否</x:v>
      </x:c>
      <x:c r="I1155" s="19" t="str">
        <x:v>DAILY_ENTRIES_EXITS</x:v>
      </x:c>
      <x:c r="J1155" s="19" t="str">
        <x:v>東急新横浜線</x:v>
      </x:c>
      <x:c r="K1155" s="18" t="str">
        <x:v>transport-node:63bcb832-d240-5252-9504-023f60debfb3</x:v>
      </x:c>
      <x:c r="L1155" s="19" t="str">
        <x:v>组件待审核</x:v>
      </x:c>
      <x:c r="M1155" s="21" t="n">
        <x:v>35.5361002</x:v>
      </x:c>
      <x:c r="N1155" s="21" t="n">
        <x:v>139.6361318</x:v>
      </x:c>
      <x:c r="O1155" s="18" t="str">
        <x:v>010165</x:v>
      </x:c>
      <x:c r="P1155" s="18" t="str">
        <x:v>東急新横浜線</x:v>
      </x:c>
      <x:c r="Q1155" s="19" t="str">
        <x:v>S12_061_GE_10000</x:v>
      </x:c>
      <x:c r="R1155" s="19" t="str">
        <x:v>S12_061 usage threshold</x:v>
      </x:c>
      <x:c r="S1155" s="19" t="str">
        <x:v>https://nlftp.mlit.go.jp/ksj/gml/datalist/KsjTmplt-S12-2024.html</x:v>
      </x:c>
      <x:c r="T1155" s="19" t="str">
        <x:v>https://nlftp.mlit.go.jp/ksj/gml/datalist/KsjTmplt-S12-2024.html</x:v>
      </x:c>
      <x:c r="U1155" s="19" t="str">
        <x:v>station-component|新綱島|東急電鉄|private_rail|35.5361|139.6361|</x:v>
      </x:c>
      <x:c r="V1155" s="19" t="str">
        <x:v>010165 / 010165 / 東急新横浜線</x:v>
      </x:c>
      <x:c r="W1155" s="18" t="str">
        <x:v>否</x:v>
      </x:c>
      <x:c r="X1155" s="18" t="str">
        <x:v>0785e932a32b3ec15e1a1345537ae145eafe1c07bf38d5c16c11ee2b391e7a28</x:v>
      </x:c>
      <x:c r="Y1155" s="20" t="n">
        <x:v>1</x:v>
      </x:c>
      <x:c r="Z1155" s="20" t="n">
        <x:v>1</x:v>
      </x:c>
      <x:c r="AA1155" s="19"/>
      <x:c r="AB1155" s="18"/>
      <x:c r="AC1155" s="19"/>
    </x:row>
    <x:row r="1156" ht="28" customHeight="1">
      <x:c r="A1156" s="18" t="str">
        <x:v>新羽</x:v>
      </x:c>
      <x:c r="B1156" s="18" t="str">
        <x:v>横浜市</x:v>
      </x:c>
      <x:c r="C1156" s="18" t="str">
        <x:v>metro</x:v>
      </x:c>
      <x:c r="D1156" s="19" t="str">
        <x:v>T2</x:v>
      </x:c>
      <x:c r="E1156" s="20" t="n">
        <x:v>10734</x:v>
      </x:c>
      <x:c r="F1156" s="18" t="str">
        <x:v>persons/day</x:v>
      </x:c>
      <x:c r="G1156" s="18" t="str">
        <x:v>FY2024</x:v>
      </x:c>
      <x:c r="H1156" s="18" t="str">
        <x:v>否</x:v>
      </x:c>
      <x:c r="I1156" s="19" t="str">
        <x:v>DAILY_ENTRIES_EXITS</x:v>
      </x:c>
      <x:c r="J1156" s="19" t="str">
        <x:v>3号線</x:v>
      </x:c>
      <x:c r="K1156" s="18" t="str">
        <x:v>transport-node:eae91a43-5448-5c1f-81ac-ad3215bd122f</x:v>
      </x:c>
      <x:c r="L1156" s="19" t="str">
        <x:v>组件待审核</x:v>
      </x:c>
      <x:c r="M1156" s="21" t="n">
        <x:v>35.52726</x:v>
      </x:c>
      <x:c r="N1156" s="21" t="n">
        <x:v>139.6120533</x:v>
      </x:c>
      <x:c r="O1156" s="18" t="str">
        <x:v>004439</x:v>
      </x:c>
      <x:c r="P1156" s="18" t="str">
        <x:v>3号線</x:v>
      </x:c>
      <x:c r="Q1156" s="19" t="str">
        <x:v>S12_061_GE_10000</x:v>
      </x:c>
      <x:c r="R1156" s="19" t="str">
        <x:v>S12_061 usage threshold</x:v>
      </x:c>
      <x:c r="S1156" s="19" t="str">
        <x:v>https://nlftp.mlit.go.jp/ksj/gml/datalist/KsjTmplt-S12-2024.html</x:v>
      </x:c>
      <x:c r="T1156" s="19" t="str">
        <x:v>https://nlftp.mlit.go.jp/ksj/gml/datalist/KsjTmplt-S12-2024.html</x:v>
      </x:c>
      <x:c r="U1156" s="19" t="str">
        <x:v>station-component|新羽|横浜市|metro|35.5273|139.6121|</x:v>
      </x:c>
      <x:c r="V1156" s="19" t="str">
        <x:v>004439 / 004439 / 3号線</x:v>
      </x:c>
      <x:c r="W1156" s="18" t="str">
        <x:v>否</x:v>
      </x:c>
      <x:c r="X1156" s="18" t="str">
        <x:v>0785e932a32b3ec15e1a1345537ae145eafe1c07bf38d5c16c11ee2b391e7a28</x:v>
      </x:c>
      <x:c r="Y1156" s="20" t="n">
        <x:v>1</x:v>
      </x:c>
      <x:c r="Z1156" s="20" t="n">
        <x:v>1</x:v>
      </x:c>
      <x:c r="AA1156" s="19"/>
      <x:c r="AB1156" s="18"/>
      <x:c r="AC1156" s="19"/>
    </x:row>
    <x:row r="1157" ht="28" customHeight="1">
      <x:c r="A1157" s="18" t="str">
        <x:v>新習志野</x:v>
      </x:c>
      <x:c r="B1157" s="18" t="str">
        <x:v>東日本旅客鉄道</x:v>
      </x:c>
      <x:c r="C1157" s="18" t="str">
        <x:v>conventional_rail</x:v>
      </x:c>
      <x:c r="D1157" s="19" t="str">
        <x:v>T2</x:v>
      </x:c>
      <x:c r="E1157" s="20" t="n">
        <x:v>23084</x:v>
      </x:c>
      <x:c r="F1157" s="18" t="str">
        <x:v>persons/day</x:v>
      </x:c>
      <x:c r="G1157" s="18" t="str">
        <x:v>FY2024</x:v>
      </x:c>
      <x:c r="H1157" s="18" t="str">
        <x:v>否</x:v>
      </x:c>
      <x:c r="I1157" s="19" t="str">
        <x:v>DAILY_ENTRIES_EXITS</x:v>
      </x:c>
      <x:c r="J1157" s="19" t="str">
        <x:v>京葉線</x:v>
      </x:c>
      <x:c r="K1157" s="18" t="str">
        <x:v>transport-node:03a8904b-801b-56ea-b0ab-56fcab93ae62</x:v>
      </x:c>
      <x:c r="L1157" s="19" t="str">
        <x:v>组件待审核</x:v>
      </x:c>
      <x:c r="M1157" s="21" t="n">
        <x:v>35.6674</x:v>
      </x:c>
      <x:c r="N1157" s="21" t="n">
        <x:v>140.012975</x:v>
      </x:c>
      <x:c r="O1157" s="18" t="str">
        <x:v>003863</x:v>
      </x:c>
      <x:c r="P1157" s="18" t="str">
        <x:v>京葉線</x:v>
      </x:c>
      <x:c r="Q1157" s="19" t="str">
        <x:v>S12_061_GE_10000</x:v>
      </x:c>
      <x:c r="R1157" s="19" t="str">
        <x:v>S12_061 usage threshold</x:v>
      </x:c>
      <x:c r="S1157" s="19" t="str">
        <x:v>https://nlftp.mlit.go.jp/ksj/gml/datalist/KsjTmplt-S12-2024.html</x:v>
      </x:c>
      <x:c r="T1157" s="19" t="str">
        <x:v>https://nlftp.mlit.go.jp/ksj/gml/datalist/KsjTmplt-S12-2024.html</x:v>
      </x:c>
      <x:c r="U1157" s="19" t="str">
        <x:v>station-component|新習志野|東日本旅客鉄道|conventional_rail|35.6674|140.0130|</x:v>
      </x:c>
      <x:c r="V1157" s="19" t="str">
        <x:v>003863 / 003863 / 京葉線</x:v>
      </x:c>
      <x:c r="W1157" s="18" t="str">
        <x:v>否</x:v>
      </x:c>
      <x:c r="X1157" s="18" t="str">
        <x:v>0785e932a32b3ec15e1a1345537ae145eafe1c07bf38d5c16c11ee2b391e7a28</x:v>
      </x:c>
      <x:c r="Y1157" s="20" t="n">
        <x:v>1</x:v>
      </x:c>
      <x:c r="Z1157" s="20" t="n">
        <x:v>1</x:v>
      </x:c>
      <x:c r="AA1157" s="19"/>
      <x:c r="AB1157" s="18"/>
      <x:c r="AC1157" s="19"/>
    </x:row>
    <x:row r="1158" ht="28" customHeight="1">
      <x:c r="A1158" s="18" t="str">
        <x:v>新船橋</x:v>
      </x:c>
      <x:c r="B1158" s="18" t="str">
        <x:v>東武鉄道</x:v>
      </x:c>
      <x:c r="C1158" s="18" t="str">
        <x:v>private_rail</x:v>
      </x:c>
      <x:c r="D1158" s="19" t="str">
        <x:v>T2</x:v>
      </x:c>
      <x:c r="E1158" s="20" t="n">
        <x:v>13775</x:v>
      </x:c>
      <x:c r="F1158" s="18" t="str">
        <x:v>persons/day</x:v>
      </x:c>
      <x:c r="G1158" s="18" t="str">
        <x:v>FY2024</x:v>
      </x:c>
      <x:c r="H1158" s="18" t="str">
        <x:v>否</x:v>
      </x:c>
      <x:c r="I1158" s="19" t="str">
        <x:v>DAILY_ENTRIES_EXITS</x:v>
      </x:c>
      <x:c r="J1158" s="19" t="str">
        <x:v>野田線</x:v>
      </x:c>
      <x:c r="K1158" s="18" t="str">
        <x:v>transport-node:f28828f5-52dd-5913-a28b-e76118fd023a</x:v>
      </x:c>
      <x:c r="L1158" s="19" t="str">
        <x:v>组件待审核</x:v>
      </x:c>
      <x:c r="M1158" s="21" t="n">
        <x:v>35.711565</x:v>
      </x:c>
      <x:c r="N1158" s="21" t="n">
        <x:v>139.97982</x:v>
      </x:c>
      <x:c r="O1158" s="18" t="str">
        <x:v>003518</x:v>
      </x:c>
      <x:c r="P1158" s="18" t="str">
        <x:v>野田線</x:v>
      </x:c>
      <x:c r="Q1158" s="19" t="str">
        <x:v>S12_061_GE_10000</x:v>
      </x:c>
      <x:c r="R1158" s="19" t="str">
        <x:v>S12_061 usage threshold</x:v>
      </x:c>
      <x:c r="S1158" s="19" t="str">
        <x:v>https://nlftp.mlit.go.jp/ksj/gml/datalist/KsjTmplt-S12-2024.html</x:v>
      </x:c>
      <x:c r="T1158" s="19" t="str">
        <x:v>https://nlftp.mlit.go.jp/ksj/gml/datalist/KsjTmplt-S12-2024.html</x:v>
      </x:c>
      <x:c r="U1158" s="19" t="str">
        <x:v>station-component|新船橋|東武鉄道|private_rail|35.7116|139.9798|</x:v>
      </x:c>
      <x:c r="V1158" s="19" t="str">
        <x:v>003518 / 003518 / 野田線</x:v>
      </x:c>
      <x:c r="W1158" s="18" t="str">
        <x:v>否</x:v>
      </x:c>
      <x:c r="X1158" s="18" t="str">
        <x:v>0785e932a32b3ec15e1a1345537ae145eafe1c07bf38d5c16c11ee2b391e7a28</x:v>
      </x:c>
      <x:c r="Y1158" s="20" t="n">
        <x:v>1</x:v>
      </x:c>
      <x:c r="Z1158" s="20" t="n">
        <x:v>1</x:v>
      </x:c>
      <x:c r="AA1158" s="19"/>
      <x:c r="AB1158" s="18"/>
      <x:c r="AC1158" s="19"/>
    </x:row>
    <x:row r="1159" ht="33" customHeight="1">
      <x:c r="A1159" s="18" t="str">
        <x:v>新花巻</x:v>
      </x:c>
      <x:c r="B1159" s="18" t="str">
        <x:v>東日本旅客鉄道</x:v>
      </x:c>
      <x:c r="C1159" s="18" t="str">
        <x:v>shinkansen</x:v>
      </x:c>
      <x:c r="D1159" s="19" t="str">
        <x:v>T3</x:v>
      </x:c>
      <x:c r="E1159" s="20" t="n">
        <x:v>1522</x:v>
      </x:c>
      <x:c r="F1159" s="18" t="str">
        <x:v>persons/day</x:v>
      </x:c>
      <x:c r="G1159" s="18" t="str">
        <x:v>FY2024</x:v>
      </x:c>
      <x:c r="H1159" s="18" t="str">
        <x:v>否</x:v>
      </x:c>
      <x:c r="I1159" s="19" t="str">
        <x:v>DAILY_ENTRIES_EXITS</x:v>
      </x:c>
      <x:c r="J1159" s="19" t="str">
        <x:v>東北新幹線</x:v>
      </x:c>
      <x:c r="K1159" s="18" t="str">
        <x:v>transport-node:6f8075c2-a3e2-5c81-825a-9dd6c03e970a</x:v>
      </x:c>
      <x:c r="L1159" s="19" t="str">
        <x:v>组件待审核</x:v>
      </x:c>
      <x:c r="M1159" s="21" t="n">
        <x:v>39.4065</x:v>
      </x:c>
      <x:c r="N1159" s="21" t="n">
        <x:v>141.173615</x:v>
      </x:c>
      <x:c r="O1159" s="18" t="str">
        <x:v>000863</x:v>
      </x:c>
      <x:c r="P1159" s="18" t="str">
        <x:v>東北新幹線</x:v>
      </x:c>
      <x:c r="Q1159" s="19" t="str">
        <x:v>SHINKANSEN</x:v>
      </x:c>
      <x:c r="R1159" s="19" t="str">
        <x:v>S12_061 usage threshold; low-flow inclusion justified by Shinkansen inventory</x:v>
      </x:c>
      <x:c r="S1159" s="19" t="str">
        <x:v>https://nlftp.mlit.go.jp/ksj/gml/datalist/KsjTmplt-S12-2024.html</x:v>
      </x:c>
      <x:c r="T1159" s="19" t="str">
        <x:v>https://nlftp.mlit.go.jp/ksj/gml/datalist/KsjTmplt-S12-2024.html</x:v>
      </x:c>
      <x:c r="U1159" s="19" t="str">
        <x:v>station-component|新花巻|東日本旅客鉄道|shinkansen|39.4065|141.1736|</x:v>
      </x:c>
      <x:c r="V1159" s="19" t="str">
        <x:v>000863 / 000863 / 東北新幹線</x:v>
      </x:c>
      <x:c r="W1159" s="18" t="str">
        <x:v>否</x:v>
      </x:c>
      <x:c r="X1159" s="18" t="str">
        <x:v>0785e932a32b3ec15e1a1345537ae145eafe1c07bf38d5c16c11ee2b391e7a28</x:v>
      </x:c>
      <x:c r="Y1159" s="20" t="n">
        <x:v>1</x:v>
      </x:c>
      <x:c r="Z1159" s="20" t="n">
        <x:v>1</x:v>
      </x:c>
      <x:c r="AA1159" s="19"/>
      <x:c r="AB1159" s="18"/>
      <x:c r="AC1159" s="19"/>
    </x:row>
    <x:row r="1160" ht="28" customHeight="1">
      <x:c r="A1160" s="18" t="str">
        <x:v>新豊橋</x:v>
      </x:c>
      <x:c r="B1160" s="18" t="str">
        <x:v>豊橋鉄道</x:v>
      </x:c>
      <x:c r="C1160" s="18" t="str">
        <x:v>private_rail</x:v>
      </x:c>
      <x:c r="D1160" s="19" t="str">
        <x:v>T2</x:v>
      </x:c>
      <x:c r="E1160" s="20" t="n">
        <x:v>16307</x:v>
      </x:c>
      <x:c r="F1160" s="18" t="str">
        <x:v>persons/day</x:v>
      </x:c>
      <x:c r="G1160" s="18" t="str">
        <x:v>FY2024</x:v>
      </x:c>
      <x:c r="H1160" s="18" t="str">
        <x:v>否</x:v>
      </x:c>
      <x:c r="I1160" s="19" t="str">
        <x:v>DAILY_ENTRIES_EXITS</x:v>
      </x:c>
      <x:c r="J1160" s="19" t="str">
        <x:v>渥美線</x:v>
      </x:c>
      <x:c r="K1160" s="18" t="str">
        <x:v>transport-node:37790f32-5476-515b-8b86-b35a694271af</x:v>
      </x:c>
      <x:c r="L1160" s="19" t="str">
        <x:v>组件待审核</x:v>
      </x:c>
      <x:c r="M1160" s="21" t="n">
        <x:v>34.76226</x:v>
      </x:c>
      <x:c r="N1160" s="21" t="n">
        <x:v>137.383375</x:v>
      </x:c>
      <x:c r="O1160" s="18" t="str">
        <x:v>006789</x:v>
      </x:c>
      <x:c r="P1160" s="18" t="str">
        <x:v>渥美線</x:v>
      </x:c>
      <x:c r="Q1160" s="19" t="str">
        <x:v>S12_061_GE_10000</x:v>
      </x:c>
      <x:c r="R1160" s="19" t="str">
        <x:v>S12_061 usage threshold</x:v>
      </x:c>
      <x:c r="S1160" s="19" t="str">
        <x:v>https://nlftp.mlit.go.jp/ksj/gml/datalist/KsjTmplt-S12-2024.html</x:v>
      </x:c>
      <x:c r="T1160" s="19" t="str">
        <x:v>https://nlftp.mlit.go.jp/ksj/gml/datalist/KsjTmplt-S12-2024.html</x:v>
      </x:c>
      <x:c r="U1160" s="19" t="str">
        <x:v>station-component|新豊橋|豊橋鉄道|private_rail|34.7623|137.3834|</x:v>
      </x:c>
      <x:c r="V1160" s="19" t="str">
        <x:v>006789 / 006789 / 渥美線</x:v>
      </x:c>
      <x:c r="W1160" s="18" t="str">
        <x:v>否</x:v>
      </x:c>
      <x:c r="X1160" s="18" t="str">
        <x:v>0785e932a32b3ec15e1a1345537ae145eafe1c07bf38d5c16c11ee2b391e7a28</x:v>
      </x:c>
      <x:c r="Y1160" s="20" t="n">
        <x:v>1</x:v>
      </x:c>
      <x:c r="Z1160" s="20" t="n">
        <x:v>1</x:v>
      </x:c>
      <x:c r="AA1160" s="19"/>
      <x:c r="AB1160" s="18"/>
      <x:c r="AC1160" s="19"/>
    </x:row>
    <x:row r="1161" ht="28" customHeight="1">
      <x:c r="A1161" s="18" t="str">
        <x:v>新豊洲</x:v>
      </x:c>
      <x:c r="B1161" s="18" t="str">
        <x:v>ゆりかもめ</x:v>
      </x:c>
      <x:c r="C1161" s="18" t="str">
        <x:v>fixed_guideway</x:v>
      </x:c>
      <x:c r="D1161" s="19" t="str">
        <x:v>T2</x:v>
      </x:c>
      <x:c r="E1161" s="20" t="n">
        <x:v>10511</x:v>
      </x:c>
      <x:c r="F1161" s="18" t="str">
        <x:v>persons/day</x:v>
      </x:c>
      <x:c r="G1161" s="18" t="str">
        <x:v>FY2024</x:v>
      </x:c>
      <x:c r="H1161" s="18" t="str">
        <x:v>否</x:v>
      </x:c>
      <x:c r="I1161" s="19" t="str">
        <x:v>DAILY_ENTRIES_EXITS</x:v>
      </x:c>
      <x:c r="J1161" s="19" t="str">
        <x:v>東京臨海新交通臨海線</x:v>
      </x:c>
      <x:c r="K1161" s="18" t="str">
        <x:v>transport-node:955e72eb-3259-5d06-8fc5-4a400ed2bc71</x:v>
      </x:c>
      <x:c r="L1161" s="19" t="str">
        <x:v>组件待审核</x:v>
      </x:c>
      <x:c r="M1161" s="21" t="n">
        <x:v>35.64871</x:v>
      </x:c>
      <x:c r="N1161" s="21" t="n">
        <x:v>139.790115</x:v>
      </x:c>
      <x:c r="O1161" s="18" t="str">
        <x:v>003981</x:v>
      </x:c>
      <x:c r="P1161" s="18" t="str">
        <x:v>東京臨海新交通臨海線</x:v>
      </x:c>
      <x:c r="Q1161" s="19" t="str">
        <x:v>S12_061_GE_10000</x:v>
      </x:c>
      <x:c r="R1161" s="19" t="str">
        <x:v>S12_061 usage threshold</x:v>
      </x:c>
      <x:c r="S1161" s="19" t="str">
        <x:v>https://nlftp.mlit.go.jp/ksj/gml/datalist/KsjTmplt-S12-2024.html</x:v>
      </x:c>
      <x:c r="T1161" s="19" t="str">
        <x:v>https://nlftp.mlit.go.jp/ksj/gml/datalist/KsjTmplt-S12-2024.html</x:v>
      </x:c>
      <x:c r="U1161" s="19" t="str">
        <x:v>station-component|新豊洲|ゆりかもめ|fixed_guideway|35.6487|139.7901|</x:v>
      </x:c>
      <x:c r="V1161" s="19" t="str">
        <x:v>003981 / 003981 / 東京臨海新交通臨海線</x:v>
      </x:c>
      <x:c r="W1161" s="18" t="str">
        <x:v>否</x:v>
      </x:c>
      <x:c r="X1161" s="18" t="str">
        <x:v>0785e932a32b3ec15e1a1345537ae145eafe1c07bf38d5c16c11ee2b391e7a28</x:v>
      </x:c>
      <x:c r="Y1161" s="20" t="n">
        <x:v>1</x:v>
      </x:c>
      <x:c r="Z1161" s="20" t="n">
        <x:v>1</x:v>
      </x:c>
      <x:c r="AA1161" s="19"/>
      <x:c r="AB1161" s="18"/>
      <x:c r="AC1161" s="19"/>
    </x:row>
    <x:row r="1162" ht="28" customHeight="1">
      <x:c r="A1162" s="18" t="str">
        <x:v>新豊田</x:v>
      </x:c>
      <x:c r="B1162" s="18" t="str">
        <x:v>愛知環状鉄道</x:v>
      </x:c>
      <x:c r="C1162" s="18" t="str">
        <x:v>private_rail</x:v>
      </x:c>
      <x:c r="D1162" s="19" t="str">
        <x:v>T2</x:v>
      </x:c>
      <x:c r="E1162" s="20" t="n">
        <x:v>12728</x:v>
      </x:c>
      <x:c r="F1162" s="18" t="str">
        <x:v>persons/day</x:v>
      </x:c>
      <x:c r="G1162" s="18" t="str">
        <x:v>FY2024</x:v>
      </x:c>
      <x:c r="H1162" s="18" t="str">
        <x:v>否</x:v>
      </x:c>
      <x:c r="I1162" s="19" t="str">
        <x:v>DAILY_ENTRIES_EXITS</x:v>
      </x:c>
      <x:c r="J1162" s="19" t="str">
        <x:v>愛知環状鉄道線</x:v>
      </x:c>
      <x:c r="K1162" s="18" t="str">
        <x:v>transport-node:f5984868-a37e-5e31-9d27-30662d8ee0c0</x:v>
      </x:c>
      <x:c r="L1162" s="19" t="str">
        <x:v>组件待审核</x:v>
      </x:c>
      <x:c r="M1162" s="21" t="n">
        <x:v>35.0878786</x:v>
      </x:c>
      <x:c r="N1162" s="21" t="n">
        <x:v>137.1535414</x:v>
      </x:c>
      <x:c r="O1162" s="18" t="str">
        <x:v>005730</x:v>
      </x:c>
      <x:c r="P1162" s="18" t="str">
        <x:v>愛知環状鉄道線</x:v>
      </x:c>
      <x:c r="Q1162" s="19" t="str">
        <x:v>S12_061_GE_10000</x:v>
      </x:c>
      <x:c r="R1162" s="19" t="str">
        <x:v>S12_061 usage threshold</x:v>
      </x:c>
      <x:c r="S1162" s="19" t="str">
        <x:v>https://nlftp.mlit.go.jp/ksj/gml/datalist/KsjTmplt-S12-2024.html</x:v>
      </x:c>
      <x:c r="T1162" s="19" t="str">
        <x:v>https://nlftp.mlit.go.jp/ksj/gml/datalist/KsjTmplt-S12-2024.html</x:v>
      </x:c>
      <x:c r="U1162" s="19" t="str">
        <x:v>station-component|新豊田|愛知環状鉄道|private_rail|35.0879|137.1535|</x:v>
      </x:c>
      <x:c r="V1162" s="19" t="str">
        <x:v>005730 / 005730 / 愛知環状鉄道線</x:v>
      </x:c>
      <x:c r="W1162" s="18" t="str">
        <x:v>否</x:v>
      </x:c>
      <x:c r="X1162" s="18" t="str">
        <x:v>0785e932a32b3ec15e1a1345537ae145eafe1c07bf38d5c16c11ee2b391e7a28</x:v>
      </x:c>
      <x:c r="Y1162" s="20" t="n">
        <x:v>1</x:v>
      </x:c>
      <x:c r="Z1162" s="20" t="n">
        <x:v>1</x:v>
      </x:c>
      <x:c r="AA1162" s="19"/>
      <x:c r="AB1162" s="18"/>
      <x:c r="AC1162" s="19"/>
    </x:row>
    <x:row r="1163" ht="33" customHeight="1">
      <x:c r="A1163" s="18" t="str">
        <x:v>新越谷</x:v>
      </x:c>
      <x:c r="B1163" s="18" t="str">
        <x:v>東武鉄道</x:v>
      </x:c>
      <x:c r="C1163" s="18" t="str">
        <x:v>private_rail</x:v>
      </x:c>
      <x:c r="D1163" s="19" t="str">
        <x:v>T1</x:v>
      </x:c>
      <x:c r="E1163" s="20" t="n">
        <x:v>143083</x:v>
      </x:c>
      <x:c r="F1163" s="18" t="str">
        <x:v>persons/day</x:v>
      </x:c>
      <x:c r="G1163" s="18" t="str">
        <x:v>FY2024</x:v>
      </x:c>
      <x:c r="H1163" s="18" t="str">
        <x:v>否</x:v>
      </x:c>
      <x:c r="I1163" s="19" t="str">
        <x:v>DAILY_ENTRIES_EXITS</x:v>
      </x:c>
      <x:c r="J1163" s="19" t="str">
        <x:v>伊勢崎線</x:v>
      </x:c>
      <x:c r="K1163" s="18" t="str">
        <x:v>transport-node:8810a2d4-b343-54dd-90d7-6a6eb4ca0a95</x:v>
      </x:c>
      <x:c r="L1163" s="19" t="str">
        <x:v>组件待审核</x:v>
      </x:c>
      <x:c r="M1163" s="21" t="n">
        <x:v>35.875565</x:v>
      </x:c>
      <x:c r="N1163" s="21" t="n">
        <x:v>139.789815</x:v>
      </x:c>
      <x:c r="O1163" s="18" t="str">
        <x:v>002960</x:v>
      </x:c>
      <x:c r="P1163" s="18" t="str">
        <x:v>伊勢崎線</x:v>
      </x:c>
      <x:c r="Q1163" s="19" t="str">
        <x:v>S12_061_GE_10000
OFFICIAL_HUB_COMPONENT_REVIEW</x:v>
      </x:c>
      <x:c r="R1163" s="19" t="str">
        <x:v>S12_061 usage threshold</x:v>
      </x:c>
      <x:c r="S1163" s="19" t="str">
        <x:v>https://nlftp.mlit.go.jp/ksj/gml/datalist/KsjTmplt-S12-2024.html</x:v>
      </x:c>
      <x:c r="T1163" s="19" t="str">
        <x:v>https://nlftp.mlit.go.jp/ksj/gml/datalist/KsjTmplt-S12-2024.html
https://www.tobu.co.jp/railway/guide/station/info/1408/</x:v>
      </x:c>
      <x:c r="U1163" s="19" t="str">
        <x:v>station-component|新越谷|東武鉄道|private_rail|35.8756|139.7898|</x:v>
      </x:c>
      <x:c r="V1163" s="19" t="str">
        <x:v>002960 / 002960 / 伊勢崎線</x:v>
      </x:c>
      <x:c r="W1163" s="18" t="str">
        <x:v>否</x:v>
      </x:c>
      <x:c r="X1163" s="18" t="str">
        <x:v>0785e932a32b3ec15e1a1345537ae145eafe1c07bf38d5c16c11ee2b391e7a28</x:v>
      </x:c>
      <x:c r="Y1163" s="20" t="n">
        <x:v>1</x:v>
      </x:c>
      <x:c r="Z1163" s="20" t="n">
        <x:v>1</x:v>
      </x:c>
      <x:c r="AA1163" s="19" t="str">
        <x:v>新越谷・南越谷</x:v>
      </x:c>
      <x:c r="AB1163" s="18" t="str">
        <x:v>transport-hub-review:33809c3c-d079-588d-8619-edd2d701012f</x:v>
      </x:c>
      <x:c r="AC1163" s="19"/>
    </x:row>
    <x:row r="1164" ht="28" customHeight="1">
      <x:c r="A1164" s="18" t="str">
        <x:v>新道東</x:v>
      </x:c>
      <x:c r="B1164" s="18" t="str">
        <x:v>札幌市</x:v>
      </x:c>
      <x:c r="C1164" s="18" t="str">
        <x:v>metro</x:v>
      </x:c>
      <x:c r="D1164" s="19" t="str">
        <x:v>T2</x:v>
      </x:c>
      <x:c r="E1164" s="20" t="n">
        <x:v>15528</x:v>
      </x:c>
      <x:c r="F1164" s="18" t="str">
        <x:v>persons/day</x:v>
      </x:c>
      <x:c r="G1164" s="18" t="str">
        <x:v>FY2024</x:v>
      </x:c>
      <x:c r="H1164" s="18" t="str">
        <x:v>否</x:v>
      </x:c>
      <x:c r="I1164" s="19" t="str">
        <x:v>DAILY_ENTRIES_EXITS</x:v>
      </x:c>
      <x:c r="J1164" s="19" t="str">
        <x:v>東豊線</x:v>
      </x:c>
      <x:c r="K1164" s="18" t="str">
        <x:v>transport-node:118866e8-738f-50be-9cb0-0ab4832294fb</x:v>
      </x:c>
      <x:c r="L1164" s="19" t="str">
        <x:v>组件待审核</x:v>
      </x:c>
      <x:c r="M1164" s="21" t="n">
        <x:v>43.1046267</x:v>
      </x:c>
      <x:c r="N1164" s="21" t="n">
        <x:v>141.3691967</x:v>
      </x:c>
      <x:c r="O1164" s="18" t="str">
        <x:v>000199</x:v>
      </x:c>
      <x:c r="P1164" s="18" t="str">
        <x:v>東豊線</x:v>
      </x:c>
      <x:c r="Q1164" s="19" t="str">
        <x:v>S12_061_GE_10000</x:v>
      </x:c>
      <x:c r="R1164" s="19" t="str">
        <x:v>S12_061 usage threshold</x:v>
      </x:c>
      <x:c r="S1164" s="19" t="str">
        <x:v>https://nlftp.mlit.go.jp/ksj/gml/datalist/KsjTmplt-S12-2024.html</x:v>
      </x:c>
      <x:c r="T1164" s="19" t="str">
        <x:v>https://nlftp.mlit.go.jp/ksj/gml/datalist/KsjTmplt-S12-2024.html</x:v>
      </x:c>
      <x:c r="U1164" s="19" t="str">
        <x:v>station-component|新道東|札幌市|metro|43.1046|141.3692|</x:v>
      </x:c>
      <x:c r="V1164" s="19" t="str">
        <x:v>000199 / 000199 / 東豊線</x:v>
      </x:c>
      <x:c r="W1164" s="18" t="str">
        <x:v>否</x:v>
      </x:c>
      <x:c r="X1164" s="18" t="str">
        <x:v>0785e932a32b3ec15e1a1345537ae145eafe1c07bf38d5c16c11ee2b391e7a28</x:v>
      </x:c>
      <x:c r="Y1164" s="20" t="n">
        <x:v>1</x:v>
      </x:c>
      <x:c r="Z1164" s="20" t="n">
        <x:v>1</x:v>
      </x:c>
      <x:c r="AA1164" s="19"/>
      <x:c r="AB1164" s="18"/>
      <x:c r="AC1164" s="19"/>
    </x:row>
    <x:row r="1165" ht="28" customHeight="1">
      <x:c r="A1165" s="18" t="str">
        <x:v>新金岡</x:v>
      </x:c>
      <x:c r="B1165" s="18" t="str">
        <x:v>大阪市高速電気軌道</x:v>
      </x:c>
      <x:c r="C1165" s="18" t="str">
        <x:v>metro</x:v>
      </x:c>
      <x:c r="D1165" s="19" t="str">
        <x:v>T2</x:v>
      </x:c>
      <x:c r="E1165" s="20" t="n">
        <x:v>20330</x:v>
      </x:c>
      <x:c r="F1165" s="18" t="str">
        <x:v>persons/day</x:v>
      </x:c>
      <x:c r="G1165" s="18" t="str">
        <x:v>FY2024</x:v>
      </x:c>
      <x:c r="H1165" s="18" t="str">
        <x:v>否</x:v>
      </x:c>
      <x:c r="I1165" s="19" t="str">
        <x:v>DAILY_ENTRIES_EXITS</x:v>
      </x:c>
      <x:c r="J1165" s="19" t="str">
        <x:v>1号線(御堂筋線)</x:v>
      </x:c>
      <x:c r="K1165" s="18" t="str">
        <x:v>transport-node:0a997538-8575-50ae-8911-e520dd6c5ca4</x:v>
      </x:c>
      <x:c r="L1165" s="19" t="str">
        <x:v>组件待审核</x:v>
      </x:c>
      <x:c r="M1165" s="21" t="n">
        <x:v>34.5682</x:v>
      </x:c>
      <x:c r="N1165" s="21" t="n">
        <x:v>135.51527</x:v>
      </x:c>
      <x:c r="O1165" s="18" t="str">
        <x:v>007690</x:v>
      </x:c>
      <x:c r="P1165" s="18" t="str">
        <x:v>1号線(御堂筋線)</x:v>
      </x:c>
      <x:c r="Q1165" s="19" t="str">
        <x:v>S12_061_GE_10000</x:v>
      </x:c>
      <x:c r="R1165" s="19" t="str">
        <x:v>S12_061 usage threshold</x:v>
      </x:c>
      <x:c r="S1165" s="19" t="str">
        <x:v>https://nlftp.mlit.go.jp/ksj/gml/datalist/KsjTmplt-S12-2024.html</x:v>
      </x:c>
      <x:c r="T1165" s="19" t="str">
        <x:v>https://nlftp.mlit.go.jp/ksj/gml/datalist/KsjTmplt-S12-2024.html</x:v>
      </x:c>
      <x:c r="U1165" s="19" t="str">
        <x:v>station-component|新金岡|大阪市高速電気軌道|metro|34.5682|135.5153|</x:v>
      </x:c>
      <x:c r="V1165" s="19" t="str">
        <x:v>007690 / 007690 / 1号線(御堂筋線)</x:v>
      </x:c>
      <x:c r="W1165" s="18" t="str">
        <x:v>否</x:v>
      </x:c>
      <x:c r="X1165" s="18" t="str">
        <x:v>0785e932a32b3ec15e1a1345537ae145eafe1c07bf38d5c16c11ee2b391e7a28</x:v>
      </x:c>
      <x:c r="Y1165" s="20" t="n">
        <x:v>1</x:v>
      </x:c>
      <x:c r="Z1165" s="20" t="n">
        <x:v>1</x:v>
      </x:c>
      <x:c r="AA1165" s="19"/>
      <x:c r="AB1165" s="18"/>
      <x:c r="AC1165" s="19"/>
    </x:row>
    <x:row r="1166" ht="28" customHeight="1">
      <x:c r="A1166" s="18" t="str">
        <x:v>新鎌ヶ谷</x:v>
      </x:c>
      <x:c r="B1166" s="18" t="str">
        <x:v>北総鉄道</x:v>
      </x:c>
      <x:c r="C1166" s="18" t="str">
        <x:v>private_rail</x:v>
      </x:c>
      <x:c r="D1166" s="19" t="str">
        <x:v>T2</x:v>
      </x:c>
      <x:c r="E1166" s="20" t="n">
        <x:v>27254</x:v>
      </x:c>
      <x:c r="F1166" s="18" t="str">
        <x:v>persons/day</x:v>
      </x:c>
      <x:c r="G1166" s="18" t="str">
        <x:v>FY2024</x:v>
      </x:c>
      <x:c r="H1166" s="18" t="str">
        <x:v>否</x:v>
      </x:c>
      <x:c r="I1166" s="19" t="str">
        <x:v>DAILY_ENTRIES_EXITS</x:v>
      </x:c>
      <x:c r="J1166" s="19" t="str">
        <x:v>北総線</x:v>
      </x:c>
      <x:c r="K1166" s="18" t="str">
        <x:v>transport-node:a9027269-da68-50ae-8b22-66c5284a6e95</x:v>
      </x:c>
      <x:c r="L1166" s="19" t="str">
        <x:v>组件待审核</x:v>
      </x:c>
      <x:c r="M1166" s="21" t="n">
        <x:v>35.77961</x:v>
      </x:c>
      <x:c r="N1166" s="21" t="n">
        <x:v>139.998355</x:v>
      </x:c>
      <x:c r="O1166" s="18" t="str">
        <x:v>003147</x:v>
      </x:c>
      <x:c r="P1166" s="18" t="str">
        <x:v>北総線</x:v>
      </x:c>
      <x:c r="Q1166" s="19" t="str">
        <x:v>S12_061_GE_10000</x:v>
      </x:c>
      <x:c r="R1166" s="19" t="str">
        <x:v>S12_061 usage threshold</x:v>
      </x:c>
      <x:c r="S1166" s="19" t="str">
        <x:v>https://nlftp.mlit.go.jp/ksj/gml/datalist/KsjTmplt-S12-2024.html</x:v>
      </x:c>
      <x:c r="T1166" s="19" t="str">
        <x:v>https://nlftp.mlit.go.jp/ksj/gml/datalist/KsjTmplt-S12-2024.html</x:v>
      </x:c>
      <x:c r="U1166" s="19" t="str">
        <x:v>station-component|新鎌ヶ谷|北総鉄道|private_rail|35.7796|139.9984|</x:v>
      </x:c>
      <x:c r="V1166" s="19" t="str">
        <x:v>003146 / 003147 / 北総線</x:v>
      </x:c>
      <x:c r="W1166" s="18" t="str">
        <x:v>否</x:v>
      </x:c>
      <x:c r="X1166" s="18" t="str">
        <x:v>0785e932a32b3ec15e1a1345537ae145eafe1c07bf38d5c16c11ee2b391e7a28</x:v>
      </x:c>
      <x:c r="Y1166" s="20" t="n">
        <x:v>1</x:v>
      </x:c>
      <x:c r="Z1166" s="20" t="n">
        <x:v>1</x:v>
      </x:c>
      <x:c r="AA1166" s="19"/>
      <x:c r="AB1166" s="18"/>
      <x:c r="AC1166" s="19"/>
    </x:row>
    <x:row r="1167" ht="28" customHeight="1">
      <x:c r="A1167" s="18" t="str">
        <x:v>新鎌ヶ谷</x:v>
      </x:c>
      <x:c r="B1167" s="18" t="str">
        <x:v>新京成電鉄</x:v>
      </x:c>
      <x:c r="C1167" s="18" t="str">
        <x:v>private_rail</x:v>
      </x:c>
      <x:c r="D1167" s="19" t="str">
        <x:v>T2</x:v>
      </x:c>
      <x:c r="E1167" s="20" t="n">
        <x:v>37305</x:v>
      </x:c>
      <x:c r="F1167" s="18" t="str">
        <x:v>persons/day</x:v>
      </x:c>
      <x:c r="G1167" s="18" t="str">
        <x:v>FY2024</x:v>
      </x:c>
      <x:c r="H1167" s="18" t="str">
        <x:v>否</x:v>
      </x:c>
      <x:c r="I1167" s="19" t="str">
        <x:v>DAILY_ENTRIES_EXITS</x:v>
      </x:c>
      <x:c r="J1167" s="19" t="str">
        <x:v>新京成線</x:v>
      </x:c>
      <x:c r="K1167" s="18" t="str">
        <x:v>transport-node:f53ca722-97ab-5923-81d0-7128592e8d51</x:v>
      </x:c>
      <x:c r="L1167" s="19" t="str">
        <x:v>组件待审核</x:v>
      </x:c>
      <x:c r="M1167" s="21" t="n">
        <x:v>35.77924</x:v>
      </x:c>
      <x:c r="N1167" s="21" t="n">
        <x:v>139.998655</x:v>
      </x:c>
      <x:c r="O1167" s="18" t="str">
        <x:v>003149</x:v>
      </x:c>
      <x:c r="P1167" s="18" t="str">
        <x:v>新京成線</x:v>
      </x:c>
      <x:c r="Q1167" s="19" t="str">
        <x:v>S12_061_GE_10000</x:v>
      </x:c>
      <x:c r="R1167" s="19" t="str">
        <x:v>S12_061 usage threshold</x:v>
      </x:c>
      <x:c r="S1167" s="19" t="str">
        <x:v>https://nlftp.mlit.go.jp/ksj/gml/datalist/KsjTmplt-S12-2024.html</x:v>
      </x:c>
      <x:c r="T1167" s="19" t="str">
        <x:v>https://nlftp.mlit.go.jp/ksj/gml/datalist/KsjTmplt-S12-2024.html</x:v>
      </x:c>
      <x:c r="U1167" s="19" t="str">
        <x:v>station-component|新鎌ヶ谷|新京成電鉄|private_rail|35.7792|139.9987|</x:v>
      </x:c>
      <x:c r="V1167" s="19" t="str">
        <x:v>003146 / 003149 / 新京成線</x:v>
      </x:c>
      <x:c r="W1167" s="18" t="str">
        <x:v>否</x:v>
      </x:c>
      <x:c r="X1167" s="18" t="str">
        <x:v>0785e932a32b3ec15e1a1345537ae145eafe1c07bf38d5c16c11ee2b391e7a28</x:v>
      </x:c>
      <x:c r="Y1167" s="20" t="n">
        <x:v>1</x:v>
      </x:c>
      <x:c r="Z1167" s="20" t="n">
        <x:v>1</x:v>
      </x:c>
      <x:c r="AA1167" s="19"/>
      <x:c r="AB1167" s="18"/>
      <x:c r="AC1167" s="19"/>
    </x:row>
    <x:row r="1168" ht="28" customHeight="1">
      <x:c r="A1168" s="18" t="str">
        <x:v>新鎌ヶ谷</x:v>
      </x:c>
      <x:c r="B1168" s="18" t="str">
        <x:v>東武鉄道</x:v>
      </x:c>
      <x:c r="C1168" s="18" t="str">
        <x:v>private_rail</x:v>
      </x:c>
      <x:c r="D1168" s="19" t="str">
        <x:v>T2</x:v>
      </x:c>
      <x:c r="E1168" s="20" t="n">
        <x:v>45567</x:v>
      </x:c>
      <x:c r="F1168" s="18" t="str">
        <x:v>persons/day</x:v>
      </x:c>
      <x:c r="G1168" s="18" t="str">
        <x:v>FY2024</x:v>
      </x:c>
      <x:c r="H1168" s="18" t="str">
        <x:v>否</x:v>
      </x:c>
      <x:c r="I1168" s="19" t="str">
        <x:v>DAILY_ENTRIES_EXITS</x:v>
      </x:c>
      <x:c r="J1168" s="19" t="str">
        <x:v>野田線</x:v>
      </x:c>
      <x:c r="K1168" s="18" t="str">
        <x:v>transport-node:6645586c-04f2-53bb-8d5b-7fcba03db663</x:v>
      </x:c>
      <x:c r="L1168" s="19" t="str">
        <x:v>组件待审核</x:v>
      </x:c>
      <x:c r="M1168" s="21" t="n">
        <x:v>35.78077</x:v>
      </x:c>
      <x:c r="N1168" s="21" t="n">
        <x:v>139.9994767</x:v>
      </x:c>
      <x:c r="O1168" s="18" t="str">
        <x:v>003145</x:v>
      </x:c>
      <x:c r="P1168" s="18" t="str">
        <x:v>野田線</x:v>
      </x:c>
      <x:c r="Q1168" s="19" t="str">
        <x:v>S12_061_GE_10000</x:v>
      </x:c>
      <x:c r="R1168" s="19" t="str">
        <x:v>S12_061 usage threshold</x:v>
      </x:c>
      <x:c r="S1168" s="19" t="str">
        <x:v>https://nlftp.mlit.go.jp/ksj/gml/datalist/KsjTmplt-S12-2024.html</x:v>
      </x:c>
      <x:c r="T1168" s="19" t="str">
        <x:v>https://nlftp.mlit.go.jp/ksj/gml/datalist/KsjTmplt-S12-2024.html</x:v>
      </x:c>
      <x:c r="U1168" s="19" t="str">
        <x:v>station-component|新鎌ヶ谷|東武鉄道|private_rail|35.7808|139.9995|</x:v>
      </x:c>
      <x:c r="V1168" s="19" t="str">
        <x:v>003146 / 003145 / 野田線</x:v>
      </x:c>
      <x:c r="W1168" s="18" t="str">
        <x:v>否</x:v>
      </x:c>
      <x:c r="X1168" s="18" t="str">
        <x:v>0785e932a32b3ec15e1a1345537ae145eafe1c07bf38d5c16c11ee2b391e7a28</x:v>
      </x:c>
      <x:c r="Y1168" s="20" t="n">
        <x:v>1</x:v>
      </x:c>
      <x:c r="Z1168" s="20" t="n">
        <x:v>1</x:v>
      </x:c>
      <x:c r="AA1168" s="19"/>
      <x:c r="AB1168" s="18"/>
      <x:c r="AC1168" s="19"/>
    </x:row>
    <x:row r="1169" ht="47" customHeight="1">
      <x:c r="A1169" s="18" t="str">
        <x:v>新長田</x:v>
      </x:c>
      <x:c r="B1169" s="18" t="str">
        <x:v>神戸市</x:v>
      </x:c>
      <x:c r="C1169" s="18" t="str">
        <x:v>metro</x:v>
      </x:c>
      <x:c r="D1169" s="19" t="str">
        <x:v>T2</x:v>
      </x:c>
      <x:c r="E1169" s="20" t="n">
        <x:v>27793</x:v>
      </x:c>
      <x:c r="F1169" s="18" t="str">
        <x:v>persons/day</x:v>
      </x:c>
      <x:c r="G1169" s="18" t="str">
        <x:v>FY2024</x:v>
      </x:c>
      <x:c r="H1169" s="18" t="str">
        <x:v>否</x:v>
      </x:c>
      <x:c r="I1169" s="19" t="str">
        <x:v>DAILY_ENTRIES_EXITS</x:v>
      </x:c>
      <x:c r="J1169" s="19" t="str">
        <x:v>山手線
海岸線
西神線</x:v>
      </x:c>
      <x:c r="K1169" s="18" t="str">
        <x:v>transport-node:ccaf45da-3d18-5d4b-b4d5-c5f6054a2820</x:v>
      </x:c>
      <x:c r="L1169" s="19" t="str">
        <x:v>组件待审核</x:v>
      </x:c>
      <x:c r="M1169" s="21" t="n">
        <x:v>34.658315</x:v>
      </x:c>
      <x:c r="N1169" s="21" t="n">
        <x:v>135.145655</x:v>
      </x:c>
      <x:c r="O1169" s="18" t="str">
        <x:v>007384</x:v>
      </x:c>
      <x:c r="P1169" s="18" t="str">
        <x:v>西神線</x:v>
      </x:c>
      <x:c r="Q1169" s="19" t="str">
        <x:v>S12_061_GE_10000
OFFICIAL_HUB_COMPONENT_REVIEW</x:v>
      </x:c>
      <x:c r="R1169" s="19" t="str">
        <x:v>S12_061 usage threshold</x:v>
      </x:c>
      <x:c r="S1169" s="19" t="str">
        <x:v>https://nlftp.mlit.go.jp/ksj/gml/datalist/KsjTmplt-S12-2024.html</x:v>
      </x:c>
      <x:c r="T1169" s="19" t="str">
        <x:v>https://kotsu.city.kobe.lg.jp/chinese-trad/cnt-subway-map/
https://nlftp.mlit.go.jp/ksj/gml/datalist/KsjTmplt-S12-2024.html</x:v>
      </x:c>
      <x:c r="U1169" s="19" t="str">
        <x:v>station-component|新長田|神戸市|metro|34.6583|135.1457|</x:v>
      </x:c>
      <x:c r="V1169" s="19" t="str">
        <x:v>007386 / 007383 / 山手線
007386 / 007384 / 西神線
007386 / 007393 / 海岸線</x:v>
      </x:c>
      <x:c r="W1169" s="18" t="str">
        <x:v>否</x:v>
      </x:c>
      <x:c r="X1169" s="18" t="str">
        <x:v>0785e932a32b3ec15e1a1345537ae145eafe1c07bf38d5c16c11ee2b391e7a28</x:v>
      </x:c>
      <x:c r="Y1169" s="20" t="n">
        <x:v>1</x:v>
      </x:c>
      <x:c r="Z1169" s="20" t="n">
        <x:v>1</x:v>
      </x:c>
      <x:c r="AA1169" s="19" t="str">
        <x:v>新長田</x:v>
      </x:c>
      <x:c r="AB1169" s="18" t="str">
        <x:v>transport-hub-review:b2e447e8-e0f3-5ba6-8c8a-5e49ffac0405</x:v>
      </x:c>
      <x:c r="AC1169" s="19"/>
    </x:row>
    <x:row r="1170" ht="33" customHeight="1">
      <x:c r="A1170" s="18" t="str">
        <x:v>新長田</x:v>
      </x:c>
      <x:c r="B1170" s="18" t="str">
        <x:v>西日本旅客鉄道</x:v>
      </x:c>
      <x:c r="C1170" s="18" t="str">
        <x:v>conventional_rail</x:v>
      </x:c>
      <x:c r="D1170" s="19" t="str">
        <x:v>T2</x:v>
      </x:c>
      <x:c r="E1170" s="20" t="n">
        <x:v>41926</x:v>
      </x:c>
      <x:c r="F1170" s="18" t="str">
        <x:v>persons/day</x:v>
      </x:c>
      <x:c r="G1170" s="18" t="str">
        <x:v>FY2024</x:v>
      </x:c>
      <x:c r="H1170" s="18" t="str">
        <x:v>否</x:v>
      </x:c>
      <x:c r="I1170" s="19" t="str">
        <x:v>DAILY_ENTRIES_EXITS</x:v>
      </x:c>
      <x:c r="J1170" s="19" t="str">
        <x:v>山陽線</x:v>
      </x:c>
      <x:c r="K1170" s="18" t="str">
        <x:v>transport-node:6c873da1-f6ff-5f60-b321-8615756e3852</x:v>
      </x:c>
      <x:c r="L1170" s="19" t="str">
        <x:v>组件待审核</x:v>
      </x:c>
      <x:c r="M1170" s="21" t="n">
        <x:v>34.6577248</x:v>
      </x:c>
      <x:c r="N1170" s="21" t="n">
        <x:v>135.1456398</x:v>
      </x:c>
      <x:c r="O1170" s="18" t="str">
        <x:v>007386</x:v>
      </x:c>
      <x:c r="P1170" s="18" t="str">
        <x:v>山陽線</x:v>
      </x:c>
      <x:c r="Q1170" s="19" t="str">
        <x:v>S12_061_GE_10000
OFFICIAL_HUB_COMPONENT_REVIEW</x:v>
      </x:c>
      <x:c r="R1170" s="19" t="str">
        <x:v>S12_061 usage threshold</x:v>
      </x:c>
      <x:c r="S1170" s="19" t="str">
        <x:v>https://nlftp.mlit.go.jp/ksj/gml/datalist/KsjTmplt-S12-2024.html</x:v>
      </x:c>
      <x:c r="T1170" s="19" t="str">
        <x:v>https://kotsu.city.kobe.lg.jp/chinese-trad/cnt-subway-map/
https://nlftp.mlit.go.jp/ksj/gml/datalist/KsjTmplt-S12-2024.html</x:v>
      </x:c>
      <x:c r="U1170" s="19" t="str">
        <x:v>station-component|新長田|西日本旅客鉄道|conventional_rail|34.6577|135.1456|</x:v>
      </x:c>
      <x:c r="V1170" s="19" t="str">
        <x:v>007386 / 007386 / 山陽線</x:v>
      </x:c>
      <x:c r="W1170" s="18" t="str">
        <x:v>否</x:v>
      </x:c>
      <x:c r="X1170" s="18" t="str">
        <x:v>0785e932a32b3ec15e1a1345537ae145eafe1c07bf38d5c16c11ee2b391e7a28</x:v>
      </x:c>
      <x:c r="Y1170" s="20" t="n">
        <x:v>1</x:v>
      </x:c>
      <x:c r="Z1170" s="20" t="n">
        <x:v>1</x:v>
      </x:c>
      <x:c r="AA1170" s="19" t="str">
        <x:v>新長田</x:v>
      </x:c>
      <x:c r="AB1170" s="18" t="str">
        <x:v>transport-hub-review:b2e447e8-e0f3-5ba6-8c8a-5e49ffac0405</x:v>
      </x:c>
      <x:c r="AC1170" s="19"/>
    </x:row>
    <x:row r="1171" ht="28" customHeight="1">
      <x:c r="A1171" s="18" t="str">
        <x:v>新開地</x:v>
      </x:c>
      <x:c r="B1171" s="18" t="str">
        <x:v>阪神電気鉄道</x:v>
      </x:c>
      <x:c r="C1171" s="18" t="str">
        <x:v>private_rail</x:v>
      </x:c>
      <x:c r="D1171" s="19" t="str">
        <x:v>T2</x:v>
      </x:c>
      <x:c r="E1171" s="20" t="n">
        <x:v>24004</x:v>
      </x:c>
      <x:c r="F1171" s="18" t="str">
        <x:v>persons/day</x:v>
      </x:c>
      <x:c r="G1171" s="18" t="str">
        <x:v>FY2024</x:v>
      </x:c>
      <x:c r="H1171" s="18" t="str">
        <x:v>否</x:v>
      </x:c>
      <x:c r="I1171" s="19" t="str">
        <x:v>DAILY_ENTRIES_EXITS</x:v>
      </x:c>
      <x:c r="J1171" s="19" t="str">
        <x:v>神戸高速線</x:v>
      </x:c>
      <x:c r="K1171" s="18" t="str">
        <x:v>transport-node:3cc4cc14-d74b-512f-83a2-ecc878c40e80</x:v>
      </x:c>
      <x:c r="L1171" s="19" t="str">
        <x:v>组件待审核</x:v>
      </x:c>
      <x:c r="M1171" s="21" t="n">
        <x:v>34.676455</x:v>
      </x:c>
      <x:c r="N1171" s="21" t="n">
        <x:v>135.16993</x:v>
      </x:c>
      <x:c r="O1171" s="18" t="str">
        <x:v>007242</x:v>
      </x:c>
      <x:c r="P1171" s="18" t="str">
        <x:v>神戸高速線</x:v>
      </x:c>
      <x:c r="Q1171" s="19" t="str">
        <x:v>S12_061_GE_10000</x:v>
      </x:c>
      <x:c r="R1171" s="19" t="str">
        <x:v>S12_061 usage threshold</x:v>
      </x:c>
      <x:c r="S1171" s="19" t="str">
        <x:v>https://nlftp.mlit.go.jp/ksj/gml/datalist/KsjTmplt-S12-2024.html</x:v>
      </x:c>
      <x:c r="T1171" s="19" t="str">
        <x:v>https://nlftp.mlit.go.jp/ksj/gml/datalist/KsjTmplt-S12-2024.html</x:v>
      </x:c>
      <x:c r="U1171" s="19" t="str">
        <x:v>station-component|新開地|阪神電気鉄道|private_rail|34.6765|135.1699|</x:v>
      </x:c>
      <x:c r="V1171" s="19" t="str">
        <x:v>007241 / 007242 / 神戸高速線</x:v>
      </x:c>
      <x:c r="W1171" s="18" t="str">
        <x:v>否</x:v>
      </x:c>
      <x:c r="X1171" s="18" t="str">
        <x:v>0785e932a32b3ec15e1a1345537ae145eafe1c07bf38d5c16c11ee2b391e7a28</x:v>
      </x:c>
      <x:c r="Y1171" s="20" t="n">
        <x:v>1</x:v>
      </x:c>
      <x:c r="Z1171" s="20" t="n">
        <x:v>1</x:v>
      </x:c>
      <x:c r="AA1171" s="19"/>
      <x:c r="AB1171" s="18"/>
      <x:c r="AC1171" s="19"/>
    </x:row>
    <x:row r="1172" ht="28" customHeight="1">
      <x:c r="A1172" s="18" t="str">
        <x:v>新青森</x:v>
      </x:c>
      <x:c r="B1172" s="18" t="str">
        <x:v>北海道旅客鉄道</x:v>
      </x:c>
      <x:c r="C1172" s="18" t="str">
        <x:v>shinkansen</x:v>
      </x:c>
      <x:c r="D1172" s="19"/>
      <x:c r="E1172" s="20"/>
      <x:c r="F1172" s="18"/>
      <x:c r="G1172" s="18" t="str">
        <x:v>FY2024</x:v>
      </x:c>
      <x:c r="H1172" s="18" t="str">
        <x:v>是</x:v>
      </x:c>
      <x:c r="I1172" s="19" t="str">
        <x:v>USAGE_DATA_UNAVAILABLE</x:v>
      </x:c>
      <x:c r="J1172" s="19" t="str">
        <x:v>北海道新幹線</x:v>
      </x:c>
      <x:c r="K1172" s="18" t="str">
        <x:v>transport-node:2dc79fda-943c-5f38-a459-d0bbcba37c0b</x:v>
      </x:c>
      <x:c r="L1172" s="19" t="str">
        <x:v>组件待审核</x:v>
      </x:c>
      <x:c r="M1172" s="21" t="n">
        <x:v>40.8277987</x:v>
      </x:c>
      <x:c r="N1172" s="21" t="n">
        <x:v>140.6934797</x:v>
      </x:c>
      <x:c r="O1172" s="18" t="str">
        <x:v>000532</x:v>
      </x:c>
      <x:c r="P1172" s="18" t="str">
        <x:v>北海道新幹線</x:v>
      </x:c>
      <x:c r="Q1172" s="19" t="str">
        <x:v>SHINKANSEN</x:v>
      </x:c>
      <x:c r="R1172" s="19" t="str">
        <x:v>Official S12 usage unavailable; manual tier review required</x:v>
      </x:c>
      <x:c r="S1172" s="19" t="str">
        <x:v>https://nlftp.mlit.go.jp/ksj/gml/datalist/KsjTmplt-S12-2024.html</x:v>
      </x:c>
      <x:c r="T1172" s="19" t="str">
        <x:v>https://nlftp.mlit.go.jp/ksj/gml/datalist/KsjTmplt-S12-2024.html</x:v>
      </x:c>
      <x:c r="U1172" s="19" t="str">
        <x:v>station-component|新青森|北海道旅客鉄道|shinkansen|40.8278|140.6935|</x:v>
      </x:c>
      <x:c r="V1172" s="19" t="str">
        <x:v>000531 / 000532 / 北海道新幹線</x:v>
      </x:c>
      <x:c r="W1172" s="18" t="str">
        <x:v>否</x:v>
      </x:c>
      <x:c r="X1172" s="18" t="str">
        <x:v>0785e932a32b3ec15e1a1345537ae145eafe1c07bf38d5c16c11ee2b391e7a28</x:v>
      </x:c>
      <x:c r="Y1172" s="20" t="n">
        <x:v>2</x:v>
      </x:c>
      <x:c r="Z1172" s="20" t="n">
        <x:v>2</x:v>
      </x:c>
      <x:c r="AA1172" s="19"/>
      <x:c r="AB1172" s="18"/>
      <x:c r="AC1172" s="19"/>
    </x:row>
    <x:row r="1173" ht="33" customHeight="1">
      <x:c r="A1173" s="18" t="str">
        <x:v>新青森</x:v>
      </x:c>
      <x:c r="B1173" s="18" t="str">
        <x:v>東日本旅客鉄道</x:v>
      </x:c>
      <x:c r="C1173" s="18" t="str">
        <x:v>shinkansen</x:v>
      </x:c>
      <x:c r="D1173" s="19"/>
      <x:c r="E1173" s="20" t="n">
        <x:v>4696</x:v>
      </x:c>
      <x:c r="F1173" s="18" t="str">
        <x:v>boardings/day</x:v>
      </x:c>
      <x:c r="G1173" s="18" t="str">
        <x:v>FY2024</x:v>
      </x:c>
      <x:c r="H1173" s="18" t="str">
        <x:v>是</x:v>
      </x:c>
      <x:c r="I1173" s="19" t="str">
        <x:v>DAILY_SHINKANSEN_BOARDINGS</x:v>
      </x:c>
      <x:c r="J1173" s="19" t="str">
        <x:v>東北新幹線</x:v>
      </x:c>
      <x:c r="K1173" s="18" t="str">
        <x:v>transport-node:1008d401-0ce4-5b6d-8109-7512a2236412</x:v>
      </x:c>
      <x:c r="L1173" s="19" t="str">
        <x:v>组件待审核</x:v>
      </x:c>
      <x:c r="M1173" s="21" t="n">
        <x:v>40.8277987</x:v>
      </x:c>
      <x:c r="N1173" s="21" t="n">
        <x:v>140.6934797</x:v>
      </x:c>
      <x:c r="O1173" s="18" t="str">
        <x:v>000531</x:v>
      </x:c>
      <x:c r="P1173" s="18" t="str">
        <x:v>東北新幹線</x:v>
      </x:c>
      <x:c r="Q1173" s="19" t="str">
        <x:v>SHINKANSEN</x:v>
      </x:c>
      <x:c r="R1173" s="19" t="str">
        <x:v>Official fallback retained in published scope/unit; tier remains null pending metric/manual review.</x:v>
      </x:c>
      <x:c r="S1173" s="19" t="str">
        <x:v>https://www.jreast.co.jp/company/data/passenger/2024_shinkansen.html/</x:v>
      </x:c>
      <x:c r="T1173" s="19" t="str">
        <x:v>https://nlftp.mlit.go.jp/ksj/gml/datalist/KsjTmplt-S12-2024.html
https://www.jreast.co.jp/company/data/passenger/2024_shinkansen.html/</x:v>
      </x:c>
      <x:c r="U1173" s="19" t="str">
        <x:v>station-component|新青森|東日本旅客鉄道|shinkansen|40.8278|140.6935|</x:v>
      </x:c>
      <x:c r="V1173" s="19" t="str">
        <x:v>000531 / 000531 / 東北新幹線</x:v>
      </x:c>
      <x:c r="W1173" s="18" t="str">
        <x:v>否</x:v>
      </x:c>
      <x:c r="X1173" s="18" t="str">
        <x:v>0785e932a32b3ec15e1a1345537ae145eafe1c07bf38d5c16c11ee2b391e7a28</x:v>
      </x:c>
      <x:c r="Y1173" s="20" t="n">
        <x:v>1</x:v>
      </x:c>
      <x:c r="Z1173" s="20" t="n">
        <x:v>2</x:v>
      </x:c>
      <x:c r="AA1173" s="19"/>
      <x:c r="AB1173" s="18"/>
      <x:c r="AC1173" s="19"/>
    </x:row>
    <x:row r="1174" ht="28" customHeight="1">
      <x:c r="A1174" s="18" t="str">
        <x:v>新静岡</x:v>
      </x:c>
      <x:c r="B1174" s="18" t="str">
        <x:v>静岡鉄道</x:v>
      </x:c>
      <x:c r="C1174" s="18" t="str">
        <x:v>private_rail</x:v>
      </x:c>
      <x:c r="D1174" s="19" t="str">
        <x:v>T2</x:v>
      </x:c>
      <x:c r="E1174" s="20" t="n">
        <x:v>16813</x:v>
      </x:c>
      <x:c r="F1174" s="18" t="str">
        <x:v>persons/day</x:v>
      </x:c>
      <x:c r="G1174" s="18" t="str">
        <x:v>FY2024</x:v>
      </x:c>
      <x:c r="H1174" s="18" t="str">
        <x:v>否</x:v>
      </x:c>
      <x:c r="I1174" s="19" t="str">
        <x:v>DAILY_ENTRIES_EXITS</x:v>
      </x:c>
      <x:c r="J1174" s="19" t="str">
        <x:v>静岡清水線</x:v>
      </x:c>
      <x:c r="K1174" s="18" t="str">
        <x:v>transport-node:3f68d383-49b2-5be5-b790-983723e89889</x:v>
      </x:c>
      <x:c r="L1174" s="19" t="str">
        <x:v>组件待审核</x:v>
      </x:c>
      <x:c r="M1174" s="21" t="n">
        <x:v>34.97586</x:v>
      </x:c>
      <x:c r="N1174" s="21" t="n">
        <x:v>138.38765</x:v>
      </x:c>
      <x:c r="O1174" s="18" t="str">
        <x:v>006116</x:v>
      </x:c>
      <x:c r="P1174" s="18" t="str">
        <x:v>静岡清水線</x:v>
      </x:c>
      <x:c r="Q1174" s="19" t="str">
        <x:v>S12_061_GE_10000</x:v>
      </x:c>
      <x:c r="R1174" s="19" t="str">
        <x:v>S12_061 usage threshold</x:v>
      </x:c>
      <x:c r="S1174" s="19" t="str">
        <x:v>https://nlftp.mlit.go.jp/ksj/gml/datalist/KsjTmplt-S12-2024.html</x:v>
      </x:c>
      <x:c r="T1174" s="19" t="str">
        <x:v>https://nlftp.mlit.go.jp/ksj/gml/datalist/KsjTmplt-S12-2024.html</x:v>
      </x:c>
      <x:c r="U1174" s="19" t="str">
        <x:v>station-component|新静岡|静岡鉄道|private_rail|34.9759|138.3877|</x:v>
      </x:c>
      <x:c r="V1174" s="19" t="str">
        <x:v>006116 / 006116 / 静岡清水線</x:v>
      </x:c>
      <x:c r="W1174" s="18" t="str">
        <x:v>否</x:v>
      </x:c>
      <x:c r="X1174" s="18" t="str">
        <x:v>0785e932a32b3ec15e1a1345537ae145eafe1c07bf38d5c16c11ee2b391e7a28</x:v>
      </x:c>
      <x:c r="Y1174" s="20" t="n">
        <x:v>1</x:v>
      </x:c>
      <x:c r="Z1174" s="20" t="n">
        <x:v>1</x:v>
      </x:c>
      <x:c r="AA1174" s="19"/>
      <x:c r="AB1174" s="18"/>
      <x:c r="AC1174" s="19"/>
    </x:row>
    <x:row r="1175" ht="28" customHeight="1">
      <x:c r="A1175" s="18" t="str">
        <x:v>新馬場</x:v>
      </x:c>
      <x:c r="B1175" s="18" t="str">
        <x:v>京浜急行電鉄</x:v>
      </x:c>
      <x:c r="C1175" s="18" t="str">
        <x:v>private_rail</x:v>
      </x:c>
      <x:c r="D1175" s="19" t="str">
        <x:v>T2</x:v>
      </x:c>
      <x:c r="E1175" s="20" t="n">
        <x:v>15099</x:v>
      </x:c>
      <x:c r="F1175" s="18" t="str">
        <x:v>persons/day</x:v>
      </x:c>
      <x:c r="G1175" s="18" t="str">
        <x:v>FY2024</x:v>
      </x:c>
      <x:c r="H1175" s="18" t="str">
        <x:v>否</x:v>
      </x:c>
      <x:c r="I1175" s="19" t="str">
        <x:v>DAILY_ENTRIES_EXITS</x:v>
      </x:c>
      <x:c r="J1175" s="19" t="str">
        <x:v>本線</x:v>
      </x:c>
      <x:c r="K1175" s="18" t="str">
        <x:v>transport-node:17114036-ef89-54b0-bffa-625e57733cd4</x:v>
      </x:c>
      <x:c r="L1175" s="19" t="str">
        <x:v>组件待审核</x:v>
      </x:c>
      <x:c r="M1175" s="21" t="n">
        <x:v>35.616662</x:v>
      </x:c>
      <x:c r="N1175" s="21" t="n">
        <x:v>139.741498</x:v>
      </x:c>
      <x:c r="O1175" s="18" t="str">
        <x:v>004153</x:v>
      </x:c>
      <x:c r="P1175" s="18" t="str">
        <x:v>本線</x:v>
      </x:c>
      <x:c r="Q1175" s="19" t="str">
        <x:v>S12_061_GE_10000</x:v>
      </x:c>
      <x:c r="R1175" s="19" t="str">
        <x:v>S12_061 usage threshold</x:v>
      </x:c>
      <x:c r="S1175" s="19" t="str">
        <x:v>https://nlftp.mlit.go.jp/ksj/gml/datalist/KsjTmplt-S12-2024.html</x:v>
      </x:c>
      <x:c r="T1175" s="19" t="str">
        <x:v>https://nlftp.mlit.go.jp/ksj/gml/datalist/KsjTmplt-S12-2024.html</x:v>
      </x:c>
      <x:c r="U1175" s="19" t="str">
        <x:v>station-component|新馬場|京浜急行電鉄|private_rail|35.6167|139.7415|</x:v>
      </x:c>
      <x:c r="V1175" s="19" t="str">
        <x:v>004153 / 004153 / 本線</x:v>
      </x:c>
      <x:c r="W1175" s="18" t="str">
        <x:v>否</x:v>
      </x:c>
      <x:c r="X1175" s="18" t="str">
        <x:v>0785e932a32b3ec15e1a1345537ae145eafe1c07bf38d5c16c11ee2b391e7a28</x:v>
      </x:c>
      <x:c r="Y1175" s="20" t="n">
        <x:v>1</x:v>
      </x:c>
      <x:c r="Z1175" s="20" t="n">
        <x:v>1</x:v>
      </x:c>
      <x:c r="AA1175" s="19"/>
      <x:c r="AB1175" s="18"/>
      <x:c r="AC1175" s="19"/>
    </x:row>
    <x:row r="1176" ht="28" customHeight="1">
      <x:c r="A1176" s="18" t="str">
        <x:v>新高円寺</x:v>
      </x:c>
      <x:c r="B1176" s="18" t="str">
        <x:v>東京地下鉄</x:v>
      </x:c>
      <x:c r="C1176" s="18" t="str">
        <x:v>metro</x:v>
      </x:c>
      <x:c r="D1176" s="19" t="str">
        <x:v>T2</x:v>
      </x:c>
      <x:c r="E1176" s="20" t="n">
        <x:v>35288</x:v>
      </x:c>
      <x:c r="F1176" s="18" t="str">
        <x:v>persons/day</x:v>
      </x:c>
      <x:c r="G1176" s="18" t="str">
        <x:v>FY2024</x:v>
      </x:c>
      <x:c r="H1176" s="18" t="str">
        <x:v>否</x:v>
      </x:c>
      <x:c r="I1176" s="19" t="str">
        <x:v>DAILY_ENTRIES_EXITS</x:v>
      </x:c>
      <x:c r="J1176" s="19" t="str">
        <x:v>4号線丸ノ内線</x:v>
      </x:c>
      <x:c r="K1176" s="18" t="str">
        <x:v>transport-node:c42de3b7-636a-587a-a5d8-9419e7f8b559</x:v>
      </x:c>
      <x:c r="L1176" s="19" t="str">
        <x:v>组件待审核</x:v>
      </x:c>
      <x:c r="M1176" s="21" t="n">
        <x:v>35.69786</x:v>
      </x:c>
      <x:c r="N1176" s="21" t="n">
        <x:v>139.64851</x:v>
      </x:c>
      <x:c r="O1176" s="18" t="str">
        <x:v>003632</x:v>
      </x:c>
      <x:c r="P1176" s="18" t="str">
        <x:v>4号線丸ノ内線</x:v>
      </x:c>
      <x:c r="Q1176" s="19" t="str">
        <x:v>S12_061_GE_10000</x:v>
      </x:c>
      <x:c r="R1176" s="19" t="str">
        <x:v>S12_061 usage threshold</x:v>
      </x:c>
      <x:c r="S1176" s="19" t="str">
        <x:v>https://nlftp.mlit.go.jp/ksj/gml/datalist/KsjTmplt-S12-2024.html</x:v>
      </x:c>
      <x:c r="T1176" s="19" t="str">
        <x:v>https://nlftp.mlit.go.jp/ksj/gml/datalist/KsjTmplt-S12-2024.html</x:v>
      </x:c>
      <x:c r="U1176" s="19" t="str">
        <x:v>station-component|新高円寺|東京地下鉄|metro|35.6979|139.6485|</x:v>
      </x:c>
      <x:c r="V1176" s="19" t="str">
        <x:v>003632 / 003632 / 4号線丸ノ内線</x:v>
      </x:c>
      <x:c r="W1176" s="18" t="str">
        <x:v>否</x:v>
      </x:c>
      <x:c r="X1176" s="18" t="str">
        <x:v>0785e932a32b3ec15e1a1345537ae145eafe1c07bf38d5c16c11ee2b391e7a28</x:v>
      </x:c>
      <x:c r="Y1176" s="20" t="n">
        <x:v>1</x:v>
      </x:c>
      <x:c r="Z1176" s="20" t="n">
        <x:v>1</x:v>
      </x:c>
      <x:c r="AA1176" s="19"/>
      <x:c r="AB1176" s="18"/>
      <x:c r="AC1176" s="19"/>
    </x:row>
    <x:row r="1177" ht="33" customHeight="1">
      <x:c r="A1177" s="18" t="str">
        <x:v>新高岡</x:v>
      </x:c>
      <x:c r="B1177" s="18" t="str">
        <x:v>西日本旅客鉄道</x:v>
      </x:c>
      <x:c r="C1177" s="18" t="str">
        <x:v>shinkansen</x:v>
      </x:c>
      <x:c r="D1177" s="19" t="str">
        <x:v>T3</x:v>
      </x:c>
      <x:c r="E1177" s="20" t="n">
        <x:v>4576</x:v>
      </x:c>
      <x:c r="F1177" s="18" t="str">
        <x:v>persons/day</x:v>
      </x:c>
      <x:c r="G1177" s="18" t="str">
        <x:v>FY2024</x:v>
      </x:c>
      <x:c r="H1177" s="18" t="str">
        <x:v>否</x:v>
      </x:c>
      <x:c r="I1177" s="19" t="str">
        <x:v>DAILY_ENTRIES_EXITS</x:v>
      </x:c>
      <x:c r="J1177" s="19" t="str">
        <x:v>北陸新幹線</x:v>
      </x:c>
      <x:c r="K1177" s="18" t="str">
        <x:v>transport-node:9946377d-47d6-540d-bb2e-59282c6b1c9c</x:v>
      </x:c>
      <x:c r="L1177" s="19" t="str">
        <x:v>组件待审核</x:v>
      </x:c>
      <x:c r="M1177" s="21" t="n">
        <x:v>36.7269522</x:v>
      </x:c>
      <x:c r="N1177" s="21" t="n">
        <x:v>137.0118803</x:v>
      </x:c>
      <x:c r="O1177" s="18" t="str">
        <x:v>001886</x:v>
      </x:c>
      <x:c r="P1177" s="18" t="str">
        <x:v>北陸新幹線</x:v>
      </x:c>
      <x:c r="Q1177" s="19" t="str">
        <x:v>SHINKANSEN</x:v>
      </x:c>
      <x:c r="R1177" s="19" t="str">
        <x:v>S12_061 usage threshold; low-flow inclusion justified by Shinkansen inventory</x:v>
      </x:c>
      <x:c r="S1177" s="19" t="str">
        <x:v>https://nlftp.mlit.go.jp/ksj/gml/datalist/KsjTmplt-S12-2024.html</x:v>
      </x:c>
      <x:c r="T1177" s="19" t="str">
        <x:v>https://nlftp.mlit.go.jp/ksj/gml/datalist/KsjTmplt-S12-2024.html</x:v>
      </x:c>
      <x:c r="U1177" s="19" t="str">
        <x:v>station-component|新高岡|西日本旅客鉄道|shinkansen|36.7270|137.0119|</x:v>
      </x:c>
      <x:c r="V1177" s="19" t="str">
        <x:v>001886 / 001886 / 北陸新幹線</x:v>
      </x:c>
      <x:c r="W1177" s="18" t="str">
        <x:v>否</x:v>
      </x:c>
      <x:c r="X1177" s="18" t="str">
        <x:v>0785e932a32b3ec15e1a1345537ae145eafe1c07bf38d5c16c11ee2b391e7a28</x:v>
      </x:c>
      <x:c r="Y1177" s="20" t="n">
        <x:v>1</x:v>
      </x:c>
      <x:c r="Z1177" s="20" t="n">
        <x:v>1</x:v>
      </x:c>
      <x:c r="AA1177" s="19"/>
      <x:c r="AB1177" s="18"/>
      <x:c r="AC1177" s="19"/>
    </x:row>
    <x:row r="1178" ht="28" customHeight="1">
      <x:c r="A1178" s="18" t="str">
        <x:v>新高島</x:v>
      </x:c>
      <x:c r="B1178" s="18" t="str">
        <x:v>横浜高速鉄道</x:v>
      </x:c>
      <x:c r="C1178" s="18" t="str">
        <x:v>private_rail</x:v>
      </x:c>
      <x:c r="D1178" s="19" t="str">
        <x:v>T2</x:v>
      </x:c>
      <x:c r="E1178" s="20" t="n">
        <x:v>13140</x:v>
      </x:c>
      <x:c r="F1178" s="18" t="str">
        <x:v>persons/day</x:v>
      </x:c>
      <x:c r="G1178" s="18" t="str">
        <x:v>FY2024</x:v>
      </x:c>
      <x:c r="H1178" s="18" t="str">
        <x:v>否</x:v>
      </x:c>
      <x:c r="I1178" s="19" t="str">
        <x:v>DAILY_ENTRIES_EXITS</x:v>
      </x:c>
      <x:c r="J1178" s="19" t="str">
        <x:v>みなとみらい21線</x:v>
      </x:c>
      <x:c r="K1178" s="18" t="str">
        <x:v>transport-node:ec72cf71-2e1e-5e0a-8538-47e1257bd6a2</x:v>
      </x:c>
      <x:c r="L1178" s="19" t="str">
        <x:v>组件待审核</x:v>
      </x:c>
      <x:c r="M1178" s="21" t="n">
        <x:v>35.461955</x:v>
      </x:c>
      <x:c r="N1178" s="21" t="n">
        <x:v>139.626485</x:v>
      </x:c>
      <x:c r="O1178" s="18" t="str">
        <x:v>004647</x:v>
      </x:c>
      <x:c r="P1178" s="18" t="str">
        <x:v>みなとみらい21線</x:v>
      </x:c>
      <x:c r="Q1178" s="19" t="str">
        <x:v>S12_061_GE_10000</x:v>
      </x:c>
      <x:c r="R1178" s="19" t="str">
        <x:v>S12_061 usage threshold</x:v>
      </x:c>
      <x:c r="S1178" s="19" t="str">
        <x:v>https://nlftp.mlit.go.jp/ksj/gml/datalist/KsjTmplt-S12-2024.html</x:v>
      </x:c>
      <x:c r="T1178" s="19" t="str">
        <x:v>https://nlftp.mlit.go.jp/ksj/gml/datalist/KsjTmplt-S12-2024.html</x:v>
      </x:c>
      <x:c r="U1178" s="19" t="str">
        <x:v>station-component|新高島|横浜高速鉄道|private_rail|35.4620|139.6265|</x:v>
      </x:c>
      <x:c r="V1178" s="19" t="str">
        <x:v>004647 / 004647 / みなとみらい21線</x:v>
      </x:c>
      <x:c r="W1178" s="18" t="str">
        <x:v>否</x:v>
      </x:c>
      <x:c r="X1178" s="18" t="str">
        <x:v>0785e932a32b3ec15e1a1345537ae145eafe1c07bf38d5c16c11ee2b391e7a28</x:v>
      </x:c>
      <x:c r="Y1178" s="20" t="n">
        <x:v>1</x:v>
      </x:c>
      <x:c r="Z1178" s="20" t="n">
        <x:v>1</x:v>
      </x:c>
      <x:c r="AA1178" s="19"/>
      <x:c r="AB1178" s="18"/>
      <x:c r="AC1178" s="19"/>
    </x:row>
    <x:row r="1179" ht="33" customHeight="1">
      <x:c r="A1179" s="18" t="str">
        <x:v>新鳥栖</x:v>
      </x:c>
      <x:c r="B1179" s="18" t="str">
        <x:v>九州旅客鉄道</x:v>
      </x:c>
      <x:c r="C1179" s="18" t="str">
        <x:v>shinkansen</x:v>
      </x:c>
      <x:c r="D1179" s="19"/>
      <x:c r="E1179" s="20" t="n">
        <x:v>2062</x:v>
      </x:c>
      <x:c r="F1179" s="18" t="str">
        <x:v>boardings/day</x:v>
      </x:c>
      <x:c r="G1179" s="18" t="str">
        <x:v>FY2024</x:v>
      </x:c>
      <x:c r="H1179" s="18" t="str">
        <x:v>是</x:v>
      </x:c>
      <x:c r="I1179" s="19" t="str">
        <x:v>STATION_COMPLEX_PROXY</x:v>
      </x:c>
      <x:c r="J1179" s="19" t="str">
        <x:v>九州新幹線</x:v>
      </x:c>
      <x:c r="K1179" s="18" t="str">
        <x:v>transport-node:1ab068ac-5b05-54da-b70e-affcc738c1f7</x:v>
      </x:c>
      <x:c r="L1179" s="19" t="str">
        <x:v>组件待审核</x:v>
      </x:c>
      <x:c r="M1179" s="21" t="n">
        <x:v>33.3705267</x:v>
      </x:c>
      <x:c r="N1179" s="21" t="n">
        <x:v>130.4910423</x:v>
      </x:c>
      <x:c r="O1179" s="18" t="str">
        <x:v>009331</x:v>
      </x:c>
      <x:c r="P1179" s="18" t="str">
        <x:v>九州新幹線</x:v>
      </x:c>
      <x:c r="Q1179" s="19" t="str">
        <x:v>SHINKANSEN</x:v>
      </x:c>
      <x:c r="R1179" s="19" t="str">
        <x:v>Official fallback retained in published scope/unit; tier remains null pending metric/manual review.</x:v>
      </x:c>
      <x:c r="S1179" s="19" t="str">
        <x:v>https://www.jrkyushu.co.jp/company/info/data/pdf/2024ekibetsu.pdf</x:v>
      </x:c>
      <x:c r="T1179" s="19" t="str">
        <x:v>https://nlftp.mlit.go.jp/ksj/gml/datalist/KsjTmplt-S12-2024.html
https://www.jrkyushu.co.jp/company/info/data/pdf/2024ekibetsu.pdf</x:v>
      </x:c>
      <x:c r="U1179" s="19" t="str">
        <x:v>station-component|新鳥栖|九州旅客鉄道|shinkansen|33.3705|130.4910|</x:v>
      </x:c>
      <x:c r="V1179" s="19" t="str">
        <x:v>009331 / 009331 / 九州新幹線</x:v>
      </x:c>
      <x:c r="W1179" s="18" t="str">
        <x:v>否</x:v>
      </x:c>
      <x:c r="X1179" s="18" t="str">
        <x:v>0785e932a32b3ec15e1a1345537ae145eafe1c07bf38d5c16c11ee2b391e7a28</x:v>
      </x:c>
      <x:c r="Y1179" s="20" t="n">
        <x:v>1</x:v>
      </x:c>
      <x:c r="Z1179" s="20" t="n">
        <x:v>2</x:v>
      </x:c>
      <x:c r="AA1179" s="19"/>
      <x:c r="AB1179" s="18"/>
      <x:c r="AC1179" s="19"/>
    </x:row>
    <x:row r="1180" ht="28" customHeight="1">
      <x:c r="A1180" s="18" t="str">
        <x:v>方南町</x:v>
      </x:c>
      <x:c r="B1180" s="18" t="str">
        <x:v>東京地下鉄</x:v>
      </x:c>
      <x:c r="C1180" s="18" t="str">
        <x:v>metro</x:v>
      </x:c>
      <x:c r="D1180" s="19" t="str">
        <x:v>T2</x:v>
      </x:c>
      <x:c r="E1180" s="20" t="n">
        <x:v>40171</x:v>
      </x:c>
      <x:c r="F1180" s="18" t="str">
        <x:v>persons/day</x:v>
      </x:c>
      <x:c r="G1180" s="18" t="str">
        <x:v>FY2024</x:v>
      </x:c>
      <x:c r="H1180" s="18" t="str">
        <x:v>否</x:v>
      </x:c>
      <x:c r="I1180" s="19" t="str">
        <x:v>DAILY_ENTRIES_EXITS</x:v>
      </x:c>
      <x:c r="J1180" s="19" t="str">
        <x:v>4号線丸ノ内線分岐線</x:v>
      </x:c>
      <x:c r="K1180" s="18" t="str">
        <x:v>transport-node:47fffbe3-c258-5676-996b-0246260317ce</x:v>
      </x:c>
      <x:c r="L1180" s="19" t="str">
        <x:v>组件待审核</x:v>
      </x:c>
      <x:c r="M1180" s="21" t="n">
        <x:v>35.683515</x:v>
      </x:c>
      <x:c r="N1180" s="21" t="n">
        <x:v>139.657935</x:v>
      </x:c>
      <x:c r="O1180" s="18" t="str">
        <x:v>003751</x:v>
      </x:c>
      <x:c r="P1180" s="18" t="str">
        <x:v>4号線丸ノ内線分岐線</x:v>
      </x:c>
      <x:c r="Q1180" s="19" t="str">
        <x:v>S12_061_GE_10000</x:v>
      </x:c>
      <x:c r="R1180" s="19" t="str">
        <x:v>S12_061 usage threshold</x:v>
      </x:c>
      <x:c r="S1180" s="19" t="str">
        <x:v>https://nlftp.mlit.go.jp/ksj/gml/datalist/KsjTmplt-S12-2024.html</x:v>
      </x:c>
      <x:c r="T1180" s="19" t="str">
        <x:v>https://nlftp.mlit.go.jp/ksj/gml/datalist/KsjTmplt-S12-2024.html</x:v>
      </x:c>
      <x:c r="U1180" s="19" t="str">
        <x:v>station-component|方南町|東京地下鉄|metro|35.6835|139.6579|</x:v>
      </x:c>
      <x:c r="V1180" s="19" t="str">
        <x:v>003751 / 003751 / 4号線丸ノ内線分岐線</x:v>
      </x:c>
      <x:c r="W1180" s="18" t="str">
        <x:v>否</x:v>
      </x:c>
      <x:c r="X1180" s="18" t="str">
        <x:v>0785e932a32b3ec15e1a1345537ae145eafe1c07bf38d5c16c11ee2b391e7a28</x:v>
      </x:c>
      <x:c r="Y1180" s="20" t="n">
        <x:v>1</x:v>
      </x:c>
      <x:c r="Z1180" s="20" t="n">
        <x:v>1</x:v>
      </x:c>
      <x:c r="AA1180" s="19"/>
      <x:c r="AB1180" s="18"/>
      <x:c r="AC1180" s="19"/>
    </x:row>
    <x:row r="1181" ht="33" customHeight="1">
      <x:c r="A1181" s="18" t="str">
        <x:v>旗の台</x:v>
      </x:c>
      <x:c r="B1181" s="18" t="str">
        <x:v>東急電鉄</x:v>
      </x:c>
      <x:c r="C1181" s="18" t="str">
        <x:v>private_rail</x:v>
      </x:c>
      <x:c r="D1181" s="19" t="str">
        <x:v>T2</x:v>
      </x:c>
      <x:c r="E1181" s="20" t="n">
        <x:v>39338</x:v>
      </x:c>
      <x:c r="F1181" s="18" t="str">
        <x:v>persons/day</x:v>
      </x:c>
      <x:c r="G1181" s="18" t="str">
        <x:v>FY2024</x:v>
      </x:c>
      <x:c r="H1181" s="18" t="str">
        <x:v>否</x:v>
      </x:c>
      <x:c r="I1181" s="19" t="str">
        <x:v>DAILY_ENTRIES_EXITS</x:v>
      </x:c>
      <x:c r="J1181" s="19" t="str">
        <x:v>大井町線
池上線</x:v>
      </x:c>
      <x:c r="K1181" s="18" t="str">
        <x:v>transport-node:80bd1bb1-e080-5fb3-91e5-cdb4ddcd8f2b</x:v>
      </x:c>
      <x:c r="L1181" s="19" t="str">
        <x:v>组件待审核</x:v>
      </x:c>
      <x:c r="M1181" s="21" t="n">
        <x:v>35.605135</x:v>
      </x:c>
      <x:c r="N1181" s="21" t="n">
        <x:v>139.703315</x:v>
      </x:c>
      <x:c r="O1181" s="18" t="str">
        <x:v>004219</x:v>
      </x:c>
      <x:c r="P1181" s="18" t="str">
        <x:v>池上線</x:v>
      </x:c>
      <x:c r="Q1181" s="19" t="str">
        <x:v>S12_061_GE_10000</x:v>
      </x:c>
      <x:c r="R1181" s="19" t="str">
        <x:v>S12_061 usage threshold</x:v>
      </x:c>
      <x:c r="S1181" s="19" t="str">
        <x:v>https://nlftp.mlit.go.jp/ksj/gml/datalist/KsjTmplt-S12-2024.html</x:v>
      </x:c>
      <x:c r="T1181" s="19" t="str">
        <x:v>https://nlftp.mlit.go.jp/ksj/gml/datalist/KsjTmplt-S12-2024.html</x:v>
      </x:c>
      <x:c r="U1181" s="19" t="str">
        <x:v>station-component|旗の台|東急電鉄|private_rail|35.6051|139.7033|</x:v>
      </x:c>
      <x:c r="V1181" s="19" t="str">
        <x:v>004219 / 004219 / 池上線
004219 / 004221 / 大井町線</x:v>
      </x:c>
      <x:c r="W1181" s="18" t="str">
        <x:v>否</x:v>
      </x:c>
      <x:c r="X1181" s="18" t="str">
        <x:v>0785e932a32b3ec15e1a1345537ae145eafe1c07bf38d5c16c11ee2b391e7a28</x:v>
      </x:c>
      <x:c r="Y1181" s="20" t="n">
        <x:v>1</x:v>
      </x:c>
      <x:c r="Z1181" s="20" t="n">
        <x:v>1</x:v>
      </x:c>
      <x:c r="AA1181" s="19"/>
      <x:c r="AB1181" s="18"/>
      <x:c r="AC1181" s="19"/>
    </x:row>
    <x:row r="1182" ht="28" customHeight="1">
      <x:c r="A1182" s="18" t="str">
        <x:v>日ノ出町</x:v>
      </x:c>
      <x:c r="B1182" s="18" t="str">
        <x:v>京浜急行電鉄</x:v>
      </x:c>
      <x:c r="C1182" s="18" t="str">
        <x:v>private_rail</x:v>
      </x:c>
      <x:c r="D1182" s="19" t="str">
        <x:v>T2</x:v>
      </x:c>
      <x:c r="E1182" s="20" t="n">
        <x:v>25784</x:v>
      </x:c>
      <x:c r="F1182" s="18" t="str">
        <x:v>persons/day</x:v>
      </x:c>
      <x:c r="G1182" s="18" t="str">
        <x:v>FY2024</x:v>
      </x:c>
      <x:c r="H1182" s="18" t="str">
        <x:v>否</x:v>
      </x:c>
      <x:c r="I1182" s="19" t="str">
        <x:v>DAILY_ENTRIES_EXITS</x:v>
      </x:c>
      <x:c r="J1182" s="19" t="str">
        <x:v>本線</x:v>
      </x:c>
      <x:c r="K1182" s="18" t="str">
        <x:v>transport-node:b8dfed67-227c-578d-9210-72ce654f9105</x:v>
      </x:c>
      <x:c r="L1182" s="19" t="str">
        <x:v>组件待审核</x:v>
      </x:c>
      <x:c r="M1182" s="21" t="n">
        <x:v>35.44563</x:v>
      </x:c>
      <x:c r="N1182" s="21" t="n">
        <x:v>139.62666</x:v>
      </x:c>
      <x:c r="O1182" s="18" t="str">
        <x:v>004696</x:v>
      </x:c>
      <x:c r="P1182" s="18" t="str">
        <x:v>本線</x:v>
      </x:c>
      <x:c r="Q1182" s="19" t="str">
        <x:v>S12_061_GE_10000</x:v>
      </x:c>
      <x:c r="R1182" s="19" t="str">
        <x:v>S12_061 usage threshold</x:v>
      </x:c>
      <x:c r="S1182" s="19" t="str">
        <x:v>https://nlftp.mlit.go.jp/ksj/gml/datalist/KsjTmplt-S12-2024.html</x:v>
      </x:c>
      <x:c r="T1182" s="19" t="str">
        <x:v>https://nlftp.mlit.go.jp/ksj/gml/datalist/KsjTmplt-S12-2024.html</x:v>
      </x:c>
      <x:c r="U1182" s="19" t="str">
        <x:v>station-component|日ノ出町|京浜急行電鉄|private_rail|35.4456|139.6267|</x:v>
      </x:c>
      <x:c r="V1182" s="19" t="str">
        <x:v>004696 / 004696 / 本線</x:v>
      </x:c>
      <x:c r="W1182" s="18" t="str">
        <x:v>否</x:v>
      </x:c>
      <x:c r="X1182" s="18" t="str">
        <x:v>0785e932a32b3ec15e1a1345537ae145eafe1c07bf38d5c16c11ee2b391e7a28</x:v>
      </x:c>
      <x:c r="Y1182" s="20" t="n">
        <x:v>1</x:v>
      </x:c>
      <x:c r="Z1182" s="20" t="n">
        <x:v>1</x:v>
      </x:c>
      <x:c r="AA1182" s="19"/>
      <x:c r="AB1182" s="18"/>
      <x:c r="AC1182" s="19"/>
    </x:row>
    <x:row r="1183" ht="47" customHeight="1">
      <x:c r="A1183" s="18" t="str">
        <x:v>日吉</x:v>
      </x:c>
      <x:c r="B1183" s="18" t="str">
        <x:v>東急電鉄</x:v>
      </x:c>
      <x:c r="C1183" s="18" t="str">
        <x:v>private_rail</x:v>
      </x:c>
      <x:c r="D1183" s="19" t="str">
        <x:v>T1</x:v>
      </x:c>
      <x:c r="E1183" s="20" t="n">
        <x:v>188797</x:v>
      </x:c>
      <x:c r="F1183" s="18" t="str">
        <x:v>persons/day</x:v>
      </x:c>
      <x:c r="G1183" s="18" t="str">
        <x:v>FY2024</x:v>
      </x:c>
      <x:c r="H1183" s="18" t="str">
        <x:v>否</x:v>
      </x:c>
      <x:c r="I1183" s="19" t="str">
        <x:v>DAILY_ENTRIES_EXITS</x:v>
      </x:c>
      <x:c r="J1183" s="19" t="str">
        <x:v>東急新横浜線
東横線
目黒線</x:v>
      </x:c>
      <x:c r="K1183" s="18" t="str">
        <x:v>transport-node:e8f8f43c-51d0-57e9-83b2-510ea164d839</x:v>
      </x:c>
      <x:c r="L1183" s="19" t="str">
        <x:v>组件待审核</x:v>
      </x:c>
      <x:c r="M1183" s="21" t="n">
        <x:v>35.55399</x:v>
      </x:c>
      <x:c r="N1183" s="21" t="n">
        <x:v>139.64703</x:v>
      </x:c>
      <x:c r="O1183" s="18" t="str">
        <x:v>004351</x:v>
      </x:c>
      <x:c r="P1183" s="18" t="str">
        <x:v>東横線</x:v>
      </x:c>
      <x:c r="Q1183" s="19" t="str">
        <x:v>S12_061_GE_10000
OFFICIAL_HUB_COMPONENT_REVIEW</x:v>
      </x:c>
      <x:c r="R1183" s="19" t="str">
        <x:v>S12_061 usage threshold</x:v>
      </x:c>
      <x:c r="S1183" s="19" t="str">
        <x:v>https://nlftp.mlit.go.jp/ksj/gml/datalist/KsjTmplt-S12-2024.html</x:v>
      </x:c>
      <x:c r="T1183" s="19" t="str">
        <x:v>https://nlftp.mlit.go.jp/ksj/gml/datalist/KsjTmplt-S12-2024.html
https://www.tokyu.co.jp/area/hiyoshi/station/</x:v>
      </x:c>
      <x:c r="U1183" s="19" t="str">
        <x:v>station-component|日吉|東急電鉄|private_rail|35.5540|139.6470|</x:v>
      </x:c>
      <x:c r="V1183" s="19" t="str">
        <x:v>004351 / 004351 / 東横線
004351 / 010167 / 東急新横浜線</x:v>
      </x:c>
      <x:c r="W1183" s="18" t="str">
        <x:v>否</x:v>
      </x:c>
      <x:c r="X1183" s="18" t="str">
        <x:v>0785e932a32b3ec15e1a1345537ae145eafe1c07bf38d5c16c11ee2b391e7a28</x:v>
      </x:c>
      <x:c r="Y1183" s="20" t="n">
        <x:v>1</x:v>
      </x:c>
      <x:c r="Z1183" s="20" t="n">
        <x:v>1</x:v>
      </x:c>
      <x:c r="AA1183" s="19" t="str">
        <x:v>日吉</x:v>
      </x:c>
      <x:c r="AB1183" s="18" t="str">
        <x:v>transport-hub-review:9f5aac64-9dc5-51f1-9bcf-c71f75c392d2</x:v>
      </x:c>
      <x:c r="AC1183" s="19"/>
    </x:row>
    <x:row r="1184" ht="33" customHeight="1">
      <x:c r="A1184" s="18" t="str">
        <x:v>日吉</x:v>
      </x:c>
      <x:c r="B1184" s="18" t="str">
        <x:v>横浜市</x:v>
      </x:c>
      <x:c r="C1184" s="18" t="str">
        <x:v>metro</x:v>
      </x:c>
      <x:c r="D1184" s="19" t="str">
        <x:v>T2</x:v>
      </x:c>
      <x:c r="E1184" s="20" t="n">
        <x:v>37876</x:v>
      </x:c>
      <x:c r="F1184" s="18" t="str">
        <x:v>persons/day</x:v>
      </x:c>
      <x:c r="G1184" s="18" t="str">
        <x:v>FY2024</x:v>
      </x:c>
      <x:c r="H1184" s="18" t="str">
        <x:v>否</x:v>
      </x:c>
      <x:c r="I1184" s="19" t="str">
        <x:v>DAILY_ENTRIES_EXITS</x:v>
      </x:c>
      <x:c r="J1184" s="19" t="str">
        <x:v>4号線</x:v>
      </x:c>
      <x:c r="K1184" s="18" t="str">
        <x:v>transport-node:6122fddf-bc72-5dcf-a005-9203879c69c9</x:v>
      </x:c>
      <x:c r="L1184" s="19" t="str">
        <x:v>组件待审核</x:v>
      </x:c>
      <x:c r="M1184" s="21" t="n">
        <x:v>35.553325</x:v>
      </x:c>
      <x:c r="N1184" s="21" t="n">
        <x:v>139.64684</x:v>
      </x:c>
      <x:c r="O1184" s="18" t="str">
        <x:v>004352</x:v>
      </x:c>
      <x:c r="P1184" s="18" t="str">
        <x:v>4号線</x:v>
      </x:c>
      <x:c r="Q1184" s="19" t="str">
        <x:v>S12_061_GE_10000
OFFICIAL_HUB_COMPONENT_REVIEW</x:v>
      </x:c>
      <x:c r="R1184" s="19" t="str">
        <x:v>S12_061 usage threshold</x:v>
      </x:c>
      <x:c r="S1184" s="19" t="str">
        <x:v>https://nlftp.mlit.go.jp/ksj/gml/datalist/KsjTmplt-S12-2024.html</x:v>
      </x:c>
      <x:c r="T1184" s="19" t="str">
        <x:v>https://nlftp.mlit.go.jp/ksj/gml/datalist/KsjTmplt-S12-2024.html
https://www.tokyu.co.jp/area/hiyoshi/station/</x:v>
      </x:c>
      <x:c r="U1184" s="19" t="str">
        <x:v>station-component|日吉|横浜市|metro|35.5533|139.6468|</x:v>
      </x:c>
      <x:c r="V1184" s="19" t="str">
        <x:v>004351 / 004352 / 4号線</x:v>
      </x:c>
      <x:c r="W1184" s="18" t="str">
        <x:v>否</x:v>
      </x:c>
      <x:c r="X1184" s="18" t="str">
        <x:v>0785e932a32b3ec15e1a1345537ae145eafe1c07bf38d5c16c11ee2b391e7a28</x:v>
      </x:c>
      <x:c r="Y1184" s="20" t="n">
        <x:v>1</x:v>
      </x:c>
      <x:c r="Z1184" s="20" t="n">
        <x:v>1</x:v>
      </x:c>
      <x:c r="AA1184" s="19" t="str">
        <x:v>日吉</x:v>
      </x:c>
      <x:c r="AB1184" s="18" t="str">
        <x:v>transport-hub-review:9f5aac64-9dc5-51f1-9bcf-c71f75c392d2</x:v>
      </x:c>
      <x:c r="AC1184" s="19"/>
    </x:row>
    <x:row r="1185" ht="33" customHeight="1">
      <x:c r="A1185" s="18" t="str">
        <x:v>日暮里</x:v>
      </x:c>
      <x:c r="B1185" s="18" t="str">
        <x:v>京成電鉄</x:v>
      </x:c>
      <x:c r="C1185" s="18" t="str">
        <x:v>private_rail</x:v>
      </x:c>
      <x:c r="D1185" s="19" t="str">
        <x:v>T1</x:v>
      </x:c>
      <x:c r="E1185" s="20" t="n">
        <x:v>101435</x:v>
      </x:c>
      <x:c r="F1185" s="18" t="str">
        <x:v>persons/day</x:v>
      </x:c>
      <x:c r="G1185" s="18" t="str">
        <x:v>FY2024</x:v>
      </x:c>
      <x:c r="H1185" s="18" t="str">
        <x:v>否</x:v>
      </x:c>
      <x:c r="I1185" s="19" t="str">
        <x:v>DAILY_ENTRIES_EXITS</x:v>
      </x:c>
      <x:c r="J1185" s="19" t="str">
        <x:v>本線</x:v>
      </x:c>
      <x:c r="K1185" s="18" t="str">
        <x:v>transport-node:819c83c0-b88a-5b4b-a3fa-8a9673235d00</x:v>
      </x:c>
      <x:c r="L1185" s="19" t="str">
        <x:v>组件待审核</x:v>
      </x:c>
      <x:c r="M1185" s="21" t="n">
        <x:v>35.7281233</x:v>
      </x:c>
      <x:c r="N1185" s="21" t="n">
        <x:v>139.7713667</x:v>
      </x:c>
      <x:c r="O1185" s="18" t="str">
        <x:v>003414</x:v>
      </x:c>
      <x:c r="P1185" s="18" t="str">
        <x:v>本線</x:v>
      </x:c>
      <x:c r="Q1185" s="19" t="str">
        <x:v>S12_061_GE_10000
OFFICIAL_HUB_COMPONENT_REVIEW</x:v>
      </x:c>
      <x:c r="R1185" s="19" t="str">
        <x:v>S12_061 usage threshold</x:v>
      </x:c>
      <x:c r="S1185" s="19" t="str">
        <x:v>https://nlftp.mlit.go.jp/ksj/gml/datalist/KsjTmplt-S12-2024.html</x:v>
      </x:c>
      <x:c r="T1185" s="19" t="str">
        <x:v>https://new-www.keisei.co.jp/keisei/tetudou/accessj/nippori.php
https://nlftp.mlit.go.jp/ksj/gml/datalist/KsjTmplt-S12-2024.html</x:v>
      </x:c>
      <x:c r="U1185" s="19" t="str">
        <x:v>station-component|日暮里|京成電鉄|private_rail|35.7281|139.7714|</x:v>
      </x:c>
      <x:c r="V1185" s="19" t="str">
        <x:v>003417 / 003414 / 本線</x:v>
      </x:c>
      <x:c r="W1185" s="18" t="str">
        <x:v>否</x:v>
      </x:c>
      <x:c r="X1185" s="18" t="str">
        <x:v>0785e932a32b3ec15e1a1345537ae145eafe1c07bf38d5c16c11ee2b391e7a28</x:v>
      </x:c>
      <x:c r="Y1185" s="20" t="n">
        <x:v>1</x:v>
      </x:c>
      <x:c r="Z1185" s="20" t="n">
        <x:v>1</x:v>
      </x:c>
      <x:c r="AA1185" s="19" t="str">
        <x:v>日暮里</x:v>
      </x:c>
      <x:c r="AB1185" s="18" t="str">
        <x:v>transport-hub-review:8c8e8a34-79f1-50b9-a4a1-f55d4a8ac8c5</x:v>
      </x:c>
      <x:c r="AC1185" s="19"/>
    </x:row>
    <x:row r="1186" ht="33" customHeight="1">
      <x:c r="A1186" s="18" t="str">
        <x:v>日暮里</x:v>
      </x:c>
      <x:c r="B1186" s="18" t="str">
        <x:v>東京都</x:v>
      </x:c>
      <x:c r="C1186" s="18" t="str">
        <x:v>fixed_guideway</x:v>
      </x:c>
      <x:c r="D1186" s="19" t="str">
        <x:v>T2</x:v>
      </x:c>
      <x:c r="E1186" s="20" t="n">
        <x:v>32438</x:v>
      </x:c>
      <x:c r="F1186" s="18" t="str">
        <x:v>persons/day</x:v>
      </x:c>
      <x:c r="G1186" s="18" t="str">
        <x:v>FY2024</x:v>
      </x:c>
      <x:c r="H1186" s="18" t="str">
        <x:v>否</x:v>
      </x:c>
      <x:c r="I1186" s="19" t="str">
        <x:v>DAILY_ENTRIES_EXITS</x:v>
      </x:c>
      <x:c r="J1186" s="19" t="str">
        <x:v>日暮里・舎人ライナー</x:v>
      </x:c>
      <x:c r="K1186" s="18" t="str">
        <x:v>transport-node:5235eb84-867a-5643-8c66-333586a85b6d</x:v>
      </x:c>
      <x:c r="L1186" s="19" t="str">
        <x:v>组件待审核</x:v>
      </x:c>
      <x:c r="M1186" s="21" t="n">
        <x:v>35.728795</x:v>
      </x:c>
      <x:c r="N1186" s="21" t="n">
        <x:v>139.77116</x:v>
      </x:c>
      <x:c r="O1186" s="18" t="str">
        <x:v>003406</x:v>
      </x:c>
      <x:c r="P1186" s="18" t="str">
        <x:v>日暮里・舎人ライナー</x:v>
      </x:c>
      <x:c r="Q1186" s="19" t="str">
        <x:v>S12_061_GE_10000
OFFICIAL_HUB_COMPONENT_REVIEW</x:v>
      </x:c>
      <x:c r="R1186" s="19" t="str">
        <x:v>S12_061 usage threshold</x:v>
      </x:c>
      <x:c r="S1186" s="19" t="str">
        <x:v>https://nlftp.mlit.go.jp/ksj/gml/datalist/KsjTmplt-S12-2024.html</x:v>
      </x:c>
      <x:c r="T1186" s="19" t="str">
        <x:v>https://new-www.keisei.co.jp/keisei/tetudou/accessj/nippori.php
https://nlftp.mlit.go.jp/ksj/gml/datalist/KsjTmplt-S12-2024.html</x:v>
      </x:c>
      <x:c r="U1186" s="19" t="str">
        <x:v>station-component|日暮里|東京都|fixed_guideway|35.7288|139.7712|</x:v>
      </x:c>
      <x:c r="V1186" s="19" t="str">
        <x:v>003417 / 003406 / 日暮里・舎人ライナー</x:v>
      </x:c>
      <x:c r="W1186" s="18" t="str">
        <x:v>否</x:v>
      </x:c>
      <x:c r="X1186" s="18" t="str">
        <x:v>0785e932a32b3ec15e1a1345537ae145eafe1c07bf38d5c16c11ee2b391e7a28</x:v>
      </x:c>
      <x:c r="Y1186" s="20" t="n">
        <x:v>1</x:v>
      </x:c>
      <x:c r="Z1186" s="20" t="n">
        <x:v>1</x:v>
      </x:c>
      <x:c r="AA1186" s="19" t="str">
        <x:v>日暮里</x:v>
      </x:c>
      <x:c r="AB1186" s="18" t="str">
        <x:v>transport-hub-review:8c8e8a34-79f1-50b9-a4a1-f55d4a8ac8c5</x:v>
      </x:c>
      <x:c r="AC1186" s="19"/>
    </x:row>
    <x:row r="1187" ht="33" customHeight="1">
      <x:c r="A1187" s="18" t="str">
        <x:v>日暮里</x:v>
      </x:c>
      <x:c r="B1187" s="18" t="str">
        <x:v>東日本旅客鉄道</x:v>
      </x:c>
      <x:c r="C1187" s="18" t="str">
        <x:v>conventional_rail</x:v>
      </x:c>
      <x:c r="D1187" s="19" t="str">
        <x:v>T0</x:v>
      </x:c>
      <x:c r="E1187" s="20" t="n">
        <x:v>214154</x:v>
      </x:c>
      <x:c r="F1187" s="18" t="str">
        <x:v>persons/day</x:v>
      </x:c>
      <x:c r="G1187" s="18" t="str">
        <x:v>FY2024</x:v>
      </x:c>
      <x:c r="H1187" s="18" t="str">
        <x:v>否</x:v>
      </x:c>
      <x:c r="I1187" s="19" t="str">
        <x:v>DAILY_ENTRIES_EXITS</x:v>
      </x:c>
      <x:c r="J1187" s="19" t="str">
        <x:v>常磐線
東北線</x:v>
      </x:c>
      <x:c r="K1187" s="18" t="str">
        <x:v>transport-node:7f033fba-9de3-52f2-a033-85e2b5157bc9</x:v>
      </x:c>
      <x:c r="L1187" s="19" t="str">
        <x:v>组件待审核</x:v>
      </x:c>
      <x:c r="M1187" s="21" t="n">
        <x:v>35.7279867</x:v>
      </x:c>
      <x:c r="N1187" s="21" t="n">
        <x:v>139.77119</x:v>
      </x:c>
      <x:c r="O1187" s="18" t="str">
        <x:v>003417</x:v>
      </x:c>
      <x:c r="P1187" s="18" t="str">
        <x:v>常磐線</x:v>
      </x:c>
      <x:c r="Q1187" s="19" t="str">
        <x:v>S12_061_GE_10000
OFFICIAL_HUB_COMPONENT_REVIEW</x:v>
      </x:c>
      <x:c r="R1187" s="19" t="str">
        <x:v>S12_061 usage threshold</x:v>
      </x:c>
      <x:c r="S1187" s="19" t="str">
        <x:v>https://nlftp.mlit.go.jp/ksj/gml/datalist/KsjTmplt-S12-2024.html</x:v>
      </x:c>
      <x:c r="T1187" s="19" t="str">
        <x:v>https://new-www.keisei.co.jp/keisei/tetudou/accessj/nippori.php
https://nlftp.mlit.go.jp/ksj/gml/datalist/KsjTmplt-S12-2024.html</x:v>
      </x:c>
      <x:c r="U1187" s="19" t="str">
        <x:v>station-component|日暮里|東日本旅客鉄道|conventional_rail|35.7280|139.7712|</x:v>
      </x:c>
      <x:c r="V1187" s="19" t="str">
        <x:v>003417 / 003417 / 常磐線
003417 / 003420 / 東北線</x:v>
      </x:c>
      <x:c r="W1187" s="18" t="str">
        <x:v>否</x:v>
      </x:c>
      <x:c r="X1187" s="18" t="str">
        <x:v>0785e932a32b3ec15e1a1345537ae145eafe1c07bf38d5c16c11ee2b391e7a28</x:v>
      </x:c>
      <x:c r="Y1187" s="20" t="n">
        <x:v>1</x:v>
      </x:c>
      <x:c r="Z1187" s="20" t="n">
        <x:v>1</x:v>
      </x:c>
      <x:c r="AA1187" s="19" t="str">
        <x:v>日暮里</x:v>
      </x:c>
      <x:c r="AB1187" s="18" t="str">
        <x:v>transport-hub-review:8c8e8a34-79f1-50b9-a4a1-f55d4a8ac8c5</x:v>
      </x:c>
      <x:c r="AC1187" s="19"/>
    </x:row>
    <x:row r="1188" ht="28" customHeight="1">
      <x:c r="A1188" s="18" t="str">
        <x:v>日本大通り</x:v>
      </x:c>
      <x:c r="B1188" s="18" t="str">
        <x:v>横浜高速鉄道</x:v>
      </x:c>
      <x:c r="C1188" s="18" t="str">
        <x:v>private_rail</x:v>
      </x:c>
      <x:c r="D1188" s="19" t="str">
        <x:v>T2</x:v>
      </x:c>
      <x:c r="E1188" s="20" t="n">
        <x:v>28043</x:v>
      </x:c>
      <x:c r="F1188" s="18" t="str">
        <x:v>persons/day</x:v>
      </x:c>
      <x:c r="G1188" s="18" t="str">
        <x:v>FY2024</x:v>
      </x:c>
      <x:c r="H1188" s="18" t="str">
        <x:v>否</x:v>
      </x:c>
      <x:c r="I1188" s="19" t="str">
        <x:v>DAILY_ENTRIES_EXITS</x:v>
      </x:c>
      <x:c r="J1188" s="19" t="str">
        <x:v>みなとみらい21線</x:v>
      </x:c>
      <x:c r="K1188" s="18" t="str">
        <x:v>transport-node:20e1d3bf-c2b9-5f7e-b097-87d791c4e0aa</x:v>
      </x:c>
      <x:c r="L1188" s="19" t="str">
        <x:v>组件待审核</x:v>
      </x:c>
      <x:c r="M1188" s="21" t="n">
        <x:v>35.446795</x:v>
      </x:c>
      <x:c r="N1188" s="21" t="n">
        <x:v>139.642725</x:v>
      </x:c>
      <x:c r="O1188" s="18" t="str">
        <x:v>004686</x:v>
      </x:c>
      <x:c r="P1188" s="18" t="str">
        <x:v>みなとみらい21線</x:v>
      </x:c>
      <x:c r="Q1188" s="19" t="str">
        <x:v>S12_061_GE_10000</x:v>
      </x:c>
      <x:c r="R1188" s="19" t="str">
        <x:v>S12_061 usage threshold</x:v>
      </x:c>
      <x:c r="S1188" s="19" t="str">
        <x:v>https://nlftp.mlit.go.jp/ksj/gml/datalist/KsjTmplt-S12-2024.html</x:v>
      </x:c>
      <x:c r="T1188" s="19" t="str">
        <x:v>https://nlftp.mlit.go.jp/ksj/gml/datalist/KsjTmplt-S12-2024.html</x:v>
      </x:c>
      <x:c r="U1188" s="19" t="str">
        <x:v>station-component|日本大通り|横浜高速鉄道|private_rail|35.4468|139.6427|</x:v>
      </x:c>
      <x:c r="V1188" s="19" t="str">
        <x:v>004686 / 004686 / みなとみらい21線</x:v>
      </x:c>
      <x:c r="W1188" s="18" t="str">
        <x:v>否</x:v>
      </x:c>
      <x:c r="X1188" s="18" t="str">
        <x:v>0785e932a32b3ec15e1a1345537ae145eafe1c07bf38d5c16c11ee2b391e7a28</x:v>
      </x:c>
      <x:c r="Y1188" s="20" t="n">
        <x:v>1</x:v>
      </x:c>
      <x:c r="Z1188" s="20" t="n">
        <x:v>1</x:v>
      </x:c>
      <x:c r="AA1188" s="19"/>
      <x:c r="AB1188" s="18"/>
      <x:c r="AC1188" s="19"/>
    </x:row>
    <x:row r="1189" ht="33" customHeight="1">
      <x:c r="A1189" s="18" t="str">
        <x:v>日本橋</x:v>
      </x:c>
      <x:c r="B1189" s="18" t="str">
        <x:v>大阪市高速電気軌道</x:v>
      </x:c>
      <x:c r="C1189" s="18" t="str">
        <x:v>metro</x:v>
      </x:c>
      <x:c r="D1189" s="19" t="str">
        <x:v>T1</x:v>
      </x:c>
      <x:c r="E1189" s="20" t="n">
        <x:v>75137</x:v>
      </x:c>
      <x:c r="F1189" s="18" t="str">
        <x:v>persons/day</x:v>
      </x:c>
      <x:c r="G1189" s="18" t="str">
        <x:v>FY2024</x:v>
      </x:c>
      <x:c r="H1189" s="18" t="str">
        <x:v>否</x:v>
      </x:c>
      <x:c r="I1189" s="19" t="str">
        <x:v>DAILY_ENTRIES_EXITS</x:v>
      </x:c>
      <x:c r="J1189" s="19" t="str">
        <x:v>5号線(千日前線)
6号線(堺筋線)</x:v>
      </x:c>
      <x:c r="K1189" s="18" t="str">
        <x:v>transport-node:621f678e-c646-5d1b-8307-26335ede74a2</x:v>
      </x:c>
      <x:c r="L1189" s="19" t="str">
        <x:v>组件待审核</x:v>
      </x:c>
      <x:c r="M1189" s="21" t="n">
        <x:v>34.6669767</x:v>
      </x:c>
      <x:c r="N1189" s="21" t="n">
        <x:v>135.50635</x:v>
      </x:c>
      <x:c r="O1189" s="18" t="str">
        <x:v>007312</x:v>
      </x:c>
      <x:c r="P1189" s="18" t="str">
        <x:v>5号線(千日前線)</x:v>
      </x:c>
      <x:c r="Q1189" s="19" t="str">
        <x:v>S12_061_GE_10000
OFFICIAL_HUB_COMPONENT_REVIEW</x:v>
      </x:c>
      <x:c r="R1189" s="19" t="str">
        <x:v>S12_061 usage threshold</x:v>
      </x:c>
      <x:c r="S1189" s="19" t="str">
        <x:v>https://nlftp.mlit.go.jp/ksj/gml/datalist/KsjTmplt-S12-2024.html</x:v>
      </x:c>
      <x:c r="T1189" s="19" t="str">
        <x:v>https://nlftp.mlit.go.jp/ksj/gml/datalist/KsjTmplt-S12-2024.html
https://subway.osakametro.co.jp/station_guide/K/k17/index.php</x:v>
      </x:c>
      <x:c r="U1189" s="19" t="str">
        <x:v>station-component|日本橋|大阪市高速電気軌道|metro|34.6670|135.5063|</x:v>
      </x:c>
      <x:c r="V1189" s="19" t="str">
        <x:v>007312 / 007312 / 5号線(千日前線)
007312 / 007318 / 6号線(堺筋線)</x:v>
      </x:c>
      <x:c r="W1189" s="18" t="str">
        <x:v>否</x:v>
      </x:c>
      <x:c r="X1189" s="18" t="str">
        <x:v>0785e932a32b3ec15e1a1345537ae145eafe1c07bf38d5c16c11ee2b391e7a28</x:v>
      </x:c>
      <x:c r="Y1189" s="20" t="n">
        <x:v>1</x:v>
      </x:c>
      <x:c r="Z1189" s="20" t="n">
        <x:v>1</x:v>
      </x:c>
      <x:c r="AA1189" s="19" t="str">
        <x:v>日本橋・近鉄日本橋</x:v>
      </x:c>
      <x:c r="AB1189" s="18" t="str">
        <x:v>transport-hub-review:e75c060a-699e-5df7-822a-19d68e4de50a</x:v>
      </x:c>
      <x:c r="AC1189" s="19"/>
    </x:row>
    <x:row r="1190" ht="33" customHeight="1">
      <x:c r="A1190" s="18" t="str">
        <x:v>日本橋</x:v>
      </x:c>
      <x:c r="B1190" s="18" t="str">
        <x:v>東京地下鉄</x:v>
      </x:c>
      <x:c r="C1190" s="18" t="str">
        <x:v>metro</x:v>
      </x:c>
      <x:c r="D1190" s="19" t="str">
        <x:v>T1</x:v>
      </x:c>
      <x:c r="E1190" s="20" t="n">
        <x:v>175343</x:v>
      </x:c>
      <x:c r="F1190" s="18" t="str">
        <x:v>persons/day</x:v>
      </x:c>
      <x:c r="G1190" s="18" t="str">
        <x:v>FY2024</x:v>
      </x:c>
      <x:c r="H1190" s="18" t="str">
        <x:v>否</x:v>
      </x:c>
      <x:c r="I1190" s="19" t="str">
        <x:v>DAILY_ENTRIES_EXITS</x:v>
      </x:c>
      <x:c r="J1190" s="19" t="str">
        <x:v>3号線銀座線
5号線東西線</x:v>
      </x:c>
      <x:c r="K1190" s="18" t="str">
        <x:v>transport-node:a760cb08-155b-5942-abc8-e986d0afe845</x:v>
      </x:c>
      <x:c r="L1190" s="19" t="str">
        <x:v>组件待审核</x:v>
      </x:c>
      <x:c r="M1190" s="21" t="n">
        <x:v>35.6824233</x:v>
      </x:c>
      <x:c r="N1190" s="21" t="n">
        <x:v>139.7739767</x:v>
      </x:c>
      <x:c r="O1190" s="18" t="str">
        <x:v>003756</x:v>
      </x:c>
      <x:c r="P1190" s="18" t="str">
        <x:v>5号線東西線</x:v>
      </x:c>
      <x:c r="Q1190" s="19" t="str">
        <x:v>S12_061_GE_10000
OFFICIAL_HUB_COMPONENT_REVIEW</x:v>
      </x:c>
      <x:c r="R1190" s="19" t="str">
        <x:v>S12_061 usage threshold</x:v>
      </x:c>
      <x:c r="S1190" s="19" t="str">
        <x:v>https://nlftp.mlit.go.jp/ksj/gml/datalist/KsjTmplt-S12-2024.html</x:v>
      </x:c>
      <x:c r="T1190" s="19" t="str">
        <x:v>https://nlftp.mlit.go.jp/ksj/gml/datalist/KsjTmplt-S12-2024.html
https://www.tokyometro.jp/station/nihombashi/index.html</x:v>
      </x:c>
      <x:c r="U1190" s="19" t="str">
        <x:v>station-component|日本橋|東京地下鉄|metro|35.6824|139.7740|</x:v>
      </x:c>
      <x:c r="V1190" s="19" t="str">
        <x:v>003756 / 003756 / 5号線東西線
003756 / 003759 / 3号線銀座線</x:v>
      </x:c>
      <x:c r="W1190" s="18" t="str">
        <x:v>否</x:v>
      </x:c>
      <x:c r="X1190" s="18" t="str">
        <x:v>0785e932a32b3ec15e1a1345537ae145eafe1c07bf38d5c16c11ee2b391e7a28</x:v>
      </x:c>
      <x:c r="Y1190" s="20" t="n">
        <x:v>1</x:v>
      </x:c>
      <x:c r="Z1190" s="20" t="n">
        <x:v>1</x:v>
      </x:c>
      <x:c r="AA1190" s="19" t="str">
        <x:v>日本橋</x:v>
      </x:c>
      <x:c r="AB1190" s="18" t="str">
        <x:v>transport-hub-review:9a6124c7-cefb-564c-9da5-af13958c33f9</x:v>
      </x:c>
      <x:c r="AC1190" s="19"/>
    </x:row>
    <x:row r="1191" ht="33" customHeight="1">
      <x:c r="A1191" s="18" t="str">
        <x:v>日本橋</x:v>
      </x:c>
      <x:c r="B1191" s="18" t="str">
        <x:v>東京都</x:v>
      </x:c>
      <x:c r="C1191" s="18" t="str">
        <x:v>metro</x:v>
      </x:c>
      <x:c r="D1191" s="19" t="str">
        <x:v>T2</x:v>
      </x:c>
      <x:c r="E1191" s="20" t="n">
        <x:v>41410</x:v>
      </x:c>
      <x:c r="F1191" s="18" t="str">
        <x:v>persons/day</x:v>
      </x:c>
      <x:c r="G1191" s="18" t="str">
        <x:v>FY2024</x:v>
      </x:c>
      <x:c r="H1191" s="18" t="str">
        <x:v>否</x:v>
      </x:c>
      <x:c r="I1191" s="19" t="str">
        <x:v>DAILY_ENTRIES_EXITS</x:v>
      </x:c>
      <x:c r="J1191" s="19" t="str">
        <x:v>1号線浅草線</x:v>
      </x:c>
      <x:c r="K1191" s="18" t="str">
        <x:v>transport-node:afa70716-8ea3-53bc-9f7f-445f03c8674a</x:v>
      </x:c>
      <x:c r="L1191" s="19" t="str">
        <x:v>组件待审核</x:v>
      </x:c>
      <x:c r="M1191" s="21" t="n">
        <x:v>35.681605</x:v>
      </x:c>
      <x:c r="N1191" s="21" t="n">
        <x:v>139.7757775</x:v>
      </x:c>
      <x:c r="O1191" s="18" t="str">
        <x:v>003762</x:v>
      </x:c>
      <x:c r="P1191" s="18" t="str">
        <x:v>1号線浅草線</x:v>
      </x:c>
      <x:c r="Q1191" s="19" t="str">
        <x:v>S12_061_GE_10000
OFFICIAL_HUB_COMPONENT_REVIEW</x:v>
      </x:c>
      <x:c r="R1191" s="19" t="str">
        <x:v>S12_061 usage threshold</x:v>
      </x:c>
      <x:c r="S1191" s="19" t="str">
        <x:v>https://nlftp.mlit.go.jp/ksj/gml/datalist/KsjTmplt-S12-2024.html</x:v>
      </x:c>
      <x:c r="T1191" s="19" t="str">
        <x:v>https://nlftp.mlit.go.jp/ksj/gml/datalist/KsjTmplt-S12-2024.html
https://www.tokyometro.jp/station/nihombashi/index.html</x:v>
      </x:c>
      <x:c r="U1191" s="19" t="str">
        <x:v>station-component|日本橋|東京都|metro|35.6816|139.7758|</x:v>
      </x:c>
      <x:c r="V1191" s="19" t="str">
        <x:v>003756 / 003762 / 1号線浅草線</x:v>
      </x:c>
      <x:c r="W1191" s="18" t="str">
        <x:v>否</x:v>
      </x:c>
      <x:c r="X1191" s="18" t="str">
        <x:v>0785e932a32b3ec15e1a1345537ae145eafe1c07bf38d5c16c11ee2b391e7a28</x:v>
      </x:c>
      <x:c r="Y1191" s="20" t="n">
        <x:v>1</x:v>
      </x:c>
      <x:c r="Z1191" s="20" t="n">
        <x:v>1</x:v>
      </x:c>
      <x:c r="AA1191" s="19" t="str">
        <x:v>日本橋</x:v>
      </x:c>
      <x:c r="AB1191" s="18" t="str">
        <x:v>transport-hub-review:9a6124c7-cefb-564c-9da5-af13958c33f9</x:v>
      </x:c>
      <x:c r="AC1191" s="19"/>
    </x:row>
    <x:row r="1192" ht="33" customHeight="1">
      <x:c r="A1192" s="18" t="str">
        <x:v>日根野</x:v>
      </x:c>
      <x:c r="B1192" s="18" t="str">
        <x:v>西日本旅客鉄道</x:v>
      </x:c>
      <x:c r="C1192" s="18" t="str">
        <x:v>conventional_rail</x:v>
      </x:c>
      <x:c r="D1192" s="19" t="str">
        <x:v>T2</x:v>
      </x:c>
      <x:c r="E1192" s="20" t="n">
        <x:v>15484</x:v>
      </x:c>
      <x:c r="F1192" s="18" t="str">
        <x:v>persons/day</x:v>
      </x:c>
      <x:c r="G1192" s="18" t="str">
        <x:v>FY2024</x:v>
      </x:c>
      <x:c r="H1192" s="18" t="str">
        <x:v>否</x:v>
      </x:c>
      <x:c r="I1192" s="19" t="str">
        <x:v>DAILY_ENTRIES_EXITS</x:v>
      </x:c>
      <x:c r="J1192" s="19" t="str">
        <x:v>関西空港線
阪和線</x:v>
      </x:c>
      <x:c r="K1192" s="18" t="str">
        <x:v>transport-node:7efc1d31-d195-5c01-8d14-4b1ff1d71caf</x:v>
      </x:c>
      <x:c r="L1192" s="19" t="str">
        <x:v>组件待审核</x:v>
      </x:c>
      <x:c r="M1192" s="21" t="n">
        <x:v>34.39073</x:v>
      </x:c>
      <x:c r="N1192" s="21" t="n">
        <x:v>135.331285</x:v>
      </x:c>
      <x:c r="O1192" s="18" t="str">
        <x:v>008073</x:v>
      </x:c>
      <x:c r="P1192" s="18" t="str">
        <x:v>阪和線</x:v>
      </x:c>
      <x:c r="Q1192" s="19" t="str">
        <x:v>S12_061_GE_10000</x:v>
      </x:c>
      <x:c r="R1192" s="19" t="str">
        <x:v>S12_061 usage threshold</x:v>
      </x:c>
      <x:c r="S1192" s="19" t="str">
        <x:v>https://nlftp.mlit.go.jp/ksj/gml/datalist/KsjTmplt-S12-2024.html</x:v>
      </x:c>
      <x:c r="T1192" s="19" t="str">
        <x:v>https://nlftp.mlit.go.jp/ksj/gml/datalist/KsjTmplt-S12-2024.html</x:v>
      </x:c>
      <x:c r="U1192" s="19" t="str">
        <x:v>station-component|日根野|西日本旅客鉄道|conventional_rail|34.3907|135.3313|</x:v>
      </x:c>
      <x:c r="V1192" s="19" t="str">
        <x:v>008072 / 008072 / 関西空港線
008072 / 008073 / 阪和線</x:v>
      </x:c>
      <x:c r="W1192" s="18" t="str">
        <x:v>否</x:v>
      </x:c>
      <x:c r="X1192" s="18" t="str">
        <x:v>0785e932a32b3ec15e1a1345537ae145eafe1c07bf38d5c16c11ee2b391e7a28</x:v>
      </x:c>
      <x:c r="Y1192" s="20" t="n">
        <x:v>1</x:v>
      </x:c>
      <x:c r="Z1192" s="20" t="n">
        <x:v>1</x:v>
      </x:c>
      <x:c r="AA1192" s="19"/>
      <x:c r="AB1192" s="18"/>
      <x:c r="AC1192" s="19"/>
    </x:row>
    <x:row r="1193" ht="33" customHeight="1">
      <x:c r="A1193" s="18" t="str">
        <x:v>日比谷</x:v>
      </x:c>
      <x:c r="B1193" s="18" t="str">
        <x:v>東京地下鉄</x:v>
      </x:c>
      <x:c r="C1193" s="18" t="str">
        <x:v>metro</x:v>
      </x:c>
      <x:c r="D1193" s="19" t="str">
        <x:v>T1</x:v>
      </x:c>
      <x:c r="E1193" s="20" t="n">
        <x:v>93712</x:v>
      </x:c>
      <x:c r="F1193" s="18" t="str">
        <x:v>persons/day</x:v>
      </x:c>
      <x:c r="G1193" s="18" t="str">
        <x:v>FY2024</x:v>
      </x:c>
      <x:c r="H1193" s="18" t="str">
        <x:v>否</x:v>
      </x:c>
      <x:c r="I1193" s="19" t="str">
        <x:v>DAILY_ENTRIES_EXITS</x:v>
      </x:c>
      <x:c r="J1193" s="19" t="str">
        <x:v>2号線日比谷線
9号線千代田線</x:v>
      </x:c>
      <x:c r="K1193" s="18" t="str">
        <x:v>transport-node:05ad20d4-2391-5506-ba24-fed4032ad8e3</x:v>
      </x:c>
      <x:c r="L1193" s="19" t="str">
        <x:v>组件待审核</x:v>
      </x:c>
      <x:c r="M1193" s="21" t="n">
        <x:v>35.6742075</x:v>
      </x:c>
      <x:c r="N1193" s="21" t="n">
        <x:v>139.7606925</x:v>
      </x:c>
      <x:c r="O1193" s="18" t="str">
        <x:v>003802</x:v>
      </x:c>
      <x:c r="P1193" s="18" t="str">
        <x:v>2号線日比谷線</x:v>
      </x:c>
      <x:c r="Q1193" s="19" t="str">
        <x:v>S12_061_GE_10000
OFFICIAL_HUB_COMPONENT_REVIEW</x:v>
      </x:c>
      <x:c r="R1193" s="19" t="str">
        <x:v>S12_061 usage threshold</x:v>
      </x:c>
      <x:c r="S1193" s="19" t="str">
        <x:v>https://nlftp.mlit.go.jp/ksj/gml/datalist/KsjTmplt-S12-2024.html</x:v>
      </x:c>
      <x:c r="T1193" s="19" t="str">
        <x:v>https://nlftp.mlit.go.jp/ksj/gml/datalist/KsjTmplt-S12-2024.html
https://www.tokyometro.jp/station/yurakucho/index.html</x:v>
      </x:c>
      <x:c r="U1193" s="19" t="str">
        <x:v>station-component|日比谷|東京地下鉄|metro|35.6742|139.7607|</x:v>
      </x:c>
      <x:c r="V1193" s="19" t="str">
        <x:v>003802 / 003802 / 2号線日比谷線
003802 / 003804 / 9号線千代田線</x:v>
      </x:c>
      <x:c r="W1193" s="18" t="str">
        <x:v>否</x:v>
      </x:c>
      <x:c r="X1193" s="18" t="str">
        <x:v>0785e932a32b3ec15e1a1345537ae145eafe1c07bf38d5c16c11ee2b391e7a28</x:v>
      </x:c>
      <x:c r="Y1193" s="20" t="n">
        <x:v>1</x:v>
      </x:c>
      <x:c r="Z1193" s="20" t="n">
        <x:v>1</x:v>
      </x:c>
      <x:c r="AA1193" s="19" t="str">
        <x:v>有楽町・日比谷</x:v>
      </x:c>
      <x:c r="AB1193" s="18" t="str">
        <x:v>transport-hub-review:97878753-ca5b-5c59-84d4-842b8879679b</x:v>
      </x:c>
      <x:c r="AC1193" s="19"/>
    </x:row>
    <x:row r="1194" ht="33" customHeight="1">
      <x:c r="A1194" s="18" t="str">
        <x:v>日比谷</x:v>
      </x:c>
      <x:c r="B1194" s="18" t="str">
        <x:v>東京都</x:v>
      </x:c>
      <x:c r="C1194" s="18" t="str">
        <x:v>metro</x:v>
      </x:c>
      <x:c r="D1194" s="19" t="str">
        <x:v>T2</x:v>
      </x:c>
      <x:c r="E1194" s="20" t="n">
        <x:v>38566</x:v>
      </x:c>
      <x:c r="F1194" s="18" t="str">
        <x:v>persons/day</x:v>
      </x:c>
      <x:c r="G1194" s="18" t="str">
        <x:v>FY2024</x:v>
      </x:c>
      <x:c r="H1194" s="18" t="str">
        <x:v>否</x:v>
      </x:c>
      <x:c r="I1194" s="19" t="str">
        <x:v>DAILY_ENTRIES_EXITS</x:v>
      </x:c>
      <x:c r="J1194" s="19" t="str">
        <x:v>6号線三田線</x:v>
      </x:c>
      <x:c r="K1194" s="18" t="str">
        <x:v>transport-node:e2c3e701-a95e-5dd1-aa15-04862d57958c</x:v>
      </x:c>
      <x:c r="L1194" s="19" t="str">
        <x:v>组件待审核</x:v>
      </x:c>
      <x:c r="M1194" s="21" t="n">
        <x:v>35.67662</x:v>
      </x:c>
      <x:c r="N1194" s="21" t="n">
        <x:v>139.760145</x:v>
      </x:c>
      <x:c r="O1194" s="18" t="str">
        <x:v>003793</x:v>
      </x:c>
      <x:c r="P1194" s="18" t="str">
        <x:v>6号線三田線</x:v>
      </x:c>
      <x:c r="Q1194" s="19" t="str">
        <x:v>S12_061_GE_10000
OFFICIAL_HUB_COMPONENT_REVIEW</x:v>
      </x:c>
      <x:c r="R1194" s="19" t="str">
        <x:v>S12_061 usage threshold</x:v>
      </x:c>
      <x:c r="S1194" s="19" t="str">
        <x:v>https://nlftp.mlit.go.jp/ksj/gml/datalist/KsjTmplt-S12-2024.html</x:v>
      </x:c>
      <x:c r="T1194" s="19" t="str">
        <x:v>https://nlftp.mlit.go.jp/ksj/gml/datalist/KsjTmplt-S12-2024.html
https://www.tokyometro.jp/station/yurakucho/index.html</x:v>
      </x:c>
      <x:c r="U1194" s="19" t="str">
        <x:v>station-component|日比谷|東京都|metro|35.6766|139.7601|</x:v>
      </x:c>
      <x:c r="V1194" s="19" t="str">
        <x:v>003802 / 003793 / 6号線三田線</x:v>
      </x:c>
      <x:c r="W1194" s="18" t="str">
        <x:v>否</x:v>
      </x:c>
      <x:c r="X1194" s="18" t="str">
        <x:v>0785e932a32b3ec15e1a1345537ae145eafe1c07bf38d5c16c11ee2b391e7a28</x:v>
      </x:c>
      <x:c r="Y1194" s="20" t="n">
        <x:v>1</x:v>
      </x:c>
      <x:c r="Z1194" s="20" t="n">
        <x:v>1</x:v>
      </x:c>
      <x:c r="AA1194" s="19" t="str">
        <x:v>有楽町・日比谷</x:v>
      </x:c>
      <x:c r="AB1194" s="18" t="str">
        <x:v>transport-hub-review:97878753-ca5b-5c59-84d4-842b8879679b</x:v>
      </x:c>
      <x:c r="AC1194" s="19"/>
    </x:row>
    <x:row r="1195" ht="28" customHeight="1">
      <x:c r="A1195" s="18" t="str">
        <x:v>日比野</x:v>
      </x:c>
      <x:c r="B1195" s="18" t="str">
        <x:v>名古屋市</x:v>
      </x:c>
      <x:c r="C1195" s="18" t="str">
        <x:v>metro</x:v>
      </x:c>
      <x:c r="D1195" s="19" t="str">
        <x:v>T2</x:v>
      </x:c>
      <x:c r="E1195" s="20" t="n">
        <x:v>17831</x:v>
      </x:c>
      <x:c r="F1195" s="18" t="str">
        <x:v>persons/day</x:v>
      </x:c>
      <x:c r="G1195" s="18" t="str">
        <x:v>FY2024</x:v>
      </x:c>
      <x:c r="H1195" s="18" t="str">
        <x:v>否</x:v>
      </x:c>
      <x:c r="I1195" s="19" t="str">
        <x:v>DAILY_ENTRIES_EXITS</x:v>
      </x:c>
      <x:c r="J1195" s="19" t="str">
        <x:v>2号線名港線</x:v>
      </x:c>
      <x:c r="K1195" s="18" t="str">
        <x:v>transport-node:fdd30ae5-51d5-5bcf-bf7b-ce3044238340</x:v>
      </x:c>
      <x:c r="L1195" s="19" t="str">
        <x:v>组件待审核</x:v>
      </x:c>
      <x:c r="M1195" s="21" t="n">
        <x:v>35.132765</x:v>
      </x:c>
      <x:c r="N1195" s="21" t="n">
        <x:v>136.89309</x:v>
      </x:c>
      <x:c r="O1195" s="18" t="str">
        <x:v>005579</x:v>
      </x:c>
      <x:c r="P1195" s="18" t="str">
        <x:v>2号線名港線</x:v>
      </x:c>
      <x:c r="Q1195" s="19" t="str">
        <x:v>S12_061_GE_10000</x:v>
      </x:c>
      <x:c r="R1195" s="19" t="str">
        <x:v>S12_061 usage threshold</x:v>
      </x:c>
      <x:c r="S1195" s="19" t="str">
        <x:v>https://nlftp.mlit.go.jp/ksj/gml/datalist/KsjTmplt-S12-2024.html</x:v>
      </x:c>
      <x:c r="T1195" s="19" t="str">
        <x:v>https://nlftp.mlit.go.jp/ksj/gml/datalist/KsjTmplt-S12-2024.html</x:v>
      </x:c>
      <x:c r="U1195" s="19" t="str">
        <x:v>station-component|日比野|名古屋市|metro|35.1328|136.8931|</x:v>
      </x:c>
      <x:c r="V1195" s="19" t="str">
        <x:v>005579 / 005579 / 2号線名港線</x:v>
      </x:c>
      <x:c r="W1195" s="18" t="str">
        <x:v>否</x:v>
      </x:c>
      <x:c r="X1195" s="18" t="str">
        <x:v>0785e932a32b3ec15e1a1345537ae145eafe1c07bf38d5c16c11ee2b391e7a28</x:v>
      </x:c>
      <x:c r="Y1195" s="20" t="n">
        <x:v>1</x:v>
      </x:c>
      <x:c r="Z1195" s="20" t="n">
        <x:v>1</x:v>
      </x:c>
      <x:c r="AA1195" s="19"/>
      <x:c r="AB1195" s="18"/>
      <x:c r="AC1195" s="19"/>
    </x:row>
    <x:row r="1196" ht="28" customHeight="1">
      <x:c r="A1196" s="18" t="str">
        <x:v>日立</x:v>
      </x:c>
      <x:c r="B1196" s="18" t="str">
        <x:v>東日本旅客鉄道</x:v>
      </x:c>
      <x:c r="C1196" s="18" t="str">
        <x:v>conventional_rail</x:v>
      </x:c>
      <x:c r="D1196" s="19" t="str">
        <x:v>T2</x:v>
      </x:c>
      <x:c r="E1196" s="20" t="n">
        <x:v>17568</x:v>
      </x:c>
      <x:c r="F1196" s="18" t="str">
        <x:v>persons/day</x:v>
      </x:c>
      <x:c r="G1196" s="18" t="str">
        <x:v>FY2024</x:v>
      </x:c>
      <x:c r="H1196" s="18" t="str">
        <x:v>否</x:v>
      </x:c>
      <x:c r="I1196" s="19" t="str">
        <x:v>DAILY_ENTRIES_EXITS</x:v>
      </x:c>
      <x:c r="J1196" s="19" t="str">
        <x:v>常磐線</x:v>
      </x:c>
      <x:c r="K1196" s="18" t="str">
        <x:v>transport-node:a4afa32d-2391-5e1b-ba54-98c3bdf77833</x:v>
      </x:c>
      <x:c r="L1196" s="19" t="str">
        <x:v>组件待审核</x:v>
      </x:c>
      <x:c r="M1196" s="21" t="n">
        <x:v>36.590325</x:v>
      </x:c>
      <x:c r="N1196" s="21" t="n">
        <x:v>140.6618</x:v>
      </x:c>
      <x:c r="O1196" s="18" t="str">
        <x:v>002079</x:v>
      </x:c>
      <x:c r="P1196" s="18" t="str">
        <x:v>常磐線</x:v>
      </x:c>
      <x:c r="Q1196" s="19" t="str">
        <x:v>S12_061_GE_10000</x:v>
      </x:c>
      <x:c r="R1196" s="19" t="str">
        <x:v>S12_061 usage threshold</x:v>
      </x:c>
      <x:c r="S1196" s="19" t="str">
        <x:v>https://nlftp.mlit.go.jp/ksj/gml/datalist/KsjTmplt-S12-2024.html</x:v>
      </x:c>
      <x:c r="T1196" s="19" t="str">
        <x:v>https://nlftp.mlit.go.jp/ksj/gml/datalist/KsjTmplt-S12-2024.html</x:v>
      </x:c>
      <x:c r="U1196" s="19" t="str">
        <x:v>station-component|日立|東日本旅客鉄道|conventional_rail|36.5903|140.6618|</x:v>
      </x:c>
      <x:c r="V1196" s="19" t="str">
        <x:v>002079 / 002079 / 常磐線</x:v>
      </x:c>
      <x:c r="W1196" s="18" t="str">
        <x:v>否</x:v>
      </x:c>
      <x:c r="X1196" s="18" t="str">
        <x:v>0785e932a32b3ec15e1a1345537ae145eafe1c07bf38d5c16c11ee2b391e7a28</x:v>
      </x:c>
      <x:c r="Y1196" s="20" t="n">
        <x:v>1</x:v>
      </x:c>
      <x:c r="Z1196" s="20" t="n">
        <x:v>1</x:v>
      </x:c>
      <x:c r="AA1196" s="19"/>
      <x:c r="AB1196" s="18"/>
      <x:c r="AC1196" s="19"/>
    </x:row>
    <x:row r="1197" ht="28" customHeight="1">
      <x:c r="A1197" s="18" t="str">
        <x:v>日進</x:v>
      </x:c>
      <x:c r="B1197" s="18" t="str">
        <x:v>東日本旅客鉄道</x:v>
      </x:c>
      <x:c r="C1197" s="18" t="str">
        <x:v>conventional_rail</x:v>
      </x:c>
      <x:c r="D1197" s="19" t="str">
        <x:v>T2</x:v>
      </x:c>
      <x:c r="E1197" s="20" t="n">
        <x:v>24980</x:v>
      </x:c>
      <x:c r="F1197" s="18" t="str">
        <x:v>persons/day</x:v>
      </x:c>
      <x:c r="G1197" s="18" t="str">
        <x:v>FY2024</x:v>
      </x:c>
      <x:c r="H1197" s="18" t="str">
        <x:v>否</x:v>
      </x:c>
      <x:c r="I1197" s="19" t="str">
        <x:v>DAILY_ENTRIES_EXITS</x:v>
      </x:c>
      <x:c r="J1197" s="19" t="str">
        <x:v>川越線</x:v>
      </x:c>
      <x:c r="K1197" s="18" t="str">
        <x:v>transport-node:f07d8d90-4f18-5930-b546-6e74d81c4dc3</x:v>
      </x:c>
      <x:c r="L1197" s="19" t="str">
        <x:v>组件待审核</x:v>
      </x:c>
      <x:c r="M1197" s="21" t="n">
        <x:v>35.93153</x:v>
      </x:c>
      <x:c r="N1197" s="21" t="n">
        <x:v>139.60606</x:v>
      </x:c>
      <x:c r="O1197" s="18" t="str">
        <x:v>002862</x:v>
      </x:c>
      <x:c r="P1197" s="18" t="str">
        <x:v>川越線</x:v>
      </x:c>
      <x:c r="Q1197" s="19" t="str">
        <x:v>S12_061_GE_10000</x:v>
      </x:c>
      <x:c r="R1197" s="19" t="str">
        <x:v>S12_061 usage threshold</x:v>
      </x:c>
      <x:c r="S1197" s="19" t="str">
        <x:v>https://nlftp.mlit.go.jp/ksj/gml/datalist/KsjTmplt-S12-2024.html</x:v>
      </x:c>
      <x:c r="T1197" s="19" t="str">
        <x:v>https://nlftp.mlit.go.jp/ksj/gml/datalist/KsjTmplt-S12-2024.html</x:v>
      </x:c>
      <x:c r="U1197" s="19" t="str">
        <x:v>station-component|日進|東日本旅客鉄道|conventional_rail|35.9315|139.6061|</x:v>
      </x:c>
      <x:c r="V1197" s="19" t="str">
        <x:v>002862 / 002862 / 川越線</x:v>
      </x:c>
      <x:c r="W1197" s="18" t="str">
        <x:v>否</x:v>
      </x:c>
      <x:c r="X1197" s="18" t="str">
        <x:v>0785e932a32b3ec15e1a1345537ae145eafe1c07bf38d5c16c11ee2b391e7a28</x:v>
      </x:c>
      <x:c r="Y1197" s="20" t="n">
        <x:v>1</x:v>
      </x:c>
      <x:c r="Z1197" s="20" t="n">
        <x:v>1</x:v>
      </x:c>
      <x:c r="AA1197" s="19"/>
      <x:c r="AB1197" s="18"/>
      <x:c r="AC1197" s="19"/>
    </x:row>
    <x:row r="1198" ht="28" customHeight="1">
      <x:c r="A1198" s="18" t="str">
        <x:v>日野</x:v>
      </x:c>
      <x:c r="B1198" s="18" t="str">
        <x:v>東日本旅客鉄道</x:v>
      </x:c>
      <x:c r="C1198" s="18" t="str">
        <x:v>conventional_rail</x:v>
      </x:c>
      <x:c r="D1198" s="19" t="str">
        <x:v>T2</x:v>
      </x:c>
      <x:c r="E1198" s="20" t="n">
        <x:v>45858</x:v>
      </x:c>
      <x:c r="F1198" s="18" t="str">
        <x:v>persons/day</x:v>
      </x:c>
      <x:c r="G1198" s="18" t="str">
        <x:v>FY2024</x:v>
      </x:c>
      <x:c r="H1198" s="18" t="str">
        <x:v>否</x:v>
      </x:c>
      <x:c r="I1198" s="19" t="str">
        <x:v>DAILY_ENTRIES_EXITS</x:v>
      </x:c>
      <x:c r="J1198" s="19" t="str">
        <x:v>中央線</x:v>
      </x:c>
      <x:c r="K1198" s="18" t="str">
        <x:v>transport-node:e6d6a87a-98a7-598f-8cba-e9e58df26747</x:v>
      </x:c>
      <x:c r="L1198" s="19" t="str">
        <x:v>组件待审核</x:v>
      </x:c>
      <x:c r="M1198" s="21" t="n">
        <x:v>35.678675</x:v>
      </x:c>
      <x:c r="N1198" s="21" t="n">
        <x:v>139.3934975</x:v>
      </x:c>
      <x:c r="O1198" s="18" t="str">
        <x:v>003779</x:v>
      </x:c>
      <x:c r="P1198" s="18" t="str">
        <x:v>中央線</x:v>
      </x:c>
      <x:c r="Q1198" s="19" t="str">
        <x:v>S12_061_GE_10000</x:v>
      </x:c>
      <x:c r="R1198" s="19" t="str">
        <x:v>S12_061 usage threshold</x:v>
      </x:c>
      <x:c r="S1198" s="19" t="str">
        <x:v>https://nlftp.mlit.go.jp/ksj/gml/datalist/KsjTmplt-S12-2024.html</x:v>
      </x:c>
      <x:c r="T1198" s="19" t="str">
        <x:v>https://nlftp.mlit.go.jp/ksj/gml/datalist/KsjTmplt-S12-2024.html</x:v>
      </x:c>
      <x:c r="U1198" s="19" t="str">
        <x:v>station-component|日野|東日本旅客鉄道|conventional_rail|35.6787|139.3935|</x:v>
      </x:c>
      <x:c r="V1198" s="19" t="str">
        <x:v>003779 / 003779 / 中央線</x:v>
      </x:c>
      <x:c r="W1198" s="18" t="str">
        <x:v>否</x:v>
      </x:c>
      <x:c r="X1198" s="18" t="str">
        <x:v>0785e932a32b3ec15e1a1345537ae145eafe1c07bf38d5c16c11ee2b391e7a28</x:v>
      </x:c>
      <x:c r="Y1198" s="20" t="n">
        <x:v>1</x:v>
      </x:c>
      <x:c r="Z1198" s="20" t="n">
        <x:v>1</x:v>
      </x:c>
      <x:c r="AA1198" s="19"/>
      <x:c r="AB1198" s="18"/>
      <x:c r="AC1198" s="19"/>
    </x:row>
    <x:row r="1199" ht="28" customHeight="1">
      <x:c r="A1199" s="18" t="str">
        <x:v>早稲田</x:v>
      </x:c>
      <x:c r="B1199" s="18" t="str">
        <x:v>東京地下鉄</x:v>
      </x:c>
      <x:c r="C1199" s="18" t="str">
        <x:v>metro</x:v>
      </x:c>
      <x:c r="D1199" s="19" t="str">
        <x:v>T1</x:v>
      </x:c>
      <x:c r="E1199" s="20" t="n">
        <x:v>79978</x:v>
      </x:c>
      <x:c r="F1199" s="18" t="str">
        <x:v>persons/day</x:v>
      </x:c>
      <x:c r="G1199" s="18" t="str">
        <x:v>FY2024</x:v>
      </x:c>
      <x:c r="H1199" s="18" t="str">
        <x:v>否</x:v>
      </x:c>
      <x:c r="I1199" s="19" t="str">
        <x:v>DAILY_ENTRIES_EXITS</x:v>
      </x:c>
      <x:c r="J1199" s="19" t="str">
        <x:v>5号線東西線</x:v>
      </x:c>
      <x:c r="K1199" s="18" t="str">
        <x:v>transport-node:34d50f2c-1e31-5db3-87a3-8b007d8abf60</x:v>
      </x:c>
      <x:c r="L1199" s="19" t="str">
        <x:v>组件待审核</x:v>
      </x:c>
      <x:c r="M1199" s="21" t="n">
        <x:v>35.70568</x:v>
      </x:c>
      <x:c r="N1199" s="21" t="n">
        <x:v>139.72219</x:v>
      </x:c>
      <x:c r="O1199" s="18" t="str">
        <x:v>003570</x:v>
      </x:c>
      <x:c r="P1199" s="18" t="str">
        <x:v>5号線東西線</x:v>
      </x:c>
      <x:c r="Q1199" s="19" t="str">
        <x:v>S12_061_GE_10000</x:v>
      </x:c>
      <x:c r="R1199" s="19" t="str">
        <x:v>S12_061 usage threshold</x:v>
      </x:c>
      <x:c r="S1199" s="19" t="str">
        <x:v>https://nlftp.mlit.go.jp/ksj/gml/datalist/KsjTmplt-S12-2024.html</x:v>
      </x:c>
      <x:c r="T1199" s="19" t="str">
        <x:v>https://nlftp.mlit.go.jp/ksj/gml/datalist/KsjTmplt-S12-2024.html</x:v>
      </x:c>
      <x:c r="U1199" s="19" t="str">
        <x:v>station-component|早稲田|東京地下鉄|metro|35.7057|139.7222|</x:v>
      </x:c>
      <x:c r="V1199" s="19" t="str">
        <x:v>003570 / 003570 / 5号線東西線</x:v>
      </x:c>
      <x:c r="W1199" s="18" t="str">
        <x:v>否</x:v>
      </x:c>
      <x:c r="X1199" s="18" t="str">
        <x:v>0785e932a32b3ec15e1a1345537ae145eafe1c07bf38d5c16c11ee2b391e7a28</x:v>
      </x:c>
      <x:c r="Y1199" s="20" t="n">
        <x:v>1</x:v>
      </x:c>
      <x:c r="Z1199" s="20" t="n">
        <x:v>1</x:v>
      </x:c>
      <x:c r="AA1199" s="19"/>
      <x:c r="AB1199" s="18"/>
      <x:c r="AC1199" s="19"/>
    </x:row>
    <x:row r="1200" ht="33" customHeight="1">
      <x:c r="A1200" s="18" t="str">
        <x:v>明大前</x:v>
      </x:c>
      <x:c r="B1200" s="18" t="str">
        <x:v>京王電鉄</x:v>
      </x:c>
      <x:c r="C1200" s="18" t="str">
        <x:v>private_rail</x:v>
      </x:c>
      <x:c r="D1200" s="19" t="str">
        <x:v>T1</x:v>
      </x:c>
      <x:c r="E1200" s="20" t="n">
        <x:v>91172</x:v>
      </x:c>
      <x:c r="F1200" s="18" t="str">
        <x:v>persons/day</x:v>
      </x:c>
      <x:c r="G1200" s="18" t="str">
        <x:v>FY2024</x:v>
      </x:c>
      <x:c r="H1200" s="18" t="str">
        <x:v>否</x:v>
      </x:c>
      <x:c r="I1200" s="19" t="str">
        <x:v>DAILY_ENTRIES_EXITS</x:v>
      </x:c>
      <x:c r="J1200" s="19" t="str">
        <x:v>井の頭線
京王線</x:v>
      </x:c>
      <x:c r="K1200" s="18" t="str">
        <x:v>transport-node:8eafbf52-fe90-5736-a2e8-70b9c3fcfe98</x:v>
      </x:c>
      <x:c r="L1200" s="19" t="str">
        <x:v>组件待审核</x:v>
      </x:c>
      <x:c r="M1200" s="21" t="n">
        <x:v>35.6683575</x:v>
      </x:c>
      <x:c r="N1200" s="21" t="n">
        <x:v>139.65055</x:v>
      </x:c>
      <x:c r="O1200" s="18" t="str">
        <x:v>003855</x:v>
      </x:c>
      <x:c r="P1200" s="18" t="str">
        <x:v>京王線</x:v>
      </x:c>
      <x:c r="Q1200" s="19" t="str">
        <x:v>S12_061_GE_10000
OFFICIAL_HUB_COMPONENT_REVIEW</x:v>
      </x:c>
      <x:c r="R1200" s="19" t="str">
        <x:v>S12_061 usage threshold</x:v>
      </x:c>
      <x:c r="S1200" s="19" t="str">
        <x:v>https://nlftp.mlit.go.jp/ksj/gml/datalist/KsjTmplt-S12-2024.html</x:v>
      </x:c>
      <x:c r="T1200" s="19" t="str">
        <x:v>https://nlftp.mlit.go.jp/ksj/gml/datalist/KsjTmplt-S12-2024.html
https://www.keio.co.jp/train/station/</x:v>
      </x:c>
      <x:c r="U1200" s="19" t="str">
        <x:v>station-component|明大前|京王電鉄|private_rail|35.6684|139.6506|</x:v>
      </x:c>
      <x:c r="V1200" s="19" t="str">
        <x:v>003846 / 003846 / 井の頭線
003846 / 003855 / 京王線</x:v>
      </x:c>
      <x:c r="W1200" s="18" t="str">
        <x:v>否</x:v>
      </x:c>
      <x:c r="X1200" s="18" t="str">
        <x:v>0785e932a32b3ec15e1a1345537ae145eafe1c07bf38d5c16c11ee2b391e7a28</x:v>
      </x:c>
      <x:c r="Y1200" s="20" t="n">
        <x:v>1</x:v>
      </x:c>
      <x:c r="Z1200" s="20" t="n">
        <x:v>1</x:v>
      </x:c>
      <x:c r="AA1200" s="19" t="str">
        <x:v>明大前</x:v>
      </x:c>
      <x:c r="AB1200" s="18" t="str">
        <x:v>transport-hub-review:c7cb79fa-367b-5487-a7f4-af5803c541c1</x:v>
      </x:c>
      <x:c r="AC1200" s="19"/>
    </x:row>
    <x:row r="1201" ht="33" customHeight="1">
      <x:c r="A1201" s="18" t="str">
        <x:v>明治神宮前</x:v>
      </x:c>
      <x:c r="B1201" s="18" t="str">
        <x:v>東京地下鉄</x:v>
      </x:c>
      <x:c r="C1201" s="18" t="str">
        <x:v>metro</x:v>
      </x:c>
      <x:c r="D1201" s="19" t="str">
        <x:v>T1</x:v>
      </x:c>
      <x:c r="E1201" s="20" t="n">
        <x:v>105665</x:v>
      </x:c>
      <x:c r="F1201" s="18" t="str">
        <x:v>persons/day</x:v>
      </x:c>
      <x:c r="G1201" s="18" t="str">
        <x:v>FY2024</x:v>
      </x:c>
      <x:c r="H1201" s="18" t="str">
        <x:v>否</x:v>
      </x:c>
      <x:c r="I1201" s="19" t="str">
        <x:v>DAILY_ENTRIES_EXITS</x:v>
      </x:c>
      <x:c r="J1201" s="19" t="str">
        <x:v>13号線副都心線
9号線千代田線</x:v>
      </x:c>
      <x:c r="K1201" s="18" t="str">
        <x:v>transport-node:28fff181-3d5b-5b73-a02b-c338099a443b</x:v>
      </x:c>
      <x:c r="L1201" s="19" t="str">
        <x:v>组件待审核</x:v>
      </x:c>
      <x:c r="M1201" s="21" t="n">
        <x:v>35.6691833</x:v>
      </x:c>
      <x:c r="N1201" s="21" t="n">
        <x:v>139.7037967</x:v>
      </x:c>
      <x:c r="O1201" s="18" t="str">
        <x:v>003844</x:v>
      </x:c>
      <x:c r="P1201" s="18" t="str">
        <x:v>9号線千代田線</x:v>
      </x:c>
      <x:c r="Q1201" s="19" t="str">
        <x:v>S12_061_GE_10000
OFFICIAL_HUB_COMPONENT_REVIEW</x:v>
      </x:c>
      <x:c r="R1201" s="19" t="str">
        <x:v>S12_061 usage threshold</x:v>
      </x:c>
      <x:c r="S1201" s="19" t="str">
        <x:v>https://nlftp.mlit.go.jp/ksj/gml/datalist/KsjTmplt-S12-2024.html</x:v>
      </x:c>
      <x:c r="T1201" s="19" t="str">
        <x:v>https://nlftp.mlit.go.jp/ksj/gml/datalist/KsjTmplt-S12-2024.html
https://www.tokyometro.jp/station/meiji-jingumae/index.html</x:v>
      </x:c>
      <x:c r="U1201" s="19" t="str">
        <x:v>station-component|明治神宮前|東京地下鉄|metro|35.6692|139.7038|</x:v>
      </x:c>
      <x:c r="V1201" s="19" t="str">
        <x:v>003844 / 003844 / 9号線千代田線
003844 / 003857 / 13号線副都心線</x:v>
      </x:c>
      <x:c r="W1201" s="18" t="str">
        <x:v>否</x:v>
      </x:c>
      <x:c r="X1201" s="18" t="str">
        <x:v>0785e932a32b3ec15e1a1345537ae145eafe1c07bf38d5c16c11ee2b391e7a28</x:v>
      </x:c>
      <x:c r="Y1201" s="20" t="n">
        <x:v>1</x:v>
      </x:c>
      <x:c r="Z1201" s="20" t="n">
        <x:v>1</x:v>
      </x:c>
      <x:c r="AA1201" s="19" t="str">
        <x:v>原宿・明治神宮前</x:v>
      </x:c>
      <x:c r="AB1201" s="18" t="str">
        <x:v>transport-hub-review:9656f81d-44de-5cf8-829a-0c6650d967b2</x:v>
      </x:c>
      <x:c r="AC1201" s="19"/>
    </x:row>
    <x:row r="1202" ht="28" customHeight="1">
      <x:c r="A1202" s="18" t="str">
        <x:v>明石</x:v>
      </x:c>
      <x:c r="B1202" s="18" t="str">
        <x:v>西日本旅客鉄道</x:v>
      </x:c>
      <x:c r="C1202" s="18" t="str">
        <x:v>conventional_rail</x:v>
      </x:c>
      <x:c r="D1202" s="19" t="str">
        <x:v>T1</x:v>
      </x:c>
      <x:c r="E1202" s="20" t="n">
        <x:v>94172</x:v>
      </x:c>
      <x:c r="F1202" s="18" t="str">
        <x:v>persons/day</x:v>
      </x:c>
      <x:c r="G1202" s="18" t="str">
        <x:v>FY2024</x:v>
      </x:c>
      <x:c r="H1202" s="18" t="str">
        <x:v>否</x:v>
      </x:c>
      <x:c r="I1202" s="19" t="str">
        <x:v>DAILY_ENTRIES_EXITS</x:v>
      </x:c>
      <x:c r="J1202" s="19" t="str">
        <x:v>山陽線</x:v>
      </x:c>
      <x:c r="K1202" s="18" t="str">
        <x:v>transport-node:a679d940-5a63-5dd2-a4f6-6cc1f2a3dbd8</x:v>
      </x:c>
      <x:c r="L1202" s="19" t="str">
        <x:v>组件待审核</x:v>
      </x:c>
      <x:c r="M1202" s="21" t="n">
        <x:v>34.6490333</x:v>
      </x:c>
      <x:c r="N1202" s="21" t="n">
        <x:v>134.9931767</x:v>
      </x:c>
      <x:c r="O1202" s="18" t="str">
        <x:v>007428</x:v>
      </x:c>
      <x:c r="P1202" s="18" t="str">
        <x:v>山陽線</x:v>
      </x:c>
      <x:c r="Q1202" s="19" t="str">
        <x:v>S12_061_GE_10000</x:v>
      </x:c>
      <x:c r="R1202" s="19" t="str">
        <x:v>S12_061 usage threshold</x:v>
      </x:c>
      <x:c r="S1202" s="19" t="str">
        <x:v>https://nlftp.mlit.go.jp/ksj/gml/datalist/KsjTmplt-S12-2024.html</x:v>
      </x:c>
      <x:c r="T1202" s="19" t="str">
        <x:v>https://nlftp.mlit.go.jp/ksj/gml/datalist/KsjTmplt-S12-2024.html</x:v>
      </x:c>
      <x:c r="U1202" s="19" t="str">
        <x:v>station-component|明石|西日本旅客鉄道|conventional_rail|34.6490|134.9932|</x:v>
      </x:c>
      <x:c r="V1202" s="19" t="str">
        <x:v>007428 / 007428 / 山陽線</x:v>
      </x:c>
      <x:c r="W1202" s="18" t="str">
        <x:v>否</x:v>
      </x:c>
      <x:c r="X1202" s="18" t="str">
        <x:v>0785e932a32b3ec15e1a1345537ae145eafe1c07bf38d5c16c11ee2b391e7a28</x:v>
      </x:c>
      <x:c r="Y1202" s="20" t="n">
        <x:v>1</x:v>
      </x:c>
      <x:c r="Z1202" s="20" t="n">
        <x:v>1</x:v>
      </x:c>
      <x:c r="AA1202" s="19"/>
      <x:c r="AB1202" s="18"/>
      <x:c r="AC1202" s="19"/>
    </x:row>
    <x:row r="1203" ht="28" customHeight="1">
      <x:c r="A1203" s="18" t="str">
        <x:v>星ヶ丘</x:v>
      </x:c>
      <x:c r="B1203" s="18" t="str">
        <x:v>名古屋市</x:v>
      </x:c>
      <x:c r="C1203" s="18" t="str">
        <x:v>metro</x:v>
      </x:c>
      <x:c r="D1203" s="19" t="str">
        <x:v>T2</x:v>
      </x:c>
      <x:c r="E1203" s="20" t="n">
        <x:v>46055</x:v>
      </x:c>
      <x:c r="F1203" s="18" t="str">
        <x:v>persons/day</x:v>
      </x:c>
      <x:c r="G1203" s="18" t="str">
        <x:v>FY2024</x:v>
      </x:c>
      <x:c r="H1203" s="18" t="str">
        <x:v>否</x:v>
      </x:c>
      <x:c r="I1203" s="19" t="str">
        <x:v>DAILY_ENTRIES_EXITS</x:v>
      </x:c>
      <x:c r="J1203" s="19" t="str">
        <x:v>1号線東山線</x:v>
      </x:c>
      <x:c r="K1203" s="18" t="str">
        <x:v>transport-node:b502c64b-8cb9-539f-9211-3efa6c048a14</x:v>
      </x:c>
      <x:c r="L1203" s="19" t="str">
        <x:v>组件待审核</x:v>
      </x:c>
      <x:c r="M1203" s="21" t="n">
        <x:v>35.16277</x:v>
      </x:c>
      <x:c r="N1203" s="21" t="n">
        <x:v>136.98589</x:v>
      </x:c>
      <x:c r="O1203" s="18" t="str">
        <x:v>005488</x:v>
      </x:c>
      <x:c r="P1203" s="18" t="str">
        <x:v>1号線東山線</x:v>
      </x:c>
      <x:c r="Q1203" s="19" t="str">
        <x:v>S12_061_GE_10000</x:v>
      </x:c>
      <x:c r="R1203" s="19" t="str">
        <x:v>S12_061 usage threshold</x:v>
      </x:c>
      <x:c r="S1203" s="19" t="str">
        <x:v>https://nlftp.mlit.go.jp/ksj/gml/datalist/KsjTmplt-S12-2024.html</x:v>
      </x:c>
      <x:c r="T1203" s="19" t="str">
        <x:v>https://nlftp.mlit.go.jp/ksj/gml/datalist/KsjTmplt-S12-2024.html</x:v>
      </x:c>
      <x:c r="U1203" s="19" t="str">
        <x:v>station-component|星ヶ丘|名古屋市|metro|35.1628|136.9859|</x:v>
      </x:c>
      <x:c r="V1203" s="19" t="str">
        <x:v>005488 / 005488 / 1号線東山線</x:v>
      </x:c>
      <x:c r="W1203" s="18" t="str">
        <x:v>否</x:v>
      </x:c>
      <x:c r="X1203" s="18" t="str">
        <x:v>0785e932a32b3ec15e1a1345537ae145eafe1c07bf38d5c16c11ee2b391e7a28</x:v>
      </x:c>
      <x:c r="Y1203" s="20" t="n">
        <x:v>1</x:v>
      </x:c>
      <x:c r="Z1203" s="20" t="n">
        <x:v>1</x:v>
      </x:c>
      <x:c r="AA1203" s="19"/>
      <x:c r="AB1203" s="18"/>
      <x:c r="AC1203" s="19"/>
    </x:row>
    <x:row r="1204" ht="28" customHeight="1">
      <x:c r="A1204" s="18" t="str">
        <x:v>星川</x:v>
      </x:c>
      <x:c r="B1204" s="18" t="str">
        <x:v>相模鉄道</x:v>
      </x:c>
      <x:c r="C1204" s="18" t="str">
        <x:v>private_rail</x:v>
      </x:c>
      <x:c r="D1204" s="19" t="str">
        <x:v>T2</x:v>
      </x:c>
      <x:c r="E1204" s="20" t="n">
        <x:v>30148</x:v>
      </x:c>
      <x:c r="F1204" s="18" t="str">
        <x:v>persons/day</x:v>
      </x:c>
      <x:c r="G1204" s="18" t="str">
        <x:v>FY2024</x:v>
      </x:c>
      <x:c r="H1204" s="18" t="str">
        <x:v>否</x:v>
      </x:c>
      <x:c r="I1204" s="19" t="str">
        <x:v>DAILY_ENTRIES_EXITS</x:v>
      </x:c>
      <x:c r="J1204" s="19" t="str">
        <x:v>相鉄本線</x:v>
      </x:c>
      <x:c r="K1204" s="18" t="str">
        <x:v>transport-node:af55387f-ca3f-5a45-bf4b-3e5a9b1ff5c2</x:v>
      </x:c>
      <x:c r="L1204" s="19" t="str">
        <x:v>组件待审核</x:v>
      </x:c>
      <x:c r="M1204" s="21" t="n">
        <x:v>35.458235</x:v>
      </x:c>
      <x:c r="N1204" s="21" t="n">
        <x:v>139.595195</x:v>
      </x:c>
      <x:c r="O1204" s="18" t="str">
        <x:v>004655</x:v>
      </x:c>
      <x:c r="P1204" s="18" t="str">
        <x:v>相鉄本線</x:v>
      </x:c>
      <x:c r="Q1204" s="19" t="str">
        <x:v>S12_061_GE_10000</x:v>
      </x:c>
      <x:c r="R1204" s="19" t="str">
        <x:v>S12_061 usage threshold</x:v>
      </x:c>
      <x:c r="S1204" s="19" t="str">
        <x:v>https://nlftp.mlit.go.jp/ksj/gml/datalist/KsjTmplt-S12-2024.html</x:v>
      </x:c>
      <x:c r="T1204" s="19" t="str">
        <x:v>https://nlftp.mlit.go.jp/ksj/gml/datalist/KsjTmplt-S12-2024.html</x:v>
      </x:c>
      <x:c r="U1204" s="19" t="str">
        <x:v>station-component|星川|相模鉄道|private_rail|35.4582|139.5952|</x:v>
      </x:c>
      <x:c r="V1204" s="19" t="str">
        <x:v>004655 / 004655 / 相鉄本線</x:v>
      </x:c>
      <x:c r="W1204" s="18" t="str">
        <x:v>否</x:v>
      </x:c>
      <x:c r="X1204" s="18" t="str">
        <x:v>0785e932a32b3ec15e1a1345537ae145eafe1c07bf38d5c16c11ee2b391e7a28</x:v>
      </x:c>
      <x:c r="Y1204" s="20" t="n">
        <x:v>1</x:v>
      </x:c>
      <x:c r="Z1204" s="20" t="n">
        <x:v>1</x:v>
      </x:c>
      <x:c r="AA1204" s="19"/>
      <x:c r="AB1204" s="18"/>
      <x:c r="AC1204" s="19"/>
    </x:row>
    <x:row r="1205" ht="28" customHeight="1">
      <x:c r="A1205" s="18" t="str">
        <x:v>星田</x:v>
      </x:c>
      <x:c r="B1205" s="18" t="str">
        <x:v>西日本旅客鉄道</x:v>
      </x:c>
      <x:c r="C1205" s="18" t="str">
        <x:v>conventional_rail</x:v>
      </x:c>
      <x:c r="D1205" s="19" t="str">
        <x:v>T2</x:v>
      </x:c>
      <x:c r="E1205" s="20" t="n">
        <x:v>16780</x:v>
      </x:c>
      <x:c r="F1205" s="18" t="str">
        <x:v>persons/day</x:v>
      </x:c>
      <x:c r="G1205" s="18" t="str">
        <x:v>FY2024</x:v>
      </x:c>
      <x:c r="H1205" s="18" t="str">
        <x:v>否</x:v>
      </x:c>
      <x:c r="I1205" s="19" t="str">
        <x:v>DAILY_ENTRIES_EXITS</x:v>
      </x:c>
      <x:c r="J1205" s="19" t="str">
        <x:v>片町線</x:v>
      </x:c>
      <x:c r="K1205" s="18" t="str">
        <x:v>transport-node:793fb048-6a96-57a9-873e-ddfb719cc167</x:v>
      </x:c>
      <x:c r="L1205" s="19" t="str">
        <x:v>组件待审核</x:v>
      </x:c>
      <x:c r="M1205" s="21" t="n">
        <x:v>34.76735</x:v>
      </x:c>
      <x:c r="N1205" s="21" t="n">
        <x:v>135.663445</x:v>
      </x:c>
      <x:c r="O1205" s="18" t="str">
        <x:v>006756</x:v>
      </x:c>
      <x:c r="P1205" s="18" t="str">
        <x:v>片町線</x:v>
      </x:c>
      <x:c r="Q1205" s="19" t="str">
        <x:v>S12_061_GE_10000</x:v>
      </x:c>
      <x:c r="R1205" s="19" t="str">
        <x:v>S12_061 usage threshold</x:v>
      </x:c>
      <x:c r="S1205" s="19" t="str">
        <x:v>https://nlftp.mlit.go.jp/ksj/gml/datalist/KsjTmplt-S12-2024.html</x:v>
      </x:c>
      <x:c r="T1205" s="19" t="str">
        <x:v>https://nlftp.mlit.go.jp/ksj/gml/datalist/KsjTmplt-S12-2024.html</x:v>
      </x:c>
      <x:c r="U1205" s="19" t="str">
        <x:v>station-component|星田|西日本旅客鉄道|conventional_rail|34.7674|135.6634|</x:v>
      </x:c>
      <x:c r="V1205" s="19" t="str">
        <x:v>006756 / 006756 / 片町線</x:v>
      </x:c>
      <x:c r="W1205" s="18" t="str">
        <x:v>否</x:v>
      </x:c>
      <x:c r="X1205" s="18" t="str">
        <x:v>0785e932a32b3ec15e1a1345537ae145eafe1c07bf38d5c16c11ee2b391e7a28</x:v>
      </x:c>
      <x:c r="Y1205" s="20" t="n">
        <x:v>1</x:v>
      </x:c>
      <x:c r="Z1205" s="20" t="n">
        <x:v>1</x:v>
      </x:c>
      <x:c r="AA1205" s="19"/>
      <x:c r="AB1205" s="18"/>
      <x:c r="AC1205" s="19"/>
    </x:row>
    <x:row r="1206" ht="33" customHeight="1">
      <x:c r="A1206" s="18" t="str">
        <x:v>春日</x:v>
      </x:c>
      <x:c r="B1206" s="18" t="str">
        <x:v>東京都</x:v>
      </x:c>
      <x:c r="C1206" s="18" t="str">
        <x:v>metro</x:v>
      </x:c>
      <x:c r="D1206" s="19" t="str">
        <x:v>T1</x:v>
      </x:c>
      <x:c r="E1206" s="20" t="n">
        <x:v>65361</x:v>
      </x:c>
      <x:c r="F1206" s="18" t="str">
        <x:v>persons/day</x:v>
      </x:c>
      <x:c r="G1206" s="18" t="str">
        <x:v>FY2024</x:v>
      </x:c>
      <x:c r="H1206" s="18" t="str">
        <x:v>否</x:v>
      </x:c>
      <x:c r="I1206" s="19" t="str">
        <x:v>DAILY_ENTRIES_EXITS</x:v>
      </x:c>
      <x:c r="J1206" s="19" t="str">
        <x:v>12号線大江戸線
6号線三田線</x:v>
      </x:c>
      <x:c r="K1206" s="18" t="str">
        <x:v>transport-node:fb784d15-aee4-5dd2-9219-a082ebfba3d7</x:v>
      </x:c>
      <x:c r="L1206" s="19" t="str">
        <x:v>组件待审核</x:v>
      </x:c>
      <x:c r="M1206" s="21" t="n">
        <x:v>35.709998</x:v>
      </x:c>
      <x:c r="N1206" s="21" t="n">
        <x:v>139.753228</x:v>
      </x:c>
      <x:c r="O1206" s="18" t="str">
        <x:v>003529</x:v>
      </x:c>
      <x:c r="P1206" s="18" t="str">
        <x:v>6号線三田線</x:v>
      </x:c>
      <x:c r="Q1206" s="19" t="str">
        <x:v>S12_061_GE_10000
OFFICIAL_HUB_COMPONENT_REVIEW</x:v>
      </x:c>
      <x:c r="R1206" s="19" t="str">
        <x:v>S12_061 usage threshold</x:v>
      </x:c>
      <x:c r="S1206" s="19" t="str">
        <x:v>https://nlftp.mlit.go.jp/ksj/gml/datalist/KsjTmplt-S12-2024.html</x:v>
      </x:c>
      <x:c r="T1206" s="19" t="str">
        <x:v>https://nlftp.mlit.go.jp/ksj/gml/datalist/KsjTmplt-S12-2024.html
https://www.tokyometro.jp/station/korakuen/index.html</x:v>
      </x:c>
      <x:c r="U1206" s="19" t="str">
        <x:v>station-component|春日|東京都|metro|35.7100|139.7532|</x:v>
      </x:c>
      <x:c r="V1206" s="19" t="str">
        <x:v>003529 / 003529 / 6号線三田線
003529 / 003539 / 12号線大江戸線</x:v>
      </x:c>
      <x:c r="W1206" s="18" t="str">
        <x:v>否</x:v>
      </x:c>
      <x:c r="X1206" s="18" t="str">
        <x:v>0785e932a32b3ec15e1a1345537ae145eafe1c07bf38d5c16c11ee2b391e7a28</x:v>
      </x:c>
      <x:c r="Y1206" s="20" t="n">
        <x:v>1</x:v>
      </x:c>
      <x:c r="Z1206" s="20" t="n">
        <x:v>1</x:v>
      </x:c>
      <x:c r="AA1206" s="19" t="str">
        <x:v>後楽園・春日</x:v>
      </x:c>
      <x:c r="AB1206" s="18" t="str">
        <x:v>transport-hub-review:2fc62095-4794-5412-92ea-251b3975e5e7</x:v>
      </x:c>
      <x:c r="AC1206" s="19"/>
    </x:row>
    <x:row r="1207" ht="28" customHeight="1">
      <x:c r="A1207" s="18" t="str">
        <x:v>春日井</x:v>
      </x:c>
      <x:c r="B1207" s="18" t="str">
        <x:v>東海旅客鉄道</x:v>
      </x:c>
      <x:c r="C1207" s="18" t="str">
        <x:v>conventional_rail</x:v>
      </x:c>
      <x:c r="D1207" s="19" t="str">
        <x:v>T2</x:v>
      </x:c>
      <x:c r="E1207" s="20" t="n">
        <x:v>28784</x:v>
      </x:c>
      <x:c r="F1207" s="18" t="str">
        <x:v>persons/day</x:v>
      </x:c>
      <x:c r="G1207" s="18" t="str">
        <x:v>FY2024</x:v>
      </x:c>
      <x:c r="H1207" s="18" t="str">
        <x:v>否</x:v>
      </x:c>
      <x:c r="I1207" s="19" t="str">
        <x:v>DAILY_ENTRIES_EXITS</x:v>
      </x:c>
      <x:c r="J1207" s="19" t="str">
        <x:v>中央線</x:v>
      </x:c>
      <x:c r="K1207" s="18" t="str">
        <x:v>transport-node:41db730e-33d1-50c7-9076-e4c48d53cc89</x:v>
      </x:c>
      <x:c r="L1207" s="19" t="str">
        <x:v>组件待审核</x:v>
      </x:c>
      <x:c r="M1207" s="21" t="n">
        <x:v>35.2429625</x:v>
      </x:c>
      <x:c r="N1207" s="21" t="n">
        <x:v>136.9849525</x:v>
      </x:c>
      <x:c r="O1207" s="18" t="str">
        <x:v>005253</x:v>
      </x:c>
      <x:c r="P1207" s="18" t="str">
        <x:v>中央線</x:v>
      </x:c>
      <x:c r="Q1207" s="19" t="str">
        <x:v>S12_061_GE_10000</x:v>
      </x:c>
      <x:c r="R1207" s="19" t="str">
        <x:v>S12_061 usage threshold</x:v>
      </x:c>
      <x:c r="S1207" s="19" t="str">
        <x:v>https://nlftp.mlit.go.jp/ksj/gml/datalist/KsjTmplt-S12-2024.html</x:v>
      </x:c>
      <x:c r="T1207" s="19" t="str">
        <x:v>https://nlftp.mlit.go.jp/ksj/gml/datalist/KsjTmplt-S12-2024.html</x:v>
      </x:c>
      <x:c r="U1207" s="19" t="str">
        <x:v>station-component|春日井|東海旅客鉄道|conventional_rail|35.2430|136.9850|</x:v>
      </x:c>
      <x:c r="V1207" s="19" t="str">
        <x:v>005253 / 005253 / 中央線</x:v>
      </x:c>
      <x:c r="W1207" s="18" t="str">
        <x:v>否</x:v>
      </x:c>
      <x:c r="X1207" s="18" t="str">
        <x:v>0785e932a32b3ec15e1a1345537ae145eafe1c07bf38d5c16c11ee2b391e7a28</x:v>
      </x:c>
      <x:c r="Y1207" s="20" t="n">
        <x:v>1</x:v>
      </x:c>
      <x:c r="Z1207" s="20" t="n">
        <x:v>1</x:v>
      </x:c>
      <x:c r="AA1207" s="19"/>
      <x:c r="AB1207" s="18"/>
      <x:c r="AC1207" s="19"/>
    </x:row>
    <x:row r="1208" ht="28" customHeight="1">
      <x:c r="A1208" s="18" t="str">
        <x:v>春日原</x:v>
      </x:c>
      <x:c r="B1208" s="18" t="str">
        <x:v>西日本鉄道</x:v>
      </x:c>
      <x:c r="C1208" s="18" t="str">
        <x:v>private_rail</x:v>
      </x:c>
      <x:c r="D1208" s="19" t="str">
        <x:v>T2</x:v>
      </x:c>
      <x:c r="E1208" s="20" t="n">
        <x:v>22070</x:v>
      </x:c>
      <x:c r="F1208" s="18" t="str">
        <x:v>persons/day</x:v>
      </x:c>
      <x:c r="G1208" s="18" t="str">
        <x:v>FY2024</x:v>
      </x:c>
      <x:c r="H1208" s="18" t="str">
        <x:v>否</x:v>
      </x:c>
      <x:c r="I1208" s="19" t="str">
        <x:v>DAILY_ENTRIES_EXITS</x:v>
      </x:c>
      <x:c r="J1208" s="19" t="str">
        <x:v>天神大牟田線</x:v>
      </x:c>
      <x:c r="K1208" s="18" t="str">
        <x:v>transport-node:7a37e782-4f4f-54a1-bf2c-7890bd594597</x:v>
      </x:c>
      <x:c r="L1208" s="19" t="str">
        <x:v>组件待审核</x:v>
      </x:c>
      <x:c r="M1208" s="21" t="n">
        <x:v>33.53795</x:v>
      </x:c>
      <x:c r="N1208" s="21" t="n">
        <x:v>130.47311</x:v>
      </x:c>
      <x:c r="O1208" s="18" t="str">
        <x:v>009207</x:v>
      </x:c>
      <x:c r="P1208" s="18" t="str">
        <x:v>天神大牟田線</x:v>
      </x:c>
      <x:c r="Q1208" s="19" t="str">
        <x:v>S12_061_GE_10000</x:v>
      </x:c>
      <x:c r="R1208" s="19" t="str">
        <x:v>S12_061 usage threshold</x:v>
      </x:c>
      <x:c r="S1208" s="19" t="str">
        <x:v>https://nlftp.mlit.go.jp/ksj/gml/datalist/KsjTmplt-S12-2024.html</x:v>
      </x:c>
      <x:c r="T1208" s="19" t="str">
        <x:v>https://nlftp.mlit.go.jp/ksj/gml/datalist/KsjTmplt-S12-2024.html</x:v>
      </x:c>
      <x:c r="U1208" s="19" t="str">
        <x:v>station-component|春日原|西日本鉄道|private_rail|33.5380|130.4731|</x:v>
      </x:c>
      <x:c r="V1208" s="19" t="str">
        <x:v>009207 / 009207 / 天神大牟田線</x:v>
      </x:c>
      <x:c r="W1208" s="18" t="str">
        <x:v>否</x:v>
      </x:c>
      <x:c r="X1208" s="18" t="str">
        <x:v>0785e932a32b3ec15e1a1345537ae145eafe1c07bf38d5c16c11ee2b391e7a28</x:v>
      </x:c>
      <x:c r="Y1208" s="20" t="n">
        <x:v>1</x:v>
      </x:c>
      <x:c r="Z1208" s="20" t="n">
        <x:v>1</x:v>
      </x:c>
      <x:c r="AA1208" s="19"/>
      <x:c r="AB1208" s="18"/>
      <x:c r="AC1208" s="19"/>
    </x:row>
    <x:row r="1209" ht="33" customHeight="1">
      <x:c r="A1209" s="18" t="str">
        <x:v>春日部</x:v>
      </x:c>
      <x:c r="B1209" s="18" t="str">
        <x:v>東武鉄道</x:v>
      </x:c>
      <x:c r="C1209" s="18" t="str">
        <x:v>private_rail</x:v>
      </x:c>
      <x:c r="D1209" s="19" t="str">
        <x:v>T1</x:v>
      </x:c>
      <x:c r="E1209" s="20" t="n">
        <x:v>64091</x:v>
      </x:c>
      <x:c r="F1209" s="18" t="str">
        <x:v>persons/day</x:v>
      </x:c>
      <x:c r="G1209" s="18" t="str">
        <x:v>FY2024</x:v>
      </x:c>
      <x:c r="H1209" s="18" t="str">
        <x:v>否</x:v>
      </x:c>
      <x:c r="I1209" s="19" t="str">
        <x:v>DAILY_ENTRIES_EXITS</x:v>
      </x:c>
      <x:c r="J1209" s="19" t="str">
        <x:v>伊勢崎線
野田線</x:v>
      </x:c>
      <x:c r="K1209" s="18" t="str">
        <x:v>transport-node:b4de0503-57b0-5587-a4e0-8e1125f496aa</x:v>
      </x:c>
      <x:c r="L1209" s="19" t="str">
        <x:v>组件待审核</x:v>
      </x:c>
      <x:c r="M1209" s="21" t="n">
        <x:v>35.98007</x:v>
      </x:c>
      <x:c r="N1209" s="21" t="n">
        <x:v>139.75279</x:v>
      </x:c>
      <x:c r="O1209" s="18" t="str">
        <x:v>002785</x:v>
      </x:c>
      <x:c r="P1209" s="18" t="str">
        <x:v>伊勢崎線</x:v>
      </x:c>
      <x:c r="Q1209" s="19" t="str">
        <x:v>S12_061_GE_10000</x:v>
      </x:c>
      <x:c r="R1209" s="19" t="str">
        <x:v>S12_061 usage threshold</x:v>
      </x:c>
      <x:c r="S1209" s="19" t="str">
        <x:v>https://nlftp.mlit.go.jp/ksj/gml/datalist/KsjTmplt-S12-2024.html</x:v>
      </x:c>
      <x:c r="T1209" s="19" t="str">
        <x:v>https://nlftp.mlit.go.jp/ksj/gml/datalist/KsjTmplt-S12-2024.html</x:v>
      </x:c>
      <x:c r="U1209" s="19" t="str">
        <x:v>station-component|春日部|東武鉄道|private_rail|35.9801|139.7528|</x:v>
      </x:c>
      <x:c r="V1209" s="19" t="str">
        <x:v>002785 / 002785 / 伊勢崎線
002785 / 002786 / 野田線</x:v>
      </x:c>
      <x:c r="W1209" s="18" t="str">
        <x:v>否</x:v>
      </x:c>
      <x:c r="X1209" s="18" t="str">
        <x:v>0785e932a32b3ec15e1a1345537ae145eafe1c07bf38d5c16c11ee2b391e7a28</x:v>
      </x:c>
      <x:c r="Y1209" s="20" t="n">
        <x:v>1</x:v>
      </x:c>
      <x:c r="Z1209" s="20" t="n">
        <x:v>1</x:v>
      </x:c>
      <x:c r="AA1209" s="19"/>
      <x:c r="AB1209" s="18"/>
      <x:c r="AC1209" s="19"/>
    </x:row>
    <x:row r="1210" ht="28" customHeight="1">
      <x:c r="A1210" s="18" t="str">
        <x:v>春日野道</x:v>
      </x:c>
      <x:c r="B1210" s="18" t="str">
        <x:v>阪急電鉄</x:v>
      </x:c>
      <x:c r="C1210" s="18" t="str">
        <x:v>private_rail</x:v>
      </x:c>
      <x:c r="D1210" s="19" t="str">
        <x:v>T2</x:v>
      </x:c>
      <x:c r="E1210" s="20" t="n">
        <x:v>11240</x:v>
      </x:c>
      <x:c r="F1210" s="18" t="str">
        <x:v>persons/day</x:v>
      </x:c>
      <x:c r="G1210" s="18" t="str">
        <x:v>FY2024</x:v>
      </x:c>
      <x:c r="H1210" s="18" t="str">
        <x:v>否</x:v>
      </x:c>
      <x:c r="I1210" s="19" t="str">
        <x:v>DAILY_ENTRIES_EXITS</x:v>
      </x:c>
      <x:c r="J1210" s="19" t="str">
        <x:v>神戸線</x:v>
      </x:c>
      <x:c r="K1210" s="18" t="str">
        <x:v>transport-node:459c460b-3fc2-5d8a-a681-d6272ab410ec</x:v>
      </x:c>
      <x:c r="L1210" s="19" t="str">
        <x:v>组件待审核</x:v>
      </x:c>
      <x:c r="M1210" s="21" t="n">
        <x:v>34.7030675</x:v>
      </x:c>
      <x:c r="N1210" s="21" t="n">
        <x:v>135.2055125</x:v>
      </x:c>
      <x:c r="O1210" s="18" t="str">
        <x:v>007067</x:v>
      </x:c>
      <x:c r="P1210" s="18" t="str">
        <x:v>神戸線</x:v>
      </x:c>
      <x:c r="Q1210" s="19" t="str">
        <x:v>S12_061_GE_10000</x:v>
      </x:c>
      <x:c r="R1210" s="19" t="str">
        <x:v>S12_061 usage threshold</x:v>
      </x:c>
      <x:c r="S1210" s="19" t="str">
        <x:v>https://nlftp.mlit.go.jp/ksj/gml/datalist/KsjTmplt-S12-2024.html</x:v>
      </x:c>
      <x:c r="T1210" s="19" t="str">
        <x:v>https://nlftp.mlit.go.jp/ksj/gml/datalist/KsjTmplt-S12-2024.html</x:v>
      </x:c>
      <x:c r="U1210" s="19" t="str">
        <x:v>station-component|春日野道|阪急電鉄|private_rail|34.7031|135.2055|</x:v>
      </x:c>
      <x:c r="V1210" s="19" t="str">
        <x:v>007067 / 007067 / 神戸線</x:v>
      </x:c>
      <x:c r="W1210" s="18" t="str">
        <x:v>否</x:v>
      </x:c>
      <x:c r="X1210" s="18" t="str">
        <x:v>0785e932a32b3ec15e1a1345537ae145eafe1c07bf38d5c16c11ee2b391e7a28</x:v>
      </x:c>
      <x:c r="Y1210" s="20" t="n">
        <x:v>1</x:v>
      </x:c>
      <x:c r="Z1210" s="20" t="n">
        <x:v>1</x:v>
      </x:c>
      <x:c r="AA1210" s="19"/>
      <x:c r="AB1210" s="18"/>
      <x:c r="AC1210" s="19"/>
    </x:row>
    <x:row r="1211" ht="28" customHeight="1">
      <x:c r="A1211" s="18" t="str">
        <x:v>春日野道</x:v>
      </x:c>
      <x:c r="B1211" s="18" t="str">
        <x:v>阪神電気鉄道</x:v>
      </x:c>
      <x:c r="C1211" s="18" t="str">
        <x:v>private_rail</x:v>
      </x:c>
      <x:c r="D1211" s="19" t="str">
        <x:v>T2</x:v>
      </x:c>
      <x:c r="E1211" s="20" t="n">
        <x:v>15556</x:v>
      </x:c>
      <x:c r="F1211" s="18" t="str">
        <x:v>persons/day</x:v>
      </x:c>
      <x:c r="G1211" s="18" t="str">
        <x:v>FY2024</x:v>
      </x:c>
      <x:c r="H1211" s="18" t="str">
        <x:v>否</x:v>
      </x:c>
      <x:c r="I1211" s="19" t="str">
        <x:v>DAILY_ENTRIES_EXITS</x:v>
      </x:c>
      <x:c r="J1211" s="19" t="str">
        <x:v>本線</x:v>
      </x:c>
      <x:c r="K1211" s="18" t="str">
        <x:v>transport-node:e057d33f-a597-5dce-947d-ffba48eba7de</x:v>
      </x:c>
      <x:c r="L1211" s="19" t="str">
        <x:v>组件待审核</x:v>
      </x:c>
      <x:c r="M1211" s="21" t="n">
        <x:v>34.69962</x:v>
      </x:c>
      <x:c r="N1211" s="21" t="n">
        <x:v>135.208165</x:v>
      </x:c>
      <x:c r="O1211" s="18" t="str">
        <x:v>007078</x:v>
      </x:c>
      <x:c r="P1211" s="18" t="str">
        <x:v>本線</x:v>
      </x:c>
      <x:c r="Q1211" s="19" t="str">
        <x:v>S12_061_GE_10000</x:v>
      </x:c>
      <x:c r="R1211" s="19" t="str">
        <x:v>S12_061 usage threshold</x:v>
      </x:c>
      <x:c r="S1211" s="19" t="str">
        <x:v>https://nlftp.mlit.go.jp/ksj/gml/datalist/KsjTmplt-S12-2024.html</x:v>
      </x:c>
      <x:c r="T1211" s="19" t="str">
        <x:v>https://nlftp.mlit.go.jp/ksj/gml/datalist/KsjTmplt-S12-2024.html</x:v>
      </x:c>
      <x:c r="U1211" s="19" t="str">
        <x:v>station-component|春日野道|阪神電気鉄道|private_rail|34.6996|135.2082|</x:v>
      </x:c>
      <x:c r="V1211" s="19" t="str">
        <x:v>007078 / 007078 / 本線</x:v>
      </x:c>
      <x:c r="W1211" s="18" t="str">
        <x:v>否</x:v>
      </x:c>
      <x:c r="X1211" s="18" t="str">
        <x:v>0785e932a32b3ec15e1a1345537ae145eafe1c07bf38d5c16c11ee2b391e7a28</x:v>
      </x:c>
      <x:c r="Y1211" s="20" t="n">
        <x:v>1</x:v>
      </x:c>
      <x:c r="Z1211" s="20" t="n">
        <x:v>1</x:v>
      </x:c>
      <x:c r="AA1211" s="19"/>
      <x:c r="AB1211" s="18"/>
      <x:c r="AC1211" s="19"/>
    </x:row>
    <x:row r="1212" ht="28" customHeight="1">
      <x:c r="A1212" s="18" t="str">
        <x:v>春木</x:v>
      </x:c>
      <x:c r="B1212" s="18" t="str">
        <x:v>南海電気鉄道</x:v>
      </x:c>
      <x:c r="C1212" s="18" t="str">
        <x:v>private_rail</x:v>
      </x:c>
      <x:c r="D1212" s="19" t="str">
        <x:v>T2</x:v>
      </x:c>
      <x:c r="E1212" s="20" t="n">
        <x:v>13303</x:v>
      </x:c>
      <x:c r="F1212" s="18" t="str">
        <x:v>persons/day</x:v>
      </x:c>
      <x:c r="G1212" s="18" t="str">
        <x:v>FY2024</x:v>
      </x:c>
      <x:c r="H1212" s="18" t="str">
        <x:v>否</x:v>
      </x:c>
      <x:c r="I1212" s="19" t="str">
        <x:v>DAILY_ENTRIES_EXITS</x:v>
      </x:c>
      <x:c r="J1212" s="19" t="str">
        <x:v>南海本線</x:v>
      </x:c>
      <x:c r="K1212" s="18" t="str">
        <x:v>transport-node:6a9470e9-a3cd-51eb-9a8f-93c452a138dd</x:v>
      </x:c>
      <x:c r="L1212" s="19" t="str">
        <x:v>组件待审核</x:v>
      </x:c>
      <x:c r="M1212" s="21" t="n">
        <x:v>34.47763</x:v>
      </x:c>
      <x:c r="N1212" s="21" t="n">
        <x:v>135.392145</x:v>
      </x:c>
      <x:c r="O1212" s="18" t="str">
        <x:v>007890</x:v>
      </x:c>
      <x:c r="P1212" s="18" t="str">
        <x:v>南海本線</x:v>
      </x:c>
      <x:c r="Q1212" s="19" t="str">
        <x:v>S12_061_GE_10000</x:v>
      </x:c>
      <x:c r="R1212" s="19" t="str">
        <x:v>S12_061 usage threshold</x:v>
      </x:c>
      <x:c r="S1212" s="19" t="str">
        <x:v>https://nlftp.mlit.go.jp/ksj/gml/datalist/KsjTmplt-S12-2024.html</x:v>
      </x:c>
      <x:c r="T1212" s="19" t="str">
        <x:v>https://nlftp.mlit.go.jp/ksj/gml/datalist/KsjTmplt-S12-2024.html</x:v>
      </x:c>
      <x:c r="U1212" s="19" t="str">
        <x:v>station-component|春木|南海電気鉄道|private_rail|34.4776|135.3921|</x:v>
      </x:c>
      <x:c r="V1212" s="19" t="str">
        <x:v>007890 / 007890 / 南海本線</x:v>
      </x:c>
      <x:c r="W1212" s="18" t="str">
        <x:v>否</x:v>
      </x:c>
      <x:c r="X1212" s="18" t="str">
        <x:v>0785e932a32b3ec15e1a1345537ae145eafe1c07bf38d5c16c11ee2b391e7a28</x:v>
      </x:c>
      <x:c r="Y1212" s="20" t="n">
        <x:v>1</x:v>
      </x:c>
      <x:c r="Z1212" s="20" t="n">
        <x:v>1</x:v>
      </x:c>
      <x:c r="AA1212" s="19"/>
      <x:c r="AB1212" s="18"/>
      <x:c r="AC1212" s="19"/>
    </x:row>
    <x:row r="1213" ht="28" customHeight="1">
      <x:c r="A1213" s="18" t="str">
        <x:v>昭和町</x:v>
      </x:c>
      <x:c r="B1213" s="18" t="str">
        <x:v>大阪市高速電気軌道</x:v>
      </x:c>
      <x:c r="C1213" s="18" t="str">
        <x:v>metro</x:v>
      </x:c>
      <x:c r="D1213" s="19" t="str">
        <x:v>T2</x:v>
      </x:c>
      <x:c r="E1213" s="20" t="n">
        <x:v>26027</x:v>
      </x:c>
      <x:c r="F1213" s="18" t="str">
        <x:v>persons/day</x:v>
      </x:c>
      <x:c r="G1213" s="18" t="str">
        <x:v>FY2024</x:v>
      </x:c>
      <x:c r="H1213" s="18" t="str">
        <x:v>否</x:v>
      </x:c>
      <x:c r="I1213" s="19" t="str">
        <x:v>DAILY_ENTRIES_EXITS</x:v>
      </x:c>
      <x:c r="J1213" s="19" t="str">
        <x:v>1号線(御堂筋線)</x:v>
      </x:c>
      <x:c r="K1213" s="18" t="str">
        <x:v>transport-node:c65c0228-98af-5f18-90ba-6f604dc523c7</x:v>
      </x:c>
      <x:c r="L1213" s="19" t="str">
        <x:v>组件待审核</x:v>
      </x:c>
      <x:c r="M1213" s="21" t="n">
        <x:v>34.632975</x:v>
      </x:c>
      <x:c r="N1213" s="21" t="n">
        <x:v>135.516885</x:v>
      </x:c>
      <x:c r="O1213" s="18" t="str">
        <x:v>007499</x:v>
      </x:c>
      <x:c r="P1213" s="18" t="str">
        <x:v>1号線(御堂筋線)</x:v>
      </x:c>
      <x:c r="Q1213" s="19" t="str">
        <x:v>S12_061_GE_10000</x:v>
      </x:c>
      <x:c r="R1213" s="19" t="str">
        <x:v>S12_061 usage threshold</x:v>
      </x:c>
      <x:c r="S1213" s="19" t="str">
        <x:v>https://nlftp.mlit.go.jp/ksj/gml/datalist/KsjTmplt-S12-2024.html</x:v>
      </x:c>
      <x:c r="T1213" s="19" t="str">
        <x:v>https://nlftp.mlit.go.jp/ksj/gml/datalist/KsjTmplt-S12-2024.html</x:v>
      </x:c>
      <x:c r="U1213" s="19" t="str">
        <x:v>station-component|昭和町|大阪市高速電気軌道|metro|34.6330|135.5169|</x:v>
      </x:c>
      <x:c r="V1213" s="19" t="str">
        <x:v>007499 / 007499 / 1号線(御堂筋線)</x:v>
      </x:c>
      <x:c r="W1213" s="18" t="str">
        <x:v>否</x:v>
      </x:c>
      <x:c r="X1213" s="18" t="str">
        <x:v>0785e932a32b3ec15e1a1345537ae145eafe1c07bf38d5c16c11ee2b391e7a28</x:v>
      </x:c>
      <x:c r="Y1213" s="20" t="n">
        <x:v>1</x:v>
      </x:c>
      <x:c r="Z1213" s="20" t="n">
        <x:v>1</x:v>
      </x:c>
      <x:c r="AA1213" s="19"/>
      <x:c r="AB1213" s="18"/>
      <x:c r="AC1213" s="19"/>
    </x:row>
    <x:row r="1214" ht="28" customHeight="1">
      <x:c r="A1214" s="18" t="str">
        <x:v>昭島</x:v>
      </x:c>
      <x:c r="B1214" s="18" t="str">
        <x:v>東日本旅客鉄道</x:v>
      </x:c>
      <x:c r="C1214" s="18" t="str">
        <x:v>conventional_rail</x:v>
      </x:c>
      <x:c r="D1214" s="19" t="str">
        <x:v>T2</x:v>
      </x:c>
      <x:c r="E1214" s="20" t="n">
        <x:v>46582</x:v>
      </x:c>
      <x:c r="F1214" s="18" t="str">
        <x:v>persons/day</x:v>
      </x:c>
      <x:c r="G1214" s="18" t="str">
        <x:v>FY2024</x:v>
      </x:c>
      <x:c r="H1214" s="18" t="str">
        <x:v>否</x:v>
      </x:c>
      <x:c r="I1214" s="19" t="str">
        <x:v>DAILY_ENTRIES_EXITS</x:v>
      </x:c>
      <x:c r="J1214" s="19" t="str">
        <x:v>青梅線</x:v>
      </x:c>
      <x:c r="K1214" s="18" t="str">
        <x:v>transport-node:607870a1-07e9-5fc5-a63e-e28a621123ad</x:v>
      </x:c>
      <x:c r="L1214" s="19" t="str">
        <x:v>组件待审核</x:v>
      </x:c>
      <x:c r="M1214" s="21" t="n">
        <x:v>35.71322</x:v>
      </x:c>
      <x:c r="N1214" s="21" t="n">
        <x:v>139.361635</x:v>
      </x:c>
      <x:c r="O1214" s="18" t="str">
        <x:v>003507</x:v>
      </x:c>
      <x:c r="P1214" s="18" t="str">
        <x:v>青梅線</x:v>
      </x:c>
      <x:c r="Q1214" s="19" t="str">
        <x:v>S12_061_GE_10000</x:v>
      </x:c>
      <x:c r="R1214" s="19" t="str">
        <x:v>S12_061 usage threshold</x:v>
      </x:c>
      <x:c r="S1214" s="19" t="str">
        <x:v>https://nlftp.mlit.go.jp/ksj/gml/datalist/KsjTmplt-S12-2024.html</x:v>
      </x:c>
      <x:c r="T1214" s="19" t="str">
        <x:v>https://nlftp.mlit.go.jp/ksj/gml/datalist/KsjTmplt-S12-2024.html</x:v>
      </x:c>
      <x:c r="U1214" s="19" t="str">
        <x:v>station-component|昭島|東日本旅客鉄道|conventional_rail|35.7132|139.3616|</x:v>
      </x:c>
      <x:c r="V1214" s="19" t="str">
        <x:v>003507 / 003507 / 青梅線</x:v>
      </x:c>
      <x:c r="W1214" s="18" t="str">
        <x:v>否</x:v>
      </x:c>
      <x:c r="X1214" s="18" t="str">
        <x:v>0785e932a32b3ec15e1a1345537ae145eafe1c07bf38d5c16c11ee2b391e7a28</x:v>
      </x:c>
      <x:c r="Y1214" s="20" t="n">
        <x:v>1</x:v>
      </x:c>
      <x:c r="Z1214" s="20" t="n">
        <x:v>1</x:v>
      </x:c>
      <x:c r="AA1214" s="19"/>
      <x:c r="AB1214" s="18"/>
      <x:c r="AC1214" s="19"/>
    </x:row>
    <x:row r="1215" ht="28" customHeight="1">
      <x:c r="A1215" s="18" t="str">
        <x:v>曙橋</x:v>
      </x:c>
      <x:c r="B1215" s="18" t="str">
        <x:v>東京都</x:v>
      </x:c>
      <x:c r="C1215" s="18" t="str">
        <x:v>metro</x:v>
      </x:c>
      <x:c r="D1215" s="19" t="str">
        <x:v>T2</x:v>
      </x:c>
      <x:c r="E1215" s="20" t="n">
        <x:v>36403</x:v>
      </x:c>
      <x:c r="F1215" s="18" t="str">
        <x:v>persons/day</x:v>
      </x:c>
      <x:c r="G1215" s="18" t="str">
        <x:v>FY2024</x:v>
      </x:c>
      <x:c r="H1215" s="18" t="str">
        <x:v>否</x:v>
      </x:c>
      <x:c r="I1215" s="19" t="str">
        <x:v>DAILY_ENTRIES_EXITS</x:v>
      </x:c>
      <x:c r="J1215" s="19" t="str">
        <x:v>10号線新宿線</x:v>
      </x:c>
      <x:c r="K1215" s="18" t="str">
        <x:v>transport-node:1f07a850-deb8-5c47-a7c7-fe3bb55e405b</x:v>
      </x:c>
      <x:c r="L1215" s="19" t="str">
        <x:v>组件待审核</x:v>
      </x:c>
      <x:c r="M1215" s="21" t="n">
        <x:v>35.69233</x:v>
      </x:c>
      <x:c r="N1215" s="21" t="n">
        <x:v>139.72258</x:v>
      </x:c>
      <x:c r="O1215" s="18" t="str">
        <x:v>003673</x:v>
      </x:c>
      <x:c r="P1215" s="18" t="str">
        <x:v>10号線新宿線</x:v>
      </x:c>
      <x:c r="Q1215" s="19" t="str">
        <x:v>S12_061_GE_10000</x:v>
      </x:c>
      <x:c r="R1215" s="19" t="str">
        <x:v>S12_061 usage threshold</x:v>
      </x:c>
      <x:c r="S1215" s="19" t="str">
        <x:v>https://nlftp.mlit.go.jp/ksj/gml/datalist/KsjTmplt-S12-2024.html</x:v>
      </x:c>
      <x:c r="T1215" s="19" t="str">
        <x:v>https://nlftp.mlit.go.jp/ksj/gml/datalist/KsjTmplt-S12-2024.html</x:v>
      </x:c>
      <x:c r="U1215" s="19" t="str">
        <x:v>station-component|曙橋|東京都|metro|35.6923|139.7226|</x:v>
      </x:c>
      <x:c r="V1215" s="19" t="str">
        <x:v>003673 / 003673 / 10号線新宿線</x:v>
      </x:c>
      <x:c r="W1215" s="18" t="str">
        <x:v>否</x:v>
      </x:c>
      <x:c r="X1215" s="18" t="str">
        <x:v>0785e932a32b3ec15e1a1345537ae145eafe1c07bf38d5c16c11ee2b391e7a28</x:v>
      </x:c>
      <x:c r="Y1215" s="20" t="n">
        <x:v>1</x:v>
      </x:c>
      <x:c r="Z1215" s="20" t="n">
        <x:v>1</x:v>
      </x:c>
      <x:c r="AA1215" s="19"/>
      <x:c r="AB1215" s="18"/>
      <x:c r="AC1215" s="19"/>
    </x:row>
    <x:row r="1216" ht="33" customHeight="1">
      <x:c r="A1216" s="18" t="str">
        <x:v>曳舟</x:v>
      </x:c>
      <x:c r="B1216" s="18" t="str">
        <x:v>東武鉄道</x:v>
      </x:c>
      <x:c r="C1216" s="18" t="str">
        <x:v>private_rail</x:v>
      </x:c>
      <x:c r="D1216" s="19" t="str">
        <x:v>T2</x:v>
      </x:c>
      <x:c r="E1216" s="20" t="n">
        <x:v>29890</x:v>
      </x:c>
      <x:c r="F1216" s="18" t="str">
        <x:v>persons/day</x:v>
      </x:c>
      <x:c r="G1216" s="18" t="str">
        <x:v>FY2024</x:v>
      </x:c>
      <x:c r="H1216" s="18" t="str">
        <x:v>否</x:v>
      </x:c>
      <x:c r="I1216" s="19" t="str">
        <x:v>DAILY_ENTRIES_EXITS</x:v>
      </x:c>
      <x:c r="J1216" s="19" t="str">
        <x:v>亀戸線
伊勢崎線</x:v>
      </x:c>
      <x:c r="K1216" s="18" t="str">
        <x:v>transport-node:3b27be0b-5a0b-5330-bfa8-3de8e282d74c</x:v>
      </x:c>
      <x:c r="L1216" s="19" t="str">
        <x:v>组件待审核</x:v>
      </x:c>
      <x:c r="M1216" s="21" t="n">
        <x:v>35.71851</x:v>
      </x:c>
      <x:c r="N1216" s="21" t="n">
        <x:v>139.8166733</x:v>
      </x:c>
      <x:c r="O1216" s="18" t="str">
        <x:v>003479</x:v>
      </x:c>
      <x:c r="P1216" s="18" t="str">
        <x:v>伊勢崎線</x:v>
      </x:c>
      <x:c r="Q1216" s="19" t="str">
        <x:v>S12_061_GE_10000</x:v>
      </x:c>
      <x:c r="R1216" s="19" t="str">
        <x:v>S12_061 usage threshold</x:v>
      </x:c>
      <x:c r="S1216" s="19" t="str">
        <x:v>https://nlftp.mlit.go.jp/ksj/gml/datalist/KsjTmplt-S12-2024.html</x:v>
      </x:c>
      <x:c r="T1216" s="19" t="str">
        <x:v>https://nlftp.mlit.go.jp/ksj/gml/datalist/KsjTmplt-S12-2024.html</x:v>
      </x:c>
      <x:c r="U1216" s="19" t="str">
        <x:v>station-component|曳舟|東武鉄道|private_rail|35.7185|139.8167|</x:v>
      </x:c>
      <x:c r="V1216" s="19" t="str">
        <x:v>003479 / 003479 / 伊勢崎線
003479 / 003480 / 亀戸線</x:v>
      </x:c>
      <x:c r="W1216" s="18" t="str">
        <x:v>否</x:v>
      </x:c>
      <x:c r="X1216" s="18" t="str">
        <x:v>0785e932a32b3ec15e1a1345537ae145eafe1c07bf38d5c16c11ee2b391e7a28</x:v>
      </x:c>
      <x:c r="Y1216" s="20" t="n">
        <x:v>1</x:v>
      </x:c>
      <x:c r="Z1216" s="20" t="n">
        <x:v>1</x:v>
      </x:c>
      <x:c r="AA1216" s="19"/>
      <x:c r="AB1216" s="18"/>
      <x:c r="AC1216" s="19"/>
    </x:row>
    <x:row r="1217" ht="28" customHeight="1">
      <x:c r="A1217" s="18" t="str">
        <x:v>曽根</x:v>
      </x:c>
      <x:c r="B1217" s="18" t="str">
        <x:v>阪急電鉄</x:v>
      </x:c>
      <x:c r="C1217" s="18" t="str">
        <x:v>private_rail</x:v>
      </x:c>
      <x:c r="D1217" s="19" t="str">
        <x:v>T2</x:v>
      </x:c>
      <x:c r="E1217" s="20" t="n">
        <x:v>21762</x:v>
      </x:c>
      <x:c r="F1217" s="18" t="str">
        <x:v>persons/day</x:v>
      </x:c>
      <x:c r="G1217" s="18" t="str">
        <x:v>FY2024</x:v>
      </x:c>
      <x:c r="H1217" s="18" t="str">
        <x:v>否</x:v>
      </x:c>
      <x:c r="I1217" s="19" t="str">
        <x:v>DAILY_ENTRIES_EXITS</x:v>
      </x:c>
      <x:c r="J1217" s="19" t="str">
        <x:v>宝塚線</x:v>
      </x:c>
      <x:c r="K1217" s="18" t="str">
        <x:v>transport-node:bbb2f5c5-4b0b-5bd8-9196-f3fe9d0bc1d4</x:v>
      </x:c>
      <x:c r="L1217" s="19" t="str">
        <x:v>组件待审核</x:v>
      </x:c>
      <x:c r="M1217" s="21" t="n">
        <x:v>34.77094</x:v>
      </x:c>
      <x:c r="N1217" s="21" t="n">
        <x:v>135.46773</x:v>
      </x:c>
      <x:c r="O1217" s="18" t="str">
        <x:v>006741</x:v>
      </x:c>
      <x:c r="P1217" s="18" t="str">
        <x:v>宝塚線</x:v>
      </x:c>
      <x:c r="Q1217" s="19" t="str">
        <x:v>S12_061_GE_10000</x:v>
      </x:c>
      <x:c r="R1217" s="19" t="str">
        <x:v>S12_061 usage threshold</x:v>
      </x:c>
      <x:c r="S1217" s="19" t="str">
        <x:v>https://nlftp.mlit.go.jp/ksj/gml/datalist/KsjTmplt-S12-2024.html</x:v>
      </x:c>
      <x:c r="T1217" s="19" t="str">
        <x:v>https://nlftp.mlit.go.jp/ksj/gml/datalist/KsjTmplt-S12-2024.html</x:v>
      </x:c>
      <x:c r="U1217" s="19" t="str">
        <x:v>station-component|曽根|阪急電鉄|private_rail|34.7709|135.4677|</x:v>
      </x:c>
      <x:c r="V1217" s="19" t="str">
        <x:v>006741 / 006741 / 宝塚線</x:v>
      </x:c>
      <x:c r="W1217" s="18" t="str">
        <x:v>否</x:v>
      </x:c>
      <x:c r="X1217" s="18" t="str">
        <x:v>0785e932a32b3ec15e1a1345537ae145eafe1c07bf38d5c16c11ee2b391e7a28</x:v>
      </x:c>
      <x:c r="Y1217" s="20" t="n">
        <x:v>1</x:v>
      </x:c>
      <x:c r="Z1217" s="20" t="n">
        <x:v>1</x:v>
      </x:c>
      <x:c r="AA1217" s="19"/>
      <x:c r="AB1217" s="18"/>
      <x:c r="AC1217" s="19"/>
    </x:row>
    <x:row r="1218" ht="28" customHeight="1">
      <x:c r="A1218" s="18" t="str">
        <x:v>月寒中央</x:v>
      </x:c>
      <x:c r="B1218" s="18" t="str">
        <x:v>札幌市</x:v>
      </x:c>
      <x:c r="C1218" s="18" t="str">
        <x:v>metro</x:v>
      </x:c>
      <x:c r="D1218" s="19" t="str">
        <x:v>T2</x:v>
      </x:c>
      <x:c r="E1218" s="20" t="n">
        <x:v>18924</x:v>
      </x:c>
      <x:c r="F1218" s="18" t="str">
        <x:v>persons/day</x:v>
      </x:c>
      <x:c r="G1218" s="18" t="str">
        <x:v>FY2024</x:v>
      </x:c>
      <x:c r="H1218" s="18" t="str">
        <x:v>否</x:v>
      </x:c>
      <x:c r="I1218" s="19" t="str">
        <x:v>DAILY_ENTRIES_EXITS</x:v>
      </x:c>
      <x:c r="J1218" s="19" t="str">
        <x:v>東豊線</x:v>
      </x:c>
      <x:c r="K1218" s="18" t="str">
        <x:v>transport-node:ea3c9266-3976-5695-b4e8-cdcf27b46a44</x:v>
      </x:c>
      <x:c r="L1218" s="19" t="str">
        <x:v>组件待审核</x:v>
      </x:c>
      <x:c r="M1218" s="21" t="n">
        <x:v>43.0299267</x:v>
      </x:c>
      <x:c r="N1218" s="21" t="n">
        <x:v>141.3967333</x:v>
      </x:c>
      <x:c r="O1218" s="18" t="str">
        <x:v>000296</x:v>
      </x:c>
      <x:c r="P1218" s="18" t="str">
        <x:v>東豊線</x:v>
      </x:c>
      <x:c r="Q1218" s="19" t="str">
        <x:v>S12_061_GE_10000</x:v>
      </x:c>
      <x:c r="R1218" s="19" t="str">
        <x:v>S12_061 usage threshold</x:v>
      </x:c>
      <x:c r="S1218" s="19" t="str">
        <x:v>https://nlftp.mlit.go.jp/ksj/gml/datalist/KsjTmplt-S12-2024.html</x:v>
      </x:c>
      <x:c r="T1218" s="19" t="str">
        <x:v>https://nlftp.mlit.go.jp/ksj/gml/datalist/KsjTmplt-S12-2024.html</x:v>
      </x:c>
      <x:c r="U1218" s="19" t="str">
        <x:v>station-component|月寒中央|札幌市|metro|43.0299|141.3967|</x:v>
      </x:c>
      <x:c r="V1218" s="19" t="str">
        <x:v>000296 / 000296 / 東豊線</x:v>
      </x:c>
      <x:c r="W1218" s="18" t="str">
        <x:v>否</x:v>
      </x:c>
      <x:c r="X1218" s="18" t="str">
        <x:v>0785e932a32b3ec15e1a1345537ae145eafe1c07bf38d5c16c11ee2b391e7a28</x:v>
      </x:c>
      <x:c r="Y1218" s="20" t="n">
        <x:v>1</x:v>
      </x:c>
      <x:c r="Z1218" s="20" t="n">
        <x:v>1</x:v>
      </x:c>
      <x:c r="AA1218" s="19"/>
      <x:c r="AB1218" s="18"/>
      <x:c r="AC1218" s="19"/>
    </x:row>
    <x:row r="1219" ht="33" customHeight="1">
      <x:c r="A1219" s="18" t="str">
        <x:v>月島</x:v>
      </x:c>
      <x:c r="B1219" s="18" t="str">
        <x:v>東京地下鉄</x:v>
      </x:c>
      <x:c r="C1219" s="18" t="str">
        <x:v>metro</x:v>
      </x:c>
      <x:c r="D1219" s="19" t="str">
        <x:v>T1</x:v>
      </x:c>
      <x:c r="E1219" s="20" t="n">
        <x:v>70195</x:v>
      </x:c>
      <x:c r="F1219" s="18" t="str">
        <x:v>persons/day</x:v>
      </x:c>
      <x:c r="G1219" s="18" t="str">
        <x:v>FY2024</x:v>
      </x:c>
      <x:c r="H1219" s="18" t="str">
        <x:v>否</x:v>
      </x:c>
      <x:c r="I1219" s="19" t="str">
        <x:v>DAILY_ENTRIES_EXITS</x:v>
      </x:c>
      <x:c r="J1219" s="19" t="str">
        <x:v>8号線有楽町線</x:v>
      </x:c>
      <x:c r="K1219" s="18" t="str">
        <x:v>transport-node:02d6dbf5-7540-5dce-8546-5afc5d94abc5</x:v>
      </x:c>
      <x:c r="L1219" s="19" t="str">
        <x:v>组件待审核</x:v>
      </x:c>
      <x:c r="M1219" s="21" t="n">
        <x:v>35.6646</x:v>
      </x:c>
      <x:c r="N1219" s="21" t="n">
        <x:v>139.7845233</x:v>
      </x:c>
      <x:c r="O1219" s="18" t="str">
        <x:v>003889</x:v>
      </x:c>
      <x:c r="P1219" s="18" t="str">
        <x:v>8号線有楽町線</x:v>
      </x:c>
      <x:c r="Q1219" s="19" t="str">
        <x:v>S12_061_GE_10000
OFFICIAL_HUB_COMPONENT_REVIEW</x:v>
      </x:c>
      <x:c r="R1219" s="19" t="str">
        <x:v>S12_061 usage threshold</x:v>
      </x:c>
      <x:c r="S1219" s="19" t="str">
        <x:v>https://nlftp.mlit.go.jp/ksj/gml/datalist/KsjTmplt-S12-2024.html</x:v>
      </x:c>
      <x:c r="T1219" s="19" t="str">
        <x:v>https://nlftp.mlit.go.jp/ksj/gml/datalist/KsjTmplt-S12-2024.html
https://www.tokyometro.jp/station/tsukishima/index.html</x:v>
      </x:c>
      <x:c r="U1219" s="19" t="str">
        <x:v>station-component|月島|東京地下鉄|metro|35.6646|139.7845|</x:v>
      </x:c>
      <x:c r="V1219" s="19" t="str">
        <x:v>003889 / 003889 / 8号線有楽町線</x:v>
      </x:c>
      <x:c r="W1219" s="18" t="str">
        <x:v>否</x:v>
      </x:c>
      <x:c r="X1219" s="18" t="str">
        <x:v>0785e932a32b3ec15e1a1345537ae145eafe1c07bf38d5c16c11ee2b391e7a28</x:v>
      </x:c>
      <x:c r="Y1219" s="20" t="n">
        <x:v>1</x:v>
      </x:c>
      <x:c r="Z1219" s="20" t="n">
        <x:v>1</x:v>
      </x:c>
      <x:c r="AA1219" s="19" t="str">
        <x:v>月島</x:v>
      </x:c>
      <x:c r="AB1219" s="18" t="str">
        <x:v>transport-hub-review:833a9954-06a2-5d5e-9e45-31ea7be71b63</x:v>
      </x:c>
      <x:c r="AC1219" s="19"/>
    </x:row>
    <x:row r="1220" ht="33" customHeight="1">
      <x:c r="A1220" s="18" t="str">
        <x:v>月島</x:v>
      </x:c>
      <x:c r="B1220" s="18" t="str">
        <x:v>東京都</x:v>
      </x:c>
      <x:c r="C1220" s="18" t="str">
        <x:v>metro</x:v>
      </x:c>
      <x:c r="D1220" s="19" t="str">
        <x:v>T2</x:v>
      </x:c>
      <x:c r="E1220" s="20" t="n">
        <x:v>30745</x:v>
      </x:c>
      <x:c r="F1220" s="18" t="str">
        <x:v>persons/day</x:v>
      </x:c>
      <x:c r="G1220" s="18" t="str">
        <x:v>FY2024</x:v>
      </x:c>
      <x:c r="H1220" s="18" t="str">
        <x:v>否</x:v>
      </x:c>
      <x:c r="I1220" s="19" t="str">
        <x:v>DAILY_ENTRIES_EXITS</x:v>
      </x:c>
      <x:c r="J1220" s="19" t="str">
        <x:v>12号線大江戸線</x:v>
      </x:c>
      <x:c r="K1220" s="18" t="str">
        <x:v>transport-node:e9e2e7e5-e1ce-51bb-bf42-5cf7f355cca4</x:v>
      </x:c>
      <x:c r="L1220" s="19" t="str">
        <x:v>组件待审核</x:v>
      </x:c>
      <x:c r="M1220" s="21" t="n">
        <x:v>35.6638467</x:v>
      </x:c>
      <x:c r="N1220" s="21" t="n">
        <x:v>139.7840183</x:v>
      </x:c>
      <x:c r="O1220" s="18" t="str">
        <x:v>003893</x:v>
      </x:c>
      <x:c r="P1220" s="18" t="str">
        <x:v>12号線大江戸線</x:v>
      </x:c>
      <x:c r="Q1220" s="19" t="str">
        <x:v>S12_061_GE_10000
OFFICIAL_HUB_COMPONENT_REVIEW</x:v>
      </x:c>
      <x:c r="R1220" s="19" t="str">
        <x:v>S12_061 usage threshold</x:v>
      </x:c>
      <x:c r="S1220" s="19" t="str">
        <x:v>https://nlftp.mlit.go.jp/ksj/gml/datalist/KsjTmplt-S12-2024.html</x:v>
      </x:c>
      <x:c r="T1220" s="19" t="str">
        <x:v>https://nlftp.mlit.go.jp/ksj/gml/datalist/KsjTmplt-S12-2024.html
https://www.tokyometro.jp/station/tsukishima/index.html</x:v>
      </x:c>
      <x:c r="U1220" s="19" t="str">
        <x:v>station-component|月島|東京都|metro|35.6638|139.7840|</x:v>
      </x:c>
      <x:c r="V1220" s="19" t="str">
        <x:v>003889 / 003893 / 12号線大江戸線</x:v>
      </x:c>
      <x:c r="W1220" s="18" t="str">
        <x:v>否</x:v>
      </x:c>
      <x:c r="X1220" s="18" t="str">
        <x:v>0785e932a32b3ec15e1a1345537ae145eafe1c07bf38d5c16c11ee2b391e7a28</x:v>
      </x:c>
      <x:c r="Y1220" s="20" t="n">
        <x:v>1</x:v>
      </x:c>
      <x:c r="Z1220" s="20" t="n">
        <x:v>1</x:v>
      </x:c>
      <x:c r="AA1220" s="19" t="str">
        <x:v>月島</x:v>
      </x:c>
      <x:c r="AB1220" s="18" t="str">
        <x:v>transport-hub-review:833a9954-06a2-5d5e-9e45-31ea7be71b63</x:v>
      </x:c>
      <x:c r="AC1220" s="19"/>
    </x:row>
    <x:row r="1221" ht="28" customHeight="1">
      <x:c r="A1221" s="18" t="str">
        <x:v>有松</x:v>
      </x:c>
      <x:c r="B1221" s="18" t="str">
        <x:v>名古屋鉄道</x:v>
      </x:c>
      <x:c r="C1221" s="18" t="str">
        <x:v>private_rail</x:v>
      </x:c>
      <x:c r="D1221" s="19" t="str">
        <x:v>T2</x:v>
      </x:c>
      <x:c r="E1221" s="20" t="n">
        <x:v>14673</x:v>
      </x:c>
      <x:c r="F1221" s="18" t="str">
        <x:v>persons/day</x:v>
      </x:c>
      <x:c r="G1221" s="18" t="str">
        <x:v>FY2024</x:v>
      </x:c>
      <x:c r="H1221" s="18" t="str">
        <x:v>否</x:v>
      </x:c>
      <x:c r="I1221" s="19" t="str">
        <x:v>DAILY_ENTRIES_EXITS</x:v>
      </x:c>
      <x:c r="J1221" s="19" t="str">
        <x:v>名古屋本線</x:v>
      </x:c>
      <x:c r="K1221" s="18" t="str">
        <x:v>transport-node:86d5d8e7-da8d-5e3b-bea4-a87736814f07</x:v>
      </x:c>
      <x:c r="L1221" s="19" t="str">
        <x:v>组件待审核</x:v>
      </x:c>
      <x:c r="M1221" s="21" t="n">
        <x:v>35.06769</x:v>
      </x:c>
      <x:c r="N1221" s="21" t="n">
        <x:v>136.9711</x:v>
      </x:c>
      <x:c r="O1221" s="18" t="str">
        <x:v>005774</x:v>
      </x:c>
      <x:c r="P1221" s="18" t="str">
        <x:v>名古屋本線</x:v>
      </x:c>
      <x:c r="Q1221" s="19" t="str">
        <x:v>S12_061_GE_10000</x:v>
      </x:c>
      <x:c r="R1221" s="19" t="str">
        <x:v>S12_061 usage threshold</x:v>
      </x:c>
      <x:c r="S1221" s="19" t="str">
        <x:v>https://nlftp.mlit.go.jp/ksj/gml/datalist/KsjTmplt-S12-2024.html</x:v>
      </x:c>
      <x:c r="T1221" s="19" t="str">
        <x:v>https://nlftp.mlit.go.jp/ksj/gml/datalist/KsjTmplt-S12-2024.html</x:v>
      </x:c>
      <x:c r="U1221" s="19" t="str">
        <x:v>station-component|有松|名古屋鉄道|private_rail|35.0677|136.9711|</x:v>
      </x:c>
      <x:c r="V1221" s="19" t="str">
        <x:v>005774 / 005774 / 名古屋本線</x:v>
      </x:c>
      <x:c r="W1221" s="18" t="str">
        <x:v>否</x:v>
      </x:c>
      <x:c r="X1221" s="18" t="str">
        <x:v>0785e932a32b3ec15e1a1345537ae145eafe1c07bf38d5c16c11ee2b391e7a28</x:v>
      </x:c>
      <x:c r="Y1221" s="20" t="n">
        <x:v>1</x:v>
      </x:c>
      <x:c r="Z1221" s="20" t="n">
        <x:v>1</x:v>
      </x:c>
      <x:c r="AA1221" s="19"/>
      <x:c r="AB1221" s="18"/>
      <x:c r="AC1221" s="19"/>
    </x:row>
    <x:row r="1222" ht="33" customHeight="1">
      <x:c r="A1222" s="18" t="str">
        <x:v>有楽町</x:v>
      </x:c>
      <x:c r="B1222" s="18" t="str">
        <x:v>東京地下鉄</x:v>
      </x:c>
      <x:c r="C1222" s="18" t="str">
        <x:v>metro</x:v>
      </x:c>
      <x:c r="D1222" s="19" t="str">
        <x:v>T1</x:v>
      </x:c>
      <x:c r="E1222" s="20" t="n">
        <x:v>139041</x:v>
      </x:c>
      <x:c r="F1222" s="18" t="str">
        <x:v>persons/day</x:v>
      </x:c>
      <x:c r="G1222" s="18" t="str">
        <x:v>FY2024</x:v>
      </x:c>
      <x:c r="H1222" s="18" t="str">
        <x:v>否</x:v>
      </x:c>
      <x:c r="I1222" s="19" t="str">
        <x:v>DAILY_ENTRIES_EXITS</x:v>
      </x:c>
      <x:c r="J1222" s="19" t="str">
        <x:v>8号線有楽町線</x:v>
      </x:c>
      <x:c r="K1222" s="18" t="str">
        <x:v>transport-node:9f12cb30-0853-5be4-8abf-4e9bc54991a4</x:v>
      </x:c>
      <x:c r="L1222" s="19" t="str">
        <x:v>组件待审核</x:v>
      </x:c>
      <x:c r="M1222" s="21" t="n">
        <x:v>35.675962</x:v>
      </x:c>
      <x:c r="N1222" s="21" t="n">
        <x:v>139.762342</x:v>
      </x:c>
      <x:c r="O1222" s="18" t="str">
        <x:v>003795</x:v>
      </x:c>
      <x:c r="P1222" s="18" t="str">
        <x:v>8号線有楽町線</x:v>
      </x:c>
      <x:c r="Q1222" s="19" t="str">
        <x:v>S12_061_GE_10000
OFFICIAL_HUB_COMPONENT_REVIEW</x:v>
      </x:c>
      <x:c r="R1222" s="19" t="str">
        <x:v>S12_061 usage threshold</x:v>
      </x:c>
      <x:c r="S1222" s="19" t="str">
        <x:v>https://nlftp.mlit.go.jp/ksj/gml/datalist/KsjTmplt-S12-2024.html</x:v>
      </x:c>
      <x:c r="T1222" s="19" t="str">
        <x:v>https://nlftp.mlit.go.jp/ksj/gml/datalist/KsjTmplt-S12-2024.html
https://www.tokyometro.jp/station/yurakucho/index.html</x:v>
      </x:c>
      <x:c r="U1222" s="19" t="str">
        <x:v>station-component|有楽町|東京地下鉄|metro|35.6760|139.7623|</x:v>
      </x:c>
      <x:c r="V1222" s="19" t="str">
        <x:v>003795 / 003795 / 8号線有楽町線</x:v>
      </x:c>
      <x:c r="W1222" s="18" t="str">
        <x:v>否</x:v>
      </x:c>
      <x:c r="X1222" s="18" t="str">
        <x:v>0785e932a32b3ec15e1a1345537ae145eafe1c07bf38d5c16c11ee2b391e7a28</x:v>
      </x:c>
      <x:c r="Y1222" s="20" t="n">
        <x:v>1</x:v>
      </x:c>
      <x:c r="Z1222" s="20" t="n">
        <x:v>1</x:v>
      </x:c>
      <x:c r="AA1222" s="19" t="str">
        <x:v>有楽町・日比谷</x:v>
      </x:c>
      <x:c r="AB1222" s="18" t="str">
        <x:v>transport-hub-review:97878753-ca5b-5c59-84d4-842b8879679b</x:v>
      </x:c>
      <x:c r="AC1222" s="19"/>
    </x:row>
    <x:row r="1223" ht="33" customHeight="1">
      <x:c r="A1223" s="18" t="str">
        <x:v>有楽町</x:v>
      </x:c>
      <x:c r="B1223" s="18" t="str">
        <x:v>東日本旅客鉄道</x:v>
      </x:c>
      <x:c r="C1223" s="18" t="str">
        <x:v>conventional_rail</x:v>
      </x:c>
      <x:c r="D1223" s="19" t="str">
        <x:v>T0</x:v>
      </x:c>
      <x:c r="E1223" s="20" t="n">
        <x:v>253744</x:v>
      </x:c>
      <x:c r="F1223" s="18" t="str">
        <x:v>persons/day</x:v>
      </x:c>
      <x:c r="G1223" s="18" t="str">
        <x:v>FY2024</x:v>
      </x:c>
      <x:c r="H1223" s="18" t="str">
        <x:v>否</x:v>
      </x:c>
      <x:c r="I1223" s="19" t="str">
        <x:v>DAILY_ENTRIES_EXITS</x:v>
      </x:c>
      <x:c r="J1223" s="19" t="str">
        <x:v>東海道線</x:v>
      </x:c>
      <x:c r="K1223" s="18" t="str">
        <x:v>transport-node:c3e6c869-0e40-5869-b6d8-76e59fbb4386</x:v>
      </x:c>
      <x:c r="L1223" s="19" t="str">
        <x:v>组件待审核</x:v>
      </x:c>
      <x:c r="M1223" s="21" t="n">
        <x:v>35.67504</x:v>
      </x:c>
      <x:c r="N1223" s="21" t="n">
        <x:v>139.76326</x:v>
      </x:c>
      <x:c r="O1223" s="18" t="str">
        <x:v>003798</x:v>
      </x:c>
      <x:c r="P1223" s="18" t="str">
        <x:v>東海道線</x:v>
      </x:c>
      <x:c r="Q1223" s="19" t="str">
        <x:v>S12_061_GE_10000
OFFICIAL_HUB_COMPONENT_REVIEW</x:v>
      </x:c>
      <x:c r="R1223" s="19" t="str">
        <x:v>S12_061 usage threshold</x:v>
      </x:c>
      <x:c r="S1223" s="19" t="str">
        <x:v>https://nlftp.mlit.go.jp/ksj/gml/datalist/KsjTmplt-S12-2024.html</x:v>
      </x:c>
      <x:c r="T1223" s="19" t="str">
        <x:v>https://nlftp.mlit.go.jp/ksj/gml/datalist/KsjTmplt-S12-2024.html
https://www.tokyometro.jp/station/yurakucho/index.html</x:v>
      </x:c>
      <x:c r="U1223" s="19" t="str">
        <x:v>station-component|有楽町|東日本旅客鉄道|conventional_rail|35.6750|139.7633|</x:v>
      </x:c>
      <x:c r="V1223" s="19" t="str">
        <x:v>003795 / 003798 / 東海道線</x:v>
      </x:c>
      <x:c r="W1223" s="18" t="str">
        <x:v>否</x:v>
      </x:c>
      <x:c r="X1223" s="18" t="str">
        <x:v>0785e932a32b3ec15e1a1345537ae145eafe1c07bf38d5c16c11ee2b391e7a28</x:v>
      </x:c>
      <x:c r="Y1223" s="20" t="n">
        <x:v>1</x:v>
      </x:c>
      <x:c r="Z1223" s="20" t="n">
        <x:v>1</x:v>
      </x:c>
      <x:c r="AA1223" s="19" t="str">
        <x:v>有楽町・日比谷</x:v>
      </x:c>
      <x:c r="AB1223" s="18" t="str">
        <x:v>transport-hub-review:97878753-ca5b-5c59-84d4-842b8879679b</x:v>
      </x:c>
      <x:c r="AC1223" s="19"/>
    </x:row>
    <x:row r="1224" ht="28" customHeight="1">
      <x:c r="A1224" s="18" t="str">
        <x:v>服部天神</x:v>
      </x:c>
      <x:c r="B1224" s="18" t="str">
        <x:v>阪急電鉄</x:v>
      </x:c>
      <x:c r="C1224" s="18" t="str">
        <x:v>private_rail</x:v>
      </x:c>
      <x:c r="D1224" s="19" t="str">
        <x:v>T2</x:v>
      </x:c>
      <x:c r="E1224" s="20" t="n">
        <x:v>21397</x:v>
      </x:c>
      <x:c r="F1224" s="18" t="str">
        <x:v>persons/day</x:v>
      </x:c>
      <x:c r="G1224" s="18" t="str">
        <x:v>FY2024</x:v>
      </x:c>
      <x:c r="H1224" s="18" t="str">
        <x:v>否</x:v>
      </x:c>
      <x:c r="I1224" s="19" t="str">
        <x:v>DAILY_ENTRIES_EXITS</x:v>
      </x:c>
      <x:c r="J1224" s="19" t="str">
        <x:v>宝塚線</x:v>
      </x:c>
      <x:c r="K1224" s="18" t="str">
        <x:v>transport-node:0459b92b-4c43-5d22-a2b0-493125fb387b</x:v>
      </x:c>
      <x:c r="L1224" s="19" t="str">
        <x:v>组件待审核</x:v>
      </x:c>
      <x:c r="M1224" s="21" t="n">
        <x:v>34.76293</x:v>
      </x:c>
      <x:c r="N1224" s="21" t="n">
        <x:v>135.47518</x:v>
      </x:c>
      <x:c r="O1224" s="18" t="str">
        <x:v>006781</x:v>
      </x:c>
      <x:c r="P1224" s="18" t="str">
        <x:v>宝塚線</x:v>
      </x:c>
      <x:c r="Q1224" s="19" t="str">
        <x:v>S12_061_GE_10000</x:v>
      </x:c>
      <x:c r="R1224" s="19" t="str">
        <x:v>S12_061 usage threshold</x:v>
      </x:c>
      <x:c r="S1224" s="19" t="str">
        <x:v>https://nlftp.mlit.go.jp/ksj/gml/datalist/KsjTmplt-S12-2024.html</x:v>
      </x:c>
      <x:c r="T1224" s="19" t="str">
        <x:v>https://nlftp.mlit.go.jp/ksj/gml/datalist/KsjTmplt-S12-2024.html</x:v>
      </x:c>
      <x:c r="U1224" s="19" t="str">
        <x:v>station-component|服部天神|阪急電鉄|private_rail|34.7629|135.4752|</x:v>
      </x:c>
      <x:c r="V1224" s="19" t="str">
        <x:v>006781 / 006781 / 宝塚線</x:v>
      </x:c>
      <x:c r="W1224" s="18" t="str">
        <x:v>否</x:v>
      </x:c>
      <x:c r="X1224" s="18" t="str">
        <x:v>0785e932a32b3ec15e1a1345537ae145eafe1c07bf38d5c16c11ee2b391e7a28</x:v>
      </x:c>
      <x:c r="Y1224" s="20" t="n">
        <x:v>1</x:v>
      </x:c>
      <x:c r="Z1224" s="20" t="n">
        <x:v>1</x:v>
      </x:c>
      <x:c r="AA1224" s="19"/>
      <x:c r="AB1224" s="18"/>
      <x:c r="AC1224" s="19"/>
    </x:row>
    <x:row r="1225" ht="28" customHeight="1">
      <x:c r="A1225" s="18" t="str">
        <x:v>朝倉街道</x:v>
      </x:c>
      <x:c r="B1225" s="18" t="str">
        <x:v>西日本鉄道</x:v>
      </x:c>
      <x:c r="C1225" s="18" t="str">
        <x:v>private_rail</x:v>
      </x:c>
      <x:c r="D1225" s="19" t="str">
        <x:v>T2</x:v>
      </x:c>
      <x:c r="E1225" s="20" t="n">
        <x:v>12596</x:v>
      </x:c>
      <x:c r="F1225" s="18" t="str">
        <x:v>persons/day</x:v>
      </x:c>
      <x:c r="G1225" s="18" t="str">
        <x:v>FY2024</x:v>
      </x:c>
      <x:c r="H1225" s="18" t="str">
        <x:v>否</x:v>
      </x:c>
      <x:c r="I1225" s="19" t="str">
        <x:v>DAILY_ENTRIES_EXITS</x:v>
      </x:c>
      <x:c r="J1225" s="19" t="str">
        <x:v>天神大牟田線</x:v>
      </x:c>
      <x:c r="K1225" s="18" t="str">
        <x:v>transport-node:ca853187-b119-57c0-a01b-97a7ebbb7265</x:v>
      </x:c>
      <x:c r="L1225" s="19" t="str">
        <x:v>组件待审核</x:v>
      </x:c>
      <x:c r="M1225" s="21" t="n">
        <x:v>33.484025</x:v>
      </x:c>
      <x:c r="N1225" s="21" t="n">
        <x:v>130.532605</x:v>
      </x:c>
      <x:c r="O1225" s="18" t="str">
        <x:v>009261</x:v>
      </x:c>
      <x:c r="P1225" s="18" t="str">
        <x:v>天神大牟田線</x:v>
      </x:c>
      <x:c r="Q1225" s="19" t="str">
        <x:v>S12_061_GE_10000</x:v>
      </x:c>
      <x:c r="R1225" s="19" t="str">
        <x:v>S12_061 usage threshold</x:v>
      </x:c>
      <x:c r="S1225" s="19" t="str">
        <x:v>https://nlftp.mlit.go.jp/ksj/gml/datalist/KsjTmplt-S12-2024.html</x:v>
      </x:c>
      <x:c r="T1225" s="19" t="str">
        <x:v>https://nlftp.mlit.go.jp/ksj/gml/datalist/KsjTmplt-S12-2024.html</x:v>
      </x:c>
      <x:c r="U1225" s="19" t="str">
        <x:v>station-component|朝倉街道|西日本鉄道|private_rail|33.4840|130.5326|</x:v>
      </x:c>
      <x:c r="V1225" s="19" t="str">
        <x:v>009261 / 009261 / 天神大牟田線</x:v>
      </x:c>
      <x:c r="W1225" s="18" t="str">
        <x:v>否</x:v>
      </x:c>
      <x:c r="X1225" s="18" t="str">
        <x:v>0785e932a32b3ec15e1a1345537ae145eafe1c07bf38d5c16c11ee2b391e7a28</x:v>
      </x:c>
      <x:c r="Y1225" s="20" t="n">
        <x:v>1</x:v>
      </x:c>
      <x:c r="Z1225" s="20" t="n">
        <x:v>1</x:v>
      </x:c>
      <x:c r="AA1225" s="19"/>
      <x:c r="AB1225" s="18"/>
      <x:c r="AC1225" s="19"/>
    </x:row>
    <x:row r="1226" ht="28" customHeight="1">
      <x:c r="A1226" s="18" t="str">
        <x:v>朝潮橋</x:v>
      </x:c>
      <x:c r="B1226" s="18" t="str">
        <x:v>大阪市高速電気軌道</x:v>
      </x:c>
      <x:c r="C1226" s="18" t="str">
        <x:v>metro</x:v>
      </x:c>
      <x:c r="D1226" s="19" t="str">
        <x:v>T2</x:v>
      </x:c>
      <x:c r="E1226" s="20" t="n">
        <x:v>20934</x:v>
      </x:c>
      <x:c r="F1226" s="18" t="str">
        <x:v>persons/day</x:v>
      </x:c>
      <x:c r="G1226" s="18" t="str">
        <x:v>FY2024</x:v>
      </x:c>
      <x:c r="H1226" s="18" t="str">
        <x:v>否</x:v>
      </x:c>
      <x:c r="I1226" s="19" t="str">
        <x:v>DAILY_ENTRIES_EXITS</x:v>
      </x:c>
      <x:c r="J1226" s="19" t="str">
        <x:v>4号線(中央線)</x:v>
      </x:c>
      <x:c r="K1226" s="18" t="str">
        <x:v>transport-node:4113fae8-6b6f-5b35-bd10-cad23dd901e8</x:v>
      </x:c>
      <x:c r="L1226" s="19" t="str">
        <x:v>组件待审核</x:v>
      </x:c>
      <x:c r="M1226" s="21" t="n">
        <x:v>34.660765</x:v>
      </x:c>
      <x:c r="N1226" s="21" t="n">
        <x:v>135.448695</x:v>
      </x:c>
      <x:c r="O1226" s="18" t="str">
        <x:v>007370</x:v>
      </x:c>
      <x:c r="P1226" s="18" t="str">
        <x:v>4号線(中央線)</x:v>
      </x:c>
      <x:c r="Q1226" s="19" t="str">
        <x:v>S12_061_GE_10000</x:v>
      </x:c>
      <x:c r="R1226" s="19" t="str">
        <x:v>S12_061 usage threshold</x:v>
      </x:c>
      <x:c r="S1226" s="19" t="str">
        <x:v>https://nlftp.mlit.go.jp/ksj/gml/datalist/KsjTmplt-S12-2024.html</x:v>
      </x:c>
      <x:c r="T1226" s="19" t="str">
        <x:v>https://nlftp.mlit.go.jp/ksj/gml/datalist/KsjTmplt-S12-2024.html</x:v>
      </x:c>
      <x:c r="U1226" s="19" t="str">
        <x:v>station-component|朝潮橋|大阪市高速電気軌道|metro|34.6608|135.4487|</x:v>
      </x:c>
      <x:c r="V1226" s="19" t="str">
        <x:v>007370 / 007370 / 4号線(中央線)</x:v>
      </x:c>
      <x:c r="W1226" s="18" t="str">
        <x:v>否</x:v>
      </x:c>
      <x:c r="X1226" s="18" t="str">
        <x:v>0785e932a32b3ec15e1a1345537ae145eafe1c07bf38d5c16c11ee2b391e7a28</x:v>
      </x:c>
      <x:c r="Y1226" s="20" t="n">
        <x:v>1</x:v>
      </x:c>
      <x:c r="Z1226" s="20" t="n">
        <x:v>1</x:v>
      </x:c>
      <x:c r="AA1226" s="19"/>
      <x:c r="AB1226" s="18"/>
      <x:c r="AC1226" s="19"/>
    </x:row>
    <x:row r="1227" ht="28" customHeight="1">
      <x:c r="A1227" s="18" t="str">
        <x:v>朝霞</x:v>
      </x:c>
      <x:c r="B1227" s="18" t="str">
        <x:v>東武鉄道</x:v>
      </x:c>
      <x:c r="C1227" s="18" t="str">
        <x:v>private_rail</x:v>
      </x:c>
      <x:c r="D1227" s="19" t="str">
        <x:v>T1</x:v>
      </x:c>
      <x:c r="E1227" s="20" t="n">
        <x:v>67537</x:v>
      </x:c>
      <x:c r="F1227" s="18" t="str">
        <x:v>persons/day</x:v>
      </x:c>
      <x:c r="G1227" s="18" t="str">
        <x:v>FY2024</x:v>
      </x:c>
      <x:c r="H1227" s="18" t="str">
        <x:v>否</x:v>
      </x:c>
      <x:c r="I1227" s="19" t="str">
        <x:v>DAILY_ENTRIES_EXITS</x:v>
      </x:c>
      <x:c r="J1227" s="19" t="str">
        <x:v>東上本線</x:v>
      </x:c>
      <x:c r="K1227" s="18" t="str">
        <x:v>transport-node:38be5789-8a53-56ed-9101-da60d88efd66</x:v>
      </x:c>
      <x:c r="L1227" s="19" t="str">
        <x:v>组件待审核</x:v>
      </x:c>
      <x:c r="M1227" s="21" t="n">
        <x:v>35.796765</x:v>
      </x:c>
      <x:c r="N1227" s="21" t="n">
        <x:v>139.6003</x:v>
      </x:c>
      <x:c r="O1227" s="18" t="str">
        <x:v>003097</x:v>
      </x:c>
      <x:c r="P1227" s="18" t="str">
        <x:v>東上本線</x:v>
      </x:c>
      <x:c r="Q1227" s="19" t="str">
        <x:v>S12_061_GE_10000</x:v>
      </x:c>
      <x:c r="R1227" s="19" t="str">
        <x:v>S12_061 usage threshold</x:v>
      </x:c>
      <x:c r="S1227" s="19" t="str">
        <x:v>https://nlftp.mlit.go.jp/ksj/gml/datalist/KsjTmplt-S12-2024.html</x:v>
      </x:c>
      <x:c r="T1227" s="19" t="str">
        <x:v>https://nlftp.mlit.go.jp/ksj/gml/datalist/KsjTmplt-S12-2024.html</x:v>
      </x:c>
      <x:c r="U1227" s="19" t="str">
        <x:v>station-component|朝霞|東武鉄道|private_rail|35.7968|139.6003|</x:v>
      </x:c>
      <x:c r="V1227" s="19" t="str">
        <x:v>003097 / 003097 / 東上本線</x:v>
      </x:c>
      <x:c r="W1227" s="18" t="str">
        <x:v>否</x:v>
      </x:c>
      <x:c r="X1227" s="18" t="str">
        <x:v>0785e932a32b3ec15e1a1345537ae145eafe1c07bf38d5c16c11ee2b391e7a28</x:v>
      </x:c>
      <x:c r="Y1227" s="20" t="n">
        <x:v>1</x:v>
      </x:c>
      <x:c r="Z1227" s="20" t="n">
        <x:v>1</x:v>
      </x:c>
      <x:c r="AA1227" s="19"/>
      <x:c r="AB1227" s="18"/>
      <x:c r="AC1227" s="19"/>
    </x:row>
    <x:row r="1228" ht="33" customHeight="1">
      <x:c r="A1228" s="18" t="str">
        <x:v>朝霞台</x:v>
      </x:c>
      <x:c r="B1228" s="18" t="str">
        <x:v>東武鉄道</x:v>
      </x:c>
      <x:c r="C1228" s="18" t="str">
        <x:v>private_rail</x:v>
      </x:c>
      <x:c r="D1228" s="19" t="str">
        <x:v>T1</x:v>
      </x:c>
      <x:c r="E1228" s="20" t="n">
        <x:v>152331</x:v>
      </x:c>
      <x:c r="F1228" s="18" t="str">
        <x:v>persons/day</x:v>
      </x:c>
      <x:c r="G1228" s="18" t="str">
        <x:v>FY2024</x:v>
      </x:c>
      <x:c r="H1228" s="18" t="str">
        <x:v>否</x:v>
      </x:c>
      <x:c r="I1228" s="19" t="str">
        <x:v>DAILY_ENTRIES_EXITS</x:v>
      </x:c>
      <x:c r="J1228" s="19" t="str">
        <x:v>東上本線</x:v>
      </x:c>
      <x:c r="K1228" s="18" t="str">
        <x:v>transport-node:1147c523-2bbf-5901-a671-0c0036123b4e</x:v>
      </x:c>
      <x:c r="L1228" s="19" t="str">
        <x:v>组件待审核</x:v>
      </x:c>
      <x:c r="M1228" s="21" t="n">
        <x:v>35.814345</x:v>
      </x:c>
      <x:c r="N1228" s="21" t="n">
        <x:v>139.5873</x:v>
      </x:c>
      <x:c r="O1228" s="18" t="str">
        <x:v>003061</x:v>
      </x:c>
      <x:c r="P1228" s="18" t="str">
        <x:v>東上本線</x:v>
      </x:c>
      <x:c r="Q1228" s="19" t="str">
        <x:v>S12_061_GE_10000
OFFICIAL_HUB_COMPONENT_REVIEW</x:v>
      </x:c>
      <x:c r="R1228" s="19" t="str">
        <x:v>S12_061 usage threshold</x:v>
      </x:c>
      <x:c r="S1228" s="19" t="str">
        <x:v>https://nlftp.mlit.go.jp/ksj/gml/datalist/KsjTmplt-S12-2024.html</x:v>
      </x:c>
      <x:c r="T1228" s="19" t="str">
        <x:v>https://nlftp.mlit.go.jp/ksj/gml/datalist/KsjTmplt-S12-2024.html
https://www.tobu.co.jp/railway/guide/station/info/7307/</x:v>
      </x:c>
      <x:c r="U1228" s="19" t="str">
        <x:v>station-component|朝霞台|東武鉄道|private_rail|35.8143|139.5873|</x:v>
      </x:c>
      <x:c r="V1228" s="19" t="str">
        <x:v>003061 / 003061 / 東上本線</x:v>
      </x:c>
      <x:c r="W1228" s="18" t="str">
        <x:v>否</x:v>
      </x:c>
      <x:c r="X1228" s="18" t="str">
        <x:v>0785e932a32b3ec15e1a1345537ae145eafe1c07bf38d5c16c11ee2b391e7a28</x:v>
      </x:c>
      <x:c r="Y1228" s="20" t="n">
        <x:v>1</x:v>
      </x:c>
      <x:c r="Z1228" s="20" t="n">
        <x:v>1</x:v>
      </x:c>
      <x:c r="AA1228" s="19" t="str">
        <x:v>朝霞台・北朝霞</x:v>
      </x:c>
      <x:c r="AB1228" s="18" t="str">
        <x:v>transport-hub-review:ae402061-575e-54f4-9dbd-e0d8cf16323b</x:v>
      </x:c>
      <x:c r="AC1228" s="19"/>
    </x:row>
    <x:row r="1229" ht="28" customHeight="1">
      <x:c r="A1229" s="18" t="str">
        <x:v>朝霧</x:v>
      </x:c>
      <x:c r="B1229" s="18" t="str">
        <x:v>西日本旅客鉄道</x:v>
      </x:c>
      <x:c r="C1229" s="18" t="str">
        <x:v>conventional_rail</x:v>
      </x:c>
      <x:c r="D1229" s="19" t="str">
        <x:v>T2</x:v>
      </x:c>
      <x:c r="E1229" s="20" t="n">
        <x:v>23730</x:v>
      </x:c>
      <x:c r="F1229" s="18" t="str">
        <x:v>persons/day</x:v>
      </x:c>
      <x:c r="G1229" s="18" t="str">
        <x:v>FY2024</x:v>
      </x:c>
      <x:c r="H1229" s="18" t="str">
        <x:v>否</x:v>
      </x:c>
      <x:c r="I1229" s="19" t="str">
        <x:v>DAILY_ENTRIES_EXITS</x:v>
      </x:c>
      <x:c r="J1229" s="19" t="str">
        <x:v>山陽線</x:v>
      </x:c>
      <x:c r="K1229" s="18" t="str">
        <x:v>transport-node:138228b4-38ec-50af-af80-9a27a200030b</x:v>
      </x:c>
      <x:c r="L1229" s="19" t="str">
        <x:v>组件待审核</x:v>
      </x:c>
      <x:c r="M1229" s="21" t="n">
        <x:v>34.64424</x:v>
      </x:c>
      <x:c r="N1229" s="21" t="n">
        <x:v>135.01748</x:v>
      </x:c>
      <x:c r="O1229" s="18" t="str">
        <x:v>007453</x:v>
      </x:c>
      <x:c r="P1229" s="18" t="str">
        <x:v>山陽線</x:v>
      </x:c>
      <x:c r="Q1229" s="19" t="str">
        <x:v>S12_061_GE_10000</x:v>
      </x:c>
      <x:c r="R1229" s="19" t="str">
        <x:v>S12_061 usage threshold</x:v>
      </x:c>
      <x:c r="S1229" s="19" t="str">
        <x:v>https://nlftp.mlit.go.jp/ksj/gml/datalist/KsjTmplt-S12-2024.html</x:v>
      </x:c>
      <x:c r="T1229" s="19" t="str">
        <x:v>https://nlftp.mlit.go.jp/ksj/gml/datalist/KsjTmplt-S12-2024.html</x:v>
      </x:c>
      <x:c r="U1229" s="19" t="str">
        <x:v>station-component|朝霧|西日本旅客鉄道|conventional_rail|34.6442|135.0175|</x:v>
      </x:c>
      <x:c r="V1229" s="19" t="str">
        <x:v>007453 / 007453 / 山陽線</x:v>
      </x:c>
      <x:c r="W1229" s="18" t="str">
        <x:v>否</x:v>
      </x:c>
      <x:c r="X1229" s="18" t="str">
        <x:v>0785e932a32b3ec15e1a1345537ae145eafe1c07bf38d5c16c11ee2b391e7a28</x:v>
      </x:c>
      <x:c r="Y1229" s="20" t="n">
        <x:v>1</x:v>
      </x:c>
      <x:c r="Z1229" s="20" t="n">
        <x:v>1</x:v>
      </x:c>
      <x:c r="AA1229" s="19"/>
      <x:c r="AB1229" s="18"/>
      <x:c r="AC1229" s="19"/>
    </x:row>
    <x:row r="1230" ht="33" customHeight="1">
      <x:c r="A1230" s="18" t="str">
        <x:v>木古内</x:v>
      </x:c>
      <x:c r="B1230" s="18" t="str">
        <x:v>北海道旅客鉄道</x:v>
      </x:c>
      <x:c r="C1230" s="18" t="str">
        <x:v>shinkansen</x:v>
      </x:c>
      <x:c r="D1230" s="19" t="str">
        <x:v>T3</x:v>
      </x:c>
      <x:c r="E1230" s="20" t="n">
        <x:v>62</x:v>
      </x:c>
      <x:c r="F1230" s="18" t="str">
        <x:v>persons/day</x:v>
      </x:c>
      <x:c r="G1230" s="18" t="str">
        <x:v>FY2024</x:v>
      </x:c>
      <x:c r="H1230" s="18" t="str">
        <x:v>否</x:v>
      </x:c>
      <x:c r="I1230" s="19" t="str">
        <x:v>DAILY_ENTRIES_EXITS</x:v>
      </x:c>
      <x:c r="J1230" s="19" t="str">
        <x:v>北海道新幹線</x:v>
      </x:c>
      <x:c r="K1230" s="18" t="str">
        <x:v>transport-node:8ee6f2fd-e04c-5a7f-8d0f-3f4f89bb4c9b</x:v>
      </x:c>
      <x:c r="L1230" s="19" t="str">
        <x:v>组件待审核</x:v>
      </x:c>
      <x:c r="M1230" s="21" t="n">
        <x:v>41.6784783</x:v>
      </x:c>
      <x:c r="N1230" s="21" t="n">
        <x:v>140.434152</x:v>
      </x:c>
      <x:c r="O1230" s="18" t="str">
        <x:v>000476</x:v>
      </x:c>
      <x:c r="P1230" s="18" t="str">
        <x:v>北海道新幹線</x:v>
      </x:c>
      <x:c r="Q1230" s="19" t="str">
        <x:v>SHINKANSEN</x:v>
      </x:c>
      <x:c r="R1230" s="19" t="str">
        <x:v>S12_061 usage threshold; low-flow inclusion justified by Shinkansen inventory</x:v>
      </x:c>
      <x:c r="S1230" s="19" t="str">
        <x:v>https://nlftp.mlit.go.jp/ksj/gml/datalist/KsjTmplt-S12-2024.html</x:v>
      </x:c>
      <x:c r="T1230" s="19" t="str">
        <x:v>https://nlftp.mlit.go.jp/ksj/gml/datalist/KsjTmplt-S12-2024.html</x:v>
      </x:c>
      <x:c r="U1230" s="19" t="str">
        <x:v>station-component|木古内|北海道旅客鉄道|shinkansen|41.6785|140.4342|</x:v>
      </x:c>
      <x:c r="V1230" s="19" t="str">
        <x:v>000477 / 000476 / 北海道新幹線</x:v>
      </x:c>
      <x:c r="W1230" s="18" t="str">
        <x:v>否</x:v>
      </x:c>
      <x:c r="X1230" s="18" t="str">
        <x:v>0785e932a32b3ec15e1a1345537ae145eafe1c07bf38d5c16c11ee2b391e7a28</x:v>
      </x:c>
      <x:c r="Y1230" s="20" t="n">
        <x:v>1</x:v>
      </x:c>
      <x:c r="Z1230" s="20" t="n">
        <x:v>1</x:v>
      </x:c>
      <x:c r="AA1230" s="19"/>
      <x:c r="AB1230" s="18"/>
      <x:c r="AC1230" s="19"/>
    </x:row>
    <x:row r="1231" ht="28" customHeight="1">
      <x:c r="A1231" s="18" t="str">
        <x:v>木場</x:v>
      </x:c>
      <x:c r="B1231" s="18" t="str">
        <x:v>東京地下鉄</x:v>
      </x:c>
      <x:c r="C1231" s="18" t="str">
        <x:v>metro</x:v>
      </x:c>
      <x:c r="D1231" s="19" t="str">
        <x:v>T1</x:v>
      </x:c>
      <x:c r="E1231" s="20" t="n">
        <x:v>72289</x:v>
      </x:c>
      <x:c r="F1231" s="18" t="str">
        <x:v>persons/day</x:v>
      </x:c>
      <x:c r="G1231" s="18" t="str">
        <x:v>FY2024</x:v>
      </x:c>
      <x:c r="H1231" s="18" t="str">
        <x:v>否</x:v>
      </x:c>
      <x:c r="I1231" s="19" t="str">
        <x:v>DAILY_ENTRIES_EXITS</x:v>
      </x:c>
      <x:c r="J1231" s="19" t="str">
        <x:v>5号線東西線</x:v>
      </x:c>
      <x:c r="K1231" s="18" t="str">
        <x:v>transport-node:acf171da-ea71-577c-85cd-e1bb0b7066fe</x:v>
      </x:c>
      <x:c r="L1231" s="19" t="str">
        <x:v>组件待审核</x:v>
      </x:c>
      <x:c r="M1231" s="21" t="n">
        <x:v>35.6693533</x:v>
      </x:c>
      <x:c r="N1231" s="21" t="n">
        <x:v>139.8071233</x:v>
      </x:c>
      <x:c r="O1231" s="18" t="str">
        <x:v>003840</x:v>
      </x:c>
      <x:c r="P1231" s="18" t="str">
        <x:v>5号線東西線</x:v>
      </x:c>
      <x:c r="Q1231" s="19" t="str">
        <x:v>S12_061_GE_10000</x:v>
      </x:c>
      <x:c r="R1231" s="19" t="str">
        <x:v>S12_061 usage threshold</x:v>
      </x:c>
      <x:c r="S1231" s="19" t="str">
        <x:v>https://nlftp.mlit.go.jp/ksj/gml/datalist/KsjTmplt-S12-2024.html</x:v>
      </x:c>
      <x:c r="T1231" s="19" t="str">
        <x:v>https://nlftp.mlit.go.jp/ksj/gml/datalist/KsjTmplt-S12-2024.html</x:v>
      </x:c>
      <x:c r="U1231" s="19" t="str">
        <x:v>station-component|木場|東京地下鉄|metro|35.6694|139.8071|</x:v>
      </x:c>
      <x:c r="V1231" s="19" t="str">
        <x:v>003840 / 003840 / 5号線東西線</x:v>
      </x:c>
      <x:c r="W1231" s="18" t="str">
        <x:v>否</x:v>
      </x:c>
      <x:c r="X1231" s="18" t="str">
        <x:v>0785e932a32b3ec15e1a1345537ae145eafe1c07bf38d5c16c11ee2b391e7a28</x:v>
      </x:c>
      <x:c r="Y1231" s="20" t="n">
        <x:v>1</x:v>
      </x:c>
      <x:c r="Z1231" s="20" t="n">
        <x:v>1</x:v>
      </x:c>
      <x:c r="AA1231" s="19"/>
      <x:c r="AB1231" s="18"/>
      <x:c r="AC1231" s="19"/>
    </x:row>
    <x:row r="1232" ht="33" customHeight="1">
      <x:c r="A1232" s="18" t="str">
        <x:v>木更津</x:v>
      </x:c>
      <x:c r="B1232" s="18" t="str">
        <x:v>東日本旅客鉄道</x:v>
      </x:c>
      <x:c r="C1232" s="18" t="str">
        <x:v>conventional_rail</x:v>
      </x:c>
      <x:c r="D1232" s="19" t="str">
        <x:v>T2</x:v>
      </x:c>
      <x:c r="E1232" s="20" t="n">
        <x:v>25922</x:v>
      </x:c>
      <x:c r="F1232" s="18" t="str">
        <x:v>persons/day</x:v>
      </x:c>
      <x:c r="G1232" s="18" t="str">
        <x:v>FY2024</x:v>
      </x:c>
      <x:c r="H1232" s="18" t="str">
        <x:v>否</x:v>
      </x:c>
      <x:c r="I1232" s="19" t="str">
        <x:v>DAILY_ENTRIES_EXITS</x:v>
      </x:c>
      <x:c r="J1232" s="19" t="str">
        <x:v>久留里線
内房線</x:v>
      </x:c>
      <x:c r="K1232" s="18" t="str">
        <x:v>transport-node:d6076f32-8c71-5976-936d-fa30fbe6ede5</x:v>
      </x:c>
      <x:c r="L1232" s="19" t="str">
        <x:v>组件待审核</x:v>
      </x:c>
      <x:c r="M1232" s="21" t="n">
        <x:v>35.38174</x:v>
      </x:c>
      <x:c r="N1232" s="21" t="n">
        <x:v>139.926144</x:v>
      </x:c>
      <x:c r="O1232" s="18" t="str">
        <x:v>004883</x:v>
      </x:c>
      <x:c r="P1232" s="18" t="str">
        <x:v>内房線</x:v>
      </x:c>
      <x:c r="Q1232" s="19" t="str">
        <x:v>S12_061_GE_10000</x:v>
      </x:c>
      <x:c r="R1232" s="19" t="str">
        <x:v>S12_061 usage threshold</x:v>
      </x:c>
      <x:c r="S1232" s="19" t="str">
        <x:v>https://nlftp.mlit.go.jp/ksj/gml/datalist/KsjTmplt-S12-2024.html</x:v>
      </x:c>
      <x:c r="T1232" s="19" t="str">
        <x:v>https://nlftp.mlit.go.jp/ksj/gml/datalist/KsjTmplt-S12-2024.html</x:v>
      </x:c>
      <x:c r="U1232" s="19" t="str">
        <x:v>station-component|木更津|東日本旅客鉄道|conventional_rail|35.3817|139.9261|</x:v>
      </x:c>
      <x:c r="V1232" s="19" t="str">
        <x:v>004882 / 004882 / 久留里線
004882 / 004883 / 内房線</x:v>
      </x:c>
      <x:c r="W1232" s="18" t="str">
        <x:v>否</x:v>
      </x:c>
      <x:c r="X1232" s="18" t="str">
        <x:v>0785e932a32b3ec15e1a1345537ae145eafe1c07bf38d5c16c11ee2b391e7a28</x:v>
      </x:c>
      <x:c r="Y1232" s="20" t="n">
        <x:v>1</x:v>
      </x:c>
      <x:c r="Z1232" s="20" t="n">
        <x:v>1</x:v>
      </x:c>
      <x:c r="AA1232" s="19"/>
      <x:c r="AB1232" s="18"/>
      <x:c r="AC1232" s="19"/>
    </x:row>
    <x:row r="1233" ht="47" customHeight="1">
      <x:c r="A1233" s="18" t="str">
        <x:v>木津</x:v>
      </x:c>
      <x:c r="B1233" s="18" t="str">
        <x:v>西日本旅客鉄道</x:v>
      </x:c>
      <x:c r="C1233" s="18" t="str">
        <x:v>conventional_rail</x:v>
      </x:c>
      <x:c r="D1233" s="19" t="str">
        <x:v>T2</x:v>
      </x:c>
      <x:c r="E1233" s="20" t="n">
        <x:v>10852</x:v>
      </x:c>
      <x:c r="F1233" s="18" t="str">
        <x:v>persons/day</x:v>
      </x:c>
      <x:c r="G1233" s="18" t="str">
        <x:v>FY2024</x:v>
      </x:c>
      <x:c r="H1233" s="18" t="str">
        <x:v>否</x:v>
      </x:c>
      <x:c r="I1233" s="19" t="str">
        <x:v>DAILY_ENTRIES_EXITS</x:v>
      </x:c>
      <x:c r="J1233" s="19" t="str">
        <x:v>奈良線
片町線
関西線</x:v>
      </x:c>
      <x:c r="K1233" s="18" t="str">
        <x:v>transport-node:0472b9ba-e3e1-5e44-ac24-f72a0a8bfaa0</x:v>
      </x:c>
      <x:c r="L1233" s="19" t="str">
        <x:v>组件待审核</x:v>
      </x:c>
      <x:c r="M1233" s="21" t="n">
        <x:v>34.735595</x:v>
      </x:c>
      <x:c r="N1233" s="21" t="n">
        <x:v>135.824775</x:v>
      </x:c>
      <x:c r="O1233" s="18" t="str">
        <x:v>006896</x:v>
      </x:c>
      <x:c r="P1233" s="18" t="str">
        <x:v>関西線</x:v>
      </x:c>
      <x:c r="Q1233" s="19" t="str">
        <x:v>S12_061_GE_10000</x:v>
      </x:c>
      <x:c r="R1233" s="19" t="str">
        <x:v>S12_061 usage threshold</x:v>
      </x:c>
      <x:c r="S1233" s="19" t="str">
        <x:v>https://nlftp.mlit.go.jp/ksj/gml/datalist/KsjTmplt-S12-2024.html</x:v>
      </x:c>
      <x:c r="T1233" s="19" t="str">
        <x:v>https://nlftp.mlit.go.jp/ksj/gml/datalist/KsjTmplt-S12-2024.html</x:v>
      </x:c>
      <x:c r="U1233" s="19" t="str">
        <x:v>station-component|木津|西日本旅客鉄道|conventional_rail|34.7356|135.8248|</x:v>
      </x:c>
      <x:c r="V1233" s="19" t="str">
        <x:v>006896 / 006896 / 関西線
006896 / 006897 / 奈良線
006896 / 006898 / 片町線</x:v>
      </x:c>
      <x:c r="W1233" s="18" t="str">
        <x:v>否</x:v>
      </x:c>
      <x:c r="X1233" s="18" t="str">
        <x:v>0785e932a32b3ec15e1a1345537ae145eafe1c07bf38d5c16c11ee2b391e7a28</x:v>
      </x:c>
      <x:c r="Y1233" s="20" t="n">
        <x:v>1</x:v>
      </x:c>
      <x:c r="Z1233" s="20" t="n">
        <x:v>1</x:v>
      </x:c>
      <x:c r="AA1233" s="19"/>
      <x:c r="AB1233" s="18"/>
      <x:c r="AC1233" s="19"/>
    </x:row>
    <x:row r="1234" ht="28" customHeight="1">
      <x:c r="A1234" s="18" t="str">
        <x:v>末広町</x:v>
      </x:c>
      <x:c r="B1234" s="18" t="str">
        <x:v>東京地下鉄</x:v>
      </x:c>
      <x:c r="C1234" s="18" t="str">
        <x:v>metro</x:v>
      </x:c>
      <x:c r="D1234" s="19" t="str">
        <x:v>T2</x:v>
      </x:c>
      <x:c r="E1234" s="20" t="n">
        <x:v>27833</x:v>
      </x:c>
      <x:c r="F1234" s="18" t="str">
        <x:v>persons/day</x:v>
      </x:c>
      <x:c r="G1234" s="18" t="str">
        <x:v>FY2024</x:v>
      </x:c>
      <x:c r="H1234" s="18" t="str">
        <x:v>否</x:v>
      </x:c>
      <x:c r="I1234" s="19" t="str">
        <x:v>DAILY_ENTRIES_EXITS</x:v>
      </x:c>
      <x:c r="J1234" s="19" t="str">
        <x:v>3号線銀座線</x:v>
      </x:c>
      <x:c r="K1234" s="18" t="str">
        <x:v>transport-node:b1b98fc0-62f2-556e-806a-9d0ac12466f8</x:v>
      </x:c>
      <x:c r="L1234" s="19" t="str">
        <x:v>组件待审核</x:v>
      </x:c>
      <x:c r="M1234" s="21" t="n">
        <x:v>35.70284</x:v>
      </x:c>
      <x:c r="N1234" s="21" t="n">
        <x:v>139.77177</x:v>
      </x:c>
      <x:c r="O1234" s="18" t="str">
        <x:v>003586</x:v>
      </x:c>
      <x:c r="P1234" s="18" t="str">
        <x:v>3号線銀座線</x:v>
      </x:c>
      <x:c r="Q1234" s="19" t="str">
        <x:v>S12_061_GE_10000</x:v>
      </x:c>
      <x:c r="R1234" s="19" t="str">
        <x:v>S12_061 usage threshold</x:v>
      </x:c>
      <x:c r="S1234" s="19" t="str">
        <x:v>https://nlftp.mlit.go.jp/ksj/gml/datalist/KsjTmplt-S12-2024.html</x:v>
      </x:c>
      <x:c r="T1234" s="19" t="str">
        <x:v>https://nlftp.mlit.go.jp/ksj/gml/datalist/KsjTmplt-S12-2024.html</x:v>
      </x:c>
      <x:c r="U1234" s="19" t="str">
        <x:v>station-component|末広町|東京地下鉄|metro|35.7028|139.7718|</x:v>
      </x:c>
      <x:c r="V1234" s="19" t="str">
        <x:v>003586 / 003586 / 3号線銀座線</x:v>
      </x:c>
      <x:c r="W1234" s="18" t="str">
        <x:v>否</x:v>
      </x:c>
      <x:c r="X1234" s="18" t="str">
        <x:v>0785e932a32b3ec15e1a1345537ae145eafe1c07bf38d5c16c11ee2b391e7a28</x:v>
      </x:c>
      <x:c r="Y1234" s="20" t="n">
        <x:v>1</x:v>
      </x:c>
      <x:c r="Z1234" s="20" t="n">
        <x:v>1</x:v>
      </x:c>
      <x:c r="AA1234" s="19"/>
      <x:c r="AB1234" s="18"/>
      <x:c r="AC1234" s="19"/>
    </x:row>
    <x:row r="1235" ht="33" customHeight="1">
      <x:c r="A1235" s="18" t="str">
        <x:v>本八幡</x:v>
      </x:c>
      <x:c r="B1235" s="18" t="str">
        <x:v>東京都</x:v>
      </x:c>
      <x:c r="C1235" s="18" t="str">
        <x:v>metro</x:v>
      </x:c>
      <x:c r="D1235" s="19" t="str">
        <x:v>T1</x:v>
      </x:c>
      <x:c r="E1235" s="20" t="n">
        <x:v>52176</x:v>
      </x:c>
      <x:c r="F1235" s="18" t="str">
        <x:v>persons/day</x:v>
      </x:c>
      <x:c r="G1235" s="18" t="str">
        <x:v>FY2024</x:v>
      </x:c>
      <x:c r="H1235" s="18" t="str">
        <x:v>否</x:v>
      </x:c>
      <x:c r="I1235" s="19" t="str">
        <x:v>DAILY_ENTRIES_EXITS</x:v>
      </x:c>
      <x:c r="J1235" s="19" t="str">
        <x:v>10号線新宿線</x:v>
      </x:c>
      <x:c r="K1235" s="18" t="str">
        <x:v>transport-node:675b983f-e9b9-505f-9f83-13529f7606a5</x:v>
      </x:c>
      <x:c r="L1235" s="19" t="str">
        <x:v>组件待审核</x:v>
      </x:c>
      <x:c r="M1235" s="21" t="n">
        <x:v>35.72335</x:v>
      </x:c>
      <x:c r="N1235" s="21" t="n">
        <x:v>139.92688</x:v>
      </x:c>
      <x:c r="O1235" s="18" t="str">
        <x:v>003449</x:v>
      </x:c>
      <x:c r="P1235" s="18" t="str">
        <x:v>10号線新宿線</x:v>
      </x:c>
      <x:c r="Q1235" s="19" t="str">
        <x:v>S12_061_GE_10000
OFFICIAL_HUB_COMPONENT_REVIEW</x:v>
      </x:c>
      <x:c r="R1235" s="19" t="str">
        <x:v>S12_061 usage threshold</x:v>
      </x:c>
      <x:c r="S1235" s="19" t="str">
        <x:v>https://nlftp.mlit.go.jp/ksj/gml/datalist/KsjTmplt-S12-2024.html</x:v>
      </x:c>
      <x:c r="T1235" s="19" t="str">
        <x:v>https://nlftp.mlit.go.jp/ksj/gml/datalist/KsjTmplt-S12-2024.html
https://www.kotsu.metro.tokyo.jp/subway/stations/motoyawata.html</x:v>
      </x:c>
      <x:c r="U1235" s="19" t="str">
        <x:v>station-component|本八幡|東京都|metro|35.7234|139.9269|</x:v>
      </x:c>
      <x:c r="V1235" s="19" t="str">
        <x:v>003449 / 003449 / 10号線新宿線</x:v>
      </x:c>
      <x:c r="W1235" s="18" t="str">
        <x:v>否</x:v>
      </x:c>
      <x:c r="X1235" s="18" t="str">
        <x:v>0785e932a32b3ec15e1a1345537ae145eafe1c07bf38d5c16c11ee2b391e7a28</x:v>
      </x:c>
      <x:c r="Y1235" s="20" t="n">
        <x:v>1</x:v>
      </x:c>
      <x:c r="Z1235" s="20" t="n">
        <x:v>1</x:v>
      </x:c>
      <x:c r="AA1235" s="19" t="str">
        <x:v>本八幡・京成八幡</x:v>
      </x:c>
      <x:c r="AB1235" s="18" t="str">
        <x:v>transport-hub-review:87ae561e-eb2c-51b3-9089-0b7e4e77eec1</x:v>
      </x:c>
      <x:c r="AC1235" s="19"/>
    </x:row>
    <x:row r="1236" ht="33" customHeight="1">
      <x:c r="A1236" s="18" t="str">
        <x:v>本八幡</x:v>
      </x:c>
      <x:c r="B1236" s="18" t="str">
        <x:v>東日本旅客鉄道</x:v>
      </x:c>
      <x:c r="C1236" s="18" t="str">
        <x:v>conventional_rail</x:v>
      </x:c>
      <x:c r="D1236" s="19" t="str">
        <x:v>T1</x:v>
      </x:c>
      <x:c r="E1236" s="20" t="n">
        <x:v>110278</x:v>
      </x:c>
      <x:c r="F1236" s="18" t="str">
        <x:v>persons/day</x:v>
      </x:c>
      <x:c r="G1236" s="18" t="str">
        <x:v>FY2024</x:v>
      </x:c>
      <x:c r="H1236" s="18" t="str">
        <x:v>否</x:v>
      </x:c>
      <x:c r="I1236" s="19" t="str">
        <x:v>DAILY_ENTRIES_EXITS</x:v>
      </x:c>
      <x:c r="J1236" s="19" t="str">
        <x:v>総武線</x:v>
      </x:c>
      <x:c r="K1236" s="18" t="str">
        <x:v>transport-node:0ddf5d47-53cf-510b-8816-5449fb9a7c17</x:v>
      </x:c>
      <x:c r="L1236" s="19" t="str">
        <x:v>组件待审核</x:v>
      </x:c>
      <x:c r="M1236" s="21" t="n">
        <x:v>35.72085</x:v>
      </x:c>
      <x:c r="N1236" s="21" t="n">
        <x:v>139.927405</x:v>
      </x:c>
      <x:c r="O1236" s="18" t="str">
        <x:v>003467</x:v>
      </x:c>
      <x:c r="P1236" s="18" t="str">
        <x:v>総武線</x:v>
      </x:c>
      <x:c r="Q1236" s="19" t="str">
        <x:v>S12_061_GE_10000
OFFICIAL_HUB_COMPONENT_REVIEW</x:v>
      </x:c>
      <x:c r="R1236" s="19" t="str">
        <x:v>S12_061 usage threshold</x:v>
      </x:c>
      <x:c r="S1236" s="19" t="str">
        <x:v>https://nlftp.mlit.go.jp/ksj/gml/datalist/KsjTmplt-S12-2024.html</x:v>
      </x:c>
      <x:c r="T1236" s="19" t="str">
        <x:v>https://nlftp.mlit.go.jp/ksj/gml/datalist/KsjTmplt-S12-2024.html
https://www.kotsu.metro.tokyo.jp/subway/stations/motoyawata.html</x:v>
      </x:c>
      <x:c r="U1236" s="19" t="str">
        <x:v>station-component|本八幡|東日本旅客鉄道|conventional_rail|35.7208|139.9274|</x:v>
      </x:c>
      <x:c r="V1236" s="19" t="str">
        <x:v>003449 / 003467 / 総武線</x:v>
      </x:c>
      <x:c r="W1236" s="18" t="str">
        <x:v>否</x:v>
      </x:c>
      <x:c r="X1236" s="18" t="str">
        <x:v>0785e932a32b3ec15e1a1345537ae145eafe1c07bf38d5c16c11ee2b391e7a28</x:v>
      </x:c>
      <x:c r="Y1236" s="20" t="n">
        <x:v>1</x:v>
      </x:c>
      <x:c r="Z1236" s="20" t="n">
        <x:v>1</x:v>
      </x:c>
      <x:c r="AA1236" s="19" t="str">
        <x:v>本八幡・京成八幡</x:v>
      </x:c>
      <x:c r="AB1236" s="18" t="str">
        <x:v>transport-hub-review:87ae561e-eb2c-51b3-9089-0b7e4e77eec1</x:v>
      </x:c>
      <x:c r="AC1236" s="19"/>
    </x:row>
    <x:row r="1237" ht="28" customHeight="1">
      <x:c r="A1237" s="18" t="str">
        <x:v>本千葉</x:v>
      </x:c>
      <x:c r="B1237" s="18" t="str">
        <x:v>東日本旅客鉄道</x:v>
      </x:c>
      <x:c r="C1237" s="18" t="str">
        <x:v>conventional_rail</x:v>
      </x:c>
      <x:c r="D1237" s="19" t="str">
        <x:v>T2</x:v>
      </x:c>
      <x:c r="E1237" s="20" t="n">
        <x:v>25816</x:v>
      </x:c>
      <x:c r="F1237" s="18" t="str">
        <x:v>persons/day</x:v>
      </x:c>
      <x:c r="G1237" s="18" t="str">
        <x:v>FY2024</x:v>
      </x:c>
      <x:c r="H1237" s="18" t="str">
        <x:v>否</x:v>
      </x:c>
      <x:c r="I1237" s="19" t="str">
        <x:v>DAILY_ENTRIES_EXITS</x:v>
      </x:c>
      <x:c r="J1237" s="19" t="str">
        <x:v>外房線</x:v>
      </x:c>
      <x:c r="K1237" s="18" t="str">
        <x:v>transport-node:0c1fc2cf-0deb-5c53-a24a-bfbd3d0bce1e</x:v>
      </x:c>
      <x:c r="L1237" s="19" t="str">
        <x:v>组件待审核</x:v>
      </x:c>
      <x:c r="M1237" s="21" t="n">
        <x:v>35.60039</x:v>
      </x:c>
      <x:c r="N1237" s="21" t="n">
        <x:v>140.1215333</x:v>
      </x:c>
      <x:c r="O1237" s="18" t="str">
        <x:v>004236</x:v>
      </x:c>
      <x:c r="P1237" s="18" t="str">
        <x:v>外房線</x:v>
      </x:c>
      <x:c r="Q1237" s="19" t="str">
        <x:v>S12_061_GE_10000</x:v>
      </x:c>
      <x:c r="R1237" s="19" t="str">
        <x:v>S12_061 usage threshold</x:v>
      </x:c>
      <x:c r="S1237" s="19" t="str">
        <x:v>https://nlftp.mlit.go.jp/ksj/gml/datalist/KsjTmplt-S12-2024.html</x:v>
      </x:c>
      <x:c r="T1237" s="19" t="str">
        <x:v>https://nlftp.mlit.go.jp/ksj/gml/datalist/KsjTmplt-S12-2024.html</x:v>
      </x:c>
      <x:c r="U1237" s="19" t="str">
        <x:v>station-component|本千葉|東日本旅客鉄道|conventional_rail|35.6004|140.1215|</x:v>
      </x:c>
      <x:c r="V1237" s="19" t="str">
        <x:v>004236 / 004236 / 外房線</x:v>
      </x:c>
      <x:c r="W1237" s="18" t="str">
        <x:v>否</x:v>
      </x:c>
      <x:c r="X1237" s="18" t="str">
        <x:v>0785e932a32b3ec15e1a1345537ae145eafe1c07bf38d5c16c11ee2b391e7a28</x:v>
      </x:c>
      <x:c r="Y1237" s="20" t="n">
        <x:v>1</x:v>
      </x:c>
      <x:c r="Z1237" s="20" t="n">
        <x:v>1</x:v>
      </x:c>
      <x:c r="AA1237" s="19"/>
      <x:c r="AB1237" s="18"/>
      <x:c r="AC1237" s="19"/>
    </x:row>
    <x:row r="1238" ht="28" customHeight="1">
      <x:c r="A1238" s="18" t="str">
        <x:v>本厚木</x:v>
      </x:c>
      <x:c r="B1238" s="18" t="str">
        <x:v>小田急電鉄</x:v>
      </x:c>
      <x:c r="C1238" s="18" t="str">
        <x:v>private_rail</x:v>
      </x:c>
      <x:c r="D1238" s="19" t="str">
        <x:v>T1</x:v>
      </x:c>
      <x:c r="E1238" s="20" t="n">
        <x:v>127031</x:v>
      </x:c>
      <x:c r="F1238" s="18" t="str">
        <x:v>persons/day</x:v>
      </x:c>
      <x:c r="G1238" s="18" t="str">
        <x:v>FY2024</x:v>
      </x:c>
      <x:c r="H1238" s="18" t="str">
        <x:v>否</x:v>
      </x:c>
      <x:c r="I1238" s="19" t="str">
        <x:v>DAILY_ENTRIES_EXITS</x:v>
      </x:c>
      <x:c r="J1238" s="19" t="str">
        <x:v>小田原線</x:v>
      </x:c>
      <x:c r="K1238" s="18" t="str">
        <x:v>transport-node:cbde6d57-356f-5f6f-b4fe-c82122fcbb56</x:v>
      </x:c>
      <x:c r="L1238" s="19" t="str">
        <x:v>组件待审核</x:v>
      </x:c>
      <x:c r="M1238" s="21" t="n">
        <x:v>35.43921</x:v>
      </x:c>
      <x:c r="N1238" s="21" t="n">
        <x:v>139.364375</x:v>
      </x:c>
      <x:c r="O1238" s="18" t="str">
        <x:v>004715</x:v>
      </x:c>
      <x:c r="P1238" s="18" t="str">
        <x:v>小田原線</x:v>
      </x:c>
      <x:c r="Q1238" s="19" t="str">
        <x:v>S12_061_GE_10000</x:v>
      </x:c>
      <x:c r="R1238" s="19" t="str">
        <x:v>S12_061 usage threshold</x:v>
      </x:c>
      <x:c r="S1238" s="19" t="str">
        <x:v>https://nlftp.mlit.go.jp/ksj/gml/datalist/KsjTmplt-S12-2024.html</x:v>
      </x:c>
      <x:c r="T1238" s="19" t="str">
        <x:v>https://nlftp.mlit.go.jp/ksj/gml/datalist/KsjTmplt-S12-2024.html</x:v>
      </x:c>
      <x:c r="U1238" s="19" t="str">
        <x:v>station-component|本厚木|小田急電鉄|private_rail|35.4392|139.3644|</x:v>
      </x:c>
      <x:c r="V1238" s="19" t="str">
        <x:v>004715 / 004715 / 小田原線</x:v>
      </x:c>
      <x:c r="W1238" s="18" t="str">
        <x:v>否</x:v>
      </x:c>
      <x:c r="X1238" s="18" t="str">
        <x:v>0785e932a32b3ec15e1a1345537ae145eafe1c07bf38d5c16c11ee2b391e7a28</x:v>
      </x:c>
      <x:c r="Y1238" s="20" t="n">
        <x:v>1</x:v>
      </x:c>
      <x:c r="Z1238" s="20" t="n">
        <x:v>1</x:v>
      </x:c>
      <x:c r="AA1238" s="19"/>
      <x:c r="AB1238" s="18"/>
      <x:c r="AC1238" s="19"/>
    </x:row>
    <x:row r="1239" ht="33" customHeight="1">
      <x:c r="A1239" s="18" t="str">
        <x:v>本山</x:v>
      </x:c>
      <x:c r="B1239" s="18" t="str">
        <x:v>名古屋市</x:v>
      </x:c>
      <x:c r="C1239" s="18" t="str">
        <x:v>metro</x:v>
      </x:c>
      <x:c r="D1239" s="19" t="str">
        <x:v>T2</x:v>
      </x:c>
      <x:c r="E1239" s="20" t="n">
        <x:v>28986</x:v>
      </x:c>
      <x:c r="F1239" s="18" t="str">
        <x:v>persons/day</x:v>
      </x:c>
      <x:c r="G1239" s="18" t="str">
        <x:v>FY2024</x:v>
      </x:c>
      <x:c r="H1239" s="18" t="str">
        <x:v>否</x:v>
      </x:c>
      <x:c r="I1239" s="19" t="str">
        <x:v>DAILY_ENTRIES_EXITS</x:v>
      </x:c>
      <x:c r="J1239" s="19" t="str">
        <x:v>1号線東山線
4号線名城線</x:v>
      </x:c>
      <x:c r="K1239" s="18" t="str">
        <x:v>transport-node:7ea26167-76fd-59dd-ac18-04addca4e1d1</x:v>
      </x:c>
      <x:c r="L1239" s="19" t="str">
        <x:v>组件待审核</x:v>
      </x:c>
      <x:c r="M1239" s="21" t="n">
        <x:v>35.163875</x:v>
      </x:c>
      <x:c r="N1239" s="21" t="n">
        <x:v>136.96371</x:v>
      </x:c>
      <x:c r="O1239" s="18" t="str">
        <x:v>005482</x:v>
      </x:c>
      <x:c r="P1239" s="18" t="str">
        <x:v>1号線東山線</x:v>
      </x:c>
      <x:c r="Q1239" s="19" t="str">
        <x:v>S12_061_GE_10000
OFFICIAL_HUB_COMPONENT_REVIEW</x:v>
      </x:c>
      <x:c r="R1239" s="19" t="str">
        <x:v>S12_061 usage threshold</x:v>
      </x:c>
      <x:c r="S1239" s="19" t="str">
        <x:v>https://nlftp.mlit.go.jp/ksj/gml/datalist/KsjTmplt-S12-2024.html</x:v>
      </x:c>
      <x:c r="T1239" s="19" t="str">
        <x:v>https://kotsu.city.nagoya.jp/rp/subway/
https://nlftp.mlit.go.jp/ksj/gml/datalist/KsjTmplt-S12-2024.html</x:v>
      </x:c>
      <x:c r="U1239" s="19" t="str">
        <x:v>station-component|本山|名古屋市|metro|35.1639|136.9637|</x:v>
      </x:c>
      <x:c r="V1239" s="19" t="str">
        <x:v>005482 / 005482 / 1号線東山線
005482 / 005487 / 4号線名城線</x:v>
      </x:c>
      <x:c r="W1239" s="18" t="str">
        <x:v>否</x:v>
      </x:c>
      <x:c r="X1239" s="18" t="str">
        <x:v>0785e932a32b3ec15e1a1345537ae145eafe1c07bf38d5c16c11ee2b391e7a28</x:v>
      </x:c>
      <x:c r="Y1239" s="20" t="n">
        <x:v>1</x:v>
      </x:c>
      <x:c r="Z1239" s="20" t="n">
        <x:v>1</x:v>
      </x:c>
      <x:c r="AA1239" s="19" t="str">
        <x:v>本山</x:v>
      </x:c>
      <x:c r="AB1239" s="18" t="str">
        <x:v>transport-hub-review:cd13ed9f-4821-5fc4-80bb-a25f30eafc3c</x:v>
      </x:c>
      <x:c r="AC1239" s="19"/>
    </x:row>
    <x:row r="1240" ht="28" customHeight="1">
      <x:c r="A1240" s="18" t="str">
        <x:v>本川越</x:v>
      </x:c>
      <x:c r="B1240" s="18" t="str">
        <x:v>西武鉄道</x:v>
      </x:c>
      <x:c r="C1240" s="18" t="str">
        <x:v>private_rail</x:v>
      </x:c>
      <x:c r="D1240" s="19" t="str">
        <x:v>T2</x:v>
      </x:c>
      <x:c r="E1240" s="20" t="n">
        <x:v>49020</x:v>
      </x:c>
      <x:c r="F1240" s="18" t="str">
        <x:v>persons/day</x:v>
      </x:c>
      <x:c r="G1240" s="18" t="str">
        <x:v>FY2024</x:v>
      </x:c>
      <x:c r="H1240" s="18" t="str">
        <x:v>否</x:v>
      </x:c>
      <x:c r="I1240" s="19" t="str">
        <x:v>DAILY_ENTRIES_EXITS</x:v>
      </x:c>
      <x:c r="J1240" s="19" t="str">
        <x:v>新宿線</x:v>
      </x:c>
      <x:c r="K1240" s="18" t="str">
        <x:v>transport-node:ebbfc032-56ca-505b-9ff5-59d8b89aff10</x:v>
      </x:c>
      <x:c r="L1240" s="19" t="str">
        <x:v>组件待审核</x:v>
      </x:c>
      <x:c r="M1240" s="21" t="n">
        <x:v>35.913675</x:v>
      </x:c>
      <x:c r="N1240" s="21" t="n">
        <x:v>139.48113</x:v>
      </x:c>
      <x:c r="O1240" s="18" t="str">
        <x:v>002895</x:v>
      </x:c>
      <x:c r="P1240" s="18" t="str">
        <x:v>新宿線</x:v>
      </x:c>
      <x:c r="Q1240" s="19" t="str">
        <x:v>S12_061_GE_10000</x:v>
      </x:c>
      <x:c r="R1240" s="19" t="str">
        <x:v>S12_061 usage threshold</x:v>
      </x:c>
      <x:c r="S1240" s="19" t="str">
        <x:v>https://nlftp.mlit.go.jp/ksj/gml/datalist/KsjTmplt-S12-2024.html</x:v>
      </x:c>
      <x:c r="T1240" s="19" t="str">
        <x:v>https://nlftp.mlit.go.jp/ksj/gml/datalist/KsjTmplt-S12-2024.html</x:v>
      </x:c>
      <x:c r="U1240" s="19" t="str">
        <x:v>station-component|本川越|西武鉄道|private_rail|35.9137|139.4811|</x:v>
      </x:c>
      <x:c r="V1240" s="19" t="str">
        <x:v>002895 / 002895 / 新宿線</x:v>
      </x:c>
      <x:c r="W1240" s="18" t="str">
        <x:v>否</x:v>
      </x:c>
      <x:c r="X1240" s="18" t="str">
        <x:v>0785e932a32b3ec15e1a1345537ae145eafe1c07bf38d5c16c11ee2b391e7a28</x:v>
      </x:c>
      <x:c r="Y1240" s="20" t="n">
        <x:v>1</x:v>
      </x:c>
      <x:c r="Z1240" s="20" t="n">
        <x:v>1</x:v>
      </x:c>
      <x:c r="AA1240" s="19"/>
      <x:c r="AB1240" s="18"/>
      <x:c r="AC1240" s="19"/>
    </x:row>
    <x:row r="1241" ht="28" customHeight="1">
      <x:c r="A1241" s="18" t="str">
        <x:v>本庄</x:v>
      </x:c>
      <x:c r="B1241" s="18" t="str">
        <x:v>東日本旅客鉄道</x:v>
      </x:c>
      <x:c r="C1241" s="18" t="str">
        <x:v>conventional_rail</x:v>
      </x:c>
      <x:c r="D1241" s="19" t="str">
        <x:v>T2</x:v>
      </x:c>
      <x:c r="E1241" s="20" t="n">
        <x:v>17226</x:v>
      </x:c>
      <x:c r="F1241" s="18" t="str">
        <x:v>persons/day</x:v>
      </x:c>
      <x:c r="G1241" s="18" t="str">
        <x:v>FY2024</x:v>
      </x:c>
      <x:c r="H1241" s="18" t="str">
        <x:v>否</x:v>
      </x:c>
      <x:c r="I1241" s="19" t="str">
        <x:v>DAILY_ENTRIES_EXITS</x:v>
      </x:c>
      <x:c r="J1241" s="19" t="str">
        <x:v>高崎線</x:v>
      </x:c>
      <x:c r="K1241" s="18" t="str">
        <x:v>transport-node:9b73cfc3-9c25-5845-b9d2-8351627a3625</x:v>
      </x:c>
      <x:c r="L1241" s="19" t="str">
        <x:v>组件待审核</x:v>
      </x:c>
      <x:c r="M1241" s="21" t="n">
        <x:v>36.2363267</x:v>
      </x:c>
      <x:c r="N1241" s="21" t="n">
        <x:v>139.1880767</x:v>
      </x:c>
      <x:c r="O1241" s="18" t="str">
        <x:v>002503</x:v>
      </x:c>
      <x:c r="P1241" s="18" t="str">
        <x:v>高崎線</x:v>
      </x:c>
      <x:c r="Q1241" s="19" t="str">
        <x:v>S12_061_GE_10000</x:v>
      </x:c>
      <x:c r="R1241" s="19" t="str">
        <x:v>S12_061 usage threshold</x:v>
      </x:c>
      <x:c r="S1241" s="19" t="str">
        <x:v>https://nlftp.mlit.go.jp/ksj/gml/datalist/KsjTmplt-S12-2024.html</x:v>
      </x:c>
      <x:c r="T1241" s="19" t="str">
        <x:v>https://nlftp.mlit.go.jp/ksj/gml/datalist/KsjTmplt-S12-2024.html</x:v>
      </x:c>
      <x:c r="U1241" s="19" t="str">
        <x:v>station-component|本庄|東日本旅客鉄道|conventional_rail|36.2363|139.1881|</x:v>
      </x:c>
      <x:c r="V1241" s="19" t="str">
        <x:v>002503 / 002503 / 高崎線</x:v>
      </x:c>
      <x:c r="W1241" s="18" t="str">
        <x:v>否</x:v>
      </x:c>
      <x:c r="X1241" s="18" t="str">
        <x:v>0785e932a32b3ec15e1a1345537ae145eafe1c07bf38d5c16c11ee2b391e7a28</x:v>
      </x:c>
      <x:c r="Y1241" s="20" t="n">
        <x:v>1</x:v>
      </x:c>
      <x:c r="Z1241" s="20" t="n">
        <x:v>1</x:v>
      </x:c>
      <x:c r="AA1241" s="19"/>
      <x:c r="AB1241" s="18"/>
      <x:c r="AC1241" s="19"/>
    </x:row>
    <x:row r="1242" ht="33" customHeight="1">
      <x:c r="A1242" s="18" t="str">
        <x:v>本庄早稲田</x:v>
      </x:c>
      <x:c r="B1242" s="18" t="str">
        <x:v>東日本旅客鉄道</x:v>
      </x:c>
      <x:c r="C1242" s="18" t="str">
        <x:v>shinkansen</x:v>
      </x:c>
      <x:c r="D1242" s="19" t="str">
        <x:v>T3</x:v>
      </x:c>
      <x:c r="E1242" s="20" t="n">
        <x:v>4024</x:v>
      </x:c>
      <x:c r="F1242" s="18" t="str">
        <x:v>persons/day</x:v>
      </x:c>
      <x:c r="G1242" s="18" t="str">
        <x:v>FY2024</x:v>
      </x:c>
      <x:c r="H1242" s="18" t="str">
        <x:v>否</x:v>
      </x:c>
      <x:c r="I1242" s="19" t="str">
        <x:v>DAILY_ENTRIES_EXITS</x:v>
      </x:c>
      <x:c r="J1242" s="19" t="str">
        <x:v>上越新幹線</x:v>
      </x:c>
      <x:c r="K1242" s="18" t="str">
        <x:v>transport-node:c11c5d6d-2184-5eb6-b48d-3ba65760ea5c</x:v>
      </x:c>
      <x:c r="L1242" s="19" t="str">
        <x:v>组件待审核</x:v>
      </x:c>
      <x:c r="M1242" s="21" t="n">
        <x:v>36.2186763</x:v>
      </x:c>
      <x:c r="N1242" s="21" t="n">
        <x:v>139.1797512</x:v>
      </x:c>
      <x:c r="O1242" s="18" t="str">
        <x:v>002525</x:v>
      </x:c>
      <x:c r="P1242" s="18" t="str">
        <x:v>上越新幹線</x:v>
      </x:c>
      <x:c r="Q1242" s="19" t="str">
        <x:v>SHINKANSEN</x:v>
      </x:c>
      <x:c r="R1242" s="19" t="str">
        <x:v>S12_061 usage threshold; low-flow inclusion justified by Shinkansen inventory</x:v>
      </x:c>
      <x:c r="S1242" s="19" t="str">
        <x:v>https://nlftp.mlit.go.jp/ksj/gml/datalist/KsjTmplt-S12-2024.html</x:v>
      </x:c>
      <x:c r="T1242" s="19" t="str">
        <x:v>https://nlftp.mlit.go.jp/ksj/gml/datalist/KsjTmplt-S12-2024.html</x:v>
      </x:c>
      <x:c r="U1242" s="19" t="str">
        <x:v>station-component|本庄早稲田|東日本旅客鉄道|shinkansen|36.2187|139.1798|</x:v>
      </x:c>
      <x:c r="V1242" s="19" t="str">
        <x:v>002525 / 002525 / 上越新幹線</x:v>
      </x:c>
      <x:c r="W1242" s="18" t="str">
        <x:v>否</x:v>
      </x:c>
      <x:c r="X1242" s="18" t="str">
        <x:v>0785e932a32b3ec15e1a1345537ae145eafe1c07bf38d5c16c11ee2b391e7a28</x:v>
      </x:c>
      <x:c r="Y1242" s="20" t="n">
        <x:v>1</x:v>
      </x:c>
      <x:c r="Z1242" s="20" t="n">
        <x:v>1</x:v>
      </x:c>
      <x:c r="AA1242" s="19"/>
      <x:c r="AB1242" s="18"/>
      <x:c r="AC1242" s="19"/>
    </x:row>
    <x:row r="1243" ht="28" customHeight="1">
      <x:c r="A1243" s="18" t="str">
        <x:v>本所吾妻橋</x:v>
      </x:c>
      <x:c r="B1243" s="18" t="str">
        <x:v>東京都</x:v>
      </x:c>
      <x:c r="C1243" s="18" t="str">
        <x:v>metro</x:v>
      </x:c>
      <x:c r="D1243" s="19" t="str">
        <x:v>T2</x:v>
      </x:c>
      <x:c r="E1243" s="20" t="n">
        <x:v>21482</x:v>
      </x:c>
      <x:c r="F1243" s="18" t="str">
        <x:v>persons/day</x:v>
      </x:c>
      <x:c r="G1243" s="18" t="str">
        <x:v>FY2024</x:v>
      </x:c>
      <x:c r="H1243" s="18" t="str">
        <x:v>否</x:v>
      </x:c>
      <x:c r="I1243" s="19" t="str">
        <x:v>DAILY_ENTRIES_EXITS</x:v>
      </x:c>
      <x:c r="J1243" s="19" t="str">
        <x:v>1号線浅草線</x:v>
      </x:c>
      <x:c r="K1243" s="18" t="str">
        <x:v>transport-node:9765dc02-0c08-52c5-841d-95a0ebf8b42c</x:v>
      </x:c>
      <x:c r="L1243" s="19" t="str">
        <x:v>组件待审核</x:v>
      </x:c>
      <x:c r="M1243" s="21" t="n">
        <x:v>35.7085933</x:v>
      </x:c>
      <x:c r="N1243" s="21" t="n">
        <x:v>139.8044733</x:v>
      </x:c>
      <x:c r="O1243" s="18" t="str">
        <x:v>003538</x:v>
      </x:c>
      <x:c r="P1243" s="18" t="str">
        <x:v>1号線浅草線</x:v>
      </x:c>
      <x:c r="Q1243" s="19" t="str">
        <x:v>S12_061_GE_10000</x:v>
      </x:c>
      <x:c r="R1243" s="19" t="str">
        <x:v>S12_061 usage threshold</x:v>
      </x:c>
      <x:c r="S1243" s="19" t="str">
        <x:v>https://nlftp.mlit.go.jp/ksj/gml/datalist/KsjTmplt-S12-2024.html</x:v>
      </x:c>
      <x:c r="T1243" s="19" t="str">
        <x:v>https://nlftp.mlit.go.jp/ksj/gml/datalist/KsjTmplt-S12-2024.html</x:v>
      </x:c>
      <x:c r="U1243" s="19" t="str">
        <x:v>station-component|本所吾妻橋|東京都|metro|35.7086|139.8045|</x:v>
      </x:c>
      <x:c r="V1243" s="19" t="str">
        <x:v>003538 / 003538 / 1号線浅草線</x:v>
      </x:c>
      <x:c r="W1243" s="18" t="str">
        <x:v>否</x:v>
      </x:c>
      <x:c r="X1243" s="18" t="str">
        <x:v>0785e932a32b3ec15e1a1345537ae145eafe1c07bf38d5c16c11ee2b391e7a28</x:v>
      </x:c>
      <x:c r="Y1243" s="20" t="n">
        <x:v>1</x:v>
      </x:c>
      <x:c r="Z1243" s="20" t="n">
        <x:v>1</x:v>
      </x:c>
      <x:c r="AA1243" s="19"/>
      <x:c r="AB1243" s="18"/>
      <x:c r="AC1243" s="19"/>
    </x:row>
    <x:row r="1244" ht="47" customHeight="1">
      <x:c r="A1244" s="18" t="str">
        <x:v>本町</x:v>
      </x:c>
      <x:c r="B1244" s="18" t="str">
        <x:v>大阪市高速電気軌道</x:v>
      </x:c>
      <x:c r="C1244" s="18" t="str">
        <x:v>metro</x:v>
      </x:c>
      <x:c r="D1244" s="19" t="str">
        <x:v>T0</x:v>
      </x:c>
      <x:c r="E1244" s="20" t="n">
        <x:v>206138</x:v>
      </x:c>
      <x:c r="F1244" s="18" t="str">
        <x:v>persons/day</x:v>
      </x:c>
      <x:c r="G1244" s="18" t="str">
        <x:v>FY2024</x:v>
      </x:c>
      <x:c r="H1244" s="18" t="str">
        <x:v>否</x:v>
      </x:c>
      <x:c r="I1244" s="19" t="str">
        <x:v>DAILY_ENTRIES_EXITS</x:v>
      </x:c>
      <x:c r="J1244" s="19" t="str">
        <x:v>1号線(御堂筋線)
3号線(四つ橋線)
4号線(中央線)</x:v>
      </x:c>
      <x:c r="K1244" s="18" t="str">
        <x:v>transport-node:b8214529-d8ce-5231-bfbb-cf4f8a271d29</x:v>
      </x:c>
      <x:c r="L1244" s="19" t="str">
        <x:v>组件待审核</x:v>
      </x:c>
      <x:c r="M1244" s="21" t="n">
        <x:v>34.68358</x:v>
      </x:c>
      <x:c r="N1244" s="21" t="n">
        <x:v>135.500675</x:v>
      </x:c>
      <x:c r="O1244" s="18" t="str">
        <x:v>007184</x:v>
      </x:c>
      <x:c r="P1244" s="18" t="str">
        <x:v>1号線(御堂筋線)</x:v>
      </x:c>
      <x:c r="Q1244" s="19" t="str">
        <x:v>S12_061_GE_10000
OFFICIAL_HUB_COMPONENT_REVIEW</x:v>
      </x:c>
      <x:c r="R1244" s="19" t="str">
        <x:v>S12_061 usage threshold</x:v>
      </x:c>
      <x:c r="S1244" s="19" t="str">
        <x:v>https://nlftp.mlit.go.jp/ksj/gml/datalist/KsjTmplt-S12-2024.html</x:v>
      </x:c>
      <x:c r="T1244" s="19" t="str">
        <x:v>https://nlftp.mlit.go.jp/ksj/gml/datalist/KsjTmplt-S12-2024.html
https://subway.osakametro.co.jp/station_guide/C/c16/index.php</x:v>
      </x:c>
      <x:c r="U1244" s="19" t="str">
        <x:v>station-component|本町|大阪市高速電気軌道|metro|34.6836|135.5007|</x:v>
      </x:c>
      <x:c r="V1244" s="19" t="str">
        <x:v>007195 / 007184 / 1号線(御堂筋線)
007195 / 007189 / 3号線(四つ橋線)
007195 / 007195 / 4号線(中央線)</x:v>
      </x:c>
      <x:c r="W1244" s="18" t="str">
        <x:v>否</x:v>
      </x:c>
      <x:c r="X1244" s="18" t="str">
        <x:v>0785e932a32b3ec15e1a1345537ae145eafe1c07bf38d5c16c11ee2b391e7a28</x:v>
      </x:c>
      <x:c r="Y1244" s="20" t="n">
        <x:v>1</x:v>
      </x:c>
      <x:c r="Z1244" s="20" t="n">
        <x:v>1</x:v>
      </x:c>
      <x:c r="AA1244" s="19" t="str">
        <x:v>本町</x:v>
      </x:c>
      <x:c r="AB1244" s="18" t="str">
        <x:v>transport-hub-review:bfde6fb3-d929-5b3a-a54f-423169e52678</x:v>
      </x:c>
      <x:c r="AC1244" s="19"/>
    </x:row>
    <x:row r="1245" ht="28" customHeight="1">
      <x:c r="A1245" s="18" t="str">
        <x:v>本蓮沼</x:v>
      </x:c>
      <x:c r="B1245" s="18" t="str">
        <x:v>東京都</x:v>
      </x:c>
      <x:c r="C1245" s="18" t="str">
        <x:v>metro</x:v>
      </x:c>
      <x:c r="D1245" s="19" t="str">
        <x:v>T2</x:v>
      </x:c>
      <x:c r="E1245" s="20" t="n">
        <x:v>25190</x:v>
      </x:c>
      <x:c r="F1245" s="18" t="str">
        <x:v>persons/day</x:v>
      </x:c>
      <x:c r="G1245" s="18" t="str">
        <x:v>FY2024</x:v>
      </x:c>
      <x:c r="H1245" s="18" t="str">
        <x:v>否</x:v>
      </x:c>
      <x:c r="I1245" s="19" t="str">
        <x:v>DAILY_ENTRIES_EXITS</x:v>
      </x:c>
      <x:c r="J1245" s="19" t="str">
        <x:v>6号線三田線</x:v>
      </x:c>
      <x:c r="K1245" s="18" t="str">
        <x:v>transport-node:6afa7ca3-b65c-5620-b17a-571aa499e4b8</x:v>
      </x:c>
      <x:c r="L1245" s="19" t="str">
        <x:v>组件待审核</x:v>
      </x:c>
      <x:c r="M1245" s="21" t="n">
        <x:v>35.768985</x:v>
      </x:c>
      <x:c r="N1245" s="21" t="n">
        <x:v>139.70211</x:v>
      </x:c>
      <x:c r="O1245" s="18" t="str">
        <x:v>003193</x:v>
      </x:c>
      <x:c r="P1245" s="18" t="str">
        <x:v>6号線三田線</x:v>
      </x:c>
      <x:c r="Q1245" s="19" t="str">
        <x:v>S12_061_GE_10000</x:v>
      </x:c>
      <x:c r="R1245" s="19" t="str">
        <x:v>S12_061 usage threshold</x:v>
      </x:c>
      <x:c r="S1245" s="19" t="str">
        <x:v>https://nlftp.mlit.go.jp/ksj/gml/datalist/KsjTmplt-S12-2024.html</x:v>
      </x:c>
      <x:c r="T1245" s="19" t="str">
        <x:v>https://nlftp.mlit.go.jp/ksj/gml/datalist/KsjTmplt-S12-2024.html</x:v>
      </x:c>
      <x:c r="U1245" s="19" t="str">
        <x:v>station-component|本蓮沼|東京都|metro|35.7690|139.7021|</x:v>
      </x:c>
      <x:c r="V1245" s="19" t="str">
        <x:v>003193 / 003193 / 6号線三田線</x:v>
      </x:c>
      <x:c r="W1245" s="18" t="str">
        <x:v>否</x:v>
      </x:c>
      <x:c r="X1245" s="18" t="str">
        <x:v>0785e932a32b3ec15e1a1345537ae145eafe1c07bf38d5c16c11ee2b391e7a28</x:v>
      </x:c>
      <x:c r="Y1245" s="20" t="n">
        <x:v>1</x:v>
      </x:c>
      <x:c r="Z1245" s="20" t="n">
        <x:v>1</x:v>
      </x:c>
      <x:c r="AA1245" s="19"/>
      <x:c r="AB1245" s="18"/>
      <x:c r="AC1245" s="19"/>
    </x:row>
    <x:row r="1246" ht="33" customHeight="1">
      <x:c r="A1246" s="18" t="str">
        <x:v>本通</x:v>
      </x:c>
      <x:c r="B1246" s="18" t="str">
        <x:v>広島電鉄</x:v>
      </x:c>
      <x:c r="C1246" s="18" t="str">
        <x:v>tram</x:v>
      </x:c>
      <x:c r="D1246" s="19" t="str">
        <x:v>T3</x:v>
      </x:c>
      <x:c r="E1246" s="20" t="n">
        <x:v>7504</x:v>
      </x:c>
      <x:c r="F1246" s="18" t="str">
        <x:v>persons/day</x:v>
      </x:c>
      <x:c r="G1246" s="18" t="str">
        <x:v>FY2024</x:v>
      </x:c>
      <x:c r="H1246" s="18" t="str">
        <x:v>否</x:v>
      </x:c>
      <x:c r="I1246" s="19" t="str">
        <x:v>DAILY_ENTRIES_EXITS</x:v>
      </x:c>
      <x:c r="J1246" s="19" t="str">
        <x:v>宇品線</x:v>
      </x:c>
      <x:c r="K1246" s="18" t="str">
        <x:v>transport-node:4dba049f-4f37-515d-a4e0-42274425f51d</x:v>
      </x:c>
      <x:c r="L1246" s="19" t="str">
        <x:v>组件待审核</x:v>
      </x:c>
      <x:c r="M1246" s="21" t="n">
        <x:v>34.39329</x:v>
      </x:c>
      <x:c r="N1246" s="21" t="n">
        <x:v>132.45705</x:v>
      </x:c>
      <x:c r="O1246" s="18" t="str">
        <x:v>008061</x:v>
      </x:c>
      <x:c r="P1246" s="18" t="str">
        <x:v>宇品線</x:v>
      </x:c>
      <x:c r="Q1246" s="19" t="str">
        <x:v>OFFICIAL_HUB_COMPONENT_REVIEW</x:v>
      </x:c>
      <x:c r="R1246" s="19" t="str">
        <x:v>S12_061 usage threshold; low-flow inclusion justified by official Hub component review</x:v>
      </x:c>
      <x:c r="S1246" s="19" t="str">
        <x:v>https://nlftp.mlit.go.jp/ksj/gml/datalist/KsjTmplt-S12-2024.html</x:v>
      </x:c>
      <x:c r="T1246" s="19" t="str">
        <x:v>https://nlftp.mlit.go.jp/ksj/gml/datalist/KsjTmplt-S12-2024.html
https://www.astramline.co.jp/station/info.html?name=%E6%9C%AC%E9%80%9A</x:v>
      </x:c>
      <x:c r="U1246" s="19" t="str">
        <x:v>station-component|本通|広島電鉄|tram|34.3933|132.4571|</x:v>
      </x:c>
      <x:c r="V1246" s="19" t="str">
        <x:v>008060 / 008061 / 宇品線</x:v>
      </x:c>
      <x:c r="W1246" s="18" t="str">
        <x:v>否</x:v>
      </x:c>
      <x:c r="X1246" s="18" t="str">
        <x:v>0785e932a32b3ec15e1a1345537ae145eafe1c07bf38d5c16c11ee2b391e7a28</x:v>
      </x:c>
      <x:c r="Y1246" s="20" t="n">
        <x:v>1</x:v>
      </x:c>
      <x:c r="Z1246" s="20" t="n">
        <x:v>1</x:v>
      </x:c>
      <x:c r="AA1246" s="19" t="str">
        <x:v>本通</x:v>
      </x:c>
      <x:c r="AB1246" s="18" t="str">
        <x:v>transport-hub-review:67f18111-f27f-50b6-ba8a-20b3b3bbf461</x:v>
      </x:c>
      <x:c r="AC1246" s="19"/>
    </x:row>
    <x:row r="1247" ht="33" customHeight="1">
      <x:c r="A1247" s="18" t="str">
        <x:v>本通</x:v>
      </x:c>
      <x:c r="B1247" s="18" t="str">
        <x:v>広島高速交通</x:v>
      </x:c>
      <x:c r="C1247" s="18" t="str">
        <x:v>fixed_guideway</x:v>
      </x:c>
      <x:c r="D1247" s="19" t="str">
        <x:v>T2</x:v>
      </x:c>
      <x:c r="E1247" s="20" t="n">
        <x:v>24565</x:v>
      </x:c>
      <x:c r="F1247" s="18" t="str">
        <x:v>persons/day</x:v>
      </x:c>
      <x:c r="G1247" s="18" t="str">
        <x:v>FY2024</x:v>
      </x:c>
      <x:c r="H1247" s="18" t="str">
        <x:v>否</x:v>
      </x:c>
      <x:c r="I1247" s="19" t="str">
        <x:v>DAILY_ENTRIES_EXITS</x:v>
      </x:c>
      <x:c r="J1247" s="19" t="str">
        <x:v>広島新交通1号線</x:v>
      </x:c>
      <x:c r="K1247" s="18" t="str">
        <x:v>transport-node:bf5fbf15-a931-5693-863e-10cee1a08b47</x:v>
      </x:c>
      <x:c r="L1247" s="19" t="str">
        <x:v>组件待审核</x:v>
      </x:c>
      <x:c r="M1247" s="21" t="n">
        <x:v>34.393465</x:v>
      </x:c>
      <x:c r="N1247" s="21" t="n">
        <x:v>132.45708</x:v>
      </x:c>
      <x:c r="O1247" s="18" t="str">
        <x:v>008060</x:v>
      </x:c>
      <x:c r="P1247" s="18" t="str">
        <x:v>広島新交通1号線</x:v>
      </x:c>
      <x:c r="Q1247" s="19" t="str">
        <x:v>S12_061_GE_10000
OFFICIAL_HUB_COMPONENT_REVIEW</x:v>
      </x:c>
      <x:c r="R1247" s="19" t="str">
        <x:v>S12_061 usage threshold</x:v>
      </x:c>
      <x:c r="S1247" s="19" t="str">
        <x:v>https://nlftp.mlit.go.jp/ksj/gml/datalist/KsjTmplt-S12-2024.html</x:v>
      </x:c>
      <x:c r="T1247" s="19" t="str">
        <x:v>https://nlftp.mlit.go.jp/ksj/gml/datalist/KsjTmplt-S12-2024.html
https://www.astramline.co.jp/station/info.html?name=%E6%9C%AC%E9%80%9A</x:v>
      </x:c>
      <x:c r="U1247" s="19" t="str">
        <x:v>station-component|本通|広島高速交通|fixed_guideway|34.3935|132.4571|</x:v>
      </x:c>
      <x:c r="V1247" s="19" t="str">
        <x:v>008060 / 008060 / 広島新交通1号線</x:v>
      </x:c>
      <x:c r="W1247" s="18" t="str">
        <x:v>否</x:v>
      </x:c>
      <x:c r="X1247" s="18" t="str">
        <x:v>0785e932a32b3ec15e1a1345537ae145eafe1c07bf38d5c16c11ee2b391e7a28</x:v>
      </x:c>
      <x:c r="Y1247" s="20" t="n">
        <x:v>1</x:v>
      </x:c>
      <x:c r="Z1247" s="20" t="n">
        <x:v>1</x:v>
      </x:c>
      <x:c r="AA1247" s="19" t="str">
        <x:v>本通</x:v>
      </x:c>
      <x:c r="AB1247" s="18" t="str">
        <x:v>transport-hub-review:67f18111-f27f-50b6-ba8a-20b3b3bbf461</x:v>
      </x:c>
      <x:c r="AC1247" s="19"/>
    </x:row>
    <x:row r="1248" ht="28" customHeight="1">
      <x:c r="A1248" s="18" t="str">
        <x:v>本郷</x:v>
      </x:c>
      <x:c r="B1248" s="18" t="str">
        <x:v>名古屋市</x:v>
      </x:c>
      <x:c r="C1248" s="18" t="str">
        <x:v>metro</x:v>
      </x:c>
      <x:c r="D1248" s="19" t="str">
        <x:v>T2</x:v>
      </x:c>
      <x:c r="E1248" s="20" t="n">
        <x:v>21101</x:v>
      </x:c>
      <x:c r="F1248" s="18" t="str">
        <x:v>persons/day</x:v>
      </x:c>
      <x:c r="G1248" s="18" t="str">
        <x:v>FY2024</x:v>
      </x:c>
      <x:c r="H1248" s="18" t="str">
        <x:v>否</x:v>
      </x:c>
      <x:c r="I1248" s="19" t="str">
        <x:v>DAILY_ENTRIES_EXITS</x:v>
      </x:c>
      <x:c r="J1248" s="19" t="str">
        <x:v>1号線東山線</x:v>
      </x:c>
      <x:c r="K1248" s="18" t="str">
        <x:v>transport-node:c2f538ea-bd9d-5d87-b0b5-9347c46a62be</x:v>
      </x:c>
      <x:c r="L1248" s="19" t="str">
        <x:v>组件待审核</x:v>
      </x:c>
      <x:c r="M1248" s="21" t="n">
        <x:v>35.175325</x:v>
      </x:c>
      <x:c r="N1248" s="21" t="n">
        <x:v>137.01359</x:v>
      </x:c>
      <x:c r="O1248" s="18" t="str">
        <x:v>005430</x:v>
      </x:c>
      <x:c r="P1248" s="18" t="str">
        <x:v>1号線東山線</x:v>
      </x:c>
      <x:c r="Q1248" s="19" t="str">
        <x:v>S12_061_GE_10000</x:v>
      </x:c>
      <x:c r="R1248" s="19" t="str">
        <x:v>S12_061 usage threshold</x:v>
      </x:c>
      <x:c r="S1248" s="19" t="str">
        <x:v>https://nlftp.mlit.go.jp/ksj/gml/datalist/KsjTmplt-S12-2024.html</x:v>
      </x:c>
      <x:c r="T1248" s="19" t="str">
        <x:v>https://nlftp.mlit.go.jp/ksj/gml/datalist/KsjTmplt-S12-2024.html</x:v>
      </x:c>
      <x:c r="U1248" s="19" t="str">
        <x:v>station-component|本郷|名古屋市|metro|35.1753|137.0136|</x:v>
      </x:c>
      <x:c r="V1248" s="19" t="str">
        <x:v>005430 / 005430 / 1号線東山線</x:v>
      </x:c>
      <x:c r="W1248" s="18" t="str">
        <x:v>否</x:v>
      </x:c>
      <x:c r="X1248" s="18" t="str">
        <x:v>0785e932a32b3ec15e1a1345537ae145eafe1c07bf38d5c16c11ee2b391e7a28</x:v>
      </x:c>
      <x:c r="Y1248" s="20" t="n">
        <x:v>1</x:v>
      </x:c>
      <x:c r="Z1248" s="20" t="n">
        <x:v>1</x:v>
      </x:c>
      <x:c r="AA1248" s="19"/>
      <x:c r="AB1248" s="18"/>
      <x:c r="AC1248" s="19"/>
    </x:row>
    <x:row r="1249" ht="33" customHeight="1">
      <x:c r="A1249" s="18" t="str">
        <x:v>本郷三丁目</x:v>
      </x:c>
      <x:c r="B1249" s="18" t="str">
        <x:v>東京地下鉄</x:v>
      </x:c>
      <x:c r="C1249" s="18" t="str">
        <x:v>metro</x:v>
      </x:c>
      <x:c r="D1249" s="19" t="str">
        <x:v>T1</x:v>
      </x:c>
      <x:c r="E1249" s="20" t="n">
        <x:v>51198</x:v>
      </x:c>
      <x:c r="F1249" s="18" t="str">
        <x:v>persons/day</x:v>
      </x:c>
      <x:c r="G1249" s="18" t="str">
        <x:v>FY2024</x:v>
      </x:c>
      <x:c r="H1249" s="18" t="str">
        <x:v>否</x:v>
      </x:c>
      <x:c r="I1249" s="19" t="str">
        <x:v>DAILY_ENTRIES_EXITS</x:v>
      </x:c>
      <x:c r="J1249" s="19" t="str">
        <x:v>4号線丸ノ内線</x:v>
      </x:c>
      <x:c r="K1249" s="18" t="str">
        <x:v>transport-node:64bacb7c-dc52-5364-9697-f509c8e970cf</x:v>
      </x:c>
      <x:c r="L1249" s="19" t="str">
        <x:v>组件待审核</x:v>
      </x:c>
      <x:c r="M1249" s="21" t="n">
        <x:v>35.7067533</x:v>
      </x:c>
      <x:c r="N1249" s="21" t="n">
        <x:v>139.76011</x:v>
      </x:c>
      <x:c r="O1249" s="18" t="str">
        <x:v>003559</x:v>
      </x:c>
      <x:c r="P1249" s="18" t="str">
        <x:v>4号線丸ノ内線</x:v>
      </x:c>
      <x:c r="Q1249" s="19" t="str">
        <x:v>S12_061_GE_10000
OFFICIAL_HUB_COMPONENT_REVIEW</x:v>
      </x:c>
      <x:c r="R1249" s="19" t="str">
        <x:v>S12_061 usage threshold</x:v>
      </x:c>
      <x:c r="S1249" s="19" t="str">
        <x:v>https://nlftp.mlit.go.jp/ksj/gml/datalist/KsjTmplt-S12-2024.html</x:v>
      </x:c>
      <x:c r="T1249" s="19" t="str">
        <x:v>https://nlftp.mlit.go.jp/ksj/gml/datalist/KsjTmplt-S12-2024.html
https://www.tokyometro.jp/station/hongo-sanchome/index.html</x:v>
      </x:c>
      <x:c r="U1249" s="19" t="str">
        <x:v>station-component|本郷三丁目|東京地下鉄|metro|35.7068|139.7601|</x:v>
      </x:c>
      <x:c r="V1249" s="19" t="str">
        <x:v>003546 / 003559 / 4号線丸ノ内線</x:v>
      </x:c>
      <x:c r="W1249" s="18" t="str">
        <x:v>否</x:v>
      </x:c>
      <x:c r="X1249" s="18" t="str">
        <x:v>0785e932a32b3ec15e1a1345537ae145eafe1c07bf38d5c16c11ee2b391e7a28</x:v>
      </x:c>
      <x:c r="Y1249" s="20" t="n">
        <x:v>1</x:v>
      </x:c>
      <x:c r="Z1249" s="20" t="n">
        <x:v>1</x:v>
      </x:c>
      <x:c r="AA1249" s="19" t="str">
        <x:v>本郷三丁目</x:v>
      </x:c>
      <x:c r="AB1249" s="18" t="str">
        <x:v>transport-hub-review:4fe40333-8cf9-5f0f-bc4f-92ff447e47d1</x:v>
      </x:c>
      <x:c r="AC1249" s="19"/>
    </x:row>
    <x:row r="1250" ht="33" customHeight="1">
      <x:c r="A1250" s="18" t="str">
        <x:v>本郷三丁目</x:v>
      </x:c>
      <x:c r="B1250" s="18" t="str">
        <x:v>東京都</x:v>
      </x:c>
      <x:c r="C1250" s="18" t="str">
        <x:v>metro</x:v>
      </x:c>
      <x:c r="D1250" s="19" t="str">
        <x:v>T2</x:v>
      </x:c>
      <x:c r="E1250" s="20" t="n">
        <x:v>19159</x:v>
      </x:c>
      <x:c r="F1250" s="18" t="str">
        <x:v>persons/day</x:v>
      </x:c>
      <x:c r="G1250" s="18" t="str">
        <x:v>FY2024</x:v>
      </x:c>
      <x:c r="H1250" s="18" t="str">
        <x:v>否</x:v>
      </x:c>
      <x:c r="I1250" s="19" t="str">
        <x:v>DAILY_ENTRIES_EXITS</x:v>
      </x:c>
      <x:c r="J1250" s="19" t="str">
        <x:v>12号線大江戸線</x:v>
      </x:c>
      <x:c r="K1250" s="18" t="str">
        <x:v>transport-node:739970b5-218c-502e-847b-2c2153dd140f</x:v>
      </x:c>
      <x:c r="L1250" s="19" t="str">
        <x:v>组件待审核</x:v>
      </x:c>
      <x:c r="M1250" s="21" t="n">
        <x:v>35.70757</x:v>
      </x:c>
      <x:c r="N1250" s="21" t="n">
        <x:v>139.76072</x:v>
      </x:c>
      <x:c r="O1250" s="18" t="str">
        <x:v>003546</x:v>
      </x:c>
      <x:c r="P1250" s="18" t="str">
        <x:v>12号線大江戸線</x:v>
      </x:c>
      <x:c r="Q1250" s="19" t="str">
        <x:v>S12_061_GE_10000
OFFICIAL_HUB_COMPONENT_REVIEW</x:v>
      </x:c>
      <x:c r="R1250" s="19" t="str">
        <x:v>S12_061 usage threshold</x:v>
      </x:c>
      <x:c r="S1250" s="19" t="str">
        <x:v>https://nlftp.mlit.go.jp/ksj/gml/datalist/KsjTmplt-S12-2024.html</x:v>
      </x:c>
      <x:c r="T1250" s="19" t="str">
        <x:v>https://nlftp.mlit.go.jp/ksj/gml/datalist/KsjTmplt-S12-2024.html
https://www.tokyometro.jp/station/hongo-sanchome/index.html</x:v>
      </x:c>
      <x:c r="U1250" s="19" t="str">
        <x:v>station-component|本郷三丁目|東京都|metro|35.7076|139.7607|</x:v>
      </x:c>
      <x:c r="V1250" s="19" t="str">
        <x:v>003546 / 003546 / 12号線大江戸線</x:v>
      </x:c>
      <x:c r="W1250" s="18" t="str">
        <x:v>否</x:v>
      </x:c>
      <x:c r="X1250" s="18" t="str">
        <x:v>0785e932a32b3ec15e1a1345537ae145eafe1c07bf38d5c16c11ee2b391e7a28</x:v>
      </x:c>
      <x:c r="Y1250" s="20" t="n">
        <x:v>1</x:v>
      </x:c>
      <x:c r="Z1250" s="20" t="n">
        <x:v>1</x:v>
      </x:c>
      <x:c r="AA1250" s="19" t="str">
        <x:v>本郷三丁目</x:v>
      </x:c>
      <x:c r="AB1250" s="18" t="str">
        <x:v>transport-hub-review:4fe40333-8cf9-5f0f-bc4f-92ff447e47d1</x:v>
      </x:c>
      <x:c r="AC1250" s="19"/>
    </x:row>
    <x:row r="1251" ht="28" customHeight="1">
      <x:c r="A1251" s="18" t="str">
        <x:v>本郷台</x:v>
      </x:c>
      <x:c r="B1251" s="18" t="str">
        <x:v>東日本旅客鉄道</x:v>
      </x:c>
      <x:c r="C1251" s="18" t="str">
        <x:v>conventional_rail</x:v>
      </x:c>
      <x:c r="D1251" s="19" t="str">
        <x:v>T2</x:v>
      </x:c>
      <x:c r="E1251" s="20" t="n">
        <x:v>36576</x:v>
      </x:c>
      <x:c r="F1251" s="18" t="str">
        <x:v>persons/day</x:v>
      </x:c>
      <x:c r="G1251" s="18" t="str">
        <x:v>FY2024</x:v>
      </x:c>
      <x:c r="H1251" s="18" t="str">
        <x:v>否</x:v>
      </x:c>
      <x:c r="I1251" s="19" t="str">
        <x:v>DAILY_ENTRIES_EXITS</x:v>
      </x:c>
      <x:c r="J1251" s="19" t="str">
        <x:v>根岸線</x:v>
      </x:c>
      <x:c r="K1251" s="18" t="str">
        <x:v>transport-node:df16f1d3-b801-5d92-a3af-274687c74a0b</x:v>
      </x:c>
      <x:c r="L1251" s="19" t="str">
        <x:v>组件待审核</x:v>
      </x:c>
      <x:c r="M1251" s="21" t="n">
        <x:v>35.367855</x:v>
      </x:c>
      <x:c r="N1251" s="21" t="n">
        <x:v>139.550115</x:v>
      </x:c>
      <x:c r="O1251" s="18" t="str">
        <x:v>004919</x:v>
      </x:c>
      <x:c r="P1251" s="18" t="str">
        <x:v>根岸線</x:v>
      </x:c>
      <x:c r="Q1251" s="19" t="str">
        <x:v>S12_061_GE_10000</x:v>
      </x:c>
      <x:c r="R1251" s="19" t="str">
        <x:v>S12_061 usage threshold</x:v>
      </x:c>
      <x:c r="S1251" s="19" t="str">
        <x:v>https://nlftp.mlit.go.jp/ksj/gml/datalist/KsjTmplt-S12-2024.html</x:v>
      </x:c>
      <x:c r="T1251" s="19" t="str">
        <x:v>https://nlftp.mlit.go.jp/ksj/gml/datalist/KsjTmplt-S12-2024.html</x:v>
      </x:c>
      <x:c r="U1251" s="19" t="str">
        <x:v>station-component|本郷台|東日本旅客鉄道|conventional_rail|35.3679|139.5501|</x:v>
      </x:c>
      <x:c r="V1251" s="19" t="str">
        <x:v>004919 / 004919 / 根岸線</x:v>
      </x:c>
      <x:c r="W1251" s="18" t="str">
        <x:v>否</x:v>
      </x:c>
      <x:c r="X1251" s="18" t="str">
        <x:v>0785e932a32b3ec15e1a1345537ae145eafe1c07bf38d5c16c11ee2b391e7a28</x:v>
      </x:c>
      <x:c r="Y1251" s="20" t="n">
        <x:v>1</x:v>
      </x:c>
      <x:c r="Z1251" s="20" t="n">
        <x:v>1</x:v>
      </x:c>
      <x:c r="AA1251" s="19"/>
      <x:c r="AB1251" s="18"/>
      <x:c r="AC1251" s="19"/>
    </x:row>
    <x:row r="1252" ht="28" customHeight="1">
      <x:c r="A1252" s="18" t="str">
        <x:v>本陣</x:v>
      </x:c>
      <x:c r="B1252" s="18" t="str">
        <x:v>名古屋市</x:v>
      </x:c>
      <x:c r="C1252" s="18" t="str">
        <x:v>metro</x:v>
      </x:c>
      <x:c r="D1252" s="19" t="str">
        <x:v>T2</x:v>
      </x:c>
      <x:c r="E1252" s="20" t="n">
        <x:v>17894</x:v>
      </x:c>
      <x:c r="F1252" s="18" t="str">
        <x:v>persons/day</x:v>
      </x:c>
      <x:c r="G1252" s="18" t="str">
        <x:v>FY2024</x:v>
      </x:c>
      <x:c r="H1252" s="18" t="str">
        <x:v>否</x:v>
      </x:c>
      <x:c r="I1252" s="19" t="str">
        <x:v>DAILY_ENTRIES_EXITS</x:v>
      </x:c>
      <x:c r="J1252" s="19" t="str">
        <x:v>1号線東山線</x:v>
      </x:c>
      <x:c r="K1252" s="18" t="str">
        <x:v>transport-node:aa84cab3-7da6-5562-b6d2-9f73ba787b78</x:v>
      </x:c>
      <x:c r="L1252" s="19" t="str">
        <x:v>组件待审核</x:v>
      </x:c>
      <x:c r="M1252" s="21" t="n">
        <x:v>35.17699</x:v>
      </x:c>
      <x:c r="N1252" s="21" t="n">
        <x:v>136.867245</x:v>
      </x:c>
      <x:c r="O1252" s="18" t="str">
        <x:v>005426</x:v>
      </x:c>
      <x:c r="P1252" s="18" t="str">
        <x:v>1号線東山線</x:v>
      </x:c>
      <x:c r="Q1252" s="19" t="str">
        <x:v>S12_061_GE_10000</x:v>
      </x:c>
      <x:c r="R1252" s="19" t="str">
        <x:v>S12_061 usage threshold</x:v>
      </x:c>
      <x:c r="S1252" s="19" t="str">
        <x:v>https://nlftp.mlit.go.jp/ksj/gml/datalist/KsjTmplt-S12-2024.html</x:v>
      </x:c>
      <x:c r="T1252" s="19" t="str">
        <x:v>https://nlftp.mlit.go.jp/ksj/gml/datalist/KsjTmplt-S12-2024.html</x:v>
      </x:c>
      <x:c r="U1252" s="19" t="str">
        <x:v>station-component|本陣|名古屋市|metro|35.1770|136.8672|</x:v>
      </x:c>
      <x:c r="V1252" s="19" t="str">
        <x:v>005426 / 005426 / 1号線東山線</x:v>
      </x:c>
      <x:c r="W1252" s="18" t="str">
        <x:v>否</x:v>
      </x:c>
      <x:c r="X1252" s="18" t="str">
        <x:v>0785e932a32b3ec15e1a1345537ae145eafe1c07bf38d5c16c11ee2b391e7a28</x:v>
      </x:c>
      <x:c r="Y1252" s="20" t="n">
        <x:v>1</x:v>
      </x:c>
      <x:c r="Z1252" s="20" t="n">
        <x:v>1</x:v>
      </x:c>
      <x:c r="AA1252" s="19"/>
      <x:c r="AB1252" s="18"/>
      <x:c r="AC1252" s="19"/>
    </x:row>
    <x:row r="1253" ht="28" customHeight="1">
      <x:c r="A1253" s="18" t="str">
        <x:v>本駒込</x:v>
      </x:c>
      <x:c r="B1253" s="18" t="str">
        <x:v>東京地下鉄</x:v>
      </x:c>
      <x:c r="C1253" s="18" t="str">
        <x:v>metro</x:v>
      </x:c>
      <x:c r="D1253" s="19" t="str">
        <x:v>T2</x:v>
      </x:c>
      <x:c r="E1253" s="20" t="n">
        <x:v>21070</x:v>
      </x:c>
      <x:c r="F1253" s="18" t="str">
        <x:v>persons/day</x:v>
      </x:c>
      <x:c r="G1253" s="18" t="str">
        <x:v>FY2024</x:v>
      </x:c>
      <x:c r="H1253" s="18" t="str">
        <x:v>否</x:v>
      </x:c>
      <x:c r="I1253" s="19" t="str">
        <x:v>DAILY_ENTRIES_EXITS</x:v>
      </x:c>
      <x:c r="J1253" s="19" t="str">
        <x:v>7号線南北線</x:v>
      </x:c>
      <x:c r="K1253" s="18" t="str">
        <x:v>transport-node:1883e172-25a2-5134-9cdc-09915e9751f5</x:v>
      </x:c>
      <x:c r="L1253" s="19" t="str">
        <x:v>组件待审核</x:v>
      </x:c>
      <x:c r="M1253" s="21" t="n">
        <x:v>35.7244133</x:v>
      </x:c>
      <x:c r="N1253" s="21" t="n">
        <x:v>139.7538033</x:v>
      </x:c>
      <x:c r="O1253" s="18" t="str">
        <x:v>003441</x:v>
      </x:c>
      <x:c r="P1253" s="18" t="str">
        <x:v>7号線南北線</x:v>
      </x:c>
      <x:c r="Q1253" s="19" t="str">
        <x:v>S12_061_GE_10000</x:v>
      </x:c>
      <x:c r="R1253" s="19" t="str">
        <x:v>S12_061 usage threshold</x:v>
      </x:c>
      <x:c r="S1253" s="19" t="str">
        <x:v>https://nlftp.mlit.go.jp/ksj/gml/datalist/KsjTmplt-S12-2024.html</x:v>
      </x:c>
      <x:c r="T1253" s="19" t="str">
        <x:v>https://nlftp.mlit.go.jp/ksj/gml/datalist/KsjTmplt-S12-2024.html</x:v>
      </x:c>
      <x:c r="U1253" s="19" t="str">
        <x:v>station-component|本駒込|東京地下鉄|metro|35.7244|139.7538|</x:v>
      </x:c>
      <x:c r="V1253" s="19" t="str">
        <x:v>003441 / 003441 / 7号線南北線</x:v>
      </x:c>
      <x:c r="W1253" s="18" t="str">
        <x:v>否</x:v>
      </x:c>
      <x:c r="X1253" s="18" t="str">
        <x:v>0785e932a32b3ec15e1a1345537ae145eafe1c07bf38d5c16c11ee2b391e7a28</x:v>
      </x:c>
      <x:c r="Y1253" s="20" t="n">
        <x:v>1</x:v>
      </x:c>
      <x:c r="Z1253" s="20" t="n">
        <x:v>1</x:v>
      </x:c>
      <x:c r="AA1253" s="19"/>
      <x:c r="AB1253" s="18"/>
      <x:c r="AC1253" s="19"/>
    </x:row>
    <x:row r="1254" ht="28" customHeight="1">
      <x:c r="A1254" s="18" t="str">
        <x:v>本鵠沼</x:v>
      </x:c>
      <x:c r="B1254" s="18" t="str">
        <x:v>小田急電鉄</x:v>
      </x:c>
      <x:c r="C1254" s="18" t="str">
        <x:v>private_rail</x:v>
      </x:c>
      <x:c r="D1254" s="19" t="str">
        <x:v>T2</x:v>
      </x:c>
      <x:c r="E1254" s="20" t="n">
        <x:v>13013</x:v>
      </x:c>
      <x:c r="F1254" s="18" t="str">
        <x:v>persons/day</x:v>
      </x:c>
      <x:c r="G1254" s="18" t="str">
        <x:v>FY2024</x:v>
      </x:c>
      <x:c r="H1254" s="18" t="str">
        <x:v>否</x:v>
      </x:c>
      <x:c r="I1254" s="19" t="str">
        <x:v>DAILY_ENTRIES_EXITS</x:v>
      </x:c>
      <x:c r="J1254" s="19" t="str">
        <x:v>江ノ島線</x:v>
      </x:c>
      <x:c r="K1254" s="18" t="str">
        <x:v>transport-node:12bbcff5-ed6e-5f74-80c9-5df1f9201a18</x:v>
      </x:c>
      <x:c r="L1254" s="19" t="str">
        <x:v>组件待审核</x:v>
      </x:c>
      <x:c r="M1254" s="21" t="n">
        <x:v>35.331035</x:v>
      </x:c>
      <x:c r="N1254" s="21" t="n">
        <x:v>139.47529</x:v>
      </x:c>
      <x:c r="O1254" s="18" t="str">
        <x:v>005022</x:v>
      </x:c>
      <x:c r="P1254" s="18" t="str">
        <x:v>江ノ島線</x:v>
      </x:c>
      <x:c r="Q1254" s="19" t="str">
        <x:v>S12_061_GE_10000</x:v>
      </x:c>
      <x:c r="R1254" s="19" t="str">
        <x:v>S12_061 usage threshold</x:v>
      </x:c>
      <x:c r="S1254" s="19" t="str">
        <x:v>https://nlftp.mlit.go.jp/ksj/gml/datalist/KsjTmplt-S12-2024.html</x:v>
      </x:c>
      <x:c r="T1254" s="19" t="str">
        <x:v>https://nlftp.mlit.go.jp/ksj/gml/datalist/KsjTmplt-S12-2024.html</x:v>
      </x:c>
      <x:c r="U1254" s="19" t="str">
        <x:v>station-component|本鵠沼|小田急電鉄|private_rail|35.3310|139.4753|</x:v>
      </x:c>
      <x:c r="V1254" s="19" t="str">
        <x:v>005022 / 005022 / 江ノ島線</x:v>
      </x:c>
      <x:c r="W1254" s="18" t="str">
        <x:v>否</x:v>
      </x:c>
      <x:c r="X1254" s="18" t="str">
        <x:v>0785e932a32b3ec15e1a1345537ae145eafe1c07bf38d5c16c11ee2b391e7a28</x:v>
      </x:c>
      <x:c r="Y1254" s="20" t="n">
        <x:v>1</x:v>
      </x:c>
      <x:c r="Z1254" s="20" t="n">
        <x:v>1</x:v>
      </x:c>
      <x:c r="AA1254" s="19"/>
      <x:c r="AB1254" s="18"/>
      <x:c r="AC1254" s="19"/>
    </x:row>
    <x:row r="1255" ht="33" customHeight="1">
      <x:c r="A1255" s="18" t="str">
        <x:v>札幌</x:v>
      </x:c>
      <x:c r="B1255" s="18" t="str">
        <x:v>北海道旅客鉄道</x:v>
      </x:c>
      <x:c r="C1255" s="18" t="str">
        <x:v>conventional_rail</x:v>
      </x:c>
      <x:c r="D1255" s="19" t="str">
        <x:v>T1</x:v>
      </x:c>
      <x:c r="E1255" s="20" t="n">
        <x:v>172084</x:v>
      </x:c>
      <x:c r="F1255" s="18" t="str">
        <x:v>persons/day</x:v>
      </x:c>
      <x:c r="G1255" s="18" t="str">
        <x:v>FY2024</x:v>
      </x:c>
      <x:c r="H1255" s="18" t="str">
        <x:v>否</x:v>
      </x:c>
      <x:c r="I1255" s="19" t="str">
        <x:v>DAILY_ENTRIES_EXITS</x:v>
      </x:c>
      <x:c r="J1255" s="19" t="str">
        <x:v>函館線</x:v>
      </x:c>
      <x:c r="K1255" s="18" t="str">
        <x:v>transport-node:52ea3ce8-faa8-5aa2-8aec-9d8f19ff18e4</x:v>
      </x:c>
      <x:c r="L1255" s="19" t="str">
        <x:v>组件待审核</x:v>
      </x:c>
      <x:c r="M1255" s="21" t="n">
        <x:v>43.0683728</x:v>
      </x:c>
      <x:c r="N1255" s="21" t="n">
        <x:v>141.3499928</x:v>
      </x:c>
      <x:c r="O1255" s="18" t="str">
        <x:v>000227</x:v>
      </x:c>
      <x:c r="P1255" s="18" t="str">
        <x:v>函館線</x:v>
      </x:c>
      <x:c r="Q1255" s="19" t="str">
        <x:v>S12_061_GE_10000
OFFICIAL_HUB_COMPONENT_REVIEW</x:v>
      </x:c>
      <x:c r="R1255" s="19" t="str">
        <x:v>S12_061 usage threshold</x:v>
      </x:c>
      <x:c r="S1255" s="19" t="str">
        <x:v>https://nlftp.mlit.go.jp/ksj/gml/datalist/KsjTmplt-S12-2024.html</x:v>
      </x:c>
      <x:c r="T1255" s="19" t="str">
        <x:v>https://nlftp.mlit.go.jp/ksj/gml/datalist/KsjTmplt-S12-2024.html
https://www.city.sapporo.jp/st/documents/sapporoshinzyuuhachituika.pdf</x:v>
      </x:c>
      <x:c r="U1255" s="19" t="str">
        <x:v>station-component|札幌|北海道旅客鉄道|conventional_rail|43.0684|141.3500|</x:v>
      </x:c>
      <x:c r="V1255" s="19" t="str">
        <x:v>000227 / 000227 / 函館線</x:v>
      </x:c>
      <x:c r="W1255" s="18" t="str">
        <x:v>否</x:v>
      </x:c>
      <x:c r="X1255" s="18" t="str">
        <x:v>0785e932a32b3ec15e1a1345537ae145eafe1c07bf38d5c16c11ee2b391e7a28</x:v>
      </x:c>
      <x:c r="Y1255" s="20" t="n">
        <x:v>1</x:v>
      </x:c>
      <x:c r="Z1255" s="20" t="n">
        <x:v>1</x:v>
      </x:c>
      <x:c r="AA1255" s="19" t="str">
        <x:v>札幌</x:v>
      </x:c>
      <x:c r="AB1255" s="18" t="str">
        <x:v>transport-hub-review:9eab907a-6cf8-5c28-9afb-ca17ea88d288</x:v>
      </x:c>
      <x:c r="AC1255" s="19"/>
    </x:row>
    <x:row r="1256" ht="28" customHeight="1">
      <x:c r="A1256" s="18" t="str">
        <x:v>杉本町</x:v>
      </x:c>
      <x:c r="B1256" s="18" t="str">
        <x:v>西日本旅客鉄道</x:v>
      </x:c>
      <x:c r="C1256" s="18" t="str">
        <x:v>conventional_rail</x:v>
      </x:c>
      <x:c r="D1256" s="19" t="str">
        <x:v>T2</x:v>
      </x:c>
      <x:c r="E1256" s="20" t="n">
        <x:v>16614</x:v>
      </x:c>
      <x:c r="F1256" s="18" t="str">
        <x:v>persons/day</x:v>
      </x:c>
      <x:c r="G1256" s="18" t="str">
        <x:v>FY2024</x:v>
      </x:c>
      <x:c r="H1256" s="18" t="str">
        <x:v>否</x:v>
      </x:c>
      <x:c r="I1256" s="19" t="str">
        <x:v>DAILY_ENTRIES_EXITS</x:v>
      </x:c>
      <x:c r="J1256" s="19" t="str">
        <x:v>阪和線</x:v>
      </x:c>
      <x:c r="K1256" s="18" t="str">
        <x:v>transport-node:71c0add7-53c8-57c3-bb55-12eed086252b</x:v>
      </x:c>
      <x:c r="L1256" s="19" t="str">
        <x:v>组件待审核</x:v>
      </x:c>
      <x:c r="M1256" s="21" t="n">
        <x:v>34.59301</x:v>
      </x:c>
      <x:c r="N1256" s="21" t="n">
        <x:v>135.50302</x:v>
      </x:c>
      <x:c r="O1256" s="18" t="str">
        <x:v>007623</x:v>
      </x:c>
      <x:c r="P1256" s="18" t="str">
        <x:v>阪和線</x:v>
      </x:c>
      <x:c r="Q1256" s="19" t="str">
        <x:v>S12_061_GE_10000</x:v>
      </x:c>
      <x:c r="R1256" s="19" t="str">
        <x:v>S12_061 usage threshold</x:v>
      </x:c>
      <x:c r="S1256" s="19" t="str">
        <x:v>https://nlftp.mlit.go.jp/ksj/gml/datalist/KsjTmplt-S12-2024.html</x:v>
      </x:c>
      <x:c r="T1256" s="19" t="str">
        <x:v>https://nlftp.mlit.go.jp/ksj/gml/datalist/KsjTmplt-S12-2024.html</x:v>
      </x:c>
      <x:c r="U1256" s="19" t="str">
        <x:v>station-component|杉本町|西日本旅客鉄道|conventional_rail|34.5930|135.5030|</x:v>
      </x:c>
      <x:c r="V1256" s="19" t="str">
        <x:v>007623 / 007623 / 阪和線</x:v>
      </x:c>
      <x:c r="W1256" s="18" t="str">
        <x:v>否</x:v>
      </x:c>
      <x:c r="X1256" s="18" t="str">
        <x:v>0785e932a32b3ec15e1a1345537ae145eafe1c07bf38d5c16c11ee2b391e7a28</x:v>
      </x:c>
      <x:c r="Y1256" s="20" t="n">
        <x:v>1</x:v>
      </x:c>
      <x:c r="Z1256" s="20" t="n">
        <x:v>1</x:v>
      </x:c>
      <x:c r="AA1256" s="19"/>
      <x:c r="AB1256" s="18"/>
      <x:c r="AC1256" s="19"/>
    </x:row>
    <x:row r="1257" ht="28" customHeight="1">
      <x:c r="A1257" s="18" t="str">
        <x:v>杉田</x:v>
      </x:c>
      <x:c r="B1257" s="18" t="str">
        <x:v>京浜急行電鉄</x:v>
      </x:c>
      <x:c r="C1257" s="18" t="str">
        <x:v>private_rail</x:v>
      </x:c>
      <x:c r="D1257" s="19" t="str">
        <x:v>T2</x:v>
      </x:c>
      <x:c r="E1257" s="20" t="n">
        <x:v>30965</x:v>
      </x:c>
      <x:c r="F1257" s="18" t="str">
        <x:v>persons/day</x:v>
      </x:c>
      <x:c r="G1257" s="18" t="str">
        <x:v>FY2024</x:v>
      </x:c>
      <x:c r="H1257" s="18" t="str">
        <x:v>否</x:v>
      </x:c>
      <x:c r="I1257" s="19" t="str">
        <x:v>DAILY_ENTRIES_EXITS</x:v>
      </x:c>
      <x:c r="J1257" s="19" t="str">
        <x:v>本線</x:v>
      </x:c>
      <x:c r="K1257" s="18" t="str">
        <x:v>transport-node:1998a174-72e1-5bff-b1a7-7c8811d77de1</x:v>
      </x:c>
      <x:c r="L1257" s="19" t="str">
        <x:v>组件待审核</x:v>
      </x:c>
      <x:c r="M1257" s="21" t="n">
        <x:v>35.383905</x:v>
      </x:c>
      <x:c r="N1257" s="21" t="n">
        <x:v>139.61561</x:v>
      </x:c>
      <x:c r="O1257" s="18" t="str">
        <x:v>004877</x:v>
      </x:c>
      <x:c r="P1257" s="18" t="str">
        <x:v>本線</x:v>
      </x:c>
      <x:c r="Q1257" s="19" t="str">
        <x:v>S12_061_GE_10000</x:v>
      </x:c>
      <x:c r="R1257" s="19" t="str">
        <x:v>S12_061 usage threshold</x:v>
      </x:c>
      <x:c r="S1257" s="19" t="str">
        <x:v>https://nlftp.mlit.go.jp/ksj/gml/datalist/KsjTmplt-S12-2024.html</x:v>
      </x:c>
      <x:c r="T1257" s="19" t="str">
        <x:v>https://nlftp.mlit.go.jp/ksj/gml/datalist/KsjTmplt-S12-2024.html</x:v>
      </x:c>
      <x:c r="U1257" s="19" t="str">
        <x:v>station-component|杉田|京浜急行電鉄|private_rail|35.3839|139.6156|</x:v>
      </x:c>
      <x:c r="V1257" s="19" t="str">
        <x:v>004877 / 004877 / 本線</x:v>
      </x:c>
      <x:c r="W1257" s="18" t="str">
        <x:v>否</x:v>
      </x:c>
      <x:c r="X1257" s="18" t="str">
        <x:v>0785e932a32b3ec15e1a1345537ae145eafe1c07bf38d5c16c11ee2b391e7a28</x:v>
      </x:c>
      <x:c r="Y1257" s="20" t="n">
        <x:v>1</x:v>
      </x:c>
      <x:c r="Z1257" s="20" t="n">
        <x:v>1</x:v>
      </x:c>
      <x:c r="AA1257" s="19"/>
      <x:c r="AB1257" s="18"/>
      <x:c r="AC1257" s="19"/>
    </x:row>
    <x:row r="1258" ht="28" customHeight="1">
      <x:c r="A1258" s="18" t="str">
        <x:v>東三国</x:v>
      </x:c>
      <x:c r="B1258" s="18" t="str">
        <x:v>大阪市高速電気軌道</x:v>
      </x:c>
      <x:c r="C1258" s="18" t="str">
        <x:v>metro</x:v>
      </x:c>
      <x:c r="D1258" s="19" t="str">
        <x:v>T2</x:v>
      </x:c>
      <x:c r="E1258" s="20" t="n">
        <x:v>36365</x:v>
      </x:c>
      <x:c r="F1258" s="18" t="str">
        <x:v>persons/day</x:v>
      </x:c>
      <x:c r="G1258" s="18" t="str">
        <x:v>FY2024</x:v>
      </x:c>
      <x:c r="H1258" s="18" t="str">
        <x:v>否</x:v>
      </x:c>
      <x:c r="I1258" s="19" t="str">
        <x:v>DAILY_ENTRIES_EXITS</x:v>
      </x:c>
      <x:c r="J1258" s="19" t="str">
        <x:v>1号線(御堂筋線)</x:v>
      </x:c>
      <x:c r="K1258" s="18" t="str">
        <x:v>transport-node:8758bcb9-a285-56fb-85ae-eb281bf0662c</x:v>
      </x:c>
      <x:c r="L1258" s="19" t="str">
        <x:v>组件待审核</x:v>
      </x:c>
      <x:c r="M1258" s="21" t="n">
        <x:v>34.7411</x:v>
      </x:c>
      <x:c r="N1258" s="21" t="n">
        <x:v>135.498495</x:v>
      </x:c>
      <x:c r="O1258" s="18" t="str">
        <x:v>006869</x:v>
      </x:c>
      <x:c r="P1258" s="18" t="str">
        <x:v>1号線(御堂筋線)</x:v>
      </x:c>
      <x:c r="Q1258" s="19" t="str">
        <x:v>S12_061_GE_10000</x:v>
      </x:c>
      <x:c r="R1258" s="19" t="str">
        <x:v>S12_061 usage threshold</x:v>
      </x:c>
      <x:c r="S1258" s="19" t="str">
        <x:v>https://nlftp.mlit.go.jp/ksj/gml/datalist/KsjTmplt-S12-2024.html</x:v>
      </x:c>
      <x:c r="T1258" s="19" t="str">
        <x:v>https://nlftp.mlit.go.jp/ksj/gml/datalist/KsjTmplt-S12-2024.html</x:v>
      </x:c>
      <x:c r="U1258" s="19" t="str">
        <x:v>station-component|東三国|大阪市高速電気軌道|metro|34.7411|135.4985|</x:v>
      </x:c>
      <x:c r="V1258" s="19" t="str">
        <x:v>006869 / 006869 / 1号線(御堂筋線)</x:v>
      </x:c>
      <x:c r="W1258" s="18" t="str">
        <x:v>否</x:v>
      </x:c>
      <x:c r="X1258" s="18" t="str">
        <x:v>0785e932a32b3ec15e1a1345537ae145eafe1c07bf38d5c16c11ee2b391e7a28</x:v>
      </x:c>
      <x:c r="Y1258" s="20" t="n">
        <x:v>1</x:v>
      </x:c>
      <x:c r="Z1258" s="20" t="n">
        <x:v>1</x:v>
      </x:c>
      <x:c r="AA1258" s="19"/>
      <x:c r="AB1258" s="18"/>
      <x:c r="AC1258" s="19"/>
    </x:row>
    <x:row r="1259" ht="28" customHeight="1">
      <x:c r="A1259" s="18" t="str">
        <x:v>東中神</x:v>
      </x:c>
      <x:c r="B1259" s="18" t="str">
        <x:v>東日本旅客鉄道</x:v>
      </x:c>
      <x:c r="C1259" s="18" t="str">
        <x:v>conventional_rail</x:v>
      </x:c>
      <x:c r="D1259" s="19" t="str">
        <x:v>T2</x:v>
      </x:c>
      <x:c r="E1259" s="20" t="n">
        <x:v>14574</x:v>
      </x:c>
      <x:c r="F1259" s="18" t="str">
        <x:v>persons/day</x:v>
      </x:c>
      <x:c r="G1259" s="18" t="str">
        <x:v>FY2024</x:v>
      </x:c>
      <x:c r="H1259" s="18" t="str">
        <x:v>否</x:v>
      </x:c>
      <x:c r="I1259" s="19" t="str">
        <x:v>DAILY_ENTRIES_EXITS</x:v>
      </x:c>
      <x:c r="J1259" s="19" t="str">
        <x:v>青梅線</x:v>
      </x:c>
      <x:c r="K1259" s="18" t="str">
        <x:v>transport-node:8a14844d-8294-5aba-b781-522cb2a9ac71</x:v>
      </x:c>
      <x:c r="L1259" s="19" t="str">
        <x:v>组件待审核</x:v>
      </x:c>
      <x:c r="M1259" s="21" t="n">
        <x:v>35.706275</x:v>
      </x:c>
      <x:c r="N1259" s="21" t="n">
        <x:v>139.384595</x:v>
      </x:c>
      <x:c r="O1259" s="18" t="str">
        <x:v>003562</x:v>
      </x:c>
      <x:c r="P1259" s="18" t="str">
        <x:v>青梅線</x:v>
      </x:c>
      <x:c r="Q1259" s="19" t="str">
        <x:v>S12_061_GE_10000</x:v>
      </x:c>
      <x:c r="R1259" s="19" t="str">
        <x:v>S12_061 usage threshold</x:v>
      </x:c>
      <x:c r="S1259" s="19" t="str">
        <x:v>https://nlftp.mlit.go.jp/ksj/gml/datalist/KsjTmplt-S12-2024.html</x:v>
      </x:c>
      <x:c r="T1259" s="19" t="str">
        <x:v>https://nlftp.mlit.go.jp/ksj/gml/datalist/KsjTmplt-S12-2024.html</x:v>
      </x:c>
      <x:c r="U1259" s="19" t="str">
        <x:v>station-component|東中神|東日本旅客鉄道|conventional_rail|35.7063|139.3846|</x:v>
      </x:c>
      <x:c r="V1259" s="19" t="str">
        <x:v>003562 / 003562 / 青梅線</x:v>
      </x:c>
      <x:c r="W1259" s="18" t="str">
        <x:v>否</x:v>
      </x:c>
      <x:c r="X1259" s="18" t="str">
        <x:v>0785e932a32b3ec15e1a1345537ae145eafe1c07bf38d5c16c11ee2b391e7a28</x:v>
      </x:c>
      <x:c r="Y1259" s="20" t="n">
        <x:v>1</x:v>
      </x:c>
      <x:c r="Z1259" s="20" t="n">
        <x:v>1</x:v>
      </x:c>
      <x:c r="AA1259" s="19"/>
      <x:c r="AB1259" s="18"/>
      <x:c r="AC1259" s="19"/>
    </x:row>
    <x:row r="1260" ht="33" customHeight="1">
      <x:c r="A1260" s="18" t="str">
        <x:v>東中野</x:v>
      </x:c>
      <x:c r="B1260" s="18" t="str">
        <x:v>東京都</x:v>
      </x:c>
      <x:c r="C1260" s="18" t="str">
        <x:v>metro</x:v>
      </x:c>
      <x:c r="D1260" s="19" t="str">
        <x:v>T2</x:v>
      </x:c>
      <x:c r="E1260" s="20" t="n">
        <x:v>18484</x:v>
      </x:c>
      <x:c r="F1260" s="18" t="str">
        <x:v>persons/day</x:v>
      </x:c>
      <x:c r="G1260" s="18" t="str">
        <x:v>FY2024</x:v>
      </x:c>
      <x:c r="H1260" s="18" t="str">
        <x:v>否</x:v>
      </x:c>
      <x:c r="I1260" s="19" t="str">
        <x:v>DAILY_ENTRIES_EXITS</x:v>
      </x:c>
      <x:c r="J1260" s="19" t="str">
        <x:v>12号線大江戸線</x:v>
      </x:c>
      <x:c r="K1260" s="18" t="str">
        <x:v>transport-node:5d747b48-f70a-5af9-bcbd-96c0d452ec63</x:v>
      </x:c>
      <x:c r="L1260" s="19" t="str">
        <x:v>组件待审核</x:v>
      </x:c>
      <x:c r="M1260" s="21" t="n">
        <x:v>35.70737</x:v>
      </x:c>
      <x:c r="N1260" s="21" t="n">
        <x:v>139.68325</x:v>
      </x:c>
      <x:c r="O1260" s="18" t="str">
        <x:v>003549</x:v>
      </x:c>
      <x:c r="P1260" s="18" t="str">
        <x:v>12号線大江戸線</x:v>
      </x:c>
      <x:c r="Q1260" s="19" t="str">
        <x:v>S12_061_GE_10000
OFFICIAL_HUB_COMPONENT_REVIEW</x:v>
      </x:c>
      <x:c r="R1260" s="19" t="str">
        <x:v>S12_061 usage threshold</x:v>
      </x:c>
      <x:c r="S1260" s="19" t="str">
        <x:v>https://nlftp.mlit.go.jp/ksj/gml/datalist/KsjTmplt-S12-2024.html</x:v>
      </x:c>
      <x:c r="T1260" s="19" t="str">
        <x:v>https://nlftp.mlit.go.jp/ksj/gml/datalist/KsjTmplt-S12-2024.html
https://www.kotsu.metro.tokyo.jp/subway/stations/higashi-nakano.html</x:v>
      </x:c>
      <x:c r="U1260" s="19" t="str">
        <x:v>station-component|東中野|東京都|metro|35.7074|139.6832|</x:v>
      </x:c>
      <x:c r="V1260" s="19" t="str">
        <x:v>003549 / 003549 / 12号線大江戸線</x:v>
      </x:c>
      <x:c r="W1260" s="18" t="str">
        <x:v>否</x:v>
      </x:c>
      <x:c r="X1260" s="18" t="str">
        <x:v>0785e932a32b3ec15e1a1345537ae145eafe1c07bf38d5c16c11ee2b391e7a28</x:v>
      </x:c>
      <x:c r="Y1260" s="20" t="n">
        <x:v>1</x:v>
      </x:c>
      <x:c r="Z1260" s="20" t="n">
        <x:v>1</x:v>
      </x:c>
      <x:c r="AA1260" s="19" t="str">
        <x:v>東中野</x:v>
      </x:c>
      <x:c r="AB1260" s="18" t="str">
        <x:v>transport-hub-review:94fe7f06-1190-5a7d-820c-4281f6896b9c</x:v>
      </x:c>
      <x:c r="AC1260" s="19"/>
    </x:row>
    <x:row r="1261" ht="33" customHeight="1">
      <x:c r="A1261" s="18" t="str">
        <x:v>東中野</x:v>
      </x:c>
      <x:c r="B1261" s="18" t="str">
        <x:v>東日本旅客鉄道</x:v>
      </x:c>
      <x:c r="C1261" s="18" t="str">
        <x:v>conventional_rail</x:v>
      </x:c>
      <x:c r="D1261" s="19" t="str">
        <x:v>T1</x:v>
      </x:c>
      <x:c r="E1261" s="20" t="n">
        <x:v>73912</x:v>
      </x:c>
      <x:c r="F1261" s="18" t="str">
        <x:v>persons/day</x:v>
      </x:c>
      <x:c r="G1261" s="18" t="str">
        <x:v>FY2024</x:v>
      </x:c>
      <x:c r="H1261" s="18" t="str">
        <x:v>否</x:v>
      </x:c>
      <x:c r="I1261" s="19" t="str">
        <x:v>DAILY_ENTRIES_EXITS</x:v>
      </x:c>
      <x:c r="J1261" s="19" t="str">
        <x:v>中央線</x:v>
      </x:c>
      <x:c r="K1261" s="18" t="str">
        <x:v>transport-node:34cd5ac6-7035-519f-843f-3099f369ace2</x:v>
      </x:c>
      <x:c r="L1261" s="19" t="str">
        <x:v>组件待审核</x:v>
      </x:c>
      <x:c r="M1261" s="21" t="n">
        <x:v>35.70625</x:v>
      </x:c>
      <x:c r="N1261" s="21" t="n">
        <x:v>139.68508</x:v>
      </x:c>
      <x:c r="O1261" s="18" t="str">
        <x:v>003563</x:v>
      </x:c>
      <x:c r="P1261" s="18" t="str">
        <x:v>中央線</x:v>
      </x:c>
      <x:c r="Q1261" s="19" t="str">
        <x:v>S12_061_GE_10000
OFFICIAL_HUB_COMPONENT_REVIEW</x:v>
      </x:c>
      <x:c r="R1261" s="19" t="str">
        <x:v>S12_061 usage threshold</x:v>
      </x:c>
      <x:c r="S1261" s="19" t="str">
        <x:v>https://nlftp.mlit.go.jp/ksj/gml/datalist/KsjTmplt-S12-2024.html</x:v>
      </x:c>
      <x:c r="T1261" s="19" t="str">
        <x:v>https://nlftp.mlit.go.jp/ksj/gml/datalist/KsjTmplt-S12-2024.html
https://www.kotsu.metro.tokyo.jp/subway/stations/higashi-nakano.html</x:v>
      </x:c>
      <x:c r="U1261" s="19" t="str">
        <x:v>station-component|東中野|東日本旅客鉄道|conventional_rail|35.7062|139.6851|</x:v>
      </x:c>
      <x:c r="V1261" s="19" t="str">
        <x:v>003549 / 003563 / 中央線</x:v>
      </x:c>
      <x:c r="W1261" s="18" t="str">
        <x:v>否</x:v>
      </x:c>
      <x:c r="X1261" s="18" t="str">
        <x:v>0785e932a32b3ec15e1a1345537ae145eafe1c07bf38d5c16c11ee2b391e7a28</x:v>
      </x:c>
      <x:c r="Y1261" s="20" t="n">
        <x:v>1</x:v>
      </x:c>
      <x:c r="Z1261" s="20" t="n">
        <x:v>1</x:v>
      </x:c>
      <x:c r="AA1261" s="19" t="str">
        <x:v>東中野</x:v>
      </x:c>
      <x:c r="AB1261" s="18" t="str">
        <x:v>transport-hub-review:94fe7f06-1190-5a7d-820c-4281f6896b9c</x:v>
      </x:c>
      <x:c r="AC1261" s="19"/>
    </x:row>
    <x:row r="1262" ht="28" customHeight="1">
      <x:c r="A1262" s="18" t="str">
        <x:v>東久留米</x:v>
      </x:c>
      <x:c r="B1262" s="18" t="str">
        <x:v>西武鉄道</x:v>
      </x:c>
      <x:c r="C1262" s="18" t="str">
        <x:v>private_rail</x:v>
      </x:c>
      <x:c r="D1262" s="19" t="str">
        <x:v>T1</x:v>
      </x:c>
      <x:c r="E1262" s="20" t="n">
        <x:v>51222</x:v>
      </x:c>
      <x:c r="F1262" s="18" t="str">
        <x:v>persons/day</x:v>
      </x:c>
      <x:c r="G1262" s="18" t="str">
        <x:v>FY2024</x:v>
      </x:c>
      <x:c r="H1262" s="18" t="str">
        <x:v>否</x:v>
      </x:c>
      <x:c r="I1262" s="19" t="str">
        <x:v>DAILY_ENTRIES_EXITS</x:v>
      </x:c>
      <x:c r="J1262" s="19" t="str">
        <x:v>池袋線</x:v>
      </x:c>
      <x:c r="K1262" s="18" t="str">
        <x:v>transport-node:9a4177a4-e9ac-5d1f-ac48-5c0f8773364e</x:v>
      </x:c>
      <x:c r="L1262" s="19" t="str">
        <x:v>组件待审核</x:v>
      </x:c>
      <x:c r="M1262" s="21" t="n">
        <x:v>35.76045</x:v>
      </x:c>
      <x:c r="N1262" s="21" t="n">
        <x:v>139.53375</x:v>
      </x:c>
      <x:c r="O1262" s="18" t="str">
        <x:v>003217</x:v>
      </x:c>
      <x:c r="P1262" s="18" t="str">
        <x:v>池袋線</x:v>
      </x:c>
      <x:c r="Q1262" s="19" t="str">
        <x:v>S12_061_GE_10000</x:v>
      </x:c>
      <x:c r="R1262" s="19" t="str">
        <x:v>S12_061 usage threshold</x:v>
      </x:c>
      <x:c r="S1262" s="19" t="str">
        <x:v>https://nlftp.mlit.go.jp/ksj/gml/datalist/KsjTmplt-S12-2024.html</x:v>
      </x:c>
      <x:c r="T1262" s="19" t="str">
        <x:v>https://nlftp.mlit.go.jp/ksj/gml/datalist/KsjTmplt-S12-2024.html</x:v>
      </x:c>
      <x:c r="U1262" s="19" t="str">
        <x:v>station-component|東久留米|西武鉄道|private_rail|35.7604|139.5337|</x:v>
      </x:c>
      <x:c r="V1262" s="19" t="str">
        <x:v>003217 / 003217 / 池袋線</x:v>
      </x:c>
      <x:c r="W1262" s="18" t="str">
        <x:v>否</x:v>
      </x:c>
      <x:c r="X1262" s="18" t="str">
        <x:v>0785e932a32b3ec15e1a1345537ae145eafe1c07bf38d5c16c11ee2b391e7a28</x:v>
      </x:c>
      <x:c r="Y1262" s="20" t="n">
        <x:v>1</x:v>
      </x:c>
      <x:c r="Z1262" s="20" t="n">
        <x:v>1</x:v>
      </x:c>
      <x:c r="AA1262" s="19"/>
      <x:c r="AB1262" s="18"/>
      <x:c r="AC1262" s="19"/>
    </x:row>
    <x:row r="1263" ht="33" customHeight="1">
      <x:c r="A1263" s="18" t="str">
        <x:v>東京</x:v>
      </x:c>
      <x:c r="B1263" s="18" t="str">
        <x:v>東京地下鉄</x:v>
      </x:c>
      <x:c r="C1263" s="18" t="str">
        <x:v>metro</x:v>
      </x:c>
      <x:c r="D1263" s="19" t="str">
        <x:v>T1</x:v>
      </x:c>
      <x:c r="E1263" s="20" t="n">
        <x:v>199232</x:v>
      </x:c>
      <x:c r="F1263" s="18" t="str">
        <x:v>persons/day</x:v>
      </x:c>
      <x:c r="G1263" s="18" t="str">
        <x:v>FY2024</x:v>
      </x:c>
      <x:c r="H1263" s="18" t="str">
        <x:v>否</x:v>
      </x:c>
      <x:c r="I1263" s="19" t="str">
        <x:v>DAILY_ENTRIES_EXITS</x:v>
      </x:c>
      <x:c r="J1263" s="19" t="str">
        <x:v>4号線丸ノ内線</x:v>
      </x:c>
      <x:c r="K1263" s="18" t="str">
        <x:v>transport-node:d94eae8c-8103-5000-aafb-a4bc7d4b1fc6</x:v>
      </x:c>
      <x:c r="L1263" s="19" t="str">
        <x:v>组件待审核</x:v>
      </x:c>
      <x:c r="M1263" s="21" t="n">
        <x:v>35.681935</x:v>
      </x:c>
      <x:c r="N1263" s="21" t="n">
        <x:v>139.7648</x:v>
      </x:c>
      <x:c r="O1263" s="18" t="str">
        <x:v>003758</x:v>
      </x:c>
      <x:c r="P1263" s="18" t="str">
        <x:v>4号線丸ノ内線</x:v>
      </x:c>
      <x:c r="Q1263" s="19" t="str">
        <x:v>S12_061_GE_10000
OFFICIAL_HUB_COMPONENT_REVIEW</x:v>
      </x:c>
      <x:c r="R1263" s="19" t="str">
        <x:v>S12_061 usage threshold</x:v>
      </x:c>
      <x:c r="S1263" s="19" t="str">
        <x:v>https://nlftp.mlit.go.jp/ksj/gml/datalist/KsjTmplt-S12-2024.html</x:v>
      </x:c>
      <x:c r="T1263" s="19" t="str">
        <x:v>https://nlftp.mlit.go.jp/ksj/gml/datalist/KsjTmplt-S12-2024.html
https://www.tokyometro.jp/station/tokyo/index.html</x:v>
      </x:c>
      <x:c r="U1263" s="19" t="str">
        <x:v>station-component|東京|東京地下鉄|metro|35.6819|139.7648|</x:v>
      </x:c>
      <x:c r="V1263" s="19" t="str">
        <x:v>003766 / 003758 / 4号線丸ノ内線</x:v>
      </x:c>
      <x:c r="W1263" s="18" t="str">
        <x:v>否</x:v>
      </x:c>
      <x:c r="X1263" s="18" t="str">
        <x:v>0785e932a32b3ec15e1a1345537ae145eafe1c07bf38d5c16c11ee2b391e7a28</x:v>
      </x:c>
      <x:c r="Y1263" s="20" t="n">
        <x:v>1</x:v>
      </x:c>
      <x:c r="Z1263" s="20" t="n">
        <x:v>1</x:v>
      </x:c>
      <x:c r="AA1263" s="19" t="str">
        <x:v>東京</x:v>
      </x:c>
      <x:c r="AB1263" s="18" t="str">
        <x:v>transport-hub-review:5e7cb893-0fa7-5530-b088-22b1d59d8395</x:v>
      </x:c>
      <x:c r="AC1263" s="19"/>
    </x:row>
    <x:row r="1264" ht="61" customHeight="1">
      <x:c r="A1264" s="18" t="str">
        <x:v>東京</x:v>
      </x:c>
      <x:c r="B1264" s="18" t="str">
        <x:v>東日本旅客鉄道</x:v>
      </x:c>
      <x:c r="C1264" s="18" t="str">
        <x:v>conventional_rail</x:v>
      </x:c>
      <x:c r="D1264" s="19" t="str">
        <x:v>T0</x:v>
      </x:c>
      <x:c r="E1264" s="20" t="n">
        <x:v>869128</x:v>
      </x:c>
      <x:c r="F1264" s="18" t="str">
        <x:v>persons/day</x:v>
      </x:c>
      <x:c r="G1264" s="18" t="str">
        <x:v>FY2024</x:v>
      </x:c>
      <x:c r="H1264" s="18" t="str">
        <x:v>否</x:v>
      </x:c>
      <x:c r="I1264" s="19" t="str">
        <x:v>DAILY_ENTRIES_EXITS</x:v>
      </x:c>
      <x:c r="J1264" s="19" t="str">
        <x:v>京葉線
東北線
東海道線
総武線</x:v>
      </x:c>
      <x:c r="K1264" s="18" t="str">
        <x:v>transport-node:f5e5010a-739c-5c0c-bfd6-3449c94b23db</x:v>
      </x:c>
      <x:c r="L1264" s="19" t="str">
        <x:v>组件待审核</x:v>
      </x:c>
      <x:c r="M1264" s="21" t="n">
        <x:v>35.680965</x:v>
      </x:c>
      <x:c r="N1264" s="21" t="n">
        <x:v>139.766685</x:v>
      </x:c>
      <x:c r="O1264" s="18" t="str">
        <x:v>003770</x:v>
      </x:c>
      <x:c r="P1264" s="18" t="str">
        <x:v>東海道線</x:v>
      </x:c>
      <x:c r="Q1264" s="19" t="str">
        <x:v>S12_061_GE_10000
OFFICIAL_HUB_COMPONENT_REVIEW</x:v>
      </x:c>
      <x:c r="R1264" s="19" t="str">
        <x:v>Explicit official internal-passage identity review; retained valid S12 primary usage without summing duplicate observations.</x:v>
      </x:c>
      <x:c r="S1264" s="19" t="str">
        <x:v>https://nlftp.mlit.go.jp/ksj/gml/datalist/KsjTmplt-S12-2024.html</x:v>
      </x:c>
      <x:c r="T1264" s="19" t="str">
        <x:v>https://nlftp.mlit.go.jp/ksj/gml/datalist/KsjTmplt-S12-2024.html
https://www.jeki.co.jp/transit_ad/entry/?cat=st_media&amp;id=153
https://www.jreast.co.jp/estation/stations/1039.html
https://www.tokyometro.jp/station/tokyo/index.html</x:v>
      </x:c>
      <x:c r="U1264" s="19" t="str">
        <x:v>station-component|東京|東日本旅客鉄道|conventional_rail|35.6810|139.7667|</x:v>
      </x:c>
      <x:c r="V1264" s="19" t="str">
        <x:v>003766 / 003766 / 東北線
003766 / 003770 / 東海道線
003766 / 003760 / 総武線
003785 / 003785 / 京葉線</x:v>
      </x:c>
      <x:c r="W1264" s="18" t="str">
        <x:v>否</x:v>
      </x:c>
      <x:c r="X1264" s="18" t="str">
        <x:v>0785e932a32b3ec15e1a1345537ae145eafe1c07bf38d5c16c11ee2b391e7a28</x:v>
      </x:c>
      <x:c r="Y1264" s="20" t="n">
        <x:v>1</x:v>
      </x:c>
      <x:c r="Z1264" s="20" t="n">
        <x:v>1</x:v>
      </x:c>
      <x:c r="AA1264" s="19" t="str">
        <x:v>東京</x:v>
      </x:c>
      <x:c r="AB1264" s="18" t="str">
        <x:v>transport-hub-review:5e7cb893-0fa7-5530-b088-22b1d59d8395</x:v>
      </x:c>
      <x:c r="AC1264" s="19"/>
    </x:row>
    <x:row r="1265" ht="47" customHeight="1">
      <x:c r="A1265" s="18" t="str">
        <x:v>東京</x:v>
      </x:c>
      <x:c r="B1265" s="18" t="str">
        <x:v>東日本旅客鉄道</x:v>
      </x:c>
      <x:c r="C1265" s="18" t="str">
        <x:v>shinkansen</x:v>
      </x:c>
      <x:c r="D1265" s="19"/>
      <x:c r="E1265" s="20" t="n">
        <x:v>70323</x:v>
      </x:c>
      <x:c r="F1265" s="18" t="str">
        <x:v>boardings/day</x:v>
      </x:c>
      <x:c r="G1265" s="18" t="str">
        <x:v>FY2024</x:v>
      </x:c>
      <x:c r="H1265" s="18" t="str">
        <x:v>是</x:v>
      </x:c>
      <x:c r="I1265" s="19" t="str">
        <x:v>DAILY_SHINKANSEN_BOARDINGS</x:v>
      </x:c>
      <x:c r="J1265" s="19" t="str">
        <x:v>東北新幹線</x:v>
      </x:c>
      <x:c r="K1265" s="18" t="str">
        <x:v>transport-node:ba06e213-c876-5300-ab62-9937212a5045</x:v>
      </x:c>
      <x:c r="L1265" s="19" t="str">
        <x:v>组件待审核</x:v>
      </x:c>
      <x:c r="M1265" s="21" t="n">
        <x:v>35.6811033</x:v>
      </x:c>
      <x:c r="N1265" s="21" t="n">
        <x:v>139.76788</x:v>
      </x:c>
      <x:c r="O1265" s="18" t="str">
        <x:v>003769</x:v>
      </x:c>
      <x:c r="P1265" s="18" t="str">
        <x:v>東北新幹線</x:v>
      </x:c>
      <x:c r="Q1265" s="19" t="str">
        <x:v>SHINKANSEN
OFFICIAL_HUB_COMPONENT_REVIEW</x:v>
      </x:c>
      <x:c r="R1265" s="19" t="str">
        <x:v>Official fallback retained in published scope/unit; tier remains null pending metric/manual review.</x:v>
      </x:c>
      <x:c r="S1265" s="19" t="str">
        <x:v>https://www.jreast.co.jp/company/data/passenger/2024_shinkansen.html/</x:v>
      </x:c>
      <x:c r="T1265" s="19" t="str">
        <x:v>https://nlftp.mlit.go.jp/ksj/gml/datalist/KsjTmplt-S12-2024.html
https://www.jreast.co.jp/company/data/passenger/2024_shinkansen.html/
https://www.tokyometro.jp/station/tokyo/index.html</x:v>
      </x:c>
      <x:c r="U1265" s="19" t="str">
        <x:v>station-component|東京|東日本旅客鉄道|shinkansen|35.6811|139.7679|</x:v>
      </x:c>
      <x:c r="V1265" s="19" t="str">
        <x:v>003766 / 003769 / 東北新幹線</x:v>
      </x:c>
      <x:c r="W1265" s="18" t="str">
        <x:v>否</x:v>
      </x:c>
      <x:c r="X1265" s="18" t="str">
        <x:v>0785e932a32b3ec15e1a1345537ae145eafe1c07bf38d5c16c11ee2b391e7a28</x:v>
      </x:c>
      <x:c r="Y1265" s="20" t="n">
        <x:v>1</x:v>
      </x:c>
      <x:c r="Z1265" s="20" t="n">
        <x:v>2</x:v>
      </x:c>
      <x:c r="AA1265" s="19" t="str">
        <x:v>東京</x:v>
      </x:c>
      <x:c r="AB1265" s="18" t="str">
        <x:v>transport-hub-review:5e7cb893-0fa7-5530-b088-22b1d59d8395</x:v>
      </x:c>
      <x:c r="AC1265" s="19"/>
    </x:row>
    <x:row r="1266" ht="47" customHeight="1">
      <x:c r="A1266" s="18" t="str">
        <x:v>東京</x:v>
      </x:c>
      <x:c r="B1266" s="18" t="str">
        <x:v>東海旅客鉄道</x:v>
      </x:c>
      <x:c r="C1266" s="18" t="str">
        <x:v>shinkansen</x:v>
      </x:c>
      <x:c r="D1266" s="19" t="str">
        <x:v>T1</x:v>
      </x:c>
      <x:c r="E1266" s="20" t="n">
        <x:v>194244</x:v>
      </x:c>
      <x:c r="F1266" s="18" t="str">
        <x:v>persons/day</x:v>
      </x:c>
      <x:c r="G1266" s="18" t="str">
        <x:v>FY2024</x:v>
      </x:c>
      <x:c r="H1266" s="18" t="str">
        <x:v>否</x:v>
      </x:c>
      <x:c r="I1266" s="19" t="str">
        <x:v>DAILY_ENTRIES_EXITS</x:v>
      </x:c>
      <x:c r="J1266" s="19" t="str">
        <x:v>東海道新幹線</x:v>
      </x:c>
      <x:c r="K1266" s="18" t="str">
        <x:v>transport-node:dc3c27dd-aea2-5ad4-ad55-10698d06756d</x:v>
      </x:c>
      <x:c r="L1266" s="19" t="str">
        <x:v>组件待审核</x:v>
      </x:c>
      <x:c r="M1266" s="21" t="n">
        <x:v>35.6811033</x:v>
      </x:c>
      <x:c r="N1266" s="21" t="n">
        <x:v>139.76788</x:v>
      </x:c>
      <x:c r="O1266" s="18" t="str">
        <x:v>003768</x:v>
      </x:c>
      <x:c r="P1266" s="18" t="str">
        <x:v>東海道新幹線</x:v>
      </x:c>
      <x:c r="Q1266" s="19" t="str">
        <x:v>S12_061_GE_10000
SHINKANSEN
OFFICIAL_HUB_COMPONENT_REVIEW</x:v>
      </x:c>
      <x:c r="R1266" s="19" t="str">
        <x:v>S12_061 usage threshold</x:v>
      </x:c>
      <x:c r="S1266" s="19" t="str">
        <x:v>https://nlftp.mlit.go.jp/ksj/gml/datalist/KsjTmplt-S12-2024.html</x:v>
      </x:c>
      <x:c r="T1266" s="19" t="str">
        <x:v>https://nlftp.mlit.go.jp/ksj/gml/datalist/KsjTmplt-S12-2024.html
https://www.tokyometro.jp/station/tokyo/index.html</x:v>
      </x:c>
      <x:c r="U1266" s="19" t="str">
        <x:v>station-component|東京|東海旅客鉄道|shinkansen|35.6811|139.7679|</x:v>
      </x:c>
      <x:c r="V1266" s="19" t="str">
        <x:v>003766 / 003768 / 東海道新幹線</x:v>
      </x:c>
      <x:c r="W1266" s="18" t="str">
        <x:v>否</x:v>
      </x:c>
      <x:c r="X1266" s="18" t="str">
        <x:v>0785e932a32b3ec15e1a1345537ae145eafe1c07bf38d5c16c11ee2b391e7a28</x:v>
      </x:c>
      <x:c r="Y1266" s="20" t="n">
        <x:v>1</x:v>
      </x:c>
      <x:c r="Z1266" s="20" t="n">
        <x:v>1</x:v>
      </x:c>
      <x:c r="AA1266" s="19" t="str">
        <x:v>東京</x:v>
      </x:c>
      <x:c r="AB1266" s="18" t="str">
        <x:v>transport-hub-review:5e7cb893-0fa7-5530-b088-22b1d59d8395</x:v>
      </x:c>
      <x:c r="AC1266" s="19"/>
    </x:row>
    <x:row r="1267" ht="28" customHeight="1">
      <x:c r="A1267" s="18" t="str">
        <x:v>東京テレポート</x:v>
      </x:c>
      <x:c r="B1267" s="18" t="str">
        <x:v>東京臨海高速鉄道</x:v>
      </x:c>
      <x:c r="C1267" s="18" t="str">
        <x:v>private_rail</x:v>
      </x:c>
      <x:c r="D1267" s="19" t="str">
        <x:v>T2</x:v>
      </x:c>
      <x:c r="E1267" s="20" t="n">
        <x:v>45645</x:v>
      </x:c>
      <x:c r="F1267" s="18" t="str">
        <x:v>persons/day</x:v>
      </x:c>
      <x:c r="G1267" s="18" t="str">
        <x:v>FY2024</x:v>
      </x:c>
      <x:c r="H1267" s="18" t="str">
        <x:v>否</x:v>
      </x:c>
      <x:c r="I1267" s="19" t="str">
        <x:v>DAILY_ENTRIES_EXITS</x:v>
      </x:c>
      <x:c r="J1267" s="19" t="str">
        <x:v>臨海副都心線</x:v>
      </x:c>
      <x:c r="K1267" s="18" t="str">
        <x:v>transport-node:029d4b08-1181-5e87-ad1e-66d2c240e1ea</x:v>
      </x:c>
      <x:c r="L1267" s="19" t="str">
        <x:v>组件待审核</x:v>
      </x:c>
      <x:c r="M1267" s="21" t="n">
        <x:v>35.627085</x:v>
      </x:c>
      <x:c r="N1267" s="21" t="n">
        <x:v>139.77806</x:v>
      </x:c>
      <x:c r="O1267" s="18" t="str">
        <x:v>004108</x:v>
      </x:c>
      <x:c r="P1267" s="18" t="str">
        <x:v>臨海副都心線</x:v>
      </x:c>
      <x:c r="Q1267" s="19" t="str">
        <x:v>S12_061_GE_10000</x:v>
      </x:c>
      <x:c r="R1267" s="19" t="str">
        <x:v>S12_061 usage threshold</x:v>
      </x:c>
      <x:c r="S1267" s="19" t="str">
        <x:v>https://nlftp.mlit.go.jp/ksj/gml/datalist/KsjTmplt-S12-2024.html</x:v>
      </x:c>
      <x:c r="T1267" s="19" t="str">
        <x:v>https://nlftp.mlit.go.jp/ksj/gml/datalist/KsjTmplt-S12-2024.html</x:v>
      </x:c>
      <x:c r="U1267" s="19" t="str">
        <x:v>station-component|東京テレポート|東京臨海高速鉄道|private_rail|35.6271|139.7781|</x:v>
      </x:c>
      <x:c r="V1267" s="19" t="str">
        <x:v>004108 / 004108 / 臨海副都心線</x:v>
      </x:c>
      <x:c r="W1267" s="18" t="str">
        <x:v>否</x:v>
      </x:c>
      <x:c r="X1267" s="18" t="str">
        <x:v>0785e932a32b3ec15e1a1345537ae145eafe1c07bf38d5c16c11ee2b391e7a28</x:v>
      </x:c>
      <x:c r="Y1267" s="20" t="n">
        <x:v>1</x:v>
      </x:c>
      <x:c r="Z1267" s="20" t="n">
        <x:v>1</x:v>
      </x:c>
      <x:c r="AA1267" s="19"/>
      <x:c r="AB1267" s="18"/>
      <x:c r="AC1267" s="19"/>
    </x:row>
    <x:row r="1268" ht="33" customHeight="1">
      <x:c r="A1268" s="18" t="str">
        <x:v>東京ディズニーシー･ステーション</x:v>
      </x:c>
      <x:c r="B1268" s="18" t="str">
        <x:v>舞浜リゾートライン</x:v>
      </x:c>
      <x:c r="C1268" s="18" t="str">
        <x:v>fixed_guideway</x:v>
      </x:c>
      <x:c r="D1268" s="19" t="str">
        <x:v>T2</x:v>
      </x:c>
      <x:c r="E1268" s="20" t="n">
        <x:v>45014</x:v>
      </x:c>
      <x:c r="F1268" s="18" t="str">
        <x:v>persons/day</x:v>
      </x:c>
      <x:c r="G1268" s="18" t="str">
        <x:v>FY2024</x:v>
      </x:c>
      <x:c r="H1268" s="18" t="str">
        <x:v>否</x:v>
      </x:c>
      <x:c r="I1268" s="19" t="str">
        <x:v>DAILY_ENTRIES_EXITS</x:v>
      </x:c>
      <x:c r="J1268" s="19" t="str">
        <x:v>ディズニーリゾートライン</x:v>
      </x:c>
      <x:c r="K1268" s="18" t="str">
        <x:v>transport-node:a767afc9-beb4-543f-b908-6341927fd0b2</x:v>
      </x:c>
      <x:c r="L1268" s="19" t="str">
        <x:v>组件待审核</x:v>
      </x:c>
      <x:c r="M1268" s="21" t="n">
        <x:v>35.627235</x:v>
      </x:c>
      <x:c r="N1268" s="21" t="n">
        <x:v>139.88949</x:v>
      </x:c>
      <x:c r="O1268" s="18" t="str">
        <x:v>004106</x:v>
      </x:c>
      <x:c r="P1268" s="18" t="str">
        <x:v>ディズニーリゾートライン</x:v>
      </x:c>
      <x:c r="Q1268" s="19" t="str">
        <x:v>S12_061_GE_10000</x:v>
      </x:c>
      <x:c r="R1268" s="19" t="str">
        <x:v>S12_061 usage threshold</x:v>
      </x:c>
      <x:c r="S1268" s="19" t="str">
        <x:v>https://nlftp.mlit.go.jp/ksj/gml/datalist/KsjTmplt-S12-2024.html</x:v>
      </x:c>
      <x:c r="T1268" s="19" t="str">
        <x:v>https://nlftp.mlit.go.jp/ksj/gml/datalist/KsjTmplt-S12-2024.html</x:v>
      </x:c>
      <x:c r="U1268" s="19" t="str">
        <x:v>station-component|東京ディズニーシー･ステーション|舞浜リゾートライン|fixed_guideway|35.6272|139.8895|</x:v>
      </x:c>
      <x:c r="V1268" s="19" t="str">
        <x:v>004106 / 004106 / ディズニーリゾートライン</x:v>
      </x:c>
      <x:c r="W1268" s="18" t="str">
        <x:v>否</x:v>
      </x:c>
      <x:c r="X1268" s="18" t="str">
        <x:v>0785e932a32b3ec15e1a1345537ae145eafe1c07bf38d5c16c11ee2b391e7a28</x:v>
      </x:c>
      <x:c r="Y1268" s="20" t="n">
        <x:v>1</x:v>
      </x:c>
      <x:c r="Z1268" s="20" t="n">
        <x:v>1</x:v>
      </x:c>
      <x:c r="AA1268" s="19"/>
      <x:c r="AB1268" s="18"/>
      <x:c r="AC1268" s="19"/>
    </x:row>
    <x:row r="1269" ht="33" customHeight="1">
      <x:c r="A1269" s="18" t="str">
        <x:v>東京ディズニーランド･ステーション</x:v>
      </x:c>
      <x:c r="B1269" s="18" t="str">
        <x:v>舞浜リゾートライン</x:v>
      </x:c>
      <x:c r="C1269" s="18" t="str">
        <x:v>fixed_guideway</x:v>
      </x:c>
      <x:c r="D1269" s="19" t="str">
        <x:v>T2</x:v>
      </x:c>
      <x:c r="E1269" s="20" t="n">
        <x:v>16949</x:v>
      </x:c>
      <x:c r="F1269" s="18" t="str">
        <x:v>persons/day</x:v>
      </x:c>
      <x:c r="G1269" s="18" t="str">
        <x:v>FY2024</x:v>
      </x:c>
      <x:c r="H1269" s="18" t="str">
        <x:v>否</x:v>
      </x:c>
      <x:c r="I1269" s="19" t="str">
        <x:v>DAILY_ENTRIES_EXITS</x:v>
      </x:c>
      <x:c r="J1269" s="19" t="str">
        <x:v>ディズニーリゾートライン</x:v>
      </x:c>
      <x:c r="K1269" s="18" t="str">
        <x:v>transport-node:87fd8db3-d211-5329-a135-323f22d5a4b1</x:v>
      </x:c>
      <x:c r="L1269" s="19" t="str">
        <x:v>组件待审核</x:v>
      </x:c>
      <x:c r="M1269" s="21" t="n">
        <x:v>35.635845</x:v>
      </x:c>
      <x:c r="N1269" s="21" t="n">
        <x:v>139.878445</x:v>
      </x:c>
      <x:c r="O1269" s="18" t="str">
        <x:v>004058</x:v>
      </x:c>
      <x:c r="P1269" s="18" t="str">
        <x:v>ディズニーリゾートライン</x:v>
      </x:c>
      <x:c r="Q1269" s="19" t="str">
        <x:v>S12_061_GE_10000</x:v>
      </x:c>
      <x:c r="R1269" s="19" t="str">
        <x:v>S12_061 usage threshold</x:v>
      </x:c>
      <x:c r="S1269" s="19" t="str">
        <x:v>https://nlftp.mlit.go.jp/ksj/gml/datalist/KsjTmplt-S12-2024.html</x:v>
      </x:c>
      <x:c r="T1269" s="19" t="str">
        <x:v>https://nlftp.mlit.go.jp/ksj/gml/datalist/KsjTmplt-S12-2024.html</x:v>
      </x:c>
      <x:c r="U1269" s="19" t="str">
        <x:v>station-component|東京ディズニーランド･ステーション|舞浜リゾートライン|fixed_guideway|35.6358|139.8784|</x:v>
      </x:c>
      <x:c r="V1269" s="19" t="str">
        <x:v>004058 / 004058 / ディズニーリゾートライン</x:v>
      </x:c>
      <x:c r="W1269" s="18" t="str">
        <x:v>否</x:v>
      </x:c>
      <x:c r="X1269" s="18" t="str">
        <x:v>0785e932a32b3ec15e1a1345537ae145eafe1c07bf38d5c16c11ee2b391e7a28</x:v>
      </x:c>
      <x:c r="Y1269" s="20" t="n">
        <x:v>1</x:v>
      </x:c>
      <x:c r="Z1269" s="20" t="n">
        <x:v>1</x:v>
      </x:c>
      <x:c r="AA1269" s="19"/>
      <x:c r="AB1269" s="18"/>
      <x:c r="AC1269" s="19"/>
    </x:row>
    <x:row r="1270" ht="28" customHeight="1">
      <x:c r="A1270" s="18" t="str">
        <x:v>東京ビッグサイト</x:v>
      </x:c>
      <x:c r="B1270" s="18" t="str">
        <x:v>ゆりかもめ</x:v>
      </x:c>
      <x:c r="C1270" s="18" t="str">
        <x:v>fixed_guideway</x:v>
      </x:c>
      <x:c r="D1270" s="19" t="str">
        <x:v>T2</x:v>
      </x:c>
      <x:c r="E1270" s="20" t="n">
        <x:v>19291</x:v>
      </x:c>
      <x:c r="F1270" s="18" t="str">
        <x:v>persons/day</x:v>
      </x:c>
      <x:c r="G1270" s="18" t="str">
        <x:v>FY2024</x:v>
      </x:c>
      <x:c r="H1270" s="18" t="str">
        <x:v>否</x:v>
      </x:c>
      <x:c r="I1270" s="19" t="str">
        <x:v>DAILY_ENTRIES_EXITS</x:v>
      </x:c>
      <x:c r="J1270" s="19" t="str">
        <x:v>東京臨海新交通臨海線</x:v>
      </x:c>
      <x:c r="K1270" s="18" t="str">
        <x:v>transport-node:139ae67d-8306-5d19-a4fc-ded4f7bb3c45</x:v>
      </x:c>
      <x:c r="L1270" s="19" t="str">
        <x:v>组件待审核</x:v>
      </x:c>
      <x:c r="M1270" s="21" t="n">
        <x:v>35.63021</x:v>
      </x:c>
      <x:c r="N1270" s="21" t="n">
        <x:v>139.7913</x:v>
      </x:c>
      <x:c r="O1270" s="18" t="str">
        <x:v>004087</x:v>
      </x:c>
      <x:c r="P1270" s="18" t="str">
        <x:v>東京臨海新交通臨海線</x:v>
      </x:c>
      <x:c r="Q1270" s="19" t="str">
        <x:v>S12_061_GE_10000</x:v>
      </x:c>
      <x:c r="R1270" s="19" t="str">
        <x:v>S12_061 usage threshold</x:v>
      </x:c>
      <x:c r="S1270" s="19" t="str">
        <x:v>https://nlftp.mlit.go.jp/ksj/gml/datalist/KsjTmplt-S12-2024.html</x:v>
      </x:c>
      <x:c r="T1270" s="19" t="str">
        <x:v>https://nlftp.mlit.go.jp/ksj/gml/datalist/KsjTmplt-S12-2024.html</x:v>
      </x:c>
      <x:c r="U1270" s="19" t="str">
        <x:v>station-component|東京ビッグサイト|ゆりかもめ|fixed_guideway|35.6302|139.7913|</x:v>
      </x:c>
      <x:c r="V1270" s="19" t="str">
        <x:v>004087 / 004087 / 東京臨海新交通臨海線</x:v>
      </x:c>
      <x:c r="W1270" s="18" t="str">
        <x:v>否</x:v>
      </x:c>
      <x:c r="X1270" s="18" t="str">
        <x:v>0785e932a32b3ec15e1a1345537ae145eafe1c07bf38d5c16c11ee2b391e7a28</x:v>
      </x:c>
      <x:c r="Y1270" s="20" t="n">
        <x:v>1</x:v>
      </x:c>
      <x:c r="Z1270" s="20" t="n">
        <x:v>1</x:v>
      </x:c>
      <x:c r="AA1270" s="19"/>
      <x:c r="AB1270" s="18"/>
      <x:c r="AC1270" s="19"/>
    </x:row>
    <x:row r="1271" ht="28" customHeight="1">
      <x:c r="A1271" s="18" t="str">
        <x:v>東伏見</x:v>
      </x:c>
      <x:c r="B1271" s="18" t="str">
        <x:v>西武鉄道</x:v>
      </x:c>
      <x:c r="C1271" s="18" t="str">
        <x:v>private_rail</x:v>
      </x:c>
      <x:c r="D1271" s="19" t="str">
        <x:v>T2</x:v>
      </x:c>
      <x:c r="E1271" s="20" t="n">
        <x:v>21835</x:v>
      </x:c>
      <x:c r="F1271" s="18" t="str">
        <x:v>persons/day</x:v>
      </x:c>
      <x:c r="G1271" s="18" t="str">
        <x:v>FY2024</x:v>
      </x:c>
      <x:c r="H1271" s="18" t="str">
        <x:v>否</x:v>
      </x:c>
      <x:c r="I1271" s="19" t="str">
        <x:v>DAILY_ENTRIES_EXITS</x:v>
      </x:c>
      <x:c r="J1271" s="19" t="str">
        <x:v>新宿線</x:v>
      </x:c>
      <x:c r="K1271" s="18" t="str">
        <x:v>transport-node:125180fe-c119-5dd5-a36b-d13f4f7f4029</x:v>
      </x:c>
      <x:c r="L1271" s="19" t="str">
        <x:v>组件待审核</x:v>
      </x:c>
      <x:c r="M1271" s="21" t="n">
        <x:v>35.728755</x:v>
      </x:c>
      <x:c r="N1271" s="21" t="n">
        <x:v>139.563575</x:v>
      </x:c>
      <x:c r="O1271" s="18" t="str">
        <x:v>003408</x:v>
      </x:c>
      <x:c r="P1271" s="18" t="str">
        <x:v>新宿線</x:v>
      </x:c>
      <x:c r="Q1271" s="19" t="str">
        <x:v>S12_061_GE_10000</x:v>
      </x:c>
      <x:c r="R1271" s="19" t="str">
        <x:v>S12_061 usage threshold</x:v>
      </x:c>
      <x:c r="S1271" s="19" t="str">
        <x:v>https://nlftp.mlit.go.jp/ksj/gml/datalist/KsjTmplt-S12-2024.html</x:v>
      </x:c>
      <x:c r="T1271" s="19" t="str">
        <x:v>https://nlftp.mlit.go.jp/ksj/gml/datalist/KsjTmplt-S12-2024.html</x:v>
      </x:c>
      <x:c r="U1271" s="19" t="str">
        <x:v>station-component|東伏見|西武鉄道|private_rail|35.7288|139.5636|</x:v>
      </x:c>
      <x:c r="V1271" s="19" t="str">
        <x:v>003408 / 003408 / 新宿線</x:v>
      </x:c>
      <x:c r="W1271" s="18" t="str">
        <x:v>否</x:v>
      </x:c>
      <x:c r="X1271" s="18" t="str">
        <x:v>0785e932a32b3ec15e1a1345537ae145eafe1c07bf38d5c16c11ee2b391e7a28</x:v>
      </x:c>
      <x:c r="Y1271" s="20" t="n">
        <x:v>1</x:v>
      </x:c>
      <x:c r="Z1271" s="20" t="n">
        <x:v>1</x:v>
      </x:c>
      <x:c r="AA1271" s="19"/>
      <x:c r="AB1271" s="18"/>
      <x:c r="AC1271" s="19"/>
    </x:row>
    <x:row r="1272" ht="28" customHeight="1">
      <x:c r="A1272" s="18" t="str">
        <x:v>東別院</x:v>
      </x:c>
      <x:c r="B1272" s="18" t="str">
        <x:v>名古屋市</x:v>
      </x:c>
      <x:c r="C1272" s="18" t="str">
        <x:v>metro</x:v>
      </x:c>
      <x:c r="D1272" s="19" t="str">
        <x:v>T2</x:v>
      </x:c>
      <x:c r="E1272" s="20" t="n">
        <x:v>16579</x:v>
      </x:c>
      <x:c r="F1272" s="18" t="str">
        <x:v>persons/day</x:v>
      </x:c>
      <x:c r="G1272" s="18" t="str">
        <x:v>FY2024</x:v>
      </x:c>
      <x:c r="H1272" s="18" t="str">
        <x:v>否</x:v>
      </x:c>
      <x:c r="I1272" s="19" t="str">
        <x:v>DAILY_ENTRIES_EXITS</x:v>
      </x:c>
      <x:c r="J1272" s="19" t="str">
        <x:v>2号線名城線</x:v>
      </x:c>
      <x:c r="K1272" s="18" t="str">
        <x:v>transport-node:02e44701-578f-57c0-8e01-6d2752323bbc</x:v>
      </x:c>
      <x:c r="L1272" s="19" t="str">
        <x:v>组件待审核</x:v>
      </x:c>
      <x:c r="M1272" s="21" t="n">
        <x:v>35.149935</x:v>
      </x:c>
      <x:c r="N1272" s="21" t="n">
        <x:v>136.904575</x:v>
      </x:c>
      <x:c r="O1272" s="18" t="str">
        <x:v>005525</x:v>
      </x:c>
      <x:c r="P1272" s="18" t="str">
        <x:v>2号線名城線</x:v>
      </x:c>
      <x:c r="Q1272" s="19" t="str">
        <x:v>S12_061_GE_10000</x:v>
      </x:c>
      <x:c r="R1272" s="19" t="str">
        <x:v>S12_061 usage threshold</x:v>
      </x:c>
      <x:c r="S1272" s="19" t="str">
        <x:v>https://nlftp.mlit.go.jp/ksj/gml/datalist/KsjTmplt-S12-2024.html</x:v>
      </x:c>
      <x:c r="T1272" s="19" t="str">
        <x:v>https://nlftp.mlit.go.jp/ksj/gml/datalist/KsjTmplt-S12-2024.html</x:v>
      </x:c>
      <x:c r="U1272" s="19" t="str">
        <x:v>station-component|東別院|名古屋市|metro|35.1499|136.9046|</x:v>
      </x:c>
      <x:c r="V1272" s="19" t="str">
        <x:v>005525 / 005525 / 2号線名城線</x:v>
      </x:c>
      <x:c r="W1272" s="18" t="str">
        <x:v>否</x:v>
      </x:c>
      <x:c r="X1272" s="18" t="str">
        <x:v>0785e932a32b3ec15e1a1345537ae145eafe1c07bf38d5c16c11ee2b391e7a28</x:v>
      </x:c>
      <x:c r="Y1272" s="20" t="n">
        <x:v>1</x:v>
      </x:c>
      <x:c r="Z1272" s="20" t="n">
        <x:v>1</x:v>
      </x:c>
      <x:c r="AA1272" s="19"/>
      <x:c r="AB1272" s="18"/>
      <x:c r="AC1272" s="19"/>
    </x:row>
    <x:row r="1273" ht="28" customHeight="1">
      <x:c r="A1273" s="18" t="str">
        <x:v>東加古川</x:v>
      </x:c>
      <x:c r="B1273" s="18" t="str">
        <x:v>西日本旅客鉄道</x:v>
      </x:c>
      <x:c r="C1273" s="18" t="str">
        <x:v>conventional_rail</x:v>
      </x:c>
      <x:c r="D1273" s="19" t="str">
        <x:v>T2</x:v>
      </x:c>
      <x:c r="E1273" s="20" t="n">
        <x:v>24166</x:v>
      </x:c>
      <x:c r="F1273" s="18" t="str">
        <x:v>persons/day</x:v>
      </x:c>
      <x:c r="G1273" s="18" t="str">
        <x:v>FY2024</x:v>
      </x:c>
      <x:c r="H1273" s="18" t="str">
        <x:v>否</x:v>
      </x:c>
      <x:c r="I1273" s="19" t="str">
        <x:v>DAILY_ENTRIES_EXITS</x:v>
      </x:c>
      <x:c r="J1273" s="19" t="str">
        <x:v>山陽線</x:v>
      </x:c>
      <x:c r="K1273" s="18" t="str">
        <x:v>transport-node:d9f29e33-a2dd-5ae6-b3c9-53ba41160480</x:v>
      </x:c>
      <x:c r="L1273" s="19" t="str">
        <x:v>组件待审核</x:v>
      </x:c>
      <x:c r="M1273" s="21" t="n">
        <x:v>34.745685</x:v>
      </x:c>
      <x:c r="N1273" s="21" t="n">
        <x:v>134.869275</x:v>
      </x:c>
      <x:c r="O1273" s="18" t="str">
        <x:v>006854</x:v>
      </x:c>
      <x:c r="P1273" s="18" t="str">
        <x:v>山陽線</x:v>
      </x:c>
      <x:c r="Q1273" s="19" t="str">
        <x:v>S12_061_GE_10000</x:v>
      </x:c>
      <x:c r="R1273" s="19" t="str">
        <x:v>S12_061 usage threshold</x:v>
      </x:c>
      <x:c r="S1273" s="19" t="str">
        <x:v>https://nlftp.mlit.go.jp/ksj/gml/datalist/KsjTmplt-S12-2024.html</x:v>
      </x:c>
      <x:c r="T1273" s="19" t="str">
        <x:v>https://nlftp.mlit.go.jp/ksj/gml/datalist/KsjTmplt-S12-2024.html</x:v>
      </x:c>
      <x:c r="U1273" s="19" t="str">
        <x:v>station-component|東加古川|西日本旅客鉄道|conventional_rail|34.7457|134.8693|</x:v>
      </x:c>
      <x:c r="V1273" s="19" t="str">
        <x:v>006854 / 006854 / 山陽線</x:v>
      </x:c>
      <x:c r="W1273" s="18" t="str">
        <x:v>否</x:v>
      </x:c>
      <x:c r="X1273" s="18" t="str">
        <x:v>0785e932a32b3ec15e1a1345537ae145eafe1c07bf38d5c16c11ee2b391e7a28</x:v>
      </x:c>
      <x:c r="Y1273" s="20" t="n">
        <x:v>1</x:v>
      </x:c>
      <x:c r="Z1273" s="20" t="n">
        <x:v>1</x:v>
      </x:c>
      <x:c r="AA1273" s="19"/>
      <x:c r="AB1273" s="18"/>
      <x:c r="AC1273" s="19"/>
    </x:row>
    <x:row r="1274" ht="28" customHeight="1">
      <x:c r="A1274" s="18" t="str">
        <x:v>東区役所前</x:v>
      </x:c>
      <x:c r="B1274" s="18" t="str">
        <x:v>札幌市</x:v>
      </x:c>
      <x:c r="C1274" s="18" t="str">
        <x:v>metro</x:v>
      </x:c>
      <x:c r="D1274" s="19" t="str">
        <x:v>T2</x:v>
      </x:c>
      <x:c r="E1274" s="20" t="n">
        <x:v>17358</x:v>
      </x:c>
      <x:c r="F1274" s="18" t="str">
        <x:v>persons/day</x:v>
      </x:c>
      <x:c r="G1274" s="18" t="str">
        <x:v>FY2024</x:v>
      </x:c>
      <x:c r="H1274" s="18" t="str">
        <x:v>否</x:v>
      </x:c>
      <x:c r="I1274" s="19" t="str">
        <x:v>DAILY_ENTRIES_EXITS</x:v>
      </x:c>
      <x:c r="J1274" s="19" t="str">
        <x:v>東豊線</x:v>
      </x:c>
      <x:c r="K1274" s="18" t="str">
        <x:v>transport-node:a6a7cc70-e331-58bd-82d7-b66feefa5d88</x:v>
      </x:c>
      <x:c r="L1274" s="19" t="str">
        <x:v>组件待审核</x:v>
      </x:c>
      <x:c r="M1274" s="21" t="n">
        <x:v>43.078215</x:v>
      </x:c>
      <x:c r="N1274" s="21" t="n">
        <x:v>141.36527</x:v>
      </x:c>
      <x:c r="O1274" s="18" t="str">
        <x:v>000218</x:v>
      </x:c>
      <x:c r="P1274" s="18" t="str">
        <x:v>東豊線</x:v>
      </x:c>
      <x:c r="Q1274" s="19" t="str">
        <x:v>S12_061_GE_10000</x:v>
      </x:c>
      <x:c r="R1274" s="19" t="str">
        <x:v>S12_061 usage threshold</x:v>
      </x:c>
      <x:c r="S1274" s="19" t="str">
        <x:v>https://nlftp.mlit.go.jp/ksj/gml/datalist/KsjTmplt-S12-2024.html</x:v>
      </x:c>
      <x:c r="T1274" s="19" t="str">
        <x:v>https://nlftp.mlit.go.jp/ksj/gml/datalist/KsjTmplt-S12-2024.html</x:v>
      </x:c>
      <x:c r="U1274" s="19" t="str">
        <x:v>station-component|東区役所前|札幌市|metro|43.0782|141.3653|</x:v>
      </x:c>
      <x:c r="V1274" s="19" t="str">
        <x:v>000218 / 000218 / 東豊線</x:v>
      </x:c>
      <x:c r="W1274" s="18" t="str">
        <x:v>否</x:v>
      </x:c>
      <x:c r="X1274" s="18" t="str">
        <x:v>0785e932a32b3ec15e1a1345537ae145eafe1c07bf38d5c16c11ee2b391e7a28</x:v>
      </x:c>
      <x:c r="Y1274" s="20" t="n">
        <x:v>1</x:v>
      </x:c>
      <x:c r="Z1274" s="20" t="n">
        <x:v>1</x:v>
      </x:c>
      <x:c r="AA1274" s="19"/>
      <x:c r="AB1274" s="18"/>
      <x:c r="AC1274" s="19"/>
    </x:row>
    <x:row r="1275" ht="28" customHeight="1">
      <x:c r="A1275" s="18" t="str">
        <x:v>東十条</x:v>
      </x:c>
      <x:c r="B1275" s="18" t="str">
        <x:v>東日本旅客鉄道</x:v>
      </x:c>
      <x:c r="C1275" s="18" t="str">
        <x:v>conventional_rail</x:v>
      </x:c>
      <x:c r="D1275" s="19" t="str">
        <x:v>T2</x:v>
      </x:c>
      <x:c r="E1275" s="20" t="n">
        <x:v>45690</x:v>
      </x:c>
      <x:c r="F1275" s="18" t="str">
        <x:v>persons/day</x:v>
      </x:c>
      <x:c r="G1275" s="18" t="str">
        <x:v>FY2024</x:v>
      </x:c>
      <x:c r="H1275" s="18" t="str">
        <x:v>否</x:v>
      </x:c>
      <x:c r="I1275" s="19" t="str">
        <x:v>DAILY_ENTRIES_EXITS</x:v>
      </x:c>
      <x:c r="J1275" s="19" t="str">
        <x:v>東北線</x:v>
      </x:c>
      <x:c r="K1275" s="18" t="str">
        <x:v>transport-node:3e1e4db6-6192-5ae3-925a-add159be188c</x:v>
      </x:c>
      <x:c r="L1275" s="19" t="str">
        <x:v>组件待审核</x:v>
      </x:c>
      <x:c r="M1275" s="21" t="n">
        <x:v>35.76383</x:v>
      </x:c>
      <x:c r="N1275" s="21" t="n">
        <x:v>139.726745</x:v>
      </x:c>
      <x:c r="O1275" s="18" t="str">
        <x:v>003210</x:v>
      </x:c>
      <x:c r="P1275" s="18" t="str">
        <x:v>東北線</x:v>
      </x:c>
      <x:c r="Q1275" s="19" t="str">
        <x:v>S12_061_GE_10000</x:v>
      </x:c>
      <x:c r="R1275" s="19" t="str">
        <x:v>S12_061 usage threshold</x:v>
      </x:c>
      <x:c r="S1275" s="19" t="str">
        <x:v>https://nlftp.mlit.go.jp/ksj/gml/datalist/KsjTmplt-S12-2024.html</x:v>
      </x:c>
      <x:c r="T1275" s="19" t="str">
        <x:v>https://nlftp.mlit.go.jp/ksj/gml/datalist/KsjTmplt-S12-2024.html</x:v>
      </x:c>
      <x:c r="U1275" s="19" t="str">
        <x:v>station-component|東十条|東日本旅客鉄道|conventional_rail|35.7638|139.7267|</x:v>
      </x:c>
      <x:c r="V1275" s="19" t="str">
        <x:v>003210 / 003210 / 東北線</x:v>
      </x:c>
      <x:c r="W1275" s="18" t="str">
        <x:v>否</x:v>
      </x:c>
      <x:c r="X1275" s="18" t="str">
        <x:v>0785e932a32b3ec15e1a1345537ae145eafe1c07bf38d5c16c11ee2b391e7a28</x:v>
      </x:c>
      <x:c r="Y1275" s="20" t="n">
        <x:v>1</x:v>
      </x:c>
      <x:c r="Z1275" s="20" t="n">
        <x:v>1</x:v>
      </x:c>
      <x:c r="AA1275" s="19"/>
      <x:c r="AB1275" s="18"/>
      <x:c r="AC1275" s="19"/>
    </x:row>
    <x:row r="1276" ht="28" customHeight="1">
      <x:c r="A1276" s="18" t="str">
        <x:v>東向島</x:v>
      </x:c>
      <x:c r="B1276" s="18" t="str">
        <x:v>東武鉄道</x:v>
      </x:c>
      <x:c r="C1276" s="18" t="str">
        <x:v>private_rail</x:v>
      </x:c>
      <x:c r="D1276" s="19" t="str">
        <x:v>T2</x:v>
      </x:c>
      <x:c r="E1276" s="20" t="n">
        <x:v>19220</x:v>
      </x:c>
      <x:c r="F1276" s="18" t="str">
        <x:v>persons/day</x:v>
      </x:c>
      <x:c r="G1276" s="18" t="str">
        <x:v>FY2024</x:v>
      </x:c>
      <x:c r="H1276" s="18" t="str">
        <x:v>否</x:v>
      </x:c>
      <x:c r="I1276" s="19" t="str">
        <x:v>DAILY_ENTRIES_EXITS</x:v>
      </x:c>
      <x:c r="J1276" s="19" t="str">
        <x:v>伊勢崎線</x:v>
      </x:c>
      <x:c r="K1276" s="18" t="str">
        <x:v>transport-node:4763b705-156f-5e5e-8b92-6b6ce6941bed</x:v>
      </x:c>
      <x:c r="L1276" s="19" t="str">
        <x:v>组件待审核</x:v>
      </x:c>
      <x:c r="M1276" s="21" t="n">
        <x:v>35.724355</x:v>
      </x:c>
      <x:c r="N1276" s="21" t="n">
        <x:v>139.819335</x:v>
      </x:c>
      <x:c r="O1276" s="18" t="str">
        <x:v>003442</x:v>
      </x:c>
      <x:c r="P1276" s="18" t="str">
        <x:v>伊勢崎線</x:v>
      </x:c>
      <x:c r="Q1276" s="19" t="str">
        <x:v>S12_061_GE_10000</x:v>
      </x:c>
      <x:c r="R1276" s="19" t="str">
        <x:v>S12_061 usage threshold</x:v>
      </x:c>
      <x:c r="S1276" s="19" t="str">
        <x:v>https://nlftp.mlit.go.jp/ksj/gml/datalist/KsjTmplt-S12-2024.html</x:v>
      </x:c>
      <x:c r="T1276" s="19" t="str">
        <x:v>https://nlftp.mlit.go.jp/ksj/gml/datalist/KsjTmplt-S12-2024.html</x:v>
      </x:c>
      <x:c r="U1276" s="19" t="str">
        <x:v>station-component|東向島|東武鉄道|private_rail|35.7244|139.8193|</x:v>
      </x:c>
      <x:c r="V1276" s="19" t="str">
        <x:v>003442 / 003442 / 伊勢崎線</x:v>
      </x:c>
      <x:c r="W1276" s="18" t="str">
        <x:v>否</x:v>
      </x:c>
      <x:c r="X1276" s="18" t="str">
        <x:v>0785e932a32b3ec15e1a1345537ae145eafe1c07bf38d5c16c11ee2b391e7a28</x:v>
      </x:c>
      <x:c r="Y1276" s="20" t="n">
        <x:v>1</x:v>
      </x:c>
      <x:c r="Z1276" s="20" t="n">
        <x:v>1</x:v>
      </x:c>
      <x:c r="AA1276" s="19"/>
      <x:c r="AB1276" s="18"/>
      <x:c r="AC1276" s="19"/>
    </x:row>
    <x:row r="1277" ht="28" customHeight="1">
      <x:c r="A1277" s="18" t="str">
        <x:v>東向日</x:v>
      </x:c>
      <x:c r="B1277" s="18" t="str">
        <x:v>阪急電鉄</x:v>
      </x:c>
      <x:c r="C1277" s="18" t="str">
        <x:v>private_rail</x:v>
      </x:c>
      <x:c r="D1277" s="19" t="str">
        <x:v>T2</x:v>
      </x:c>
      <x:c r="E1277" s="20" t="n">
        <x:v>11692</x:v>
      </x:c>
      <x:c r="F1277" s="18" t="str">
        <x:v>persons/day</x:v>
      </x:c>
      <x:c r="G1277" s="18" t="str">
        <x:v>FY2024</x:v>
      </x:c>
      <x:c r="H1277" s="18" t="str">
        <x:v>否</x:v>
      </x:c>
      <x:c r="I1277" s="19" t="str">
        <x:v>DAILY_ENTRIES_EXITS</x:v>
      </x:c>
      <x:c r="J1277" s="19" t="str">
        <x:v>京都線</x:v>
      </x:c>
      <x:c r="K1277" s="18" t="str">
        <x:v>transport-node:f13aafd9-0908-592e-a7f4-7643d0a4ff2e</x:v>
      </x:c>
      <x:c r="L1277" s="19" t="str">
        <x:v>组件待审核</x:v>
      </x:c>
      <x:c r="M1277" s="21" t="n">
        <x:v>34.953915</x:v>
      </x:c>
      <x:c r="N1277" s="21" t="n">
        <x:v>135.70466</x:v>
      </x:c>
      <x:c r="O1277" s="18" t="str">
        <x:v>006180</x:v>
      </x:c>
      <x:c r="P1277" s="18" t="str">
        <x:v>京都線</x:v>
      </x:c>
      <x:c r="Q1277" s="19" t="str">
        <x:v>S12_061_GE_10000</x:v>
      </x:c>
      <x:c r="R1277" s="19" t="str">
        <x:v>S12_061 usage threshold</x:v>
      </x:c>
      <x:c r="S1277" s="19" t="str">
        <x:v>https://nlftp.mlit.go.jp/ksj/gml/datalist/KsjTmplt-S12-2024.html</x:v>
      </x:c>
      <x:c r="T1277" s="19" t="str">
        <x:v>https://nlftp.mlit.go.jp/ksj/gml/datalist/KsjTmplt-S12-2024.html</x:v>
      </x:c>
      <x:c r="U1277" s="19" t="str">
        <x:v>station-component|東向日|阪急電鉄|private_rail|34.9539|135.7047|</x:v>
      </x:c>
      <x:c r="V1277" s="19" t="str">
        <x:v>006180 / 006180 / 京都線</x:v>
      </x:c>
      <x:c r="W1277" s="18" t="str">
        <x:v>否</x:v>
      </x:c>
      <x:c r="X1277" s="18" t="str">
        <x:v>0785e932a32b3ec15e1a1345537ae145eafe1c07bf38d5c16c11ee2b391e7a28</x:v>
      </x:c>
      <x:c r="Y1277" s="20" t="n">
        <x:v>1</x:v>
      </x:c>
      <x:c r="Z1277" s="20" t="n">
        <x:v>1</x:v>
      </x:c>
      <x:c r="AA1277" s="19"/>
      <x:c r="AB1277" s="18"/>
      <x:c r="AC1277" s="19"/>
    </x:row>
    <x:row r="1278" ht="28" customHeight="1">
      <x:c r="A1278" s="18" t="str">
        <x:v>東大前</x:v>
      </x:c>
      <x:c r="B1278" s="18" t="str">
        <x:v>東京地下鉄</x:v>
      </x:c>
      <x:c r="C1278" s="18" t="str">
        <x:v>metro</x:v>
      </x:c>
      <x:c r="D1278" s="19" t="str">
        <x:v>T2</x:v>
      </x:c>
      <x:c r="E1278" s="20" t="n">
        <x:v>27311</x:v>
      </x:c>
      <x:c r="F1278" s="18" t="str">
        <x:v>persons/day</x:v>
      </x:c>
      <x:c r="G1278" s="18" t="str">
        <x:v>FY2024</x:v>
      </x:c>
      <x:c r="H1278" s="18" t="str">
        <x:v>否</x:v>
      </x:c>
      <x:c r="I1278" s="19" t="str">
        <x:v>DAILY_ENTRIES_EXITS</x:v>
      </x:c>
      <x:c r="J1278" s="19" t="str">
        <x:v>7号線南北線</x:v>
      </x:c>
      <x:c r="K1278" s="18" t="str">
        <x:v>transport-node:9f58b248-7f3b-5fcc-8965-da3ab7b98f81</x:v>
      </x:c>
      <x:c r="L1278" s="19" t="str">
        <x:v>组件待审核</x:v>
      </x:c>
      <x:c r="M1278" s="21" t="n">
        <x:v>35.718112</x:v>
      </x:c>
      <x:c r="N1278" s="21" t="n">
        <x:v>139.757832</x:v>
      </x:c>
      <x:c r="O1278" s="18" t="str">
        <x:v>003481</x:v>
      </x:c>
      <x:c r="P1278" s="18" t="str">
        <x:v>7号線南北線</x:v>
      </x:c>
      <x:c r="Q1278" s="19" t="str">
        <x:v>S12_061_GE_10000</x:v>
      </x:c>
      <x:c r="R1278" s="19" t="str">
        <x:v>S12_061 usage threshold</x:v>
      </x:c>
      <x:c r="S1278" s="19" t="str">
        <x:v>https://nlftp.mlit.go.jp/ksj/gml/datalist/KsjTmplt-S12-2024.html</x:v>
      </x:c>
      <x:c r="T1278" s="19" t="str">
        <x:v>https://nlftp.mlit.go.jp/ksj/gml/datalist/KsjTmplt-S12-2024.html</x:v>
      </x:c>
      <x:c r="U1278" s="19" t="str">
        <x:v>station-component|東大前|東京地下鉄|metro|35.7181|139.7578|</x:v>
      </x:c>
      <x:c r="V1278" s="19" t="str">
        <x:v>003481 / 003481 / 7号線南北線</x:v>
      </x:c>
      <x:c r="W1278" s="18" t="str">
        <x:v>否</x:v>
      </x:c>
      <x:c r="X1278" s="18" t="str">
        <x:v>0785e932a32b3ec15e1a1345537ae145eafe1c07bf38d5c16c11ee2b391e7a28</x:v>
      </x:c>
      <x:c r="Y1278" s="20" t="n">
        <x:v>1</x:v>
      </x:c>
      <x:c r="Z1278" s="20" t="n">
        <x:v>1</x:v>
      </x:c>
      <x:c r="AA1278" s="19"/>
      <x:c r="AB1278" s="18"/>
      <x:c r="AC1278" s="19"/>
    </x:row>
    <x:row r="1279" ht="28" customHeight="1">
      <x:c r="A1279" s="18" t="str">
        <x:v>東大和市</x:v>
      </x:c>
      <x:c r="B1279" s="18" t="str">
        <x:v>西武鉄道</x:v>
      </x:c>
      <x:c r="C1279" s="18" t="str">
        <x:v>private_rail</x:v>
      </x:c>
      <x:c r="D1279" s="19" t="str">
        <x:v>T2</x:v>
      </x:c>
      <x:c r="E1279" s="20" t="n">
        <x:v>23998</x:v>
      </x:c>
      <x:c r="F1279" s="18" t="str">
        <x:v>persons/day</x:v>
      </x:c>
      <x:c r="G1279" s="18" t="str">
        <x:v>FY2024</x:v>
      </x:c>
      <x:c r="H1279" s="18" t="str">
        <x:v>否</x:v>
      </x:c>
      <x:c r="I1279" s="19" t="str">
        <x:v>DAILY_ENTRIES_EXITS</x:v>
      </x:c>
      <x:c r="J1279" s="19" t="str">
        <x:v>拝島線</x:v>
      </x:c>
      <x:c r="K1279" s="18" t="str">
        <x:v>transport-node:46ddbd14-67a3-53e8-bdc9-242c9d424f9f</x:v>
      </x:c>
      <x:c r="L1279" s="19" t="str">
        <x:v>组件待审核</x:v>
      </x:c>
      <x:c r="M1279" s="21" t="n">
        <x:v>35.732905</x:v>
      </x:c>
      <x:c r="N1279" s="21" t="n">
        <x:v>139.434295</x:v>
      </x:c>
      <x:c r="O1279" s="18" t="str">
        <x:v>003365</x:v>
      </x:c>
      <x:c r="P1279" s="18" t="str">
        <x:v>拝島線</x:v>
      </x:c>
      <x:c r="Q1279" s="19" t="str">
        <x:v>S12_061_GE_10000</x:v>
      </x:c>
      <x:c r="R1279" s="19" t="str">
        <x:v>S12_061 usage threshold</x:v>
      </x:c>
      <x:c r="S1279" s="19" t="str">
        <x:v>https://nlftp.mlit.go.jp/ksj/gml/datalist/KsjTmplt-S12-2024.html</x:v>
      </x:c>
      <x:c r="T1279" s="19" t="str">
        <x:v>https://nlftp.mlit.go.jp/ksj/gml/datalist/KsjTmplt-S12-2024.html</x:v>
      </x:c>
      <x:c r="U1279" s="19" t="str">
        <x:v>station-component|東大和市|西武鉄道|private_rail|35.7329|139.4343|</x:v>
      </x:c>
      <x:c r="V1279" s="19" t="str">
        <x:v>003365 / 003365 / 拝島線</x:v>
      </x:c>
      <x:c r="W1279" s="18" t="str">
        <x:v>否</x:v>
      </x:c>
      <x:c r="X1279" s="18" t="str">
        <x:v>0785e932a32b3ec15e1a1345537ae145eafe1c07bf38d5c16c11ee2b391e7a28</x:v>
      </x:c>
      <x:c r="Y1279" s="20" t="n">
        <x:v>1</x:v>
      </x:c>
      <x:c r="Z1279" s="20" t="n">
        <x:v>1</x:v>
      </x:c>
      <x:c r="AA1279" s="19"/>
      <x:c r="AB1279" s="18"/>
      <x:c r="AC1279" s="19"/>
    </x:row>
    <x:row r="1280" ht="28" customHeight="1">
      <x:c r="A1280" s="18" t="str">
        <x:v>東大宮</x:v>
      </x:c>
      <x:c r="B1280" s="18" t="str">
        <x:v>東日本旅客鉄道</x:v>
      </x:c>
      <x:c r="C1280" s="18" t="str">
        <x:v>conventional_rail</x:v>
      </x:c>
      <x:c r="D1280" s="19" t="str">
        <x:v>T1</x:v>
      </x:c>
      <x:c r="E1280" s="20" t="n">
        <x:v>64474</x:v>
      </x:c>
      <x:c r="F1280" s="18" t="str">
        <x:v>persons/day</x:v>
      </x:c>
      <x:c r="G1280" s="18" t="str">
        <x:v>FY2024</x:v>
      </x:c>
      <x:c r="H1280" s="18" t="str">
        <x:v>否</x:v>
      </x:c>
      <x:c r="I1280" s="19" t="str">
        <x:v>DAILY_ENTRIES_EXITS</x:v>
      </x:c>
      <x:c r="J1280" s="19" t="str">
        <x:v>東北線</x:v>
      </x:c>
      <x:c r="K1280" s="18" t="str">
        <x:v>transport-node:c6429fe4-643f-53ae-9384-36b95a4b30b9</x:v>
      </x:c>
      <x:c r="L1280" s="19" t="str">
        <x:v>组件待审核</x:v>
      </x:c>
      <x:c r="M1280" s="21" t="n">
        <x:v>35.94836</x:v>
      </x:c>
      <x:c r="N1280" s="21" t="n">
        <x:v>139.64026</x:v>
      </x:c>
      <x:c r="O1280" s="18" t="str">
        <x:v>002838</x:v>
      </x:c>
      <x:c r="P1280" s="18" t="str">
        <x:v>東北線</x:v>
      </x:c>
      <x:c r="Q1280" s="19" t="str">
        <x:v>S12_061_GE_10000</x:v>
      </x:c>
      <x:c r="R1280" s="19" t="str">
        <x:v>S12_061 usage threshold</x:v>
      </x:c>
      <x:c r="S1280" s="19" t="str">
        <x:v>https://nlftp.mlit.go.jp/ksj/gml/datalist/KsjTmplt-S12-2024.html</x:v>
      </x:c>
      <x:c r="T1280" s="19" t="str">
        <x:v>https://nlftp.mlit.go.jp/ksj/gml/datalist/KsjTmplt-S12-2024.html</x:v>
      </x:c>
      <x:c r="U1280" s="19" t="str">
        <x:v>station-component|東大宮|東日本旅客鉄道|conventional_rail|35.9484|139.6403|</x:v>
      </x:c>
      <x:c r="V1280" s="19" t="str">
        <x:v>002838 / 002838 / 東北線</x:v>
      </x:c>
      <x:c r="W1280" s="18" t="str">
        <x:v>否</x:v>
      </x:c>
      <x:c r="X1280" s="18" t="str">
        <x:v>0785e932a32b3ec15e1a1345537ae145eafe1c07bf38d5c16c11ee2b391e7a28</x:v>
      </x:c>
      <x:c r="Y1280" s="20" t="n">
        <x:v>1</x:v>
      </x:c>
      <x:c r="Z1280" s="20" t="n">
        <x:v>1</x:v>
      </x:c>
      <x:c r="AA1280" s="19"/>
      <x:c r="AB1280" s="18"/>
      <x:c r="AC1280" s="19"/>
    </x:row>
    <x:row r="1281" ht="28" customHeight="1">
      <x:c r="A1281" s="18" t="str">
        <x:v>東大島</x:v>
      </x:c>
      <x:c r="B1281" s="18" t="str">
        <x:v>東京都</x:v>
      </x:c>
      <x:c r="C1281" s="18" t="str">
        <x:v>metro</x:v>
      </x:c>
      <x:c r="D1281" s="19" t="str">
        <x:v>T2</x:v>
      </x:c>
      <x:c r="E1281" s="20" t="n">
        <x:v>30424</x:v>
      </x:c>
      <x:c r="F1281" s="18" t="str">
        <x:v>persons/day</x:v>
      </x:c>
      <x:c r="G1281" s="18" t="str">
        <x:v>FY2024</x:v>
      </x:c>
      <x:c r="H1281" s="18" t="str">
        <x:v>否</x:v>
      </x:c>
      <x:c r="I1281" s="19" t="str">
        <x:v>DAILY_ENTRIES_EXITS</x:v>
      </x:c>
      <x:c r="J1281" s="19" t="str">
        <x:v>10号線新宿線</x:v>
      </x:c>
      <x:c r="K1281" s="18" t="str">
        <x:v>transport-node:81a52915-0119-5a2d-ab85-b7d9557eb136</x:v>
      </x:c>
      <x:c r="L1281" s="19" t="str">
        <x:v>组件待审核</x:v>
      </x:c>
      <x:c r="M1281" s="21" t="n">
        <x:v>35.689864</x:v>
      </x:c>
      <x:c r="N1281" s="21" t="n">
        <x:v>139.84728</x:v>
      </x:c>
      <x:c r="O1281" s="18" t="str">
        <x:v>003695</x:v>
      </x:c>
      <x:c r="P1281" s="18" t="str">
        <x:v>10号線新宿線</x:v>
      </x:c>
      <x:c r="Q1281" s="19" t="str">
        <x:v>S12_061_GE_10000</x:v>
      </x:c>
      <x:c r="R1281" s="19" t="str">
        <x:v>S12_061 usage threshold</x:v>
      </x:c>
      <x:c r="S1281" s="19" t="str">
        <x:v>https://nlftp.mlit.go.jp/ksj/gml/datalist/KsjTmplt-S12-2024.html</x:v>
      </x:c>
      <x:c r="T1281" s="19" t="str">
        <x:v>https://nlftp.mlit.go.jp/ksj/gml/datalist/KsjTmplt-S12-2024.html</x:v>
      </x:c>
      <x:c r="U1281" s="19" t="str">
        <x:v>station-component|東大島|東京都|metro|35.6899|139.8473|</x:v>
      </x:c>
      <x:c r="V1281" s="19" t="str">
        <x:v>003695 / 003695 / 10号線新宿線</x:v>
      </x:c>
      <x:c r="W1281" s="18" t="str">
        <x:v>否</x:v>
      </x:c>
      <x:c r="X1281" s="18" t="str">
        <x:v>0785e932a32b3ec15e1a1345537ae145eafe1c07bf38d5c16c11ee2b391e7a28</x:v>
      </x:c>
      <x:c r="Y1281" s="20" t="n">
        <x:v>1</x:v>
      </x:c>
      <x:c r="Z1281" s="20" t="n">
        <x:v>1</x:v>
      </x:c>
      <x:c r="AA1281" s="19"/>
      <x:c r="AB1281" s="18"/>
      <x:c r="AC1281" s="19"/>
    </x:row>
    <x:row r="1282" ht="28" customHeight="1">
      <x:c r="A1282" s="18" t="str">
        <x:v>東小金井</x:v>
      </x:c>
      <x:c r="B1282" s="18" t="str">
        <x:v>東日本旅客鉄道</x:v>
      </x:c>
      <x:c r="C1282" s="18" t="str">
        <x:v>conventional_rail</x:v>
      </x:c>
      <x:c r="D1282" s="19" t="str">
        <x:v>T1</x:v>
      </x:c>
      <x:c r="E1282" s="20" t="n">
        <x:v>59298</x:v>
      </x:c>
      <x:c r="F1282" s="18" t="str">
        <x:v>persons/day</x:v>
      </x:c>
      <x:c r="G1282" s="18" t="str">
        <x:v>FY2024</x:v>
      </x:c>
      <x:c r="H1282" s="18" t="str">
        <x:v>否</x:v>
      </x:c>
      <x:c r="I1282" s="19" t="str">
        <x:v>DAILY_ENTRIES_EXITS</x:v>
      </x:c>
      <x:c r="J1282" s="19" t="str">
        <x:v>中央線</x:v>
      </x:c>
      <x:c r="K1282" s="18" t="str">
        <x:v>transport-node:e8ed1075-4481-5d12-9900-9fad019a0a4a</x:v>
      </x:c>
      <x:c r="L1282" s="19" t="str">
        <x:v>组件待审核</x:v>
      </x:c>
      <x:c r="M1282" s="21" t="n">
        <x:v>35.70156</x:v>
      </x:c>
      <x:c r="N1282" s="21" t="n">
        <x:v>139.52376</x:v>
      </x:c>
      <x:c r="O1282" s="18" t="str">
        <x:v>003594</x:v>
      </x:c>
      <x:c r="P1282" s="18" t="str">
        <x:v>中央線</x:v>
      </x:c>
      <x:c r="Q1282" s="19" t="str">
        <x:v>S12_061_GE_10000</x:v>
      </x:c>
      <x:c r="R1282" s="19" t="str">
        <x:v>S12_061 usage threshold</x:v>
      </x:c>
      <x:c r="S1282" s="19" t="str">
        <x:v>https://nlftp.mlit.go.jp/ksj/gml/datalist/KsjTmplt-S12-2024.html</x:v>
      </x:c>
      <x:c r="T1282" s="19" t="str">
        <x:v>https://nlftp.mlit.go.jp/ksj/gml/datalist/KsjTmplt-S12-2024.html</x:v>
      </x:c>
      <x:c r="U1282" s="19" t="str">
        <x:v>station-component|東小金井|東日本旅客鉄道|conventional_rail|35.7016|139.5238|</x:v>
      </x:c>
      <x:c r="V1282" s="19" t="str">
        <x:v>003594 / 003594 / 中央線</x:v>
      </x:c>
      <x:c r="W1282" s="18" t="str">
        <x:v>否</x:v>
      </x:c>
      <x:c r="X1282" s="18" t="str">
        <x:v>0785e932a32b3ec15e1a1345537ae145eafe1c07bf38d5c16c11ee2b391e7a28</x:v>
      </x:c>
      <x:c r="Y1282" s="20" t="n">
        <x:v>1</x:v>
      </x:c>
      <x:c r="Z1282" s="20" t="n">
        <x:v>1</x:v>
      </x:c>
      <x:c r="AA1282" s="19"/>
      <x:c r="AB1282" s="18"/>
      <x:c r="AC1282" s="19"/>
    </x:row>
    <x:row r="1283" ht="28" customHeight="1">
      <x:c r="A1283" s="18" t="str">
        <x:v>東山</x:v>
      </x:c>
      <x:c r="B1283" s="18" t="str">
        <x:v>京都市</x:v>
      </x:c>
      <x:c r="C1283" s="18" t="str">
        <x:v>metro</x:v>
      </x:c>
      <x:c r="D1283" s="19" t="str">
        <x:v>T2</x:v>
      </x:c>
      <x:c r="E1283" s="20" t="n">
        <x:v>20230</x:v>
      </x:c>
      <x:c r="F1283" s="18" t="str">
        <x:v>persons/day</x:v>
      </x:c>
      <x:c r="G1283" s="18" t="str">
        <x:v>FY2024</x:v>
      </x:c>
      <x:c r="H1283" s="18" t="str">
        <x:v>否</x:v>
      </x:c>
      <x:c r="I1283" s="19" t="str">
        <x:v>DAILY_ENTRIES_EXITS</x:v>
      </x:c>
      <x:c r="J1283" s="19" t="str">
        <x:v>東西線</x:v>
      </x:c>
      <x:c r="K1283" s="18" t="str">
        <x:v>transport-node:9529ac4f-772b-50b6-8f85-83824726b763</x:v>
      </x:c>
      <x:c r="L1283" s="19" t="str">
        <x:v>组件待审核</x:v>
      </x:c>
      <x:c r="M1283" s="21" t="n">
        <x:v>35.00944</x:v>
      </x:c>
      <x:c r="N1283" s="21" t="n">
        <x:v>135.77982</x:v>
      </x:c>
      <x:c r="O1283" s="18" t="str">
        <x:v>005969</x:v>
      </x:c>
      <x:c r="P1283" s="18" t="str">
        <x:v>東西線</x:v>
      </x:c>
      <x:c r="Q1283" s="19" t="str">
        <x:v>S12_061_GE_10000</x:v>
      </x:c>
      <x:c r="R1283" s="19" t="str">
        <x:v>S12_061 usage threshold</x:v>
      </x:c>
      <x:c r="S1283" s="19" t="str">
        <x:v>https://nlftp.mlit.go.jp/ksj/gml/datalist/KsjTmplt-S12-2024.html</x:v>
      </x:c>
      <x:c r="T1283" s="19" t="str">
        <x:v>https://nlftp.mlit.go.jp/ksj/gml/datalist/KsjTmplt-S12-2024.html</x:v>
      </x:c>
      <x:c r="U1283" s="19" t="str">
        <x:v>station-component|東山|京都市|metro|35.0094|135.7798|</x:v>
      </x:c>
      <x:c r="V1283" s="19" t="str">
        <x:v>005969 / 005969 / 東西線</x:v>
      </x:c>
      <x:c r="W1283" s="18" t="str">
        <x:v>否</x:v>
      </x:c>
      <x:c r="X1283" s="18" t="str">
        <x:v>0785e932a32b3ec15e1a1345537ae145eafe1c07bf38d5c16c11ee2b391e7a28</x:v>
      </x:c>
      <x:c r="Y1283" s="20" t="n">
        <x:v>1</x:v>
      </x:c>
      <x:c r="Z1283" s="20" t="n">
        <x:v>1</x:v>
      </x:c>
      <x:c r="AA1283" s="19"/>
      <x:c r="AB1283" s="18"/>
      <x:c r="AC1283" s="19"/>
    </x:row>
    <x:row r="1284" ht="28" customHeight="1">
      <x:c r="A1284" s="18" t="str">
        <x:v>東山公園</x:v>
      </x:c>
      <x:c r="B1284" s="18" t="str">
        <x:v>名古屋市</x:v>
      </x:c>
      <x:c r="C1284" s="18" t="str">
        <x:v>metro</x:v>
      </x:c>
      <x:c r="D1284" s="19" t="str">
        <x:v>T2</x:v>
      </x:c>
      <x:c r="E1284" s="20" t="n">
        <x:v>16038</x:v>
      </x:c>
      <x:c r="F1284" s="18" t="str">
        <x:v>persons/day</x:v>
      </x:c>
      <x:c r="G1284" s="18" t="str">
        <x:v>FY2024</x:v>
      </x:c>
      <x:c r="H1284" s="18" t="str">
        <x:v>否</x:v>
      </x:c>
      <x:c r="I1284" s="19" t="str">
        <x:v>DAILY_ENTRIES_EXITS</x:v>
      </x:c>
      <x:c r="J1284" s="19" t="str">
        <x:v>1号線東山線</x:v>
      </x:c>
      <x:c r="K1284" s="18" t="str">
        <x:v>transport-node:763ce815-b59e-59d6-ae92-6a6e724df018</x:v>
      </x:c>
      <x:c r="L1284" s="19" t="str">
        <x:v>组件待审核</x:v>
      </x:c>
      <x:c r="M1284" s="21" t="n">
        <x:v>35.16063</x:v>
      </x:c>
      <x:c r="N1284" s="21" t="n">
        <x:v>136.97264</x:v>
      </x:c>
      <x:c r="O1284" s="18" t="str">
        <x:v>005500</x:v>
      </x:c>
      <x:c r="P1284" s="18" t="str">
        <x:v>1号線東山線</x:v>
      </x:c>
      <x:c r="Q1284" s="19" t="str">
        <x:v>S12_061_GE_10000</x:v>
      </x:c>
      <x:c r="R1284" s="19" t="str">
        <x:v>S12_061 usage threshold</x:v>
      </x:c>
      <x:c r="S1284" s="19" t="str">
        <x:v>https://nlftp.mlit.go.jp/ksj/gml/datalist/KsjTmplt-S12-2024.html</x:v>
      </x:c>
      <x:c r="T1284" s="19" t="str">
        <x:v>https://nlftp.mlit.go.jp/ksj/gml/datalist/KsjTmplt-S12-2024.html</x:v>
      </x:c>
      <x:c r="U1284" s="19" t="str">
        <x:v>station-component|東山公園|名古屋市|metro|35.1606|136.9726|</x:v>
      </x:c>
      <x:c r="V1284" s="19" t="str">
        <x:v>005500 / 005500 / 1号線東山線</x:v>
      </x:c>
      <x:c r="W1284" s="18" t="str">
        <x:v>否</x:v>
      </x:c>
      <x:c r="X1284" s="18" t="str">
        <x:v>0785e932a32b3ec15e1a1345537ae145eafe1c07bf38d5c16c11ee2b391e7a28</x:v>
      </x:c>
      <x:c r="Y1284" s="20" t="n">
        <x:v>1</x:v>
      </x:c>
      <x:c r="Z1284" s="20" t="n">
        <x:v>1</x:v>
      </x:c>
      <x:c r="AA1284" s="19"/>
      <x:c r="AB1284" s="18"/>
      <x:c r="AC1284" s="19"/>
    </x:row>
    <x:row r="1285" ht="28" customHeight="1">
      <x:c r="A1285" s="18" t="str">
        <x:v>東岡崎</x:v>
      </x:c>
      <x:c r="B1285" s="18" t="str">
        <x:v>名古屋鉄道</x:v>
      </x:c>
      <x:c r="C1285" s="18" t="str">
        <x:v>private_rail</x:v>
      </x:c>
      <x:c r="D1285" s="19" t="str">
        <x:v>T2</x:v>
      </x:c>
      <x:c r="E1285" s="20" t="n">
        <x:v>34749</x:v>
      </x:c>
      <x:c r="F1285" s="18" t="str">
        <x:v>persons/day</x:v>
      </x:c>
      <x:c r="G1285" s="18" t="str">
        <x:v>FY2024</x:v>
      </x:c>
      <x:c r="H1285" s="18" t="str">
        <x:v>否</x:v>
      </x:c>
      <x:c r="I1285" s="19" t="str">
        <x:v>DAILY_ENTRIES_EXITS</x:v>
      </x:c>
      <x:c r="J1285" s="19" t="str">
        <x:v>名古屋本線</x:v>
      </x:c>
      <x:c r="K1285" s="18" t="str">
        <x:v>transport-node:63da1e91-c599-559a-9c3c-8a74ab963c9b</x:v>
      </x:c>
      <x:c r="L1285" s="19" t="str">
        <x:v>组件待审核</x:v>
      </x:c>
      <x:c r="M1285" s="21" t="n">
        <x:v>34.95203</x:v>
      </x:c>
      <x:c r="N1285" s="21" t="n">
        <x:v>137.16745</x:v>
      </x:c>
      <x:c r="O1285" s="18" t="str">
        <x:v>006185</x:v>
      </x:c>
      <x:c r="P1285" s="18" t="str">
        <x:v>名古屋本線</x:v>
      </x:c>
      <x:c r="Q1285" s="19" t="str">
        <x:v>S12_061_GE_10000</x:v>
      </x:c>
      <x:c r="R1285" s="19" t="str">
        <x:v>S12_061 usage threshold</x:v>
      </x:c>
      <x:c r="S1285" s="19" t="str">
        <x:v>https://nlftp.mlit.go.jp/ksj/gml/datalist/KsjTmplt-S12-2024.html</x:v>
      </x:c>
      <x:c r="T1285" s="19" t="str">
        <x:v>https://nlftp.mlit.go.jp/ksj/gml/datalist/KsjTmplt-S12-2024.html</x:v>
      </x:c>
      <x:c r="U1285" s="19" t="str">
        <x:v>station-component|東岡崎|名古屋鉄道|private_rail|34.9520|137.1675|</x:v>
      </x:c>
      <x:c r="V1285" s="19" t="str">
        <x:v>006185 / 006185 / 名古屋本線</x:v>
      </x:c>
      <x:c r="W1285" s="18" t="str">
        <x:v>否</x:v>
      </x:c>
      <x:c r="X1285" s="18" t="str">
        <x:v>0785e932a32b3ec15e1a1345537ae145eafe1c07bf38d5c16c11ee2b391e7a28</x:v>
      </x:c>
      <x:c r="Y1285" s="20" t="n">
        <x:v>1</x:v>
      </x:c>
      <x:c r="Z1285" s="20" t="n">
        <x:v>1</x:v>
      </x:c>
      <x:c r="AA1285" s="19"/>
      <x:c r="AB1285" s="18"/>
      <x:c r="AC1285" s="19"/>
    </x:row>
    <x:row r="1286" ht="28" customHeight="1">
      <x:c r="A1286" s="18" t="str">
        <x:v>東岩槻</x:v>
      </x:c>
      <x:c r="B1286" s="18" t="str">
        <x:v>東武鉄道</x:v>
      </x:c>
      <x:c r="C1286" s="18" t="str">
        <x:v>private_rail</x:v>
      </x:c>
      <x:c r="D1286" s="19" t="str">
        <x:v>T2</x:v>
      </x:c>
      <x:c r="E1286" s="20" t="n">
        <x:v>19454</x:v>
      </x:c>
      <x:c r="F1286" s="18" t="str">
        <x:v>persons/day</x:v>
      </x:c>
      <x:c r="G1286" s="18" t="str">
        <x:v>FY2024</x:v>
      </x:c>
      <x:c r="H1286" s="18" t="str">
        <x:v>否</x:v>
      </x:c>
      <x:c r="I1286" s="19" t="str">
        <x:v>DAILY_ENTRIES_EXITS</x:v>
      </x:c>
      <x:c r="J1286" s="19" t="str">
        <x:v>野田線</x:v>
      </x:c>
      <x:c r="K1286" s="18" t="str">
        <x:v>transport-node:e85d41b1-7409-5bbd-b62a-1a18151c2103</x:v>
      </x:c>
      <x:c r="L1286" s="19" t="str">
        <x:v>组件待审核</x:v>
      </x:c>
      <x:c r="M1286" s="21" t="n">
        <x:v>35.96329</x:v>
      </x:c>
      <x:c r="N1286" s="21" t="n">
        <x:v>139.71227</x:v>
      </x:c>
      <x:c r="O1286" s="18" t="str">
        <x:v>002813</x:v>
      </x:c>
      <x:c r="P1286" s="18" t="str">
        <x:v>野田線</x:v>
      </x:c>
      <x:c r="Q1286" s="19" t="str">
        <x:v>S12_061_GE_10000</x:v>
      </x:c>
      <x:c r="R1286" s="19" t="str">
        <x:v>S12_061 usage threshold</x:v>
      </x:c>
      <x:c r="S1286" s="19" t="str">
        <x:v>https://nlftp.mlit.go.jp/ksj/gml/datalist/KsjTmplt-S12-2024.html</x:v>
      </x:c>
      <x:c r="T1286" s="19" t="str">
        <x:v>https://nlftp.mlit.go.jp/ksj/gml/datalist/KsjTmplt-S12-2024.html</x:v>
      </x:c>
      <x:c r="U1286" s="19" t="str">
        <x:v>station-component|東岩槻|東武鉄道|private_rail|35.9633|139.7123|</x:v>
      </x:c>
      <x:c r="V1286" s="19" t="str">
        <x:v>002813 / 002813 / 野田線</x:v>
      </x:c>
      <x:c r="W1286" s="18" t="str">
        <x:v>否</x:v>
      </x:c>
      <x:c r="X1286" s="18" t="str">
        <x:v>0785e932a32b3ec15e1a1345537ae145eafe1c07bf38d5c16c11ee2b391e7a28</x:v>
      </x:c>
      <x:c r="Y1286" s="20" t="n">
        <x:v>1</x:v>
      </x:c>
      <x:c r="Z1286" s="20" t="n">
        <x:v>1</x:v>
      </x:c>
      <x:c r="AA1286" s="19"/>
      <x:c r="AB1286" s="18"/>
      <x:c r="AC1286" s="19"/>
    </x:row>
    <x:row r="1287" ht="28" customHeight="1">
      <x:c r="A1287" s="18" t="str">
        <x:v>東岸和田</x:v>
      </x:c>
      <x:c r="B1287" s="18" t="str">
        <x:v>西日本旅客鉄道</x:v>
      </x:c>
      <x:c r="C1287" s="18" t="str">
        <x:v>conventional_rail</x:v>
      </x:c>
      <x:c r="D1287" s="19" t="str">
        <x:v>T2</x:v>
      </x:c>
      <x:c r="E1287" s="20" t="n">
        <x:v>21556</x:v>
      </x:c>
      <x:c r="F1287" s="18" t="str">
        <x:v>persons/day</x:v>
      </x:c>
      <x:c r="G1287" s="18" t="str">
        <x:v>FY2024</x:v>
      </x:c>
      <x:c r="H1287" s="18" t="str">
        <x:v>否</x:v>
      </x:c>
      <x:c r="I1287" s="19" t="str">
        <x:v>DAILY_ENTRIES_EXITS</x:v>
      </x:c>
      <x:c r="J1287" s="19" t="str">
        <x:v>阪和線</x:v>
      </x:c>
      <x:c r="K1287" s="18" t="str">
        <x:v>transport-node:04381144-0fbc-5f2c-9ddb-1455feffef0a</x:v>
      </x:c>
      <x:c r="L1287" s="19" t="str">
        <x:v>组件待审核</x:v>
      </x:c>
      <x:c r="M1287" s="21" t="n">
        <x:v>34.449325</x:v>
      </x:c>
      <x:c r="N1287" s="21" t="n">
        <x:v>135.385825</x:v>
      </x:c>
      <x:c r="O1287" s="18" t="str">
        <x:v>007939</x:v>
      </x:c>
      <x:c r="P1287" s="18" t="str">
        <x:v>阪和線</x:v>
      </x:c>
      <x:c r="Q1287" s="19" t="str">
        <x:v>S12_061_GE_10000</x:v>
      </x:c>
      <x:c r="R1287" s="19" t="str">
        <x:v>S12_061 usage threshold</x:v>
      </x:c>
      <x:c r="S1287" s="19" t="str">
        <x:v>https://nlftp.mlit.go.jp/ksj/gml/datalist/KsjTmplt-S12-2024.html</x:v>
      </x:c>
      <x:c r="T1287" s="19" t="str">
        <x:v>https://nlftp.mlit.go.jp/ksj/gml/datalist/KsjTmplt-S12-2024.html</x:v>
      </x:c>
      <x:c r="U1287" s="19" t="str">
        <x:v>station-component|東岸和田|西日本旅客鉄道|conventional_rail|34.4493|135.3858|</x:v>
      </x:c>
      <x:c r="V1287" s="19" t="str">
        <x:v>007939 / 007939 / 阪和線</x:v>
      </x:c>
      <x:c r="W1287" s="18" t="str">
        <x:v>否</x:v>
      </x:c>
      <x:c r="X1287" s="18" t="str">
        <x:v>0785e932a32b3ec15e1a1345537ae145eafe1c07bf38d5c16c11ee2b391e7a28</x:v>
      </x:c>
      <x:c r="Y1287" s="20" t="n">
        <x:v>1</x:v>
      </x:c>
      <x:c r="Z1287" s="20" t="n">
        <x:v>1</x:v>
      </x:c>
      <x:c r="AA1287" s="19"/>
      <x:c r="AB1287" s="18"/>
      <x:c r="AC1287" s="19"/>
    </x:row>
    <x:row r="1288" ht="28" customHeight="1">
      <x:c r="A1288" s="18" t="str">
        <x:v>東川口</x:v>
      </x:c>
      <x:c r="B1288" s="18" t="str">
        <x:v>埼玉高速鉄道</x:v>
      </x:c>
      <x:c r="C1288" s="18" t="str">
        <x:v>private_rail</x:v>
      </x:c>
      <x:c r="D1288" s="19" t="str">
        <x:v>T2</x:v>
      </x:c>
      <x:c r="E1288" s="20" t="n">
        <x:v>35900</x:v>
      </x:c>
      <x:c r="F1288" s="18" t="str">
        <x:v>persons/day</x:v>
      </x:c>
      <x:c r="G1288" s="18" t="str">
        <x:v>FY2024</x:v>
      </x:c>
      <x:c r="H1288" s="18" t="str">
        <x:v>否</x:v>
      </x:c>
      <x:c r="I1288" s="19" t="str">
        <x:v>DAILY_ENTRIES_EXITS</x:v>
      </x:c>
      <x:c r="J1288" s="19" t="str">
        <x:v>埼玉高速鉄道線</x:v>
      </x:c>
      <x:c r="K1288" s="18" t="str">
        <x:v>transport-node:a36b7120-ee4d-5bb2-a5a0-a01e3c6c437f</x:v>
      </x:c>
      <x:c r="L1288" s="19" t="str">
        <x:v>组件待审核</x:v>
      </x:c>
      <x:c r="M1288" s="21" t="n">
        <x:v>35.87662</x:v>
      </x:c>
      <x:c r="N1288" s="21" t="n">
        <x:v>139.74367</x:v>
      </x:c>
      <x:c r="O1288" s="18" t="str">
        <x:v>002956</x:v>
      </x:c>
      <x:c r="P1288" s="18" t="str">
        <x:v>埼玉高速鉄道線</x:v>
      </x:c>
      <x:c r="Q1288" s="19" t="str">
        <x:v>S12_061_GE_10000</x:v>
      </x:c>
      <x:c r="R1288" s="19" t="str">
        <x:v>S12_061 usage threshold</x:v>
      </x:c>
      <x:c r="S1288" s="19" t="str">
        <x:v>https://nlftp.mlit.go.jp/ksj/gml/datalist/KsjTmplt-S12-2024.html</x:v>
      </x:c>
      <x:c r="T1288" s="19" t="str">
        <x:v>https://nlftp.mlit.go.jp/ksj/gml/datalist/KsjTmplt-S12-2024.html</x:v>
      </x:c>
      <x:c r="U1288" s="19" t="str">
        <x:v>station-component|東川口|埼玉高速鉄道|private_rail|35.8766|139.7437|</x:v>
      </x:c>
      <x:c r="V1288" s="19" t="str">
        <x:v>002956 / 002956 / 埼玉高速鉄道線</x:v>
      </x:c>
      <x:c r="W1288" s="18" t="str">
        <x:v>否</x:v>
      </x:c>
      <x:c r="X1288" s="18" t="str">
        <x:v>0785e932a32b3ec15e1a1345537ae145eafe1c07bf38d5c16c11ee2b391e7a28</x:v>
      </x:c>
      <x:c r="Y1288" s="20" t="n">
        <x:v>1</x:v>
      </x:c>
      <x:c r="Z1288" s="20" t="n">
        <x:v>1</x:v>
      </x:c>
      <x:c r="AA1288" s="19"/>
      <x:c r="AB1288" s="18"/>
      <x:c r="AC1288" s="19"/>
    </x:row>
    <x:row r="1289" ht="28" customHeight="1">
      <x:c r="A1289" s="18" t="str">
        <x:v>東川口</x:v>
      </x:c>
      <x:c r="B1289" s="18" t="str">
        <x:v>東日本旅客鉄道</x:v>
      </x:c>
      <x:c r="C1289" s="18" t="str">
        <x:v>conventional_rail</x:v>
      </x:c>
      <x:c r="D1289" s="19" t="str">
        <x:v>T1</x:v>
      </x:c>
      <x:c r="E1289" s="20" t="n">
        <x:v>76014</x:v>
      </x:c>
      <x:c r="F1289" s="18" t="str">
        <x:v>persons/day</x:v>
      </x:c>
      <x:c r="G1289" s="18" t="str">
        <x:v>FY2024</x:v>
      </x:c>
      <x:c r="H1289" s="18" t="str">
        <x:v>否</x:v>
      </x:c>
      <x:c r="I1289" s="19" t="str">
        <x:v>DAILY_ENTRIES_EXITS</x:v>
      </x:c>
      <x:c r="J1289" s="19" t="str">
        <x:v>武蔵野線</x:v>
      </x:c>
      <x:c r="K1289" s="18" t="str">
        <x:v>transport-node:aeb9f94c-1d09-5301-84bc-a874a715b363</x:v>
      </x:c>
      <x:c r="L1289" s="19" t="str">
        <x:v>组件待审核</x:v>
      </x:c>
      <x:c r="M1289" s="21" t="n">
        <x:v>35.8751367</x:v>
      </x:c>
      <x:c r="N1289" s="21" t="n">
        <x:v>139.7438967</x:v>
      </x:c>
      <x:c r="O1289" s="18" t="str">
        <x:v>002961</x:v>
      </x:c>
      <x:c r="P1289" s="18" t="str">
        <x:v>武蔵野線</x:v>
      </x:c>
      <x:c r="Q1289" s="19" t="str">
        <x:v>S12_061_GE_10000</x:v>
      </x:c>
      <x:c r="R1289" s="19" t="str">
        <x:v>S12_061 usage threshold</x:v>
      </x:c>
      <x:c r="S1289" s="19" t="str">
        <x:v>https://nlftp.mlit.go.jp/ksj/gml/datalist/KsjTmplt-S12-2024.html</x:v>
      </x:c>
      <x:c r="T1289" s="19" t="str">
        <x:v>https://nlftp.mlit.go.jp/ksj/gml/datalist/KsjTmplt-S12-2024.html</x:v>
      </x:c>
      <x:c r="U1289" s="19" t="str">
        <x:v>station-component|東川口|東日本旅客鉄道|conventional_rail|35.8751|139.7439|</x:v>
      </x:c>
      <x:c r="V1289" s="19" t="str">
        <x:v>002956 / 002961 / 武蔵野線</x:v>
      </x:c>
      <x:c r="W1289" s="18" t="str">
        <x:v>否</x:v>
      </x:c>
      <x:c r="X1289" s="18" t="str">
        <x:v>0785e932a32b3ec15e1a1345537ae145eafe1c07bf38d5c16c11ee2b391e7a28</x:v>
      </x:c>
      <x:c r="Y1289" s="20" t="n">
        <x:v>1</x:v>
      </x:c>
      <x:c r="Z1289" s="20" t="n">
        <x:v>1</x:v>
      </x:c>
      <x:c r="AA1289" s="19"/>
      <x:c r="AB1289" s="18"/>
      <x:c r="AC1289" s="19"/>
    </x:row>
    <x:row r="1290" ht="33" customHeight="1">
      <x:c r="A1290" s="18" t="str">
        <x:v>東広島</x:v>
      </x:c>
      <x:c r="B1290" s="18" t="str">
        <x:v>西日本旅客鉄道</x:v>
      </x:c>
      <x:c r="C1290" s="18" t="str">
        <x:v>shinkansen</x:v>
      </x:c>
      <x:c r="D1290" s="19" t="str">
        <x:v>T3</x:v>
      </x:c>
      <x:c r="E1290" s="20" t="n">
        <x:v>2532</x:v>
      </x:c>
      <x:c r="F1290" s="18" t="str">
        <x:v>persons/day</x:v>
      </x:c>
      <x:c r="G1290" s="18" t="str">
        <x:v>FY2024</x:v>
      </x:c>
      <x:c r="H1290" s="18" t="str">
        <x:v>否</x:v>
      </x:c>
      <x:c r="I1290" s="19" t="str">
        <x:v>DAILY_ENTRIES_EXITS</x:v>
      </x:c>
      <x:c r="J1290" s="19" t="str">
        <x:v>山陽新幹線</x:v>
      </x:c>
      <x:c r="K1290" s="18" t="str">
        <x:v>transport-node:f4d85a53-c428-5ca3-9927-ff69053472d2</x:v>
      </x:c>
      <x:c r="L1290" s="19" t="str">
        <x:v>组件待审核</x:v>
      </x:c>
      <x:c r="M1290" s="21" t="n">
        <x:v>34.38919</x:v>
      </x:c>
      <x:c r="N1290" s="21" t="n">
        <x:v>132.7594567</x:v>
      </x:c>
      <x:c r="O1290" s="18" t="str">
        <x:v>008080</x:v>
      </x:c>
      <x:c r="P1290" s="18" t="str">
        <x:v>山陽新幹線</x:v>
      </x:c>
      <x:c r="Q1290" s="19" t="str">
        <x:v>SHINKANSEN</x:v>
      </x:c>
      <x:c r="R1290" s="19" t="str">
        <x:v>S12_061 usage threshold; low-flow inclusion justified by Shinkansen inventory</x:v>
      </x:c>
      <x:c r="S1290" s="19" t="str">
        <x:v>https://nlftp.mlit.go.jp/ksj/gml/datalist/KsjTmplt-S12-2024.html</x:v>
      </x:c>
      <x:c r="T1290" s="19" t="str">
        <x:v>https://nlftp.mlit.go.jp/ksj/gml/datalist/KsjTmplt-S12-2024.html</x:v>
      </x:c>
      <x:c r="U1290" s="19" t="str">
        <x:v>station-component|東広島|西日本旅客鉄道|shinkansen|34.3892|132.7595|</x:v>
      </x:c>
      <x:c r="V1290" s="19" t="str">
        <x:v>008080 / 008080 / 山陽新幹線</x:v>
      </x:c>
      <x:c r="W1290" s="18" t="str">
        <x:v>否</x:v>
      </x:c>
      <x:c r="X1290" s="18" t="str">
        <x:v>0785e932a32b3ec15e1a1345537ae145eafe1c07bf38d5c16c11ee2b391e7a28</x:v>
      </x:c>
      <x:c r="Y1290" s="20" t="n">
        <x:v>1</x:v>
      </x:c>
      <x:c r="Z1290" s="20" t="n">
        <x:v>1</x:v>
      </x:c>
      <x:c r="AA1290" s="19"/>
      <x:c r="AB1290" s="18"/>
      <x:c r="AC1290" s="19"/>
    </x:row>
    <x:row r="1291" ht="33" customHeight="1">
      <x:c r="A1291" s="18" t="str">
        <x:v>東府中</x:v>
      </x:c>
      <x:c r="B1291" s="18" t="str">
        <x:v>京王電鉄</x:v>
      </x:c>
      <x:c r="C1291" s="18" t="str">
        <x:v>private_rail</x:v>
      </x:c>
      <x:c r="D1291" s="19" t="str">
        <x:v>T2</x:v>
      </x:c>
      <x:c r="E1291" s="20" t="n">
        <x:v>19944</x:v>
      </x:c>
      <x:c r="F1291" s="18" t="str">
        <x:v>persons/day</x:v>
      </x:c>
      <x:c r="G1291" s="18" t="str">
        <x:v>FY2024</x:v>
      </x:c>
      <x:c r="H1291" s="18" t="str">
        <x:v>否</x:v>
      </x:c>
      <x:c r="I1291" s="19" t="str">
        <x:v>DAILY_ENTRIES_EXITS</x:v>
      </x:c>
      <x:c r="J1291" s="19" t="str">
        <x:v>京王線
競馬場線</x:v>
      </x:c>
      <x:c r="K1291" s="18" t="str">
        <x:v>transport-node:370444a1-da4b-5e94-b861-c20f2ad48499</x:v>
      </x:c>
      <x:c r="L1291" s="19" t="str">
        <x:v>组件待审核</x:v>
      </x:c>
      <x:c r="M1291" s="21" t="n">
        <x:v>35.66877</x:v>
      </x:c>
      <x:c r="N1291" s="21" t="n">
        <x:v>139.4954</x:v>
      </x:c>
      <x:c r="O1291" s="18" t="str">
        <x:v>003850</x:v>
      </x:c>
      <x:c r="P1291" s="18" t="str">
        <x:v>京王線</x:v>
      </x:c>
      <x:c r="Q1291" s="19" t="str">
        <x:v>S12_061_GE_10000</x:v>
      </x:c>
      <x:c r="R1291" s="19" t="str">
        <x:v>S12_061 usage threshold</x:v>
      </x:c>
      <x:c r="S1291" s="19" t="str">
        <x:v>https://nlftp.mlit.go.jp/ksj/gml/datalist/KsjTmplt-S12-2024.html</x:v>
      </x:c>
      <x:c r="T1291" s="19" t="str">
        <x:v>https://nlftp.mlit.go.jp/ksj/gml/datalist/KsjTmplt-S12-2024.html</x:v>
      </x:c>
      <x:c r="U1291" s="19" t="str">
        <x:v>station-component|東府中|京王電鉄|private_rail|35.6688|139.4954|</x:v>
      </x:c>
      <x:c r="V1291" s="19" t="str">
        <x:v>003850 / 003850 / 京王線
003850 / 003851 / 競馬場線</x:v>
      </x:c>
      <x:c r="W1291" s="18" t="str">
        <x:v>否</x:v>
      </x:c>
      <x:c r="X1291" s="18" t="str">
        <x:v>0785e932a32b3ec15e1a1345537ae145eafe1c07bf38d5c16c11ee2b391e7a28</x:v>
      </x:c>
      <x:c r="Y1291" s="20" t="n">
        <x:v>1</x:v>
      </x:c>
      <x:c r="Z1291" s="20" t="n">
        <x:v>1</x:v>
      </x:c>
      <x:c r="AA1291" s="19"/>
      <x:c r="AB1291" s="18"/>
      <x:c r="AC1291" s="19"/>
    </x:row>
    <x:row r="1292" ht="28" customHeight="1">
      <x:c r="A1292" s="18" t="str">
        <x:v>東戸塚</x:v>
      </x:c>
      <x:c r="B1292" s="18" t="str">
        <x:v>東日本旅客鉄道</x:v>
      </x:c>
      <x:c r="C1292" s="18" t="str">
        <x:v>conventional_rail</x:v>
      </x:c>
      <x:c r="D1292" s="19" t="str">
        <x:v>T1</x:v>
      </x:c>
      <x:c r="E1292" s="20" t="n">
        <x:v>103486</x:v>
      </x:c>
      <x:c r="F1292" s="18" t="str">
        <x:v>persons/day</x:v>
      </x:c>
      <x:c r="G1292" s="18" t="str">
        <x:v>FY2024</x:v>
      </x:c>
      <x:c r="H1292" s="18" t="str">
        <x:v>否</x:v>
      </x:c>
      <x:c r="I1292" s="19" t="str">
        <x:v>DAILY_ENTRIES_EXITS</x:v>
      </x:c>
      <x:c r="J1292" s="19" t="str">
        <x:v>東海道線</x:v>
      </x:c>
      <x:c r="K1292" s="18" t="str">
        <x:v>transport-node:e62de55d-9e83-5e60-a091-df59e9dbac04</x:v>
      </x:c>
      <x:c r="L1292" s="19" t="str">
        <x:v>组件待审核</x:v>
      </x:c>
      <x:c r="M1292" s="21" t="n">
        <x:v>35.430008</x:v>
      </x:c>
      <x:c r="N1292" s="21" t="n">
        <x:v>139.556504</x:v>
      </x:c>
      <x:c r="O1292" s="18" t="str">
        <x:v>004741</x:v>
      </x:c>
      <x:c r="P1292" s="18" t="str">
        <x:v>東海道線</x:v>
      </x:c>
      <x:c r="Q1292" s="19" t="str">
        <x:v>S12_061_GE_10000</x:v>
      </x:c>
      <x:c r="R1292" s="19" t="str">
        <x:v>S12_061 usage threshold</x:v>
      </x:c>
      <x:c r="S1292" s="19" t="str">
        <x:v>https://nlftp.mlit.go.jp/ksj/gml/datalist/KsjTmplt-S12-2024.html</x:v>
      </x:c>
      <x:c r="T1292" s="19" t="str">
        <x:v>https://nlftp.mlit.go.jp/ksj/gml/datalist/KsjTmplt-S12-2024.html</x:v>
      </x:c>
      <x:c r="U1292" s="19" t="str">
        <x:v>station-component|東戸塚|東日本旅客鉄道|conventional_rail|35.4300|139.5565|</x:v>
      </x:c>
      <x:c r="V1292" s="19" t="str">
        <x:v>004741 / 004741 / 東海道線</x:v>
      </x:c>
      <x:c r="W1292" s="18" t="str">
        <x:v>否</x:v>
      </x:c>
      <x:c r="X1292" s="18" t="str">
        <x:v>0785e932a32b3ec15e1a1345537ae145eafe1c07bf38d5c16c11ee2b391e7a28</x:v>
      </x:c>
      <x:c r="Y1292" s="20" t="n">
        <x:v>1</x:v>
      </x:c>
      <x:c r="Z1292" s="20" t="n">
        <x:v>1</x:v>
      </x:c>
      <x:c r="AA1292" s="19"/>
      <x:c r="AB1292" s="18"/>
      <x:c r="AC1292" s="19"/>
    </x:row>
    <x:row r="1293" ht="28" customHeight="1">
      <x:c r="A1293" s="18" t="str">
        <x:v>東所沢</x:v>
      </x:c>
      <x:c r="B1293" s="18" t="str">
        <x:v>東日本旅客鉄道</x:v>
      </x:c>
      <x:c r="C1293" s="18" t="str">
        <x:v>conventional_rail</x:v>
      </x:c>
      <x:c r="D1293" s="19" t="str">
        <x:v>T2</x:v>
      </x:c>
      <x:c r="E1293" s="20" t="n">
        <x:v>31078</x:v>
      </x:c>
      <x:c r="F1293" s="18" t="str">
        <x:v>persons/day</x:v>
      </x:c>
      <x:c r="G1293" s="18" t="str">
        <x:v>FY2024</x:v>
      </x:c>
      <x:c r="H1293" s="18" t="str">
        <x:v>否</x:v>
      </x:c>
      <x:c r="I1293" s="19" t="str">
        <x:v>DAILY_ENTRIES_EXITS</x:v>
      </x:c>
      <x:c r="J1293" s="19" t="str">
        <x:v>武蔵野線</x:v>
      </x:c>
      <x:c r="K1293" s="18" t="str">
        <x:v>transport-node:5f61341f-6a0d-5318-a0f1-8a26ac3f196f</x:v>
      </x:c>
      <x:c r="L1293" s="19" t="str">
        <x:v>组件待审核</x:v>
      </x:c>
      <x:c r="M1293" s="21" t="n">
        <x:v>35.79489</x:v>
      </x:c>
      <x:c r="N1293" s="21" t="n">
        <x:v>139.51454</x:v>
      </x:c>
      <x:c r="O1293" s="18" t="str">
        <x:v>003100</x:v>
      </x:c>
      <x:c r="P1293" s="18" t="str">
        <x:v>武蔵野線</x:v>
      </x:c>
      <x:c r="Q1293" s="19" t="str">
        <x:v>S12_061_GE_10000</x:v>
      </x:c>
      <x:c r="R1293" s="19" t="str">
        <x:v>S12_061 usage threshold</x:v>
      </x:c>
      <x:c r="S1293" s="19" t="str">
        <x:v>https://nlftp.mlit.go.jp/ksj/gml/datalist/KsjTmplt-S12-2024.html</x:v>
      </x:c>
      <x:c r="T1293" s="19" t="str">
        <x:v>https://nlftp.mlit.go.jp/ksj/gml/datalist/KsjTmplt-S12-2024.html</x:v>
      </x:c>
      <x:c r="U1293" s="19" t="str">
        <x:v>station-component|東所沢|東日本旅客鉄道|conventional_rail|35.7949|139.5145|</x:v>
      </x:c>
      <x:c r="V1293" s="19" t="str">
        <x:v>003100 / 003100 / 武蔵野線</x:v>
      </x:c>
      <x:c r="W1293" s="18" t="str">
        <x:v>否</x:v>
      </x:c>
      <x:c r="X1293" s="18" t="str">
        <x:v>0785e932a32b3ec15e1a1345537ae145eafe1c07bf38d5c16c11ee2b391e7a28</x:v>
      </x:c>
      <x:c r="Y1293" s="20" t="n">
        <x:v>1</x:v>
      </x:c>
      <x:c r="Z1293" s="20" t="n">
        <x:v>1</x:v>
      </x:c>
      <x:c r="AA1293" s="19"/>
      <x:c r="AB1293" s="18"/>
      <x:c r="AC1293" s="19"/>
    </x:row>
    <x:row r="1294" ht="33" customHeight="1">
      <x:c r="A1294" s="18" t="str">
        <x:v>東新宿</x:v>
      </x:c>
      <x:c r="B1294" s="18" t="str">
        <x:v>東京地下鉄</x:v>
      </x:c>
      <x:c r="C1294" s="18" t="str">
        <x:v>metro</x:v>
      </x:c>
      <x:c r="D1294" s="19" t="str">
        <x:v>T2</x:v>
      </x:c>
      <x:c r="E1294" s="20" t="n">
        <x:v>40302</x:v>
      </x:c>
      <x:c r="F1294" s="18" t="str">
        <x:v>persons/day</x:v>
      </x:c>
      <x:c r="G1294" s="18" t="str">
        <x:v>FY2024</x:v>
      </x:c>
      <x:c r="H1294" s="18" t="str">
        <x:v>否</x:v>
      </x:c>
      <x:c r="I1294" s="19" t="str">
        <x:v>DAILY_ENTRIES_EXITS</x:v>
      </x:c>
      <x:c r="J1294" s="19" t="str">
        <x:v>13号線副都心線</x:v>
      </x:c>
      <x:c r="K1294" s="18" t="str">
        <x:v>transport-node:59badb37-2ecd-5f38-a9fd-29e5752c6a98</x:v>
      </x:c>
      <x:c r="L1294" s="19" t="str">
        <x:v>组件待审核</x:v>
      </x:c>
      <x:c r="M1294" s="21" t="n">
        <x:v>35.7001067</x:v>
      </x:c>
      <x:c r="N1294" s="21" t="n">
        <x:v>139.7078967</x:v>
      </x:c>
      <x:c r="O1294" s="18" t="str">
        <x:v>003612</x:v>
      </x:c>
      <x:c r="P1294" s="18" t="str">
        <x:v>13号線副都心線</x:v>
      </x:c>
      <x:c r="Q1294" s="19" t="str">
        <x:v>S12_061_GE_10000
OFFICIAL_HUB_COMPONENT_REVIEW</x:v>
      </x:c>
      <x:c r="R1294" s="19" t="str">
        <x:v>S12_061 usage threshold</x:v>
      </x:c>
      <x:c r="S1294" s="19" t="str">
        <x:v>https://nlftp.mlit.go.jp/ksj/gml/datalist/KsjTmplt-S12-2024.html</x:v>
      </x:c>
      <x:c r="T1294" s="19" t="str">
        <x:v>https://nlftp.mlit.go.jp/ksj/gml/datalist/KsjTmplt-S12-2024.html
https://www.tokyometro.jp/station/higashi-shinjuku/index.html</x:v>
      </x:c>
      <x:c r="U1294" s="19" t="str">
        <x:v>station-component|東新宿|東京地下鉄|metro|35.7001|139.7079|</x:v>
      </x:c>
      <x:c r="V1294" s="19" t="str">
        <x:v>003612 / 003612 / 13号線副都心線</x:v>
      </x:c>
      <x:c r="W1294" s="18" t="str">
        <x:v>否</x:v>
      </x:c>
      <x:c r="X1294" s="18" t="str">
        <x:v>0785e932a32b3ec15e1a1345537ae145eafe1c07bf38d5c16c11ee2b391e7a28</x:v>
      </x:c>
      <x:c r="Y1294" s="20" t="n">
        <x:v>1</x:v>
      </x:c>
      <x:c r="Z1294" s="20" t="n">
        <x:v>1</x:v>
      </x:c>
      <x:c r="AA1294" s="19" t="str">
        <x:v>東新宿</x:v>
      </x:c>
      <x:c r="AB1294" s="18" t="str">
        <x:v>transport-hub-review:f252cb2f-92de-5cb2-8347-c68aca1d4e04</x:v>
      </x:c>
      <x:c r="AC1294" s="19"/>
    </x:row>
    <x:row r="1295" ht="33" customHeight="1">
      <x:c r="A1295" s="18" t="str">
        <x:v>東新宿</x:v>
      </x:c>
      <x:c r="B1295" s="18" t="str">
        <x:v>東京都</x:v>
      </x:c>
      <x:c r="C1295" s="18" t="str">
        <x:v>metro</x:v>
      </x:c>
      <x:c r="D1295" s="19" t="str">
        <x:v>T2</x:v>
      </x:c>
      <x:c r="E1295" s="20" t="n">
        <x:v>28073</x:v>
      </x:c>
      <x:c r="F1295" s="18" t="str">
        <x:v>persons/day</x:v>
      </x:c>
      <x:c r="G1295" s="18" t="str">
        <x:v>FY2024</x:v>
      </x:c>
      <x:c r="H1295" s="18" t="str">
        <x:v>否</x:v>
      </x:c>
      <x:c r="I1295" s="19" t="str">
        <x:v>DAILY_ENTRIES_EXITS</x:v>
      </x:c>
      <x:c r="J1295" s="19" t="str">
        <x:v>12号線大江戸線</x:v>
      </x:c>
      <x:c r="K1295" s="18" t="str">
        <x:v>transport-node:1bc89db7-29d2-5812-9208-f40612577e94</x:v>
      </x:c>
      <x:c r="L1295" s="19" t="str">
        <x:v>组件待审核</x:v>
      </x:c>
      <x:c r="M1295" s="21" t="n">
        <x:v>35.697895</x:v>
      </x:c>
      <x:c r="N1295" s="21" t="n">
        <x:v>139.70769</x:v>
      </x:c>
      <x:c r="O1295" s="18" t="str">
        <x:v>003630</x:v>
      </x:c>
      <x:c r="P1295" s="18" t="str">
        <x:v>12号線大江戸線</x:v>
      </x:c>
      <x:c r="Q1295" s="19" t="str">
        <x:v>S12_061_GE_10000
OFFICIAL_HUB_COMPONENT_REVIEW</x:v>
      </x:c>
      <x:c r="R1295" s="19" t="str">
        <x:v>S12_061 usage threshold</x:v>
      </x:c>
      <x:c r="S1295" s="19" t="str">
        <x:v>https://nlftp.mlit.go.jp/ksj/gml/datalist/KsjTmplt-S12-2024.html</x:v>
      </x:c>
      <x:c r="T1295" s="19" t="str">
        <x:v>https://nlftp.mlit.go.jp/ksj/gml/datalist/KsjTmplt-S12-2024.html
https://www.tokyometro.jp/station/higashi-shinjuku/index.html</x:v>
      </x:c>
      <x:c r="U1295" s="19" t="str">
        <x:v>station-component|東新宿|東京都|metro|35.6979|139.7077|</x:v>
      </x:c>
      <x:c r="V1295" s="19" t="str">
        <x:v>003612 / 003630 / 12号線大江戸線</x:v>
      </x:c>
      <x:c r="W1295" s="18" t="str">
        <x:v>否</x:v>
      </x:c>
      <x:c r="X1295" s="18" t="str">
        <x:v>0785e932a32b3ec15e1a1345537ae145eafe1c07bf38d5c16c11ee2b391e7a28</x:v>
      </x:c>
      <x:c r="Y1295" s="20" t="n">
        <x:v>1</x:v>
      </x:c>
      <x:c r="Z1295" s="20" t="n">
        <x:v>1</x:v>
      </x:c>
      <x:c r="AA1295" s="19" t="str">
        <x:v>東新宿</x:v>
      </x:c>
      <x:c r="AB1295" s="18" t="str">
        <x:v>transport-hub-review:f252cb2f-92de-5cb2-8347-c68aca1d4e04</x:v>
      </x:c>
      <x:c r="AC1295" s="19"/>
    </x:row>
    <x:row r="1296" ht="28" customHeight="1">
      <x:c r="A1296" s="18" t="str">
        <x:v>東日本橋</x:v>
      </x:c>
      <x:c r="B1296" s="18" t="str">
        <x:v>東京都</x:v>
      </x:c>
      <x:c r="C1296" s="18" t="str">
        <x:v>metro</x:v>
      </x:c>
      <x:c r="D1296" s="19" t="str">
        <x:v>T2</x:v>
      </x:c>
      <x:c r="E1296" s="20" t="n">
        <x:v>25398</x:v>
      </x:c>
      <x:c r="F1296" s="18" t="str">
        <x:v>persons/day</x:v>
      </x:c>
      <x:c r="G1296" s="18" t="str">
        <x:v>FY2024</x:v>
      </x:c>
      <x:c r="H1296" s="18" t="str">
        <x:v>否</x:v>
      </x:c>
      <x:c r="I1296" s="19" t="str">
        <x:v>DAILY_ENTRIES_EXITS</x:v>
      </x:c>
      <x:c r="J1296" s="19" t="str">
        <x:v>1号線浅草線</x:v>
      </x:c>
      <x:c r="K1296" s="18" t="str">
        <x:v>transport-node:a4418930-29fd-578b-bf7e-05a3ca12c600</x:v>
      </x:c>
      <x:c r="L1296" s="19" t="str">
        <x:v>组件待审核</x:v>
      </x:c>
      <x:c r="M1296" s="21" t="n">
        <x:v>35.69171</x:v>
      </x:c>
      <x:c r="N1296" s="21" t="n">
        <x:v>139.7847787</x:v>
      </x:c>
      <x:c r="O1296" s="18" t="str">
        <x:v>003676</x:v>
      </x:c>
      <x:c r="P1296" s="18" t="str">
        <x:v>1号線浅草線</x:v>
      </x:c>
      <x:c r="Q1296" s="19" t="str">
        <x:v>S12_061_GE_10000</x:v>
      </x:c>
      <x:c r="R1296" s="19" t="str">
        <x:v>S12_061 usage threshold</x:v>
      </x:c>
      <x:c r="S1296" s="19" t="str">
        <x:v>https://nlftp.mlit.go.jp/ksj/gml/datalist/KsjTmplt-S12-2024.html</x:v>
      </x:c>
      <x:c r="T1296" s="19" t="str">
        <x:v>https://nlftp.mlit.go.jp/ksj/gml/datalist/KsjTmplt-S12-2024.html</x:v>
      </x:c>
      <x:c r="U1296" s="19" t="str">
        <x:v>station-component|東日本橋|東京都|metro|35.6917|139.7848|</x:v>
      </x:c>
      <x:c r="V1296" s="19" t="str">
        <x:v>003676 / 003676 / 1号線浅草線</x:v>
      </x:c>
      <x:c r="W1296" s="18" t="str">
        <x:v>否</x:v>
      </x:c>
      <x:c r="X1296" s="18" t="str">
        <x:v>0785e932a32b3ec15e1a1345537ae145eafe1c07bf38d5c16c11ee2b391e7a28</x:v>
      </x:c>
      <x:c r="Y1296" s="20" t="n">
        <x:v>1</x:v>
      </x:c>
      <x:c r="Z1296" s="20" t="n">
        <x:v>1</x:v>
      </x:c>
      <x:c r="AA1296" s="19"/>
      <x:c r="AB1296" s="18"/>
      <x:c r="AC1296" s="19"/>
    </x:row>
    <x:row r="1297" ht="28" customHeight="1">
      <x:c r="A1297" s="18" t="str">
        <x:v>東札幌</x:v>
      </x:c>
      <x:c r="B1297" s="18" t="str">
        <x:v>札幌市</x:v>
      </x:c>
      <x:c r="C1297" s="18" t="str">
        <x:v>metro</x:v>
      </x:c>
      <x:c r="D1297" s="19" t="str">
        <x:v>T2</x:v>
      </x:c>
      <x:c r="E1297" s="20" t="n">
        <x:v>23634</x:v>
      </x:c>
      <x:c r="F1297" s="18" t="str">
        <x:v>persons/day</x:v>
      </x:c>
      <x:c r="G1297" s="18" t="str">
        <x:v>FY2024</x:v>
      </x:c>
      <x:c r="H1297" s="18" t="str">
        <x:v>否</x:v>
      </x:c>
      <x:c r="I1297" s="19" t="str">
        <x:v>DAILY_ENTRIES_EXITS</x:v>
      </x:c>
      <x:c r="J1297" s="19" t="str">
        <x:v>東西線</x:v>
      </x:c>
      <x:c r="K1297" s="18" t="str">
        <x:v>transport-node:ab5a5b9b-965b-5bba-80c3-5c009eae209e</x:v>
      </x:c>
      <x:c r="L1297" s="19" t="str">
        <x:v>组件待审核</x:v>
      </x:c>
      <x:c r="M1297" s="21" t="n">
        <x:v>43.0517933</x:v>
      </x:c>
      <x:c r="N1297" s="21" t="n">
        <x:v>141.38472</x:v>
      </x:c>
      <x:c r="O1297" s="18" t="str">
        <x:v>000258</x:v>
      </x:c>
      <x:c r="P1297" s="18" t="str">
        <x:v>東西線</x:v>
      </x:c>
      <x:c r="Q1297" s="19" t="str">
        <x:v>S12_061_GE_10000</x:v>
      </x:c>
      <x:c r="R1297" s="19" t="str">
        <x:v>S12_061 usage threshold</x:v>
      </x:c>
      <x:c r="S1297" s="19" t="str">
        <x:v>https://nlftp.mlit.go.jp/ksj/gml/datalist/KsjTmplt-S12-2024.html</x:v>
      </x:c>
      <x:c r="T1297" s="19" t="str">
        <x:v>https://nlftp.mlit.go.jp/ksj/gml/datalist/KsjTmplt-S12-2024.html</x:v>
      </x:c>
      <x:c r="U1297" s="19" t="str">
        <x:v>station-component|東札幌|札幌市|metro|43.0518|141.3847|</x:v>
      </x:c>
      <x:c r="V1297" s="19" t="str">
        <x:v>000258 / 000258 / 東西線</x:v>
      </x:c>
      <x:c r="W1297" s="18" t="str">
        <x:v>否</x:v>
      </x:c>
      <x:c r="X1297" s="18" t="str">
        <x:v>0785e932a32b3ec15e1a1345537ae145eafe1c07bf38d5c16c11ee2b391e7a28</x:v>
      </x:c>
      <x:c r="Y1297" s="20" t="n">
        <x:v>1</x:v>
      </x:c>
      <x:c r="Z1297" s="20" t="n">
        <x:v>1</x:v>
      </x:c>
      <x:c r="AA1297" s="19"/>
      <x:c r="AB1297" s="18"/>
      <x:c r="AC1297" s="19"/>
    </x:row>
    <x:row r="1298" ht="47" customHeight="1">
      <x:c r="A1298" s="18" t="str">
        <x:v>東村山</x:v>
      </x:c>
      <x:c r="B1298" s="18" t="str">
        <x:v>西武鉄道</x:v>
      </x:c>
      <x:c r="C1298" s="18" t="str">
        <x:v>private_rail</x:v>
      </x:c>
      <x:c r="D1298" s="19" t="str">
        <x:v>T2</x:v>
      </x:c>
      <x:c r="E1298" s="20" t="n">
        <x:v>45102</x:v>
      </x:c>
      <x:c r="F1298" s="18" t="str">
        <x:v>persons/day</x:v>
      </x:c>
      <x:c r="G1298" s="18" t="str">
        <x:v>FY2024</x:v>
      </x:c>
      <x:c r="H1298" s="18" t="str">
        <x:v>否</x:v>
      </x:c>
      <x:c r="I1298" s="19" t="str">
        <x:v>DAILY_ENTRIES_EXITS</x:v>
      </x:c>
      <x:c r="J1298" s="19" t="str">
        <x:v>国分寺線
新宿線
西武園線</x:v>
      </x:c>
      <x:c r="K1298" s="18" t="str">
        <x:v>transport-node:5d9b45cb-dc30-573e-b193-e3de9554b465</x:v>
      </x:c>
      <x:c r="L1298" s="19" t="str">
        <x:v>组件待审核</x:v>
      </x:c>
      <x:c r="M1298" s="21" t="n">
        <x:v>35.759965</x:v>
      </x:c>
      <x:c r="N1298" s="21" t="n">
        <x:v>139.46586</x:v>
      </x:c>
      <x:c r="O1298" s="18" t="str">
        <x:v>003221</x:v>
      </x:c>
      <x:c r="P1298" s="18" t="str">
        <x:v>新宿線</x:v>
      </x:c>
      <x:c r="Q1298" s="19" t="str">
        <x:v>S12_061_GE_10000
OFFICIAL_HUB_COMPONENT_REVIEW</x:v>
      </x:c>
      <x:c r="R1298" s="19" t="str">
        <x:v>S12_061 usage threshold</x:v>
      </x:c>
      <x:c r="S1298" s="19" t="str">
        <x:v>https://nlftp.mlit.go.jp/ksj/gml/datalist/KsjTmplt-S12-2024.html</x:v>
      </x:c>
      <x:c r="T1298" s="19" t="str">
        <x:v>https://nlftp.mlit.go.jp/ksj/gml/datalist/KsjTmplt-S12-2024.html
https://www.seiburailway.jp/railway/station/</x:v>
      </x:c>
      <x:c r="U1298" s="19" t="str">
        <x:v>station-component|東村山|西武鉄道|private_rail|35.7600|139.4659|</x:v>
      </x:c>
      <x:c r="V1298" s="19" t="str">
        <x:v>003220 / 003220 / 国分寺線
003220 / 003221 / 新宿線
003220 / 003222 / 西武園線</x:v>
      </x:c>
      <x:c r="W1298" s="18" t="str">
        <x:v>否</x:v>
      </x:c>
      <x:c r="X1298" s="18" t="str">
        <x:v>0785e932a32b3ec15e1a1345537ae145eafe1c07bf38d5c16c11ee2b391e7a28</x:v>
      </x:c>
      <x:c r="Y1298" s="20" t="n">
        <x:v>1</x:v>
      </x:c>
      <x:c r="Z1298" s="20" t="n">
        <x:v>1</x:v>
      </x:c>
      <x:c r="AA1298" s="19" t="str">
        <x:v>東村山</x:v>
      </x:c>
      <x:c r="AB1298" s="18" t="str">
        <x:v>transport-hub-review:47be28b0-6851-576f-b586-bcb2598d7af6</x:v>
      </x:c>
      <x:c r="AC1298" s="19"/>
    </x:row>
    <x:row r="1299" ht="28" customHeight="1">
      <x:c r="A1299" s="18" t="str">
        <x:v>東松原</x:v>
      </x:c>
      <x:c r="B1299" s="18" t="str">
        <x:v>京王電鉄</x:v>
      </x:c>
      <x:c r="C1299" s="18" t="str">
        <x:v>private_rail</x:v>
      </x:c>
      <x:c r="D1299" s="19" t="str">
        <x:v>T2</x:v>
      </x:c>
      <x:c r="E1299" s="20" t="n">
        <x:v>15426</x:v>
      </x:c>
      <x:c r="F1299" s="18" t="str">
        <x:v>persons/day</x:v>
      </x:c>
      <x:c r="G1299" s="18" t="str">
        <x:v>FY2024</x:v>
      </x:c>
      <x:c r="H1299" s="18" t="str">
        <x:v>否</x:v>
      </x:c>
      <x:c r="I1299" s="19" t="str">
        <x:v>DAILY_ENTRIES_EXITS</x:v>
      </x:c>
      <x:c r="J1299" s="19" t="str">
        <x:v>井の頭線</x:v>
      </x:c>
      <x:c r="K1299" s="18" t="str">
        <x:v>transport-node:b7f85e69-e6a1-5219-96d4-2ba98fb5656a</x:v>
      </x:c>
      <x:c r="L1299" s="19" t="str">
        <x:v>组件待审核</x:v>
      </x:c>
      <x:c r="M1299" s="21" t="n">
        <x:v>35.662636</x:v>
      </x:c>
      <x:c r="N1299" s="21" t="n">
        <x:v>139.655758</x:v>
      </x:c>
      <x:c r="O1299" s="18" t="str">
        <x:v>003899</x:v>
      </x:c>
      <x:c r="P1299" s="18" t="str">
        <x:v>井の頭線</x:v>
      </x:c>
      <x:c r="Q1299" s="19" t="str">
        <x:v>S12_061_GE_10000</x:v>
      </x:c>
      <x:c r="R1299" s="19" t="str">
        <x:v>S12_061 usage threshold</x:v>
      </x:c>
      <x:c r="S1299" s="19" t="str">
        <x:v>https://nlftp.mlit.go.jp/ksj/gml/datalist/KsjTmplt-S12-2024.html</x:v>
      </x:c>
      <x:c r="T1299" s="19" t="str">
        <x:v>https://nlftp.mlit.go.jp/ksj/gml/datalist/KsjTmplt-S12-2024.html</x:v>
      </x:c>
      <x:c r="U1299" s="19" t="str">
        <x:v>station-component|東松原|京王電鉄|private_rail|35.6626|139.6558|</x:v>
      </x:c>
      <x:c r="V1299" s="19" t="str">
        <x:v>003899 / 003899 / 井の頭線</x:v>
      </x:c>
      <x:c r="W1299" s="18" t="str">
        <x:v>否</x:v>
      </x:c>
      <x:c r="X1299" s="18" t="str">
        <x:v>0785e932a32b3ec15e1a1345537ae145eafe1c07bf38d5c16c11ee2b391e7a28</x:v>
      </x:c>
      <x:c r="Y1299" s="20" t="n">
        <x:v>1</x:v>
      </x:c>
      <x:c r="Z1299" s="20" t="n">
        <x:v>1</x:v>
      </x:c>
      <x:c r="AA1299" s="19"/>
      <x:c r="AB1299" s="18"/>
      <x:c r="AC1299" s="19"/>
    </x:row>
    <x:row r="1300" ht="28" customHeight="1">
      <x:c r="A1300" s="18" t="str">
        <x:v>東松山</x:v>
      </x:c>
      <x:c r="B1300" s="18" t="str">
        <x:v>東武鉄道</x:v>
      </x:c>
      <x:c r="C1300" s="18" t="str">
        <x:v>private_rail</x:v>
      </x:c>
      <x:c r="D1300" s="19" t="str">
        <x:v>T2</x:v>
      </x:c>
      <x:c r="E1300" s="20" t="n">
        <x:v>26436</x:v>
      </x:c>
      <x:c r="F1300" s="18" t="str">
        <x:v>persons/day</x:v>
      </x:c>
      <x:c r="G1300" s="18" t="str">
        <x:v>FY2024</x:v>
      </x:c>
      <x:c r="H1300" s="18" t="str">
        <x:v>否</x:v>
      </x:c>
      <x:c r="I1300" s="19" t="str">
        <x:v>DAILY_ENTRIES_EXITS</x:v>
      </x:c>
      <x:c r="J1300" s="19" t="str">
        <x:v>東上本線</x:v>
      </x:c>
      <x:c r="K1300" s="18" t="str">
        <x:v>transport-node:62bd4f57-89b3-5746-8b60-5772eb73944b</x:v>
      </x:c>
      <x:c r="L1300" s="19" t="str">
        <x:v>组件待审核</x:v>
      </x:c>
      <x:c r="M1300" s="21" t="n">
        <x:v>36.03464</x:v>
      </x:c>
      <x:c r="N1300" s="21" t="n">
        <x:v>139.4015875</x:v>
      </x:c>
      <x:c r="O1300" s="18" t="str">
        <x:v>002717</x:v>
      </x:c>
      <x:c r="P1300" s="18" t="str">
        <x:v>東上本線</x:v>
      </x:c>
      <x:c r="Q1300" s="19" t="str">
        <x:v>S12_061_GE_10000</x:v>
      </x:c>
      <x:c r="R1300" s="19" t="str">
        <x:v>S12_061 usage threshold</x:v>
      </x:c>
      <x:c r="S1300" s="19" t="str">
        <x:v>https://nlftp.mlit.go.jp/ksj/gml/datalist/KsjTmplt-S12-2024.html</x:v>
      </x:c>
      <x:c r="T1300" s="19" t="str">
        <x:v>https://nlftp.mlit.go.jp/ksj/gml/datalist/KsjTmplt-S12-2024.html</x:v>
      </x:c>
      <x:c r="U1300" s="19" t="str">
        <x:v>station-component|東松山|東武鉄道|private_rail|36.0346|139.4016|</x:v>
      </x:c>
      <x:c r="V1300" s="19" t="str">
        <x:v>002717 / 002717 / 東上本線</x:v>
      </x:c>
      <x:c r="W1300" s="18" t="str">
        <x:v>否</x:v>
      </x:c>
      <x:c r="X1300" s="18" t="str">
        <x:v>0785e932a32b3ec15e1a1345537ae145eafe1c07bf38d5c16c11ee2b391e7a28</x:v>
      </x:c>
      <x:c r="Y1300" s="20" t="n">
        <x:v>1</x:v>
      </x:c>
      <x:c r="Z1300" s="20" t="n">
        <x:v>1</x:v>
      </x:c>
      <x:c r="AA1300" s="19"/>
      <x:c r="AB1300" s="18"/>
      <x:c r="AC1300" s="19"/>
    </x:row>
    <x:row r="1301" ht="28" customHeight="1">
      <x:c r="A1301" s="18" t="str">
        <x:v>東松戸</x:v>
      </x:c>
      <x:c r="B1301" s="18" t="str">
        <x:v>北総鉄道</x:v>
      </x:c>
      <x:c r="C1301" s="18" t="str">
        <x:v>private_rail</x:v>
      </x:c>
      <x:c r="D1301" s="19" t="str">
        <x:v>T2</x:v>
      </x:c>
      <x:c r="E1301" s="20" t="n">
        <x:v>22693</x:v>
      </x:c>
      <x:c r="F1301" s="18" t="str">
        <x:v>persons/day</x:v>
      </x:c>
      <x:c r="G1301" s="18" t="str">
        <x:v>FY2024</x:v>
      </x:c>
      <x:c r="H1301" s="18" t="str">
        <x:v>否</x:v>
      </x:c>
      <x:c r="I1301" s="19" t="str">
        <x:v>DAILY_ENTRIES_EXITS</x:v>
      </x:c>
      <x:c r="J1301" s="19" t="str">
        <x:v>北総線</x:v>
      </x:c>
      <x:c r="K1301" s="18" t="str">
        <x:v>transport-node:5002bdd6-10b3-584a-9364-2495f5d62d36</x:v>
      </x:c>
      <x:c r="L1301" s="19" t="str">
        <x:v>组件待审核</x:v>
      </x:c>
      <x:c r="M1301" s="21" t="n">
        <x:v>35.76981</x:v>
      </x:c>
      <x:c r="N1301" s="21" t="n">
        <x:v>139.942775</x:v>
      </x:c>
      <x:c r="O1301" s="18" t="str">
        <x:v>003188</x:v>
      </x:c>
      <x:c r="P1301" s="18" t="str">
        <x:v>北総線</x:v>
      </x:c>
      <x:c r="Q1301" s="19" t="str">
        <x:v>S12_061_GE_10000</x:v>
      </x:c>
      <x:c r="R1301" s="19" t="str">
        <x:v>S12_061 usage threshold</x:v>
      </x:c>
      <x:c r="S1301" s="19" t="str">
        <x:v>https://nlftp.mlit.go.jp/ksj/gml/datalist/KsjTmplt-S12-2024.html</x:v>
      </x:c>
      <x:c r="T1301" s="19" t="str">
        <x:v>https://nlftp.mlit.go.jp/ksj/gml/datalist/KsjTmplt-S12-2024.html</x:v>
      </x:c>
      <x:c r="U1301" s="19" t="str">
        <x:v>station-component|東松戸|北総鉄道|private_rail|35.7698|139.9428|</x:v>
      </x:c>
      <x:c r="V1301" s="19" t="str">
        <x:v>003187 / 003188 / 北総線</x:v>
      </x:c>
      <x:c r="W1301" s="18" t="str">
        <x:v>否</x:v>
      </x:c>
      <x:c r="X1301" s="18" t="str">
        <x:v>0785e932a32b3ec15e1a1345537ae145eafe1c07bf38d5c16c11ee2b391e7a28</x:v>
      </x:c>
      <x:c r="Y1301" s="20" t="n">
        <x:v>1</x:v>
      </x:c>
      <x:c r="Z1301" s="20" t="n">
        <x:v>1</x:v>
      </x:c>
      <x:c r="AA1301" s="19"/>
      <x:c r="AB1301" s="18"/>
      <x:c r="AC1301" s="19"/>
    </x:row>
    <x:row r="1302" ht="28" customHeight="1">
      <x:c r="A1302" s="18" t="str">
        <x:v>東松戸</x:v>
      </x:c>
      <x:c r="B1302" s="18" t="str">
        <x:v>東日本旅客鉄道</x:v>
      </x:c>
      <x:c r="C1302" s="18" t="str">
        <x:v>conventional_rail</x:v>
      </x:c>
      <x:c r="D1302" s="19" t="str">
        <x:v>T2</x:v>
      </x:c>
      <x:c r="E1302" s="20" t="n">
        <x:v>43554</x:v>
      </x:c>
      <x:c r="F1302" s="18" t="str">
        <x:v>persons/day</x:v>
      </x:c>
      <x:c r="G1302" s="18" t="str">
        <x:v>FY2024</x:v>
      </x:c>
      <x:c r="H1302" s="18" t="str">
        <x:v>否</x:v>
      </x:c>
      <x:c r="I1302" s="19" t="str">
        <x:v>DAILY_ENTRIES_EXITS</x:v>
      </x:c>
      <x:c r="J1302" s="19" t="str">
        <x:v>武蔵野線</x:v>
      </x:c>
      <x:c r="K1302" s="18" t="str">
        <x:v>transport-node:4783c074-5d50-5155-bbe4-bdf8e76981fb</x:v>
      </x:c>
      <x:c r="L1302" s="19" t="str">
        <x:v>组件待审核</x:v>
      </x:c>
      <x:c r="M1302" s="21" t="n">
        <x:v>35.77076</x:v>
      </x:c>
      <x:c r="N1302" s="21" t="n">
        <x:v>139.94377</x:v>
      </x:c>
      <x:c r="O1302" s="18" t="str">
        <x:v>003183</x:v>
      </x:c>
      <x:c r="P1302" s="18" t="str">
        <x:v>武蔵野線</x:v>
      </x:c>
      <x:c r="Q1302" s="19" t="str">
        <x:v>S12_061_GE_10000</x:v>
      </x:c>
      <x:c r="R1302" s="19" t="str">
        <x:v>S12_061 usage threshold</x:v>
      </x:c>
      <x:c r="S1302" s="19" t="str">
        <x:v>https://nlftp.mlit.go.jp/ksj/gml/datalist/KsjTmplt-S12-2024.html</x:v>
      </x:c>
      <x:c r="T1302" s="19" t="str">
        <x:v>https://nlftp.mlit.go.jp/ksj/gml/datalist/KsjTmplt-S12-2024.html</x:v>
      </x:c>
      <x:c r="U1302" s="19" t="str">
        <x:v>station-component|東松戸|東日本旅客鉄道|conventional_rail|35.7708|139.9438|</x:v>
      </x:c>
      <x:c r="V1302" s="19" t="str">
        <x:v>003187 / 003183 / 武蔵野線</x:v>
      </x:c>
      <x:c r="W1302" s="18" t="str">
        <x:v>否</x:v>
      </x:c>
      <x:c r="X1302" s="18" t="str">
        <x:v>0785e932a32b3ec15e1a1345537ae145eafe1c07bf38d5c16c11ee2b391e7a28</x:v>
      </x:c>
      <x:c r="Y1302" s="20" t="n">
        <x:v>1</x:v>
      </x:c>
      <x:c r="Z1302" s="20" t="n">
        <x:v>1</x:v>
      </x:c>
      <x:c r="AA1302" s="19"/>
      <x:c r="AB1302" s="18"/>
      <x:c r="AC1302" s="19"/>
    </x:row>
    <x:row r="1303" ht="28" customHeight="1">
      <x:c r="A1303" s="18" t="str">
        <x:v>東林間</x:v>
      </x:c>
      <x:c r="B1303" s="18" t="str">
        <x:v>小田急電鉄</x:v>
      </x:c>
      <x:c r="C1303" s="18" t="str">
        <x:v>private_rail</x:v>
      </x:c>
      <x:c r="D1303" s="19" t="str">
        <x:v>T2</x:v>
      </x:c>
      <x:c r="E1303" s="20" t="n">
        <x:v>20438</x:v>
      </x:c>
      <x:c r="F1303" s="18" t="str">
        <x:v>persons/day</x:v>
      </x:c>
      <x:c r="G1303" s="18" t="str">
        <x:v>FY2024</x:v>
      </x:c>
      <x:c r="H1303" s="18" t="str">
        <x:v>否</x:v>
      </x:c>
      <x:c r="I1303" s="19" t="str">
        <x:v>DAILY_ENTRIES_EXITS</x:v>
      </x:c>
      <x:c r="J1303" s="19" t="str">
        <x:v>江ノ島線</x:v>
      </x:c>
      <x:c r="K1303" s="18" t="str">
        <x:v>transport-node:fae3b774-572b-52da-b69d-4e64e163b1d8</x:v>
      </x:c>
      <x:c r="L1303" s="19" t="str">
        <x:v>组件待审核</x:v>
      </x:c>
      <x:c r="M1303" s="21" t="n">
        <x:v>35.5201925</x:v>
      </x:c>
      <x:c r="N1303" s="21" t="n">
        <x:v>139.439025</x:v>
      </x:c>
      <x:c r="O1303" s="18" t="str">
        <x:v>004457</x:v>
      </x:c>
      <x:c r="P1303" s="18" t="str">
        <x:v>江ノ島線</x:v>
      </x:c>
      <x:c r="Q1303" s="19" t="str">
        <x:v>S12_061_GE_10000</x:v>
      </x:c>
      <x:c r="R1303" s="19" t="str">
        <x:v>S12_061 usage threshold</x:v>
      </x:c>
      <x:c r="S1303" s="19" t="str">
        <x:v>https://nlftp.mlit.go.jp/ksj/gml/datalist/KsjTmplt-S12-2024.html</x:v>
      </x:c>
      <x:c r="T1303" s="19" t="str">
        <x:v>https://nlftp.mlit.go.jp/ksj/gml/datalist/KsjTmplt-S12-2024.html</x:v>
      </x:c>
      <x:c r="U1303" s="19" t="str">
        <x:v>station-component|東林間|小田急電鉄|private_rail|35.5202|139.4390|</x:v>
      </x:c>
      <x:c r="V1303" s="19" t="str">
        <x:v>004457 / 004457 / 江ノ島線</x:v>
      </x:c>
      <x:c r="W1303" s="18" t="str">
        <x:v>否</x:v>
      </x:c>
      <x:c r="X1303" s="18" t="str">
        <x:v>0785e932a32b3ec15e1a1345537ae145eafe1c07bf38d5c16c11ee2b391e7a28</x:v>
      </x:c>
      <x:c r="Y1303" s="20" t="n">
        <x:v>1</x:v>
      </x:c>
      <x:c r="Z1303" s="20" t="n">
        <x:v>1</x:v>
      </x:c>
      <x:c r="AA1303" s="19"/>
      <x:c r="AB1303" s="18"/>
      <x:c r="AC1303" s="19"/>
    </x:row>
    <x:row r="1304" ht="33" customHeight="1">
      <x:c r="A1304" s="18" t="str">
        <x:v>東梅田</x:v>
      </x:c>
      <x:c r="B1304" s="18" t="str">
        <x:v>大阪市高速電気軌道</x:v>
      </x:c>
      <x:c r="C1304" s="18" t="str">
        <x:v>metro</x:v>
      </x:c>
      <x:c r="D1304" s="19" t="str">
        <x:v>T1</x:v>
      </x:c>
      <x:c r="E1304" s="20" t="n">
        <x:v>158403</x:v>
      </x:c>
      <x:c r="F1304" s="18" t="str">
        <x:v>persons/day</x:v>
      </x:c>
      <x:c r="G1304" s="18" t="str">
        <x:v>FY2024</x:v>
      </x:c>
      <x:c r="H1304" s="18" t="str">
        <x:v>否</x:v>
      </x:c>
      <x:c r="I1304" s="19" t="str">
        <x:v>DAILY_ENTRIES_EXITS</x:v>
      </x:c>
      <x:c r="J1304" s="19" t="str">
        <x:v>2号線(谷町線)</x:v>
      </x:c>
      <x:c r="K1304" s="18" t="str">
        <x:v>transport-node:85c36b5f-0e88-5b01-b2df-bc4627c58faa</x:v>
      </x:c>
      <x:c r="L1304" s="19" t="str">
        <x:v>组件待审核</x:v>
      </x:c>
      <x:c r="M1304" s="21" t="n">
        <x:v>34.70056</x:v>
      </x:c>
      <x:c r="N1304" s="21" t="n">
        <x:v>135.499825</x:v>
      </x:c>
      <x:c r="O1304" s="18" t="str">
        <x:v>007074</x:v>
      </x:c>
      <x:c r="P1304" s="18" t="str">
        <x:v>2号線(谷町線)</x:v>
      </x:c>
      <x:c r="Q1304" s="19" t="str">
        <x:v>S12_061_GE_10000
OFFICIAL_HUB_COMPONENT_REVIEW</x:v>
      </x:c>
      <x:c r="R1304" s="19" t="str">
        <x:v>S12_061 usage threshold</x:v>
      </x:c>
      <x:c r="S1304" s="19" t="str">
        <x:v>https://nlftp.mlit.go.jp/ksj/gml/datalist/KsjTmplt-S12-2024.html</x:v>
      </x:c>
      <x:c r="T1304" s="19" t="str">
        <x:v>https://nlftp.mlit.go.jp/ksj/gml/datalist/KsjTmplt-S12-2024.html
https://subway.osakametro.co.jp/station_guide/M/m16/index.php</x:v>
      </x:c>
      <x:c r="U1304" s="19" t="str">
        <x:v>station-component|東梅田|大阪市高速電気軌道|metro|34.7006|135.4998|</x:v>
      </x:c>
      <x:c r="V1304" s="19" t="str">
        <x:v>007074 / 007074 / 2号線(谷町線)</x:v>
      </x:c>
      <x:c r="W1304" s="18" t="str">
        <x:v>否</x:v>
      </x:c>
      <x:c r="X1304" s="18" t="str">
        <x:v>0785e932a32b3ec15e1a1345537ae145eafe1c07bf38d5c16c11ee2b391e7a28</x:v>
      </x:c>
      <x:c r="Y1304" s="20" t="n">
        <x:v>1</x:v>
      </x:c>
      <x:c r="Z1304" s="20" t="n">
        <x:v>1</x:v>
      </x:c>
      <x:c r="AA1304" s="19" t="str">
        <x:v>大阪・梅田</x:v>
      </x:c>
      <x:c r="AB1304" s="18" t="str">
        <x:v>transport-hub-review:c874f3c0-4c3d-5ef3-adac-91c1a118c3b7</x:v>
      </x:c>
      <x:c r="AC1304" s="19"/>
    </x:row>
    <x:row r="1305" ht="33" customHeight="1">
      <x:c r="A1305" s="18" t="str">
        <x:v>東武動物公園</x:v>
      </x:c>
      <x:c r="B1305" s="18" t="str">
        <x:v>東武鉄道</x:v>
      </x:c>
      <x:c r="C1305" s="18" t="str">
        <x:v>private_rail</x:v>
      </x:c>
      <x:c r="D1305" s="19" t="str">
        <x:v>T2</x:v>
      </x:c>
      <x:c r="E1305" s="20" t="n">
        <x:v>28665</x:v>
      </x:c>
      <x:c r="F1305" s="18" t="str">
        <x:v>persons/day</x:v>
      </x:c>
      <x:c r="G1305" s="18" t="str">
        <x:v>FY2024</x:v>
      </x:c>
      <x:c r="H1305" s="18" t="str">
        <x:v>否</x:v>
      </x:c>
      <x:c r="I1305" s="19" t="str">
        <x:v>DAILY_ENTRIES_EXITS</x:v>
      </x:c>
      <x:c r="J1305" s="19" t="str">
        <x:v>伊勢崎線
日光線</x:v>
      </x:c>
      <x:c r="K1305" s="18" t="str">
        <x:v>transport-node:de1eed77-b260-5188-a48f-dc059161bc2d</x:v>
      </x:c>
      <x:c r="L1305" s="19" t="str">
        <x:v>组件待审核</x:v>
      </x:c>
      <x:c r="M1305" s="21" t="n">
        <x:v>36.0247</x:v>
      </x:c>
      <x:c r="N1305" s="21" t="n">
        <x:v>139.72689</x:v>
      </x:c>
      <x:c r="O1305" s="18" t="str">
        <x:v>002728</x:v>
      </x:c>
      <x:c r="P1305" s="18" t="str">
        <x:v>伊勢崎線</x:v>
      </x:c>
      <x:c r="Q1305" s="19" t="str">
        <x:v>S12_061_GE_10000</x:v>
      </x:c>
      <x:c r="R1305" s="19" t="str">
        <x:v>S12_061 usage threshold</x:v>
      </x:c>
      <x:c r="S1305" s="19" t="str">
        <x:v>https://nlftp.mlit.go.jp/ksj/gml/datalist/KsjTmplt-S12-2024.html</x:v>
      </x:c>
      <x:c r="T1305" s="19" t="str">
        <x:v>https://nlftp.mlit.go.jp/ksj/gml/datalist/KsjTmplt-S12-2024.html</x:v>
      </x:c>
      <x:c r="U1305" s="19" t="str">
        <x:v>station-component|東武動物公園|東武鉄道|private_rail|36.0247|139.7269|</x:v>
      </x:c>
      <x:c r="V1305" s="19" t="str">
        <x:v>002728 / 002728 / 伊勢崎線
002728 / 002729 / 日光線</x:v>
      </x:c>
      <x:c r="W1305" s="18" t="str">
        <x:v>否</x:v>
      </x:c>
      <x:c r="X1305" s="18" t="str">
        <x:v>0785e932a32b3ec15e1a1345537ae145eafe1c07bf38d5c16c11ee2b391e7a28</x:v>
      </x:c>
      <x:c r="Y1305" s="20" t="n">
        <x:v>1</x:v>
      </x:c>
      <x:c r="Z1305" s="20" t="n">
        <x:v>1</x:v>
      </x:c>
      <x:c r="AA1305" s="19"/>
      <x:c r="AB1305" s="18"/>
      <x:c r="AC1305" s="19"/>
    </x:row>
    <x:row r="1306" ht="28" customHeight="1">
      <x:c r="A1306" s="18" t="str">
        <x:v>東武練馬</x:v>
      </x:c>
      <x:c r="B1306" s="18" t="str">
        <x:v>東武鉄道</x:v>
      </x:c>
      <x:c r="C1306" s="18" t="str">
        <x:v>private_rail</x:v>
      </x:c>
      <x:c r="D1306" s="19" t="str">
        <x:v>T1</x:v>
      </x:c>
      <x:c r="E1306" s="20" t="n">
        <x:v>56181</x:v>
      </x:c>
      <x:c r="F1306" s="18" t="str">
        <x:v>persons/day</x:v>
      </x:c>
      <x:c r="G1306" s="18" t="str">
        <x:v>FY2024</x:v>
      </x:c>
      <x:c r="H1306" s="18" t="str">
        <x:v>否</x:v>
      </x:c>
      <x:c r="I1306" s="19" t="str">
        <x:v>DAILY_ENTRIES_EXITS</x:v>
      </x:c>
      <x:c r="J1306" s="19" t="str">
        <x:v>東上本線</x:v>
      </x:c>
      <x:c r="K1306" s="18" t="str">
        <x:v>transport-node:29f669b2-b5ba-598f-87f0-33f80f8ee4dc</x:v>
      </x:c>
      <x:c r="L1306" s="19" t="str">
        <x:v>组件待审核</x:v>
      </x:c>
      <x:c r="M1306" s="21" t="n">
        <x:v>35.76865</x:v>
      </x:c>
      <x:c r="N1306" s="21" t="n">
        <x:v>139.66254</x:v>
      </x:c>
      <x:c r="O1306" s="18" t="str">
        <x:v>003194</x:v>
      </x:c>
      <x:c r="P1306" s="18" t="str">
        <x:v>東上本線</x:v>
      </x:c>
      <x:c r="Q1306" s="19" t="str">
        <x:v>S12_061_GE_10000</x:v>
      </x:c>
      <x:c r="R1306" s="19" t="str">
        <x:v>S12_061 usage threshold</x:v>
      </x:c>
      <x:c r="S1306" s="19" t="str">
        <x:v>https://nlftp.mlit.go.jp/ksj/gml/datalist/KsjTmplt-S12-2024.html</x:v>
      </x:c>
      <x:c r="T1306" s="19" t="str">
        <x:v>https://nlftp.mlit.go.jp/ksj/gml/datalist/KsjTmplt-S12-2024.html</x:v>
      </x:c>
      <x:c r="U1306" s="19" t="str">
        <x:v>station-component|東武練馬|東武鉄道|private_rail|35.7687|139.6625|</x:v>
      </x:c>
      <x:c r="V1306" s="19" t="str">
        <x:v>003194 / 003194 / 東上本線</x:v>
      </x:c>
      <x:c r="W1306" s="18" t="str">
        <x:v>否</x:v>
      </x:c>
      <x:c r="X1306" s="18" t="str">
        <x:v>0785e932a32b3ec15e1a1345537ae145eafe1c07bf38d5c16c11ee2b391e7a28</x:v>
      </x:c>
      <x:c r="Y1306" s="20" t="n">
        <x:v>1</x:v>
      </x:c>
      <x:c r="Z1306" s="20" t="n">
        <x:v>1</x:v>
      </x:c>
      <x:c r="AA1306" s="19"/>
      <x:c r="AB1306" s="18"/>
      <x:c r="AC1306" s="19"/>
    </x:row>
    <x:row r="1307" ht="28" customHeight="1">
      <x:c r="A1307" s="18" t="str">
        <x:v>東比恵</x:v>
      </x:c>
      <x:c r="B1307" s="18" t="str">
        <x:v>福岡市</x:v>
      </x:c>
      <x:c r="C1307" s="18" t="str">
        <x:v>metro</x:v>
      </x:c>
      <x:c r="D1307" s="19" t="str">
        <x:v>T2</x:v>
      </x:c>
      <x:c r="E1307" s="20" t="n">
        <x:v>23622</x:v>
      </x:c>
      <x:c r="F1307" s="18" t="str">
        <x:v>persons/day</x:v>
      </x:c>
      <x:c r="G1307" s="18" t="str">
        <x:v>FY2024</x:v>
      </x:c>
      <x:c r="H1307" s="18" t="str">
        <x:v>否</x:v>
      </x:c>
      <x:c r="I1307" s="19" t="str">
        <x:v>DAILY_ENTRIES_EXITS</x:v>
      </x:c>
      <x:c r="J1307" s="19" t="str">
        <x:v>1号線(空港線)</x:v>
      </x:c>
      <x:c r="K1307" s="18" t="str">
        <x:v>transport-node:7188ece5-92eb-5d09-88ec-a94723090d2f</x:v>
      </x:c>
      <x:c r="L1307" s="19" t="str">
        <x:v>组件待审核</x:v>
      </x:c>
      <x:c r="M1307" s="21" t="n">
        <x:v>33.589765</x:v>
      </x:c>
      <x:c r="N1307" s="21" t="n">
        <x:v>130.43125</x:v>
      </x:c>
      <x:c r="O1307" s="18" t="str">
        <x:v>009032</x:v>
      </x:c>
      <x:c r="P1307" s="18" t="str">
        <x:v>1号線(空港線)</x:v>
      </x:c>
      <x:c r="Q1307" s="19" t="str">
        <x:v>S12_061_GE_10000</x:v>
      </x:c>
      <x:c r="R1307" s="19" t="str">
        <x:v>S12_061 usage threshold</x:v>
      </x:c>
      <x:c r="S1307" s="19" t="str">
        <x:v>https://nlftp.mlit.go.jp/ksj/gml/datalist/KsjTmplt-S12-2024.html</x:v>
      </x:c>
      <x:c r="T1307" s="19" t="str">
        <x:v>https://nlftp.mlit.go.jp/ksj/gml/datalist/KsjTmplt-S12-2024.html</x:v>
      </x:c>
      <x:c r="U1307" s="19" t="str">
        <x:v>station-component|東比恵|福岡市|metro|33.5898|130.4313|</x:v>
      </x:c>
      <x:c r="V1307" s="19" t="str">
        <x:v>009032 / 009032 / 1号線(空港線)</x:v>
      </x:c>
      <x:c r="W1307" s="18" t="str">
        <x:v>否</x:v>
      </x:c>
      <x:c r="X1307" s="18" t="str">
        <x:v>0785e932a32b3ec15e1a1345537ae145eafe1c07bf38d5c16c11ee2b391e7a28</x:v>
      </x:c>
      <x:c r="Y1307" s="20" t="n">
        <x:v>1</x:v>
      </x:c>
      <x:c r="Z1307" s="20" t="n">
        <x:v>1</x:v>
      </x:c>
      <x:c r="AA1307" s="19"/>
      <x:c r="AB1307" s="18"/>
      <x:c r="AC1307" s="19"/>
    </x:row>
    <x:row r="1308" ht="28" customHeight="1">
      <x:c r="A1308" s="18" t="str">
        <x:v>東池袋</x:v>
      </x:c>
      <x:c r="B1308" s="18" t="str">
        <x:v>東京地下鉄</x:v>
      </x:c>
      <x:c r="C1308" s="18" t="str">
        <x:v>metro</x:v>
      </x:c>
      <x:c r="D1308" s="19" t="str">
        <x:v>T2</x:v>
      </x:c>
      <x:c r="E1308" s="20" t="n">
        <x:v>45348</x:v>
      </x:c>
      <x:c r="F1308" s="18" t="str">
        <x:v>persons/day</x:v>
      </x:c>
      <x:c r="G1308" s="18" t="str">
        <x:v>FY2024</x:v>
      </x:c>
      <x:c r="H1308" s="18" t="str">
        <x:v>否</x:v>
      </x:c>
      <x:c r="I1308" s="19" t="str">
        <x:v>DAILY_ENTRIES_EXITS</x:v>
      </x:c>
      <x:c r="J1308" s="19" t="str">
        <x:v>8号線有楽町線</x:v>
      </x:c>
      <x:c r="K1308" s="18" t="str">
        <x:v>transport-node:c79709f5-e696-5f1b-bc3e-de2dfc85e77c</x:v>
      </x:c>
      <x:c r="L1308" s="19" t="str">
        <x:v>组件待审核</x:v>
      </x:c>
      <x:c r="M1308" s="21" t="n">
        <x:v>35.72595</x:v>
      </x:c>
      <x:c r="N1308" s="21" t="n">
        <x:v>139.718865</x:v>
      </x:c>
      <x:c r="O1308" s="18" t="str">
        <x:v>003432</x:v>
      </x:c>
      <x:c r="P1308" s="18" t="str">
        <x:v>8号線有楽町線</x:v>
      </x:c>
      <x:c r="Q1308" s="19" t="str">
        <x:v>S12_061_GE_10000</x:v>
      </x:c>
      <x:c r="R1308" s="19" t="str">
        <x:v>S12_061 usage threshold</x:v>
      </x:c>
      <x:c r="S1308" s="19" t="str">
        <x:v>https://nlftp.mlit.go.jp/ksj/gml/datalist/KsjTmplt-S12-2024.html</x:v>
      </x:c>
      <x:c r="T1308" s="19" t="str">
        <x:v>https://nlftp.mlit.go.jp/ksj/gml/datalist/KsjTmplt-S12-2024.html</x:v>
      </x:c>
      <x:c r="U1308" s="19" t="str">
        <x:v>station-component|東池袋|東京地下鉄|metro|35.7259|139.7189|</x:v>
      </x:c>
      <x:c r="V1308" s="19" t="str">
        <x:v>003432 / 003432 / 8号線有楽町線</x:v>
      </x:c>
      <x:c r="W1308" s="18" t="str">
        <x:v>否</x:v>
      </x:c>
      <x:c r="X1308" s="18" t="str">
        <x:v>0785e932a32b3ec15e1a1345537ae145eafe1c07bf38d5c16c11ee2b391e7a28</x:v>
      </x:c>
      <x:c r="Y1308" s="20" t="n">
        <x:v>1</x:v>
      </x:c>
      <x:c r="Z1308" s="20" t="n">
        <x:v>1</x:v>
      </x:c>
      <x:c r="AA1308" s="19"/>
      <x:c r="AB1308" s="18"/>
      <x:c r="AC1308" s="19"/>
    </x:row>
    <x:row r="1309" ht="28" customHeight="1">
      <x:c r="A1309" s="18" t="str">
        <x:v>東浦和</x:v>
      </x:c>
      <x:c r="B1309" s="18" t="str">
        <x:v>東日本旅客鉄道</x:v>
      </x:c>
      <x:c r="C1309" s="18" t="str">
        <x:v>conventional_rail</x:v>
      </x:c>
      <x:c r="D1309" s="19" t="str">
        <x:v>T1</x:v>
      </x:c>
      <x:c r="E1309" s="20" t="n">
        <x:v>54654</x:v>
      </x:c>
      <x:c r="F1309" s="18" t="str">
        <x:v>persons/day</x:v>
      </x:c>
      <x:c r="G1309" s="18" t="str">
        <x:v>FY2024</x:v>
      </x:c>
      <x:c r="H1309" s="18" t="str">
        <x:v>否</x:v>
      </x:c>
      <x:c r="I1309" s="19" t="str">
        <x:v>DAILY_ENTRIES_EXITS</x:v>
      </x:c>
      <x:c r="J1309" s="19" t="str">
        <x:v>武蔵野線</x:v>
      </x:c>
      <x:c r="K1309" s="18" t="str">
        <x:v>transport-node:71f6bb38-cd9e-521e-8acd-48e401811377</x:v>
      </x:c>
      <x:c r="L1309" s="19" t="str">
        <x:v>组件待审核</x:v>
      </x:c>
      <x:c r="M1309" s="21" t="n">
        <x:v>35.8640567</x:v>
      </x:c>
      <x:c r="N1309" s="21" t="n">
        <x:v>139.7045367</x:v>
      </x:c>
      <x:c r="O1309" s="18" t="str">
        <x:v>002980</x:v>
      </x:c>
      <x:c r="P1309" s="18" t="str">
        <x:v>武蔵野線</x:v>
      </x:c>
      <x:c r="Q1309" s="19" t="str">
        <x:v>S12_061_GE_10000</x:v>
      </x:c>
      <x:c r="R1309" s="19" t="str">
        <x:v>S12_061 usage threshold</x:v>
      </x:c>
      <x:c r="S1309" s="19" t="str">
        <x:v>https://nlftp.mlit.go.jp/ksj/gml/datalist/KsjTmplt-S12-2024.html</x:v>
      </x:c>
      <x:c r="T1309" s="19" t="str">
        <x:v>https://nlftp.mlit.go.jp/ksj/gml/datalist/KsjTmplt-S12-2024.html</x:v>
      </x:c>
      <x:c r="U1309" s="19" t="str">
        <x:v>station-component|東浦和|東日本旅客鉄道|conventional_rail|35.8641|139.7045|</x:v>
      </x:c>
      <x:c r="V1309" s="19" t="str">
        <x:v>002980 / 002980 / 武蔵野線</x:v>
      </x:c>
      <x:c r="W1309" s="18" t="str">
        <x:v>否</x:v>
      </x:c>
      <x:c r="X1309" s="18" t="str">
        <x:v>0785e932a32b3ec15e1a1345537ae145eafe1c07bf38d5c16c11ee2b391e7a28</x:v>
      </x:c>
      <x:c r="Y1309" s="20" t="n">
        <x:v>1</x:v>
      </x:c>
      <x:c r="Z1309" s="20" t="n">
        <x:v>1</x:v>
      </x:c>
      <x:c r="AA1309" s="19"/>
      <x:c r="AB1309" s="18"/>
      <x:c r="AC1309" s="19"/>
    </x:row>
    <x:row r="1310" ht="28" customHeight="1">
      <x:c r="A1310" s="18" t="str">
        <x:v>東海大学前</x:v>
      </x:c>
      <x:c r="B1310" s="18" t="str">
        <x:v>小田急電鉄</x:v>
      </x:c>
      <x:c r="C1310" s="18" t="str">
        <x:v>private_rail</x:v>
      </x:c>
      <x:c r="D1310" s="19" t="str">
        <x:v>T2</x:v>
      </x:c>
      <x:c r="E1310" s="20" t="n">
        <x:v>36215</x:v>
      </x:c>
      <x:c r="F1310" s="18" t="str">
        <x:v>persons/day</x:v>
      </x:c>
      <x:c r="G1310" s="18" t="str">
        <x:v>FY2024</x:v>
      </x:c>
      <x:c r="H1310" s="18" t="str">
        <x:v>否</x:v>
      </x:c>
      <x:c r="I1310" s="19" t="str">
        <x:v>DAILY_ENTRIES_EXITS</x:v>
      </x:c>
      <x:c r="J1310" s="19" t="str">
        <x:v>小田原線</x:v>
      </x:c>
      <x:c r="K1310" s="18" t="str">
        <x:v>transport-node:5d833432-11e4-526e-97f4-4183e5d9fc7b</x:v>
      </x:c>
      <x:c r="L1310" s="19" t="str">
        <x:v>组件待审核</x:v>
      </x:c>
      <x:c r="M1310" s="21" t="n">
        <x:v>35.372915</x:v>
      </x:c>
      <x:c r="N1310" s="21" t="n">
        <x:v>139.27094</x:v>
      </x:c>
      <x:c r="O1310" s="18" t="str">
        <x:v>004909</x:v>
      </x:c>
      <x:c r="P1310" s="18" t="str">
        <x:v>小田原線</x:v>
      </x:c>
      <x:c r="Q1310" s="19" t="str">
        <x:v>S12_061_GE_10000</x:v>
      </x:c>
      <x:c r="R1310" s="19" t="str">
        <x:v>S12_061 usage threshold</x:v>
      </x:c>
      <x:c r="S1310" s="19" t="str">
        <x:v>https://nlftp.mlit.go.jp/ksj/gml/datalist/KsjTmplt-S12-2024.html</x:v>
      </x:c>
      <x:c r="T1310" s="19" t="str">
        <x:v>https://nlftp.mlit.go.jp/ksj/gml/datalist/KsjTmplt-S12-2024.html</x:v>
      </x:c>
      <x:c r="U1310" s="19" t="str">
        <x:v>station-component|東海大学前|小田急電鉄|private_rail|35.3729|139.2709|</x:v>
      </x:c>
      <x:c r="V1310" s="19" t="str">
        <x:v>004909 / 004909 / 小田原線</x:v>
      </x:c>
      <x:c r="W1310" s="18" t="str">
        <x:v>否</x:v>
      </x:c>
      <x:c r="X1310" s="18" t="str">
        <x:v>0785e932a32b3ec15e1a1345537ae145eafe1c07bf38d5c16c11ee2b391e7a28</x:v>
      </x:c>
      <x:c r="Y1310" s="20" t="n">
        <x:v>1</x:v>
      </x:c>
      <x:c r="Z1310" s="20" t="n">
        <x:v>1</x:v>
      </x:c>
      <x:c r="AA1310" s="19"/>
      <x:c r="AB1310" s="18"/>
      <x:c r="AC1310" s="19"/>
    </x:row>
    <x:row r="1311" ht="28" customHeight="1">
      <x:c r="A1311" s="18" t="str">
        <x:v>東海通</x:v>
      </x:c>
      <x:c r="B1311" s="18" t="str">
        <x:v>名古屋市</x:v>
      </x:c>
      <x:c r="C1311" s="18" t="str">
        <x:v>metro</x:v>
      </x:c>
      <x:c r="D1311" s="19" t="str">
        <x:v>T2</x:v>
      </x:c>
      <x:c r="E1311" s="20" t="n">
        <x:v>13834</x:v>
      </x:c>
      <x:c r="F1311" s="18" t="str">
        <x:v>persons/day</x:v>
      </x:c>
      <x:c r="G1311" s="18" t="str">
        <x:v>FY2024</x:v>
      </x:c>
      <x:c r="H1311" s="18" t="str">
        <x:v>否</x:v>
      </x:c>
      <x:c r="I1311" s="19" t="str">
        <x:v>DAILY_ENTRIES_EXITS</x:v>
      </x:c>
      <x:c r="J1311" s="19" t="str">
        <x:v>2号線名港線</x:v>
      </x:c>
      <x:c r="K1311" s="18" t="str">
        <x:v>transport-node:2778afa4-4859-5d42-9067-c861f4a93748</x:v>
      </x:c>
      <x:c r="L1311" s="19" t="str">
        <x:v>组件待审核</x:v>
      </x:c>
      <x:c r="M1311" s="21" t="n">
        <x:v>35.113475</x:v>
      </x:c>
      <x:c r="N1311" s="21" t="n">
        <x:v>136.886045</x:v>
      </x:c>
      <x:c r="O1311" s="18" t="str">
        <x:v>005660</x:v>
      </x:c>
      <x:c r="P1311" s="18" t="str">
        <x:v>2号線名港線</x:v>
      </x:c>
      <x:c r="Q1311" s="19" t="str">
        <x:v>S12_061_GE_10000</x:v>
      </x:c>
      <x:c r="R1311" s="19" t="str">
        <x:v>S12_061 usage threshold</x:v>
      </x:c>
      <x:c r="S1311" s="19" t="str">
        <x:v>https://nlftp.mlit.go.jp/ksj/gml/datalist/KsjTmplt-S12-2024.html</x:v>
      </x:c>
      <x:c r="T1311" s="19" t="str">
        <x:v>https://nlftp.mlit.go.jp/ksj/gml/datalist/KsjTmplt-S12-2024.html</x:v>
      </x:c>
      <x:c r="U1311" s="19" t="str">
        <x:v>station-component|東海通|名古屋市|metro|35.1135|136.8860|</x:v>
      </x:c>
      <x:c r="V1311" s="19" t="str">
        <x:v>005660 / 005660 / 2号線名港線</x:v>
      </x:c>
      <x:c r="W1311" s="18" t="str">
        <x:v>否</x:v>
      </x:c>
      <x:c r="X1311" s="18" t="str">
        <x:v>0785e932a32b3ec15e1a1345537ae145eafe1c07bf38d5c16c11ee2b391e7a28</x:v>
      </x:c>
      <x:c r="Y1311" s="20" t="n">
        <x:v>1</x:v>
      </x:c>
      <x:c r="Z1311" s="20" t="n">
        <x:v>1</x:v>
      </x:c>
      <x:c r="AA1311" s="19"/>
      <x:c r="AB1311" s="18"/>
      <x:c r="AC1311" s="19"/>
    </x:row>
    <x:row r="1312" ht="28" customHeight="1">
      <x:c r="A1312" s="18" t="str">
        <x:v>東淀川</x:v>
      </x:c>
      <x:c r="B1312" s="18" t="str">
        <x:v>西日本旅客鉄道</x:v>
      </x:c>
      <x:c r="C1312" s="18" t="str">
        <x:v>conventional_rail</x:v>
      </x:c>
      <x:c r="D1312" s="19" t="str">
        <x:v>T2</x:v>
      </x:c>
      <x:c r="E1312" s="20" t="n">
        <x:v>14794</x:v>
      </x:c>
      <x:c r="F1312" s="18" t="str">
        <x:v>persons/day</x:v>
      </x:c>
      <x:c r="G1312" s="18" t="str">
        <x:v>FY2024</x:v>
      </x:c>
      <x:c r="H1312" s="18" t="str">
        <x:v>否</x:v>
      </x:c>
      <x:c r="I1312" s="19" t="str">
        <x:v>DAILY_ENTRIES_EXITS</x:v>
      </x:c>
      <x:c r="J1312" s="19" t="str">
        <x:v>東海道線</x:v>
      </x:c>
      <x:c r="K1312" s="18" t="str">
        <x:v>transport-node:973afdf5-16b4-55a0-bfad-4fcc572d7f85</x:v>
      </x:c>
      <x:c r="L1312" s="19" t="str">
        <x:v>组件待审核</x:v>
      </x:c>
      <x:c r="M1312" s="21" t="n">
        <x:v>34.73921</x:v>
      </x:c>
      <x:c r="N1312" s="21" t="n">
        <x:v>135.503995</x:v>
      </x:c>
      <x:c r="O1312" s="18" t="str">
        <x:v>006878</x:v>
      </x:c>
      <x:c r="P1312" s="18" t="str">
        <x:v>東海道線</x:v>
      </x:c>
      <x:c r="Q1312" s="19" t="str">
        <x:v>S12_061_GE_10000</x:v>
      </x:c>
      <x:c r="R1312" s="19" t="str">
        <x:v>S12_061 usage threshold</x:v>
      </x:c>
      <x:c r="S1312" s="19" t="str">
        <x:v>https://nlftp.mlit.go.jp/ksj/gml/datalist/KsjTmplt-S12-2024.html</x:v>
      </x:c>
      <x:c r="T1312" s="19" t="str">
        <x:v>https://nlftp.mlit.go.jp/ksj/gml/datalist/KsjTmplt-S12-2024.html</x:v>
      </x:c>
      <x:c r="U1312" s="19" t="str">
        <x:v>station-component|東淀川|西日本旅客鉄道|conventional_rail|34.7392|135.5040|</x:v>
      </x:c>
      <x:c r="V1312" s="19" t="str">
        <x:v>006878 / 006878 / 東海道線</x:v>
      </x:c>
      <x:c r="W1312" s="18" t="str">
        <x:v>否</x:v>
      </x:c>
      <x:c r="X1312" s="18" t="str">
        <x:v>0785e932a32b3ec15e1a1345537ae145eafe1c07bf38d5c16c11ee2b391e7a28</x:v>
      </x:c>
      <x:c r="Y1312" s="20" t="n">
        <x:v>1</x:v>
      </x:c>
      <x:c r="Z1312" s="20" t="n">
        <x:v>1</x:v>
      </x:c>
      <x:c r="AA1312" s="19"/>
      <x:c r="AB1312" s="18"/>
      <x:c r="AC1312" s="19"/>
    </x:row>
    <x:row r="1313" ht="28" customHeight="1">
      <x:c r="A1313" s="18" t="str">
        <x:v>東生駒</x:v>
      </x:c>
      <x:c r="B1313" s="18" t="str">
        <x:v>近畿日本鉄道</x:v>
      </x:c>
      <x:c r="C1313" s="18" t="str">
        <x:v>private_rail</x:v>
      </x:c>
      <x:c r="D1313" s="19" t="str">
        <x:v>T2</x:v>
      </x:c>
      <x:c r="E1313" s="20" t="n">
        <x:v>14856</x:v>
      </x:c>
      <x:c r="F1313" s="18" t="str">
        <x:v>persons/day</x:v>
      </x:c>
      <x:c r="G1313" s="18" t="str">
        <x:v>FY2024</x:v>
      </x:c>
      <x:c r="H1313" s="18" t="str">
        <x:v>否</x:v>
      </x:c>
      <x:c r="I1313" s="19" t="str">
        <x:v>DAILY_ENTRIES_EXITS</x:v>
      </x:c>
      <x:c r="J1313" s="19" t="str">
        <x:v>奈良線</x:v>
      </x:c>
      <x:c r="K1313" s="18" t="str">
        <x:v>transport-node:ab46bf0c-c5a8-5cfc-9e50-d70033cf6496</x:v>
      </x:c>
      <x:c r="L1313" s="19" t="str">
        <x:v>组件待审核</x:v>
      </x:c>
      <x:c r="M1313" s="21" t="n">
        <x:v>34.6919033</x:v>
      </x:c>
      <x:c r="N1313" s="21" t="n">
        <x:v>135.7095867</x:v>
      </x:c>
      <x:c r="O1313" s="18" t="str">
        <x:v>007138</x:v>
      </x:c>
      <x:c r="P1313" s="18" t="str">
        <x:v>奈良線</x:v>
      </x:c>
      <x:c r="Q1313" s="19" t="str">
        <x:v>S12_061_GE_10000</x:v>
      </x:c>
      <x:c r="R1313" s="19" t="str">
        <x:v>S12_061 usage threshold</x:v>
      </x:c>
      <x:c r="S1313" s="19" t="str">
        <x:v>https://nlftp.mlit.go.jp/ksj/gml/datalist/KsjTmplt-S12-2024.html</x:v>
      </x:c>
      <x:c r="T1313" s="19" t="str">
        <x:v>https://nlftp.mlit.go.jp/ksj/gml/datalist/KsjTmplt-S12-2024.html</x:v>
      </x:c>
      <x:c r="U1313" s="19" t="str">
        <x:v>station-component|東生駒|近畿日本鉄道|private_rail|34.6919|135.7096|</x:v>
      </x:c>
      <x:c r="V1313" s="19" t="str">
        <x:v>007138 / 007138 / 奈良線</x:v>
      </x:c>
      <x:c r="W1313" s="18" t="str">
        <x:v>否</x:v>
      </x:c>
      <x:c r="X1313" s="18" t="str">
        <x:v>0785e932a32b3ec15e1a1345537ae145eafe1c07bf38d5c16c11ee2b391e7a28</x:v>
      </x:c>
      <x:c r="Y1313" s="20" t="n">
        <x:v>1</x:v>
      </x:c>
      <x:c r="Z1313" s="20" t="n">
        <x:v>1</x:v>
      </x:c>
      <x:c r="AA1313" s="19"/>
      <x:c r="AB1313" s="18"/>
      <x:c r="AC1313" s="19"/>
    </x:row>
    <x:row r="1314" ht="28" customHeight="1">
      <x:c r="A1314" s="18" t="str">
        <x:v>東白楽</x:v>
      </x:c>
      <x:c r="B1314" s="18" t="str">
        <x:v>東急電鉄</x:v>
      </x:c>
      <x:c r="C1314" s="18" t="str">
        <x:v>private_rail</x:v>
      </x:c>
      <x:c r="D1314" s="19" t="str">
        <x:v>T2</x:v>
      </x:c>
      <x:c r="E1314" s="20" t="n">
        <x:v>15371</x:v>
      </x:c>
      <x:c r="F1314" s="18" t="str">
        <x:v>persons/day</x:v>
      </x:c>
      <x:c r="G1314" s="18" t="str">
        <x:v>FY2024</x:v>
      </x:c>
      <x:c r="H1314" s="18" t="str">
        <x:v>否</x:v>
      </x:c>
      <x:c r="I1314" s="19" t="str">
        <x:v>DAILY_ENTRIES_EXITS</x:v>
      </x:c>
      <x:c r="J1314" s="19" t="str">
        <x:v>東横線</x:v>
      </x:c>
      <x:c r="K1314" s="18" t="str">
        <x:v>transport-node:31fa9ad1-3f78-5702-9f10-add182b29272</x:v>
      </x:c>
      <x:c r="L1314" s="19" t="str">
        <x:v>组件待审核</x:v>
      </x:c>
      <x:c r="M1314" s="21" t="n">
        <x:v>35.4834</x:v>
      </x:c>
      <x:c r="N1314" s="21" t="n">
        <x:v>139.629525</x:v>
      </x:c>
      <x:c r="O1314" s="18" t="str">
        <x:v>004572</x:v>
      </x:c>
      <x:c r="P1314" s="18" t="str">
        <x:v>東横線</x:v>
      </x:c>
      <x:c r="Q1314" s="19" t="str">
        <x:v>S12_061_GE_10000</x:v>
      </x:c>
      <x:c r="R1314" s="19" t="str">
        <x:v>S12_061 usage threshold</x:v>
      </x:c>
      <x:c r="S1314" s="19" t="str">
        <x:v>https://nlftp.mlit.go.jp/ksj/gml/datalist/KsjTmplt-S12-2024.html</x:v>
      </x:c>
      <x:c r="T1314" s="19" t="str">
        <x:v>https://nlftp.mlit.go.jp/ksj/gml/datalist/KsjTmplt-S12-2024.html</x:v>
      </x:c>
      <x:c r="U1314" s="19" t="str">
        <x:v>station-component|東白楽|東急電鉄|private_rail|35.4834|139.6295|</x:v>
      </x:c>
      <x:c r="V1314" s="19" t="str">
        <x:v>004572 / 004572 / 東横線</x:v>
      </x:c>
      <x:c r="W1314" s="18" t="str">
        <x:v>否</x:v>
      </x:c>
      <x:c r="X1314" s="18" t="str">
        <x:v>0785e932a32b3ec15e1a1345537ae145eafe1c07bf38d5c16c11ee2b391e7a28</x:v>
      </x:c>
      <x:c r="Y1314" s="20" t="n">
        <x:v>1</x:v>
      </x:c>
      <x:c r="Z1314" s="20" t="n">
        <x:v>1</x:v>
      </x:c>
      <x:c r="AA1314" s="19"/>
      <x:c r="AB1314" s="18"/>
      <x:c r="AC1314" s="19"/>
    </x:row>
    <x:row r="1315" ht="33" customHeight="1">
      <x:c r="A1315" s="18" t="str">
        <x:v>東神奈川</x:v>
      </x:c>
      <x:c r="B1315" s="18" t="str">
        <x:v>東日本旅客鉄道</x:v>
      </x:c>
      <x:c r="C1315" s="18" t="str">
        <x:v>conventional_rail</x:v>
      </x:c>
      <x:c r="D1315" s="19" t="str">
        <x:v>T1</x:v>
      </x:c>
      <x:c r="E1315" s="20" t="n">
        <x:v>69094</x:v>
      </x:c>
      <x:c r="F1315" s="18" t="str">
        <x:v>persons/day</x:v>
      </x:c>
      <x:c r="G1315" s="18" t="str">
        <x:v>FY2024</x:v>
      </x:c>
      <x:c r="H1315" s="18" t="str">
        <x:v>否</x:v>
      </x:c>
      <x:c r="I1315" s="19" t="str">
        <x:v>DAILY_ENTRIES_EXITS</x:v>
      </x:c>
      <x:c r="J1315" s="19" t="str">
        <x:v>東海道線
横浜線</x:v>
      </x:c>
      <x:c r="K1315" s="18" t="str">
        <x:v>transport-node:8386ac2a-edd1-521c-8fcc-db1c2cda2b20</x:v>
      </x:c>
      <x:c r="L1315" s="19" t="str">
        <x:v>组件待审核</x:v>
      </x:c>
      <x:c r="M1315" s="21" t="n">
        <x:v>35.477875</x:v>
      </x:c>
      <x:c r="N1315" s="21" t="n">
        <x:v>139.633165</x:v>
      </x:c>
      <x:c r="O1315" s="18" t="str">
        <x:v>004596</x:v>
      </x:c>
      <x:c r="P1315" s="18" t="str">
        <x:v>横浜線</x:v>
      </x:c>
      <x:c r="Q1315" s="19" t="str">
        <x:v>S12_061_GE_10000</x:v>
      </x:c>
      <x:c r="R1315" s="19" t="str">
        <x:v>S12_061 usage threshold</x:v>
      </x:c>
      <x:c r="S1315" s="19" t="str">
        <x:v>https://nlftp.mlit.go.jp/ksj/gml/datalist/KsjTmplt-S12-2024.html</x:v>
      </x:c>
      <x:c r="T1315" s="19" t="str">
        <x:v>https://nlftp.mlit.go.jp/ksj/gml/datalist/KsjTmplt-S12-2024.html</x:v>
      </x:c>
      <x:c r="U1315" s="19" t="str">
        <x:v>station-component|東神奈川|東日本旅客鉄道|conventional_rail|35.4779|139.6332|</x:v>
      </x:c>
      <x:c r="V1315" s="19" t="str">
        <x:v>004596 / 004596 / 横浜線
004596 / 004597 / 東海道線</x:v>
      </x:c>
      <x:c r="W1315" s="18" t="str">
        <x:v>否</x:v>
      </x:c>
      <x:c r="X1315" s="18" t="str">
        <x:v>0785e932a32b3ec15e1a1345537ae145eafe1c07bf38d5c16c11ee2b391e7a28</x:v>
      </x:c>
      <x:c r="Y1315" s="20" t="n">
        <x:v>1</x:v>
      </x:c>
      <x:c r="Z1315" s="20" t="n">
        <x:v>1</x:v>
      </x:c>
      <x:c r="AA1315" s="19"/>
      <x:c r="AB1315" s="18"/>
      <x:c r="AC1315" s="19"/>
    </x:row>
    <x:row r="1316" ht="28" customHeight="1">
      <x:c r="A1316" s="18" t="str">
        <x:v>東福寺</x:v>
      </x:c>
      <x:c r="B1316" s="18" t="str">
        <x:v>京阪電気鉄道</x:v>
      </x:c>
      <x:c r="C1316" s="18" t="str">
        <x:v>private_rail</x:v>
      </x:c>
      <x:c r="D1316" s="19" t="str">
        <x:v>T2</x:v>
      </x:c>
      <x:c r="E1316" s="20" t="n">
        <x:v>15181</x:v>
      </x:c>
      <x:c r="F1316" s="18" t="str">
        <x:v>persons/day</x:v>
      </x:c>
      <x:c r="G1316" s="18" t="str">
        <x:v>FY2024</x:v>
      </x:c>
      <x:c r="H1316" s="18" t="str">
        <x:v>否</x:v>
      </x:c>
      <x:c r="I1316" s="19" t="str">
        <x:v>DAILY_ENTRIES_EXITS</x:v>
      </x:c>
      <x:c r="J1316" s="19" t="str">
        <x:v>京阪本線</x:v>
      </x:c>
      <x:c r="K1316" s="18" t="str">
        <x:v>transport-node:0fd11a39-7d4d-5fe3-8a4f-9634724d67c1</x:v>
      </x:c>
      <x:c r="L1316" s="19" t="str">
        <x:v>组件待审核</x:v>
      </x:c>
      <x:c r="M1316" s="21" t="n">
        <x:v>34.98143</x:v>
      </x:c>
      <x:c r="N1316" s="21" t="n">
        <x:v>135.77001</x:v>
      </x:c>
      <x:c r="O1316" s="18" t="str">
        <x:v>006093</x:v>
      </x:c>
      <x:c r="P1316" s="18" t="str">
        <x:v>京阪本線</x:v>
      </x:c>
      <x:c r="Q1316" s="19" t="str">
        <x:v>S12_061_GE_10000</x:v>
      </x:c>
      <x:c r="R1316" s="19" t="str">
        <x:v>S12_061 usage threshold</x:v>
      </x:c>
      <x:c r="S1316" s="19" t="str">
        <x:v>https://nlftp.mlit.go.jp/ksj/gml/datalist/KsjTmplt-S12-2024.html</x:v>
      </x:c>
      <x:c r="T1316" s="19" t="str">
        <x:v>https://nlftp.mlit.go.jp/ksj/gml/datalist/KsjTmplt-S12-2024.html</x:v>
      </x:c>
      <x:c r="U1316" s="19" t="str">
        <x:v>station-component|東福寺|京阪電気鉄道|private_rail|34.9814|135.7700|</x:v>
      </x:c>
      <x:c r="V1316" s="19" t="str">
        <x:v>006093 / 006093 / 京阪本線</x:v>
      </x:c>
      <x:c r="W1316" s="18" t="str">
        <x:v>否</x:v>
      </x:c>
      <x:c r="X1316" s="18" t="str">
        <x:v>0785e932a32b3ec15e1a1345537ae145eafe1c07bf38d5c16c11ee2b391e7a28</x:v>
      </x:c>
      <x:c r="Y1316" s="20" t="n">
        <x:v>1</x:v>
      </x:c>
      <x:c r="Z1316" s="20" t="n">
        <x:v>1</x:v>
      </x:c>
      <x:c r="AA1316" s="19"/>
      <x:c r="AB1316" s="18"/>
      <x:c r="AC1316" s="19"/>
    </x:row>
    <x:row r="1317" ht="28" customHeight="1">
      <x:c r="A1317" s="18" t="str">
        <x:v>東福寺</x:v>
      </x:c>
      <x:c r="B1317" s="18" t="str">
        <x:v>西日本旅客鉄道</x:v>
      </x:c>
      <x:c r="C1317" s="18" t="str">
        <x:v>conventional_rail</x:v>
      </x:c>
      <x:c r="D1317" s="19" t="str">
        <x:v>T2</x:v>
      </x:c>
      <x:c r="E1317" s="20" t="n">
        <x:v>19598</x:v>
      </x:c>
      <x:c r="F1317" s="18" t="str">
        <x:v>persons/day</x:v>
      </x:c>
      <x:c r="G1317" s="18" t="str">
        <x:v>FY2024</x:v>
      </x:c>
      <x:c r="H1317" s="18" t="str">
        <x:v>否</x:v>
      </x:c>
      <x:c r="I1317" s="19" t="str">
        <x:v>DAILY_ENTRIES_EXITS</x:v>
      </x:c>
      <x:c r="J1317" s="19" t="str">
        <x:v>奈良線</x:v>
      </x:c>
      <x:c r="K1317" s="18" t="str">
        <x:v>transport-node:fd503efa-5b85-5460-81e9-060f9c2e3e6a</x:v>
      </x:c>
      <x:c r="L1317" s="19" t="str">
        <x:v>组件待审核</x:v>
      </x:c>
      <x:c r="M1317" s="21" t="n">
        <x:v>34.9814067</x:v>
      </x:c>
      <x:c r="N1317" s="21" t="n">
        <x:v>135.7697067</x:v>
      </x:c>
      <x:c r="O1317" s="18" t="str">
        <x:v>006095</x:v>
      </x:c>
      <x:c r="P1317" s="18" t="str">
        <x:v>奈良線</x:v>
      </x:c>
      <x:c r="Q1317" s="19" t="str">
        <x:v>S12_061_GE_10000</x:v>
      </x:c>
      <x:c r="R1317" s="19" t="str">
        <x:v>S12_061 usage threshold</x:v>
      </x:c>
      <x:c r="S1317" s="19" t="str">
        <x:v>https://nlftp.mlit.go.jp/ksj/gml/datalist/KsjTmplt-S12-2024.html</x:v>
      </x:c>
      <x:c r="T1317" s="19" t="str">
        <x:v>https://nlftp.mlit.go.jp/ksj/gml/datalist/KsjTmplt-S12-2024.html</x:v>
      </x:c>
      <x:c r="U1317" s="19" t="str">
        <x:v>station-component|東福寺|西日本旅客鉄道|conventional_rail|34.9814|135.7697|</x:v>
      </x:c>
      <x:c r="V1317" s="19" t="str">
        <x:v>006093 / 006095 / 奈良線</x:v>
      </x:c>
      <x:c r="W1317" s="18" t="str">
        <x:v>否</x:v>
      </x:c>
      <x:c r="X1317" s="18" t="str">
        <x:v>0785e932a32b3ec15e1a1345537ae145eafe1c07bf38d5c16c11ee2b391e7a28</x:v>
      </x:c>
      <x:c r="Y1317" s="20" t="n">
        <x:v>1</x:v>
      </x:c>
      <x:c r="Z1317" s="20" t="n">
        <x:v>1</x:v>
      </x:c>
      <x:c r="AA1317" s="19"/>
      <x:c r="AB1317" s="18"/>
      <x:c r="AC1317" s="19"/>
    </x:row>
    <x:row r="1318" ht="28" customHeight="1">
      <x:c r="A1318" s="18" t="str">
        <x:v>東羽衣</x:v>
      </x:c>
      <x:c r="B1318" s="18" t="str">
        <x:v>西日本旅客鉄道</x:v>
      </x:c>
      <x:c r="C1318" s="18" t="str">
        <x:v>conventional_rail</x:v>
      </x:c>
      <x:c r="D1318" s="19" t="str">
        <x:v>T2</x:v>
      </x:c>
      <x:c r="E1318" s="20" t="n">
        <x:v>10668</x:v>
      </x:c>
      <x:c r="F1318" s="18" t="str">
        <x:v>persons/day</x:v>
      </x:c>
      <x:c r="G1318" s="18" t="str">
        <x:v>FY2024</x:v>
      </x:c>
      <x:c r="H1318" s="18" t="str">
        <x:v>否</x:v>
      </x:c>
      <x:c r="I1318" s="19" t="str">
        <x:v>DAILY_ENTRIES_EXITS</x:v>
      </x:c>
      <x:c r="J1318" s="19" t="str">
        <x:v>阪和線</x:v>
      </x:c>
      <x:c r="K1318" s="18" t="str">
        <x:v>transport-node:4f99ad31-de24-5abc-8dff-d3d19c0230da</x:v>
      </x:c>
      <x:c r="L1318" s="19" t="str">
        <x:v>组件待审核</x:v>
      </x:c>
      <x:c r="M1318" s="21" t="n">
        <x:v>34.535005</x:v>
      </x:c>
      <x:c r="N1318" s="21" t="n">
        <x:v>135.4428</x:v>
      </x:c>
      <x:c r="O1318" s="18" t="str">
        <x:v>007762</x:v>
      </x:c>
      <x:c r="P1318" s="18" t="str">
        <x:v>阪和線</x:v>
      </x:c>
      <x:c r="Q1318" s="19" t="str">
        <x:v>S12_061_GE_10000</x:v>
      </x:c>
      <x:c r="R1318" s="19" t="str">
        <x:v>S12_061 usage threshold</x:v>
      </x:c>
      <x:c r="S1318" s="19" t="str">
        <x:v>https://nlftp.mlit.go.jp/ksj/gml/datalist/KsjTmplt-S12-2024.html</x:v>
      </x:c>
      <x:c r="T1318" s="19" t="str">
        <x:v>https://nlftp.mlit.go.jp/ksj/gml/datalist/KsjTmplt-S12-2024.html</x:v>
      </x:c>
      <x:c r="U1318" s="19" t="str">
        <x:v>station-component|東羽衣|西日本旅客鉄道|conventional_rail|34.5350|135.4428|</x:v>
      </x:c>
      <x:c r="V1318" s="19" t="str">
        <x:v>007762 / 007762 / 阪和線</x:v>
      </x:c>
      <x:c r="W1318" s="18" t="str">
        <x:v>否</x:v>
      </x:c>
      <x:c r="X1318" s="18" t="str">
        <x:v>0785e932a32b3ec15e1a1345537ae145eafe1c07bf38d5c16c11ee2b391e7a28</x:v>
      </x:c>
      <x:c r="Y1318" s="20" t="n">
        <x:v>1</x:v>
      </x:c>
      <x:c r="Z1318" s="20" t="n">
        <x:v>1</x:v>
      </x:c>
      <x:c r="AA1318" s="19"/>
      <x:c r="AB1318" s="18"/>
      <x:c r="AC1318" s="19"/>
    </x:row>
    <x:row r="1319" ht="28" customHeight="1">
      <x:c r="A1319" s="18" t="str">
        <x:v>東船橋</x:v>
      </x:c>
      <x:c r="B1319" s="18" t="str">
        <x:v>東日本旅客鉄道</x:v>
      </x:c>
      <x:c r="C1319" s="18" t="str">
        <x:v>conventional_rail</x:v>
      </x:c>
      <x:c r="D1319" s="19" t="str">
        <x:v>T2</x:v>
      </x:c>
      <x:c r="E1319" s="20" t="n">
        <x:v>40076</x:v>
      </x:c>
      <x:c r="F1319" s="18" t="str">
        <x:v>persons/day</x:v>
      </x:c>
      <x:c r="G1319" s="18" t="str">
        <x:v>FY2024</x:v>
      </x:c>
      <x:c r="H1319" s="18" t="str">
        <x:v>否</x:v>
      </x:c>
      <x:c r="I1319" s="19" t="str">
        <x:v>DAILY_ENTRIES_EXITS</x:v>
      </x:c>
      <x:c r="J1319" s="19" t="str">
        <x:v>総武線</x:v>
      </x:c>
      <x:c r="K1319" s="18" t="str">
        <x:v>transport-node:6499e9e0-c255-52c1-89f6-5cfdb3eb0af9</x:v>
      </x:c>
      <x:c r="L1319" s="19" t="str">
        <x:v>组件待审核</x:v>
      </x:c>
      <x:c r="M1319" s="21" t="n">
        <x:v>35.6998067</x:v>
      </x:c>
      <x:c r="N1319" s="21" t="n">
        <x:v>140.0042417</x:v>
      </x:c>
      <x:c r="O1319" s="18" t="str">
        <x:v>003613</x:v>
      </x:c>
      <x:c r="P1319" s="18" t="str">
        <x:v>総武線</x:v>
      </x:c>
      <x:c r="Q1319" s="19" t="str">
        <x:v>S12_061_GE_10000</x:v>
      </x:c>
      <x:c r="R1319" s="19" t="str">
        <x:v>S12_061 usage threshold</x:v>
      </x:c>
      <x:c r="S1319" s="19" t="str">
        <x:v>https://nlftp.mlit.go.jp/ksj/gml/datalist/KsjTmplt-S12-2024.html</x:v>
      </x:c>
      <x:c r="T1319" s="19" t="str">
        <x:v>https://nlftp.mlit.go.jp/ksj/gml/datalist/KsjTmplt-S12-2024.html</x:v>
      </x:c>
      <x:c r="U1319" s="19" t="str">
        <x:v>station-component|東船橋|東日本旅客鉄道|conventional_rail|35.6998|140.0042|</x:v>
      </x:c>
      <x:c r="V1319" s="19" t="str">
        <x:v>003613 / 003613 / 総武線</x:v>
      </x:c>
      <x:c r="W1319" s="18" t="str">
        <x:v>否</x:v>
      </x:c>
      <x:c r="X1319" s="18" t="str">
        <x:v>0785e932a32b3ec15e1a1345537ae145eafe1c07bf38d5c16c11ee2b391e7a28</x:v>
      </x:c>
      <x:c r="Y1319" s="20" t="n">
        <x:v>1</x:v>
      </x:c>
      <x:c r="Z1319" s="20" t="n">
        <x:v>1</x:v>
      </x:c>
      <x:c r="AA1319" s="19"/>
      <x:c r="AB1319" s="18"/>
      <x:c r="AC1319" s="19"/>
    </x:row>
    <x:row r="1320" ht="28" customHeight="1">
      <x:c r="A1320" s="18" t="str">
        <x:v>東花園</x:v>
      </x:c>
      <x:c r="B1320" s="18" t="str">
        <x:v>近畿日本鉄道</x:v>
      </x:c>
      <x:c r="C1320" s="18" t="str">
        <x:v>private_rail</x:v>
      </x:c>
      <x:c r="D1320" s="19" t="str">
        <x:v>T2</x:v>
      </x:c>
      <x:c r="E1320" s="20" t="n">
        <x:v>17577</x:v>
      </x:c>
      <x:c r="F1320" s="18" t="str">
        <x:v>persons/day</x:v>
      </x:c>
      <x:c r="G1320" s="18" t="str">
        <x:v>FY2024</x:v>
      </x:c>
      <x:c r="H1320" s="18" t="str">
        <x:v>否</x:v>
      </x:c>
      <x:c r="I1320" s="19" t="str">
        <x:v>DAILY_ENTRIES_EXITS</x:v>
      </x:c>
      <x:c r="J1320" s="19" t="str">
        <x:v>奈良線</x:v>
      </x:c>
      <x:c r="K1320" s="18" t="str">
        <x:v>transport-node:813777f8-8a58-57d5-941c-3e287c3f3172</x:v>
      </x:c>
      <x:c r="L1320" s="19" t="str">
        <x:v>组件待审核</x:v>
      </x:c>
      <x:c r="M1320" s="21" t="n">
        <x:v>34.662365</x:v>
      </x:c>
      <x:c r="N1320" s="21" t="n">
        <x:v>135.62679</x:v>
      </x:c>
      <x:c r="O1320" s="18" t="str">
        <x:v>007363</x:v>
      </x:c>
      <x:c r="P1320" s="18" t="str">
        <x:v>奈良線</x:v>
      </x:c>
      <x:c r="Q1320" s="19" t="str">
        <x:v>S12_061_GE_10000</x:v>
      </x:c>
      <x:c r="R1320" s="19" t="str">
        <x:v>S12_061 usage threshold</x:v>
      </x:c>
      <x:c r="S1320" s="19" t="str">
        <x:v>https://nlftp.mlit.go.jp/ksj/gml/datalist/KsjTmplt-S12-2024.html</x:v>
      </x:c>
      <x:c r="T1320" s="19" t="str">
        <x:v>https://nlftp.mlit.go.jp/ksj/gml/datalist/KsjTmplt-S12-2024.html</x:v>
      </x:c>
      <x:c r="U1320" s="19" t="str">
        <x:v>station-component|東花園|近畿日本鉄道|private_rail|34.6624|135.6268|</x:v>
      </x:c>
      <x:c r="V1320" s="19" t="str">
        <x:v>007363 / 007363 / 奈良線</x:v>
      </x:c>
      <x:c r="W1320" s="18" t="str">
        <x:v>否</x:v>
      </x:c>
      <x:c r="X1320" s="18" t="str">
        <x:v>0785e932a32b3ec15e1a1345537ae145eafe1c07bf38d5c16c11ee2b391e7a28</x:v>
      </x:c>
      <x:c r="Y1320" s="20" t="n">
        <x:v>1</x:v>
      </x:c>
      <x:c r="Z1320" s="20" t="n">
        <x:v>1</x:v>
      </x:c>
      <x:c r="AA1320" s="19"/>
      <x:c r="AB1320" s="18"/>
      <x:c r="AC1320" s="19"/>
    </x:row>
    <x:row r="1321" ht="28" customHeight="1">
      <x:c r="A1321" s="18" t="str">
        <x:v>東葉勝田台</x:v>
      </x:c>
      <x:c r="B1321" s="18" t="str">
        <x:v>東葉高速鉄道</x:v>
      </x:c>
      <x:c r="C1321" s="18" t="str">
        <x:v>private_rail</x:v>
      </x:c>
      <x:c r="D1321" s="19" t="str">
        <x:v>T2</x:v>
      </x:c>
      <x:c r="E1321" s="20" t="n">
        <x:v>28675</x:v>
      </x:c>
      <x:c r="F1321" s="18" t="str">
        <x:v>persons/day</x:v>
      </x:c>
      <x:c r="G1321" s="18" t="str">
        <x:v>FY2024</x:v>
      </x:c>
      <x:c r="H1321" s="18" t="str">
        <x:v>否</x:v>
      </x:c>
      <x:c r="I1321" s="19" t="str">
        <x:v>DAILY_ENTRIES_EXITS</x:v>
      </x:c>
      <x:c r="J1321" s="19" t="str">
        <x:v>東葉高速線</x:v>
      </x:c>
      <x:c r="K1321" s="18" t="str">
        <x:v>transport-node:27248976-f1cd-5a48-9082-234f9af59297</x:v>
      </x:c>
      <x:c r="L1321" s="19" t="str">
        <x:v>组件待审核</x:v>
      </x:c>
      <x:c r="M1321" s="21" t="n">
        <x:v>35.7164133</x:v>
      </x:c>
      <x:c r="N1321" s="21" t="n">
        <x:v>140.1258433</x:v>
      </x:c>
      <x:c r="O1321" s="18" t="str">
        <x:v>003487</x:v>
      </x:c>
      <x:c r="P1321" s="18" t="str">
        <x:v>東葉高速線</x:v>
      </x:c>
      <x:c r="Q1321" s="19" t="str">
        <x:v>S12_061_GE_10000</x:v>
      </x:c>
      <x:c r="R1321" s="19" t="str">
        <x:v>S12_061 usage threshold</x:v>
      </x:c>
      <x:c r="S1321" s="19" t="str">
        <x:v>https://nlftp.mlit.go.jp/ksj/gml/datalist/KsjTmplt-S12-2024.html</x:v>
      </x:c>
      <x:c r="T1321" s="19" t="str">
        <x:v>https://nlftp.mlit.go.jp/ksj/gml/datalist/KsjTmplt-S12-2024.html</x:v>
      </x:c>
      <x:c r="U1321" s="19" t="str">
        <x:v>station-component|東葉勝田台|東葉高速鉄道|private_rail|35.7164|140.1258|</x:v>
      </x:c>
      <x:c r="V1321" s="19" t="str">
        <x:v>003487 / 003487 / 東葉高速線</x:v>
      </x:c>
      <x:c r="W1321" s="18" t="str">
        <x:v>否</x:v>
      </x:c>
      <x:c r="X1321" s="18" t="str">
        <x:v>0785e932a32b3ec15e1a1345537ae145eafe1c07bf38d5c16c11ee2b391e7a28</x:v>
      </x:c>
      <x:c r="Y1321" s="20" t="n">
        <x:v>1</x:v>
      </x:c>
      <x:c r="Z1321" s="20" t="n">
        <x:v>1</x:v>
      </x:c>
      <x:c r="AA1321" s="19"/>
      <x:c r="AB1321" s="18"/>
      <x:c r="AC1321" s="19"/>
    </x:row>
    <x:row r="1322" ht="28" customHeight="1">
      <x:c r="A1322" s="18" t="str">
        <x:v>東部市場前</x:v>
      </x:c>
      <x:c r="B1322" s="18" t="str">
        <x:v>西日本旅客鉄道</x:v>
      </x:c>
      <x:c r="C1322" s="18" t="str">
        <x:v>conventional_rail</x:v>
      </x:c>
      <x:c r="D1322" s="19" t="str">
        <x:v>T2</x:v>
      </x:c>
      <x:c r="E1322" s="20" t="n">
        <x:v>15366</x:v>
      </x:c>
      <x:c r="F1322" s="18" t="str">
        <x:v>persons/day</x:v>
      </x:c>
      <x:c r="G1322" s="18" t="str">
        <x:v>FY2024</x:v>
      </x:c>
      <x:c r="H1322" s="18" t="str">
        <x:v>否</x:v>
      </x:c>
      <x:c r="I1322" s="19" t="str">
        <x:v>DAILY_ENTRIES_EXITS</x:v>
      </x:c>
      <x:c r="J1322" s="19" t="str">
        <x:v>関西線</x:v>
      </x:c>
      <x:c r="K1322" s="18" t="str">
        <x:v>transport-node:65c64a88-349a-5e5a-9909-6d5c25c7a1bd</x:v>
      </x:c>
      <x:c r="L1322" s="19" t="str">
        <x:v>组件待审核</x:v>
      </x:c>
      <x:c r="M1322" s="21" t="n">
        <x:v>34.63809</x:v>
      </x:c>
      <x:c r="N1322" s="21" t="n">
        <x:v>135.53768</x:v>
      </x:c>
      <x:c r="O1322" s="18" t="str">
        <x:v>007479</x:v>
      </x:c>
      <x:c r="P1322" s="18" t="str">
        <x:v>関西線</x:v>
      </x:c>
      <x:c r="Q1322" s="19" t="str">
        <x:v>S12_061_GE_10000</x:v>
      </x:c>
      <x:c r="R1322" s="19" t="str">
        <x:v>S12_061 usage threshold</x:v>
      </x:c>
      <x:c r="S1322" s="19" t="str">
        <x:v>https://nlftp.mlit.go.jp/ksj/gml/datalist/KsjTmplt-S12-2024.html</x:v>
      </x:c>
      <x:c r="T1322" s="19" t="str">
        <x:v>https://nlftp.mlit.go.jp/ksj/gml/datalist/KsjTmplt-S12-2024.html</x:v>
      </x:c>
      <x:c r="U1322" s="19" t="str">
        <x:v>station-component|東部市場前|西日本旅客鉄道|conventional_rail|34.6381|135.5377|</x:v>
      </x:c>
      <x:c r="V1322" s="19" t="str">
        <x:v>007479 / 007479 / 関西線</x:v>
      </x:c>
      <x:c r="W1322" s="18" t="str">
        <x:v>否</x:v>
      </x:c>
      <x:c r="X1322" s="18" t="str">
        <x:v>0785e932a32b3ec15e1a1345537ae145eafe1c07bf38d5c16c11ee2b391e7a28</x:v>
      </x:c>
      <x:c r="Y1322" s="20" t="n">
        <x:v>1</x:v>
      </x:c>
      <x:c r="Z1322" s="20" t="n">
        <x:v>1</x:v>
      </x:c>
      <x:c r="AA1322" s="19"/>
      <x:c r="AB1322" s="18"/>
      <x:c r="AC1322" s="19"/>
    </x:row>
    <x:row r="1323" ht="28" customHeight="1">
      <x:c r="A1323" s="18" t="str">
        <x:v>東郷</x:v>
      </x:c>
      <x:c r="B1323" s="18" t="str">
        <x:v>九州旅客鉄道</x:v>
      </x:c>
      <x:c r="C1323" s="18" t="str">
        <x:v>conventional_rail</x:v>
      </x:c>
      <x:c r="D1323" s="19" t="str">
        <x:v>T2</x:v>
      </x:c>
      <x:c r="E1323" s="20" t="n">
        <x:v>10216</x:v>
      </x:c>
      <x:c r="F1323" s="18" t="str">
        <x:v>persons/day</x:v>
      </x:c>
      <x:c r="G1323" s="18" t="str">
        <x:v>FY2024</x:v>
      </x:c>
      <x:c r="H1323" s="18" t="str">
        <x:v>否</x:v>
      </x:c>
      <x:c r="I1323" s="19" t="str">
        <x:v>DAILY_ENTRIES_EXITS</x:v>
      </x:c>
      <x:c r="J1323" s="19" t="str">
        <x:v>鹿児島線</x:v>
      </x:c>
      <x:c r="K1323" s="18" t="str">
        <x:v>transport-node:0711fc4c-3610-526d-ac1f-04bab445ada0</x:v>
      </x:c>
      <x:c r="L1323" s="19" t="str">
        <x:v>组件待审核</x:v>
      </x:c>
      <x:c r="M1323" s="21" t="n">
        <x:v>33.79449</x:v>
      </x:c>
      <x:c r="N1323" s="21" t="n">
        <x:v>130.52884</x:v>
      </x:c>
      <x:c r="O1323" s="18" t="str">
        <x:v>008822</x:v>
      </x:c>
      <x:c r="P1323" s="18" t="str">
        <x:v>鹿児島線</x:v>
      </x:c>
      <x:c r="Q1323" s="19" t="str">
        <x:v>S12_061_GE_10000</x:v>
      </x:c>
      <x:c r="R1323" s="19" t="str">
        <x:v>S12_061 usage threshold</x:v>
      </x:c>
      <x:c r="S1323" s="19" t="str">
        <x:v>https://nlftp.mlit.go.jp/ksj/gml/datalist/KsjTmplt-S12-2024.html</x:v>
      </x:c>
      <x:c r="T1323" s="19" t="str">
        <x:v>https://nlftp.mlit.go.jp/ksj/gml/datalist/KsjTmplt-S12-2024.html</x:v>
      </x:c>
      <x:c r="U1323" s="19" t="str">
        <x:v>station-component|東郷|九州旅客鉄道|conventional_rail|33.7945|130.5288|</x:v>
      </x:c>
      <x:c r="V1323" s="19" t="str">
        <x:v>008822 / 008822 / 鹿児島線</x:v>
      </x:c>
      <x:c r="W1323" s="18" t="str">
        <x:v>否</x:v>
      </x:c>
      <x:c r="X1323" s="18" t="str">
        <x:v>0785e932a32b3ec15e1a1345537ae145eafe1c07bf38d5c16c11ee2b391e7a28</x:v>
      </x:c>
      <x:c r="Y1323" s="20" t="n">
        <x:v>1</x:v>
      </x:c>
      <x:c r="Z1323" s="20" t="n">
        <x:v>1</x:v>
      </x:c>
      <x:c r="AA1323" s="19"/>
      <x:c r="AB1323" s="18"/>
      <x:c r="AC1323" s="19"/>
    </x:row>
    <x:row r="1324" ht="28" customHeight="1">
      <x:c r="A1324" s="18" t="str">
        <x:v>東野</x:v>
      </x:c>
      <x:c r="B1324" s="18" t="str">
        <x:v>京都市</x:v>
      </x:c>
      <x:c r="C1324" s="18" t="str">
        <x:v>metro</x:v>
      </x:c>
      <x:c r="D1324" s="19" t="str">
        <x:v>T2</x:v>
      </x:c>
      <x:c r="E1324" s="20" t="n">
        <x:v>11372</x:v>
      </x:c>
      <x:c r="F1324" s="18" t="str">
        <x:v>persons/day</x:v>
      </x:c>
      <x:c r="G1324" s="18" t="str">
        <x:v>FY2024</x:v>
      </x:c>
      <x:c r="H1324" s="18" t="str">
        <x:v>否</x:v>
      </x:c>
      <x:c r="I1324" s="19" t="str">
        <x:v>DAILY_ENTRIES_EXITS</x:v>
      </x:c>
      <x:c r="J1324" s="19" t="str">
        <x:v>東西線</x:v>
      </x:c>
      <x:c r="K1324" s="18" t="str">
        <x:v>transport-node:4cdb65d7-b735-5124-b743-06eb790e708c</x:v>
      </x:c>
      <x:c r="L1324" s="19" t="str">
        <x:v>组件待审核</x:v>
      </x:c>
      <x:c r="M1324" s="21" t="n">
        <x:v>34.9824</x:v>
      </x:c>
      <x:c r="N1324" s="21" t="n">
        <x:v>135.81682</x:v>
      </x:c>
      <x:c r="O1324" s="18" t="str">
        <x:v>006091</x:v>
      </x:c>
      <x:c r="P1324" s="18" t="str">
        <x:v>東西線</x:v>
      </x:c>
      <x:c r="Q1324" s="19" t="str">
        <x:v>S12_061_GE_10000</x:v>
      </x:c>
      <x:c r="R1324" s="19" t="str">
        <x:v>S12_061 usage threshold</x:v>
      </x:c>
      <x:c r="S1324" s="19" t="str">
        <x:v>https://nlftp.mlit.go.jp/ksj/gml/datalist/KsjTmplt-S12-2024.html</x:v>
      </x:c>
      <x:c r="T1324" s="19" t="str">
        <x:v>https://nlftp.mlit.go.jp/ksj/gml/datalist/KsjTmplt-S12-2024.html</x:v>
      </x:c>
      <x:c r="U1324" s="19" t="str">
        <x:v>station-component|東野|京都市|metro|34.9824|135.8168|</x:v>
      </x:c>
      <x:c r="V1324" s="19" t="str">
        <x:v>006091 / 006091 / 東西線</x:v>
      </x:c>
      <x:c r="W1324" s="18" t="str">
        <x:v>否</x:v>
      </x:c>
      <x:c r="X1324" s="18" t="str">
        <x:v>0785e932a32b3ec15e1a1345537ae145eafe1c07bf38d5c16c11ee2b391e7a28</x:v>
      </x:c>
      <x:c r="Y1324" s="20" t="n">
        <x:v>1</x:v>
      </x:c>
      <x:c r="Z1324" s="20" t="n">
        <x:v>1</x:v>
      </x:c>
      <x:c r="AA1324" s="19"/>
      <x:c r="AB1324" s="18"/>
      <x:c r="AC1324" s="19"/>
    </x:row>
    <x:row r="1325" ht="33" customHeight="1">
      <x:c r="A1325" s="18" t="str">
        <x:v>東銀座</x:v>
      </x:c>
      <x:c r="B1325" s="18" t="str">
        <x:v>東京地下鉄</x:v>
      </x:c>
      <x:c r="C1325" s="18" t="str">
        <x:v>metro</x:v>
      </x:c>
      <x:c r="D1325" s="19" t="str">
        <x:v>T1</x:v>
      </x:c>
      <x:c r="E1325" s="20" t="n">
        <x:v>82069</x:v>
      </x:c>
      <x:c r="F1325" s="18" t="str">
        <x:v>persons/day</x:v>
      </x:c>
      <x:c r="G1325" s="18" t="str">
        <x:v>FY2024</x:v>
      </x:c>
      <x:c r="H1325" s="18" t="str">
        <x:v>否</x:v>
      </x:c>
      <x:c r="I1325" s="19" t="str">
        <x:v>DAILY_ENTRIES_EXITS</x:v>
      </x:c>
      <x:c r="J1325" s="19" t="str">
        <x:v>2号線日比谷線</x:v>
      </x:c>
      <x:c r="K1325" s="18" t="str">
        <x:v>transport-node:88a95970-9ae3-5120-816c-7ed4cdd085f3</x:v>
      </x:c>
      <x:c r="L1325" s="19" t="str">
        <x:v>组件待审核</x:v>
      </x:c>
      <x:c r="M1325" s="21" t="n">
        <x:v>35.6693233</x:v>
      </x:c>
      <x:c r="N1325" s="21" t="n">
        <x:v>139.7674117</x:v>
      </x:c>
      <x:c r="O1325" s="18" t="str">
        <x:v>003843</x:v>
      </x:c>
      <x:c r="P1325" s="18" t="str">
        <x:v>2号線日比谷線</x:v>
      </x:c>
      <x:c r="Q1325" s="19" t="str">
        <x:v>S12_061_GE_10000
OFFICIAL_HUB_COMPONENT_REVIEW</x:v>
      </x:c>
      <x:c r="R1325" s="19" t="str">
        <x:v>S12_061 usage threshold</x:v>
      </x:c>
      <x:c r="S1325" s="19" t="str">
        <x:v>https://nlftp.mlit.go.jp/ksj/gml/datalist/KsjTmplt-S12-2024.html</x:v>
      </x:c>
      <x:c r="T1325" s="19" t="str">
        <x:v>https://nlftp.mlit.go.jp/ksj/gml/datalist/KsjTmplt-S12-2024.html
https://www.tokyometro.jp/station/higashi-ginza/index.html</x:v>
      </x:c>
      <x:c r="U1325" s="19" t="str">
        <x:v>station-component|東銀座|東京地下鉄|metro|35.6693|139.7674|</x:v>
      </x:c>
      <x:c r="V1325" s="19" t="str">
        <x:v>003838 / 003843 / 2号線日比谷線</x:v>
      </x:c>
      <x:c r="W1325" s="18" t="str">
        <x:v>否</x:v>
      </x:c>
      <x:c r="X1325" s="18" t="str">
        <x:v>0785e932a32b3ec15e1a1345537ae145eafe1c07bf38d5c16c11ee2b391e7a28</x:v>
      </x:c>
      <x:c r="Y1325" s="20" t="n">
        <x:v>1</x:v>
      </x:c>
      <x:c r="Z1325" s="20" t="n">
        <x:v>1</x:v>
      </x:c>
      <x:c r="AA1325" s="19" t="str">
        <x:v>東銀座</x:v>
      </x:c>
      <x:c r="AB1325" s="18" t="str">
        <x:v>transport-hub-review:5695f141-d759-5b19-a19e-62f5a1e7b451</x:v>
      </x:c>
      <x:c r="AC1325" s="19"/>
    </x:row>
    <x:row r="1326" ht="33" customHeight="1">
      <x:c r="A1326" s="18" t="str">
        <x:v>東銀座</x:v>
      </x:c>
      <x:c r="B1326" s="18" t="str">
        <x:v>東京都</x:v>
      </x:c>
      <x:c r="C1326" s="18" t="str">
        <x:v>metro</x:v>
      </x:c>
      <x:c r="D1326" s="19" t="str">
        <x:v>T1</x:v>
      </x:c>
      <x:c r="E1326" s="20" t="n">
        <x:v>58099</x:v>
      </x:c>
      <x:c r="F1326" s="18" t="str">
        <x:v>persons/day</x:v>
      </x:c>
      <x:c r="G1326" s="18" t="str">
        <x:v>FY2024</x:v>
      </x:c>
      <x:c r="H1326" s="18" t="str">
        <x:v>否</x:v>
      </x:c>
      <x:c r="I1326" s="19" t="str">
        <x:v>DAILY_ENTRIES_EXITS</x:v>
      </x:c>
      <x:c r="J1326" s="19" t="str">
        <x:v>1号線浅草線</x:v>
      </x:c>
      <x:c r="K1326" s="18" t="str">
        <x:v>transport-node:837836dc-1da8-5313-bb75-65a4300785c0</x:v>
      </x:c>
      <x:c r="L1326" s="19" t="str">
        <x:v>组件待审核</x:v>
      </x:c>
      <x:c r="M1326" s="21" t="n">
        <x:v>35.6696517</x:v>
      </x:c>
      <x:c r="N1326" s="21" t="n">
        <x:v>139.7671517</x:v>
      </x:c>
      <x:c r="O1326" s="18" t="str">
        <x:v>003838</x:v>
      </x:c>
      <x:c r="P1326" s="18" t="str">
        <x:v>1号線浅草線</x:v>
      </x:c>
      <x:c r="Q1326" s="19" t="str">
        <x:v>S12_061_GE_10000
OFFICIAL_HUB_COMPONENT_REVIEW</x:v>
      </x:c>
      <x:c r="R1326" s="19" t="str">
        <x:v>S12_061 usage threshold</x:v>
      </x:c>
      <x:c r="S1326" s="19" t="str">
        <x:v>https://nlftp.mlit.go.jp/ksj/gml/datalist/KsjTmplt-S12-2024.html</x:v>
      </x:c>
      <x:c r="T1326" s="19" t="str">
        <x:v>https://nlftp.mlit.go.jp/ksj/gml/datalist/KsjTmplt-S12-2024.html
https://www.tokyometro.jp/station/higashi-ginza/index.html</x:v>
      </x:c>
      <x:c r="U1326" s="19" t="str">
        <x:v>station-component|東銀座|東京都|metro|35.6697|139.7672|</x:v>
      </x:c>
      <x:c r="V1326" s="19" t="str">
        <x:v>003838 / 003838 / 1号線浅草線</x:v>
      </x:c>
      <x:c r="W1326" s="18" t="str">
        <x:v>否</x:v>
      </x:c>
      <x:c r="X1326" s="18" t="str">
        <x:v>0785e932a32b3ec15e1a1345537ae145eafe1c07bf38d5c16c11ee2b391e7a28</x:v>
      </x:c>
      <x:c r="Y1326" s="20" t="n">
        <x:v>1</x:v>
      </x:c>
      <x:c r="Z1326" s="20" t="n">
        <x:v>1</x:v>
      </x:c>
      <x:c r="AA1326" s="19" t="str">
        <x:v>東銀座</x:v>
      </x:c>
      <x:c r="AB1326" s="18" t="str">
        <x:v>transport-hub-review:5695f141-d759-5b19-a19e-62f5a1e7b451</x:v>
      </x:c>
      <x:c r="AC1326" s="19"/>
    </x:row>
    <x:row r="1327" ht="28" customHeight="1">
      <x:c r="A1327" s="18" t="str">
        <x:v>東長崎</x:v>
      </x:c>
      <x:c r="B1327" s="18" t="str">
        <x:v>西武鉄道</x:v>
      </x:c>
      <x:c r="C1327" s="18" t="str">
        <x:v>private_rail</x:v>
      </x:c>
      <x:c r="D1327" s="19" t="str">
        <x:v>T2</x:v>
      </x:c>
      <x:c r="E1327" s="20" t="n">
        <x:v>25544</x:v>
      </x:c>
      <x:c r="F1327" s="18" t="str">
        <x:v>persons/day</x:v>
      </x:c>
      <x:c r="G1327" s="18" t="str">
        <x:v>FY2024</x:v>
      </x:c>
      <x:c r="H1327" s="18" t="str">
        <x:v>否</x:v>
      </x:c>
      <x:c r="I1327" s="19" t="str">
        <x:v>DAILY_ENTRIES_EXITS</x:v>
      </x:c>
      <x:c r="J1327" s="19" t="str">
        <x:v>池袋線</x:v>
      </x:c>
      <x:c r="K1327" s="18" t="str">
        <x:v>transport-node:ca1acb4d-226d-5342-b637-0599f72daf46</x:v>
      </x:c>
      <x:c r="L1327" s="19" t="str">
        <x:v>组件待审核</x:v>
      </x:c>
      <x:c r="M1327" s="21" t="n">
        <x:v>35.72997</x:v>
      </x:c>
      <x:c r="N1327" s="21" t="n">
        <x:v>139.683185</x:v>
      </x:c>
      <x:c r="O1327" s="18" t="str">
        <x:v>003393</x:v>
      </x:c>
      <x:c r="P1327" s="18" t="str">
        <x:v>池袋線</x:v>
      </x:c>
      <x:c r="Q1327" s="19" t="str">
        <x:v>S12_061_GE_10000</x:v>
      </x:c>
      <x:c r="R1327" s="19" t="str">
        <x:v>S12_061 usage threshold</x:v>
      </x:c>
      <x:c r="S1327" s="19" t="str">
        <x:v>https://nlftp.mlit.go.jp/ksj/gml/datalist/KsjTmplt-S12-2024.html</x:v>
      </x:c>
      <x:c r="T1327" s="19" t="str">
        <x:v>https://nlftp.mlit.go.jp/ksj/gml/datalist/KsjTmplt-S12-2024.html</x:v>
      </x:c>
      <x:c r="U1327" s="19" t="str">
        <x:v>station-component|東長崎|西武鉄道|private_rail|35.7300|139.6832|</x:v>
      </x:c>
      <x:c r="V1327" s="19" t="str">
        <x:v>003393 / 003393 / 池袋線</x:v>
      </x:c>
      <x:c r="W1327" s="18" t="str">
        <x:v>否</x:v>
      </x:c>
      <x:c r="X1327" s="18" t="str">
        <x:v>0785e932a32b3ec15e1a1345537ae145eafe1c07bf38d5c16c11ee2b391e7a28</x:v>
      </x:c>
      <x:c r="Y1327" s="20" t="n">
        <x:v>1</x:v>
      </x:c>
      <x:c r="Z1327" s="20" t="n">
        <x:v>1</x:v>
      </x:c>
      <x:c r="AA1327" s="19"/>
      <x:c r="AB1327" s="18"/>
      <x:c r="AC1327" s="19"/>
    </x:row>
    <x:row r="1328" ht="28" customHeight="1">
      <x:c r="A1328" s="18" t="str">
        <x:v>東門前</x:v>
      </x:c>
      <x:c r="B1328" s="18" t="str">
        <x:v>京浜急行電鉄</x:v>
      </x:c>
      <x:c r="C1328" s="18" t="str">
        <x:v>private_rail</x:v>
      </x:c>
      <x:c r="D1328" s="19" t="str">
        <x:v>T2</x:v>
      </x:c>
      <x:c r="E1328" s="20" t="n">
        <x:v>12967</x:v>
      </x:c>
      <x:c r="F1328" s="18" t="str">
        <x:v>persons/day</x:v>
      </x:c>
      <x:c r="G1328" s="18" t="str">
        <x:v>FY2024</x:v>
      </x:c>
      <x:c r="H1328" s="18" t="str">
        <x:v>否</x:v>
      </x:c>
      <x:c r="I1328" s="19" t="str">
        <x:v>DAILY_ENTRIES_EXITS</x:v>
      </x:c>
      <x:c r="J1328" s="19" t="str">
        <x:v>大師線</x:v>
      </x:c>
      <x:c r="K1328" s="18" t="str">
        <x:v>transport-node:1f35976a-f452-5c34-ad31-553edb52a48c</x:v>
      </x:c>
      <x:c r="L1328" s="19" t="str">
        <x:v>组件待审核</x:v>
      </x:c>
      <x:c r="M1328" s="21" t="n">
        <x:v>35.53659</x:v>
      </x:c>
      <x:c r="N1328" s="21" t="n">
        <x:v>139.734325</x:v>
      </x:c>
      <x:c r="O1328" s="18" t="str">
        <x:v>004408</x:v>
      </x:c>
      <x:c r="P1328" s="18" t="str">
        <x:v>大師線</x:v>
      </x:c>
      <x:c r="Q1328" s="19" t="str">
        <x:v>S12_061_GE_10000</x:v>
      </x:c>
      <x:c r="R1328" s="19" t="str">
        <x:v>S12_061 usage threshold</x:v>
      </x:c>
      <x:c r="S1328" s="19" t="str">
        <x:v>https://nlftp.mlit.go.jp/ksj/gml/datalist/KsjTmplt-S12-2024.html</x:v>
      </x:c>
      <x:c r="T1328" s="19" t="str">
        <x:v>https://nlftp.mlit.go.jp/ksj/gml/datalist/KsjTmplt-S12-2024.html</x:v>
      </x:c>
      <x:c r="U1328" s="19" t="str">
        <x:v>station-component|東門前|京浜急行電鉄|private_rail|35.5366|139.7343|</x:v>
      </x:c>
      <x:c r="V1328" s="19" t="str">
        <x:v>004408 / 004408 / 大師線</x:v>
      </x:c>
      <x:c r="W1328" s="18" t="str">
        <x:v>否</x:v>
      </x:c>
      <x:c r="X1328" s="18" t="str">
        <x:v>0785e932a32b3ec15e1a1345537ae145eafe1c07bf38d5c16c11ee2b391e7a28</x:v>
      </x:c>
      <x:c r="Y1328" s="20" t="n">
        <x:v>1</x:v>
      </x:c>
      <x:c r="Z1328" s="20" t="n">
        <x:v>1</x:v>
      </x:c>
      <x:c r="AA1328" s="19"/>
      <x:c r="AB1328" s="18"/>
      <x:c r="AC1328" s="19"/>
    </x:row>
    <x:row r="1329" ht="28" customHeight="1">
      <x:c r="A1329" s="18" t="str">
        <x:v>東陽町</x:v>
      </x:c>
      <x:c r="B1329" s="18" t="str">
        <x:v>東京地下鉄</x:v>
      </x:c>
      <x:c r="C1329" s="18" t="str">
        <x:v>metro</x:v>
      </x:c>
      <x:c r="D1329" s="19" t="str">
        <x:v>T1</x:v>
      </x:c>
      <x:c r="E1329" s="20" t="n">
        <x:v>114708</x:v>
      </x:c>
      <x:c r="F1329" s="18" t="str">
        <x:v>persons/day</x:v>
      </x:c>
      <x:c r="G1329" s="18" t="str">
        <x:v>FY2024</x:v>
      </x:c>
      <x:c r="H1329" s="18" t="str">
        <x:v>否</x:v>
      </x:c>
      <x:c r="I1329" s="19" t="str">
        <x:v>DAILY_ENTRIES_EXITS</x:v>
      </x:c>
      <x:c r="J1329" s="19" t="str">
        <x:v>5号線東西線</x:v>
      </x:c>
      <x:c r="K1329" s="18" t="str">
        <x:v>transport-node:bf5cb8c3-5c3c-5edf-b857-efb39cdf4cc7</x:v>
      </x:c>
      <x:c r="L1329" s="19" t="str">
        <x:v>组件待审核</x:v>
      </x:c>
      <x:c r="M1329" s="21" t="n">
        <x:v>35.66959</x:v>
      </x:c>
      <x:c r="N1329" s="21" t="n">
        <x:v>139.81768</x:v>
      </x:c>
      <x:c r="O1329" s="18" t="str">
        <x:v>003839</x:v>
      </x:c>
      <x:c r="P1329" s="18" t="str">
        <x:v>5号線東西線</x:v>
      </x:c>
      <x:c r="Q1329" s="19" t="str">
        <x:v>S12_061_GE_10000</x:v>
      </x:c>
      <x:c r="R1329" s="19" t="str">
        <x:v>S12_061 usage threshold</x:v>
      </x:c>
      <x:c r="S1329" s="19" t="str">
        <x:v>https://nlftp.mlit.go.jp/ksj/gml/datalist/KsjTmplt-S12-2024.html</x:v>
      </x:c>
      <x:c r="T1329" s="19" t="str">
        <x:v>https://nlftp.mlit.go.jp/ksj/gml/datalist/KsjTmplt-S12-2024.html</x:v>
      </x:c>
      <x:c r="U1329" s="19" t="str">
        <x:v>station-component|東陽町|東京地下鉄|metro|35.6696|139.8177|</x:v>
      </x:c>
      <x:c r="V1329" s="19" t="str">
        <x:v>003839 / 003839 / 5号線東西線</x:v>
      </x:c>
      <x:c r="W1329" s="18" t="str">
        <x:v>否</x:v>
      </x:c>
      <x:c r="X1329" s="18" t="str">
        <x:v>0785e932a32b3ec15e1a1345537ae145eafe1c07bf38d5c16c11ee2b391e7a28</x:v>
      </x:c>
      <x:c r="Y1329" s="20" t="n">
        <x:v>1</x:v>
      </x:c>
      <x:c r="Z1329" s="20" t="n">
        <x:v>1</x:v>
      </x:c>
      <x:c r="AA1329" s="19"/>
      <x:c r="AB1329" s="18"/>
      <x:c r="AC1329" s="19"/>
    </x:row>
    <x:row r="1330" ht="28" customHeight="1">
      <x:c r="A1330" s="18" t="str">
        <x:v>東雲</x:v>
      </x:c>
      <x:c r="B1330" s="18" t="str">
        <x:v>東京臨海高速鉄道</x:v>
      </x:c>
      <x:c r="C1330" s="18" t="str">
        <x:v>private_rail</x:v>
      </x:c>
      <x:c r="D1330" s="19" t="str">
        <x:v>T2</x:v>
      </x:c>
      <x:c r="E1330" s="20" t="n">
        <x:v>14700</x:v>
      </x:c>
      <x:c r="F1330" s="18" t="str">
        <x:v>persons/day</x:v>
      </x:c>
      <x:c r="G1330" s="18" t="str">
        <x:v>FY2024</x:v>
      </x:c>
      <x:c r="H1330" s="18" t="str">
        <x:v>否</x:v>
      </x:c>
      <x:c r="I1330" s="19" t="str">
        <x:v>DAILY_ENTRIES_EXITS</x:v>
      </x:c>
      <x:c r="J1330" s="19" t="str">
        <x:v>臨海副都心線</x:v>
      </x:c>
      <x:c r="K1330" s="18" t="str">
        <x:v>transport-node:dfe226a4-56f5-56e9-b203-05f959e55acf</x:v>
      </x:c>
      <x:c r="L1330" s="19" t="str">
        <x:v>组件待审核</x:v>
      </x:c>
      <x:c r="M1330" s="21" t="n">
        <x:v>35.64082</x:v>
      </x:c>
      <x:c r="N1330" s="21" t="n">
        <x:v>139.80416</x:v>
      </x:c>
      <x:c r="O1330" s="18" t="str">
        <x:v>004034</x:v>
      </x:c>
      <x:c r="P1330" s="18" t="str">
        <x:v>臨海副都心線</x:v>
      </x:c>
      <x:c r="Q1330" s="19" t="str">
        <x:v>S12_061_GE_10000</x:v>
      </x:c>
      <x:c r="R1330" s="19" t="str">
        <x:v>S12_061 usage threshold</x:v>
      </x:c>
      <x:c r="S1330" s="19" t="str">
        <x:v>https://nlftp.mlit.go.jp/ksj/gml/datalist/KsjTmplt-S12-2024.html</x:v>
      </x:c>
      <x:c r="T1330" s="19" t="str">
        <x:v>https://nlftp.mlit.go.jp/ksj/gml/datalist/KsjTmplt-S12-2024.html</x:v>
      </x:c>
      <x:c r="U1330" s="19" t="str">
        <x:v>station-component|東雲|東京臨海高速鉄道|private_rail|35.6408|139.8042|</x:v>
      </x:c>
      <x:c r="V1330" s="19" t="str">
        <x:v>004034 / 004034 / 臨海副都心線</x:v>
      </x:c>
      <x:c r="W1330" s="18" t="str">
        <x:v>否</x:v>
      </x:c>
      <x:c r="X1330" s="18" t="str">
        <x:v>0785e932a32b3ec15e1a1345537ae145eafe1c07bf38d5c16c11ee2b391e7a28</x:v>
      </x:c>
      <x:c r="Y1330" s="20" t="n">
        <x:v>1</x:v>
      </x:c>
      <x:c r="Z1330" s="20" t="n">
        <x:v>1</x:v>
      </x:c>
      <x:c r="AA1330" s="19"/>
      <x:c r="AB1330" s="18"/>
      <x:c r="AC1330" s="19"/>
    </x:row>
    <x:row r="1331" ht="28" customHeight="1">
      <x:c r="A1331" s="18" t="str">
        <x:v>東青梅</x:v>
      </x:c>
      <x:c r="B1331" s="18" t="str">
        <x:v>東日本旅客鉄道</x:v>
      </x:c>
      <x:c r="C1331" s="18" t="str">
        <x:v>conventional_rail</x:v>
      </x:c>
      <x:c r="D1331" s="19" t="str">
        <x:v>T2</x:v>
      </x:c>
      <x:c r="E1331" s="20" t="n">
        <x:v>12302</x:v>
      </x:c>
      <x:c r="F1331" s="18" t="str">
        <x:v>persons/day</x:v>
      </x:c>
      <x:c r="G1331" s="18" t="str">
        <x:v>FY2024</x:v>
      </x:c>
      <x:c r="H1331" s="18" t="str">
        <x:v>否</x:v>
      </x:c>
      <x:c r="I1331" s="19" t="str">
        <x:v>DAILY_ENTRIES_EXITS</x:v>
      </x:c>
      <x:c r="J1331" s="19" t="str">
        <x:v>青梅線</x:v>
      </x:c>
      <x:c r="K1331" s="18" t="str">
        <x:v>transport-node:7903a153-9712-5f64-8c1e-991c6acbac2f</x:v>
      </x:c>
      <x:c r="L1331" s="19" t="str">
        <x:v>组件待审核</x:v>
      </x:c>
      <x:c r="M1331" s="21" t="n">
        <x:v>35.789815</x:v>
      </x:c>
      <x:c r="N1331" s="21" t="n">
        <x:v>139.272805</x:v>
      </x:c>
      <x:c r="O1331" s="18" t="str">
        <x:v>003113</x:v>
      </x:c>
      <x:c r="P1331" s="18" t="str">
        <x:v>青梅線</x:v>
      </x:c>
      <x:c r="Q1331" s="19" t="str">
        <x:v>S12_061_GE_10000</x:v>
      </x:c>
      <x:c r="R1331" s="19" t="str">
        <x:v>S12_061 usage threshold</x:v>
      </x:c>
      <x:c r="S1331" s="19" t="str">
        <x:v>https://nlftp.mlit.go.jp/ksj/gml/datalist/KsjTmplt-S12-2024.html</x:v>
      </x:c>
      <x:c r="T1331" s="19" t="str">
        <x:v>https://nlftp.mlit.go.jp/ksj/gml/datalist/KsjTmplt-S12-2024.html</x:v>
      </x:c>
      <x:c r="U1331" s="19" t="str">
        <x:v>station-component|東青梅|東日本旅客鉄道|conventional_rail|35.7898|139.2728|</x:v>
      </x:c>
      <x:c r="V1331" s="19" t="str">
        <x:v>003113 / 003113 / 青梅線</x:v>
      </x:c>
      <x:c r="W1331" s="18" t="str">
        <x:v>否</x:v>
      </x:c>
      <x:c r="X1331" s="18" t="str">
        <x:v>0785e932a32b3ec15e1a1345537ae145eafe1c07bf38d5c16c11ee2b391e7a28</x:v>
      </x:c>
      <x:c r="Y1331" s="20" t="n">
        <x:v>1</x:v>
      </x:c>
      <x:c r="Z1331" s="20" t="n">
        <x:v>1</x:v>
      </x:c>
      <x:c r="AA1331" s="19"/>
      <x:c r="AB1331" s="18"/>
      <x:c r="AC1331" s="19"/>
    </x:row>
    <x:row r="1332" ht="28" customHeight="1">
      <x:c r="A1332" s="18" t="str">
        <x:v>東静岡</x:v>
      </x:c>
      <x:c r="B1332" s="18" t="str">
        <x:v>東海旅客鉄道</x:v>
      </x:c>
      <x:c r="C1332" s="18" t="str">
        <x:v>conventional_rail</x:v>
      </x:c>
      <x:c r="D1332" s="19" t="str">
        <x:v>T2</x:v>
      </x:c>
      <x:c r="E1332" s="20" t="n">
        <x:v>16501</x:v>
      </x:c>
      <x:c r="F1332" s="18" t="str">
        <x:v>persons/day</x:v>
      </x:c>
      <x:c r="G1332" s="18" t="str">
        <x:v>FY2024</x:v>
      </x:c>
      <x:c r="H1332" s="18" t="str">
        <x:v>否</x:v>
      </x:c>
      <x:c r="I1332" s="19" t="str">
        <x:v>DAILY_ENTRIES_EXITS</x:v>
      </x:c>
      <x:c r="J1332" s="19" t="str">
        <x:v>東海道線</x:v>
      </x:c>
      <x:c r="K1332" s="18" t="str">
        <x:v>transport-node:c2f91940-c45d-5fa7-ad78-fb23e19e15a2</x:v>
      </x:c>
      <x:c r="L1332" s="19" t="str">
        <x:v>组件待审核</x:v>
      </x:c>
      <x:c r="M1332" s="21" t="n">
        <x:v>34.9840767</x:v>
      </x:c>
      <x:c r="N1332" s="21" t="n">
        <x:v>138.41292</x:v>
      </x:c>
      <x:c r="O1332" s="18" t="str">
        <x:v>006085</x:v>
      </x:c>
      <x:c r="P1332" s="18" t="str">
        <x:v>東海道線</x:v>
      </x:c>
      <x:c r="Q1332" s="19" t="str">
        <x:v>S12_061_GE_10000</x:v>
      </x:c>
      <x:c r="R1332" s="19" t="str">
        <x:v>S12_061 usage threshold</x:v>
      </x:c>
      <x:c r="S1332" s="19" t="str">
        <x:v>https://nlftp.mlit.go.jp/ksj/gml/datalist/KsjTmplt-S12-2024.html</x:v>
      </x:c>
      <x:c r="T1332" s="19" t="str">
        <x:v>https://nlftp.mlit.go.jp/ksj/gml/datalist/KsjTmplt-S12-2024.html</x:v>
      </x:c>
      <x:c r="U1332" s="19" t="str">
        <x:v>station-component|東静岡|東海旅客鉄道|conventional_rail|34.9841|138.4129|</x:v>
      </x:c>
      <x:c r="V1332" s="19" t="str">
        <x:v>006085 / 006085 / 東海道線</x:v>
      </x:c>
      <x:c r="W1332" s="18" t="str">
        <x:v>否</x:v>
      </x:c>
      <x:c r="X1332" s="18" t="str">
        <x:v>0785e932a32b3ec15e1a1345537ae145eafe1c07bf38d5c16c11ee2b391e7a28</x:v>
      </x:c>
      <x:c r="Y1332" s="20" t="n">
        <x:v>1</x:v>
      </x:c>
      <x:c r="Z1332" s="20" t="n">
        <x:v>1</x:v>
      </x:c>
      <x:c r="AA1332" s="19"/>
      <x:c r="AB1332" s="18"/>
      <x:c r="AC1332" s="19"/>
    </x:row>
    <x:row r="1333" ht="33" customHeight="1">
      <x:c r="A1333" s="18" t="str">
        <x:v>東飯能</x:v>
      </x:c>
      <x:c r="B1333" s="18" t="str">
        <x:v>東日本旅客鉄道</x:v>
      </x:c>
      <x:c r="C1333" s="18" t="str">
        <x:v>conventional_rail</x:v>
      </x:c>
      <x:c r="D1333" s="19" t="str">
        <x:v>T2</x:v>
      </x:c>
      <x:c r="E1333" s="20" t="n">
        <x:v>11150</x:v>
      </x:c>
      <x:c r="F1333" s="18" t="str">
        <x:v>persons/day</x:v>
      </x:c>
      <x:c r="G1333" s="18" t="str">
        <x:v>FY2024</x:v>
      </x:c>
      <x:c r="H1333" s="18" t="str">
        <x:v>否</x:v>
      </x:c>
      <x:c r="I1333" s="19" t="str">
        <x:v>DAILY_ENTRIES_EXITS</x:v>
      </x:c>
      <x:c r="J1333" s="19" t="str">
        <x:v>八高線</x:v>
      </x:c>
      <x:c r="K1333" s="18" t="str">
        <x:v>transport-node:43020676-4f21-57b8-a2fc-66e66d9490a9</x:v>
      </x:c>
      <x:c r="L1333" s="19" t="str">
        <x:v>组件待审核</x:v>
      </x:c>
      <x:c r="M1333" s="21" t="n">
        <x:v>35.85302</x:v>
      </x:c>
      <x:c r="N1333" s="21" t="n">
        <x:v>139.32613</x:v>
      </x:c>
      <x:c r="O1333" s="18" t="str">
        <x:v>002997</x:v>
      </x:c>
      <x:c r="P1333" s="18" t="str">
        <x:v>八高線</x:v>
      </x:c>
      <x:c r="Q1333" s="19" t="str">
        <x:v>S12_061_GE_10000
OFFICIAL_HUB_COMPONENT_REVIEW</x:v>
      </x:c>
      <x:c r="R1333" s="19" t="str">
        <x:v>S12_061 usage threshold</x:v>
      </x:c>
      <x:c r="S1333" s="19" t="str">
        <x:v>https://nlftp.mlit.go.jp/ksj/gml/datalist/KsjTmplt-S12-2024.html</x:v>
      </x:c>
      <x:c r="T1333" s="19" t="str">
        <x:v>https://nlftp.mlit.go.jp/ksj/gml/datalist/KsjTmplt-S12-2024.html
https://www.seiburailway.jp/railway/station/</x:v>
      </x:c>
      <x:c r="U1333" s="19" t="str">
        <x:v>station-component|東飯能|東日本旅客鉄道|conventional_rail|35.8530|139.3261|</x:v>
      </x:c>
      <x:c r="V1333" s="19" t="str">
        <x:v>002997 / 002997 / 八高線</x:v>
      </x:c>
      <x:c r="W1333" s="18" t="str">
        <x:v>否</x:v>
      </x:c>
      <x:c r="X1333" s="18" t="str">
        <x:v>0785e932a32b3ec15e1a1345537ae145eafe1c07bf38d5c16c11ee2b391e7a28</x:v>
      </x:c>
      <x:c r="Y1333" s="20" t="n">
        <x:v>1</x:v>
      </x:c>
      <x:c r="Z1333" s="20" t="n">
        <x:v>1</x:v>
      </x:c>
      <x:c r="AA1333" s="19" t="str">
        <x:v>東飯能</x:v>
      </x:c>
      <x:c r="AB1333" s="18" t="str">
        <x:v>transport-hub-review:312d49a2-f2a7-53de-8742-8b7ff56b8076</x:v>
      </x:c>
      <x:c r="AC1333" s="19"/>
    </x:row>
    <x:row r="1334" ht="33" customHeight="1">
      <x:c r="A1334" s="18" t="str">
        <x:v>東飯能</x:v>
      </x:c>
      <x:c r="B1334" s="18" t="str">
        <x:v>西武鉄道</x:v>
      </x:c>
      <x:c r="C1334" s="18" t="str">
        <x:v>private_rail</x:v>
      </x:c>
      <x:c r="D1334" s="19" t="str">
        <x:v>T3</x:v>
      </x:c>
      <x:c r="E1334" s="20" t="n">
        <x:v>5336</x:v>
      </x:c>
      <x:c r="F1334" s="18" t="str">
        <x:v>persons/day</x:v>
      </x:c>
      <x:c r="G1334" s="18" t="str">
        <x:v>FY2024</x:v>
      </x:c>
      <x:c r="H1334" s="18" t="str">
        <x:v>否</x:v>
      </x:c>
      <x:c r="I1334" s="19" t="str">
        <x:v>DAILY_ENTRIES_EXITS</x:v>
      </x:c>
      <x:c r="J1334" s="19" t="str">
        <x:v>池袋線</x:v>
      </x:c>
      <x:c r="K1334" s="18" t="str">
        <x:v>transport-node:07f3aa83-0fbd-5b1b-9be7-c4240abc923a</x:v>
      </x:c>
      <x:c r="L1334" s="19" t="str">
        <x:v>组件待审核</x:v>
      </x:c>
      <x:c r="M1334" s="21" t="n">
        <x:v>35.85302</x:v>
      </x:c>
      <x:c r="N1334" s="21" t="n">
        <x:v>139.32598</x:v>
      </x:c>
      <x:c r="O1334" s="18" t="str">
        <x:v>002998</x:v>
      </x:c>
      <x:c r="P1334" s="18" t="str">
        <x:v>池袋線</x:v>
      </x:c>
      <x:c r="Q1334" s="19" t="str">
        <x:v>OFFICIAL_HUB_COMPONENT_REVIEW</x:v>
      </x:c>
      <x:c r="R1334" s="19" t="str">
        <x:v>S12_061 usage threshold; low-flow inclusion justified by official Hub component review</x:v>
      </x:c>
      <x:c r="S1334" s="19" t="str">
        <x:v>https://nlftp.mlit.go.jp/ksj/gml/datalist/KsjTmplt-S12-2024.html</x:v>
      </x:c>
      <x:c r="T1334" s="19" t="str">
        <x:v>https://nlftp.mlit.go.jp/ksj/gml/datalist/KsjTmplt-S12-2024.html
https://www.seiburailway.jp/railway/station/</x:v>
      </x:c>
      <x:c r="U1334" s="19" t="str">
        <x:v>station-component|東飯能|西武鉄道|private_rail|35.8530|139.3260|</x:v>
      </x:c>
      <x:c r="V1334" s="19" t="str">
        <x:v>002997 / 002998 / 池袋線</x:v>
      </x:c>
      <x:c r="W1334" s="18" t="str">
        <x:v>否</x:v>
      </x:c>
      <x:c r="X1334" s="18" t="str">
        <x:v>0785e932a32b3ec15e1a1345537ae145eafe1c07bf38d5c16c11ee2b391e7a28</x:v>
      </x:c>
      <x:c r="Y1334" s="20" t="n">
        <x:v>1</x:v>
      </x:c>
      <x:c r="Z1334" s="20" t="n">
        <x:v>1</x:v>
      </x:c>
      <x:c r="AA1334" s="19" t="str">
        <x:v>東飯能</x:v>
      </x:c>
      <x:c r="AB1334" s="18" t="str">
        <x:v>transport-hub-review:312d49a2-f2a7-53de-8742-8b7ff56b8076</x:v>
      </x:c>
      <x:c r="AC1334" s="19"/>
    </x:row>
    <x:row r="1335" ht="28" customHeight="1">
      <x:c r="A1335" s="18" t="str">
        <x:v>東高円寺</x:v>
      </x:c>
      <x:c r="B1335" s="18" t="str">
        <x:v>東京地下鉄</x:v>
      </x:c>
      <x:c r="C1335" s="18" t="str">
        <x:v>metro</x:v>
      </x:c>
      <x:c r="D1335" s="19" t="str">
        <x:v>T2</x:v>
      </x:c>
      <x:c r="E1335" s="20" t="n">
        <x:v>33021</x:v>
      </x:c>
      <x:c r="F1335" s="18" t="str">
        <x:v>persons/day</x:v>
      </x:c>
      <x:c r="G1335" s="18" t="str">
        <x:v>FY2024</x:v>
      </x:c>
      <x:c r="H1335" s="18" t="str">
        <x:v>否</x:v>
      </x:c>
      <x:c r="I1335" s="19" t="str">
        <x:v>DAILY_ENTRIES_EXITS</x:v>
      </x:c>
      <x:c r="J1335" s="19" t="str">
        <x:v>4号線丸ノ内線</x:v>
      </x:c>
      <x:c r="K1335" s="18" t="str">
        <x:v>transport-node:e071103f-7504-580a-8962-4d545e57b335</x:v>
      </x:c>
      <x:c r="L1335" s="19" t="str">
        <x:v>组件待审核</x:v>
      </x:c>
      <x:c r="M1335" s="21" t="n">
        <x:v>35.697965</x:v>
      </x:c>
      <x:c r="N1335" s="21" t="n">
        <x:v>139.658295</x:v>
      </x:c>
      <x:c r="O1335" s="18" t="str">
        <x:v>003628</x:v>
      </x:c>
      <x:c r="P1335" s="18" t="str">
        <x:v>4号線丸ノ内線</x:v>
      </x:c>
      <x:c r="Q1335" s="19" t="str">
        <x:v>S12_061_GE_10000</x:v>
      </x:c>
      <x:c r="R1335" s="19" t="str">
        <x:v>S12_061 usage threshold</x:v>
      </x:c>
      <x:c r="S1335" s="19" t="str">
        <x:v>https://nlftp.mlit.go.jp/ksj/gml/datalist/KsjTmplt-S12-2024.html</x:v>
      </x:c>
      <x:c r="T1335" s="19" t="str">
        <x:v>https://nlftp.mlit.go.jp/ksj/gml/datalist/KsjTmplt-S12-2024.html</x:v>
      </x:c>
      <x:c r="U1335" s="19" t="str">
        <x:v>station-component|東高円寺|東京地下鉄|metro|35.6980|139.6583|</x:v>
      </x:c>
      <x:c r="V1335" s="19" t="str">
        <x:v>003628 / 003628 / 4号線丸ノ内線</x:v>
      </x:c>
      <x:c r="W1335" s="18" t="str">
        <x:v>否</x:v>
      </x:c>
      <x:c r="X1335" s="18" t="str">
        <x:v>0785e932a32b3ec15e1a1345537ae145eafe1c07bf38d5c16c11ee2b391e7a28</x:v>
      </x:c>
      <x:c r="Y1335" s="20" t="n">
        <x:v>1</x:v>
      </x:c>
      <x:c r="Z1335" s="20" t="n">
        <x:v>1</x:v>
      </x:c>
      <x:c r="AA1335" s="19"/>
      <x:c r="AB1335" s="18"/>
      <x:c r="AC1335" s="19"/>
    </x:row>
    <x:row r="1336" ht="28" customHeight="1">
      <x:c r="A1336" s="18" t="str">
        <x:v>東鷲宮</x:v>
      </x:c>
      <x:c r="B1336" s="18" t="str">
        <x:v>東日本旅客鉄道</x:v>
      </x:c>
      <x:c r="C1336" s="18" t="str">
        <x:v>conventional_rail</x:v>
      </x:c>
      <x:c r="D1336" s="19" t="str">
        <x:v>T2</x:v>
      </x:c>
      <x:c r="E1336" s="20" t="n">
        <x:v>17180</x:v>
      </x:c>
      <x:c r="F1336" s="18" t="str">
        <x:v>persons/day</x:v>
      </x:c>
      <x:c r="G1336" s="18" t="str">
        <x:v>FY2024</x:v>
      </x:c>
      <x:c r="H1336" s="18" t="str">
        <x:v>否</x:v>
      </x:c>
      <x:c r="I1336" s="19" t="str">
        <x:v>DAILY_ENTRIES_EXITS</x:v>
      </x:c>
      <x:c r="J1336" s="19" t="str">
        <x:v>東北線</x:v>
      </x:c>
      <x:c r="K1336" s="18" t="str">
        <x:v>transport-node:9e8506da-1e5c-54ed-bcbf-91ed941fea42</x:v>
      </x:c>
      <x:c r="L1336" s="19" t="str">
        <x:v>组件待审核</x:v>
      </x:c>
      <x:c r="M1336" s="21" t="n">
        <x:v>36.089635</x:v>
      </x:c>
      <x:c r="N1336" s="21" t="n">
        <x:v>139.679695</x:v>
      </x:c>
      <x:c r="O1336" s="18" t="str">
        <x:v>002643</x:v>
      </x:c>
      <x:c r="P1336" s="18" t="str">
        <x:v>東北線</x:v>
      </x:c>
      <x:c r="Q1336" s="19" t="str">
        <x:v>S12_061_GE_10000</x:v>
      </x:c>
      <x:c r="R1336" s="19" t="str">
        <x:v>S12_061 usage threshold</x:v>
      </x:c>
      <x:c r="S1336" s="19" t="str">
        <x:v>https://nlftp.mlit.go.jp/ksj/gml/datalist/KsjTmplt-S12-2024.html</x:v>
      </x:c>
      <x:c r="T1336" s="19" t="str">
        <x:v>https://nlftp.mlit.go.jp/ksj/gml/datalist/KsjTmplt-S12-2024.html</x:v>
      </x:c>
      <x:c r="U1336" s="19" t="str">
        <x:v>station-component|東鷲宮|東日本旅客鉄道|conventional_rail|36.0896|139.6797|</x:v>
      </x:c>
      <x:c r="V1336" s="19" t="str">
        <x:v>002643 / 002643 / 東北線</x:v>
      </x:c>
      <x:c r="W1336" s="18" t="str">
        <x:v>否</x:v>
      </x:c>
      <x:c r="X1336" s="18" t="str">
        <x:v>0785e932a32b3ec15e1a1345537ae145eafe1c07bf38d5c16c11ee2b391e7a28</x:v>
      </x:c>
      <x:c r="Y1336" s="20" t="n">
        <x:v>1</x:v>
      </x:c>
      <x:c r="Z1336" s="20" t="n">
        <x:v>1</x:v>
      </x:c>
      <x:c r="AA1336" s="19"/>
      <x:c r="AB1336" s="18"/>
      <x:c r="AC1336" s="19"/>
    </x:row>
    <x:row r="1337" ht="28" customHeight="1">
      <x:c r="A1337" s="18" t="str">
        <x:v>松ヶ崎</x:v>
      </x:c>
      <x:c r="B1337" s="18" t="str">
        <x:v>京都市</x:v>
      </x:c>
      <x:c r="C1337" s="18" t="str">
        <x:v>metro</x:v>
      </x:c>
      <x:c r="D1337" s="19" t="str">
        <x:v>T2</x:v>
      </x:c>
      <x:c r="E1337" s="20" t="n">
        <x:v>10468</x:v>
      </x:c>
      <x:c r="F1337" s="18" t="str">
        <x:v>persons/day</x:v>
      </x:c>
      <x:c r="G1337" s="18" t="str">
        <x:v>FY2024</x:v>
      </x:c>
      <x:c r="H1337" s="18" t="str">
        <x:v>否</x:v>
      </x:c>
      <x:c r="I1337" s="19" t="str">
        <x:v>DAILY_ENTRIES_EXITS</x:v>
      </x:c>
      <x:c r="J1337" s="19" t="str">
        <x:v>烏丸線</x:v>
      </x:c>
      <x:c r="K1337" s="18" t="str">
        <x:v>transport-node:3ce4a6cc-7093-5380-956a-7d800bcc7cab</x:v>
      </x:c>
      <x:c r="L1337" s="19" t="str">
        <x:v>组件待审核</x:v>
      </x:c>
      <x:c r="M1337" s="21" t="n">
        <x:v>35.051592</x:v>
      </x:c>
      <x:c r="N1337" s="21" t="n">
        <x:v>135.776318</x:v>
      </x:c>
      <x:c r="O1337" s="18" t="str">
        <x:v>005827</x:v>
      </x:c>
      <x:c r="P1337" s="18" t="str">
        <x:v>烏丸線</x:v>
      </x:c>
      <x:c r="Q1337" s="19" t="str">
        <x:v>S12_061_GE_10000</x:v>
      </x:c>
      <x:c r="R1337" s="19" t="str">
        <x:v>S12_061 usage threshold</x:v>
      </x:c>
      <x:c r="S1337" s="19" t="str">
        <x:v>https://nlftp.mlit.go.jp/ksj/gml/datalist/KsjTmplt-S12-2024.html</x:v>
      </x:c>
      <x:c r="T1337" s="19" t="str">
        <x:v>https://nlftp.mlit.go.jp/ksj/gml/datalist/KsjTmplt-S12-2024.html</x:v>
      </x:c>
      <x:c r="U1337" s="19" t="str">
        <x:v>station-component|松ヶ崎|京都市|metro|35.0516|135.7763|</x:v>
      </x:c>
      <x:c r="V1337" s="19" t="str">
        <x:v>005827 / 005827 / 烏丸線</x:v>
      </x:c>
      <x:c r="W1337" s="18" t="str">
        <x:v>否</x:v>
      </x:c>
      <x:c r="X1337" s="18" t="str">
        <x:v>0785e932a32b3ec15e1a1345537ae145eafe1c07bf38d5c16c11ee2b391e7a28</x:v>
      </x:c>
      <x:c r="Y1337" s="20" t="n">
        <x:v>1</x:v>
      </x:c>
      <x:c r="Z1337" s="20" t="n">
        <x:v>1</x:v>
      </x:c>
      <x:c r="AA1337" s="19"/>
      <x:c r="AB1337" s="18"/>
      <x:c r="AC1337" s="19"/>
    </x:row>
    <x:row r="1338" ht="28" customHeight="1">
      <x:c r="A1338" s="18" t="str">
        <x:v>松井山手</x:v>
      </x:c>
      <x:c r="B1338" s="18" t="str">
        <x:v>西日本旅客鉄道</x:v>
      </x:c>
      <x:c r="C1338" s="18" t="str">
        <x:v>conventional_rail</x:v>
      </x:c>
      <x:c r="D1338" s="19" t="str">
        <x:v>T2</x:v>
      </x:c>
      <x:c r="E1338" s="20" t="n">
        <x:v>13454</x:v>
      </x:c>
      <x:c r="F1338" s="18" t="str">
        <x:v>persons/day</x:v>
      </x:c>
      <x:c r="G1338" s="18" t="str">
        <x:v>FY2024</x:v>
      </x:c>
      <x:c r="H1338" s="18" t="str">
        <x:v>否</x:v>
      </x:c>
      <x:c r="I1338" s="19" t="str">
        <x:v>DAILY_ENTRIES_EXITS</x:v>
      </x:c>
      <x:c r="J1338" s="19" t="str">
        <x:v>片町線</x:v>
      </x:c>
      <x:c r="K1338" s="18" t="str">
        <x:v>transport-node:5540971d-a9a7-5407-859f-934b5d4d9467</x:v>
      </x:c>
      <x:c r="L1338" s="19" t="str">
        <x:v>组件待审核</x:v>
      </x:c>
      <x:c r="M1338" s="21" t="n">
        <x:v>34.83319</x:v>
      </x:c>
      <x:c r="N1338" s="21" t="n">
        <x:v>135.72757</x:v>
      </x:c>
      <x:c r="O1338" s="18" t="str">
        <x:v>006484</x:v>
      </x:c>
      <x:c r="P1338" s="18" t="str">
        <x:v>片町線</x:v>
      </x:c>
      <x:c r="Q1338" s="19" t="str">
        <x:v>S12_061_GE_10000</x:v>
      </x:c>
      <x:c r="R1338" s="19" t="str">
        <x:v>S12_061 usage threshold</x:v>
      </x:c>
      <x:c r="S1338" s="19" t="str">
        <x:v>https://nlftp.mlit.go.jp/ksj/gml/datalist/KsjTmplt-S12-2024.html</x:v>
      </x:c>
      <x:c r="T1338" s="19" t="str">
        <x:v>https://nlftp.mlit.go.jp/ksj/gml/datalist/KsjTmplt-S12-2024.html</x:v>
      </x:c>
      <x:c r="U1338" s="19" t="str">
        <x:v>station-component|松井山手|西日本旅客鉄道|conventional_rail|34.8332|135.7276|</x:v>
      </x:c>
      <x:c r="V1338" s="19" t="str">
        <x:v>006484 / 006484 / 片町線</x:v>
      </x:c>
      <x:c r="W1338" s="18" t="str">
        <x:v>否</x:v>
      </x:c>
      <x:c r="X1338" s="18" t="str">
        <x:v>0785e932a32b3ec15e1a1345537ae145eafe1c07bf38d5c16c11ee2b391e7a28</x:v>
      </x:c>
      <x:c r="Y1338" s="20" t="n">
        <x:v>1</x:v>
      </x:c>
      <x:c r="Z1338" s="20" t="n">
        <x:v>1</x:v>
      </x:c>
      <x:c r="AA1338" s="19"/>
      <x:c r="AB1338" s="18"/>
      <x:c r="AC1338" s="19"/>
    </x:row>
    <x:row r="1339" ht="28" customHeight="1">
      <x:c r="A1339" s="18" t="str">
        <x:v>松山</x:v>
      </x:c>
      <x:c r="B1339" s="18" t="str">
        <x:v>四国旅客鉄道</x:v>
      </x:c>
      <x:c r="C1339" s="18" t="str">
        <x:v>conventional_rail</x:v>
      </x:c>
      <x:c r="D1339" s="19" t="str">
        <x:v>T2</x:v>
      </x:c>
      <x:c r="E1339" s="20" t="n">
        <x:v>11056</x:v>
      </x:c>
      <x:c r="F1339" s="18" t="str">
        <x:v>persons/day</x:v>
      </x:c>
      <x:c r="G1339" s="18" t="str">
        <x:v>FY2024</x:v>
      </x:c>
      <x:c r="H1339" s="18" t="str">
        <x:v>否</x:v>
      </x:c>
      <x:c r="I1339" s="19" t="str">
        <x:v>DAILY_ENTRIES_EXITS</x:v>
      </x:c>
      <x:c r="J1339" s="19" t="str">
        <x:v>予讃線</x:v>
      </x:c>
      <x:c r="K1339" s="18" t="str">
        <x:v>transport-node:b45e5752-7807-58a6-ba98-bb4941ec8392</x:v>
      </x:c>
      <x:c r="L1339" s="19" t="str">
        <x:v>组件待审核</x:v>
      </x:c>
      <x:c r="M1339" s="21" t="n">
        <x:v>33.83988</x:v>
      </x:c>
      <x:c r="N1339" s="21" t="n">
        <x:v>132.750985</x:v>
      </x:c>
      <x:c r="O1339" s="18" t="str">
        <x:v>008765</x:v>
      </x:c>
      <x:c r="P1339" s="18" t="str">
        <x:v>予讃線</x:v>
      </x:c>
      <x:c r="Q1339" s="19" t="str">
        <x:v>S12_061_GE_10000</x:v>
      </x:c>
      <x:c r="R1339" s="19" t="str">
        <x:v>S12_061 usage threshold</x:v>
      </x:c>
      <x:c r="S1339" s="19" t="str">
        <x:v>https://nlftp.mlit.go.jp/ksj/gml/datalist/KsjTmplt-S12-2024.html</x:v>
      </x:c>
      <x:c r="T1339" s="19" t="str">
        <x:v>https://nlftp.mlit.go.jp/ksj/gml/datalist/KsjTmplt-S12-2024.html</x:v>
      </x:c>
      <x:c r="U1339" s="19" t="str">
        <x:v>station-component|松山|四国旅客鉄道|conventional_rail|33.8399|132.7510|</x:v>
      </x:c>
      <x:c r="V1339" s="19" t="str">
        <x:v>008765 / 008765 / 予讃線</x:v>
      </x:c>
      <x:c r="W1339" s="18" t="str">
        <x:v>否</x:v>
      </x:c>
      <x:c r="X1339" s="18" t="str">
        <x:v>0785e932a32b3ec15e1a1345537ae145eafe1c07bf38d5c16c11ee2b391e7a28</x:v>
      </x:c>
      <x:c r="Y1339" s="20" t="n">
        <x:v>1</x:v>
      </x:c>
      <x:c r="Z1339" s="20" t="n">
        <x:v>1</x:v>
      </x:c>
      <x:c r="AA1339" s="19"/>
      <x:c r="AB1339" s="18"/>
      <x:c r="AC1339" s="19"/>
    </x:row>
    <x:row r="1340" ht="47" customHeight="1">
      <x:c r="A1340" s="18" t="str">
        <x:v>松山市</x:v>
      </x:c>
      <x:c r="B1340" s="18" t="str">
        <x:v>伊予鉄道</x:v>
      </x:c>
      <x:c r="C1340" s="18" t="str">
        <x:v>private_rail</x:v>
      </x:c>
      <x:c r="D1340" s="19" t="str">
        <x:v>T2</x:v>
      </x:c>
      <x:c r="E1340" s="20" t="n">
        <x:v>17615</x:v>
      </x:c>
      <x:c r="F1340" s="18" t="str">
        <x:v>persons/day</x:v>
      </x:c>
      <x:c r="G1340" s="18" t="str">
        <x:v>FY2024</x:v>
      </x:c>
      <x:c r="H1340" s="18" t="str">
        <x:v>否</x:v>
      </x:c>
      <x:c r="I1340" s="19" t="str">
        <x:v>DAILY_ENTRIES_EXITS</x:v>
      </x:c>
      <x:c r="J1340" s="19" t="str">
        <x:v>横河原線
郡中線
高浜線</x:v>
      </x:c>
      <x:c r="K1340" s="18" t="str">
        <x:v>transport-node:58ea7130-0484-50e1-a820-e4dd845ecbc8</x:v>
      </x:c>
      <x:c r="L1340" s="19" t="str">
        <x:v>组件待审核</x:v>
      </x:c>
      <x:c r="M1340" s="21" t="n">
        <x:v>33.83563</x:v>
      </x:c>
      <x:c r="N1340" s="21" t="n">
        <x:v>132.76185</x:v>
      </x:c>
      <x:c r="O1340" s="18" t="str">
        <x:v>008775</x:v>
      </x:c>
      <x:c r="P1340" s="18" t="str">
        <x:v>高浜線</x:v>
      </x:c>
      <x:c r="Q1340" s="19" t="str">
        <x:v>S12_061_GE_10000</x:v>
      </x:c>
      <x:c r="R1340" s="19" t="str">
        <x:v>S12_061 usage threshold</x:v>
      </x:c>
      <x:c r="S1340" s="19" t="str">
        <x:v>https://nlftp.mlit.go.jp/ksj/gml/datalist/KsjTmplt-S12-2024.html</x:v>
      </x:c>
      <x:c r="T1340" s="19" t="str">
        <x:v>https://nlftp.mlit.go.jp/ksj/gml/datalist/KsjTmplt-S12-2024.html</x:v>
      </x:c>
      <x:c r="U1340" s="19" t="str">
        <x:v>station-component|松山市|伊予鉄道|private_rail|33.8356|132.7619|</x:v>
      </x:c>
      <x:c r="V1340" s="19" t="str">
        <x:v>008773 / 008773 / 横河原線
008773 / 008774 / 郡中線
008773 / 008775 / 高浜線</x:v>
      </x:c>
      <x:c r="W1340" s="18" t="str">
        <x:v>否</x:v>
      </x:c>
      <x:c r="X1340" s="18" t="str">
        <x:v>0785e932a32b3ec15e1a1345537ae145eafe1c07bf38d5c16c11ee2b391e7a28</x:v>
      </x:c>
      <x:c r="Y1340" s="20" t="n">
        <x:v>1</x:v>
      </x:c>
      <x:c r="Z1340" s="20" t="n">
        <x:v>1</x:v>
      </x:c>
      <x:c r="AA1340" s="19"/>
      <x:c r="AB1340" s="18"/>
      <x:c r="AC1340" s="19"/>
    </x:row>
    <x:row r="1341" ht="28" customHeight="1">
      <x:c r="A1341" s="18" t="str">
        <x:v>松戸</x:v>
      </x:c>
      <x:c r="B1341" s="18" t="str">
        <x:v>新京成電鉄</x:v>
      </x:c>
      <x:c r="C1341" s="18" t="str">
        <x:v>private_rail</x:v>
      </x:c>
      <x:c r="D1341" s="19" t="str">
        <x:v>T1</x:v>
      </x:c>
      <x:c r="E1341" s="20" t="n">
        <x:v>93981</x:v>
      </x:c>
      <x:c r="F1341" s="18" t="str">
        <x:v>persons/day</x:v>
      </x:c>
      <x:c r="G1341" s="18" t="str">
        <x:v>FY2024</x:v>
      </x:c>
      <x:c r="H1341" s="18" t="str">
        <x:v>否</x:v>
      </x:c>
      <x:c r="I1341" s="19" t="str">
        <x:v>DAILY_ENTRIES_EXITS</x:v>
      </x:c>
      <x:c r="J1341" s="19" t="str">
        <x:v>新京成線</x:v>
      </x:c>
      <x:c r="K1341" s="18" t="str">
        <x:v>transport-node:0581b84a-713c-574e-8478-09a484f40ac9</x:v>
      </x:c>
      <x:c r="L1341" s="19" t="str">
        <x:v>组件待审核</x:v>
      </x:c>
      <x:c r="M1341" s="21" t="n">
        <x:v>35.784345</x:v>
      </x:c>
      <x:c r="N1341" s="21" t="n">
        <x:v>139.90083</x:v>
      </x:c>
      <x:c r="O1341" s="18" t="str">
        <x:v>003138</x:v>
      </x:c>
      <x:c r="P1341" s="18" t="str">
        <x:v>新京成線</x:v>
      </x:c>
      <x:c r="Q1341" s="19" t="str">
        <x:v>S12_061_GE_10000</x:v>
      </x:c>
      <x:c r="R1341" s="19" t="str">
        <x:v>S12_061 usage threshold</x:v>
      </x:c>
      <x:c r="S1341" s="19" t="str">
        <x:v>https://nlftp.mlit.go.jp/ksj/gml/datalist/KsjTmplt-S12-2024.html</x:v>
      </x:c>
      <x:c r="T1341" s="19" t="str">
        <x:v>https://nlftp.mlit.go.jp/ksj/gml/datalist/KsjTmplt-S12-2024.html</x:v>
      </x:c>
      <x:c r="U1341" s="19" t="str">
        <x:v>station-component|松戸|新京成電鉄|private_rail|35.7843|139.9008|</x:v>
      </x:c>
      <x:c r="V1341" s="19" t="str">
        <x:v>003136 / 003138 / 新京成線</x:v>
      </x:c>
      <x:c r="W1341" s="18" t="str">
        <x:v>否</x:v>
      </x:c>
      <x:c r="X1341" s="18" t="str">
        <x:v>0785e932a32b3ec15e1a1345537ae145eafe1c07bf38d5c16c11ee2b391e7a28</x:v>
      </x:c>
      <x:c r="Y1341" s="20" t="n">
        <x:v>1</x:v>
      </x:c>
      <x:c r="Z1341" s="20" t="n">
        <x:v>1</x:v>
      </x:c>
      <x:c r="AA1341" s="19"/>
      <x:c r="AB1341" s="18"/>
      <x:c r="AC1341" s="19"/>
    </x:row>
    <x:row r="1342" ht="28" customHeight="1">
      <x:c r="A1342" s="18" t="str">
        <x:v>松戸</x:v>
      </x:c>
      <x:c r="B1342" s="18" t="str">
        <x:v>東日本旅客鉄道</x:v>
      </x:c>
      <x:c r="C1342" s="18" t="str">
        <x:v>conventional_rail</x:v>
      </x:c>
      <x:c r="D1342" s="19" t="str">
        <x:v>T1</x:v>
      </x:c>
      <x:c r="E1342" s="20" t="n">
        <x:v>179358</x:v>
      </x:c>
      <x:c r="F1342" s="18" t="str">
        <x:v>persons/day</x:v>
      </x:c>
      <x:c r="G1342" s="18" t="str">
        <x:v>FY2024</x:v>
      </x:c>
      <x:c r="H1342" s="18" t="str">
        <x:v>否</x:v>
      </x:c>
      <x:c r="I1342" s="19" t="str">
        <x:v>DAILY_ENTRIES_EXITS</x:v>
      </x:c>
      <x:c r="J1342" s="19" t="str">
        <x:v>常磐線</x:v>
      </x:c>
      <x:c r="K1342" s="18" t="str">
        <x:v>transport-node:939b0f91-eecc-5274-bf09-6b4388930aac</x:v>
      </x:c>
      <x:c r="L1342" s="19" t="str">
        <x:v>组件待审核</x:v>
      </x:c>
      <x:c r="M1342" s="21" t="n">
        <x:v>35.78473</x:v>
      </x:c>
      <x:c r="N1342" s="21" t="n">
        <x:v>139.9008267</x:v>
      </x:c>
      <x:c r="O1342" s="18" t="str">
        <x:v>003136</x:v>
      </x:c>
      <x:c r="P1342" s="18" t="str">
        <x:v>常磐線</x:v>
      </x:c>
      <x:c r="Q1342" s="19" t="str">
        <x:v>S12_061_GE_10000</x:v>
      </x:c>
      <x:c r="R1342" s="19" t="str">
        <x:v>S12_061 usage threshold</x:v>
      </x:c>
      <x:c r="S1342" s="19" t="str">
        <x:v>https://nlftp.mlit.go.jp/ksj/gml/datalist/KsjTmplt-S12-2024.html</x:v>
      </x:c>
      <x:c r="T1342" s="19" t="str">
        <x:v>https://nlftp.mlit.go.jp/ksj/gml/datalist/KsjTmplt-S12-2024.html</x:v>
      </x:c>
      <x:c r="U1342" s="19" t="str">
        <x:v>station-component|松戸|東日本旅客鉄道|conventional_rail|35.7847|139.9008|</x:v>
      </x:c>
      <x:c r="V1342" s="19" t="str">
        <x:v>003136 / 003136 / 常磐線</x:v>
      </x:c>
      <x:c r="W1342" s="18" t="str">
        <x:v>否</x:v>
      </x:c>
      <x:c r="X1342" s="18" t="str">
        <x:v>0785e932a32b3ec15e1a1345537ae145eafe1c07bf38d5c16c11ee2b391e7a28</x:v>
      </x:c>
      <x:c r="Y1342" s="20" t="n">
        <x:v>1</x:v>
      </x:c>
      <x:c r="Z1342" s="20" t="n">
        <x:v>1</x:v>
      </x:c>
      <x:c r="AA1342" s="19"/>
      <x:c r="AB1342" s="18"/>
      <x:c r="AC1342" s="19"/>
    </x:row>
    <x:row r="1343" ht="33" customHeight="1">
      <x:c r="A1343" s="18" t="str">
        <x:v>松本</x:v>
      </x:c>
      <x:c r="B1343" s="18" t="str">
        <x:v>東日本旅客鉄道</x:v>
      </x:c>
      <x:c r="C1343" s="18" t="str">
        <x:v>conventional_rail</x:v>
      </x:c>
      <x:c r="D1343" s="19" t="str">
        <x:v>T2</x:v>
      </x:c>
      <x:c r="E1343" s="20" t="n">
        <x:v>35942</x:v>
      </x:c>
      <x:c r="F1343" s="18" t="str">
        <x:v>persons/day</x:v>
      </x:c>
      <x:c r="G1343" s="18" t="str">
        <x:v>FY2024</x:v>
      </x:c>
      <x:c r="H1343" s="18" t="str">
        <x:v>否</x:v>
      </x:c>
      <x:c r="I1343" s="19" t="str">
        <x:v>DAILY_ENTRIES_EXITS</x:v>
      </x:c>
      <x:c r="J1343" s="19" t="str">
        <x:v>大糸線
篠ノ井線</x:v>
      </x:c>
      <x:c r="K1343" s="18" t="str">
        <x:v>transport-node:1d81c5ef-7bc3-5eb3-a0de-f2071f6380f5</x:v>
      </x:c>
      <x:c r="L1343" s="19" t="str">
        <x:v>组件待审核</x:v>
      </x:c>
      <x:c r="M1343" s="21" t="n">
        <x:v>36.23027</x:v>
      </x:c>
      <x:c r="N1343" s="21" t="n">
        <x:v>137.964625</x:v>
      </x:c>
      <x:c r="O1343" s="18" t="str">
        <x:v>002506</x:v>
      </x:c>
      <x:c r="P1343" s="18" t="str">
        <x:v>篠ノ井線</x:v>
      </x:c>
      <x:c r="Q1343" s="19" t="str">
        <x:v>S12_061_GE_10000</x:v>
      </x:c>
      <x:c r="R1343" s="19" t="str">
        <x:v>S12_061 usage threshold</x:v>
      </x:c>
      <x:c r="S1343" s="19" t="str">
        <x:v>https://nlftp.mlit.go.jp/ksj/gml/datalist/KsjTmplt-S12-2024.html</x:v>
      </x:c>
      <x:c r="T1343" s="19" t="str">
        <x:v>https://nlftp.mlit.go.jp/ksj/gml/datalist/KsjTmplt-S12-2024.html</x:v>
      </x:c>
      <x:c r="U1343" s="19" t="str">
        <x:v>station-component|松本|東日本旅客鉄道|conventional_rail|36.2303|137.9646|</x:v>
      </x:c>
      <x:c r="V1343" s="19" t="str">
        <x:v>002506 / 002506 / 篠ノ井線
002506 / 002507 / 大糸線</x:v>
      </x:c>
      <x:c r="W1343" s="18" t="str">
        <x:v>否</x:v>
      </x:c>
      <x:c r="X1343" s="18" t="str">
        <x:v>0785e932a32b3ec15e1a1345537ae145eafe1c07bf38d5c16c11ee2b391e7a28</x:v>
      </x:c>
      <x:c r="Y1343" s="20" t="n">
        <x:v>1</x:v>
      </x:c>
      <x:c r="Z1343" s="20" t="n">
        <x:v>1</x:v>
      </x:c>
      <x:c r="AA1343" s="19"/>
      <x:c r="AB1343" s="18"/>
      <x:c r="AC1343" s="19"/>
    </x:row>
    <x:row r="1344" ht="33" customHeight="1">
      <x:c r="A1344" s="18" t="str">
        <x:v>松田</x:v>
      </x:c>
      <x:c r="B1344" s="18" t="str">
        <x:v>東海旅客鉄道</x:v>
      </x:c>
      <x:c r="C1344" s="18" t="str">
        <x:v>conventional_rail</x:v>
      </x:c>
      <x:c r="D1344" s="19" t="str">
        <x:v>T3</x:v>
      </x:c>
      <x:c r="E1344" s="20" t="n">
        <x:v>6022</x:v>
      </x:c>
      <x:c r="F1344" s="18" t="str">
        <x:v>persons/day</x:v>
      </x:c>
      <x:c r="G1344" s="18" t="str">
        <x:v>FY2024</x:v>
      </x:c>
      <x:c r="H1344" s="18" t="str">
        <x:v>否</x:v>
      </x:c>
      <x:c r="I1344" s="19" t="str">
        <x:v>DAILY_ENTRIES_EXITS</x:v>
      </x:c>
      <x:c r="J1344" s="19" t="str">
        <x:v>御殿場線</x:v>
      </x:c>
      <x:c r="K1344" s="18" t="str">
        <x:v>transport-node:b7302c86-79e3-5e65-b66b-068a19a8d356</x:v>
      </x:c>
      <x:c r="L1344" s="19" t="str">
        <x:v>组件待审核</x:v>
      </x:c>
      <x:c r="M1344" s="21" t="n">
        <x:v>35.346</x:v>
      </x:c>
      <x:c r="N1344" s="21" t="n">
        <x:v>139.139135</x:v>
      </x:c>
      <x:c r="O1344" s="18" t="str">
        <x:v>004977</x:v>
      </x:c>
      <x:c r="P1344" s="18" t="str">
        <x:v>御殿場線</x:v>
      </x:c>
      <x:c r="Q1344" s="19" t="str">
        <x:v>OFFICIAL_HUB_COMPONENT_REVIEW</x:v>
      </x:c>
      <x:c r="R1344" s="19" t="str">
        <x:v>S12_061 usage threshold; low-flow inclusion justified by official Hub component review</x:v>
      </x:c>
      <x:c r="S1344" s="19" t="str">
        <x:v>https://nlftp.mlit.go.jp/ksj/gml/datalist/KsjTmplt-S12-2024.html</x:v>
      </x:c>
      <x:c r="T1344" s="19" t="str">
        <x:v>https://nlftp.mlit.go.jp/ksj/gml/datalist/KsjTmplt-S12-2024.html
https://www.odakyu.jp/station/</x:v>
      </x:c>
      <x:c r="U1344" s="19" t="str">
        <x:v>station-component|松田|東海旅客鉄道|conventional_rail|35.3460|139.1391|</x:v>
      </x:c>
      <x:c r="V1344" s="19" t="str">
        <x:v>004977 / 004977 / 御殿場線</x:v>
      </x:c>
      <x:c r="W1344" s="18" t="str">
        <x:v>否</x:v>
      </x:c>
      <x:c r="X1344" s="18" t="str">
        <x:v>0785e932a32b3ec15e1a1345537ae145eafe1c07bf38d5c16c11ee2b391e7a28</x:v>
      </x:c>
      <x:c r="Y1344" s="20" t="n">
        <x:v>1</x:v>
      </x:c>
      <x:c r="Z1344" s="20" t="n">
        <x:v>1</x:v>
      </x:c>
      <x:c r="AA1344" s="19" t="str">
        <x:v>新松田・松田</x:v>
      </x:c>
      <x:c r="AB1344" s="18" t="str">
        <x:v>transport-hub-review:314de6b8-d5e8-5f64-8d6e-eec4c9a88b9a</x:v>
      </x:c>
      <x:c r="AC1344" s="19"/>
    </x:row>
    <x:row r="1345" ht="33" customHeight="1">
      <x:c r="A1345" s="18" t="str">
        <x:v>松阪</x:v>
      </x:c>
      <x:c r="B1345" s="18" t="str">
        <x:v>東海旅客鉄道</x:v>
      </x:c>
      <x:c r="C1345" s="18" t="str">
        <x:v>conventional_rail</x:v>
      </x:c>
      <x:c r="D1345" s="19"/>
      <x:c r="E1345" s="20"/>
      <x:c r="F1345" s="18"/>
      <x:c r="G1345" s="18" t="str">
        <x:v>FY2024</x:v>
      </x:c>
      <x:c r="H1345" s="18" t="str">
        <x:v>是</x:v>
      </x:c>
      <x:c r="I1345" s="19" t="str">
        <x:v>USAGE_DATA_UNAVAILABLE</x:v>
      </x:c>
      <x:c r="J1345" s="19" t="str">
        <x:v>名松線
紀勢線</x:v>
      </x:c>
      <x:c r="K1345" s="18" t="str">
        <x:v>transport-node:94772377-3b2e-58f2-96b1-edf43806055d</x:v>
      </x:c>
      <x:c r="L1345" s="19" t="str">
        <x:v>组件待审核</x:v>
      </x:c>
      <x:c r="M1345" s="21" t="n">
        <x:v>34.57685</x:v>
      </x:c>
      <x:c r="N1345" s="21" t="n">
        <x:v>136.53579</x:v>
      </x:c>
      <x:c r="O1345" s="18" t="str">
        <x:v>007664</x:v>
      </x:c>
      <x:c r="P1345" s="18" t="str">
        <x:v>紀勢線</x:v>
      </x:c>
      <x:c r="Q1345" s="19" t="str">
        <x:v>OFFICIAL_HUB_COMPONENT_REVIEW</x:v>
      </x:c>
      <x:c r="R1345" s="19" t="str">
        <x:v>Official S12 usage unavailable; manual tier review required</x:v>
      </x:c>
      <x:c r="S1345" s="19" t="str">
        <x:v>https://nlftp.mlit.go.jp/ksj/gml/datalist/KsjTmplt-S12-2024.html</x:v>
      </x:c>
      <x:c r="T1345" s="19" t="str">
        <x:v>https://nlftp.mlit.go.jp/ksj/gml/datalist/KsjTmplt-S12-2024.html
https://www.kintetsu.co.jp/station/</x:v>
      </x:c>
      <x:c r="U1345" s="19" t="str">
        <x:v>station-component|松阪|東海旅客鉄道|conventional_rail|34.5769|136.5358|</x:v>
      </x:c>
      <x:c r="V1345" s="19" t="str">
        <x:v>007664 / 007664 / 紀勢線
007664 / 007665 / 名松線</x:v>
      </x:c>
      <x:c r="W1345" s="18" t="str">
        <x:v>否</x:v>
      </x:c>
      <x:c r="X1345" s="18" t="str">
        <x:v>0785e932a32b3ec15e1a1345537ae145eafe1c07bf38d5c16c11ee2b391e7a28</x:v>
      </x:c>
      <x:c r="Y1345" s="20" t="n">
        <x:v>1</x:v>
      </x:c>
      <x:c r="Z1345" s="20" t="n">
        <x:v>2</x:v>
      </x:c>
      <x:c r="AA1345" s="19" t="str">
        <x:v>松阪</x:v>
      </x:c>
      <x:c r="AB1345" s="18" t="str">
        <x:v>transport-hub-review:a2f1a1ec-6cae-5231-9a2e-5142feebfd0b</x:v>
      </x:c>
      <x:c r="AC1345" s="19"/>
    </x:row>
    <x:row r="1346" ht="33" customHeight="1">
      <x:c r="A1346" s="18" t="str">
        <x:v>松阪</x:v>
      </x:c>
      <x:c r="B1346" s="18" t="str">
        <x:v>近畿日本鉄道</x:v>
      </x:c>
      <x:c r="C1346" s="18" t="str">
        <x:v>private_rail</x:v>
      </x:c>
      <x:c r="D1346" s="19" t="str">
        <x:v>T2</x:v>
      </x:c>
      <x:c r="E1346" s="20" t="n">
        <x:v>14186</x:v>
      </x:c>
      <x:c r="F1346" s="18" t="str">
        <x:v>persons/day</x:v>
      </x:c>
      <x:c r="G1346" s="18" t="str">
        <x:v>FY2024</x:v>
      </x:c>
      <x:c r="H1346" s="18" t="str">
        <x:v>否</x:v>
      </x:c>
      <x:c r="I1346" s="19" t="str">
        <x:v>DAILY_ENTRIES_EXITS</x:v>
      </x:c>
      <x:c r="J1346" s="19" t="str">
        <x:v>山田線</x:v>
      </x:c>
      <x:c r="K1346" s="18" t="str">
        <x:v>transport-node:f62e000a-0d6f-526a-8a0e-af4d456ba9dc</x:v>
      </x:c>
      <x:c r="L1346" s="19" t="str">
        <x:v>组件待审核</x:v>
      </x:c>
      <x:c r="M1346" s="21" t="n">
        <x:v>34.57729</x:v>
      </x:c>
      <x:c r="N1346" s="21" t="n">
        <x:v>136.5362175</x:v>
      </x:c>
      <x:c r="O1346" s="18" t="str">
        <x:v>007661</x:v>
      </x:c>
      <x:c r="P1346" s="18" t="str">
        <x:v>山田線</x:v>
      </x:c>
      <x:c r="Q1346" s="19" t="str">
        <x:v>S12_061_GE_10000
OFFICIAL_HUB_COMPONENT_REVIEW</x:v>
      </x:c>
      <x:c r="R1346" s="19" t="str">
        <x:v>S12_061 usage threshold</x:v>
      </x:c>
      <x:c r="S1346" s="19" t="str">
        <x:v>https://nlftp.mlit.go.jp/ksj/gml/datalist/KsjTmplt-S12-2024.html</x:v>
      </x:c>
      <x:c r="T1346" s="19" t="str">
        <x:v>https://nlftp.mlit.go.jp/ksj/gml/datalist/KsjTmplt-S12-2024.html
https://www.kintetsu.co.jp/station/</x:v>
      </x:c>
      <x:c r="U1346" s="19" t="str">
        <x:v>station-component|松阪|近畿日本鉄道|private_rail|34.5773|136.5362|</x:v>
      </x:c>
      <x:c r="V1346" s="19" t="str">
        <x:v>007664 / 007661 / 山田線</x:v>
      </x:c>
      <x:c r="W1346" s="18" t="str">
        <x:v>否</x:v>
      </x:c>
      <x:c r="X1346" s="18" t="str">
        <x:v>0785e932a32b3ec15e1a1345537ae145eafe1c07bf38d5c16c11ee2b391e7a28</x:v>
      </x:c>
      <x:c r="Y1346" s="20" t="n">
        <x:v>1</x:v>
      </x:c>
      <x:c r="Z1346" s="20" t="n">
        <x:v>1</x:v>
      </x:c>
      <x:c r="AA1346" s="19" t="str">
        <x:v>松阪</x:v>
      </x:c>
      <x:c r="AB1346" s="18" t="str">
        <x:v>transport-hub-review:a2f1a1ec-6cae-5231-9a2e-5142feebfd0b</x:v>
      </x:c>
      <x:c r="AC1346" s="19"/>
    </x:row>
    <x:row r="1347" ht="33" customHeight="1">
      <x:c r="A1347" s="18" t="str">
        <x:v>板宿</x:v>
      </x:c>
      <x:c r="B1347" s="18" t="str">
        <x:v>山陽電気鉄道</x:v>
      </x:c>
      <x:c r="C1347" s="18" t="str">
        <x:v>private_rail</x:v>
      </x:c>
      <x:c r="D1347" s="19" t="str">
        <x:v>T2</x:v>
      </x:c>
      <x:c r="E1347" s="20" t="n">
        <x:v>16959</x:v>
      </x:c>
      <x:c r="F1347" s="18" t="str">
        <x:v>persons/day</x:v>
      </x:c>
      <x:c r="G1347" s="18" t="str">
        <x:v>FY2024</x:v>
      </x:c>
      <x:c r="H1347" s="18" t="str">
        <x:v>否</x:v>
      </x:c>
      <x:c r="I1347" s="19" t="str">
        <x:v>DAILY_ENTRIES_EXITS</x:v>
      </x:c>
      <x:c r="J1347" s="19" t="str">
        <x:v>本線</x:v>
      </x:c>
      <x:c r="K1347" s="18" t="str">
        <x:v>transport-node:93d379df-1b5e-5b36-8399-79dbf625767e</x:v>
      </x:c>
      <x:c r="L1347" s="19" t="str">
        <x:v>组件待审核</x:v>
      </x:c>
      <x:c r="M1347" s="21" t="n">
        <x:v>34.6601417</x:v>
      </x:c>
      <x:c r="N1347" s="21" t="n">
        <x:v>135.1333033</x:v>
      </x:c>
      <x:c r="O1347" s="18" t="str">
        <x:v>007372</x:v>
      </x:c>
      <x:c r="P1347" s="18" t="str">
        <x:v>本線</x:v>
      </x:c>
      <x:c r="Q1347" s="19" t="str">
        <x:v>S12_061_GE_10000
OFFICIAL_HUB_COMPONENT_REVIEW</x:v>
      </x:c>
      <x:c r="R1347" s="19" t="str">
        <x:v>S12_061 usage threshold</x:v>
      </x:c>
      <x:c r="S1347" s="19" t="str">
        <x:v>https://nlftp.mlit.go.jp/ksj/gml/datalist/KsjTmplt-S12-2024.html</x:v>
      </x:c>
      <x:c r="T1347" s="19" t="str">
        <x:v>https://kotsu.city.kobe.lg.jp/chinese-trad/cnt-subway-map/
https://nlftp.mlit.go.jp/ksj/gml/datalist/KsjTmplt-S12-2024.html</x:v>
      </x:c>
      <x:c r="U1347" s="19" t="str">
        <x:v>station-component|板宿|山陽電気鉄道|private_rail|34.6601|135.1333|</x:v>
      </x:c>
      <x:c r="V1347" s="19" t="str">
        <x:v>007372 / 007372 / 本線</x:v>
      </x:c>
      <x:c r="W1347" s="18" t="str">
        <x:v>否</x:v>
      </x:c>
      <x:c r="X1347" s="18" t="str">
        <x:v>0785e932a32b3ec15e1a1345537ae145eafe1c07bf38d5c16c11ee2b391e7a28</x:v>
      </x:c>
      <x:c r="Y1347" s="20" t="n">
        <x:v>1</x:v>
      </x:c>
      <x:c r="Z1347" s="20" t="n">
        <x:v>1</x:v>
      </x:c>
      <x:c r="AA1347" s="19" t="str">
        <x:v>板宿</x:v>
      </x:c>
      <x:c r="AB1347" s="18" t="str">
        <x:v>transport-hub-review:3aa88ade-4473-5122-8c45-cff2575b8426</x:v>
      </x:c>
      <x:c r="AC1347" s="19"/>
    </x:row>
    <x:row r="1348" ht="33" customHeight="1">
      <x:c r="A1348" s="18" t="str">
        <x:v>板宿</x:v>
      </x:c>
      <x:c r="B1348" s="18" t="str">
        <x:v>神戸市</x:v>
      </x:c>
      <x:c r="C1348" s="18" t="str">
        <x:v>metro</x:v>
      </x:c>
      <x:c r="D1348" s="19" t="str">
        <x:v>T2</x:v>
      </x:c>
      <x:c r="E1348" s="20" t="n">
        <x:v>19374</x:v>
      </x:c>
      <x:c r="F1348" s="18" t="str">
        <x:v>persons/day</x:v>
      </x:c>
      <x:c r="G1348" s="18" t="str">
        <x:v>FY2024</x:v>
      </x:c>
      <x:c r="H1348" s="18" t="str">
        <x:v>否</x:v>
      </x:c>
      <x:c r="I1348" s="19" t="str">
        <x:v>DAILY_ENTRIES_EXITS</x:v>
      </x:c>
      <x:c r="J1348" s="19" t="str">
        <x:v>西神線</x:v>
      </x:c>
      <x:c r="K1348" s="18" t="str">
        <x:v>transport-node:530cf85e-91df-5e13-973c-a0ef84f9b3ed</x:v>
      </x:c>
      <x:c r="L1348" s="19" t="str">
        <x:v>组件待审核</x:v>
      </x:c>
      <x:c r="M1348" s="21" t="n">
        <x:v>34.66012</x:v>
      </x:c>
      <x:c r="N1348" s="21" t="n">
        <x:v>135.134295</x:v>
      </x:c>
      <x:c r="O1348" s="18" t="str">
        <x:v>007373</x:v>
      </x:c>
      <x:c r="P1348" s="18" t="str">
        <x:v>西神線</x:v>
      </x:c>
      <x:c r="Q1348" s="19" t="str">
        <x:v>S12_061_GE_10000
OFFICIAL_HUB_COMPONENT_REVIEW</x:v>
      </x:c>
      <x:c r="R1348" s="19" t="str">
        <x:v>S12_061 usage threshold</x:v>
      </x:c>
      <x:c r="S1348" s="19" t="str">
        <x:v>https://nlftp.mlit.go.jp/ksj/gml/datalist/KsjTmplt-S12-2024.html</x:v>
      </x:c>
      <x:c r="T1348" s="19" t="str">
        <x:v>https://kotsu.city.kobe.lg.jp/chinese-trad/cnt-subway-map/
https://nlftp.mlit.go.jp/ksj/gml/datalist/KsjTmplt-S12-2024.html</x:v>
      </x:c>
      <x:c r="U1348" s="19" t="str">
        <x:v>station-component|板宿|神戸市|metro|34.6601|135.1343|</x:v>
      </x:c>
      <x:c r="V1348" s="19" t="str">
        <x:v>007372 / 007373 / 西神線</x:v>
      </x:c>
      <x:c r="W1348" s="18" t="str">
        <x:v>否</x:v>
      </x:c>
      <x:c r="X1348" s="18" t="str">
        <x:v>0785e932a32b3ec15e1a1345537ae145eafe1c07bf38d5c16c11ee2b391e7a28</x:v>
      </x:c>
      <x:c r="Y1348" s="20" t="n">
        <x:v>1</x:v>
      </x:c>
      <x:c r="Z1348" s="20" t="n">
        <x:v>1</x:v>
      </x:c>
      <x:c r="AA1348" s="19" t="str">
        <x:v>板宿</x:v>
      </x:c>
      <x:c r="AB1348" s="18" t="str">
        <x:v>transport-hub-review:3aa88ade-4473-5122-8c45-cff2575b8426</x:v>
      </x:c>
      <x:c r="AC1348" s="19"/>
    </x:row>
    <x:row r="1349" ht="28" customHeight="1">
      <x:c r="A1349" s="18" t="str">
        <x:v>板橋</x:v>
      </x:c>
      <x:c r="B1349" s="18" t="str">
        <x:v>東日本旅客鉄道</x:v>
      </x:c>
      <x:c r="C1349" s="18" t="str">
        <x:v>conventional_rail</x:v>
      </x:c>
      <x:c r="D1349" s="19" t="str">
        <x:v>T1</x:v>
      </x:c>
      <x:c r="E1349" s="20" t="n">
        <x:v>65264</x:v>
      </x:c>
      <x:c r="F1349" s="18" t="str">
        <x:v>persons/day</x:v>
      </x:c>
      <x:c r="G1349" s="18" t="str">
        <x:v>FY2024</x:v>
      </x:c>
      <x:c r="H1349" s="18" t="str">
        <x:v>否</x:v>
      </x:c>
      <x:c r="I1349" s="19" t="str">
        <x:v>DAILY_ENTRIES_EXITS</x:v>
      </x:c>
      <x:c r="J1349" s="19" t="str">
        <x:v>赤羽線</x:v>
      </x:c>
      <x:c r="K1349" s="18" t="str">
        <x:v>transport-node:1a28479f-9d6a-5c9c-b8ea-04d7c07eaceb</x:v>
      </x:c>
      <x:c r="L1349" s="19" t="str">
        <x:v>组件待审核</x:v>
      </x:c>
      <x:c r="M1349" s="21" t="n">
        <x:v>35.7450267</x:v>
      </x:c>
      <x:c r="N1349" s="21" t="n">
        <x:v>139.7191967</x:v>
      </x:c>
      <x:c r="O1349" s="18" t="str">
        <x:v>003286</x:v>
      </x:c>
      <x:c r="P1349" s="18" t="str">
        <x:v>赤羽線</x:v>
      </x:c>
      <x:c r="Q1349" s="19" t="str">
        <x:v>S12_061_GE_10000</x:v>
      </x:c>
      <x:c r="R1349" s="19" t="str">
        <x:v>S12_061 usage threshold</x:v>
      </x:c>
      <x:c r="S1349" s="19" t="str">
        <x:v>https://nlftp.mlit.go.jp/ksj/gml/datalist/KsjTmplt-S12-2024.html</x:v>
      </x:c>
      <x:c r="T1349" s="19" t="str">
        <x:v>https://nlftp.mlit.go.jp/ksj/gml/datalist/KsjTmplt-S12-2024.html</x:v>
      </x:c>
      <x:c r="U1349" s="19" t="str">
        <x:v>station-component|板橋|東日本旅客鉄道|conventional_rail|35.7450|139.7192|</x:v>
      </x:c>
      <x:c r="V1349" s="19" t="str">
        <x:v>003286 / 003286 / 赤羽線</x:v>
      </x:c>
      <x:c r="W1349" s="18" t="str">
        <x:v>否</x:v>
      </x:c>
      <x:c r="X1349" s="18" t="str">
        <x:v>0785e932a32b3ec15e1a1345537ae145eafe1c07bf38d5c16c11ee2b391e7a28</x:v>
      </x:c>
      <x:c r="Y1349" s="20" t="n">
        <x:v>1</x:v>
      </x:c>
      <x:c r="Z1349" s="20" t="n">
        <x:v>1</x:v>
      </x:c>
      <x:c r="AA1349" s="19"/>
      <x:c r="AB1349" s="18"/>
      <x:c r="AC1349" s="19"/>
    </x:row>
    <x:row r="1350" ht="28" customHeight="1">
      <x:c r="A1350" s="18" t="str">
        <x:v>板橋区役所前</x:v>
      </x:c>
      <x:c r="B1350" s="18" t="str">
        <x:v>東京都</x:v>
      </x:c>
      <x:c r="C1350" s="18" t="str">
        <x:v>metro</x:v>
      </x:c>
      <x:c r="D1350" s="19" t="str">
        <x:v>T2</x:v>
      </x:c>
      <x:c r="E1350" s="20" t="n">
        <x:v>34519</x:v>
      </x:c>
      <x:c r="F1350" s="18" t="str">
        <x:v>persons/day</x:v>
      </x:c>
      <x:c r="G1350" s="18" t="str">
        <x:v>FY2024</x:v>
      </x:c>
      <x:c r="H1350" s="18" t="str">
        <x:v>否</x:v>
      </x:c>
      <x:c r="I1350" s="19" t="str">
        <x:v>DAILY_ENTRIES_EXITS</x:v>
      </x:c>
      <x:c r="J1350" s="19" t="str">
        <x:v>6号線三田線</x:v>
      </x:c>
      <x:c r="K1350" s="18" t="str">
        <x:v>transport-node:5ccec713-5d6b-516f-9f1f-2838c427cab1</x:v>
      </x:c>
      <x:c r="L1350" s="19" t="str">
        <x:v>组件待审核</x:v>
      </x:c>
      <x:c r="M1350" s="21" t="n">
        <x:v>35.751305</x:v>
      </x:c>
      <x:c r="N1350" s="21" t="n">
        <x:v>139.710055</x:v>
      </x:c>
      <x:c r="O1350" s="18" t="str">
        <x:v>003245</x:v>
      </x:c>
      <x:c r="P1350" s="18" t="str">
        <x:v>6号線三田線</x:v>
      </x:c>
      <x:c r="Q1350" s="19" t="str">
        <x:v>S12_061_GE_10000</x:v>
      </x:c>
      <x:c r="R1350" s="19" t="str">
        <x:v>S12_061 usage threshold</x:v>
      </x:c>
      <x:c r="S1350" s="19" t="str">
        <x:v>https://nlftp.mlit.go.jp/ksj/gml/datalist/KsjTmplt-S12-2024.html</x:v>
      </x:c>
      <x:c r="T1350" s="19" t="str">
        <x:v>https://nlftp.mlit.go.jp/ksj/gml/datalist/KsjTmplt-S12-2024.html</x:v>
      </x:c>
      <x:c r="U1350" s="19" t="str">
        <x:v>station-component|板橋区役所前|東京都|metro|35.7513|139.7101|</x:v>
      </x:c>
      <x:c r="V1350" s="19" t="str">
        <x:v>003245 / 003245 / 6号線三田線</x:v>
      </x:c>
      <x:c r="W1350" s="18" t="str">
        <x:v>否</x:v>
      </x:c>
      <x:c r="X1350" s="18" t="str">
        <x:v>0785e932a32b3ec15e1a1345537ae145eafe1c07bf38d5c16c11ee2b391e7a28</x:v>
      </x:c>
      <x:c r="Y1350" s="20" t="n">
        <x:v>1</x:v>
      </x:c>
      <x:c r="Z1350" s="20" t="n">
        <x:v>1</x:v>
      </x:c>
      <x:c r="AA1350" s="19"/>
      <x:c r="AB1350" s="18"/>
      <x:c r="AC1350" s="19"/>
    </x:row>
    <x:row r="1351" ht="28" customHeight="1">
      <x:c r="A1351" s="18" t="str">
        <x:v>板橋本町</x:v>
      </x:c>
      <x:c r="B1351" s="18" t="str">
        <x:v>東京都</x:v>
      </x:c>
      <x:c r="C1351" s="18" t="str">
        <x:v>metro</x:v>
      </x:c>
      <x:c r="D1351" s="19" t="str">
        <x:v>T2</x:v>
      </x:c>
      <x:c r="E1351" s="20" t="n">
        <x:v>37555</x:v>
      </x:c>
      <x:c r="F1351" s="18" t="str">
        <x:v>persons/day</x:v>
      </x:c>
      <x:c r="G1351" s="18" t="str">
        <x:v>FY2024</x:v>
      </x:c>
      <x:c r="H1351" s="18" t="str">
        <x:v>否</x:v>
      </x:c>
      <x:c r="I1351" s="19" t="str">
        <x:v>DAILY_ENTRIES_EXITS</x:v>
      </x:c>
      <x:c r="J1351" s="19" t="str">
        <x:v>6号線三田線</x:v>
      </x:c>
      <x:c r="K1351" s="18" t="str">
        <x:v>transport-node:4242b2ab-34b0-5650-8705-b9ba2418a876</x:v>
      </x:c>
      <x:c r="L1351" s="19" t="str">
        <x:v>组件待审核</x:v>
      </x:c>
      <x:c r="M1351" s="21" t="n">
        <x:v>35.7611</x:v>
      </x:c>
      <x:c r="N1351" s="21" t="n">
        <x:v>139.705605</x:v>
      </x:c>
      <x:c r="O1351" s="18" t="str">
        <x:v>003216</x:v>
      </x:c>
      <x:c r="P1351" s="18" t="str">
        <x:v>6号線三田線</x:v>
      </x:c>
      <x:c r="Q1351" s="19" t="str">
        <x:v>S12_061_GE_10000</x:v>
      </x:c>
      <x:c r="R1351" s="19" t="str">
        <x:v>S12_061 usage threshold</x:v>
      </x:c>
      <x:c r="S1351" s="19" t="str">
        <x:v>https://nlftp.mlit.go.jp/ksj/gml/datalist/KsjTmplt-S12-2024.html</x:v>
      </x:c>
      <x:c r="T1351" s="19" t="str">
        <x:v>https://nlftp.mlit.go.jp/ksj/gml/datalist/KsjTmplt-S12-2024.html</x:v>
      </x:c>
      <x:c r="U1351" s="19" t="str">
        <x:v>station-component|板橋本町|東京都|metro|35.7611|139.7056|</x:v>
      </x:c>
      <x:c r="V1351" s="19" t="str">
        <x:v>003216 / 003216 / 6号線三田線</x:v>
      </x:c>
      <x:c r="W1351" s="18" t="str">
        <x:v>否</x:v>
      </x:c>
      <x:c r="X1351" s="18" t="str">
        <x:v>0785e932a32b3ec15e1a1345537ae145eafe1c07bf38d5c16c11ee2b391e7a28</x:v>
      </x:c>
      <x:c r="Y1351" s="20" t="n">
        <x:v>1</x:v>
      </x:c>
      <x:c r="Z1351" s="20" t="n">
        <x:v>1</x:v>
      </x:c>
      <x:c r="AA1351" s="19"/>
      <x:c r="AB1351" s="18"/>
      <x:c r="AC1351" s="19"/>
    </x:row>
    <x:row r="1352" ht="28" customHeight="1">
      <x:c r="A1352" s="18" t="str">
        <x:v>枚方公園</x:v>
      </x:c>
      <x:c r="B1352" s="18" t="str">
        <x:v>京阪電気鉄道</x:v>
      </x:c>
      <x:c r="C1352" s="18" t="str">
        <x:v>private_rail</x:v>
      </x:c>
      <x:c r="D1352" s="19" t="str">
        <x:v>T2</x:v>
      </x:c>
      <x:c r="E1352" s="20" t="n">
        <x:v>16089</x:v>
      </x:c>
      <x:c r="F1352" s="18" t="str">
        <x:v>persons/day</x:v>
      </x:c>
      <x:c r="G1352" s="18" t="str">
        <x:v>FY2024</x:v>
      </x:c>
      <x:c r="H1352" s="18" t="str">
        <x:v>否</x:v>
      </x:c>
      <x:c r="I1352" s="19" t="str">
        <x:v>DAILY_ENTRIES_EXITS</x:v>
      </x:c>
      <x:c r="J1352" s="19" t="str">
        <x:v>京阪本線</x:v>
      </x:c>
      <x:c r="K1352" s="18" t="str">
        <x:v>transport-node:7ae3c120-80d3-5564-9187-0c4fcf2d5f53</x:v>
      </x:c>
      <x:c r="L1352" s="19" t="str">
        <x:v>组件待审核</x:v>
      </x:c>
      <x:c r="M1352" s="21" t="n">
        <x:v>34.811625</x:v>
      </x:c>
      <x:c r="N1352" s="21" t="n">
        <x:v>135.639495</x:v>
      </x:c>
      <x:c r="O1352" s="18" t="str">
        <x:v>006580</x:v>
      </x:c>
      <x:c r="P1352" s="18" t="str">
        <x:v>京阪本線</x:v>
      </x:c>
      <x:c r="Q1352" s="19" t="str">
        <x:v>S12_061_GE_10000</x:v>
      </x:c>
      <x:c r="R1352" s="19" t="str">
        <x:v>S12_061 usage threshold</x:v>
      </x:c>
      <x:c r="S1352" s="19" t="str">
        <x:v>https://nlftp.mlit.go.jp/ksj/gml/datalist/KsjTmplt-S12-2024.html</x:v>
      </x:c>
      <x:c r="T1352" s="19" t="str">
        <x:v>https://nlftp.mlit.go.jp/ksj/gml/datalist/KsjTmplt-S12-2024.html</x:v>
      </x:c>
      <x:c r="U1352" s="19" t="str">
        <x:v>station-component|枚方公園|京阪電気鉄道|private_rail|34.8116|135.6395|</x:v>
      </x:c>
      <x:c r="V1352" s="19" t="str">
        <x:v>006580 / 006580 / 京阪本線</x:v>
      </x:c>
      <x:c r="W1352" s="18" t="str">
        <x:v>否</x:v>
      </x:c>
      <x:c r="X1352" s="18" t="str">
        <x:v>0785e932a32b3ec15e1a1345537ae145eafe1c07bf38d5c16c11ee2b391e7a28</x:v>
      </x:c>
      <x:c r="Y1352" s="20" t="n">
        <x:v>1</x:v>
      </x:c>
      <x:c r="Z1352" s="20" t="n">
        <x:v>1</x:v>
      </x:c>
      <x:c r="AA1352" s="19"/>
      <x:c r="AB1352" s="18"/>
      <x:c r="AC1352" s="19"/>
    </x:row>
    <x:row r="1353" ht="33" customHeight="1">
      <x:c r="A1353" s="18" t="str">
        <x:v>枚方市</x:v>
      </x:c>
      <x:c r="B1353" s="18" t="str">
        <x:v>京阪電気鉄道</x:v>
      </x:c>
      <x:c r="C1353" s="18" t="str">
        <x:v>private_rail</x:v>
      </x:c>
      <x:c r="D1353" s="19" t="str">
        <x:v>T1</x:v>
      </x:c>
      <x:c r="E1353" s="20" t="n">
        <x:v>73777</x:v>
      </x:c>
      <x:c r="F1353" s="18" t="str">
        <x:v>persons/day</x:v>
      </x:c>
      <x:c r="G1353" s="18" t="str">
        <x:v>FY2024</x:v>
      </x:c>
      <x:c r="H1353" s="18" t="str">
        <x:v>否</x:v>
      </x:c>
      <x:c r="I1353" s="19" t="str">
        <x:v>DAILY_ENTRIES_EXITS</x:v>
      </x:c>
      <x:c r="J1353" s="19" t="str">
        <x:v>交野線
京阪本線</x:v>
      </x:c>
      <x:c r="K1353" s="18" t="str">
        <x:v>transport-node:7af95f7e-f40c-564e-9001-e6ffd0f9ddf4</x:v>
      </x:c>
      <x:c r="L1353" s="19" t="str">
        <x:v>组件待审核</x:v>
      </x:c>
      <x:c r="M1353" s="21" t="n">
        <x:v>34.81624</x:v>
      </x:c>
      <x:c r="N1353" s="21" t="n">
        <x:v>135.64872</x:v>
      </x:c>
      <x:c r="O1353" s="18" t="str">
        <x:v>006563</x:v>
      </x:c>
      <x:c r="P1353" s="18" t="str">
        <x:v>京阪本線</x:v>
      </x:c>
      <x:c r="Q1353" s="19" t="str">
        <x:v>S12_061_GE_10000</x:v>
      </x:c>
      <x:c r="R1353" s="19" t="str">
        <x:v>S12_061 usage threshold</x:v>
      </x:c>
      <x:c r="S1353" s="19" t="str">
        <x:v>https://nlftp.mlit.go.jp/ksj/gml/datalist/KsjTmplt-S12-2024.html</x:v>
      </x:c>
      <x:c r="T1353" s="19" t="str">
        <x:v>https://nlftp.mlit.go.jp/ksj/gml/datalist/KsjTmplt-S12-2024.html</x:v>
      </x:c>
      <x:c r="U1353" s="19" t="str">
        <x:v>station-component|枚方市|京阪電気鉄道|private_rail|34.8162|135.6487|</x:v>
      </x:c>
      <x:c r="V1353" s="19" t="str">
        <x:v>006563 / 006563 / 京阪本線
006563 / 006565 / 交野線</x:v>
      </x:c>
      <x:c r="W1353" s="18" t="str">
        <x:v>否</x:v>
      </x:c>
      <x:c r="X1353" s="18" t="str">
        <x:v>0785e932a32b3ec15e1a1345537ae145eafe1c07bf38d5c16c11ee2b391e7a28</x:v>
      </x:c>
      <x:c r="Y1353" s="20" t="n">
        <x:v>1</x:v>
      </x:c>
      <x:c r="Z1353" s="20" t="n">
        <x:v>1</x:v>
      </x:c>
      <x:c r="AA1353" s="19"/>
      <x:c r="AB1353" s="18"/>
      <x:c r="AC1353" s="19"/>
    </x:row>
    <x:row r="1354" ht="33" customHeight="1">
      <x:c r="A1354" s="18" t="str">
        <x:v>柏</x:v>
      </x:c>
      <x:c r="B1354" s="18" t="str">
        <x:v>東日本旅客鉄道</x:v>
      </x:c>
      <x:c r="C1354" s="18" t="str">
        <x:v>conventional_rail</x:v>
      </x:c>
      <x:c r="D1354" s="19" t="str">
        <x:v>T0</x:v>
      </x:c>
      <x:c r="E1354" s="20" t="n">
        <x:v>234084</x:v>
      </x:c>
      <x:c r="F1354" s="18" t="str">
        <x:v>persons/day</x:v>
      </x:c>
      <x:c r="G1354" s="18" t="str">
        <x:v>FY2024</x:v>
      </x:c>
      <x:c r="H1354" s="18" t="str">
        <x:v>否</x:v>
      </x:c>
      <x:c r="I1354" s="19" t="str">
        <x:v>DAILY_ENTRIES_EXITS</x:v>
      </x:c>
      <x:c r="J1354" s="19" t="str">
        <x:v>常磐線</x:v>
      </x:c>
      <x:c r="K1354" s="18" t="str">
        <x:v>transport-node:0f93a4f9-bea6-5a64-85c8-71bc76e4e2d5</x:v>
      </x:c>
      <x:c r="L1354" s="19" t="str">
        <x:v>组件待审核</x:v>
      </x:c>
      <x:c r="M1354" s="21" t="n">
        <x:v>35.86219</x:v>
      </x:c>
      <x:c r="N1354" s="21" t="n">
        <x:v>139.971025</x:v>
      </x:c>
      <x:c r="O1354" s="18" t="str">
        <x:v>002984</x:v>
      </x:c>
      <x:c r="P1354" s="18" t="str">
        <x:v>常磐線</x:v>
      </x:c>
      <x:c r="Q1354" s="19" t="str">
        <x:v>S12_061_GE_10000
OFFICIAL_HUB_COMPONENT_REVIEW</x:v>
      </x:c>
      <x:c r="R1354" s="19" t="str">
        <x:v>S12_061 usage threshold</x:v>
      </x:c>
      <x:c r="S1354" s="19" t="str">
        <x:v>https://nlftp.mlit.go.jp/ksj/gml/datalist/KsjTmplt-S12-2024.html</x:v>
      </x:c>
      <x:c r="T1354" s="19" t="str">
        <x:v>https://nlftp.mlit.go.jp/ksj/gml/datalist/KsjTmplt-S12-2024.html
https://www.tobu.co.jp/railway/guide/station/info/6312/</x:v>
      </x:c>
      <x:c r="U1354" s="19" t="str">
        <x:v>station-component|柏|東日本旅客鉄道|conventional_rail|35.8622|139.9710|</x:v>
      </x:c>
      <x:c r="V1354" s="19" t="str">
        <x:v>002984 / 002984 / 常磐線</x:v>
      </x:c>
      <x:c r="W1354" s="18" t="str">
        <x:v>否</x:v>
      </x:c>
      <x:c r="X1354" s="18" t="str">
        <x:v>0785e932a32b3ec15e1a1345537ae145eafe1c07bf38d5c16c11ee2b391e7a28</x:v>
      </x:c>
      <x:c r="Y1354" s="20" t="n">
        <x:v>1</x:v>
      </x:c>
      <x:c r="Z1354" s="20" t="n">
        <x:v>1</x:v>
      </x:c>
      <x:c r="AA1354" s="19" t="str">
        <x:v>柏</x:v>
      </x:c>
      <x:c r="AB1354" s="18" t="str">
        <x:v>transport-hub-review:701e83ee-f782-5d90-b19c-d6fa23f00fb7</x:v>
      </x:c>
      <x:c r="AC1354" s="19"/>
    </x:row>
    <x:row r="1355" ht="33" customHeight="1">
      <x:c r="A1355" s="18" t="str">
        <x:v>柏</x:v>
      </x:c>
      <x:c r="B1355" s="18" t="str">
        <x:v>東武鉄道</x:v>
      </x:c>
      <x:c r="C1355" s="18" t="str">
        <x:v>private_rail</x:v>
      </x:c>
      <x:c r="D1355" s="19" t="str">
        <x:v>T1</x:v>
      </x:c>
      <x:c r="E1355" s="20" t="n">
        <x:v>145830</x:v>
      </x:c>
      <x:c r="F1355" s="18" t="str">
        <x:v>persons/day</x:v>
      </x:c>
      <x:c r="G1355" s="18" t="str">
        <x:v>FY2024</x:v>
      </x:c>
      <x:c r="H1355" s="18" t="str">
        <x:v>否</x:v>
      </x:c>
      <x:c r="I1355" s="19" t="str">
        <x:v>DAILY_ENTRIES_EXITS</x:v>
      </x:c>
      <x:c r="J1355" s="19" t="str">
        <x:v>野田線</x:v>
      </x:c>
      <x:c r="K1355" s="18" t="str">
        <x:v>transport-node:f7013ca6-dcad-5cdd-8d22-225ac8d4581e</x:v>
      </x:c>
      <x:c r="L1355" s="19" t="str">
        <x:v>组件待审核</x:v>
      </x:c>
      <x:c r="M1355" s="21" t="n">
        <x:v>35.861985</x:v>
      </x:c>
      <x:c r="N1355" s="21" t="n">
        <x:v>139.970465</x:v>
      </x:c>
      <x:c r="O1355" s="18" t="str">
        <x:v>002985</x:v>
      </x:c>
      <x:c r="P1355" s="18" t="str">
        <x:v>野田線</x:v>
      </x:c>
      <x:c r="Q1355" s="19" t="str">
        <x:v>S12_061_GE_10000
OFFICIAL_HUB_COMPONENT_REVIEW</x:v>
      </x:c>
      <x:c r="R1355" s="19" t="str">
        <x:v>S12_061 usage threshold</x:v>
      </x:c>
      <x:c r="S1355" s="19" t="str">
        <x:v>https://nlftp.mlit.go.jp/ksj/gml/datalist/KsjTmplt-S12-2024.html</x:v>
      </x:c>
      <x:c r="T1355" s="19" t="str">
        <x:v>https://nlftp.mlit.go.jp/ksj/gml/datalist/KsjTmplt-S12-2024.html
https://www.tobu.co.jp/railway/guide/station/info/6312/</x:v>
      </x:c>
      <x:c r="U1355" s="19" t="str">
        <x:v>station-component|柏|東武鉄道|private_rail|35.8620|139.9705|</x:v>
      </x:c>
      <x:c r="V1355" s="19" t="str">
        <x:v>002984 / 002985 / 野田線</x:v>
      </x:c>
      <x:c r="W1355" s="18" t="str">
        <x:v>否</x:v>
      </x:c>
      <x:c r="X1355" s="18" t="str">
        <x:v>0785e932a32b3ec15e1a1345537ae145eafe1c07bf38d5c16c11ee2b391e7a28</x:v>
      </x:c>
      <x:c r="Y1355" s="20" t="n">
        <x:v>1</x:v>
      </x:c>
      <x:c r="Z1355" s="20" t="n">
        <x:v>1</x:v>
      </x:c>
      <x:c r="AA1355" s="19" t="str">
        <x:v>柏</x:v>
      </x:c>
      <x:c r="AB1355" s="18" t="str">
        <x:v>transport-hub-review:701e83ee-f782-5d90-b19c-d6fa23f00fb7</x:v>
      </x:c>
      <x:c r="AC1355" s="19"/>
    </x:row>
    <x:row r="1356" ht="28" customHeight="1">
      <x:c r="A1356" s="18" t="str">
        <x:v>柏たなか</x:v>
      </x:c>
      <x:c r="B1356" s="18" t="str">
        <x:v>首都圏新都市鉄道</x:v>
      </x:c>
      <x:c r="C1356" s="18" t="str">
        <x:v>private_rail</x:v>
      </x:c>
      <x:c r="D1356" s="19" t="str">
        <x:v>T2</x:v>
      </x:c>
      <x:c r="E1356" s="20" t="n">
        <x:v>16066</x:v>
      </x:c>
      <x:c r="F1356" s="18" t="str">
        <x:v>persons/day</x:v>
      </x:c>
      <x:c r="G1356" s="18" t="str">
        <x:v>FY2024</x:v>
      </x:c>
      <x:c r="H1356" s="18" t="str">
        <x:v>否</x:v>
      </x:c>
      <x:c r="I1356" s="19" t="str">
        <x:v>DAILY_ENTRIES_EXITS</x:v>
      </x:c>
      <x:c r="J1356" s="19" t="str">
        <x:v>常磐新線</x:v>
      </x:c>
      <x:c r="K1356" s="18" t="str">
        <x:v>transport-node:98ca0265-1ec7-5931-b0c5-3f4a9f3e6e21</x:v>
      </x:c>
      <x:c r="L1356" s="19" t="str">
        <x:v>组件待审核</x:v>
      </x:c>
      <x:c r="M1356" s="21" t="n">
        <x:v>35.91086</x:v>
      </x:c>
      <x:c r="N1356" s="21" t="n">
        <x:v>139.957515</x:v>
      </x:c>
      <x:c r="O1356" s="18" t="str">
        <x:v>002900</x:v>
      </x:c>
      <x:c r="P1356" s="18" t="str">
        <x:v>常磐新線</x:v>
      </x:c>
      <x:c r="Q1356" s="19" t="str">
        <x:v>S12_061_GE_10000</x:v>
      </x:c>
      <x:c r="R1356" s="19" t="str">
        <x:v>S12_061 usage threshold</x:v>
      </x:c>
      <x:c r="S1356" s="19" t="str">
        <x:v>https://nlftp.mlit.go.jp/ksj/gml/datalist/KsjTmplt-S12-2024.html</x:v>
      </x:c>
      <x:c r="T1356" s="19" t="str">
        <x:v>https://nlftp.mlit.go.jp/ksj/gml/datalist/KsjTmplt-S12-2024.html</x:v>
      </x:c>
      <x:c r="U1356" s="19" t="str">
        <x:v>station-component|柏たなか|首都圏新都市鉄道|private_rail|35.9109|139.9575|</x:v>
      </x:c>
      <x:c r="V1356" s="19" t="str">
        <x:v>002900 / 002900 / 常磐新線</x:v>
      </x:c>
      <x:c r="W1356" s="18" t="str">
        <x:v>否</x:v>
      </x:c>
      <x:c r="X1356" s="18" t="str">
        <x:v>0785e932a32b3ec15e1a1345537ae145eafe1c07bf38d5c16c11ee2b391e7a28</x:v>
      </x:c>
      <x:c r="Y1356" s="20" t="n">
        <x:v>1</x:v>
      </x:c>
      <x:c r="Z1356" s="20" t="n">
        <x:v>1</x:v>
      </x:c>
      <x:c r="AA1356" s="19"/>
      <x:c r="AB1356" s="18"/>
      <x:c r="AC1356" s="19"/>
    </x:row>
    <x:row r="1357" ht="28" customHeight="1">
      <x:c r="A1357" s="18" t="str">
        <x:v>柏の葉キャンパス</x:v>
      </x:c>
      <x:c r="B1357" s="18" t="str">
        <x:v>首都圏新都市鉄道</x:v>
      </x:c>
      <x:c r="C1357" s="18" t="str">
        <x:v>private_rail</x:v>
      </x:c>
      <x:c r="D1357" s="19" t="str">
        <x:v>T2</x:v>
      </x:c>
      <x:c r="E1357" s="20" t="n">
        <x:v>39740</x:v>
      </x:c>
      <x:c r="F1357" s="18" t="str">
        <x:v>persons/day</x:v>
      </x:c>
      <x:c r="G1357" s="18" t="str">
        <x:v>FY2024</x:v>
      </x:c>
      <x:c r="H1357" s="18" t="str">
        <x:v>否</x:v>
      </x:c>
      <x:c r="I1357" s="19" t="str">
        <x:v>DAILY_ENTRIES_EXITS</x:v>
      </x:c>
      <x:c r="J1357" s="19" t="str">
        <x:v>常磐新線</x:v>
      </x:c>
      <x:c r="K1357" s="18" t="str">
        <x:v>transport-node:60361e39-7594-5b1b-a20c-b0c55c7965cf</x:v>
      </x:c>
      <x:c r="L1357" s="19" t="str">
        <x:v>组件待审核</x:v>
      </x:c>
      <x:c r="M1357" s="21" t="n">
        <x:v>35.893315</x:v>
      </x:c>
      <x:c r="N1357" s="21" t="n">
        <x:v>139.952525</x:v>
      </x:c>
      <x:c r="O1357" s="18" t="str">
        <x:v>002935</x:v>
      </x:c>
      <x:c r="P1357" s="18" t="str">
        <x:v>常磐新線</x:v>
      </x:c>
      <x:c r="Q1357" s="19" t="str">
        <x:v>S12_061_GE_10000</x:v>
      </x:c>
      <x:c r="R1357" s="19" t="str">
        <x:v>S12_061 usage threshold</x:v>
      </x:c>
      <x:c r="S1357" s="19" t="str">
        <x:v>https://nlftp.mlit.go.jp/ksj/gml/datalist/KsjTmplt-S12-2024.html</x:v>
      </x:c>
      <x:c r="T1357" s="19" t="str">
        <x:v>https://nlftp.mlit.go.jp/ksj/gml/datalist/KsjTmplt-S12-2024.html</x:v>
      </x:c>
      <x:c r="U1357" s="19" t="str">
        <x:v>station-component|柏の葉キャンパス|首都圏新都市鉄道|private_rail|35.8933|139.9525|</x:v>
      </x:c>
      <x:c r="V1357" s="19" t="str">
        <x:v>002935 / 002935 / 常磐新線</x:v>
      </x:c>
      <x:c r="W1357" s="18" t="str">
        <x:v>否</x:v>
      </x:c>
      <x:c r="X1357" s="18" t="str">
        <x:v>0785e932a32b3ec15e1a1345537ae145eafe1c07bf38d5c16c11ee2b391e7a28</x:v>
      </x:c>
      <x:c r="Y1357" s="20" t="n">
        <x:v>1</x:v>
      </x:c>
      <x:c r="Z1357" s="20" t="n">
        <x:v>1</x:v>
      </x:c>
      <x:c r="AA1357" s="19"/>
      <x:c r="AB1357" s="18"/>
      <x:c r="AC1357" s="19"/>
    </x:row>
    <x:row r="1358" ht="28" customHeight="1">
      <x:c r="A1358" s="18" t="str">
        <x:v>柏原</x:v>
      </x:c>
      <x:c r="B1358" s="18" t="str">
        <x:v>西日本旅客鉄道</x:v>
      </x:c>
      <x:c r="C1358" s="18" t="str">
        <x:v>conventional_rail</x:v>
      </x:c>
      <x:c r="D1358" s="19" t="str">
        <x:v>T2</x:v>
      </x:c>
      <x:c r="E1358" s="20" t="n">
        <x:v>26077</x:v>
      </x:c>
      <x:c r="F1358" s="18" t="str">
        <x:v>persons/day</x:v>
      </x:c>
      <x:c r="G1358" s="18" t="str">
        <x:v>FY2024</x:v>
      </x:c>
      <x:c r="H1358" s="18" t="str">
        <x:v>否</x:v>
      </x:c>
      <x:c r="I1358" s="19" t="str">
        <x:v>DAILY_ENTRIES_EXITS</x:v>
      </x:c>
      <x:c r="J1358" s="19" t="str">
        <x:v>関西線</x:v>
      </x:c>
      <x:c r="K1358" s="18" t="str">
        <x:v>transport-node:d5786238-7fa7-5db3-bc00-75acff051d25</x:v>
      </x:c>
      <x:c r="L1358" s="19" t="str">
        <x:v>组件待审核</x:v>
      </x:c>
      <x:c r="M1358" s="21" t="n">
        <x:v>34.587385</x:v>
      </x:c>
      <x:c r="N1358" s="21" t="n">
        <x:v>135.622865</x:v>
      </x:c>
      <x:c r="O1358" s="18" t="str">
        <x:v>007636</x:v>
      </x:c>
      <x:c r="P1358" s="18" t="str">
        <x:v>関西線</x:v>
      </x:c>
      <x:c r="Q1358" s="19" t="str">
        <x:v>S12_061_GE_10000</x:v>
      </x:c>
      <x:c r="R1358" s="19" t="str">
        <x:v>S12_061 usage threshold</x:v>
      </x:c>
      <x:c r="S1358" s="19" t="str">
        <x:v>https://nlftp.mlit.go.jp/ksj/gml/datalist/KsjTmplt-S12-2024.html</x:v>
      </x:c>
      <x:c r="T1358" s="19" t="str">
        <x:v>https://nlftp.mlit.go.jp/ksj/gml/datalist/KsjTmplt-S12-2024.html</x:v>
      </x:c>
      <x:c r="U1358" s="19" t="str">
        <x:v>station-component|柏原|西日本旅客鉄道|conventional_rail|34.5874|135.6229|</x:v>
      </x:c>
      <x:c r="V1358" s="19" t="str">
        <x:v>007636 / 007636 / 関西線</x:v>
      </x:c>
      <x:c r="W1358" s="18" t="str">
        <x:v>否</x:v>
      </x:c>
      <x:c r="X1358" s="18" t="str">
        <x:v>0785e932a32b3ec15e1a1345537ae145eafe1c07bf38d5c16c11ee2b391e7a28</x:v>
      </x:c>
      <x:c r="Y1358" s="20" t="n">
        <x:v>1</x:v>
      </x:c>
      <x:c r="Z1358" s="20" t="n">
        <x:v>1</x:v>
      </x:c>
      <x:c r="AA1358" s="19"/>
      <x:c r="AB1358" s="18"/>
      <x:c r="AC1358" s="19"/>
    </x:row>
    <x:row r="1359" ht="28" customHeight="1">
      <x:c r="A1359" s="18" t="str">
        <x:v>柏森</x:v>
      </x:c>
      <x:c r="B1359" s="18" t="str">
        <x:v>名古屋鉄道</x:v>
      </x:c>
      <x:c r="C1359" s="18" t="str">
        <x:v>private_rail</x:v>
      </x:c>
      <x:c r="D1359" s="19" t="str">
        <x:v>T2</x:v>
      </x:c>
      <x:c r="E1359" s="20" t="n">
        <x:v>10944</x:v>
      </x:c>
      <x:c r="F1359" s="18" t="str">
        <x:v>persons/day</x:v>
      </x:c>
      <x:c r="G1359" s="18" t="str">
        <x:v>FY2024</x:v>
      </x:c>
      <x:c r="H1359" s="18" t="str">
        <x:v>否</x:v>
      </x:c>
      <x:c r="I1359" s="19" t="str">
        <x:v>DAILY_ENTRIES_EXITS</x:v>
      </x:c>
      <x:c r="J1359" s="19" t="str">
        <x:v>犬山線</x:v>
      </x:c>
      <x:c r="K1359" s="18" t="str">
        <x:v>transport-node:9b7b7027-ec1e-552f-8bdd-445bd1cf6890</x:v>
      </x:c>
      <x:c r="L1359" s="19" t="str">
        <x:v>组件待审核</x:v>
      </x:c>
      <x:c r="M1359" s="21" t="n">
        <x:v>35.34482</x:v>
      </x:c>
      <x:c r="N1359" s="21" t="n">
        <x:v>136.900245</x:v>
      </x:c>
      <x:c r="O1359" s="18" t="str">
        <x:v>004980</x:v>
      </x:c>
      <x:c r="P1359" s="18" t="str">
        <x:v>犬山線</x:v>
      </x:c>
      <x:c r="Q1359" s="19" t="str">
        <x:v>S12_061_GE_10000</x:v>
      </x:c>
      <x:c r="R1359" s="19" t="str">
        <x:v>S12_061 usage threshold</x:v>
      </x:c>
      <x:c r="S1359" s="19" t="str">
        <x:v>https://nlftp.mlit.go.jp/ksj/gml/datalist/KsjTmplt-S12-2024.html</x:v>
      </x:c>
      <x:c r="T1359" s="19" t="str">
        <x:v>https://nlftp.mlit.go.jp/ksj/gml/datalist/KsjTmplt-S12-2024.html</x:v>
      </x:c>
      <x:c r="U1359" s="19" t="str">
        <x:v>station-component|柏森|名古屋鉄道|private_rail|35.3448|136.9002|</x:v>
      </x:c>
      <x:c r="V1359" s="19" t="str">
        <x:v>004980 / 004980 / 犬山線</x:v>
      </x:c>
      <x:c r="W1359" s="18" t="str">
        <x:v>否</x:v>
      </x:c>
      <x:c r="X1359" s="18" t="str">
        <x:v>0785e932a32b3ec15e1a1345537ae145eafe1c07bf38d5c16c11ee2b391e7a28</x:v>
      </x:c>
      <x:c r="Y1359" s="20" t="n">
        <x:v>1</x:v>
      </x:c>
      <x:c r="Z1359" s="20" t="n">
        <x:v>1</x:v>
      </x:c>
      <x:c r="AA1359" s="19"/>
      <x:c r="AB1359" s="18"/>
      <x:c r="AC1359" s="19"/>
    </x:row>
    <x:row r="1360" ht="28" customHeight="1">
      <x:c r="A1360" s="18" t="str">
        <x:v>柳瀬川</x:v>
      </x:c>
      <x:c r="B1360" s="18" t="str">
        <x:v>東武鉄道</x:v>
      </x:c>
      <x:c r="C1360" s="18" t="str">
        <x:v>private_rail</x:v>
      </x:c>
      <x:c r="D1360" s="19" t="str">
        <x:v>T2</x:v>
      </x:c>
      <x:c r="E1360" s="20" t="n">
        <x:v>18204</x:v>
      </x:c>
      <x:c r="F1360" s="18" t="str">
        <x:v>persons/day</x:v>
      </x:c>
      <x:c r="G1360" s="18" t="str">
        <x:v>FY2024</x:v>
      </x:c>
      <x:c r="H1360" s="18" t="str">
        <x:v>否</x:v>
      </x:c>
      <x:c r="I1360" s="19" t="str">
        <x:v>DAILY_ENTRIES_EXITS</x:v>
      </x:c>
      <x:c r="J1360" s="19" t="str">
        <x:v>東上本線</x:v>
      </x:c>
      <x:c r="K1360" s="18" t="str">
        <x:v>transport-node:95082011-ee87-57a8-ae5d-9df79ca4013f</x:v>
      </x:c>
      <x:c r="L1360" s="19" t="str">
        <x:v>组件待审核</x:v>
      </x:c>
      <x:c r="M1360" s="21" t="n">
        <x:v>35.83056</x:v>
      </x:c>
      <x:c r="N1360" s="21" t="n">
        <x:v>139.56246</x:v>
      </x:c>
      <x:c r="O1360" s="18" t="str">
        <x:v>003038</x:v>
      </x:c>
      <x:c r="P1360" s="18" t="str">
        <x:v>東上本線</x:v>
      </x:c>
      <x:c r="Q1360" s="19" t="str">
        <x:v>S12_061_GE_10000</x:v>
      </x:c>
      <x:c r="R1360" s="19" t="str">
        <x:v>S12_061 usage threshold</x:v>
      </x:c>
      <x:c r="S1360" s="19" t="str">
        <x:v>https://nlftp.mlit.go.jp/ksj/gml/datalist/KsjTmplt-S12-2024.html</x:v>
      </x:c>
      <x:c r="T1360" s="19" t="str">
        <x:v>https://nlftp.mlit.go.jp/ksj/gml/datalist/KsjTmplt-S12-2024.html</x:v>
      </x:c>
      <x:c r="U1360" s="19" t="str">
        <x:v>station-component|柳瀬川|東武鉄道|private_rail|35.8306|139.5625|</x:v>
      </x:c>
      <x:c r="V1360" s="19" t="str">
        <x:v>003038 / 003038 / 東上本線</x:v>
      </x:c>
      <x:c r="W1360" s="18" t="str">
        <x:v>否</x:v>
      </x:c>
      <x:c r="X1360" s="18" t="str">
        <x:v>0785e932a32b3ec15e1a1345537ae145eafe1c07bf38d5c16c11ee2b391e7a28</x:v>
      </x:c>
      <x:c r="Y1360" s="20" t="n">
        <x:v>1</x:v>
      </x:c>
      <x:c r="Z1360" s="20" t="n">
        <x:v>1</x:v>
      </x:c>
      <x:c r="AA1360" s="19"/>
      <x:c r="AB1360" s="18"/>
      <x:c r="AC1360" s="19"/>
    </x:row>
    <x:row r="1361" ht="28" customHeight="1">
      <x:c r="A1361" s="18" t="str">
        <x:v>柴崎</x:v>
      </x:c>
      <x:c r="B1361" s="18" t="str">
        <x:v>京王電鉄</x:v>
      </x:c>
      <x:c r="C1361" s="18" t="str">
        <x:v>private_rail</x:v>
      </x:c>
      <x:c r="D1361" s="19" t="str">
        <x:v>T2</x:v>
      </x:c>
      <x:c r="E1361" s="20" t="n">
        <x:v>16316</x:v>
      </x:c>
      <x:c r="F1361" s="18" t="str">
        <x:v>persons/day</x:v>
      </x:c>
      <x:c r="G1361" s="18" t="str">
        <x:v>FY2024</x:v>
      </x:c>
      <x:c r="H1361" s="18" t="str">
        <x:v>否</x:v>
      </x:c>
      <x:c r="I1361" s="19" t="str">
        <x:v>DAILY_ENTRIES_EXITS</x:v>
      </x:c>
      <x:c r="J1361" s="19" t="str">
        <x:v>京王線</x:v>
      </x:c>
      <x:c r="K1361" s="18" t="str">
        <x:v>transport-node:2a77f472-1767-5f6b-9d07-d6fa4320cf85</x:v>
      </x:c>
      <x:c r="L1361" s="19" t="str">
        <x:v>组件待审核</x:v>
      </x:c>
      <x:c r="M1361" s="21" t="n">
        <x:v>35.65399</x:v>
      </x:c>
      <x:c r="N1361" s="21" t="n">
        <x:v>139.566625</x:v>
      </x:c>
      <x:c r="O1361" s="18" t="str">
        <x:v>003959</x:v>
      </x:c>
      <x:c r="P1361" s="18" t="str">
        <x:v>京王線</x:v>
      </x:c>
      <x:c r="Q1361" s="19" t="str">
        <x:v>S12_061_GE_10000</x:v>
      </x:c>
      <x:c r="R1361" s="19" t="str">
        <x:v>S12_061 usage threshold</x:v>
      </x:c>
      <x:c r="S1361" s="19" t="str">
        <x:v>https://nlftp.mlit.go.jp/ksj/gml/datalist/KsjTmplt-S12-2024.html</x:v>
      </x:c>
      <x:c r="T1361" s="19" t="str">
        <x:v>https://nlftp.mlit.go.jp/ksj/gml/datalist/KsjTmplt-S12-2024.html</x:v>
      </x:c>
      <x:c r="U1361" s="19" t="str">
        <x:v>station-component|柴崎|京王電鉄|private_rail|35.6540|139.5666|</x:v>
      </x:c>
      <x:c r="V1361" s="19" t="str">
        <x:v>003959 / 003959 / 京王線</x:v>
      </x:c>
      <x:c r="W1361" s="18" t="str">
        <x:v>否</x:v>
      </x:c>
      <x:c r="X1361" s="18" t="str">
        <x:v>0785e932a32b3ec15e1a1345537ae145eafe1c07bf38d5c16c11ee2b391e7a28</x:v>
      </x:c>
      <x:c r="Y1361" s="20" t="n">
        <x:v>1</x:v>
      </x:c>
      <x:c r="Z1361" s="20" t="n">
        <x:v>1</x:v>
      </x:c>
      <x:c r="AA1361" s="19"/>
      <x:c r="AB1361" s="18"/>
      <x:c r="AC1361" s="19"/>
    </x:row>
    <x:row r="1362" ht="28" customHeight="1">
      <x:c r="A1362" s="18" t="str">
        <x:v>柿生</x:v>
      </x:c>
      <x:c r="B1362" s="18" t="str">
        <x:v>小田急電鉄</x:v>
      </x:c>
      <x:c r="C1362" s="18" t="str">
        <x:v>private_rail</x:v>
      </x:c>
      <x:c r="D1362" s="19" t="str">
        <x:v>T2</x:v>
      </x:c>
      <x:c r="E1362" s="20" t="n">
        <x:v>34337</x:v>
      </x:c>
      <x:c r="F1362" s="18" t="str">
        <x:v>persons/day</x:v>
      </x:c>
      <x:c r="G1362" s="18" t="str">
        <x:v>FY2024</x:v>
      </x:c>
      <x:c r="H1362" s="18" t="str">
        <x:v>否</x:v>
      </x:c>
      <x:c r="I1362" s="19" t="str">
        <x:v>DAILY_ENTRIES_EXITS</x:v>
      </x:c>
      <x:c r="J1362" s="19" t="str">
        <x:v>小田原線</x:v>
      </x:c>
      <x:c r="K1362" s="18" t="str">
        <x:v>transport-node:1d79d614-ac9f-5740-9fb5-cc913d4bcc42</x:v>
      </x:c>
      <x:c r="L1362" s="19" t="str">
        <x:v>组件待审核</x:v>
      </x:c>
      <x:c r="M1362" s="21" t="n">
        <x:v>35.58957</x:v>
      </x:c>
      <x:c r="N1362" s="21" t="n">
        <x:v>139.49755</x:v>
      </x:c>
      <x:c r="O1362" s="18" t="str">
        <x:v>004263</x:v>
      </x:c>
      <x:c r="P1362" s="18" t="str">
        <x:v>小田原線</x:v>
      </x:c>
      <x:c r="Q1362" s="19" t="str">
        <x:v>S12_061_GE_10000</x:v>
      </x:c>
      <x:c r="R1362" s="19" t="str">
        <x:v>S12_061 usage threshold</x:v>
      </x:c>
      <x:c r="S1362" s="19" t="str">
        <x:v>https://nlftp.mlit.go.jp/ksj/gml/datalist/KsjTmplt-S12-2024.html</x:v>
      </x:c>
      <x:c r="T1362" s="19" t="str">
        <x:v>https://nlftp.mlit.go.jp/ksj/gml/datalist/KsjTmplt-S12-2024.html</x:v>
      </x:c>
      <x:c r="U1362" s="19" t="str">
        <x:v>station-component|柿生|小田急電鉄|private_rail|35.5896|139.4975|</x:v>
      </x:c>
      <x:c r="V1362" s="19" t="str">
        <x:v>004263 / 004263 / 小田原線</x:v>
      </x:c>
      <x:c r="W1362" s="18" t="str">
        <x:v>否</x:v>
      </x:c>
      <x:c r="X1362" s="18" t="str">
        <x:v>0785e932a32b3ec15e1a1345537ae145eafe1c07bf38d5c16c11ee2b391e7a28</x:v>
      </x:c>
      <x:c r="Y1362" s="20" t="n">
        <x:v>1</x:v>
      </x:c>
      <x:c r="Z1362" s="20" t="n">
        <x:v>1</x:v>
      </x:c>
      <x:c r="AA1362" s="19"/>
      <x:c r="AB1362" s="18"/>
      <x:c r="AC1362" s="19"/>
    </x:row>
    <x:row r="1363" ht="47" customHeight="1">
      <x:c r="A1363" s="18" t="str">
        <x:v>栂・美木多</x:v>
      </x:c>
      <x:c r="B1363" s="18" t="str">
        <x:v>泉北高速鉄道</x:v>
      </x:c>
      <x:c r="C1363" s="18" t="str">
        <x:v>private_rail</x:v>
      </x:c>
      <x:c r="D1363" s="19" t="str">
        <x:v>T2</x:v>
      </x:c>
      <x:c r="E1363" s="20" t="n">
        <x:v>16615</x:v>
      </x:c>
      <x:c r="F1363" s="18" t="str">
        <x:v>persons/day</x:v>
      </x:c>
      <x:c r="G1363" s="18" t="str">
        <x:v>FY2024</x:v>
      </x:c>
      <x:c r="H1363" s="18" t="str">
        <x:v>否</x:v>
      </x:c>
      <x:c r="I1363" s="19" t="str">
        <x:v>DAILY_ENTRIES_EXITS</x:v>
      </x:c>
      <x:c r="J1363" s="19" t="str">
        <x:v>泉北高速鉄道線</x:v>
      </x:c>
      <x:c r="K1363" s="18" t="str">
        <x:v>transport-node:54e509f4-2691-5d84-936e-77e2bef0dc41</x:v>
      </x:c>
      <x:c r="L1363" s="19" t="str">
        <x:v>组件待审核</x:v>
      </x:c>
      <x:c r="M1363" s="21" t="n">
        <x:v>34.48505</x:v>
      </x:c>
      <x:c r="N1363" s="21" t="n">
        <x:v>135.490225</x:v>
      </x:c>
      <x:c r="O1363" s="18" t="str">
        <x:v>007877</x:v>
      </x:c>
      <x:c r="P1363" s="18" t="str">
        <x:v>泉北高速鉄道線</x:v>
      </x:c>
      <x:c r="Q1363" s="19" t="str">
        <x:v>S12_061_GE_10000</x:v>
      </x:c>
      <x:c r="R1363" s="19" t="str">
        <x:v>S12_061 usage threshold</x:v>
      </x:c>
      <x:c r="S1363" s="19" t="str">
        <x:v>https://nlftp.mlit.go.jp/ksj/gml/datalist/KsjTmplt-S12-2024.html</x:v>
      </x:c>
      <x:c r="T1363" s="19" t="str">
        <x:v>https://nlftp.mlit.go.jp/ksj/gml/datalist/KsjTmplt-S12-2024.html</x:v>
      </x:c>
      <x:c r="U1363" s="19" t="str">
        <x:v>station-component|栂・美木多|泉北高速鉄道|private_rail|34.4851|135.4902|</x:v>
      </x:c>
      <x:c r="V1363" s="19" t="str">
        <x:v>007877 / 007877 / 泉北高速鉄道線</x:v>
      </x:c>
      <x:c r="W1363" s="18" t="str">
        <x:v>否</x:v>
      </x:c>
      <x:c r="X1363" s="18" t="str">
        <x:v>0785e932a32b3ec15e1a1345537ae145eafe1c07bf38d5c16c11ee2b391e7a28</x:v>
      </x:c>
      <x:c r="Y1363" s="20" t="n">
        <x:v>1</x:v>
      </x:c>
      <x:c r="Z1363" s="20" t="n">
        <x:v>1</x:v>
      </x:c>
      <x:c r="AA1363" s="19"/>
      <x:c r="AB1363" s="18"/>
      <x:c r="AC1363" s="19" t="str">
        <x:v>{"documentedSuccessor":"南海電気鉄道","effectiveDate":"2025-04-01","historicalSourceOperator":"泉北高速鉄道","identityRebound":false,"officialSource":"https://www.nankai.co.jp/news/241101_1.html","status":"HISTORICAL_S12_OPERATOR_IDENTITY_REVIEW_REQUIRED"}</x:v>
      </x:c>
    </x:row>
    <x:row r="1364" ht="33" customHeight="1">
      <x:c r="A1364" s="18" t="str">
        <x:v>栄</x:v>
      </x:c>
      <x:c r="B1364" s="18" t="str">
        <x:v>名古屋市</x:v>
      </x:c>
      <x:c r="C1364" s="18" t="str">
        <x:v>metro</x:v>
      </x:c>
      <x:c r="D1364" s="19" t="str">
        <x:v>T0</x:v>
      </x:c>
      <x:c r="E1364" s="20" t="n">
        <x:v>211709</x:v>
      </x:c>
      <x:c r="F1364" s="18" t="str">
        <x:v>persons/day</x:v>
      </x:c>
      <x:c r="G1364" s="18" t="str">
        <x:v>FY2024</x:v>
      </x:c>
      <x:c r="H1364" s="18" t="str">
        <x:v>否</x:v>
      </x:c>
      <x:c r="I1364" s="19" t="str">
        <x:v>DAILY_ENTRIES_EXITS</x:v>
      </x:c>
      <x:c r="J1364" s="19" t="str">
        <x:v>1号線東山線
2号線名城線</x:v>
      </x:c>
      <x:c r="K1364" s="18" t="str">
        <x:v>transport-node:1ca11526-aca0-5d54-97d0-44708d9cf36a</x:v>
      </x:c>
      <x:c r="L1364" s="19" t="str">
        <x:v>组件待审核</x:v>
      </x:c>
      <x:c r="M1364" s="21" t="n">
        <x:v>35.16995</x:v>
      </x:c>
      <x:c r="N1364" s="21" t="n">
        <x:v>136.9085867</x:v>
      </x:c>
      <x:c r="O1364" s="18" t="str">
        <x:v>005459</x:v>
      </x:c>
      <x:c r="P1364" s="18" t="str">
        <x:v>1号線東山線</x:v>
      </x:c>
      <x:c r="Q1364" s="19" t="str">
        <x:v>S12_061_GE_10000
OFFICIAL_HUB_COMPONENT_REVIEW</x:v>
      </x:c>
      <x:c r="R1364" s="19" t="str">
        <x:v>S12_061 usage threshold</x:v>
      </x:c>
      <x:c r="S1364" s="19" t="str">
        <x:v>https://nlftp.mlit.go.jp/ksj/gml/datalist/KsjTmplt-S12-2024.html</x:v>
      </x:c>
      <x:c r="T1364" s="19" t="str">
        <x:v>https://nlftp.mlit.go.jp/ksj/gml/datalist/KsjTmplt-S12-2024.html
https://www.kotsu.city.nagoya.jp/rp/ticket/TRP0001550.htm</x:v>
      </x:c>
      <x:c r="U1364" s="19" t="str">
        <x:v>station-component|栄|名古屋市|metro|35.1700|136.9086|</x:v>
      </x:c>
      <x:c r="V1364" s="19" t="str">
        <x:v>005459 / 005459 / 1号線東山線
005459 / 005461 / 2号線名城線</x:v>
      </x:c>
      <x:c r="W1364" s="18" t="str">
        <x:v>否</x:v>
      </x:c>
      <x:c r="X1364" s="18" t="str">
        <x:v>0785e932a32b3ec15e1a1345537ae145eafe1c07bf38d5c16c11ee2b391e7a28</x:v>
      </x:c>
      <x:c r="Y1364" s="20" t="n">
        <x:v>1</x:v>
      </x:c>
      <x:c r="Z1364" s="20" t="n">
        <x:v>1</x:v>
      </x:c>
      <x:c r="AA1364" s="19" t="str">
        <x:v>栄・栄町</x:v>
      </x:c>
      <x:c r="AB1364" s="18" t="str">
        <x:v>transport-hub-review:55651934-b4b0-5315-8bd1-dd423f83fd41</x:v>
      </x:c>
      <x:c r="AC1364" s="19"/>
    </x:row>
    <x:row r="1365" ht="28" customHeight="1">
      <x:c r="A1365" s="18" t="str">
        <x:v>栄生</x:v>
      </x:c>
      <x:c r="B1365" s="18" t="str">
        <x:v>名古屋鉄道</x:v>
      </x:c>
      <x:c r="C1365" s="18" t="str">
        <x:v>private_rail</x:v>
      </x:c>
      <x:c r="D1365" s="19" t="str">
        <x:v>T2</x:v>
      </x:c>
      <x:c r="E1365" s="20" t="n">
        <x:v>14173</x:v>
      </x:c>
      <x:c r="F1365" s="18" t="str">
        <x:v>persons/day</x:v>
      </x:c>
      <x:c r="G1365" s="18" t="str">
        <x:v>FY2024</x:v>
      </x:c>
      <x:c r="H1365" s="18" t="str">
        <x:v>否</x:v>
      </x:c>
      <x:c r="I1365" s="19" t="str">
        <x:v>DAILY_ENTRIES_EXITS</x:v>
      </x:c>
      <x:c r="J1365" s="19" t="str">
        <x:v>名古屋本線</x:v>
      </x:c>
      <x:c r="K1365" s="18" t="str">
        <x:v>transport-node:925806de-e0a4-5e41-bd09-fc3d277b6b53</x:v>
      </x:c>
      <x:c r="L1365" s="19" t="str">
        <x:v>组件待审核</x:v>
      </x:c>
      <x:c r="M1365" s="21" t="n">
        <x:v>35.18379</x:v>
      </x:c>
      <x:c r="N1365" s="21" t="n">
        <x:v>136.873065</x:v>
      </x:c>
      <x:c r="O1365" s="18" t="str">
        <x:v>005407</x:v>
      </x:c>
      <x:c r="P1365" s="18" t="str">
        <x:v>名古屋本線</x:v>
      </x:c>
      <x:c r="Q1365" s="19" t="str">
        <x:v>S12_061_GE_10000</x:v>
      </x:c>
      <x:c r="R1365" s="19" t="str">
        <x:v>S12_061 usage threshold</x:v>
      </x:c>
      <x:c r="S1365" s="19" t="str">
        <x:v>https://nlftp.mlit.go.jp/ksj/gml/datalist/KsjTmplt-S12-2024.html</x:v>
      </x:c>
      <x:c r="T1365" s="19" t="str">
        <x:v>https://nlftp.mlit.go.jp/ksj/gml/datalist/KsjTmplt-S12-2024.html</x:v>
      </x:c>
      <x:c r="U1365" s="19" t="str">
        <x:v>station-component|栄生|名古屋鉄道|private_rail|35.1838|136.8731|</x:v>
      </x:c>
      <x:c r="V1365" s="19" t="str">
        <x:v>005407 / 005407 / 名古屋本線</x:v>
      </x:c>
      <x:c r="W1365" s="18" t="str">
        <x:v>否</x:v>
      </x:c>
      <x:c r="X1365" s="18" t="str">
        <x:v>0785e932a32b3ec15e1a1345537ae145eafe1c07bf38d5c16c11ee2b391e7a28</x:v>
      </x:c>
      <x:c r="Y1365" s="20" t="n">
        <x:v>1</x:v>
      </x:c>
      <x:c r="Z1365" s="20" t="n">
        <x:v>1</x:v>
      </x:c>
      <x:c r="AA1365" s="19"/>
      <x:c r="AB1365" s="18"/>
      <x:c r="AC1365" s="19"/>
    </x:row>
    <x:row r="1366" ht="33" customHeight="1">
      <x:c r="A1366" s="18" t="str">
        <x:v>栄町</x:v>
      </x:c>
      <x:c r="B1366" s="18" t="str">
        <x:v>名古屋鉄道</x:v>
      </x:c>
      <x:c r="C1366" s="18" t="str">
        <x:v>private_rail</x:v>
      </x:c>
      <x:c r="D1366" s="19" t="str">
        <x:v>T2</x:v>
      </x:c>
      <x:c r="E1366" s="20" t="n">
        <x:v>39359</x:v>
      </x:c>
      <x:c r="F1366" s="18" t="str">
        <x:v>persons/day</x:v>
      </x:c>
      <x:c r="G1366" s="18" t="str">
        <x:v>FY2024</x:v>
      </x:c>
      <x:c r="H1366" s="18" t="str">
        <x:v>否</x:v>
      </x:c>
      <x:c r="I1366" s="19" t="str">
        <x:v>DAILY_ENTRIES_EXITS</x:v>
      </x:c>
      <x:c r="J1366" s="19" t="str">
        <x:v>瀬戸線</x:v>
      </x:c>
      <x:c r="K1366" s="18" t="str">
        <x:v>transport-node:4fc8484c-3e7a-5a99-9878-dc21bce58044</x:v>
      </x:c>
      <x:c r="L1366" s="19" t="str">
        <x:v>组件待审核</x:v>
      </x:c>
      <x:c r="M1366" s="21" t="n">
        <x:v>35.170485</x:v>
      </x:c>
      <x:c r="N1366" s="21" t="n">
        <x:v>136.908845</x:v>
      </x:c>
      <x:c r="O1366" s="18" t="str">
        <x:v>005455</x:v>
      </x:c>
      <x:c r="P1366" s="18" t="str">
        <x:v>瀬戸線</x:v>
      </x:c>
      <x:c r="Q1366" s="19" t="str">
        <x:v>S12_061_GE_10000
OFFICIAL_HUB_COMPONENT_REVIEW</x:v>
      </x:c>
      <x:c r="R1366" s="19" t="str">
        <x:v>S12_061 usage threshold</x:v>
      </x:c>
      <x:c r="S1366" s="19" t="str">
        <x:v>https://nlftp.mlit.go.jp/ksj/gml/datalist/KsjTmplt-S12-2024.html</x:v>
      </x:c>
      <x:c r="T1366" s="19" t="str">
        <x:v>https://nlftp.mlit.go.jp/ksj/gml/datalist/KsjTmplt-S12-2024.html
https://www.kotsu.city.nagoya.jp/rp/ticket/TRP0001550.htm</x:v>
      </x:c>
      <x:c r="U1366" s="19" t="str">
        <x:v>station-component|栄町|名古屋鉄道|private_rail|35.1705|136.9088|</x:v>
      </x:c>
      <x:c r="V1366" s="19" t="str">
        <x:v>005455 / 005455 / 瀬戸線</x:v>
      </x:c>
      <x:c r="W1366" s="18" t="str">
        <x:v>否</x:v>
      </x:c>
      <x:c r="X1366" s="18" t="str">
        <x:v>0785e932a32b3ec15e1a1345537ae145eafe1c07bf38d5c16c11ee2b391e7a28</x:v>
      </x:c>
      <x:c r="Y1366" s="20" t="n">
        <x:v>1</x:v>
      </x:c>
      <x:c r="Z1366" s="20" t="n">
        <x:v>1</x:v>
      </x:c>
      <x:c r="AA1366" s="19" t="str">
        <x:v>栄・栄町</x:v>
      </x:c>
      <x:c r="AB1366" s="18" t="str">
        <x:v>transport-hub-review:55651934-b4b0-5315-8bd1-dd423f83fd41</x:v>
      </x:c>
      <x:c r="AC1366" s="19"/>
    </x:row>
    <x:row r="1367" ht="28" customHeight="1">
      <x:c r="A1367" s="18" t="str">
        <x:v>栄町</x:v>
      </x:c>
      <x:c r="B1367" s="18" t="str">
        <x:v>札幌市</x:v>
      </x:c>
      <x:c r="C1367" s="18" t="str">
        <x:v>metro</x:v>
      </x:c>
      <x:c r="D1367" s="19" t="str">
        <x:v>T2</x:v>
      </x:c>
      <x:c r="E1367" s="20" t="n">
        <x:v>16918</x:v>
      </x:c>
      <x:c r="F1367" s="18" t="str">
        <x:v>persons/day</x:v>
      </x:c>
      <x:c r="G1367" s="18" t="str">
        <x:v>FY2024</x:v>
      </x:c>
      <x:c r="H1367" s="18" t="str">
        <x:v>否</x:v>
      </x:c>
      <x:c r="I1367" s="19" t="str">
        <x:v>DAILY_ENTRIES_EXITS</x:v>
      </x:c>
      <x:c r="J1367" s="19" t="str">
        <x:v>東豊線</x:v>
      </x:c>
      <x:c r="K1367" s="18" t="str">
        <x:v>transport-node:cca3f7ec-96f2-5d27-a76e-ce940041b164</x:v>
      </x:c>
      <x:c r="L1367" s="19" t="str">
        <x:v>组件待审核</x:v>
      </x:c>
      <x:c r="M1367" s="21" t="n">
        <x:v>43.11302</x:v>
      </x:c>
      <x:c r="N1367" s="21" t="n">
        <x:v>141.367145</x:v>
      </x:c>
      <x:c r="O1367" s="18" t="str">
        <x:v>000194</x:v>
      </x:c>
      <x:c r="P1367" s="18" t="str">
        <x:v>東豊線</x:v>
      </x:c>
      <x:c r="Q1367" s="19" t="str">
        <x:v>S12_061_GE_10000</x:v>
      </x:c>
      <x:c r="R1367" s="19" t="str">
        <x:v>S12_061 usage threshold</x:v>
      </x:c>
      <x:c r="S1367" s="19" t="str">
        <x:v>https://nlftp.mlit.go.jp/ksj/gml/datalist/KsjTmplt-S12-2024.html</x:v>
      </x:c>
      <x:c r="T1367" s="19" t="str">
        <x:v>https://nlftp.mlit.go.jp/ksj/gml/datalist/KsjTmplt-S12-2024.html</x:v>
      </x:c>
      <x:c r="U1367" s="19" t="str">
        <x:v>station-component|栄町|札幌市|metro|43.1130|141.3671|</x:v>
      </x:c>
      <x:c r="V1367" s="19" t="str">
        <x:v>000194 / 000194 / 東豊線</x:v>
      </x:c>
      <x:c r="W1367" s="18" t="str">
        <x:v>否</x:v>
      </x:c>
      <x:c r="X1367" s="18" t="str">
        <x:v>0785e932a32b3ec15e1a1345537ae145eafe1c07bf38d5c16c11ee2b391e7a28</x:v>
      </x:c>
      <x:c r="Y1367" s="20" t="n">
        <x:v>1</x:v>
      </x:c>
      <x:c r="Z1367" s="20" t="n">
        <x:v>1</x:v>
      </x:c>
      <x:c r="AA1367" s="19"/>
      <x:c r="AB1367" s="18"/>
      <x:c r="AC1367" s="19"/>
    </x:row>
    <x:row r="1368" ht="28" customHeight="1">
      <x:c r="A1368" s="18" t="str">
        <x:v>栗平</x:v>
      </x:c>
      <x:c r="B1368" s="18" t="str">
        <x:v>小田急電鉄</x:v>
      </x:c>
      <x:c r="C1368" s="18" t="str">
        <x:v>private_rail</x:v>
      </x:c>
      <x:c r="D1368" s="19" t="str">
        <x:v>T2</x:v>
      </x:c>
      <x:c r="E1368" s="20" t="n">
        <x:v>22743</x:v>
      </x:c>
      <x:c r="F1368" s="18" t="str">
        <x:v>persons/day</x:v>
      </x:c>
      <x:c r="G1368" s="18" t="str">
        <x:v>FY2024</x:v>
      </x:c>
      <x:c r="H1368" s="18" t="str">
        <x:v>否</x:v>
      </x:c>
      <x:c r="I1368" s="19" t="str">
        <x:v>DAILY_ENTRIES_EXITS</x:v>
      </x:c>
      <x:c r="J1368" s="19" t="str">
        <x:v>多摩線</x:v>
      </x:c>
      <x:c r="K1368" s="18" t="str">
        <x:v>transport-node:52916ca6-c6e7-5612-8939-7306fc10b17b</x:v>
      </x:c>
      <x:c r="L1368" s="19" t="str">
        <x:v>组件待审核</x:v>
      </x:c>
      <x:c r="M1368" s="21" t="n">
        <x:v>35.60575</x:v>
      </x:c>
      <x:c r="N1368" s="21" t="n">
        <x:v>139.481295</x:v>
      </x:c>
      <x:c r="O1368" s="18" t="str">
        <x:v>004214</x:v>
      </x:c>
      <x:c r="P1368" s="18" t="str">
        <x:v>多摩線</x:v>
      </x:c>
      <x:c r="Q1368" s="19" t="str">
        <x:v>S12_061_GE_10000</x:v>
      </x:c>
      <x:c r="R1368" s="19" t="str">
        <x:v>S12_061 usage threshold</x:v>
      </x:c>
      <x:c r="S1368" s="19" t="str">
        <x:v>https://nlftp.mlit.go.jp/ksj/gml/datalist/KsjTmplt-S12-2024.html</x:v>
      </x:c>
      <x:c r="T1368" s="19" t="str">
        <x:v>https://nlftp.mlit.go.jp/ksj/gml/datalist/KsjTmplt-S12-2024.html</x:v>
      </x:c>
      <x:c r="U1368" s="19" t="str">
        <x:v>station-component|栗平|小田急電鉄|private_rail|35.6058|139.4813|</x:v>
      </x:c>
      <x:c r="V1368" s="19" t="str">
        <x:v>004214 / 004214 / 多摩線</x:v>
      </x:c>
      <x:c r="W1368" s="18" t="str">
        <x:v>否</x:v>
      </x:c>
      <x:c r="X1368" s="18" t="str">
        <x:v>0785e932a32b3ec15e1a1345537ae145eafe1c07bf38d5c16c11ee2b391e7a28</x:v>
      </x:c>
      <x:c r="Y1368" s="20" t="n">
        <x:v>1</x:v>
      </x:c>
      <x:c r="Z1368" s="20" t="n">
        <x:v>1</x:v>
      </x:c>
      <x:c r="AA1368" s="19"/>
      <x:c r="AB1368" s="18"/>
      <x:c r="AC1368" s="19"/>
    </x:row>
    <x:row r="1369" ht="28" customHeight="1">
      <x:c r="A1369" s="18" t="str">
        <x:v>栗東</x:v>
      </x:c>
      <x:c r="B1369" s="18" t="str">
        <x:v>西日本旅客鉄道</x:v>
      </x:c>
      <x:c r="C1369" s="18" t="str">
        <x:v>conventional_rail</x:v>
      </x:c>
      <x:c r="D1369" s="19" t="str">
        <x:v>T2</x:v>
      </x:c>
      <x:c r="E1369" s="20" t="n">
        <x:v>18162</x:v>
      </x:c>
      <x:c r="F1369" s="18" t="str">
        <x:v>persons/day</x:v>
      </x:c>
      <x:c r="G1369" s="18" t="str">
        <x:v>FY2024</x:v>
      </x:c>
      <x:c r="H1369" s="18" t="str">
        <x:v>否</x:v>
      </x:c>
      <x:c r="I1369" s="19" t="str">
        <x:v>DAILY_ENTRIES_EXITS</x:v>
      </x:c>
      <x:c r="J1369" s="19" t="str">
        <x:v>東海道線</x:v>
      </x:c>
      <x:c r="K1369" s="18" t="str">
        <x:v>transport-node:0c56ab5a-df56-5a77-baf2-f35128007aa5</x:v>
      </x:c>
      <x:c r="L1369" s="19" t="str">
        <x:v>组件待审核</x:v>
      </x:c>
      <x:c r="M1369" s="21" t="n">
        <x:v>35.037485</x:v>
      </x:c>
      <x:c r="N1369" s="21" t="n">
        <x:v>135.980105</x:v>
      </x:c>
      <x:c r="O1369" s="18" t="str">
        <x:v>005862</x:v>
      </x:c>
      <x:c r="P1369" s="18" t="str">
        <x:v>東海道線</x:v>
      </x:c>
      <x:c r="Q1369" s="19" t="str">
        <x:v>S12_061_GE_10000</x:v>
      </x:c>
      <x:c r="R1369" s="19" t="str">
        <x:v>S12_061 usage threshold</x:v>
      </x:c>
      <x:c r="S1369" s="19" t="str">
        <x:v>https://nlftp.mlit.go.jp/ksj/gml/datalist/KsjTmplt-S12-2024.html</x:v>
      </x:c>
      <x:c r="T1369" s="19" t="str">
        <x:v>https://nlftp.mlit.go.jp/ksj/gml/datalist/KsjTmplt-S12-2024.html</x:v>
      </x:c>
      <x:c r="U1369" s="19" t="str">
        <x:v>station-component|栗東|西日本旅客鉄道|conventional_rail|35.0375|135.9801|</x:v>
      </x:c>
      <x:c r="V1369" s="19" t="str">
        <x:v>005862 / 005862 / 東海道線</x:v>
      </x:c>
      <x:c r="W1369" s="18" t="str">
        <x:v>否</x:v>
      </x:c>
      <x:c r="X1369" s="18" t="str">
        <x:v>0785e932a32b3ec15e1a1345537ae145eafe1c07bf38d5c16c11ee2b391e7a28</x:v>
      </x:c>
      <x:c r="Y1369" s="20" t="n">
        <x:v>1</x:v>
      </x:c>
      <x:c r="Z1369" s="20" t="n">
        <x:v>1</x:v>
      </x:c>
      <x:c r="AA1369" s="19"/>
      <x:c r="AB1369" s="18"/>
      <x:c r="AC1369" s="19"/>
    </x:row>
    <x:row r="1370" ht="28" customHeight="1">
      <x:c r="A1370" s="18" t="str">
        <x:v>栗橋</x:v>
      </x:c>
      <x:c r="B1370" s="18" t="str">
        <x:v>東日本旅客鉄道</x:v>
      </x:c>
      <x:c r="C1370" s="18" t="str">
        <x:v>conventional_rail</x:v>
      </x:c>
      <x:c r="D1370" s="19" t="str">
        <x:v>T2</x:v>
      </x:c>
      <x:c r="E1370" s="20" t="n">
        <x:v>22150</x:v>
      </x:c>
      <x:c r="F1370" s="18" t="str">
        <x:v>persons/day</x:v>
      </x:c>
      <x:c r="G1370" s="18" t="str">
        <x:v>FY2024</x:v>
      </x:c>
      <x:c r="H1370" s="18" t="str">
        <x:v>否</x:v>
      </x:c>
      <x:c r="I1370" s="19" t="str">
        <x:v>DAILY_ENTRIES_EXITS</x:v>
      </x:c>
      <x:c r="J1370" s="19" t="str">
        <x:v>東北線</x:v>
      </x:c>
      <x:c r="K1370" s="18" t="str">
        <x:v>transport-node:2dd10c8a-29ce-5142-b7c4-5ca11d40fafd</x:v>
      </x:c>
      <x:c r="L1370" s="19" t="str">
        <x:v>组件待审核</x:v>
      </x:c>
      <x:c r="M1370" s="21" t="n">
        <x:v>36.135715</x:v>
      </x:c>
      <x:c r="N1370" s="21" t="n">
        <x:v>139.694035</x:v>
      </x:c>
      <x:c r="O1370" s="18" t="str">
        <x:v>002595</x:v>
      </x:c>
      <x:c r="P1370" s="18" t="str">
        <x:v>東北線</x:v>
      </x:c>
      <x:c r="Q1370" s="19" t="str">
        <x:v>S12_061_GE_10000</x:v>
      </x:c>
      <x:c r="R1370" s="19" t="str">
        <x:v>S12_061 usage threshold</x:v>
      </x:c>
      <x:c r="S1370" s="19" t="str">
        <x:v>https://nlftp.mlit.go.jp/ksj/gml/datalist/KsjTmplt-S12-2024.html</x:v>
      </x:c>
      <x:c r="T1370" s="19" t="str">
        <x:v>https://nlftp.mlit.go.jp/ksj/gml/datalist/KsjTmplt-S12-2024.html</x:v>
      </x:c>
      <x:c r="U1370" s="19" t="str">
        <x:v>station-component|栗橋|東日本旅客鉄道|conventional_rail|36.1357|139.6940|</x:v>
      </x:c>
      <x:c r="V1370" s="19" t="str">
        <x:v>002592 / 002595 / 東北線</x:v>
      </x:c>
      <x:c r="W1370" s="18" t="str">
        <x:v>否</x:v>
      </x:c>
      <x:c r="X1370" s="18" t="str">
        <x:v>0785e932a32b3ec15e1a1345537ae145eafe1c07bf38d5c16c11ee2b391e7a28</x:v>
      </x:c>
      <x:c r="Y1370" s="20" t="n">
        <x:v>1</x:v>
      </x:c>
      <x:c r="Z1370" s="20" t="n">
        <x:v>1</x:v>
      </x:c>
      <x:c r="AA1370" s="19"/>
      <x:c r="AB1370" s="18"/>
      <x:c r="AC1370" s="19"/>
    </x:row>
    <x:row r="1371" ht="28" customHeight="1">
      <x:c r="A1371" s="18" t="str">
        <x:v>根岸</x:v>
      </x:c>
      <x:c r="B1371" s="18" t="str">
        <x:v>東日本旅客鉄道</x:v>
      </x:c>
      <x:c r="C1371" s="18" t="str">
        <x:v>conventional_rail</x:v>
      </x:c>
      <x:c r="D1371" s="19" t="str">
        <x:v>T2</x:v>
      </x:c>
      <x:c r="E1371" s="20" t="n">
        <x:v>41524</x:v>
      </x:c>
      <x:c r="F1371" s="18" t="str">
        <x:v>persons/day</x:v>
      </x:c>
      <x:c r="G1371" s="18" t="str">
        <x:v>FY2024</x:v>
      </x:c>
      <x:c r="H1371" s="18" t="str">
        <x:v>否</x:v>
      </x:c>
      <x:c r="I1371" s="19" t="str">
        <x:v>DAILY_ENTRIES_EXITS</x:v>
      </x:c>
      <x:c r="J1371" s="19" t="str">
        <x:v>根岸線</x:v>
      </x:c>
      <x:c r="K1371" s="18" t="str">
        <x:v>transport-node:08356a62-2c15-5cc9-ae07-e3c1623e9530</x:v>
      </x:c>
      <x:c r="L1371" s="19" t="str">
        <x:v>组件待审核</x:v>
      </x:c>
      <x:c r="M1371" s="21" t="n">
        <x:v>35.41586</x:v>
      </x:c>
      <x:c r="N1371" s="21" t="n">
        <x:v>139.636095</x:v>
      </x:c>
      <x:c r="O1371" s="18" t="str">
        <x:v>004772</x:v>
      </x:c>
      <x:c r="P1371" s="18" t="str">
        <x:v>根岸線</x:v>
      </x:c>
      <x:c r="Q1371" s="19" t="str">
        <x:v>S12_061_GE_10000</x:v>
      </x:c>
      <x:c r="R1371" s="19" t="str">
        <x:v>S12_061 usage threshold</x:v>
      </x:c>
      <x:c r="S1371" s="19" t="str">
        <x:v>https://nlftp.mlit.go.jp/ksj/gml/datalist/KsjTmplt-S12-2024.html</x:v>
      </x:c>
      <x:c r="T1371" s="19" t="str">
        <x:v>https://nlftp.mlit.go.jp/ksj/gml/datalist/KsjTmplt-S12-2024.html</x:v>
      </x:c>
      <x:c r="U1371" s="19" t="str">
        <x:v>station-component|根岸|東日本旅客鉄道|conventional_rail|35.4159|139.6361|</x:v>
      </x:c>
      <x:c r="V1371" s="19" t="str">
        <x:v>004772 / 004772 / 根岸線</x:v>
      </x:c>
      <x:c r="W1371" s="18" t="str">
        <x:v>否</x:v>
      </x:c>
      <x:c r="X1371" s="18" t="str">
        <x:v>0785e932a32b3ec15e1a1345537ae145eafe1c07bf38d5c16c11ee2b391e7a28</x:v>
      </x:c>
      <x:c r="Y1371" s="20" t="n">
        <x:v>1</x:v>
      </x:c>
      <x:c r="Z1371" s="20" t="n">
        <x:v>1</x:v>
      </x:c>
      <x:c r="AA1371" s="19"/>
      <x:c r="AB1371" s="18"/>
      <x:c r="AC1371" s="19"/>
    </x:row>
    <x:row r="1372" ht="28" customHeight="1">
      <x:c r="A1372" s="18" t="str">
        <x:v>根津</x:v>
      </x:c>
      <x:c r="B1372" s="18" t="str">
        <x:v>東京地下鉄</x:v>
      </x:c>
      <x:c r="C1372" s="18" t="str">
        <x:v>metro</x:v>
      </x:c>
      <x:c r="D1372" s="19" t="str">
        <x:v>T2</x:v>
      </x:c>
      <x:c r="E1372" s="20" t="n">
        <x:v>27937</x:v>
      </x:c>
      <x:c r="F1372" s="18" t="str">
        <x:v>persons/day</x:v>
      </x:c>
      <x:c r="G1372" s="18" t="str">
        <x:v>FY2024</x:v>
      </x:c>
      <x:c r="H1372" s="18" t="str">
        <x:v>否</x:v>
      </x:c>
      <x:c r="I1372" s="19" t="str">
        <x:v>DAILY_ENTRIES_EXITS</x:v>
      </x:c>
      <x:c r="J1372" s="19" t="str">
        <x:v>9号線千代田線</x:v>
      </x:c>
      <x:c r="K1372" s="18" t="str">
        <x:v>transport-node:9a92fc0e-f2c3-5497-93f5-9723e144af08</x:v>
      </x:c>
      <x:c r="L1372" s="19" t="str">
        <x:v>组件待审核</x:v>
      </x:c>
      <x:c r="M1372" s="21" t="n">
        <x:v>35.717325</x:v>
      </x:c>
      <x:c r="N1372" s="21" t="n">
        <x:v>139.76575</x:v>
      </x:c>
      <x:c r="O1372" s="18" t="str">
        <x:v>003483</x:v>
      </x:c>
      <x:c r="P1372" s="18" t="str">
        <x:v>9号線千代田線</x:v>
      </x:c>
      <x:c r="Q1372" s="19" t="str">
        <x:v>S12_061_GE_10000</x:v>
      </x:c>
      <x:c r="R1372" s="19" t="str">
        <x:v>S12_061 usage threshold</x:v>
      </x:c>
      <x:c r="S1372" s="19" t="str">
        <x:v>https://nlftp.mlit.go.jp/ksj/gml/datalist/KsjTmplt-S12-2024.html</x:v>
      </x:c>
      <x:c r="T1372" s="19" t="str">
        <x:v>https://nlftp.mlit.go.jp/ksj/gml/datalist/KsjTmplt-S12-2024.html</x:v>
      </x:c>
      <x:c r="U1372" s="19" t="str">
        <x:v>station-component|根津|東京地下鉄|metro|35.7173|139.7657|</x:v>
      </x:c>
      <x:c r="V1372" s="19" t="str">
        <x:v>003483 / 003483 / 9号線千代田線</x:v>
      </x:c>
      <x:c r="W1372" s="18" t="str">
        <x:v>否</x:v>
      </x:c>
      <x:c r="X1372" s="18" t="str">
        <x:v>0785e932a32b3ec15e1a1345537ae145eafe1c07bf38d5c16c11ee2b391e7a28</x:v>
      </x:c>
      <x:c r="Y1372" s="20" t="n">
        <x:v>1</x:v>
      </x:c>
      <x:c r="Z1372" s="20" t="n">
        <x:v>1</x:v>
      </x:c>
      <x:c r="AA1372" s="19"/>
      <x:c r="AB1372" s="18"/>
      <x:c r="AC1372" s="19"/>
    </x:row>
    <x:row r="1373" ht="33" customHeight="1">
      <x:c r="A1373" s="18" t="str">
        <x:v>桂</x:v>
      </x:c>
      <x:c r="B1373" s="18" t="str">
        <x:v>阪急電鉄</x:v>
      </x:c>
      <x:c r="C1373" s="18" t="str">
        <x:v>private_rail</x:v>
      </x:c>
      <x:c r="D1373" s="19" t="str">
        <x:v>T2</x:v>
      </x:c>
      <x:c r="E1373" s="20" t="n">
        <x:v>38441</x:v>
      </x:c>
      <x:c r="F1373" s="18" t="str">
        <x:v>persons/day</x:v>
      </x:c>
      <x:c r="G1373" s="18" t="str">
        <x:v>FY2024</x:v>
      </x:c>
      <x:c r="H1373" s="18" t="str">
        <x:v>否</x:v>
      </x:c>
      <x:c r="I1373" s="19" t="str">
        <x:v>DAILY_ENTRIES_EXITS</x:v>
      </x:c>
      <x:c r="J1373" s="19" t="str">
        <x:v>京都線
嵐山線</x:v>
      </x:c>
      <x:c r="K1373" s="18" t="str">
        <x:v>transport-node:d6763f39-e606-5b77-91c0-5f877d0e9ca1</x:v>
      </x:c>
      <x:c r="L1373" s="19" t="str">
        <x:v>组件待审核</x:v>
      </x:c>
      <x:c r="M1373" s="21" t="n">
        <x:v>34.9787033</x:v>
      </x:c>
      <x:c r="N1373" s="21" t="n">
        <x:v>135.7032367</x:v>
      </x:c>
      <x:c r="O1373" s="18" t="str">
        <x:v>006103</x:v>
      </x:c>
      <x:c r="P1373" s="18" t="str">
        <x:v>京都線</x:v>
      </x:c>
      <x:c r="Q1373" s="19" t="str">
        <x:v>S12_061_GE_10000</x:v>
      </x:c>
      <x:c r="R1373" s="19" t="str">
        <x:v>S12_061 usage threshold</x:v>
      </x:c>
      <x:c r="S1373" s="19" t="str">
        <x:v>https://nlftp.mlit.go.jp/ksj/gml/datalist/KsjTmplt-S12-2024.html</x:v>
      </x:c>
      <x:c r="T1373" s="19" t="str">
        <x:v>https://nlftp.mlit.go.jp/ksj/gml/datalist/KsjTmplt-S12-2024.html</x:v>
      </x:c>
      <x:c r="U1373" s="19" t="str">
        <x:v>station-component|桂|阪急電鉄|private_rail|34.9787|135.7032|</x:v>
      </x:c>
      <x:c r="V1373" s="19" t="str">
        <x:v>006103 / 006103 / 京都線
006103 / 006104 / 嵐山線</x:v>
      </x:c>
      <x:c r="W1373" s="18" t="str">
        <x:v>否</x:v>
      </x:c>
      <x:c r="X1373" s="18" t="str">
        <x:v>0785e932a32b3ec15e1a1345537ae145eafe1c07bf38d5c16c11ee2b391e7a28</x:v>
      </x:c>
      <x:c r="Y1373" s="20" t="n">
        <x:v>1</x:v>
      </x:c>
      <x:c r="Z1373" s="20" t="n">
        <x:v>1</x:v>
      </x:c>
      <x:c r="AA1373" s="19"/>
      <x:c r="AB1373" s="18"/>
      <x:c r="AC1373" s="19"/>
    </x:row>
    <x:row r="1374" ht="28" customHeight="1">
      <x:c r="A1374" s="18" t="str">
        <x:v>桂川</x:v>
      </x:c>
      <x:c r="B1374" s="18" t="str">
        <x:v>西日本旅客鉄道</x:v>
      </x:c>
      <x:c r="C1374" s="18" t="str">
        <x:v>conventional_rail</x:v>
      </x:c>
      <x:c r="D1374" s="19" t="str">
        <x:v>T2</x:v>
      </x:c>
      <x:c r="E1374" s="20" t="n">
        <x:v>31508</x:v>
      </x:c>
      <x:c r="F1374" s="18" t="str">
        <x:v>persons/day</x:v>
      </x:c>
      <x:c r="G1374" s="18" t="str">
        <x:v>FY2024</x:v>
      </x:c>
      <x:c r="H1374" s="18" t="str">
        <x:v>否</x:v>
      </x:c>
      <x:c r="I1374" s="19" t="str">
        <x:v>DAILY_ENTRIES_EXITS</x:v>
      </x:c>
      <x:c r="J1374" s="19" t="str">
        <x:v>東海道線</x:v>
      </x:c>
      <x:c r="K1374" s="18" t="str">
        <x:v>transport-node:e240a10e-c0bf-56aa-9539-e6219079f20e</x:v>
      </x:c>
      <x:c r="L1374" s="19" t="str">
        <x:v>组件待审核</x:v>
      </x:c>
      <x:c r="M1374" s="21" t="n">
        <x:v>34.9647817</x:v>
      </x:c>
      <x:c r="N1374" s="21" t="n">
        <x:v>135.7104133</x:v>
      </x:c>
      <x:c r="O1374" s="18" t="str">
        <x:v>006152</x:v>
      </x:c>
      <x:c r="P1374" s="18" t="str">
        <x:v>東海道線</x:v>
      </x:c>
      <x:c r="Q1374" s="19" t="str">
        <x:v>S12_061_GE_10000</x:v>
      </x:c>
      <x:c r="R1374" s="19" t="str">
        <x:v>S12_061 usage threshold</x:v>
      </x:c>
      <x:c r="S1374" s="19" t="str">
        <x:v>https://nlftp.mlit.go.jp/ksj/gml/datalist/KsjTmplt-S12-2024.html</x:v>
      </x:c>
      <x:c r="T1374" s="19" t="str">
        <x:v>https://nlftp.mlit.go.jp/ksj/gml/datalist/KsjTmplt-S12-2024.html</x:v>
      </x:c>
      <x:c r="U1374" s="19" t="str">
        <x:v>station-component|桂川|西日本旅客鉄道|conventional_rail|34.9648|135.7104|</x:v>
      </x:c>
      <x:c r="V1374" s="19" t="str">
        <x:v>006152 / 006152 / 東海道線</x:v>
      </x:c>
      <x:c r="W1374" s="18" t="str">
        <x:v>否</x:v>
      </x:c>
      <x:c r="X1374" s="18" t="str">
        <x:v>0785e932a32b3ec15e1a1345537ae145eafe1c07bf38d5c16c11ee2b391e7a28</x:v>
      </x:c>
      <x:c r="Y1374" s="20" t="n">
        <x:v>1</x:v>
      </x:c>
      <x:c r="Z1374" s="20" t="n">
        <x:v>1</x:v>
      </x:c>
      <x:c r="AA1374" s="19"/>
      <x:c r="AB1374" s="18"/>
      <x:c r="AC1374" s="19"/>
    </x:row>
    <x:row r="1375" ht="28" customHeight="1">
      <x:c r="A1375" s="18" t="str">
        <x:v>桃山台</x:v>
      </x:c>
      <x:c r="B1375" s="18" t="str">
        <x:v>北大阪急行電鉄</x:v>
      </x:c>
      <x:c r="C1375" s="18" t="str">
        <x:v>private_rail</x:v>
      </x:c>
      <x:c r="D1375" s="19" t="str">
        <x:v>T2</x:v>
      </x:c>
      <x:c r="E1375" s="20" t="n">
        <x:v>36050</x:v>
      </x:c>
      <x:c r="F1375" s="18" t="str">
        <x:v>persons/day</x:v>
      </x:c>
      <x:c r="G1375" s="18" t="str">
        <x:v>FY2024</x:v>
      </x:c>
      <x:c r="H1375" s="18" t="str">
        <x:v>否</x:v>
      </x:c>
      <x:c r="I1375" s="19" t="str">
        <x:v>DAILY_ENTRIES_EXITS</x:v>
      </x:c>
      <x:c r="J1375" s="19" t="str">
        <x:v>南北線</x:v>
      </x:c>
      <x:c r="K1375" s="18" t="str">
        <x:v>transport-node:caca9a3a-e798-50e3-805b-81ae2407a12e</x:v>
      </x:c>
      <x:c r="L1375" s="19" t="str">
        <x:v>组件待审核</x:v>
      </x:c>
      <x:c r="M1375" s="21" t="n">
        <x:v>34.79329</x:v>
      </x:c>
      <x:c r="N1375" s="21" t="n">
        <x:v>135.49719</x:v>
      </x:c>
      <x:c r="O1375" s="18" t="str">
        <x:v>006664</x:v>
      </x:c>
      <x:c r="P1375" s="18" t="str">
        <x:v>南北線</x:v>
      </x:c>
      <x:c r="Q1375" s="19" t="str">
        <x:v>S12_061_GE_10000</x:v>
      </x:c>
      <x:c r="R1375" s="19" t="str">
        <x:v>S12_061 usage threshold</x:v>
      </x:c>
      <x:c r="S1375" s="19" t="str">
        <x:v>https://nlftp.mlit.go.jp/ksj/gml/datalist/KsjTmplt-S12-2024.html</x:v>
      </x:c>
      <x:c r="T1375" s="19" t="str">
        <x:v>https://nlftp.mlit.go.jp/ksj/gml/datalist/KsjTmplt-S12-2024.html</x:v>
      </x:c>
      <x:c r="U1375" s="19" t="str">
        <x:v>station-component|桃山台|北大阪急行電鉄|private_rail|34.7933|135.4972|</x:v>
      </x:c>
      <x:c r="V1375" s="19" t="str">
        <x:v>006664 / 006664 / 南北線</x:v>
      </x:c>
      <x:c r="W1375" s="18" t="str">
        <x:v>否</x:v>
      </x:c>
      <x:c r="X1375" s="18" t="str">
        <x:v>0785e932a32b3ec15e1a1345537ae145eafe1c07bf38d5c16c11ee2b391e7a28</x:v>
      </x:c>
      <x:c r="Y1375" s="20" t="n">
        <x:v>1</x:v>
      </x:c>
      <x:c r="Z1375" s="20" t="n">
        <x:v>1</x:v>
      </x:c>
      <x:c r="AA1375" s="19"/>
      <x:c r="AB1375" s="18"/>
      <x:c r="AC1375" s="19"/>
    </x:row>
    <x:row r="1376" ht="28" customHeight="1">
      <x:c r="A1376" s="18" t="str">
        <x:v>桃山御陵前</x:v>
      </x:c>
      <x:c r="B1376" s="18" t="str">
        <x:v>近畿日本鉄道</x:v>
      </x:c>
      <x:c r="C1376" s="18" t="str">
        <x:v>private_rail</x:v>
      </x:c>
      <x:c r="D1376" s="19" t="str">
        <x:v>T2</x:v>
      </x:c>
      <x:c r="E1376" s="20" t="n">
        <x:v>14197</x:v>
      </x:c>
      <x:c r="F1376" s="18" t="str">
        <x:v>persons/day</x:v>
      </x:c>
      <x:c r="G1376" s="18" t="str">
        <x:v>FY2024</x:v>
      </x:c>
      <x:c r="H1376" s="18" t="str">
        <x:v>否</x:v>
      </x:c>
      <x:c r="I1376" s="19" t="str">
        <x:v>DAILY_ENTRIES_EXITS</x:v>
      </x:c>
      <x:c r="J1376" s="19" t="str">
        <x:v>京都線</x:v>
      </x:c>
      <x:c r="K1376" s="18" t="str">
        <x:v>transport-node:1c9c46ca-e06f-5091-b64b-b64b01184bbc</x:v>
      </x:c>
      <x:c r="L1376" s="19" t="str">
        <x:v>组件待审核</x:v>
      </x:c>
      <x:c r="M1376" s="21" t="n">
        <x:v>34.93333</x:v>
      </x:c>
      <x:c r="N1376" s="21" t="n">
        <x:v>135.76555</x:v>
      </x:c>
      <x:c r="O1376" s="18" t="str">
        <x:v>006225</x:v>
      </x:c>
      <x:c r="P1376" s="18" t="str">
        <x:v>京都線</x:v>
      </x:c>
      <x:c r="Q1376" s="19" t="str">
        <x:v>S12_061_GE_10000</x:v>
      </x:c>
      <x:c r="R1376" s="19" t="str">
        <x:v>S12_061 usage threshold</x:v>
      </x:c>
      <x:c r="S1376" s="19" t="str">
        <x:v>https://nlftp.mlit.go.jp/ksj/gml/datalist/KsjTmplt-S12-2024.html</x:v>
      </x:c>
      <x:c r="T1376" s="19" t="str">
        <x:v>https://nlftp.mlit.go.jp/ksj/gml/datalist/KsjTmplt-S12-2024.html</x:v>
      </x:c>
      <x:c r="U1376" s="19" t="str">
        <x:v>station-component|桃山御陵前|近畿日本鉄道|private_rail|34.9333|135.7655|</x:v>
      </x:c>
      <x:c r="V1376" s="19" t="str">
        <x:v>006225 / 006225 / 京都線</x:v>
      </x:c>
      <x:c r="W1376" s="18" t="str">
        <x:v>否</x:v>
      </x:c>
      <x:c r="X1376" s="18" t="str">
        <x:v>0785e932a32b3ec15e1a1345537ae145eafe1c07bf38d5c16c11ee2b391e7a28</x:v>
      </x:c>
      <x:c r="Y1376" s="20" t="n">
        <x:v>1</x:v>
      </x:c>
      <x:c r="Z1376" s="20" t="n">
        <x:v>1</x:v>
      </x:c>
      <x:c r="AA1376" s="19"/>
      <x:c r="AB1376" s="18"/>
      <x:c r="AC1376" s="19"/>
    </x:row>
    <x:row r="1377" ht="28" customHeight="1">
      <x:c r="A1377" s="18" t="str">
        <x:v>桃谷</x:v>
      </x:c>
      <x:c r="B1377" s="18" t="str">
        <x:v>西日本旅客鉄道</x:v>
      </x:c>
      <x:c r="C1377" s="18" t="str">
        <x:v>conventional_rail</x:v>
      </x:c>
      <x:c r="D1377" s="19" t="str">
        <x:v>T2</x:v>
      </x:c>
      <x:c r="E1377" s="20" t="n">
        <x:v>35062</x:v>
      </x:c>
      <x:c r="F1377" s="18" t="str">
        <x:v>persons/day</x:v>
      </x:c>
      <x:c r="G1377" s="18" t="str">
        <x:v>FY2024</x:v>
      </x:c>
      <x:c r="H1377" s="18" t="str">
        <x:v>否</x:v>
      </x:c>
      <x:c r="I1377" s="19" t="str">
        <x:v>DAILY_ENTRIES_EXITS</x:v>
      </x:c>
      <x:c r="J1377" s="19" t="str">
        <x:v>大阪環状線</x:v>
      </x:c>
      <x:c r="K1377" s="18" t="str">
        <x:v>transport-node:4e977bc6-ee3b-5072-901a-f06d6b1e7e9e</x:v>
      </x:c>
      <x:c r="L1377" s="19" t="str">
        <x:v>组件待审核</x:v>
      </x:c>
      <x:c r="M1377" s="21" t="n">
        <x:v>34.65853</x:v>
      </x:c>
      <x:c r="N1377" s="21" t="n">
        <x:v>135.528</x:v>
      </x:c>
      <x:c r="O1377" s="18" t="str">
        <x:v>007380</x:v>
      </x:c>
      <x:c r="P1377" s="18" t="str">
        <x:v>大阪環状線</x:v>
      </x:c>
      <x:c r="Q1377" s="19" t="str">
        <x:v>S12_061_GE_10000</x:v>
      </x:c>
      <x:c r="R1377" s="19" t="str">
        <x:v>S12_061 usage threshold</x:v>
      </x:c>
      <x:c r="S1377" s="19" t="str">
        <x:v>https://nlftp.mlit.go.jp/ksj/gml/datalist/KsjTmplt-S12-2024.html</x:v>
      </x:c>
      <x:c r="T1377" s="19" t="str">
        <x:v>https://nlftp.mlit.go.jp/ksj/gml/datalist/KsjTmplt-S12-2024.html</x:v>
      </x:c>
      <x:c r="U1377" s="19" t="str">
        <x:v>station-component|桃谷|西日本旅客鉄道|conventional_rail|34.6585|135.5280|</x:v>
      </x:c>
      <x:c r="V1377" s="19" t="str">
        <x:v>007380 / 007380 / 大阪環状線</x:v>
      </x:c>
      <x:c r="W1377" s="18" t="str">
        <x:v>否</x:v>
      </x:c>
      <x:c r="X1377" s="18" t="str">
        <x:v>0785e932a32b3ec15e1a1345537ae145eafe1c07bf38d5c16c11ee2b391e7a28</x:v>
      </x:c>
      <x:c r="Y1377" s="20" t="n">
        <x:v>1</x:v>
      </x:c>
      <x:c r="Z1377" s="20" t="n">
        <x:v>1</x:v>
      </x:c>
      <x:c r="AA1377" s="19"/>
      <x:c r="AB1377" s="18"/>
      <x:c r="AC1377" s="19"/>
    </x:row>
    <x:row r="1378" ht="33" customHeight="1">
      <x:c r="A1378" s="18" t="str">
        <x:v>桑名</x:v>
      </x:c>
      <x:c r="B1378" s="18" t="str">
        <x:v>東海旅客鉄道</x:v>
      </x:c>
      <x:c r="C1378" s="18" t="str">
        <x:v>conventional_rail</x:v>
      </x:c>
      <x:c r="D1378" s="19" t="str">
        <x:v>T2</x:v>
      </x:c>
      <x:c r="E1378" s="20" t="n">
        <x:v>10070</x:v>
      </x:c>
      <x:c r="F1378" s="18" t="str">
        <x:v>persons/day</x:v>
      </x:c>
      <x:c r="G1378" s="18" t="str">
        <x:v>FY2024</x:v>
      </x:c>
      <x:c r="H1378" s="18" t="str">
        <x:v>否</x:v>
      </x:c>
      <x:c r="I1378" s="19" t="str">
        <x:v>DAILY_ENTRIES_EXITS</x:v>
      </x:c>
      <x:c r="J1378" s="19" t="str">
        <x:v>関西線</x:v>
      </x:c>
      <x:c r="K1378" s="18" t="str">
        <x:v>transport-node:5fa2f0f8-5753-5ff0-8b58-f8fc98b5615d</x:v>
      </x:c>
      <x:c r="L1378" s="19" t="str">
        <x:v>组件待审核</x:v>
      </x:c>
      <x:c r="M1378" s="21" t="n">
        <x:v>35.06667</x:v>
      </x:c>
      <x:c r="N1378" s="21" t="n">
        <x:v>136.68374</x:v>
      </x:c>
      <x:c r="O1378" s="18" t="str">
        <x:v>005779</x:v>
      </x:c>
      <x:c r="P1378" s="18" t="str">
        <x:v>関西線</x:v>
      </x:c>
      <x:c r="Q1378" s="19" t="str">
        <x:v>S12_061_GE_10000
OFFICIAL_HUB_COMPONENT_REVIEW</x:v>
      </x:c>
      <x:c r="R1378" s="19" t="str">
        <x:v>S12_061 usage threshold</x:v>
      </x:c>
      <x:c r="S1378" s="19" t="str">
        <x:v>https://nlftp.mlit.go.jp/ksj/gml/datalist/KsjTmplt-S12-2024.html</x:v>
      </x:c>
      <x:c r="T1378" s="19" t="str">
        <x:v>https://nlftp.mlit.go.jp/ksj/gml/datalist/KsjTmplt-S12-2024.html
https://www.kintetsu.co.jp/station/</x:v>
      </x:c>
      <x:c r="U1378" s="19" t="str">
        <x:v>station-component|桑名|東海旅客鉄道|conventional_rail|35.0667|136.6837|</x:v>
      </x:c>
      <x:c r="V1378" s="19" t="str">
        <x:v>005776 / 005779 / 関西線</x:v>
      </x:c>
      <x:c r="W1378" s="18" t="str">
        <x:v>否</x:v>
      </x:c>
      <x:c r="X1378" s="18" t="str">
        <x:v>0785e932a32b3ec15e1a1345537ae145eafe1c07bf38d5c16c11ee2b391e7a28</x:v>
      </x:c>
      <x:c r="Y1378" s="20" t="n">
        <x:v>1</x:v>
      </x:c>
      <x:c r="Z1378" s="20" t="n">
        <x:v>1</x:v>
      </x:c>
      <x:c r="AA1378" s="19" t="str">
        <x:v>桑名</x:v>
      </x:c>
      <x:c r="AB1378" s="18" t="str">
        <x:v>transport-hub-review:925281f4-8da1-5f82-817e-aa0319c08a80</x:v>
      </x:c>
      <x:c r="AC1378" s="19"/>
    </x:row>
    <x:row r="1379" ht="33" customHeight="1">
      <x:c r="A1379" s="18" t="str">
        <x:v>桑名</x:v>
      </x:c>
      <x:c r="B1379" s="18" t="str">
        <x:v>近畿日本鉄道</x:v>
      </x:c>
      <x:c r="C1379" s="18" t="str">
        <x:v>private_rail</x:v>
      </x:c>
      <x:c r="D1379" s="19" t="str">
        <x:v>T2</x:v>
      </x:c>
      <x:c r="E1379" s="20" t="n">
        <x:v>18778</x:v>
      </x:c>
      <x:c r="F1379" s="18" t="str">
        <x:v>persons/day</x:v>
      </x:c>
      <x:c r="G1379" s="18" t="str">
        <x:v>FY2024</x:v>
      </x:c>
      <x:c r="H1379" s="18" t="str">
        <x:v>否</x:v>
      </x:c>
      <x:c r="I1379" s="19" t="str">
        <x:v>DAILY_ENTRIES_EXITS</x:v>
      </x:c>
      <x:c r="J1379" s="19" t="str">
        <x:v>名古屋線</x:v>
      </x:c>
      <x:c r="K1379" s="18" t="str">
        <x:v>transport-node:37474979-6ca0-5c7d-8ed2-ad9ffdad13ba</x:v>
      </x:c>
      <x:c r="L1379" s="19" t="str">
        <x:v>组件待审核</x:v>
      </x:c>
      <x:c r="M1379" s="21" t="n">
        <x:v>35.066975</x:v>
      </x:c>
      <x:c r="N1379" s="21" t="n">
        <x:v>136.683375</x:v>
      </x:c>
      <x:c r="O1379" s="18" t="str">
        <x:v>005776</x:v>
      </x:c>
      <x:c r="P1379" s="18" t="str">
        <x:v>名古屋線</x:v>
      </x:c>
      <x:c r="Q1379" s="19" t="str">
        <x:v>S12_061_GE_10000
OFFICIAL_HUB_COMPONENT_REVIEW</x:v>
      </x:c>
      <x:c r="R1379" s="19" t="str">
        <x:v>S12_061 usage threshold</x:v>
      </x:c>
      <x:c r="S1379" s="19" t="str">
        <x:v>https://nlftp.mlit.go.jp/ksj/gml/datalist/KsjTmplt-S12-2024.html</x:v>
      </x:c>
      <x:c r="T1379" s="19" t="str">
        <x:v>https://nlftp.mlit.go.jp/ksj/gml/datalist/KsjTmplt-S12-2024.html
https://www.kintetsu.co.jp/station/</x:v>
      </x:c>
      <x:c r="U1379" s="19" t="str">
        <x:v>station-component|桑名|近畿日本鉄道|private_rail|35.0670|136.6834|</x:v>
      </x:c>
      <x:c r="V1379" s="19" t="str">
        <x:v>005776 / 005776 / 名古屋線</x:v>
      </x:c>
      <x:c r="W1379" s="18" t="str">
        <x:v>否</x:v>
      </x:c>
      <x:c r="X1379" s="18" t="str">
        <x:v>0785e932a32b3ec15e1a1345537ae145eafe1c07bf38d5c16c11ee2b391e7a28</x:v>
      </x:c>
      <x:c r="Y1379" s="20" t="n">
        <x:v>1</x:v>
      </x:c>
      <x:c r="Z1379" s="20" t="n">
        <x:v>1</x:v>
      </x:c>
      <x:c r="AA1379" s="19" t="str">
        <x:v>桑名</x:v>
      </x:c>
      <x:c r="AB1379" s="18" t="str">
        <x:v>transport-hub-review:925281f4-8da1-5f82-817e-aa0319c08a80</x:v>
      </x:c>
      <x:c r="AC1379" s="19"/>
    </x:row>
    <x:row r="1380" ht="33" customHeight="1">
      <x:c r="A1380" s="18" t="str">
        <x:v>桑名</x:v>
      </x:c>
      <x:c r="B1380" s="18" t="str">
        <x:v>養老鉄道</x:v>
      </x:c>
      <x:c r="C1380" s="18" t="str">
        <x:v>private_rail</x:v>
      </x:c>
      <x:c r="D1380" s="19" t="str">
        <x:v>T3</x:v>
      </x:c>
      <x:c r="E1380" s="20" t="n">
        <x:v>3559</x:v>
      </x:c>
      <x:c r="F1380" s="18" t="str">
        <x:v>persons/day</x:v>
      </x:c>
      <x:c r="G1380" s="18" t="str">
        <x:v>FY2024</x:v>
      </x:c>
      <x:c r="H1380" s="18" t="str">
        <x:v>否</x:v>
      </x:c>
      <x:c r="I1380" s="19" t="str">
        <x:v>DAILY_ENTRIES_EXITS</x:v>
      </x:c>
      <x:c r="J1380" s="19" t="str">
        <x:v>養老線</x:v>
      </x:c>
      <x:c r="K1380" s="18" t="str">
        <x:v>transport-node:9caf44c5-d22c-5789-9f83-ca5d99d5c2d1</x:v>
      </x:c>
      <x:c r="L1380" s="19" t="str">
        <x:v>组件待审核</x:v>
      </x:c>
      <x:c r="M1380" s="21" t="n">
        <x:v>35.066975</x:v>
      </x:c>
      <x:c r="N1380" s="21" t="n">
        <x:v>136.683375</x:v>
      </x:c>
      <x:c r="O1380" s="18" t="str">
        <x:v>005777</x:v>
      </x:c>
      <x:c r="P1380" s="18" t="str">
        <x:v>養老線</x:v>
      </x:c>
      <x:c r="Q1380" s="19" t="str">
        <x:v>OFFICIAL_HUB_COMPONENT_REVIEW</x:v>
      </x:c>
      <x:c r="R1380" s="19" t="str">
        <x:v>S12_061 usage threshold; low-flow inclusion justified by official Hub component review</x:v>
      </x:c>
      <x:c r="S1380" s="19" t="str">
        <x:v>https://nlftp.mlit.go.jp/ksj/gml/datalist/KsjTmplt-S12-2024.html</x:v>
      </x:c>
      <x:c r="T1380" s="19" t="str">
        <x:v>https://nlftp.mlit.go.jp/ksj/gml/datalist/KsjTmplt-S12-2024.html
https://www.kintetsu.co.jp/station/</x:v>
      </x:c>
      <x:c r="U1380" s="19" t="str">
        <x:v>station-component|桑名|養老鉄道|private_rail|35.0670|136.6834|</x:v>
      </x:c>
      <x:c r="V1380" s="19" t="str">
        <x:v>005776 / 005777 / 養老線</x:v>
      </x:c>
      <x:c r="W1380" s="18" t="str">
        <x:v>否</x:v>
      </x:c>
      <x:c r="X1380" s="18" t="str">
        <x:v>0785e932a32b3ec15e1a1345537ae145eafe1c07bf38d5c16c11ee2b391e7a28</x:v>
      </x:c>
      <x:c r="Y1380" s="20" t="n">
        <x:v>1</x:v>
      </x:c>
      <x:c r="Z1380" s="20" t="n">
        <x:v>1</x:v>
      </x:c>
      <x:c r="AA1380" s="19" t="str">
        <x:v>桑名</x:v>
      </x:c>
      <x:c r="AB1380" s="18" t="str">
        <x:v>transport-hub-review:925281f4-8da1-5f82-817e-aa0319c08a80</x:v>
      </x:c>
      <x:c r="AC1380" s="19"/>
    </x:row>
    <x:row r="1381" ht="33" customHeight="1">
      <x:c r="A1381" s="18" t="str">
        <x:v>桑園</x:v>
      </x:c>
      <x:c r="B1381" s="18" t="str">
        <x:v>北海道旅客鉄道</x:v>
      </x:c>
      <x:c r="C1381" s="18" t="str">
        <x:v>conventional_rail</x:v>
      </x:c>
      <x:c r="D1381" s="19" t="str">
        <x:v>T2</x:v>
      </x:c>
      <x:c r="E1381" s="20" t="n">
        <x:v>21016</x:v>
      </x:c>
      <x:c r="F1381" s="18" t="str">
        <x:v>persons/day</x:v>
      </x:c>
      <x:c r="G1381" s="18" t="str">
        <x:v>FY2024</x:v>
      </x:c>
      <x:c r="H1381" s="18" t="str">
        <x:v>否</x:v>
      </x:c>
      <x:c r="I1381" s="19" t="str">
        <x:v>DAILY_ENTRIES_EXITS</x:v>
      </x:c>
      <x:c r="J1381" s="19" t="str">
        <x:v>函館線
札沼線</x:v>
      </x:c>
      <x:c r="K1381" s="18" t="str">
        <x:v>transport-node:50bbad16-7929-5570-9788-23892c70d2c2</x:v>
      </x:c>
      <x:c r="L1381" s="19" t="str">
        <x:v>组件待审核</x:v>
      </x:c>
      <x:c r="M1381" s="21" t="n">
        <x:v>43.07076</x:v>
      </x:c>
      <x:c r="N1381" s="21" t="n">
        <x:v>141.331895</x:v>
      </x:c>
      <x:c r="O1381" s="18" t="str">
        <x:v>000224</x:v>
      </x:c>
      <x:c r="P1381" s="18" t="str">
        <x:v>函館線</x:v>
      </x:c>
      <x:c r="Q1381" s="19" t="str">
        <x:v>S12_061_GE_10000</x:v>
      </x:c>
      <x:c r="R1381" s="19" t="str">
        <x:v>S12_061 usage threshold</x:v>
      </x:c>
      <x:c r="S1381" s="19" t="str">
        <x:v>https://nlftp.mlit.go.jp/ksj/gml/datalist/KsjTmplt-S12-2024.html</x:v>
      </x:c>
      <x:c r="T1381" s="19" t="str">
        <x:v>https://nlftp.mlit.go.jp/ksj/gml/datalist/KsjTmplt-S12-2024.html</x:v>
      </x:c>
      <x:c r="U1381" s="19" t="str">
        <x:v>station-component|桑園|北海道旅客鉄道|conventional_rail|43.0708|141.3319|</x:v>
      </x:c>
      <x:c r="V1381" s="19" t="str">
        <x:v>000223 / 000223 / 札沼線
000223 / 000224 / 函館線</x:v>
      </x:c>
      <x:c r="W1381" s="18" t="str">
        <x:v>否</x:v>
      </x:c>
      <x:c r="X1381" s="18" t="str">
        <x:v>0785e932a32b3ec15e1a1345537ae145eafe1c07bf38d5c16c11ee2b391e7a28</x:v>
      </x:c>
      <x:c r="Y1381" s="20" t="n">
        <x:v>1</x:v>
      </x:c>
      <x:c r="Z1381" s="20" t="n">
        <x:v>1</x:v>
      </x:c>
      <x:c r="AA1381" s="19"/>
      <x:c r="AB1381" s="18"/>
      <x:c r="AC1381" s="19"/>
    </x:row>
    <x:row r="1382" ht="28" customHeight="1">
      <x:c r="A1382" s="18" t="str">
        <x:v>桜ノ宮</x:v>
      </x:c>
      <x:c r="B1382" s="18" t="str">
        <x:v>西日本旅客鉄道</x:v>
      </x:c>
      <x:c r="C1382" s="18" t="str">
        <x:v>conventional_rail</x:v>
      </x:c>
      <x:c r="D1382" s="19" t="str">
        <x:v>T2</x:v>
      </x:c>
      <x:c r="E1382" s="20" t="n">
        <x:v>30732</x:v>
      </x:c>
      <x:c r="F1382" s="18" t="str">
        <x:v>persons/day</x:v>
      </x:c>
      <x:c r="G1382" s="18" t="str">
        <x:v>FY2024</x:v>
      </x:c>
      <x:c r="H1382" s="18" t="str">
        <x:v>否</x:v>
      </x:c>
      <x:c r="I1382" s="19" t="str">
        <x:v>DAILY_ENTRIES_EXITS</x:v>
      </x:c>
      <x:c r="J1382" s="19" t="str">
        <x:v>大阪環状線</x:v>
      </x:c>
      <x:c r="K1382" s="18" t="str">
        <x:v>transport-node:5ee56b81-24db-5777-af0b-598dcb6c3aec</x:v>
      </x:c>
      <x:c r="L1382" s="19" t="str">
        <x:v>组件待审核</x:v>
      </x:c>
      <x:c r="M1382" s="21" t="n">
        <x:v>34.70505</x:v>
      </x:c>
      <x:c r="N1382" s="21" t="n">
        <x:v>135.521026</x:v>
      </x:c>
      <x:c r="O1382" s="18" t="str">
        <x:v>007050</x:v>
      </x:c>
      <x:c r="P1382" s="18" t="str">
        <x:v>大阪環状線</x:v>
      </x:c>
      <x:c r="Q1382" s="19" t="str">
        <x:v>S12_061_GE_10000</x:v>
      </x:c>
      <x:c r="R1382" s="19" t="str">
        <x:v>S12_061 usage threshold</x:v>
      </x:c>
      <x:c r="S1382" s="19" t="str">
        <x:v>https://nlftp.mlit.go.jp/ksj/gml/datalist/KsjTmplt-S12-2024.html</x:v>
      </x:c>
      <x:c r="T1382" s="19" t="str">
        <x:v>https://nlftp.mlit.go.jp/ksj/gml/datalist/KsjTmplt-S12-2024.html</x:v>
      </x:c>
      <x:c r="U1382" s="19" t="str">
        <x:v>station-component|桜ノ宮|西日本旅客鉄道|conventional_rail|34.7050|135.5210|</x:v>
      </x:c>
      <x:c r="V1382" s="19" t="str">
        <x:v>007050 / 007050 / 大阪環状線</x:v>
      </x:c>
      <x:c r="W1382" s="18" t="str">
        <x:v>否</x:v>
      </x:c>
      <x:c r="X1382" s="18" t="str">
        <x:v>0785e932a32b3ec15e1a1345537ae145eafe1c07bf38d5c16c11ee2b391e7a28</x:v>
      </x:c>
      <x:c r="Y1382" s="20" t="n">
        <x:v>1</x:v>
      </x:c>
      <x:c r="Z1382" s="20" t="n">
        <x:v>1</x:v>
      </x:c>
      <x:c r="AA1382" s="19"/>
      <x:c r="AB1382" s="18"/>
      <x:c r="AC1382" s="19"/>
    </x:row>
    <x:row r="1383" ht="28" customHeight="1">
      <x:c r="A1383" s="18" t="str">
        <x:v>桜ヶ丘</x:v>
      </x:c>
      <x:c r="B1383" s="18" t="str">
        <x:v>小田急電鉄</x:v>
      </x:c>
      <x:c r="C1383" s="18" t="str">
        <x:v>private_rail</x:v>
      </x:c>
      <x:c r="D1383" s="19" t="str">
        <x:v>T2</x:v>
      </x:c>
      <x:c r="E1383" s="20" t="n">
        <x:v>18849</x:v>
      </x:c>
      <x:c r="F1383" s="18" t="str">
        <x:v>persons/day</x:v>
      </x:c>
      <x:c r="G1383" s="18" t="str">
        <x:v>FY2024</x:v>
      </x:c>
      <x:c r="H1383" s="18" t="str">
        <x:v>否</x:v>
      </x:c>
      <x:c r="I1383" s="19" t="str">
        <x:v>DAILY_ENTRIES_EXITS</x:v>
      </x:c>
      <x:c r="J1383" s="19" t="str">
        <x:v>江ノ島線</x:v>
      </x:c>
      <x:c r="K1383" s="18" t="str">
        <x:v>transport-node:baaac7cc-2137-555f-9da5-4dec75150311</x:v>
      </x:c>
      <x:c r="L1383" s="19" t="str">
        <x:v>组件待审核</x:v>
      </x:c>
      <x:c r="M1383" s="21" t="n">
        <x:v>35.45053</x:v>
      </x:c>
      <x:c r="N1383" s="21" t="n">
        <x:v>139.46574</x:v>
      </x:c>
      <x:c r="O1383" s="18" t="str">
        <x:v>004676</x:v>
      </x:c>
      <x:c r="P1383" s="18" t="str">
        <x:v>江ノ島線</x:v>
      </x:c>
      <x:c r="Q1383" s="19" t="str">
        <x:v>S12_061_GE_10000</x:v>
      </x:c>
      <x:c r="R1383" s="19" t="str">
        <x:v>S12_061 usage threshold</x:v>
      </x:c>
      <x:c r="S1383" s="19" t="str">
        <x:v>https://nlftp.mlit.go.jp/ksj/gml/datalist/KsjTmplt-S12-2024.html</x:v>
      </x:c>
      <x:c r="T1383" s="19" t="str">
        <x:v>https://nlftp.mlit.go.jp/ksj/gml/datalist/KsjTmplt-S12-2024.html</x:v>
      </x:c>
      <x:c r="U1383" s="19" t="str">
        <x:v>station-component|桜ヶ丘|小田急電鉄|private_rail|35.4505|139.4657|</x:v>
      </x:c>
      <x:c r="V1383" s="19" t="str">
        <x:v>004676 / 004676 / 江ノ島線</x:v>
      </x:c>
      <x:c r="W1383" s="18" t="str">
        <x:v>否</x:v>
      </x:c>
      <x:c r="X1383" s="18" t="str">
        <x:v>0785e932a32b3ec15e1a1345537ae145eafe1c07bf38d5c16c11ee2b391e7a28</x:v>
      </x:c>
      <x:c r="Y1383" s="20" t="n">
        <x:v>1</x:v>
      </x:c>
      <x:c r="Z1383" s="20" t="n">
        <x:v>1</x:v>
      </x:c>
      <x:c r="AA1383" s="19"/>
      <x:c r="AB1383" s="18"/>
      <x:c r="AC1383" s="19"/>
    </x:row>
    <x:row r="1384" ht="28" customHeight="1">
      <x:c r="A1384" s="18" t="str">
        <x:v>桜上水</x:v>
      </x:c>
      <x:c r="B1384" s="18" t="str">
        <x:v>京王電鉄</x:v>
      </x:c>
      <x:c r="C1384" s="18" t="str">
        <x:v>private_rail</x:v>
      </x:c>
      <x:c r="D1384" s="19" t="str">
        <x:v>T2</x:v>
      </x:c>
      <x:c r="E1384" s="20" t="n">
        <x:v>36224</x:v>
      </x:c>
      <x:c r="F1384" s="18" t="str">
        <x:v>persons/day</x:v>
      </x:c>
      <x:c r="G1384" s="18" t="str">
        <x:v>FY2024</x:v>
      </x:c>
      <x:c r="H1384" s="18" t="str">
        <x:v>否</x:v>
      </x:c>
      <x:c r="I1384" s="19" t="str">
        <x:v>DAILY_ENTRIES_EXITS</x:v>
      </x:c>
      <x:c r="J1384" s="19" t="str">
        <x:v>京王線</x:v>
      </x:c>
      <x:c r="K1384" s="18" t="str">
        <x:v>transport-node:4da7c470-62b6-55ea-aa68-9578168d0306</x:v>
      </x:c>
      <x:c r="L1384" s="19" t="str">
        <x:v>组件待审核</x:v>
      </x:c>
      <x:c r="M1384" s="21" t="n">
        <x:v>35.66764</x:v>
      </x:c>
      <x:c r="N1384" s="21" t="n">
        <x:v>139.631465</x:v>
      </x:c>
      <x:c r="O1384" s="18" t="str">
        <x:v>003862</x:v>
      </x:c>
      <x:c r="P1384" s="18" t="str">
        <x:v>京王線</x:v>
      </x:c>
      <x:c r="Q1384" s="19" t="str">
        <x:v>S12_061_GE_10000</x:v>
      </x:c>
      <x:c r="R1384" s="19" t="str">
        <x:v>S12_061 usage threshold</x:v>
      </x:c>
      <x:c r="S1384" s="19" t="str">
        <x:v>https://nlftp.mlit.go.jp/ksj/gml/datalist/KsjTmplt-S12-2024.html</x:v>
      </x:c>
      <x:c r="T1384" s="19" t="str">
        <x:v>https://nlftp.mlit.go.jp/ksj/gml/datalist/KsjTmplt-S12-2024.html</x:v>
      </x:c>
      <x:c r="U1384" s="19" t="str">
        <x:v>station-component|桜上水|京王電鉄|private_rail|35.6676|139.6315|</x:v>
      </x:c>
      <x:c r="V1384" s="19" t="str">
        <x:v>003862 / 003862 / 京王線</x:v>
      </x:c>
      <x:c r="W1384" s="18" t="str">
        <x:v>否</x:v>
      </x:c>
      <x:c r="X1384" s="18" t="str">
        <x:v>0785e932a32b3ec15e1a1345537ae145eafe1c07bf38d5c16c11ee2b391e7a28</x:v>
      </x:c>
      <x:c r="Y1384" s="20" t="n">
        <x:v>1</x:v>
      </x:c>
      <x:c r="Z1384" s="20" t="n">
        <x:v>1</x:v>
      </x:c>
      <x:c r="AA1384" s="19"/>
      <x:c r="AB1384" s="18"/>
      <x:c r="AC1384" s="19"/>
    </x:row>
    <x:row r="1385" ht="28" customHeight="1">
      <x:c r="A1385" s="18" t="str">
        <x:v>桜井</x:v>
      </x:c>
      <x:c r="B1385" s="18" t="str">
        <x:v>近畿日本鉄道</x:v>
      </x:c>
      <x:c r="C1385" s="18" t="str">
        <x:v>private_rail</x:v>
      </x:c>
      <x:c r="D1385" s="19" t="str">
        <x:v>T2</x:v>
      </x:c>
      <x:c r="E1385" s="20" t="n">
        <x:v>13846</x:v>
      </x:c>
      <x:c r="F1385" s="18" t="str">
        <x:v>persons/day</x:v>
      </x:c>
      <x:c r="G1385" s="18" t="str">
        <x:v>FY2024</x:v>
      </x:c>
      <x:c r="H1385" s="18" t="str">
        <x:v>否</x:v>
      </x:c>
      <x:c r="I1385" s="19" t="str">
        <x:v>DAILY_ENTRIES_EXITS</x:v>
      </x:c>
      <x:c r="J1385" s="19" t="str">
        <x:v>大阪線</x:v>
      </x:c>
      <x:c r="K1385" s="18" t="str">
        <x:v>transport-node:de408fd0-7010-5f18-8bb6-4172a0e97ac8</x:v>
      </x:c>
      <x:c r="L1385" s="19" t="str">
        <x:v>组件待审核</x:v>
      </x:c>
      <x:c r="M1385" s="21" t="n">
        <x:v>34.513315</x:v>
      </x:c>
      <x:c r="N1385" s="21" t="n">
        <x:v>135.845955</x:v>
      </x:c>
      <x:c r="O1385" s="18" t="str">
        <x:v>007810</x:v>
      </x:c>
      <x:c r="P1385" s="18" t="str">
        <x:v>大阪線</x:v>
      </x:c>
      <x:c r="Q1385" s="19" t="str">
        <x:v>S12_061_GE_10000</x:v>
      </x:c>
      <x:c r="R1385" s="19" t="str">
        <x:v>S12_061 usage threshold</x:v>
      </x:c>
      <x:c r="S1385" s="19" t="str">
        <x:v>https://nlftp.mlit.go.jp/ksj/gml/datalist/KsjTmplt-S12-2024.html</x:v>
      </x:c>
      <x:c r="T1385" s="19" t="str">
        <x:v>https://nlftp.mlit.go.jp/ksj/gml/datalist/KsjTmplt-S12-2024.html</x:v>
      </x:c>
      <x:c r="U1385" s="19" t="str">
        <x:v>station-component|桜井|近畿日本鉄道|private_rail|34.5133|135.8460|</x:v>
      </x:c>
      <x:c r="V1385" s="19" t="str">
        <x:v>007810 / 007810 / 大阪線</x:v>
      </x:c>
      <x:c r="W1385" s="18" t="str">
        <x:v>否</x:v>
      </x:c>
      <x:c r="X1385" s="18" t="str">
        <x:v>0785e932a32b3ec15e1a1345537ae145eafe1c07bf38d5c16c11ee2b391e7a28</x:v>
      </x:c>
      <x:c r="Y1385" s="20" t="n">
        <x:v>1</x:v>
      </x:c>
      <x:c r="Z1385" s="20" t="n">
        <x:v>1</x:v>
      </x:c>
      <x:c r="AA1385" s="19"/>
      <x:c r="AB1385" s="18"/>
      <x:c r="AC1385" s="19"/>
    </x:row>
    <x:row r="1386" ht="28" customHeight="1">
      <x:c r="A1386" s="18" t="str">
        <x:v>桜台</x:v>
      </x:c>
      <x:c r="B1386" s="18" t="str">
        <x:v>西武鉄道</x:v>
      </x:c>
      <x:c r="C1386" s="18" t="str">
        <x:v>private_rail</x:v>
      </x:c>
      <x:c r="D1386" s="19" t="str">
        <x:v>T2</x:v>
      </x:c>
      <x:c r="E1386" s="20" t="n">
        <x:v>15032</x:v>
      </x:c>
      <x:c r="F1386" s="18" t="str">
        <x:v>persons/day</x:v>
      </x:c>
      <x:c r="G1386" s="18" t="str">
        <x:v>FY2024</x:v>
      </x:c>
      <x:c r="H1386" s="18" t="str">
        <x:v>否</x:v>
      </x:c>
      <x:c r="I1386" s="19" t="str">
        <x:v>DAILY_ENTRIES_EXITS</x:v>
      </x:c>
      <x:c r="J1386" s="19" t="str">
        <x:v>池袋線</x:v>
      </x:c>
      <x:c r="K1386" s="18" t="str">
        <x:v>transport-node:969b299a-6cdb-50d8-b85f-9a1b224a9ce7</x:v>
      </x:c>
      <x:c r="L1386" s="19" t="str">
        <x:v>组件待审核</x:v>
      </x:c>
      <x:c r="M1386" s="21" t="n">
        <x:v>35.738745</x:v>
      </x:c>
      <x:c r="N1386" s="21" t="n">
        <x:v>139.6624</x:v>
      </x:c>
      <x:c r="O1386" s="18" t="str">
        <x:v>003321</x:v>
      </x:c>
      <x:c r="P1386" s="18" t="str">
        <x:v>池袋線</x:v>
      </x:c>
      <x:c r="Q1386" s="19" t="str">
        <x:v>S12_061_GE_10000</x:v>
      </x:c>
      <x:c r="R1386" s="19" t="str">
        <x:v>S12_061 usage threshold</x:v>
      </x:c>
      <x:c r="S1386" s="19" t="str">
        <x:v>https://nlftp.mlit.go.jp/ksj/gml/datalist/KsjTmplt-S12-2024.html</x:v>
      </x:c>
      <x:c r="T1386" s="19" t="str">
        <x:v>https://nlftp.mlit.go.jp/ksj/gml/datalist/KsjTmplt-S12-2024.html</x:v>
      </x:c>
      <x:c r="U1386" s="19" t="str">
        <x:v>station-component|桜台|西武鉄道|private_rail|35.7387|139.6624|</x:v>
      </x:c>
      <x:c r="V1386" s="19" t="str">
        <x:v>003321 / 003321 / 池袋線</x:v>
      </x:c>
      <x:c r="W1386" s="18" t="str">
        <x:v>否</x:v>
      </x:c>
      <x:c r="X1386" s="18" t="str">
        <x:v>0785e932a32b3ec15e1a1345537ae145eafe1c07bf38d5c16c11ee2b391e7a28</x:v>
      </x:c>
      <x:c r="Y1386" s="20" t="n">
        <x:v>1</x:v>
      </x:c>
      <x:c r="Z1386" s="20" t="n">
        <x:v>1</x:v>
      </x:c>
      <x:c r="AA1386" s="19"/>
      <x:c r="AB1386" s="18"/>
      <x:c r="AC1386" s="19"/>
    </x:row>
    <x:row r="1387" ht="28" customHeight="1">
      <x:c r="A1387" s="18" t="str">
        <x:v>桜山</x:v>
      </x:c>
      <x:c r="B1387" s="18" t="str">
        <x:v>名古屋市</x:v>
      </x:c>
      <x:c r="C1387" s="18" t="str">
        <x:v>metro</x:v>
      </x:c>
      <x:c r="D1387" s="19" t="str">
        <x:v>T2</x:v>
      </x:c>
      <x:c r="E1387" s="20" t="n">
        <x:v>24472</x:v>
      </x:c>
      <x:c r="F1387" s="18" t="str">
        <x:v>persons/day</x:v>
      </x:c>
      <x:c r="G1387" s="18" t="str">
        <x:v>FY2024</x:v>
      </x:c>
      <x:c r="H1387" s="18" t="str">
        <x:v>否</x:v>
      </x:c>
      <x:c r="I1387" s="19" t="str">
        <x:v>DAILY_ENTRIES_EXITS</x:v>
      </x:c>
      <x:c r="J1387" s="19" t="str">
        <x:v>6号線桜通線</x:v>
      </x:c>
      <x:c r="K1387" s="18" t="str">
        <x:v>transport-node:3027d16d-35b7-56ec-ad1c-6c018faed108</x:v>
      </x:c>
      <x:c r="L1387" s="19" t="str">
        <x:v>组件待审核</x:v>
      </x:c>
      <x:c r="M1387" s="21" t="n">
        <x:v>35.1400367</x:v>
      </x:c>
      <x:c r="N1387" s="21" t="n">
        <x:v>136.9333133</x:v>
      </x:c>
      <x:c r="O1387" s="18" t="str">
        <x:v>005563</x:v>
      </x:c>
      <x:c r="P1387" s="18" t="str">
        <x:v>6号線桜通線</x:v>
      </x:c>
      <x:c r="Q1387" s="19" t="str">
        <x:v>S12_061_GE_10000</x:v>
      </x:c>
      <x:c r="R1387" s="19" t="str">
        <x:v>S12_061 usage threshold</x:v>
      </x:c>
      <x:c r="S1387" s="19" t="str">
        <x:v>https://nlftp.mlit.go.jp/ksj/gml/datalist/KsjTmplt-S12-2024.html</x:v>
      </x:c>
      <x:c r="T1387" s="19" t="str">
        <x:v>https://nlftp.mlit.go.jp/ksj/gml/datalist/KsjTmplt-S12-2024.html</x:v>
      </x:c>
      <x:c r="U1387" s="19" t="str">
        <x:v>station-component|桜山|名古屋市|metro|35.1400|136.9333|</x:v>
      </x:c>
      <x:c r="V1387" s="19" t="str">
        <x:v>005563 / 005563 / 6号線桜通線</x:v>
      </x:c>
      <x:c r="W1387" s="18" t="str">
        <x:v>否</x:v>
      </x:c>
      <x:c r="X1387" s="18" t="str">
        <x:v>0785e932a32b3ec15e1a1345537ae145eafe1c07bf38d5c16c11ee2b391e7a28</x:v>
      </x:c>
      <x:c r="Y1387" s="20" t="n">
        <x:v>1</x:v>
      </x:c>
      <x:c r="Z1387" s="20" t="n">
        <x:v>1</x:v>
      </x:c>
      <x:c r="AA1387" s="19"/>
      <x:c r="AB1387" s="18"/>
      <x:c r="AC1387" s="19"/>
    </x:row>
    <x:row r="1388" ht="28" customHeight="1">
      <x:c r="A1388" s="18" t="str">
        <x:v>桜島</x:v>
      </x:c>
      <x:c r="B1388" s="18" t="str">
        <x:v>西日本旅客鉄道</x:v>
      </x:c>
      <x:c r="C1388" s="18" t="str">
        <x:v>conventional_rail</x:v>
      </x:c>
      <x:c r="D1388" s="19" t="str">
        <x:v>T2</x:v>
      </x:c>
      <x:c r="E1388" s="20" t="n">
        <x:v>32292</x:v>
      </x:c>
      <x:c r="F1388" s="18" t="str">
        <x:v>persons/day</x:v>
      </x:c>
      <x:c r="G1388" s="18" t="str">
        <x:v>FY2024</x:v>
      </x:c>
      <x:c r="H1388" s="18" t="str">
        <x:v>否</x:v>
      </x:c>
      <x:c r="I1388" s="19" t="str">
        <x:v>DAILY_ENTRIES_EXITS</x:v>
      </x:c>
      <x:c r="J1388" s="19" t="str">
        <x:v>桜島線</x:v>
      </x:c>
      <x:c r="K1388" s="18" t="str">
        <x:v>transport-node:f68e54ad-98e6-5f66-affd-301a60e551f1</x:v>
      </x:c>
      <x:c r="L1388" s="19" t="str">
        <x:v>组件待审核</x:v>
      </x:c>
      <x:c r="M1388" s="21" t="n">
        <x:v>34.6621433</x:v>
      </x:c>
      <x:c r="N1388" s="21" t="n">
        <x:v>135.43238</x:v>
      </x:c>
      <x:c r="O1388" s="18" t="str">
        <x:v>007364</x:v>
      </x:c>
      <x:c r="P1388" s="18" t="str">
        <x:v>桜島線</x:v>
      </x:c>
      <x:c r="Q1388" s="19" t="str">
        <x:v>S12_061_GE_10000</x:v>
      </x:c>
      <x:c r="R1388" s="19" t="str">
        <x:v>S12_061 usage threshold</x:v>
      </x:c>
      <x:c r="S1388" s="19" t="str">
        <x:v>https://nlftp.mlit.go.jp/ksj/gml/datalist/KsjTmplt-S12-2024.html</x:v>
      </x:c>
      <x:c r="T1388" s="19" t="str">
        <x:v>https://nlftp.mlit.go.jp/ksj/gml/datalist/KsjTmplt-S12-2024.html</x:v>
      </x:c>
      <x:c r="U1388" s="19" t="str">
        <x:v>station-component|桜島|西日本旅客鉄道|conventional_rail|34.6621|135.4324|</x:v>
      </x:c>
      <x:c r="V1388" s="19" t="str">
        <x:v>007364 / 007364 / 桜島線</x:v>
      </x:c>
      <x:c r="W1388" s="18" t="str">
        <x:v>否</x:v>
      </x:c>
      <x:c r="X1388" s="18" t="str">
        <x:v>0785e932a32b3ec15e1a1345537ae145eafe1c07bf38d5c16c11ee2b391e7a28</x:v>
      </x:c>
      <x:c r="Y1388" s="20" t="n">
        <x:v>1</x:v>
      </x:c>
      <x:c r="Z1388" s="20" t="n">
        <x:v>1</x:v>
      </x:c>
      <x:c r="AA1388" s="19"/>
      <x:c r="AB1388" s="18"/>
      <x:c r="AC1388" s="19"/>
    </x:row>
    <x:row r="1389" ht="33" customHeight="1">
      <x:c r="A1389" s="18" t="str">
        <x:v>桜川</x:v>
      </x:c>
      <x:c r="B1389" s="18" t="str">
        <x:v>大阪市高速電気軌道</x:v>
      </x:c>
      <x:c r="C1389" s="18" t="str">
        <x:v>metro</x:v>
      </x:c>
      <x:c r="D1389" s="19" t="str">
        <x:v>T2</x:v>
      </x:c>
      <x:c r="E1389" s="20" t="n">
        <x:v>18001</x:v>
      </x:c>
      <x:c r="F1389" s="18" t="str">
        <x:v>persons/day</x:v>
      </x:c>
      <x:c r="G1389" s="18" t="str">
        <x:v>FY2024</x:v>
      </x:c>
      <x:c r="H1389" s="18" t="str">
        <x:v>否</x:v>
      </x:c>
      <x:c r="I1389" s="19" t="str">
        <x:v>DAILY_ENTRIES_EXITS</x:v>
      </x:c>
      <x:c r="J1389" s="19" t="str">
        <x:v>5号線(千日前線)</x:v>
      </x:c>
      <x:c r="K1389" s="18" t="str">
        <x:v>transport-node:00dbf14e-1c55-5811-aa35-446e432a11d4</x:v>
      </x:c>
      <x:c r="L1389" s="19" t="str">
        <x:v>组件待审核</x:v>
      </x:c>
      <x:c r="M1389" s="21" t="n">
        <x:v>34.6683</x:v>
      </x:c>
      <x:c r="N1389" s="21" t="n">
        <x:v>135.4903</x:v>
      </x:c>
      <x:c r="O1389" s="18" t="str">
        <x:v>007296</x:v>
      </x:c>
      <x:c r="P1389" s="18" t="str">
        <x:v>5号線(千日前線)</x:v>
      </x:c>
      <x:c r="Q1389" s="19" t="str">
        <x:v>S12_061_GE_10000
OFFICIAL_HUB_COMPONENT_REVIEW</x:v>
      </x:c>
      <x:c r="R1389" s="19" t="str">
        <x:v>S12_061 usage threshold</x:v>
      </x:c>
      <x:c r="S1389" s="19" t="str">
        <x:v>https://nlftp.mlit.go.jp/ksj/gml/datalist/KsjTmplt-S12-2024.html</x:v>
      </x:c>
      <x:c r="T1389" s="19" t="str">
        <x:v>https://nlftp.mlit.go.jp/ksj/gml/datalist/KsjTmplt-S12-2024.html
https://subway.osakametro.co.jp/station_guide/S/s15/index.php</x:v>
      </x:c>
      <x:c r="U1389" s="19" t="str">
        <x:v>station-component|桜川|大阪市高速電気軌道|metro|34.6683|135.4903|</x:v>
      </x:c>
      <x:c r="V1389" s="19" t="str">
        <x:v>007296 / 007296 / 5号線(千日前線)</x:v>
      </x:c>
      <x:c r="W1389" s="18" t="str">
        <x:v>否</x:v>
      </x:c>
      <x:c r="X1389" s="18" t="str">
        <x:v>0785e932a32b3ec15e1a1345537ae145eafe1c07bf38d5c16c11ee2b391e7a28</x:v>
      </x:c>
      <x:c r="Y1389" s="20" t="n">
        <x:v>1</x:v>
      </x:c>
      <x:c r="Z1389" s="20" t="n">
        <x:v>1</x:v>
      </x:c>
      <x:c r="AA1389" s="19" t="str">
        <x:v>桜川・汐見橋</x:v>
      </x:c>
      <x:c r="AB1389" s="18" t="str">
        <x:v>transport-hub-review:6f5b664e-894b-5e33-993e-8d24c9c06d0e</x:v>
      </x:c>
      <x:c r="AC1389" s="19"/>
    </x:row>
    <x:row r="1390" ht="33" customHeight="1">
      <x:c r="A1390" s="18" t="str">
        <x:v>桜川</x:v>
      </x:c>
      <x:c r="B1390" s="18" t="str">
        <x:v>阪神電気鉄道</x:v>
      </x:c>
      <x:c r="C1390" s="18" t="str">
        <x:v>private_rail</x:v>
      </x:c>
      <x:c r="D1390" s="19" t="str">
        <x:v>T3</x:v>
      </x:c>
      <x:c r="E1390" s="20" t="n">
        <x:v>6237</x:v>
      </x:c>
      <x:c r="F1390" s="18" t="str">
        <x:v>persons/day</x:v>
      </x:c>
      <x:c r="G1390" s="18" t="str">
        <x:v>FY2024</x:v>
      </x:c>
      <x:c r="H1390" s="18" t="str">
        <x:v>否</x:v>
      </x:c>
      <x:c r="I1390" s="19" t="str">
        <x:v>DAILY_ENTRIES_EXITS</x:v>
      </x:c>
      <x:c r="J1390" s="19" t="str">
        <x:v>阪神なんば線</x:v>
      </x:c>
      <x:c r="K1390" s="18" t="str">
        <x:v>transport-node:6517b7d8-2965-50ad-85aa-c322620e140e</x:v>
      </x:c>
      <x:c r="L1390" s="19" t="str">
        <x:v>组件待审核</x:v>
      </x:c>
      <x:c r="M1390" s="21" t="n">
        <x:v>34.66841</x:v>
      </x:c>
      <x:c r="N1390" s="21" t="n">
        <x:v>135.4865025</x:v>
      </x:c>
      <x:c r="O1390" s="18" t="str">
        <x:v>007294</x:v>
      </x:c>
      <x:c r="P1390" s="18" t="str">
        <x:v>阪神なんば線</x:v>
      </x:c>
      <x:c r="Q1390" s="19" t="str">
        <x:v>OFFICIAL_HUB_COMPONENT_REVIEW</x:v>
      </x:c>
      <x:c r="R1390" s="19" t="str">
        <x:v>S12_061 usage threshold; low-flow inclusion justified by official Hub component review</x:v>
      </x:c>
      <x:c r="S1390" s="19" t="str">
        <x:v>https://nlftp.mlit.go.jp/ksj/gml/datalist/KsjTmplt-S12-2024.html</x:v>
      </x:c>
      <x:c r="T1390" s="19" t="str">
        <x:v>https://nlftp.mlit.go.jp/ksj/gml/datalist/KsjTmplt-S12-2024.html
https://subway.osakametro.co.jp/station_guide/S/s15/index.php</x:v>
      </x:c>
      <x:c r="U1390" s="19" t="str">
        <x:v>station-component|桜川|阪神電気鉄道|private_rail|34.6684|135.4865|</x:v>
      </x:c>
      <x:c r="V1390" s="19" t="str">
        <x:v>007294 / 007294 / 阪神なんば線</x:v>
      </x:c>
      <x:c r="W1390" s="18" t="str">
        <x:v>否</x:v>
      </x:c>
      <x:c r="X1390" s="18" t="str">
        <x:v>0785e932a32b3ec15e1a1345537ae145eafe1c07bf38d5c16c11ee2b391e7a28</x:v>
      </x:c>
      <x:c r="Y1390" s="20" t="n">
        <x:v>1</x:v>
      </x:c>
      <x:c r="Z1390" s="20" t="n">
        <x:v>1</x:v>
      </x:c>
      <x:c r="AA1390" s="19" t="str">
        <x:v>桜川・汐見橋</x:v>
      </x:c>
      <x:c r="AB1390" s="18" t="str">
        <x:v>transport-hub-review:6f5b664e-894b-5e33-993e-8d24c9c06d0e</x:v>
      </x:c>
      <x:c r="AC1390" s="19"/>
    </x:row>
    <x:row r="1391" ht="28" customHeight="1">
      <x:c r="A1391" s="18" t="str">
        <x:v>桜新町</x:v>
      </x:c>
      <x:c r="B1391" s="18" t="str">
        <x:v>東急電鉄</x:v>
      </x:c>
      <x:c r="C1391" s="18" t="str">
        <x:v>private_rail</x:v>
      </x:c>
      <x:c r="D1391" s="19" t="str">
        <x:v>T1</x:v>
      </x:c>
      <x:c r="E1391" s="20" t="n">
        <x:v>68296</x:v>
      </x:c>
      <x:c r="F1391" s="18" t="str">
        <x:v>persons/day</x:v>
      </x:c>
      <x:c r="G1391" s="18" t="str">
        <x:v>FY2024</x:v>
      </x:c>
      <x:c r="H1391" s="18" t="str">
        <x:v>否</x:v>
      </x:c>
      <x:c r="I1391" s="19" t="str">
        <x:v>DAILY_ENTRIES_EXITS</x:v>
      </x:c>
      <x:c r="J1391" s="19" t="str">
        <x:v>田園都市線</x:v>
      </x:c>
      <x:c r="K1391" s="18" t="str">
        <x:v>transport-node:4338a4f8-03fc-52e3-9303-4ad56f458cee</x:v>
      </x:c>
      <x:c r="L1391" s="19" t="str">
        <x:v>组件待审核</x:v>
      </x:c>
      <x:c r="M1391" s="21" t="n">
        <x:v>35.6317</x:v>
      </x:c>
      <x:c r="N1391" s="21" t="n">
        <x:v>139.6453667</x:v>
      </x:c>
      <x:c r="O1391" s="18" t="str">
        <x:v>004078</x:v>
      </x:c>
      <x:c r="P1391" s="18" t="str">
        <x:v>田園都市線</x:v>
      </x:c>
      <x:c r="Q1391" s="19" t="str">
        <x:v>S12_061_GE_10000</x:v>
      </x:c>
      <x:c r="R1391" s="19" t="str">
        <x:v>S12_061 usage threshold</x:v>
      </x:c>
      <x:c r="S1391" s="19" t="str">
        <x:v>https://nlftp.mlit.go.jp/ksj/gml/datalist/KsjTmplt-S12-2024.html</x:v>
      </x:c>
      <x:c r="T1391" s="19" t="str">
        <x:v>https://nlftp.mlit.go.jp/ksj/gml/datalist/KsjTmplt-S12-2024.html</x:v>
      </x:c>
      <x:c r="U1391" s="19" t="str">
        <x:v>station-component|桜新町|東急電鉄|private_rail|35.6317|139.6454|</x:v>
      </x:c>
      <x:c r="V1391" s="19" t="str">
        <x:v>004078 / 004078 / 田園都市線</x:v>
      </x:c>
      <x:c r="W1391" s="18" t="str">
        <x:v>否</x:v>
      </x:c>
      <x:c r="X1391" s="18" t="str">
        <x:v>0785e932a32b3ec15e1a1345537ae145eafe1c07bf38d5c16c11ee2b391e7a28</x:v>
      </x:c>
      <x:c r="Y1391" s="20" t="n">
        <x:v>1</x:v>
      </x:c>
      <x:c r="Z1391" s="20" t="n">
        <x:v>1</x:v>
      </x:c>
      <x:c r="AA1391" s="19"/>
      <x:c r="AB1391" s="18"/>
      <x:c r="AC1391" s="19"/>
    </x:row>
    <x:row r="1392" ht="28" customHeight="1">
      <x:c r="A1392" s="18" t="str">
        <x:v>桜木町</x:v>
      </x:c>
      <x:c r="B1392" s="18" t="str">
        <x:v>東日本旅客鉄道</x:v>
      </x:c>
      <x:c r="C1392" s="18" t="str">
        <x:v>conventional_rail</x:v>
      </x:c>
      <x:c r="D1392" s="19" t="str">
        <x:v>T1</x:v>
      </x:c>
      <x:c r="E1392" s="20" t="n">
        <x:v>144954</x:v>
      </x:c>
      <x:c r="F1392" s="18" t="str">
        <x:v>persons/day</x:v>
      </x:c>
      <x:c r="G1392" s="18" t="str">
        <x:v>FY2024</x:v>
      </x:c>
      <x:c r="H1392" s="18" t="str">
        <x:v>否</x:v>
      </x:c>
      <x:c r="I1392" s="19" t="str">
        <x:v>DAILY_ENTRIES_EXITS</x:v>
      </x:c>
      <x:c r="J1392" s="19" t="str">
        <x:v>根岸線</x:v>
      </x:c>
      <x:c r="K1392" s="18" t="str">
        <x:v>transport-node:c5214927-5dda-569f-95ce-a164820832e6</x:v>
      </x:c>
      <x:c r="L1392" s="19" t="str">
        <x:v>组件待审核</x:v>
      </x:c>
      <x:c r="M1392" s="21" t="n">
        <x:v>35.4511</x:v>
      </x:c>
      <x:c r="N1392" s="21" t="n">
        <x:v>139.63088</x:v>
      </x:c>
      <x:c r="O1392" s="18" t="str">
        <x:v>004675</x:v>
      </x:c>
      <x:c r="P1392" s="18" t="str">
        <x:v>根岸線</x:v>
      </x:c>
      <x:c r="Q1392" s="19" t="str">
        <x:v>S12_061_GE_10000</x:v>
      </x:c>
      <x:c r="R1392" s="19" t="str">
        <x:v>S12_061 usage threshold</x:v>
      </x:c>
      <x:c r="S1392" s="19" t="str">
        <x:v>https://nlftp.mlit.go.jp/ksj/gml/datalist/KsjTmplt-S12-2024.html</x:v>
      </x:c>
      <x:c r="T1392" s="19" t="str">
        <x:v>https://nlftp.mlit.go.jp/ksj/gml/datalist/KsjTmplt-S12-2024.html</x:v>
      </x:c>
      <x:c r="U1392" s="19" t="str">
        <x:v>station-component|桜木町|東日本旅客鉄道|conventional_rail|35.4511|139.6309|</x:v>
      </x:c>
      <x:c r="V1392" s="19" t="str">
        <x:v>004675 / 004675 / 根岸線</x:v>
      </x:c>
      <x:c r="W1392" s="18" t="str">
        <x:v>否</x:v>
      </x:c>
      <x:c r="X1392" s="18" t="str">
        <x:v>0785e932a32b3ec15e1a1345537ae145eafe1c07bf38d5c16c11ee2b391e7a28</x:v>
      </x:c>
      <x:c r="Y1392" s="20" t="n">
        <x:v>1</x:v>
      </x:c>
      <x:c r="Z1392" s="20" t="n">
        <x:v>1</x:v>
      </x:c>
      <x:c r="AA1392" s="19"/>
      <x:c r="AB1392" s="18"/>
      <x:c r="AC1392" s="19"/>
    </x:row>
    <x:row r="1393" ht="28" customHeight="1">
      <x:c r="A1393" s="18" t="str">
        <x:v>桜木町</x:v>
      </x:c>
      <x:c r="B1393" s="18" t="str">
        <x:v>横浜市</x:v>
      </x:c>
      <x:c r="C1393" s="18" t="str">
        <x:v>metro</x:v>
      </x:c>
      <x:c r="D1393" s="19" t="str">
        <x:v>T2</x:v>
      </x:c>
      <x:c r="E1393" s="20" t="n">
        <x:v>20226</x:v>
      </x:c>
      <x:c r="F1393" s="18" t="str">
        <x:v>persons/day</x:v>
      </x:c>
      <x:c r="G1393" s="18" t="str">
        <x:v>FY2024</x:v>
      </x:c>
      <x:c r="H1393" s="18" t="str">
        <x:v>否</x:v>
      </x:c>
      <x:c r="I1393" s="19" t="str">
        <x:v>DAILY_ENTRIES_EXITS</x:v>
      </x:c>
      <x:c r="J1393" s="19" t="str">
        <x:v>3号線</x:v>
      </x:c>
      <x:c r="K1393" s="18" t="str">
        <x:v>transport-node:12513e18-6335-5690-8ac0-7a53bbd4fde0</x:v>
      </x:c>
      <x:c r="L1393" s="19" t="str">
        <x:v>组件待审核</x:v>
      </x:c>
      <x:c r="M1393" s="21" t="n">
        <x:v>35.4496367</x:v>
      </x:c>
      <x:c r="N1393" s="21" t="n">
        <x:v>139.6307433</x:v>
      </x:c>
      <x:c r="O1393" s="18" t="str">
        <x:v>004682</x:v>
      </x:c>
      <x:c r="P1393" s="18" t="str">
        <x:v>3号線</x:v>
      </x:c>
      <x:c r="Q1393" s="19" t="str">
        <x:v>S12_061_GE_10000</x:v>
      </x:c>
      <x:c r="R1393" s="19" t="str">
        <x:v>S12_061 usage threshold</x:v>
      </x:c>
      <x:c r="S1393" s="19" t="str">
        <x:v>https://nlftp.mlit.go.jp/ksj/gml/datalist/KsjTmplt-S12-2024.html</x:v>
      </x:c>
      <x:c r="T1393" s="19" t="str">
        <x:v>https://nlftp.mlit.go.jp/ksj/gml/datalist/KsjTmplt-S12-2024.html</x:v>
      </x:c>
      <x:c r="U1393" s="19" t="str">
        <x:v>station-component|桜木町|横浜市|metro|35.4496|139.6307|</x:v>
      </x:c>
      <x:c r="V1393" s="19" t="str">
        <x:v>004675 / 004682 / 3号線</x:v>
      </x:c>
      <x:c r="W1393" s="18" t="str">
        <x:v>否</x:v>
      </x:c>
      <x:c r="X1393" s="18" t="str">
        <x:v>0785e932a32b3ec15e1a1345537ae145eafe1c07bf38d5c16c11ee2b391e7a28</x:v>
      </x:c>
      <x:c r="Y1393" s="20" t="n">
        <x:v>1</x:v>
      </x:c>
      <x:c r="Z1393" s="20" t="n">
        <x:v>1</x:v>
      </x:c>
      <x:c r="AA1393" s="19"/>
      <x:c r="AB1393" s="18"/>
      <x:c r="AC1393" s="19"/>
    </x:row>
    <x:row r="1394" ht="28" customHeight="1">
      <x:c r="A1394" s="18" t="str">
        <x:v>桜田門</x:v>
      </x:c>
      <x:c r="B1394" s="18" t="str">
        <x:v>東京地下鉄</x:v>
      </x:c>
      <x:c r="C1394" s="18" t="str">
        <x:v>metro</x:v>
      </x:c>
      <x:c r="D1394" s="19" t="str">
        <x:v>T2</x:v>
      </x:c>
      <x:c r="E1394" s="20" t="n">
        <x:v>13129</x:v>
      </x:c>
      <x:c r="F1394" s="18" t="str">
        <x:v>persons/day</x:v>
      </x:c>
      <x:c r="G1394" s="18" t="str">
        <x:v>FY2024</x:v>
      </x:c>
      <x:c r="H1394" s="18" t="str">
        <x:v>否</x:v>
      </x:c>
      <x:c r="I1394" s="19" t="str">
        <x:v>DAILY_ENTRIES_EXITS</x:v>
      </x:c>
      <x:c r="J1394" s="19" t="str">
        <x:v>8号線有楽町線</x:v>
      </x:c>
      <x:c r="K1394" s="18" t="str">
        <x:v>transport-node:a31775b9-fcd7-5854-ae4b-86e525dbb236</x:v>
      </x:c>
      <x:c r="L1394" s="19" t="str">
        <x:v>组件待审核</x:v>
      </x:c>
      <x:c r="M1394" s="21" t="n">
        <x:v>35.677442</x:v>
      </x:c>
      <x:c r="N1394" s="21" t="n">
        <x:v>139.751814</x:v>
      </x:c>
      <x:c r="O1394" s="18" t="str">
        <x:v>003787</x:v>
      </x:c>
      <x:c r="P1394" s="18" t="str">
        <x:v>8号線有楽町線</x:v>
      </x:c>
      <x:c r="Q1394" s="19" t="str">
        <x:v>S12_061_GE_10000</x:v>
      </x:c>
      <x:c r="R1394" s="19" t="str">
        <x:v>S12_061 usage threshold</x:v>
      </x:c>
      <x:c r="S1394" s="19" t="str">
        <x:v>https://nlftp.mlit.go.jp/ksj/gml/datalist/KsjTmplt-S12-2024.html</x:v>
      </x:c>
      <x:c r="T1394" s="19" t="str">
        <x:v>https://nlftp.mlit.go.jp/ksj/gml/datalist/KsjTmplt-S12-2024.html</x:v>
      </x:c>
      <x:c r="U1394" s="19" t="str">
        <x:v>station-component|桜田門|東京地下鉄|metro|35.6774|139.7518|</x:v>
      </x:c>
      <x:c r="V1394" s="19" t="str">
        <x:v>003787 / 003787 / 8号線有楽町線</x:v>
      </x:c>
      <x:c r="W1394" s="18" t="str">
        <x:v>否</x:v>
      </x:c>
      <x:c r="X1394" s="18" t="str">
        <x:v>0785e932a32b3ec15e1a1345537ae145eafe1c07bf38d5c16c11ee2b391e7a28</x:v>
      </x:c>
      <x:c r="Y1394" s="20" t="n">
        <x:v>1</x:v>
      </x:c>
      <x:c r="Z1394" s="20" t="n">
        <x:v>1</x:v>
      </x:c>
      <x:c r="AA1394" s="19"/>
      <x:c r="AB1394" s="18"/>
      <x:c r="AC1394" s="19"/>
    </x:row>
    <x:row r="1395" ht="28" customHeight="1">
      <x:c r="A1395" s="18" t="str">
        <x:v>桶川</x:v>
      </x:c>
      <x:c r="B1395" s="18" t="str">
        <x:v>東日本旅客鉄道</x:v>
      </x:c>
      <x:c r="C1395" s="18" t="str">
        <x:v>conventional_rail</x:v>
      </x:c>
      <x:c r="D1395" s="19" t="str">
        <x:v>T2</x:v>
      </x:c>
      <x:c r="E1395" s="20" t="n">
        <x:v>46616</x:v>
      </x:c>
      <x:c r="F1395" s="18" t="str">
        <x:v>persons/day</x:v>
      </x:c>
      <x:c r="G1395" s="18" t="str">
        <x:v>FY2024</x:v>
      </x:c>
      <x:c r="H1395" s="18" t="str">
        <x:v>否</x:v>
      </x:c>
      <x:c r="I1395" s="19" t="str">
        <x:v>DAILY_ENTRIES_EXITS</x:v>
      </x:c>
      <x:c r="J1395" s="19" t="str">
        <x:v>高崎線</x:v>
      </x:c>
      <x:c r="K1395" s="18" t="str">
        <x:v>transport-node:3f0ff372-ebbc-5cbd-b048-c166ae0f9808</x:v>
      </x:c>
      <x:c r="L1395" s="19" t="str">
        <x:v>组件待审核</x:v>
      </x:c>
      <x:c r="M1395" s="21" t="n">
        <x:v>35.998435</x:v>
      </x:c>
      <x:c r="N1395" s="21" t="n">
        <x:v>139.564215</x:v>
      </x:c>
      <x:c r="O1395" s="18" t="str">
        <x:v>002761</x:v>
      </x:c>
      <x:c r="P1395" s="18" t="str">
        <x:v>高崎線</x:v>
      </x:c>
      <x:c r="Q1395" s="19" t="str">
        <x:v>S12_061_GE_10000</x:v>
      </x:c>
      <x:c r="R1395" s="19" t="str">
        <x:v>S12_061 usage threshold</x:v>
      </x:c>
      <x:c r="S1395" s="19" t="str">
        <x:v>https://nlftp.mlit.go.jp/ksj/gml/datalist/KsjTmplt-S12-2024.html</x:v>
      </x:c>
      <x:c r="T1395" s="19" t="str">
        <x:v>https://nlftp.mlit.go.jp/ksj/gml/datalist/KsjTmplt-S12-2024.html</x:v>
      </x:c>
      <x:c r="U1395" s="19" t="str">
        <x:v>station-component|桶川|東日本旅客鉄道|conventional_rail|35.9984|139.5642|</x:v>
      </x:c>
      <x:c r="V1395" s="19" t="str">
        <x:v>002761 / 002761 / 高崎線</x:v>
      </x:c>
      <x:c r="W1395" s="18" t="str">
        <x:v>否</x:v>
      </x:c>
      <x:c r="X1395" s="18" t="str">
        <x:v>0785e932a32b3ec15e1a1345537ae145eafe1c07bf38d5c16c11ee2b391e7a28</x:v>
      </x:c>
      <x:c r="Y1395" s="20" t="n">
        <x:v>1</x:v>
      </x:c>
      <x:c r="Z1395" s="20" t="n">
        <x:v>1</x:v>
      </x:c>
      <x:c r="AA1395" s="19"/>
      <x:c r="AB1395" s="18"/>
      <x:c r="AC1395" s="19"/>
    </x:row>
    <x:row r="1396" ht="28" customHeight="1">
      <x:c r="A1396" s="18" t="str">
        <x:v>梅ヶ丘</x:v>
      </x:c>
      <x:c r="B1396" s="18" t="str">
        <x:v>小田急電鉄</x:v>
      </x:c>
      <x:c r="C1396" s="18" t="str">
        <x:v>private_rail</x:v>
      </x:c>
      <x:c r="D1396" s="19" t="str">
        <x:v>T2</x:v>
      </x:c>
      <x:c r="E1396" s="20" t="n">
        <x:v>32280</x:v>
      </x:c>
      <x:c r="F1396" s="18" t="str">
        <x:v>persons/day</x:v>
      </x:c>
      <x:c r="G1396" s="18" t="str">
        <x:v>FY2024</x:v>
      </x:c>
      <x:c r="H1396" s="18" t="str">
        <x:v>否</x:v>
      </x:c>
      <x:c r="I1396" s="19" t="str">
        <x:v>DAILY_ENTRIES_EXITS</x:v>
      </x:c>
      <x:c r="J1396" s="19" t="str">
        <x:v>小田原線</x:v>
      </x:c>
      <x:c r="K1396" s="18" t="str">
        <x:v>transport-node:f1cdd0e1-fd32-53ab-8f0d-86a45022ab0b</x:v>
      </x:c>
      <x:c r="L1396" s="19" t="str">
        <x:v>组件待审核</x:v>
      </x:c>
      <x:c r="M1396" s="21" t="n">
        <x:v>35.65602</x:v>
      </x:c>
      <x:c r="N1396" s="21" t="n">
        <x:v>139.65355</x:v>
      </x:c>
      <x:c r="O1396" s="18" t="str">
        <x:v>003945</x:v>
      </x:c>
      <x:c r="P1396" s="18" t="str">
        <x:v>小田原線</x:v>
      </x:c>
      <x:c r="Q1396" s="19" t="str">
        <x:v>S12_061_GE_10000</x:v>
      </x:c>
      <x:c r="R1396" s="19" t="str">
        <x:v>S12_061 usage threshold</x:v>
      </x:c>
      <x:c r="S1396" s="19" t="str">
        <x:v>https://nlftp.mlit.go.jp/ksj/gml/datalist/KsjTmplt-S12-2024.html</x:v>
      </x:c>
      <x:c r="T1396" s="19" t="str">
        <x:v>https://nlftp.mlit.go.jp/ksj/gml/datalist/KsjTmplt-S12-2024.html</x:v>
      </x:c>
      <x:c r="U1396" s="19" t="str">
        <x:v>station-component|梅ヶ丘|小田急電鉄|private_rail|35.6560|139.6535|</x:v>
      </x:c>
      <x:c r="V1396" s="19" t="str">
        <x:v>003945 / 003945 / 小田原線</x:v>
      </x:c>
      <x:c r="W1396" s="18" t="str">
        <x:v>否</x:v>
      </x:c>
      <x:c r="X1396" s="18" t="str">
        <x:v>0785e932a32b3ec15e1a1345537ae145eafe1c07bf38d5c16c11ee2b391e7a28</x:v>
      </x:c>
      <x:c r="Y1396" s="20" t="n">
        <x:v>1</x:v>
      </x:c>
      <x:c r="Z1396" s="20" t="n">
        <x:v>1</x:v>
      </x:c>
      <x:c r="AA1396" s="19"/>
      <x:c r="AB1396" s="18"/>
      <x:c r="AC1396" s="19"/>
    </x:row>
    <x:row r="1397" ht="28" customHeight="1">
      <x:c r="A1397" s="18" t="str">
        <x:v>梅屋敷</x:v>
      </x:c>
      <x:c r="B1397" s="18" t="str">
        <x:v>京浜急行電鉄</x:v>
      </x:c>
      <x:c r="C1397" s="18" t="str">
        <x:v>private_rail</x:v>
      </x:c>
      <x:c r="D1397" s="19" t="str">
        <x:v>T2</x:v>
      </x:c>
      <x:c r="E1397" s="20" t="n">
        <x:v>16426</x:v>
      </x:c>
      <x:c r="F1397" s="18" t="str">
        <x:v>persons/day</x:v>
      </x:c>
      <x:c r="G1397" s="18" t="str">
        <x:v>FY2024</x:v>
      </x:c>
      <x:c r="H1397" s="18" t="str">
        <x:v>否</x:v>
      </x:c>
      <x:c r="I1397" s="19" t="str">
        <x:v>DAILY_ENTRIES_EXITS</x:v>
      </x:c>
      <x:c r="J1397" s="19" t="str">
        <x:v>本線</x:v>
      </x:c>
      <x:c r="K1397" s="18" t="str">
        <x:v>transport-node:b0acc1db-2611-5345-aa82-fa1cf05f0eb9</x:v>
      </x:c>
      <x:c r="L1397" s="19" t="str">
        <x:v>组件待审核</x:v>
      </x:c>
      <x:c r="M1397" s="21" t="n">
        <x:v>35.566785</x:v>
      </x:c>
      <x:c r="N1397" s="21" t="n">
        <x:v>139.72817</x:v>
      </x:c>
      <x:c r="O1397" s="18" t="str">
        <x:v>004319</x:v>
      </x:c>
      <x:c r="P1397" s="18" t="str">
        <x:v>本線</x:v>
      </x:c>
      <x:c r="Q1397" s="19" t="str">
        <x:v>S12_061_GE_10000</x:v>
      </x:c>
      <x:c r="R1397" s="19" t="str">
        <x:v>S12_061 usage threshold</x:v>
      </x:c>
      <x:c r="S1397" s="19" t="str">
        <x:v>https://nlftp.mlit.go.jp/ksj/gml/datalist/KsjTmplt-S12-2024.html</x:v>
      </x:c>
      <x:c r="T1397" s="19" t="str">
        <x:v>https://nlftp.mlit.go.jp/ksj/gml/datalist/KsjTmplt-S12-2024.html</x:v>
      </x:c>
      <x:c r="U1397" s="19" t="str">
        <x:v>station-component|梅屋敷|京浜急行電鉄|private_rail|35.5668|139.7282|</x:v>
      </x:c>
      <x:c r="V1397" s="19" t="str">
        <x:v>004319 / 004319 / 本線</x:v>
      </x:c>
      <x:c r="W1397" s="18" t="str">
        <x:v>否</x:v>
      </x:c>
      <x:c r="X1397" s="18" t="str">
        <x:v>0785e932a32b3ec15e1a1345537ae145eafe1c07bf38d5c16c11ee2b391e7a28</x:v>
      </x:c>
      <x:c r="Y1397" s="20" t="n">
        <x:v>1</x:v>
      </x:c>
      <x:c r="Z1397" s="20" t="n">
        <x:v>1</x:v>
      </x:c>
      <x:c r="AA1397" s="19"/>
      <x:c r="AB1397" s="18"/>
      <x:c r="AC1397" s="19"/>
    </x:row>
    <x:row r="1398" ht="28" customHeight="1">
      <x:c r="A1398" s="18" t="str">
        <x:v>梅島</x:v>
      </x:c>
      <x:c r="B1398" s="18" t="str">
        <x:v>東武鉄道</x:v>
      </x:c>
      <x:c r="C1398" s="18" t="str">
        <x:v>private_rail</x:v>
      </x:c>
      <x:c r="D1398" s="19" t="str">
        <x:v>T2</x:v>
      </x:c>
      <x:c r="E1398" s="20" t="n">
        <x:v>35416</x:v>
      </x:c>
      <x:c r="F1398" s="18" t="str">
        <x:v>persons/day</x:v>
      </x:c>
      <x:c r="G1398" s="18" t="str">
        <x:v>FY2024</x:v>
      </x:c>
      <x:c r="H1398" s="18" t="str">
        <x:v>否</x:v>
      </x:c>
      <x:c r="I1398" s="19" t="str">
        <x:v>DAILY_ENTRIES_EXITS</x:v>
      </x:c>
      <x:c r="J1398" s="19" t="str">
        <x:v>伊勢崎線</x:v>
      </x:c>
      <x:c r="K1398" s="18" t="str">
        <x:v>transport-node:9a91323d-284e-5027-90e5-25ae6878a230</x:v>
      </x:c>
      <x:c r="L1398" s="19" t="str">
        <x:v>组件待审核</x:v>
      </x:c>
      <x:c r="M1398" s="21" t="n">
        <x:v>35.772345</x:v>
      </x:c>
      <x:c r="N1398" s="21" t="n">
        <x:v>139.798075</x:v>
      </x:c>
      <x:c r="O1398" s="18" t="str">
        <x:v>003176</x:v>
      </x:c>
      <x:c r="P1398" s="18" t="str">
        <x:v>伊勢崎線</x:v>
      </x:c>
      <x:c r="Q1398" s="19" t="str">
        <x:v>S12_061_GE_10000</x:v>
      </x:c>
      <x:c r="R1398" s="19" t="str">
        <x:v>S12_061 usage threshold</x:v>
      </x:c>
      <x:c r="S1398" s="19" t="str">
        <x:v>https://nlftp.mlit.go.jp/ksj/gml/datalist/KsjTmplt-S12-2024.html</x:v>
      </x:c>
      <x:c r="T1398" s="19" t="str">
        <x:v>https://nlftp.mlit.go.jp/ksj/gml/datalist/KsjTmplt-S12-2024.html</x:v>
      </x:c>
      <x:c r="U1398" s="19" t="str">
        <x:v>station-component|梅島|東武鉄道|private_rail|35.7723|139.7981|</x:v>
      </x:c>
      <x:c r="V1398" s="19" t="str">
        <x:v>003176 / 003176 / 伊勢崎線</x:v>
      </x:c>
      <x:c r="W1398" s="18" t="str">
        <x:v>否</x:v>
      </x:c>
      <x:c r="X1398" s="18" t="str">
        <x:v>0785e932a32b3ec15e1a1345537ae145eafe1c07bf38d5c16c11ee2b391e7a28</x:v>
      </x:c>
      <x:c r="Y1398" s="20" t="n">
        <x:v>1</x:v>
      </x:c>
      <x:c r="Z1398" s="20" t="n">
        <x:v>1</x:v>
      </x:c>
      <x:c r="AA1398" s="19"/>
      <x:c r="AB1398" s="18"/>
      <x:c r="AC1398" s="19"/>
    </x:row>
    <x:row r="1399" ht="33" customHeight="1">
      <x:c r="A1399" s="18" t="str">
        <x:v>梅田</x:v>
      </x:c>
      <x:c r="B1399" s="18" t="str">
        <x:v>大阪市高速電気軌道</x:v>
      </x:c>
      <x:c r="C1399" s="18" t="str">
        <x:v>metro</x:v>
      </x:c>
      <x:c r="D1399" s="19" t="str">
        <x:v>T0</x:v>
      </x:c>
      <x:c r="E1399" s="20" t="n">
        <x:v>420718</x:v>
      </x:c>
      <x:c r="F1399" s="18" t="str">
        <x:v>persons/day</x:v>
      </x:c>
      <x:c r="G1399" s="18" t="str">
        <x:v>FY2024</x:v>
      </x:c>
      <x:c r="H1399" s="18" t="str">
        <x:v>否</x:v>
      </x:c>
      <x:c r="I1399" s="19" t="str">
        <x:v>DAILY_ENTRIES_EXITS</x:v>
      </x:c>
      <x:c r="J1399" s="19" t="str">
        <x:v>1号線(御堂筋線)</x:v>
      </x:c>
      <x:c r="K1399" s="18" t="str">
        <x:v>transport-node:437f036e-b8cf-5e8e-a68c-a67fc7b9a7cf</x:v>
      </x:c>
      <x:c r="L1399" s="19" t="str">
        <x:v>组件待审核</x:v>
      </x:c>
      <x:c r="M1399" s="21" t="n">
        <x:v>34.70313</x:v>
      </x:c>
      <x:c r="N1399" s="21" t="n">
        <x:v>135.497685</x:v>
      </x:c>
      <x:c r="O1399" s="18" t="str">
        <x:v>007065</x:v>
      </x:c>
      <x:c r="P1399" s="18" t="str">
        <x:v>1号線(御堂筋線)</x:v>
      </x:c>
      <x:c r="Q1399" s="19" t="str">
        <x:v>S12_061_GE_10000
OFFICIAL_HUB_COMPONENT_REVIEW</x:v>
      </x:c>
      <x:c r="R1399" s="19" t="str">
        <x:v>S12_061 usage threshold</x:v>
      </x:c>
      <x:c r="S1399" s="19" t="str">
        <x:v>https://nlftp.mlit.go.jp/ksj/gml/datalist/KsjTmplt-S12-2024.html</x:v>
      </x:c>
      <x:c r="T1399" s="19" t="str">
        <x:v>https://nlftp.mlit.go.jp/ksj/gml/datalist/KsjTmplt-S12-2024.html
https://subway.osakametro.co.jp/station_guide/M/m16/index.php</x:v>
      </x:c>
      <x:c r="U1399" s="19" t="str">
        <x:v>station-component|梅田|大阪市高速電気軌道|metro|34.7031|135.4977|</x:v>
      </x:c>
      <x:c r="V1399" s="19" t="str">
        <x:v>007065 / 007065 / 1号線(御堂筋線)</x:v>
      </x:c>
      <x:c r="W1399" s="18" t="str">
        <x:v>否</x:v>
      </x:c>
      <x:c r="X1399" s="18" t="str">
        <x:v>0785e932a32b3ec15e1a1345537ae145eafe1c07bf38d5c16c11ee2b391e7a28</x:v>
      </x:c>
      <x:c r="Y1399" s="20" t="n">
        <x:v>1</x:v>
      </x:c>
      <x:c r="Z1399" s="20" t="n">
        <x:v>1</x:v>
      </x:c>
      <x:c r="AA1399" s="19" t="str">
        <x:v>大阪・梅田</x:v>
      </x:c>
      <x:c r="AB1399" s="18" t="str">
        <x:v>transport-hub-review:c874f3c0-4c3d-5ef3-adac-91c1a118c3b7</x:v>
      </x:c>
      <x:c r="AC1399" s="19"/>
    </x:row>
    <x:row r="1400" ht="28" customHeight="1">
      <x:c r="A1400" s="18" t="str">
        <x:v>梅郷</x:v>
      </x:c>
      <x:c r="B1400" s="18" t="str">
        <x:v>東武鉄道</x:v>
      </x:c>
      <x:c r="C1400" s="18" t="str">
        <x:v>private_rail</x:v>
      </x:c>
      <x:c r="D1400" s="19" t="str">
        <x:v>T2</x:v>
      </x:c>
      <x:c r="E1400" s="20" t="n">
        <x:v>15374</x:v>
      </x:c>
      <x:c r="F1400" s="18" t="str">
        <x:v>persons/day</x:v>
      </x:c>
      <x:c r="G1400" s="18" t="str">
        <x:v>FY2024</x:v>
      </x:c>
      <x:c r="H1400" s="18" t="str">
        <x:v>否</x:v>
      </x:c>
      <x:c r="I1400" s="19" t="str">
        <x:v>DAILY_ENTRIES_EXITS</x:v>
      </x:c>
      <x:c r="J1400" s="19" t="str">
        <x:v>野田線</x:v>
      </x:c>
      <x:c r="K1400" s="18" t="str">
        <x:v>transport-node:7bedcd7f-53c7-5aa0-8884-89073c5d4628</x:v>
      </x:c>
      <x:c r="L1400" s="19" t="str">
        <x:v>组件待审核</x:v>
      </x:c>
      <x:c r="M1400" s="21" t="n">
        <x:v>35.93158</x:v>
      </x:c>
      <x:c r="N1400" s="21" t="n">
        <x:v>139.891095</x:v>
      </x:c>
      <x:c r="O1400" s="18" t="str">
        <x:v>002861</x:v>
      </x:c>
      <x:c r="P1400" s="18" t="str">
        <x:v>野田線</x:v>
      </x:c>
      <x:c r="Q1400" s="19" t="str">
        <x:v>S12_061_GE_10000</x:v>
      </x:c>
      <x:c r="R1400" s="19" t="str">
        <x:v>S12_061 usage threshold</x:v>
      </x:c>
      <x:c r="S1400" s="19" t="str">
        <x:v>https://nlftp.mlit.go.jp/ksj/gml/datalist/KsjTmplt-S12-2024.html</x:v>
      </x:c>
      <x:c r="T1400" s="19" t="str">
        <x:v>https://nlftp.mlit.go.jp/ksj/gml/datalist/KsjTmplt-S12-2024.html</x:v>
      </x:c>
      <x:c r="U1400" s="19" t="str">
        <x:v>station-component|梅郷|東武鉄道|private_rail|35.9316|139.8911|</x:v>
      </x:c>
      <x:c r="V1400" s="19" t="str">
        <x:v>002861 / 002861 / 野田線</x:v>
      </x:c>
      <x:c r="W1400" s="18" t="str">
        <x:v>否</x:v>
      </x:c>
      <x:c r="X1400" s="18" t="str">
        <x:v>0785e932a32b3ec15e1a1345537ae145eafe1c07bf38d5c16c11ee2b391e7a28</x:v>
      </x:c>
      <x:c r="Y1400" s="20" t="n">
        <x:v>1</x:v>
      </x:c>
      <x:c r="Z1400" s="20" t="n">
        <x:v>1</x:v>
      </x:c>
      <x:c r="AA1400" s="19"/>
      <x:c r="AB1400" s="18"/>
      <x:c r="AC1400" s="19"/>
    </x:row>
    <x:row r="1401" ht="28" customHeight="1">
      <x:c r="A1401" s="18" t="str">
        <x:v>梶が谷</x:v>
      </x:c>
      <x:c r="B1401" s="18" t="str">
        <x:v>東急電鉄</x:v>
      </x:c>
      <x:c r="C1401" s="18" t="str">
        <x:v>private_rail</x:v>
      </x:c>
      <x:c r="D1401" s="19" t="str">
        <x:v>T2</x:v>
      </x:c>
      <x:c r="E1401" s="20" t="n">
        <x:v>36095</x:v>
      </x:c>
      <x:c r="F1401" s="18" t="str">
        <x:v>persons/day</x:v>
      </x:c>
      <x:c r="G1401" s="18" t="str">
        <x:v>FY2024</x:v>
      </x:c>
      <x:c r="H1401" s="18" t="str">
        <x:v>否</x:v>
      </x:c>
      <x:c r="I1401" s="19" t="str">
        <x:v>DAILY_ENTRIES_EXITS</x:v>
      </x:c>
      <x:c r="J1401" s="19" t="str">
        <x:v>田園都市線</x:v>
      </x:c>
      <x:c r="K1401" s="18" t="str">
        <x:v>transport-node:688c42f2-655e-50da-9e55-3436d22a45bb</x:v>
      </x:c>
      <x:c r="L1401" s="19" t="str">
        <x:v>组件待审核</x:v>
      </x:c>
      <x:c r="M1401" s="21" t="n">
        <x:v>35.593785</x:v>
      </x:c>
      <x:c r="N1401" s="21" t="n">
        <x:v>139.6057175</x:v>
      </x:c>
      <x:c r="O1401" s="18" t="str">
        <x:v>004257</x:v>
      </x:c>
      <x:c r="P1401" s="18" t="str">
        <x:v>田園都市線</x:v>
      </x:c>
      <x:c r="Q1401" s="19" t="str">
        <x:v>S12_061_GE_10000</x:v>
      </x:c>
      <x:c r="R1401" s="19" t="str">
        <x:v>S12_061 usage threshold</x:v>
      </x:c>
      <x:c r="S1401" s="19" t="str">
        <x:v>https://nlftp.mlit.go.jp/ksj/gml/datalist/KsjTmplt-S12-2024.html</x:v>
      </x:c>
      <x:c r="T1401" s="19" t="str">
        <x:v>https://nlftp.mlit.go.jp/ksj/gml/datalist/KsjTmplt-S12-2024.html</x:v>
      </x:c>
      <x:c r="U1401" s="19" t="str">
        <x:v>station-component|梶が谷|東急電鉄|private_rail|35.5938|139.6057|</x:v>
      </x:c>
      <x:c r="V1401" s="19" t="str">
        <x:v>004257 / 004257 / 田園都市線</x:v>
      </x:c>
      <x:c r="W1401" s="18" t="str">
        <x:v>否</x:v>
      </x:c>
      <x:c r="X1401" s="18" t="str">
        <x:v>0785e932a32b3ec15e1a1345537ae145eafe1c07bf38d5c16c11ee2b391e7a28</x:v>
      </x:c>
      <x:c r="Y1401" s="20" t="n">
        <x:v>1</x:v>
      </x:c>
      <x:c r="Z1401" s="20" t="n">
        <x:v>1</x:v>
      </x:c>
      <x:c r="AA1401" s="19"/>
      <x:c r="AB1401" s="18"/>
      <x:c r="AC1401" s="19"/>
    </x:row>
    <x:row r="1402" ht="33" customHeight="1">
      <x:c r="A1402" s="18" t="str">
        <x:v>森ノ宮</x:v>
      </x:c>
      <x:c r="B1402" s="18" t="str">
        <x:v>大阪市高速電気軌道</x:v>
      </x:c>
      <x:c r="C1402" s="18" t="str">
        <x:v>metro</x:v>
      </x:c>
      <x:c r="D1402" s="19" t="str">
        <x:v>T2</x:v>
      </x:c>
      <x:c r="E1402" s="20" t="n">
        <x:v>34042</x:v>
      </x:c>
      <x:c r="F1402" s="18" t="str">
        <x:v>persons/day</x:v>
      </x:c>
      <x:c r="G1402" s="18" t="str">
        <x:v>FY2024</x:v>
      </x:c>
      <x:c r="H1402" s="18" t="str">
        <x:v>否</x:v>
      </x:c>
      <x:c r="I1402" s="19" t="str">
        <x:v>DAILY_ENTRIES_EXITS</x:v>
      </x:c>
      <x:c r="J1402" s="19" t="str">
        <x:v>4号線(中央線)
7号線(長堀鶴見緑地線)</x:v>
      </x:c>
      <x:c r="K1402" s="18" t="str">
        <x:v>transport-node:feb7995f-e8f9-56a4-b8dd-56010c552c9b</x:v>
      </x:c>
      <x:c r="L1402" s="19" t="str">
        <x:v>组件待审核</x:v>
      </x:c>
      <x:c r="M1402" s="21" t="n">
        <x:v>34.68148</x:v>
      </x:c>
      <x:c r="N1402" s="21" t="n">
        <x:v>135.5323</x:v>
      </x:c>
      <x:c r="O1402" s="18" t="str">
        <x:v>007202</x:v>
      </x:c>
      <x:c r="P1402" s="18" t="str">
        <x:v>4号線(中央線)</x:v>
      </x:c>
      <x:c r="Q1402" s="19" t="str">
        <x:v>S12_061_GE_10000
OFFICIAL_HUB_COMPONENT_REVIEW</x:v>
      </x:c>
      <x:c r="R1402" s="19" t="str">
        <x:v>S12_061 usage threshold</x:v>
      </x:c>
      <x:c r="S1402" s="19" t="str">
        <x:v>https://nlftp.mlit.go.jp/ksj/gml/datalist/KsjTmplt-S12-2024.html</x:v>
      </x:c>
      <x:c r="T1402" s="19" t="str">
        <x:v>https://nlftp.mlit.go.jp/ksj/gml/datalist/KsjTmplt-S12-2024.html
https://subway.osakametro.co.jp/station_guide/C/c19/index.php</x:v>
      </x:c>
      <x:c r="U1402" s="19" t="str">
        <x:v>station-component|森ノ宮|大阪市高速電気軌道|metro|34.6815|135.5323|</x:v>
      </x:c>
      <x:c r="V1402" s="19" t="str">
        <x:v>007202 / 007193 / 7号線(長堀鶴見緑地線)
007202 / 007202 / 4号線(中央線)</x:v>
      </x:c>
      <x:c r="W1402" s="18" t="str">
        <x:v>否</x:v>
      </x:c>
      <x:c r="X1402" s="18" t="str">
        <x:v>0785e932a32b3ec15e1a1345537ae145eafe1c07bf38d5c16c11ee2b391e7a28</x:v>
      </x:c>
      <x:c r="Y1402" s="20" t="n">
        <x:v>1</x:v>
      </x:c>
      <x:c r="Z1402" s="20" t="n">
        <x:v>1</x:v>
      </x:c>
      <x:c r="AA1402" s="19" t="str">
        <x:v>森ノ宮</x:v>
      </x:c>
      <x:c r="AB1402" s="18" t="str">
        <x:v>transport-hub-review:89c1ff9a-884a-5e29-8690-3b98546241ff</x:v>
      </x:c>
      <x:c r="AC1402" s="19"/>
    </x:row>
    <x:row r="1403" ht="33" customHeight="1">
      <x:c r="A1403" s="18" t="str">
        <x:v>森ノ宮</x:v>
      </x:c>
      <x:c r="B1403" s="18" t="str">
        <x:v>西日本旅客鉄道</x:v>
      </x:c>
      <x:c r="C1403" s="18" t="str">
        <x:v>conventional_rail</x:v>
      </x:c>
      <x:c r="D1403" s="19" t="str">
        <x:v>T2</x:v>
      </x:c>
      <x:c r="E1403" s="20" t="n">
        <x:v>46830</x:v>
      </x:c>
      <x:c r="F1403" s="18" t="str">
        <x:v>persons/day</x:v>
      </x:c>
      <x:c r="G1403" s="18" t="str">
        <x:v>FY2024</x:v>
      </x:c>
      <x:c r="H1403" s="18" t="str">
        <x:v>否</x:v>
      </x:c>
      <x:c r="I1403" s="19" t="str">
        <x:v>DAILY_ENTRIES_EXITS</x:v>
      </x:c>
      <x:c r="J1403" s="19" t="str">
        <x:v>大阪環状線</x:v>
      </x:c>
      <x:c r="K1403" s="18" t="str">
        <x:v>transport-node:bc414c29-6f0c-51cd-9a57-823dd54afad4</x:v>
      </x:c>
      <x:c r="L1403" s="19" t="str">
        <x:v>组件待审核</x:v>
      </x:c>
      <x:c r="M1403" s="21" t="n">
        <x:v>34.680455</x:v>
      </x:c>
      <x:c r="N1403" s="21" t="n">
        <x:v>135.534025</x:v>
      </x:c>
      <x:c r="O1403" s="18" t="str">
        <x:v>007212</x:v>
      </x:c>
      <x:c r="P1403" s="18" t="str">
        <x:v>大阪環状線</x:v>
      </x:c>
      <x:c r="Q1403" s="19" t="str">
        <x:v>S12_061_GE_10000
OFFICIAL_HUB_COMPONENT_REVIEW</x:v>
      </x:c>
      <x:c r="R1403" s="19" t="str">
        <x:v>S12_061 usage threshold</x:v>
      </x:c>
      <x:c r="S1403" s="19" t="str">
        <x:v>https://nlftp.mlit.go.jp/ksj/gml/datalist/KsjTmplt-S12-2024.html</x:v>
      </x:c>
      <x:c r="T1403" s="19" t="str">
        <x:v>https://nlftp.mlit.go.jp/ksj/gml/datalist/KsjTmplt-S12-2024.html
https://subway.osakametro.co.jp/station_guide/C/c19/index.php</x:v>
      </x:c>
      <x:c r="U1403" s="19" t="str">
        <x:v>station-component|森ノ宮|西日本旅客鉄道|conventional_rail|34.6805|135.5340|</x:v>
      </x:c>
      <x:c r="V1403" s="19" t="str">
        <x:v>007202 / 007212 / 大阪環状線</x:v>
      </x:c>
      <x:c r="W1403" s="18" t="str">
        <x:v>否</x:v>
      </x:c>
      <x:c r="X1403" s="18" t="str">
        <x:v>0785e932a32b3ec15e1a1345537ae145eafe1c07bf38d5c16c11ee2b391e7a28</x:v>
      </x:c>
      <x:c r="Y1403" s="20" t="n">
        <x:v>1</x:v>
      </x:c>
      <x:c r="Z1403" s="20" t="n">
        <x:v>1</x:v>
      </x:c>
      <x:c r="AA1403" s="19" t="str">
        <x:v>森ノ宮</x:v>
      </x:c>
      <x:c r="AB1403" s="18" t="str">
        <x:v>transport-hub-review:89c1ff9a-884a-5e29-8690-3b98546241ff</x:v>
      </x:c>
      <x:c r="AC1403" s="19"/>
    </x:row>
    <x:row r="1404" ht="33" customHeight="1">
      <x:c r="A1404" s="18" t="str">
        <x:v>森下</x:v>
      </x:c>
      <x:c r="B1404" s="18" t="str">
        <x:v>東京都</x:v>
      </x:c>
      <x:c r="C1404" s="18" t="str">
        <x:v>metro</x:v>
      </x:c>
      <x:c r="D1404" s="19" t="str">
        <x:v>T1</x:v>
      </x:c>
      <x:c r="E1404" s="20" t="n">
        <x:v>74094</x:v>
      </x:c>
      <x:c r="F1404" s="18" t="str">
        <x:v>persons/day</x:v>
      </x:c>
      <x:c r="G1404" s="18" t="str">
        <x:v>FY2024</x:v>
      </x:c>
      <x:c r="H1404" s="18" t="str">
        <x:v>否</x:v>
      </x:c>
      <x:c r="I1404" s="19" t="str">
        <x:v>DAILY_ENTRIES_EXITS</x:v>
      </x:c>
      <x:c r="J1404" s="19" t="str">
        <x:v>10号線新宿線
12号線大江戸線</x:v>
      </x:c>
      <x:c r="K1404" s="18" t="str">
        <x:v>transport-node:c8c9cd19-7927-5a3f-9071-952297dc5bbe</x:v>
      </x:c>
      <x:c r="L1404" s="19" t="str">
        <x:v>组件待审核</x:v>
      </x:c>
      <x:c r="M1404" s="21" t="n">
        <x:v>35.68805</x:v>
      </x:c>
      <x:c r="N1404" s="21" t="n">
        <x:v>139.7979775</x:v>
      </x:c>
      <x:c r="O1404" s="18" t="str">
        <x:v>003711</x:v>
      </x:c>
      <x:c r="P1404" s="18" t="str">
        <x:v>10号線新宿線</x:v>
      </x:c>
      <x:c r="Q1404" s="19" t="str">
        <x:v>S12_061_GE_10000</x:v>
      </x:c>
      <x:c r="R1404" s="19" t="str">
        <x:v>S12_061 usage threshold</x:v>
      </x:c>
      <x:c r="S1404" s="19" t="str">
        <x:v>https://nlftp.mlit.go.jp/ksj/gml/datalist/KsjTmplt-S12-2024.html</x:v>
      </x:c>
      <x:c r="T1404" s="19" t="str">
        <x:v>https://nlftp.mlit.go.jp/ksj/gml/datalist/KsjTmplt-S12-2024.html</x:v>
      </x:c>
      <x:c r="U1404" s="19" t="str">
        <x:v>station-component|森下|東京都|metro|35.6880|139.7980|</x:v>
      </x:c>
      <x:c r="V1404" s="19" t="str">
        <x:v>003711 / 003711 / 10号線新宿線
003711 / 003712 / 12号線大江戸線</x:v>
      </x:c>
      <x:c r="W1404" s="18" t="str">
        <x:v>否</x:v>
      </x:c>
      <x:c r="X1404" s="18" t="str">
        <x:v>0785e932a32b3ec15e1a1345537ae145eafe1c07bf38d5c16c11ee2b391e7a28</x:v>
      </x:c>
      <x:c r="Y1404" s="20" t="n">
        <x:v>1</x:v>
      </x:c>
      <x:c r="Z1404" s="20" t="n">
        <x:v>1</x:v>
      </x:c>
      <x:c r="AA1404" s="19"/>
      <x:c r="AB1404" s="18"/>
      <x:c r="AC1404" s="19"/>
    </x:row>
    <x:row r="1405" ht="28" customHeight="1">
      <x:c r="A1405" s="18" t="str">
        <x:v>森林公園</x:v>
      </x:c>
      <x:c r="B1405" s="18" t="str">
        <x:v>東武鉄道</x:v>
      </x:c>
      <x:c r="C1405" s="18" t="str">
        <x:v>private_rail</x:v>
      </x:c>
      <x:c r="D1405" s="19" t="str">
        <x:v>T2</x:v>
      </x:c>
      <x:c r="E1405" s="20" t="n">
        <x:v>12160</x:v>
      </x:c>
      <x:c r="F1405" s="18" t="str">
        <x:v>persons/day</x:v>
      </x:c>
      <x:c r="G1405" s="18" t="str">
        <x:v>FY2024</x:v>
      </x:c>
      <x:c r="H1405" s="18" t="str">
        <x:v>否</x:v>
      </x:c>
      <x:c r="I1405" s="19" t="str">
        <x:v>DAILY_ENTRIES_EXITS</x:v>
      </x:c>
      <x:c r="J1405" s="19" t="str">
        <x:v>東上本線</x:v>
      </x:c>
      <x:c r="K1405" s="18" t="str">
        <x:v>transport-node:6976ed8d-cb62-5695-a4e7-3b59ac999b60</x:v>
      </x:c>
      <x:c r="L1405" s="19" t="str">
        <x:v>组件待审核</x:v>
      </x:c>
      <x:c r="M1405" s="21" t="n">
        <x:v>36.045165</x:v>
      </x:c>
      <x:c r="N1405" s="21" t="n">
        <x:v>139.37533</x:v>
      </x:c>
      <x:c r="O1405" s="18" t="str">
        <x:v>002708</x:v>
      </x:c>
      <x:c r="P1405" s="18" t="str">
        <x:v>東上本線</x:v>
      </x:c>
      <x:c r="Q1405" s="19" t="str">
        <x:v>S12_061_GE_10000</x:v>
      </x:c>
      <x:c r="R1405" s="19" t="str">
        <x:v>S12_061 usage threshold</x:v>
      </x:c>
      <x:c r="S1405" s="19" t="str">
        <x:v>https://nlftp.mlit.go.jp/ksj/gml/datalist/KsjTmplt-S12-2024.html</x:v>
      </x:c>
      <x:c r="T1405" s="19" t="str">
        <x:v>https://nlftp.mlit.go.jp/ksj/gml/datalist/KsjTmplt-S12-2024.html</x:v>
      </x:c>
      <x:c r="U1405" s="19" t="str">
        <x:v>station-component|森林公園|東武鉄道|private_rail|36.0452|139.3753|</x:v>
      </x:c>
      <x:c r="V1405" s="19" t="str">
        <x:v>002708 / 002708 / 東上本線</x:v>
      </x:c>
      <x:c r="W1405" s="18" t="str">
        <x:v>否</x:v>
      </x:c>
      <x:c r="X1405" s="18" t="str">
        <x:v>0785e932a32b3ec15e1a1345537ae145eafe1c07bf38d5c16c11ee2b391e7a28</x:v>
      </x:c>
      <x:c r="Y1405" s="20" t="n">
        <x:v>1</x:v>
      </x:c>
      <x:c r="Z1405" s="20" t="n">
        <x:v>1</x:v>
      </x:c>
      <x:c r="AA1405" s="19"/>
      <x:c r="AB1405" s="18"/>
      <x:c r="AC1405" s="19"/>
    </x:row>
    <x:row r="1406" ht="28" customHeight="1">
      <x:c r="A1406" s="18" t="str">
        <x:v>植田</x:v>
      </x:c>
      <x:c r="B1406" s="18" t="str">
        <x:v>名古屋市</x:v>
      </x:c>
      <x:c r="C1406" s="18" t="str">
        <x:v>metro</x:v>
      </x:c>
      <x:c r="D1406" s="19" t="str">
        <x:v>T2</x:v>
      </x:c>
      <x:c r="E1406" s="20" t="n">
        <x:v>15697</x:v>
      </x:c>
      <x:c r="F1406" s="18" t="str">
        <x:v>persons/day</x:v>
      </x:c>
      <x:c r="G1406" s="18" t="str">
        <x:v>FY2024</x:v>
      </x:c>
      <x:c r="H1406" s="18" t="str">
        <x:v>否</x:v>
      </x:c>
      <x:c r="I1406" s="19" t="str">
        <x:v>DAILY_ENTRIES_EXITS</x:v>
      </x:c>
      <x:c r="J1406" s="19" t="str">
        <x:v>3号線鶴舞線</x:v>
      </x:c>
      <x:c r="K1406" s="18" t="str">
        <x:v>transport-node:644e3293-9c97-5307-98a9-90942db5838c</x:v>
      </x:c>
      <x:c r="L1406" s="19" t="str">
        <x:v>组件待审核</x:v>
      </x:c>
      <x:c r="M1406" s="21" t="n">
        <x:v>35.1285</x:v>
      </x:c>
      <x:c r="N1406" s="21" t="n">
        <x:v>136.988555</x:v>
      </x:c>
      <x:c r="O1406" s="18" t="str">
        <x:v>005592</x:v>
      </x:c>
      <x:c r="P1406" s="18" t="str">
        <x:v>3号線鶴舞線</x:v>
      </x:c>
      <x:c r="Q1406" s="19" t="str">
        <x:v>S12_061_GE_10000</x:v>
      </x:c>
      <x:c r="R1406" s="19" t="str">
        <x:v>S12_061 usage threshold</x:v>
      </x:c>
      <x:c r="S1406" s="19" t="str">
        <x:v>https://nlftp.mlit.go.jp/ksj/gml/datalist/KsjTmplt-S12-2024.html</x:v>
      </x:c>
      <x:c r="T1406" s="19" t="str">
        <x:v>https://nlftp.mlit.go.jp/ksj/gml/datalist/KsjTmplt-S12-2024.html</x:v>
      </x:c>
      <x:c r="U1406" s="19" t="str">
        <x:v>station-component|植田|名古屋市|metro|35.1285|136.9886|</x:v>
      </x:c>
      <x:c r="V1406" s="19" t="str">
        <x:v>005592 / 005592 / 3号線鶴舞線</x:v>
      </x:c>
      <x:c r="W1406" s="18" t="str">
        <x:v>否</x:v>
      </x:c>
      <x:c r="X1406" s="18" t="str">
        <x:v>0785e932a32b3ec15e1a1345537ae145eafe1c07bf38d5c16c11ee2b391e7a28</x:v>
      </x:c>
      <x:c r="Y1406" s="20" t="n">
        <x:v>1</x:v>
      </x:c>
      <x:c r="Z1406" s="20" t="n">
        <x:v>1</x:v>
      </x:c>
      <x:c r="AA1406" s="19"/>
      <x:c r="AB1406" s="18"/>
      <x:c r="AC1406" s="19"/>
    </x:row>
    <x:row r="1407" ht="28" customHeight="1">
      <x:c r="A1407" s="18" t="str">
        <x:v>椎名町</x:v>
      </x:c>
      <x:c r="B1407" s="18" t="str">
        <x:v>西武鉄道</x:v>
      </x:c>
      <x:c r="C1407" s="18" t="str">
        <x:v>private_rail</x:v>
      </x:c>
      <x:c r="D1407" s="19" t="str">
        <x:v>T2</x:v>
      </x:c>
      <x:c r="E1407" s="20" t="n">
        <x:v>20617</x:v>
      </x:c>
      <x:c r="F1407" s="18" t="str">
        <x:v>persons/day</x:v>
      </x:c>
      <x:c r="G1407" s="18" t="str">
        <x:v>FY2024</x:v>
      </x:c>
      <x:c r="H1407" s="18" t="str">
        <x:v>否</x:v>
      </x:c>
      <x:c r="I1407" s="19" t="str">
        <x:v>DAILY_ENTRIES_EXITS</x:v>
      </x:c>
      <x:c r="J1407" s="19" t="str">
        <x:v>池袋線</x:v>
      </x:c>
      <x:c r="K1407" s="18" t="str">
        <x:v>transport-node:8b522d02-d78b-5edd-a23b-d5ac3f845213</x:v>
      </x:c>
      <x:c r="L1407" s="19" t="str">
        <x:v>组件待审核</x:v>
      </x:c>
      <x:c r="M1407" s="21" t="n">
        <x:v>35.726495</x:v>
      </x:c>
      <x:c r="N1407" s="21" t="n">
        <x:v>139.694315</x:v>
      </x:c>
      <x:c r="O1407" s="18" t="str">
        <x:v>003426</x:v>
      </x:c>
      <x:c r="P1407" s="18" t="str">
        <x:v>池袋線</x:v>
      </x:c>
      <x:c r="Q1407" s="19" t="str">
        <x:v>S12_061_GE_10000</x:v>
      </x:c>
      <x:c r="R1407" s="19" t="str">
        <x:v>S12_061 usage threshold</x:v>
      </x:c>
      <x:c r="S1407" s="19" t="str">
        <x:v>https://nlftp.mlit.go.jp/ksj/gml/datalist/KsjTmplt-S12-2024.html</x:v>
      </x:c>
      <x:c r="T1407" s="19" t="str">
        <x:v>https://nlftp.mlit.go.jp/ksj/gml/datalist/KsjTmplt-S12-2024.html</x:v>
      </x:c>
      <x:c r="U1407" s="19" t="str">
        <x:v>station-component|椎名町|西武鉄道|private_rail|35.7265|139.6943|</x:v>
      </x:c>
      <x:c r="V1407" s="19" t="str">
        <x:v>003426 / 003426 / 池袋線</x:v>
      </x:c>
      <x:c r="W1407" s="18" t="str">
        <x:v>否</x:v>
      </x:c>
      <x:c r="X1407" s="18" t="str">
        <x:v>0785e932a32b3ec15e1a1345537ae145eafe1c07bf38d5c16c11ee2b391e7a28</x:v>
      </x:c>
      <x:c r="Y1407" s="20" t="n">
        <x:v>1</x:v>
      </x:c>
      <x:c r="Z1407" s="20" t="n">
        <x:v>1</x:v>
      </x:c>
      <x:c r="AA1407" s="19"/>
      <x:c r="AB1407" s="18"/>
      <x:c r="AC1407" s="19"/>
    </x:row>
    <x:row r="1408" ht="28" customHeight="1">
      <x:c r="A1408" s="18" t="str">
        <x:v>検見川浜</x:v>
      </x:c>
      <x:c r="B1408" s="18" t="str">
        <x:v>東日本旅客鉄道</x:v>
      </x:c>
      <x:c r="C1408" s="18" t="str">
        <x:v>conventional_rail</x:v>
      </x:c>
      <x:c r="D1408" s="19" t="str">
        <x:v>T2</x:v>
      </x:c>
      <x:c r="E1408" s="20" t="n">
        <x:v>29902</x:v>
      </x:c>
      <x:c r="F1408" s="18" t="str">
        <x:v>persons/day</x:v>
      </x:c>
      <x:c r="G1408" s="18" t="str">
        <x:v>FY2024</x:v>
      </x:c>
      <x:c r="H1408" s="18" t="str">
        <x:v>否</x:v>
      </x:c>
      <x:c r="I1408" s="19" t="str">
        <x:v>DAILY_ENTRIES_EXITS</x:v>
      </x:c>
      <x:c r="J1408" s="19" t="str">
        <x:v>京葉線</x:v>
      </x:c>
      <x:c r="K1408" s="18" t="str">
        <x:v>transport-node:9d644ea3-2499-5ea0-9e5c-7a4290a08ca4</x:v>
      </x:c>
      <x:c r="L1408" s="19" t="str">
        <x:v>组件待审核</x:v>
      </x:c>
      <x:c r="M1408" s="21" t="n">
        <x:v>35.63717</x:v>
      </x:c>
      <x:c r="N1408" s="21" t="n">
        <x:v>140.059085</x:v>
      </x:c>
      <x:c r="O1408" s="18" t="str">
        <x:v>004049</x:v>
      </x:c>
      <x:c r="P1408" s="18" t="str">
        <x:v>京葉線</x:v>
      </x:c>
      <x:c r="Q1408" s="19" t="str">
        <x:v>S12_061_GE_10000</x:v>
      </x:c>
      <x:c r="R1408" s="19" t="str">
        <x:v>S12_061 usage threshold</x:v>
      </x:c>
      <x:c r="S1408" s="19" t="str">
        <x:v>https://nlftp.mlit.go.jp/ksj/gml/datalist/KsjTmplt-S12-2024.html</x:v>
      </x:c>
      <x:c r="T1408" s="19" t="str">
        <x:v>https://nlftp.mlit.go.jp/ksj/gml/datalist/KsjTmplt-S12-2024.html</x:v>
      </x:c>
      <x:c r="U1408" s="19" t="str">
        <x:v>station-component|検見川浜|東日本旅客鉄道|conventional_rail|35.6372|140.0591|</x:v>
      </x:c>
      <x:c r="V1408" s="19" t="str">
        <x:v>004049 / 004049 / 京葉線</x:v>
      </x:c>
      <x:c r="W1408" s="18" t="str">
        <x:v>否</x:v>
      </x:c>
      <x:c r="X1408" s="18" t="str">
        <x:v>0785e932a32b3ec15e1a1345537ae145eafe1c07bf38d5c16c11ee2b391e7a28</x:v>
      </x:c>
      <x:c r="Y1408" s="20" t="n">
        <x:v>1</x:v>
      </x:c>
      <x:c r="Z1408" s="20" t="n">
        <x:v>1</x:v>
      </x:c>
      <x:c r="AA1408" s="19"/>
      <x:c r="AB1408" s="18"/>
      <x:c r="AC1408" s="19"/>
    </x:row>
    <x:row r="1409" ht="28" customHeight="1">
      <x:c r="A1409" s="18" t="str">
        <x:v>椥辻</x:v>
      </x:c>
      <x:c r="B1409" s="18" t="str">
        <x:v>京都市</x:v>
      </x:c>
      <x:c r="C1409" s="18" t="str">
        <x:v>metro</x:v>
      </x:c>
      <x:c r="D1409" s="19" t="str">
        <x:v>T2</x:v>
      </x:c>
      <x:c r="E1409" s="20" t="n">
        <x:v>17001</x:v>
      </x:c>
      <x:c r="F1409" s="18" t="str">
        <x:v>persons/day</x:v>
      </x:c>
      <x:c r="G1409" s="18" t="str">
        <x:v>FY2024</x:v>
      </x:c>
      <x:c r="H1409" s="18" t="str">
        <x:v>否</x:v>
      </x:c>
      <x:c r="I1409" s="19" t="str">
        <x:v>DAILY_ENTRIES_EXITS</x:v>
      </x:c>
      <x:c r="J1409" s="19" t="str">
        <x:v>東西線</x:v>
      </x:c>
      <x:c r="K1409" s="18" t="str">
        <x:v>transport-node:f065c5c5-7a22-5b15-b8df-4cfa7b07848b</x:v>
      </x:c>
      <x:c r="L1409" s="19" t="str">
        <x:v>组件待审核</x:v>
      </x:c>
      <x:c r="M1409" s="21" t="n">
        <x:v>34.97268</x:v>
      </x:c>
      <x:c r="N1409" s="21" t="n">
        <x:v>135.8149125</x:v>
      </x:c>
      <x:c r="O1409" s="18" t="str">
        <x:v>006125</x:v>
      </x:c>
      <x:c r="P1409" s="18" t="str">
        <x:v>東西線</x:v>
      </x:c>
      <x:c r="Q1409" s="19" t="str">
        <x:v>S12_061_GE_10000</x:v>
      </x:c>
      <x:c r="R1409" s="19" t="str">
        <x:v>S12_061 usage threshold</x:v>
      </x:c>
      <x:c r="S1409" s="19" t="str">
        <x:v>https://nlftp.mlit.go.jp/ksj/gml/datalist/KsjTmplt-S12-2024.html</x:v>
      </x:c>
      <x:c r="T1409" s="19" t="str">
        <x:v>https://nlftp.mlit.go.jp/ksj/gml/datalist/KsjTmplt-S12-2024.html</x:v>
      </x:c>
      <x:c r="U1409" s="19" t="str">
        <x:v>station-component|椥辻|京都市|metro|34.9727|135.8149|</x:v>
      </x:c>
      <x:c r="V1409" s="19" t="str">
        <x:v>006125 / 006125 / 東西線</x:v>
      </x:c>
      <x:c r="W1409" s="18" t="str">
        <x:v>否</x:v>
      </x:c>
      <x:c r="X1409" s="18" t="str">
        <x:v>0785e932a32b3ec15e1a1345537ae145eafe1c07bf38d5c16c11ee2b391e7a28</x:v>
      </x:c>
      <x:c r="Y1409" s="20" t="n">
        <x:v>1</x:v>
      </x:c>
      <x:c r="Z1409" s="20" t="n">
        <x:v>1</x:v>
      </x:c>
      <x:c r="AA1409" s="19"/>
      <x:c r="AB1409" s="18"/>
      <x:c r="AC1409" s="19"/>
    </x:row>
    <x:row r="1410" ht="28" customHeight="1">
      <x:c r="A1410" s="18" t="str">
        <x:v>樟葉</x:v>
      </x:c>
      <x:c r="B1410" s="18" t="str">
        <x:v>京阪電気鉄道</x:v>
      </x:c>
      <x:c r="C1410" s="18" t="str">
        <x:v>private_rail</x:v>
      </x:c>
      <x:c r="D1410" s="19" t="str">
        <x:v>T2</x:v>
      </x:c>
      <x:c r="E1410" s="20" t="n">
        <x:v>47588</x:v>
      </x:c>
      <x:c r="F1410" s="18" t="str">
        <x:v>persons/day</x:v>
      </x:c>
      <x:c r="G1410" s="18" t="str">
        <x:v>FY2024</x:v>
      </x:c>
      <x:c r="H1410" s="18" t="str">
        <x:v>否</x:v>
      </x:c>
      <x:c r="I1410" s="19" t="str">
        <x:v>DAILY_ENTRIES_EXITS</x:v>
      </x:c>
      <x:c r="J1410" s="19" t="str">
        <x:v>京阪本線</x:v>
      </x:c>
      <x:c r="K1410" s="18" t="str">
        <x:v>transport-node:d36649bd-67df-5ddb-83d2-42df953c1de9</x:v>
      </x:c>
      <x:c r="L1410" s="19" t="str">
        <x:v>组件待审核</x:v>
      </x:c>
      <x:c r="M1410" s="21" t="n">
        <x:v>34.8618467</x:v>
      </x:c>
      <x:c r="N1410" s="21" t="n">
        <x:v>135.67534</x:v>
      </x:c>
      <x:c r="O1410" s="18" t="str">
        <x:v>006407</x:v>
      </x:c>
      <x:c r="P1410" s="18" t="str">
        <x:v>京阪本線</x:v>
      </x:c>
      <x:c r="Q1410" s="19" t="str">
        <x:v>S12_061_GE_10000</x:v>
      </x:c>
      <x:c r="R1410" s="19" t="str">
        <x:v>S12_061 usage threshold</x:v>
      </x:c>
      <x:c r="S1410" s="19" t="str">
        <x:v>https://nlftp.mlit.go.jp/ksj/gml/datalist/KsjTmplt-S12-2024.html</x:v>
      </x:c>
      <x:c r="T1410" s="19" t="str">
        <x:v>https://nlftp.mlit.go.jp/ksj/gml/datalist/KsjTmplt-S12-2024.html</x:v>
      </x:c>
      <x:c r="U1410" s="19" t="str">
        <x:v>station-component|樟葉|京阪電気鉄道|private_rail|34.8618|135.6753|</x:v>
      </x:c>
      <x:c r="V1410" s="19" t="str">
        <x:v>006407 / 006407 / 京阪本線</x:v>
      </x:c>
      <x:c r="W1410" s="18" t="str">
        <x:v>否</x:v>
      </x:c>
      <x:c r="X1410" s="18" t="str">
        <x:v>0785e932a32b3ec15e1a1345537ae145eafe1c07bf38d5c16c11ee2b391e7a28</x:v>
      </x:c>
      <x:c r="Y1410" s="20" t="n">
        <x:v>1</x:v>
      </x:c>
      <x:c r="Z1410" s="20" t="n">
        <x:v>1</x:v>
      </x:c>
      <x:c r="AA1410" s="19"/>
      <x:c r="AB1410" s="18"/>
      <x:c r="AC1410" s="19"/>
    </x:row>
    <x:row r="1411" ht="28" customHeight="1">
      <x:c r="A1411" s="18" t="str">
        <x:v>横堤</x:v>
      </x:c>
      <x:c r="B1411" s="18" t="str">
        <x:v>大阪市高速電気軌道</x:v>
      </x:c>
      <x:c r="C1411" s="18" t="str">
        <x:v>metro</x:v>
      </x:c>
      <x:c r="D1411" s="19" t="str">
        <x:v>T2</x:v>
      </x:c>
      <x:c r="E1411" s="20" t="n">
        <x:v>16936</x:v>
      </x:c>
      <x:c r="F1411" s="18" t="str">
        <x:v>persons/day</x:v>
      </x:c>
      <x:c r="G1411" s="18" t="str">
        <x:v>FY2024</x:v>
      </x:c>
      <x:c r="H1411" s="18" t="str">
        <x:v>否</x:v>
      </x:c>
      <x:c r="I1411" s="19" t="str">
        <x:v>DAILY_ENTRIES_EXITS</x:v>
      </x:c>
      <x:c r="J1411" s="19" t="str">
        <x:v>7号線(長堀鶴見緑地線)</x:v>
      </x:c>
      <x:c r="K1411" s="18" t="str">
        <x:v>transport-node:fb87e84e-58cb-5240-b154-0c0ee06e264c</x:v>
      </x:c>
      <x:c r="L1411" s="19" t="str">
        <x:v>组件待审核</x:v>
      </x:c>
      <x:c r="M1411" s="21" t="n">
        <x:v>34.70354</x:v>
      </x:c>
      <x:c r="N1411" s="21" t="n">
        <x:v>135.572675</x:v>
      </x:c>
      <x:c r="O1411" s="18" t="str">
        <x:v>007063</x:v>
      </x:c>
      <x:c r="P1411" s="18" t="str">
        <x:v>7号線(長堀鶴見緑地線)</x:v>
      </x:c>
      <x:c r="Q1411" s="19" t="str">
        <x:v>S12_061_GE_10000</x:v>
      </x:c>
      <x:c r="R1411" s="19" t="str">
        <x:v>S12_061 usage threshold</x:v>
      </x:c>
      <x:c r="S1411" s="19" t="str">
        <x:v>https://nlftp.mlit.go.jp/ksj/gml/datalist/KsjTmplt-S12-2024.html</x:v>
      </x:c>
      <x:c r="T1411" s="19" t="str">
        <x:v>https://nlftp.mlit.go.jp/ksj/gml/datalist/KsjTmplt-S12-2024.html</x:v>
      </x:c>
      <x:c r="U1411" s="19" t="str">
        <x:v>station-component|横堤|大阪市高速電気軌道|metro|34.7035|135.5727|</x:v>
      </x:c>
      <x:c r="V1411" s="19" t="str">
        <x:v>007063 / 007063 / 7号線(長堀鶴見緑地線)</x:v>
      </x:c>
      <x:c r="W1411" s="18" t="str">
        <x:v>否</x:v>
      </x:c>
      <x:c r="X1411" s="18" t="str">
        <x:v>0785e932a32b3ec15e1a1345537ae145eafe1c07bf38d5c16c11ee2b391e7a28</x:v>
      </x:c>
      <x:c r="Y1411" s="20" t="n">
        <x:v>1</x:v>
      </x:c>
      <x:c r="Z1411" s="20" t="n">
        <x:v>1</x:v>
      </x:c>
      <x:c r="AA1411" s="19"/>
      <x:c r="AB1411" s="18"/>
      <x:c r="AC1411" s="19"/>
    </x:row>
    <x:row r="1412" ht="33" customHeight="1">
      <x:c r="A1412" s="18" t="str">
        <x:v>横川</x:v>
      </x:c>
      <x:c r="B1412" s="18" t="str">
        <x:v>西日本旅客鉄道</x:v>
      </x:c>
      <x:c r="C1412" s="18" t="str">
        <x:v>conventional_rail</x:v>
      </x:c>
      <x:c r="D1412" s="19" t="str">
        <x:v>T2</x:v>
      </x:c>
      <x:c r="E1412" s="20" t="n">
        <x:v>31826</x:v>
      </x:c>
      <x:c r="F1412" s="18" t="str">
        <x:v>persons/day</x:v>
      </x:c>
      <x:c r="G1412" s="18" t="str">
        <x:v>FY2024</x:v>
      </x:c>
      <x:c r="H1412" s="18" t="str">
        <x:v>否</x:v>
      </x:c>
      <x:c r="I1412" s="19" t="str">
        <x:v>DAILY_ENTRIES_EXITS</x:v>
      </x:c>
      <x:c r="J1412" s="19" t="str">
        <x:v>可部線
山陽線</x:v>
      </x:c>
      <x:c r="K1412" s="18" t="str">
        <x:v>transport-node:a093545e-2326-55f3-8dcf-736a0ba949bc</x:v>
      </x:c>
      <x:c r="L1412" s="19" t="str">
        <x:v>组件待审核</x:v>
      </x:c>
      <x:c r="M1412" s="21" t="n">
        <x:v>34.4101233</x:v>
      </x:c>
      <x:c r="N1412" s="21" t="n">
        <x:v>132.4500767</x:v>
      </x:c>
      <x:c r="O1412" s="18" t="str">
        <x:v>007999</x:v>
      </x:c>
      <x:c r="P1412" s="18" t="str">
        <x:v>山陽線</x:v>
      </x:c>
      <x:c r="Q1412" s="19" t="str">
        <x:v>S12_061_GE_10000</x:v>
      </x:c>
      <x:c r="R1412" s="19" t="str">
        <x:v>S12_061 usage threshold</x:v>
      </x:c>
      <x:c r="S1412" s="19" t="str">
        <x:v>https://nlftp.mlit.go.jp/ksj/gml/datalist/KsjTmplt-S12-2024.html</x:v>
      </x:c>
      <x:c r="T1412" s="19" t="str">
        <x:v>https://nlftp.mlit.go.jp/ksj/gml/datalist/KsjTmplt-S12-2024.html</x:v>
      </x:c>
      <x:c r="U1412" s="19" t="str">
        <x:v>station-component|横川|西日本旅客鉄道|conventional_rail|34.4101|132.4501|</x:v>
      </x:c>
      <x:c r="V1412" s="19" t="str">
        <x:v>007998 / 007998 / 可部線
007998 / 007999 / 山陽線</x:v>
      </x:c>
      <x:c r="W1412" s="18" t="str">
        <x:v>否</x:v>
      </x:c>
      <x:c r="X1412" s="18" t="str">
        <x:v>0785e932a32b3ec15e1a1345537ae145eafe1c07bf38d5c16c11ee2b391e7a28</x:v>
      </x:c>
      <x:c r="Y1412" s="20" t="n">
        <x:v>1</x:v>
      </x:c>
      <x:c r="Z1412" s="20" t="n">
        <x:v>1</x:v>
      </x:c>
      <x:c r="AA1412" s="19"/>
      <x:c r="AB1412" s="18"/>
      <x:c r="AC1412" s="19"/>
    </x:row>
    <x:row r="1413" ht="33" customHeight="1">
      <x:c r="A1413" s="18" t="str">
        <x:v>横浜</x:v>
      </x:c>
      <x:c r="B1413" s="18" t="str">
        <x:v>京浜急行電鉄</x:v>
      </x:c>
      <x:c r="C1413" s="18" t="str">
        <x:v>private_rail</x:v>
      </x:c>
      <x:c r="D1413" s="19" t="str">
        <x:v>T0</x:v>
      </x:c>
      <x:c r="E1413" s="20" t="n">
        <x:v>297707</x:v>
      </x:c>
      <x:c r="F1413" s="18" t="str">
        <x:v>persons/day</x:v>
      </x:c>
      <x:c r="G1413" s="18" t="str">
        <x:v>FY2024</x:v>
      </x:c>
      <x:c r="H1413" s="18" t="str">
        <x:v>否</x:v>
      </x:c>
      <x:c r="I1413" s="19" t="str">
        <x:v>DAILY_ENTRIES_EXITS</x:v>
      </x:c>
      <x:c r="J1413" s="19" t="str">
        <x:v>本線</x:v>
      </x:c>
      <x:c r="K1413" s="18" t="str">
        <x:v>transport-node:bf678dbf-47c0-5c45-9bfc-ec780217121b</x:v>
      </x:c>
      <x:c r="L1413" s="19" t="str">
        <x:v>组件待审核</x:v>
      </x:c>
      <x:c r="M1413" s="21" t="n">
        <x:v>35.46625</x:v>
      </x:c>
      <x:c r="N1413" s="21" t="n">
        <x:v>139.623125</x:v>
      </x:c>
      <x:c r="O1413" s="18" t="str">
        <x:v>004631</x:v>
      </x:c>
      <x:c r="P1413" s="18" t="str">
        <x:v>本線</x:v>
      </x:c>
      <x:c r="Q1413" s="19" t="str">
        <x:v>S12_061_GE_10000
OFFICIAL_HUB_COMPONENT_REVIEW</x:v>
      </x:c>
      <x:c r="R1413" s="19" t="str">
        <x:v>S12_061 usage threshold</x:v>
      </x:c>
      <x:c r="S1413" s="19" t="str">
        <x:v>https://nlftp.mlit.go.jp/ksj/gml/datalist/KsjTmplt-S12-2024.html</x:v>
      </x:c>
      <x:c r="T1413" s="19" t="str">
        <x:v>https://nlftp.mlit.go.jp/ksj/gml/datalist/KsjTmplt-S12-2024.html
https://www.keikyu.co.jp/ride/kakueki/</x:v>
      </x:c>
      <x:c r="U1413" s="19" t="str">
        <x:v>station-component|横浜|京浜急行電鉄|private_rail|35.4663|139.6231|</x:v>
      </x:c>
      <x:c r="V1413" s="19" t="str">
        <x:v>004633 / 004631 / 本線</x:v>
      </x:c>
      <x:c r="W1413" s="18" t="str">
        <x:v>否</x:v>
      </x:c>
      <x:c r="X1413" s="18" t="str">
        <x:v>0785e932a32b3ec15e1a1345537ae145eafe1c07bf38d5c16c11ee2b391e7a28</x:v>
      </x:c>
      <x:c r="Y1413" s="20" t="n">
        <x:v>1</x:v>
      </x:c>
      <x:c r="Z1413" s="20" t="n">
        <x:v>1</x:v>
      </x:c>
      <x:c r="AA1413" s="19" t="str">
        <x:v>横浜</x:v>
      </x:c>
      <x:c r="AB1413" s="18" t="str">
        <x:v>transport-hub-review:835ee339-1ba6-513f-8fd2-604b7d6c8cb6</x:v>
      </x:c>
      <x:c r="AC1413" s="19"/>
    </x:row>
    <x:row r="1414" ht="33" customHeight="1">
      <x:c r="A1414" s="18" t="str">
        <x:v>横浜</x:v>
      </x:c>
      <x:c r="B1414" s="18" t="str">
        <x:v>東急電鉄</x:v>
      </x:c>
      <x:c r="C1414" s="18" t="str">
        <x:v>private_rail</x:v>
      </x:c>
      <x:c r="D1414" s="19" t="str">
        <x:v>T0</x:v>
      </x:c>
      <x:c r="E1414" s="20" t="n">
        <x:v>514860</x:v>
      </x:c>
      <x:c r="F1414" s="18" t="str">
        <x:v>persons/day</x:v>
      </x:c>
      <x:c r="G1414" s="18" t="str">
        <x:v>FY2024</x:v>
      </x:c>
      <x:c r="H1414" s="18" t="str">
        <x:v>否</x:v>
      </x:c>
      <x:c r="I1414" s="19" t="str">
        <x:v>DAILY_ENTRIES_EXITS</x:v>
      </x:c>
      <x:c r="J1414" s="19" t="str">
        <x:v>東横線</x:v>
      </x:c>
      <x:c r="K1414" s="18" t="str">
        <x:v>transport-node:6ade422d-15dd-51d8-9573-ed3a7ea8f787</x:v>
      </x:c>
      <x:c r="L1414" s="19" t="str">
        <x:v>组件待审核</x:v>
      </x:c>
      <x:c r="M1414" s="21" t="n">
        <x:v>35.466435</x:v>
      </x:c>
      <x:c r="N1414" s="21" t="n">
        <x:v>139.62235</x:v>
      </x:c>
      <x:c r="O1414" s="18" t="str">
        <x:v>004628</x:v>
      </x:c>
      <x:c r="P1414" s="18" t="str">
        <x:v>東横線</x:v>
      </x:c>
      <x:c r="Q1414" s="19" t="str">
        <x:v>S12_061_GE_10000
OFFICIAL_HUB_COMPONENT_REVIEW</x:v>
      </x:c>
      <x:c r="R1414" s="19" t="str">
        <x:v>S12_061 usage threshold</x:v>
      </x:c>
      <x:c r="S1414" s="19" t="str">
        <x:v>https://nlftp.mlit.go.jp/ksj/gml/datalist/KsjTmplt-S12-2024.html</x:v>
      </x:c>
      <x:c r="T1414" s="19" t="str">
        <x:v>https://nlftp.mlit.go.jp/ksj/gml/datalist/KsjTmplt-S12-2024.html
https://www.keikyu.co.jp/ride/kakueki/</x:v>
      </x:c>
      <x:c r="U1414" s="19" t="str">
        <x:v>station-component|横浜|東急電鉄|private_rail|35.4664|139.6224|</x:v>
      </x:c>
      <x:c r="V1414" s="19" t="str">
        <x:v>004633 / 004628 / 東横線</x:v>
      </x:c>
      <x:c r="W1414" s="18" t="str">
        <x:v>否</x:v>
      </x:c>
      <x:c r="X1414" s="18" t="str">
        <x:v>0785e932a32b3ec15e1a1345537ae145eafe1c07bf38d5c16c11ee2b391e7a28</x:v>
      </x:c>
      <x:c r="Y1414" s="20" t="n">
        <x:v>1</x:v>
      </x:c>
      <x:c r="Z1414" s="20" t="n">
        <x:v>1</x:v>
      </x:c>
      <x:c r="AA1414" s="19" t="str">
        <x:v>横浜</x:v>
      </x:c>
      <x:c r="AB1414" s="18" t="str">
        <x:v>transport-hub-review:835ee339-1ba6-513f-8fd2-604b7d6c8cb6</x:v>
      </x:c>
      <x:c r="AC1414" s="19"/>
    </x:row>
    <x:row r="1415" ht="33" customHeight="1">
      <x:c r="A1415" s="18" t="str">
        <x:v>横浜</x:v>
      </x:c>
      <x:c r="B1415" s="18" t="str">
        <x:v>東日本旅客鉄道</x:v>
      </x:c>
      <x:c r="C1415" s="18" t="str">
        <x:v>conventional_rail</x:v>
      </x:c>
      <x:c r="D1415" s="19" t="str">
        <x:v>T0</x:v>
      </x:c>
      <x:c r="E1415" s="20" t="n">
        <x:v>746020</x:v>
      </x:c>
      <x:c r="F1415" s="18" t="str">
        <x:v>persons/day</x:v>
      </x:c>
      <x:c r="G1415" s="18" t="str">
        <x:v>FY2024</x:v>
      </x:c>
      <x:c r="H1415" s="18" t="str">
        <x:v>否</x:v>
      </x:c>
      <x:c r="I1415" s="19" t="str">
        <x:v>DAILY_ENTRIES_EXITS</x:v>
      </x:c>
      <x:c r="J1415" s="19" t="str">
        <x:v>東海道線
根岸線</x:v>
      </x:c>
      <x:c r="K1415" s="18" t="str">
        <x:v>transport-node:55b953b1-ed09-50c0-a500-4a1e77e2d01e</x:v>
      </x:c>
      <x:c r="L1415" s="19" t="str">
        <x:v>组件待审核</x:v>
      </x:c>
      <x:c r="M1415" s="21" t="n">
        <x:v>35.4654075</x:v>
      </x:c>
      <x:c r="N1415" s="21" t="n">
        <x:v>139.6222525</x:v>
      </x:c>
      <x:c r="O1415" s="18" t="str">
        <x:v>004634</x:v>
      </x:c>
      <x:c r="P1415" s="18" t="str">
        <x:v>東海道線</x:v>
      </x:c>
      <x:c r="Q1415" s="19" t="str">
        <x:v>S12_061_GE_10000
OFFICIAL_HUB_COMPONENT_REVIEW</x:v>
      </x:c>
      <x:c r="R1415" s="19" t="str">
        <x:v>S12_061 usage threshold</x:v>
      </x:c>
      <x:c r="S1415" s="19" t="str">
        <x:v>https://nlftp.mlit.go.jp/ksj/gml/datalist/KsjTmplt-S12-2024.html</x:v>
      </x:c>
      <x:c r="T1415" s="19" t="str">
        <x:v>https://nlftp.mlit.go.jp/ksj/gml/datalist/KsjTmplt-S12-2024.html
https://www.keikyu.co.jp/ride/kakueki/</x:v>
      </x:c>
      <x:c r="U1415" s="19" t="str">
        <x:v>station-component|横浜|東日本旅客鉄道|conventional_rail|35.4654|139.6223|</x:v>
      </x:c>
      <x:c r="V1415" s="19" t="str">
        <x:v>004633 / 004634 / 東海道線
004633 / 004635 / 根岸線</x:v>
      </x:c>
      <x:c r="W1415" s="18" t="str">
        <x:v>否</x:v>
      </x:c>
      <x:c r="X1415" s="18" t="str">
        <x:v>0785e932a32b3ec15e1a1345537ae145eafe1c07bf38d5c16c11ee2b391e7a28</x:v>
      </x:c>
      <x:c r="Y1415" s="20" t="n">
        <x:v>1</x:v>
      </x:c>
      <x:c r="Z1415" s="20" t="n">
        <x:v>1</x:v>
      </x:c>
      <x:c r="AA1415" s="19" t="str">
        <x:v>横浜</x:v>
      </x:c>
      <x:c r="AB1415" s="18" t="str">
        <x:v>transport-hub-review:835ee339-1ba6-513f-8fd2-604b7d6c8cb6</x:v>
      </x:c>
      <x:c r="AC1415" s="19"/>
    </x:row>
    <x:row r="1416" ht="33" customHeight="1">
      <x:c r="A1416" s="18" t="str">
        <x:v>横浜</x:v>
      </x:c>
      <x:c r="B1416" s="18" t="str">
        <x:v>横浜市</x:v>
      </x:c>
      <x:c r="C1416" s="18" t="str">
        <x:v>metro</x:v>
      </x:c>
      <x:c r="D1416" s="19" t="str">
        <x:v>T1</x:v>
      </x:c>
      <x:c r="E1416" s="20" t="n">
        <x:v>63471</x:v>
      </x:c>
      <x:c r="F1416" s="18" t="str">
        <x:v>persons/day</x:v>
      </x:c>
      <x:c r="G1416" s="18" t="str">
        <x:v>FY2024</x:v>
      </x:c>
      <x:c r="H1416" s="18" t="str">
        <x:v>否</x:v>
      </x:c>
      <x:c r="I1416" s="19" t="str">
        <x:v>DAILY_ENTRIES_EXITS</x:v>
      </x:c>
      <x:c r="J1416" s="19" t="str">
        <x:v>3号線</x:v>
      </x:c>
      <x:c r="K1416" s="18" t="str">
        <x:v>transport-node:62724ba3-898f-581d-9d70-f0dac4adbddc</x:v>
      </x:c>
      <x:c r="L1416" s="19" t="str">
        <x:v>组件待审核</x:v>
      </x:c>
      <x:c r="M1416" s="21" t="n">
        <x:v>35.465406</x:v>
      </x:c>
      <x:c r="N1416" s="21" t="n">
        <x:v>139.620144</x:v>
      </x:c>
      <x:c r="O1416" s="18" t="str">
        <x:v>004636</x:v>
      </x:c>
      <x:c r="P1416" s="18" t="str">
        <x:v>3号線</x:v>
      </x:c>
      <x:c r="Q1416" s="19" t="str">
        <x:v>S12_061_GE_10000
OFFICIAL_HUB_COMPONENT_REVIEW</x:v>
      </x:c>
      <x:c r="R1416" s="19" t="str">
        <x:v>S12_061 usage threshold</x:v>
      </x:c>
      <x:c r="S1416" s="19" t="str">
        <x:v>https://nlftp.mlit.go.jp/ksj/gml/datalist/KsjTmplt-S12-2024.html</x:v>
      </x:c>
      <x:c r="T1416" s="19" t="str">
        <x:v>https://nlftp.mlit.go.jp/ksj/gml/datalist/KsjTmplt-S12-2024.html
https://www.keikyu.co.jp/ride/kakueki/</x:v>
      </x:c>
      <x:c r="U1416" s="19" t="str">
        <x:v>station-component|横浜|横浜市|metro|35.4654|139.6201|</x:v>
      </x:c>
      <x:c r="V1416" s="19" t="str">
        <x:v>004633 / 004636 / 3号線</x:v>
      </x:c>
      <x:c r="W1416" s="18" t="str">
        <x:v>否</x:v>
      </x:c>
      <x:c r="X1416" s="18" t="str">
        <x:v>0785e932a32b3ec15e1a1345537ae145eafe1c07bf38d5c16c11ee2b391e7a28</x:v>
      </x:c>
      <x:c r="Y1416" s="20" t="n">
        <x:v>1</x:v>
      </x:c>
      <x:c r="Z1416" s="20" t="n">
        <x:v>1</x:v>
      </x:c>
      <x:c r="AA1416" s="19" t="str">
        <x:v>横浜</x:v>
      </x:c>
      <x:c r="AB1416" s="18" t="str">
        <x:v>transport-hub-review:835ee339-1ba6-513f-8fd2-604b7d6c8cb6</x:v>
      </x:c>
      <x:c r="AC1416" s="19"/>
    </x:row>
    <x:row r="1417" ht="33" customHeight="1">
      <x:c r="A1417" s="18" t="str">
        <x:v>横浜</x:v>
      </x:c>
      <x:c r="B1417" s="18" t="str">
        <x:v>横浜高速鉄道</x:v>
      </x:c>
      <x:c r="C1417" s="18" t="str">
        <x:v>private_rail</x:v>
      </x:c>
      <x:c r="D1417" s="19"/>
      <x:c r="E1417" s="20"/>
      <x:c r="F1417" s="18"/>
      <x:c r="G1417" s="18" t="str">
        <x:v>FY2024</x:v>
      </x:c>
      <x:c r="H1417" s="18" t="str">
        <x:v>是</x:v>
      </x:c>
      <x:c r="I1417" s="19" t="str">
        <x:v>USAGE_DATA_UNAVAILABLE</x:v>
      </x:c>
      <x:c r="J1417" s="19" t="str">
        <x:v>みなとみらい21線</x:v>
      </x:c>
      <x:c r="K1417" s="18" t="str">
        <x:v>transport-node:f98e6c23-c422-5496-894e-8be76e08a55d</x:v>
      </x:c>
      <x:c r="L1417" s="19" t="str">
        <x:v>组件待审核</x:v>
      </x:c>
      <x:c r="M1417" s="21" t="n">
        <x:v>35.466435</x:v>
      </x:c>
      <x:c r="N1417" s="21" t="n">
        <x:v>139.62235</x:v>
      </x:c>
      <x:c r="O1417" s="18" t="str">
        <x:v>004629</x:v>
      </x:c>
      <x:c r="P1417" s="18" t="str">
        <x:v>みなとみらい21線</x:v>
      </x:c>
      <x:c r="Q1417" s="19" t="str">
        <x:v>OFFICIAL_HUB_COMPONENT_REVIEW</x:v>
      </x:c>
      <x:c r="R1417" s="19" t="str">
        <x:v>Official S12 usage unavailable; manual tier review required</x:v>
      </x:c>
      <x:c r="S1417" s="19" t="str">
        <x:v>https://nlftp.mlit.go.jp/ksj/gml/datalist/KsjTmplt-S12-2024.html</x:v>
      </x:c>
      <x:c r="T1417" s="19" t="str">
        <x:v>https://nlftp.mlit.go.jp/ksj/gml/datalist/KsjTmplt-S12-2024.html
https://www.keikyu.co.jp/ride/kakueki/</x:v>
      </x:c>
      <x:c r="U1417" s="19" t="str">
        <x:v>station-component|横浜|横浜高速鉄道|private_rail|35.4664|139.6224|</x:v>
      </x:c>
      <x:c r="V1417" s="19" t="str">
        <x:v>004633 / 004629 / みなとみらい21線</x:v>
      </x:c>
      <x:c r="W1417" s="18" t="str">
        <x:v>否</x:v>
      </x:c>
      <x:c r="X1417" s="18" t="str">
        <x:v>0785e932a32b3ec15e1a1345537ae145eafe1c07bf38d5c16c11ee2b391e7a28</x:v>
      </x:c>
      <x:c r="Y1417" s="20" t="n">
        <x:v>1</x:v>
      </x:c>
      <x:c r="Z1417" s="20" t="n">
        <x:v>2</x:v>
      </x:c>
      <x:c r="AA1417" s="19" t="str">
        <x:v>横浜</x:v>
      </x:c>
      <x:c r="AB1417" s="18" t="str">
        <x:v>transport-hub-review:835ee339-1ba6-513f-8fd2-604b7d6c8cb6</x:v>
      </x:c>
      <x:c r="AC1417" s="19"/>
    </x:row>
    <x:row r="1418" ht="33" customHeight="1">
      <x:c r="A1418" s="18" t="str">
        <x:v>横浜</x:v>
      </x:c>
      <x:c r="B1418" s="18" t="str">
        <x:v>相模鉄道</x:v>
      </x:c>
      <x:c r="C1418" s="18" t="str">
        <x:v>private_rail</x:v>
      </x:c>
      <x:c r="D1418" s="19" t="str">
        <x:v>T0</x:v>
      </x:c>
      <x:c r="E1418" s="20" t="n">
        <x:v>314229</x:v>
      </x:c>
      <x:c r="F1418" s="18" t="str">
        <x:v>persons/day</x:v>
      </x:c>
      <x:c r="G1418" s="18" t="str">
        <x:v>FY2024</x:v>
      </x:c>
      <x:c r="H1418" s="18" t="str">
        <x:v>否</x:v>
      </x:c>
      <x:c r="I1418" s="19" t="str">
        <x:v>DAILY_ENTRIES_EXITS</x:v>
      </x:c>
      <x:c r="J1418" s="19" t="str">
        <x:v>相鉄本線</x:v>
      </x:c>
      <x:c r="K1418" s="18" t="str">
        <x:v>transport-node:763251e7-de92-56cc-b55b-3c2495650766</x:v>
      </x:c>
      <x:c r="L1418" s="19" t="str">
        <x:v>组件待审核</x:v>
      </x:c>
      <x:c r="M1418" s="21" t="n">
        <x:v>35.4657567</x:v>
      </x:c>
      <x:c r="N1418" s="21" t="n">
        <x:v>139.62205</x:v>
      </x:c>
      <x:c r="O1418" s="18" t="str">
        <x:v>004633</x:v>
      </x:c>
      <x:c r="P1418" s="18" t="str">
        <x:v>相鉄本線</x:v>
      </x:c>
      <x:c r="Q1418" s="19" t="str">
        <x:v>S12_061_GE_10000
OFFICIAL_HUB_COMPONENT_REVIEW</x:v>
      </x:c>
      <x:c r="R1418" s="19" t="str">
        <x:v>S12_061 usage threshold</x:v>
      </x:c>
      <x:c r="S1418" s="19" t="str">
        <x:v>https://nlftp.mlit.go.jp/ksj/gml/datalist/KsjTmplt-S12-2024.html</x:v>
      </x:c>
      <x:c r="T1418" s="19" t="str">
        <x:v>https://nlftp.mlit.go.jp/ksj/gml/datalist/KsjTmplt-S12-2024.html
https://www.keikyu.co.jp/ride/kakueki/</x:v>
      </x:c>
      <x:c r="U1418" s="19" t="str">
        <x:v>station-component|横浜|相模鉄道|private_rail|35.4658|139.6221|</x:v>
      </x:c>
      <x:c r="V1418" s="19" t="str">
        <x:v>004633 / 004633 / 相鉄本線</x:v>
      </x:c>
      <x:c r="W1418" s="18" t="str">
        <x:v>否</x:v>
      </x:c>
      <x:c r="X1418" s="18" t="str">
        <x:v>0785e932a32b3ec15e1a1345537ae145eafe1c07bf38d5c16c11ee2b391e7a28</x:v>
      </x:c>
      <x:c r="Y1418" s="20" t="n">
        <x:v>1</x:v>
      </x:c>
      <x:c r="Z1418" s="20" t="n">
        <x:v>1</x:v>
      </x:c>
      <x:c r="AA1418" s="19" t="str">
        <x:v>横浜</x:v>
      </x:c>
      <x:c r="AB1418" s="18" t="str">
        <x:v>transport-hub-review:835ee339-1ba6-513f-8fd2-604b7d6c8cb6</x:v>
      </x:c>
      <x:c r="AC1418" s="19"/>
    </x:row>
    <x:row r="1419" ht="28" customHeight="1">
      <x:c r="A1419" s="18" t="str">
        <x:v>横須賀中央</x:v>
      </x:c>
      <x:c r="B1419" s="18" t="str">
        <x:v>京浜急行電鉄</x:v>
      </x:c>
      <x:c r="C1419" s="18" t="str">
        <x:v>private_rail</x:v>
      </x:c>
      <x:c r="D1419" s="19" t="str">
        <x:v>T1</x:v>
      </x:c>
      <x:c r="E1419" s="20" t="n">
        <x:v>58695</x:v>
      </x:c>
      <x:c r="F1419" s="18" t="str">
        <x:v>persons/day</x:v>
      </x:c>
      <x:c r="G1419" s="18" t="str">
        <x:v>FY2024</x:v>
      </x:c>
      <x:c r="H1419" s="18" t="str">
        <x:v>否</x:v>
      </x:c>
      <x:c r="I1419" s="19" t="str">
        <x:v>DAILY_ENTRIES_EXITS</x:v>
      </x:c>
      <x:c r="J1419" s="19" t="str">
        <x:v>本線</x:v>
      </x:c>
      <x:c r="K1419" s="18" t="str">
        <x:v>transport-node:f66d6d5d-f049-5dda-bd0d-5c8ece453694</x:v>
      </x:c>
      <x:c r="L1419" s="19" t="str">
        <x:v>组件待审核</x:v>
      </x:c>
      <x:c r="M1419" s="21" t="n">
        <x:v>35.2788371</x:v>
      </x:c>
      <x:c r="N1419" s="21" t="n">
        <x:v>139.6697886</x:v>
      </x:c>
      <x:c r="O1419" s="18" t="str">
        <x:v>005163</x:v>
      </x:c>
      <x:c r="P1419" s="18" t="str">
        <x:v>本線</x:v>
      </x:c>
      <x:c r="Q1419" s="19" t="str">
        <x:v>S12_061_GE_10000</x:v>
      </x:c>
      <x:c r="R1419" s="19" t="str">
        <x:v>S12_061 usage threshold</x:v>
      </x:c>
      <x:c r="S1419" s="19" t="str">
        <x:v>https://nlftp.mlit.go.jp/ksj/gml/datalist/KsjTmplt-S12-2024.html</x:v>
      </x:c>
      <x:c r="T1419" s="19" t="str">
        <x:v>https://nlftp.mlit.go.jp/ksj/gml/datalist/KsjTmplt-S12-2024.html</x:v>
      </x:c>
      <x:c r="U1419" s="19" t="str">
        <x:v>station-component|横須賀中央|京浜急行電鉄|private_rail|35.2788|139.6698|</x:v>
      </x:c>
      <x:c r="V1419" s="19" t="str">
        <x:v>005163 / 005163 / 本線</x:v>
      </x:c>
      <x:c r="W1419" s="18" t="str">
        <x:v>否</x:v>
      </x:c>
      <x:c r="X1419" s="18" t="str">
        <x:v>0785e932a32b3ec15e1a1345537ae145eafe1c07bf38d5c16c11ee2b391e7a28</x:v>
      </x:c>
      <x:c r="Y1419" s="20" t="n">
        <x:v>1</x:v>
      </x:c>
      <x:c r="Z1419" s="20" t="n">
        <x:v>1</x:v>
      </x:c>
      <x:c r="AA1419" s="19"/>
      <x:c r="AB1419" s="18"/>
      <x:c r="AC1419" s="19"/>
    </x:row>
    <x:row r="1420" ht="33" customHeight="1">
      <x:c r="A1420" s="18" t="str">
        <x:v>橋本</x:v>
      </x:c>
      <x:c r="B1420" s="18" t="str">
        <x:v>京王電鉄</x:v>
      </x:c>
      <x:c r="C1420" s="18" t="str">
        <x:v>private_rail</x:v>
      </x:c>
      <x:c r="D1420" s="19" t="str">
        <x:v>T1</x:v>
      </x:c>
      <x:c r="E1420" s="20" t="n">
        <x:v>88419</x:v>
      </x:c>
      <x:c r="F1420" s="18" t="str">
        <x:v>persons/day</x:v>
      </x:c>
      <x:c r="G1420" s="18" t="str">
        <x:v>FY2024</x:v>
      </x:c>
      <x:c r="H1420" s="18" t="str">
        <x:v>否</x:v>
      </x:c>
      <x:c r="I1420" s="19" t="str">
        <x:v>DAILY_ENTRIES_EXITS</x:v>
      </x:c>
      <x:c r="J1420" s="19" t="str">
        <x:v>相模原線</x:v>
      </x:c>
      <x:c r="K1420" s="18" t="str">
        <x:v>transport-node:8d44b98d-f5f7-53ee-b7e6-10393e409a86</x:v>
      </x:c>
      <x:c r="L1420" s="19" t="str">
        <x:v>组件待审核</x:v>
      </x:c>
      <x:c r="M1420" s="21" t="n">
        <x:v>35.59521</x:v>
      </x:c>
      <x:c r="N1420" s="21" t="n">
        <x:v>139.34354</x:v>
      </x:c>
      <x:c r="O1420" s="18" t="str">
        <x:v>004250</x:v>
      </x:c>
      <x:c r="P1420" s="18" t="str">
        <x:v>相模原線</x:v>
      </x:c>
      <x:c r="Q1420" s="19" t="str">
        <x:v>S12_061_GE_10000
OFFICIAL_HUB_COMPONENT_REVIEW</x:v>
      </x:c>
      <x:c r="R1420" s="19" t="str">
        <x:v>S12_061 usage threshold</x:v>
      </x:c>
      <x:c r="S1420" s="19" t="str">
        <x:v>https://nlftp.mlit.go.jp/ksj/gml/datalist/KsjTmplt-S12-2024.html</x:v>
      </x:c>
      <x:c r="T1420" s="19" t="str">
        <x:v>https://nlftp.mlit.go.jp/ksj/gml/datalist/KsjTmplt-S12-2024.html
https://www.keio.co.jp/train/station/</x:v>
      </x:c>
      <x:c r="U1420" s="19" t="str">
        <x:v>station-component|橋本|京王電鉄|private_rail|35.5952|139.3435|</x:v>
      </x:c>
      <x:c r="V1420" s="19" t="str">
        <x:v>004253 / 004250 / 相模原線</x:v>
      </x:c>
      <x:c r="W1420" s="18" t="str">
        <x:v>否</x:v>
      </x:c>
      <x:c r="X1420" s="18" t="str">
        <x:v>0785e932a32b3ec15e1a1345537ae145eafe1c07bf38d5c16c11ee2b391e7a28</x:v>
      </x:c>
      <x:c r="Y1420" s="20" t="n">
        <x:v>1</x:v>
      </x:c>
      <x:c r="Z1420" s="20" t="n">
        <x:v>1</x:v>
      </x:c>
      <x:c r="AA1420" s="19" t="str">
        <x:v>橋本</x:v>
      </x:c>
      <x:c r="AB1420" s="18" t="str">
        <x:v>transport-hub-review:9c8320f4-a321-5eda-b423-1b7e26e4b630</x:v>
      </x:c>
      <x:c r="AC1420" s="19"/>
    </x:row>
    <x:row r="1421" ht="33" customHeight="1">
      <x:c r="A1421" s="18" t="str">
        <x:v>橋本</x:v>
      </x:c>
      <x:c r="B1421" s="18" t="str">
        <x:v>東日本旅客鉄道</x:v>
      </x:c>
      <x:c r="C1421" s="18" t="str">
        <x:v>conventional_rail</x:v>
      </x:c>
      <x:c r="D1421" s="19" t="str">
        <x:v>T1</x:v>
      </x:c>
      <x:c r="E1421" s="20" t="n">
        <x:v>122330</x:v>
      </x:c>
      <x:c r="F1421" s="18" t="str">
        <x:v>persons/day</x:v>
      </x:c>
      <x:c r="G1421" s="18" t="str">
        <x:v>FY2024</x:v>
      </x:c>
      <x:c r="H1421" s="18" t="str">
        <x:v>否</x:v>
      </x:c>
      <x:c r="I1421" s="19" t="str">
        <x:v>DAILY_ENTRIES_EXITS</x:v>
      </x:c>
      <x:c r="J1421" s="19" t="str">
        <x:v>横浜線
相模線</x:v>
      </x:c>
      <x:c r="K1421" s="18" t="str">
        <x:v>transport-node:45010fc2-4dab-5a1b-b387-d07977ac2abb</x:v>
      </x:c>
      <x:c r="L1421" s="19" t="str">
        <x:v>组件待审核</x:v>
      </x:c>
      <x:c r="M1421" s="21" t="n">
        <x:v>35.59488</x:v>
      </x:c>
      <x:c r="N1421" s="21" t="n">
        <x:v>139.34502</x:v>
      </x:c>
      <x:c r="O1421" s="18" t="str">
        <x:v>004253</x:v>
      </x:c>
      <x:c r="P1421" s="18" t="str">
        <x:v>横浜線</x:v>
      </x:c>
      <x:c r="Q1421" s="19" t="str">
        <x:v>S12_061_GE_10000
OFFICIAL_HUB_COMPONENT_REVIEW</x:v>
      </x:c>
      <x:c r="R1421" s="19" t="str">
        <x:v>S12_061 usage threshold</x:v>
      </x:c>
      <x:c r="S1421" s="19" t="str">
        <x:v>https://nlftp.mlit.go.jp/ksj/gml/datalist/KsjTmplt-S12-2024.html</x:v>
      </x:c>
      <x:c r="T1421" s="19" t="str">
        <x:v>https://nlftp.mlit.go.jp/ksj/gml/datalist/KsjTmplt-S12-2024.html
https://www.keio.co.jp/train/station/</x:v>
      </x:c>
      <x:c r="U1421" s="19" t="str">
        <x:v>station-component|橋本|東日本旅客鉄道|conventional_rail|35.5949|139.3450|</x:v>
      </x:c>
      <x:c r="V1421" s="19" t="str">
        <x:v>004253 / 004253 / 横浜線
004253 / 004254 / 相模線</x:v>
      </x:c>
      <x:c r="W1421" s="18" t="str">
        <x:v>否</x:v>
      </x:c>
      <x:c r="X1421" s="18" t="str">
        <x:v>0785e932a32b3ec15e1a1345537ae145eafe1c07bf38d5c16c11ee2b391e7a28</x:v>
      </x:c>
      <x:c r="Y1421" s="20" t="n">
        <x:v>1</x:v>
      </x:c>
      <x:c r="Z1421" s="20" t="n">
        <x:v>1</x:v>
      </x:c>
      <x:c r="AA1421" s="19" t="str">
        <x:v>橋本</x:v>
      </x:c>
      <x:c r="AB1421" s="18" t="str">
        <x:v>transport-hub-review:9c8320f4-a321-5eda-b423-1b7e26e4b630</x:v>
      </x:c>
      <x:c r="AC1421" s="19"/>
    </x:row>
    <x:row r="1422" ht="47" customHeight="1">
      <x:c r="A1422" s="18" t="str">
        <x:v>橿原神宮前</x:v>
      </x:c>
      <x:c r="B1422" s="18" t="str">
        <x:v>近畿日本鉄道</x:v>
      </x:c>
      <x:c r="C1422" s="18" t="str">
        <x:v>private_rail</x:v>
      </x:c>
      <x:c r="D1422" s="19" t="str">
        <x:v>T2</x:v>
      </x:c>
      <x:c r="E1422" s="20" t="n">
        <x:v>16353</x:v>
      </x:c>
      <x:c r="F1422" s="18" t="str">
        <x:v>persons/day</x:v>
      </x:c>
      <x:c r="G1422" s="18" t="str">
        <x:v>FY2024</x:v>
      </x:c>
      <x:c r="H1422" s="18" t="str">
        <x:v>否</x:v>
      </x:c>
      <x:c r="I1422" s="19" t="str">
        <x:v>DAILY_ENTRIES_EXITS</x:v>
      </x:c>
      <x:c r="J1422" s="19" t="str">
        <x:v>南大阪線
吉野線
橿原線</x:v>
      </x:c>
      <x:c r="K1422" s="18" t="str">
        <x:v>transport-node:b31e0c2d-a0a5-5fbb-ab03-9aead4492198</x:v>
      </x:c>
      <x:c r="L1422" s="19" t="str">
        <x:v>组件待审核</x:v>
      </x:c>
      <x:c r="M1422" s="21" t="n">
        <x:v>34.48405</x:v>
      </x:c>
      <x:c r="N1422" s="21" t="n">
        <x:v>135.79431</x:v>
      </x:c>
      <x:c r="O1422" s="18" t="str">
        <x:v>007878</x:v>
      </x:c>
      <x:c r="P1422" s="18" t="str">
        <x:v>橿原線</x:v>
      </x:c>
      <x:c r="Q1422" s="19" t="str">
        <x:v>S12_061_GE_10000
OFFICIAL_HUB_COMPONENT_REVIEW</x:v>
      </x:c>
      <x:c r="R1422" s="19" t="str">
        <x:v>S12_061 usage threshold</x:v>
      </x:c>
      <x:c r="S1422" s="19" t="str">
        <x:v>https://nlftp.mlit.go.jp/ksj/gml/datalist/KsjTmplt-S12-2024.html</x:v>
      </x:c>
      <x:c r="T1422" s="19" t="str">
        <x:v>https://nlftp.mlit.go.jp/ksj/gml/datalist/KsjTmplt-S12-2024.html
https://www.kintetsu.co.jp/station/</x:v>
      </x:c>
      <x:c r="U1422" s="19" t="str">
        <x:v>station-component|橿原神宮前|近畿日本鉄道|private_rail|34.4841|135.7943|</x:v>
      </x:c>
      <x:c r="V1422" s="19" t="str">
        <x:v>007878 / 007878 / 橿原線
007878 / 007879 / 吉野線
007878 / 007880 / 南大阪線</x:v>
      </x:c>
      <x:c r="W1422" s="18" t="str">
        <x:v>否</x:v>
      </x:c>
      <x:c r="X1422" s="18" t="str">
        <x:v>0785e932a32b3ec15e1a1345537ae145eafe1c07bf38d5c16c11ee2b391e7a28</x:v>
      </x:c>
      <x:c r="Y1422" s="20" t="n">
        <x:v>1</x:v>
      </x:c>
      <x:c r="Z1422" s="20" t="n">
        <x:v>1</x:v>
      </x:c>
      <x:c r="AA1422" s="19" t="str">
        <x:v>橿原神宮前</x:v>
      </x:c>
      <x:c r="AB1422" s="18" t="str">
        <x:v>transport-hub-review:3013abdd-f9b3-5786-b0dc-d8027c59d4d8</x:v>
      </x:c>
      <x:c r="AC1422" s="19"/>
    </x:row>
    <x:row r="1423" ht="28" customHeight="1">
      <x:c r="A1423" s="18" t="str">
        <x:v>櫛田神社前</x:v>
      </x:c>
      <x:c r="B1423" s="18" t="str">
        <x:v>福岡市</x:v>
      </x:c>
      <x:c r="C1423" s="18" t="str">
        <x:v>metro</x:v>
      </x:c>
      <x:c r="D1423" s="19" t="str">
        <x:v>T2</x:v>
      </x:c>
      <x:c r="E1423" s="20" t="n">
        <x:v>19239</x:v>
      </x:c>
      <x:c r="F1423" s="18" t="str">
        <x:v>persons/day</x:v>
      </x:c>
      <x:c r="G1423" s="18" t="str">
        <x:v>FY2024</x:v>
      </x:c>
      <x:c r="H1423" s="18" t="str">
        <x:v>否</x:v>
      </x:c>
      <x:c r="I1423" s="19" t="str">
        <x:v>DAILY_ENTRIES_EXITS</x:v>
      </x:c>
      <x:c r="J1423" s="19" t="str">
        <x:v>3号線(七隈線)</x:v>
      </x:c>
      <x:c r="K1423" s="18" t="str">
        <x:v>transport-node:adbf21ec-1cc0-5132-972f-bed85bf4f9ce</x:v>
      </x:c>
      <x:c r="L1423" s="19" t="str">
        <x:v>组件待审核</x:v>
      </x:c>
      <x:c r="M1423" s="21" t="n">
        <x:v>33.591322</x:v>
      </x:c>
      <x:c r="N1423" s="21" t="n">
        <x:v>130.4115863</x:v>
      </x:c>
      <x:c r="O1423" s="18" t="str">
        <x:v>010162</x:v>
      </x:c>
      <x:c r="P1423" s="18" t="str">
        <x:v>3号線(七隈線)</x:v>
      </x:c>
      <x:c r="Q1423" s="19" t="str">
        <x:v>S12_061_GE_10000</x:v>
      </x:c>
      <x:c r="R1423" s="19" t="str">
        <x:v>S12_061 usage threshold</x:v>
      </x:c>
      <x:c r="S1423" s="19" t="str">
        <x:v>https://nlftp.mlit.go.jp/ksj/gml/datalist/KsjTmplt-S12-2024.html</x:v>
      </x:c>
      <x:c r="T1423" s="19" t="str">
        <x:v>https://nlftp.mlit.go.jp/ksj/gml/datalist/KsjTmplt-S12-2024.html</x:v>
      </x:c>
      <x:c r="U1423" s="19" t="str">
        <x:v>station-component|櫛田神社前|福岡市|metro|33.5913|130.4116|</x:v>
      </x:c>
      <x:c r="V1423" s="19" t="str">
        <x:v>010162 / 010162 / 3号線(七隈線)</x:v>
      </x:c>
      <x:c r="W1423" s="18" t="str">
        <x:v>否</x:v>
      </x:c>
      <x:c r="X1423" s="18" t="str">
        <x:v>0785e932a32b3ec15e1a1345537ae145eafe1c07bf38d5c16c11ee2b391e7a28</x:v>
      </x:c>
      <x:c r="Y1423" s="20" t="n">
        <x:v>1</x:v>
      </x:c>
      <x:c r="Z1423" s="20" t="n">
        <x:v>1</x:v>
      </x:c>
      <x:c r="AA1423" s="19"/>
      <x:c r="AB1423" s="18"/>
      <x:c r="AC1423" s="19"/>
    </x:row>
    <x:row r="1424" ht="28" customHeight="1">
      <x:c r="A1424" s="18" t="str">
        <x:v>正雀</x:v>
      </x:c>
      <x:c r="B1424" s="18" t="str">
        <x:v>阪急電鉄</x:v>
      </x:c>
      <x:c r="C1424" s="18" t="str">
        <x:v>private_rail</x:v>
      </x:c>
      <x:c r="D1424" s="19" t="str">
        <x:v>T2</x:v>
      </x:c>
      <x:c r="E1424" s="20" t="n">
        <x:v>14983</x:v>
      </x:c>
      <x:c r="F1424" s="18" t="str">
        <x:v>persons/day</x:v>
      </x:c>
      <x:c r="G1424" s="18" t="str">
        <x:v>FY2024</x:v>
      </x:c>
      <x:c r="H1424" s="18" t="str">
        <x:v>否</x:v>
      </x:c>
      <x:c r="I1424" s="19" t="str">
        <x:v>DAILY_ENTRIES_EXITS</x:v>
      </x:c>
      <x:c r="J1424" s="19" t="str">
        <x:v>京都線</x:v>
      </x:c>
      <x:c r="K1424" s="18" t="str">
        <x:v>transport-node:bcc103ad-06e4-5b64-804f-3afa1f411e19</x:v>
      </x:c>
      <x:c r="L1424" s="19" t="str">
        <x:v>组件待审核</x:v>
      </x:c>
      <x:c r="M1424" s="21" t="n">
        <x:v>34.7754967</x:v>
      </x:c>
      <x:c r="N1424" s="21" t="n">
        <x:v>135.5456633</x:v>
      </x:c>
      <x:c r="O1424" s="18" t="str">
        <x:v>006726</x:v>
      </x:c>
      <x:c r="P1424" s="18" t="str">
        <x:v>京都線</x:v>
      </x:c>
      <x:c r="Q1424" s="19" t="str">
        <x:v>S12_061_GE_10000</x:v>
      </x:c>
      <x:c r="R1424" s="19" t="str">
        <x:v>S12_061 usage threshold</x:v>
      </x:c>
      <x:c r="S1424" s="19" t="str">
        <x:v>https://nlftp.mlit.go.jp/ksj/gml/datalist/KsjTmplt-S12-2024.html</x:v>
      </x:c>
      <x:c r="T1424" s="19" t="str">
        <x:v>https://nlftp.mlit.go.jp/ksj/gml/datalist/KsjTmplt-S12-2024.html</x:v>
      </x:c>
      <x:c r="U1424" s="19" t="str">
        <x:v>station-component|正雀|阪急電鉄|private_rail|34.7755|135.5457|</x:v>
      </x:c>
      <x:c r="V1424" s="19" t="str">
        <x:v>006726 / 006726 / 京都線</x:v>
      </x:c>
      <x:c r="W1424" s="18" t="str">
        <x:v>否</x:v>
      </x:c>
      <x:c r="X1424" s="18" t="str">
        <x:v>0785e932a32b3ec15e1a1345537ae145eafe1c07bf38d5c16c11ee2b391e7a28</x:v>
      </x:c>
      <x:c r="Y1424" s="20" t="n">
        <x:v>1</x:v>
      </x:c>
      <x:c r="Z1424" s="20" t="n">
        <x:v>1</x:v>
      </x:c>
      <x:c r="AA1424" s="19"/>
      <x:c r="AB1424" s="18"/>
      <x:c r="AC1424" s="19"/>
    </x:row>
    <x:row r="1425" ht="28" customHeight="1">
      <x:c r="A1425" s="18" t="str">
        <x:v>武庫之荘</x:v>
      </x:c>
      <x:c r="B1425" s="18" t="str">
        <x:v>阪急電鉄</x:v>
      </x:c>
      <x:c r="C1425" s="18" t="str">
        <x:v>private_rail</x:v>
      </x:c>
      <x:c r="D1425" s="19" t="str">
        <x:v>T2</x:v>
      </x:c>
      <x:c r="E1425" s="20" t="n">
        <x:v>45767</x:v>
      </x:c>
      <x:c r="F1425" s="18" t="str">
        <x:v>persons/day</x:v>
      </x:c>
      <x:c r="G1425" s="18" t="str">
        <x:v>FY2024</x:v>
      </x:c>
      <x:c r="H1425" s="18" t="str">
        <x:v>否</x:v>
      </x:c>
      <x:c r="I1425" s="19" t="str">
        <x:v>DAILY_ENTRIES_EXITS</x:v>
      </x:c>
      <x:c r="J1425" s="19" t="str">
        <x:v>神戸線</x:v>
      </x:c>
      <x:c r="K1425" s="18" t="str">
        <x:v>transport-node:9c20e604-667a-58f5-bbb5-8e91f4d81ca9</x:v>
      </x:c>
      <x:c r="L1425" s="19" t="str">
        <x:v>组件待审核</x:v>
      </x:c>
      <x:c r="M1425" s="21" t="n">
        <x:v>34.751655</x:v>
      </x:c>
      <x:c r="N1425" s="21" t="n">
        <x:v>135.39386</x:v>
      </x:c>
      <x:c r="O1425" s="18" t="str">
        <x:v>006828</x:v>
      </x:c>
      <x:c r="P1425" s="18" t="str">
        <x:v>神戸線</x:v>
      </x:c>
      <x:c r="Q1425" s="19" t="str">
        <x:v>S12_061_GE_10000</x:v>
      </x:c>
      <x:c r="R1425" s="19" t="str">
        <x:v>S12_061 usage threshold</x:v>
      </x:c>
      <x:c r="S1425" s="19" t="str">
        <x:v>https://nlftp.mlit.go.jp/ksj/gml/datalist/KsjTmplt-S12-2024.html</x:v>
      </x:c>
      <x:c r="T1425" s="19" t="str">
        <x:v>https://nlftp.mlit.go.jp/ksj/gml/datalist/KsjTmplt-S12-2024.html</x:v>
      </x:c>
      <x:c r="U1425" s="19" t="str">
        <x:v>station-component|武庫之荘|阪急電鉄|private_rail|34.7517|135.3939|</x:v>
      </x:c>
      <x:c r="V1425" s="19" t="str">
        <x:v>006828 / 006828 / 神戸線</x:v>
      </x:c>
      <x:c r="W1425" s="18" t="str">
        <x:v>否</x:v>
      </x:c>
      <x:c r="X1425" s="18" t="str">
        <x:v>0785e932a32b3ec15e1a1345537ae145eafe1c07bf38d5c16c11ee2b391e7a28</x:v>
      </x:c>
      <x:c r="Y1425" s="20" t="n">
        <x:v>1</x:v>
      </x:c>
      <x:c r="Z1425" s="20" t="n">
        <x:v>1</x:v>
      </x:c>
      <x:c r="AA1425" s="19"/>
      <x:c r="AB1425" s="18"/>
      <x:c r="AC1425" s="19"/>
    </x:row>
    <x:row r="1426" ht="33" customHeight="1">
      <x:c r="A1426" s="18" t="str">
        <x:v>武庫川</x:v>
      </x:c>
      <x:c r="B1426" s="18" t="str">
        <x:v>阪神電気鉄道</x:v>
      </x:c>
      <x:c r="C1426" s="18" t="str">
        <x:v>private_rail</x:v>
      </x:c>
      <x:c r="D1426" s="19" t="str">
        <x:v>T2</x:v>
      </x:c>
      <x:c r="E1426" s="20" t="n">
        <x:v>28605</x:v>
      </x:c>
      <x:c r="F1426" s="18" t="str">
        <x:v>persons/day</x:v>
      </x:c>
      <x:c r="G1426" s="18" t="str">
        <x:v>FY2024</x:v>
      </x:c>
      <x:c r="H1426" s="18" t="str">
        <x:v>否</x:v>
      </x:c>
      <x:c r="I1426" s="19" t="str">
        <x:v>DAILY_ENTRIES_EXITS</x:v>
      </x:c>
      <x:c r="J1426" s="19" t="str">
        <x:v>本線
武庫川線</x:v>
      </x:c>
      <x:c r="K1426" s="18" t="str">
        <x:v>transport-node:5b92fae9-81f8-59a0-911f-562f64987b29</x:v>
      </x:c>
      <x:c r="L1426" s="19" t="str">
        <x:v>组件待审核</x:v>
      </x:c>
      <x:c r="M1426" s="21" t="n">
        <x:v>34.718486</x:v>
      </x:c>
      <x:c r="N1426" s="21" t="n">
        <x:v>135.382874</x:v>
      </x:c>
      <x:c r="O1426" s="18" t="str">
        <x:v>006980</x:v>
      </x:c>
      <x:c r="P1426" s="18" t="str">
        <x:v>本線</x:v>
      </x:c>
      <x:c r="Q1426" s="19" t="str">
        <x:v>S12_061_GE_10000</x:v>
      </x:c>
      <x:c r="R1426" s="19" t="str">
        <x:v>S12_061 usage threshold</x:v>
      </x:c>
      <x:c r="S1426" s="19" t="str">
        <x:v>https://nlftp.mlit.go.jp/ksj/gml/datalist/KsjTmplt-S12-2024.html</x:v>
      </x:c>
      <x:c r="T1426" s="19" t="str">
        <x:v>https://nlftp.mlit.go.jp/ksj/gml/datalist/KsjTmplt-S12-2024.html</x:v>
      </x:c>
      <x:c r="U1426" s="19" t="str">
        <x:v>station-component|武庫川|阪神電気鉄道|private_rail|34.7185|135.3829|</x:v>
      </x:c>
      <x:c r="V1426" s="19" t="str">
        <x:v>006980 / 006980 / 本線
006980 / 006985 / 武庫川線</x:v>
      </x:c>
      <x:c r="W1426" s="18" t="str">
        <x:v>否</x:v>
      </x:c>
      <x:c r="X1426" s="18" t="str">
        <x:v>0785e932a32b3ec15e1a1345537ae145eafe1c07bf38d5c16c11ee2b391e7a28</x:v>
      </x:c>
      <x:c r="Y1426" s="20" t="n">
        <x:v>1</x:v>
      </x:c>
      <x:c r="Z1426" s="20" t="n">
        <x:v>1</x:v>
      </x:c>
      <x:c r="AA1426" s="19"/>
      <x:c r="AB1426" s="18"/>
      <x:c r="AC1426" s="19"/>
    </x:row>
    <x:row r="1427" ht="28" customHeight="1">
      <x:c r="A1427" s="18" t="str">
        <x:v>武蔵中原</x:v>
      </x:c>
      <x:c r="B1427" s="18" t="str">
        <x:v>東日本旅客鉄道</x:v>
      </x:c>
      <x:c r="C1427" s="18" t="str">
        <x:v>conventional_rail</x:v>
      </x:c>
      <x:c r="D1427" s="19" t="str">
        <x:v>T1</x:v>
      </x:c>
      <x:c r="E1427" s="20" t="n">
        <x:v>55204</x:v>
      </x:c>
      <x:c r="F1427" s="18" t="str">
        <x:v>persons/day</x:v>
      </x:c>
      <x:c r="G1427" s="18" t="str">
        <x:v>FY2024</x:v>
      </x:c>
      <x:c r="H1427" s="18" t="str">
        <x:v>否</x:v>
      </x:c>
      <x:c r="I1427" s="19" t="str">
        <x:v>DAILY_ENTRIES_EXITS</x:v>
      </x:c>
      <x:c r="J1427" s="19" t="str">
        <x:v>南武線</x:v>
      </x:c>
      <x:c r="K1427" s="18" t="str">
        <x:v>transport-node:e452ec1b-3f88-51db-babf-c045ea69f98f</x:v>
      </x:c>
      <x:c r="L1427" s="19" t="str">
        <x:v>组件待审核</x:v>
      </x:c>
      <x:c r="M1427" s="21" t="n">
        <x:v>35.58056</x:v>
      </x:c>
      <x:c r="N1427" s="21" t="n">
        <x:v>139.64214</x:v>
      </x:c>
      <x:c r="O1427" s="18" t="str">
        <x:v>004286</x:v>
      </x:c>
      <x:c r="P1427" s="18" t="str">
        <x:v>南武線</x:v>
      </x:c>
      <x:c r="Q1427" s="19" t="str">
        <x:v>S12_061_GE_10000</x:v>
      </x:c>
      <x:c r="R1427" s="19" t="str">
        <x:v>S12_061 usage threshold</x:v>
      </x:c>
      <x:c r="S1427" s="19" t="str">
        <x:v>https://nlftp.mlit.go.jp/ksj/gml/datalist/KsjTmplt-S12-2024.html</x:v>
      </x:c>
      <x:c r="T1427" s="19" t="str">
        <x:v>https://nlftp.mlit.go.jp/ksj/gml/datalist/KsjTmplt-S12-2024.html</x:v>
      </x:c>
      <x:c r="U1427" s="19" t="str">
        <x:v>station-component|武蔵中原|東日本旅客鉄道|conventional_rail|35.5806|139.6421|</x:v>
      </x:c>
      <x:c r="V1427" s="19" t="str">
        <x:v>004286 / 004286 / 南武線</x:v>
      </x:c>
      <x:c r="W1427" s="18" t="str">
        <x:v>否</x:v>
      </x:c>
      <x:c r="X1427" s="18" t="str">
        <x:v>0785e932a32b3ec15e1a1345537ae145eafe1c07bf38d5c16c11ee2b391e7a28</x:v>
      </x:c>
      <x:c r="Y1427" s="20" t="n">
        <x:v>1</x:v>
      </x:c>
      <x:c r="Z1427" s="20" t="n">
        <x:v>1</x:v>
      </x:c>
      <x:c r="AA1427" s="19"/>
      <x:c r="AB1427" s="18"/>
      <x:c r="AC1427" s="19"/>
    </x:row>
    <x:row r="1428" ht="33" customHeight="1">
      <x:c r="A1428" s="18" t="str">
        <x:v>武蔵境</x:v>
      </x:c>
      <x:c r="B1428" s="18" t="str">
        <x:v>東日本旅客鉄道</x:v>
      </x:c>
      <x:c r="C1428" s="18" t="str">
        <x:v>conventional_rail</x:v>
      </x:c>
      <x:c r="D1428" s="19" t="str">
        <x:v>T1</x:v>
      </x:c>
      <x:c r="E1428" s="20" t="n">
        <x:v>126936</x:v>
      </x:c>
      <x:c r="F1428" s="18" t="str">
        <x:v>persons/day</x:v>
      </x:c>
      <x:c r="G1428" s="18" t="str">
        <x:v>FY2024</x:v>
      </x:c>
      <x:c r="H1428" s="18" t="str">
        <x:v>否</x:v>
      </x:c>
      <x:c r="I1428" s="19" t="str">
        <x:v>DAILY_ENTRIES_EXITS</x:v>
      </x:c>
      <x:c r="J1428" s="19" t="str">
        <x:v>中央線</x:v>
      </x:c>
      <x:c r="K1428" s="18" t="str">
        <x:v>transport-node:daf4fe58-fdc9-5930-b12d-fcf5618eb64b</x:v>
      </x:c>
      <x:c r="L1428" s="19" t="str">
        <x:v>组件待审核</x:v>
      </x:c>
      <x:c r="M1428" s="21" t="n">
        <x:v>35.70209</x:v>
      </x:c>
      <x:c r="N1428" s="21" t="n">
        <x:v>139.543555</x:v>
      </x:c>
      <x:c r="O1428" s="18" t="str">
        <x:v>003590</x:v>
      </x:c>
      <x:c r="P1428" s="18" t="str">
        <x:v>中央線</x:v>
      </x:c>
      <x:c r="Q1428" s="19" t="str">
        <x:v>S12_061_GE_10000
OFFICIAL_HUB_COMPONENT_REVIEW</x:v>
      </x:c>
      <x:c r="R1428" s="19" t="str">
        <x:v>S12_061 usage threshold</x:v>
      </x:c>
      <x:c r="S1428" s="19" t="str">
        <x:v>https://nlftp.mlit.go.jp/ksj/gml/datalist/KsjTmplt-S12-2024.html</x:v>
      </x:c>
      <x:c r="T1428" s="19" t="str">
        <x:v>https://nlftp.mlit.go.jp/ksj/gml/datalist/KsjTmplt-S12-2024.html
https://www.seiburailway.jp/railway/station/</x:v>
      </x:c>
      <x:c r="U1428" s="19" t="str">
        <x:v>station-component|武蔵境|東日本旅客鉄道|conventional_rail|35.7021|139.5436|</x:v>
      </x:c>
      <x:c r="V1428" s="19" t="str">
        <x:v>003590 / 003590 / 中央線</x:v>
      </x:c>
      <x:c r="W1428" s="18" t="str">
        <x:v>否</x:v>
      </x:c>
      <x:c r="X1428" s="18" t="str">
        <x:v>0785e932a32b3ec15e1a1345537ae145eafe1c07bf38d5c16c11ee2b391e7a28</x:v>
      </x:c>
      <x:c r="Y1428" s="20" t="n">
        <x:v>1</x:v>
      </x:c>
      <x:c r="Z1428" s="20" t="n">
        <x:v>1</x:v>
      </x:c>
      <x:c r="AA1428" s="19" t="str">
        <x:v>武蔵境</x:v>
      </x:c>
      <x:c r="AB1428" s="18" t="str">
        <x:v>transport-hub-review:22a88e87-be13-59db-ab56-053c62c9fe6c</x:v>
      </x:c>
      <x:c r="AC1428" s="19"/>
    </x:row>
    <x:row r="1429" ht="33" customHeight="1">
      <x:c r="A1429" s="18" t="str">
        <x:v>武蔵境</x:v>
      </x:c>
      <x:c r="B1429" s="18" t="str">
        <x:v>西武鉄道</x:v>
      </x:c>
      <x:c r="C1429" s="18" t="str">
        <x:v>private_rail</x:v>
      </x:c>
      <x:c r="D1429" s="19" t="str">
        <x:v>T2</x:v>
      </x:c>
      <x:c r="E1429" s="20" t="n">
        <x:v>29002</x:v>
      </x:c>
      <x:c r="F1429" s="18" t="str">
        <x:v>persons/day</x:v>
      </x:c>
      <x:c r="G1429" s="18" t="str">
        <x:v>FY2024</x:v>
      </x:c>
      <x:c r="H1429" s="18" t="str">
        <x:v>否</x:v>
      </x:c>
      <x:c r="I1429" s="19" t="str">
        <x:v>DAILY_ENTRIES_EXITS</x:v>
      </x:c>
      <x:c r="J1429" s="19" t="str">
        <x:v>多摩川線</x:v>
      </x:c>
      <x:c r="K1429" s="18" t="str">
        <x:v>transport-node:1a60ba93-92b5-5e3e-b1e0-4325f719eed4</x:v>
      </x:c>
      <x:c r="L1429" s="19" t="str">
        <x:v>组件待审核</x:v>
      </x:c>
      <x:c r="M1429" s="21" t="n">
        <x:v>35.70191</x:v>
      </x:c>
      <x:c r="N1429" s="21" t="n">
        <x:v>139.544265</x:v>
      </x:c>
      <x:c r="O1429" s="18" t="str">
        <x:v>003592</x:v>
      </x:c>
      <x:c r="P1429" s="18" t="str">
        <x:v>多摩川線</x:v>
      </x:c>
      <x:c r="Q1429" s="19" t="str">
        <x:v>S12_061_GE_10000
OFFICIAL_HUB_COMPONENT_REVIEW</x:v>
      </x:c>
      <x:c r="R1429" s="19" t="str">
        <x:v>S12_061 usage threshold</x:v>
      </x:c>
      <x:c r="S1429" s="19" t="str">
        <x:v>https://nlftp.mlit.go.jp/ksj/gml/datalist/KsjTmplt-S12-2024.html</x:v>
      </x:c>
      <x:c r="T1429" s="19" t="str">
        <x:v>https://nlftp.mlit.go.jp/ksj/gml/datalist/KsjTmplt-S12-2024.html
https://www.seiburailway.jp/railway/station/</x:v>
      </x:c>
      <x:c r="U1429" s="19" t="str">
        <x:v>station-component|武蔵境|西武鉄道|private_rail|35.7019|139.5443|</x:v>
      </x:c>
      <x:c r="V1429" s="19" t="str">
        <x:v>003590 / 003592 / 多摩川線</x:v>
      </x:c>
      <x:c r="W1429" s="18" t="str">
        <x:v>否</x:v>
      </x:c>
      <x:c r="X1429" s="18" t="str">
        <x:v>0785e932a32b3ec15e1a1345537ae145eafe1c07bf38d5c16c11ee2b391e7a28</x:v>
      </x:c>
      <x:c r="Y1429" s="20" t="n">
        <x:v>1</x:v>
      </x:c>
      <x:c r="Z1429" s="20" t="n">
        <x:v>1</x:v>
      </x:c>
      <x:c r="AA1429" s="19" t="str">
        <x:v>武蔵境</x:v>
      </x:c>
      <x:c r="AB1429" s="18" t="str">
        <x:v>transport-hub-review:22a88e87-be13-59db-ab56-053c62c9fe6c</x:v>
      </x:c>
      <x:c r="AC1429" s="19"/>
    </x:row>
    <x:row r="1430" ht="28" customHeight="1">
      <x:c r="A1430" s="18" t="str">
        <x:v>武蔵小山</x:v>
      </x:c>
      <x:c r="B1430" s="18" t="str">
        <x:v>東急電鉄</x:v>
      </x:c>
      <x:c r="C1430" s="18" t="str">
        <x:v>private_rail</x:v>
      </x:c>
      <x:c r="D1430" s="19" t="str">
        <x:v>T1</x:v>
      </x:c>
      <x:c r="E1430" s="20" t="n">
        <x:v>54004</x:v>
      </x:c>
      <x:c r="F1430" s="18" t="str">
        <x:v>persons/day</x:v>
      </x:c>
      <x:c r="G1430" s="18" t="str">
        <x:v>FY2024</x:v>
      </x:c>
      <x:c r="H1430" s="18" t="str">
        <x:v>否</x:v>
      </x:c>
      <x:c r="I1430" s="19" t="str">
        <x:v>DAILY_ENTRIES_EXITS</x:v>
      </x:c>
      <x:c r="J1430" s="19" t="str">
        <x:v>目黒線</x:v>
      </x:c>
      <x:c r="K1430" s="18" t="str">
        <x:v>transport-node:36390b80-2921-5b15-8bf8-cc1995732a40</x:v>
      </x:c>
      <x:c r="L1430" s="19" t="str">
        <x:v>组件待审核</x:v>
      </x:c>
      <x:c r="M1430" s="21" t="n">
        <x:v>35.62051</x:v>
      </x:c>
      <x:c r="N1430" s="21" t="n">
        <x:v>139.70447</x:v>
      </x:c>
      <x:c r="O1430" s="18" t="str">
        <x:v>004133</x:v>
      </x:c>
      <x:c r="P1430" s="18" t="str">
        <x:v>目黒線</x:v>
      </x:c>
      <x:c r="Q1430" s="19" t="str">
        <x:v>S12_061_GE_10000</x:v>
      </x:c>
      <x:c r="R1430" s="19" t="str">
        <x:v>S12_061 usage threshold</x:v>
      </x:c>
      <x:c r="S1430" s="19" t="str">
        <x:v>https://nlftp.mlit.go.jp/ksj/gml/datalist/KsjTmplt-S12-2024.html</x:v>
      </x:c>
      <x:c r="T1430" s="19" t="str">
        <x:v>https://nlftp.mlit.go.jp/ksj/gml/datalist/KsjTmplt-S12-2024.html</x:v>
      </x:c>
      <x:c r="U1430" s="19" t="str">
        <x:v>station-component|武蔵小山|東急電鉄|private_rail|35.6205|139.7045|</x:v>
      </x:c>
      <x:c r="V1430" s="19" t="str">
        <x:v>004133 / 004133 / 目黒線</x:v>
      </x:c>
      <x:c r="W1430" s="18" t="str">
        <x:v>否</x:v>
      </x:c>
      <x:c r="X1430" s="18" t="str">
        <x:v>0785e932a32b3ec15e1a1345537ae145eafe1c07bf38d5c16c11ee2b391e7a28</x:v>
      </x:c>
      <x:c r="Y1430" s="20" t="n">
        <x:v>1</x:v>
      </x:c>
      <x:c r="Z1430" s="20" t="n">
        <x:v>1</x:v>
      </x:c>
      <x:c r="AA1430" s="19"/>
      <x:c r="AB1430" s="18"/>
      <x:c r="AC1430" s="19"/>
    </x:row>
    <x:row r="1431" ht="33" customHeight="1">
      <x:c r="A1431" s="18" t="str">
        <x:v>武蔵小杉</x:v>
      </x:c>
      <x:c r="B1431" s="18" t="str">
        <x:v>東急電鉄</x:v>
      </x:c>
      <x:c r="C1431" s="18" t="str">
        <x:v>private_rail</x:v>
      </x:c>
      <x:c r="D1431" s="19" t="str">
        <x:v>T0</x:v>
      </x:c>
      <x:c r="E1431" s="20" t="n">
        <x:v>204798</x:v>
      </x:c>
      <x:c r="F1431" s="18" t="str">
        <x:v>persons/day</x:v>
      </x:c>
      <x:c r="G1431" s="18" t="str">
        <x:v>FY2024</x:v>
      </x:c>
      <x:c r="H1431" s="18" t="str">
        <x:v>否</x:v>
      </x:c>
      <x:c r="I1431" s="19" t="str">
        <x:v>DAILY_ENTRIES_EXITS</x:v>
      </x:c>
      <x:c r="J1431" s="19" t="str">
        <x:v>東横線
目黒線</x:v>
      </x:c>
      <x:c r="K1431" s="18" t="str">
        <x:v>transport-node:45675db2-9181-5a4c-abc8-9b343bb334ea</x:v>
      </x:c>
      <x:c r="L1431" s="19" t="str">
        <x:v>组件待审核</x:v>
      </x:c>
      <x:c r="M1431" s="21" t="n">
        <x:v>35.5759433</x:v>
      </x:c>
      <x:c r="N1431" s="21" t="n">
        <x:v>139.6597267</x:v>
      </x:c>
      <x:c r="O1431" s="18" t="str">
        <x:v>004298</x:v>
      </x:c>
      <x:c r="P1431" s="18" t="str">
        <x:v>東横線</x:v>
      </x:c>
      <x:c r="Q1431" s="19" t="str">
        <x:v>S12_061_GE_10000
OFFICIAL_HUB_COMPONENT_REVIEW</x:v>
      </x:c>
      <x:c r="R1431" s="19" t="str">
        <x:v>S12_061 usage threshold</x:v>
      </x:c>
      <x:c r="S1431" s="19" t="str">
        <x:v>https://nlftp.mlit.go.jp/ksj/gml/datalist/KsjTmplt-S12-2024.html</x:v>
      </x:c>
      <x:c r="T1431" s="19" t="str">
        <x:v>https://nlftp.mlit.go.jp/ksj/gml/datalist/KsjTmplt-S12-2024.html
https://www.tokyu.co.jp/area/musashi-kosugi/station/</x:v>
      </x:c>
      <x:c r="U1431" s="19" t="str">
        <x:v>station-component|武蔵小杉|東急電鉄|private_rail|35.5759|139.6597|</x:v>
      </x:c>
      <x:c r="V1431" s="19" t="str">
        <x:v>004297 / 004298 / 東横線</x:v>
      </x:c>
      <x:c r="W1431" s="18" t="str">
        <x:v>否</x:v>
      </x:c>
      <x:c r="X1431" s="18" t="str">
        <x:v>0785e932a32b3ec15e1a1345537ae145eafe1c07bf38d5c16c11ee2b391e7a28</x:v>
      </x:c>
      <x:c r="Y1431" s="20" t="n">
        <x:v>1</x:v>
      </x:c>
      <x:c r="Z1431" s="20" t="n">
        <x:v>1</x:v>
      </x:c>
      <x:c r="AA1431" s="19" t="str">
        <x:v>武蔵小杉</x:v>
      </x:c>
      <x:c r="AB1431" s="18" t="str">
        <x:v>transport-hub-review:dc5fa549-03e0-5085-8412-720182baca9d</x:v>
      </x:c>
      <x:c r="AC1431" s="19"/>
    </x:row>
    <x:row r="1432" ht="61" customHeight="1">
      <x:c r="A1432" s="18" t="str">
        <x:v>武蔵小杉</x:v>
      </x:c>
      <x:c r="B1432" s="18" t="str">
        <x:v>東日本旅客鉄道</x:v>
      </x:c>
      <x:c r="C1432" s="18" t="str">
        <x:v>conventional_rail</x:v>
      </x:c>
      <x:c r="D1432" s="19" t="str">
        <x:v>T0</x:v>
      </x:c>
      <x:c r="E1432" s="20" t="n">
        <x:v>226904</x:v>
      </x:c>
      <x:c r="F1432" s="18" t="str">
        <x:v>persons/day</x:v>
      </x:c>
      <x:c r="G1432" s="18" t="str">
        <x:v>FY2024</x:v>
      </x:c>
      <x:c r="H1432" s="18" t="str">
        <x:v>否</x:v>
      </x:c>
      <x:c r="I1432" s="19" t="str">
        <x:v>DAILY_ENTRIES_EXITS</x:v>
      </x:c>
      <x:c r="J1432" s="19" t="str">
        <x:v>南武線
東海道線</x:v>
      </x:c>
      <x:c r="K1432" s="18" t="str">
        <x:v>transport-node:4c65bd18-bdbc-5ceb-9b29-9ef1e5a0619b</x:v>
      </x:c>
      <x:c r="L1432" s="19" t="str">
        <x:v>组件待审核</x:v>
      </x:c>
      <x:c r="M1432" s="21" t="n">
        <x:v>35.5765633</x:v>
      </x:c>
      <x:c r="N1432" s="21" t="n">
        <x:v>139.6598067</x:v>
      </x:c>
      <x:c r="O1432" s="18" t="str">
        <x:v>004297</x:v>
      </x:c>
      <x:c r="P1432" s="18" t="str">
        <x:v>南武線</x:v>
      </x:c>
      <x:c r="Q1432" s="19" t="str">
        <x:v>S12_061_GE_10000
OFFICIAL_HUB_COMPONENT_REVIEW</x:v>
      </x:c>
      <x:c r="R1432" s="19" t="str">
        <x:v>Explicit official internal-passage identity review; retained valid S12 primary usage without summing duplicate observations.</x:v>
      </x:c>
      <x:c r="S1432" s="19" t="str">
        <x:v>https://nlftp.mlit.go.jp/ksj/gml/datalist/KsjTmplt-S12-2024.html</x:v>
      </x:c>
      <x:c r="T1432" s="19" t="str">
        <x:v>https://nlftp.mlit.go.jp/ksj/gml/datalist/KsjTmplt-S12-2024.html
https://www.jreast.co.jp/estation/stations/1527.html
https://www.jred.co.jp/projects/p158.html
https://www.tokyu.co.jp/area/musashi-kosugi/station/</x:v>
      </x:c>
      <x:c r="U1432" s="19" t="str">
        <x:v>station-component|武蔵小杉|東日本旅客鉄道|conventional_rail|35.5766|139.6598|</x:v>
      </x:c>
      <x:c r="V1432" s="19" t="str">
        <x:v>004297 / 004297 / 南武線
004301 / 004301 / 東海道線</x:v>
      </x:c>
      <x:c r="W1432" s="18" t="str">
        <x:v>否</x:v>
      </x:c>
      <x:c r="X1432" s="18" t="str">
        <x:v>0785e932a32b3ec15e1a1345537ae145eafe1c07bf38d5c16c11ee2b391e7a28</x:v>
      </x:c>
      <x:c r="Y1432" s="20" t="n">
        <x:v>1</x:v>
      </x:c>
      <x:c r="Z1432" s="20" t="n">
        <x:v>1</x:v>
      </x:c>
      <x:c r="AA1432" s="19" t="str">
        <x:v>武蔵小杉</x:v>
      </x:c>
      <x:c r="AB1432" s="18" t="str">
        <x:v>transport-hub-review:dc5fa549-03e0-5085-8412-720182baca9d</x:v>
      </x:c>
      <x:c r="AC1432" s="19"/>
    </x:row>
    <x:row r="1433" ht="28" customHeight="1">
      <x:c r="A1433" s="18" t="str">
        <x:v>武蔵小金井</x:v>
      </x:c>
      <x:c r="B1433" s="18" t="str">
        <x:v>東日本旅客鉄道</x:v>
      </x:c>
      <x:c r="C1433" s="18" t="str">
        <x:v>conventional_rail</x:v>
      </x:c>
      <x:c r="D1433" s="19" t="str">
        <x:v>T1</x:v>
      </x:c>
      <x:c r="E1433" s="20" t="n">
        <x:v>113426</x:v>
      </x:c>
      <x:c r="F1433" s="18" t="str">
        <x:v>persons/day</x:v>
      </x:c>
      <x:c r="G1433" s="18" t="str">
        <x:v>FY2024</x:v>
      </x:c>
      <x:c r="H1433" s="18" t="str">
        <x:v>否</x:v>
      </x:c>
      <x:c r="I1433" s="19" t="str">
        <x:v>DAILY_ENTRIES_EXITS</x:v>
      </x:c>
      <x:c r="J1433" s="19" t="str">
        <x:v>中央線</x:v>
      </x:c>
      <x:c r="K1433" s="18" t="str">
        <x:v>transport-node:4239db45-7fda-5cad-9110-93d66f6bfc1b</x:v>
      </x:c>
      <x:c r="L1433" s="19" t="str">
        <x:v>组件待审核</x:v>
      </x:c>
      <x:c r="M1433" s="21" t="n">
        <x:v>35.701035</x:v>
      </x:c>
      <x:c r="N1433" s="21" t="n">
        <x:v>139.50593</x:v>
      </x:c>
      <x:c r="O1433" s="18" t="str">
        <x:v>003600</x:v>
      </x:c>
      <x:c r="P1433" s="18" t="str">
        <x:v>中央線</x:v>
      </x:c>
      <x:c r="Q1433" s="19" t="str">
        <x:v>S12_061_GE_10000</x:v>
      </x:c>
      <x:c r="R1433" s="19" t="str">
        <x:v>S12_061 usage threshold</x:v>
      </x:c>
      <x:c r="S1433" s="19" t="str">
        <x:v>https://nlftp.mlit.go.jp/ksj/gml/datalist/KsjTmplt-S12-2024.html</x:v>
      </x:c>
      <x:c r="T1433" s="19" t="str">
        <x:v>https://nlftp.mlit.go.jp/ksj/gml/datalist/KsjTmplt-S12-2024.html</x:v>
      </x:c>
      <x:c r="U1433" s="19" t="str">
        <x:v>station-component|武蔵小金井|東日本旅客鉄道|conventional_rail|35.7010|139.5059|</x:v>
      </x:c>
      <x:c r="V1433" s="19" t="str">
        <x:v>003600 / 003600 / 中央線</x:v>
      </x:c>
      <x:c r="W1433" s="18" t="str">
        <x:v>否</x:v>
      </x:c>
      <x:c r="X1433" s="18" t="str">
        <x:v>0785e932a32b3ec15e1a1345537ae145eafe1c07bf38d5c16c11ee2b391e7a28</x:v>
      </x:c>
      <x:c r="Y1433" s="20" t="n">
        <x:v>1</x:v>
      </x:c>
      <x:c r="Z1433" s="20" t="n">
        <x:v>1</x:v>
      </x:c>
      <x:c r="AA1433" s="19"/>
      <x:c r="AB1433" s="18"/>
      <x:c r="AC1433" s="19"/>
    </x:row>
    <x:row r="1434" ht="28" customHeight="1">
      <x:c r="A1434" s="18" t="str">
        <x:v>武蔵新城</x:v>
      </x:c>
      <x:c r="B1434" s="18" t="str">
        <x:v>東日本旅客鉄道</x:v>
      </x:c>
      <x:c r="C1434" s="18" t="str">
        <x:v>conventional_rail</x:v>
      </x:c>
      <x:c r="D1434" s="19" t="str">
        <x:v>T1</x:v>
      </x:c>
      <x:c r="E1434" s="20" t="n">
        <x:v>69142</x:v>
      </x:c>
      <x:c r="F1434" s="18" t="str">
        <x:v>persons/day</x:v>
      </x:c>
      <x:c r="G1434" s="18" t="str">
        <x:v>FY2024</x:v>
      </x:c>
      <x:c r="H1434" s="18" t="str">
        <x:v>否</x:v>
      </x:c>
      <x:c r="I1434" s="19" t="str">
        <x:v>DAILY_ENTRIES_EXITS</x:v>
      </x:c>
      <x:c r="J1434" s="19" t="str">
        <x:v>南武線</x:v>
      </x:c>
      <x:c r="K1434" s="18" t="str">
        <x:v>transport-node:4b66f645-37b3-51db-aac1-50f2e680aaaf</x:v>
      </x:c>
      <x:c r="L1434" s="19" t="str">
        <x:v>组件待审核</x:v>
      </x:c>
      <x:c r="M1434" s="21" t="n">
        <x:v>35.587415</x:v>
      </x:c>
      <x:c r="N1434" s="21" t="n">
        <x:v>139.62909</x:v>
      </x:c>
      <x:c r="O1434" s="18" t="str">
        <x:v>004269</x:v>
      </x:c>
      <x:c r="P1434" s="18" t="str">
        <x:v>南武線</x:v>
      </x:c>
      <x:c r="Q1434" s="19" t="str">
        <x:v>S12_061_GE_10000</x:v>
      </x:c>
      <x:c r="R1434" s="19" t="str">
        <x:v>S12_061 usage threshold</x:v>
      </x:c>
      <x:c r="S1434" s="19" t="str">
        <x:v>https://nlftp.mlit.go.jp/ksj/gml/datalist/KsjTmplt-S12-2024.html</x:v>
      </x:c>
      <x:c r="T1434" s="19" t="str">
        <x:v>https://nlftp.mlit.go.jp/ksj/gml/datalist/KsjTmplt-S12-2024.html</x:v>
      </x:c>
      <x:c r="U1434" s="19" t="str">
        <x:v>station-component|武蔵新城|東日本旅客鉄道|conventional_rail|35.5874|139.6291|</x:v>
      </x:c>
      <x:c r="V1434" s="19" t="str">
        <x:v>004269 / 004269 / 南武線</x:v>
      </x:c>
      <x:c r="W1434" s="18" t="str">
        <x:v>否</x:v>
      </x:c>
      <x:c r="X1434" s="18" t="str">
        <x:v>0785e932a32b3ec15e1a1345537ae145eafe1c07bf38d5c16c11ee2b391e7a28</x:v>
      </x:c>
      <x:c r="Y1434" s="20" t="n">
        <x:v>1</x:v>
      </x:c>
      <x:c r="Z1434" s="20" t="n">
        <x:v>1</x:v>
      </x:c>
      <x:c r="AA1434" s="19"/>
      <x:c r="AB1434" s="18"/>
      <x:c r="AC1434" s="19"/>
    </x:row>
    <x:row r="1435" ht="28" customHeight="1">
      <x:c r="A1435" s="18" t="str">
        <x:v>武蔵新田</x:v>
      </x:c>
      <x:c r="B1435" s="18" t="str">
        <x:v>東急電鉄</x:v>
      </x:c>
      <x:c r="C1435" s="18" t="str">
        <x:v>private_rail</x:v>
      </x:c>
      <x:c r="D1435" s="19" t="str">
        <x:v>T2</x:v>
      </x:c>
      <x:c r="E1435" s="20" t="n">
        <x:v>25710</x:v>
      </x:c>
      <x:c r="F1435" s="18" t="str">
        <x:v>persons/day</x:v>
      </x:c>
      <x:c r="G1435" s="18" t="str">
        <x:v>FY2024</x:v>
      </x:c>
      <x:c r="H1435" s="18" t="str">
        <x:v>否</x:v>
      </x:c>
      <x:c r="I1435" s="19" t="str">
        <x:v>DAILY_ENTRIES_EXITS</x:v>
      </x:c>
      <x:c r="J1435" s="19" t="str">
        <x:v>東急多摩川線</x:v>
      </x:c>
      <x:c r="K1435" s="18" t="str">
        <x:v>transport-node:373c6eb4-1f50-5c04-a4f8-3c32ef1c449c</x:v>
      </x:c>
      <x:c r="L1435" s="19" t="str">
        <x:v>组件待审核</x:v>
      </x:c>
      <x:c r="M1435" s="21" t="n">
        <x:v>35.567755</x:v>
      </x:c>
      <x:c r="N1435" s="21" t="n">
        <x:v>139.692435</x:v>
      </x:c>
      <x:c r="O1435" s="18" t="str">
        <x:v>004317</x:v>
      </x:c>
      <x:c r="P1435" s="18" t="str">
        <x:v>東急多摩川線</x:v>
      </x:c>
      <x:c r="Q1435" s="19" t="str">
        <x:v>S12_061_GE_10000</x:v>
      </x:c>
      <x:c r="R1435" s="19" t="str">
        <x:v>S12_061 usage threshold</x:v>
      </x:c>
      <x:c r="S1435" s="19" t="str">
        <x:v>https://nlftp.mlit.go.jp/ksj/gml/datalist/KsjTmplt-S12-2024.html</x:v>
      </x:c>
      <x:c r="T1435" s="19" t="str">
        <x:v>https://nlftp.mlit.go.jp/ksj/gml/datalist/KsjTmplt-S12-2024.html</x:v>
      </x:c>
      <x:c r="U1435" s="19" t="str">
        <x:v>station-component|武蔵新田|東急電鉄|private_rail|35.5678|139.6924|</x:v>
      </x:c>
      <x:c r="V1435" s="19" t="str">
        <x:v>004317 / 004317 / 東急多摩川線</x:v>
      </x:c>
      <x:c r="W1435" s="18" t="str">
        <x:v>否</x:v>
      </x:c>
      <x:c r="X1435" s="18" t="str">
        <x:v>0785e932a32b3ec15e1a1345537ae145eafe1c07bf38d5c16c11ee2b391e7a28</x:v>
      </x:c>
      <x:c r="Y1435" s="20" t="n">
        <x:v>1</x:v>
      </x:c>
      <x:c r="Z1435" s="20" t="n">
        <x:v>1</x:v>
      </x:c>
      <x:c r="AA1435" s="19"/>
      <x:c r="AB1435" s="18"/>
      <x:c r="AC1435" s="19"/>
    </x:row>
    <x:row r="1436" ht="33" customHeight="1">
      <x:c r="A1436" s="18" t="str">
        <x:v>武蔵浦和</x:v>
      </x:c>
      <x:c r="B1436" s="18" t="str">
        <x:v>東日本旅客鉄道</x:v>
      </x:c>
      <x:c r="C1436" s="18" t="str">
        <x:v>conventional_rail</x:v>
      </x:c>
      <x:c r="D1436" s="19" t="str">
        <x:v>T1</x:v>
      </x:c>
      <x:c r="E1436" s="20" t="n">
        <x:v>100744</x:v>
      </x:c>
      <x:c r="F1436" s="18" t="str">
        <x:v>persons/day</x:v>
      </x:c>
      <x:c r="G1436" s="18" t="str">
        <x:v>FY2024</x:v>
      </x:c>
      <x:c r="H1436" s="18" t="str">
        <x:v>否</x:v>
      </x:c>
      <x:c r="I1436" s="19" t="str">
        <x:v>DAILY_ENTRIES_EXITS</x:v>
      </x:c>
      <x:c r="J1436" s="19" t="str">
        <x:v>東北線
武蔵野線</x:v>
      </x:c>
      <x:c r="K1436" s="18" t="str">
        <x:v>transport-node:e86d3399-1230-5120-8788-cb0dbfedced3</x:v>
      </x:c>
      <x:c r="L1436" s="19" t="str">
        <x:v>组件待审核</x:v>
      </x:c>
      <x:c r="M1436" s="21" t="n">
        <x:v>35.846045</x:v>
      </x:c>
      <x:c r="N1436" s="21" t="n">
        <x:v>139.647935</x:v>
      </x:c>
      <x:c r="O1436" s="18" t="str">
        <x:v>003006</x:v>
      </x:c>
      <x:c r="P1436" s="18" t="str">
        <x:v>武蔵野線</x:v>
      </x:c>
      <x:c r="Q1436" s="19" t="str">
        <x:v>S12_061_GE_10000</x:v>
      </x:c>
      <x:c r="R1436" s="19" t="str">
        <x:v>S12_061 usage threshold</x:v>
      </x:c>
      <x:c r="S1436" s="19" t="str">
        <x:v>https://nlftp.mlit.go.jp/ksj/gml/datalist/KsjTmplt-S12-2024.html</x:v>
      </x:c>
      <x:c r="T1436" s="19" t="str">
        <x:v>https://nlftp.mlit.go.jp/ksj/gml/datalist/KsjTmplt-S12-2024.html</x:v>
      </x:c>
      <x:c r="U1436" s="19" t="str">
        <x:v>station-component|武蔵浦和|東日本旅客鉄道|conventional_rail|35.8460|139.6479|</x:v>
      </x:c>
      <x:c r="V1436" s="19" t="str">
        <x:v>003006 / 003006 / 武蔵野線
003006 / 003008 / 東北線</x:v>
      </x:c>
      <x:c r="W1436" s="18" t="str">
        <x:v>否</x:v>
      </x:c>
      <x:c r="X1436" s="18" t="str">
        <x:v>0785e932a32b3ec15e1a1345537ae145eafe1c07bf38d5c16c11ee2b391e7a28</x:v>
      </x:c>
      <x:c r="Y1436" s="20" t="n">
        <x:v>1</x:v>
      </x:c>
      <x:c r="Z1436" s="20" t="n">
        <x:v>1</x:v>
      </x:c>
      <x:c r="AA1436" s="19"/>
      <x:c r="AB1436" s="18"/>
      <x:c r="AC1436" s="19"/>
    </x:row>
    <x:row r="1437" ht="33" customHeight="1">
      <x:c r="A1437" s="18" t="str">
        <x:v>武蔵溝ノ口</x:v>
      </x:c>
      <x:c r="B1437" s="18" t="str">
        <x:v>東日本旅客鉄道</x:v>
      </x:c>
      <x:c r="C1437" s="18" t="str">
        <x:v>conventional_rail</x:v>
      </x:c>
      <x:c r="D1437" s="19" t="str">
        <x:v>T1</x:v>
      </x:c>
      <x:c r="E1437" s="20" t="n">
        <x:v>155920</x:v>
      </x:c>
      <x:c r="F1437" s="18" t="str">
        <x:v>persons/day</x:v>
      </x:c>
      <x:c r="G1437" s="18" t="str">
        <x:v>FY2024</x:v>
      </x:c>
      <x:c r="H1437" s="18" t="str">
        <x:v>否</x:v>
      </x:c>
      <x:c r="I1437" s="19" t="str">
        <x:v>DAILY_ENTRIES_EXITS</x:v>
      </x:c>
      <x:c r="J1437" s="19" t="str">
        <x:v>南武線</x:v>
      </x:c>
      <x:c r="K1437" s="18" t="str">
        <x:v>transport-node:bd301954-5414-5fac-8a38-b8b09783b761</x:v>
      </x:c>
      <x:c r="L1437" s="19" t="str">
        <x:v>组件待审核</x:v>
      </x:c>
      <x:c r="M1437" s="21" t="n">
        <x:v>35.598815</x:v>
      </x:c>
      <x:c r="N1437" s="21" t="n">
        <x:v>139.611375</x:v>
      </x:c>
      <x:c r="O1437" s="18" t="str">
        <x:v>004242</x:v>
      </x:c>
      <x:c r="P1437" s="18" t="str">
        <x:v>南武線</x:v>
      </x:c>
      <x:c r="Q1437" s="19" t="str">
        <x:v>S12_061_GE_10000
OFFICIAL_HUB_COMPONENT_REVIEW</x:v>
      </x:c>
      <x:c r="R1437" s="19" t="str">
        <x:v>S12_061 usage threshold</x:v>
      </x:c>
      <x:c r="S1437" s="19" t="str">
        <x:v>https://nlftp.mlit.go.jp/ksj/gml/datalist/KsjTmplt-S12-2024.html</x:v>
      </x:c>
      <x:c r="T1437" s="19" t="str">
        <x:v>https://nlftp.mlit.go.jp/ksj/gml/datalist/KsjTmplt-S12-2024.html
https://www.tokyu.co.jp/area/mizonokuchi/station/</x:v>
      </x:c>
      <x:c r="U1437" s="19" t="str">
        <x:v>station-component|武蔵溝ノ口|東日本旅客鉄道|conventional_rail|35.5988|139.6114|</x:v>
      </x:c>
      <x:c r="V1437" s="19" t="str">
        <x:v>004242 / 004242 / 南武線</x:v>
      </x:c>
      <x:c r="W1437" s="18" t="str">
        <x:v>否</x:v>
      </x:c>
      <x:c r="X1437" s="18" t="str">
        <x:v>0785e932a32b3ec15e1a1345537ae145eafe1c07bf38d5c16c11ee2b391e7a28</x:v>
      </x:c>
      <x:c r="Y1437" s="20" t="n">
        <x:v>1</x:v>
      </x:c>
      <x:c r="Z1437" s="20" t="n">
        <x:v>1</x:v>
      </x:c>
      <x:c r="AA1437" s="19" t="str">
        <x:v>溝の口・武蔵溝ノ口</x:v>
      </x:c>
      <x:c r="AB1437" s="18" t="str">
        <x:v>transport-hub-review:e2a5f551-3936-5b70-8056-8dc63b79bb04</x:v>
      </x:c>
      <x:c r="AC1437" s="19"/>
    </x:row>
    <x:row r="1438" ht="28" customHeight="1">
      <x:c r="A1438" s="18" t="str">
        <x:v>武蔵砂川</x:v>
      </x:c>
      <x:c r="B1438" s="18" t="str">
        <x:v>西武鉄道</x:v>
      </x:c>
      <x:c r="C1438" s="18" t="str">
        <x:v>private_rail</x:v>
      </x:c>
      <x:c r="D1438" s="19" t="str">
        <x:v>T2</x:v>
      </x:c>
      <x:c r="E1438" s="20" t="n">
        <x:v>12150</x:v>
      </x:c>
      <x:c r="F1438" s="18" t="str">
        <x:v>persons/day</x:v>
      </x:c>
      <x:c r="G1438" s="18" t="str">
        <x:v>FY2024</x:v>
      </x:c>
      <x:c r="H1438" s="18" t="str">
        <x:v>否</x:v>
      </x:c>
      <x:c r="I1438" s="19" t="str">
        <x:v>DAILY_ENTRIES_EXITS</x:v>
      </x:c>
      <x:c r="J1438" s="19" t="str">
        <x:v>拝島線</x:v>
      </x:c>
      <x:c r="K1438" s="18" t="str">
        <x:v>transport-node:5619af63-acc2-5573-9588-690b224cd1eb</x:v>
      </x:c>
      <x:c r="L1438" s="19" t="str">
        <x:v>组件待审核</x:v>
      </x:c>
      <x:c r="M1438" s="21" t="n">
        <x:v>35.728825</x:v>
      </x:c>
      <x:c r="N1438" s="21" t="n">
        <x:v>139.392345</x:v>
      </x:c>
      <x:c r="O1438" s="18" t="str">
        <x:v>003404</x:v>
      </x:c>
      <x:c r="P1438" s="18" t="str">
        <x:v>拝島線</x:v>
      </x:c>
      <x:c r="Q1438" s="19" t="str">
        <x:v>S12_061_GE_10000</x:v>
      </x:c>
      <x:c r="R1438" s="19" t="str">
        <x:v>S12_061 usage threshold</x:v>
      </x:c>
      <x:c r="S1438" s="19" t="str">
        <x:v>https://nlftp.mlit.go.jp/ksj/gml/datalist/KsjTmplt-S12-2024.html</x:v>
      </x:c>
      <x:c r="T1438" s="19" t="str">
        <x:v>https://nlftp.mlit.go.jp/ksj/gml/datalist/KsjTmplt-S12-2024.html</x:v>
      </x:c>
      <x:c r="U1438" s="19" t="str">
        <x:v>station-component|武蔵砂川|西武鉄道|private_rail|35.7288|139.3923|</x:v>
      </x:c>
      <x:c r="V1438" s="19" t="str">
        <x:v>003404 / 003404 / 拝島線</x:v>
      </x:c>
      <x:c r="W1438" s="18" t="str">
        <x:v>否</x:v>
      </x:c>
      <x:c r="X1438" s="18" t="str">
        <x:v>0785e932a32b3ec15e1a1345537ae145eafe1c07bf38d5c16c11ee2b391e7a28</x:v>
      </x:c>
      <x:c r="Y1438" s="20" t="n">
        <x:v>1</x:v>
      </x:c>
      <x:c r="Z1438" s="20" t="n">
        <x:v>1</x:v>
      </x:c>
      <x:c r="AA1438" s="19"/>
      <x:c r="AB1438" s="18"/>
      <x:c r="AC1438" s="19"/>
    </x:row>
    <x:row r="1439" ht="28" customHeight="1">
      <x:c r="A1439" s="18" t="str">
        <x:v>武蔵藤沢</x:v>
      </x:c>
      <x:c r="B1439" s="18" t="str">
        <x:v>西武鉄道</x:v>
      </x:c>
      <x:c r="C1439" s="18" t="str">
        <x:v>private_rail</x:v>
      </x:c>
      <x:c r="D1439" s="19" t="str">
        <x:v>T2</x:v>
      </x:c>
      <x:c r="E1439" s="20" t="n">
        <x:v>22401</x:v>
      </x:c>
      <x:c r="F1439" s="18" t="str">
        <x:v>persons/day</x:v>
      </x:c>
      <x:c r="G1439" s="18" t="str">
        <x:v>FY2024</x:v>
      </x:c>
      <x:c r="H1439" s="18" t="str">
        <x:v>否</x:v>
      </x:c>
      <x:c r="I1439" s="19" t="str">
        <x:v>DAILY_ENTRIES_EXITS</x:v>
      </x:c>
      <x:c r="J1439" s="19" t="str">
        <x:v>池袋線</x:v>
      </x:c>
      <x:c r="K1439" s="18" t="str">
        <x:v>transport-node:8fdeee3e-c137-5d25-8ca2-feb81823b5ac</x:v>
      </x:c>
      <x:c r="L1439" s="19" t="str">
        <x:v>组件待审核</x:v>
      </x:c>
      <x:c r="M1439" s="21" t="n">
        <x:v>35.82085</x:v>
      </x:c>
      <x:c r="N1439" s="21" t="n">
        <x:v>139.412755</x:v>
      </x:c>
      <x:c r="O1439" s="18" t="str">
        <x:v>003050</x:v>
      </x:c>
      <x:c r="P1439" s="18" t="str">
        <x:v>池袋線</x:v>
      </x:c>
      <x:c r="Q1439" s="19" t="str">
        <x:v>S12_061_GE_10000</x:v>
      </x:c>
      <x:c r="R1439" s="19" t="str">
        <x:v>S12_061 usage threshold</x:v>
      </x:c>
      <x:c r="S1439" s="19" t="str">
        <x:v>https://nlftp.mlit.go.jp/ksj/gml/datalist/KsjTmplt-S12-2024.html</x:v>
      </x:c>
      <x:c r="T1439" s="19" t="str">
        <x:v>https://nlftp.mlit.go.jp/ksj/gml/datalist/KsjTmplt-S12-2024.html</x:v>
      </x:c>
      <x:c r="U1439" s="19" t="str">
        <x:v>station-component|武蔵藤沢|西武鉄道|private_rail|35.8209|139.4128|</x:v>
      </x:c>
      <x:c r="V1439" s="19" t="str">
        <x:v>003050 / 003050 / 池袋線</x:v>
      </x:c>
      <x:c r="W1439" s="18" t="str">
        <x:v>否</x:v>
      </x:c>
      <x:c r="X1439" s="18" t="str">
        <x:v>0785e932a32b3ec15e1a1345537ae145eafe1c07bf38d5c16c11ee2b391e7a28</x:v>
      </x:c>
      <x:c r="Y1439" s="20" t="n">
        <x:v>1</x:v>
      </x:c>
      <x:c r="Z1439" s="20" t="n">
        <x:v>1</x:v>
      </x:c>
      <x:c r="AA1439" s="19"/>
      <x:c r="AB1439" s="18"/>
      <x:c r="AC1439" s="19"/>
    </x:row>
    <x:row r="1440" ht="28" customHeight="1">
      <x:c r="A1440" s="18" t="str">
        <x:v>武蔵野台</x:v>
      </x:c>
      <x:c r="B1440" s="18" t="str">
        <x:v>京王電鉄</x:v>
      </x:c>
      <x:c r="C1440" s="18" t="str">
        <x:v>private_rail</x:v>
      </x:c>
      <x:c r="D1440" s="19" t="str">
        <x:v>T2</x:v>
      </x:c>
      <x:c r="E1440" s="20" t="n">
        <x:v>22356</x:v>
      </x:c>
      <x:c r="F1440" s="18" t="str">
        <x:v>persons/day</x:v>
      </x:c>
      <x:c r="G1440" s="18" t="str">
        <x:v>FY2024</x:v>
      </x:c>
      <x:c r="H1440" s="18" t="str">
        <x:v>否</x:v>
      </x:c>
      <x:c r="I1440" s="19" t="str">
        <x:v>DAILY_ENTRIES_EXITS</x:v>
      </x:c>
      <x:c r="J1440" s="19" t="str">
        <x:v>京王線</x:v>
      </x:c>
      <x:c r="K1440" s="18" t="str">
        <x:v>transport-node:2ed98098-c3c5-549c-8ece-b407add045c9</x:v>
      </x:c>
      <x:c r="L1440" s="19" t="str">
        <x:v>组件待审核</x:v>
      </x:c>
      <x:c r="M1440" s="21" t="n">
        <x:v>35.664135</x:v>
      </x:c>
      <x:c r="N1440" s="21" t="n">
        <x:v>139.511305</x:v>
      </x:c>
      <x:c r="O1440" s="18" t="str">
        <x:v>003891</x:v>
      </x:c>
      <x:c r="P1440" s="18" t="str">
        <x:v>京王線</x:v>
      </x:c>
      <x:c r="Q1440" s="19" t="str">
        <x:v>S12_061_GE_10000</x:v>
      </x:c>
      <x:c r="R1440" s="19" t="str">
        <x:v>S12_061 usage threshold</x:v>
      </x:c>
      <x:c r="S1440" s="19" t="str">
        <x:v>https://nlftp.mlit.go.jp/ksj/gml/datalist/KsjTmplt-S12-2024.html</x:v>
      </x:c>
      <x:c r="T1440" s="19" t="str">
        <x:v>https://nlftp.mlit.go.jp/ksj/gml/datalist/KsjTmplt-S12-2024.html</x:v>
      </x:c>
      <x:c r="U1440" s="19" t="str">
        <x:v>station-component|武蔵野台|京王電鉄|private_rail|35.6641|139.5113|</x:v>
      </x:c>
      <x:c r="V1440" s="19" t="str">
        <x:v>003891 / 003891 / 京王線</x:v>
      </x:c>
      <x:c r="W1440" s="18" t="str">
        <x:v>否</x:v>
      </x:c>
      <x:c r="X1440" s="18" t="str">
        <x:v>0785e932a32b3ec15e1a1345537ae145eafe1c07bf38d5c16c11ee2b391e7a28</x:v>
      </x:c>
      <x:c r="Y1440" s="20" t="n">
        <x:v>1</x:v>
      </x:c>
      <x:c r="Z1440" s="20" t="n">
        <x:v>1</x:v>
      </x:c>
      <x:c r="AA1440" s="19"/>
      <x:c r="AB1440" s="18"/>
      <x:c r="AC1440" s="19"/>
    </x:row>
    <x:row r="1441" ht="28" customHeight="1">
      <x:c r="A1441" s="18" t="str">
        <x:v>武蔵関</x:v>
      </x:c>
      <x:c r="B1441" s="18" t="str">
        <x:v>西武鉄道</x:v>
      </x:c>
      <x:c r="C1441" s="18" t="str">
        <x:v>private_rail</x:v>
      </x:c>
      <x:c r="D1441" s="19" t="str">
        <x:v>T2</x:v>
      </x:c>
      <x:c r="E1441" s="20" t="n">
        <x:v>29438</x:v>
      </x:c>
      <x:c r="F1441" s="18" t="str">
        <x:v>persons/day</x:v>
      </x:c>
      <x:c r="G1441" s="18" t="str">
        <x:v>FY2024</x:v>
      </x:c>
      <x:c r="H1441" s="18" t="str">
        <x:v>否</x:v>
      </x:c>
      <x:c r="I1441" s="19" t="str">
        <x:v>DAILY_ENTRIES_EXITS</x:v>
      </x:c>
      <x:c r="J1441" s="19" t="str">
        <x:v>新宿線</x:v>
      </x:c>
      <x:c r="K1441" s="18" t="str">
        <x:v>transport-node:0dc725b8-84ee-53f1-b49f-0eb1a49b4597</x:v>
      </x:c>
      <x:c r="L1441" s="19" t="str">
        <x:v>组件待审核</x:v>
      </x:c>
      <x:c r="M1441" s="21" t="n">
        <x:v>35.727615</x:v>
      </x:c>
      <x:c r="N1441" s="21" t="n">
        <x:v>139.576365</x:v>
      </x:c>
      <x:c r="O1441" s="18" t="str">
        <x:v>003419</x:v>
      </x:c>
      <x:c r="P1441" s="18" t="str">
        <x:v>新宿線</x:v>
      </x:c>
      <x:c r="Q1441" s="19" t="str">
        <x:v>S12_061_GE_10000</x:v>
      </x:c>
      <x:c r="R1441" s="19" t="str">
        <x:v>S12_061 usage threshold</x:v>
      </x:c>
      <x:c r="S1441" s="19" t="str">
        <x:v>https://nlftp.mlit.go.jp/ksj/gml/datalist/KsjTmplt-S12-2024.html</x:v>
      </x:c>
      <x:c r="T1441" s="19" t="str">
        <x:v>https://nlftp.mlit.go.jp/ksj/gml/datalist/KsjTmplt-S12-2024.html</x:v>
      </x:c>
      <x:c r="U1441" s="19" t="str">
        <x:v>station-component|武蔵関|西武鉄道|private_rail|35.7276|139.5764|</x:v>
      </x:c>
      <x:c r="V1441" s="19" t="str">
        <x:v>003419 / 003419 / 新宿線</x:v>
      </x:c>
      <x:c r="W1441" s="18" t="str">
        <x:v>否</x:v>
      </x:c>
      <x:c r="X1441" s="18" t="str">
        <x:v>0785e932a32b3ec15e1a1345537ae145eafe1c07bf38d5c16c11ee2b391e7a28</x:v>
      </x:c>
      <x:c r="Y1441" s="20" t="n">
        <x:v>1</x:v>
      </x:c>
      <x:c r="Z1441" s="20" t="n">
        <x:v>1</x:v>
      </x:c>
      <x:c r="AA1441" s="19"/>
      <x:c r="AB1441" s="18"/>
      <x:c r="AC1441" s="19"/>
    </x:row>
    <x:row r="1442" ht="28" customHeight="1">
      <x:c r="A1442" s="18" t="str">
        <x:v>武里</x:v>
      </x:c>
      <x:c r="B1442" s="18" t="str">
        <x:v>東武鉄道</x:v>
      </x:c>
      <x:c r="C1442" s="18" t="str">
        <x:v>private_rail</x:v>
      </x:c>
      <x:c r="D1442" s="19" t="str">
        <x:v>T2</x:v>
      </x:c>
      <x:c r="E1442" s="20" t="n">
        <x:v>14199</x:v>
      </x:c>
      <x:c r="F1442" s="18" t="str">
        <x:v>persons/day</x:v>
      </x:c>
      <x:c r="G1442" s="18" t="str">
        <x:v>FY2024</x:v>
      </x:c>
      <x:c r="H1442" s="18" t="str">
        <x:v>否</x:v>
      </x:c>
      <x:c r="I1442" s="19" t="str">
        <x:v>DAILY_ENTRIES_EXITS</x:v>
      </x:c>
      <x:c r="J1442" s="19" t="str">
        <x:v>伊勢崎線</x:v>
      </x:c>
      <x:c r="K1442" s="18" t="str">
        <x:v>transport-node:9810b255-271f-526c-b0e5-9b61fe5655f0</x:v>
      </x:c>
      <x:c r="L1442" s="19" t="str">
        <x:v>组件待审核</x:v>
      </x:c>
      <x:c r="M1442" s="21" t="n">
        <x:v>35.94908</x:v>
      </x:c>
      <x:c r="N1442" s="21" t="n">
        <x:v>139.77071</x:v>
      </x:c>
      <x:c r="O1442" s="18" t="str">
        <x:v>002836</x:v>
      </x:c>
      <x:c r="P1442" s="18" t="str">
        <x:v>伊勢崎線</x:v>
      </x:c>
      <x:c r="Q1442" s="19" t="str">
        <x:v>S12_061_GE_10000</x:v>
      </x:c>
      <x:c r="R1442" s="19" t="str">
        <x:v>S12_061 usage threshold</x:v>
      </x:c>
      <x:c r="S1442" s="19" t="str">
        <x:v>https://nlftp.mlit.go.jp/ksj/gml/datalist/KsjTmplt-S12-2024.html</x:v>
      </x:c>
      <x:c r="T1442" s="19" t="str">
        <x:v>https://nlftp.mlit.go.jp/ksj/gml/datalist/KsjTmplt-S12-2024.html</x:v>
      </x:c>
      <x:c r="U1442" s="19" t="str">
        <x:v>station-component|武里|東武鉄道|private_rail|35.9491|139.7707|</x:v>
      </x:c>
      <x:c r="V1442" s="19" t="str">
        <x:v>002836 / 002836 / 伊勢崎線</x:v>
      </x:c>
      <x:c r="W1442" s="18" t="str">
        <x:v>否</x:v>
      </x:c>
      <x:c r="X1442" s="18" t="str">
        <x:v>0785e932a32b3ec15e1a1345537ae145eafe1c07bf38d5c16c11ee2b391e7a28</x:v>
      </x:c>
      <x:c r="Y1442" s="20" t="n">
        <x:v>1</x:v>
      </x:c>
      <x:c r="Z1442" s="20" t="n">
        <x:v>1</x:v>
      </x:c>
      <x:c r="AA1442" s="19"/>
      <x:c r="AB1442" s="18"/>
      <x:c r="AC1442" s="19"/>
    </x:row>
    <x:row r="1443" ht="33" customHeight="1">
      <x:c r="A1443" s="18" t="str">
        <x:v>武雄温泉</x:v>
      </x:c>
      <x:c r="B1443" s="18" t="str">
        <x:v>九州旅客鉄道</x:v>
      </x:c>
      <x:c r="C1443" s="18" t="str">
        <x:v>shinkansen</x:v>
      </x:c>
      <x:c r="D1443" s="19"/>
      <x:c r="E1443" s="20" t="n">
        <x:v>2080</x:v>
      </x:c>
      <x:c r="F1443" s="18" t="str">
        <x:v>boardings/day</x:v>
      </x:c>
      <x:c r="G1443" s="18" t="str">
        <x:v>FY2024</x:v>
      </x:c>
      <x:c r="H1443" s="18" t="str">
        <x:v>是</x:v>
      </x:c>
      <x:c r="I1443" s="19" t="str">
        <x:v>STATION_COMPLEX_PROXY</x:v>
      </x:c>
      <x:c r="J1443" s="19" t="str">
        <x:v>西九州新幹線</x:v>
      </x:c>
      <x:c r="K1443" s="18" t="str">
        <x:v>transport-node:f58a8278-e50e-5ebf-9c9f-b162bee8a12f</x:v>
      </x:c>
      <x:c r="L1443" s="19" t="str">
        <x:v>组件待审核</x:v>
      </x:c>
      <x:c r="M1443" s="21" t="n">
        <x:v>33.1962133</x:v>
      </x:c>
      <x:c r="N1443" s="21" t="n">
        <x:v>130.0230794</x:v>
      </x:c>
      <x:c r="O1443" s="18" t="str">
        <x:v>009521</x:v>
      </x:c>
      <x:c r="P1443" s="18" t="str">
        <x:v>西九州新幹線</x:v>
      </x:c>
      <x:c r="Q1443" s="19" t="str">
        <x:v>SHINKANSEN</x:v>
      </x:c>
      <x:c r="R1443" s="19" t="str">
        <x:v>Official fallback retained in published scope/unit; tier remains null pending metric/manual review.</x:v>
      </x:c>
      <x:c r="S1443" s="19" t="str">
        <x:v>https://www.jrkyushu.co.jp/company/info/data/pdf/2024ekibetsu.pdf</x:v>
      </x:c>
      <x:c r="T1443" s="19" t="str">
        <x:v>https://nlftp.mlit.go.jp/ksj/gml/datalist/KsjTmplt-S12-2024.html
https://www.jrkyushu.co.jp/company/info/data/pdf/2024ekibetsu.pdf</x:v>
      </x:c>
      <x:c r="U1443" s="19" t="str">
        <x:v>station-component|武雄温泉|九州旅客鉄道|shinkansen|33.1962|130.0231|</x:v>
      </x:c>
      <x:c r="V1443" s="19" t="str">
        <x:v>009518 / 009521 / 西九州新幹線</x:v>
      </x:c>
      <x:c r="W1443" s="18" t="str">
        <x:v>否</x:v>
      </x:c>
      <x:c r="X1443" s="18" t="str">
        <x:v>0785e932a32b3ec15e1a1345537ae145eafe1c07bf38d5c16c11ee2b391e7a28</x:v>
      </x:c>
      <x:c r="Y1443" s="20" t="n">
        <x:v>1</x:v>
      </x:c>
      <x:c r="Z1443" s="20" t="n">
        <x:v>2</x:v>
      </x:c>
      <x:c r="AA1443" s="19"/>
      <x:c r="AB1443" s="18"/>
      <x:c r="AC1443" s="19"/>
    </x:row>
    <x:row r="1444" ht="28" customHeight="1">
      <x:c r="A1444" s="18" t="str">
        <x:v>比叡山坂本</x:v>
      </x:c>
      <x:c r="B1444" s="18" t="str">
        <x:v>西日本旅客鉄道</x:v>
      </x:c>
      <x:c r="C1444" s="18" t="str">
        <x:v>conventional_rail</x:v>
      </x:c>
      <x:c r="D1444" s="19" t="str">
        <x:v>T2</x:v>
      </x:c>
      <x:c r="E1444" s="20" t="n">
        <x:v>11390</x:v>
      </x:c>
      <x:c r="F1444" s="18" t="str">
        <x:v>persons/day</x:v>
      </x:c>
      <x:c r="G1444" s="18" t="str">
        <x:v>FY2024</x:v>
      </x:c>
      <x:c r="H1444" s="18" t="str">
        <x:v>否</x:v>
      </x:c>
      <x:c r="I1444" s="19" t="str">
        <x:v>DAILY_ENTRIES_EXITS</x:v>
      </x:c>
      <x:c r="J1444" s="19" t="str">
        <x:v>湖西線</x:v>
      </x:c>
      <x:c r="K1444" s="18" t="str">
        <x:v>transport-node:f722ba67-91ca-5f25-bc2f-2fd6518051be</x:v>
      </x:c>
      <x:c r="L1444" s="19" t="str">
        <x:v>组件待审核</x:v>
      </x:c>
      <x:c r="M1444" s="21" t="n">
        <x:v>35.070895</x:v>
      </x:c>
      <x:c r="N1444" s="21" t="n">
        <x:v>135.8784425</x:v>
      </x:c>
      <x:c r="O1444" s="18" t="str">
        <x:v>005764</x:v>
      </x:c>
      <x:c r="P1444" s="18" t="str">
        <x:v>湖西線</x:v>
      </x:c>
      <x:c r="Q1444" s="19" t="str">
        <x:v>S12_061_GE_10000</x:v>
      </x:c>
      <x:c r="R1444" s="19" t="str">
        <x:v>S12_061 usage threshold</x:v>
      </x:c>
      <x:c r="S1444" s="19" t="str">
        <x:v>https://nlftp.mlit.go.jp/ksj/gml/datalist/KsjTmplt-S12-2024.html</x:v>
      </x:c>
      <x:c r="T1444" s="19" t="str">
        <x:v>https://nlftp.mlit.go.jp/ksj/gml/datalist/KsjTmplt-S12-2024.html</x:v>
      </x:c>
      <x:c r="U1444" s="19" t="str">
        <x:v>station-component|比叡山坂本|西日本旅客鉄道|conventional_rail|35.0709|135.8784|</x:v>
      </x:c>
      <x:c r="V1444" s="19" t="str">
        <x:v>005764 / 005764 / 湖西線</x:v>
      </x:c>
      <x:c r="W1444" s="18" t="str">
        <x:v>否</x:v>
      </x:c>
      <x:c r="X1444" s="18" t="str">
        <x:v>0785e932a32b3ec15e1a1345537ae145eafe1c07bf38d5c16c11ee2b391e7a28</x:v>
      </x:c>
      <x:c r="Y1444" s="20" t="n">
        <x:v>1</x:v>
      </x:c>
      <x:c r="Z1444" s="20" t="n">
        <x:v>1</x:v>
      </x:c>
      <x:c r="AA1444" s="19"/>
      <x:c r="AB1444" s="18"/>
      <x:c r="AC1444" s="19"/>
    </x:row>
    <x:row r="1445" ht="33" customHeight="1">
      <x:c r="A1445" s="18" t="str">
        <x:v>水天宮前</x:v>
      </x:c>
      <x:c r="B1445" s="18" t="str">
        <x:v>東京地下鉄</x:v>
      </x:c>
      <x:c r="C1445" s="18" t="str">
        <x:v>metro</x:v>
      </x:c>
      <x:c r="D1445" s="19" t="str">
        <x:v>T1</x:v>
      </x:c>
      <x:c r="E1445" s="20" t="n">
        <x:v>74355</x:v>
      </x:c>
      <x:c r="F1445" s="18" t="str">
        <x:v>persons/day</x:v>
      </x:c>
      <x:c r="G1445" s="18" t="str">
        <x:v>FY2024</x:v>
      </x:c>
      <x:c r="H1445" s="18" t="str">
        <x:v>否</x:v>
      </x:c>
      <x:c r="I1445" s="19" t="str">
        <x:v>DAILY_ENTRIES_EXITS</x:v>
      </x:c>
      <x:c r="J1445" s="19" t="str">
        <x:v>11号線半蔵門線</x:v>
      </x:c>
      <x:c r="K1445" s="18" t="str">
        <x:v>transport-node:d0c03f83-055b-56dc-b7e3-d1a5aaa1f1da</x:v>
      </x:c>
      <x:c r="L1445" s="19" t="str">
        <x:v>组件待审核</x:v>
      </x:c>
      <x:c r="M1445" s="21" t="n">
        <x:v>35.6830475</x:v>
      </x:c>
      <x:c r="N1445" s="21" t="n">
        <x:v>139.7851275</x:v>
      </x:c>
      <x:c r="O1445" s="18" t="str">
        <x:v>003753</x:v>
      </x:c>
      <x:c r="P1445" s="18" t="str">
        <x:v>11号線半蔵門線</x:v>
      </x:c>
      <x:c r="Q1445" s="19" t="str">
        <x:v>S12_061_GE_10000
OFFICIAL_HUB_COMPONENT_REVIEW</x:v>
      </x:c>
      <x:c r="R1445" s="19" t="str">
        <x:v>S12_061 usage threshold</x:v>
      </x:c>
      <x:c r="S1445" s="19" t="str">
        <x:v>https://nlftp.mlit.go.jp/ksj/gml/datalist/KsjTmplt-S12-2024.html</x:v>
      </x:c>
      <x:c r="T1445" s="19" t="str">
        <x:v>https://nlftp.mlit.go.jp/ksj/gml/datalist/KsjTmplt-S12-2024.html
https://www.tokyometro.jp/station/ningyocho/index.html</x:v>
      </x:c>
      <x:c r="U1445" s="19" t="str">
        <x:v>station-component|水天宮前|東京地下鉄|metro|35.6830|139.7851|</x:v>
      </x:c>
      <x:c r="V1445" s="19" t="str">
        <x:v>003753 / 003753 / 11号線半蔵門線</x:v>
      </x:c>
      <x:c r="W1445" s="18" t="str">
        <x:v>否</x:v>
      </x:c>
      <x:c r="X1445" s="18" t="str">
        <x:v>0785e932a32b3ec15e1a1345537ae145eafe1c07bf38d5c16c11ee2b391e7a28</x:v>
      </x:c>
      <x:c r="Y1445" s="20" t="n">
        <x:v>1</x:v>
      </x:c>
      <x:c r="Z1445" s="20" t="n">
        <x:v>1</x:v>
      </x:c>
      <x:c r="AA1445" s="19" t="str">
        <x:v>人形町・水天宮前</x:v>
      </x:c>
      <x:c r="AB1445" s="18" t="str">
        <x:v>transport-hub-review:76cbe37f-dbdc-5add-9497-0a4659fbcb8c</x:v>
      </x:c>
      <x:c r="AC1445" s="19"/>
    </x:row>
    <x:row r="1446" ht="33" customHeight="1">
      <x:c r="A1446" s="18" t="str">
        <x:v>水戸</x:v>
      </x:c>
      <x:c r="B1446" s="18" t="str">
        <x:v>東日本旅客鉄道</x:v>
      </x:c>
      <x:c r="C1446" s="18" t="str">
        <x:v>conventional_rail</x:v>
      </x:c>
      <x:c r="D1446" s="19" t="str">
        <x:v>T1</x:v>
      </x:c>
      <x:c r="E1446" s="20" t="n">
        <x:v>58357</x:v>
      </x:c>
      <x:c r="F1446" s="18" t="str">
        <x:v>persons/day</x:v>
      </x:c>
      <x:c r="G1446" s="18" t="str">
        <x:v>FY2024</x:v>
      </x:c>
      <x:c r="H1446" s="18" t="str">
        <x:v>否</x:v>
      </x:c>
      <x:c r="I1446" s="19" t="str">
        <x:v>DAILY_ENTRIES_EXITS</x:v>
      </x:c>
      <x:c r="J1446" s="19" t="str">
        <x:v>常磐線
水郡線</x:v>
      </x:c>
      <x:c r="K1446" s="18" t="str">
        <x:v>transport-node:911abb0f-6d9d-55f3-8f0e-20f3530233c4</x:v>
      </x:c>
      <x:c r="L1446" s="19" t="str">
        <x:v>组件待审核</x:v>
      </x:c>
      <x:c r="M1446" s="21" t="n">
        <x:v>36.3708867</x:v>
      </x:c>
      <x:c r="N1446" s="21" t="n">
        <x:v>140.4775633</x:v>
      </x:c>
      <x:c r="O1446" s="18" t="str">
        <x:v>002319</x:v>
      </x:c>
      <x:c r="P1446" s="18" t="str">
        <x:v>常磐線</x:v>
      </x:c>
      <x:c r="Q1446" s="19" t="str">
        <x:v>S12_061_GE_10000</x:v>
      </x:c>
      <x:c r="R1446" s="19" t="str">
        <x:v>S12_061 usage threshold</x:v>
      </x:c>
      <x:c r="S1446" s="19" t="str">
        <x:v>https://nlftp.mlit.go.jp/ksj/gml/datalist/KsjTmplt-S12-2024.html</x:v>
      </x:c>
      <x:c r="T1446" s="19" t="str">
        <x:v>https://nlftp.mlit.go.jp/ksj/gml/datalist/KsjTmplt-S12-2024.html</x:v>
      </x:c>
      <x:c r="U1446" s="19" t="str">
        <x:v>station-component|水戸|東日本旅客鉄道|conventional_rail|36.3709|140.4776|</x:v>
      </x:c>
      <x:c r="V1446" s="19" t="str">
        <x:v>002319 / 002317 / 水郡線
002319 / 002319 / 常磐線</x:v>
      </x:c>
      <x:c r="W1446" s="18" t="str">
        <x:v>否</x:v>
      </x:c>
      <x:c r="X1446" s="18" t="str">
        <x:v>0785e932a32b3ec15e1a1345537ae145eafe1c07bf38d5c16c11ee2b391e7a28</x:v>
      </x:c>
      <x:c r="Y1446" s="20" t="n">
        <x:v>1</x:v>
      </x:c>
      <x:c r="Z1446" s="20" t="n">
        <x:v>1</x:v>
      </x:c>
      <x:c r="AA1446" s="19"/>
      <x:c r="AB1446" s="18"/>
      <x:c r="AC1446" s="19"/>
    </x:row>
    <x:row r="1447" ht="33" customHeight="1">
      <x:c r="A1447" s="18" t="str">
        <x:v>水沢江刺</x:v>
      </x:c>
      <x:c r="B1447" s="18" t="str">
        <x:v>東日本旅客鉄道</x:v>
      </x:c>
      <x:c r="C1447" s="18" t="str">
        <x:v>shinkansen</x:v>
      </x:c>
      <x:c r="D1447" s="19" t="str">
        <x:v>T3</x:v>
      </x:c>
      <x:c r="E1447" s="20" t="n">
        <x:v>1776</x:v>
      </x:c>
      <x:c r="F1447" s="18" t="str">
        <x:v>persons/day</x:v>
      </x:c>
      <x:c r="G1447" s="18" t="str">
        <x:v>FY2024</x:v>
      </x:c>
      <x:c r="H1447" s="18" t="str">
        <x:v>否</x:v>
      </x:c>
      <x:c r="I1447" s="19" t="str">
        <x:v>DAILY_ENTRIES_EXITS</x:v>
      </x:c>
      <x:c r="J1447" s="19" t="str">
        <x:v>東北新幹線</x:v>
      </x:c>
      <x:c r="K1447" s="18" t="str">
        <x:v>transport-node:bb3a8e23-c2d1-552b-8d08-a3c8fe7834be</x:v>
      </x:c>
      <x:c r="L1447" s="19" t="str">
        <x:v>组件待审核</x:v>
      </x:c>
      <x:c r="M1447" s="21" t="n">
        <x:v>39.14516</x:v>
      </x:c>
      <x:c r="N1447" s="21" t="n">
        <x:v>141.188705</x:v>
      </x:c>
      <x:c r="O1447" s="18" t="str">
        <x:v>000942</x:v>
      </x:c>
      <x:c r="P1447" s="18" t="str">
        <x:v>東北新幹線</x:v>
      </x:c>
      <x:c r="Q1447" s="19" t="str">
        <x:v>SHINKANSEN</x:v>
      </x:c>
      <x:c r="R1447" s="19" t="str">
        <x:v>S12_061 usage threshold; low-flow inclusion justified by Shinkansen inventory</x:v>
      </x:c>
      <x:c r="S1447" s="19" t="str">
        <x:v>https://nlftp.mlit.go.jp/ksj/gml/datalist/KsjTmplt-S12-2024.html</x:v>
      </x:c>
      <x:c r="T1447" s="19" t="str">
        <x:v>https://nlftp.mlit.go.jp/ksj/gml/datalist/KsjTmplt-S12-2024.html</x:v>
      </x:c>
      <x:c r="U1447" s="19" t="str">
        <x:v>station-component|水沢江刺|東日本旅客鉄道|shinkansen|39.1452|141.1887|</x:v>
      </x:c>
      <x:c r="V1447" s="19" t="str">
        <x:v>000942 / 000942 / 東北新幹線</x:v>
      </x:c>
      <x:c r="W1447" s="18" t="str">
        <x:v>否</x:v>
      </x:c>
      <x:c r="X1447" s="18" t="str">
        <x:v>0785e932a32b3ec15e1a1345537ae145eafe1c07bf38d5c16c11ee2b391e7a28</x:v>
      </x:c>
      <x:c r="Y1447" s="20" t="n">
        <x:v>1</x:v>
      </x:c>
      <x:c r="Z1447" s="20" t="n">
        <x:v>1</x:v>
      </x:c>
      <x:c r="AA1447" s="19"/>
      <x:c r="AB1447" s="18"/>
      <x:c r="AC1447" s="19"/>
    </x:row>
    <x:row r="1448" ht="33" customHeight="1">
      <x:c r="A1448" s="18" t="str">
        <x:v>水道橋</x:v>
      </x:c>
      <x:c r="B1448" s="18" t="str">
        <x:v>東京都</x:v>
      </x:c>
      <x:c r="C1448" s="18" t="str">
        <x:v>metro</x:v>
      </x:c>
      <x:c r="D1448" s="19" t="str">
        <x:v>T2</x:v>
      </x:c>
      <x:c r="E1448" s="20" t="n">
        <x:v>39624</x:v>
      </x:c>
      <x:c r="F1448" s="18" t="str">
        <x:v>persons/day</x:v>
      </x:c>
      <x:c r="G1448" s="18" t="str">
        <x:v>FY2024</x:v>
      </x:c>
      <x:c r="H1448" s="18" t="str">
        <x:v>否</x:v>
      </x:c>
      <x:c r="I1448" s="19" t="str">
        <x:v>DAILY_ENTRIES_EXITS</x:v>
      </x:c>
      <x:c r="J1448" s="19" t="str">
        <x:v>6号線三田線</x:v>
      </x:c>
      <x:c r="K1448" s="18" t="str">
        <x:v>transport-node:2dddb552-6f8d-5eef-b61f-ce7303e8fe65</x:v>
      </x:c>
      <x:c r="L1448" s="19" t="str">
        <x:v>组件待审核</x:v>
      </x:c>
      <x:c r="M1448" s="21" t="n">
        <x:v>35.703704</x:v>
      </x:c>
      <x:c r="N1448" s="21" t="n">
        <x:v>139.755102</x:v>
      </x:c>
      <x:c r="O1448" s="18" t="str">
        <x:v>003580</x:v>
      </x:c>
      <x:c r="P1448" s="18" t="str">
        <x:v>6号線三田線</x:v>
      </x:c>
      <x:c r="Q1448" s="19" t="str">
        <x:v>S12_061_GE_10000
OFFICIAL_HUB_COMPONENT_REVIEW</x:v>
      </x:c>
      <x:c r="R1448" s="19" t="str">
        <x:v>S12_061 usage threshold</x:v>
      </x:c>
      <x:c r="S1448" s="19" t="str">
        <x:v>https://nlftp.mlit.go.jp/ksj/gml/datalist/KsjTmplt-S12-2024.html</x:v>
      </x:c>
      <x:c r="T1448" s="19" t="str">
        <x:v>https://nlftp.mlit.go.jp/ksj/gml/datalist/KsjTmplt-S12-2024.html
https://www.kotsu.metro.tokyo.jp/subway/stations/suidobashi.html</x:v>
      </x:c>
      <x:c r="U1448" s="19" t="str">
        <x:v>station-component|水道橋|東京都|metro|35.7037|139.7551|</x:v>
      </x:c>
      <x:c r="V1448" s="19" t="str">
        <x:v>003580 / 003580 / 6号線三田線</x:v>
      </x:c>
      <x:c r="W1448" s="18" t="str">
        <x:v>否</x:v>
      </x:c>
      <x:c r="X1448" s="18" t="str">
        <x:v>0785e932a32b3ec15e1a1345537ae145eafe1c07bf38d5c16c11ee2b391e7a28</x:v>
      </x:c>
      <x:c r="Y1448" s="20" t="n">
        <x:v>1</x:v>
      </x:c>
      <x:c r="Z1448" s="20" t="n">
        <x:v>1</x:v>
      </x:c>
      <x:c r="AA1448" s="19" t="str">
        <x:v>水道橋</x:v>
      </x:c>
      <x:c r="AB1448" s="18" t="str">
        <x:v>transport-hub-review:10985cbb-a814-5011-8c78-2634eccee5d9</x:v>
      </x:c>
      <x:c r="AC1448" s="19"/>
    </x:row>
    <x:row r="1449" ht="33" customHeight="1">
      <x:c r="A1449" s="18" t="str">
        <x:v>水道橋</x:v>
      </x:c>
      <x:c r="B1449" s="18" t="str">
        <x:v>東日本旅客鉄道</x:v>
      </x:c>
      <x:c r="C1449" s="18" t="str">
        <x:v>conventional_rail</x:v>
      </x:c>
      <x:c r="D1449" s="19" t="str">
        <x:v>T1</x:v>
      </x:c>
      <x:c r="E1449" s="20" t="n">
        <x:v>142866</x:v>
      </x:c>
      <x:c r="F1449" s="18" t="str">
        <x:v>persons/day</x:v>
      </x:c>
      <x:c r="G1449" s="18" t="str">
        <x:v>FY2024</x:v>
      </x:c>
      <x:c r="H1449" s="18" t="str">
        <x:v>否</x:v>
      </x:c>
      <x:c r="I1449" s="19" t="str">
        <x:v>DAILY_ENTRIES_EXITS</x:v>
      </x:c>
      <x:c r="J1449" s="19" t="str">
        <x:v>中央線</x:v>
      </x:c>
      <x:c r="K1449" s="18" t="str">
        <x:v>transport-node:4d4604a3-db69-55db-9c27-b8cfbca3868a</x:v>
      </x:c>
      <x:c r="L1449" s="19" t="str">
        <x:v>组件待审核</x:v>
      </x:c>
      <x:c r="M1449" s="21" t="n">
        <x:v>35.702</x:v>
      </x:c>
      <x:c r="N1449" s="21" t="n">
        <x:v>139.753745</x:v>
      </x:c>
      <x:c r="O1449" s="18" t="str">
        <x:v>003591</x:v>
      </x:c>
      <x:c r="P1449" s="18" t="str">
        <x:v>中央線</x:v>
      </x:c>
      <x:c r="Q1449" s="19" t="str">
        <x:v>S12_061_GE_10000
OFFICIAL_HUB_COMPONENT_REVIEW</x:v>
      </x:c>
      <x:c r="R1449" s="19" t="str">
        <x:v>S12_061 usage threshold</x:v>
      </x:c>
      <x:c r="S1449" s="19" t="str">
        <x:v>https://nlftp.mlit.go.jp/ksj/gml/datalist/KsjTmplt-S12-2024.html</x:v>
      </x:c>
      <x:c r="T1449" s="19" t="str">
        <x:v>https://nlftp.mlit.go.jp/ksj/gml/datalist/KsjTmplt-S12-2024.html
https://www.kotsu.metro.tokyo.jp/subway/stations/suidobashi.html</x:v>
      </x:c>
      <x:c r="U1449" s="19" t="str">
        <x:v>station-component|水道橋|東日本旅客鉄道|conventional_rail|35.7020|139.7537|</x:v>
      </x:c>
      <x:c r="V1449" s="19" t="str">
        <x:v>003580 / 003591 / 中央線</x:v>
      </x:c>
      <x:c r="W1449" s="18" t="str">
        <x:v>否</x:v>
      </x:c>
      <x:c r="X1449" s="18" t="str">
        <x:v>0785e932a32b3ec15e1a1345537ae145eafe1c07bf38d5c16c11ee2b391e7a28</x:v>
      </x:c>
      <x:c r="Y1449" s="20" t="n">
        <x:v>1</x:v>
      </x:c>
      <x:c r="Z1449" s="20" t="n">
        <x:v>1</x:v>
      </x:c>
      <x:c r="AA1449" s="19" t="str">
        <x:v>水道橋</x:v>
      </x:c>
      <x:c r="AB1449" s="18" t="str">
        <x:v>transport-hub-review:10985cbb-a814-5011-8c78-2634eccee5d9</x:v>
      </x:c>
      <x:c r="AC1449" s="19"/>
    </x:row>
    <x:row r="1450" ht="28" customHeight="1">
      <x:c r="A1450" s="18" t="str">
        <x:v>氷川台</x:v>
      </x:c>
      <x:c r="B1450" s="18" t="str">
        <x:v>東京地下鉄</x:v>
      </x:c>
      <x:c r="C1450" s="18" t="str">
        <x:v>metro</x:v>
      </x:c>
      <x:c r="D1450" s="19" t="str">
        <x:v>T2</x:v>
      </x:c>
      <x:c r="E1450" s="20" t="n">
        <x:v>37978</x:v>
      </x:c>
      <x:c r="F1450" s="18" t="str">
        <x:v>persons/day</x:v>
      </x:c>
      <x:c r="G1450" s="18" t="str">
        <x:v>FY2024</x:v>
      </x:c>
      <x:c r="H1450" s="18" t="str">
        <x:v>否</x:v>
      </x:c>
      <x:c r="I1450" s="19" t="str">
        <x:v>DAILY_ENTRIES_EXITS</x:v>
      </x:c>
      <x:c r="J1450" s="19" t="str">
        <x:v>8号線有楽町線</x:v>
      </x:c>
      <x:c r="K1450" s="18" t="str">
        <x:v>transport-node:fe999609-887e-5c82-9fc7-1f24d365051e</x:v>
      </x:c>
      <x:c r="L1450" s="19" t="str">
        <x:v>组件待审核</x:v>
      </x:c>
      <x:c r="M1450" s="21" t="n">
        <x:v>35.74962</x:v>
      </x:c>
      <x:c r="N1450" s="21" t="n">
        <x:v>139.66547</x:v>
      </x:c>
      <x:c r="O1450" s="18" t="str">
        <x:v>003261</x:v>
      </x:c>
      <x:c r="P1450" s="18" t="str">
        <x:v>8号線有楽町線</x:v>
      </x:c>
      <x:c r="Q1450" s="19" t="str">
        <x:v>S12_061_GE_10000</x:v>
      </x:c>
      <x:c r="R1450" s="19" t="str">
        <x:v>S12_061 usage threshold</x:v>
      </x:c>
      <x:c r="S1450" s="19" t="str">
        <x:v>https://nlftp.mlit.go.jp/ksj/gml/datalist/KsjTmplt-S12-2024.html</x:v>
      </x:c>
      <x:c r="T1450" s="19" t="str">
        <x:v>https://nlftp.mlit.go.jp/ksj/gml/datalist/KsjTmplt-S12-2024.html</x:v>
      </x:c>
      <x:c r="U1450" s="19" t="str">
        <x:v>station-component|氷川台|東京地下鉄|metro|35.7496|139.6655|</x:v>
      </x:c>
      <x:c r="V1450" s="19" t="str">
        <x:v>003261 / 003261 / 8号線有楽町線</x:v>
      </x:c>
      <x:c r="W1450" s="18" t="str">
        <x:v>否</x:v>
      </x:c>
      <x:c r="X1450" s="18" t="str">
        <x:v>0785e932a32b3ec15e1a1345537ae145eafe1c07bf38d5c16c11ee2b391e7a28</x:v>
      </x:c>
      <x:c r="Y1450" s="20" t="n">
        <x:v>1</x:v>
      </x:c>
      <x:c r="Z1450" s="20" t="n">
        <x:v>1</x:v>
      </x:c>
      <x:c r="AA1450" s="19"/>
      <x:c r="AB1450" s="18"/>
      <x:c r="AC1450" s="19"/>
    </x:row>
    <x:row r="1451" ht="47" customHeight="1">
      <x:c r="A1451" s="18" t="str">
        <x:v>永田町</x:v>
      </x:c>
      <x:c r="B1451" s="18" t="str">
        <x:v>東京地下鉄</x:v>
      </x:c>
      <x:c r="C1451" s="18" t="str">
        <x:v>metro</x:v>
      </x:c>
      <x:c r="D1451" s="19" t="str">
        <x:v>T1</x:v>
      </x:c>
      <x:c r="E1451" s="20" t="n">
        <x:v>75272</x:v>
      </x:c>
      <x:c r="F1451" s="18" t="str">
        <x:v>persons/day</x:v>
      </x:c>
      <x:c r="G1451" s="18" t="str">
        <x:v>FY2024</x:v>
      </x:c>
      <x:c r="H1451" s="18" t="str">
        <x:v>否</x:v>
      </x:c>
      <x:c r="I1451" s="19" t="str">
        <x:v>DAILY_ENTRIES_EXITS</x:v>
      </x:c>
      <x:c r="J1451" s="19" t="str">
        <x:v>11号線半蔵門線
7号線南北線
8号線有楽町線</x:v>
      </x:c>
      <x:c r="K1451" s="18" t="str">
        <x:v>transport-node:e1952d70-ff8c-5235-9f10-9239b312dac4</x:v>
      </x:c>
      <x:c r="L1451" s="19" t="str">
        <x:v>组件待审核</x:v>
      </x:c>
      <x:c r="M1451" s="21" t="n">
        <x:v>35.678364</x:v>
      </x:c>
      <x:c r="N1451" s="21" t="n">
        <x:v>139.739238</x:v>
      </x:c>
      <x:c r="O1451" s="18" t="str">
        <x:v>003782</x:v>
      </x:c>
      <x:c r="P1451" s="18" t="str">
        <x:v>7号線南北線</x:v>
      </x:c>
      <x:c r="Q1451" s="19" t="str">
        <x:v>S12_061_GE_10000
OFFICIAL_HUB_COMPONENT_REVIEW</x:v>
      </x:c>
      <x:c r="R1451" s="19" t="str">
        <x:v>S12_061 usage threshold</x:v>
      </x:c>
      <x:c r="S1451" s="19" t="str">
        <x:v>https://nlftp.mlit.go.jp/ksj/gml/datalist/KsjTmplt-S12-2024.html</x:v>
      </x:c>
      <x:c r="T1451" s="19" t="str">
        <x:v>https://nlftp.mlit.go.jp/ksj/gml/datalist/KsjTmplt-S12-2024.html
https://www.tokyometro.jp/station/akasaka-mitsuke/index.html</x:v>
      </x:c>
      <x:c r="U1451" s="19" t="str">
        <x:v>station-component|永田町|東京地下鉄|metro|35.6784|139.7392|</x:v>
      </x:c>
      <x:c r="V1451" s="19" t="str">
        <x:v>003782 / 003781 / 11号線半蔵門線
003782 / 003782 / 7号線南北線
003782 / 003784 / 8号線有楽町線</x:v>
      </x:c>
      <x:c r="W1451" s="18" t="str">
        <x:v>否</x:v>
      </x:c>
      <x:c r="X1451" s="18" t="str">
        <x:v>0785e932a32b3ec15e1a1345537ae145eafe1c07bf38d5c16c11ee2b391e7a28</x:v>
      </x:c>
      <x:c r="Y1451" s="20" t="n">
        <x:v>1</x:v>
      </x:c>
      <x:c r="Z1451" s="20" t="n">
        <x:v>1</x:v>
      </x:c>
      <x:c r="AA1451" s="19" t="str">
        <x:v>赤坂見附・永田町</x:v>
      </x:c>
      <x:c r="AB1451" s="18" t="str">
        <x:v>transport-hub-review:62009126-e3fb-58c8-989e-dffdda74bf2b</x:v>
      </x:c>
      <x:c r="AC1451" s="19"/>
    </x:row>
    <x:row r="1452" ht="28" customHeight="1">
      <x:c r="A1452" s="18" t="str">
        <x:v>永福町</x:v>
      </x:c>
      <x:c r="B1452" s="18" t="str">
        <x:v>京王電鉄</x:v>
      </x:c>
      <x:c r="C1452" s="18" t="str">
        <x:v>private_rail</x:v>
      </x:c>
      <x:c r="D1452" s="19" t="str">
        <x:v>T2</x:v>
      </x:c>
      <x:c r="E1452" s="20" t="n">
        <x:v>30039</x:v>
      </x:c>
      <x:c r="F1452" s="18" t="str">
        <x:v>persons/day</x:v>
      </x:c>
      <x:c r="G1452" s="18" t="str">
        <x:v>FY2024</x:v>
      </x:c>
      <x:c r="H1452" s="18" t="str">
        <x:v>否</x:v>
      </x:c>
      <x:c r="I1452" s="19" t="str">
        <x:v>DAILY_ENTRIES_EXITS</x:v>
      </x:c>
      <x:c r="J1452" s="19" t="str">
        <x:v>井の頭線</x:v>
      </x:c>
      <x:c r="K1452" s="18" t="str">
        <x:v>transport-node:ab38f4a2-6abd-5658-a261-eb4646194077</x:v>
      </x:c>
      <x:c r="L1452" s="19" t="str">
        <x:v>组件待审核</x:v>
      </x:c>
      <x:c r="M1452" s="21" t="n">
        <x:v>35.676225</x:v>
      </x:c>
      <x:c r="N1452" s="21" t="n">
        <x:v>139.64267</x:v>
      </x:c>
      <x:c r="O1452" s="18" t="str">
        <x:v>003794</x:v>
      </x:c>
      <x:c r="P1452" s="18" t="str">
        <x:v>井の頭線</x:v>
      </x:c>
      <x:c r="Q1452" s="19" t="str">
        <x:v>S12_061_GE_10000</x:v>
      </x:c>
      <x:c r="R1452" s="19" t="str">
        <x:v>S12_061 usage threshold</x:v>
      </x:c>
      <x:c r="S1452" s="19" t="str">
        <x:v>https://nlftp.mlit.go.jp/ksj/gml/datalist/KsjTmplt-S12-2024.html</x:v>
      </x:c>
      <x:c r="T1452" s="19" t="str">
        <x:v>https://nlftp.mlit.go.jp/ksj/gml/datalist/KsjTmplt-S12-2024.html</x:v>
      </x:c>
      <x:c r="U1452" s="19" t="str">
        <x:v>station-component|永福町|京王電鉄|private_rail|35.6762|139.6427|</x:v>
      </x:c>
      <x:c r="V1452" s="19" t="str">
        <x:v>003794 / 003794 / 井の頭線</x:v>
      </x:c>
      <x:c r="W1452" s="18" t="str">
        <x:v>否</x:v>
      </x:c>
      <x:c r="X1452" s="18" t="str">
        <x:v>0785e932a32b3ec15e1a1345537ae145eafe1c07bf38d5c16c11ee2b391e7a28</x:v>
      </x:c>
      <x:c r="Y1452" s="20" t="n">
        <x:v>1</x:v>
      </x:c>
      <x:c r="Z1452" s="20" t="n">
        <x:v>1</x:v>
      </x:c>
      <x:c r="AA1452" s="19"/>
      <x:c r="AB1452" s="18"/>
      <x:c r="AC1452" s="19"/>
    </x:row>
    <x:row r="1453" ht="28" customHeight="1">
      <x:c r="A1453" s="18" t="str">
        <x:v>汐入</x:v>
      </x:c>
      <x:c r="B1453" s="18" t="str">
        <x:v>京浜急行電鉄</x:v>
      </x:c>
      <x:c r="C1453" s="18" t="str">
        <x:v>private_rail</x:v>
      </x:c>
      <x:c r="D1453" s="19" t="str">
        <x:v>T2</x:v>
      </x:c>
      <x:c r="E1453" s="20" t="n">
        <x:v>21204</x:v>
      </x:c>
      <x:c r="F1453" s="18" t="str">
        <x:v>persons/day</x:v>
      </x:c>
      <x:c r="G1453" s="18" t="str">
        <x:v>FY2024</x:v>
      </x:c>
      <x:c r="H1453" s="18" t="str">
        <x:v>否</x:v>
      </x:c>
      <x:c r="I1453" s="19" t="str">
        <x:v>DAILY_ENTRIES_EXITS</x:v>
      </x:c>
      <x:c r="J1453" s="19" t="str">
        <x:v>本線</x:v>
      </x:c>
      <x:c r="K1453" s="18" t="str">
        <x:v>transport-node:1d7f69d6-d1c3-54cd-afdf-97a3a2f23607</x:v>
      </x:c>
      <x:c r="L1453" s="19" t="str">
        <x:v>组件待审核</x:v>
      </x:c>
      <x:c r="M1453" s="21" t="n">
        <x:v>35.280315</x:v>
      </x:c>
      <x:c r="N1453" s="21" t="n">
        <x:v>139.662515</x:v>
      </x:c>
      <x:c r="O1453" s="18" t="str">
        <x:v>005161</x:v>
      </x:c>
      <x:c r="P1453" s="18" t="str">
        <x:v>本線</x:v>
      </x:c>
      <x:c r="Q1453" s="19" t="str">
        <x:v>S12_061_GE_10000</x:v>
      </x:c>
      <x:c r="R1453" s="19" t="str">
        <x:v>S12_061 usage threshold</x:v>
      </x:c>
      <x:c r="S1453" s="19" t="str">
        <x:v>https://nlftp.mlit.go.jp/ksj/gml/datalist/KsjTmplt-S12-2024.html</x:v>
      </x:c>
      <x:c r="T1453" s="19" t="str">
        <x:v>https://nlftp.mlit.go.jp/ksj/gml/datalist/KsjTmplt-S12-2024.html</x:v>
      </x:c>
      <x:c r="U1453" s="19" t="str">
        <x:v>station-component|汐入|京浜急行電鉄|private_rail|35.2803|139.6625|</x:v>
      </x:c>
      <x:c r="V1453" s="19" t="str">
        <x:v>005161 / 005161 / 本線</x:v>
      </x:c>
      <x:c r="W1453" s="18" t="str">
        <x:v>否</x:v>
      </x:c>
      <x:c r="X1453" s="18" t="str">
        <x:v>0785e932a32b3ec15e1a1345537ae145eafe1c07bf38d5c16c11ee2b391e7a28</x:v>
      </x:c>
      <x:c r="Y1453" s="20" t="n">
        <x:v>1</x:v>
      </x:c>
      <x:c r="Z1453" s="20" t="n">
        <x:v>1</x:v>
      </x:c>
      <x:c r="AA1453" s="19"/>
      <x:c r="AB1453" s="18"/>
      <x:c r="AC1453" s="19"/>
    </x:row>
    <x:row r="1454" ht="28" customHeight="1">
      <x:c r="A1454" s="18" t="str">
        <x:v>汐留</x:v>
      </x:c>
      <x:c r="B1454" s="18" t="str">
        <x:v>東京都</x:v>
      </x:c>
      <x:c r="C1454" s="18" t="str">
        <x:v>metro</x:v>
      </x:c>
      <x:c r="D1454" s="19" t="str">
        <x:v>T2</x:v>
      </x:c>
      <x:c r="E1454" s="20" t="n">
        <x:v>37899</x:v>
      </x:c>
      <x:c r="F1454" s="18" t="str">
        <x:v>persons/day</x:v>
      </x:c>
      <x:c r="G1454" s="18" t="str">
        <x:v>FY2024</x:v>
      </x:c>
      <x:c r="H1454" s="18" t="str">
        <x:v>否</x:v>
      </x:c>
      <x:c r="I1454" s="19" t="str">
        <x:v>DAILY_ENTRIES_EXITS</x:v>
      </x:c>
      <x:c r="J1454" s="19" t="str">
        <x:v>12号線大江戸線</x:v>
      </x:c>
      <x:c r="K1454" s="18" t="str">
        <x:v>transport-node:74009f27-b6ec-56b6-a826-1aaf5c8ca23e</x:v>
      </x:c>
      <x:c r="L1454" s="19" t="str">
        <x:v>组件待审核</x:v>
      </x:c>
      <x:c r="M1454" s="21" t="n">
        <x:v>35.66499</x:v>
      </x:c>
      <x:c r="N1454" s="21" t="n">
        <x:v>139.7613325</x:v>
      </x:c>
      <x:c r="O1454" s="18" t="str">
        <x:v>003887</x:v>
      </x:c>
      <x:c r="P1454" s="18" t="str">
        <x:v>12号線大江戸線</x:v>
      </x:c>
      <x:c r="Q1454" s="19" t="str">
        <x:v>S12_061_GE_10000</x:v>
      </x:c>
      <x:c r="R1454" s="19" t="str">
        <x:v>S12_061 usage threshold</x:v>
      </x:c>
      <x:c r="S1454" s="19" t="str">
        <x:v>https://nlftp.mlit.go.jp/ksj/gml/datalist/KsjTmplt-S12-2024.html</x:v>
      </x:c>
      <x:c r="T1454" s="19" t="str">
        <x:v>https://nlftp.mlit.go.jp/ksj/gml/datalist/KsjTmplt-S12-2024.html</x:v>
      </x:c>
      <x:c r="U1454" s="19" t="str">
        <x:v>station-component|汐留|東京都|metro|35.6650|139.7613|</x:v>
      </x:c>
      <x:c r="V1454" s="19" t="str">
        <x:v>003887 / 003887 / 12号線大江戸線</x:v>
      </x:c>
      <x:c r="W1454" s="18" t="str">
        <x:v>否</x:v>
      </x:c>
      <x:c r="X1454" s="18" t="str">
        <x:v>0785e932a32b3ec15e1a1345537ae145eafe1c07bf38d5c16c11ee2b391e7a28</x:v>
      </x:c>
      <x:c r="Y1454" s="20" t="n">
        <x:v>1</x:v>
      </x:c>
      <x:c r="Z1454" s="20" t="n">
        <x:v>1</x:v>
      </x:c>
      <x:c r="AA1454" s="19"/>
      <x:c r="AB1454" s="18"/>
      <x:c r="AC1454" s="19"/>
    </x:row>
    <x:row r="1455" ht="33" customHeight="1">
      <x:c r="A1455" s="18" t="str">
        <x:v>汐見橋</x:v>
      </x:c>
      <x:c r="B1455" s="18" t="str">
        <x:v>南海電気鉄道</x:v>
      </x:c>
      <x:c r="C1455" s="18" t="str">
        <x:v>private_rail</x:v>
      </x:c>
      <x:c r="D1455" s="19" t="str">
        <x:v>T3</x:v>
      </x:c>
      <x:c r="E1455" s="20" t="n">
        <x:v>767</x:v>
      </x:c>
      <x:c r="F1455" s="18" t="str">
        <x:v>persons/day</x:v>
      </x:c>
      <x:c r="G1455" s="18" t="str">
        <x:v>FY2024</x:v>
      </x:c>
      <x:c r="H1455" s="18" t="str">
        <x:v>否</x:v>
      </x:c>
      <x:c r="I1455" s="19" t="str">
        <x:v>DAILY_ENTRIES_EXITS</x:v>
      </x:c>
      <x:c r="J1455" s="19" t="str">
        <x:v>高野線</x:v>
      </x:c>
      <x:c r="K1455" s="18" t="str">
        <x:v>transport-node:89b60bbb-e275-54f3-985c-294e1321683f</x:v>
      </x:c>
      <x:c r="L1455" s="19" t="str">
        <x:v>组件待审核</x:v>
      </x:c>
      <x:c r="M1455" s="21" t="n">
        <x:v>34.66762</x:v>
      </x:c>
      <x:c r="N1455" s="21" t="n">
        <x:v>135.486225</x:v>
      </x:c>
      <x:c r="O1455" s="18" t="str">
        <x:v>007303</x:v>
      </x:c>
      <x:c r="P1455" s="18" t="str">
        <x:v>高野線</x:v>
      </x:c>
      <x:c r="Q1455" s="19" t="str">
        <x:v>OFFICIAL_HUB_COMPONENT_REVIEW</x:v>
      </x:c>
      <x:c r="R1455" s="19" t="str">
        <x:v>S12_061 usage threshold; low-flow inclusion justified by official Hub component review</x:v>
      </x:c>
      <x:c r="S1455" s="19" t="str">
        <x:v>https://nlftp.mlit.go.jp/ksj/gml/datalist/KsjTmplt-S12-2024.html</x:v>
      </x:c>
      <x:c r="T1455" s="19" t="str">
        <x:v>https://nlftp.mlit.go.jp/ksj/gml/datalist/KsjTmplt-S12-2024.html
https://subway.osakametro.co.jp/station_guide/S/s15/index.php</x:v>
      </x:c>
      <x:c r="U1455" s="19" t="str">
        <x:v>station-component|汐見橋|南海電気鉄道|private_rail|34.6676|135.4862|</x:v>
      </x:c>
      <x:c r="V1455" s="19" t="str">
        <x:v>007303 / 007303 / 高野線</x:v>
      </x:c>
      <x:c r="W1455" s="18" t="str">
        <x:v>否</x:v>
      </x:c>
      <x:c r="X1455" s="18" t="str">
        <x:v>0785e932a32b3ec15e1a1345537ae145eafe1c07bf38d5c16c11ee2b391e7a28</x:v>
      </x:c>
      <x:c r="Y1455" s="20" t="n">
        <x:v>1</x:v>
      </x:c>
      <x:c r="Z1455" s="20" t="n">
        <x:v>1</x:v>
      </x:c>
      <x:c r="AA1455" s="19" t="str">
        <x:v>桜川・汐見橋</x:v>
      </x:c>
      <x:c r="AB1455" s="18" t="str">
        <x:v>transport-hub-review:6f5b664e-894b-5e33-993e-8d24c9c06d0e</x:v>
      </x:c>
      <x:c r="AC1455" s="19"/>
    </x:row>
    <x:row r="1456" ht="28" customHeight="1">
      <x:c r="A1456" s="18" t="str">
        <x:v>江ノ島</x:v>
      </x:c>
      <x:c r="B1456" s="18" t="str">
        <x:v>江ノ島電鉄</x:v>
      </x:c>
      <x:c r="C1456" s="18" t="str">
        <x:v>private_rail</x:v>
      </x:c>
      <x:c r="D1456" s="19" t="str">
        <x:v>T2</x:v>
      </x:c>
      <x:c r="E1456" s="20" t="n">
        <x:v>10757</x:v>
      </x:c>
      <x:c r="F1456" s="18" t="str">
        <x:v>persons/day</x:v>
      </x:c>
      <x:c r="G1456" s="18" t="str">
        <x:v>FY2024</x:v>
      </x:c>
      <x:c r="H1456" s="18" t="str">
        <x:v>否</x:v>
      </x:c>
      <x:c r="I1456" s="19" t="str">
        <x:v>DAILY_ENTRIES_EXITS</x:v>
      </x:c>
      <x:c r="J1456" s="19" t="str">
        <x:v>江ノ島電鉄線</x:v>
      </x:c>
      <x:c r="K1456" s="18" t="str">
        <x:v>transport-node:160f242f-7f6a-50b7-a989-4ddc314e3ffe</x:v>
      </x:c>
      <x:c r="L1456" s="19" t="str">
        <x:v>组件待审核</x:v>
      </x:c>
      <x:c r="M1456" s="21" t="n">
        <x:v>35.311025</x:v>
      </x:c>
      <x:c r="N1456" s="21" t="n">
        <x:v>139.487625</x:v>
      </x:c>
      <x:c r="O1456" s="18" t="str">
        <x:v>005087</x:v>
      </x:c>
      <x:c r="P1456" s="18" t="str">
        <x:v>江ノ島電鉄線</x:v>
      </x:c>
      <x:c r="Q1456" s="19" t="str">
        <x:v>S12_061_GE_10000</x:v>
      </x:c>
      <x:c r="R1456" s="19" t="str">
        <x:v>S12_061 usage threshold</x:v>
      </x:c>
      <x:c r="S1456" s="19" t="str">
        <x:v>https://nlftp.mlit.go.jp/ksj/gml/datalist/KsjTmplt-S12-2024.html</x:v>
      </x:c>
      <x:c r="T1456" s="19" t="str">
        <x:v>https://nlftp.mlit.go.jp/ksj/gml/datalist/KsjTmplt-S12-2024.html</x:v>
      </x:c>
      <x:c r="U1456" s="19" t="str">
        <x:v>station-component|江ノ島|江ノ島電鉄|private_rail|35.3110|139.4876|</x:v>
      </x:c>
      <x:c r="V1456" s="19" t="str">
        <x:v>005087 / 005087 / 江ノ島電鉄線</x:v>
      </x:c>
      <x:c r="W1456" s="18" t="str">
        <x:v>否</x:v>
      </x:c>
      <x:c r="X1456" s="18" t="str">
        <x:v>0785e932a32b3ec15e1a1345537ae145eafe1c07bf38d5c16c11ee2b391e7a28</x:v>
      </x:c>
      <x:c r="Y1456" s="20" t="n">
        <x:v>1</x:v>
      </x:c>
      <x:c r="Z1456" s="20" t="n">
        <x:v>1</x:v>
      </x:c>
      <x:c r="AA1456" s="19"/>
      <x:c r="AB1456" s="18"/>
      <x:c r="AC1456" s="19"/>
    </x:row>
    <x:row r="1457" ht="28" customHeight="1">
      <x:c r="A1457" s="18" t="str">
        <x:v>江北</x:v>
      </x:c>
      <x:c r="B1457" s="18" t="str">
        <x:v>東京都</x:v>
      </x:c>
      <x:c r="C1457" s="18" t="str">
        <x:v>fixed_guideway</x:v>
      </x:c>
      <x:c r="D1457" s="19" t="str">
        <x:v>T2</x:v>
      </x:c>
      <x:c r="E1457" s="20" t="n">
        <x:v>12958</x:v>
      </x:c>
      <x:c r="F1457" s="18" t="str">
        <x:v>persons/day</x:v>
      </x:c>
      <x:c r="G1457" s="18" t="str">
        <x:v>FY2024</x:v>
      </x:c>
      <x:c r="H1457" s="18" t="str">
        <x:v>否</x:v>
      </x:c>
      <x:c r="I1457" s="19" t="str">
        <x:v>DAILY_ENTRIES_EXITS</x:v>
      </x:c>
      <x:c r="J1457" s="19" t="str">
        <x:v>日暮里・舎人ライナー</x:v>
      </x:c>
      <x:c r="K1457" s="18" t="str">
        <x:v>transport-node:f4647c8d-6215-5a00-8a24-7e67947606af</x:v>
      </x:c>
      <x:c r="L1457" s="19" t="str">
        <x:v>组件待审核</x:v>
      </x:c>
      <x:c r="M1457" s="21" t="n">
        <x:v>35.773785</x:v>
      </x:c>
      <x:c r="N1457" s="21" t="n">
        <x:v>139.770345</x:v>
      </x:c>
      <x:c r="O1457" s="18" t="str">
        <x:v>003171</x:v>
      </x:c>
      <x:c r="P1457" s="18" t="str">
        <x:v>日暮里・舎人ライナー</x:v>
      </x:c>
      <x:c r="Q1457" s="19" t="str">
        <x:v>S12_061_GE_10000</x:v>
      </x:c>
      <x:c r="R1457" s="19" t="str">
        <x:v>S12_061 usage threshold</x:v>
      </x:c>
      <x:c r="S1457" s="19" t="str">
        <x:v>https://nlftp.mlit.go.jp/ksj/gml/datalist/KsjTmplt-S12-2024.html</x:v>
      </x:c>
      <x:c r="T1457" s="19" t="str">
        <x:v>https://nlftp.mlit.go.jp/ksj/gml/datalist/KsjTmplt-S12-2024.html</x:v>
      </x:c>
      <x:c r="U1457" s="19" t="str">
        <x:v>station-component|江北|東京都|fixed_guideway|35.7738|139.7703|</x:v>
      </x:c>
      <x:c r="V1457" s="19" t="str">
        <x:v>003171 / 003171 / 日暮里・舎人ライナー</x:v>
      </x:c>
      <x:c r="W1457" s="18" t="str">
        <x:v>否</x:v>
      </x:c>
      <x:c r="X1457" s="18" t="str">
        <x:v>0785e932a32b3ec15e1a1345537ae145eafe1c07bf38d5c16c11ee2b391e7a28</x:v>
      </x:c>
      <x:c r="Y1457" s="20" t="n">
        <x:v>1</x:v>
      </x:c>
      <x:c r="Z1457" s="20" t="n">
        <x:v>1</x:v>
      </x:c>
      <x:c r="AA1457" s="19"/>
      <x:c r="AB1457" s="18"/>
      <x:c r="AC1457" s="19"/>
    </x:row>
    <x:row r="1458" ht="28" customHeight="1">
      <x:c r="A1458" s="18" t="str">
        <x:v>江南</x:v>
      </x:c>
      <x:c r="B1458" s="18" t="str">
        <x:v>名古屋鉄道</x:v>
      </x:c>
      <x:c r="C1458" s="18" t="str">
        <x:v>private_rail</x:v>
      </x:c>
      <x:c r="D1458" s="19" t="str">
        <x:v>T2</x:v>
      </x:c>
      <x:c r="E1458" s="20" t="n">
        <x:v>24966</x:v>
      </x:c>
      <x:c r="F1458" s="18" t="str">
        <x:v>persons/day</x:v>
      </x:c>
      <x:c r="G1458" s="18" t="str">
        <x:v>FY2024</x:v>
      </x:c>
      <x:c r="H1458" s="18" t="str">
        <x:v>否</x:v>
      </x:c>
      <x:c r="I1458" s="19" t="str">
        <x:v>DAILY_ENTRIES_EXITS</x:v>
      </x:c>
      <x:c r="J1458" s="19" t="str">
        <x:v>犬山線</x:v>
      </x:c>
      <x:c r="K1458" s="18" t="str">
        <x:v>transport-node:d3593900-a1d2-5630-ab3b-6021f2033cb9</x:v>
      </x:c>
      <x:c r="L1458" s="19" t="str">
        <x:v>组件待审核</x:v>
      </x:c>
      <x:c r="M1458" s="21" t="n">
        <x:v>35.3346967</x:v>
      </x:c>
      <x:c r="N1458" s="21" t="n">
        <x:v>136.8720567</x:v>
      </x:c>
      <x:c r="O1458" s="18" t="str">
        <x:v>005011</x:v>
      </x:c>
      <x:c r="P1458" s="18" t="str">
        <x:v>犬山線</x:v>
      </x:c>
      <x:c r="Q1458" s="19" t="str">
        <x:v>S12_061_GE_10000</x:v>
      </x:c>
      <x:c r="R1458" s="19" t="str">
        <x:v>S12_061 usage threshold</x:v>
      </x:c>
      <x:c r="S1458" s="19" t="str">
        <x:v>https://nlftp.mlit.go.jp/ksj/gml/datalist/KsjTmplt-S12-2024.html</x:v>
      </x:c>
      <x:c r="T1458" s="19" t="str">
        <x:v>https://nlftp.mlit.go.jp/ksj/gml/datalist/KsjTmplt-S12-2024.html</x:v>
      </x:c>
      <x:c r="U1458" s="19" t="str">
        <x:v>station-component|江南|名古屋鉄道|private_rail|35.3347|136.8721|</x:v>
      </x:c>
      <x:c r="V1458" s="19" t="str">
        <x:v>005011 / 005011 / 犬山線</x:v>
      </x:c>
      <x:c r="W1458" s="18" t="str">
        <x:v>否</x:v>
      </x:c>
      <x:c r="X1458" s="18" t="str">
        <x:v>0785e932a32b3ec15e1a1345537ae145eafe1c07bf38d5c16c11ee2b391e7a28</x:v>
      </x:c>
      <x:c r="Y1458" s="20" t="n">
        <x:v>1</x:v>
      </x:c>
      <x:c r="Z1458" s="20" t="n">
        <x:v>1</x:v>
      </x:c>
      <x:c r="AA1458" s="19"/>
      <x:c r="AB1458" s="18"/>
      <x:c r="AC1458" s="19"/>
    </x:row>
    <x:row r="1459" ht="28" customHeight="1">
      <x:c r="A1459" s="18" t="str">
        <x:v>江古田</x:v>
      </x:c>
      <x:c r="B1459" s="18" t="str">
        <x:v>西武鉄道</x:v>
      </x:c>
      <x:c r="C1459" s="18" t="str">
        <x:v>private_rail</x:v>
      </x:c>
      <x:c r="D1459" s="19" t="str">
        <x:v>T2</x:v>
      </x:c>
      <x:c r="E1459" s="20" t="n">
        <x:v>32177</x:v>
      </x:c>
      <x:c r="F1459" s="18" t="str">
        <x:v>persons/day</x:v>
      </x:c>
      <x:c r="G1459" s="18" t="str">
        <x:v>FY2024</x:v>
      </x:c>
      <x:c r="H1459" s="18" t="str">
        <x:v>否</x:v>
      </x:c>
      <x:c r="I1459" s="19" t="str">
        <x:v>DAILY_ENTRIES_EXITS</x:v>
      </x:c>
      <x:c r="J1459" s="19" t="str">
        <x:v>池袋線</x:v>
      </x:c>
      <x:c r="K1459" s="18" t="str">
        <x:v>transport-node:70b7c923-0d2f-5c5b-afe6-78f67445b000</x:v>
      </x:c>
      <x:c r="L1459" s="19" t="str">
        <x:v>组件待审核</x:v>
      </x:c>
      <x:c r="M1459" s="21" t="n">
        <x:v>35.737465</x:v>
      </x:c>
      <x:c r="N1459" s="21" t="n">
        <x:v>139.672785</x:v>
      </x:c>
      <x:c r="O1459" s="18" t="str">
        <x:v>003337</x:v>
      </x:c>
      <x:c r="P1459" s="18" t="str">
        <x:v>池袋線</x:v>
      </x:c>
      <x:c r="Q1459" s="19" t="str">
        <x:v>S12_061_GE_10000</x:v>
      </x:c>
      <x:c r="R1459" s="19" t="str">
        <x:v>S12_061 usage threshold</x:v>
      </x:c>
      <x:c r="S1459" s="19" t="str">
        <x:v>https://nlftp.mlit.go.jp/ksj/gml/datalist/KsjTmplt-S12-2024.html</x:v>
      </x:c>
      <x:c r="T1459" s="19" t="str">
        <x:v>https://nlftp.mlit.go.jp/ksj/gml/datalist/KsjTmplt-S12-2024.html</x:v>
      </x:c>
      <x:c r="U1459" s="19" t="str">
        <x:v>station-component|江古田|西武鉄道|private_rail|35.7375|139.6728|</x:v>
      </x:c>
      <x:c r="V1459" s="19" t="str">
        <x:v>003337 / 003337 / 池袋線</x:v>
      </x:c>
      <x:c r="W1459" s="18" t="str">
        <x:v>否</x:v>
      </x:c>
      <x:c r="X1459" s="18" t="str">
        <x:v>0785e932a32b3ec15e1a1345537ae145eafe1c07bf38d5c16c11ee2b391e7a28</x:v>
      </x:c>
      <x:c r="Y1459" s="20" t="n">
        <x:v>1</x:v>
      </x:c>
      <x:c r="Z1459" s="20" t="n">
        <x:v>1</x:v>
      </x:c>
      <x:c r="AA1459" s="19"/>
      <x:c r="AB1459" s="18"/>
      <x:c r="AC1459" s="19"/>
    </x:row>
    <x:row r="1460" ht="33" customHeight="1">
      <x:c r="A1460" s="18" t="str">
        <x:v>江坂</x:v>
      </x:c>
      <x:c r="B1460" s="18" t="str">
        <x:v>北大阪急行電鉄</x:v>
      </x:c>
      <x:c r="C1460" s="18" t="str">
        <x:v>private_rail</x:v>
      </x:c>
      <x:c r="D1460" s="19"/>
      <x:c r="E1460" s="20"/>
      <x:c r="F1460" s="18"/>
      <x:c r="G1460" s="18" t="str">
        <x:v>FY2024</x:v>
      </x:c>
      <x:c r="H1460" s="18" t="str">
        <x:v>是</x:v>
      </x:c>
      <x:c r="I1460" s="19" t="str">
        <x:v>USAGE_DATA_UNAVAILABLE</x:v>
      </x:c>
      <x:c r="J1460" s="19" t="str">
        <x:v>南北線</x:v>
      </x:c>
      <x:c r="K1460" s="18" t="str">
        <x:v>transport-node:32bb3bc0-157f-5aba-a607-a7a1b0bbe2bb</x:v>
      </x:c>
      <x:c r="L1460" s="19" t="str">
        <x:v>组件待审核</x:v>
      </x:c>
      <x:c r="M1460" s="21" t="n">
        <x:v>34.75875</x:v>
      </x:c>
      <x:c r="N1460" s="21" t="n">
        <x:v>135.497095</x:v>
      </x:c>
      <x:c r="O1460" s="18" t="str">
        <x:v>006800</x:v>
      </x:c>
      <x:c r="P1460" s="18" t="str">
        <x:v>南北線</x:v>
      </x:c>
      <x:c r="Q1460" s="19" t="str">
        <x:v>OFFICIAL_HUB_COMPONENT_REVIEW</x:v>
      </x:c>
      <x:c r="R1460" s="19" t="str">
        <x:v>Official S12 usage unavailable; manual tier review required</x:v>
      </x:c>
      <x:c r="S1460" s="19" t="str">
        <x:v>https://nlftp.mlit.go.jp/ksj/gml/datalist/KsjTmplt-S12-2024.html</x:v>
      </x:c>
      <x:c r="T1460" s="19" t="str">
        <x:v>https://nlftp.mlit.go.jp/ksj/gml/datalist/KsjTmplt-S12-2024.html
https://subway.osakametro.co.jp/station_guide/M/m11/index.php</x:v>
      </x:c>
      <x:c r="U1460" s="19" t="str">
        <x:v>station-component|江坂|北大阪急行電鉄|private_rail|34.7587|135.4971|</x:v>
      </x:c>
      <x:c r="V1460" s="19" t="str">
        <x:v>006800 / 006800 / 南北線</x:v>
      </x:c>
      <x:c r="W1460" s="18" t="str">
        <x:v>否</x:v>
      </x:c>
      <x:c r="X1460" s="18" t="str">
        <x:v>0785e932a32b3ec15e1a1345537ae145eafe1c07bf38d5c16c11ee2b391e7a28</x:v>
      </x:c>
      <x:c r="Y1460" s="20" t="n">
        <x:v>1</x:v>
      </x:c>
      <x:c r="Z1460" s="20" t="n">
        <x:v>2</x:v>
      </x:c>
      <x:c r="AA1460" s="19" t="str">
        <x:v>江坂</x:v>
      </x:c>
      <x:c r="AB1460" s="18" t="str">
        <x:v>transport-hub-review:2d66bfa9-823c-51a9-93eb-002eee35bc0c</x:v>
      </x:c>
      <x:c r="AC1460" s="19"/>
    </x:row>
    <x:row r="1461" ht="33" customHeight="1">
      <x:c r="A1461" s="18" t="str">
        <x:v>江坂</x:v>
      </x:c>
      <x:c r="B1461" s="18" t="str">
        <x:v>大阪市高速電気軌道</x:v>
      </x:c>
      <x:c r="C1461" s="18" t="str">
        <x:v>metro</x:v>
      </x:c>
      <x:c r="D1461" s="19" t="str">
        <x:v>T1</x:v>
      </x:c>
      <x:c r="E1461" s="20" t="n">
        <x:v>85538</x:v>
      </x:c>
      <x:c r="F1461" s="18" t="str">
        <x:v>persons/day</x:v>
      </x:c>
      <x:c r="G1461" s="18" t="str">
        <x:v>FY2024</x:v>
      </x:c>
      <x:c r="H1461" s="18" t="str">
        <x:v>否</x:v>
      </x:c>
      <x:c r="I1461" s="19" t="str">
        <x:v>DAILY_ENTRIES_EXITS</x:v>
      </x:c>
      <x:c r="J1461" s="19" t="str">
        <x:v>1号線(御堂筋線)</x:v>
      </x:c>
      <x:c r="K1461" s="18" t="str">
        <x:v>transport-node:884fa71c-d31e-50a4-aa42-4644f505268d</x:v>
      </x:c>
      <x:c r="L1461" s="19" t="str">
        <x:v>组件待审核</x:v>
      </x:c>
      <x:c r="M1461" s="21" t="n">
        <x:v>34.75875</x:v>
      </x:c>
      <x:c r="N1461" s="21" t="n">
        <x:v>135.497095</x:v>
      </x:c>
      <x:c r="O1461" s="18" t="str">
        <x:v>006801</x:v>
      </x:c>
      <x:c r="P1461" s="18" t="str">
        <x:v>1号線(御堂筋線)</x:v>
      </x:c>
      <x:c r="Q1461" s="19" t="str">
        <x:v>S12_061_GE_10000
OFFICIAL_HUB_COMPONENT_REVIEW</x:v>
      </x:c>
      <x:c r="R1461" s="19" t="str">
        <x:v>S12_061 usage threshold</x:v>
      </x:c>
      <x:c r="S1461" s="19" t="str">
        <x:v>https://nlftp.mlit.go.jp/ksj/gml/datalist/KsjTmplt-S12-2024.html</x:v>
      </x:c>
      <x:c r="T1461" s="19" t="str">
        <x:v>https://nlftp.mlit.go.jp/ksj/gml/datalist/KsjTmplt-S12-2024.html
https://subway.osakametro.co.jp/station_guide/M/m11/index.php</x:v>
      </x:c>
      <x:c r="U1461" s="19" t="str">
        <x:v>station-component|江坂|大阪市高速電気軌道|metro|34.7587|135.4971|</x:v>
      </x:c>
      <x:c r="V1461" s="19" t="str">
        <x:v>006800 / 006801 / 1号線(御堂筋線)</x:v>
      </x:c>
      <x:c r="W1461" s="18" t="str">
        <x:v>否</x:v>
      </x:c>
      <x:c r="X1461" s="18" t="str">
        <x:v>0785e932a32b3ec15e1a1345537ae145eafe1c07bf38d5c16c11ee2b391e7a28</x:v>
      </x:c>
      <x:c r="Y1461" s="20" t="n">
        <x:v>1</x:v>
      </x:c>
      <x:c r="Z1461" s="20" t="n">
        <x:v>1</x:v>
      </x:c>
      <x:c r="AA1461" s="19" t="str">
        <x:v>江坂</x:v>
      </x:c>
      <x:c r="AB1461" s="18" t="str">
        <x:v>transport-hub-review:2d66bfa9-823c-51a9-93eb-002eee35bc0c</x:v>
      </x:c>
      <x:c r="AC1461" s="19"/>
    </x:row>
    <x:row r="1462" ht="28" customHeight="1">
      <x:c r="A1462" s="18" t="str">
        <x:v>江戸川台</x:v>
      </x:c>
      <x:c r="B1462" s="18" t="str">
        <x:v>東武鉄道</x:v>
      </x:c>
      <x:c r="C1462" s="18" t="str">
        <x:v>private_rail</x:v>
      </x:c>
      <x:c r="D1462" s="19" t="str">
        <x:v>T2</x:v>
      </x:c>
      <x:c r="E1462" s="20" t="n">
        <x:v>23221</x:v>
      </x:c>
      <x:c r="F1462" s="18" t="str">
        <x:v>persons/day</x:v>
      </x:c>
      <x:c r="G1462" s="18" t="str">
        <x:v>FY2024</x:v>
      </x:c>
      <x:c r="H1462" s="18" t="str">
        <x:v>否</x:v>
      </x:c>
      <x:c r="I1462" s="19" t="str">
        <x:v>DAILY_ENTRIES_EXITS</x:v>
      </x:c>
      <x:c r="J1462" s="19" t="str">
        <x:v>野田線</x:v>
      </x:c>
      <x:c r="K1462" s="18" t="str">
        <x:v>transport-node:81def8fe-8049-5b93-ba67-e8d1979ba683</x:v>
      </x:c>
      <x:c r="L1462" s="19" t="str">
        <x:v>组件待审核</x:v>
      </x:c>
      <x:c r="M1462" s="21" t="n">
        <x:v>35.89723</x:v>
      </x:c>
      <x:c r="N1462" s="21" t="n">
        <x:v>139.91053</x:v>
      </x:c>
      <x:c r="O1462" s="18" t="str">
        <x:v>002926</x:v>
      </x:c>
      <x:c r="P1462" s="18" t="str">
        <x:v>野田線</x:v>
      </x:c>
      <x:c r="Q1462" s="19" t="str">
        <x:v>S12_061_GE_10000</x:v>
      </x:c>
      <x:c r="R1462" s="19" t="str">
        <x:v>S12_061 usage threshold</x:v>
      </x:c>
      <x:c r="S1462" s="19" t="str">
        <x:v>https://nlftp.mlit.go.jp/ksj/gml/datalist/KsjTmplt-S12-2024.html</x:v>
      </x:c>
      <x:c r="T1462" s="19" t="str">
        <x:v>https://nlftp.mlit.go.jp/ksj/gml/datalist/KsjTmplt-S12-2024.html</x:v>
      </x:c>
      <x:c r="U1462" s="19" t="str">
        <x:v>station-component|江戸川台|東武鉄道|private_rail|35.8972|139.9105|</x:v>
      </x:c>
      <x:c r="V1462" s="19" t="str">
        <x:v>002926 / 002926 / 野田線</x:v>
      </x:c>
      <x:c r="W1462" s="18" t="str">
        <x:v>否</x:v>
      </x:c>
      <x:c r="X1462" s="18" t="str">
        <x:v>0785e932a32b3ec15e1a1345537ae145eafe1c07bf38d5c16c11ee2b391e7a28</x:v>
      </x:c>
      <x:c r="Y1462" s="20" t="n">
        <x:v>1</x:v>
      </x:c>
      <x:c r="Z1462" s="20" t="n">
        <x:v>1</x:v>
      </x:c>
      <x:c r="AA1462" s="19"/>
      <x:c r="AB1462" s="18"/>
      <x:c r="AC1462" s="19"/>
    </x:row>
    <x:row r="1463" ht="28" customHeight="1">
      <x:c r="A1463" s="18" t="str">
        <x:v>江戸川橋</x:v>
      </x:c>
      <x:c r="B1463" s="18" t="str">
        <x:v>東京地下鉄</x:v>
      </x:c>
      <x:c r="C1463" s="18" t="str">
        <x:v>metro</x:v>
      </x:c>
      <x:c r="D1463" s="19" t="str">
        <x:v>T2</x:v>
      </x:c>
      <x:c r="E1463" s="20" t="n">
        <x:v>49844</x:v>
      </x:c>
      <x:c r="F1463" s="18" t="str">
        <x:v>persons/day</x:v>
      </x:c>
      <x:c r="G1463" s="18" t="str">
        <x:v>FY2024</x:v>
      </x:c>
      <x:c r="H1463" s="18" t="str">
        <x:v>否</x:v>
      </x:c>
      <x:c r="I1463" s="19" t="str">
        <x:v>DAILY_ENTRIES_EXITS</x:v>
      </x:c>
      <x:c r="J1463" s="19" t="str">
        <x:v>8号線有楽町線</x:v>
      </x:c>
      <x:c r="K1463" s="18" t="str">
        <x:v>transport-node:9eb93b98-5523-56f8-990d-1cc55f37502d</x:v>
      </x:c>
      <x:c r="L1463" s="19" t="str">
        <x:v>组件待审核</x:v>
      </x:c>
      <x:c r="M1463" s="21" t="n">
        <x:v>35.709295</x:v>
      </x:c>
      <x:c r="N1463" s="21" t="n">
        <x:v>139.73413</x:v>
      </x:c>
      <x:c r="O1463" s="18" t="str">
        <x:v>003534</x:v>
      </x:c>
      <x:c r="P1463" s="18" t="str">
        <x:v>8号線有楽町線</x:v>
      </x:c>
      <x:c r="Q1463" s="19" t="str">
        <x:v>S12_061_GE_10000</x:v>
      </x:c>
      <x:c r="R1463" s="19" t="str">
        <x:v>S12_061 usage threshold</x:v>
      </x:c>
      <x:c r="S1463" s="19" t="str">
        <x:v>https://nlftp.mlit.go.jp/ksj/gml/datalist/KsjTmplt-S12-2024.html</x:v>
      </x:c>
      <x:c r="T1463" s="19" t="str">
        <x:v>https://nlftp.mlit.go.jp/ksj/gml/datalist/KsjTmplt-S12-2024.html</x:v>
      </x:c>
      <x:c r="U1463" s="19" t="str">
        <x:v>station-component|江戸川橋|東京地下鉄|metro|35.7093|139.7341|</x:v>
      </x:c>
      <x:c r="V1463" s="19" t="str">
        <x:v>003534 / 003534 / 8号線有楽町線</x:v>
      </x:c>
      <x:c r="W1463" s="18" t="str">
        <x:v>否</x:v>
      </x:c>
      <x:c r="X1463" s="18" t="str">
        <x:v>0785e932a32b3ec15e1a1345537ae145eafe1c07bf38d5c16c11ee2b391e7a28</x:v>
      </x:c>
      <x:c r="Y1463" s="20" t="n">
        <x:v>1</x:v>
      </x:c>
      <x:c r="Z1463" s="20" t="n">
        <x:v>1</x:v>
      </x:c>
      <x:c r="AA1463" s="19"/>
      <x:c r="AB1463" s="18"/>
      <x:c r="AC1463" s="19"/>
    </x:row>
    <x:row r="1464" ht="28" customHeight="1">
      <x:c r="A1464" s="18" t="str">
        <x:v>江田</x:v>
      </x:c>
      <x:c r="B1464" s="18" t="str">
        <x:v>東急電鉄</x:v>
      </x:c>
      <x:c r="C1464" s="18" t="str">
        <x:v>private_rail</x:v>
      </x:c>
      <x:c r="D1464" s="19" t="str">
        <x:v>T2</x:v>
      </x:c>
      <x:c r="E1464" s="20" t="n">
        <x:v>31901</x:v>
      </x:c>
      <x:c r="F1464" s="18" t="str">
        <x:v>persons/day</x:v>
      </x:c>
      <x:c r="G1464" s="18" t="str">
        <x:v>FY2024</x:v>
      </x:c>
      <x:c r="H1464" s="18" t="str">
        <x:v>否</x:v>
      </x:c>
      <x:c r="I1464" s="19" t="str">
        <x:v>DAILY_ENTRIES_EXITS</x:v>
      </x:c>
      <x:c r="J1464" s="19" t="str">
        <x:v>田園都市線</x:v>
      </x:c>
      <x:c r="K1464" s="18" t="str">
        <x:v>transport-node:a5302e37-e081-513d-8ef4-2b71b6500483</x:v>
      </x:c>
      <x:c r="L1464" s="19" t="str">
        <x:v>组件待审核</x:v>
      </x:c>
      <x:c r="M1464" s="21" t="n">
        <x:v>35.558535</x:v>
      </x:c>
      <x:c r="N1464" s="21" t="n">
        <x:v>139.55141</x:v>
      </x:c>
      <x:c r="O1464" s="18" t="str">
        <x:v>004340</x:v>
      </x:c>
      <x:c r="P1464" s="18" t="str">
        <x:v>田園都市線</x:v>
      </x:c>
      <x:c r="Q1464" s="19" t="str">
        <x:v>S12_061_GE_10000</x:v>
      </x:c>
      <x:c r="R1464" s="19" t="str">
        <x:v>S12_061 usage threshold</x:v>
      </x:c>
      <x:c r="S1464" s="19" t="str">
        <x:v>https://nlftp.mlit.go.jp/ksj/gml/datalist/KsjTmplt-S12-2024.html</x:v>
      </x:c>
      <x:c r="T1464" s="19" t="str">
        <x:v>https://nlftp.mlit.go.jp/ksj/gml/datalist/KsjTmplt-S12-2024.html</x:v>
      </x:c>
      <x:c r="U1464" s="19" t="str">
        <x:v>station-component|江田|東急電鉄|private_rail|35.5585|139.5514|</x:v>
      </x:c>
      <x:c r="V1464" s="19" t="str">
        <x:v>004340 / 004340 / 田園都市線</x:v>
      </x:c>
      <x:c r="W1464" s="18" t="str">
        <x:v>否</x:v>
      </x:c>
      <x:c r="X1464" s="18" t="str">
        <x:v>0785e932a32b3ec15e1a1345537ae145eafe1c07bf38d5c16c11ee2b391e7a28</x:v>
      </x:c>
      <x:c r="Y1464" s="20" t="n">
        <x:v>1</x:v>
      </x:c>
      <x:c r="Z1464" s="20" t="n">
        <x:v>1</x:v>
      </x:c>
      <x:c r="AA1464" s="19"/>
      <x:c r="AB1464" s="18"/>
      <x:c r="AC1464" s="19"/>
    </x:row>
    <x:row r="1465" ht="28" customHeight="1">
      <x:c r="A1465" s="18" t="str">
        <x:v>池上</x:v>
      </x:c>
      <x:c r="B1465" s="18" t="str">
        <x:v>東急電鉄</x:v>
      </x:c>
      <x:c r="C1465" s="18" t="str">
        <x:v>private_rail</x:v>
      </x:c>
      <x:c r="D1465" s="19" t="str">
        <x:v>T2</x:v>
      </x:c>
      <x:c r="E1465" s="20" t="n">
        <x:v>35181</x:v>
      </x:c>
      <x:c r="F1465" s="18" t="str">
        <x:v>persons/day</x:v>
      </x:c>
      <x:c r="G1465" s="18" t="str">
        <x:v>FY2024</x:v>
      </x:c>
      <x:c r="H1465" s="18" t="str">
        <x:v>否</x:v>
      </x:c>
      <x:c r="I1465" s="19" t="str">
        <x:v>DAILY_ENTRIES_EXITS</x:v>
      </x:c>
      <x:c r="J1465" s="19" t="str">
        <x:v>池上線</x:v>
      </x:c>
      <x:c r="K1465" s="18" t="str">
        <x:v>transport-node:c2419c60-0846-5ff5-a352-d913ca8669fa</x:v>
      </x:c>
      <x:c r="L1465" s="19" t="str">
        <x:v>组件待审核</x:v>
      </x:c>
      <x:c r="M1465" s="21" t="n">
        <x:v>35.571945</x:v>
      </x:c>
      <x:c r="N1465" s="21" t="n">
        <x:v>139.7028425</x:v>
      </x:c>
      <x:c r="O1465" s="18" t="str">
        <x:v>004309</x:v>
      </x:c>
      <x:c r="P1465" s="18" t="str">
        <x:v>池上線</x:v>
      </x:c>
      <x:c r="Q1465" s="19" t="str">
        <x:v>S12_061_GE_10000</x:v>
      </x:c>
      <x:c r="R1465" s="19" t="str">
        <x:v>S12_061 usage threshold</x:v>
      </x:c>
      <x:c r="S1465" s="19" t="str">
        <x:v>https://nlftp.mlit.go.jp/ksj/gml/datalist/KsjTmplt-S12-2024.html</x:v>
      </x:c>
      <x:c r="T1465" s="19" t="str">
        <x:v>https://nlftp.mlit.go.jp/ksj/gml/datalist/KsjTmplt-S12-2024.html</x:v>
      </x:c>
      <x:c r="U1465" s="19" t="str">
        <x:v>station-component|池上|東急電鉄|private_rail|35.5719|139.7028|</x:v>
      </x:c>
      <x:c r="V1465" s="19" t="str">
        <x:v>004309 / 004309 / 池上線</x:v>
      </x:c>
      <x:c r="W1465" s="18" t="str">
        <x:v>否</x:v>
      </x:c>
      <x:c r="X1465" s="18" t="str">
        <x:v>0785e932a32b3ec15e1a1345537ae145eafe1c07bf38d5c16c11ee2b391e7a28</x:v>
      </x:c>
      <x:c r="Y1465" s="20" t="n">
        <x:v>1</x:v>
      </x:c>
      <x:c r="Z1465" s="20" t="n">
        <x:v>1</x:v>
      </x:c>
      <x:c r="AA1465" s="19"/>
      <x:c r="AB1465" s="18"/>
      <x:c r="AC1465" s="19"/>
    </x:row>
    <x:row r="1466" ht="28" customHeight="1">
      <x:c r="A1466" s="18" t="str">
        <x:v>池下</x:v>
      </x:c>
      <x:c r="B1466" s="18" t="str">
        <x:v>名古屋市</x:v>
      </x:c>
      <x:c r="C1466" s="18" t="str">
        <x:v>metro</x:v>
      </x:c>
      <x:c r="D1466" s="19" t="str">
        <x:v>T2</x:v>
      </x:c>
      <x:c r="E1466" s="20" t="n">
        <x:v>24780</x:v>
      </x:c>
      <x:c r="F1466" s="18" t="str">
        <x:v>persons/day</x:v>
      </x:c>
      <x:c r="G1466" s="18" t="str">
        <x:v>FY2024</x:v>
      </x:c>
      <x:c r="H1466" s="18" t="str">
        <x:v>否</x:v>
      </x:c>
      <x:c r="I1466" s="19" t="str">
        <x:v>DAILY_ENTRIES_EXITS</x:v>
      </x:c>
      <x:c r="J1466" s="19" t="str">
        <x:v>1号線東山線</x:v>
      </x:c>
      <x:c r="K1466" s="18" t="str">
        <x:v>transport-node:d1070e3e-5b57-556e-96f7-34cb47c66234</x:v>
      </x:c>
      <x:c r="L1466" s="19" t="str">
        <x:v>组件待审核</x:v>
      </x:c>
      <x:c r="M1466" s="21" t="n">
        <x:v>35.167825</x:v>
      </x:c>
      <x:c r="N1466" s="21" t="n">
        <x:v>136.946025</x:v>
      </x:c>
      <x:c r="O1466" s="18" t="str">
        <x:v>005473</x:v>
      </x:c>
      <x:c r="P1466" s="18" t="str">
        <x:v>1号線東山線</x:v>
      </x:c>
      <x:c r="Q1466" s="19" t="str">
        <x:v>S12_061_GE_10000</x:v>
      </x:c>
      <x:c r="R1466" s="19" t="str">
        <x:v>S12_061 usage threshold</x:v>
      </x:c>
      <x:c r="S1466" s="19" t="str">
        <x:v>https://nlftp.mlit.go.jp/ksj/gml/datalist/KsjTmplt-S12-2024.html</x:v>
      </x:c>
      <x:c r="T1466" s="19" t="str">
        <x:v>https://nlftp.mlit.go.jp/ksj/gml/datalist/KsjTmplt-S12-2024.html</x:v>
      </x:c>
      <x:c r="U1466" s="19" t="str">
        <x:v>station-component|池下|名古屋市|metro|35.1678|136.9460|</x:v>
      </x:c>
      <x:c r="V1466" s="19" t="str">
        <x:v>005473 / 005473 / 1号線東山線</x:v>
      </x:c>
      <x:c r="W1466" s="18" t="str">
        <x:v>否</x:v>
      </x:c>
      <x:c r="X1466" s="18" t="str">
        <x:v>0785e932a32b3ec15e1a1345537ae145eafe1c07bf38d5c16c11ee2b391e7a28</x:v>
      </x:c>
      <x:c r="Y1466" s="20" t="n">
        <x:v>1</x:v>
      </x:c>
      <x:c r="Z1466" s="20" t="n">
        <x:v>1</x:v>
      </x:c>
      <x:c r="AA1466" s="19"/>
      <x:c r="AB1466" s="18"/>
      <x:c r="AC1466" s="19"/>
    </x:row>
    <x:row r="1467" ht="28" customHeight="1">
      <x:c r="A1467" s="18" t="str">
        <x:v>池尻大橋</x:v>
      </x:c>
      <x:c r="B1467" s="18" t="str">
        <x:v>東急電鉄</x:v>
      </x:c>
      <x:c r="C1467" s="18" t="str">
        <x:v>private_rail</x:v>
      </x:c>
      <x:c r="D1467" s="19" t="str">
        <x:v>T1</x:v>
      </x:c>
      <x:c r="E1467" s="20" t="n">
        <x:v>63191</x:v>
      </x:c>
      <x:c r="F1467" s="18" t="str">
        <x:v>persons/day</x:v>
      </x:c>
      <x:c r="G1467" s="18" t="str">
        <x:v>FY2024</x:v>
      </x:c>
      <x:c r="H1467" s="18" t="str">
        <x:v>否</x:v>
      </x:c>
      <x:c r="I1467" s="19" t="str">
        <x:v>DAILY_ENTRIES_EXITS</x:v>
      </x:c>
      <x:c r="J1467" s="19" t="str">
        <x:v>田園都市線</x:v>
      </x:c>
      <x:c r="K1467" s="18" t="str">
        <x:v>transport-node:f93fcc35-d6b7-5a7a-a0bf-e1de385e1e81</x:v>
      </x:c>
      <x:c r="L1467" s="19" t="str">
        <x:v>组件待审核</x:v>
      </x:c>
      <x:c r="M1467" s="21" t="n">
        <x:v>35.65071</x:v>
      </x:c>
      <x:c r="N1467" s="21" t="n">
        <x:v>139.68471</x:v>
      </x:c>
      <x:c r="O1467" s="18" t="str">
        <x:v>003972</x:v>
      </x:c>
      <x:c r="P1467" s="18" t="str">
        <x:v>田園都市線</x:v>
      </x:c>
      <x:c r="Q1467" s="19" t="str">
        <x:v>S12_061_GE_10000</x:v>
      </x:c>
      <x:c r="R1467" s="19" t="str">
        <x:v>S12_061 usage threshold</x:v>
      </x:c>
      <x:c r="S1467" s="19" t="str">
        <x:v>https://nlftp.mlit.go.jp/ksj/gml/datalist/KsjTmplt-S12-2024.html</x:v>
      </x:c>
      <x:c r="T1467" s="19" t="str">
        <x:v>https://nlftp.mlit.go.jp/ksj/gml/datalist/KsjTmplt-S12-2024.html</x:v>
      </x:c>
      <x:c r="U1467" s="19" t="str">
        <x:v>station-component|池尻大橋|東急電鉄|private_rail|35.6507|139.6847|</x:v>
      </x:c>
      <x:c r="V1467" s="19" t="str">
        <x:v>003972 / 003972 / 田園都市線</x:v>
      </x:c>
      <x:c r="W1467" s="18" t="str">
        <x:v>否</x:v>
      </x:c>
      <x:c r="X1467" s="18" t="str">
        <x:v>0785e932a32b3ec15e1a1345537ae145eafe1c07bf38d5c16c11ee2b391e7a28</x:v>
      </x:c>
      <x:c r="Y1467" s="20" t="n">
        <x:v>1</x:v>
      </x:c>
      <x:c r="Z1467" s="20" t="n">
        <x:v>1</x:v>
      </x:c>
      <x:c r="AA1467" s="19"/>
      <x:c r="AB1467" s="18"/>
      <x:c r="AC1467" s="19"/>
    </x:row>
    <x:row r="1468" ht="28" customHeight="1">
      <x:c r="A1468" s="18" t="str">
        <x:v>池田</x:v>
      </x:c>
      <x:c r="B1468" s="18" t="str">
        <x:v>阪急電鉄</x:v>
      </x:c>
      <x:c r="C1468" s="18" t="str">
        <x:v>private_rail</x:v>
      </x:c>
      <x:c r="D1468" s="19" t="str">
        <x:v>T2</x:v>
      </x:c>
      <x:c r="E1468" s="20" t="n">
        <x:v>41104</x:v>
      </x:c>
      <x:c r="F1468" s="18" t="str">
        <x:v>persons/day</x:v>
      </x:c>
      <x:c r="G1468" s="18" t="str">
        <x:v>FY2024</x:v>
      </x:c>
      <x:c r="H1468" s="18" t="str">
        <x:v>否</x:v>
      </x:c>
      <x:c r="I1468" s="19" t="str">
        <x:v>DAILY_ENTRIES_EXITS</x:v>
      </x:c>
      <x:c r="J1468" s="19" t="str">
        <x:v>宝塚線</x:v>
      </x:c>
      <x:c r="K1468" s="18" t="str">
        <x:v>transport-node:d97b99a2-ef3c-593c-9611-a125aeb92d72</x:v>
      </x:c>
      <x:c r="L1468" s="19" t="str">
        <x:v>组件待审核</x:v>
      </x:c>
      <x:c r="M1468" s="21" t="n">
        <x:v>34.8216</x:v>
      </x:c>
      <x:c r="N1468" s="21" t="n">
        <x:v>135.42563</x:v>
      </x:c>
      <x:c r="O1468" s="18" t="str">
        <x:v>006535</x:v>
      </x:c>
      <x:c r="P1468" s="18" t="str">
        <x:v>宝塚線</x:v>
      </x:c>
      <x:c r="Q1468" s="19" t="str">
        <x:v>S12_061_GE_10000</x:v>
      </x:c>
      <x:c r="R1468" s="19" t="str">
        <x:v>S12_061 usage threshold</x:v>
      </x:c>
      <x:c r="S1468" s="19" t="str">
        <x:v>https://nlftp.mlit.go.jp/ksj/gml/datalist/KsjTmplt-S12-2024.html</x:v>
      </x:c>
      <x:c r="T1468" s="19" t="str">
        <x:v>https://nlftp.mlit.go.jp/ksj/gml/datalist/KsjTmplt-S12-2024.html</x:v>
      </x:c>
      <x:c r="U1468" s="19" t="str">
        <x:v>station-component|池田|阪急電鉄|private_rail|34.8216|135.4256|</x:v>
      </x:c>
      <x:c r="V1468" s="19" t="str">
        <x:v>006535 / 006535 / 宝塚線</x:v>
      </x:c>
      <x:c r="W1468" s="18" t="str">
        <x:v>否</x:v>
      </x:c>
      <x:c r="X1468" s="18" t="str">
        <x:v>0785e932a32b3ec15e1a1345537ae145eafe1c07bf38d5c16c11ee2b391e7a28</x:v>
      </x:c>
      <x:c r="Y1468" s="20" t="n">
        <x:v>1</x:v>
      </x:c>
      <x:c r="Z1468" s="20" t="n">
        <x:v>1</x:v>
      </x:c>
      <x:c r="AA1468" s="19"/>
      <x:c r="AB1468" s="18"/>
      <x:c r="AC1468" s="19"/>
    </x:row>
    <x:row r="1469" ht="47" customHeight="1">
      <x:c r="A1469" s="18" t="str">
        <x:v>池袋</x:v>
      </x:c>
      <x:c r="B1469" s="18" t="str">
        <x:v>東京地下鉄</x:v>
      </x:c>
      <x:c r="C1469" s="18" t="str">
        <x:v>metro</x:v>
      </x:c>
      <x:c r="D1469" s="19" t="str">
        <x:v>T0</x:v>
      </x:c>
      <x:c r="E1469" s="20" t="n">
        <x:v>518135</x:v>
      </x:c>
      <x:c r="F1469" s="18" t="str">
        <x:v>persons/day</x:v>
      </x:c>
      <x:c r="G1469" s="18" t="str">
        <x:v>FY2024</x:v>
      </x:c>
      <x:c r="H1469" s="18" t="str">
        <x:v>否</x:v>
      </x:c>
      <x:c r="I1469" s="19" t="str">
        <x:v>DAILY_ENTRIES_EXITS</x:v>
      </x:c>
      <x:c r="J1469" s="19" t="str">
        <x:v>13号線副都心線
4号線丸ノ内線
8号線有楽町線</x:v>
      </x:c>
      <x:c r="K1469" s="18" t="str">
        <x:v>transport-node:4ca02af6-f068-57dd-ae7a-24f409143d60</x:v>
      </x:c>
      <x:c r="L1469" s="19" t="str">
        <x:v>组件待审核</x:v>
      </x:c>
      <x:c r="M1469" s="21" t="n">
        <x:v>35.730345</x:v>
      </x:c>
      <x:c r="N1469" s="21" t="n">
        <x:v>139.71115</x:v>
      </x:c>
      <x:c r="O1469" s="18" t="str">
        <x:v>003389</x:v>
      </x:c>
      <x:c r="P1469" s="18" t="str">
        <x:v>4号線丸ノ内線</x:v>
      </x:c>
      <x:c r="Q1469" s="19" t="str">
        <x:v>S12_061_GE_10000
OFFICIAL_HUB_COMPONENT_REVIEW</x:v>
      </x:c>
      <x:c r="R1469" s="19" t="str">
        <x:v>Explicit official internal-passage identity review; retained valid S12 primary usage without summing duplicate observations.</x:v>
      </x:c>
      <x:c r="S1469" s="19" t="str">
        <x:v>https://nlftp.mlit.go.jp/ksj/gml/datalist/KsjTmplt-S12-2024.html</x:v>
      </x:c>
      <x:c r="T1469" s="19" t="str">
        <x:v>https://nlftp.mlit.go.jp/ksj/gml/datalist/KsjTmplt-S12-2024.html
https://ssl.tokyometro.jp/support/faq_answer?faqno=OpenFAQ-000204&amp;lang=ja
https://www.tokyometro.jp/station/ikebukuro/index.html</x:v>
      </x:c>
      <x:c r="U1469" s="19" t="str">
        <x:v>station-component|池袋|東京地下鉄|metro|35.7303|139.7112|</x:v>
      </x:c>
      <x:c r="V1469" s="19" t="str">
        <x:v>003379 / 003379 / 13号線副都心線
003390 / 003389 / 4号線丸ノ内線
003390 / 003400 / 8号線有楽町線</x:v>
      </x:c>
      <x:c r="W1469" s="18" t="str">
        <x:v>否</x:v>
      </x:c>
      <x:c r="X1469" s="18" t="str">
        <x:v>0785e932a32b3ec15e1a1345537ae145eafe1c07bf38d5c16c11ee2b391e7a28</x:v>
      </x:c>
      <x:c r="Y1469" s="20" t="n">
        <x:v>1</x:v>
      </x:c>
      <x:c r="Z1469" s="20" t="n">
        <x:v>1</x:v>
      </x:c>
      <x:c r="AA1469" s="19" t="str">
        <x:v>池袋</x:v>
      </x:c>
      <x:c r="AB1469" s="18" t="str">
        <x:v>transport-hub-review:84fb0e29-8c69-58bb-90a8-2e9993f9dcd3</x:v>
      </x:c>
      <x:c r="AC1469" s="19"/>
    </x:row>
    <x:row r="1470" ht="33" customHeight="1">
      <x:c r="A1470" s="18" t="str">
        <x:v>池袋</x:v>
      </x:c>
      <x:c r="B1470" s="18" t="str">
        <x:v>東日本旅客鉄道</x:v>
      </x:c>
      <x:c r="C1470" s="18" t="str">
        <x:v>conventional_rail</x:v>
      </x:c>
      <x:c r="D1470" s="19" t="str">
        <x:v>T0</x:v>
      </x:c>
      <x:c r="E1470" s="20" t="n">
        <x:v>998256</x:v>
      </x:c>
      <x:c r="F1470" s="18" t="str">
        <x:v>persons/day</x:v>
      </x:c>
      <x:c r="G1470" s="18" t="str">
        <x:v>FY2024</x:v>
      </x:c>
      <x:c r="H1470" s="18" t="str">
        <x:v>否</x:v>
      </x:c>
      <x:c r="I1470" s="19" t="str">
        <x:v>DAILY_ENTRIES_EXITS</x:v>
      </x:c>
      <x:c r="J1470" s="19" t="str">
        <x:v>山手線
赤羽線</x:v>
      </x:c>
      <x:c r="K1470" s="18" t="str">
        <x:v>transport-node:e68658f5-4e44-5930-adde-4cf758ba7f0c</x:v>
      </x:c>
      <x:c r="L1470" s="19" t="str">
        <x:v>组件待审核</x:v>
      </x:c>
      <x:c r="M1470" s="21" t="n">
        <x:v>35.730275</x:v>
      </x:c>
      <x:c r="N1470" s="21" t="n">
        <x:v>139.711085</x:v>
      </x:c>
      <x:c r="O1470" s="18" t="str">
        <x:v>003390</x:v>
      </x:c>
      <x:c r="P1470" s="18" t="str">
        <x:v>山手線</x:v>
      </x:c>
      <x:c r="Q1470" s="19" t="str">
        <x:v>S12_061_GE_10000
OFFICIAL_HUB_COMPONENT_REVIEW</x:v>
      </x:c>
      <x:c r="R1470" s="19" t="str">
        <x:v>S12_061 usage threshold</x:v>
      </x:c>
      <x:c r="S1470" s="19" t="str">
        <x:v>https://nlftp.mlit.go.jp/ksj/gml/datalist/KsjTmplt-S12-2024.html</x:v>
      </x:c>
      <x:c r="T1470" s="19" t="str">
        <x:v>https://nlftp.mlit.go.jp/ksj/gml/datalist/KsjTmplt-S12-2024.html
https://www.tokyometro.jp/station/ikebukuro/index.html</x:v>
      </x:c>
      <x:c r="U1470" s="19" t="str">
        <x:v>station-component|池袋|東日本旅客鉄道|conventional_rail|35.7303|139.7111|</x:v>
      </x:c>
      <x:c r="V1470" s="19" t="str">
        <x:v>003390 / 003390 / 山手線
003390 / 003391 / 赤羽線</x:v>
      </x:c>
      <x:c r="W1470" s="18" t="str">
        <x:v>否</x:v>
      </x:c>
      <x:c r="X1470" s="18" t="str">
        <x:v>0785e932a32b3ec15e1a1345537ae145eafe1c07bf38d5c16c11ee2b391e7a28</x:v>
      </x:c>
      <x:c r="Y1470" s="20" t="n">
        <x:v>1</x:v>
      </x:c>
      <x:c r="Z1470" s="20" t="n">
        <x:v>1</x:v>
      </x:c>
      <x:c r="AA1470" s="19" t="str">
        <x:v>池袋</x:v>
      </x:c>
      <x:c r="AB1470" s="18" t="str">
        <x:v>transport-hub-review:84fb0e29-8c69-58bb-90a8-2e9993f9dcd3</x:v>
      </x:c>
      <x:c r="AC1470" s="19"/>
    </x:row>
    <x:row r="1471" ht="33" customHeight="1">
      <x:c r="A1471" s="18" t="str">
        <x:v>池袋</x:v>
      </x:c>
      <x:c r="B1471" s="18" t="str">
        <x:v>東武鉄道</x:v>
      </x:c>
      <x:c r="C1471" s="18" t="str">
        <x:v>private_rail</x:v>
      </x:c>
      <x:c r="D1471" s="19" t="str">
        <x:v>T0</x:v>
      </x:c>
      <x:c r="E1471" s="20" t="n">
        <x:v>419499</x:v>
      </x:c>
      <x:c r="F1471" s="18" t="str">
        <x:v>persons/day</x:v>
      </x:c>
      <x:c r="G1471" s="18" t="str">
        <x:v>FY2024</x:v>
      </x:c>
      <x:c r="H1471" s="18" t="str">
        <x:v>否</x:v>
      </x:c>
      <x:c r="I1471" s="19" t="str">
        <x:v>DAILY_ENTRIES_EXITS</x:v>
      </x:c>
      <x:c r="J1471" s="19" t="str">
        <x:v>東上本線</x:v>
      </x:c>
      <x:c r="K1471" s="18" t="str">
        <x:v>transport-node:5665115e-6726-59df-9b08-f2ca202435c6</x:v>
      </x:c>
      <x:c r="L1471" s="19" t="str">
        <x:v>组件待审核</x:v>
      </x:c>
      <x:c r="M1471" s="21" t="n">
        <x:v>35.73118</x:v>
      </x:c>
      <x:c r="N1471" s="21" t="n">
        <x:v>139.71117</x:v>
      </x:c>
      <x:c r="O1471" s="18" t="str">
        <x:v>003381</x:v>
      </x:c>
      <x:c r="P1471" s="18" t="str">
        <x:v>東上本線</x:v>
      </x:c>
      <x:c r="Q1471" s="19" t="str">
        <x:v>S12_061_GE_10000
OFFICIAL_HUB_COMPONENT_REVIEW</x:v>
      </x:c>
      <x:c r="R1471" s="19" t="str">
        <x:v>S12_061 usage threshold</x:v>
      </x:c>
      <x:c r="S1471" s="19" t="str">
        <x:v>https://nlftp.mlit.go.jp/ksj/gml/datalist/KsjTmplt-S12-2024.html</x:v>
      </x:c>
      <x:c r="T1471" s="19" t="str">
        <x:v>https://nlftp.mlit.go.jp/ksj/gml/datalist/KsjTmplt-S12-2024.html
https://www.tokyometro.jp/station/ikebukuro/index.html</x:v>
      </x:c>
      <x:c r="U1471" s="19" t="str">
        <x:v>station-component|池袋|東武鉄道|private_rail|35.7312|139.7112|</x:v>
      </x:c>
      <x:c r="V1471" s="19" t="str">
        <x:v>003390 / 003381 / 東上本線</x:v>
      </x:c>
      <x:c r="W1471" s="18" t="str">
        <x:v>否</x:v>
      </x:c>
      <x:c r="X1471" s="18" t="str">
        <x:v>0785e932a32b3ec15e1a1345537ae145eafe1c07bf38d5c16c11ee2b391e7a28</x:v>
      </x:c>
      <x:c r="Y1471" s="20" t="n">
        <x:v>1</x:v>
      </x:c>
      <x:c r="Z1471" s="20" t="n">
        <x:v>1</x:v>
      </x:c>
      <x:c r="AA1471" s="19" t="str">
        <x:v>池袋</x:v>
      </x:c>
      <x:c r="AB1471" s="18" t="str">
        <x:v>transport-hub-review:84fb0e29-8c69-58bb-90a8-2e9993f9dcd3</x:v>
      </x:c>
      <x:c r="AC1471" s="19"/>
    </x:row>
    <x:row r="1472" ht="33" customHeight="1">
      <x:c r="A1472" s="18" t="str">
        <x:v>池袋</x:v>
      </x:c>
      <x:c r="B1472" s="18" t="str">
        <x:v>西武鉄道</x:v>
      </x:c>
      <x:c r="C1472" s="18" t="str">
        <x:v>private_rail</x:v>
      </x:c>
      <x:c r="D1472" s="19" t="str">
        <x:v>T0</x:v>
      </x:c>
      <x:c r="E1472" s="20" t="n">
        <x:v>428121</x:v>
      </x:c>
      <x:c r="F1472" s="18" t="str">
        <x:v>persons/day</x:v>
      </x:c>
      <x:c r="G1472" s="18" t="str">
        <x:v>FY2024</x:v>
      </x:c>
      <x:c r="H1472" s="18" t="str">
        <x:v>否</x:v>
      </x:c>
      <x:c r="I1472" s="19" t="str">
        <x:v>DAILY_ENTRIES_EXITS</x:v>
      </x:c>
      <x:c r="J1472" s="19" t="str">
        <x:v>池袋線</x:v>
      </x:c>
      <x:c r="K1472" s="18" t="str">
        <x:v>transport-node:bfffffd3-3663-529d-bea1-1dca16f7ff20</x:v>
      </x:c>
      <x:c r="L1472" s="19" t="str">
        <x:v>组件待审核</x:v>
      </x:c>
      <x:c r="M1472" s="21" t="n">
        <x:v>35.72766</x:v>
      </x:c>
      <x:c r="N1472" s="21" t="n">
        <x:v>139.71083</x:v>
      </x:c>
      <x:c r="O1472" s="18" t="str">
        <x:v>003418</x:v>
      </x:c>
      <x:c r="P1472" s="18" t="str">
        <x:v>池袋線</x:v>
      </x:c>
      <x:c r="Q1472" s="19" t="str">
        <x:v>S12_061_GE_10000
OFFICIAL_HUB_COMPONENT_REVIEW</x:v>
      </x:c>
      <x:c r="R1472" s="19" t="str">
        <x:v>S12_061 usage threshold</x:v>
      </x:c>
      <x:c r="S1472" s="19" t="str">
        <x:v>https://nlftp.mlit.go.jp/ksj/gml/datalist/KsjTmplt-S12-2024.html</x:v>
      </x:c>
      <x:c r="T1472" s="19" t="str">
        <x:v>https://nlftp.mlit.go.jp/ksj/gml/datalist/KsjTmplt-S12-2024.html
https://www.tokyometro.jp/station/ikebukuro/index.html</x:v>
      </x:c>
      <x:c r="U1472" s="19" t="str">
        <x:v>station-component|池袋|西武鉄道|private_rail|35.7277|139.7108|</x:v>
      </x:c>
      <x:c r="V1472" s="19" t="str">
        <x:v>003390 / 003418 / 池袋線</x:v>
      </x:c>
      <x:c r="W1472" s="18" t="str">
        <x:v>否</x:v>
      </x:c>
      <x:c r="X1472" s="18" t="str">
        <x:v>0785e932a32b3ec15e1a1345537ae145eafe1c07bf38d5c16c11ee2b391e7a28</x:v>
      </x:c>
      <x:c r="Y1472" s="20" t="n">
        <x:v>1</x:v>
      </x:c>
      <x:c r="Z1472" s="20" t="n">
        <x:v>1</x:v>
      </x:c>
      <x:c r="AA1472" s="19" t="str">
        <x:v>池袋</x:v>
      </x:c>
      <x:c r="AB1472" s="18" t="str">
        <x:v>transport-hub-review:84fb0e29-8c69-58bb-90a8-2e9993f9dcd3</x:v>
      </x:c>
      <x:c r="AC1472" s="19"/>
    </x:row>
    <x:row r="1473" ht="28" customHeight="1">
      <x:c r="A1473" s="18" t="str">
        <x:v>河内国分</x:v>
      </x:c>
      <x:c r="B1473" s="18" t="str">
        <x:v>近畿日本鉄道</x:v>
      </x:c>
      <x:c r="C1473" s="18" t="str">
        <x:v>private_rail</x:v>
      </x:c>
      <x:c r="D1473" s="19" t="str">
        <x:v>T2</x:v>
      </x:c>
      <x:c r="E1473" s="20" t="n">
        <x:v>13788</x:v>
      </x:c>
      <x:c r="F1473" s="18" t="str">
        <x:v>persons/day</x:v>
      </x:c>
      <x:c r="G1473" s="18" t="str">
        <x:v>FY2024</x:v>
      </x:c>
      <x:c r="H1473" s="18" t="str">
        <x:v>否</x:v>
      </x:c>
      <x:c r="I1473" s="19" t="str">
        <x:v>DAILY_ENTRIES_EXITS</x:v>
      </x:c>
      <x:c r="J1473" s="19" t="str">
        <x:v>大阪線</x:v>
      </x:c>
      <x:c r="K1473" s="18" t="str">
        <x:v>transport-node:f77a05fa-4993-585c-8a68-6bc6f9d77c59</x:v>
      </x:c>
      <x:c r="L1473" s="19" t="str">
        <x:v>组件待审核</x:v>
      </x:c>
      <x:c r="M1473" s="21" t="n">
        <x:v>34.566715</x:v>
      </x:c>
      <x:c r="N1473" s="21" t="n">
        <x:v>135.63573</x:v>
      </x:c>
      <x:c r="O1473" s="18" t="str">
        <x:v>007692</x:v>
      </x:c>
      <x:c r="P1473" s="18" t="str">
        <x:v>大阪線</x:v>
      </x:c>
      <x:c r="Q1473" s="19" t="str">
        <x:v>S12_061_GE_10000</x:v>
      </x:c>
      <x:c r="R1473" s="19" t="str">
        <x:v>S12_061 usage threshold</x:v>
      </x:c>
      <x:c r="S1473" s="19" t="str">
        <x:v>https://nlftp.mlit.go.jp/ksj/gml/datalist/KsjTmplt-S12-2024.html</x:v>
      </x:c>
      <x:c r="T1473" s="19" t="str">
        <x:v>https://nlftp.mlit.go.jp/ksj/gml/datalist/KsjTmplt-S12-2024.html</x:v>
      </x:c>
      <x:c r="U1473" s="19" t="str">
        <x:v>station-component|河内国分|近畿日本鉄道|private_rail|34.5667|135.6357|</x:v>
      </x:c>
      <x:c r="V1473" s="19" t="str">
        <x:v>007692 / 007692 / 大阪線</x:v>
      </x:c>
      <x:c r="W1473" s="18" t="str">
        <x:v>否</x:v>
      </x:c>
      <x:c r="X1473" s="18" t="str">
        <x:v>0785e932a32b3ec15e1a1345537ae145eafe1c07bf38d5c16c11ee2b391e7a28</x:v>
      </x:c>
      <x:c r="Y1473" s="20" t="n">
        <x:v>1</x:v>
      </x:c>
      <x:c r="Z1473" s="20" t="n">
        <x:v>1</x:v>
      </x:c>
      <x:c r="AA1473" s="19"/>
      <x:c r="AB1473" s="18"/>
      <x:c r="AC1473" s="19"/>
    </x:row>
    <x:row r="1474" ht="28" customHeight="1">
      <x:c r="A1474" s="18" t="str">
        <x:v>河内天美</x:v>
      </x:c>
      <x:c r="B1474" s="18" t="str">
        <x:v>近畿日本鉄道</x:v>
      </x:c>
      <x:c r="C1474" s="18" t="str">
        <x:v>private_rail</x:v>
      </x:c>
      <x:c r="D1474" s="19" t="str">
        <x:v>T2</x:v>
      </x:c>
      <x:c r="E1474" s="20" t="n">
        <x:v>12958</x:v>
      </x:c>
      <x:c r="F1474" s="18" t="str">
        <x:v>persons/day</x:v>
      </x:c>
      <x:c r="G1474" s="18" t="str">
        <x:v>FY2024</x:v>
      </x:c>
      <x:c r="H1474" s="18" t="str">
        <x:v>否</x:v>
      </x:c>
      <x:c r="I1474" s="19" t="str">
        <x:v>DAILY_ENTRIES_EXITS</x:v>
      </x:c>
      <x:c r="J1474" s="19" t="str">
        <x:v>南大阪線</x:v>
      </x:c>
      <x:c r="K1474" s="18" t="str">
        <x:v>transport-node:1de40a0d-e132-5d70-8ed6-09124609b1dd</x:v>
      </x:c>
      <x:c r="L1474" s="19" t="str">
        <x:v>组件待审核</x:v>
      </x:c>
      <x:c r="M1474" s="21" t="n">
        <x:v>34.5860567</x:v>
      </x:c>
      <x:c r="N1474" s="21" t="n">
        <x:v>135.5354367</x:v>
      </x:c>
      <x:c r="O1474" s="18" t="str">
        <x:v>007639</x:v>
      </x:c>
      <x:c r="P1474" s="18" t="str">
        <x:v>南大阪線</x:v>
      </x:c>
      <x:c r="Q1474" s="19" t="str">
        <x:v>S12_061_GE_10000</x:v>
      </x:c>
      <x:c r="R1474" s="19" t="str">
        <x:v>S12_061 usage threshold</x:v>
      </x:c>
      <x:c r="S1474" s="19" t="str">
        <x:v>https://nlftp.mlit.go.jp/ksj/gml/datalist/KsjTmplt-S12-2024.html</x:v>
      </x:c>
      <x:c r="T1474" s="19" t="str">
        <x:v>https://nlftp.mlit.go.jp/ksj/gml/datalist/KsjTmplt-S12-2024.html</x:v>
      </x:c>
      <x:c r="U1474" s="19" t="str">
        <x:v>station-component|河内天美|近畿日本鉄道|private_rail|34.5861|135.5354|</x:v>
      </x:c>
      <x:c r="V1474" s="19" t="str">
        <x:v>007639 / 007639 / 南大阪線</x:v>
      </x:c>
      <x:c r="W1474" s="18" t="str">
        <x:v>否</x:v>
      </x:c>
      <x:c r="X1474" s="18" t="str">
        <x:v>0785e932a32b3ec15e1a1345537ae145eafe1c07bf38d5c16c11ee2b391e7a28</x:v>
      </x:c>
      <x:c r="Y1474" s="20" t="n">
        <x:v>1</x:v>
      </x:c>
      <x:c r="Z1474" s="20" t="n">
        <x:v>1</x:v>
      </x:c>
      <x:c r="AA1474" s="19"/>
      <x:c r="AB1474" s="18"/>
      <x:c r="AC1474" s="19"/>
    </x:row>
    <x:row r="1475" ht="28" customHeight="1">
      <x:c r="A1475" s="18" t="str">
        <x:v>河内小阪</x:v>
      </x:c>
      <x:c r="B1475" s="18" t="str">
        <x:v>近畿日本鉄道</x:v>
      </x:c>
      <x:c r="C1475" s="18" t="str">
        <x:v>private_rail</x:v>
      </x:c>
      <x:c r="D1475" s="19" t="str">
        <x:v>T2</x:v>
      </x:c>
      <x:c r="E1475" s="20" t="n">
        <x:v>22384</x:v>
      </x:c>
      <x:c r="F1475" s="18" t="str">
        <x:v>persons/day</x:v>
      </x:c>
      <x:c r="G1475" s="18" t="str">
        <x:v>FY2024</x:v>
      </x:c>
      <x:c r="H1475" s="18" t="str">
        <x:v>否</x:v>
      </x:c>
      <x:c r="I1475" s="19" t="str">
        <x:v>DAILY_ENTRIES_EXITS</x:v>
      </x:c>
      <x:c r="J1475" s="19" t="str">
        <x:v>奈良線</x:v>
      </x:c>
      <x:c r="K1475" s="18" t="str">
        <x:v>transport-node:1b36e7a7-ac49-56cf-977e-33e56169da3f</x:v>
      </x:c>
      <x:c r="L1475" s="19" t="str">
        <x:v>组件待审核</x:v>
      </x:c>
      <x:c r="M1475" s="21" t="n">
        <x:v>34.66398</x:v>
      </x:c>
      <x:c r="N1475" s="21" t="n">
        <x:v>135.58132</x:v>
      </x:c>
      <x:c r="O1475" s="18" t="str">
        <x:v>007350</x:v>
      </x:c>
      <x:c r="P1475" s="18" t="str">
        <x:v>奈良線</x:v>
      </x:c>
      <x:c r="Q1475" s="19" t="str">
        <x:v>S12_061_GE_10000</x:v>
      </x:c>
      <x:c r="R1475" s="19" t="str">
        <x:v>S12_061 usage threshold</x:v>
      </x:c>
      <x:c r="S1475" s="19" t="str">
        <x:v>https://nlftp.mlit.go.jp/ksj/gml/datalist/KsjTmplt-S12-2024.html</x:v>
      </x:c>
      <x:c r="T1475" s="19" t="str">
        <x:v>https://nlftp.mlit.go.jp/ksj/gml/datalist/KsjTmplt-S12-2024.html</x:v>
      </x:c>
      <x:c r="U1475" s="19" t="str">
        <x:v>station-component|河内小阪|近畿日本鉄道|private_rail|34.6640|135.5813|</x:v>
      </x:c>
      <x:c r="V1475" s="19" t="str">
        <x:v>007350 / 007350 / 奈良線</x:v>
      </x:c>
      <x:c r="W1475" s="18" t="str">
        <x:v>否</x:v>
      </x:c>
      <x:c r="X1475" s="18" t="str">
        <x:v>0785e932a32b3ec15e1a1345537ae145eafe1c07bf38d5c16c11ee2b391e7a28</x:v>
      </x:c>
      <x:c r="Y1475" s="20" t="n">
        <x:v>1</x:v>
      </x:c>
      <x:c r="Z1475" s="20" t="n">
        <x:v>1</x:v>
      </x:c>
      <x:c r="AA1475" s="19"/>
      <x:c r="AB1475" s="18"/>
      <x:c r="AC1475" s="19"/>
    </x:row>
    <x:row r="1476" ht="33" customHeight="1">
      <x:c r="A1476" s="18" t="str">
        <x:v>河内山本</x:v>
      </x:c>
      <x:c r="B1476" s="18" t="str">
        <x:v>近畿日本鉄道</x:v>
      </x:c>
      <x:c r="C1476" s="18" t="str">
        <x:v>private_rail</x:v>
      </x:c>
      <x:c r="D1476" s="19" t="str">
        <x:v>T2</x:v>
      </x:c>
      <x:c r="E1476" s="20" t="n">
        <x:v>17683</x:v>
      </x:c>
      <x:c r="F1476" s="18" t="str">
        <x:v>persons/day</x:v>
      </x:c>
      <x:c r="G1476" s="18" t="str">
        <x:v>FY2024</x:v>
      </x:c>
      <x:c r="H1476" s="18" t="str">
        <x:v>否</x:v>
      </x:c>
      <x:c r="I1476" s="19" t="str">
        <x:v>DAILY_ENTRIES_EXITS</x:v>
      </x:c>
      <x:c r="J1476" s="19" t="str">
        <x:v>信貴線
大阪線</x:v>
      </x:c>
      <x:c r="K1476" s="18" t="str">
        <x:v>transport-node:b5254d30-7533-59a8-aa0a-f3c2f696530c</x:v>
      </x:c>
      <x:c r="L1476" s="19" t="str">
        <x:v>组件待审核</x:v>
      </x:c>
      <x:c r="M1476" s="21" t="n">
        <x:v>34.627925</x:v>
      </x:c>
      <x:c r="N1476" s="21" t="n">
        <x:v>135.61917</x:v>
      </x:c>
      <x:c r="O1476" s="18" t="str">
        <x:v>007521</x:v>
      </x:c>
      <x:c r="P1476" s="18" t="str">
        <x:v>大阪線</x:v>
      </x:c>
      <x:c r="Q1476" s="19" t="str">
        <x:v>S12_061_GE_10000</x:v>
      </x:c>
      <x:c r="R1476" s="19" t="str">
        <x:v>S12_061 usage threshold</x:v>
      </x:c>
      <x:c r="S1476" s="19" t="str">
        <x:v>https://nlftp.mlit.go.jp/ksj/gml/datalist/KsjTmplt-S12-2024.html</x:v>
      </x:c>
      <x:c r="T1476" s="19" t="str">
        <x:v>https://nlftp.mlit.go.jp/ksj/gml/datalist/KsjTmplt-S12-2024.html</x:v>
      </x:c>
      <x:c r="U1476" s="19" t="str">
        <x:v>station-component|河内山本|近畿日本鉄道|private_rail|34.6279|135.6192|</x:v>
      </x:c>
      <x:c r="V1476" s="19" t="str">
        <x:v>007520 / 007520 / 信貴線
007520 / 007521 / 大阪線</x:v>
      </x:c>
      <x:c r="W1476" s="18" t="str">
        <x:v>否</x:v>
      </x:c>
      <x:c r="X1476" s="18" t="str">
        <x:v>0785e932a32b3ec15e1a1345537ae145eafe1c07bf38d5c16c11ee2b391e7a28</x:v>
      </x:c>
      <x:c r="Y1476" s="20" t="n">
        <x:v>1</x:v>
      </x:c>
      <x:c r="Z1476" s="20" t="n">
        <x:v>1</x:v>
      </x:c>
      <x:c r="AA1476" s="19"/>
      <x:c r="AB1476" s="18"/>
      <x:c r="AC1476" s="19"/>
    </x:row>
    <x:row r="1477" ht="28" customHeight="1">
      <x:c r="A1477" s="18" t="str">
        <x:v>河内松原</x:v>
      </x:c>
      <x:c r="B1477" s="18" t="str">
        <x:v>近畿日本鉄道</x:v>
      </x:c>
      <x:c r="C1477" s="18" t="str">
        <x:v>private_rail</x:v>
      </x:c>
      <x:c r="D1477" s="19" t="str">
        <x:v>T2</x:v>
      </x:c>
      <x:c r="E1477" s="20" t="n">
        <x:v>26454</x:v>
      </x:c>
      <x:c r="F1477" s="18" t="str">
        <x:v>persons/day</x:v>
      </x:c>
      <x:c r="G1477" s="18" t="str">
        <x:v>FY2024</x:v>
      </x:c>
      <x:c r="H1477" s="18" t="str">
        <x:v>否</x:v>
      </x:c>
      <x:c r="I1477" s="19" t="str">
        <x:v>DAILY_ENTRIES_EXITS</x:v>
      </x:c>
      <x:c r="J1477" s="19" t="str">
        <x:v>南大阪線</x:v>
      </x:c>
      <x:c r="K1477" s="18" t="str">
        <x:v>transport-node:9fe0cdb8-0908-5a45-a9bc-2d7e87ac9b44</x:v>
      </x:c>
      <x:c r="L1477" s="19" t="str">
        <x:v>组件待审核</x:v>
      </x:c>
      <x:c r="M1477" s="21" t="n">
        <x:v>34.575495</x:v>
      </x:c>
      <x:c r="N1477" s="21" t="n">
        <x:v>135.557415</x:v>
      </x:c>
      <x:c r="O1477" s="18" t="str">
        <x:v>007668</x:v>
      </x:c>
      <x:c r="P1477" s="18" t="str">
        <x:v>南大阪線</x:v>
      </x:c>
      <x:c r="Q1477" s="19" t="str">
        <x:v>S12_061_GE_10000</x:v>
      </x:c>
      <x:c r="R1477" s="19" t="str">
        <x:v>S12_061 usage threshold</x:v>
      </x:c>
      <x:c r="S1477" s="19" t="str">
        <x:v>https://nlftp.mlit.go.jp/ksj/gml/datalist/KsjTmplt-S12-2024.html</x:v>
      </x:c>
      <x:c r="T1477" s="19" t="str">
        <x:v>https://nlftp.mlit.go.jp/ksj/gml/datalist/KsjTmplt-S12-2024.html</x:v>
      </x:c>
      <x:c r="U1477" s="19" t="str">
        <x:v>station-component|河内松原|近畿日本鉄道|private_rail|34.5755|135.5574|</x:v>
      </x:c>
      <x:c r="V1477" s="19" t="str">
        <x:v>007668 / 007668 / 南大阪線</x:v>
      </x:c>
      <x:c r="W1477" s="18" t="str">
        <x:v>否</x:v>
      </x:c>
      <x:c r="X1477" s="18" t="str">
        <x:v>0785e932a32b3ec15e1a1345537ae145eafe1c07bf38d5c16c11ee2b391e7a28</x:v>
      </x:c>
      <x:c r="Y1477" s="20" t="n">
        <x:v>1</x:v>
      </x:c>
      <x:c r="Z1477" s="20" t="n">
        <x:v>1</x:v>
      </x:c>
      <x:c r="AA1477" s="19"/>
      <x:c r="AB1477" s="18"/>
      <x:c r="AC1477" s="19"/>
    </x:row>
    <x:row r="1478" ht="28" customHeight="1">
      <x:c r="A1478" s="18" t="str">
        <x:v>河内永和</x:v>
      </x:c>
      <x:c r="B1478" s="18" t="str">
        <x:v>近畿日本鉄道</x:v>
      </x:c>
      <x:c r="C1478" s="18" t="str">
        <x:v>private_rail</x:v>
      </x:c>
      <x:c r="D1478" s="19" t="str">
        <x:v>T2</x:v>
      </x:c>
      <x:c r="E1478" s="20" t="n">
        <x:v>13084</x:v>
      </x:c>
      <x:c r="F1478" s="18" t="str">
        <x:v>persons/day</x:v>
      </x:c>
      <x:c r="G1478" s="18" t="str">
        <x:v>FY2024</x:v>
      </x:c>
      <x:c r="H1478" s="18" t="str">
        <x:v>否</x:v>
      </x:c>
      <x:c r="I1478" s="19" t="str">
        <x:v>DAILY_ENTRIES_EXITS</x:v>
      </x:c>
      <x:c r="J1478" s="19" t="str">
        <x:v>奈良線</x:v>
      </x:c>
      <x:c r="K1478" s="18" t="str">
        <x:v>transport-node:84f0f8b0-6d6f-5d8b-b430-7114fc235c79</x:v>
      </x:c>
      <x:c r="L1478" s="19" t="str">
        <x:v>组件待审核</x:v>
      </x:c>
      <x:c r="M1478" s="21" t="n">
        <x:v>34.664245</x:v>
      </x:c>
      <x:c r="N1478" s="21" t="n">
        <x:v>135.57314</x:v>
      </x:c>
      <x:c r="O1478" s="18" t="str">
        <x:v>007345</x:v>
      </x:c>
      <x:c r="P1478" s="18" t="str">
        <x:v>奈良線</x:v>
      </x:c>
      <x:c r="Q1478" s="19" t="str">
        <x:v>S12_061_GE_10000</x:v>
      </x:c>
      <x:c r="R1478" s="19" t="str">
        <x:v>S12_061 usage threshold</x:v>
      </x:c>
      <x:c r="S1478" s="19" t="str">
        <x:v>https://nlftp.mlit.go.jp/ksj/gml/datalist/KsjTmplt-S12-2024.html</x:v>
      </x:c>
      <x:c r="T1478" s="19" t="str">
        <x:v>https://nlftp.mlit.go.jp/ksj/gml/datalist/KsjTmplt-S12-2024.html</x:v>
      </x:c>
      <x:c r="U1478" s="19" t="str">
        <x:v>station-component|河内永和|近畿日本鉄道|private_rail|34.6642|135.5731|</x:v>
      </x:c>
      <x:c r="V1478" s="19" t="str">
        <x:v>007345 / 007345 / 奈良線</x:v>
      </x:c>
      <x:c r="W1478" s="18" t="str">
        <x:v>否</x:v>
      </x:c>
      <x:c r="X1478" s="18" t="str">
        <x:v>0785e932a32b3ec15e1a1345537ae145eafe1c07bf38d5c16c11ee2b391e7a28</x:v>
      </x:c>
      <x:c r="Y1478" s="20" t="n">
        <x:v>1</x:v>
      </x:c>
      <x:c r="Z1478" s="20" t="n">
        <x:v>1</x:v>
      </x:c>
      <x:c r="AA1478" s="19"/>
      <x:c r="AB1478" s="18"/>
      <x:c r="AC1478" s="19"/>
    </x:row>
    <x:row r="1479" ht="28" customHeight="1">
      <x:c r="A1479" s="18" t="str">
        <x:v>河内磐船</x:v>
      </x:c>
      <x:c r="B1479" s="18" t="str">
        <x:v>西日本旅客鉄道</x:v>
      </x:c>
      <x:c r="C1479" s="18" t="str">
        <x:v>conventional_rail</x:v>
      </x:c>
      <x:c r="D1479" s="19" t="str">
        <x:v>T2</x:v>
      </x:c>
      <x:c r="E1479" s="20" t="n">
        <x:v>19386</x:v>
      </x:c>
      <x:c r="F1479" s="18" t="str">
        <x:v>persons/day</x:v>
      </x:c>
      <x:c r="G1479" s="18" t="str">
        <x:v>FY2024</x:v>
      </x:c>
      <x:c r="H1479" s="18" t="str">
        <x:v>否</x:v>
      </x:c>
      <x:c r="I1479" s="19" t="str">
        <x:v>DAILY_ENTRIES_EXITS</x:v>
      </x:c>
      <x:c r="J1479" s="19" t="str">
        <x:v>片町線</x:v>
      </x:c>
      <x:c r="K1479" s="18" t="str">
        <x:v>transport-node:b4b098cb-569a-5b3c-9340-0512526e954d</x:v>
      </x:c>
      <x:c r="L1479" s="19" t="str">
        <x:v>组件待审核</x:v>
      </x:c>
      <x:c r="M1479" s="21" t="n">
        <x:v>34.776515</x:v>
      </x:c>
      <x:c r="N1479" s="21" t="n">
        <x:v>135.68465</x:v>
      </x:c>
      <x:c r="O1479" s="18" t="str">
        <x:v>006723</x:v>
      </x:c>
      <x:c r="P1479" s="18" t="str">
        <x:v>片町線</x:v>
      </x:c>
      <x:c r="Q1479" s="19" t="str">
        <x:v>S12_061_GE_10000</x:v>
      </x:c>
      <x:c r="R1479" s="19" t="str">
        <x:v>S12_061 usage threshold</x:v>
      </x:c>
      <x:c r="S1479" s="19" t="str">
        <x:v>https://nlftp.mlit.go.jp/ksj/gml/datalist/KsjTmplt-S12-2024.html</x:v>
      </x:c>
      <x:c r="T1479" s="19" t="str">
        <x:v>https://nlftp.mlit.go.jp/ksj/gml/datalist/KsjTmplt-S12-2024.html</x:v>
      </x:c>
      <x:c r="U1479" s="19" t="str">
        <x:v>station-component|河内磐船|西日本旅客鉄道|conventional_rail|34.7765|135.6847|</x:v>
      </x:c>
      <x:c r="V1479" s="19" t="str">
        <x:v>006723 / 006723 / 片町線</x:v>
      </x:c>
      <x:c r="W1479" s="18" t="str">
        <x:v>否</x:v>
      </x:c>
      <x:c r="X1479" s="18" t="str">
        <x:v>0785e932a32b3ec15e1a1345537ae145eafe1c07bf38d5c16c11ee2b391e7a28</x:v>
      </x:c>
      <x:c r="Y1479" s="20" t="n">
        <x:v>1</x:v>
      </x:c>
      <x:c r="Z1479" s="20" t="n">
        <x:v>1</x:v>
      </x:c>
      <x:c r="AA1479" s="19"/>
      <x:c r="AB1479" s="18"/>
      <x:c r="AC1479" s="19"/>
    </x:row>
    <x:row r="1480" ht="28" customHeight="1">
      <x:c r="A1480" s="18" t="str">
        <x:v>河内花園</x:v>
      </x:c>
      <x:c r="B1480" s="18" t="str">
        <x:v>近畿日本鉄道</x:v>
      </x:c>
      <x:c r="C1480" s="18" t="str">
        <x:v>private_rail</x:v>
      </x:c>
      <x:c r="D1480" s="19" t="str">
        <x:v>T2</x:v>
      </x:c>
      <x:c r="E1480" s="20" t="n">
        <x:v>10549</x:v>
      </x:c>
      <x:c r="F1480" s="18" t="str">
        <x:v>persons/day</x:v>
      </x:c>
      <x:c r="G1480" s="18" t="str">
        <x:v>FY2024</x:v>
      </x:c>
      <x:c r="H1480" s="18" t="str">
        <x:v>否</x:v>
      </x:c>
      <x:c r="I1480" s="19" t="str">
        <x:v>DAILY_ENTRIES_EXITS</x:v>
      </x:c>
      <x:c r="J1480" s="19" t="str">
        <x:v>奈良線</x:v>
      </x:c>
      <x:c r="K1480" s="18" t="str">
        <x:v>transport-node:fc8cbd7b-becb-55c9-953e-1f6bcb5309af</x:v>
      </x:c>
      <x:c r="L1480" s="19" t="str">
        <x:v>组件待审核</x:v>
      </x:c>
      <x:c r="M1480" s="21" t="n">
        <x:v>34.662735</x:v>
      </x:c>
      <x:c r="N1480" s="21" t="n">
        <x:v>135.61843</x:v>
      </x:c>
      <x:c r="O1480" s="18" t="str">
        <x:v>007359</x:v>
      </x:c>
      <x:c r="P1480" s="18" t="str">
        <x:v>奈良線</x:v>
      </x:c>
      <x:c r="Q1480" s="19" t="str">
        <x:v>S12_061_GE_10000</x:v>
      </x:c>
      <x:c r="R1480" s="19" t="str">
        <x:v>S12_061 usage threshold</x:v>
      </x:c>
      <x:c r="S1480" s="19" t="str">
        <x:v>https://nlftp.mlit.go.jp/ksj/gml/datalist/KsjTmplt-S12-2024.html</x:v>
      </x:c>
      <x:c r="T1480" s="19" t="str">
        <x:v>https://nlftp.mlit.go.jp/ksj/gml/datalist/KsjTmplt-S12-2024.html</x:v>
      </x:c>
      <x:c r="U1480" s="19" t="str">
        <x:v>station-component|河内花園|近畿日本鉄道|private_rail|34.6627|135.6184|</x:v>
      </x:c>
      <x:c r="V1480" s="19" t="str">
        <x:v>007359 / 007359 / 奈良線</x:v>
      </x:c>
      <x:c r="W1480" s="18" t="str">
        <x:v>否</x:v>
      </x:c>
      <x:c r="X1480" s="18" t="str">
        <x:v>0785e932a32b3ec15e1a1345537ae145eafe1c07bf38d5c16c11ee2b391e7a28</x:v>
      </x:c>
      <x:c r="Y1480" s="20" t="n">
        <x:v>1</x:v>
      </x:c>
      <x:c r="Z1480" s="20" t="n">
        <x:v>1</x:v>
      </x:c>
      <x:c r="AA1480" s="19"/>
      <x:c r="AB1480" s="18"/>
      <x:c r="AC1480" s="19"/>
    </x:row>
    <x:row r="1481" ht="28" customHeight="1">
      <x:c r="A1481" s="18" t="str">
        <x:v>河内長野</x:v>
      </x:c>
      <x:c r="B1481" s="18" t="str">
        <x:v>南海電気鉄道</x:v>
      </x:c>
      <x:c r="C1481" s="18" t="str">
        <x:v>private_rail</x:v>
      </x:c>
      <x:c r="D1481" s="19" t="str">
        <x:v>T2</x:v>
      </x:c>
      <x:c r="E1481" s="20" t="n">
        <x:v>23042</x:v>
      </x:c>
      <x:c r="F1481" s="18" t="str">
        <x:v>persons/day</x:v>
      </x:c>
      <x:c r="G1481" s="18" t="str">
        <x:v>FY2024</x:v>
      </x:c>
      <x:c r="H1481" s="18" t="str">
        <x:v>否</x:v>
      </x:c>
      <x:c r="I1481" s="19" t="str">
        <x:v>DAILY_ENTRIES_EXITS</x:v>
      </x:c>
      <x:c r="J1481" s="19" t="str">
        <x:v>高野線</x:v>
      </x:c>
      <x:c r="K1481" s="18" t="str">
        <x:v>transport-node:ed045669-7b38-5da5-94f4-9bc92180defd</x:v>
      </x:c>
      <x:c r="L1481" s="19" t="str">
        <x:v>组件待审核</x:v>
      </x:c>
      <x:c r="M1481" s="21" t="n">
        <x:v>34.451105</x:v>
      </x:c>
      <x:c r="N1481" s="21" t="n">
        <x:v>135.573155</x:v>
      </x:c>
      <x:c r="O1481" s="18" t="str">
        <x:v>007934</x:v>
      </x:c>
      <x:c r="P1481" s="18" t="str">
        <x:v>高野線</x:v>
      </x:c>
      <x:c r="Q1481" s="19" t="str">
        <x:v>S12_061_GE_10000</x:v>
      </x:c>
      <x:c r="R1481" s="19" t="str">
        <x:v>S12_061 usage threshold</x:v>
      </x:c>
      <x:c r="S1481" s="19" t="str">
        <x:v>https://nlftp.mlit.go.jp/ksj/gml/datalist/KsjTmplt-S12-2024.html</x:v>
      </x:c>
      <x:c r="T1481" s="19" t="str">
        <x:v>https://nlftp.mlit.go.jp/ksj/gml/datalist/KsjTmplt-S12-2024.html</x:v>
      </x:c>
      <x:c r="U1481" s="19" t="str">
        <x:v>station-component|河内長野|南海電気鉄道|private_rail|34.4511|135.5732|</x:v>
      </x:c>
      <x:c r="V1481" s="19" t="str">
        <x:v>007934 / 007934 / 高野線</x:v>
      </x:c>
      <x:c r="W1481" s="18" t="str">
        <x:v>否</x:v>
      </x:c>
      <x:c r="X1481" s="18" t="str">
        <x:v>0785e932a32b3ec15e1a1345537ae145eafe1c07bf38d5c16c11ee2b391e7a28</x:v>
      </x:c>
      <x:c r="Y1481" s="20" t="n">
        <x:v>1</x:v>
      </x:c>
      <x:c r="Z1481" s="20" t="n">
        <x:v>1</x:v>
      </x:c>
      <x:c r="AA1481" s="19"/>
      <x:c r="AB1481" s="18"/>
      <x:c r="AC1481" s="19"/>
    </x:row>
    <x:row r="1482" ht="28" customHeight="1">
      <x:c r="A1482" s="18" t="str">
        <x:v>河内長野</x:v>
      </x:c>
      <x:c r="B1482" s="18" t="str">
        <x:v>近畿日本鉄道</x:v>
      </x:c>
      <x:c r="C1482" s="18" t="str">
        <x:v>private_rail</x:v>
      </x:c>
      <x:c r="D1482" s="19" t="str">
        <x:v>T2</x:v>
      </x:c>
      <x:c r="E1482" s="20" t="n">
        <x:v>10310</x:v>
      </x:c>
      <x:c r="F1482" s="18" t="str">
        <x:v>persons/day</x:v>
      </x:c>
      <x:c r="G1482" s="18" t="str">
        <x:v>FY2024</x:v>
      </x:c>
      <x:c r="H1482" s="18" t="str">
        <x:v>否</x:v>
      </x:c>
      <x:c r="I1482" s="19" t="str">
        <x:v>DAILY_ENTRIES_EXITS</x:v>
      </x:c>
      <x:c r="J1482" s="19" t="str">
        <x:v>長野線</x:v>
      </x:c>
      <x:c r="K1482" s="18" t="str">
        <x:v>transport-node:3ead5a1c-2799-5709-9b4b-f0d5caf400e9</x:v>
      </x:c>
      <x:c r="L1482" s="19" t="str">
        <x:v>组件待审核</x:v>
      </x:c>
      <x:c r="M1482" s="21" t="n">
        <x:v>34.451105</x:v>
      </x:c>
      <x:c r="N1482" s="21" t="n">
        <x:v>135.573155</x:v>
      </x:c>
      <x:c r="O1482" s="18" t="str">
        <x:v>007935</x:v>
      </x:c>
      <x:c r="P1482" s="18" t="str">
        <x:v>長野線</x:v>
      </x:c>
      <x:c r="Q1482" s="19" t="str">
        <x:v>S12_061_GE_10000</x:v>
      </x:c>
      <x:c r="R1482" s="19" t="str">
        <x:v>S12_061 usage threshold</x:v>
      </x:c>
      <x:c r="S1482" s="19" t="str">
        <x:v>https://nlftp.mlit.go.jp/ksj/gml/datalist/KsjTmplt-S12-2024.html</x:v>
      </x:c>
      <x:c r="T1482" s="19" t="str">
        <x:v>https://nlftp.mlit.go.jp/ksj/gml/datalist/KsjTmplt-S12-2024.html</x:v>
      </x:c>
      <x:c r="U1482" s="19" t="str">
        <x:v>station-component|河内長野|近畿日本鉄道|private_rail|34.4511|135.5732|</x:v>
      </x:c>
      <x:c r="V1482" s="19" t="str">
        <x:v>007934 / 007935 / 長野線</x:v>
      </x:c>
      <x:c r="W1482" s="18" t="str">
        <x:v>否</x:v>
      </x:c>
      <x:c r="X1482" s="18" t="str">
        <x:v>0785e932a32b3ec15e1a1345537ae145eafe1c07bf38d5c16c11ee2b391e7a28</x:v>
      </x:c>
      <x:c r="Y1482" s="20" t="n">
        <x:v>1</x:v>
      </x:c>
      <x:c r="Z1482" s="20" t="n">
        <x:v>1</x:v>
      </x:c>
      <x:c r="AA1482" s="19"/>
      <x:c r="AB1482" s="18"/>
      <x:c r="AC1482" s="19"/>
    </x:row>
    <x:row r="1483" ht="28" customHeight="1">
      <x:c r="A1483" s="18" t="str">
        <x:v>河辺</x:v>
      </x:c>
      <x:c r="B1483" s="18" t="str">
        <x:v>東日本旅客鉄道</x:v>
      </x:c>
      <x:c r="C1483" s="18" t="str">
        <x:v>conventional_rail</x:v>
      </x:c>
      <x:c r="D1483" s="19" t="str">
        <x:v>T2</x:v>
      </x:c>
      <x:c r="E1483" s="20" t="n">
        <x:v>24334</x:v>
      </x:c>
      <x:c r="F1483" s="18" t="str">
        <x:v>persons/day</x:v>
      </x:c>
      <x:c r="G1483" s="18" t="str">
        <x:v>FY2024</x:v>
      </x:c>
      <x:c r="H1483" s="18" t="str">
        <x:v>否</x:v>
      </x:c>
      <x:c r="I1483" s="19" t="str">
        <x:v>DAILY_ENTRIES_EXITS</x:v>
      </x:c>
      <x:c r="J1483" s="19" t="str">
        <x:v>青梅線</x:v>
      </x:c>
      <x:c r="K1483" s="18" t="str">
        <x:v>transport-node:aca826ee-d11b-5643-b5ef-1ea12c78b325</x:v>
      </x:c>
      <x:c r="L1483" s="19" t="str">
        <x:v>组件待审核</x:v>
      </x:c>
      <x:c r="M1483" s="21" t="n">
        <x:v>35.784775</x:v>
      </x:c>
      <x:c r="N1483" s="21" t="n">
        <x:v>139.284055</x:v>
      </x:c>
      <x:c r="O1483" s="18" t="str">
        <x:v>003134</x:v>
      </x:c>
      <x:c r="P1483" s="18" t="str">
        <x:v>青梅線</x:v>
      </x:c>
      <x:c r="Q1483" s="19" t="str">
        <x:v>S12_061_GE_10000</x:v>
      </x:c>
      <x:c r="R1483" s="19" t="str">
        <x:v>S12_061 usage threshold</x:v>
      </x:c>
      <x:c r="S1483" s="19" t="str">
        <x:v>https://nlftp.mlit.go.jp/ksj/gml/datalist/KsjTmplt-S12-2024.html</x:v>
      </x:c>
      <x:c r="T1483" s="19" t="str">
        <x:v>https://nlftp.mlit.go.jp/ksj/gml/datalist/KsjTmplt-S12-2024.html</x:v>
      </x:c>
      <x:c r="U1483" s="19" t="str">
        <x:v>station-component|河辺|東日本旅客鉄道|conventional_rail|35.7848|139.2841|</x:v>
      </x:c>
      <x:c r="V1483" s="19" t="str">
        <x:v>003134 / 003134 / 青梅線</x:v>
      </x:c>
      <x:c r="W1483" s="18" t="str">
        <x:v>否</x:v>
      </x:c>
      <x:c r="X1483" s="18" t="str">
        <x:v>0785e932a32b3ec15e1a1345537ae145eafe1c07bf38d5c16c11ee2b391e7a28</x:v>
      </x:c>
      <x:c r="Y1483" s="20" t="n">
        <x:v>1</x:v>
      </x:c>
      <x:c r="Z1483" s="20" t="n">
        <x:v>1</x:v>
      </x:c>
      <x:c r="AA1483" s="19"/>
      <x:c r="AB1483" s="18"/>
      <x:c r="AC1483" s="19"/>
    </x:row>
    <x:row r="1484" ht="33" customHeight="1">
      <x:c r="A1484" s="18" t="str">
        <x:v>沼津</x:v>
      </x:c>
      <x:c r="B1484" s="18" t="str">
        <x:v>東海旅客鉄道</x:v>
      </x:c>
      <x:c r="C1484" s="18" t="str">
        <x:v>conventional_rail</x:v>
      </x:c>
      <x:c r="D1484" s="19" t="str">
        <x:v>T2</x:v>
      </x:c>
      <x:c r="E1484" s="20" t="n">
        <x:v>37857</x:v>
      </x:c>
      <x:c r="F1484" s="18" t="str">
        <x:v>persons/day</x:v>
      </x:c>
      <x:c r="G1484" s="18" t="str">
        <x:v>FY2024</x:v>
      </x:c>
      <x:c r="H1484" s="18" t="str">
        <x:v>否</x:v>
      </x:c>
      <x:c r="I1484" s="19" t="str">
        <x:v>DAILY_ENTRIES_EXITS</x:v>
      </x:c>
      <x:c r="J1484" s="19" t="str">
        <x:v>御殿場線
東海道線</x:v>
      </x:c>
      <x:c r="K1484" s="18" t="str">
        <x:v>transport-node:13bd3617-26ce-5318-9238-aa2f5682bc28</x:v>
      </x:c>
      <x:c r="L1484" s="19" t="str">
        <x:v>组件待审核</x:v>
      </x:c>
      <x:c r="M1484" s="21" t="n">
        <x:v>35.10304</x:v>
      </x:c>
      <x:c r="N1484" s="21" t="n">
        <x:v>138.8604767</x:v>
      </x:c>
      <x:c r="O1484" s="18" t="str">
        <x:v>005689</x:v>
      </x:c>
      <x:c r="P1484" s="18" t="str">
        <x:v>東海道線</x:v>
      </x:c>
      <x:c r="Q1484" s="19" t="str">
        <x:v>S12_061_GE_10000</x:v>
      </x:c>
      <x:c r="R1484" s="19" t="str">
        <x:v>S12_061 usage threshold</x:v>
      </x:c>
      <x:c r="S1484" s="19" t="str">
        <x:v>https://nlftp.mlit.go.jp/ksj/gml/datalist/KsjTmplt-S12-2024.html</x:v>
      </x:c>
      <x:c r="T1484" s="19" t="str">
        <x:v>https://nlftp.mlit.go.jp/ksj/gml/datalist/KsjTmplt-S12-2024.html</x:v>
      </x:c>
      <x:c r="U1484" s="19" t="str">
        <x:v>station-component|沼津|東海旅客鉄道|conventional_rail|35.1030|138.8605|</x:v>
      </x:c>
      <x:c r="V1484" s="19" t="str">
        <x:v>005689 / 005689 / 東海道線
005689 / 005690 / 御殿場線</x:v>
      </x:c>
      <x:c r="W1484" s="18" t="str">
        <x:v>否</x:v>
      </x:c>
      <x:c r="X1484" s="18" t="str">
        <x:v>0785e932a32b3ec15e1a1345537ae145eafe1c07bf38d5c16c11ee2b391e7a28</x:v>
      </x:c>
      <x:c r="Y1484" s="20" t="n">
        <x:v>1</x:v>
      </x:c>
      <x:c r="Z1484" s="20" t="n">
        <x:v>1</x:v>
      </x:c>
      <x:c r="AA1484" s="19"/>
      <x:c r="AB1484" s="18"/>
      <x:c r="AC1484" s="19"/>
    </x:row>
    <x:row r="1485" ht="28" customHeight="1">
      <x:c r="A1485" s="18" t="str">
        <x:v>沼袋</x:v>
      </x:c>
      <x:c r="B1485" s="18" t="str">
        <x:v>西武鉄道</x:v>
      </x:c>
      <x:c r="C1485" s="18" t="str">
        <x:v>private_rail</x:v>
      </x:c>
      <x:c r="D1485" s="19" t="str">
        <x:v>T2</x:v>
      </x:c>
      <x:c r="E1485" s="20" t="n">
        <x:v>18003</x:v>
      </x:c>
      <x:c r="F1485" s="18" t="str">
        <x:v>persons/day</x:v>
      </x:c>
      <x:c r="G1485" s="18" t="str">
        <x:v>FY2024</x:v>
      </x:c>
      <x:c r="H1485" s="18" t="str">
        <x:v>否</x:v>
      </x:c>
      <x:c r="I1485" s="19" t="str">
        <x:v>DAILY_ENTRIES_EXITS</x:v>
      </x:c>
      <x:c r="J1485" s="19" t="str">
        <x:v>新宿線</x:v>
      </x:c>
      <x:c r="K1485" s="18" t="str">
        <x:v>transport-node:c0972e6b-b9ef-527b-aa42-68307785de0d</x:v>
      </x:c>
      <x:c r="L1485" s="19" t="str">
        <x:v>组件待审核</x:v>
      </x:c>
      <x:c r="M1485" s="21" t="n">
        <x:v>35.71916</x:v>
      </x:c>
      <x:c r="N1485" s="21" t="n">
        <x:v>139.66484</x:v>
      </x:c>
      <x:c r="O1485" s="18" t="str">
        <x:v>003475</x:v>
      </x:c>
      <x:c r="P1485" s="18" t="str">
        <x:v>新宿線</x:v>
      </x:c>
      <x:c r="Q1485" s="19" t="str">
        <x:v>S12_061_GE_10000</x:v>
      </x:c>
      <x:c r="R1485" s="19" t="str">
        <x:v>S12_061 usage threshold</x:v>
      </x:c>
      <x:c r="S1485" s="19" t="str">
        <x:v>https://nlftp.mlit.go.jp/ksj/gml/datalist/KsjTmplt-S12-2024.html</x:v>
      </x:c>
      <x:c r="T1485" s="19" t="str">
        <x:v>https://nlftp.mlit.go.jp/ksj/gml/datalist/KsjTmplt-S12-2024.html</x:v>
      </x:c>
      <x:c r="U1485" s="19" t="str">
        <x:v>station-component|沼袋|西武鉄道|private_rail|35.7192|139.6648|</x:v>
      </x:c>
      <x:c r="V1485" s="19" t="str">
        <x:v>003475 / 003475 / 新宿線</x:v>
      </x:c>
      <x:c r="W1485" s="18" t="str">
        <x:v>否</x:v>
      </x:c>
      <x:c r="X1485" s="18" t="str">
        <x:v>0785e932a32b3ec15e1a1345537ae145eafe1c07bf38d5c16c11ee2b391e7a28</x:v>
      </x:c>
      <x:c r="Y1485" s="20" t="n">
        <x:v>1</x:v>
      </x:c>
      <x:c r="Z1485" s="20" t="n">
        <x:v>1</x:v>
      </x:c>
      <x:c r="AA1485" s="19"/>
      <x:c r="AB1485" s="18"/>
      <x:c r="AC1485" s="19"/>
    </x:row>
    <x:row r="1486" ht="28" customHeight="1">
      <x:c r="A1486" s="18" t="str">
        <x:v>沼部</x:v>
      </x:c>
      <x:c r="B1486" s="18" t="str">
        <x:v>東急電鉄</x:v>
      </x:c>
      <x:c r="C1486" s="18" t="str">
        <x:v>private_rail</x:v>
      </x:c>
      <x:c r="D1486" s="19" t="str">
        <x:v>T2</x:v>
      </x:c>
      <x:c r="E1486" s="20" t="n">
        <x:v>10289</x:v>
      </x:c>
      <x:c r="F1486" s="18" t="str">
        <x:v>persons/day</x:v>
      </x:c>
      <x:c r="G1486" s="18" t="str">
        <x:v>FY2024</x:v>
      </x:c>
      <x:c r="H1486" s="18" t="str">
        <x:v>否</x:v>
      </x:c>
      <x:c r="I1486" s="19" t="str">
        <x:v>DAILY_ENTRIES_EXITS</x:v>
      </x:c>
      <x:c r="J1486" s="19" t="str">
        <x:v>東急多摩川線</x:v>
      </x:c>
      <x:c r="K1486" s="18" t="str">
        <x:v>transport-node:6d51ab0e-906c-54cc-9cab-b053363b98d6</x:v>
      </x:c>
      <x:c r="L1486" s="19" t="str">
        <x:v>组件待审核</x:v>
      </x:c>
      <x:c r="M1486" s="21" t="n">
        <x:v>35.58249</x:v>
      </x:c>
      <x:c r="N1486" s="21" t="n">
        <x:v>139.67317</x:v>
      </x:c>
      <x:c r="O1486" s="18" t="str">
        <x:v>004279</x:v>
      </x:c>
      <x:c r="P1486" s="18" t="str">
        <x:v>東急多摩川線</x:v>
      </x:c>
      <x:c r="Q1486" s="19" t="str">
        <x:v>S12_061_GE_10000</x:v>
      </x:c>
      <x:c r="R1486" s="19" t="str">
        <x:v>S12_061 usage threshold</x:v>
      </x:c>
      <x:c r="S1486" s="19" t="str">
        <x:v>https://nlftp.mlit.go.jp/ksj/gml/datalist/KsjTmplt-S12-2024.html</x:v>
      </x:c>
      <x:c r="T1486" s="19" t="str">
        <x:v>https://nlftp.mlit.go.jp/ksj/gml/datalist/KsjTmplt-S12-2024.html</x:v>
      </x:c>
      <x:c r="U1486" s="19" t="str">
        <x:v>station-component|沼部|東急電鉄|private_rail|35.5825|139.6732|</x:v>
      </x:c>
      <x:c r="V1486" s="19" t="str">
        <x:v>004279 / 004279 / 東急多摩川線</x:v>
      </x:c>
      <x:c r="W1486" s="18" t="str">
        <x:v>否</x:v>
      </x:c>
      <x:c r="X1486" s="18" t="str">
        <x:v>0785e932a32b3ec15e1a1345537ae145eafe1c07bf38d5c16c11ee2b391e7a28</x:v>
      </x:c>
      <x:c r="Y1486" s="20" t="n">
        <x:v>1</x:v>
      </x:c>
      <x:c r="Z1486" s="20" t="n">
        <x:v>1</x:v>
      </x:c>
      <x:c r="AA1486" s="19"/>
      <x:c r="AB1486" s="18"/>
      <x:c r="AC1486" s="19"/>
    </x:row>
    <x:row r="1487" ht="47" customHeight="1">
      <x:c r="A1487" s="18" t="str">
        <x:v>泉ケ丘</x:v>
      </x:c>
      <x:c r="B1487" s="18" t="str">
        <x:v>泉北高速鉄道</x:v>
      </x:c>
      <x:c r="C1487" s="18" t="str">
        <x:v>private_rail</x:v>
      </x:c>
      <x:c r="D1487" s="19" t="str">
        <x:v>T2</x:v>
      </x:c>
      <x:c r="E1487" s="20" t="n">
        <x:v>35553</x:v>
      </x:c>
      <x:c r="F1487" s="18" t="str">
        <x:v>persons/day</x:v>
      </x:c>
      <x:c r="G1487" s="18" t="str">
        <x:v>FY2024</x:v>
      </x:c>
      <x:c r="H1487" s="18" t="str">
        <x:v>否</x:v>
      </x:c>
      <x:c r="I1487" s="19" t="str">
        <x:v>DAILY_ENTRIES_EXITS</x:v>
      </x:c>
      <x:c r="J1487" s="19" t="str">
        <x:v>泉北高速鉄道線</x:v>
      </x:c>
      <x:c r="K1487" s="18" t="str">
        <x:v>transport-node:d37645ff-04e3-5942-bcf4-284764dd622f</x:v>
      </x:c>
      <x:c r="L1487" s="19" t="str">
        <x:v>组件待审核</x:v>
      </x:c>
      <x:c r="M1487" s="21" t="n">
        <x:v>34.4970275</x:v>
      </x:c>
      <x:c r="N1487" s="21" t="n">
        <x:v>135.5114125</x:v>
      </x:c>
      <x:c r="O1487" s="18" t="str">
        <x:v>007846</x:v>
      </x:c>
      <x:c r="P1487" s="18" t="str">
        <x:v>泉北高速鉄道線</x:v>
      </x:c>
      <x:c r="Q1487" s="19" t="str">
        <x:v>S12_061_GE_10000</x:v>
      </x:c>
      <x:c r="R1487" s="19" t="str">
        <x:v>S12_061 usage threshold</x:v>
      </x:c>
      <x:c r="S1487" s="19" t="str">
        <x:v>https://nlftp.mlit.go.jp/ksj/gml/datalist/KsjTmplt-S12-2024.html</x:v>
      </x:c>
      <x:c r="T1487" s="19" t="str">
        <x:v>https://nlftp.mlit.go.jp/ksj/gml/datalist/KsjTmplt-S12-2024.html</x:v>
      </x:c>
      <x:c r="U1487" s="19" t="str">
        <x:v>station-component|泉ケ丘|泉北高速鉄道|private_rail|34.4970|135.5114|</x:v>
      </x:c>
      <x:c r="V1487" s="19" t="str">
        <x:v>007846 / 007846 / 泉北高速鉄道線</x:v>
      </x:c>
      <x:c r="W1487" s="18" t="str">
        <x:v>否</x:v>
      </x:c>
      <x:c r="X1487" s="18" t="str">
        <x:v>0785e932a32b3ec15e1a1345537ae145eafe1c07bf38d5c16c11ee2b391e7a28</x:v>
      </x:c>
      <x:c r="Y1487" s="20" t="n">
        <x:v>1</x:v>
      </x:c>
      <x:c r="Z1487" s="20" t="n">
        <x:v>1</x:v>
      </x:c>
      <x:c r="AA1487" s="19"/>
      <x:c r="AB1487" s="18"/>
      <x:c r="AC1487" s="19" t="str">
        <x:v>{"documentedSuccessor":"南海電気鉄道","effectiveDate":"2025-04-01","historicalSourceOperator":"泉北高速鉄道","identityRebound":false,"officialSource":"https://www.nankai.co.jp/news/241101_1.html","status":"HISTORICAL_S12_OPERATOR_IDENTITY_REVIEW_REQUIRED"}</x:v>
      </x:c>
    </x:row>
    <x:row r="1488" ht="28" customHeight="1">
      <x:c r="A1488" s="18" t="str">
        <x:v>泉中央</x:v>
      </x:c>
      <x:c r="B1488" s="18" t="str">
        <x:v>仙台市</x:v>
      </x:c>
      <x:c r="C1488" s="18" t="str">
        <x:v>metro</x:v>
      </x:c>
      <x:c r="D1488" s="19" t="str">
        <x:v>T2</x:v>
      </x:c>
      <x:c r="E1488" s="20" t="n">
        <x:v>23970</x:v>
      </x:c>
      <x:c r="F1488" s="18" t="str">
        <x:v>persons/day</x:v>
      </x:c>
      <x:c r="G1488" s="18" t="str">
        <x:v>FY2024</x:v>
      </x:c>
      <x:c r="H1488" s="18" t="str">
        <x:v>否</x:v>
      </x:c>
      <x:c r="I1488" s="19" t="str">
        <x:v>DAILY_ENTRIES_EXITS</x:v>
      </x:c>
      <x:c r="J1488" s="19" t="str">
        <x:v>南北線</x:v>
      </x:c>
      <x:c r="K1488" s="18" t="str">
        <x:v>transport-node:df9bc02a-1c3f-5381-b4e6-c3f15e7899f4</x:v>
      </x:c>
      <x:c r="L1488" s="19" t="str">
        <x:v>组件待审核</x:v>
      </x:c>
      <x:c r="M1488" s="21" t="n">
        <x:v>38.322965</x:v>
      </x:c>
      <x:c r="N1488" s="21" t="n">
        <x:v>140.880665</x:v>
      </x:c>
      <x:c r="O1488" s="18" t="str">
        <x:v>001124</x:v>
      </x:c>
      <x:c r="P1488" s="18" t="str">
        <x:v>南北線</x:v>
      </x:c>
      <x:c r="Q1488" s="19" t="str">
        <x:v>S12_061_GE_10000</x:v>
      </x:c>
      <x:c r="R1488" s="19" t="str">
        <x:v>S12_061 usage threshold</x:v>
      </x:c>
      <x:c r="S1488" s="19" t="str">
        <x:v>https://nlftp.mlit.go.jp/ksj/gml/datalist/KsjTmplt-S12-2024.html</x:v>
      </x:c>
      <x:c r="T1488" s="19" t="str">
        <x:v>https://nlftp.mlit.go.jp/ksj/gml/datalist/KsjTmplt-S12-2024.html</x:v>
      </x:c>
      <x:c r="U1488" s="19" t="str">
        <x:v>station-component|泉中央|仙台市|metro|38.3230|140.8807|</x:v>
      </x:c>
      <x:c r="V1488" s="19" t="str">
        <x:v>001124 / 001124 / 南北線</x:v>
      </x:c>
      <x:c r="W1488" s="18" t="str">
        <x:v>否</x:v>
      </x:c>
      <x:c r="X1488" s="18" t="str">
        <x:v>0785e932a32b3ec15e1a1345537ae145eafe1c07bf38d5c16c11ee2b391e7a28</x:v>
      </x:c>
      <x:c r="Y1488" s="20" t="n">
        <x:v>1</x:v>
      </x:c>
      <x:c r="Z1488" s="20" t="n">
        <x:v>1</x:v>
      </x:c>
      <x:c r="AA1488" s="19"/>
      <x:c r="AB1488" s="18"/>
      <x:c r="AC1488" s="19"/>
    </x:row>
    <x:row r="1489" ht="33" customHeight="1">
      <x:c r="A1489" s="18" t="str">
        <x:v>泉佐野</x:v>
      </x:c>
      <x:c r="B1489" s="18" t="str">
        <x:v>南海電気鉄道</x:v>
      </x:c>
      <x:c r="C1489" s="18" t="str">
        <x:v>private_rail</x:v>
      </x:c>
      <x:c r="D1489" s="19" t="str">
        <x:v>T2</x:v>
      </x:c>
      <x:c r="E1489" s="20" t="n">
        <x:v>23227</x:v>
      </x:c>
      <x:c r="F1489" s="18" t="str">
        <x:v>persons/day</x:v>
      </x:c>
      <x:c r="G1489" s="18" t="str">
        <x:v>FY2024</x:v>
      </x:c>
      <x:c r="H1489" s="18" t="str">
        <x:v>否</x:v>
      </x:c>
      <x:c r="I1489" s="19" t="str">
        <x:v>DAILY_ENTRIES_EXITS</x:v>
      </x:c>
      <x:c r="J1489" s="19" t="str">
        <x:v>南海本線
空港線</x:v>
      </x:c>
      <x:c r="K1489" s="18" t="str">
        <x:v>transport-node:edc91d36-64bf-5e3a-b691-a1ca78631415</x:v>
      </x:c>
      <x:c r="L1489" s="19" t="str">
        <x:v>组件待审核</x:v>
      </x:c>
      <x:c r="M1489" s="21" t="n">
        <x:v>34.411065</x:v>
      </x:c>
      <x:c r="N1489" s="21" t="n">
        <x:v>135.317375</x:v>
      </x:c>
      <x:c r="O1489" s="18" t="str">
        <x:v>007993</x:v>
      </x:c>
      <x:c r="P1489" s="18" t="str">
        <x:v>南海本線</x:v>
      </x:c>
      <x:c r="Q1489" s="19" t="str">
        <x:v>S12_061_GE_10000</x:v>
      </x:c>
      <x:c r="R1489" s="19" t="str">
        <x:v>S12_061 usage threshold</x:v>
      </x:c>
      <x:c r="S1489" s="19" t="str">
        <x:v>https://nlftp.mlit.go.jp/ksj/gml/datalist/KsjTmplt-S12-2024.html</x:v>
      </x:c>
      <x:c r="T1489" s="19" t="str">
        <x:v>https://nlftp.mlit.go.jp/ksj/gml/datalist/KsjTmplt-S12-2024.html</x:v>
      </x:c>
      <x:c r="U1489" s="19" t="str">
        <x:v>station-component|泉佐野|南海電気鉄道|private_rail|34.4111|135.3174|</x:v>
      </x:c>
      <x:c r="V1489" s="19" t="str">
        <x:v>007992 / 007992 / 空港線
007992 / 007993 / 南海本線</x:v>
      </x:c>
      <x:c r="W1489" s="18" t="str">
        <x:v>否</x:v>
      </x:c>
      <x:c r="X1489" s="18" t="str">
        <x:v>0785e932a32b3ec15e1a1345537ae145eafe1c07bf38d5c16c11ee2b391e7a28</x:v>
      </x:c>
      <x:c r="Y1489" s="20" t="n">
        <x:v>1</x:v>
      </x:c>
      <x:c r="Z1489" s="20" t="n">
        <x:v>1</x:v>
      </x:c>
      <x:c r="AA1489" s="19"/>
      <x:c r="AB1489" s="18"/>
      <x:c r="AC1489" s="19"/>
    </x:row>
    <x:row r="1490" ht="28" customHeight="1">
      <x:c r="A1490" s="18" t="str">
        <x:v>泉大津</x:v>
      </x:c>
      <x:c r="B1490" s="18" t="str">
        <x:v>南海電気鉄道</x:v>
      </x:c>
      <x:c r="C1490" s="18" t="str">
        <x:v>private_rail</x:v>
      </x:c>
      <x:c r="D1490" s="19" t="str">
        <x:v>T2</x:v>
      </x:c>
      <x:c r="E1490" s="20" t="n">
        <x:v>25313</x:v>
      </x:c>
      <x:c r="F1490" s="18" t="str">
        <x:v>persons/day</x:v>
      </x:c>
      <x:c r="G1490" s="18" t="str">
        <x:v>FY2024</x:v>
      </x:c>
      <x:c r="H1490" s="18" t="str">
        <x:v>否</x:v>
      </x:c>
      <x:c r="I1490" s="19" t="str">
        <x:v>DAILY_ENTRIES_EXITS</x:v>
      </x:c>
      <x:c r="J1490" s="19" t="str">
        <x:v>南海本線</x:v>
      </x:c>
      <x:c r="K1490" s="18" t="str">
        <x:v>transport-node:f6bf8c98-110d-5ce3-a21f-506c36182221</x:v>
      </x:c>
      <x:c r="L1490" s="19" t="str">
        <x:v>组件待审核</x:v>
      </x:c>
      <x:c r="M1490" s="21" t="n">
        <x:v>34.5033567</x:v>
      </x:c>
      <x:c r="N1490" s="21" t="n">
        <x:v>135.4067733</x:v>
      </x:c>
      <x:c r="O1490" s="18" t="str">
        <x:v>007834</x:v>
      </x:c>
      <x:c r="P1490" s="18" t="str">
        <x:v>南海本線</x:v>
      </x:c>
      <x:c r="Q1490" s="19" t="str">
        <x:v>S12_061_GE_10000</x:v>
      </x:c>
      <x:c r="R1490" s="19" t="str">
        <x:v>S12_061 usage threshold</x:v>
      </x:c>
      <x:c r="S1490" s="19" t="str">
        <x:v>https://nlftp.mlit.go.jp/ksj/gml/datalist/KsjTmplt-S12-2024.html</x:v>
      </x:c>
      <x:c r="T1490" s="19" t="str">
        <x:v>https://nlftp.mlit.go.jp/ksj/gml/datalist/KsjTmplt-S12-2024.html</x:v>
      </x:c>
      <x:c r="U1490" s="19" t="str">
        <x:v>station-component|泉大津|南海電気鉄道|private_rail|34.5034|135.4068|</x:v>
      </x:c>
      <x:c r="V1490" s="19" t="str">
        <x:v>007834 / 007834 / 南海本線</x:v>
      </x:c>
      <x:c r="W1490" s="18" t="str">
        <x:v>否</x:v>
      </x:c>
      <x:c r="X1490" s="18" t="str">
        <x:v>0785e932a32b3ec15e1a1345537ae145eafe1c07bf38d5c16c11ee2b391e7a28</x:v>
      </x:c>
      <x:c r="Y1490" s="20" t="n">
        <x:v>1</x:v>
      </x:c>
      <x:c r="Z1490" s="20" t="n">
        <x:v>1</x:v>
      </x:c>
      <x:c r="AA1490" s="19"/>
      <x:c r="AB1490" s="18"/>
      <x:c r="AC1490" s="19"/>
    </x:row>
    <x:row r="1491" ht="28" customHeight="1">
      <x:c r="A1491" s="18" t="str">
        <x:v>泉岳寺</x:v>
      </x:c>
      <x:c r="B1491" s="18" t="str">
        <x:v>東京都</x:v>
      </x:c>
      <x:c r="C1491" s="18" t="str">
        <x:v>metro</x:v>
      </x:c>
      <x:c r="D1491" s="19" t="str">
        <x:v>T2</x:v>
      </x:c>
      <x:c r="E1491" s="20" t="n">
        <x:v>33601</x:v>
      </x:c>
      <x:c r="F1491" s="18" t="str">
        <x:v>persons/day</x:v>
      </x:c>
      <x:c r="G1491" s="18" t="str">
        <x:v>FY2024</x:v>
      </x:c>
      <x:c r="H1491" s="18" t="str">
        <x:v>否</x:v>
      </x:c>
      <x:c r="I1491" s="19" t="str">
        <x:v>DAILY_ENTRIES_EXITS</x:v>
      </x:c>
      <x:c r="J1491" s="19" t="str">
        <x:v>1号線浅草線</x:v>
      </x:c>
      <x:c r="K1491" s="18" t="str">
        <x:v>transport-node:dc4ffeb7-eeff-5d6f-a763-5e8fd45dd225</x:v>
      </x:c>
      <x:c r="L1491" s="19" t="str">
        <x:v>组件待审核</x:v>
      </x:c>
      <x:c r="M1491" s="21" t="n">
        <x:v>35.63813</x:v>
      </x:c>
      <x:c r="N1491" s="21" t="n">
        <x:v>139.73973</x:v>
      </x:c>
      <x:c r="O1491" s="18" t="str">
        <x:v>004042</x:v>
      </x:c>
      <x:c r="P1491" s="18" t="str">
        <x:v>1号線浅草線</x:v>
      </x:c>
      <x:c r="Q1491" s="19" t="str">
        <x:v>S12_061_GE_10000</x:v>
      </x:c>
      <x:c r="R1491" s="19" t="str">
        <x:v>S12_061 usage threshold</x:v>
      </x:c>
      <x:c r="S1491" s="19" t="str">
        <x:v>https://nlftp.mlit.go.jp/ksj/gml/datalist/KsjTmplt-S12-2024.html</x:v>
      </x:c>
      <x:c r="T1491" s="19" t="str">
        <x:v>https://nlftp.mlit.go.jp/ksj/gml/datalist/KsjTmplt-S12-2024.html</x:v>
      </x:c>
      <x:c r="U1491" s="19" t="str">
        <x:v>station-component|泉岳寺|東京都|metro|35.6381|139.7397|</x:v>
      </x:c>
      <x:c r="V1491" s="19" t="str">
        <x:v>004042 / 004042 / 1号線浅草線</x:v>
      </x:c>
      <x:c r="W1491" s="18" t="str">
        <x:v>否</x:v>
      </x:c>
      <x:c r="X1491" s="18" t="str">
        <x:v>0785e932a32b3ec15e1a1345537ae145eafe1c07bf38d5c16c11ee2b391e7a28</x:v>
      </x:c>
      <x:c r="Y1491" s="20" t="n">
        <x:v>1</x:v>
      </x:c>
      <x:c r="Z1491" s="20" t="n">
        <x:v>1</x:v>
      </x:c>
      <x:c r="AA1491" s="19"/>
      <x:c r="AB1491" s="18"/>
      <x:c r="AC1491" s="19"/>
    </x:row>
    <x:row r="1492" ht="28" customHeight="1">
      <x:c r="A1492" s="18" t="str">
        <x:v>法隆寺</x:v>
      </x:c>
      <x:c r="B1492" s="18" t="str">
        <x:v>西日本旅客鉄道</x:v>
      </x:c>
      <x:c r="C1492" s="18" t="str">
        <x:v>conventional_rail</x:v>
      </x:c>
      <x:c r="D1492" s="19" t="str">
        <x:v>T2</x:v>
      </x:c>
      <x:c r="E1492" s="20" t="n">
        <x:v>13282</x:v>
      </x:c>
      <x:c r="F1492" s="18" t="str">
        <x:v>persons/day</x:v>
      </x:c>
      <x:c r="G1492" s="18" t="str">
        <x:v>FY2024</x:v>
      </x:c>
      <x:c r="H1492" s="18" t="str">
        <x:v>否</x:v>
      </x:c>
      <x:c r="I1492" s="19" t="str">
        <x:v>DAILY_ENTRIES_EXITS</x:v>
      </x:c>
      <x:c r="J1492" s="19" t="str">
        <x:v>関西線</x:v>
      </x:c>
      <x:c r="K1492" s="18" t="str">
        <x:v>transport-node:dd7f5552-f951-5cfc-9a4a-fca5f7c09b14</x:v>
      </x:c>
      <x:c r="L1492" s="19" t="str">
        <x:v>组件待审核</x:v>
      </x:c>
      <x:c r="M1492" s="21" t="n">
        <x:v>34.60155</x:v>
      </x:c>
      <x:c r="N1492" s="21" t="n">
        <x:v>135.7389</x:v>
      </x:c>
      <x:c r="O1492" s="18" t="str">
        <x:v>007600</x:v>
      </x:c>
      <x:c r="P1492" s="18" t="str">
        <x:v>関西線</x:v>
      </x:c>
      <x:c r="Q1492" s="19" t="str">
        <x:v>S12_061_GE_10000</x:v>
      </x:c>
      <x:c r="R1492" s="19" t="str">
        <x:v>S12_061 usage threshold</x:v>
      </x:c>
      <x:c r="S1492" s="19" t="str">
        <x:v>https://nlftp.mlit.go.jp/ksj/gml/datalist/KsjTmplt-S12-2024.html</x:v>
      </x:c>
      <x:c r="T1492" s="19" t="str">
        <x:v>https://nlftp.mlit.go.jp/ksj/gml/datalist/KsjTmplt-S12-2024.html</x:v>
      </x:c>
      <x:c r="U1492" s="19" t="str">
        <x:v>station-component|法隆寺|西日本旅客鉄道|conventional_rail|34.6016|135.7389|</x:v>
      </x:c>
      <x:c r="V1492" s="19" t="str">
        <x:v>007600 / 007600 / 関西線</x:v>
      </x:c>
      <x:c r="W1492" s="18" t="str">
        <x:v>否</x:v>
      </x:c>
      <x:c r="X1492" s="18" t="str">
        <x:v>0785e932a32b3ec15e1a1345537ae145eafe1c07bf38d5c16c11ee2b391e7a28</x:v>
      </x:c>
      <x:c r="Y1492" s="20" t="n">
        <x:v>1</x:v>
      </x:c>
      <x:c r="Z1492" s="20" t="n">
        <x:v>1</x:v>
      </x:c>
      <x:c r="AA1492" s="19"/>
      <x:c r="AB1492" s="18"/>
      <x:c r="AC1492" s="19"/>
    </x:row>
    <x:row r="1493" ht="28" customHeight="1">
      <x:c r="A1493" s="18" t="str">
        <x:v>洋光台</x:v>
      </x:c>
      <x:c r="B1493" s="18" t="str">
        <x:v>東日本旅客鉄道</x:v>
      </x:c>
      <x:c r="C1493" s="18" t="str">
        <x:v>conventional_rail</x:v>
      </x:c>
      <x:c r="D1493" s="19" t="str">
        <x:v>T2</x:v>
      </x:c>
      <x:c r="E1493" s="20" t="n">
        <x:v>36486</x:v>
      </x:c>
      <x:c r="F1493" s="18" t="str">
        <x:v>persons/day</x:v>
      </x:c>
      <x:c r="G1493" s="18" t="str">
        <x:v>FY2024</x:v>
      </x:c>
      <x:c r="H1493" s="18" t="str">
        <x:v>否</x:v>
      </x:c>
      <x:c r="I1493" s="19" t="str">
        <x:v>DAILY_ENTRIES_EXITS</x:v>
      </x:c>
      <x:c r="J1493" s="19" t="str">
        <x:v>根岸線</x:v>
      </x:c>
      <x:c r="K1493" s="18" t="str">
        <x:v>transport-node:79210af4-636d-554a-8739-8a2529612e60</x:v>
      </x:c>
      <x:c r="L1493" s="19" t="str">
        <x:v>组件待审核</x:v>
      </x:c>
      <x:c r="M1493" s="21" t="n">
        <x:v>35.37881</x:v>
      </x:c>
      <x:c r="N1493" s="21" t="n">
        <x:v>139.5969367</x:v>
      </x:c>
      <x:c r="O1493" s="18" t="str">
        <x:v>004894</x:v>
      </x:c>
      <x:c r="P1493" s="18" t="str">
        <x:v>根岸線</x:v>
      </x:c>
      <x:c r="Q1493" s="19" t="str">
        <x:v>S12_061_GE_10000</x:v>
      </x:c>
      <x:c r="R1493" s="19" t="str">
        <x:v>S12_061 usage threshold</x:v>
      </x:c>
      <x:c r="S1493" s="19" t="str">
        <x:v>https://nlftp.mlit.go.jp/ksj/gml/datalist/KsjTmplt-S12-2024.html</x:v>
      </x:c>
      <x:c r="T1493" s="19" t="str">
        <x:v>https://nlftp.mlit.go.jp/ksj/gml/datalist/KsjTmplt-S12-2024.html</x:v>
      </x:c>
      <x:c r="U1493" s="19" t="str">
        <x:v>station-component|洋光台|東日本旅客鉄道|conventional_rail|35.3788|139.5969|</x:v>
      </x:c>
      <x:c r="V1493" s="19" t="str">
        <x:v>004894 / 004894 / 根岸線</x:v>
      </x:c>
      <x:c r="W1493" s="18" t="str">
        <x:v>否</x:v>
      </x:c>
      <x:c r="X1493" s="18" t="str">
        <x:v>0785e932a32b3ec15e1a1345537ae145eafe1c07bf38d5c16c11ee2b391e7a28</x:v>
      </x:c>
      <x:c r="Y1493" s="20" t="n">
        <x:v>1</x:v>
      </x:c>
      <x:c r="Z1493" s="20" t="n">
        <x:v>1</x:v>
      </x:c>
      <x:c r="AA1493" s="19"/>
      <x:c r="AB1493" s="18"/>
      <x:c r="AC1493" s="19"/>
    </x:row>
    <x:row r="1494" ht="28" customHeight="1">
      <x:c r="A1494" s="18" t="str">
        <x:v>洗足</x:v>
      </x:c>
      <x:c r="B1494" s="18" t="str">
        <x:v>東急電鉄</x:v>
      </x:c>
      <x:c r="C1494" s="18" t="str">
        <x:v>private_rail</x:v>
      </x:c>
      <x:c r="D1494" s="19" t="str">
        <x:v>T2</x:v>
      </x:c>
      <x:c r="E1494" s="20" t="n">
        <x:v>14288</x:v>
      </x:c>
      <x:c r="F1494" s="18" t="str">
        <x:v>persons/day</x:v>
      </x:c>
      <x:c r="G1494" s="18" t="str">
        <x:v>FY2024</x:v>
      </x:c>
      <x:c r="H1494" s="18" t="str">
        <x:v>否</x:v>
      </x:c>
      <x:c r="I1494" s="19" t="str">
        <x:v>DAILY_ENTRIES_EXITS</x:v>
      </x:c>
      <x:c r="J1494" s="19" t="str">
        <x:v>目黒線</x:v>
      </x:c>
      <x:c r="K1494" s="18" t="str">
        <x:v>transport-node:20374214-42b3-5aa8-84bc-8d0bccc019a7</x:v>
      </x:c>
      <x:c r="L1494" s="19" t="str">
        <x:v>组件待审核</x:v>
      </x:c>
      <x:c r="M1494" s="21" t="n">
        <x:v>35.61009</x:v>
      </x:c>
      <x:c r="N1494" s="21" t="n">
        <x:v>139.694105</x:v>
      </x:c>
      <x:c r="O1494" s="18" t="str">
        <x:v>004180</x:v>
      </x:c>
      <x:c r="P1494" s="18" t="str">
        <x:v>目黒線</x:v>
      </x:c>
      <x:c r="Q1494" s="19" t="str">
        <x:v>S12_061_GE_10000</x:v>
      </x:c>
      <x:c r="R1494" s="19" t="str">
        <x:v>S12_061 usage threshold</x:v>
      </x:c>
      <x:c r="S1494" s="19" t="str">
        <x:v>https://nlftp.mlit.go.jp/ksj/gml/datalist/KsjTmplt-S12-2024.html</x:v>
      </x:c>
      <x:c r="T1494" s="19" t="str">
        <x:v>https://nlftp.mlit.go.jp/ksj/gml/datalist/KsjTmplt-S12-2024.html</x:v>
      </x:c>
      <x:c r="U1494" s="19" t="str">
        <x:v>station-component|洗足|東急電鉄|private_rail|35.6101|139.6941|</x:v>
      </x:c>
      <x:c r="V1494" s="19" t="str">
        <x:v>004180 / 004180 / 目黒線</x:v>
      </x:c>
      <x:c r="W1494" s="18" t="str">
        <x:v>否</x:v>
      </x:c>
      <x:c r="X1494" s="18" t="str">
        <x:v>0785e932a32b3ec15e1a1345537ae145eafe1c07bf38d5c16c11ee2b391e7a28</x:v>
      </x:c>
      <x:c r="Y1494" s="20" t="n">
        <x:v>1</x:v>
      </x:c>
      <x:c r="Z1494" s="20" t="n">
        <x:v>1</x:v>
      </x:c>
      <x:c r="AA1494" s="19"/>
      <x:c r="AB1494" s="18"/>
      <x:c r="AC1494" s="19"/>
    </x:row>
    <x:row r="1495" ht="28" customHeight="1">
      <x:c r="A1495" s="18" t="str">
        <x:v>洗足池</x:v>
      </x:c>
      <x:c r="B1495" s="18" t="str">
        <x:v>東急電鉄</x:v>
      </x:c>
      <x:c r="C1495" s="18" t="str">
        <x:v>private_rail</x:v>
      </x:c>
      <x:c r="D1495" s="19" t="str">
        <x:v>T2</x:v>
      </x:c>
      <x:c r="E1495" s="20" t="n">
        <x:v>17037</x:v>
      </x:c>
      <x:c r="F1495" s="18" t="str">
        <x:v>persons/day</x:v>
      </x:c>
      <x:c r="G1495" s="18" t="str">
        <x:v>FY2024</x:v>
      </x:c>
      <x:c r="H1495" s="18" t="str">
        <x:v>否</x:v>
      </x:c>
      <x:c r="I1495" s="19" t="str">
        <x:v>DAILY_ENTRIES_EXITS</x:v>
      </x:c>
      <x:c r="J1495" s="19" t="str">
        <x:v>池上線</x:v>
      </x:c>
      <x:c r="K1495" s="18" t="str">
        <x:v>transport-node:5a500d25-2323-5a65-9a08-78c3fa77d692</x:v>
      </x:c>
      <x:c r="L1495" s="19" t="str">
        <x:v>组件待审核</x:v>
      </x:c>
      <x:c r="M1495" s="21" t="n">
        <x:v>35.599675</x:v>
      </x:c>
      <x:c r="N1495" s="21" t="n">
        <x:v>139.690925</x:v>
      </x:c>
      <x:c r="O1495" s="18" t="str">
        <x:v>004239</x:v>
      </x:c>
      <x:c r="P1495" s="18" t="str">
        <x:v>池上線</x:v>
      </x:c>
      <x:c r="Q1495" s="19" t="str">
        <x:v>S12_061_GE_10000</x:v>
      </x:c>
      <x:c r="R1495" s="19" t="str">
        <x:v>S12_061 usage threshold</x:v>
      </x:c>
      <x:c r="S1495" s="19" t="str">
        <x:v>https://nlftp.mlit.go.jp/ksj/gml/datalist/KsjTmplt-S12-2024.html</x:v>
      </x:c>
      <x:c r="T1495" s="19" t="str">
        <x:v>https://nlftp.mlit.go.jp/ksj/gml/datalist/KsjTmplt-S12-2024.html</x:v>
      </x:c>
      <x:c r="U1495" s="19" t="str">
        <x:v>station-component|洗足池|東急電鉄|private_rail|35.5997|139.6909|</x:v>
      </x:c>
      <x:c r="V1495" s="19" t="str">
        <x:v>004239 / 004239 / 池上線</x:v>
      </x:c>
      <x:c r="W1495" s="18" t="str">
        <x:v>否</x:v>
      </x:c>
      <x:c r="X1495" s="18" t="str">
        <x:v>0785e932a32b3ec15e1a1345537ae145eafe1c07bf38d5c16c11ee2b391e7a28</x:v>
      </x:c>
      <x:c r="Y1495" s="20" t="n">
        <x:v>1</x:v>
      </x:c>
      <x:c r="Z1495" s="20" t="n">
        <x:v>1</x:v>
      </x:c>
      <x:c r="AA1495" s="19"/>
      <x:c r="AB1495" s="18"/>
      <x:c r="AC1495" s="19"/>
    </x:row>
    <x:row r="1496" ht="28" customHeight="1">
      <x:c r="A1496" s="18" t="str">
        <x:v>洛西口</x:v>
      </x:c>
      <x:c r="B1496" s="18" t="str">
        <x:v>阪急電鉄</x:v>
      </x:c>
      <x:c r="C1496" s="18" t="str">
        <x:v>private_rail</x:v>
      </x:c>
      <x:c r="D1496" s="19" t="str">
        <x:v>T2</x:v>
      </x:c>
      <x:c r="E1496" s="20" t="n">
        <x:v>12328</x:v>
      </x:c>
      <x:c r="F1496" s="18" t="str">
        <x:v>persons/day</x:v>
      </x:c>
      <x:c r="G1496" s="18" t="str">
        <x:v>FY2024</x:v>
      </x:c>
      <x:c r="H1496" s="18" t="str">
        <x:v>否</x:v>
      </x:c>
      <x:c r="I1496" s="19" t="str">
        <x:v>DAILY_ENTRIES_EXITS</x:v>
      </x:c>
      <x:c r="J1496" s="19" t="str">
        <x:v>京都線</x:v>
      </x:c>
      <x:c r="K1496" s="18" t="str">
        <x:v>transport-node:6392967e-5540-5df6-9f7f-70fe7e5db768</x:v>
      </x:c>
      <x:c r="L1496" s="19" t="str">
        <x:v>组件待审核</x:v>
      </x:c>
      <x:c r="M1496" s="21" t="n">
        <x:v>34.96362</x:v>
      </x:c>
      <x:c r="N1496" s="21" t="n">
        <x:v>135.70314</x:v>
      </x:c>
      <x:c r="O1496" s="18" t="str">
        <x:v>006156</x:v>
      </x:c>
      <x:c r="P1496" s="18" t="str">
        <x:v>京都線</x:v>
      </x:c>
      <x:c r="Q1496" s="19" t="str">
        <x:v>S12_061_GE_10000</x:v>
      </x:c>
      <x:c r="R1496" s="19" t="str">
        <x:v>S12_061 usage threshold</x:v>
      </x:c>
      <x:c r="S1496" s="19" t="str">
        <x:v>https://nlftp.mlit.go.jp/ksj/gml/datalist/KsjTmplt-S12-2024.html</x:v>
      </x:c>
      <x:c r="T1496" s="19" t="str">
        <x:v>https://nlftp.mlit.go.jp/ksj/gml/datalist/KsjTmplt-S12-2024.html</x:v>
      </x:c>
      <x:c r="U1496" s="19" t="str">
        <x:v>station-component|洛西口|阪急電鉄|private_rail|34.9636|135.7031|</x:v>
      </x:c>
      <x:c r="V1496" s="19" t="str">
        <x:v>006156 / 006156 / 京都線</x:v>
      </x:c>
      <x:c r="W1496" s="18" t="str">
        <x:v>否</x:v>
      </x:c>
      <x:c r="X1496" s="18" t="str">
        <x:v>0785e932a32b3ec15e1a1345537ae145eafe1c07bf38d5c16c11ee2b391e7a28</x:v>
      </x:c>
      <x:c r="Y1496" s="20" t="n">
        <x:v>1</x:v>
      </x:c>
      <x:c r="Z1496" s="20" t="n">
        <x:v>1</x:v>
      </x:c>
      <x:c r="AA1496" s="19"/>
      <x:c r="AB1496" s="18"/>
      <x:c r="AC1496" s="19"/>
    </x:row>
    <x:row r="1497" ht="33" customHeight="1">
      <x:c r="A1497" s="18" t="str">
        <x:v>津</x:v>
      </x:c>
      <x:c r="B1497" s="18" t="str">
        <x:v>伊勢鉄道</x:v>
      </x:c>
      <x:c r="C1497" s="18" t="str">
        <x:v>private_rail</x:v>
      </x:c>
      <x:c r="D1497" s="19"/>
      <x:c r="E1497" s="20"/>
      <x:c r="F1497" s="18"/>
      <x:c r="G1497" s="18" t="str">
        <x:v>FY2024</x:v>
      </x:c>
      <x:c r="H1497" s="18" t="str">
        <x:v>是</x:v>
      </x:c>
      <x:c r="I1497" s="19" t="str">
        <x:v>USAGE_DATA_UNAVAILABLE</x:v>
      </x:c>
      <x:c r="J1497" s="19" t="str">
        <x:v>伊勢線</x:v>
      </x:c>
      <x:c r="K1497" s="18" t="str">
        <x:v>transport-node:c70ac394-a427-5da7-a3d4-6df843397936</x:v>
      </x:c>
      <x:c r="L1497" s="19" t="str">
        <x:v>组件待审核</x:v>
      </x:c>
      <x:c r="M1497" s="21" t="n">
        <x:v>34.7343733</x:v>
      </x:c>
      <x:c r="N1497" s="21" t="n">
        <x:v>136.5107233</x:v>
      </x:c>
      <x:c r="O1497" s="18" t="str">
        <x:v>006906</x:v>
      </x:c>
      <x:c r="P1497" s="18" t="str">
        <x:v>伊勢線</x:v>
      </x:c>
      <x:c r="Q1497" s="19" t="str">
        <x:v>OFFICIAL_HUB_COMPONENT_REVIEW</x:v>
      </x:c>
      <x:c r="R1497" s="19" t="str">
        <x:v>Official S12 usage unavailable; manual tier review required</x:v>
      </x:c>
      <x:c r="S1497" s="19" t="str">
        <x:v>https://nlftp.mlit.go.jp/ksj/gml/datalist/KsjTmplt-S12-2024.html</x:v>
      </x:c>
      <x:c r="T1497" s="19" t="str">
        <x:v>https://nlftp.mlit.go.jp/ksj/gml/datalist/KsjTmplt-S12-2024.html
https://www.kintetsu.co.jp/station/</x:v>
      </x:c>
      <x:c r="U1497" s="19" t="str">
        <x:v>station-component|津|伊勢鉄道|private_rail|34.7344|136.5107|</x:v>
      </x:c>
      <x:c r="V1497" s="19" t="str">
        <x:v>006905 / 006906 / 伊勢線</x:v>
      </x:c>
      <x:c r="W1497" s="18" t="str">
        <x:v>否</x:v>
      </x:c>
      <x:c r="X1497" s="18" t="str">
        <x:v>0785e932a32b3ec15e1a1345537ae145eafe1c07bf38d5c16c11ee2b391e7a28</x:v>
      </x:c>
      <x:c r="Y1497" s="20" t="n">
        <x:v>1</x:v>
      </x:c>
      <x:c r="Z1497" s="20" t="n">
        <x:v>2</x:v>
      </x:c>
      <x:c r="AA1497" s="19" t="str">
        <x:v>津</x:v>
      </x:c>
      <x:c r="AB1497" s="18" t="str">
        <x:v>transport-hub-review:4af1ea67-9b43-51e0-9f5c-ed504ee3a5b5</x:v>
      </x:c>
      <x:c r="AC1497" s="19"/>
    </x:row>
    <x:row r="1498" ht="33" customHeight="1">
      <x:c r="A1498" s="18" t="str">
        <x:v>津</x:v>
      </x:c>
      <x:c r="B1498" s="18" t="str">
        <x:v>東海旅客鉄道</x:v>
      </x:c>
      <x:c r="C1498" s="18" t="str">
        <x:v>conventional_rail</x:v>
      </x:c>
      <x:c r="D1498" s="19"/>
      <x:c r="E1498" s="20"/>
      <x:c r="F1498" s="18"/>
      <x:c r="G1498" s="18" t="str">
        <x:v>FY2024</x:v>
      </x:c>
      <x:c r="H1498" s="18" t="str">
        <x:v>是</x:v>
      </x:c>
      <x:c r="I1498" s="19" t="str">
        <x:v>USAGE_DATA_UNAVAILABLE</x:v>
      </x:c>
      <x:c r="J1498" s="19" t="str">
        <x:v>紀勢線</x:v>
      </x:c>
      <x:c r="K1498" s="18" t="str">
        <x:v>transport-node:4dbdddc3-8d05-59b6-af50-39724ec49d15</x:v>
      </x:c>
      <x:c r="L1498" s="19" t="str">
        <x:v>组件待审核</x:v>
      </x:c>
      <x:c r="M1498" s="21" t="n">
        <x:v>34.7343733</x:v>
      </x:c>
      <x:c r="N1498" s="21" t="n">
        <x:v>136.5107233</x:v>
      </x:c>
      <x:c r="O1498" s="18" t="str">
        <x:v>006905</x:v>
      </x:c>
      <x:c r="P1498" s="18" t="str">
        <x:v>紀勢線</x:v>
      </x:c>
      <x:c r="Q1498" s="19" t="str">
        <x:v>OFFICIAL_HUB_COMPONENT_REVIEW</x:v>
      </x:c>
      <x:c r="R1498" s="19" t="str">
        <x:v>Official S12 usage unavailable; manual tier review required</x:v>
      </x:c>
      <x:c r="S1498" s="19" t="str">
        <x:v>https://nlftp.mlit.go.jp/ksj/gml/datalist/KsjTmplt-S12-2024.html</x:v>
      </x:c>
      <x:c r="T1498" s="19" t="str">
        <x:v>https://nlftp.mlit.go.jp/ksj/gml/datalist/KsjTmplt-S12-2024.html
https://www.kintetsu.co.jp/station/</x:v>
      </x:c>
      <x:c r="U1498" s="19" t="str">
        <x:v>station-component|津|東海旅客鉄道|conventional_rail|34.7344|136.5107|</x:v>
      </x:c>
      <x:c r="V1498" s="19" t="str">
        <x:v>006905 / 006905 / 紀勢線</x:v>
      </x:c>
      <x:c r="W1498" s="18" t="str">
        <x:v>否</x:v>
      </x:c>
      <x:c r="X1498" s="18" t="str">
        <x:v>0785e932a32b3ec15e1a1345537ae145eafe1c07bf38d5c16c11ee2b391e7a28</x:v>
      </x:c>
      <x:c r="Y1498" s="20" t="n">
        <x:v>1</x:v>
      </x:c>
      <x:c r="Z1498" s="20" t="n">
        <x:v>2</x:v>
      </x:c>
      <x:c r="AA1498" s="19" t="str">
        <x:v>津</x:v>
      </x:c>
      <x:c r="AB1498" s="18" t="str">
        <x:v>transport-hub-review:4af1ea67-9b43-51e0-9f5c-ed504ee3a5b5</x:v>
      </x:c>
      <x:c r="AC1498" s="19"/>
    </x:row>
    <x:row r="1499" ht="33" customHeight="1">
      <x:c r="A1499" s="18" t="str">
        <x:v>津</x:v>
      </x:c>
      <x:c r="B1499" s="18" t="str">
        <x:v>近畿日本鉄道</x:v>
      </x:c>
      <x:c r="C1499" s="18" t="str">
        <x:v>private_rail</x:v>
      </x:c>
      <x:c r="D1499" s="19" t="str">
        <x:v>T2</x:v>
      </x:c>
      <x:c r="E1499" s="20" t="n">
        <x:v>31965</x:v>
      </x:c>
      <x:c r="F1499" s="18" t="str">
        <x:v>persons/day</x:v>
      </x:c>
      <x:c r="G1499" s="18" t="str">
        <x:v>FY2024</x:v>
      </x:c>
      <x:c r="H1499" s="18" t="str">
        <x:v>否</x:v>
      </x:c>
      <x:c r="I1499" s="19" t="str">
        <x:v>DAILY_ENTRIES_EXITS</x:v>
      </x:c>
      <x:c r="J1499" s="19" t="str">
        <x:v>名古屋線</x:v>
      </x:c>
      <x:c r="K1499" s="18" t="str">
        <x:v>transport-node:df8790f9-2830-56fb-85dd-e4ade3157cb9</x:v>
      </x:c>
      <x:c r="L1499" s="19" t="str">
        <x:v>组件待审核</x:v>
      </x:c>
      <x:c r="M1499" s="21" t="n">
        <x:v>34.734415</x:v>
      </x:c>
      <x:c r="N1499" s="21" t="n">
        <x:v>136.51023</x:v>
      </x:c>
      <x:c r="O1499" s="18" t="str">
        <x:v>006904</x:v>
      </x:c>
      <x:c r="P1499" s="18" t="str">
        <x:v>名古屋線</x:v>
      </x:c>
      <x:c r="Q1499" s="19" t="str">
        <x:v>S12_061_GE_10000
OFFICIAL_HUB_COMPONENT_REVIEW</x:v>
      </x:c>
      <x:c r="R1499" s="19" t="str">
        <x:v>S12_061 usage threshold</x:v>
      </x:c>
      <x:c r="S1499" s="19" t="str">
        <x:v>https://nlftp.mlit.go.jp/ksj/gml/datalist/KsjTmplt-S12-2024.html</x:v>
      </x:c>
      <x:c r="T1499" s="19" t="str">
        <x:v>https://nlftp.mlit.go.jp/ksj/gml/datalist/KsjTmplt-S12-2024.html
https://www.kintetsu.co.jp/station/</x:v>
      </x:c>
      <x:c r="U1499" s="19" t="str">
        <x:v>station-component|津|近畿日本鉄道|private_rail|34.7344|136.5102|</x:v>
      </x:c>
      <x:c r="V1499" s="19" t="str">
        <x:v>006905 / 006904 / 名古屋線</x:v>
      </x:c>
      <x:c r="W1499" s="18" t="str">
        <x:v>否</x:v>
      </x:c>
      <x:c r="X1499" s="18" t="str">
        <x:v>0785e932a32b3ec15e1a1345537ae145eafe1c07bf38d5c16c11ee2b391e7a28</x:v>
      </x:c>
      <x:c r="Y1499" s="20" t="n">
        <x:v>1</x:v>
      </x:c>
      <x:c r="Z1499" s="20" t="n">
        <x:v>1</x:v>
      </x:c>
      <x:c r="AA1499" s="19" t="str">
        <x:v>津</x:v>
      </x:c>
      <x:c r="AB1499" s="18" t="str">
        <x:v>transport-hub-review:4af1ea67-9b43-51e0-9f5c-ed504ee3a5b5</x:v>
      </x:c>
      <x:c r="AC1499" s="19"/>
    </x:row>
    <x:row r="1500" ht="28" customHeight="1">
      <x:c r="A1500" s="18" t="str">
        <x:v>津久野</x:v>
      </x:c>
      <x:c r="B1500" s="18" t="str">
        <x:v>西日本旅客鉄道</x:v>
      </x:c>
      <x:c r="C1500" s="18" t="str">
        <x:v>conventional_rail</x:v>
      </x:c>
      <x:c r="D1500" s="19" t="str">
        <x:v>T2</x:v>
      </x:c>
      <x:c r="E1500" s="20" t="n">
        <x:v>14048</x:v>
      </x:c>
      <x:c r="F1500" s="18" t="str">
        <x:v>persons/day</x:v>
      </x:c>
      <x:c r="G1500" s="18" t="str">
        <x:v>FY2024</x:v>
      </x:c>
      <x:c r="H1500" s="18" t="str">
        <x:v>否</x:v>
      </x:c>
      <x:c r="I1500" s="19" t="str">
        <x:v>DAILY_ENTRIES_EXITS</x:v>
      </x:c>
      <x:c r="J1500" s="19" t="str">
        <x:v>阪和線</x:v>
      </x:c>
      <x:c r="K1500" s="18" t="str">
        <x:v>transport-node:0a323ff1-2afb-504f-a5ba-e4e102231ace</x:v>
      </x:c>
      <x:c r="L1500" s="19" t="str">
        <x:v>组件待审核</x:v>
      </x:c>
      <x:c r="M1500" s="21" t="n">
        <x:v>34.54228</x:v>
      </x:c>
      <x:c r="N1500" s="21" t="n">
        <x:v>135.46825</x:v>
      </x:c>
      <x:c r="O1500" s="18" t="str">
        <x:v>007746</x:v>
      </x:c>
      <x:c r="P1500" s="18" t="str">
        <x:v>阪和線</x:v>
      </x:c>
      <x:c r="Q1500" s="19" t="str">
        <x:v>S12_061_GE_10000</x:v>
      </x:c>
      <x:c r="R1500" s="19" t="str">
        <x:v>S12_061 usage threshold</x:v>
      </x:c>
      <x:c r="S1500" s="19" t="str">
        <x:v>https://nlftp.mlit.go.jp/ksj/gml/datalist/KsjTmplt-S12-2024.html</x:v>
      </x:c>
      <x:c r="T1500" s="19" t="str">
        <x:v>https://nlftp.mlit.go.jp/ksj/gml/datalist/KsjTmplt-S12-2024.html</x:v>
      </x:c>
      <x:c r="U1500" s="19" t="str">
        <x:v>station-component|津久野|西日本旅客鉄道|conventional_rail|34.5423|135.4683|</x:v>
      </x:c>
      <x:c r="V1500" s="19" t="str">
        <x:v>007746 / 007746 / 阪和線</x:v>
      </x:c>
      <x:c r="W1500" s="18" t="str">
        <x:v>否</x:v>
      </x:c>
      <x:c r="X1500" s="18" t="str">
        <x:v>0785e932a32b3ec15e1a1345537ae145eafe1c07bf38d5c16c11ee2b391e7a28</x:v>
      </x:c>
      <x:c r="Y1500" s="20" t="n">
        <x:v>1</x:v>
      </x:c>
      <x:c r="Z1500" s="20" t="n">
        <x:v>1</x:v>
      </x:c>
      <x:c r="AA1500" s="19"/>
      <x:c r="AB1500" s="18"/>
      <x:c r="AC1500" s="19"/>
    </x:row>
    <x:row r="1501" ht="33" customHeight="1">
      <x:c r="A1501" s="18" t="str">
        <x:v>津島</x:v>
      </x:c>
      <x:c r="B1501" s="18" t="str">
        <x:v>名古屋鉄道</x:v>
      </x:c>
      <x:c r="C1501" s="18" t="str">
        <x:v>private_rail</x:v>
      </x:c>
      <x:c r="D1501" s="19" t="str">
        <x:v>T2</x:v>
      </x:c>
      <x:c r="E1501" s="20" t="n">
        <x:v>10750</x:v>
      </x:c>
      <x:c r="F1501" s="18" t="str">
        <x:v>persons/day</x:v>
      </x:c>
      <x:c r="G1501" s="18" t="str">
        <x:v>FY2024</x:v>
      </x:c>
      <x:c r="H1501" s="18" t="str">
        <x:v>否</x:v>
      </x:c>
      <x:c r="I1501" s="19" t="str">
        <x:v>DAILY_ENTRIES_EXITS</x:v>
      </x:c>
      <x:c r="J1501" s="19" t="str">
        <x:v>尾西線
津島線</x:v>
      </x:c>
      <x:c r="K1501" s="18" t="str">
        <x:v>transport-node:23c9b32b-7d36-5c72-bf1f-86aad7c15e5c</x:v>
      </x:c>
      <x:c r="L1501" s="19" t="str">
        <x:v>组件待审核</x:v>
      </x:c>
      <x:c r="M1501" s="21" t="n">
        <x:v>35.17803</x:v>
      </x:c>
      <x:c r="N1501" s="21" t="n">
        <x:v>136.73107</x:v>
      </x:c>
      <x:c r="O1501" s="18" t="str">
        <x:v>005420</x:v>
      </x:c>
      <x:c r="P1501" s="18" t="str">
        <x:v>津島線</x:v>
      </x:c>
      <x:c r="Q1501" s="19" t="str">
        <x:v>S12_061_GE_10000</x:v>
      </x:c>
      <x:c r="R1501" s="19" t="str">
        <x:v>S12_061 usage threshold</x:v>
      </x:c>
      <x:c r="S1501" s="19" t="str">
        <x:v>https://nlftp.mlit.go.jp/ksj/gml/datalist/KsjTmplt-S12-2024.html</x:v>
      </x:c>
      <x:c r="T1501" s="19" t="str">
        <x:v>https://nlftp.mlit.go.jp/ksj/gml/datalist/KsjTmplt-S12-2024.html</x:v>
      </x:c>
      <x:c r="U1501" s="19" t="str">
        <x:v>station-component|津島|名古屋鉄道|private_rail|35.1780|136.7311|</x:v>
      </x:c>
      <x:c r="V1501" s="19" t="str">
        <x:v>005420 / 005420 / 津島線
005420 / 005421 / 尾西線</x:v>
      </x:c>
      <x:c r="W1501" s="18" t="str">
        <x:v>否</x:v>
      </x:c>
      <x:c r="X1501" s="18" t="str">
        <x:v>0785e932a32b3ec15e1a1345537ae145eafe1c07bf38d5c16c11ee2b391e7a28</x:v>
      </x:c>
      <x:c r="Y1501" s="20" t="n">
        <x:v>1</x:v>
      </x:c>
      <x:c r="Z1501" s="20" t="n">
        <x:v>1</x:v>
      </x:c>
      <x:c r="AA1501" s="19"/>
      <x:c r="AB1501" s="18"/>
      <x:c r="AC1501" s="19"/>
    </x:row>
    <x:row r="1502" ht="28" customHeight="1">
      <x:c r="A1502" s="18" t="str">
        <x:v>津幡</x:v>
      </x:c>
      <x:c r="B1502" s="18" t="str">
        <x:v>IRいしかわ鉄道</x:v>
      </x:c>
      <x:c r="C1502" s="18" t="str">
        <x:v>private_rail</x:v>
      </x:c>
      <x:c r="D1502" s="19" t="str">
        <x:v>T2</x:v>
      </x:c>
      <x:c r="E1502" s="20" t="n">
        <x:v>10846</x:v>
      </x:c>
      <x:c r="F1502" s="18" t="str">
        <x:v>persons/day</x:v>
      </x:c>
      <x:c r="G1502" s="18" t="str">
        <x:v>FY2024</x:v>
      </x:c>
      <x:c r="H1502" s="18" t="str">
        <x:v>否</x:v>
      </x:c>
      <x:c r="I1502" s="19" t="str">
        <x:v>DAILY_ENTRIES_EXITS</x:v>
      </x:c>
      <x:c r="J1502" s="19" t="str">
        <x:v>IRいしかわ鉄道線</x:v>
      </x:c>
      <x:c r="K1502" s="18" t="str">
        <x:v>transport-node:2cc5b2df-840d-5a80-9462-e5239738ece3</x:v>
      </x:c>
      <x:c r="L1502" s="19" t="str">
        <x:v>组件待审核</x:v>
      </x:c>
      <x:c r="M1502" s="21" t="n">
        <x:v>36.65788</x:v>
      </x:c>
      <x:c r="N1502" s="21" t="n">
        <x:v>136.730735</x:v>
      </x:c>
      <x:c r="O1502" s="18" t="str">
        <x:v>002011</x:v>
      </x:c>
      <x:c r="P1502" s="18" t="str">
        <x:v>IRいしかわ鉄道線</x:v>
      </x:c>
      <x:c r="Q1502" s="19" t="str">
        <x:v>S12_061_GE_10000</x:v>
      </x:c>
      <x:c r="R1502" s="19" t="str">
        <x:v>S12_061 usage threshold</x:v>
      </x:c>
      <x:c r="S1502" s="19" t="str">
        <x:v>https://nlftp.mlit.go.jp/ksj/gml/datalist/KsjTmplt-S12-2024.html</x:v>
      </x:c>
      <x:c r="T1502" s="19" t="str">
        <x:v>https://nlftp.mlit.go.jp/ksj/gml/datalist/KsjTmplt-S12-2024.html</x:v>
      </x:c>
      <x:c r="U1502" s="19" t="str">
        <x:v>station-component|津幡|IRいしかわ鉄道|private_rail|36.6579|136.7307|</x:v>
      </x:c>
      <x:c r="V1502" s="19" t="str">
        <x:v>002010 / 002011 / IRいしかわ鉄道線</x:v>
      </x:c>
      <x:c r="W1502" s="18" t="str">
        <x:v>否</x:v>
      </x:c>
      <x:c r="X1502" s="18" t="str">
        <x:v>0785e932a32b3ec15e1a1345537ae145eafe1c07bf38d5c16c11ee2b391e7a28</x:v>
      </x:c>
      <x:c r="Y1502" s="20" t="n">
        <x:v>1</x:v>
      </x:c>
      <x:c r="Z1502" s="20" t="n">
        <x:v>1</x:v>
      </x:c>
      <x:c r="AA1502" s="19"/>
      <x:c r="AB1502" s="18"/>
      <x:c r="AC1502" s="19"/>
    </x:row>
    <x:row r="1503" ht="28" customHeight="1">
      <x:c r="A1503" s="18" t="str">
        <x:v>津新町</x:v>
      </x:c>
      <x:c r="B1503" s="18" t="str">
        <x:v>近畿日本鉄道</x:v>
      </x:c>
      <x:c r="C1503" s="18" t="str">
        <x:v>private_rail</x:v>
      </x:c>
      <x:c r="D1503" s="19" t="str">
        <x:v>T2</x:v>
      </x:c>
      <x:c r="E1503" s="20" t="n">
        <x:v>10737</x:v>
      </x:c>
      <x:c r="F1503" s="18" t="str">
        <x:v>persons/day</x:v>
      </x:c>
      <x:c r="G1503" s="18" t="str">
        <x:v>FY2024</x:v>
      </x:c>
      <x:c r="H1503" s="18" t="str">
        <x:v>否</x:v>
      </x:c>
      <x:c r="I1503" s="19" t="str">
        <x:v>DAILY_ENTRIES_EXITS</x:v>
      </x:c>
      <x:c r="J1503" s="19" t="str">
        <x:v>名古屋線</x:v>
      </x:c>
      <x:c r="K1503" s="18" t="str">
        <x:v>transport-node:a7a4f5cf-44ba-5769-b0dc-ab1071a3689f</x:v>
      </x:c>
      <x:c r="L1503" s="19" t="str">
        <x:v>组件待审核</x:v>
      </x:c>
      <x:c r="M1503" s="21" t="n">
        <x:v>34.715545</x:v>
      </x:c>
      <x:c r="N1503" s="21" t="n">
        <x:v>136.4998975</x:v>
      </x:c>
      <x:c r="O1503" s="18" t="str">
        <x:v>006998</x:v>
      </x:c>
      <x:c r="P1503" s="18" t="str">
        <x:v>名古屋線</x:v>
      </x:c>
      <x:c r="Q1503" s="19" t="str">
        <x:v>S12_061_GE_10000</x:v>
      </x:c>
      <x:c r="R1503" s="19" t="str">
        <x:v>S12_061 usage threshold</x:v>
      </x:c>
      <x:c r="S1503" s="19" t="str">
        <x:v>https://nlftp.mlit.go.jp/ksj/gml/datalist/KsjTmplt-S12-2024.html</x:v>
      </x:c>
      <x:c r="T1503" s="19" t="str">
        <x:v>https://nlftp.mlit.go.jp/ksj/gml/datalist/KsjTmplt-S12-2024.html</x:v>
      </x:c>
      <x:c r="U1503" s="19" t="str">
        <x:v>station-component|津新町|近畿日本鉄道|private_rail|34.7155|136.4999|</x:v>
      </x:c>
      <x:c r="V1503" s="19" t="str">
        <x:v>006998 / 006998 / 名古屋線</x:v>
      </x:c>
      <x:c r="W1503" s="18" t="str">
        <x:v>否</x:v>
      </x:c>
      <x:c r="X1503" s="18" t="str">
        <x:v>0785e932a32b3ec15e1a1345537ae145eafe1c07bf38d5c16c11ee2b391e7a28</x:v>
      </x:c>
      <x:c r="Y1503" s="20" t="n">
        <x:v>1</x:v>
      </x:c>
      <x:c r="Z1503" s="20" t="n">
        <x:v>1</x:v>
      </x:c>
      <x:c r="AA1503" s="19"/>
      <x:c r="AB1503" s="18"/>
      <x:c r="AC1503" s="19"/>
    </x:row>
    <x:row r="1504" ht="28" customHeight="1">
      <x:c r="A1504" s="18" t="str">
        <x:v>津田</x:v>
      </x:c>
      <x:c r="B1504" s="18" t="str">
        <x:v>西日本旅客鉄道</x:v>
      </x:c>
      <x:c r="C1504" s="18" t="str">
        <x:v>conventional_rail</x:v>
      </x:c>
      <x:c r="D1504" s="19" t="str">
        <x:v>T2</x:v>
      </x:c>
      <x:c r="E1504" s="20" t="n">
        <x:v>11100</x:v>
      </x:c>
      <x:c r="F1504" s="18" t="str">
        <x:v>persons/day</x:v>
      </x:c>
      <x:c r="G1504" s="18" t="str">
        <x:v>FY2024</x:v>
      </x:c>
      <x:c r="H1504" s="18" t="str">
        <x:v>否</x:v>
      </x:c>
      <x:c r="I1504" s="19" t="str">
        <x:v>DAILY_ENTRIES_EXITS</x:v>
      </x:c>
      <x:c r="J1504" s="19" t="str">
        <x:v>片町線</x:v>
      </x:c>
      <x:c r="K1504" s="18" t="str">
        <x:v>transport-node:a12e520b-4eb5-53f8-accf-9e003693e500</x:v>
      </x:c>
      <x:c r="L1504" s="19" t="str">
        <x:v>组件待审核</x:v>
      </x:c>
      <x:c r="M1504" s="21" t="n">
        <x:v>34.80141</x:v>
      </x:c>
      <x:c r="N1504" s="21" t="n">
        <x:v>135.697975</x:v>
      </x:c>
      <x:c r="O1504" s="18" t="str">
        <x:v>006623</x:v>
      </x:c>
      <x:c r="P1504" s="18" t="str">
        <x:v>片町線</x:v>
      </x:c>
      <x:c r="Q1504" s="19" t="str">
        <x:v>S12_061_GE_10000</x:v>
      </x:c>
      <x:c r="R1504" s="19" t="str">
        <x:v>S12_061 usage threshold</x:v>
      </x:c>
      <x:c r="S1504" s="19" t="str">
        <x:v>https://nlftp.mlit.go.jp/ksj/gml/datalist/KsjTmplt-S12-2024.html</x:v>
      </x:c>
      <x:c r="T1504" s="19" t="str">
        <x:v>https://nlftp.mlit.go.jp/ksj/gml/datalist/KsjTmplt-S12-2024.html</x:v>
      </x:c>
      <x:c r="U1504" s="19" t="str">
        <x:v>station-component|津田|西日本旅客鉄道|conventional_rail|34.8014|135.6980|</x:v>
      </x:c>
      <x:c r="V1504" s="19" t="str">
        <x:v>006623 / 006623 / 片町線</x:v>
      </x:c>
      <x:c r="W1504" s="18" t="str">
        <x:v>否</x:v>
      </x:c>
      <x:c r="X1504" s="18" t="str">
        <x:v>0785e932a32b3ec15e1a1345537ae145eafe1c07bf38d5c16c11ee2b391e7a28</x:v>
      </x:c>
      <x:c r="Y1504" s="20" t="n">
        <x:v>1</x:v>
      </x:c>
      <x:c r="Z1504" s="20" t="n">
        <x:v>1</x:v>
      </x:c>
      <x:c r="AA1504" s="19"/>
      <x:c r="AB1504" s="18"/>
      <x:c r="AC1504" s="19"/>
    </x:row>
    <x:row r="1505" ht="28" customHeight="1">
      <x:c r="A1505" s="18" t="str">
        <x:v>津田沼</x:v>
      </x:c>
      <x:c r="B1505" s="18" t="str">
        <x:v>東日本旅客鉄道</x:v>
      </x:c>
      <x:c r="C1505" s="18" t="str">
        <x:v>conventional_rail</x:v>
      </x:c>
      <x:c r="D1505" s="19" t="str">
        <x:v>T1</x:v>
      </x:c>
      <x:c r="E1505" s="20" t="n">
        <x:v>178890</x:v>
      </x:c>
      <x:c r="F1505" s="18" t="str">
        <x:v>persons/day</x:v>
      </x:c>
      <x:c r="G1505" s="18" t="str">
        <x:v>FY2024</x:v>
      </x:c>
      <x:c r="H1505" s="18" t="str">
        <x:v>否</x:v>
      </x:c>
      <x:c r="I1505" s="19" t="str">
        <x:v>DAILY_ENTRIES_EXITS</x:v>
      </x:c>
      <x:c r="J1505" s="19" t="str">
        <x:v>総武線</x:v>
      </x:c>
      <x:c r="K1505" s="18" t="str">
        <x:v>transport-node:da8c1f59-3eb7-5b7d-8789-a82553c279e4</x:v>
      </x:c>
      <x:c r="L1505" s="19" t="str">
        <x:v>组件待审核</x:v>
      </x:c>
      <x:c r="M1505" s="21" t="n">
        <x:v>35.691324</x:v>
      </x:c>
      <x:c r="N1505" s="21" t="n">
        <x:v>140.020276</x:v>
      </x:c>
      <x:c r="O1505" s="18" t="str">
        <x:v>003681</x:v>
      </x:c>
      <x:c r="P1505" s="18" t="str">
        <x:v>総武線</x:v>
      </x:c>
      <x:c r="Q1505" s="19" t="str">
        <x:v>S12_061_GE_10000</x:v>
      </x:c>
      <x:c r="R1505" s="19" t="str">
        <x:v>S12_061 usage threshold</x:v>
      </x:c>
      <x:c r="S1505" s="19" t="str">
        <x:v>https://nlftp.mlit.go.jp/ksj/gml/datalist/KsjTmplt-S12-2024.html</x:v>
      </x:c>
      <x:c r="T1505" s="19" t="str">
        <x:v>https://nlftp.mlit.go.jp/ksj/gml/datalist/KsjTmplt-S12-2024.html</x:v>
      </x:c>
      <x:c r="U1505" s="19" t="str">
        <x:v>station-component|津田沼|東日本旅客鉄道|conventional_rail|35.6913|140.0203|</x:v>
      </x:c>
      <x:c r="V1505" s="19" t="str">
        <x:v>003681 / 003681 / 総武線</x:v>
      </x:c>
      <x:c r="W1505" s="18" t="str">
        <x:v>否</x:v>
      </x:c>
      <x:c r="X1505" s="18" t="str">
        <x:v>0785e932a32b3ec15e1a1345537ae145eafe1c07bf38d5c16c11ee2b391e7a28</x:v>
      </x:c>
      <x:c r="Y1505" s="20" t="n">
        <x:v>1</x:v>
      </x:c>
      <x:c r="Z1505" s="20" t="n">
        <x:v>1</x:v>
      </x:c>
      <x:c r="AA1505" s="19"/>
      <x:c r="AB1505" s="18"/>
      <x:c r="AC1505" s="19"/>
    </x:row>
    <x:row r="1506" ht="33" customHeight="1">
      <x:c r="A1506" s="18" t="str">
        <x:v>流山おおたかの森</x:v>
      </x:c>
      <x:c r="B1506" s="18" t="str">
        <x:v>東武鉄道</x:v>
      </x:c>
      <x:c r="C1506" s="18" t="str">
        <x:v>private_rail</x:v>
      </x:c>
      <x:c r="D1506" s="19" t="str">
        <x:v>T1</x:v>
      </x:c>
      <x:c r="E1506" s="20" t="n">
        <x:v>65625</x:v>
      </x:c>
      <x:c r="F1506" s="18" t="str">
        <x:v>persons/day</x:v>
      </x:c>
      <x:c r="G1506" s="18" t="str">
        <x:v>FY2024</x:v>
      </x:c>
      <x:c r="H1506" s="18" t="str">
        <x:v>否</x:v>
      </x:c>
      <x:c r="I1506" s="19" t="str">
        <x:v>DAILY_ENTRIES_EXITS</x:v>
      </x:c>
      <x:c r="J1506" s="19" t="str">
        <x:v>野田線</x:v>
      </x:c>
      <x:c r="K1506" s="18" t="str">
        <x:v>transport-node:b578e794-973a-53b7-aad5-251a40a884c2</x:v>
      </x:c>
      <x:c r="L1506" s="19" t="str">
        <x:v>组件待审核</x:v>
      </x:c>
      <x:c r="M1506" s="21" t="n">
        <x:v>35.872085</x:v>
      </x:c>
      <x:c r="N1506" s="21" t="n">
        <x:v>139.92576</x:v>
      </x:c>
      <x:c r="O1506" s="18" t="str">
        <x:v>002969</x:v>
      </x:c>
      <x:c r="P1506" s="18" t="str">
        <x:v>野田線</x:v>
      </x:c>
      <x:c r="Q1506" s="19" t="str">
        <x:v>S12_061_GE_10000
OFFICIAL_HUB_COMPONENT_REVIEW</x:v>
      </x:c>
      <x:c r="R1506" s="19" t="str">
        <x:v>S12_061 usage threshold</x:v>
      </x:c>
      <x:c r="S1506" s="19" t="str">
        <x:v>https://nlftp.mlit.go.jp/ksj/gml/datalist/KsjTmplt-S12-2024.html</x:v>
      </x:c>
      <x:c r="T1506" s="19" t="str">
        <x:v>https://nlftp.mlit.go.jp/ksj/gml/datalist/KsjTmplt-S12-2024.html
https://www.tobu.co.jp/railway/guide/station/info/6320/</x:v>
      </x:c>
      <x:c r="U1506" s="19" t="str">
        <x:v>station-component|流山おおたかの森|東武鉄道|private_rail|35.8721|139.9258|</x:v>
      </x:c>
      <x:c r="V1506" s="19" t="str">
        <x:v>002969 / 002969 / 野田線</x:v>
      </x:c>
      <x:c r="W1506" s="18" t="str">
        <x:v>否</x:v>
      </x:c>
      <x:c r="X1506" s="18" t="str">
        <x:v>0785e932a32b3ec15e1a1345537ae145eafe1c07bf38d5c16c11ee2b391e7a28</x:v>
      </x:c>
      <x:c r="Y1506" s="20" t="n">
        <x:v>1</x:v>
      </x:c>
      <x:c r="Z1506" s="20" t="n">
        <x:v>1</x:v>
      </x:c>
      <x:c r="AA1506" s="19" t="str">
        <x:v>流山おおたかの森</x:v>
      </x:c>
      <x:c r="AB1506" s="18" t="str">
        <x:v>transport-hub-review:4928233a-8737-5cd8-b9e3-71c240212994</x:v>
      </x:c>
      <x:c r="AC1506" s="19"/>
    </x:row>
    <x:row r="1507" ht="33" customHeight="1">
      <x:c r="A1507" s="18" t="str">
        <x:v>流山おおたかの森</x:v>
      </x:c>
      <x:c r="B1507" s="18" t="str">
        <x:v>首都圏新都市鉄道</x:v>
      </x:c>
      <x:c r="C1507" s="18" t="str">
        <x:v>private_rail</x:v>
      </x:c>
      <x:c r="D1507" s="19" t="str">
        <x:v>T1</x:v>
      </x:c>
      <x:c r="E1507" s="20" t="n">
        <x:v>85328</x:v>
      </x:c>
      <x:c r="F1507" s="18" t="str">
        <x:v>persons/day</x:v>
      </x:c>
      <x:c r="G1507" s="18" t="str">
        <x:v>FY2024</x:v>
      </x:c>
      <x:c r="H1507" s="18" t="str">
        <x:v>否</x:v>
      </x:c>
      <x:c r="I1507" s="19" t="str">
        <x:v>DAILY_ENTRIES_EXITS</x:v>
      </x:c>
      <x:c r="J1507" s="19" t="str">
        <x:v>常磐新線</x:v>
      </x:c>
      <x:c r="K1507" s="18" t="str">
        <x:v>transport-node:829814d8-7c42-5b15-b802-1e613af124b3</x:v>
      </x:c>
      <x:c r="L1507" s="19" t="str">
        <x:v>组件待审核</x:v>
      </x:c>
      <x:c r="M1507" s="21" t="n">
        <x:v>35.871755</x:v>
      </x:c>
      <x:c r="N1507" s="21" t="n">
        <x:v>139.924955</x:v>
      </x:c>
      <x:c r="O1507" s="18" t="str">
        <x:v>002970</x:v>
      </x:c>
      <x:c r="P1507" s="18" t="str">
        <x:v>常磐新線</x:v>
      </x:c>
      <x:c r="Q1507" s="19" t="str">
        <x:v>S12_061_GE_10000
OFFICIAL_HUB_COMPONENT_REVIEW</x:v>
      </x:c>
      <x:c r="R1507" s="19" t="str">
        <x:v>S12_061 usage threshold</x:v>
      </x:c>
      <x:c r="S1507" s="19" t="str">
        <x:v>https://nlftp.mlit.go.jp/ksj/gml/datalist/KsjTmplt-S12-2024.html</x:v>
      </x:c>
      <x:c r="T1507" s="19" t="str">
        <x:v>https://nlftp.mlit.go.jp/ksj/gml/datalist/KsjTmplt-S12-2024.html
https://www.tobu.co.jp/railway/guide/station/info/6320/</x:v>
      </x:c>
      <x:c r="U1507" s="19" t="str">
        <x:v>station-component|流山おおたかの森|首都圏新都市鉄道|private_rail|35.8718|139.9250|</x:v>
      </x:c>
      <x:c r="V1507" s="19" t="str">
        <x:v>002969 / 002970 / 常磐新線</x:v>
      </x:c>
      <x:c r="W1507" s="18" t="str">
        <x:v>否</x:v>
      </x:c>
      <x:c r="X1507" s="18" t="str">
        <x:v>0785e932a32b3ec15e1a1345537ae145eafe1c07bf38d5c16c11ee2b391e7a28</x:v>
      </x:c>
      <x:c r="Y1507" s="20" t="n">
        <x:v>1</x:v>
      </x:c>
      <x:c r="Z1507" s="20" t="n">
        <x:v>1</x:v>
      </x:c>
      <x:c r="AA1507" s="19" t="str">
        <x:v>流山おおたかの森</x:v>
      </x:c>
      <x:c r="AB1507" s="18" t="str">
        <x:v>transport-hub-review:4928233a-8737-5cd8-b9e3-71c240212994</x:v>
      </x:c>
      <x:c r="AC1507" s="19"/>
    </x:row>
    <x:row r="1508" ht="28" customHeight="1">
      <x:c r="A1508" s="18" t="str">
        <x:v>流山セントラルパーク</x:v>
      </x:c>
      <x:c r="B1508" s="18" t="str">
        <x:v>首都圏新都市鉄道</x:v>
      </x:c>
      <x:c r="C1508" s="18" t="str">
        <x:v>private_rail</x:v>
      </x:c>
      <x:c r="D1508" s="19" t="str">
        <x:v>T2</x:v>
      </x:c>
      <x:c r="E1508" s="20" t="n">
        <x:v>11233</x:v>
      </x:c>
      <x:c r="F1508" s="18" t="str">
        <x:v>persons/day</x:v>
      </x:c>
      <x:c r="G1508" s="18" t="str">
        <x:v>FY2024</x:v>
      </x:c>
      <x:c r="H1508" s="18" t="str">
        <x:v>否</x:v>
      </x:c>
      <x:c r="I1508" s="19" t="str">
        <x:v>DAILY_ENTRIES_EXITS</x:v>
      </x:c>
      <x:c r="J1508" s="19" t="str">
        <x:v>常磐新線</x:v>
      </x:c>
      <x:c r="K1508" s="18" t="str">
        <x:v>transport-node:9a8be7fd-794e-57e7-b5d8-7a5163182782</x:v>
      </x:c>
      <x:c r="L1508" s="19" t="str">
        <x:v>组件待审核</x:v>
      </x:c>
      <x:c r="M1508" s="21" t="n">
        <x:v>35.85459</x:v>
      </x:c>
      <x:c r="N1508" s="21" t="n">
        <x:v>139.91518</x:v>
      </x:c>
      <x:c r="O1508" s="18" t="str">
        <x:v>002993</x:v>
      </x:c>
      <x:c r="P1508" s="18" t="str">
        <x:v>常磐新線</x:v>
      </x:c>
      <x:c r="Q1508" s="19" t="str">
        <x:v>S12_061_GE_10000</x:v>
      </x:c>
      <x:c r="R1508" s="19" t="str">
        <x:v>S12_061 usage threshold</x:v>
      </x:c>
      <x:c r="S1508" s="19" t="str">
        <x:v>https://nlftp.mlit.go.jp/ksj/gml/datalist/KsjTmplt-S12-2024.html</x:v>
      </x:c>
      <x:c r="T1508" s="19" t="str">
        <x:v>https://nlftp.mlit.go.jp/ksj/gml/datalist/KsjTmplt-S12-2024.html</x:v>
      </x:c>
      <x:c r="U1508" s="19" t="str">
        <x:v>station-component|流山セントラルパーク|首都圏新都市鉄道|private_rail|35.8546|139.9152|</x:v>
      </x:c>
      <x:c r="V1508" s="19" t="str">
        <x:v>002993 / 002993 / 常磐新線</x:v>
      </x:c>
      <x:c r="W1508" s="18" t="str">
        <x:v>否</x:v>
      </x:c>
      <x:c r="X1508" s="18" t="str">
        <x:v>0785e932a32b3ec15e1a1345537ae145eafe1c07bf38d5c16c11ee2b391e7a28</x:v>
      </x:c>
      <x:c r="Y1508" s="20" t="n">
        <x:v>1</x:v>
      </x:c>
      <x:c r="Z1508" s="20" t="n">
        <x:v>1</x:v>
      </x:c>
      <x:c r="AA1508" s="19"/>
      <x:c r="AB1508" s="18"/>
      <x:c r="AC1508" s="19"/>
    </x:row>
    <x:row r="1509" ht="28" customHeight="1">
      <x:c r="A1509" s="18" t="str">
        <x:v>流通センター</x:v>
      </x:c>
      <x:c r="B1509" s="18" t="str">
        <x:v>東京モノレール</x:v>
      </x:c>
      <x:c r="C1509" s="18" t="str">
        <x:v>fixed_guideway</x:v>
      </x:c>
      <x:c r="D1509" s="19" t="str">
        <x:v>T2</x:v>
      </x:c>
      <x:c r="E1509" s="20" t="n">
        <x:v>15693</x:v>
      </x:c>
      <x:c r="F1509" s="18" t="str">
        <x:v>persons/day</x:v>
      </x:c>
      <x:c r="G1509" s="18" t="str">
        <x:v>FY2024</x:v>
      </x:c>
      <x:c r="H1509" s="18" t="str">
        <x:v>否</x:v>
      </x:c>
      <x:c r="I1509" s="19" t="str">
        <x:v>DAILY_ENTRIES_EXITS</x:v>
      </x:c>
      <x:c r="J1509" s="19" t="str">
        <x:v>東京モノレール羽田空港線</x:v>
      </x:c>
      <x:c r="K1509" s="18" t="str">
        <x:v>transport-node:3216cd26-e200-5519-b766-03ffb6dc3283</x:v>
      </x:c>
      <x:c r="L1509" s="19" t="str">
        <x:v>组件待审核</x:v>
      </x:c>
      <x:c r="M1509" s="21" t="n">
        <x:v>35.581445</x:v>
      </x:c>
      <x:c r="N1509" s="21" t="n">
        <x:v>139.749185</x:v>
      </x:c>
      <x:c r="O1509" s="18" t="str">
        <x:v>004285</x:v>
      </x:c>
      <x:c r="P1509" s="18" t="str">
        <x:v>東京モノレール羽田空港線</x:v>
      </x:c>
      <x:c r="Q1509" s="19" t="str">
        <x:v>S12_061_GE_10000</x:v>
      </x:c>
      <x:c r="R1509" s="19" t="str">
        <x:v>S12_061 usage threshold</x:v>
      </x:c>
      <x:c r="S1509" s="19" t="str">
        <x:v>https://nlftp.mlit.go.jp/ksj/gml/datalist/KsjTmplt-S12-2024.html</x:v>
      </x:c>
      <x:c r="T1509" s="19" t="str">
        <x:v>https://nlftp.mlit.go.jp/ksj/gml/datalist/KsjTmplt-S12-2024.html</x:v>
      </x:c>
      <x:c r="U1509" s="19" t="str">
        <x:v>station-component|流通センター|東京モノレール|fixed_guideway|35.5814|139.7492|</x:v>
      </x:c>
      <x:c r="V1509" s="19" t="str">
        <x:v>004285 / 004285 / 東京モノレール羽田空港線</x:v>
      </x:c>
      <x:c r="W1509" s="18" t="str">
        <x:v>否</x:v>
      </x:c>
      <x:c r="X1509" s="18" t="str">
        <x:v>0785e932a32b3ec15e1a1345537ae145eafe1c07bf38d5c16c11ee2b391e7a28</x:v>
      </x:c>
      <x:c r="Y1509" s="20" t="n">
        <x:v>1</x:v>
      </x:c>
      <x:c r="Z1509" s="20" t="n">
        <x:v>1</x:v>
      </x:c>
      <x:c r="AA1509" s="19"/>
      <x:c r="AB1509" s="18"/>
      <x:c r="AC1509" s="19"/>
    </x:row>
    <x:row r="1510" ht="28" customHeight="1">
      <x:c r="A1510" s="18" t="str">
        <x:v>浄心</x:v>
      </x:c>
      <x:c r="B1510" s="18" t="str">
        <x:v>名古屋市</x:v>
      </x:c>
      <x:c r="C1510" s="18" t="str">
        <x:v>metro</x:v>
      </x:c>
      <x:c r="D1510" s="19" t="str">
        <x:v>T2</x:v>
      </x:c>
      <x:c r="E1510" s="20" t="n">
        <x:v>14335</x:v>
      </x:c>
      <x:c r="F1510" s="18" t="str">
        <x:v>persons/day</x:v>
      </x:c>
      <x:c r="G1510" s="18" t="str">
        <x:v>FY2024</x:v>
      </x:c>
      <x:c r="H1510" s="18" t="str">
        <x:v>否</x:v>
      </x:c>
      <x:c r="I1510" s="19" t="str">
        <x:v>DAILY_ENTRIES_EXITS</x:v>
      </x:c>
      <x:c r="J1510" s="19" t="str">
        <x:v>3号線鶴舞線</x:v>
      </x:c>
      <x:c r="K1510" s="18" t="str">
        <x:v>transport-node:23e66739-b512-56f2-942a-e161c4e44236</x:v>
      </x:c>
      <x:c r="L1510" s="19" t="str">
        <x:v>组件待审核</x:v>
      </x:c>
      <x:c r="M1510" s="21" t="n">
        <x:v>35.192095</x:v>
      </x:c>
      <x:c r="N1510" s="21" t="n">
        <x:v>136.89079</x:v>
      </x:c>
      <x:c r="O1510" s="18" t="str">
        <x:v>005385</x:v>
      </x:c>
      <x:c r="P1510" s="18" t="str">
        <x:v>3号線鶴舞線</x:v>
      </x:c>
      <x:c r="Q1510" s="19" t="str">
        <x:v>S12_061_GE_10000</x:v>
      </x:c>
      <x:c r="R1510" s="19" t="str">
        <x:v>S12_061 usage threshold</x:v>
      </x:c>
      <x:c r="S1510" s="19" t="str">
        <x:v>https://nlftp.mlit.go.jp/ksj/gml/datalist/KsjTmplt-S12-2024.html</x:v>
      </x:c>
      <x:c r="T1510" s="19" t="str">
        <x:v>https://nlftp.mlit.go.jp/ksj/gml/datalist/KsjTmplt-S12-2024.html</x:v>
      </x:c>
      <x:c r="U1510" s="19" t="str">
        <x:v>station-component|浄心|名古屋市|metro|35.1921|136.8908|</x:v>
      </x:c>
      <x:c r="V1510" s="19" t="str">
        <x:v>005385 / 005385 / 3号線鶴舞線</x:v>
      </x:c>
      <x:c r="W1510" s="18" t="str">
        <x:v>否</x:v>
      </x:c>
      <x:c r="X1510" s="18" t="str">
        <x:v>0785e932a32b3ec15e1a1345537ae145eafe1c07bf38d5c16c11ee2b391e7a28</x:v>
      </x:c>
      <x:c r="Y1510" s="20" t="n">
        <x:v>1</x:v>
      </x:c>
      <x:c r="Z1510" s="20" t="n">
        <x:v>1</x:v>
      </x:c>
      <x:c r="AA1510" s="19"/>
      <x:c r="AB1510" s="18"/>
      <x:c r="AC1510" s="19"/>
    </x:row>
    <x:row r="1511" ht="28" customHeight="1">
      <x:c r="A1511" s="18" t="str">
        <x:v>浄水</x:v>
      </x:c>
      <x:c r="B1511" s="18" t="str">
        <x:v>名古屋鉄道</x:v>
      </x:c>
      <x:c r="C1511" s="18" t="str">
        <x:v>private_rail</x:v>
      </x:c>
      <x:c r="D1511" s="19" t="str">
        <x:v>T2</x:v>
      </x:c>
      <x:c r="E1511" s="20" t="n">
        <x:v>11014</x:v>
      </x:c>
      <x:c r="F1511" s="18" t="str">
        <x:v>persons/day</x:v>
      </x:c>
      <x:c r="G1511" s="18" t="str">
        <x:v>FY2024</x:v>
      </x:c>
      <x:c r="H1511" s="18" t="str">
        <x:v>否</x:v>
      </x:c>
      <x:c r="I1511" s="19" t="str">
        <x:v>DAILY_ENTRIES_EXITS</x:v>
      </x:c>
      <x:c r="J1511" s="19" t="str">
        <x:v>豊田線</x:v>
      </x:c>
      <x:c r="K1511" s="18" t="str">
        <x:v>transport-node:41acf63a-a392-598a-b9c7-038989f6f571</x:v>
      </x:c>
      <x:c r="L1511" s="19" t="str">
        <x:v>组件待审核</x:v>
      </x:c>
      <x:c r="M1511" s="21" t="n">
        <x:v>35.121285</x:v>
      </x:c>
      <x:c r="N1511" s="21" t="n">
        <x:v>137.137315</x:v>
      </x:c>
      <x:c r="O1511" s="18" t="str">
        <x:v>005623</x:v>
      </x:c>
      <x:c r="P1511" s="18" t="str">
        <x:v>豊田線</x:v>
      </x:c>
      <x:c r="Q1511" s="19" t="str">
        <x:v>S12_061_GE_10000</x:v>
      </x:c>
      <x:c r="R1511" s="19" t="str">
        <x:v>S12_061 usage threshold</x:v>
      </x:c>
      <x:c r="S1511" s="19" t="str">
        <x:v>https://nlftp.mlit.go.jp/ksj/gml/datalist/KsjTmplt-S12-2024.html</x:v>
      </x:c>
      <x:c r="T1511" s="19" t="str">
        <x:v>https://nlftp.mlit.go.jp/ksj/gml/datalist/KsjTmplt-S12-2024.html</x:v>
      </x:c>
      <x:c r="U1511" s="19" t="str">
        <x:v>station-component|浄水|名古屋鉄道|private_rail|35.1213|137.1373|</x:v>
      </x:c>
      <x:c r="V1511" s="19" t="str">
        <x:v>005623 / 005623 / 豊田線</x:v>
      </x:c>
      <x:c r="W1511" s="18" t="str">
        <x:v>否</x:v>
      </x:c>
      <x:c r="X1511" s="18" t="str">
        <x:v>0785e932a32b3ec15e1a1345537ae145eafe1c07bf38d5c16c11ee2b391e7a28</x:v>
      </x:c>
      <x:c r="Y1511" s="20" t="n">
        <x:v>1</x:v>
      </x:c>
      <x:c r="Z1511" s="20" t="n">
        <x:v>1</x:v>
      </x:c>
      <x:c r="AA1511" s="19"/>
      <x:c r="AB1511" s="18"/>
      <x:c r="AC1511" s="19"/>
    </x:row>
    <x:row r="1512" ht="33" customHeight="1">
      <x:c r="A1512" s="18" t="str">
        <x:v>浅草</x:v>
      </x:c>
      <x:c r="B1512" s="18" t="str">
        <x:v>東京地下鉄</x:v>
      </x:c>
      <x:c r="C1512" s="18" t="str">
        <x:v>metro</x:v>
      </x:c>
      <x:c r="D1512" s="19" t="str">
        <x:v>T1</x:v>
      </x:c>
      <x:c r="E1512" s="20" t="n">
        <x:v>108544</x:v>
      </x:c>
      <x:c r="F1512" s="18" t="str">
        <x:v>persons/day</x:v>
      </x:c>
      <x:c r="G1512" s="18" t="str">
        <x:v>FY2024</x:v>
      </x:c>
      <x:c r="H1512" s="18" t="str">
        <x:v>否</x:v>
      </x:c>
      <x:c r="I1512" s="19" t="str">
        <x:v>DAILY_ENTRIES_EXITS</x:v>
      </x:c>
      <x:c r="J1512" s="19" t="str">
        <x:v>3号線銀座線</x:v>
      </x:c>
      <x:c r="K1512" s="18" t="str">
        <x:v>transport-node:609683d9-9ea5-54ea-9854-1564d292c74e</x:v>
      </x:c>
      <x:c r="L1512" s="19" t="str">
        <x:v>组件待审核</x:v>
      </x:c>
      <x:c r="M1512" s="21" t="n">
        <x:v>35.7107367</x:v>
      </x:c>
      <x:c r="N1512" s="21" t="n">
        <x:v>139.7977667</x:v>
      </x:c>
      <x:c r="O1512" s="18" t="str">
        <x:v>003522</x:v>
      </x:c>
      <x:c r="P1512" s="18" t="str">
        <x:v>3号線銀座線</x:v>
      </x:c>
      <x:c r="Q1512" s="19" t="str">
        <x:v>S12_061_GE_10000
OFFICIAL_HUB_COMPONENT_REVIEW</x:v>
      </x:c>
      <x:c r="R1512" s="19" t="str">
        <x:v>S12_061 usage threshold</x:v>
      </x:c>
      <x:c r="S1512" s="19" t="str">
        <x:v>https://nlftp.mlit.go.jp/ksj/gml/datalist/KsjTmplt-S12-2024.html</x:v>
      </x:c>
      <x:c r="T1512" s="19" t="str">
        <x:v>https://nlftp.mlit.go.jp/ksj/gml/datalist/KsjTmplt-S12-2024.html
https://www.tokyometro.jp/station/asakusa/index.html</x:v>
      </x:c>
      <x:c r="U1512" s="19" t="str">
        <x:v>station-component|浅草|東京地下鉄|metro|35.7107|139.7978|</x:v>
      </x:c>
      <x:c r="V1512" s="19" t="str">
        <x:v>003522 / 003522 / 3号線銀座線</x:v>
      </x:c>
      <x:c r="W1512" s="18" t="str">
        <x:v>否</x:v>
      </x:c>
      <x:c r="X1512" s="18" t="str">
        <x:v>0785e932a32b3ec15e1a1345537ae145eafe1c07bf38d5c16c11ee2b391e7a28</x:v>
      </x:c>
      <x:c r="Y1512" s="20" t="n">
        <x:v>1</x:v>
      </x:c>
      <x:c r="Z1512" s="20" t="n">
        <x:v>1</x:v>
      </x:c>
      <x:c r="AA1512" s="19" t="str">
        <x:v>浅草</x:v>
      </x:c>
      <x:c r="AB1512" s="18" t="str">
        <x:v>transport-hub-review:5194c219-8191-5473-89ae-750b5a501277</x:v>
      </x:c>
      <x:c r="AC1512" s="19"/>
    </x:row>
    <x:row r="1513" ht="33" customHeight="1">
      <x:c r="A1513" s="18" t="str">
        <x:v>浅草</x:v>
      </x:c>
      <x:c r="B1513" s="18" t="str">
        <x:v>東京都</x:v>
      </x:c>
      <x:c r="C1513" s="18" t="str">
        <x:v>metro</x:v>
      </x:c>
      <x:c r="D1513" s="19" t="str">
        <x:v>T1</x:v>
      </x:c>
      <x:c r="E1513" s="20" t="n">
        <x:v>50125</x:v>
      </x:c>
      <x:c r="F1513" s="18" t="str">
        <x:v>persons/day</x:v>
      </x:c>
      <x:c r="G1513" s="18" t="str">
        <x:v>FY2024</x:v>
      </x:c>
      <x:c r="H1513" s="18" t="str">
        <x:v>否</x:v>
      </x:c>
      <x:c r="I1513" s="19" t="str">
        <x:v>DAILY_ENTRIES_EXITS</x:v>
      </x:c>
      <x:c r="J1513" s="19" t="str">
        <x:v>1号線浅草線</x:v>
      </x:c>
      <x:c r="K1513" s="18" t="str">
        <x:v>transport-node:3fb3071e-dd49-54e8-a598-032763393334</x:v>
      </x:c>
      <x:c r="L1513" s="19" t="str">
        <x:v>组件待审核</x:v>
      </x:c>
      <x:c r="M1513" s="21" t="n">
        <x:v>35.70899</x:v>
      </x:c>
      <x:c r="N1513" s="21" t="n">
        <x:v>139.796595</x:v>
      </x:c>
      <x:c r="O1513" s="18" t="str">
        <x:v>003537</x:v>
      </x:c>
      <x:c r="P1513" s="18" t="str">
        <x:v>1号線浅草線</x:v>
      </x:c>
      <x:c r="Q1513" s="19" t="str">
        <x:v>S12_061_GE_10000
OFFICIAL_HUB_COMPONENT_REVIEW</x:v>
      </x:c>
      <x:c r="R1513" s="19" t="str">
        <x:v>S12_061 usage threshold</x:v>
      </x:c>
      <x:c r="S1513" s="19" t="str">
        <x:v>https://nlftp.mlit.go.jp/ksj/gml/datalist/KsjTmplt-S12-2024.html</x:v>
      </x:c>
      <x:c r="T1513" s="19" t="str">
        <x:v>https://nlftp.mlit.go.jp/ksj/gml/datalist/KsjTmplt-S12-2024.html
https://www.tokyometro.jp/station/asakusa/index.html</x:v>
      </x:c>
      <x:c r="U1513" s="19" t="str">
        <x:v>station-component|浅草|東京都|metro|35.7090|139.7966|</x:v>
      </x:c>
      <x:c r="V1513" s="19" t="str">
        <x:v>003522 / 003537 / 1号線浅草線</x:v>
      </x:c>
      <x:c r="W1513" s="18" t="str">
        <x:v>否</x:v>
      </x:c>
      <x:c r="X1513" s="18" t="str">
        <x:v>0785e932a32b3ec15e1a1345537ae145eafe1c07bf38d5c16c11ee2b391e7a28</x:v>
      </x:c>
      <x:c r="Y1513" s="20" t="n">
        <x:v>1</x:v>
      </x:c>
      <x:c r="Z1513" s="20" t="n">
        <x:v>1</x:v>
      </x:c>
      <x:c r="AA1513" s="19" t="str">
        <x:v>浅草</x:v>
      </x:c>
      <x:c r="AB1513" s="18" t="str">
        <x:v>transport-hub-review:5194c219-8191-5473-89ae-750b5a501277</x:v>
      </x:c>
      <x:c r="AC1513" s="19"/>
    </x:row>
    <x:row r="1514" ht="33" customHeight="1">
      <x:c r="A1514" s="18" t="str">
        <x:v>浅草</x:v>
      </x:c>
      <x:c r="B1514" s="18" t="str">
        <x:v>東武鉄道</x:v>
      </x:c>
      <x:c r="C1514" s="18" t="str">
        <x:v>private_rail</x:v>
      </x:c>
      <x:c r="D1514" s="19" t="str">
        <x:v>T2</x:v>
      </x:c>
      <x:c r="E1514" s="20" t="n">
        <x:v>39076</x:v>
      </x:c>
      <x:c r="F1514" s="18" t="str">
        <x:v>persons/day</x:v>
      </x:c>
      <x:c r="G1514" s="18" t="str">
        <x:v>FY2024</x:v>
      </x:c>
      <x:c r="H1514" s="18" t="str">
        <x:v>否</x:v>
      </x:c>
      <x:c r="I1514" s="19" t="str">
        <x:v>DAILY_ENTRIES_EXITS</x:v>
      </x:c>
      <x:c r="J1514" s="19" t="str">
        <x:v>伊勢崎線</x:v>
      </x:c>
      <x:c r="K1514" s="18" t="str">
        <x:v>transport-node:55663889-bc1e-5e73-bf57-f2e835f0c6ee</x:v>
      </x:c>
      <x:c r="L1514" s="19" t="str">
        <x:v>组件待审核</x:v>
      </x:c>
      <x:c r="M1514" s="21" t="n">
        <x:v>35.71186</x:v>
      </x:c>
      <x:c r="N1514" s="21" t="n">
        <x:v>139.79839</x:v>
      </x:c>
      <x:c r="O1514" s="18" t="str">
        <x:v>003513</x:v>
      </x:c>
      <x:c r="P1514" s="18" t="str">
        <x:v>伊勢崎線</x:v>
      </x:c>
      <x:c r="Q1514" s="19" t="str">
        <x:v>S12_061_GE_10000
OFFICIAL_HUB_COMPONENT_REVIEW</x:v>
      </x:c>
      <x:c r="R1514" s="19" t="str">
        <x:v>S12_061 usage threshold</x:v>
      </x:c>
      <x:c r="S1514" s="19" t="str">
        <x:v>https://nlftp.mlit.go.jp/ksj/gml/datalist/KsjTmplt-S12-2024.html</x:v>
      </x:c>
      <x:c r="T1514" s="19" t="str">
        <x:v>https://nlftp.mlit.go.jp/ksj/gml/datalist/KsjTmplt-S12-2024.html
https://www.tokyometro.jp/station/asakusa/index.html</x:v>
      </x:c>
      <x:c r="U1514" s="19" t="str">
        <x:v>station-component|浅草|東武鉄道|private_rail|35.7119|139.7984|</x:v>
      </x:c>
      <x:c r="V1514" s="19" t="str">
        <x:v>003522 / 003513 / 伊勢崎線</x:v>
      </x:c>
      <x:c r="W1514" s="18" t="str">
        <x:v>否</x:v>
      </x:c>
      <x:c r="X1514" s="18" t="str">
        <x:v>0785e932a32b3ec15e1a1345537ae145eafe1c07bf38d5c16c11ee2b391e7a28</x:v>
      </x:c>
      <x:c r="Y1514" s="20" t="n">
        <x:v>1</x:v>
      </x:c>
      <x:c r="Z1514" s="20" t="n">
        <x:v>1</x:v>
      </x:c>
      <x:c r="AA1514" s="19" t="str">
        <x:v>浅草</x:v>
      </x:c>
      <x:c r="AB1514" s="18" t="str">
        <x:v>transport-hub-review:5194c219-8191-5473-89ae-750b5a501277</x:v>
      </x:c>
      <x:c r="AC1514" s="19"/>
    </x:row>
    <x:row r="1515" ht="28" customHeight="1">
      <x:c r="A1515" s="18" t="str">
        <x:v>浅草</x:v>
      </x:c>
      <x:c r="B1515" s="18" t="str">
        <x:v>首都圏新都市鉄道</x:v>
      </x:c>
      <x:c r="C1515" s="18" t="str">
        <x:v>private_rail</x:v>
      </x:c>
      <x:c r="D1515" s="19" t="str">
        <x:v>T2</x:v>
      </x:c>
      <x:c r="E1515" s="20" t="n">
        <x:v>24412</x:v>
      </x:c>
      <x:c r="F1515" s="18" t="str">
        <x:v>persons/day</x:v>
      </x:c>
      <x:c r="G1515" s="18" t="str">
        <x:v>FY2024</x:v>
      </x:c>
      <x:c r="H1515" s="18" t="str">
        <x:v>否</x:v>
      </x:c>
      <x:c r="I1515" s="19" t="str">
        <x:v>DAILY_ENTRIES_EXITS</x:v>
      </x:c>
      <x:c r="J1515" s="19" t="str">
        <x:v>常磐新線</x:v>
      </x:c>
      <x:c r="K1515" s="18" t="str">
        <x:v>transport-node:7740752d-246f-5ff1-9beb-ad7609c23f0a</x:v>
      </x:c>
      <x:c r="L1515" s="19" t="str">
        <x:v>组件待审核</x:v>
      </x:c>
      <x:c r="M1515" s="21" t="n">
        <x:v>35.71393</x:v>
      </x:c>
      <x:c r="N1515" s="21" t="n">
        <x:v>139.792455</x:v>
      </x:c>
      <x:c r="O1515" s="18" t="str">
        <x:v>003502</x:v>
      </x:c>
      <x:c r="P1515" s="18" t="str">
        <x:v>常磐新線</x:v>
      </x:c>
      <x:c r="Q1515" s="19" t="str">
        <x:v>S12_061_GE_10000</x:v>
      </x:c>
      <x:c r="R1515" s="19" t="str">
        <x:v>S12_061 usage threshold</x:v>
      </x:c>
      <x:c r="S1515" s="19" t="str">
        <x:v>https://nlftp.mlit.go.jp/ksj/gml/datalist/KsjTmplt-S12-2024.html</x:v>
      </x:c>
      <x:c r="T1515" s="19" t="str">
        <x:v>https://nlftp.mlit.go.jp/ksj/gml/datalist/KsjTmplt-S12-2024.html</x:v>
      </x:c>
      <x:c r="U1515" s="19" t="str">
        <x:v>station-component|浅草|首都圏新都市鉄道|private_rail|35.7139|139.7925|</x:v>
      </x:c>
      <x:c r="V1515" s="19" t="str">
        <x:v>003502 / 003502 / 常磐新線</x:v>
      </x:c>
      <x:c r="W1515" s="18" t="str">
        <x:v>否</x:v>
      </x:c>
      <x:c r="X1515" s="18" t="str">
        <x:v>0785e932a32b3ec15e1a1345537ae145eafe1c07bf38d5c16c11ee2b391e7a28</x:v>
      </x:c>
      <x:c r="Y1515" s="20" t="n">
        <x:v>1</x:v>
      </x:c>
      <x:c r="Z1515" s="20" t="n">
        <x:v>1</x:v>
      </x:c>
      <x:c r="AA1515" s="19"/>
      <x:c r="AB1515" s="18"/>
      <x:c r="AC1515" s="19"/>
    </x:row>
    <x:row r="1516" ht="33" customHeight="1">
      <x:c r="A1516" s="18" t="str">
        <x:v>浅草橋</x:v>
      </x:c>
      <x:c r="B1516" s="18" t="str">
        <x:v>東京都</x:v>
      </x:c>
      <x:c r="C1516" s="18" t="str">
        <x:v>metro</x:v>
      </x:c>
      <x:c r="D1516" s="19" t="str">
        <x:v>T2</x:v>
      </x:c>
      <x:c r="E1516" s="20" t="n">
        <x:v>47864</x:v>
      </x:c>
      <x:c r="F1516" s="18" t="str">
        <x:v>persons/day</x:v>
      </x:c>
      <x:c r="G1516" s="18" t="str">
        <x:v>FY2024</x:v>
      </x:c>
      <x:c r="H1516" s="18" t="str">
        <x:v>否</x:v>
      </x:c>
      <x:c r="I1516" s="19" t="str">
        <x:v>DAILY_ENTRIES_EXITS</x:v>
      </x:c>
      <x:c r="J1516" s="19" t="str">
        <x:v>1号線浅草線</x:v>
      </x:c>
      <x:c r="K1516" s="18" t="str">
        <x:v>transport-node:39afff95-bfd4-5f1f-ae85-e7a515533409</x:v>
      </x:c>
      <x:c r="L1516" s="19" t="str">
        <x:v>组件待审核</x:v>
      </x:c>
      <x:c r="M1516" s="21" t="n">
        <x:v>35.697605</x:v>
      </x:c>
      <x:c r="N1516" s="21" t="n">
        <x:v>139.786455</x:v>
      </x:c>
      <x:c r="O1516" s="18" t="str">
        <x:v>003636</x:v>
      </x:c>
      <x:c r="P1516" s="18" t="str">
        <x:v>1号線浅草線</x:v>
      </x:c>
      <x:c r="Q1516" s="19" t="str">
        <x:v>S12_061_GE_10000
OFFICIAL_HUB_COMPONENT_REVIEW</x:v>
      </x:c>
      <x:c r="R1516" s="19" t="str">
        <x:v>S12_061 usage threshold</x:v>
      </x:c>
      <x:c r="S1516" s="19" t="str">
        <x:v>https://nlftp.mlit.go.jp/ksj/gml/datalist/KsjTmplt-S12-2024.html</x:v>
      </x:c>
      <x:c r="T1516" s="19" t="str">
        <x:v>https://nlftp.mlit.go.jp/ksj/gml/datalist/KsjTmplt-S12-2024.html
https://www.kotsu.metro.tokyo.jp/subway/stations/asakusabashi.html</x:v>
      </x:c>
      <x:c r="U1516" s="19" t="str">
        <x:v>station-component|浅草橋|東京都|metro|35.6976|139.7865|</x:v>
      </x:c>
      <x:c r="V1516" s="19" t="str">
        <x:v>003636 / 003636 / 1号線浅草線</x:v>
      </x:c>
      <x:c r="W1516" s="18" t="str">
        <x:v>否</x:v>
      </x:c>
      <x:c r="X1516" s="18" t="str">
        <x:v>0785e932a32b3ec15e1a1345537ae145eafe1c07bf38d5c16c11ee2b391e7a28</x:v>
      </x:c>
      <x:c r="Y1516" s="20" t="n">
        <x:v>1</x:v>
      </x:c>
      <x:c r="Z1516" s="20" t="n">
        <x:v>1</x:v>
      </x:c>
      <x:c r="AA1516" s="19" t="str">
        <x:v>浅草橋</x:v>
      </x:c>
      <x:c r="AB1516" s="18" t="str">
        <x:v>transport-hub-review:18780905-4013-5164-a30d-3fcab650277f</x:v>
      </x:c>
      <x:c r="AC1516" s="19"/>
    </x:row>
    <x:row r="1517" ht="33" customHeight="1">
      <x:c r="A1517" s="18" t="str">
        <x:v>浅草橋</x:v>
      </x:c>
      <x:c r="B1517" s="18" t="str">
        <x:v>東日本旅客鉄道</x:v>
      </x:c>
      <x:c r="C1517" s="18" t="str">
        <x:v>conventional_rail</x:v>
      </x:c>
      <x:c r="D1517" s="19" t="str">
        <x:v>T1</x:v>
      </x:c>
      <x:c r="E1517" s="20" t="n">
        <x:v>99886</x:v>
      </x:c>
      <x:c r="F1517" s="18" t="str">
        <x:v>persons/day</x:v>
      </x:c>
      <x:c r="G1517" s="18" t="str">
        <x:v>FY2024</x:v>
      </x:c>
      <x:c r="H1517" s="18" t="str">
        <x:v>否</x:v>
      </x:c>
      <x:c r="I1517" s="19" t="str">
        <x:v>DAILY_ENTRIES_EXITS</x:v>
      </x:c>
      <x:c r="J1517" s="19" t="str">
        <x:v>総武線</x:v>
      </x:c>
      <x:c r="K1517" s="18" t="str">
        <x:v>transport-node:7346b547-dcb3-51e8-9a04-f47768ebb81d</x:v>
      </x:c>
      <x:c r="L1517" s="19" t="str">
        <x:v>组件待审核</x:v>
      </x:c>
      <x:c r="M1517" s="21" t="n">
        <x:v>35.69739</x:v>
      </x:c>
      <x:c r="N1517" s="21" t="n">
        <x:v>139.78449</x:v>
      </x:c>
      <x:c r="O1517" s="18" t="str">
        <x:v>003640</x:v>
      </x:c>
      <x:c r="P1517" s="18" t="str">
        <x:v>総武線</x:v>
      </x:c>
      <x:c r="Q1517" s="19" t="str">
        <x:v>S12_061_GE_10000
OFFICIAL_HUB_COMPONENT_REVIEW</x:v>
      </x:c>
      <x:c r="R1517" s="19" t="str">
        <x:v>S12_061 usage threshold</x:v>
      </x:c>
      <x:c r="S1517" s="19" t="str">
        <x:v>https://nlftp.mlit.go.jp/ksj/gml/datalist/KsjTmplt-S12-2024.html</x:v>
      </x:c>
      <x:c r="T1517" s="19" t="str">
        <x:v>https://nlftp.mlit.go.jp/ksj/gml/datalist/KsjTmplt-S12-2024.html
https://www.kotsu.metro.tokyo.jp/subway/stations/asakusabashi.html</x:v>
      </x:c>
      <x:c r="U1517" s="19" t="str">
        <x:v>station-component|浅草橋|東日本旅客鉄道|conventional_rail|35.6974|139.7845|</x:v>
      </x:c>
      <x:c r="V1517" s="19" t="str">
        <x:v>003636 / 003640 / 総武線</x:v>
      </x:c>
      <x:c r="W1517" s="18" t="str">
        <x:v>否</x:v>
      </x:c>
      <x:c r="X1517" s="18" t="str">
        <x:v>0785e932a32b3ec15e1a1345537ae145eafe1c07bf38d5c16c11ee2b391e7a28</x:v>
      </x:c>
      <x:c r="Y1517" s="20" t="n">
        <x:v>1</x:v>
      </x:c>
      <x:c r="Z1517" s="20" t="n">
        <x:v>1</x:v>
      </x:c>
      <x:c r="AA1517" s="19" t="str">
        <x:v>浅草橋</x:v>
      </x:c>
      <x:c r="AB1517" s="18" t="str">
        <x:v>transport-hub-review:18780905-4013-5164-a30d-3fcab650277f</x:v>
      </x:c>
      <x:c r="AC1517" s="19"/>
    </x:row>
    <x:row r="1518" ht="28" customHeight="1">
      <x:c r="A1518" s="18" t="str">
        <x:v>浅間町</x:v>
      </x:c>
      <x:c r="B1518" s="18" t="str">
        <x:v>名古屋市</x:v>
      </x:c>
      <x:c r="C1518" s="18" t="str">
        <x:v>metro</x:v>
      </x:c>
      <x:c r="D1518" s="19" t="str">
        <x:v>T2</x:v>
      </x:c>
      <x:c r="E1518" s="20" t="n">
        <x:v>10042</x:v>
      </x:c>
      <x:c r="F1518" s="18" t="str">
        <x:v>persons/day</x:v>
      </x:c>
      <x:c r="G1518" s="18" t="str">
        <x:v>FY2024</x:v>
      </x:c>
      <x:c r="H1518" s="18" t="str">
        <x:v>否</x:v>
      </x:c>
      <x:c r="I1518" s="19" t="str">
        <x:v>DAILY_ENTRIES_EXITS</x:v>
      </x:c>
      <x:c r="J1518" s="19" t="str">
        <x:v>3号線鶴舞線</x:v>
      </x:c>
      <x:c r="K1518" s="18" t="str">
        <x:v>transport-node:fc4f7ef7-e4cd-5806-9792-bff9d57c0515</x:v>
      </x:c>
      <x:c r="L1518" s="19" t="str">
        <x:v>组件待审核</x:v>
      </x:c>
      <x:c r="M1518" s="21" t="n">
        <x:v>35.183315</x:v>
      </x:c>
      <x:c r="N1518" s="21" t="n">
        <x:v>136.890205</x:v>
      </x:c>
      <x:c r="O1518" s="18" t="str">
        <x:v>005409</x:v>
      </x:c>
      <x:c r="P1518" s="18" t="str">
        <x:v>3号線鶴舞線</x:v>
      </x:c>
      <x:c r="Q1518" s="19" t="str">
        <x:v>S12_061_GE_10000</x:v>
      </x:c>
      <x:c r="R1518" s="19" t="str">
        <x:v>S12_061 usage threshold</x:v>
      </x:c>
      <x:c r="S1518" s="19" t="str">
        <x:v>https://nlftp.mlit.go.jp/ksj/gml/datalist/KsjTmplt-S12-2024.html</x:v>
      </x:c>
      <x:c r="T1518" s="19" t="str">
        <x:v>https://nlftp.mlit.go.jp/ksj/gml/datalist/KsjTmplt-S12-2024.html</x:v>
      </x:c>
      <x:c r="U1518" s="19" t="str">
        <x:v>station-component|浅間町|名古屋市|metro|35.1833|136.8902|</x:v>
      </x:c>
      <x:c r="V1518" s="19" t="str">
        <x:v>005409 / 005409 / 3号線鶴舞線</x:v>
      </x:c>
      <x:c r="W1518" s="18" t="str">
        <x:v>否</x:v>
      </x:c>
      <x:c r="X1518" s="18" t="str">
        <x:v>0785e932a32b3ec15e1a1345537ae145eafe1c07bf38d5c16c11ee2b391e7a28</x:v>
      </x:c>
      <x:c r="Y1518" s="20" t="n">
        <x:v>1</x:v>
      </x:c>
      <x:c r="Z1518" s="20" t="n">
        <x:v>1</x:v>
      </x:c>
      <x:c r="AA1518" s="19"/>
      <x:c r="AB1518" s="18"/>
      <x:c r="AC1518" s="19"/>
    </x:row>
    <x:row r="1519" ht="28" customHeight="1">
      <x:c r="A1519" s="18" t="str">
        <x:v>浜松</x:v>
      </x:c>
      <x:c r="B1519" s="18" t="str">
        <x:v>東海旅客鉄道</x:v>
      </x:c>
      <x:c r="C1519" s="18" t="str">
        <x:v>conventional_rail</x:v>
      </x:c>
      <x:c r="D1519" s="19" t="str">
        <x:v>T1</x:v>
      </x:c>
      <x:c r="E1519" s="20" t="n">
        <x:v>70032</x:v>
      </x:c>
      <x:c r="F1519" s="18" t="str">
        <x:v>persons/day</x:v>
      </x:c>
      <x:c r="G1519" s="18" t="str">
        <x:v>FY2024</x:v>
      </x:c>
      <x:c r="H1519" s="18" t="str">
        <x:v>否</x:v>
      </x:c>
      <x:c r="I1519" s="19" t="str">
        <x:v>DAILY_ENTRIES_EXITS</x:v>
      </x:c>
      <x:c r="J1519" s="19" t="str">
        <x:v>東海道線</x:v>
      </x:c>
      <x:c r="K1519" s="18" t="str">
        <x:v>transport-node:4749b2f7-24e5-59db-92d5-c10f5663f76f</x:v>
      </x:c>
      <x:c r="L1519" s="19" t="str">
        <x:v>组件待审核</x:v>
      </x:c>
      <x:c r="M1519" s="21" t="n">
        <x:v>34.70406</x:v>
      </x:c>
      <x:c r="N1519" s="21" t="n">
        <x:v>137.7351175</x:v>
      </x:c>
      <x:c r="O1519" s="18" t="str">
        <x:v>007059</x:v>
      </x:c>
      <x:c r="P1519" s="18" t="str">
        <x:v>東海道線</x:v>
      </x:c>
      <x:c r="Q1519" s="19" t="str">
        <x:v>S12_061_GE_10000</x:v>
      </x:c>
      <x:c r="R1519" s="19" t="str">
        <x:v>S12_061 usage threshold</x:v>
      </x:c>
      <x:c r="S1519" s="19" t="str">
        <x:v>https://nlftp.mlit.go.jp/ksj/gml/datalist/KsjTmplt-S12-2024.html</x:v>
      </x:c>
      <x:c r="T1519" s="19" t="str">
        <x:v>https://nlftp.mlit.go.jp/ksj/gml/datalist/KsjTmplt-S12-2024.html</x:v>
      </x:c>
      <x:c r="U1519" s="19" t="str">
        <x:v>station-component|浜松|東海旅客鉄道|conventional_rail|34.7041|137.7351|</x:v>
      </x:c>
      <x:c r="V1519" s="19" t="str">
        <x:v>007059 / 007059 / 東海道線</x:v>
      </x:c>
      <x:c r="W1519" s="18" t="str">
        <x:v>否</x:v>
      </x:c>
      <x:c r="X1519" s="18" t="str">
        <x:v>0785e932a32b3ec15e1a1345537ae145eafe1c07bf38d5c16c11ee2b391e7a28</x:v>
      </x:c>
      <x:c r="Y1519" s="20" t="n">
        <x:v>1</x:v>
      </x:c>
      <x:c r="Z1519" s="20" t="n">
        <x:v>1</x:v>
      </x:c>
      <x:c r="AA1519" s="19"/>
      <x:c r="AB1519" s="18"/>
      <x:c r="AC1519" s="19"/>
    </x:row>
    <x:row r="1520" ht="33" customHeight="1">
      <x:c r="A1520" s="18" t="str">
        <x:v>浜松</x:v>
      </x:c>
      <x:c r="B1520" s="18" t="str">
        <x:v>東海旅客鉄道</x:v>
      </x:c>
      <x:c r="C1520" s="18" t="str">
        <x:v>shinkansen</x:v>
      </x:c>
      <x:c r="D1520" s="19"/>
      <x:c r="E1520" s="20" t="n">
        <x:v>14000</x:v>
      </x:c>
      <x:c r="F1520" s="18" t="str">
        <x:v>boardings/day</x:v>
      </x:c>
      <x:c r="G1520" s="18" t="str">
        <x:v>FY2025</x:v>
      </x:c>
      <x:c r="H1520" s="18" t="str">
        <x:v>是</x:v>
      </x:c>
      <x:c r="I1520" s="19" t="str">
        <x:v>DAILY_SHINKANSEN_BOARDINGS</x:v>
      </x:c>
      <x:c r="J1520" s="19" t="str">
        <x:v>東海道新幹線</x:v>
      </x:c>
      <x:c r="K1520" s="18" t="str">
        <x:v>transport-node:b2b72d1c-e577-5460-a224-3edcedbe0b79</x:v>
      </x:c>
      <x:c r="L1520" s="19" t="str">
        <x:v>组件待审核</x:v>
      </x:c>
      <x:c r="M1520" s="21" t="n">
        <x:v>34.70376</x:v>
      </x:c>
      <x:c r="N1520" s="21" t="n">
        <x:v>137.7353775</x:v>
      </x:c>
      <x:c r="O1520" s="18" t="str">
        <x:v>007060</x:v>
      </x:c>
      <x:c r="P1520" s="18" t="str">
        <x:v>東海道新幹線</x:v>
      </x:c>
      <x:c r="Q1520" s="19" t="str">
        <x:v>SHINKANSEN</x:v>
      </x:c>
      <x:c r="R1520" s="19" t="str">
        <x:v>Official fallback retained in published scope/unit; tier remains null pending metric/manual review.</x:v>
      </x:c>
      <x:c r="S1520" s="19" t="str">
        <x:v>https://company.jr-central.co.jp/ir/factsheets/_pdf/factsheets2026-02-03.pdf</x:v>
      </x:c>
      <x:c r="T1520" s="19" t="str">
        <x:v>https://company.jr-central.co.jp/ir/factsheets/_pdf/factsheets2026-02-03.pdf
https://nlftp.mlit.go.jp/ksj/gml/datalist/KsjTmplt-S12-2024.html</x:v>
      </x:c>
      <x:c r="U1520" s="19" t="str">
        <x:v>station-component|浜松|東海旅客鉄道|shinkansen|34.7038|137.7354|</x:v>
      </x:c>
      <x:c r="V1520" s="19" t="str">
        <x:v>007059 / 007060 / 東海道新幹線</x:v>
      </x:c>
      <x:c r="W1520" s="18" t="str">
        <x:v>否</x:v>
      </x:c>
      <x:c r="X1520" s="18" t="str">
        <x:v>0785e932a32b3ec15e1a1345537ae145eafe1c07bf38d5c16c11ee2b391e7a28</x:v>
      </x:c>
      <x:c r="Y1520" s="20" t="n">
        <x:v>1</x:v>
      </x:c>
      <x:c r="Z1520" s="20" t="n">
        <x:v>2</x:v>
      </x:c>
      <x:c r="AA1520" s="19"/>
      <x:c r="AB1520" s="18"/>
      <x:c r="AC1520" s="19"/>
    </x:row>
    <x:row r="1521" ht="33" customHeight="1">
      <x:c r="A1521" s="18" t="str">
        <x:v>浜松町</x:v>
      </x:c>
      <x:c r="B1521" s="18" t="str">
        <x:v>東日本旅客鉄道</x:v>
      </x:c>
      <x:c r="C1521" s="18" t="str">
        <x:v>conventional_rail</x:v>
      </x:c>
      <x:c r="D1521" s="19" t="str">
        <x:v>T0</x:v>
      </x:c>
      <x:c r="E1521" s="20" t="n">
        <x:v>267804</x:v>
      </x:c>
      <x:c r="F1521" s="18" t="str">
        <x:v>persons/day</x:v>
      </x:c>
      <x:c r="G1521" s="18" t="str">
        <x:v>FY2024</x:v>
      </x:c>
      <x:c r="H1521" s="18" t="str">
        <x:v>否</x:v>
      </x:c>
      <x:c r="I1521" s="19" t="str">
        <x:v>DAILY_ENTRIES_EXITS</x:v>
      </x:c>
      <x:c r="J1521" s="19" t="str">
        <x:v>東海道線</x:v>
      </x:c>
      <x:c r="K1521" s="18" t="str">
        <x:v>transport-node:d28ca941-f596-5102-b904-00db813ac340</x:v>
      </x:c>
      <x:c r="L1521" s="19" t="str">
        <x:v>组件待审核</x:v>
      </x:c>
      <x:c r="M1521" s="21" t="n">
        <x:v>35.65541</x:v>
      </x:c>
      <x:c r="N1521" s="21" t="n">
        <x:v>139.757125</x:v>
      </x:c>
      <x:c r="O1521" s="18" t="str">
        <x:v>003949</x:v>
      </x:c>
      <x:c r="P1521" s="18" t="str">
        <x:v>東海道線</x:v>
      </x:c>
      <x:c r="Q1521" s="19" t="str">
        <x:v>S12_061_GE_10000
OFFICIAL_HUB_COMPONENT_REVIEW</x:v>
      </x:c>
      <x:c r="R1521" s="19" t="str">
        <x:v>S12_061 usage threshold</x:v>
      </x:c>
      <x:c r="S1521" s="19" t="str">
        <x:v>https://nlftp.mlit.go.jp/ksj/gml/datalist/KsjTmplt-S12-2024.html</x:v>
      </x:c>
      <x:c r="T1521" s="19" t="str">
        <x:v>https://nlftp.mlit.go.jp/ksj/gml/datalist/KsjTmplt-S12-2024.html
https://www.kotsu.metro.tokyo.jp/subway/stations/daimon.html</x:v>
      </x:c>
      <x:c r="U1521" s="19" t="str">
        <x:v>station-component|浜松町|東日本旅客鉄道|conventional_rail|35.6554|139.7571|</x:v>
      </x:c>
      <x:c r="V1521" s="19" t="str">
        <x:v>003949 / 003949 / 東海道線</x:v>
      </x:c>
      <x:c r="W1521" s="18" t="str">
        <x:v>否</x:v>
      </x:c>
      <x:c r="X1521" s="18" t="str">
        <x:v>0785e932a32b3ec15e1a1345537ae145eafe1c07bf38d5c16c11ee2b391e7a28</x:v>
      </x:c>
      <x:c r="Y1521" s="20" t="n">
        <x:v>1</x:v>
      </x:c>
      <x:c r="Z1521" s="20" t="n">
        <x:v>1</x:v>
      </x:c>
      <x:c r="AA1521" s="19" t="str">
        <x:v>浜松町・大門</x:v>
      </x:c>
      <x:c r="AB1521" s="18" t="str">
        <x:v>transport-hub-review:f5527a45-84f9-5ed7-92ba-fde5ceafd3da</x:v>
      </x:c>
      <x:c r="AC1521" s="19"/>
    </x:row>
    <x:row r="1522" ht="28" customHeight="1">
      <x:c r="A1522" s="18" t="str">
        <x:v>浜田山</x:v>
      </x:c>
      <x:c r="B1522" s="18" t="str">
        <x:v>京王電鉄</x:v>
      </x:c>
      <x:c r="C1522" s="18" t="str">
        <x:v>private_rail</x:v>
      </x:c>
      <x:c r="D1522" s="19" t="str">
        <x:v>T2</x:v>
      </x:c>
      <x:c r="E1522" s="20" t="n">
        <x:v>27565</x:v>
      </x:c>
      <x:c r="F1522" s="18" t="str">
        <x:v>persons/day</x:v>
      </x:c>
      <x:c r="G1522" s="18" t="str">
        <x:v>FY2024</x:v>
      </x:c>
      <x:c r="H1522" s="18" t="str">
        <x:v>否</x:v>
      </x:c>
      <x:c r="I1522" s="19" t="str">
        <x:v>DAILY_ENTRIES_EXITS</x:v>
      </x:c>
      <x:c r="J1522" s="19" t="str">
        <x:v>井の頭線</x:v>
      </x:c>
      <x:c r="K1522" s="18" t="str">
        <x:v>transport-node:aff5f7be-69af-5d1f-b80a-82b3d1251bfa</x:v>
      </x:c>
      <x:c r="L1522" s="19" t="str">
        <x:v>组件待审核</x:v>
      </x:c>
      <x:c r="M1522" s="21" t="n">
        <x:v>35.681575</x:v>
      </x:c>
      <x:c r="N1522" s="21" t="n">
        <x:v>139.627575</x:v>
      </x:c>
      <x:c r="O1522" s="18" t="str">
        <x:v>003763</x:v>
      </x:c>
      <x:c r="P1522" s="18" t="str">
        <x:v>井の頭線</x:v>
      </x:c>
      <x:c r="Q1522" s="19" t="str">
        <x:v>S12_061_GE_10000</x:v>
      </x:c>
      <x:c r="R1522" s="19" t="str">
        <x:v>S12_061 usage threshold</x:v>
      </x:c>
      <x:c r="S1522" s="19" t="str">
        <x:v>https://nlftp.mlit.go.jp/ksj/gml/datalist/KsjTmplt-S12-2024.html</x:v>
      </x:c>
      <x:c r="T1522" s="19" t="str">
        <x:v>https://nlftp.mlit.go.jp/ksj/gml/datalist/KsjTmplt-S12-2024.html</x:v>
      </x:c>
      <x:c r="U1522" s="19" t="str">
        <x:v>station-component|浜田山|京王電鉄|private_rail|35.6816|139.6276|</x:v>
      </x:c>
      <x:c r="V1522" s="19" t="str">
        <x:v>003763 / 003763 / 井の頭線</x:v>
      </x:c>
      <x:c r="W1522" s="18" t="str">
        <x:v>否</x:v>
      </x:c>
      <x:c r="X1522" s="18" t="str">
        <x:v>0785e932a32b3ec15e1a1345537ae145eafe1c07bf38d5c16c11ee2b391e7a28</x:v>
      </x:c>
      <x:c r="Y1522" s="20" t="n">
        <x:v>1</x:v>
      </x:c>
      <x:c r="Z1522" s="20" t="n">
        <x:v>1</x:v>
      </x:c>
      <x:c r="AA1522" s="19"/>
      <x:c r="AB1522" s="18"/>
      <x:c r="AC1522" s="19"/>
    </x:row>
    <x:row r="1523" ht="28" customHeight="1">
      <x:c r="A1523" s="18" t="str">
        <x:v>浜町</x:v>
      </x:c>
      <x:c r="B1523" s="18" t="str">
        <x:v>東京都</x:v>
      </x:c>
      <x:c r="C1523" s="18" t="str">
        <x:v>metro</x:v>
      </x:c>
      <x:c r="D1523" s="19" t="str">
        <x:v>T2</x:v>
      </x:c>
      <x:c r="E1523" s="20" t="n">
        <x:v>21447</x:v>
      </x:c>
      <x:c r="F1523" s="18" t="str">
        <x:v>persons/day</x:v>
      </x:c>
      <x:c r="G1523" s="18" t="str">
        <x:v>FY2024</x:v>
      </x:c>
      <x:c r="H1523" s="18" t="str">
        <x:v>否</x:v>
      </x:c>
      <x:c r="I1523" s="19" t="str">
        <x:v>DAILY_ENTRIES_EXITS</x:v>
      </x:c>
      <x:c r="J1523" s="19" t="str">
        <x:v>10号線新宿線</x:v>
      </x:c>
      <x:c r="K1523" s="18" t="str">
        <x:v>transport-node:3b8c3dd0-d4df-55b0-b631-bc43ff142eb7</x:v>
      </x:c>
      <x:c r="L1523" s="19" t="str">
        <x:v>组件待审核</x:v>
      </x:c>
      <x:c r="M1523" s="21" t="n">
        <x:v>35.68859</x:v>
      </x:c>
      <x:c r="N1523" s="21" t="n">
        <x:v>139.788125</x:v>
      </x:c>
      <x:c r="O1523" s="18" t="str">
        <x:v>003706</x:v>
      </x:c>
      <x:c r="P1523" s="18" t="str">
        <x:v>10号線新宿線</x:v>
      </x:c>
      <x:c r="Q1523" s="19" t="str">
        <x:v>S12_061_GE_10000</x:v>
      </x:c>
      <x:c r="R1523" s="19" t="str">
        <x:v>S12_061 usage threshold</x:v>
      </x:c>
      <x:c r="S1523" s="19" t="str">
        <x:v>https://nlftp.mlit.go.jp/ksj/gml/datalist/KsjTmplt-S12-2024.html</x:v>
      </x:c>
      <x:c r="T1523" s="19" t="str">
        <x:v>https://nlftp.mlit.go.jp/ksj/gml/datalist/KsjTmplt-S12-2024.html</x:v>
      </x:c>
      <x:c r="U1523" s="19" t="str">
        <x:v>station-component|浜町|東京都|metro|35.6886|139.7881|</x:v>
      </x:c>
      <x:c r="V1523" s="19" t="str">
        <x:v>003706 / 003706 / 10号線新宿線</x:v>
      </x:c>
      <x:c r="W1523" s="18" t="str">
        <x:v>否</x:v>
      </x:c>
      <x:c r="X1523" s="18" t="str">
        <x:v>0785e932a32b3ec15e1a1345537ae145eafe1c07bf38d5c16c11ee2b391e7a28</x:v>
      </x:c>
      <x:c r="Y1523" s="20" t="n">
        <x:v>1</x:v>
      </x:c>
      <x:c r="Z1523" s="20" t="n">
        <x:v>1</x:v>
      </x:c>
      <x:c r="AA1523" s="19"/>
      <x:c r="AB1523" s="18"/>
      <x:c r="AC1523" s="19"/>
    </x:row>
    <x:row r="1524" ht="28" customHeight="1">
      <x:c r="A1524" s="18" t="str">
        <x:v>浜野</x:v>
      </x:c>
      <x:c r="B1524" s="18" t="str">
        <x:v>東日本旅客鉄道</x:v>
      </x:c>
      <x:c r="C1524" s="18" t="str">
        <x:v>conventional_rail</x:v>
      </x:c>
      <x:c r="D1524" s="19" t="str">
        <x:v>T2</x:v>
      </x:c>
      <x:c r="E1524" s="20" t="n">
        <x:v>15008</x:v>
      </x:c>
      <x:c r="F1524" s="18" t="str">
        <x:v>persons/day</x:v>
      </x:c>
      <x:c r="G1524" s="18" t="str">
        <x:v>FY2024</x:v>
      </x:c>
      <x:c r="H1524" s="18" t="str">
        <x:v>否</x:v>
      </x:c>
      <x:c r="I1524" s="19" t="str">
        <x:v>DAILY_ENTRIES_EXITS</x:v>
      </x:c>
      <x:c r="J1524" s="19" t="str">
        <x:v>内房線</x:v>
      </x:c>
      <x:c r="K1524" s="18" t="str">
        <x:v>transport-node:4c04ee94-3a93-5591-a7cd-331c417b5999</x:v>
      </x:c>
      <x:c r="L1524" s="19" t="str">
        <x:v>组件待审核</x:v>
      </x:c>
      <x:c r="M1524" s="21" t="n">
        <x:v>35.5521</x:v>
      </x:c>
      <x:c r="N1524" s="21" t="n">
        <x:v>140.132185</x:v>
      </x:c>
      <x:c r="O1524" s="18" t="str">
        <x:v>004357</x:v>
      </x:c>
      <x:c r="P1524" s="18" t="str">
        <x:v>内房線</x:v>
      </x:c>
      <x:c r="Q1524" s="19" t="str">
        <x:v>S12_061_GE_10000</x:v>
      </x:c>
      <x:c r="R1524" s="19" t="str">
        <x:v>S12_061 usage threshold</x:v>
      </x:c>
      <x:c r="S1524" s="19" t="str">
        <x:v>https://nlftp.mlit.go.jp/ksj/gml/datalist/KsjTmplt-S12-2024.html</x:v>
      </x:c>
      <x:c r="T1524" s="19" t="str">
        <x:v>https://nlftp.mlit.go.jp/ksj/gml/datalist/KsjTmplt-S12-2024.html</x:v>
      </x:c>
      <x:c r="U1524" s="19" t="str">
        <x:v>station-component|浜野|東日本旅客鉄道|conventional_rail|35.5521|140.1322|</x:v>
      </x:c>
      <x:c r="V1524" s="19" t="str">
        <x:v>004357 / 004357 / 内房線</x:v>
      </x:c>
      <x:c r="W1524" s="18" t="str">
        <x:v>否</x:v>
      </x:c>
      <x:c r="X1524" s="18" t="str">
        <x:v>0785e932a32b3ec15e1a1345537ae145eafe1c07bf38d5c16c11ee2b391e7a28</x:v>
      </x:c>
      <x:c r="Y1524" s="20" t="n">
        <x:v>1</x:v>
      </x:c>
      <x:c r="Z1524" s="20" t="n">
        <x:v>1</x:v>
      </x:c>
      <x:c r="AA1524" s="19"/>
      <x:c r="AB1524" s="18"/>
      <x:c r="AC1524" s="19"/>
    </x:row>
    <x:row r="1525" ht="33" customHeight="1">
      <x:c r="A1525" s="18" t="str">
        <x:v>浦佐</x:v>
      </x:c>
      <x:c r="B1525" s="18" t="str">
        <x:v>東日本旅客鉄道</x:v>
      </x:c>
      <x:c r="C1525" s="18" t="str">
        <x:v>shinkansen</x:v>
      </x:c>
      <x:c r="D1525" s="19"/>
      <x:c r="E1525" s="20" t="n">
        <x:v>758</x:v>
      </x:c>
      <x:c r="F1525" s="18" t="str">
        <x:v>boardings/day</x:v>
      </x:c>
      <x:c r="G1525" s="18" t="str">
        <x:v>FY2024</x:v>
      </x:c>
      <x:c r="H1525" s="18" t="str">
        <x:v>是</x:v>
      </x:c>
      <x:c r="I1525" s="19" t="str">
        <x:v>DAILY_SHINKANSEN_BOARDINGS</x:v>
      </x:c>
      <x:c r="J1525" s="19" t="str">
        <x:v>上越新幹線</x:v>
      </x:c>
      <x:c r="K1525" s="18" t="str">
        <x:v>transport-node:47a3bf66-6ded-5457-bef0-38b1040e77a3</x:v>
      </x:c>
      <x:c r="L1525" s="19" t="str">
        <x:v>组件待审核</x:v>
      </x:c>
      <x:c r="M1525" s="21" t="n">
        <x:v>37.16772</x:v>
      </x:c>
      <x:c r="N1525" s="21" t="n">
        <x:v>138.922735</x:v>
      </x:c>
      <x:c r="O1525" s="18" t="str">
        <x:v>001603</x:v>
      </x:c>
      <x:c r="P1525" s="18" t="str">
        <x:v>上越新幹線</x:v>
      </x:c>
      <x:c r="Q1525" s="19" t="str">
        <x:v>SHINKANSEN</x:v>
      </x:c>
      <x:c r="R1525" s="19" t="str">
        <x:v>Official fallback retained in published scope/unit; tier remains null pending metric/manual review.</x:v>
      </x:c>
      <x:c r="S1525" s="19" t="str">
        <x:v>https://www.jreast.co.jp/company/data/passenger/2024_shinkansen.html/</x:v>
      </x:c>
      <x:c r="T1525" s="19" t="str">
        <x:v>https://nlftp.mlit.go.jp/ksj/gml/datalist/KsjTmplt-S12-2024.html
https://www.jreast.co.jp/company/data/passenger/2024_shinkansen.html/</x:v>
      </x:c>
      <x:c r="U1525" s="19" t="str">
        <x:v>station-component|浦佐|東日本旅客鉄道|shinkansen|37.1677|138.9227|</x:v>
      </x:c>
      <x:c r="V1525" s="19" t="str">
        <x:v>001603 / 001603 / 上越新幹線</x:v>
      </x:c>
      <x:c r="W1525" s="18" t="str">
        <x:v>否</x:v>
      </x:c>
      <x:c r="X1525" s="18" t="str">
        <x:v>0785e932a32b3ec15e1a1345537ae145eafe1c07bf38d5c16c11ee2b391e7a28</x:v>
      </x:c>
      <x:c r="Y1525" s="20" t="n">
        <x:v>1</x:v>
      </x:c>
      <x:c r="Z1525" s="20" t="n">
        <x:v>2</x:v>
      </x:c>
      <x:c r="AA1525" s="19"/>
      <x:c r="AB1525" s="18"/>
      <x:c r="AC1525" s="19"/>
    </x:row>
    <x:row r="1526" ht="28" customHeight="1">
      <x:c r="A1526" s="18" t="str">
        <x:v>浦和</x:v>
      </x:c>
      <x:c r="B1526" s="18" t="str">
        <x:v>東日本旅客鉄道</x:v>
      </x:c>
      <x:c r="C1526" s="18" t="str">
        <x:v>conventional_rail</x:v>
      </x:c>
      <x:c r="D1526" s="19" t="str">
        <x:v>T1</x:v>
      </x:c>
      <x:c r="E1526" s="20" t="n">
        <x:v>181878</x:v>
      </x:c>
      <x:c r="F1526" s="18" t="str">
        <x:v>persons/day</x:v>
      </x:c>
      <x:c r="G1526" s="18" t="str">
        <x:v>FY2024</x:v>
      </x:c>
      <x:c r="H1526" s="18" t="str">
        <x:v>否</x:v>
      </x:c>
      <x:c r="I1526" s="19" t="str">
        <x:v>DAILY_ENTRIES_EXITS</x:v>
      </x:c>
      <x:c r="J1526" s="19" t="str">
        <x:v>東北線</x:v>
      </x:c>
      <x:c r="K1526" s="18" t="str">
        <x:v>transport-node:2df3776d-e526-5a1d-89d4-f4f85db80430</x:v>
      </x:c>
      <x:c r="L1526" s="19" t="str">
        <x:v>组件待审核</x:v>
      </x:c>
      <x:c r="M1526" s="21" t="n">
        <x:v>35.858565</x:v>
      </x:c>
      <x:c r="N1526" s="21" t="n">
        <x:v>139.657145</x:v>
      </x:c>
      <x:c r="O1526" s="18" t="str">
        <x:v>002989</x:v>
      </x:c>
      <x:c r="P1526" s="18" t="str">
        <x:v>東北線</x:v>
      </x:c>
      <x:c r="Q1526" s="19" t="str">
        <x:v>S12_061_GE_10000</x:v>
      </x:c>
      <x:c r="R1526" s="19" t="str">
        <x:v>S12_061 usage threshold</x:v>
      </x:c>
      <x:c r="S1526" s="19" t="str">
        <x:v>https://nlftp.mlit.go.jp/ksj/gml/datalist/KsjTmplt-S12-2024.html</x:v>
      </x:c>
      <x:c r="T1526" s="19" t="str">
        <x:v>https://nlftp.mlit.go.jp/ksj/gml/datalist/KsjTmplt-S12-2024.html</x:v>
      </x:c>
      <x:c r="U1526" s="19" t="str">
        <x:v>station-component|浦和|東日本旅客鉄道|conventional_rail|35.8586|139.6571|</x:v>
      </x:c>
      <x:c r="V1526" s="19" t="str">
        <x:v>002989 / 002989 / 東北線</x:v>
      </x:c>
      <x:c r="W1526" s="18" t="str">
        <x:v>否</x:v>
      </x:c>
      <x:c r="X1526" s="18" t="str">
        <x:v>0785e932a32b3ec15e1a1345537ae145eafe1c07bf38d5c16c11ee2b391e7a28</x:v>
      </x:c>
      <x:c r="Y1526" s="20" t="n">
        <x:v>1</x:v>
      </x:c>
      <x:c r="Z1526" s="20" t="n">
        <x:v>1</x:v>
      </x:c>
      <x:c r="AA1526" s="19"/>
      <x:c r="AB1526" s="18"/>
      <x:c r="AC1526" s="19"/>
    </x:row>
    <x:row r="1527" ht="28" customHeight="1">
      <x:c r="A1527" s="18" t="str">
        <x:v>浦和美園</x:v>
      </x:c>
      <x:c r="B1527" s="18" t="str">
        <x:v>埼玉高速鉄道</x:v>
      </x:c>
      <x:c r="C1527" s="18" t="str">
        <x:v>private_rail</x:v>
      </x:c>
      <x:c r="D1527" s="19" t="str">
        <x:v>T2</x:v>
      </x:c>
      <x:c r="E1527" s="20" t="n">
        <x:v>25400</x:v>
      </x:c>
      <x:c r="F1527" s="18" t="str">
        <x:v>persons/day</x:v>
      </x:c>
      <x:c r="G1527" s="18" t="str">
        <x:v>FY2024</x:v>
      </x:c>
      <x:c r="H1527" s="18" t="str">
        <x:v>否</x:v>
      </x:c>
      <x:c r="I1527" s="19" t="str">
        <x:v>DAILY_ENTRIES_EXITS</x:v>
      </x:c>
      <x:c r="J1527" s="19" t="str">
        <x:v>埼玉高速鉄道線</x:v>
      </x:c>
      <x:c r="K1527" s="18" t="str">
        <x:v>transport-node:781bcc18-c792-59a7-ae22-fa91314a3fab</x:v>
      </x:c>
      <x:c r="L1527" s="19" t="str">
        <x:v>组件待审核</x:v>
      </x:c>
      <x:c r="M1527" s="21" t="n">
        <x:v>35.893675</x:v>
      </x:c>
      <x:c r="N1527" s="21" t="n">
        <x:v>139.727825</x:v>
      </x:c>
      <x:c r="O1527" s="18" t="str">
        <x:v>002933</x:v>
      </x:c>
      <x:c r="P1527" s="18" t="str">
        <x:v>埼玉高速鉄道線</x:v>
      </x:c>
      <x:c r="Q1527" s="19" t="str">
        <x:v>S12_061_GE_10000</x:v>
      </x:c>
      <x:c r="R1527" s="19" t="str">
        <x:v>S12_061 usage threshold</x:v>
      </x:c>
      <x:c r="S1527" s="19" t="str">
        <x:v>https://nlftp.mlit.go.jp/ksj/gml/datalist/KsjTmplt-S12-2024.html</x:v>
      </x:c>
      <x:c r="T1527" s="19" t="str">
        <x:v>https://nlftp.mlit.go.jp/ksj/gml/datalist/KsjTmplt-S12-2024.html</x:v>
      </x:c>
      <x:c r="U1527" s="19" t="str">
        <x:v>station-component|浦和美園|埼玉高速鉄道|private_rail|35.8937|139.7278|</x:v>
      </x:c>
      <x:c r="V1527" s="19" t="str">
        <x:v>002933 / 002933 / 埼玉高速鉄道線</x:v>
      </x:c>
      <x:c r="W1527" s="18" t="str">
        <x:v>否</x:v>
      </x:c>
      <x:c r="X1527" s="18" t="str">
        <x:v>0785e932a32b3ec15e1a1345537ae145eafe1c07bf38d5c16c11ee2b391e7a28</x:v>
      </x:c>
      <x:c r="Y1527" s="20" t="n">
        <x:v>1</x:v>
      </x:c>
      <x:c r="Z1527" s="20" t="n">
        <x:v>1</x:v>
      </x:c>
      <x:c r="AA1527" s="19"/>
      <x:c r="AB1527" s="18"/>
      <x:c r="AC1527" s="19"/>
    </x:row>
    <x:row r="1528" ht="28" customHeight="1">
      <x:c r="A1528" s="18" t="str">
        <x:v>浦安</x:v>
      </x:c>
      <x:c r="B1528" s="18" t="str">
        <x:v>東京地下鉄</x:v>
      </x:c>
      <x:c r="C1528" s="18" t="str">
        <x:v>metro</x:v>
      </x:c>
      <x:c r="D1528" s="19" t="str">
        <x:v>T1</x:v>
      </x:c>
      <x:c r="E1528" s="20" t="n">
        <x:v>78626</x:v>
      </x:c>
      <x:c r="F1528" s="18" t="str">
        <x:v>persons/day</x:v>
      </x:c>
      <x:c r="G1528" s="18" t="str">
        <x:v>FY2024</x:v>
      </x:c>
      <x:c r="H1528" s="18" t="str">
        <x:v>否</x:v>
      </x:c>
      <x:c r="I1528" s="19" t="str">
        <x:v>DAILY_ENTRIES_EXITS</x:v>
      </x:c>
      <x:c r="J1528" s="19" t="str">
        <x:v>5号線東西線</x:v>
      </x:c>
      <x:c r="K1528" s="18" t="str">
        <x:v>transport-node:adcd35a1-a413-5533-b24f-c8c018b4bbcc</x:v>
      </x:c>
      <x:c r="L1528" s="19" t="str">
        <x:v>组件待审核</x:v>
      </x:c>
      <x:c r="M1528" s="21" t="n">
        <x:v>35.665855</x:v>
      </x:c>
      <x:c r="N1528" s="21" t="n">
        <x:v>139.89314</x:v>
      </x:c>
      <x:c r="O1528" s="18" t="str">
        <x:v>003875</x:v>
      </x:c>
      <x:c r="P1528" s="18" t="str">
        <x:v>5号線東西線</x:v>
      </x:c>
      <x:c r="Q1528" s="19" t="str">
        <x:v>S12_061_GE_10000</x:v>
      </x:c>
      <x:c r="R1528" s="19" t="str">
        <x:v>S12_061 usage threshold</x:v>
      </x:c>
      <x:c r="S1528" s="19" t="str">
        <x:v>https://nlftp.mlit.go.jp/ksj/gml/datalist/KsjTmplt-S12-2024.html</x:v>
      </x:c>
      <x:c r="T1528" s="19" t="str">
        <x:v>https://nlftp.mlit.go.jp/ksj/gml/datalist/KsjTmplt-S12-2024.html</x:v>
      </x:c>
      <x:c r="U1528" s="19" t="str">
        <x:v>station-component|浦安|東京地下鉄|metro|35.6659|139.8931|</x:v>
      </x:c>
      <x:c r="V1528" s="19" t="str">
        <x:v>003875 / 003875 / 5号線東西線</x:v>
      </x:c>
      <x:c r="W1528" s="18" t="str">
        <x:v>否</x:v>
      </x:c>
      <x:c r="X1528" s="18" t="str">
        <x:v>0785e932a32b3ec15e1a1345537ae145eafe1c07bf38d5c16c11ee2b391e7a28</x:v>
      </x:c>
      <x:c r="Y1528" s="20" t="n">
        <x:v>1</x:v>
      </x:c>
      <x:c r="Z1528" s="20" t="n">
        <x:v>1</x:v>
      </x:c>
      <x:c r="AA1528" s="19"/>
      <x:c r="AB1528" s="18"/>
      <x:c r="AC1528" s="19"/>
    </x:row>
    <x:row r="1529" ht="28" customHeight="1">
      <x:c r="A1529" s="18" t="str">
        <x:v>浦賀</x:v>
      </x:c>
      <x:c r="B1529" s="18" t="str">
        <x:v>京浜急行電鉄</x:v>
      </x:c>
      <x:c r="C1529" s="18" t="str">
        <x:v>private_rail</x:v>
      </x:c>
      <x:c r="D1529" s="19" t="str">
        <x:v>T2</x:v>
      </x:c>
      <x:c r="E1529" s="20" t="n">
        <x:v>16478</x:v>
      </x:c>
      <x:c r="F1529" s="18" t="str">
        <x:v>persons/day</x:v>
      </x:c>
      <x:c r="G1529" s="18" t="str">
        <x:v>FY2024</x:v>
      </x:c>
      <x:c r="H1529" s="18" t="str">
        <x:v>否</x:v>
      </x:c>
      <x:c r="I1529" s="19" t="str">
        <x:v>DAILY_ENTRIES_EXITS</x:v>
      </x:c>
      <x:c r="J1529" s="19" t="str">
        <x:v>本線</x:v>
      </x:c>
      <x:c r="K1529" s="18" t="str">
        <x:v>transport-node:d809e46d-c919-57fc-8f1a-1e2221c63236</x:v>
      </x:c>
      <x:c r="L1529" s="19" t="str">
        <x:v>组件待审核</x:v>
      </x:c>
      <x:c r="M1529" s="21" t="n">
        <x:v>35.251876</x:v>
      </x:c>
      <x:c r="N1529" s="21" t="n">
        <x:v>139.71504</x:v>
      </x:c>
      <x:c r="O1529" s="18" t="str">
        <x:v>005227</x:v>
      </x:c>
      <x:c r="P1529" s="18" t="str">
        <x:v>本線</x:v>
      </x:c>
      <x:c r="Q1529" s="19" t="str">
        <x:v>S12_061_GE_10000</x:v>
      </x:c>
      <x:c r="R1529" s="19" t="str">
        <x:v>S12_061 usage threshold</x:v>
      </x:c>
      <x:c r="S1529" s="19" t="str">
        <x:v>https://nlftp.mlit.go.jp/ksj/gml/datalist/KsjTmplt-S12-2024.html</x:v>
      </x:c>
      <x:c r="T1529" s="19" t="str">
        <x:v>https://nlftp.mlit.go.jp/ksj/gml/datalist/KsjTmplt-S12-2024.html</x:v>
      </x:c>
      <x:c r="U1529" s="19" t="str">
        <x:v>station-component|浦賀|京浜急行電鉄|private_rail|35.2519|139.7150|</x:v>
      </x:c>
      <x:c r="V1529" s="19" t="str">
        <x:v>005227 / 005227 / 本線</x:v>
      </x:c>
      <x:c r="W1529" s="18" t="str">
        <x:v>否</x:v>
      </x:c>
      <x:c r="X1529" s="18" t="str">
        <x:v>0785e932a32b3ec15e1a1345537ae145eafe1c07bf38d5c16c11ee2b391e7a28</x:v>
      </x:c>
      <x:c r="Y1529" s="20" t="n">
        <x:v>1</x:v>
      </x:c>
      <x:c r="Z1529" s="20" t="n">
        <x:v>1</x:v>
      </x:c>
      <x:c r="AA1529" s="19"/>
      <x:c r="AB1529" s="18"/>
      <x:c r="AC1529" s="19"/>
    </x:row>
    <x:row r="1530" ht="28" customHeight="1">
      <x:c r="A1530" s="18" t="str">
        <x:v>浮間舟渡</x:v>
      </x:c>
      <x:c r="B1530" s="18" t="str">
        <x:v>東日本旅客鉄道</x:v>
      </x:c>
      <x:c r="C1530" s="18" t="str">
        <x:v>conventional_rail</x:v>
      </x:c>
      <x:c r="D1530" s="19" t="str">
        <x:v>T2</x:v>
      </x:c>
      <x:c r="E1530" s="20" t="n">
        <x:v>43438</x:v>
      </x:c>
      <x:c r="F1530" s="18" t="str">
        <x:v>persons/day</x:v>
      </x:c>
      <x:c r="G1530" s="18" t="str">
        <x:v>FY2024</x:v>
      </x:c>
      <x:c r="H1530" s="18" t="str">
        <x:v>否</x:v>
      </x:c>
      <x:c r="I1530" s="19" t="str">
        <x:v>DAILY_ENTRIES_EXITS</x:v>
      </x:c>
      <x:c r="J1530" s="19" t="str">
        <x:v>東北線</x:v>
      </x:c>
      <x:c r="K1530" s="18" t="str">
        <x:v>transport-node:d8138f84-e88a-527b-95eb-042321629436</x:v>
      </x:c>
      <x:c r="L1530" s="19" t="str">
        <x:v>组件待审核</x:v>
      </x:c>
      <x:c r="M1530" s="21" t="n">
        <x:v>35.7912643</x:v>
      </x:c>
      <x:c r="N1530" s="21" t="n">
        <x:v>139.6914914</x:v>
      </x:c>
      <x:c r="O1530" s="18" t="str">
        <x:v>003107</x:v>
      </x:c>
      <x:c r="P1530" s="18" t="str">
        <x:v>東北線</x:v>
      </x:c>
      <x:c r="Q1530" s="19" t="str">
        <x:v>S12_061_GE_10000</x:v>
      </x:c>
      <x:c r="R1530" s="19" t="str">
        <x:v>S12_061 usage threshold</x:v>
      </x:c>
      <x:c r="S1530" s="19" t="str">
        <x:v>https://nlftp.mlit.go.jp/ksj/gml/datalist/KsjTmplt-S12-2024.html</x:v>
      </x:c>
      <x:c r="T1530" s="19" t="str">
        <x:v>https://nlftp.mlit.go.jp/ksj/gml/datalist/KsjTmplt-S12-2024.html</x:v>
      </x:c>
      <x:c r="U1530" s="19" t="str">
        <x:v>station-component|浮間舟渡|東日本旅客鉄道|conventional_rail|35.7913|139.6915|</x:v>
      </x:c>
      <x:c r="V1530" s="19" t="str">
        <x:v>003107 / 003107 / 東北線</x:v>
      </x:c>
      <x:c r="W1530" s="18" t="str">
        <x:v>否</x:v>
      </x:c>
      <x:c r="X1530" s="18" t="str">
        <x:v>0785e932a32b3ec15e1a1345537ae145eafe1c07bf38d5c16c11ee2b391e7a28</x:v>
      </x:c>
      <x:c r="Y1530" s="20" t="n">
        <x:v>1</x:v>
      </x:c>
      <x:c r="Z1530" s="20" t="n">
        <x:v>1</x:v>
      </x:c>
      <x:c r="AA1530" s="19"/>
      <x:c r="AB1530" s="18"/>
      <x:c r="AC1530" s="19"/>
    </x:row>
    <x:row r="1531" ht="28" customHeight="1">
      <x:c r="A1531" s="18" t="str">
        <x:v>海浜幕張</x:v>
      </x:c>
      <x:c r="B1531" s="18" t="str">
        <x:v>東日本旅客鉄道</x:v>
      </x:c>
      <x:c r="C1531" s="18" t="str">
        <x:v>conventional_rail</x:v>
      </x:c>
      <x:c r="D1531" s="19" t="str">
        <x:v>T1</x:v>
      </x:c>
      <x:c r="E1531" s="20" t="n">
        <x:v>113990</x:v>
      </x:c>
      <x:c r="F1531" s="18" t="str">
        <x:v>persons/day</x:v>
      </x:c>
      <x:c r="G1531" s="18" t="str">
        <x:v>FY2024</x:v>
      </x:c>
      <x:c r="H1531" s="18" t="str">
        <x:v>否</x:v>
      </x:c>
      <x:c r="I1531" s="19" t="str">
        <x:v>DAILY_ENTRIES_EXITS</x:v>
      </x:c>
      <x:c r="J1531" s="19" t="str">
        <x:v>京葉線</x:v>
      </x:c>
      <x:c r="K1531" s="18" t="str">
        <x:v>transport-node:b549e4fa-75db-5fda-94e5-a1daca0a7793</x:v>
      </x:c>
      <x:c r="L1531" s="19" t="str">
        <x:v>组件待审核</x:v>
      </x:c>
      <x:c r="M1531" s="21" t="n">
        <x:v>35.6484</x:v>
      </x:c>
      <x:c r="N1531" s="21" t="n">
        <x:v>140.041995</x:v>
      </x:c>
      <x:c r="O1531" s="18" t="str">
        <x:v>003984</x:v>
      </x:c>
      <x:c r="P1531" s="18" t="str">
        <x:v>京葉線</x:v>
      </x:c>
      <x:c r="Q1531" s="19" t="str">
        <x:v>S12_061_GE_10000</x:v>
      </x:c>
      <x:c r="R1531" s="19" t="str">
        <x:v>S12_061 usage threshold</x:v>
      </x:c>
      <x:c r="S1531" s="19" t="str">
        <x:v>https://nlftp.mlit.go.jp/ksj/gml/datalist/KsjTmplt-S12-2024.html</x:v>
      </x:c>
      <x:c r="T1531" s="19" t="str">
        <x:v>https://nlftp.mlit.go.jp/ksj/gml/datalist/KsjTmplt-S12-2024.html</x:v>
      </x:c>
      <x:c r="U1531" s="19" t="str">
        <x:v>station-component|海浜幕張|東日本旅客鉄道|conventional_rail|35.6484|140.0420|</x:v>
      </x:c>
      <x:c r="V1531" s="19" t="str">
        <x:v>003984 / 003984 / 京葉線</x:v>
      </x:c>
      <x:c r="W1531" s="18" t="str">
        <x:v>否</x:v>
      </x:c>
      <x:c r="X1531" s="18" t="str">
        <x:v>0785e932a32b3ec15e1a1345537ae145eafe1c07bf38d5c16c11ee2b391e7a28</x:v>
      </x:c>
      <x:c r="Y1531" s="20" t="n">
        <x:v>1</x:v>
      </x:c>
      <x:c r="Z1531" s="20" t="n">
        <x:v>1</x:v>
      </x:c>
      <x:c r="AA1531" s="19"/>
      <x:c r="AB1531" s="18"/>
      <x:c r="AC1531" s="19"/>
    </x:row>
    <x:row r="1532" ht="33" customHeight="1">
      <x:c r="A1532" s="18" t="str">
        <x:v>海田市</x:v>
      </x:c>
      <x:c r="B1532" s="18" t="str">
        <x:v>西日本旅客鉄道</x:v>
      </x:c>
      <x:c r="C1532" s="18" t="str">
        <x:v>conventional_rail</x:v>
      </x:c>
      <x:c r="D1532" s="19" t="str">
        <x:v>T2</x:v>
      </x:c>
      <x:c r="E1532" s="20" t="n">
        <x:v>19258</x:v>
      </x:c>
      <x:c r="F1532" s="18" t="str">
        <x:v>persons/day</x:v>
      </x:c>
      <x:c r="G1532" s="18" t="str">
        <x:v>FY2024</x:v>
      </x:c>
      <x:c r="H1532" s="18" t="str">
        <x:v>否</x:v>
      </x:c>
      <x:c r="I1532" s="19" t="str">
        <x:v>DAILY_ENTRIES_EXITS</x:v>
      </x:c>
      <x:c r="J1532" s="19" t="str">
        <x:v>呉線
山陽線</x:v>
      </x:c>
      <x:c r="K1532" s="18" t="str">
        <x:v>transport-node:e45639ab-23eb-5f12-bf17-a8216a0adad8</x:v>
      </x:c>
      <x:c r="L1532" s="19" t="str">
        <x:v>组件待审核</x:v>
      </x:c>
      <x:c r="M1532" s="21" t="n">
        <x:v>34.37203</x:v>
      </x:c>
      <x:c r="N1532" s="21" t="n">
        <x:v>132.530935</x:v>
      </x:c>
      <x:c r="O1532" s="18" t="str">
        <x:v>008122</x:v>
      </x:c>
      <x:c r="P1532" s="18" t="str">
        <x:v>山陽線</x:v>
      </x:c>
      <x:c r="Q1532" s="19" t="str">
        <x:v>S12_061_GE_10000</x:v>
      </x:c>
      <x:c r="R1532" s="19" t="str">
        <x:v>S12_061 usage threshold</x:v>
      </x:c>
      <x:c r="S1532" s="19" t="str">
        <x:v>https://nlftp.mlit.go.jp/ksj/gml/datalist/KsjTmplt-S12-2024.html</x:v>
      </x:c>
      <x:c r="T1532" s="19" t="str">
        <x:v>https://nlftp.mlit.go.jp/ksj/gml/datalist/KsjTmplt-S12-2024.html</x:v>
      </x:c>
      <x:c r="U1532" s="19" t="str">
        <x:v>station-component|海田市|西日本旅客鉄道|conventional_rail|34.3720|132.5309|</x:v>
      </x:c>
      <x:c r="V1532" s="19" t="str">
        <x:v>008122 / 008122 / 山陽線
008122 / 008123 / 呉線</x:v>
      </x:c>
      <x:c r="W1532" s="18" t="str">
        <x:v>否</x:v>
      </x:c>
      <x:c r="X1532" s="18" t="str">
        <x:v>0785e932a32b3ec15e1a1345537ae145eafe1c07bf38d5c16c11ee2b391e7a28</x:v>
      </x:c>
      <x:c r="Y1532" s="20" t="n">
        <x:v>1</x:v>
      </x:c>
      <x:c r="Z1532" s="20" t="n">
        <x:v>1</x:v>
      </x:c>
      <x:c r="AA1532" s="19"/>
      <x:c r="AB1532" s="18"/>
      <x:c r="AC1532" s="19"/>
    </x:row>
    <x:row r="1533" ht="33" customHeight="1">
      <x:c r="A1533" s="18" t="str">
        <x:v>海老名</x:v>
      </x:c>
      <x:c r="B1533" s="18" t="str">
        <x:v>小田急電鉄</x:v>
      </x:c>
      <x:c r="C1533" s="18" t="str">
        <x:v>private_rail</x:v>
      </x:c>
      <x:c r="D1533" s="19" t="str">
        <x:v>T1</x:v>
      </x:c>
      <x:c r="E1533" s="20" t="n">
        <x:v>136007</x:v>
      </x:c>
      <x:c r="F1533" s="18" t="str">
        <x:v>persons/day</x:v>
      </x:c>
      <x:c r="G1533" s="18" t="str">
        <x:v>FY2024</x:v>
      </x:c>
      <x:c r="H1533" s="18" t="str">
        <x:v>否</x:v>
      </x:c>
      <x:c r="I1533" s="19" t="str">
        <x:v>DAILY_ENTRIES_EXITS</x:v>
      </x:c>
      <x:c r="J1533" s="19" t="str">
        <x:v>小田原線</x:v>
      </x:c>
      <x:c r="K1533" s="18" t="str">
        <x:v>transport-node:7771f3fe-73ac-571a-9579-28a8bfe67aad</x:v>
      </x:c>
      <x:c r="L1533" s="19" t="str">
        <x:v>组件待审核</x:v>
      </x:c>
      <x:c r="M1533" s="21" t="n">
        <x:v>35.4529475</x:v>
      </x:c>
      <x:c r="N1533" s="21" t="n">
        <x:v>139.3910975</x:v>
      </x:c>
      <x:c r="O1533" s="18" t="str">
        <x:v>004672</x:v>
      </x:c>
      <x:c r="P1533" s="18" t="str">
        <x:v>小田原線</x:v>
      </x:c>
      <x:c r="Q1533" s="19" t="str">
        <x:v>S12_061_GE_10000
OFFICIAL_HUB_COMPONENT_REVIEW</x:v>
      </x:c>
      <x:c r="R1533" s="19" t="str">
        <x:v>S12_061 usage threshold</x:v>
      </x:c>
      <x:c r="S1533" s="19" t="str">
        <x:v>https://nlftp.mlit.go.jp/ksj/gml/datalist/KsjTmplt-S12-2024.html</x:v>
      </x:c>
      <x:c r="T1533" s="19" t="str">
        <x:v>https://nlftp.mlit.go.jp/ksj/gml/datalist/KsjTmplt-S12-2024.html
https://www.odakyu.jp/station/</x:v>
      </x:c>
      <x:c r="U1533" s="19" t="str">
        <x:v>station-component|海老名|小田急電鉄|private_rail|35.4529|139.3911|</x:v>
      </x:c>
      <x:c r="V1533" s="19" t="str">
        <x:v>004672 / 004672 / 小田原線</x:v>
      </x:c>
      <x:c r="W1533" s="18" t="str">
        <x:v>否</x:v>
      </x:c>
      <x:c r="X1533" s="18" t="str">
        <x:v>0785e932a32b3ec15e1a1345537ae145eafe1c07bf38d5c16c11ee2b391e7a28</x:v>
      </x:c>
      <x:c r="Y1533" s="20" t="n">
        <x:v>1</x:v>
      </x:c>
      <x:c r="Z1533" s="20" t="n">
        <x:v>1</x:v>
      </x:c>
      <x:c r="AA1533" s="19" t="str">
        <x:v>海老名</x:v>
      </x:c>
      <x:c r="AB1533" s="18" t="str">
        <x:v>transport-hub-review:8f822fb8-d1c6-5bb8-b308-4640ed98e9db</x:v>
      </x:c>
      <x:c r="AC1533" s="19"/>
    </x:row>
    <x:row r="1534" ht="33" customHeight="1">
      <x:c r="A1534" s="18" t="str">
        <x:v>海老名</x:v>
      </x:c>
      <x:c r="B1534" s="18" t="str">
        <x:v>東日本旅客鉄道</x:v>
      </x:c>
      <x:c r="C1534" s="18" t="str">
        <x:v>conventional_rail</x:v>
      </x:c>
      <x:c r="D1534" s="19" t="str">
        <x:v>T2</x:v>
      </x:c>
      <x:c r="E1534" s="20" t="n">
        <x:v>28452</x:v>
      </x:c>
      <x:c r="F1534" s="18" t="str">
        <x:v>persons/day</x:v>
      </x:c>
      <x:c r="G1534" s="18" t="str">
        <x:v>FY2024</x:v>
      </x:c>
      <x:c r="H1534" s="18" t="str">
        <x:v>否</x:v>
      </x:c>
      <x:c r="I1534" s="19" t="str">
        <x:v>DAILY_ENTRIES_EXITS</x:v>
      </x:c>
      <x:c r="J1534" s="19" t="str">
        <x:v>相模線</x:v>
      </x:c>
      <x:c r="K1534" s="18" t="str">
        <x:v>transport-node:bafb8c07-b270-55ac-9a4d-88f97f9709bf</x:v>
      </x:c>
      <x:c r="L1534" s="19" t="str">
        <x:v>组件待审核</x:v>
      </x:c>
      <x:c r="M1534" s="21" t="n">
        <x:v>35.45423</x:v>
      </x:c>
      <x:c r="N1534" s="21" t="n">
        <x:v>139.3893</x:v>
      </x:c>
      <x:c r="O1534" s="18" t="str">
        <x:v>004666</x:v>
      </x:c>
      <x:c r="P1534" s="18" t="str">
        <x:v>相模線</x:v>
      </x:c>
      <x:c r="Q1534" s="19" t="str">
        <x:v>S12_061_GE_10000
OFFICIAL_HUB_COMPONENT_REVIEW</x:v>
      </x:c>
      <x:c r="R1534" s="19" t="str">
        <x:v>S12_061 usage threshold</x:v>
      </x:c>
      <x:c r="S1534" s="19" t="str">
        <x:v>https://nlftp.mlit.go.jp/ksj/gml/datalist/KsjTmplt-S12-2024.html</x:v>
      </x:c>
      <x:c r="T1534" s="19" t="str">
        <x:v>https://nlftp.mlit.go.jp/ksj/gml/datalist/KsjTmplt-S12-2024.html
https://www.odakyu.jp/station/</x:v>
      </x:c>
      <x:c r="U1534" s="19" t="str">
        <x:v>station-component|海老名|東日本旅客鉄道|conventional_rail|35.4542|139.3893|</x:v>
      </x:c>
      <x:c r="V1534" s="19" t="str">
        <x:v>004672 / 004666 / 相模線</x:v>
      </x:c>
      <x:c r="W1534" s="18" t="str">
        <x:v>否</x:v>
      </x:c>
      <x:c r="X1534" s="18" t="str">
        <x:v>0785e932a32b3ec15e1a1345537ae145eafe1c07bf38d5c16c11ee2b391e7a28</x:v>
      </x:c>
      <x:c r="Y1534" s="20" t="n">
        <x:v>1</x:v>
      </x:c>
      <x:c r="Z1534" s="20" t="n">
        <x:v>1</x:v>
      </x:c>
      <x:c r="AA1534" s="19" t="str">
        <x:v>海老名</x:v>
      </x:c>
      <x:c r="AB1534" s="18" t="str">
        <x:v>transport-hub-review:8f822fb8-d1c6-5bb8-b308-4640ed98e9db</x:v>
      </x:c>
      <x:c r="AC1534" s="19"/>
    </x:row>
    <x:row r="1535" ht="33" customHeight="1">
      <x:c r="A1535" s="18" t="str">
        <x:v>海老名</x:v>
      </x:c>
      <x:c r="B1535" s="18" t="str">
        <x:v>相模鉄道</x:v>
      </x:c>
      <x:c r="C1535" s="18" t="str">
        <x:v>private_rail</x:v>
      </x:c>
      <x:c r="D1535" s="19" t="str">
        <x:v>T1</x:v>
      </x:c>
      <x:c r="E1535" s="20" t="n">
        <x:v>110909</x:v>
      </x:c>
      <x:c r="F1535" s="18" t="str">
        <x:v>persons/day</x:v>
      </x:c>
      <x:c r="G1535" s="18" t="str">
        <x:v>FY2024</x:v>
      </x:c>
      <x:c r="H1535" s="18" t="str">
        <x:v>否</x:v>
      </x:c>
      <x:c r="I1535" s="19" t="str">
        <x:v>DAILY_ENTRIES_EXITS</x:v>
      </x:c>
      <x:c r="J1535" s="19" t="str">
        <x:v>相鉄本線</x:v>
      </x:c>
      <x:c r="K1535" s="18" t="str">
        <x:v>transport-node:934567d9-8d2b-5eba-8f39-42baf6b01cdc</x:v>
      </x:c>
      <x:c r="L1535" s="19" t="str">
        <x:v>组件待审核</x:v>
      </x:c>
      <x:c r="M1535" s="21" t="n">
        <x:v>35.45344</x:v>
      </x:c>
      <x:c r="N1535" s="21" t="n">
        <x:v>139.392235</x:v>
      </x:c>
      <x:c r="O1535" s="18" t="str">
        <x:v>004670</x:v>
      </x:c>
      <x:c r="P1535" s="18" t="str">
        <x:v>相鉄本線</x:v>
      </x:c>
      <x:c r="Q1535" s="19" t="str">
        <x:v>S12_061_GE_10000
OFFICIAL_HUB_COMPONENT_REVIEW</x:v>
      </x:c>
      <x:c r="R1535" s="19" t="str">
        <x:v>S12_061 usage threshold</x:v>
      </x:c>
      <x:c r="S1535" s="19" t="str">
        <x:v>https://nlftp.mlit.go.jp/ksj/gml/datalist/KsjTmplt-S12-2024.html</x:v>
      </x:c>
      <x:c r="T1535" s="19" t="str">
        <x:v>https://nlftp.mlit.go.jp/ksj/gml/datalist/KsjTmplt-S12-2024.html
https://www.odakyu.jp/station/</x:v>
      </x:c>
      <x:c r="U1535" s="19" t="str">
        <x:v>station-component|海老名|相模鉄道|private_rail|35.4534|139.3922|</x:v>
      </x:c>
      <x:c r="V1535" s="19" t="str">
        <x:v>004672 / 004670 / 相鉄本線</x:v>
      </x:c>
      <x:c r="W1535" s="18" t="str">
        <x:v>否</x:v>
      </x:c>
      <x:c r="X1535" s="18" t="str">
        <x:v>0785e932a32b3ec15e1a1345537ae145eafe1c07bf38d5c16c11ee2b391e7a28</x:v>
      </x:c>
      <x:c r="Y1535" s="20" t="n">
        <x:v>1</x:v>
      </x:c>
      <x:c r="Z1535" s="20" t="n">
        <x:v>1</x:v>
      </x:c>
      <x:c r="AA1535" s="19" t="str">
        <x:v>海老名</x:v>
      </x:c>
      <x:c r="AB1535" s="18" t="str">
        <x:v>transport-hub-review:8f822fb8-d1c6-5bb8-b308-4640ed98e9db</x:v>
      </x:c>
      <x:c r="AC1535" s="19"/>
    </x:row>
    <x:row r="1536" ht="33" customHeight="1">
      <x:c r="A1536" s="18" t="str">
        <x:v>海老江</x:v>
      </x:c>
      <x:c r="B1536" s="18" t="str">
        <x:v>西日本旅客鉄道</x:v>
      </x:c>
      <x:c r="C1536" s="18" t="str">
        <x:v>conventional_rail</x:v>
      </x:c>
      <x:c r="D1536" s="19" t="str">
        <x:v>T2</x:v>
      </x:c>
      <x:c r="E1536" s="20" t="n">
        <x:v>24310</x:v>
      </x:c>
      <x:c r="F1536" s="18" t="str">
        <x:v>persons/day</x:v>
      </x:c>
      <x:c r="G1536" s="18" t="str">
        <x:v>FY2024</x:v>
      </x:c>
      <x:c r="H1536" s="18" t="str">
        <x:v>否</x:v>
      </x:c>
      <x:c r="I1536" s="19" t="str">
        <x:v>DAILY_ENTRIES_EXITS</x:v>
      </x:c>
      <x:c r="J1536" s="19" t="str">
        <x:v>JR東西線</x:v>
      </x:c>
      <x:c r="K1536" s="18" t="str">
        <x:v>transport-node:8b46b1d6-415c-583f-a673-2f98a4aad10d</x:v>
      </x:c>
      <x:c r="L1536" s="19" t="str">
        <x:v>组件待审核</x:v>
      </x:c>
      <x:c r="M1536" s="21" t="n">
        <x:v>34.695645</x:v>
      </x:c>
      <x:c r="N1536" s="21" t="n">
        <x:v>135.47297</x:v>
      </x:c>
      <x:c r="O1536" s="18" t="str">
        <x:v>007102</x:v>
      </x:c>
      <x:c r="P1536" s="18" t="str">
        <x:v>JR東西線</x:v>
      </x:c>
      <x:c r="Q1536" s="19" t="str">
        <x:v>S12_061_GE_10000
OFFICIAL_HUB_COMPONENT_REVIEW</x:v>
      </x:c>
      <x:c r="R1536" s="19" t="str">
        <x:v>S12_061 usage threshold</x:v>
      </x:c>
      <x:c r="S1536" s="19" t="str">
        <x:v>https://nlftp.mlit.go.jp/ksj/gml/datalist/KsjTmplt-S12-2024.html</x:v>
      </x:c>
      <x:c r="T1536" s="19" t="str">
        <x:v>https://nlftp.mlit.go.jp/ksj/gml/datalist/KsjTmplt-S12-2024.html
https://subway.osakametro.co.jp/station_guide/S/s11/index.php</x:v>
      </x:c>
      <x:c r="U1536" s="19" t="str">
        <x:v>station-component|海老江|西日本旅客鉄道|conventional_rail|34.6956|135.4730|</x:v>
      </x:c>
      <x:c r="V1536" s="19" t="str">
        <x:v>007102 / 007102 / JR東西線</x:v>
      </x:c>
      <x:c r="W1536" s="18" t="str">
        <x:v>否</x:v>
      </x:c>
      <x:c r="X1536" s="18" t="str">
        <x:v>0785e932a32b3ec15e1a1345537ae145eafe1c07bf38d5c16c11ee2b391e7a28</x:v>
      </x:c>
      <x:c r="Y1536" s="20" t="n">
        <x:v>1</x:v>
      </x:c>
      <x:c r="Z1536" s="20" t="n">
        <x:v>1</x:v>
      </x:c>
      <x:c r="AA1536" s="19" t="str">
        <x:v>野田阪神・海老江</x:v>
      </x:c>
      <x:c r="AB1536" s="18" t="str">
        <x:v>transport-hub-review:6256b4d7-fe6b-501e-a6af-769d527fad18</x:v>
      </x:c>
      <x:c r="AC1536" s="19"/>
    </x:row>
    <x:row r="1537" ht="28" customHeight="1">
      <x:c r="A1537" s="18" t="str">
        <x:v>淀</x:v>
      </x:c>
      <x:c r="B1537" s="18" t="str">
        <x:v>京阪電気鉄道</x:v>
      </x:c>
      <x:c r="C1537" s="18" t="str">
        <x:v>private_rail</x:v>
      </x:c>
      <x:c r="D1537" s="19" t="str">
        <x:v>T2</x:v>
      </x:c>
      <x:c r="E1537" s="20" t="n">
        <x:v>14217</x:v>
      </x:c>
      <x:c r="F1537" s="18" t="str">
        <x:v>persons/day</x:v>
      </x:c>
      <x:c r="G1537" s="18" t="str">
        <x:v>FY2024</x:v>
      </x:c>
      <x:c r="H1537" s="18" t="str">
        <x:v>否</x:v>
      </x:c>
      <x:c r="I1537" s="19" t="str">
        <x:v>DAILY_ENTRIES_EXITS</x:v>
      </x:c>
      <x:c r="J1537" s="19" t="str">
        <x:v>京阪本線</x:v>
      </x:c>
      <x:c r="K1537" s="18" t="str">
        <x:v>transport-node:e65fc1e6-31e7-5d76-8e6a-61007822f5fb</x:v>
      </x:c>
      <x:c r="L1537" s="19" t="str">
        <x:v>组件待审核</x:v>
      </x:c>
      <x:c r="M1537" s="21" t="n">
        <x:v>34.9065155</x:v>
      </x:c>
      <x:c r="N1537" s="21" t="n">
        <x:v>135.720996</x:v>
      </x:c>
      <x:c r="O1537" s="18" t="str">
        <x:v>006293</x:v>
      </x:c>
      <x:c r="P1537" s="18" t="str">
        <x:v>京阪本線</x:v>
      </x:c>
      <x:c r="Q1537" s="19" t="str">
        <x:v>S12_061_GE_10000</x:v>
      </x:c>
      <x:c r="R1537" s="19" t="str">
        <x:v>S12_061 usage threshold</x:v>
      </x:c>
      <x:c r="S1537" s="19" t="str">
        <x:v>https://nlftp.mlit.go.jp/ksj/gml/datalist/KsjTmplt-S12-2024.html</x:v>
      </x:c>
      <x:c r="T1537" s="19" t="str">
        <x:v>https://nlftp.mlit.go.jp/ksj/gml/datalist/KsjTmplt-S12-2024.html</x:v>
      </x:c>
      <x:c r="U1537" s="19" t="str">
        <x:v>station-component|淀|京阪電気鉄道|private_rail|34.9065|135.7210|</x:v>
      </x:c>
      <x:c r="V1537" s="19" t="str">
        <x:v>006293 / 006293 / 京阪本線</x:v>
      </x:c>
      <x:c r="W1537" s="18" t="str">
        <x:v>否</x:v>
      </x:c>
      <x:c r="X1537" s="18" t="str">
        <x:v>0785e932a32b3ec15e1a1345537ae145eafe1c07bf38d5c16c11ee2b391e7a28</x:v>
      </x:c>
      <x:c r="Y1537" s="20" t="n">
        <x:v>1</x:v>
      </x:c>
      <x:c r="Z1537" s="20" t="n">
        <x:v>1</x:v>
      </x:c>
      <x:c r="AA1537" s="19"/>
      <x:c r="AB1537" s="18"/>
      <x:c r="AC1537" s="19"/>
    </x:row>
    <x:row r="1538" ht="33" customHeight="1">
      <x:c r="A1538" s="18" t="str">
        <x:v>淀屋橋</x:v>
      </x:c>
      <x:c r="B1538" s="18" t="str">
        <x:v>京阪電気鉄道</x:v>
      </x:c>
      <x:c r="C1538" s="18" t="str">
        <x:v>private_rail</x:v>
      </x:c>
      <x:c r="D1538" s="19" t="str">
        <x:v>T1</x:v>
      </x:c>
      <x:c r="E1538" s="20" t="n">
        <x:v>83154</x:v>
      </x:c>
      <x:c r="F1538" s="18" t="str">
        <x:v>persons/day</x:v>
      </x:c>
      <x:c r="G1538" s="18" t="str">
        <x:v>FY2024</x:v>
      </x:c>
      <x:c r="H1538" s="18" t="str">
        <x:v>否</x:v>
      </x:c>
      <x:c r="I1538" s="19" t="str">
        <x:v>DAILY_ENTRIES_EXITS</x:v>
      </x:c>
      <x:c r="J1538" s="19" t="str">
        <x:v>京阪本線</x:v>
      </x:c>
      <x:c r="K1538" s="18" t="str">
        <x:v>transport-node:79f40988-6e90-5550-9af0-7e7faa0b7b07</x:v>
      </x:c>
      <x:c r="L1538" s="19" t="str">
        <x:v>组件待审核</x:v>
      </x:c>
      <x:c r="M1538" s="21" t="n">
        <x:v>34.6922125</x:v>
      </x:c>
      <x:c r="N1538" s="21" t="n">
        <x:v>135.503185</x:v>
      </x:c>
      <x:c r="O1538" s="18" t="str">
        <x:v>007133</x:v>
      </x:c>
      <x:c r="P1538" s="18" t="str">
        <x:v>京阪本線</x:v>
      </x:c>
      <x:c r="Q1538" s="19" t="str">
        <x:v>S12_061_GE_10000
OFFICIAL_HUB_COMPONENT_REVIEW</x:v>
      </x:c>
      <x:c r="R1538" s="19" t="str">
        <x:v>S12_061 usage threshold</x:v>
      </x:c>
      <x:c r="S1538" s="19" t="str">
        <x:v>https://nlftp.mlit.go.jp/ksj/gml/datalist/KsjTmplt-S12-2024.html</x:v>
      </x:c>
      <x:c r="T1538" s="19" t="str">
        <x:v>https://nlftp.mlit.go.jp/ksj/gml/datalist/KsjTmplt-S12-2024.html
https://subway.osakametro.co.jp/station_guide/M/m17/index.php</x:v>
      </x:c>
      <x:c r="U1538" s="19" t="str">
        <x:v>station-component|淀屋橋|京阪電気鉄道|private_rail|34.6922|135.5032|</x:v>
      </x:c>
      <x:c r="V1538" s="19" t="str">
        <x:v>007133 / 007133 / 京阪本線</x:v>
      </x:c>
      <x:c r="W1538" s="18" t="str">
        <x:v>否</x:v>
      </x:c>
      <x:c r="X1538" s="18" t="str">
        <x:v>0785e932a32b3ec15e1a1345537ae145eafe1c07bf38d5c16c11ee2b391e7a28</x:v>
      </x:c>
      <x:c r="Y1538" s="20" t="n">
        <x:v>1</x:v>
      </x:c>
      <x:c r="Z1538" s="20" t="n">
        <x:v>1</x:v>
      </x:c>
      <x:c r="AA1538" s="19" t="str">
        <x:v>淀屋橋</x:v>
      </x:c>
      <x:c r="AB1538" s="18" t="str">
        <x:v>transport-hub-review:1fcc67fc-fe0f-592f-9b4a-f7930a2bd31e</x:v>
      </x:c>
      <x:c r="AC1538" s="19"/>
    </x:row>
    <x:row r="1539" ht="33" customHeight="1">
      <x:c r="A1539" s="18" t="str">
        <x:v>淀屋橋</x:v>
      </x:c>
      <x:c r="B1539" s="18" t="str">
        <x:v>大阪市高速電気軌道</x:v>
      </x:c>
      <x:c r="C1539" s="18" t="str">
        <x:v>metro</x:v>
      </x:c>
      <x:c r="D1539" s="19" t="str">
        <x:v>T0</x:v>
      </x:c>
      <x:c r="E1539" s="20" t="n">
        <x:v>210180</x:v>
      </x:c>
      <x:c r="F1539" s="18" t="str">
        <x:v>persons/day</x:v>
      </x:c>
      <x:c r="G1539" s="18" t="str">
        <x:v>FY2024</x:v>
      </x:c>
      <x:c r="H1539" s="18" t="str">
        <x:v>否</x:v>
      </x:c>
      <x:c r="I1539" s="19" t="str">
        <x:v>DAILY_ENTRIES_EXITS</x:v>
      </x:c>
      <x:c r="J1539" s="19" t="str">
        <x:v>1号線(御堂筋線)</x:v>
      </x:c>
      <x:c r="K1539" s="18" t="str">
        <x:v>transport-node:eb9763a9-be48-5cc1-8ded-09792114a357</x:v>
      </x:c>
      <x:c r="L1539" s="19" t="str">
        <x:v>组件待审核</x:v>
      </x:c>
      <x:c r="M1539" s="21" t="n">
        <x:v>34.691305</x:v>
      </x:c>
      <x:c r="N1539" s="21" t="n">
        <x:v>135.50095</x:v>
      </x:c>
      <x:c r="O1539" s="18" t="str">
        <x:v>007142</x:v>
      </x:c>
      <x:c r="P1539" s="18" t="str">
        <x:v>1号線(御堂筋線)</x:v>
      </x:c>
      <x:c r="Q1539" s="19" t="str">
        <x:v>S12_061_GE_10000
OFFICIAL_HUB_COMPONENT_REVIEW</x:v>
      </x:c>
      <x:c r="R1539" s="19" t="str">
        <x:v>S12_061 usage threshold</x:v>
      </x:c>
      <x:c r="S1539" s="19" t="str">
        <x:v>https://nlftp.mlit.go.jp/ksj/gml/datalist/KsjTmplt-S12-2024.html</x:v>
      </x:c>
      <x:c r="T1539" s="19" t="str">
        <x:v>https://nlftp.mlit.go.jp/ksj/gml/datalist/KsjTmplt-S12-2024.html
https://subway.osakametro.co.jp/station_guide/M/m17/index.php</x:v>
      </x:c>
      <x:c r="U1539" s="19" t="str">
        <x:v>station-component|淀屋橋|大阪市高速電気軌道|metro|34.6913|135.5009|</x:v>
      </x:c>
      <x:c r="V1539" s="19" t="str">
        <x:v>007133 / 007142 / 1号線(御堂筋線)</x:v>
      </x:c>
      <x:c r="W1539" s="18" t="str">
        <x:v>否</x:v>
      </x:c>
      <x:c r="X1539" s="18" t="str">
        <x:v>0785e932a32b3ec15e1a1345537ae145eafe1c07bf38d5c16c11ee2b391e7a28</x:v>
      </x:c>
      <x:c r="Y1539" s="20" t="n">
        <x:v>1</x:v>
      </x:c>
      <x:c r="Z1539" s="20" t="n">
        <x:v>1</x:v>
      </x:c>
      <x:c r="AA1539" s="19" t="str">
        <x:v>淀屋橋</x:v>
      </x:c>
      <x:c r="AB1539" s="18" t="str">
        <x:v>transport-hub-review:1fcc67fc-fe0f-592f-9b4a-f7930a2bd31e</x:v>
      </x:c>
      <x:c r="AC1539" s="19"/>
    </x:row>
    <x:row r="1540" ht="33" customHeight="1">
      <x:c r="A1540" s="18" t="str">
        <x:v>淡路</x:v>
      </x:c>
      <x:c r="B1540" s="18" t="str">
        <x:v>阪急電鉄</x:v>
      </x:c>
      <x:c r="C1540" s="18" t="str">
        <x:v>private_rail</x:v>
      </x:c>
      <x:c r="D1540" s="19" t="str">
        <x:v>T2</x:v>
      </x:c>
      <x:c r="E1540" s="20" t="n">
        <x:v>37652</x:v>
      </x:c>
      <x:c r="F1540" s="18" t="str">
        <x:v>persons/day</x:v>
      </x:c>
      <x:c r="G1540" s="18" t="str">
        <x:v>FY2024</x:v>
      </x:c>
      <x:c r="H1540" s="18" t="str">
        <x:v>否</x:v>
      </x:c>
      <x:c r="I1540" s="19" t="str">
        <x:v>DAILY_ENTRIES_EXITS</x:v>
      </x:c>
      <x:c r="J1540" s="19" t="str">
        <x:v>京都線
千里線</x:v>
      </x:c>
      <x:c r="K1540" s="18" t="str">
        <x:v>transport-node:6aae32fd-0776-5dcb-b4c9-b0a852a6a25c</x:v>
      </x:c>
      <x:c r="L1540" s="19" t="str">
        <x:v>组件待审核</x:v>
      </x:c>
      <x:c r="M1540" s="21" t="n">
        <x:v>34.73938</x:v>
      </x:c>
      <x:c r="N1540" s="21" t="n">
        <x:v>135.516975</x:v>
      </x:c>
      <x:c r="O1540" s="18" t="str">
        <x:v>006876</x:v>
      </x:c>
      <x:c r="P1540" s="18" t="str">
        <x:v>京都線</x:v>
      </x:c>
      <x:c r="Q1540" s="19" t="str">
        <x:v>S12_061_GE_10000</x:v>
      </x:c>
      <x:c r="R1540" s="19" t="str">
        <x:v>S12_061 usage threshold</x:v>
      </x:c>
      <x:c r="S1540" s="19" t="str">
        <x:v>https://nlftp.mlit.go.jp/ksj/gml/datalist/KsjTmplt-S12-2024.html</x:v>
      </x:c>
      <x:c r="T1540" s="19" t="str">
        <x:v>https://nlftp.mlit.go.jp/ksj/gml/datalist/KsjTmplt-S12-2024.html</x:v>
      </x:c>
      <x:c r="U1540" s="19" t="str">
        <x:v>station-component|淡路|阪急電鉄|private_rail|34.7394|135.5170|</x:v>
      </x:c>
      <x:c r="V1540" s="19" t="str">
        <x:v>006876 / 006876 / 京都線
006876 / 006877 / 千里線</x:v>
      </x:c>
      <x:c r="W1540" s="18" t="str">
        <x:v>否</x:v>
      </x:c>
      <x:c r="X1540" s="18" t="str">
        <x:v>0785e932a32b3ec15e1a1345537ae145eafe1c07bf38d5c16c11ee2b391e7a28</x:v>
      </x:c>
      <x:c r="Y1540" s="20" t="n">
        <x:v>1</x:v>
      </x:c>
      <x:c r="Z1540" s="20" t="n">
        <x:v>1</x:v>
      </x:c>
      <x:c r="AA1540" s="19"/>
      <x:c r="AB1540" s="18"/>
      <x:c r="AC1540" s="19"/>
    </x:row>
    <x:row r="1541" ht="28" customHeight="1">
      <x:c r="A1541" s="18" t="str">
        <x:v>淡路町</x:v>
      </x:c>
      <x:c r="B1541" s="18" t="str">
        <x:v>東京地下鉄</x:v>
      </x:c>
      <x:c r="C1541" s="18" t="str">
        <x:v>metro</x:v>
      </x:c>
      <x:c r="D1541" s="19" t="str">
        <x:v>T1</x:v>
      </x:c>
      <x:c r="E1541" s="20" t="n">
        <x:v>57894</x:v>
      </x:c>
      <x:c r="F1541" s="18" t="str">
        <x:v>persons/day</x:v>
      </x:c>
      <x:c r="G1541" s="18" t="str">
        <x:v>FY2024</x:v>
      </x:c>
      <x:c r="H1541" s="18" t="str">
        <x:v>否</x:v>
      </x:c>
      <x:c r="I1541" s="19" t="str">
        <x:v>DAILY_ENTRIES_EXITS</x:v>
      </x:c>
      <x:c r="J1541" s="19" t="str">
        <x:v>4号線丸ノ内線</x:v>
      </x:c>
      <x:c r="K1541" s="18" t="str">
        <x:v>transport-node:ecbb113a-7ae7-566d-b4d5-b2c0d9ba3918</x:v>
      </x:c>
      <x:c r="L1541" s="19" t="str">
        <x:v>组件待审核</x:v>
      </x:c>
      <x:c r="M1541" s="21" t="n">
        <x:v>35.69487</x:v>
      </x:c>
      <x:c r="N1541" s="21" t="n">
        <x:v>139.767455</x:v>
      </x:c>
      <x:c r="O1541" s="18" t="str">
        <x:v>003661</x:v>
      </x:c>
      <x:c r="P1541" s="18" t="str">
        <x:v>4号線丸ノ内線</x:v>
      </x:c>
      <x:c r="Q1541" s="19" t="str">
        <x:v>S12_061_GE_10000</x:v>
      </x:c>
      <x:c r="R1541" s="19" t="str">
        <x:v>S12_061 usage threshold</x:v>
      </x:c>
      <x:c r="S1541" s="19" t="str">
        <x:v>https://nlftp.mlit.go.jp/ksj/gml/datalist/KsjTmplt-S12-2024.html</x:v>
      </x:c>
      <x:c r="T1541" s="19" t="str">
        <x:v>https://nlftp.mlit.go.jp/ksj/gml/datalist/KsjTmplt-S12-2024.html</x:v>
      </x:c>
      <x:c r="U1541" s="19" t="str">
        <x:v>station-component|淡路町|東京地下鉄|metro|35.6949|139.7675|</x:v>
      </x:c>
      <x:c r="V1541" s="19" t="str">
        <x:v>003661 / 003661 / 4号線丸ノ内線</x:v>
      </x:c>
      <x:c r="W1541" s="18" t="str">
        <x:v>否</x:v>
      </x:c>
      <x:c r="X1541" s="18" t="str">
        <x:v>0785e932a32b3ec15e1a1345537ae145eafe1c07bf38d5c16c11ee2b391e7a28</x:v>
      </x:c>
      <x:c r="Y1541" s="20" t="n">
        <x:v>1</x:v>
      </x:c>
      <x:c r="Z1541" s="20" t="n">
        <x:v>1</x:v>
      </x:c>
      <x:c r="AA1541" s="19"/>
      <x:c r="AB1541" s="18"/>
      <x:c r="AC1541" s="19"/>
    </x:row>
    <x:row r="1542" ht="47" customHeight="1">
      <x:c r="A1542" s="18" t="str">
        <x:v>深井</x:v>
      </x:c>
      <x:c r="B1542" s="18" t="str">
        <x:v>泉北高速鉄道</x:v>
      </x:c>
      <x:c r="C1542" s="18" t="str">
        <x:v>private_rail</x:v>
      </x:c>
      <x:c r="D1542" s="19" t="str">
        <x:v>T2</x:v>
      </x:c>
      <x:c r="E1542" s="20" t="n">
        <x:v>24533</x:v>
      </x:c>
      <x:c r="F1542" s="18" t="str">
        <x:v>persons/day</x:v>
      </x:c>
      <x:c r="G1542" s="18" t="str">
        <x:v>FY2024</x:v>
      </x:c>
      <x:c r="H1542" s="18" t="str">
        <x:v>否</x:v>
      </x:c>
      <x:c r="I1542" s="19" t="str">
        <x:v>DAILY_ENTRIES_EXITS</x:v>
      </x:c>
      <x:c r="J1542" s="19" t="str">
        <x:v>泉北高速鉄道線</x:v>
      </x:c>
      <x:c r="K1542" s="18" t="str">
        <x:v>transport-node:bf9a683b-be2e-5d3c-961d-b929bcce39b3</x:v>
      </x:c>
      <x:c r="L1542" s="19" t="str">
        <x:v>组件待审核</x:v>
      </x:c>
      <x:c r="M1542" s="21" t="n">
        <x:v>34.53035</x:v>
      </x:c>
      <x:c r="N1542" s="21" t="n">
        <x:v>135.49755</x:v>
      </x:c>
      <x:c r="O1542" s="18" t="str">
        <x:v>007776</x:v>
      </x:c>
      <x:c r="P1542" s="18" t="str">
        <x:v>泉北高速鉄道線</x:v>
      </x:c>
      <x:c r="Q1542" s="19" t="str">
        <x:v>S12_061_GE_10000</x:v>
      </x:c>
      <x:c r="R1542" s="19" t="str">
        <x:v>S12_061 usage threshold</x:v>
      </x:c>
      <x:c r="S1542" s="19" t="str">
        <x:v>https://nlftp.mlit.go.jp/ksj/gml/datalist/KsjTmplt-S12-2024.html</x:v>
      </x:c>
      <x:c r="T1542" s="19" t="str">
        <x:v>https://nlftp.mlit.go.jp/ksj/gml/datalist/KsjTmplt-S12-2024.html</x:v>
      </x:c>
      <x:c r="U1542" s="19" t="str">
        <x:v>station-component|深井|泉北高速鉄道|private_rail|34.5303|135.4975|</x:v>
      </x:c>
      <x:c r="V1542" s="19" t="str">
        <x:v>007776 / 007776 / 泉北高速鉄道線</x:v>
      </x:c>
      <x:c r="W1542" s="18" t="str">
        <x:v>否</x:v>
      </x:c>
      <x:c r="X1542" s="18" t="str">
        <x:v>0785e932a32b3ec15e1a1345537ae145eafe1c07bf38d5c16c11ee2b391e7a28</x:v>
      </x:c>
      <x:c r="Y1542" s="20" t="n">
        <x:v>1</x:v>
      </x:c>
      <x:c r="Z1542" s="20" t="n">
        <x:v>1</x:v>
      </x:c>
      <x:c r="AA1542" s="19"/>
      <x:c r="AB1542" s="18"/>
      <x:c r="AC1542" s="19" t="str">
        <x:v>{"documentedSuccessor":"南海電気鉄道","effectiveDate":"2025-04-01","historicalSourceOperator":"泉北高速鉄道","identityRebound":false,"officialSource":"https://www.nankai.co.jp/news/241101_1.html","status":"HISTORICAL_S12_OPERATOR_IDENTITY_REVIEW_REQUIRED"}</x:v>
      </x:c>
    </x:row>
    <x:row r="1543" ht="28" customHeight="1">
      <x:c r="A1543" s="18" t="str">
        <x:v>深江</x:v>
      </x:c>
      <x:c r="B1543" s="18" t="str">
        <x:v>阪神電気鉄道</x:v>
      </x:c>
      <x:c r="C1543" s="18" t="str">
        <x:v>private_rail</x:v>
      </x:c>
      <x:c r="D1543" s="19" t="str">
        <x:v>T2</x:v>
      </x:c>
      <x:c r="E1543" s="20" t="n">
        <x:v>17690</x:v>
      </x:c>
      <x:c r="F1543" s="18" t="str">
        <x:v>persons/day</x:v>
      </x:c>
      <x:c r="G1543" s="18" t="str">
        <x:v>FY2024</x:v>
      </x:c>
      <x:c r="H1543" s="18" t="str">
        <x:v>否</x:v>
      </x:c>
      <x:c r="I1543" s="19" t="str">
        <x:v>DAILY_ENTRIES_EXITS</x:v>
      </x:c>
      <x:c r="J1543" s="19" t="str">
        <x:v>本線</x:v>
      </x:c>
      <x:c r="K1543" s="18" t="str">
        <x:v>transport-node:2733df7b-ee3a-5f65-80f5-b0b1fb16e7d9</x:v>
      </x:c>
      <x:c r="L1543" s="19" t="str">
        <x:v>组件待审核</x:v>
      </x:c>
      <x:c r="M1543" s="21" t="n">
        <x:v>34.72257</x:v>
      </x:c>
      <x:c r="N1543" s="21" t="n">
        <x:v>135.29145</x:v>
      </x:c>
      <x:c r="O1543" s="18" t="str">
        <x:v>006963</x:v>
      </x:c>
      <x:c r="P1543" s="18" t="str">
        <x:v>本線</x:v>
      </x:c>
      <x:c r="Q1543" s="19" t="str">
        <x:v>S12_061_GE_10000</x:v>
      </x:c>
      <x:c r="R1543" s="19" t="str">
        <x:v>S12_061 usage threshold</x:v>
      </x:c>
      <x:c r="S1543" s="19" t="str">
        <x:v>https://nlftp.mlit.go.jp/ksj/gml/datalist/KsjTmplt-S12-2024.html</x:v>
      </x:c>
      <x:c r="T1543" s="19" t="str">
        <x:v>https://nlftp.mlit.go.jp/ksj/gml/datalist/KsjTmplt-S12-2024.html</x:v>
      </x:c>
      <x:c r="U1543" s="19" t="str">
        <x:v>station-component|深江|阪神電気鉄道|private_rail|34.7226|135.2914|</x:v>
      </x:c>
      <x:c r="V1543" s="19" t="str">
        <x:v>006963 / 006963 / 本線</x:v>
      </x:c>
      <x:c r="W1543" s="18" t="str">
        <x:v>否</x:v>
      </x:c>
      <x:c r="X1543" s="18" t="str">
        <x:v>0785e932a32b3ec15e1a1345537ae145eafe1c07bf38d5c16c11ee2b391e7a28</x:v>
      </x:c>
      <x:c r="Y1543" s="20" t="n">
        <x:v>1</x:v>
      </x:c>
      <x:c r="Z1543" s="20" t="n">
        <x:v>1</x:v>
      </x:c>
      <x:c r="AA1543" s="19"/>
      <x:c r="AB1543" s="18"/>
      <x:c r="AC1543" s="19"/>
    </x:row>
    <x:row r="1544" ht="28" customHeight="1">
      <x:c r="A1544" s="18" t="str">
        <x:v>深江橋</x:v>
      </x:c>
      <x:c r="B1544" s="18" t="str">
        <x:v>大阪市高速電気軌道</x:v>
      </x:c>
      <x:c r="C1544" s="18" t="str">
        <x:v>metro</x:v>
      </x:c>
      <x:c r="D1544" s="19" t="str">
        <x:v>T2</x:v>
      </x:c>
      <x:c r="E1544" s="20" t="n">
        <x:v>21759</x:v>
      </x:c>
      <x:c r="F1544" s="18" t="str">
        <x:v>persons/day</x:v>
      </x:c>
      <x:c r="G1544" s="18" t="str">
        <x:v>FY2024</x:v>
      </x:c>
      <x:c r="H1544" s="18" t="str">
        <x:v>否</x:v>
      </x:c>
      <x:c r="I1544" s="19" t="str">
        <x:v>DAILY_ENTRIES_EXITS</x:v>
      </x:c>
      <x:c r="J1544" s="19" t="str">
        <x:v>4号線(中央線)</x:v>
      </x:c>
      <x:c r="K1544" s="18" t="str">
        <x:v>transport-node:8d7b0fcd-97bb-5dac-9517-d379cc97d5b1</x:v>
      </x:c>
      <x:c r="L1544" s="19" t="str">
        <x:v>组件待审核</x:v>
      </x:c>
      <x:c r="M1544" s="21" t="n">
        <x:v>34.6791633</x:v>
      </x:c>
      <x:c r="N1544" s="21" t="n">
        <x:v>135.55706</x:v>
      </x:c>
      <x:c r="O1544" s="18" t="str">
        <x:v>007226</x:v>
      </x:c>
      <x:c r="P1544" s="18" t="str">
        <x:v>4号線(中央線)</x:v>
      </x:c>
      <x:c r="Q1544" s="19" t="str">
        <x:v>S12_061_GE_10000</x:v>
      </x:c>
      <x:c r="R1544" s="19" t="str">
        <x:v>S12_061 usage threshold</x:v>
      </x:c>
      <x:c r="S1544" s="19" t="str">
        <x:v>https://nlftp.mlit.go.jp/ksj/gml/datalist/KsjTmplt-S12-2024.html</x:v>
      </x:c>
      <x:c r="T1544" s="19" t="str">
        <x:v>https://nlftp.mlit.go.jp/ksj/gml/datalist/KsjTmplt-S12-2024.html</x:v>
      </x:c>
      <x:c r="U1544" s="19" t="str">
        <x:v>station-component|深江橋|大阪市高速電気軌道|metro|34.6792|135.5571|</x:v>
      </x:c>
      <x:c r="V1544" s="19" t="str">
        <x:v>007226 / 007226 / 4号線(中央線)</x:v>
      </x:c>
      <x:c r="W1544" s="18" t="str">
        <x:v>否</x:v>
      </x:c>
      <x:c r="X1544" s="18" t="str">
        <x:v>0785e932a32b3ec15e1a1345537ae145eafe1c07bf38d5c16c11ee2b391e7a28</x:v>
      </x:c>
      <x:c r="Y1544" s="20" t="n">
        <x:v>1</x:v>
      </x:c>
      <x:c r="Z1544" s="20" t="n">
        <x:v>1</x:v>
      </x:c>
      <x:c r="AA1544" s="19"/>
      <x:c r="AB1544" s="18"/>
      <x:c r="AC1544" s="19"/>
    </x:row>
    <x:row r="1545" ht="28" customHeight="1">
      <x:c r="A1545" s="18" t="str">
        <x:v>深谷</x:v>
      </x:c>
      <x:c r="B1545" s="18" t="str">
        <x:v>東日本旅客鉄道</x:v>
      </x:c>
      <x:c r="C1545" s="18" t="str">
        <x:v>conventional_rail</x:v>
      </x:c>
      <x:c r="D1545" s="19" t="str">
        <x:v>T2</x:v>
      </x:c>
      <x:c r="E1545" s="20" t="n">
        <x:v>18100</x:v>
      </x:c>
      <x:c r="F1545" s="18" t="str">
        <x:v>persons/day</x:v>
      </x:c>
      <x:c r="G1545" s="18" t="str">
        <x:v>FY2024</x:v>
      </x:c>
      <x:c r="H1545" s="18" t="str">
        <x:v>否</x:v>
      </x:c>
      <x:c r="I1545" s="19" t="str">
        <x:v>DAILY_ENTRIES_EXITS</x:v>
      </x:c>
      <x:c r="J1545" s="19" t="str">
        <x:v>高崎線</x:v>
      </x:c>
      <x:c r="K1545" s="18" t="str">
        <x:v>transport-node:ed7615ae-4c39-5681-8cde-dab2393f184a</x:v>
      </x:c>
      <x:c r="L1545" s="19" t="str">
        <x:v>组件待审核</x:v>
      </x:c>
      <x:c r="M1545" s="21" t="n">
        <x:v>36.191345</x:v>
      </x:c>
      <x:c r="N1545" s="21" t="n">
        <x:v>139.281345</x:v>
      </x:c>
      <x:c r="O1545" s="18" t="str">
        <x:v>002553</x:v>
      </x:c>
      <x:c r="P1545" s="18" t="str">
        <x:v>高崎線</x:v>
      </x:c>
      <x:c r="Q1545" s="19" t="str">
        <x:v>S12_061_GE_10000</x:v>
      </x:c>
      <x:c r="R1545" s="19" t="str">
        <x:v>S12_061 usage threshold</x:v>
      </x:c>
      <x:c r="S1545" s="19" t="str">
        <x:v>https://nlftp.mlit.go.jp/ksj/gml/datalist/KsjTmplt-S12-2024.html</x:v>
      </x:c>
      <x:c r="T1545" s="19" t="str">
        <x:v>https://nlftp.mlit.go.jp/ksj/gml/datalist/KsjTmplt-S12-2024.html</x:v>
      </x:c>
      <x:c r="U1545" s="19" t="str">
        <x:v>station-component|深谷|東日本旅客鉄道|conventional_rail|36.1913|139.2813|</x:v>
      </x:c>
      <x:c r="V1545" s="19" t="str">
        <x:v>002553 / 002553 / 高崎線</x:v>
      </x:c>
      <x:c r="W1545" s="18" t="str">
        <x:v>否</x:v>
      </x:c>
      <x:c r="X1545" s="18" t="str">
        <x:v>0785e932a32b3ec15e1a1345537ae145eafe1c07bf38d5c16c11ee2b391e7a28</x:v>
      </x:c>
      <x:c r="Y1545" s="20" t="n">
        <x:v>1</x:v>
      </x:c>
      <x:c r="Z1545" s="20" t="n">
        <x:v>1</x:v>
      </x:c>
      <x:c r="AA1545" s="19"/>
      <x:c r="AB1545" s="18"/>
      <x:c r="AC1545" s="19"/>
    </x:row>
    <x:row r="1546" ht="28" customHeight="1">
      <x:c r="A1546" s="18" t="str">
        <x:v>淵野辺</x:v>
      </x:c>
      <x:c r="B1546" s="18" t="str">
        <x:v>東日本旅客鉄道</x:v>
      </x:c>
      <x:c r="C1546" s="18" t="str">
        <x:v>conventional_rail</x:v>
      </x:c>
      <x:c r="D1546" s="19" t="str">
        <x:v>T1</x:v>
      </x:c>
      <x:c r="E1546" s="20" t="n">
        <x:v>70264</x:v>
      </x:c>
      <x:c r="F1546" s="18" t="str">
        <x:v>persons/day</x:v>
      </x:c>
      <x:c r="G1546" s="18" t="str">
        <x:v>FY2024</x:v>
      </x:c>
      <x:c r="H1546" s="18" t="str">
        <x:v>否</x:v>
      </x:c>
      <x:c r="I1546" s="19" t="str">
        <x:v>DAILY_ENTRIES_EXITS</x:v>
      </x:c>
      <x:c r="J1546" s="19" t="str">
        <x:v>横浜線</x:v>
      </x:c>
      <x:c r="K1546" s="18" t="str">
        <x:v>transport-node:2e811af0-fe8a-5f2a-92ad-bea3c9c0033c</x:v>
      </x:c>
      <x:c r="L1546" s="19" t="str">
        <x:v>组件待审核</x:v>
      </x:c>
      <x:c r="M1546" s="21" t="n">
        <x:v>35.568494</x:v>
      </x:c>
      <x:c r="N1546" s="21" t="n">
        <x:v>139.395334</x:v>
      </x:c>
      <x:c r="O1546" s="18" t="str">
        <x:v>004315</x:v>
      </x:c>
      <x:c r="P1546" s="18" t="str">
        <x:v>横浜線</x:v>
      </x:c>
      <x:c r="Q1546" s="19" t="str">
        <x:v>S12_061_GE_10000</x:v>
      </x:c>
      <x:c r="R1546" s="19" t="str">
        <x:v>S12_061 usage threshold</x:v>
      </x:c>
      <x:c r="S1546" s="19" t="str">
        <x:v>https://nlftp.mlit.go.jp/ksj/gml/datalist/KsjTmplt-S12-2024.html</x:v>
      </x:c>
      <x:c r="T1546" s="19" t="str">
        <x:v>https://nlftp.mlit.go.jp/ksj/gml/datalist/KsjTmplt-S12-2024.html</x:v>
      </x:c>
      <x:c r="U1546" s="19" t="str">
        <x:v>station-component|淵野辺|東日本旅客鉄道|conventional_rail|35.5685|139.3953|</x:v>
      </x:c>
      <x:c r="V1546" s="19" t="str">
        <x:v>004315 / 004315 / 横浜線</x:v>
      </x:c>
      <x:c r="W1546" s="18" t="str">
        <x:v>否</x:v>
      </x:c>
      <x:c r="X1546" s="18" t="str">
        <x:v>0785e932a32b3ec15e1a1345537ae145eafe1c07bf38d5c16c11ee2b391e7a28</x:v>
      </x:c>
      <x:c r="Y1546" s="20" t="n">
        <x:v>1</x:v>
      </x:c>
      <x:c r="Z1546" s="20" t="n">
        <x:v>1</x:v>
      </x:c>
      <x:c r="AA1546" s="19"/>
      <x:c r="AB1546" s="18"/>
      <x:c r="AC1546" s="19"/>
    </x:row>
    <x:row r="1547" ht="28" customHeight="1">
      <x:c r="A1547" s="18" t="str">
        <x:v>清水</x:v>
      </x:c>
      <x:c r="B1547" s="18" t="str">
        <x:v>東海旅客鉄道</x:v>
      </x:c>
      <x:c r="C1547" s="18" t="str">
        <x:v>conventional_rail</x:v>
      </x:c>
      <x:c r="D1547" s="19" t="str">
        <x:v>T2</x:v>
      </x:c>
      <x:c r="E1547" s="20" t="n">
        <x:v>19912</x:v>
      </x:c>
      <x:c r="F1547" s="18" t="str">
        <x:v>persons/day</x:v>
      </x:c>
      <x:c r="G1547" s="18" t="str">
        <x:v>FY2024</x:v>
      </x:c>
      <x:c r="H1547" s="18" t="str">
        <x:v>否</x:v>
      </x:c>
      <x:c r="I1547" s="19" t="str">
        <x:v>DAILY_ENTRIES_EXITS</x:v>
      </x:c>
      <x:c r="J1547" s="19" t="str">
        <x:v>東海道線</x:v>
      </x:c>
      <x:c r="K1547" s="18" t="str">
        <x:v>transport-node:137463cf-8184-5b35-bf92-4978cfc5d47e</x:v>
      </x:c>
      <x:c r="L1547" s="19" t="str">
        <x:v>组件待审核</x:v>
      </x:c>
      <x:c r="M1547" s="21" t="n">
        <x:v>35.0234</x:v>
      </x:c>
      <x:c r="N1547" s="21" t="n">
        <x:v>138.4891</x:v>
      </x:c>
      <x:c r="O1547" s="18" t="str">
        <x:v>005898</x:v>
      </x:c>
      <x:c r="P1547" s="18" t="str">
        <x:v>東海道線</x:v>
      </x:c>
      <x:c r="Q1547" s="19" t="str">
        <x:v>S12_061_GE_10000</x:v>
      </x:c>
      <x:c r="R1547" s="19" t="str">
        <x:v>S12_061 usage threshold</x:v>
      </x:c>
      <x:c r="S1547" s="19" t="str">
        <x:v>https://nlftp.mlit.go.jp/ksj/gml/datalist/KsjTmplt-S12-2024.html</x:v>
      </x:c>
      <x:c r="T1547" s="19" t="str">
        <x:v>https://nlftp.mlit.go.jp/ksj/gml/datalist/KsjTmplt-S12-2024.html</x:v>
      </x:c>
      <x:c r="U1547" s="19" t="str">
        <x:v>station-component|清水|東海旅客鉄道|conventional_rail|35.0234|138.4891|</x:v>
      </x:c>
      <x:c r="V1547" s="19" t="str">
        <x:v>005898 / 005898 / 東海道線</x:v>
      </x:c>
      <x:c r="W1547" s="18" t="str">
        <x:v>否</x:v>
      </x:c>
      <x:c r="X1547" s="18" t="str">
        <x:v>0785e932a32b3ec15e1a1345537ae145eafe1c07bf38d5c16c11ee2b391e7a28</x:v>
      </x:c>
      <x:c r="Y1547" s="20" t="n">
        <x:v>1</x:v>
      </x:c>
      <x:c r="Z1547" s="20" t="n">
        <x:v>1</x:v>
      </x:c>
      <x:c r="AA1547" s="19"/>
      <x:c r="AB1547" s="18"/>
      <x:c r="AC1547" s="19"/>
    </x:row>
    <x:row r="1548" ht="28" customHeight="1">
      <x:c r="A1548" s="18" t="str">
        <x:v>清水五条</x:v>
      </x:c>
      <x:c r="B1548" s="18" t="str">
        <x:v>京阪電気鉄道</x:v>
      </x:c>
      <x:c r="C1548" s="18" t="str">
        <x:v>private_rail</x:v>
      </x:c>
      <x:c r="D1548" s="19" t="str">
        <x:v>T2</x:v>
      </x:c>
      <x:c r="E1548" s="20" t="n">
        <x:v>10723</x:v>
      </x:c>
      <x:c r="F1548" s="18" t="str">
        <x:v>persons/day</x:v>
      </x:c>
      <x:c r="G1548" s="18" t="str">
        <x:v>FY2024</x:v>
      </x:c>
      <x:c r="H1548" s="18" t="str">
        <x:v>否</x:v>
      </x:c>
      <x:c r="I1548" s="19" t="str">
        <x:v>DAILY_ENTRIES_EXITS</x:v>
      </x:c>
      <x:c r="J1548" s="19" t="str">
        <x:v>京阪本線</x:v>
      </x:c>
      <x:c r="K1548" s="18" t="str">
        <x:v>transport-node:bec11add-a84c-586a-b180-6bcf332c76b7</x:v>
      </x:c>
      <x:c r="L1548" s="19" t="str">
        <x:v>组件待审核</x:v>
      </x:c>
      <x:c r="M1548" s="21" t="n">
        <x:v>34.996565</x:v>
      </x:c>
      <x:c r="N1548" s="21" t="n">
        <x:v>135.7687</x:v>
      </x:c>
      <x:c r="O1548" s="18" t="str">
        <x:v>006021</x:v>
      </x:c>
      <x:c r="P1548" s="18" t="str">
        <x:v>京阪本線</x:v>
      </x:c>
      <x:c r="Q1548" s="19" t="str">
        <x:v>S12_061_GE_10000</x:v>
      </x:c>
      <x:c r="R1548" s="19" t="str">
        <x:v>S12_061 usage threshold</x:v>
      </x:c>
      <x:c r="S1548" s="19" t="str">
        <x:v>https://nlftp.mlit.go.jp/ksj/gml/datalist/KsjTmplt-S12-2024.html</x:v>
      </x:c>
      <x:c r="T1548" s="19" t="str">
        <x:v>https://nlftp.mlit.go.jp/ksj/gml/datalist/KsjTmplt-S12-2024.html</x:v>
      </x:c>
      <x:c r="U1548" s="19" t="str">
        <x:v>station-component|清水五条|京阪電気鉄道|private_rail|34.9966|135.7687|</x:v>
      </x:c>
      <x:c r="V1548" s="19" t="str">
        <x:v>006021 / 006021 / 京阪本線</x:v>
      </x:c>
      <x:c r="W1548" s="18" t="str">
        <x:v>否</x:v>
      </x:c>
      <x:c r="X1548" s="18" t="str">
        <x:v>0785e932a32b3ec15e1a1345537ae145eafe1c07bf38d5c16c11ee2b391e7a28</x:v>
      </x:c>
      <x:c r="Y1548" s="20" t="n">
        <x:v>1</x:v>
      </x:c>
      <x:c r="Z1548" s="20" t="n">
        <x:v>1</x:v>
      </x:c>
      <x:c r="AA1548" s="19"/>
      <x:c r="AB1548" s="18"/>
      <x:c r="AC1548" s="19"/>
    </x:row>
    <x:row r="1549" ht="33" customHeight="1">
      <x:c r="A1549" s="18" t="str">
        <x:v>清澄白河</x:v>
      </x:c>
      <x:c r="B1549" s="18" t="str">
        <x:v>東京地下鉄</x:v>
      </x:c>
      <x:c r="C1549" s="18" t="str">
        <x:v>metro</x:v>
      </x:c>
      <x:c r="D1549" s="19" t="str">
        <x:v>T1</x:v>
      </x:c>
      <x:c r="E1549" s="20" t="n">
        <x:v>58792</x:v>
      </x:c>
      <x:c r="F1549" s="18" t="str">
        <x:v>persons/day</x:v>
      </x:c>
      <x:c r="G1549" s="18" t="str">
        <x:v>FY2024</x:v>
      </x:c>
      <x:c r="H1549" s="18" t="str">
        <x:v>否</x:v>
      </x:c>
      <x:c r="I1549" s="19" t="str">
        <x:v>DAILY_ENTRIES_EXITS</x:v>
      </x:c>
      <x:c r="J1549" s="19" t="str">
        <x:v>11号線半蔵門線</x:v>
      </x:c>
      <x:c r="K1549" s="18" t="str">
        <x:v>transport-node:09e616b2-c307-586a-ae08-9e9f5e75febb</x:v>
      </x:c>
      <x:c r="L1549" s="19" t="str">
        <x:v>组件待审核</x:v>
      </x:c>
      <x:c r="M1549" s="21" t="n">
        <x:v>35.682115</x:v>
      </x:c>
      <x:c r="N1549" s="21" t="n">
        <x:v>139.7997417</x:v>
      </x:c>
      <x:c r="O1549" s="18" t="str">
        <x:v>003757</x:v>
      </x:c>
      <x:c r="P1549" s="18" t="str">
        <x:v>11号線半蔵門線</x:v>
      </x:c>
      <x:c r="Q1549" s="19" t="str">
        <x:v>S12_061_GE_10000
OFFICIAL_HUB_COMPONENT_REVIEW</x:v>
      </x:c>
      <x:c r="R1549" s="19" t="str">
        <x:v>S12_061 usage threshold</x:v>
      </x:c>
      <x:c r="S1549" s="19" t="str">
        <x:v>https://nlftp.mlit.go.jp/ksj/gml/datalist/KsjTmplt-S12-2024.html</x:v>
      </x:c>
      <x:c r="T1549" s="19" t="str">
        <x:v>https://nlftp.mlit.go.jp/ksj/gml/datalist/KsjTmplt-S12-2024.html
https://www.tokyometro.jp/station/kiyosumi-shirakawa/index.html</x:v>
      </x:c>
      <x:c r="U1549" s="19" t="str">
        <x:v>station-component|清澄白河|東京地下鉄|metro|35.6821|139.7997|</x:v>
      </x:c>
      <x:c r="V1549" s="19" t="str">
        <x:v>003754 / 003757 / 11号線半蔵門線</x:v>
      </x:c>
      <x:c r="W1549" s="18" t="str">
        <x:v>否</x:v>
      </x:c>
      <x:c r="X1549" s="18" t="str">
        <x:v>0785e932a32b3ec15e1a1345537ae145eafe1c07bf38d5c16c11ee2b391e7a28</x:v>
      </x:c>
      <x:c r="Y1549" s="20" t="n">
        <x:v>1</x:v>
      </x:c>
      <x:c r="Z1549" s="20" t="n">
        <x:v>1</x:v>
      </x:c>
      <x:c r="AA1549" s="19" t="str">
        <x:v>清澄白河</x:v>
      </x:c>
      <x:c r="AB1549" s="18" t="str">
        <x:v>transport-hub-review:a6edf52f-3d6b-58c8-878c-94ade8ea4934</x:v>
      </x:c>
      <x:c r="AC1549" s="19"/>
    </x:row>
    <x:row r="1550" ht="33" customHeight="1">
      <x:c r="A1550" s="18" t="str">
        <x:v>清澄白河</x:v>
      </x:c>
      <x:c r="B1550" s="18" t="str">
        <x:v>東京都</x:v>
      </x:c>
      <x:c r="C1550" s="18" t="str">
        <x:v>metro</x:v>
      </x:c>
      <x:c r="D1550" s="19" t="str">
        <x:v>T2</x:v>
      </x:c>
      <x:c r="E1550" s="20" t="n">
        <x:v>22004</x:v>
      </x:c>
      <x:c r="F1550" s="18" t="str">
        <x:v>persons/day</x:v>
      </x:c>
      <x:c r="G1550" s="18" t="str">
        <x:v>FY2024</x:v>
      </x:c>
      <x:c r="H1550" s="18" t="str">
        <x:v>否</x:v>
      </x:c>
      <x:c r="I1550" s="19" t="str">
        <x:v>DAILY_ENTRIES_EXITS</x:v>
      </x:c>
      <x:c r="J1550" s="19" t="str">
        <x:v>12号線大江戸線</x:v>
      </x:c>
      <x:c r="K1550" s="18" t="str">
        <x:v>transport-node:6d2739d8-278e-5191-bac0-7fc4b5b4ff68</x:v>
      </x:c>
      <x:c r="L1550" s="19" t="str">
        <x:v>组件待审核</x:v>
      </x:c>
      <x:c r="M1550" s="21" t="n">
        <x:v>35.683018</x:v>
      </x:c>
      <x:c r="N1550" s="21" t="n">
        <x:v>139.798654</x:v>
      </x:c>
      <x:c r="O1550" s="18" t="str">
        <x:v>003754</x:v>
      </x:c>
      <x:c r="P1550" s="18" t="str">
        <x:v>12号線大江戸線</x:v>
      </x:c>
      <x:c r="Q1550" s="19" t="str">
        <x:v>S12_061_GE_10000
OFFICIAL_HUB_COMPONENT_REVIEW</x:v>
      </x:c>
      <x:c r="R1550" s="19" t="str">
        <x:v>S12_061 usage threshold</x:v>
      </x:c>
      <x:c r="S1550" s="19" t="str">
        <x:v>https://nlftp.mlit.go.jp/ksj/gml/datalist/KsjTmplt-S12-2024.html</x:v>
      </x:c>
      <x:c r="T1550" s="19" t="str">
        <x:v>https://nlftp.mlit.go.jp/ksj/gml/datalist/KsjTmplt-S12-2024.html
https://www.tokyometro.jp/station/kiyosumi-shirakawa/index.html</x:v>
      </x:c>
      <x:c r="U1550" s="19" t="str">
        <x:v>station-component|清澄白河|東京都|metro|35.6830|139.7987|</x:v>
      </x:c>
      <x:c r="V1550" s="19" t="str">
        <x:v>003754 / 003754 / 12号線大江戸線</x:v>
      </x:c>
      <x:c r="W1550" s="18" t="str">
        <x:v>否</x:v>
      </x:c>
      <x:c r="X1550" s="18" t="str">
        <x:v>0785e932a32b3ec15e1a1345537ae145eafe1c07bf38d5c16c11ee2b391e7a28</x:v>
      </x:c>
      <x:c r="Y1550" s="20" t="n">
        <x:v>1</x:v>
      </x:c>
      <x:c r="Z1550" s="20" t="n">
        <x:v>1</x:v>
      </x:c>
      <x:c r="AA1550" s="19" t="str">
        <x:v>清澄白河</x:v>
      </x:c>
      <x:c r="AB1550" s="18" t="str">
        <x:v>transport-hub-review:a6edf52f-3d6b-58c8-878c-94ade8ea4934</x:v>
      </x:c>
      <x:c r="AC1550" s="19"/>
    </x:row>
    <x:row r="1551" ht="28" customHeight="1">
      <x:c r="A1551" s="18" t="str">
        <x:v>清瀬</x:v>
      </x:c>
      <x:c r="B1551" s="18" t="str">
        <x:v>西武鉄道</x:v>
      </x:c>
      <x:c r="C1551" s="18" t="str">
        <x:v>private_rail</x:v>
      </x:c>
      <x:c r="D1551" s="19" t="str">
        <x:v>T1</x:v>
      </x:c>
      <x:c r="E1551" s="20" t="n">
        <x:v>62526</x:v>
      </x:c>
      <x:c r="F1551" s="18" t="str">
        <x:v>persons/day</x:v>
      </x:c>
      <x:c r="G1551" s="18" t="str">
        <x:v>FY2024</x:v>
      </x:c>
      <x:c r="H1551" s="18" t="str">
        <x:v>否</x:v>
      </x:c>
      <x:c r="I1551" s="19" t="str">
        <x:v>DAILY_ENTRIES_EXITS</x:v>
      </x:c>
      <x:c r="J1551" s="19" t="str">
        <x:v>池袋線</x:v>
      </x:c>
      <x:c r="K1551" s="18" t="str">
        <x:v>transport-node:48dd92f7-5160-503c-b965-5e2d1ee73cdd</x:v>
      </x:c>
      <x:c r="L1551" s="19" t="str">
        <x:v>组件待审核</x:v>
      </x:c>
      <x:c r="M1551" s="21" t="n">
        <x:v>35.7719567</x:v>
      </x:c>
      <x:c r="N1551" s="21" t="n">
        <x:v>139.5199233</x:v>
      </x:c>
      <x:c r="O1551" s="18" t="str">
        <x:v>003179</x:v>
      </x:c>
      <x:c r="P1551" s="18" t="str">
        <x:v>池袋線</x:v>
      </x:c>
      <x:c r="Q1551" s="19" t="str">
        <x:v>S12_061_GE_10000</x:v>
      </x:c>
      <x:c r="R1551" s="19" t="str">
        <x:v>S12_061 usage threshold</x:v>
      </x:c>
      <x:c r="S1551" s="19" t="str">
        <x:v>https://nlftp.mlit.go.jp/ksj/gml/datalist/KsjTmplt-S12-2024.html</x:v>
      </x:c>
      <x:c r="T1551" s="19" t="str">
        <x:v>https://nlftp.mlit.go.jp/ksj/gml/datalist/KsjTmplt-S12-2024.html</x:v>
      </x:c>
      <x:c r="U1551" s="19" t="str">
        <x:v>station-component|清瀬|西武鉄道|private_rail|35.7720|139.5199|</x:v>
      </x:c>
      <x:c r="V1551" s="19" t="str">
        <x:v>003179 / 003179 / 池袋線</x:v>
      </x:c>
      <x:c r="W1551" s="18" t="str">
        <x:v>否</x:v>
      </x:c>
      <x:c r="X1551" s="18" t="str">
        <x:v>0785e932a32b3ec15e1a1345537ae145eafe1c07bf38d5c16c11ee2b391e7a28</x:v>
      </x:c>
      <x:c r="Y1551" s="20" t="n">
        <x:v>1</x:v>
      </x:c>
      <x:c r="Z1551" s="20" t="n">
        <x:v>1</x:v>
      </x:c>
      <x:c r="AA1551" s="19"/>
      <x:c r="AB1551" s="18"/>
      <x:c r="AC1551" s="19"/>
    </x:row>
    <x:row r="1552" ht="28" customHeight="1">
      <x:c r="A1552" s="18" t="str">
        <x:v>渋沢</x:v>
      </x:c>
      <x:c r="B1552" s="18" t="str">
        <x:v>小田急電鉄</x:v>
      </x:c>
      <x:c r="C1552" s="18" t="str">
        <x:v>private_rail</x:v>
      </x:c>
      <x:c r="D1552" s="19" t="str">
        <x:v>T2</x:v>
      </x:c>
      <x:c r="E1552" s="20" t="n">
        <x:v>24098</x:v>
      </x:c>
      <x:c r="F1552" s="18" t="str">
        <x:v>persons/day</x:v>
      </x:c>
      <x:c r="G1552" s="18" t="str">
        <x:v>FY2024</x:v>
      </x:c>
      <x:c r="H1552" s="18" t="str">
        <x:v>否</x:v>
      </x:c>
      <x:c r="I1552" s="19" t="str">
        <x:v>DAILY_ENTRIES_EXITS</x:v>
      </x:c>
      <x:c r="J1552" s="19" t="str">
        <x:v>小田原線</x:v>
      </x:c>
      <x:c r="K1552" s="18" t="str">
        <x:v>transport-node:87bf94c6-f8d7-5113-ae9f-478825f73bd6</x:v>
      </x:c>
      <x:c r="L1552" s="19" t="str">
        <x:v>组件待审核</x:v>
      </x:c>
      <x:c r="M1552" s="21" t="n">
        <x:v>35.374055</x:v>
      </x:c>
      <x:c r="N1552" s="21" t="n">
        <x:v>139.1845475</x:v>
      </x:c>
      <x:c r="O1552" s="18" t="str">
        <x:v>004906</x:v>
      </x:c>
      <x:c r="P1552" s="18" t="str">
        <x:v>小田原線</x:v>
      </x:c>
      <x:c r="Q1552" s="19" t="str">
        <x:v>S12_061_GE_10000</x:v>
      </x:c>
      <x:c r="R1552" s="19" t="str">
        <x:v>S12_061 usage threshold</x:v>
      </x:c>
      <x:c r="S1552" s="19" t="str">
        <x:v>https://nlftp.mlit.go.jp/ksj/gml/datalist/KsjTmplt-S12-2024.html</x:v>
      </x:c>
      <x:c r="T1552" s="19" t="str">
        <x:v>https://nlftp.mlit.go.jp/ksj/gml/datalist/KsjTmplt-S12-2024.html</x:v>
      </x:c>
      <x:c r="U1552" s="19" t="str">
        <x:v>station-component|渋沢|小田急電鉄|private_rail|35.3741|139.1845|</x:v>
      </x:c>
      <x:c r="V1552" s="19" t="str">
        <x:v>004906 / 004906 / 小田原線</x:v>
      </x:c>
      <x:c r="W1552" s="18" t="str">
        <x:v>否</x:v>
      </x:c>
      <x:c r="X1552" s="18" t="str">
        <x:v>0785e932a32b3ec15e1a1345537ae145eafe1c07bf38d5c16c11ee2b391e7a28</x:v>
      </x:c>
      <x:c r="Y1552" s="20" t="n">
        <x:v>1</x:v>
      </x:c>
      <x:c r="Z1552" s="20" t="n">
        <x:v>1</x:v>
      </x:c>
      <x:c r="AA1552" s="19"/>
      <x:c r="AB1552" s="18"/>
      <x:c r="AC1552" s="19"/>
    </x:row>
    <x:row r="1553" ht="33" customHeight="1">
      <x:c r="A1553" s="18" t="str">
        <x:v>渋谷</x:v>
      </x:c>
      <x:c r="B1553" s="18" t="str">
        <x:v>京王電鉄</x:v>
      </x:c>
      <x:c r="C1553" s="18" t="str">
        <x:v>private_rail</x:v>
      </x:c>
      <x:c r="D1553" s="19" t="str">
        <x:v>T0</x:v>
      </x:c>
      <x:c r="E1553" s="20" t="n">
        <x:v>286940</x:v>
      </x:c>
      <x:c r="F1553" s="18" t="str">
        <x:v>persons/day</x:v>
      </x:c>
      <x:c r="G1553" s="18" t="str">
        <x:v>FY2024</x:v>
      </x:c>
      <x:c r="H1553" s="18" t="str">
        <x:v>否</x:v>
      </x:c>
      <x:c r="I1553" s="19" t="str">
        <x:v>DAILY_ENTRIES_EXITS</x:v>
      </x:c>
      <x:c r="J1553" s="19" t="str">
        <x:v>井の頭線</x:v>
      </x:c>
      <x:c r="K1553" s="18" t="str">
        <x:v>transport-node:80018604-f17b-5d35-a8aa-1a4cdac8f807</x:v>
      </x:c>
      <x:c r="L1553" s="19" t="str">
        <x:v>组件待审核</x:v>
      </x:c>
      <x:c r="M1553" s="21" t="n">
        <x:v>35.6585507</x:v>
      </x:c>
      <x:c r="N1553" s="21" t="n">
        <x:v>139.699863</x:v>
      </x:c>
      <x:c r="O1553" s="18" t="str">
        <x:v>003930</x:v>
      </x:c>
      <x:c r="P1553" s="18" t="str">
        <x:v>井の頭線</x:v>
      </x:c>
      <x:c r="Q1553" s="19" t="str">
        <x:v>S12_061_GE_10000
OFFICIAL_HUB_COMPONENT_REVIEW</x:v>
      </x:c>
      <x:c r="R1553" s="19" t="str">
        <x:v>S12_061 usage threshold</x:v>
      </x:c>
      <x:c r="S1553" s="19" t="str">
        <x:v>https://nlftp.mlit.go.jp/ksj/gml/datalist/KsjTmplt-S12-2024.html</x:v>
      </x:c>
      <x:c r="T1553" s="19" t="str">
        <x:v>https://nlftp.mlit.go.jp/ksj/gml/datalist/KsjTmplt-S12-2024.html
https://www.keio.co.jp/train/station/</x:v>
      </x:c>
      <x:c r="U1553" s="19" t="str">
        <x:v>station-component|渋谷|京王電鉄|private_rail|35.6586|139.6999|</x:v>
      </x:c>
      <x:c r="V1553" s="19" t="str">
        <x:v>003922 / 003930 / 井の頭線</x:v>
      </x:c>
      <x:c r="W1553" s="18" t="str">
        <x:v>否</x:v>
      </x:c>
      <x:c r="X1553" s="18" t="str">
        <x:v>0785e932a32b3ec15e1a1345537ae145eafe1c07bf38d5c16c11ee2b391e7a28</x:v>
      </x:c>
      <x:c r="Y1553" s="20" t="n">
        <x:v>1</x:v>
      </x:c>
      <x:c r="Z1553" s="20" t="n">
        <x:v>1</x:v>
      </x:c>
      <x:c r="AA1553" s="19" t="str">
        <x:v>渋谷</x:v>
      </x:c>
      <x:c r="AB1553" s="18" t="str">
        <x:v>transport-hub-review:afe37e05-1f5c-5283-a711-2a8995452e3b</x:v>
      </x:c>
      <x:c r="AC1553" s="19"/>
    </x:row>
    <x:row r="1554" ht="47" customHeight="1">
      <x:c r="A1554" s="18" t="str">
        <x:v>渋谷</x:v>
      </x:c>
      <x:c r="B1554" s="18" t="str">
        <x:v>東京地下鉄</x:v>
      </x:c>
      <x:c r="C1554" s="18" t="str">
        <x:v>metro</x:v>
      </x:c>
      <x:c r="D1554" s="19" t="str">
        <x:v>T1</x:v>
      </x:c>
      <x:c r="E1554" s="20" t="n">
        <x:v>191505</x:v>
      </x:c>
      <x:c r="F1554" s="18" t="str">
        <x:v>persons/day</x:v>
      </x:c>
      <x:c r="G1554" s="18" t="str">
        <x:v>FY2024</x:v>
      </x:c>
      <x:c r="H1554" s="18" t="str">
        <x:v>否</x:v>
      </x:c>
      <x:c r="I1554" s="19" t="str">
        <x:v>DAILY_ENTRIES_EXITS</x:v>
      </x:c>
      <x:c r="J1554" s="19" t="str">
        <x:v>11号線半蔵門線
13号線副都心線
3号線銀座線</x:v>
      </x:c>
      <x:c r="K1554" s="18" t="str">
        <x:v>transport-node:997afcf7-4090-5964-9521-28a6256b6c58</x:v>
      </x:c>
      <x:c r="L1554" s="19" t="str">
        <x:v>组件待审核</x:v>
      </x:c>
      <x:c r="M1554" s="21" t="n">
        <x:v>35.659107</x:v>
      </x:c>
      <x:c r="N1554" s="21" t="n">
        <x:v>139.702705</x:v>
      </x:c>
      <x:c r="O1554" s="18" t="str">
        <x:v>003924</x:v>
      </x:c>
      <x:c r="P1554" s="18" t="str">
        <x:v>3号線銀座線</x:v>
      </x:c>
      <x:c r="Q1554" s="19" t="str">
        <x:v>S12_061_GE_10000
OFFICIAL_HUB_COMPONENT_REVIEW</x:v>
      </x:c>
      <x:c r="R1554" s="19" t="str">
        <x:v>S12_061 usage threshold</x:v>
      </x:c>
      <x:c r="S1554" s="19" t="str">
        <x:v>https://nlftp.mlit.go.jp/ksj/gml/datalist/KsjTmplt-S12-2024.html</x:v>
      </x:c>
      <x:c r="T1554" s="19" t="str">
        <x:v>https://nlftp.mlit.go.jp/ksj/gml/datalist/KsjTmplt-S12-2024.html
https://www.keio.co.jp/train/station/</x:v>
      </x:c>
      <x:c r="U1554" s="19" t="str">
        <x:v>station-component|渋谷|東京地下鉄|metro|35.6591|139.7027|</x:v>
      </x:c>
      <x:c r="V1554" s="19" t="str">
        <x:v>003922 / 003922 / 11号線半蔵門線
003922 / 003924 / 3号線銀座線
003922 / 003925 / 13号線副都心線</x:v>
      </x:c>
      <x:c r="W1554" s="18" t="str">
        <x:v>否</x:v>
      </x:c>
      <x:c r="X1554" s="18" t="str">
        <x:v>0785e932a32b3ec15e1a1345537ae145eafe1c07bf38d5c16c11ee2b391e7a28</x:v>
      </x:c>
      <x:c r="Y1554" s="20" t="n">
        <x:v>1</x:v>
      </x:c>
      <x:c r="Z1554" s="20" t="n">
        <x:v>1</x:v>
      </x:c>
      <x:c r="AA1554" s="19" t="str">
        <x:v>渋谷</x:v>
      </x:c>
      <x:c r="AB1554" s="18" t="str">
        <x:v>transport-hub-review:afe37e05-1f5c-5283-a711-2a8995452e3b</x:v>
      </x:c>
      <x:c r="AC1554" s="19"/>
    </x:row>
    <x:row r="1555" ht="33" customHeight="1">
      <x:c r="A1555" s="18" t="str">
        <x:v>渋谷</x:v>
      </x:c>
      <x:c r="B1555" s="18" t="str">
        <x:v>東急電鉄</x:v>
      </x:c>
      <x:c r="C1555" s="18" t="str">
        <x:v>private_rail</x:v>
      </x:c>
      <x:c r="D1555" s="19" t="str">
        <x:v>T0</x:v>
      </x:c>
      <x:c r="E1555" s="20" t="n">
        <x:v>1770430</x:v>
      </x:c>
      <x:c r="F1555" s="18" t="str">
        <x:v>persons/day</x:v>
      </x:c>
      <x:c r="G1555" s="18" t="str">
        <x:v>FY2024</x:v>
      </x:c>
      <x:c r="H1555" s="18" t="str">
        <x:v>否</x:v>
      </x:c>
      <x:c r="I1555" s="19" t="str">
        <x:v>DAILY_ENTRIES_EXITS</x:v>
      </x:c>
      <x:c r="J1555" s="19" t="str">
        <x:v>東横線
田園都市線</x:v>
      </x:c>
      <x:c r="K1555" s="18" t="str">
        <x:v>transport-node:7074cd95-698a-5143-8345-045066236c08</x:v>
      </x:c>
      <x:c r="L1555" s="19" t="str">
        <x:v>组件待审核</x:v>
      </x:c>
      <x:c r="M1555" s="21" t="n">
        <x:v>35.6590987</x:v>
      </x:c>
      <x:c r="N1555" s="21" t="n">
        <x:v>139.7025843</x:v>
      </x:c>
      <x:c r="O1555" s="18" t="str">
        <x:v>003926</x:v>
      </x:c>
      <x:c r="P1555" s="18" t="str">
        <x:v>東横線</x:v>
      </x:c>
      <x:c r="Q1555" s="19" t="str">
        <x:v>S12_061_GE_10000
OFFICIAL_HUB_COMPONENT_REVIEW</x:v>
      </x:c>
      <x:c r="R1555" s="19" t="str">
        <x:v>S12_061 usage threshold</x:v>
      </x:c>
      <x:c r="S1555" s="19" t="str">
        <x:v>https://nlftp.mlit.go.jp/ksj/gml/datalist/KsjTmplt-S12-2024.html</x:v>
      </x:c>
      <x:c r="T1555" s="19" t="str">
        <x:v>https://nlftp.mlit.go.jp/ksj/gml/datalist/KsjTmplt-S12-2024.html
https://www.keio.co.jp/train/station/</x:v>
      </x:c>
      <x:c r="U1555" s="19" t="str">
        <x:v>station-component|渋谷|東急電鉄|private_rail|35.6591|139.7026|</x:v>
      </x:c>
      <x:c r="V1555" s="19" t="str">
        <x:v>003922 / 003923 / 田園都市線
003922 / 003926 / 東横線</x:v>
      </x:c>
      <x:c r="W1555" s="18" t="str">
        <x:v>否</x:v>
      </x:c>
      <x:c r="X1555" s="18" t="str">
        <x:v>0785e932a32b3ec15e1a1345537ae145eafe1c07bf38d5c16c11ee2b391e7a28</x:v>
      </x:c>
      <x:c r="Y1555" s="20" t="n">
        <x:v>1</x:v>
      </x:c>
      <x:c r="Z1555" s="20" t="n">
        <x:v>1</x:v>
      </x:c>
      <x:c r="AA1555" s="19" t="str">
        <x:v>渋谷</x:v>
      </x:c>
      <x:c r="AB1555" s="18" t="str">
        <x:v>transport-hub-review:afe37e05-1f5c-5283-a711-2a8995452e3b</x:v>
      </x:c>
      <x:c r="AC1555" s="19"/>
    </x:row>
    <x:row r="1556" ht="33" customHeight="1">
      <x:c r="A1556" s="18" t="str">
        <x:v>渋谷</x:v>
      </x:c>
      <x:c r="B1556" s="18" t="str">
        <x:v>東日本旅客鉄道</x:v>
      </x:c>
      <x:c r="C1556" s="18" t="str">
        <x:v>conventional_rail</x:v>
      </x:c>
      <x:c r="D1556" s="19" t="str">
        <x:v>T0</x:v>
      </x:c>
      <x:c r="E1556" s="20" t="n">
        <x:v>648828</x:v>
      </x:c>
      <x:c r="F1556" s="18" t="str">
        <x:v>persons/day</x:v>
      </x:c>
      <x:c r="G1556" s="18" t="str">
        <x:v>FY2024</x:v>
      </x:c>
      <x:c r="H1556" s="18" t="str">
        <x:v>否</x:v>
      </x:c>
      <x:c r="I1556" s="19" t="str">
        <x:v>DAILY_ENTRIES_EXITS</x:v>
      </x:c>
      <x:c r="J1556" s="19" t="str">
        <x:v>山手線</x:v>
      </x:c>
      <x:c r="K1556" s="18" t="str">
        <x:v>transport-node:af5ceb52-306d-558a-8eb8-3e1a9a351952</x:v>
      </x:c>
      <x:c r="L1556" s="19" t="str">
        <x:v>组件待审核</x:v>
      </x:c>
      <x:c r="M1556" s="21" t="n">
        <x:v>35.658082</x:v>
      </x:c>
      <x:c r="N1556" s="21" t="n">
        <x:v>139.701724</x:v>
      </x:c>
      <x:c r="O1556" s="18" t="str">
        <x:v>003932</x:v>
      </x:c>
      <x:c r="P1556" s="18" t="str">
        <x:v>山手線</x:v>
      </x:c>
      <x:c r="Q1556" s="19" t="str">
        <x:v>S12_061_GE_10000
OFFICIAL_HUB_COMPONENT_REVIEW</x:v>
      </x:c>
      <x:c r="R1556" s="19" t="str">
        <x:v>S12_061 usage threshold</x:v>
      </x:c>
      <x:c r="S1556" s="19" t="str">
        <x:v>https://nlftp.mlit.go.jp/ksj/gml/datalist/KsjTmplt-S12-2024.html</x:v>
      </x:c>
      <x:c r="T1556" s="19" t="str">
        <x:v>https://nlftp.mlit.go.jp/ksj/gml/datalist/KsjTmplt-S12-2024.html
https://www.keio.co.jp/train/station/</x:v>
      </x:c>
      <x:c r="U1556" s="19" t="str">
        <x:v>station-component|渋谷|東日本旅客鉄道|conventional_rail|35.6581|139.7017|</x:v>
      </x:c>
      <x:c r="V1556" s="19" t="str">
        <x:v>003922 / 003932 / 山手線</x:v>
      </x:c>
      <x:c r="W1556" s="18" t="str">
        <x:v>否</x:v>
      </x:c>
      <x:c r="X1556" s="18" t="str">
        <x:v>0785e932a32b3ec15e1a1345537ae145eafe1c07bf38d5c16c11ee2b391e7a28</x:v>
      </x:c>
      <x:c r="Y1556" s="20" t="n">
        <x:v>1</x:v>
      </x:c>
      <x:c r="Z1556" s="20" t="n">
        <x:v>1</x:v>
      </x:c>
      <x:c r="AA1556" s="19" t="str">
        <x:v>渋谷</x:v>
      </x:c>
      <x:c r="AB1556" s="18" t="str">
        <x:v>transport-hub-review:afe37e05-1f5c-5283-a711-2a8995452e3b</x:v>
      </x:c>
      <x:c r="AC1556" s="19"/>
    </x:row>
    <x:row r="1557" ht="33" customHeight="1">
      <x:c r="A1557" s="18" t="str">
        <x:v>渡辺橋</x:v>
      </x:c>
      <x:c r="B1557" s="18" t="str">
        <x:v>京阪電気鉄道</x:v>
      </x:c>
      <x:c r="C1557" s="18" t="str">
        <x:v>private_rail</x:v>
      </x:c>
      <x:c r="D1557" s="19" t="str">
        <x:v>T3</x:v>
      </x:c>
      <x:c r="E1557" s="20" t="n">
        <x:v>7330</x:v>
      </x:c>
      <x:c r="F1557" s="18" t="str">
        <x:v>persons/day</x:v>
      </x:c>
      <x:c r="G1557" s="18" t="str">
        <x:v>FY2024</x:v>
      </x:c>
      <x:c r="H1557" s="18" t="str">
        <x:v>否</x:v>
      </x:c>
      <x:c r="I1557" s="19" t="str">
        <x:v>DAILY_ENTRIES_EXITS</x:v>
      </x:c>
      <x:c r="J1557" s="19" t="str">
        <x:v>中之島線</x:v>
      </x:c>
      <x:c r="K1557" s="18" t="str">
        <x:v>transport-node:c078b4e6-faef-5c16-83a4-d64397e13142</x:v>
      </x:c>
      <x:c r="L1557" s="19" t="str">
        <x:v>组件待审核</x:v>
      </x:c>
      <x:c r="M1557" s="21" t="n">
        <x:v>34.694045</x:v>
      </x:c>
      <x:c r="N1557" s="21" t="n">
        <x:v>135.495905</x:v>
      </x:c>
      <x:c r="O1557" s="18" t="str">
        <x:v>007114</x:v>
      </x:c>
      <x:c r="P1557" s="18" t="str">
        <x:v>中之島線</x:v>
      </x:c>
      <x:c r="Q1557" s="19" t="str">
        <x:v>OFFICIAL_HUB_COMPONENT_REVIEW</x:v>
      </x:c>
      <x:c r="R1557" s="19" t="str">
        <x:v>S12_061 usage threshold; low-flow inclusion justified by official Hub component review</x:v>
      </x:c>
      <x:c r="S1557" s="19" t="str">
        <x:v>https://nlftp.mlit.go.jp/ksj/gml/datalist/KsjTmplt-S12-2024.html</x:v>
      </x:c>
      <x:c r="T1557" s="19" t="str">
        <x:v>https://nlftp.mlit.go.jp/ksj/gml/datalist/KsjTmplt-S12-2024.html
https://subway.osakametro.co.jp/station_guide/Y/y12/index.php</x:v>
      </x:c>
      <x:c r="U1557" s="19" t="str">
        <x:v>station-component|渡辺橋|京阪電気鉄道|private_rail|34.6940|135.4959|</x:v>
      </x:c>
      <x:c r="V1557" s="19" t="str">
        <x:v>007114 / 007114 / 中之島線</x:v>
      </x:c>
      <x:c r="W1557" s="18" t="str">
        <x:v>否</x:v>
      </x:c>
      <x:c r="X1557" s="18" t="str">
        <x:v>0785e932a32b3ec15e1a1345537ae145eafe1c07bf38d5c16c11ee2b391e7a28</x:v>
      </x:c>
      <x:c r="Y1557" s="20" t="n">
        <x:v>1</x:v>
      </x:c>
      <x:c r="Z1557" s="20" t="n">
        <x:v>1</x:v>
      </x:c>
      <x:c r="AA1557" s="19" t="str">
        <x:v>肥後橋・渡辺橋</x:v>
      </x:c>
      <x:c r="AB1557" s="18" t="str">
        <x:v>transport-hub-review:002a6dc1-2e3a-5593-86d9-510006dbbbf6</x:v>
      </x:c>
      <x:c r="AC1557" s="19"/>
    </x:row>
    <x:row r="1558" ht="28" customHeight="1">
      <x:c r="A1558" s="18" t="str">
        <x:v>渡辺通</x:v>
      </x:c>
      <x:c r="B1558" s="18" t="str">
        <x:v>福岡市</x:v>
      </x:c>
      <x:c r="C1558" s="18" t="str">
        <x:v>metro</x:v>
      </x:c>
      <x:c r="D1558" s="19" t="str">
        <x:v>T2</x:v>
      </x:c>
      <x:c r="E1558" s="20" t="n">
        <x:v>12418</x:v>
      </x:c>
      <x:c r="F1558" s="18" t="str">
        <x:v>persons/day</x:v>
      </x:c>
      <x:c r="G1558" s="18" t="str">
        <x:v>FY2024</x:v>
      </x:c>
      <x:c r="H1558" s="18" t="str">
        <x:v>否</x:v>
      </x:c>
      <x:c r="I1558" s="19" t="str">
        <x:v>DAILY_ENTRIES_EXITS</x:v>
      </x:c>
      <x:c r="J1558" s="19" t="str">
        <x:v>3号線(七隈線)</x:v>
      </x:c>
      <x:c r="K1558" s="18" t="str">
        <x:v>transport-node:5fca8caa-055a-5f3e-af01-5b6d203f3d68</x:v>
      </x:c>
      <x:c r="L1558" s="19" t="str">
        <x:v>组件待审核</x:v>
      </x:c>
      <x:c r="M1558" s="21" t="n">
        <x:v>33.584065</x:v>
      </x:c>
      <x:c r="N1558" s="21" t="n">
        <x:v>130.404955</x:v>
      </x:c>
      <x:c r="O1558" s="18" t="str">
        <x:v>009044</x:v>
      </x:c>
      <x:c r="P1558" s="18" t="str">
        <x:v>3号線(七隈線)</x:v>
      </x:c>
      <x:c r="Q1558" s="19" t="str">
        <x:v>S12_061_GE_10000</x:v>
      </x:c>
      <x:c r="R1558" s="19" t="str">
        <x:v>S12_061 usage threshold</x:v>
      </x:c>
      <x:c r="S1558" s="19" t="str">
        <x:v>https://nlftp.mlit.go.jp/ksj/gml/datalist/KsjTmplt-S12-2024.html</x:v>
      </x:c>
      <x:c r="T1558" s="19" t="str">
        <x:v>https://nlftp.mlit.go.jp/ksj/gml/datalist/KsjTmplt-S12-2024.html</x:v>
      </x:c>
      <x:c r="U1558" s="19" t="str">
        <x:v>station-component|渡辺通|福岡市|metro|33.5841|130.4050|</x:v>
      </x:c>
      <x:c r="V1558" s="19" t="str">
        <x:v>009044 / 009044 / 3号線(七隈線)</x:v>
      </x:c>
      <x:c r="W1558" s="18" t="str">
        <x:v>否</x:v>
      </x:c>
      <x:c r="X1558" s="18" t="str">
        <x:v>0785e932a32b3ec15e1a1345537ae145eafe1c07bf38d5c16c11ee2b391e7a28</x:v>
      </x:c>
      <x:c r="Y1558" s="20" t="n">
        <x:v>1</x:v>
      </x:c>
      <x:c r="Z1558" s="20" t="n">
        <x:v>1</x:v>
      </x:c>
      <x:c r="AA1558" s="19"/>
      <x:c r="AB1558" s="18"/>
      <x:c r="AC1558" s="19"/>
    </x:row>
    <x:row r="1559" ht="28" customHeight="1">
      <x:c r="A1559" s="18" t="str">
        <x:v>港南台</x:v>
      </x:c>
      <x:c r="B1559" s="18" t="str">
        <x:v>東日本旅客鉄道</x:v>
      </x:c>
      <x:c r="C1559" s="18" t="str">
        <x:v>conventional_rail</x:v>
      </x:c>
      <x:c r="D1559" s="19" t="str">
        <x:v>T1</x:v>
      </x:c>
      <x:c r="E1559" s="20" t="n">
        <x:v>56772</x:v>
      </x:c>
      <x:c r="F1559" s="18" t="str">
        <x:v>persons/day</x:v>
      </x:c>
      <x:c r="G1559" s="18" t="str">
        <x:v>FY2024</x:v>
      </x:c>
      <x:c r="H1559" s="18" t="str">
        <x:v>否</x:v>
      </x:c>
      <x:c r="I1559" s="19" t="str">
        <x:v>DAILY_ENTRIES_EXITS</x:v>
      </x:c>
      <x:c r="J1559" s="19" t="str">
        <x:v>根岸線</x:v>
      </x:c>
      <x:c r="K1559" s="18" t="str">
        <x:v>transport-node:d6d69e93-69c6-5a27-ada2-da25133d65a6</x:v>
      </x:c>
      <x:c r="L1559" s="19" t="str">
        <x:v>组件待审核</x:v>
      </x:c>
      <x:c r="M1559" s="21" t="n">
        <x:v>35.3751467</x:v>
      </x:c>
      <x:c r="N1559" s="21" t="n">
        <x:v>139.5761767</x:v>
      </x:c>
      <x:c r="O1559" s="18" t="str">
        <x:v>004900</x:v>
      </x:c>
      <x:c r="P1559" s="18" t="str">
        <x:v>根岸線</x:v>
      </x:c>
      <x:c r="Q1559" s="19" t="str">
        <x:v>S12_061_GE_10000</x:v>
      </x:c>
      <x:c r="R1559" s="19" t="str">
        <x:v>S12_061 usage threshold</x:v>
      </x:c>
      <x:c r="S1559" s="19" t="str">
        <x:v>https://nlftp.mlit.go.jp/ksj/gml/datalist/KsjTmplt-S12-2024.html</x:v>
      </x:c>
      <x:c r="T1559" s="19" t="str">
        <x:v>https://nlftp.mlit.go.jp/ksj/gml/datalist/KsjTmplt-S12-2024.html</x:v>
      </x:c>
      <x:c r="U1559" s="19" t="str">
        <x:v>station-component|港南台|東日本旅客鉄道|conventional_rail|35.3751|139.5762|</x:v>
      </x:c>
      <x:c r="V1559" s="19" t="str">
        <x:v>004900 / 004900 / 根岸線</x:v>
      </x:c>
      <x:c r="W1559" s="18" t="str">
        <x:v>否</x:v>
      </x:c>
      <x:c r="X1559" s="18" t="str">
        <x:v>0785e932a32b3ec15e1a1345537ae145eafe1c07bf38d5c16c11ee2b391e7a28</x:v>
      </x:c>
      <x:c r="Y1559" s="20" t="n">
        <x:v>1</x:v>
      </x:c>
      <x:c r="Z1559" s="20" t="n">
        <x:v>1</x:v>
      </x:c>
      <x:c r="AA1559" s="19"/>
      <x:c r="AB1559" s="18"/>
      <x:c r="AC1559" s="19"/>
    </x:row>
    <x:row r="1560" ht="33" customHeight="1">
      <x:c r="A1560" s="18" t="str">
        <x:v>湊川</x:v>
      </x:c>
      <x:c r="B1560" s="18" t="str">
        <x:v>神戸電鉄</x:v>
      </x:c>
      <x:c r="C1560" s="18" t="str">
        <x:v>private_rail</x:v>
      </x:c>
      <x:c r="D1560" s="19" t="str">
        <x:v>T3</x:v>
      </x:c>
      <x:c r="E1560" s="20" t="n">
        <x:v>7116</x:v>
      </x:c>
      <x:c r="F1560" s="18" t="str">
        <x:v>persons/day</x:v>
      </x:c>
      <x:c r="G1560" s="18" t="str">
        <x:v>FY2024</x:v>
      </x:c>
      <x:c r="H1560" s="18" t="str">
        <x:v>否</x:v>
      </x:c>
      <x:c r="I1560" s="19" t="str">
        <x:v>DAILY_ENTRIES_EXITS</x:v>
      </x:c>
      <x:c r="J1560" s="19" t="str">
        <x:v>有馬線
神戸高速線</x:v>
      </x:c>
      <x:c r="K1560" s="18" t="str">
        <x:v>transport-node:07b20ade-d6d8-5149-b703-4d38e797eddf</x:v>
      </x:c>
      <x:c r="L1560" s="19" t="str">
        <x:v>组件待审核</x:v>
      </x:c>
      <x:c r="M1560" s="21" t="n">
        <x:v>34.67928</x:v>
      </x:c>
      <x:c r="N1560" s="21" t="n">
        <x:v>135.166115</x:v>
      </x:c>
      <x:c r="O1560" s="18" t="str">
        <x:v>007221</x:v>
      </x:c>
      <x:c r="P1560" s="18" t="str">
        <x:v>有馬線</x:v>
      </x:c>
      <x:c r="Q1560" s="19" t="str">
        <x:v>OFFICIAL_HUB_COMPONENT_REVIEW</x:v>
      </x:c>
      <x:c r="R1560" s="19" t="str">
        <x:v>S12_061 usage threshold; low-flow inclusion justified by official Hub component review</x:v>
      </x:c>
      <x:c r="S1560" s="19" t="str">
        <x:v>https://nlftp.mlit.go.jp/ksj/gml/datalist/KsjTmplt-S12-2024.html</x:v>
      </x:c>
      <x:c r="T1560" s="19" t="str">
        <x:v>https://kotsu.city.kobe.lg.jp/chinese-trad/cnt-subway-map/
https://nlftp.mlit.go.jp/ksj/gml/datalist/KsjTmplt-S12-2024.html</x:v>
      </x:c>
      <x:c r="U1560" s="19" t="str">
        <x:v>station-component|湊川|神戸電鉄|private_rail|34.6793|135.1661|</x:v>
      </x:c>
      <x:c r="V1560" s="19" t="str">
        <x:v>007220 / 007220 / 神戸高速線
007220 / 007221 / 有馬線</x:v>
      </x:c>
      <x:c r="W1560" s="18" t="str">
        <x:v>否</x:v>
      </x:c>
      <x:c r="X1560" s="18" t="str">
        <x:v>0785e932a32b3ec15e1a1345537ae145eafe1c07bf38d5c16c11ee2b391e7a28</x:v>
      </x:c>
      <x:c r="Y1560" s="20" t="n">
        <x:v>1</x:v>
      </x:c>
      <x:c r="Z1560" s="20" t="n">
        <x:v>1</x:v>
      </x:c>
      <x:c r="AA1560" s="19" t="str">
        <x:v>湊川公園・湊川</x:v>
      </x:c>
      <x:c r="AB1560" s="18" t="str">
        <x:v>transport-hub-review:f5b39e24-1f29-5e16-a95e-7273ab855a2f</x:v>
      </x:c>
      <x:c r="AC1560" s="19"/>
    </x:row>
    <x:row r="1561" ht="33" customHeight="1">
      <x:c r="A1561" s="18" t="str">
        <x:v>湊川公園</x:v>
      </x:c>
      <x:c r="B1561" s="18" t="str">
        <x:v>神戸市</x:v>
      </x:c>
      <x:c r="C1561" s="18" t="str">
        <x:v>metro</x:v>
      </x:c>
      <x:c r="D1561" s="19" t="str">
        <x:v>T2</x:v>
      </x:c>
      <x:c r="E1561" s="20" t="n">
        <x:v>15120</x:v>
      </x:c>
      <x:c r="F1561" s="18" t="str">
        <x:v>persons/day</x:v>
      </x:c>
      <x:c r="G1561" s="18" t="str">
        <x:v>FY2024</x:v>
      </x:c>
      <x:c r="H1561" s="18" t="str">
        <x:v>否</x:v>
      </x:c>
      <x:c r="I1561" s="19" t="str">
        <x:v>DAILY_ENTRIES_EXITS</x:v>
      </x:c>
      <x:c r="J1561" s="19" t="str">
        <x:v>山手線</x:v>
      </x:c>
      <x:c r="K1561" s="18" t="str">
        <x:v>transport-node:f64fa64b-f098-5ddd-8257-626952e58711</x:v>
      </x:c>
      <x:c r="L1561" s="19" t="str">
        <x:v>组件待审核</x:v>
      </x:c>
      <x:c r="M1561" s="21" t="n">
        <x:v>34.67881</x:v>
      </x:c>
      <x:c r="N1561" s="21" t="n">
        <x:v>135.166625</x:v>
      </x:c>
      <x:c r="O1561" s="18" t="str">
        <x:v>007231</x:v>
      </x:c>
      <x:c r="P1561" s="18" t="str">
        <x:v>山手線</x:v>
      </x:c>
      <x:c r="Q1561" s="19" t="str">
        <x:v>S12_061_GE_10000
OFFICIAL_HUB_COMPONENT_REVIEW</x:v>
      </x:c>
      <x:c r="R1561" s="19" t="str">
        <x:v>S12_061 usage threshold</x:v>
      </x:c>
      <x:c r="S1561" s="19" t="str">
        <x:v>https://nlftp.mlit.go.jp/ksj/gml/datalist/KsjTmplt-S12-2024.html</x:v>
      </x:c>
      <x:c r="T1561" s="19" t="str">
        <x:v>https://kotsu.city.kobe.lg.jp/chinese-trad/cnt-subway-map/
https://nlftp.mlit.go.jp/ksj/gml/datalist/KsjTmplt-S12-2024.html</x:v>
      </x:c>
      <x:c r="U1561" s="19" t="str">
        <x:v>station-component|湊川公園|神戸市|metro|34.6788|135.1666|</x:v>
      </x:c>
      <x:c r="V1561" s="19" t="str">
        <x:v>007231 / 007231 / 山手線</x:v>
      </x:c>
      <x:c r="W1561" s="18" t="str">
        <x:v>否</x:v>
      </x:c>
      <x:c r="X1561" s="18" t="str">
        <x:v>0785e932a32b3ec15e1a1345537ae145eafe1c07bf38d5c16c11ee2b391e7a28</x:v>
      </x:c>
      <x:c r="Y1561" s="20" t="n">
        <x:v>1</x:v>
      </x:c>
      <x:c r="Z1561" s="20" t="n">
        <x:v>1</x:v>
      </x:c>
      <x:c r="AA1561" s="19" t="str">
        <x:v>湊川公園・湊川</x:v>
      </x:c>
      <x:c r="AB1561" s="18" t="str">
        <x:v>transport-hub-review:f5b39e24-1f29-5e16-a95e-7273ab855a2f</x:v>
      </x:c>
      <x:c r="AC1561" s="19"/>
    </x:row>
    <x:row r="1562" ht="33" customHeight="1">
      <x:c r="A1562" s="18" t="str">
        <x:v>湘南台</x:v>
      </x:c>
      <x:c r="B1562" s="18" t="str">
        <x:v>小田急電鉄</x:v>
      </x:c>
      <x:c r="C1562" s="18" t="str">
        <x:v>private_rail</x:v>
      </x:c>
      <x:c r="D1562" s="19" t="str">
        <x:v>T1</x:v>
      </x:c>
      <x:c r="E1562" s="20" t="n">
        <x:v>87215</x:v>
      </x:c>
      <x:c r="F1562" s="18" t="str">
        <x:v>persons/day</x:v>
      </x:c>
      <x:c r="G1562" s="18" t="str">
        <x:v>FY2024</x:v>
      </x:c>
      <x:c r="H1562" s="18" t="str">
        <x:v>否</x:v>
      </x:c>
      <x:c r="I1562" s="19" t="str">
        <x:v>DAILY_ENTRIES_EXITS</x:v>
      </x:c>
      <x:c r="J1562" s="19" t="str">
        <x:v>江ノ島線</x:v>
      </x:c>
      <x:c r="K1562" s="18" t="str">
        <x:v>transport-node:44e0ac9e-bc8a-57cb-80a8-8fbdd3034714</x:v>
      </x:c>
      <x:c r="L1562" s="19" t="str">
        <x:v>组件待审核</x:v>
      </x:c>
      <x:c r="M1562" s="21" t="n">
        <x:v>35.396545</x:v>
      </x:c>
      <x:c r="N1562" s="21" t="n">
        <x:v>139.46647</x:v>
      </x:c>
      <x:c r="O1562" s="18" t="str">
        <x:v>004840</x:v>
      </x:c>
      <x:c r="P1562" s="18" t="str">
        <x:v>江ノ島線</x:v>
      </x:c>
      <x:c r="Q1562" s="19" t="str">
        <x:v>S12_061_GE_10000
OFFICIAL_HUB_COMPONENT_REVIEW</x:v>
      </x:c>
      <x:c r="R1562" s="19" t="str">
        <x:v>S12_061 usage threshold</x:v>
      </x:c>
      <x:c r="S1562" s="19" t="str">
        <x:v>https://nlftp.mlit.go.jp/ksj/gml/datalist/KsjTmplt-S12-2024.html</x:v>
      </x:c>
      <x:c r="T1562" s="19" t="str">
        <x:v>https://nlftp.mlit.go.jp/ksj/gml/datalist/KsjTmplt-S12-2024.html
https://www.odakyu.jp/station/</x:v>
      </x:c>
      <x:c r="U1562" s="19" t="str">
        <x:v>station-component|湘南台|小田急電鉄|private_rail|35.3965|139.4665|</x:v>
      </x:c>
      <x:c r="V1562" s="19" t="str">
        <x:v>004842 / 004840 / 江ノ島線</x:v>
      </x:c>
      <x:c r="W1562" s="18" t="str">
        <x:v>否</x:v>
      </x:c>
      <x:c r="X1562" s="18" t="str">
        <x:v>0785e932a32b3ec15e1a1345537ae145eafe1c07bf38d5c16c11ee2b391e7a28</x:v>
      </x:c>
      <x:c r="Y1562" s="20" t="n">
        <x:v>1</x:v>
      </x:c>
      <x:c r="Z1562" s="20" t="n">
        <x:v>1</x:v>
      </x:c>
      <x:c r="AA1562" s="19" t="str">
        <x:v>湘南台</x:v>
      </x:c>
      <x:c r="AB1562" s="18" t="str">
        <x:v>transport-hub-review:479987ab-1d69-5bff-99c6-e5dff1f680de</x:v>
      </x:c>
      <x:c r="AC1562" s="19"/>
    </x:row>
    <x:row r="1563" ht="33" customHeight="1">
      <x:c r="A1563" s="18" t="str">
        <x:v>湘南台</x:v>
      </x:c>
      <x:c r="B1563" s="18" t="str">
        <x:v>横浜市</x:v>
      </x:c>
      <x:c r="C1563" s="18" t="str">
        <x:v>metro</x:v>
      </x:c>
      <x:c r="D1563" s="19" t="str">
        <x:v>T2</x:v>
      </x:c>
      <x:c r="E1563" s="20" t="n">
        <x:v>22848</x:v>
      </x:c>
      <x:c r="F1563" s="18" t="str">
        <x:v>persons/day</x:v>
      </x:c>
      <x:c r="G1563" s="18" t="str">
        <x:v>FY2024</x:v>
      </x:c>
      <x:c r="H1563" s="18" t="str">
        <x:v>否</x:v>
      </x:c>
      <x:c r="I1563" s="19" t="str">
        <x:v>DAILY_ENTRIES_EXITS</x:v>
      </x:c>
      <x:c r="J1563" s="19" t="str">
        <x:v>1号線</x:v>
      </x:c>
      <x:c r="K1563" s="18" t="str">
        <x:v>transport-node:d665a535-47dd-58ee-814a-52dd460e5ee1</x:v>
      </x:c>
      <x:c r="L1563" s="19" t="str">
        <x:v>组件待审核</x:v>
      </x:c>
      <x:c r="M1563" s="21" t="n">
        <x:v>35.39624</x:v>
      </x:c>
      <x:c r="N1563" s="21" t="n">
        <x:v>139.46612</x:v>
      </x:c>
      <x:c r="O1563" s="18" t="str">
        <x:v>004842</x:v>
      </x:c>
      <x:c r="P1563" s="18" t="str">
        <x:v>1号線</x:v>
      </x:c>
      <x:c r="Q1563" s="19" t="str">
        <x:v>S12_061_GE_10000
OFFICIAL_HUB_COMPONENT_REVIEW</x:v>
      </x:c>
      <x:c r="R1563" s="19" t="str">
        <x:v>S12_061 usage threshold</x:v>
      </x:c>
      <x:c r="S1563" s="19" t="str">
        <x:v>https://nlftp.mlit.go.jp/ksj/gml/datalist/KsjTmplt-S12-2024.html</x:v>
      </x:c>
      <x:c r="T1563" s="19" t="str">
        <x:v>https://nlftp.mlit.go.jp/ksj/gml/datalist/KsjTmplt-S12-2024.html
https://www.odakyu.jp/station/</x:v>
      </x:c>
      <x:c r="U1563" s="19" t="str">
        <x:v>station-component|湘南台|横浜市|metro|35.3962|139.4661|</x:v>
      </x:c>
      <x:c r="V1563" s="19" t="str">
        <x:v>004842 / 004842 / 1号線</x:v>
      </x:c>
      <x:c r="W1563" s="18" t="str">
        <x:v>否</x:v>
      </x:c>
      <x:c r="X1563" s="18" t="str">
        <x:v>0785e932a32b3ec15e1a1345537ae145eafe1c07bf38d5c16c11ee2b391e7a28</x:v>
      </x:c>
      <x:c r="Y1563" s="20" t="n">
        <x:v>1</x:v>
      </x:c>
      <x:c r="Z1563" s="20" t="n">
        <x:v>1</x:v>
      </x:c>
      <x:c r="AA1563" s="19" t="str">
        <x:v>湘南台</x:v>
      </x:c>
      <x:c r="AB1563" s="18" t="str">
        <x:v>transport-hub-review:479987ab-1d69-5bff-99c6-e5dff1f680de</x:v>
      </x:c>
      <x:c r="AC1563" s="19"/>
    </x:row>
    <x:row r="1564" ht="33" customHeight="1">
      <x:c r="A1564" s="18" t="str">
        <x:v>湘南台</x:v>
      </x:c>
      <x:c r="B1564" s="18" t="str">
        <x:v>相模鉄道</x:v>
      </x:c>
      <x:c r="C1564" s="18" t="str">
        <x:v>private_rail</x:v>
      </x:c>
      <x:c r="D1564" s="19" t="str">
        <x:v>T2</x:v>
      </x:c>
      <x:c r="E1564" s="20" t="n">
        <x:v>29887</x:v>
      </x:c>
      <x:c r="F1564" s="18" t="str">
        <x:v>persons/day</x:v>
      </x:c>
      <x:c r="G1564" s="18" t="str">
        <x:v>FY2024</x:v>
      </x:c>
      <x:c r="H1564" s="18" t="str">
        <x:v>否</x:v>
      </x:c>
      <x:c r="I1564" s="19" t="str">
        <x:v>DAILY_ENTRIES_EXITS</x:v>
      </x:c>
      <x:c r="J1564" s="19" t="str">
        <x:v>相鉄いずみ野線</x:v>
      </x:c>
      <x:c r="K1564" s="18" t="str">
        <x:v>transport-node:8b704451-a7ec-5f5d-8a05-f4ddba28ef85</x:v>
      </x:c>
      <x:c r="L1564" s="19" t="str">
        <x:v>组件待审核</x:v>
      </x:c>
      <x:c r="M1564" s="21" t="n">
        <x:v>35.39624</x:v>
      </x:c>
      <x:c r="N1564" s="21" t="n">
        <x:v>139.46612</x:v>
      </x:c>
      <x:c r="O1564" s="18" t="str">
        <x:v>004843</x:v>
      </x:c>
      <x:c r="P1564" s="18" t="str">
        <x:v>相鉄いずみ野線</x:v>
      </x:c>
      <x:c r="Q1564" s="19" t="str">
        <x:v>S12_061_GE_10000
OFFICIAL_HUB_COMPONENT_REVIEW</x:v>
      </x:c>
      <x:c r="R1564" s="19" t="str">
        <x:v>S12_061 usage threshold</x:v>
      </x:c>
      <x:c r="S1564" s="19" t="str">
        <x:v>https://nlftp.mlit.go.jp/ksj/gml/datalist/KsjTmplt-S12-2024.html</x:v>
      </x:c>
      <x:c r="T1564" s="19" t="str">
        <x:v>https://nlftp.mlit.go.jp/ksj/gml/datalist/KsjTmplt-S12-2024.html
https://www.odakyu.jp/station/</x:v>
      </x:c>
      <x:c r="U1564" s="19" t="str">
        <x:v>station-component|湘南台|相模鉄道|private_rail|35.3962|139.4661|</x:v>
      </x:c>
      <x:c r="V1564" s="19" t="str">
        <x:v>004842 / 004843 / 相鉄いずみ野線</x:v>
      </x:c>
      <x:c r="W1564" s="18" t="str">
        <x:v>否</x:v>
      </x:c>
      <x:c r="X1564" s="18" t="str">
        <x:v>0785e932a32b3ec15e1a1345537ae145eafe1c07bf38d5c16c11ee2b391e7a28</x:v>
      </x:c>
      <x:c r="Y1564" s="20" t="n">
        <x:v>1</x:v>
      </x:c>
      <x:c r="Z1564" s="20" t="n">
        <x:v>1</x:v>
      </x:c>
      <x:c r="AA1564" s="19" t="str">
        <x:v>湘南台</x:v>
      </x:c>
      <x:c r="AB1564" s="18" t="str">
        <x:v>transport-hub-review:479987ab-1d69-5bff-99c6-e5dff1f680de</x:v>
      </x:c>
      <x:c r="AC1564" s="19"/>
    </x:row>
    <x:row r="1565" ht="28" customHeight="1">
      <x:c r="A1565" s="18" t="str">
        <x:v>湯島</x:v>
      </x:c>
      <x:c r="B1565" s="18" t="str">
        <x:v>東京地下鉄</x:v>
      </x:c>
      <x:c r="C1565" s="18" t="str">
        <x:v>metro</x:v>
      </x:c>
      <x:c r="D1565" s="19" t="str">
        <x:v>T2</x:v>
      </x:c>
      <x:c r="E1565" s="20" t="n">
        <x:v>37913</x:v>
      </x:c>
      <x:c r="F1565" s="18" t="str">
        <x:v>persons/day</x:v>
      </x:c>
      <x:c r="G1565" s="18" t="str">
        <x:v>FY2024</x:v>
      </x:c>
      <x:c r="H1565" s="18" t="str">
        <x:v>否</x:v>
      </x:c>
      <x:c r="I1565" s="19" t="str">
        <x:v>DAILY_ENTRIES_EXITS</x:v>
      </x:c>
      <x:c r="J1565" s="19" t="str">
        <x:v>9号線千代田線</x:v>
      </x:c>
      <x:c r="K1565" s="18" t="str">
        <x:v>transport-node:036d4f59-c01d-56c0-90a9-70e3de816d42</x:v>
      </x:c>
      <x:c r="L1565" s="19" t="str">
        <x:v>组件待审核</x:v>
      </x:c>
      <x:c r="M1565" s="21" t="n">
        <x:v>35.7067867</x:v>
      </x:c>
      <x:c r="N1565" s="21" t="n">
        <x:v>139.76998</x:v>
      </x:c>
      <x:c r="O1565" s="18" t="str">
        <x:v>003558</x:v>
      </x:c>
      <x:c r="P1565" s="18" t="str">
        <x:v>9号線千代田線</x:v>
      </x:c>
      <x:c r="Q1565" s="19" t="str">
        <x:v>S12_061_GE_10000</x:v>
      </x:c>
      <x:c r="R1565" s="19" t="str">
        <x:v>S12_061 usage threshold</x:v>
      </x:c>
      <x:c r="S1565" s="19" t="str">
        <x:v>https://nlftp.mlit.go.jp/ksj/gml/datalist/KsjTmplt-S12-2024.html</x:v>
      </x:c>
      <x:c r="T1565" s="19" t="str">
        <x:v>https://nlftp.mlit.go.jp/ksj/gml/datalist/KsjTmplt-S12-2024.html</x:v>
      </x:c>
      <x:c r="U1565" s="19" t="str">
        <x:v>station-component|湯島|東京地下鉄|metro|35.7068|139.7700|</x:v>
      </x:c>
      <x:c r="V1565" s="19" t="str">
        <x:v>003558 / 003558 / 9号線千代田線</x:v>
      </x:c>
      <x:c r="W1565" s="18" t="str">
        <x:v>否</x:v>
      </x:c>
      <x:c r="X1565" s="18" t="str">
        <x:v>0785e932a32b3ec15e1a1345537ae145eafe1c07bf38d5c16c11ee2b391e7a28</x:v>
      </x:c>
      <x:c r="Y1565" s="20" t="n">
        <x:v>1</x:v>
      </x:c>
      <x:c r="Z1565" s="20" t="n">
        <x:v>1</x:v>
      </x:c>
      <x:c r="AA1565" s="19"/>
      <x:c r="AB1565" s="18"/>
      <x:c r="AC1565" s="19"/>
    </x:row>
    <x:row r="1566" ht="28" customHeight="1">
      <x:c r="A1566" s="18" t="str">
        <x:v>湯河原</x:v>
      </x:c>
      <x:c r="B1566" s="18" t="str">
        <x:v>東日本旅客鉄道</x:v>
      </x:c>
      <x:c r="C1566" s="18" t="str">
        <x:v>conventional_rail</x:v>
      </x:c>
      <x:c r="D1566" s="19" t="str">
        <x:v>T2</x:v>
      </x:c>
      <x:c r="E1566" s="20" t="n">
        <x:v>10342</x:v>
      </x:c>
      <x:c r="F1566" s="18" t="str">
        <x:v>persons/day</x:v>
      </x:c>
      <x:c r="G1566" s="18" t="str">
        <x:v>FY2024</x:v>
      </x:c>
      <x:c r="H1566" s="18" t="str">
        <x:v>否</x:v>
      </x:c>
      <x:c r="I1566" s="19" t="str">
        <x:v>DAILY_ENTRIES_EXITS</x:v>
      </x:c>
      <x:c r="J1566" s="19" t="str">
        <x:v>東海道線</x:v>
      </x:c>
      <x:c r="K1566" s="18" t="str">
        <x:v>transport-node:c3950277-3866-52cf-8d1e-35707e6e5037</x:v>
      </x:c>
      <x:c r="L1566" s="19" t="str">
        <x:v>组件待审核</x:v>
      </x:c>
      <x:c r="M1566" s="21" t="n">
        <x:v>35.146125</x:v>
      </x:c>
      <x:c r="N1566" s="21" t="n">
        <x:v>139.1022</x:v>
      </x:c>
      <x:c r="O1566" s="18" t="str">
        <x:v>005541</x:v>
      </x:c>
      <x:c r="P1566" s="18" t="str">
        <x:v>東海道線</x:v>
      </x:c>
      <x:c r="Q1566" s="19" t="str">
        <x:v>S12_061_GE_10000</x:v>
      </x:c>
      <x:c r="R1566" s="19" t="str">
        <x:v>S12_061 usage threshold</x:v>
      </x:c>
      <x:c r="S1566" s="19" t="str">
        <x:v>https://nlftp.mlit.go.jp/ksj/gml/datalist/KsjTmplt-S12-2024.html</x:v>
      </x:c>
      <x:c r="T1566" s="19" t="str">
        <x:v>https://nlftp.mlit.go.jp/ksj/gml/datalist/KsjTmplt-S12-2024.html</x:v>
      </x:c>
      <x:c r="U1566" s="19" t="str">
        <x:v>station-component|湯河原|東日本旅客鉄道|conventional_rail|35.1461|139.1022|</x:v>
      </x:c>
      <x:c r="V1566" s="19" t="str">
        <x:v>005541 / 005541 / 東海道線</x:v>
      </x:c>
      <x:c r="W1566" s="18" t="str">
        <x:v>否</x:v>
      </x:c>
      <x:c r="X1566" s="18" t="str">
        <x:v>0785e932a32b3ec15e1a1345537ae145eafe1c07bf38d5c16c11ee2b391e7a28</x:v>
      </x:c>
      <x:c r="Y1566" s="20" t="n">
        <x:v>1</x:v>
      </x:c>
      <x:c r="Z1566" s="20" t="n">
        <x:v>1</x:v>
      </x:c>
      <x:c r="AA1566" s="19"/>
      <x:c r="AB1566" s="18"/>
      <x:c r="AC1566" s="19"/>
    </x:row>
    <x:row r="1567" ht="33" customHeight="1">
      <x:c r="A1567" s="18" t="str">
        <x:v>溜池山王</x:v>
      </x:c>
      <x:c r="B1567" s="18" t="str">
        <x:v>東京地下鉄</x:v>
      </x:c>
      <x:c r="C1567" s="18" t="str">
        <x:v>metro</x:v>
      </x:c>
      <x:c r="D1567" s="19" t="str">
        <x:v>T1</x:v>
      </x:c>
      <x:c r="E1567" s="20" t="n">
        <x:v>82631</x:v>
      </x:c>
      <x:c r="F1567" s="18" t="str">
        <x:v>persons/day</x:v>
      </x:c>
      <x:c r="G1567" s="18" t="str">
        <x:v>FY2024</x:v>
      </x:c>
      <x:c r="H1567" s="18" t="str">
        <x:v>否</x:v>
      </x:c>
      <x:c r="I1567" s="19" t="str">
        <x:v>DAILY_ENTRIES_EXITS</x:v>
      </x:c>
      <x:c r="J1567" s="19" t="str">
        <x:v>3号線銀座線
7号線南北線</x:v>
      </x:c>
      <x:c r="K1567" s="18" t="str">
        <x:v>transport-node:cd73f906-8308-5c75-8cf4-43d983ddec7a</x:v>
      </x:c>
      <x:c r="L1567" s="19" t="str">
        <x:v>组件待审核</x:v>
      </x:c>
      <x:c r="M1567" s="21" t="n">
        <x:v>35.6715467</x:v>
      </x:c>
      <x:c r="N1567" s="21" t="n">
        <x:v>139.74189</x:v>
      </x:c>
      <x:c r="O1567" s="18" t="str">
        <x:v>003826</x:v>
      </x:c>
      <x:c r="P1567" s="18" t="str">
        <x:v>3号線銀座線</x:v>
      </x:c>
      <x:c r="Q1567" s="19" t="str">
        <x:v>S12_061_GE_10000
OFFICIAL_HUB_COMPONENT_REVIEW</x:v>
      </x:c>
      <x:c r="R1567" s="19" t="str">
        <x:v>S12_061 usage threshold</x:v>
      </x:c>
      <x:c r="S1567" s="19" t="str">
        <x:v>https://nlftp.mlit.go.jp/ksj/gml/datalist/KsjTmplt-S12-2024.html</x:v>
      </x:c>
      <x:c r="T1567" s="19" t="str">
        <x:v>https://nlftp.mlit.go.jp/ksj/gml/datalist/KsjTmplt-S12-2024.html
https://www.tokyometro.jp/station/tameike-sanno/index.html</x:v>
      </x:c>
      <x:c r="U1567" s="19" t="str">
        <x:v>station-component|溜池山王|東京地下鉄|metro|35.6715|139.7419|</x:v>
      </x:c>
      <x:c r="V1567" s="19" t="str">
        <x:v>003810 / 003810 / 7号線南北線
003810 / 003826 / 3号線銀座線</x:v>
      </x:c>
      <x:c r="W1567" s="18" t="str">
        <x:v>否</x:v>
      </x:c>
      <x:c r="X1567" s="18" t="str">
        <x:v>0785e932a32b3ec15e1a1345537ae145eafe1c07bf38d5c16c11ee2b391e7a28</x:v>
      </x:c>
      <x:c r="Y1567" s="20" t="n">
        <x:v>1</x:v>
      </x:c>
      <x:c r="Z1567" s="20" t="n">
        <x:v>1</x:v>
      </x:c>
      <x:c r="AA1567" s="19" t="str">
        <x:v>溜池山王・国会議事堂前</x:v>
      </x:c>
      <x:c r="AB1567" s="18" t="str">
        <x:v>transport-hub-review:8efae5b1-0839-5990-9c13-e93ed3118e39</x:v>
      </x:c>
      <x:c r="AC1567" s="19"/>
    </x:row>
    <x:row r="1568" ht="33" customHeight="1">
      <x:c r="A1568" s="18" t="str">
        <x:v>溝の口</x:v>
      </x:c>
      <x:c r="B1568" s="18" t="str">
        <x:v>東急電鉄</x:v>
      </x:c>
      <x:c r="C1568" s="18" t="str">
        <x:v>private_rail</x:v>
      </x:c>
      <x:c r="D1568" s="19" t="str">
        <x:v>T1</x:v>
      </x:c>
      <x:c r="E1568" s="20" t="n">
        <x:v>195762</x:v>
      </x:c>
      <x:c r="F1568" s="18" t="str">
        <x:v>persons/day</x:v>
      </x:c>
      <x:c r="G1568" s="18" t="str">
        <x:v>FY2024</x:v>
      </x:c>
      <x:c r="H1568" s="18" t="str">
        <x:v>否</x:v>
      </x:c>
      <x:c r="I1568" s="19" t="str">
        <x:v>DAILY_ENTRIES_EXITS</x:v>
      </x:c>
      <x:c r="J1568" s="19" t="str">
        <x:v>大井町線
田園都市線</x:v>
      </x:c>
      <x:c r="K1568" s="18" t="str">
        <x:v>transport-node:f521cd74-cc5c-5d21-9b00-0236d5b4986d</x:v>
      </x:c>
      <x:c r="L1568" s="19" t="str">
        <x:v>组件待审核</x:v>
      </x:c>
      <x:c r="M1568" s="21" t="n">
        <x:v>35.5997771</x:v>
      </x:c>
      <x:c r="N1568" s="21" t="n">
        <x:v>139.61054</x:v>
      </x:c>
      <x:c r="O1568" s="18" t="str">
        <x:v>004238</x:v>
      </x:c>
      <x:c r="P1568" s="18" t="str">
        <x:v>田園都市線</x:v>
      </x:c>
      <x:c r="Q1568" s="19" t="str">
        <x:v>S12_061_GE_10000
OFFICIAL_HUB_COMPONENT_REVIEW</x:v>
      </x:c>
      <x:c r="R1568" s="19" t="str">
        <x:v>S12_061 usage threshold</x:v>
      </x:c>
      <x:c r="S1568" s="19" t="str">
        <x:v>https://nlftp.mlit.go.jp/ksj/gml/datalist/KsjTmplt-S12-2024.html</x:v>
      </x:c>
      <x:c r="T1568" s="19" t="str">
        <x:v>https://nlftp.mlit.go.jp/ksj/gml/datalist/KsjTmplt-S12-2024.html
https://www.tokyu.co.jp/area/mizonokuchi/station/</x:v>
      </x:c>
      <x:c r="U1568" s="19" t="str">
        <x:v>station-component|溝の口|東急電鉄|private_rail|35.5998|139.6105|</x:v>
      </x:c>
      <x:c r="V1568" s="19" t="str">
        <x:v>004238 / 004238 / 田園都市線</x:v>
      </x:c>
      <x:c r="W1568" s="18" t="str">
        <x:v>否</x:v>
      </x:c>
      <x:c r="X1568" s="18" t="str">
        <x:v>0785e932a32b3ec15e1a1345537ae145eafe1c07bf38d5c16c11ee2b391e7a28</x:v>
      </x:c>
      <x:c r="Y1568" s="20" t="n">
        <x:v>1</x:v>
      </x:c>
      <x:c r="Z1568" s="20" t="n">
        <x:v>1</x:v>
      </x:c>
      <x:c r="AA1568" s="19" t="str">
        <x:v>溝の口・武蔵溝ノ口</x:v>
      </x:c>
      <x:c r="AB1568" s="18" t="str">
        <x:v>transport-hub-review:e2a5f551-3936-5b70-8056-8dc63b79bb04</x:v>
      </x:c>
      <x:c r="AC1568" s="19"/>
    </x:row>
    <x:row r="1569" ht="28" customHeight="1">
      <x:c r="A1569" s="18" t="str">
        <x:v>潮見</x:v>
      </x:c>
      <x:c r="B1569" s="18" t="str">
        <x:v>東日本旅客鉄道</x:v>
      </x:c>
      <x:c r="C1569" s="18" t="str">
        <x:v>conventional_rail</x:v>
      </x:c>
      <x:c r="D1569" s="19" t="str">
        <x:v>T2</x:v>
      </x:c>
      <x:c r="E1569" s="20" t="n">
        <x:v>30732</x:v>
      </x:c>
      <x:c r="F1569" s="18" t="str">
        <x:v>persons/day</x:v>
      </x:c>
      <x:c r="G1569" s="18" t="str">
        <x:v>FY2024</x:v>
      </x:c>
      <x:c r="H1569" s="18" t="str">
        <x:v>否</x:v>
      </x:c>
      <x:c r="I1569" s="19" t="str">
        <x:v>DAILY_ENTRIES_EXITS</x:v>
      </x:c>
      <x:c r="J1569" s="19" t="str">
        <x:v>京葉線</x:v>
      </x:c>
      <x:c r="K1569" s="18" t="str">
        <x:v>transport-node:fabbeab9-a621-5537-822c-61829d29005e</x:v>
      </x:c>
      <x:c r="L1569" s="19" t="str">
        <x:v>组件待审核</x:v>
      </x:c>
      <x:c r="M1569" s="21" t="n">
        <x:v>35.658865</x:v>
      </x:c>
      <x:c r="N1569" s="21" t="n">
        <x:v>139.81717</x:v>
      </x:c>
      <x:c r="O1569" s="18" t="str">
        <x:v>003928</x:v>
      </x:c>
      <x:c r="P1569" s="18" t="str">
        <x:v>京葉線</x:v>
      </x:c>
      <x:c r="Q1569" s="19" t="str">
        <x:v>S12_061_GE_10000</x:v>
      </x:c>
      <x:c r="R1569" s="19" t="str">
        <x:v>S12_061 usage threshold</x:v>
      </x:c>
      <x:c r="S1569" s="19" t="str">
        <x:v>https://nlftp.mlit.go.jp/ksj/gml/datalist/KsjTmplt-S12-2024.html</x:v>
      </x:c>
      <x:c r="T1569" s="19" t="str">
        <x:v>https://nlftp.mlit.go.jp/ksj/gml/datalist/KsjTmplt-S12-2024.html</x:v>
      </x:c>
      <x:c r="U1569" s="19" t="str">
        <x:v>station-component|潮見|東日本旅客鉄道|conventional_rail|35.6589|139.8172|</x:v>
      </x:c>
      <x:c r="V1569" s="19" t="str">
        <x:v>003928 / 003928 / 京葉線</x:v>
      </x:c>
      <x:c r="W1569" s="18" t="str">
        <x:v>否</x:v>
      </x:c>
      <x:c r="X1569" s="18" t="str">
        <x:v>0785e932a32b3ec15e1a1345537ae145eafe1c07bf38d5c16c11ee2b391e7a28</x:v>
      </x:c>
      <x:c r="Y1569" s="20" t="n">
        <x:v>1</x:v>
      </x:c>
      <x:c r="Z1569" s="20" t="n">
        <x:v>1</x:v>
      </x:c>
      <x:c r="AA1569" s="19"/>
      <x:c r="AB1569" s="18"/>
      <x:c r="AC1569" s="19"/>
    </x:row>
    <x:row r="1570" ht="28" customHeight="1">
      <x:c r="A1570" s="18" t="str">
        <x:v>澄川</x:v>
      </x:c>
      <x:c r="B1570" s="18" t="str">
        <x:v>札幌市</x:v>
      </x:c>
      <x:c r="C1570" s="18" t="str">
        <x:v>metro</x:v>
      </x:c>
      <x:c r="D1570" s="19" t="str">
        <x:v>T2</x:v>
      </x:c>
      <x:c r="E1570" s="20" t="n">
        <x:v>19654</x:v>
      </x:c>
      <x:c r="F1570" s="18" t="str">
        <x:v>persons/day</x:v>
      </x:c>
      <x:c r="G1570" s="18" t="str">
        <x:v>FY2024</x:v>
      </x:c>
      <x:c r="H1570" s="18" t="str">
        <x:v>否</x:v>
      </x:c>
      <x:c r="I1570" s="19" t="str">
        <x:v>DAILY_ENTRIES_EXITS</x:v>
      </x:c>
      <x:c r="J1570" s="19" t="str">
        <x:v>南北線</x:v>
      </x:c>
      <x:c r="K1570" s="18" t="str">
        <x:v>transport-node:fceca17a-e128-59b6-aaa1-02bdf1c69945</x:v>
      </x:c>
      <x:c r="L1570" s="19" t="str">
        <x:v>组件待审核</x:v>
      </x:c>
      <x:c r="M1570" s="21" t="n">
        <x:v>43.016825</x:v>
      </x:c>
      <x:c r="N1570" s="21" t="n">
        <x:v>141.36736</x:v>
      </x:c>
      <x:c r="O1570" s="18" t="str">
        <x:v>000301</x:v>
      </x:c>
      <x:c r="P1570" s="18" t="str">
        <x:v>南北線</x:v>
      </x:c>
      <x:c r="Q1570" s="19" t="str">
        <x:v>S12_061_GE_10000</x:v>
      </x:c>
      <x:c r="R1570" s="19" t="str">
        <x:v>S12_061 usage threshold</x:v>
      </x:c>
      <x:c r="S1570" s="19" t="str">
        <x:v>https://nlftp.mlit.go.jp/ksj/gml/datalist/KsjTmplt-S12-2024.html</x:v>
      </x:c>
      <x:c r="T1570" s="19" t="str">
        <x:v>https://nlftp.mlit.go.jp/ksj/gml/datalist/KsjTmplt-S12-2024.html</x:v>
      </x:c>
      <x:c r="U1570" s="19" t="str">
        <x:v>station-component|澄川|札幌市|metro|43.0168|141.3674|</x:v>
      </x:c>
      <x:c r="V1570" s="19" t="str">
        <x:v>000301 / 000301 / 南北線</x:v>
      </x:c>
      <x:c r="W1570" s="18" t="str">
        <x:v>否</x:v>
      </x:c>
      <x:c r="X1570" s="18" t="str">
        <x:v>0785e932a32b3ec15e1a1345537ae145eafe1c07bf38d5c16c11ee2b391e7a28</x:v>
      </x:c>
      <x:c r="Y1570" s="20" t="n">
        <x:v>1</x:v>
      </x:c>
      <x:c r="Z1570" s="20" t="n">
        <x:v>1</x:v>
      </x:c>
      <x:c r="AA1570" s="19"/>
      <x:c r="AB1570" s="18"/>
      <x:c r="AC1570" s="19"/>
    </x:row>
    <x:row r="1571" ht="28" customHeight="1">
      <x:c r="A1571" s="18" t="str">
        <x:v>瀬田</x:v>
      </x:c>
      <x:c r="B1571" s="18" t="str">
        <x:v>西日本旅客鉄道</x:v>
      </x:c>
      <x:c r="C1571" s="18" t="str">
        <x:v>conventional_rail</x:v>
      </x:c>
      <x:c r="D1571" s="19" t="str">
        <x:v>T2</x:v>
      </x:c>
      <x:c r="E1571" s="20" t="n">
        <x:v>34858</x:v>
      </x:c>
      <x:c r="F1571" s="18" t="str">
        <x:v>persons/day</x:v>
      </x:c>
      <x:c r="G1571" s="18" t="str">
        <x:v>FY2024</x:v>
      </x:c>
      <x:c r="H1571" s="18" t="str">
        <x:v>否</x:v>
      </x:c>
      <x:c r="I1571" s="19" t="str">
        <x:v>DAILY_ENTRIES_EXITS</x:v>
      </x:c>
      <x:c r="J1571" s="19" t="str">
        <x:v>東海道線</x:v>
      </x:c>
      <x:c r="K1571" s="18" t="str">
        <x:v>transport-node:58541f2f-1677-5cb9-bd45-2a33ea3d909c</x:v>
      </x:c>
      <x:c r="L1571" s="19" t="str">
        <x:v>组件待审核</x:v>
      </x:c>
      <x:c r="M1571" s="21" t="n">
        <x:v>34.987285</x:v>
      </x:c>
      <x:c r="N1571" s="21" t="n">
        <x:v>135.92584</x:v>
      </x:c>
      <x:c r="O1571" s="18" t="str">
        <x:v>006069</x:v>
      </x:c>
      <x:c r="P1571" s="18" t="str">
        <x:v>東海道線</x:v>
      </x:c>
      <x:c r="Q1571" s="19" t="str">
        <x:v>S12_061_GE_10000</x:v>
      </x:c>
      <x:c r="R1571" s="19" t="str">
        <x:v>S12_061 usage threshold</x:v>
      </x:c>
      <x:c r="S1571" s="19" t="str">
        <x:v>https://nlftp.mlit.go.jp/ksj/gml/datalist/KsjTmplt-S12-2024.html</x:v>
      </x:c>
      <x:c r="T1571" s="19" t="str">
        <x:v>https://nlftp.mlit.go.jp/ksj/gml/datalist/KsjTmplt-S12-2024.html</x:v>
      </x:c>
      <x:c r="U1571" s="19" t="str">
        <x:v>station-component|瀬田|西日本旅客鉄道|conventional_rail|34.9873|135.9258|</x:v>
      </x:c>
      <x:c r="V1571" s="19" t="str">
        <x:v>006069 / 006069 / 東海道線</x:v>
      </x:c>
      <x:c r="W1571" s="18" t="str">
        <x:v>否</x:v>
      </x:c>
      <x:c r="X1571" s="18" t="str">
        <x:v>0785e932a32b3ec15e1a1345537ae145eafe1c07bf38d5c16c11ee2b391e7a28</x:v>
      </x:c>
      <x:c r="Y1571" s="20" t="n">
        <x:v>1</x:v>
      </x:c>
      <x:c r="Z1571" s="20" t="n">
        <x:v>1</x:v>
      </x:c>
      <x:c r="AA1571" s="19"/>
      <x:c r="AB1571" s="18"/>
      <x:c r="AC1571" s="19"/>
    </x:row>
    <x:row r="1572" ht="28" customHeight="1">
      <x:c r="A1572" s="18" t="str">
        <x:v>瀬谷</x:v>
      </x:c>
      <x:c r="B1572" s="18" t="str">
        <x:v>相模鉄道</x:v>
      </x:c>
      <x:c r="C1572" s="18" t="str">
        <x:v>private_rail</x:v>
      </x:c>
      <x:c r="D1572" s="19" t="str">
        <x:v>T2</x:v>
      </x:c>
      <x:c r="E1572" s="20" t="n">
        <x:v>40456</x:v>
      </x:c>
      <x:c r="F1572" s="18" t="str">
        <x:v>persons/day</x:v>
      </x:c>
      <x:c r="G1572" s="18" t="str">
        <x:v>FY2024</x:v>
      </x:c>
      <x:c r="H1572" s="18" t="str">
        <x:v>否</x:v>
      </x:c>
      <x:c r="I1572" s="19" t="str">
        <x:v>DAILY_ENTRIES_EXITS</x:v>
      </x:c>
      <x:c r="J1572" s="19" t="str">
        <x:v>相鉄本線</x:v>
      </x:c>
      <x:c r="K1572" s="18" t="str">
        <x:v>transport-node:d5fe406a-8778-595f-8a6d-5657e6d8bd9b</x:v>
      </x:c>
      <x:c r="L1572" s="19" t="str">
        <x:v>组件待审核</x:v>
      </x:c>
      <x:c r="M1572" s="21" t="n">
        <x:v>35.4704</x:v>
      </x:c>
      <x:c r="N1572" s="21" t="n">
        <x:v>139.48259</x:v>
      </x:c>
      <x:c r="O1572" s="18" t="str">
        <x:v>004615</x:v>
      </x:c>
      <x:c r="P1572" s="18" t="str">
        <x:v>相鉄本線</x:v>
      </x:c>
      <x:c r="Q1572" s="19" t="str">
        <x:v>S12_061_GE_10000</x:v>
      </x:c>
      <x:c r="R1572" s="19" t="str">
        <x:v>S12_061 usage threshold</x:v>
      </x:c>
      <x:c r="S1572" s="19" t="str">
        <x:v>https://nlftp.mlit.go.jp/ksj/gml/datalist/KsjTmplt-S12-2024.html</x:v>
      </x:c>
      <x:c r="T1572" s="19" t="str">
        <x:v>https://nlftp.mlit.go.jp/ksj/gml/datalist/KsjTmplt-S12-2024.html</x:v>
      </x:c>
      <x:c r="U1572" s="19" t="str">
        <x:v>station-component|瀬谷|相模鉄道|private_rail|35.4704|139.4826|</x:v>
      </x:c>
      <x:c r="V1572" s="19" t="str">
        <x:v>004615 / 004615 / 相鉄本線</x:v>
      </x:c>
      <x:c r="W1572" s="18" t="str">
        <x:v>否</x:v>
      </x:c>
      <x:c r="X1572" s="18" t="str">
        <x:v>0785e932a32b3ec15e1a1345537ae145eafe1c07bf38d5c16c11ee2b391e7a28</x:v>
      </x:c>
      <x:c r="Y1572" s="20" t="n">
        <x:v>1</x:v>
      </x:c>
      <x:c r="Z1572" s="20" t="n">
        <x:v>1</x:v>
      </x:c>
      <x:c r="AA1572" s="19"/>
      <x:c r="AB1572" s="18"/>
      <x:c r="AC1572" s="19"/>
    </x:row>
    <x:row r="1573" ht="28" customHeight="1">
      <x:c r="A1573" s="18" t="str">
        <x:v>灘</x:v>
      </x:c>
      <x:c r="B1573" s="18" t="str">
        <x:v>西日本旅客鉄道</x:v>
      </x:c>
      <x:c r="C1573" s="18" t="str">
        <x:v>conventional_rail</x:v>
      </x:c>
      <x:c r="D1573" s="19" t="str">
        <x:v>T2</x:v>
      </x:c>
      <x:c r="E1573" s="20" t="n">
        <x:v>30878</x:v>
      </x:c>
      <x:c r="F1573" s="18" t="str">
        <x:v>persons/day</x:v>
      </x:c>
      <x:c r="G1573" s="18" t="str">
        <x:v>FY2024</x:v>
      </x:c>
      <x:c r="H1573" s="18" t="str">
        <x:v>否</x:v>
      </x:c>
      <x:c r="I1573" s="19" t="str">
        <x:v>DAILY_ENTRIES_EXITS</x:v>
      </x:c>
      <x:c r="J1573" s="19" t="str">
        <x:v>東海道線</x:v>
      </x:c>
      <x:c r="K1573" s="18" t="str">
        <x:v>transport-node:d015b08e-3a7b-581b-9203-4413d8b2d8c6</x:v>
      </x:c>
      <x:c r="L1573" s="19" t="str">
        <x:v>组件待审核</x:v>
      </x:c>
      <x:c r="M1573" s="21" t="n">
        <x:v>34.705875</x:v>
      </x:c>
      <x:c r="N1573" s="21" t="n">
        <x:v>135.216545</x:v>
      </x:c>
      <x:c r="O1573" s="18" t="str">
        <x:v>007046</x:v>
      </x:c>
      <x:c r="P1573" s="18" t="str">
        <x:v>東海道線</x:v>
      </x:c>
      <x:c r="Q1573" s="19" t="str">
        <x:v>S12_061_GE_10000</x:v>
      </x:c>
      <x:c r="R1573" s="19" t="str">
        <x:v>S12_061 usage threshold</x:v>
      </x:c>
      <x:c r="S1573" s="19" t="str">
        <x:v>https://nlftp.mlit.go.jp/ksj/gml/datalist/KsjTmplt-S12-2024.html</x:v>
      </x:c>
      <x:c r="T1573" s="19" t="str">
        <x:v>https://nlftp.mlit.go.jp/ksj/gml/datalist/KsjTmplt-S12-2024.html</x:v>
      </x:c>
      <x:c r="U1573" s="19" t="str">
        <x:v>station-component|灘|西日本旅客鉄道|conventional_rail|34.7059|135.2165|</x:v>
      </x:c>
      <x:c r="V1573" s="19" t="str">
        <x:v>007046 / 007046 / 東海道線</x:v>
      </x:c>
      <x:c r="W1573" s="18" t="str">
        <x:v>否</x:v>
      </x:c>
      <x:c r="X1573" s="18" t="str">
        <x:v>0785e932a32b3ec15e1a1345537ae145eafe1c07bf38d5c16c11ee2b391e7a28</x:v>
      </x:c>
      <x:c r="Y1573" s="20" t="n">
        <x:v>1</x:v>
      </x:c>
      <x:c r="Z1573" s="20" t="n">
        <x:v>1</x:v>
      </x:c>
      <x:c r="AA1573" s="19"/>
      <x:c r="AB1573" s="18"/>
      <x:c r="AC1573" s="19"/>
    </x:row>
    <x:row r="1574" ht="33" customHeight="1">
      <x:c r="A1574" s="18" t="str">
        <x:v>烏丸</x:v>
      </x:c>
      <x:c r="B1574" s="18" t="str">
        <x:v>阪急電鉄</x:v>
      </x:c>
      <x:c r="C1574" s="18" t="str">
        <x:v>private_rail</x:v>
      </x:c>
      <x:c r="D1574" s="19" t="str">
        <x:v>T1</x:v>
      </x:c>
      <x:c r="E1574" s="20" t="n">
        <x:v>76881</x:v>
      </x:c>
      <x:c r="F1574" s="18" t="str">
        <x:v>persons/day</x:v>
      </x:c>
      <x:c r="G1574" s="18" t="str">
        <x:v>FY2024</x:v>
      </x:c>
      <x:c r="H1574" s="18" t="str">
        <x:v>否</x:v>
      </x:c>
      <x:c r="I1574" s="19" t="str">
        <x:v>DAILY_ENTRIES_EXITS</x:v>
      </x:c>
      <x:c r="J1574" s="19" t="str">
        <x:v>京都線</x:v>
      </x:c>
      <x:c r="K1574" s="18" t="str">
        <x:v>transport-node:258b1757-32c2-57ea-aad2-2a472707a06d</x:v>
      </x:c>
      <x:c r="L1574" s="19" t="str">
        <x:v>组件待审核</x:v>
      </x:c>
      <x:c r="M1574" s="21" t="n">
        <x:v>35.0037</x:v>
      </x:c>
      <x:c r="N1574" s="21" t="n">
        <x:v>135.760375</x:v>
      </x:c>
      <x:c r="O1574" s="18" t="str">
        <x:v>005992</x:v>
      </x:c>
      <x:c r="P1574" s="18" t="str">
        <x:v>京都線</x:v>
      </x:c>
      <x:c r="Q1574" s="19" t="str">
        <x:v>S12_061_GE_10000
OFFICIAL_HUB_COMPONENT_REVIEW</x:v>
      </x:c>
      <x:c r="R1574" s="19" t="str">
        <x:v>S12_061 usage threshold</x:v>
      </x:c>
      <x:c r="S1574" s="19" t="str">
        <x:v>https://nlftp.mlit.go.jp/ksj/gml/datalist/KsjTmplt-S12-2024.html</x:v>
      </x:c>
      <x:c r="T1574" s="19" t="str">
        <x:v>https://nlftp.mlit.go.jp/ksj/gml/datalist/KsjTmplt-S12-2024.html
https://www.hankyu.co.jp/station/index.html</x:v>
      </x:c>
      <x:c r="U1574" s="19" t="str">
        <x:v>station-component|烏丸|阪急電鉄|private_rail|35.0037|135.7604|</x:v>
      </x:c>
      <x:c r="V1574" s="19" t="str">
        <x:v>005992 / 005992 / 京都線</x:v>
      </x:c>
      <x:c r="W1574" s="18" t="str">
        <x:v>否</x:v>
      </x:c>
      <x:c r="X1574" s="18" t="str">
        <x:v>0785e932a32b3ec15e1a1345537ae145eafe1c07bf38d5c16c11ee2b391e7a28</x:v>
      </x:c>
      <x:c r="Y1574" s="20" t="n">
        <x:v>1</x:v>
      </x:c>
      <x:c r="Z1574" s="20" t="n">
        <x:v>1</x:v>
      </x:c>
      <x:c r="AA1574" s="19" t="str">
        <x:v>烏丸・四条</x:v>
      </x:c>
      <x:c r="AB1574" s="18" t="str">
        <x:v>transport-hub-review:e2d38b26-899a-56b2-aa18-d0eae57cc5df</x:v>
      </x:c>
      <x:c r="AC1574" s="19"/>
    </x:row>
    <x:row r="1575" ht="33" customHeight="1">
      <x:c r="A1575" s="18" t="str">
        <x:v>烏丸御池</x:v>
      </x:c>
      <x:c r="B1575" s="18" t="str">
        <x:v>京都市</x:v>
      </x:c>
      <x:c r="C1575" s="18" t="str">
        <x:v>metro</x:v>
      </x:c>
      <x:c r="D1575" s="19" t="str">
        <x:v>T1</x:v>
      </x:c>
      <x:c r="E1575" s="20" t="n">
        <x:v>106144</x:v>
      </x:c>
      <x:c r="F1575" s="18" t="str">
        <x:v>persons/day</x:v>
      </x:c>
      <x:c r="G1575" s="18" t="str">
        <x:v>FY2024</x:v>
      </x:c>
      <x:c r="H1575" s="18" t="str">
        <x:v>否</x:v>
      </x:c>
      <x:c r="I1575" s="19" t="str">
        <x:v>DAILY_ENTRIES_EXITS</x:v>
      </x:c>
      <x:c r="J1575" s="19" t="str">
        <x:v>東西線
烏丸線</x:v>
      </x:c>
      <x:c r="K1575" s="18" t="str">
        <x:v>transport-node:5469bc2b-64d5-53a9-8699-dae1d3822a53</x:v>
      </x:c>
      <x:c r="L1575" s="19" t="str">
        <x:v>组件待审核</x:v>
      </x:c>
      <x:c r="M1575" s="21" t="n">
        <x:v>35.0102083</x:v>
      </x:c>
      <x:c r="N1575" s="21" t="n">
        <x:v>135.7596329</x:v>
      </x:c>
      <x:c r="O1575" s="18" t="str">
        <x:v>005964</x:v>
      </x:c>
      <x:c r="P1575" s="18" t="str">
        <x:v>烏丸線</x:v>
      </x:c>
      <x:c r="Q1575" s="19" t="str">
        <x:v>S12_061_GE_10000
OFFICIAL_HUB_COMPONENT_REVIEW</x:v>
      </x:c>
      <x:c r="R1575" s="19" t="str">
        <x:v>S12_061 usage threshold</x:v>
      </x:c>
      <x:c r="S1575" s="19" t="str">
        <x:v>https://nlftp.mlit.go.jp/ksj/gml/datalist/KsjTmplt-S12-2024.html</x:v>
      </x:c>
      <x:c r="T1575" s="19" t="str">
        <x:v>https://nlftp.mlit.go.jp/ksj/gml/datalist/KsjTmplt-S12-2024.html
https://www2.city.kyoto.lg.jp/kotsu/tikadia/hyperdia/menu0135</x:v>
      </x:c>
      <x:c r="U1575" s="19" t="str">
        <x:v>station-component|烏丸御池|京都市|metro|35.0102|135.7596|</x:v>
      </x:c>
      <x:c r="V1575" s="19" t="str">
        <x:v>005962 / 005962 / 東西線
005962 / 005964 / 烏丸線</x:v>
      </x:c>
      <x:c r="W1575" s="18" t="str">
        <x:v>否</x:v>
      </x:c>
      <x:c r="X1575" s="18" t="str">
        <x:v>0785e932a32b3ec15e1a1345537ae145eafe1c07bf38d5c16c11ee2b391e7a28</x:v>
      </x:c>
      <x:c r="Y1575" s="20" t="n">
        <x:v>1</x:v>
      </x:c>
      <x:c r="Z1575" s="20" t="n">
        <x:v>1</x:v>
      </x:c>
      <x:c r="AA1575" s="19" t="str">
        <x:v>烏丸御池</x:v>
      </x:c>
      <x:c r="AB1575" s="18" t="str">
        <x:v>transport-hub-review:32584a34-4cf2-50c9-8e3c-37eb3a498ec2</x:v>
      </x:c>
      <x:c r="AC1575" s="19"/>
    </x:row>
    <x:row r="1576" ht="28" customHeight="1">
      <x:c r="A1576" s="18" t="str">
        <x:v>焼津</x:v>
      </x:c>
      <x:c r="B1576" s="18" t="str">
        <x:v>東海旅客鉄道</x:v>
      </x:c>
      <x:c r="C1576" s="18" t="str">
        <x:v>conventional_rail</x:v>
      </x:c>
      <x:c r="D1576" s="19" t="str">
        <x:v>T2</x:v>
      </x:c>
      <x:c r="E1576" s="20" t="n">
        <x:v>15698</x:v>
      </x:c>
      <x:c r="F1576" s="18" t="str">
        <x:v>persons/day</x:v>
      </x:c>
      <x:c r="G1576" s="18" t="str">
        <x:v>FY2024</x:v>
      </x:c>
      <x:c r="H1576" s="18" t="str">
        <x:v>否</x:v>
      </x:c>
      <x:c r="I1576" s="19" t="str">
        <x:v>DAILY_ENTRIES_EXITS</x:v>
      </x:c>
      <x:c r="J1576" s="19" t="str">
        <x:v>東海道線</x:v>
      </x:c>
      <x:c r="K1576" s="18" t="str">
        <x:v>transport-node:4a0dcea5-2dc9-527b-bfa9-e98b6096e184</x:v>
      </x:c>
      <x:c r="L1576" s="19" t="str">
        <x:v>组件待审核</x:v>
      </x:c>
      <x:c r="M1576" s="21" t="n">
        <x:v>34.872285</x:v>
      </x:c>
      <x:c r="N1576" s="21" t="n">
        <x:v>138.31848</x:v>
      </x:c>
      <x:c r="O1576" s="18" t="str">
        <x:v>006382</x:v>
      </x:c>
      <x:c r="P1576" s="18" t="str">
        <x:v>東海道線</x:v>
      </x:c>
      <x:c r="Q1576" s="19" t="str">
        <x:v>S12_061_GE_10000</x:v>
      </x:c>
      <x:c r="R1576" s="19" t="str">
        <x:v>S12_061 usage threshold</x:v>
      </x:c>
      <x:c r="S1576" s="19" t="str">
        <x:v>https://nlftp.mlit.go.jp/ksj/gml/datalist/KsjTmplt-S12-2024.html</x:v>
      </x:c>
      <x:c r="T1576" s="19" t="str">
        <x:v>https://nlftp.mlit.go.jp/ksj/gml/datalist/KsjTmplt-S12-2024.html</x:v>
      </x:c>
      <x:c r="U1576" s="19" t="str">
        <x:v>station-component|焼津|東海旅客鉄道|conventional_rail|34.8723|138.3185|</x:v>
      </x:c>
      <x:c r="V1576" s="19" t="str">
        <x:v>006382 / 006382 / 東海道線</x:v>
      </x:c>
      <x:c r="W1576" s="18" t="str">
        <x:v>否</x:v>
      </x:c>
      <x:c r="X1576" s="18" t="str">
        <x:v>0785e932a32b3ec15e1a1345537ae145eafe1c07bf38d5c16c11ee2b391e7a28</x:v>
      </x:c>
      <x:c r="Y1576" s="20" t="n">
        <x:v>1</x:v>
      </x:c>
      <x:c r="Z1576" s="20" t="n">
        <x:v>1</x:v>
      </x:c>
      <x:c r="AA1576" s="19"/>
      <x:c r="AB1576" s="18"/>
      <x:c r="AC1576" s="19"/>
    </x:row>
    <x:row r="1577" ht="28" customHeight="1">
      <x:c r="A1577" s="18" t="str">
        <x:v>熊取</x:v>
      </x:c>
      <x:c r="B1577" s="18" t="str">
        <x:v>西日本旅客鉄道</x:v>
      </x:c>
      <x:c r="C1577" s="18" t="str">
        <x:v>conventional_rail</x:v>
      </x:c>
      <x:c r="D1577" s="19" t="str">
        <x:v>T2</x:v>
      </x:c>
      <x:c r="E1577" s="20" t="n">
        <x:v>19928</x:v>
      </x:c>
      <x:c r="F1577" s="18" t="str">
        <x:v>persons/day</x:v>
      </x:c>
      <x:c r="G1577" s="18" t="str">
        <x:v>FY2024</x:v>
      </x:c>
      <x:c r="H1577" s="18" t="str">
        <x:v>否</x:v>
      </x:c>
      <x:c r="I1577" s="19" t="str">
        <x:v>DAILY_ENTRIES_EXITS</x:v>
      </x:c>
      <x:c r="J1577" s="19" t="str">
        <x:v>阪和線</x:v>
      </x:c>
      <x:c r="K1577" s="18" t="str">
        <x:v>transport-node:36bf7c3c-9d2b-589c-8043-f62daf1a212a</x:v>
      </x:c>
      <x:c r="L1577" s="19" t="str">
        <x:v>组件待审核</x:v>
      </x:c>
      <x:c r="M1577" s="21" t="n">
        <x:v>34.40629</x:v>
      </x:c>
      <x:c r="N1577" s="21" t="n">
        <x:v>135.341215</x:v>
      </x:c>
      <x:c r="O1577" s="18" t="str">
        <x:v>008008</x:v>
      </x:c>
      <x:c r="P1577" s="18" t="str">
        <x:v>阪和線</x:v>
      </x:c>
      <x:c r="Q1577" s="19" t="str">
        <x:v>S12_061_GE_10000</x:v>
      </x:c>
      <x:c r="R1577" s="19" t="str">
        <x:v>S12_061 usage threshold</x:v>
      </x:c>
      <x:c r="S1577" s="19" t="str">
        <x:v>https://nlftp.mlit.go.jp/ksj/gml/datalist/KsjTmplt-S12-2024.html</x:v>
      </x:c>
      <x:c r="T1577" s="19" t="str">
        <x:v>https://nlftp.mlit.go.jp/ksj/gml/datalist/KsjTmplt-S12-2024.html</x:v>
      </x:c>
      <x:c r="U1577" s="19" t="str">
        <x:v>station-component|熊取|西日本旅客鉄道|conventional_rail|34.4063|135.3412|</x:v>
      </x:c>
      <x:c r="V1577" s="19" t="str">
        <x:v>008008 / 008008 / 阪和線</x:v>
      </x:c>
      <x:c r="W1577" s="18" t="str">
        <x:v>否</x:v>
      </x:c>
      <x:c r="X1577" s="18" t="str">
        <x:v>0785e932a32b3ec15e1a1345537ae145eafe1c07bf38d5c16c11ee2b391e7a28</x:v>
      </x:c>
      <x:c r="Y1577" s="20" t="n">
        <x:v>1</x:v>
      </x:c>
      <x:c r="Z1577" s="20" t="n">
        <x:v>1</x:v>
      </x:c>
      <x:c r="AA1577" s="19"/>
      <x:c r="AB1577" s="18"/>
      <x:c r="AC1577" s="19"/>
    </x:row>
    <x:row r="1578" ht="33" customHeight="1">
      <x:c r="A1578" s="18" t="str">
        <x:v>熊本</x:v>
      </x:c>
      <x:c r="B1578" s="18" t="str">
        <x:v>九州旅客鉄道</x:v>
      </x:c>
      <x:c r="C1578" s="18" t="str">
        <x:v>conventional_rail</x:v>
      </x:c>
      <x:c r="D1578" s="19" t="str">
        <x:v>T2</x:v>
      </x:c>
      <x:c r="E1578" s="20" t="n">
        <x:v>34452</x:v>
      </x:c>
      <x:c r="F1578" s="18" t="str">
        <x:v>persons/day</x:v>
      </x:c>
      <x:c r="G1578" s="18" t="str">
        <x:v>FY2024</x:v>
      </x:c>
      <x:c r="H1578" s="18" t="str">
        <x:v>否</x:v>
      </x:c>
      <x:c r="I1578" s="19" t="str">
        <x:v>DAILY_ENTRIES_EXITS</x:v>
      </x:c>
      <x:c r="J1578" s="19" t="str">
        <x:v>豊肥線
鹿児島線</x:v>
      </x:c>
      <x:c r="K1578" s="18" t="str">
        <x:v>transport-node:e8bfd7db-1615-51b8-a9fa-0de3cf7a861a</x:v>
      </x:c>
      <x:c r="L1578" s="19" t="str">
        <x:v>组件待审核</x:v>
      </x:c>
      <x:c r="M1578" s="21" t="n">
        <x:v>32.78931</x:v>
      </x:c>
      <x:c r="N1578" s="21" t="n">
        <x:v>130.6886567</x:v>
      </x:c>
      <x:c r="O1578" s="18" t="str">
        <x:v>009785</x:v>
      </x:c>
      <x:c r="P1578" s="18" t="str">
        <x:v>鹿児島線</x:v>
      </x:c>
      <x:c r="Q1578" s="19" t="str">
        <x:v>S12_061_GE_10000
OFFICIAL_HUB_COMPONENT_REVIEW</x:v>
      </x:c>
      <x:c r="R1578" s="19" t="str">
        <x:v>S12_061 usage threshold</x:v>
      </x:c>
      <x:c r="S1578" s="19" t="str">
        <x:v>https://nlftp.mlit.go.jp/ksj/gml/datalist/KsjTmplt-S12-2024.html</x:v>
      </x:c>
      <x:c r="T1578" s="19" t="str">
        <x:v>https://nlftp.mlit.go.jp/ksj/gml/datalist/KsjTmplt-S12-2024.html
https://www.kotsu-kumamoto.jp/common/UploadFileDsp.aspx?c_id=56&amp;id=1228&amp;set_doc=1</x:v>
      </x:c>
      <x:c r="U1578" s="19" t="str">
        <x:v>station-component|熊本|九州旅客鉄道|conventional_rail|32.7893|130.6887|</x:v>
      </x:c>
      <x:c r="V1578" s="19" t="str">
        <x:v>009785 / 009785 / 鹿児島線
009785 / 009786 / 豊肥線</x:v>
      </x:c>
      <x:c r="W1578" s="18" t="str">
        <x:v>否</x:v>
      </x:c>
      <x:c r="X1578" s="18" t="str">
        <x:v>0785e932a32b3ec15e1a1345537ae145eafe1c07bf38d5c16c11ee2b391e7a28</x:v>
      </x:c>
      <x:c r="Y1578" s="20" t="n">
        <x:v>1</x:v>
      </x:c>
      <x:c r="Z1578" s="20" t="n">
        <x:v>1</x:v>
      </x:c>
      <x:c r="AA1578" s="19" t="str">
        <x:v>熊本</x:v>
      </x:c>
      <x:c r="AB1578" s="18" t="str">
        <x:v>transport-hub-review:3cf903cc-f1fd-5ad5-8a17-aa851434cdc8</x:v>
      </x:c>
      <x:c r="AC1578" s="19"/>
    </x:row>
    <x:row r="1579" ht="47" customHeight="1">
      <x:c r="A1579" s="18" t="str">
        <x:v>熊本</x:v>
      </x:c>
      <x:c r="B1579" s="18" t="str">
        <x:v>九州旅客鉄道</x:v>
      </x:c>
      <x:c r="C1579" s="18" t="str">
        <x:v>shinkansen</x:v>
      </x:c>
      <x:c r="D1579" s="19"/>
      <x:c r="E1579" s="20" t="n">
        <x:v>17226</x:v>
      </x:c>
      <x:c r="F1579" s="18" t="str">
        <x:v>boardings/day</x:v>
      </x:c>
      <x:c r="G1579" s="18" t="str">
        <x:v>FY2024</x:v>
      </x:c>
      <x:c r="H1579" s="18" t="str">
        <x:v>是</x:v>
      </x:c>
      <x:c r="I1579" s="19" t="str">
        <x:v>STATION_COMPLEX_PROXY</x:v>
      </x:c>
      <x:c r="J1579" s="19" t="str">
        <x:v>九州新幹線</x:v>
      </x:c>
      <x:c r="K1579" s="18" t="str">
        <x:v>transport-node:03cdf592-8288-5aa7-a640-e89967a9c790</x:v>
      </x:c>
      <x:c r="L1579" s="19" t="str">
        <x:v>组件待审核</x:v>
      </x:c>
      <x:c r="M1579" s="21" t="n">
        <x:v>32.7905387</x:v>
      </x:c>
      <x:c r="N1579" s="21" t="n">
        <x:v>130.688686</x:v>
      </x:c>
      <x:c r="O1579" s="18" t="str">
        <x:v>009779</x:v>
      </x:c>
      <x:c r="P1579" s="18" t="str">
        <x:v>九州新幹線</x:v>
      </x:c>
      <x:c r="Q1579" s="19" t="str">
        <x:v>SHINKANSEN
OFFICIAL_HUB_COMPONENT_REVIEW</x:v>
      </x:c>
      <x:c r="R1579" s="19" t="str">
        <x:v>Official fallback retained in published scope/unit; tier remains null pending metric/manual review.</x:v>
      </x:c>
      <x:c r="S1579" s="19" t="str">
        <x:v>https://www.jrkyushu.co.jp/company/info/data/pdf/2024ekibetsu.pdf</x:v>
      </x:c>
      <x:c r="T1579" s="19" t="str">
        <x:v>https://nlftp.mlit.go.jp/ksj/gml/datalist/KsjTmplt-S12-2024.html
https://www.jrkyushu.co.jp/company/info/data/pdf/2024ekibetsu.pdf
https://www.kotsu-kumamoto.jp/common/UploadFileDsp.aspx?c_id=56&amp;id=1228&amp;set_doc=1</x:v>
      </x:c>
      <x:c r="U1579" s="19" t="str">
        <x:v>station-component|熊本|九州旅客鉄道|shinkansen|32.7905|130.6887|</x:v>
      </x:c>
      <x:c r="V1579" s="19" t="str">
        <x:v>009785 / 009779 / 九州新幹線</x:v>
      </x:c>
      <x:c r="W1579" s="18" t="str">
        <x:v>否</x:v>
      </x:c>
      <x:c r="X1579" s="18" t="str">
        <x:v>0785e932a32b3ec15e1a1345537ae145eafe1c07bf38d5c16c11ee2b391e7a28</x:v>
      </x:c>
      <x:c r="Y1579" s="20" t="n">
        <x:v>1</x:v>
      </x:c>
      <x:c r="Z1579" s="20" t="n">
        <x:v>2</x:v>
      </x:c>
      <x:c r="AA1579" s="19" t="str">
        <x:v>熊本</x:v>
      </x:c>
      <x:c r="AB1579" s="18" t="str">
        <x:v>transport-hub-review:3cf903cc-f1fd-5ad5-8a17-aa851434cdc8</x:v>
      </x:c>
      <x:c r="AC1579" s="19"/>
    </x:row>
    <x:row r="1580" ht="33" customHeight="1">
      <x:c r="A1580" s="18" t="str">
        <x:v>熊本駅前</x:v>
      </x:c>
      <x:c r="B1580" s="18" t="str">
        <x:v>熊本市</x:v>
      </x:c>
      <x:c r="C1580" s="18" t="str">
        <x:v>tram</x:v>
      </x:c>
      <x:c r="D1580" s="19" t="str">
        <x:v>T3</x:v>
      </x:c>
      <x:c r="E1580" s="20" t="n">
        <x:v>7239</x:v>
      </x:c>
      <x:c r="F1580" s="18" t="str">
        <x:v>persons/day</x:v>
      </x:c>
      <x:c r="G1580" s="18" t="str">
        <x:v>FY2024</x:v>
      </x:c>
      <x:c r="H1580" s="18" t="str">
        <x:v>否</x:v>
      </x:c>
      <x:c r="I1580" s="19" t="str">
        <x:v>DAILY_ENTRIES_EXITS</x:v>
      </x:c>
      <x:c r="J1580" s="19" t="str">
        <x:v>幹線
田崎線</x:v>
      </x:c>
      <x:c r="K1580" s="18" t="str">
        <x:v>transport-node:534e973c-a47d-50b8-b311-49ad5dbc5533</x:v>
      </x:c>
      <x:c r="L1580" s="19" t="str">
        <x:v>组件待审核</x:v>
      </x:c>
      <x:c r="M1580" s="21" t="n">
        <x:v>32.79007</x:v>
      </x:c>
      <x:c r="N1580" s="21" t="n">
        <x:v>130.69027</x:v>
      </x:c>
      <x:c r="O1580" s="18" t="str">
        <x:v>009782</x:v>
      </x:c>
      <x:c r="P1580" s="18" t="str">
        <x:v>田崎線</x:v>
      </x:c>
      <x:c r="Q1580" s="19" t="str">
        <x:v>OFFICIAL_HUB_COMPONENT_REVIEW</x:v>
      </x:c>
      <x:c r="R1580" s="19" t="str">
        <x:v>S12_061 usage threshold; low-flow inclusion justified by official Hub component review</x:v>
      </x:c>
      <x:c r="S1580" s="19" t="str">
        <x:v>https://nlftp.mlit.go.jp/ksj/gml/datalist/KsjTmplt-S12-2024.html</x:v>
      </x:c>
      <x:c r="T1580" s="19" t="str">
        <x:v>https://nlftp.mlit.go.jp/ksj/gml/datalist/KsjTmplt-S12-2024.html
https://www.kotsu-kumamoto.jp/common/UploadFileDsp.aspx?c_id=56&amp;id=1228&amp;set_doc=1</x:v>
      </x:c>
      <x:c r="U1580" s="19" t="str">
        <x:v>station-component|熊本駅前|熊本市|tram|32.7901|130.6903|</x:v>
      </x:c>
      <x:c r="V1580" s="19" t="str">
        <x:v>009781 / 009781 / 幹線
009781 / 009782 / 田崎線</x:v>
      </x:c>
      <x:c r="W1580" s="18" t="str">
        <x:v>否</x:v>
      </x:c>
      <x:c r="X1580" s="18" t="str">
        <x:v>0785e932a32b3ec15e1a1345537ae145eafe1c07bf38d5c16c11ee2b391e7a28</x:v>
      </x:c>
      <x:c r="Y1580" s="20" t="n">
        <x:v>1</x:v>
      </x:c>
      <x:c r="Z1580" s="20" t="n">
        <x:v>1</x:v>
      </x:c>
      <x:c r="AA1580" s="19" t="str">
        <x:v>熊本</x:v>
      </x:c>
      <x:c r="AB1580" s="18" t="str">
        <x:v>transport-hub-review:3cf903cc-f1fd-5ad5-8a17-aa851434cdc8</x:v>
      </x:c>
      <x:c r="AC1580" s="19"/>
    </x:row>
    <x:row r="1581" ht="28" customHeight="1">
      <x:c r="A1581" s="18" t="str">
        <x:v>熊谷</x:v>
      </x:c>
      <x:c r="B1581" s="18" t="str">
        <x:v>東日本旅客鉄道</x:v>
      </x:c>
      <x:c r="C1581" s="18" t="str">
        <x:v>conventional_rail</x:v>
      </x:c>
      <x:c r="D1581" s="19" t="str">
        <x:v>T1</x:v>
      </x:c>
      <x:c r="E1581" s="20" t="n">
        <x:v>54970</x:v>
      </x:c>
      <x:c r="F1581" s="18" t="str">
        <x:v>persons/day</x:v>
      </x:c>
      <x:c r="G1581" s="18" t="str">
        <x:v>FY2024</x:v>
      </x:c>
      <x:c r="H1581" s="18" t="str">
        <x:v>否</x:v>
      </x:c>
      <x:c r="I1581" s="19" t="str">
        <x:v>DAILY_ENTRIES_EXITS</x:v>
      </x:c>
      <x:c r="J1581" s="19" t="str">
        <x:v>高崎線</x:v>
      </x:c>
      <x:c r="K1581" s="18" t="str">
        <x:v>transport-node:9551c78d-ffaf-5d9f-ae9d-be5d9a4ff962</x:v>
      </x:c>
      <x:c r="L1581" s="19" t="str">
        <x:v>组件待审核</x:v>
      </x:c>
      <x:c r="M1581" s="21" t="n">
        <x:v>36.13981</x:v>
      </x:c>
      <x:c r="N1581" s="21" t="n">
        <x:v>139.389925</x:v>
      </x:c>
      <x:c r="O1581" s="18" t="str">
        <x:v>002588</x:v>
      </x:c>
      <x:c r="P1581" s="18" t="str">
        <x:v>高崎線</x:v>
      </x:c>
      <x:c r="Q1581" s="19" t="str">
        <x:v>S12_061_GE_10000</x:v>
      </x:c>
      <x:c r="R1581" s="19" t="str">
        <x:v>S12_061 usage threshold</x:v>
      </x:c>
      <x:c r="S1581" s="19" t="str">
        <x:v>https://nlftp.mlit.go.jp/ksj/gml/datalist/KsjTmplt-S12-2024.html</x:v>
      </x:c>
      <x:c r="T1581" s="19" t="str">
        <x:v>https://nlftp.mlit.go.jp/ksj/gml/datalist/KsjTmplt-S12-2024.html</x:v>
      </x:c>
      <x:c r="U1581" s="19" t="str">
        <x:v>station-component|熊谷|東日本旅客鉄道|conventional_rail|36.1398|139.3899|</x:v>
      </x:c>
      <x:c r="V1581" s="19" t="str">
        <x:v>002589 / 002588 / 高崎線</x:v>
      </x:c>
      <x:c r="W1581" s="18" t="str">
        <x:v>否</x:v>
      </x:c>
      <x:c r="X1581" s="18" t="str">
        <x:v>0785e932a32b3ec15e1a1345537ae145eafe1c07bf38d5c16c11ee2b391e7a28</x:v>
      </x:c>
      <x:c r="Y1581" s="20" t="n">
        <x:v>1</x:v>
      </x:c>
      <x:c r="Z1581" s="20" t="n">
        <x:v>1</x:v>
      </x:c>
      <x:c r="AA1581" s="19"/>
      <x:c r="AB1581" s="18"/>
      <x:c r="AC1581" s="19"/>
    </x:row>
    <x:row r="1582" ht="33" customHeight="1">
      <x:c r="A1582" s="18" t="str">
        <x:v>熊谷</x:v>
      </x:c>
      <x:c r="B1582" s="18" t="str">
        <x:v>東日本旅客鉄道</x:v>
      </x:c>
      <x:c r="C1582" s="18" t="str">
        <x:v>shinkansen</x:v>
      </x:c>
      <x:c r="D1582" s="19"/>
      <x:c r="E1582" s="20" t="n">
        <x:v>3666</x:v>
      </x:c>
      <x:c r="F1582" s="18" t="str">
        <x:v>boardings/day</x:v>
      </x:c>
      <x:c r="G1582" s="18" t="str">
        <x:v>FY2024</x:v>
      </x:c>
      <x:c r="H1582" s="18" t="str">
        <x:v>是</x:v>
      </x:c>
      <x:c r="I1582" s="19" t="str">
        <x:v>DAILY_SHINKANSEN_BOARDINGS</x:v>
      </x:c>
      <x:c r="J1582" s="19" t="str">
        <x:v>上越新幹線</x:v>
      </x:c>
      <x:c r="K1582" s="18" t="str">
        <x:v>transport-node:ed6071b9-d978-5577-b05a-509b668916f0</x:v>
      </x:c>
      <x:c r="L1582" s="19" t="str">
        <x:v>组件待审核</x:v>
      </x:c>
      <x:c r="M1582" s="21" t="n">
        <x:v>36.1395</x:v>
      </x:c>
      <x:c r="N1582" s="21" t="n">
        <x:v>139.389645</x:v>
      </x:c>
      <x:c r="O1582" s="18" t="str">
        <x:v>002589</x:v>
      </x:c>
      <x:c r="P1582" s="18" t="str">
        <x:v>上越新幹線</x:v>
      </x:c>
      <x:c r="Q1582" s="19" t="str">
        <x:v>SHINKANSEN</x:v>
      </x:c>
      <x:c r="R1582" s="19" t="str">
        <x:v>Official fallback retained in published scope/unit; tier remains null pending metric/manual review.</x:v>
      </x:c>
      <x:c r="S1582" s="19" t="str">
        <x:v>https://www.jreast.co.jp/company/data/passenger/2024_shinkansen.html/</x:v>
      </x:c>
      <x:c r="T1582" s="19" t="str">
        <x:v>https://nlftp.mlit.go.jp/ksj/gml/datalist/KsjTmplt-S12-2024.html
https://www.jreast.co.jp/company/data/passenger/2024_shinkansen.html/</x:v>
      </x:c>
      <x:c r="U1582" s="19" t="str">
        <x:v>station-component|熊谷|東日本旅客鉄道|shinkansen|36.1395|139.3896|</x:v>
      </x:c>
      <x:c r="V1582" s="19" t="str">
        <x:v>002589 / 002589 / 上越新幹線</x:v>
      </x:c>
      <x:c r="W1582" s="18" t="str">
        <x:v>否</x:v>
      </x:c>
      <x:c r="X1582" s="18" t="str">
        <x:v>0785e932a32b3ec15e1a1345537ae145eafe1c07bf38d5c16c11ee2b391e7a28</x:v>
      </x:c>
      <x:c r="Y1582" s="20" t="n">
        <x:v>1</x:v>
      </x:c>
      <x:c r="Z1582" s="20" t="n">
        <x:v>2</x:v>
      </x:c>
      <x:c r="AA1582" s="19"/>
      <x:c r="AB1582" s="18"/>
      <x:c r="AC1582" s="19"/>
    </x:row>
    <x:row r="1583" ht="28" customHeight="1">
      <x:c r="A1583" s="18" t="str">
        <x:v>熊谷</x:v>
      </x:c>
      <x:c r="B1583" s="18" t="str">
        <x:v>秩父鉄道</x:v>
      </x:c>
      <x:c r="C1583" s="18" t="str">
        <x:v>private_rail</x:v>
      </x:c>
      <x:c r="D1583" s="19" t="str">
        <x:v>T2</x:v>
      </x:c>
      <x:c r="E1583" s="20" t="n">
        <x:v>10390</x:v>
      </x:c>
      <x:c r="F1583" s="18" t="str">
        <x:v>persons/day</x:v>
      </x:c>
      <x:c r="G1583" s="18" t="str">
        <x:v>FY2024</x:v>
      </x:c>
      <x:c r="H1583" s="18" t="str">
        <x:v>否</x:v>
      </x:c>
      <x:c r="I1583" s="19" t="str">
        <x:v>DAILY_ENTRIES_EXITS</x:v>
      </x:c>
      <x:c r="J1583" s="19" t="str">
        <x:v>秩父本線</x:v>
      </x:c>
      <x:c r="K1583" s="18" t="str">
        <x:v>transport-node:affcdb34-7eb4-5b06-b349-2f6b5fa64572</x:v>
      </x:c>
      <x:c r="L1583" s="19" t="str">
        <x:v>组件待审核</x:v>
      </x:c>
      <x:c r="M1583" s="21" t="n">
        <x:v>36.139205</x:v>
      </x:c>
      <x:c r="N1583" s="21" t="n">
        <x:v>139.38936</x:v>
      </x:c>
      <x:c r="O1583" s="18" t="str">
        <x:v>002590</x:v>
      </x:c>
      <x:c r="P1583" s="18" t="str">
        <x:v>秩父本線</x:v>
      </x:c>
      <x:c r="Q1583" s="19" t="str">
        <x:v>S12_061_GE_10000</x:v>
      </x:c>
      <x:c r="R1583" s="19" t="str">
        <x:v>S12_061 usage threshold</x:v>
      </x:c>
      <x:c r="S1583" s="19" t="str">
        <x:v>https://nlftp.mlit.go.jp/ksj/gml/datalist/KsjTmplt-S12-2024.html</x:v>
      </x:c>
      <x:c r="T1583" s="19" t="str">
        <x:v>https://nlftp.mlit.go.jp/ksj/gml/datalist/KsjTmplt-S12-2024.html</x:v>
      </x:c>
      <x:c r="U1583" s="19" t="str">
        <x:v>station-component|熊谷|秩父鉄道|private_rail|36.1392|139.3894|</x:v>
      </x:c>
      <x:c r="V1583" s="19" t="str">
        <x:v>002589 / 002590 / 秩父本線</x:v>
      </x:c>
      <x:c r="W1583" s="18" t="str">
        <x:v>否</x:v>
      </x:c>
      <x:c r="X1583" s="18" t="str">
        <x:v>0785e932a32b3ec15e1a1345537ae145eafe1c07bf38d5c16c11ee2b391e7a28</x:v>
      </x:c>
      <x:c r="Y1583" s="20" t="n">
        <x:v>1</x:v>
      </x:c>
      <x:c r="Z1583" s="20" t="n">
        <x:v>1</x:v>
      </x:c>
      <x:c r="AA1583" s="19"/>
      <x:c r="AB1583" s="18"/>
      <x:c r="AC1583" s="19"/>
    </x:row>
    <x:row r="1584" ht="33" customHeight="1">
      <x:c r="A1584" s="18" t="str">
        <x:v>熱海</x:v>
      </x:c>
      <x:c r="B1584" s="18" t="str">
        <x:v>東日本旅客鉄道</x:v>
      </x:c>
      <x:c r="C1584" s="18" t="str">
        <x:v>conventional_rail</x:v>
      </x:c>
      <x:c r="D1584" s="19" t="str">
        <x:v>T2</x:v>
      </x:c>
      <x:c r="E1584" s="20" t="n">
        <x:v>23230</x:v>
      </x:c>
      <x:c r="F1584" s="18" t="str">
        <x:v>persons/day</x:v>
      </x:c>
      <x:c r="G1584" s="18" t="str">
        <x:v>FY2024</x:v>
      </x:c>
      <x:c r="H1584" s="18" t="str">
        <x:v>否</x:v>
      </x:c>
      <x:c r="I1584" s="19" t="str">
        <x:v>DAILY_ENTRIES_EXITS</x:v>
      </x:c>
      <x:c r="J1584" s="19" t="str">
        <x:v>伊東線
東海道線</x:v>
      </x:c>
      <x:c r="K1584" s="18" t="str">
        <x:v>transport-node:6efb3505-d383-5a8f-ade9-adbc8c1d8e55</x:v>
      </x:c>
      <x:c r="L1584" s="19" t="str">
        <x:v>组件待审核</x:v>
      </x:c>
      <x:c r="M1584" s="21" t="n">
        <x:v>35.10379</x:v>
      </x:c>
      <x:c r="N1584" s="21" t="n">
        <x:v>139.077805</x:v>
      </x:c>
      <x:c r="O1584" s="18" t="str">
        <x:v>005686</x:v>
      </x:c>
      <x:c r="P1584" s="18" t="str">
        <x:v>東海道線</x:v>
      </x:c>
      <x:c r="Q1584" s="19" t="str">
        <x:v>S12_061_GE_10000</x:v>
      </x:c>
      <x:c r="R1584" s="19" t="str">
        <x:v>S12_061 usage threshold</x:v>
      </x:c>
      <x:c r="S1584" s="19" t="str">
        <x:v>https://nlftp.mlit.go.jp/ksj/gml/datalist/KsjTmplt-S12-2024.html</x:v>
      </x:c>
      <x:c r="T1584" s="19" t="str">
        <x:v>https://nlftp.mlit.go.jp/ksj/gml/datalist/KsjTmplt-S12-2024.html</x:v>
      </x:c>
      <x:c r="U1584" s="19" t="str">
        <x:v>station-component|熱海|東日本旅客鉄道|conventional_rail|35.1038|139.0778|</x:v>
      </x:c>
      <x:c r="V1584" s="19" t="str">
        <x:v>005685 / 005686 / 東海道線
005685 / 005688 / 伊東線</x:v>
      </x:c>
      <x:c r="W1584" s="18" t="str">
        <x:v>否</x:v>
      </x:c>
      <x:c r="X1584" s="18" t="str">
        <x:v>0785e932a32b3ec15e1a1345537ae145eafe1c07bf38d5c16c11ee2b391e7a28</x:v>
      </x:c>
      <x:c r="Y1584" s="20" t="n">
        <x:v>1</x:v>
      </x:c>
      <x:c r="Z1584" s="20" t="n">
        <x:v>1</x:v>
      </x:c>
      <x:c r="AA1584" s="19"/>
      <x:c r="AB1584" s="18"/>
      <x:c r="AC1584" s="19"/>
    </x:row>
    <x:row r="1585" ht="33" customHeight="1">
      <x:c r="A1585" s="18" t="str">
        <x:v>熱海</x:v>
      </x:c>
      <x:c r="B1585" s="18" t="str">
        <x:v>東海旅客鉄道</x:v>
      </x:c>
      <x:c r="C1585" s="18" t="str">
        <x:v>shinkansen</x:v>
      </x:c>
      <x:c r="D1585" s="19" t="str">
        <x:v>T2</x:v>
      </x:c>
      <x:c r="E1585" s="20" t="n">
        <x:v>10226</x:v>
      </x:c>
      <x:c r="F1585" s="18" t="str">
        <x:v>persons/day</x:v>
      </x:c>
      <x:c r="G1585" s="18" t="str">
        <x:v>FY2024</x:v>
      </x:c>
      <x:c r="H1585" s="18" t="str">
        <x:v>否</x:v>
      </x:c>
      <x:c r="I1585" s="19" t="str">
        <x:v>DAILY_ENTRIES_EXITS</x:v>
      </x:c>
      <x:c r="J1585" s="19" t="str">
        <x:v>東海道新幹線</x:v>
      </x:c>
      <x:c r="K1585" s="18" t="str">
        <x:v>transport-node:a8d6b1d0-1306-5389-bcbe-bc23d834c791</x:v>
      </x:c>
      <x:c r="L1585" s="19" t="str">
        <x:v>组件待审核</x:v>
      </x:c>
      <x:c r="M1585" s="21" t="n">
        <x:v>35.1044125</x:v>
      </x:c>
      <x:c r="N1585" s="21" t="n">
        <x:v>139.0781675</x:v>
      </x:c>
      <x:c r="O1585" s="18" t="str">
        <x:v>005684</x:v>
      </x:c>
      <x:c r="P1585" s="18" t="str">
        <x:v>東海道新幹線</x:v>
      </x:c>
      <x:c r="Q1585" s="19" t="str">
        <x:v>S12_061_GE_10000
SHINKANSEN</x:v>
      </x:c>
      <x:c r="R1585" s="19" t="str">
        <x:v>S12_061 usage threshold</x:v>
      </x:c>
      <x:c r="S1585" s="19" t="str">
        <x:v>https://nlftp.mlit.go.jp/ksj/gml/datalist/KsjTmplt-S12-2024.html</x:v>
      </x:c>
      <x:c r="T1585" s="19" t="str">
        <x:v>https://nlftp.mlit.go.jp/ksj/gml/datalist/KsjTmplt-S12-2024.html</x:v>
      </x:c>
      <x:c r="U1585" s="19" t="str">
        <x:v>station-component|熱海|東海旅客鉄道|shinkansen|35.1044|139.0782|</x:v>
      </x:c>
      <x:c r="V1585" s="19" t="str">
        <x:v>005685 / 005684 / 東海道新幹線</x:v>
      </x:c>
      <x:c r="W1585" s="18" t="str">
        <x:v>否</x:v>
      </x:c>
      <x:c r="X1585" s="18" t="str">
        <x:v>0785e932a32b3ec15e1a1345537ae145eafe1c07bf38d5c16c11ee2b391e7a28</x:v>
      </x:c>
      <x:c r="Y1585" s="20" t="n">
        <x:v>1</x:v>
      </x:c>
      <x:c r="Z1585" s="20" t="n">
        <x:v>1</x:v>
      </x:c>
      <x:c r="AA1585" s="19"/>
      <x:c r="AB1585" s="18"/>
      <x:c r="AC1585" s="19"/>
    </x:row>
    <x:row r="1586" ht="28" customHeight="1">
      <x:c r="A1586" s="18" t="str">
        <x:v>熱田神宮伝馬町</x:v>
      </x:c>
      <x:c r="B1586" s="18" t="str">
        <x:v>名古屋市</x:v>
      </x:c>
      <x:c r="C1586" s="18" t="str">
        <x:v>metro</x:v>
      </x:c>
      <x:c r="D1586" s="19" t="str">
        <x:v>T2</x:v>
      </x:c>
      <x:c r="E1586" s="20" t="n">
        <x:v>14352</x:v>
      </x:c>
      <x:c r="F1586" s="18" t="str">
        <x:v>persons/day</x:v>
      </x:c>
      <x:c r="G1586" s="18" t="str">
        <x:v>FY2024</x:v>
      </x:c>
      <x:c r="H1586" s="18" t="str">
        <x:v>否</x:v>
      </x:c>
      <x:c r="I1586" s="19" t="str">
        <x:v>DAILY_ENTRIES_EXITS</x:v>
      </x:c>
      <x:c r="J1586" s="19" t="str">
        <x:v>4号線名城線</x:v>
      </x:c>
      <x:c r="K1586" s="18" t="str">
        <x:v>transport-node:096c876a-bb0d-5c81-91fb-5161c6ab1181</x:v>
      </x:c>
      <x:c r="L1586" s="19" t="str">
        <x:v>组件待审核</x:v>
      </x:c>
      <x:c r="M1586" s="21" t="n">
        <x:v>35.120875</x:v>
      </x:c>
      <x:c r="N1586" s="21" t="n">
        <x:v>136.91044</x:v>
      </x:c>
      <x:c r="O1586" s="18" t="str">
        <x:v>005627</x:v>
      </x:c>
      <x:c r="P1586" s="18" t="str">
        <x:v>4号線名城線</x:v>
      </x:c>
      <x:c r="Q1586" s="19" t="str">
        <x:v>S12_061_GE_10000</x:v>
      </x:c>
      <x:c r="R1586" s="19" t="str">
        <x:v>S12_061 usage threshold</x:v>
      </x:c>
      <x:c r="S1586" s="19" t="str">
        <x:v>https://nlftp.mlit.go.jp/ksj/gml/datalist/KsjTmplt-S12-2024.html</x:v>
      </x:c>
      <x:c r="T1586" s="19" t="str">
        <x:v>https://nlftp.mlit.go.jp/ksj/gml/datalist/KsjTmplt-S12-2024.html</x:v>
      </x:c>
      <x:c r="U1586" s="19" t="str">
        <x:v>station-component|熱田神宮伝馬町|名古屋市|metro|35.1209|136.9104|</x:v>
      </x:c>
      <x:c r="V1586" s="19" t="str">
        <x:v>005627 / 005627 / 4号線名城線</x:v>
      </x:c>
      <x:c r="W1586" s="18" t="str">
        <x:v>否</x:v>
      </x:c>
      <x:c r="X1586" s="18" t="str">
        <x:v>0785e932a32b3ec15e1a1345537ae145eafe1c07bf38d5c16c11ee2b391e7a28</x:v>
      </x:c>
      <x:c r="Y1586" s="20" t="n">
        <x:v>1</x:v>
      </x:c>
      <x:c r="Z1586" s="20" t="n">
        <x:v>1</x:v>
      </x:c>
      <x:c r="AA1586" s="19"/>
      <x:c r="AB1586" s="18"/>
      <x:c r="AC1586" s="19"/>
    </x:row>
    <x:row r="1587" ht="33" customHeight="1">
      <x:c r="A1587" s="18" t="str">
        <x:v>燕三条</x:v>
      </x:c>
      <x:c r="B1587" s="18" t="str">
        <x:v>東日本旅客鉄道</x:v>
      </x:c>
      <x:c r="C1587" s="18" t="str">
        <x:v>shinkansen</x:v>
      </x:c>
      <x:c r="D1587" s="19"/>
      <x:c r="E1587" s="20" t="n">
        <x:v>1787</x:v>
      </x:c>
      <x:c r="F1587" s="18" t="str">
        <x:v>boardings/day</x:v>
      </x:c>
      <x:c r="G1587" s="18" t="str">
        <x:v>FY2024</x:v>
      </x:c>
      <x:c r="H1587" s="18" t="str">
        <x:v>是</x:v>
      </x:c>
      <x:c r="I1587" s="19" t="str">
        <x:v>DAILY_SHINKANSEN_BOARDINGS</x:v>
      </x:c>
      <x:c r="J1587" s="19" t="str">
        <x:v>上越新幹線</x:v>
      </x:c>
      <x:c r="K1587" s="18" t="str">
        <x:v>transport-node:e9ff6cdc-4f3f-5e28-8a27-477b1dd34fc7</x:v>
      </x:c>
      <x:c r="L1587" s="19" t="str">
        <x:v>组件待审核</x:v>
      </x:c>
      <x:c r="M1587" s="21" t="n">
        <x:v>37.64786</x:v>
      </x:c>
      <x:c r="N1587" s="21" t="n">
        <x:v>138.93865</x:v>
      </x:c>
      <x:c r="O1587" s="18" t="str">
        <x:v>001407</x:v>
      </x:c>
      <x:c r="P1587" s="18" t="str">
        <x:v>上越新幹線</x:v>
      </x:c>
      <x:c r="Q1587" s="19" t="str">
        <x:v>SHINKANSEN</x:v>
      </x:c>
      <x:c r="R1587" s="19" t="str">
        <x:v>Official fallback retained in published scope/unit; tier remains null pending metric/manual review.</x:v>
      </x:c>
      <x:c r="S1587" s="19" t="str">
        <x:v>https://www.jreast.co.jp/company/data/passenger/2024_shinkansen.html/</x:v>
      </x:c>
      <x:c r="T1587" s="19" t="str">
        <x:v>https://nlftp.mlit.go.jp/ksj/gml/datalist/KsjTmplt-S12-2024.html
https://www.jreast.co.jp/company/data/passenger/2024_shinkansen.html/</x:v>
      </x:c>
      <x:c r="U1587" s="19" t="str">
        <x:v>station-component|燕三条|東日本旅客鉄道|shinkansen|37.6479|138.9386|</x:v>
      </x:c>
      <x:c r="V1587" s="19" t="str">
        <x:v>001406 / 001407 / 上越新幹線</x:v>
      </x:c>
      <x:c r="W1587" s="18" t="str">
        <x:v>否</x:v>
      </x:c>
      <x:c r="X1587" s="18" t="str">
        <x:v>0785e932a32b3ec15e1a1345537ae145eafe1c07bf38d5c16c11ee2b391e7a28</x:v>
      </x:c>
      <x:c r="Y1587" s="20" t="n">
        <x:v>1</x:v>
      </x:c>
      <x:c r="Z1587" s="20" t="n">
        <x:v>2</x:v>
      </x:c>
      <x:c r="AA1587" s="19"/>
      <x:c r="AB1587" s="18"/>
      <x:c r="AC1587" s="19"/>
    </x:row>
    <x:row r="1588" ht="28" customHeight="1">
      <x:c r="A1588" s="18" t="str">
        <x:v>片倉</x:v>
      </x:c>
      <x:c r="B1588" s="18" t="str">
        <x:v>東日本旅客鉄道</x:v>
      </x:c>
      <x:c r="C1588" s="18" t="str">
        <x:v>conventional_rail</x:v>
      </x:c>
      <x:c r="D1588" s="19" t="str">
        <x:v>T2</x:v>
      </x:c>
      <x:c r="E1588" s="20" t="n">
        <x:v>10146</x:v>
      </x:c>
      <x:c r="F1588" s="18" t="str">
        <x:v>persons/day</x:v>
      </x:c>
      <x:c r="G1588" s="18" t="str">
        <x:v>FY2024</x:v>
      </x:c>
      <x:c r="H1588" s="18" t="str">
        <x:v>否</x:v>
      </x:c>
      <x:c r="I1588" s="19" t="str">
        <x:v>DAILY_ENTRIES_EXITS</x:v>
      </x:c>
      <x:c r="J1588" s="19" t="str">
        <x:v>横浜線</x:v>
      </x:c>
      <x:c r="K1588" s="18" t="str">
        <x:v>transport-node:b9e7653a-8693-5624-892d-9d854fc8fd76</x:v>
      </x:c>
      <x:c r="L1588" s="19" t="str">
        <x:v>组件待审核</x:v>
      </x:c>
      <x:c r="M1588" s="21" t="n">
        <x:v>35.639675</x:v>
      </x:c>
      <x:c r="N1588" s="21" t="n">
        <x:v>139.341165</x:v>
      </x:c>
      <x:c r="O1588" s="18" t="str">
        <x:v>004038</x:v>
      </x:c>
      <x:c r="P1588" s="18" t="str">
        <x:v>横浜線</x:v>
      </x:c>
      <x:c r="Q1588" s="19" t="str">
        <x:v>S12_061_GE_10000</x:v>
      </x:c>
      <x:c r="R1588" s="19" t="str">
        <x:v>S12_061 usage threshold</x:v>
      </x:c>
      <x:c r="S1588" s="19" t="str">
        <x:v>https://nlftp.mlit.go.jp/ksj/gml/datalist/KsjTmplt-S12-2024.html</x:v>
      </x:c>
      <x:c r="T1588" s="19" t="str">
        <x:v>https://nlftp.mlit.go.jp/ksj/gml/datalist/KsjTmplt-S12-2024.html</x:v>
      </x:c>
      <x:c r="U1588" s="19" t="str">
        <x:v>station-component|片倉|東日本旅客鉄道|conventional_rail|35.6397|139.3412|</x:v>
      </x:c>
      <x:c r="V1588" s="19" t="str">
        <x:v>004038 / 004038 / 横浜線</x:v>
      </x:c>
      <x:c r="W1588" s="18" t="str">
        <x:v>否</x:v>
      </x:c>
      <x:c r="X1588" s="18" t="str">
        <x:v>0785e932a32b3ec15e1a1345537ae145eafe1c07bf38d5c16c11ee2b391e7a28</x:v>
      </x:c>
      <x:c r="Y1588" s="20" t="n">
        <x:v>1</x:v>
      </x:c>
      <x:c r="Z1588" s="20" t="n">
        <x:v>1</x:v>
      </x:c>
      <x:c r="AA1588" s="19"/>
      <x:c r="AB1588" s="18"/>
      <x:c r="AC1588" s="19"/>
    </x:row>
    <x:row r="1589" ht="28" customHeight="1">
      <x:c r="A1589" s="18" t="str">
        <x:v>片倉町</x:v>
      </x:c>
      <x:c r="B1589" s="18" t="str">
        <x:v>横浜市</x:v>
      </x:c>
      <x:c r="C1589" s="18" t="str">
        <x:v>metro</x:v>
      </x:c>
      <x:c r="D1589" s="19" t="str">
        <x:v>T2</x:v>
      </x:c>
      <x:c r="E1589" s="20" t="n">
        <x:v>10552</x:v>
      </x:c>
      <x:c r="F1589" s="18" t="str">
        <x:v>persons/day</x:v>
      </x:c>
      <x:c r="G1589" s="18" t="str">
        <x:v>FY2024</x:v>
      </x:c>
      <x:c r="H1589" s="18" t="str">
        <x:v>否</x:v>
      </x:c>
      <x:c r="I1589" s="19" t="str">
        <x:v>DAILY_ENTRIES_EXITS</x:v>
      </x:c>
      <x:c r="J1589" s="19" t="str">
        <x:v>3号線</x:v>
      </x:c>
      <x:c r="K1589" s="18" t="str">
        <x:v>transport-node:a37a9220-35b9-57a5-aed6-1fbf48d470a5</x:v>
      </x:c>
      <x:c r="L1589" s="19" t="str">
        <x:v>组件待审核</x:v>
      </x:c>
      <x:c r="M1589" s="21" t="n">
        <x:v>35.49</x:v>
      </x:c>
      <x:c r="N1589" s="21" t="n">
        <x:v>139.60643</x:v>
      </x:c>
      <x:c r="O1589" s="18" t="str">
        <x:v>004551</x:v>
      </x:c>
      <x:c r="P1589" s="18" t="str">
        <x:v>3号線</x:v>
      </x:c>
      <x:c r="Q1589" s="19" t="str">
        <x:v>S12_061_GE_10000</x:v>
      </x:c>
      <x:c r="R1589" s="19" t="str">
        <x:v>S12_061 usage threshold</x:v>
      </x:c>
      <x:c r="S1589" s="19" t="str">
        <x:v>https://nlftp.mlit.go.jp/ksj/gml/datalist/KsjTmplt-S12-2024.html</x:v>
      </x:c>
      <x:c r="T1589" s="19" t="str">
        <x:v>https://nlftp.mlit.go.jp/ksj/gml/datalist/KsjTmplt-S12-2024.html</x:v>
      </x:c>
      <x:c r="U1589" s="19" t="str">
        <x:v>station-component|片倉町|横浜市|metro|35.4900|139.6064|</x:v>
      </x:c>
      <x:c r="V1589" s="19" t="str">
        <x:v>004551 / 004551 / 3号線</x:v>
      </x:c>
      <x:c r="W1589" s="18" t="str">
        <x:v>否</x:v>
      </x:c>
      <x:c r="X1589" s="18" t="str">
        <x:v>0785e932a32b3ec15e1a1345537ae145eafe1c07bf38d5c16c11ee2b391e7a28</x:v>
      </x:c>
      <x:c r="Y1589" s="20" t="n">
        <x:v>1</x:v>
      </x:c>
      <x:c r="Z1589" s="20" t="n">
        <x:v>1</x:v>
      </x:c>
      <x:c r="AA1589" s="19"/>
      <x:c r="AB1589" s="18"/>
      <x:c r="AC1589" s="19"/>
    </x:row>
    <x:row r="1590" ht="28" customHeight="1">
      <x:c r="A1590" s="18" t="str">
        <x:v>片瀬江ノ島</x:v>
      </x:c>
      <x:c r="B1590" s="18" t="str">
        <x:v>小田急電鉄</x:v>
      </x:c>
      <x:c r="C1590" s="18" t="str">
        <x:v>private_rail</x:v>
      </x:c>
      <x:c r="D1590" s="19" t="str">
        <x:v>T2</x:v>
      </x:c>
      <x:c r="E1590" s="20" t="n">
        <x:v>19404</x:v>
      </x:c>
      <x:c r="F1590" s="18" t="str">
        <x:v>persons/day</x:v>
      </x:c>
      <x:c r="G1590" s="18" t="str">
        <x:v>FY2024</x:v>
      </x:c>
      <x:c r="H1590" s="18" t="str">
        <x:v>否</x:v>
      </x:c>
      <x:c r="I1590" s="19" t="str">
        <x:v>DAILY_ENTRIES_EXITS</x:v>
      </x:c>
      <x:c r="J1590" s="19" t="str">
        <x:v>江ノ島線</x:v>
      </x:c>
      <x:c r="K1590" s="18" t="str">
        <x:v>transport-node:0553cd61-4ac9-54ae-8f2c-bab6087c8cd9</x:v>
      </x:c>
      <x:c r="L1590" s="19" t="str">
        <x:v>组件待审核</x:v>
      </x:c>
      <x:c r="M1590" s="21" t="n">
        <x:v>35.30931</x:v>
      </x:c>
      <x:c r="N1590" s="21" t="n">
        <x:v>139.482925</x:v>
      </x:c>
      <x:c r="O1590" s="18" t="str">
        <x:v>005090</x:v>
      </x:c>
      <x:c r="P1590" s="18" t="str">
        <x:v>江ノ島線</x:v>
      </x:c>
      <x:c r="Q1590" s="19" t="str">
        <x:v>S12_061_GE_10000</x:v>
      </x:c>
      <x:c r="R1590" s="19" t="str">
        <x:v>S12_061 usage threshold</x:v>
      </x:c>
      <x:c r="S1590" s="19" t="str">
        <x:v>https://nlftp.mlit.go.jp/ksj/gml/datalist/KsjTmplt-S12-2024.html</x:v>
      </x:c>
      <x:c r="T1590" s="19" t="str">
        <x:v>https://nlftp.mlit.go.jp/ksj/gml/datalist/KsjTmplt-S12-2024.html</x:v>
      </x:c>
      <x:c r="U1590" s="19" t="str">
        <x:v>station-component|片瀬江ノ島|小田急電鉄|private_rail|35.3093|139.4829|</x:v>
      </x:c>
      <x:c r="V1590" s="19" t="str">
        <x:v>005090 / 005090 / 江ノ島線</x:v>
      </x:c>
      <x:c r="W1590" s="18" t="str">
        <x:v>否</x:v>
      </x:c>
      <x:c r="X1590" s="18" t="str">
        <x:v>0785e932a32b3ec15e1a1345537ae145eafe1c07bf38d5c16c11ee2b391e7a28</x:v>
      </x:c>
      <x:c r="Y1590" s="20" t="n">
        <x:v>1</x:v>
      </x:c>
      <x:c r="Z1590" s="20" t="n">
        <x:v>1</x:v>
      </x:c>
      <x:c r="AA1590" s="19"/>
      <x:c r="AB1590" s="18"/>
      <x:c r="AC1590" s="19"/>
    </x:row>
    <x:row r="1591" ht="28" customHeight="1">
      <x:c r="A1591" s="18" t="str">
        <x:v>牛久</x:v>
      </x:c>
      <x:c r="B1591" s="18" t="str">
        <x:v>東日本旅客鉄道</x:v>
      </x:c>
      <x:c r="C1591" s="18" t="str">
        <x:v>conventional_rail</x:v>
      </x:c>
      <x:c r="D1591" s="19" t="str">
        <x:v>T2</x:v>
      </x:c>
      <x:c r="E1591" s="20" t="n">
        <x:v>22028</x:v>
      </x:c>
      <x:c r="F1591" s="18" t="str">
        <x:v>persons/day</x:v>
      </x:c>
      <x:c r="G1591" s="18" t="str">
        <x:v>FY2024</x:v>
      </x:c>
      <x:c r="H1591" s="18" t="str">
        <x:v>否</x:v>
      </x:c>
      <x:c r="I1591" s="19" t="str">
        <x:v>DAILY_ENTRIES_EXITS</x:v>
      </x:c>
      <x:c r="J1591" s="19" t="str">
        <x:v>常磐線</x:v>
      </x:c>
      <x:c r="K1591" s="18" t="str">
        <x:v>transport-node:f40dbb69-c569-5f7b-98df-fee36df56f53</x:v>
      </x:c>
      <x:c r="L1591" s="19" t="str">
        <x:v>组件待审核</x:v>
      </x:c>
      <x:c r="M1591" s="21" t="n">
        <x:v>35.9753325</x:v>
      </x:c>
      <x:c r="N1591" s="21" t="n">
        <x:v>140.14104</x:v>
      </x:c>
      <x:c r="O1591" s="18" t="str">
        <x:v>002794</x:v>
      </x:c>
      <x:c r="P1591" s="18" t="str">
        <x:v>常磐線</x:v>
      </x:c>
      <x:c r="Q1591" s="19" t="str">
        <x:v>S12_061_GE_10000</x:v>
      </x:c>
      <x:c r="R1591" s="19" t="str">
        <x:v>S12_061 usage threshold</x:v>
      </x:c>
      <x:c r="S1591" s="19" t="str">
        <x:v>https://nlftp.mlit.go.jp/ksj/gml/datalist/KsjTmplt-S12-2024.html</x:v>
      </x:c>
      <x:c r="T1591" s="19" t="str">
        <x:v>https://nlftp.mlit.go.jp/ksj/gml/datalist/KsjTmplt-S12-2024.html</x:v>
      </x:c>
      <x:c r="U1591" s="19" t="str">
        <x:v>station-component|牛久|東日本旅客鉄道|conventional_rail|35.9753|140.1410|</x:v>
      </x:c>
      <x:c r="V1591" s="19" t="str">
        <x:v>002794 / 002794 / 常磐線</x:v>
      </x:c>
      <x:c r="W1591" s="18" t="str">
        <x:v>否</x:v>
      </x:c>
      <x:c r="X1591" s="18" t="str">
        <x:v>0785e932a32b3ec15e1a1345537ae145eafe1c07bf38d5c16c11ee2b391e7a28</x:v>
      </x:c>
      <x:c r="Y1591" s="20" t="n">
        <x:v>1</x:v>
      </x:c>
      <x:c r="Z1591" s="20" t="n">
        <x:v>1</x:v>
      </x:c>
      <x:c r="AA1591" s="19"/>
      <x:c r="AB1591" s="18"/>
      <x:c r="AC1591" s="19"/>
    </x:row>
    <x:row r="1592" ht="28" customHeight="1">
      <x:c r="A1592" s="18" t="str">
        <x:v>牛田</x:v>
      </x:c>
      <x:c r="B1592" s="18" t="str">
        <x:v>東武鉄道</x:v>
      </x:c>
      <x:c r="C1592" s="18" t="str">
        <x:v>private_rail</x:v>
      </x:c>
      <x:c r="D1592" s="19" t="str">
        <x:v>T2</x:v>
      </x:c>
      <x:c r="E1592" s="20" t="n">
        <x:v>20820</x:v>
      </x:c>
      <x:c r="F1592" s="18" t="str">
        <x:v>persons/day</x:v>
      </x:c>
      <x:c r="G1592" s="18" t="str">
        <x:v>FY2024</x:v>
      </x:c>
      <x:c r="H1592" s="18" t="str">
        <x:v>否</x:v>
      </x:c>
      <x:c r="I1592" s="19" t="str">
        <x:v>DAILY_ENTRIES_EXITS</x:v>
      </x:c>
      <x:c r="J1592" s="19" t="str">
        <x:v>伊勢崎線</x:v>
      </x:c>
      <x:c r="K1592" s="18" t="str">
        <x:v>transport-node:fe5261ff-0d4f-5b4f-9d86-eec52d46d01e</x:v>
      </x:c>
      <x:c r="L1592" s="19" t="str">
        <x:v>组件待审核</x:v>
      </x:c>
      <x:c r="M1592" s="21" t="n">
        <x:v>35.744545</x:v>
      </x:c>
      <x:c r="N1592" s="21" t="n">
        <x:v>139.81177</x:v>
      </x:c>
      <x:c r="O1592" s="18" t="str">
        <x:v>003288</x:v>
      </x:c>
      <x:c r="P1592" s="18" t="str">
        <x:v>伊勢崎線</x:v>
      </x:c>
      <x:c r="Q1592" s="19" t="str">
        <x:v>S12_061_GE_10000</x:v>
      </x:c>
      <x:c r="R1592" s="19" t="str">
        <x:v>S12_061 usage threshold</x:v>
      </x:c>
      <x:c r="S1592" s="19" t="str">
        <x:v>https://nlftp.mlit.go.jp/ksj/gml/datalist/KsjTmplt-S12-2024.html</x:v>
      </x:c>
      <x:c r="T1592" s="19" t="str">
        <x:v>https://nlftp.mlit.go.jp/ksj/gml/datalist/KsjTmplt-S12-2024.html</x:v>
      </x:c>
      <x:c r="U1592" s="19" t="str">
        <x:v>station-component|牛田|東武鉄道|private_rail|35.7445|139.8118|</x:v>
      </x:c>
      <x:c r="V1592" s="19" t="str">
        <x:v>003288 / 003288 / 伊勢崎線</x:v>
      </x:c>
      <x:c r="W1592" s="18" t="str">
        <x:v>否</x:v>
      </x:c>
      <x:c r="X1592" s="18" t="str">
        <x:v>0785e932a32b3ec15e1a1345537ae145eafe1c07bf38d5c16c11ee2b391e7a28</x:v>
      </x:c>
      <x:c r="Y1592" s="20" t="n">
        <x:v>1</x:v>
      </x:c>
      <x:c r="Z1592" s="20" t="n">
        <x:v>1</x:v>
      </x:c>
      <x:c r="AA1592" s="19"/>
      <x:c r="AB1592" s="18"/>
      <x:c r="AC1592" s="19"/>
    </x:row>
    <x:row r="1593" ht="28" customHeight="1">
      <x:c r="A1593" s="18" t="str">
        <x:v>牛込柳町</x:v>
      </x:c>
      <x:c r="B1593" s="18" t="str">
        <x:v>東京都</x:v>
      </x:c>
      <x:c r="C1593" s="18" t="str">
        <x:v>metro</x:v>
      </x:c>
      <x:c r="D1593" s="19" t="str">
        <x:v>T2</x:v>
      </x:c>
      <x:c r="E1593" s="20" t="n">
        <x:v>19954</x:v>
      </x:c>
      <x:c r="F1593" s="18" t="str">
        <x:v>persons/day</x:v>
      </x:c>
      <x:c r="G1593" s="18" t="str">
        <x:v>FY2024</x:v>
      </x:c>
      <x:c r="H1593" s="18" t="str">
        <x:v>否</x:v>
      </x:c>
      <x:c r="I1593" s="19" t="str">
        <x:v>DAILY_ENTRIES_EXITS</x:v>
      </x:c>
      <x:c r="J1593" s="19" t="str">
        <x:v>12号線大江戸線</x:v>
      </x:c>
      <x:c r="K1593" s="18" t="str">
        <x:v>transport-node:c5c8779c-f04e-598e-bd39-47f69836b466</x:v>
      </x:c>
      <x:c r="L1593" s="19" t="str">
        <x:v>组件待审核</x:v>
      </x:c>
      <x:c r="M1593" s="21" t="n">
        <x:v>35.69946</x:v>
      </x:c>
      <x:c r="N1593" s="21" t="n">
        <x:v>139.72519</x:v>
      </x:c>
      <x:c r="O1593" s="18" t="str">
        <x:v>003618</x:v>
      </x:c>
      <x:c r="P1593" s="18" t="str">
        <x:v>12号線大江戸線</x:v>
      </x:c>
      <x:c r="Q1593" s="19" t="str">
        <x:v>S12_061_GE_10000</x:v>
      </x:c>
      <x:c r="R1593" s="19" t="str">
        <x:v>S12_061 usage threshold</x:v>
      </x:c>
      <x:c r="S1593" s="19" t="str">
        <x:v>https://nlftp.mlit.go.jp/ksj/gml/datalist/KsjTmplt-S12-2024.html</x:v>
      </x:c>
      <x:c r="T1593" s="19" t="str">
        <x:v>https://nlftp.mlit.go.jp/ksj/gml/datalist/KsjTmplt-S12-2024.html</x:v>
      </x:c>
      <x:c r="U1593" s="19" t="str">
        <x:v>station-component|牛込柳町|東京都|metro|35.6995|139.7252|</x:v>
      </x:c>
      <x:c r="V1593" s="19" t="str">
        <x:v>003618 / 003618 / 12号線大江戸線</x:v>
      </x:c>
      <x:c r="W1593" s="18" t="str">
        <x:v>否</x:v>
      </x:c>
      <x:c r="X1593" s="18" t="str">
        <x:v>0785e932a32b3ec15e1a1345537ae145eafe1c07bf38d5c16c11ee2b391e7a28</x:v>
      </x:c>
      <x:c r="Y1593" s="20" t="n">
        <x:v>1</x:v>
      </x:c>
      <x:c r="Z1593" s="20" t="n">
        <x:v>1</x:v>
      </x:c>
      <x:c r="AA1593" s="19"/>
      <x:c r="AB1593" s="18"/>
      <x:c r="AC1593" s="19"/>
    </x:row>
    <x:row r="1594" ht="28" customHeight="1">
      <x:c r="A1594" s="18" t="str">
        <x:v>牛込神楽坂</x:v>
      </x:c>
      <x:c r="B1594" s="18" t="str">
        <x:v>東京都</x:v>
      </x:c>
      <x:c r="C1594" s="18" t="str">
        <x:v>metro</x:v>
      </x:c>
      <x:c r="D1594" s="19" t="str">
        <x:v>T2</x:v>
      </x:c>
      <x:c r="E1594" s="20" t="n">
        <x:v>13686</x:v>
      </x:c>
      <x:c r="F1594" s="18" t="str">
        <x:v>persons/day</x:v>
      </x:c>
      <x:c r="G1594" s="18" t="str">
        <x:v>FY2024</x:v>
      </x:c>
      <x:c r="H1594" s="18" t="str">
        <x:v>否</x:v>
      </x:c>
      <x:c r="I1594" s="19" t="str">
        <x:v>DAILY_ENTRIES_EXITS</x:v>
      </x:c>
      <x:c r="J1594" s="19" t="str">
        <x:v>12号線大江戸線</x:v>
      </x:c>
      <x:c r="K1594" s="18" t="str">
        <x:v>transport-node:3fe6f786-46d8-5b43-a38c-be6cc7c062b6</x:v>
      </x:c>
      <x:c r="L1594" s="19" t="str">
        <x:v>组件待审核</x:v>
      </x:c>
      <x:c r="M1594" s="21" t="n">
        <x:v>35.700915</x:v>
      </x:c>
      <x:c r="N1594" s="21" t="n">
        <x:v>139.73604</x:v>
      </x:c>
      <x:c r="O1594" s="18" t="str">
        <x:v>003602</x:v>
      </x:c>
      <x:c r="P1594" s="18" t="str">
        <x:v>12号線大江戸線</x:v>
      </x:c>
      <x:c r="Q1594" s="19" t="str">
        <x:v>S12_061_GE_10000</x:v>
      </x:c>
      <x:c r="R1594" s="19" t="str">
        <x:v>S12_061 usage threshold</x:v>
      </x:c>
      <x:c r="S1594" s="19" t="str">
        <x:v>https://nlftp.mlit.go.jp/ksj/gml/datalist/KsjTmplt-S12-2024.html</x:v>
      </x:c>
      <x:c r="T1594" s="19" t="str">
        <x:v>https://nlftp.mlit.go.jp/ksj/gml/datalist/KsjTmplt-S12-2024.html</x:v>
      </x:c>
      <x:c r="U1594" s="19" t="str">
        <x:v>station-component|牛込神楽坂|東京都|metro|35.7009|139.7360|</x:v>
      </x:c>
      <x:c r="V1594" s="19" t="str">
        <x:v>003602 / 003602 / 12号線大江戸線</x:v>
      </x:c>
      <x:c r="W1594" s="18" t="str">
        <x:v>否</x:v>
      </x:c>
      <x:c r="X1594" s="18" t="str">
        <x:v>0785e932a32b3ec15e1a1345537ae145eafe1c07bf38d5c16c11ee2b391e7a28</x:v>
      </x:c>
      <x:c r="Y1594" s="20" t="n">
        <x:v>1</x:v>
      </x:c>
      <x:c r="Z1594" s="20" t="n">
        <x:v>1</x:v>
      </x:c>
      <x:c r="AA1594" s="19"/>
      <x:c r="AB1594" s="18"/>
      <x:c r="AC1594" s="19"/>
    </x:row>
    <x:row r="1595" ht="28" customHeight="1">
      <x:c r="A1595" s="18" t="str">
        <x:v>牧野</x:v>
      </x:c>
      <x:c r="B1595" s="18" t="str">
        <x:v>京阪電気鉄道</x:v>
      </x:c>
      <x:c r="C1595" s="18" t="str">
        <x:v>private_rail</x:v>
      </x:c>
      <x:c r="D1595" s="19" t="str">
        <x:v>T2</x:v>
      </x:c>
      <x:c r="E1595" s="20" t="n">
        <x:v>17230</x:v>
      </x:c>
      <x:c r="F1595" s="18" t="str">
        <x:v>persons/day</x:v>
      </x:c>
      <x:c r="G1595" s="18" t="str">
        <x:v>FY2024</x:v>
      </x:c>
      <x:c r="H1595" s="18" t="str">
        <x:v>否</x:v>
      </x:c>
      <x:c r="I1595" s="19" t="str">
        <x:v>DAILY_ENTRIES_EXITS</x:v>
      </x:c>
      <x:c r="J1595" s="19" t="str">
        <x:v>京阪本線</x:v>
      </x:c>
      <x:c r="K1595" s="18" t="str">
        <x:v>transport-node:2c3c5ba0-dc89-5282-9f89-c0d5a12e719b</x:v>
      </x:c>
      <x:c r="L1595" s="19" t="str">
        <x:v>组件待审核</x:v>
      </x:c>
      <x:c r="M1595" s="21" t="n">
        <x:v>34.8437733</x:v>
      </x:c>
      <x:c r="N1595" s="21" t="n">
        <x:v>135.6655033</x:v>
      </x:c>
      <x:c r="O1595" s="18" t="str">
        <x:v>006455</x:v>
      </x:c>
      <x:c r="P1595" s="18" t="str">
        <x:v>京阪本線</x:v>
      </x:c>
      <x:c r="Q1595" s="19" t="str">
        <x:v>S12_061_GE_10000</x:v>
      </x:c>
      <x:c r="R1595" s="19" t="str">
        <x:v>S12_061 usage threshold</x:v>
      </x:c>
      <x:c r="S1595" s="19" t="str">
        <x:v>https://nlftp.mlit.go.jp/ksj/gml/datalist/KsjTmplt-S12-2024.html</x:v>
      </x:c>
      <x:c r="T1595" s="19" t="str">
        <x:v>https://nlftp.mlit.go.jp/ksj/gml/datalist/KsjTmplt-S12-2024.html</x:v>
      </x:c>
      <x:c r="U1595" s="19" t="str">
        <x:v>station-component|牧野|京阪電気鉄道|private_rail|34.8438|135.6655|</x:v>
      </x:c>
      <x:c r="V1595" s="19" t="str">
        <x:v>006455 / 006455 / 京阪本線</x:v>
      </x:c>
      <x:c r="W1595" s="18" t="str">
        <x:v>否</x:v>
      </x:c>
      <x:c r="X1595" s="18" t="str">
        <x:v>0785e932a32b3ec15e1a1345537ae145eafe1c07bf38d5c16c11ee2b391e7a28</x:v>
      </x:c>
      <x:c r="Y1595" s="20" t="n">
        <x:v>1</x:v>
      </x:c>
      <x:c r="Z1595" s="20" t="n">
        <x:v>1</x:v>
      </x:c>
      <x:c r="AA1595" s="19"/>
      <x:c r="AB1595" s="18"/>
      <x:c r="AC1595" s="19"/>
    </x:row>
    <x:row r="1596" ht="47" customHeight="1">
      <x:c r="A1596" s="18" t="str">
        <x:v>犬山</x:v>
      </x:c>
      <x:c r="B1596" s="18" t="str">
        <x:v>名古屋鉄道</x:v>
      </x:c>
      <x:c r="C1596" s="18" t="str">
        <x:v>private_rail</x:v>
      </x:c>
      <x:c r="D1596" s="19" t="str">
        <x:v>T2</x:v>
      </x:c>
      <x:c r="E1596" s="20" t="n">
        <x:v>15573</x:v>
      </x:c>
      <x:c r="F1596" s="18" t="str">
        <x:v>persons/day</x:v>
      </x:c>
      <x:c r="G1596" s="18" t="str">
        <x:v>FY2024</x:v>
      </x:c>
      <x:c r="H1596" s="18" t="str">
        <x:v>否</x:v>
      </x:c>
      <x:c r="I1596" s="19" t="str">
        <x:v>DAILY_ENTRIES_EXITS</x:v>
      </x:c>
      <x:c r="J1596" s="19" t="str">
        <x:v>小牧線
広見線
犬山線</x:v>
      </x:c>
      <x:c r="K1596" s="18" t="str">
        <x:v>transport-node:216cd11f-212b-5186-8c72-173d1e536dab</x:v>
      </x:c>
      <x:c r="L1596" s="19" t="str">
        <x:v>组件待审核</x:v>
      </x:c>
      <x:c r="M1596" s="21" t="n">
        <x:v>35.3799</x:v>
      </x:c>
      <x:c r="N1596" s="21" t="n">
        <x:v>136.945535</x:v>
      </x:c>
      <x:c r="O1596" s="18" t="str">
        <x:v>004889</x:v>
      </x:c>
      <x:c r="P1596" s="18" t="str">
        <x:v>広見線</x:v>
      </x:c>
      <x:c r="Q1596" s="19" t="str">
        <x:v>S12_061_GE_10000</x:v>
      </x:c>
      <x:c r="R1596" s="19" t="str">
        <x:v>S12_061 usage threshold</x:v>
      </x:c>
      <x:c r="S1596" s="19" t="str">
        <x:v>https://nlftp.mlit.go.jp/ksj/gml/datalist/KsjTmplt-S12-2024.html</x:v>
      </x:c>
      <x:c r="T1596" s="19" t="str">
        <x:v>https://nlftp.mlit.go.jp/ksj/gml/datalist/KsjTmplt-S12-2024.html</x:v>
      </x:c>
      <x:c r="U1596" s="19" t="str">
        <x:v>station-component|犬山|名古屋鉄道|private_rail|35.3799|136.9455|</x:v>
      </x:c>
      <x:c r="V1596" s="19" t="str">
        <x:v>004888 / 004888 / 犬山線
004888 / 004889 / 広見線
004888 / 004890 / 小牧線</x:v>
      </x:c>
      <x:c r="W1596" s="18" t="str">
        <x:v>否</x:v>
      </x:c>
      <x:c r="X1596" s="18" t="str">
        <x:v>0785e932a32b3ec15e1a1345537ae145eafe1c07bf38d5c16c11ee2b391e7a28</x:v>
      </x:c>
      <x:c r="Y1596" s="20" t="n">
        <x:v>1</x:v>
      </x:c>
      <x:c r="Z1596" s="20" t="n">
        <x:v>1</x:v>
      </x:c>
      <x:c r="AA1596" s="19"/>
      <x:c r="AB1596" s="18"/>
      <x:c r="AC1596" s="19"/>
    </x:row>
    <x:row r="1597" ht="28" customHeight="1">
      <x:c r="A1597" s="18" t="str">
        <x:v>狛江</x:v>
      </x:c>
      <x:c r="B1597" s="18" t="str">
        <x:v>小田急電鉄</x:v>
      </x:c>
      <x:c r="C1597" s="18" t="str">
        <x:v>private_rail</x:v>
      </x:c>
      <x:c r="D1597" s="19" t="str">
        <x:v>T2</x:v>
      </x:c>
      <x:c r="E1597" s="20" t="n">
        <x:v>44674</x:v>
      </x:c>
      <x:c r="F1597" s="18" t="str">
        <x:v>persons/day</x:v>
      </x:c>
      <x:c r="G1597" s="18" t="str">
        <x:v>FY2024</x:v>
      </x:c>
      <x:c r="H1597" s="18" t="str">
        <x:v>否</x:v>
      </x:c>
      <x:c r="I1597" s="19" t="str">
        <x:v>DAILY_ENTRIES_EXITS</x:v>
      </x:c>
      <x:c r="J1597" s="19" t="str">
        <x:v>小田原線</x:v>
      </x:c>
      <x:c r="K1597" s="18" t="str">
        <x:v>transport-node:a6b59b0d-a8e5-5150-9770-ab345e5c765e</x:v>
      </x:c>
      <x:c r="L1597" s="19" t="str">
        <x:v>组件待审核</x:v>
      </x:c>
      <x:c r="M1597" s="21" t="n">
        <x:v>35.63225</x:v>
      </x:c>
      <x:c r="N1597" s="21" t="n">
        <x:v>139.577384</x:v>
      </x:c>
      <x:c r="O1597" s="18" t="str">
        <x:v>004076</x:v>
      </x:c>
      <x:c r="P1597" s="18" t="str">
        <x:v>小田原線</x:v>
      </x:c>
      <x:c r="Q1597" s="19" t="str">
        <x:v>S12_061_GE_10000</x:v>
      </x:c>
      <x:c r="R1597" s="19" t="str">
        <x:v>S12_061 usage threshold</x:v>
      </x:c>
      <x:c r="S1597" s="19" t="str">
        <x:v>https://nlftp.mlit.go.jp/ksj/gml/datalist/KsjTmplt-S12-2024.html</x:v>
      </x:c>
      <x:c r="T1597" s="19" t="str">
        <x:v>https://nlftp.mlit.go.jp/ksj/gml/datalist/KsjTmplt-S12-2024.html</x:v>
      </x:c>
      <x:c r="U1597" s="19" t="str">
        <x:v>station-component|狛江|小田急電鉄|private_rail|35.6322|139.5774|</x:v>
      </x:c>
      <x:c r="V1597" s="19" t="str">
        <x:v>004076 / 004076 / 小田原線</x:v>
      </x:c>
      <x:c r="W1597" s="18" t="str">
        <x:v>否</x:v>
      </x:c>
      <x:c r="X1597" s="18" t="str">
        <x:v>0785e932a32b3ec15e1a1345537ae145eafe1c07bf38d5c16c11ee2b391e7a28</x:v>
      </x:c>
      <x:c r="Y1597" s="20" t="n">
        <x:v>1</x:v>
      </x:c>
      <x:c r="Z1597" s="20" t="n">
        <x:v>1</x:v>
      </x:c>
      <x:c r="AA1597" s="19"/>
      <x:c r="AB1597" s="18"/>
      <x:c r="AC1597" s="19"/>
    </x:row>
    <x:row r="1598" ht="28" customHeight="1">
      <x:c r="A1598" s="18" t="str">
        <x:v>狭山ヶ丘</x:v>
      </x:c>
      <x:c r="B1598" s="18" t="str">
        <x:v>西武鉄道</x:v>
      </x:c>
      <x:c r="C1598" s="18" t="str">
        <x:v>private_rail</x:v>
      </x:c>
      <x:c r="D1598" s="19" t="str">
        <x:v>T2</x:v>
      </x:c>
      <x:c r="E1598" s="20" t="n">
        <x:v>22670</x:v>
      </x:c>
      <x:c r="F1598" s="18" t="str">
        <x:v>persons/day</x:v>
      </x:c>
      <x:c r="G1598" s="18" t="str">
        <x:v>FY2024</x:v>
      </x:c>
      <x:c r="H1598" s="18" t="str">
        <x:v>否</x:v>
      </x:c>
      <x:c r="I1598" s="19" t="str">
        <x:v>DAILY_ENTRIES_EXITS</x:v>
      </x:c>
      <x:c r="J1598" s="19" t="str">
        <x:v>池袋線</x:v>
      </x:c>
      <x:c r="K1598" s="18" t="str">
        <x:v>transport-node:cc64e128-49ff-5035-9b38-4ee1fc13d174</x:v>
      </x:c>
      <x:c r="L1598" s="19" t="str">
        <x:v>组件待审核</x:v>
      </x:c>
      <x:c r="M1598" s="21" t="n">
        <x:v>35.810405</x:v>
      </x:c>
      <x:c r="N1598" s="21" t="n">
        <x:v>139.41702</x:v>
      </x:c>
      <x:c r="O1598" s="18" t="str">
        <x:v>003068</x:v>
      </x:c>
      <x:c r="P1598" s="18" t="str">
        <x:v>池袋線</x:v>
      </x:c>
      <x:c r="Q1598" s="19" t="str">
        <x:v>S12_061_GE_10000</x:v>
      </x:c>
      <x:c r="R1598" s="19" t="str">
        <x:v>S12_061 usage threshold</x:v>
      </x:c>
      <x:c r="S1598" s="19" t="str">
        <x:v>https://nlftp.mlit.go.jp/ksj/gml/datalist/KsjTmplt-S12-2024.html</x:v>
      </x:c>
      <x:c r="T1598" s="19" t="str">
        <x:v>https://nlftp.mlit.go.jp/ksj/gml/datalist/KsjTmplt-S12-2024.html</x:v>
      </x:c>
      <x:c r="U1598" s="19" t="str">
        <x:v>station-component|狭山ヶ丘|西武鉄道|private_rail|35.8104|139.4170|</x:v>
      </x:c>
      <x:c r="V1598" s="19" t="str">
        <x:v>003068 / 003068 / 池袋線</x:v>
      </x:c>
      <x:c r="W1598" s="18" t="str">
        <x:v>否</x:v>
      </x:c>
      <x:c r="X1598" s="18" t="str">
        <x:v>0785e932a32b3ec15e1a1345537ae145eafe1c07bf38d5c16c11ee2b391e7a28</x:v>
      </x:c>
      <x:c r="Y1598" s="20" t="n">
        <x:v>1</x:v>
      </x:c>
      <x:c r="Z1598" s="20" t="n">
        <x:v>1</x:v>
      </x:c>
      <x:c r="AA1598" s="19"/>
      <x:c r="AB1598" s="18"/>
      <x:c r="AC1598" s="19"/>
    </x:row>
    <x:row r="1599" ht="28" customHeight="1">
      <x:c r="A1599" s="18" t="str">
        <x:v>狭山市</x:v>
      </x:c>
      <x:c r="B1599" s="18" t="str">
        <x:v>西武鉄道</x:v>
      </x:c>
      <x:c r="C1599" s="18" t="str">
        <x:v>private_rail</x:v>
      </x:c>
      <x:c r="D1599" s="19" t="str">
        <x:v>T2</x:v>
      </x:c>
      <x:c r="E1599" s="20" t="n">
        <x:v>37200</x:v>
      </x:c>
      <x:c r="F1599" s="18" t="str">
        <x:v>persons/day</x:v>
      </x:c>
      <x:c r="G1599" s="18" t="str">
        <x:v>FY2024</x:v>
      </x:c>
      <x:c r="H1599" s="18" t="str">
        <x:v>否</x:v>
      </x:c>
      <x:c r="I1599" s="19" t="str">
        <x:v>DAILY_ENTRIES_EXITS</x:v>
      </x:c>
      <x:c r="J1599" s="19" t="str">
        <x:v>新宿線</x:v>
      </x:c>
      <x:c r="K1599" s="18" t="str">
        <x:v>transport-node:ff4b523f-8293-50e8-91d8-7f299e423fa8</x:v>
      </x:c>
      <x:c r="L1599" s="19" t="str">
        <x:v>组件待审核</x:v>
      </x:c>
      <x:c r="M1599" s="21" t="n">
        <x:v>35.85734</x:v>
      </x:c>
      <x:c r="N1599" s="21" t="n">
        <x:v>139.413392</x:v>
      </x:c>
      <x:c r="O1599" s="18" t="str">
        <x:v>002991</x:v>
      </x:c>
      <x:c r="P1599" s="18" t="str">
        <x:v>新宿線</x:v>
      </x:c>
      <x:c r="Q1599" s="19" t="str">
        <x:v>S12_061_GE_10000</x:v>
      </x:c>
      <x:c r="R1599" s="19" t="str">
        <x:v>S12_061 usage threshold</x:v>
      </x:c>
      <x:c r="S1599" s="19" t="str">
        <x:v>https://nlftp.mlit.go.jp/ksj/gml/datalist/KsjTmplt-S12-2024.html</x:v>
      </x:c>
      <x:c r="T1599" s="19" t="str">
        <x:v>https://nlftp.mlit.go.jp/ksj/gml/datalist/KsjTmplt-S12-2024.html</x:v>
      </x:c>
      <x:c r="U1599" s="19" t="str">
        <x:v>station-component|狭山市|西武鉄道|private_rail|35.8573|139.4134|</x:v>
      </x:c>
      <x:c r="V1599" s="19" t="str">
        <x:v>002991 / 002991 / 新宿線</x:v>
      </x:c>
      <x:c r="W1599" s="18" t="str">
        <x:v>否</x:v>
      </x:c>
      <x:c r="X1599" s="18" t="str">
        <x:v>0785e932a32b3ec15e1a1345537ae145eafe1c07bf38d5c16c11ee2b391e7a28</x:v>
      </x:c>
      <x:c r="Y1599" s="20" t="n">
        <x:v>1</x:v>
      </x:c>
      <x:c r="Z1599" s="20" t="n">
        <x:v>1</x:v>
      </x:c>
      <x:c r="AA1599" s="19"/>
      <x:c r="AB1599" s="18"/>
      <x:c r="AC1599" s="19"/>
    </x:row>
    <x:row r="1600" ht="28" customHeight="1">
      <x:c r="A1600" s="18" t="str">
        <x:v>猪名寺</x:v>
      </x:c>
      <x:c r="B1600" s="18" t="str">
        <x:v>西日本旅客鉄道</x:v>
      </x:c>
      <x:c r="C1600" s="18" t="str">
        <x:v>conventional_rail</x:v>
      </x:c>
      <x:c r="D1600" s="19" t="str">
        <x:v>T2</x:v>
      </x:c>
      <x:c r="E1600" s="20" t="n">
        <x:v>17940</x:v>
      </x:c>
      <x:c r="F1600" s="18" t="str">
        <x:v>persons/day</x:v>
      </x:c>
      <x:c r="G1600" s="18" t="str">
        <x:v>FY2024</x:v>
      </x:c>
      <x:c r="H1600" s="18" t="str">
        <x:v>否</x:v>
      </x:c>
      <x:c r="I1600" s="19" t="str">
        <x:v>DAILY_ENTRIES_EXITS</x:v>
      </x:c>
      <x:c r="J1600" s="19" t="str">
        <x:v>福知山線</x:v>
      </x:c>
      <x:c r="K1600" s="18" t="str">
        <x:v>transport-node:320e4530-1097-51be-9d79-df9d13165a77</x:v>
      </x:c>
      <x:c r="L1600" s="19" t="str">
        <x:v>组件待审核</x:v>
      </x:c>
      <x:c r="M1600" s="21" t="n">
        <x:v>34.764</x:v>
      </x:c>
      <x:c r="N1600" s="21" t="n">
        <x:v>135.422615</x:v>
      </x:c>
      <x:c r="O1600" s="18" t="str">
        <x:v>006775</x:v>
      </x:c>
      <x:c r="P1600" s="18" t="str">
        <x:v>福知山線</x:v>
      </x:c>
      <x:c r="Q1600" s="19" t="str">
        <x:v>S12_061_GE_10000</x:v>
      </x:c>
      <x:c r="R1600" s="19" t="str">
        <x:v>S12_061 usage threshold</x:v>
      </x:c>
      <x:c r="S1600" s="19" t="str">
        <x:v>https://nlftp.mlit.go.jp/ksj/gml/datalist/KsjTmplt-S12-2024.html</x:v>
      </x:c>
      <x:c r="T1600" s="19" t="str">
        <x:v>https://nlftp.mlit.go.jp/ksj/gml/datalist/KsjTmplt-S12-2024.html</x:v>
      </x:c>
      <x:c r="U1600" s="19" t="str">
        <x:v>station-component|猪名寺|西日本旅客鉄道|conventional_rail|34.7640|135.4226|</x:v>
      </x:c>
      <x:c r="V1600" s="19" t="str">
        <x:v>006775 / 006775 / 福知山線</x:v>
      </x:c>
      <x:c r="W1600" s="18" t="str">
        <x:v>否</x:v>
      </x:c>
      <x:c r="X1600" s="18" t="str">
        <x:v>0785e932a32b3ec15e1a1345537ae145eafe1c07bf38d5c16c11ee2b391e7a28</x:v>
      </x:c>
      <x:c r="Y1600" s="20" t="n">
        <x:v>1</x:v>
      </x:c>
      <x:c r="Z1600" s="20" t="n">
        <x:v>1</x:v>
      </x:c>
      <x:c r="AA1600" s="19"/>
      <x:c r="AB1600" s="18"/>
      <x:c r="AC1600" s="19"/>
    </x:row>
    <x:row r="1601" ht="28" customHeight="1">
      <x:c r="A1601" s="18" t="str">
        <x:v>獨協大学前</x:v>
      </x:c>
      <x:c r="B1601" s="18" t="str">
        <x:v>東武鉄道</x:v>
      </x:c>
      <x:c r="C1601" s="18" t="str">
        <x:v>private_rail</x:v>
      </x:c>
      <x:c r="D1601" s="19" t="str">
        <x:v>T1</x:v>
      </x:c>
      <x:c r="E1601" s="20" t="n">
        <x:v>56374</x:v>
      </x:c>
      <x:c r="F1601" s="18" t="str">
        <x:v>persons/day</x:v>
      </x:c>
      <x:c r="G1601" s="18" t="str">
        <x:v>FY2024</x:v>
      </x:c>
      <x:c r="H1601" s="18" t="str">
        <x:v>否</x:v>
      </x:c>
      <x:c r="I1601" s="19" t="str">
        <x:v>DAILY_ENTRIES_EXITS</x:v>
      </x:c>
      <x:c r="J1601" s="19" t="str">
        <x:v>伊勢崎線</x:v>
      </x:c>
      <x:c r="K1601" s="18" t="str">
        <x:v>transport-node:ed1191e6-8bb1-5458-98ed-30e3cb1aba74</x:v>
      </x:c>
      <x:c r="L1601" s="19" t="str">
        <x:v>组件待审核</x:v>
      </x:c>
      <x:c r="M1601" s="21" t="n">
        <x:v>35.8433</x:v>
      </x:c>
      <x:c r="N1601" s="21" t="n">
        <x:v>139.800675</x:v>
      </x:c>
      <x:c r="O1601" s="18" t="str">
        <x:v>003016</x:v>
      </x:c>
      <x:c r="P1601" s="18" t="str">
        <x:v>伊勢崎線</x:v>
      </x:c>
      <x:c r="Q1601" s="19" t="str">
        <x:v>S12_061_GE_10000</x:v>
      </x:c>
      <x:c r="R1601" s="19" t="str">
        <x:v>S12_061 usage threshold</x:v>
      </x:c>
      <x:c r="S1601" s="19" t="str">
        <x:v>https://nlftp.mlit.go.jp/ksj/gml/datalist/KsjTmplt-S12-2024.html</x:v>
      </x:c>
      <x:c r="T1601" s="19" t="str">
        <x:v>https://nlftp.mlit.go.jp/ksj/gml/datalist/KsjTmplt-S12-2024.html</x:v>
      </x:c>
      <x:c r="U1601" s="19" t="str">
        <x:v>station-component|獨協大学前|東武鉄道|private_rail|35.8433|139.8007|</x:v>
      </x:c>
      <x:c r="V1601" s="19" t="str">
        <x:v>003016 / 003016 / 伊勢崎線</x:v>
      </x:c>
      <x:c r="W1601" s="18" t="str">
        <x:v>否</x:v>
      </x:c>
      <x:c r="X1601" s="18" t="str">
        <x:v>0785e932a32b3ec15e1a1345537ae145eafe1c07bf38d5c16c11ee2b391e7a28</x:v>
      </x:c>
      <x:c r="Y1601" s="20" t="n">
        <x:v>1</x:v>
      </x:c>
      <x:c r="Z1601" s="20" t="n">
        <x:v>1</x:v>
      </x:c>
      <x:c r="AA1601" s="19"/>
      <x:c r="AB1601" s="18"/>
      <x:c r="AC1601" s="19"/>
    </x:row>
    <x:row r="1602" ht="28" customHeight="1">
      <x:c r="A1602" s="18" t="str">
        <x:v>玉出</x:v>
      </x:c>
      <x:c r="B1602" s="18" t="str">
        <x:v>大阪市高速電気軌道</x:v>
      </x:c>
      <x:c r="C1602" s="18" t="str">
        <x:v>metro</x:v>
      </x:c>
      <x:c r="D1602" s="19" t="str">
        <x:v>T2</x:v>
      </x:c>
      <x:c r="E1602" s="20" t="n">
        <x:v>19192</x:v>
      </x:c>
      <x:c r="F1602" s="18" t="str">
        <x:v>persons/day</x:v>
      </x:c>
      <x:c r="G1602" s="18" t="str">
        <x:v>FY2024</x:v>
      </x:c>
      <x:c r="H1602" s="18" t="str">
        <x:v>否</x:v>
      </x:c>
      <x:c r="I1602" s="19" t="str">
        <x:v>DAILY_ENTRIES_EXITS</x:v>
      </x:c>
      <x:c r="J1602" s="19" t="str">
        <x:v>3号線(四つ橋線)</x:v>
      </x:c>
      <x:c r="K1602" s="18" t="str">
        <x:v>transport-node:2d947737-9b60-5b43-b23e-8510d0d8cca1</x:v>
      </x:c>
      <x:c r="L1602" s="19" t="str">
        <x:v>组件待审核</x:v>
      </x:c>
      <x:c r="M1602" s="21" t="n">
        <x:v>34.624085</x:v>
      </x:c>
      <x:c r="N1602" s="21" t="n">
        <x:v>135.49049</x:v>
      </x:c>
      <x:c r="O1602" s="18" t="str">
        <x:v>007533</x:v>
      </x:c>
      <x:c r="P1602" s="18" t="str">
        <x:v>3号線(四つ橋線)</x:v>
      </x:c>
      <x:c r="Q1602" s="19" t="str">
        <x:v>S12_061_GE_10000</x:v>
      </x:c>
      <x:c r="R1602" s="19" t="str">
        <x:v>S12_061 usage threshold</x:v>
      </x:c>
      <x:c r="S1602" s="19" t="str">
        <x:v>https://nlftp.mlit.go.jp/ksj/gml/datalist/KsjTmplt-S12-2024.html</x:v>
      </x:c>
      <x:c r="T1602" s="19" t="str">
        <x:v>https://nlftp.mlit.go.jp/ksj/gml/datalist/KsjTmplt-S12-2024.html</x:v>
      </x:c>
      <x:c r="U1602" s="19" t="str">
        <x:v>station-component|玉出|大阪市高速電気軌道|metro|34.6241|135.4905|</x:v>
      </x:c>
      <x:c r="V1602" s="19" t="str">
        <x:v>007533 / 007533 / 3号線(四つ橋線)</x:v>
      </x:c>
      <x:c r="W1602" s="18" t="str">
        <x:v>否</x:v>
      </x:c>
      <x:c r="X1602" s="18" t="str">
        <x:v>0785e932a32b3ec15e1a1345537ae145eafe1c07bf38d5c16c11ee2b391e7a28</x:v>
      </x:c>
      <x:c r="Y1602" s="20" t="n">
        <x:v>1</x:v>
      </x:c>
      <x:c r="Z1602" s="20" t="n">
        <x:v>1</x:v>
      </x:c>
      <x:c r="AA1602" s="19"/>
      <x:c r="AB1602" s="18"/>
      <x:c r="AC1602" s="19"/>
    </x:row>
    <x:row r="1603" ht="33" customHeight="1">
      <x:c r="A1603" s="18" t="str">
        <x:v>玉川</x:v>
      </x:c>
      <x:c r="B1603" s="18" t="str">
        <x:v>大阪市高速電気軌道</x:v>
      </x:c>
      <x:c r="C1603" s="18" t="str">
        <x:v>metro</x:v>
      </x:c>
      <x:c r="D1603" s="19" t="str">
        <x:v>T2</x:v>
      </x:c>
      <x:c r="E1603" s="20" t="n">
        <x:v>11144</x:v>
      </x:c>
      <x:c r="F1603" s="18" t="str">
        <x:v>persons/day</x:v>
      </x:c>
      <x:c r="G1603" s="18" t="str">
        <x:v>FY2024</x:v>
      </x:c>
      <x:c r="H1603" s="18" t="str">
        <x:v>否</x:v>
      </x:c>
      <x:c r="I1603" s="19" t="str">
        <x:v>DAILY_ENTRIES_EXITS</x:v>
      </x:c>
      <x:c r="J1603" s="19" t="str">
        <x:v>5号線(千日前線)</x:v>
      </x:c>
      <x:c r="K1603" s="18" t="str">
        <x:v>transport-node:417b5435-181f-5959-bfdc-1c31af4014f1</x:v>
      </x:c>
      <x:c r="L1603" s="19" t="str">
        <x:v>组件待审核</x:v>
      </x:c>
      <x:c r="M1603" s="21" t="n">
        <x:v>34.68933</x:v>
      </x:c>
      <x:c r="N1603" s="21" t="n">
        <x:v>135.476355</x:v>
      </x:c>
      <x:c r="O1603" s="18" t="str">
        <x:v>007154</x:v>
      </x:c>
      <x:c r="P1603" s="18" t="str">
        <x:v>5号線(千日前線)</x:v>
      </x:c>
      <x:c r="Q1603" s="19" t="str">
        <x:v>S12_061_GE_10000
OFFICIAL_HUB_COMPONENT_REVIEW</x:v>
      </x:c>
      <x:c r="R1603" s="19" t="str">
        <x:v>S12_061 usage threshold</x:v>
      </x:c>
      <x:c r="S1603" s="19" t="str">
        <x:v>https://nlftp.mlit.go.jp/ksj/gml/datalist/KsjTmplt-S12-2024.html</x:v>
      </x:c>
      <x:c r="T1603" s="19" t="str">
        <x:v>https://nlftp.mlit.go.jp/ksj/gml/datalist/KsjTmplt-S12-2024.html
https://subway.osakametro.co.jp/station_guide/S/s12/index.php</x:v>
      </x:c>
      <x:c r="U1603" s="19" t="str">
        <x:v>station-component|玉川|大阪市高速電気軌道|metro|34.6893|135.4764|</x:v>
      </x:c>
      <x:c r="V1603" s="19" t="str">
        <x:v>007154 / 007154 / 5号線(千日前線)</x:v>
      </x:c>
      <x:c r="W1603" s="18" t="str">
        <x:v>否</x:v>
      </x:c>
      <x:c r="X1603" s="18" t="str">
        <x:v>0785e932a32b3ec15e1a1345537ae145eafe1c07bf38d5c16c11ee2b391e7a28</x:v>
      </x:c>
      <x:c r="Y1603" s="20" t="n">
        <x:v>1</x:v>
      </x:c>
      <x:c r="Z1603" s="20" t="n">
        <x:v>1</x:v>
      </x:c>
      <x:c r="AA1603" s="19" t="str">
        <x:v>玉川・JR野田</x:v>
      </x:c>
      <x:c r="AB1603" s="18" t="str">
        <x:v>transport-hub-review:34c4587d-fcec-5757-9439-b931eda54612</x:v>
      </x:c>
      <x:c r="AC1603" s="19"/>
    </x:row>
    <x:row r="1604" ht="33" customHeight="1">
      <x:c r="A1604" s="18" t="str">
        <x:v>玉川上水</x:v>
      </x:c>
      <x:c r="B1604" s="18" t="str">
        <x:v>多摩都市モノレール</x:v>
      </x:c>
      <x:c r="C1604" s="18" t="str">
        <x:v>fixed_guideway</x:v>
      </x:c>
      <x:c r="D1604" s="19" t="str">
        <x:v>T2</x:v>
      </x:c>
      <x:c r="E1604" s="20" t="n">
        <x:v>24712</x:v>
      </x:c>
      <x:c r="F1604" s="18" t="str">
        <x:v>persons/day</x:v>
      </x:c>
      <x:c r="G1604" s="18" t="str">
        <x:v>FY2024</x:v>
      </x:c>
      <x:c r="H1604" s="18" t="str">
        <x:v>否</x:v>
      </x:c>
      <x:c r="I1604" s="19" t="str">
        <x:v>DAILY_ENTRIES_EXITS</x:v>
      </x:c>
      <x:c r="J1604" s="19" t="str">
        <x:v>多摩都市モノレール線</x:v>
      </x:c>
      <x:c r="K1604" s="18" t="str">
        <x:v>transport-node:2ee94c6d-a307-53aa-be5d-a993f9405ab3</x:v>
      </x:c>
      <x:c r="L1604" s="19" t="str">
        <x:v>组件待审核</x:v>
      </x:c>
      <x:c r="M1604" s="21" t="n">
        <x:v>35.7321233</x:v>
      </x:c>
      <x:c r="N1604" s="21" t="n">
        <x:v>139.4177433</x:v>
      </x:c>
      <x:c r="O1604" s="18" t="str">
        <x:v>003371</x:v>
      </x:c>
      <x:c r="P1604" s="18" t="str">
        <x:v>多摩都市モノレール線</x:v>
      </x:c>
      <x:c r="Q1604" s="19" t="str">
        <x:v>S12_061_GE_10000
OFFICIAL_HUB_COMPONENT_REVIEW</x:v>
      </x:c>
      <x:c r="R1604" s="19" t="str">
        <x:v>S12_061 usage threshold</x:v>
      </x:c>
      <x:c r="S1604" s="19" t="str">
        <x:v>https://nlftp.mlit.go.jp/ksj/gml/datalist/KsjTmplt-S12-2024.html</x:v>
      </x:c>
      <x:c r="T1604" s="19" t="str">
        <x:v>https://nlftp.mlit.go.jp/ksj/gml/datalist/KsjTmplt-S12-2024.html
https://www.seiburailway.jp/railway/station/</x:v>
      </x:c>
      <x:c r="U1604" s="19" t="str">
        <x:v>station-component|玉川上水|多摩都市モノレール|fixed_guideway|35.7321|139.4177|</x:v>
      </x:c>
      <x:c r="V1604" s="19" t="str">
        <x:v>003371 / 003371 / 多摩都市モノレール線</x:v>
      </x:c>
      <x:c r="W1604" s="18" t="str">
        <x:v>否</x:v>
      </x:c>
      <x:c r="X1604" s="18" t="str">
        <x:v>0785e932a32b3ec15e1a1345537ae145eafe1c07bf38d5c16c11ee2b391e7a28</x:v>
      </x:c>
      <x:c r="Y1604" s="20" t="n">
        <x:v>1</x:v>
      </x:c>
      <x:c r="Z1604" s="20" t="n">
        <x:v>1</x:v>
      </x:c>
      <x:c r="AA1604" s="19" t="str">
        <x:v>玉川上水</x:v>
      </x:c>
      <x:c r="AB1604" s="18" t="str">
        <x:v>transport-hub-review:c6e9bc99-5817-55a7-924e-5a2fede63b0f</x:v>
      </x:c>
      <x:c r="AC1604" s="19"/>
    </x:row>
    <x:row r="1605" ht="33" customHeight="1">
      <x:c r="A1605" s="18" t="str">
        <x:v>玉川上水</x:v>
      </x:c>
      <x:c r="B1605" s="18" t="str">
        <x:v>西武鉄道</x:v>
      </x:c>
      <x:c r="C1605" s="18" t="str">
        <x:v>private_rail</x:v>
      </x:c>
      <x:c r="D1605" s="19" t="str">
        <x:v>T2</x:v>
      </x:c>
      <x:c r="E1605" s="20" t="n">
        <x:v>39460</x:v>
      </x:c>
      <x:c r="F1605" s="18" t="str">
        <x:v>persons/day</x:v>
      </x:c>
      <x:c r="G1605" s="18" t="str">
        <x:v>FY2024</x:v>
      </x:c>
      <x:c r="H1605" s="18" t="str">
        <x:v>否</x:v>
      </x:c>
      <x:c r="I1605" s="19" t="str">
        <x:v>DAILY_ENTRIES_EXITS</x:v>
      </x:c>
      <x:c r="J1605" s="19" t="str">
        <x:v>拝島線</x:v>
      </x:c>
      <x:c r="K1605" s="18" t="str">
        <x:v>transport-node:13b15de3-99f1-51f0-95b9-c01db0e5fc8d</x:v>
      </x:c>
      <x:c r="L1605" s="19" t="str">
        <x:v>组件待审核</x:v>
      </x:c>
      <x:c r="M1605" s="21" t="n">
        <x:v>35.731705</x:v>
      </x:c>
      <x:c r="N1605" s="21" t="n">
        <x:v>139.418775</x:v>
      </x:c>
      <x:c r="O1605" s="18" t="str">
        <x:v>003377</x:v>
      </x:c>
      <x:c r="P1605" s="18" t="str">
        <x:v>拝島線</x:v>
      </x:c>
      <x:c r="Q1605" s="19" t="str">
        <x:v>S12_061_GE_10000
OFFICIAL_HUB_COMPONENT_REVIEW</x:v>
      </x:c>
      <x:c r="R1605" s="19" t="str">
        <x:v>S12_061 usage threshold</x:v>
      </x:c>
      <x:c r="S1605" s="19" t="str">
        <x:v>https://nlftp.mlit.go.jp/ksj/gml/datalist/KsjTmplt-S12-2024.html</x:v>
      </x:c>
      <x:c r="T1605" s="19" t="str">
        <x:v>https://nlftp.mlit.go.jp/ksj/gml/datalist/KsjTmplt-S12-2024.html
https://www.seiburailway.jp/railway/station/</x:v>
      </x:c>
      <x:c r="U1605" s="19" t="str">
        <x:v>station-component|玉川上水|西武鉄道|private_rail|35.7317|139.4188|</x:v>
      </x:c>
      <x:c r="V1605" s="19" t="str">
        <x:v>003371 / 003377 / 拝島線</x:v>
      </x:c>
      <x:c r="W1605" s="18" t="str">
        <x:v>否</x:v>
      </x:c>
      <x:c r="X1605" s="18" t="str">
        <x:v>0785e932a32b3ec15e1a1345537ae145eafe1c07bf38d5c16c11ee2b391e7a28</x:v>
      </x:c>
      <x:c r="Y1605" s="20" t="n">
        <x:v>1</x:v>
      </x:c>
      <x:c r="Z1605" s="20" t="n">
        <x:v>1</x:v>
      </x:c>
      <x:c r="AA1605" s="19" t="str">
        <x:v>玉川上水</x:v>
      </x:c>
      <x:c r="AB1605" s="18" t="str">
        <x:v>transport-hub-review:c6e9bc99-5817-55a7-924e-5a2fede63b0f</x:v>
      </x:c>
      <x:c r="AC1605" s="19"/>
    </x:row>
    <x:row r="1606" ht="28" customHeight="1">
      <x:c r="A1606" s="18" t="str">
        <x:v>玉川学園前</x:v>
      </x:c>
      <x:c r="B1606" s="18" t="str">
        <x:v>小田急電鉄</x:v>
      </x:c>
      <x:c r="C1606" s="18" t="str">
        <x:v>private_rail</x:v>
      </x:c>
      <x:c r="D1606" s="19" t="str">
        <x:v>T2</x:v>
      </x:c>
      <x:c r="E1606" s="20" t="n">
        <x:v>41185</x:v>
      </x:c>
      <x:c r="F1606" s="18" t="str">
        <x:v>persons/day</x:v>
      </x:c>
      <x:c r="G1606" s="18" t="str">
        <x:v>FY2024</x:v>
      </x:c>
      <x:c r="H1606" s="18" t="str">
        <x:v>否</x:v>
      </x:c>
      <x:c r="I1606" s="19" t="str">
        <x:v>DAILY_ENTRIES_EXITS</x:v>
      </x:c>
      <x:c r="J1606" s="19" t="str">
        <x:v>小田原線</x:v>
      </x:c>
      <x:c r="K1606" s="18" t="str">
        <x:v>transport-node:376bc90d-6f6a-5969-92e5-aac8e24a9664</x:v>
      </x:c>
      <x:c r="L1606" s="19" t="str">
        <x:v>组件待审核</x:v>
      </x:c>
      <x:c r="M1606" s="21" t="n">
        <x:v>35.56351</x:v>
      </x:c>
      <x:c r="N1606" s="21" t="n">
        <x:v>139.46344</x:v>
      </x:c>
      <x:c r="O1606" s="18" t="str">
        <x:v>004324</x:v>
      </x:c>
      <x:c r="P1606" s="18" t="str">
        <x:v>小田原線</x:v>
      </x:c>
      <x:c r="Q1606" s="19" t="str">
        <x:v>S12_061_GE_10000</x:v>
      </x:c>
      <x:c r="R1606" s="19" t="str">
        <x:v>S12_061 usage threshold</x:v>
      </x:c>
      <x:c r="S1606" s="19" t="str">
        <x:v>https://nlftp.mlit.go.jp/ksj/gml/datalist/KsjTmplt-S12-2024.html</x:v>
      </x:c>
      <x:c r="T1606" s="19" t="str">
        <x:v>https://nlftp.mlit.go.jp/ksj/gml/datalist/KsjTmplt-S12-2024.html</x:v>
      </x:c>
      <x:c r="U1606" s="19" t="str">
        <x:v>station-component|玉川学園前|小田急電鉄|private_rail|35.5635|139.4634|</x:v>
      </x:c>
      <x:c r="V1606" s="19" t="str">
        <x:v>004324 / 004324 / 小田原線</x:v>
      </x:c>
      <x:c r="W1606" s="18" t="str">
        <x:v>否</x:v>
      </x:c>
      <x:c r="X1606" s="18" t="str">
        <x:v>0785e932a32b3ec15e1a1345537ae145eafe1c07bf38d5c16c11ee2b391e7a28</x:v>
      </x:c>
      <x:c r="Y1606" s="20" t="n">
        <x:v>1</x:v>
      </x:c>
      <x:c r="Z1606" s="20" t="n">
        <x:v>1</x:v>
      </x:c>
      <x:c r="AA1606" s="19"/>
      <x:c r="AB1606" s="18"/>
      <x:c r="AC1606" s="19"/>
    </x:row>
    <x:row r="1607" ht="33" customHeight="1">
      <x:c r="A1607" s="18" t="str">
        <x:v>玉造</x:v>
      </x:c>
      <x:c r="B1607" s="18" t="str">
        <x:v>大阪市高速電気軌道</x:v>
      </x:c>
      <x:c r="C1607" s="18" t="str">
        <x:v>metro</x:v>
      </x:c>
      <x:c r="D1607" s="19" t="str">
        <x:v>T2</x:v>
      </x:c>
      <x:c r="E1607" s="20" t="n">
        <x:v>14555</x:v>
      </x:c>
      <x:c r="F1607" s="18" t="str">
        <x:v>persons/day</x:v>
      </x:c>
      <x:c r="G1607" s="18" t="str">
        <x:v>FY2024</x:v>
      </x:c>
      <x:c r="H1607" s="18" t="str">
        <x:v>否</x:v>
      </x:c>
      <x:c r="I1607" s="19" t="str">
        <x:v>DAILY_ENTRIES_EXITS</x:v>
      </x:c>
      <x:c r="J1607" s="19" t="str">
        <x:v>7号線(長堀鶴見緑地線)</x:v>
      </x:c>
      <x:c r="K1607" s="18" t="str">
        <x:v>transport-node:d736cd1f-df38-504d-a319-0b6cefd963b8</x:v>
      </x:c>
      <x:c r="L1607" s="19" t="str">
        <x:v>组件待审核</x:v>
      </x:c>
      <x:c r="M1607" s="21" t="n">
        <x:v>34.67463</x:v>
      </x:c>
      <x:c r="N1607" s="21" t="n">
        <x:v>135.5301333</x:v>
      </x:c>
      <x:c r="O1607" s="18" t="str">
        <x:v>007260</x:v>
      </x:c>
      <x:c r="P1607" s="18" t="str">
        <x:v>7号線(長堀鶴見緑地線)</x:v>
      </x:c>
      <x:c r="Q1607" s="19" t="str">
        <x:v>S12_061_GE_10000
OFFICIAL_HUB_COMPONENT_REVIEW</x:v>
      </x:c>
      <x:c r="R1607" s="19" t="str">
        <x:v>S12_061 usage threshold</x:v>
      </x:c>
      <x:c r="S1607" s="19" t="str">
        <x:v>https://nlftp.mlit.go.jp/ksj/gml/datalist/KsjTmplt-S12-2024.html</x:v>
      </x:c>
      <x:c r="T1607" s="19" t="str">
        <x:v>https://nlftp.mlit.go.jp/ksj/gml/datalist/KsjTmplt-S12-2024.html
https://subway.osakametro.co.jp/station_guide/N/n19/index.php</x:v>
      </x:c>
      <x:c r="U1607" s="19" t="str">
        <x:v>station-component|玉造|大阪市高速電気軌道|metro|34.6746|135.5301|</x:v>
      </x:c>
      <x:c r="V1607" s="19" t="str">
        <x:v>007260 / 007260 / 7号線(長堀鶴見緑地線)</x:v>
      </x:c>
      <x:c r="W1607" s="18" t="str">
        <x:v>否</x:v>
      </x:c>
      <x:c r="X1607" s="18" t="str">
        <x:v>0785e932a32b3ec15e1a1345537ae145eafe1c07bf38d5c16c11ee2b391e7a28</x:v>
      </x:c>
      <x:c r="Y1607" s="20" t="n">
        <x:v>1</x:v>
      </x:c>
      <x:c r="Z1607" s="20" t="n">
        <x:v>1</x:v>
      </x:c>
      <x:c r="AA1607" s="19" t="str">
        <x:v>玉造</x:v>
      </x:c>
      <x:c r="AB1607" s="18" t="str">
        <x:v>transport-hub-review:0648262e-a363-559d-9972-d97fb6ba91f1</x:v>
      </x:c>
      <x:c r="AC1607" s="19"/>
    </x:row>
    <x:row r="1608" ht="33" customHeight="1">
      <x:c r="A1608" s="18" t="str">
        <x:v>玉造</x:v>
      </x:c>
      <x:c r="B1608" s="18" t="str">
        <x:v>西日本旅客鉄道</x:v>
      </x:c>
      <x:c r="C1608" s="18" t="str">
        <x:v>conventional_rail</x:v>
      </x:c>
      <x:c r="D1608" s="19" t="str">
        <x:v>T2</x:v>
      </x:c>
      <x:c r="E1608" s="20" t="n">
        <x:v>32152</x:v>
      </x:c>
      <x:c r="F1608" s="18" t="str">
        <x:v>persons/day</x:v>
      </x:c>
      <x:c r="G1608" s="18" t="str">
        <x:v>FY2024</x:v>
      </x:c>
      <x:c r="H1608" s="18" t="str">
        <x:v>否</x:v>
      </x:c>
      <x:c r="I1608" s="19" t="str">
        <x:v>DAILY_ENTRIES_EXITS</x:v>
      </x:c>
      <x:c r="J1608" s="19" t="str">
        <x:v>大阪環状線</x:v>
      </x:c>
      <x:c r="K1608" s="18" t="str">
        <x:v>transport-node:b142ced7-55c2-5d21-9a84-cf6e309d4f01</x:v>
      </x:c>
      <x:c r="L1608" s="19" t="str">
        <x:v>组件待审核</x:v>
      </x:c>
      <x:c r="M1608" s="21" t="n">
        <x:v>34.67352</x:v>
      </x:c>
      <x:c r="N1608" s="21" t="n">
        <x:v>135.532875</x:v>
      </x:c>
      <x:c r="O1608" s="18" t="str">
        <x:v>007272</x:v>
      </x:c>
      <x:c r="P1608" s="18" t="str">
        <x:v>大阪環状線</x:v>
      </x:c>
      <x:c r="Q1608" s="19" t="str">
        <x:v>S12_061_GE_10000
OFFICIAL_HUB_COMPONENT_REVIEW</x:v>
      </x:c>
      <x:c r="R1608" s="19" t="str">
        <x:v>S12_061 usage threshold</x:v>
      </x:c>
      <x:c r="S1608" s="19" t="str">
        <x:v>https://nlftp.mlit.go.jp/ksj/gml/datalist/KsjTmplt-S12-2024.html</x:v>
      </x:c>
      <x:c r="T1608" s="19" t="str">
        <x:v>https://nlftp.mlit.go.jp/ksj/gml/datalist/KsjTmplt-S12-2024.html
https://subway.osakametro.co.jp/station_guide/N/n19/index.php</x:v>
      </x:c>
      <x:c r="U1608" s="19" t="str">
        <x:v>station-component|玉造|西日本旅客鉄道|conventional_rail|34.6735|135.5329|</x:v>
      </x:c>
      <x:c r="V1608" s="19" t="str">
        <x:v>007260 / 007272 / 大阪環状線</x:v>
      </x:c>
      <x:c r="W1608" s="18" t="str">
        <x:v>否</x:v>
      </x:c>
      <x:c r="X1608" s="18" t="str">
        <x:v>0785e932a32b3ec15e1a1345537ae145eafe1c07bf38d5c16c11ee2b391e7a28</x:v>
      </x:c>
      <x:c r="Y1608" s="20" t="n">
        <x:v>1</x:v>
      </x:c>
      <x:c r="Z1608" s="20" t="n">
        <x:v>1</x:v>
      </x:c>
      <x:c r="AA1608" s="19" t="str">
        <x:v>玉造</x:v>
      </x:c>
      <x:c r="AB1608" s="18" t="str">
        <x:v>transport-hub-review:0648262e-a363-559d-9972-d97fb6ba91f1</x:v>
      </x:c>
      <x:c r="AC1608" s="19"/>
    </x:row>
    <x:row r="1609" ht="33" customHeight="1">
      <x:c r="A1609" s="18" t="str">
        <x:v>王子</x:v>
      </x:c>
      <x:c r="B1609" s="18" t="str">
        <x:v>東京地下鉄</x:v>
      </x:c>
      <x:c r="C1609" s="18" t="str">
        <x:v>metro</x:v>
      </x:c>
      <x:c r="D1609" s="19" t="str">
        <x:v>T1</x:v>
      </x:c>
      <x:c r="E1609" s="20" t="n">
        <x:v>60412</x:v>
      </x:c>
      <x:c r="F1609" s="18" t="str">
        <x:v>persons/day</x:v>
      </x:c>
      <x:c r="G1609" s="18" t="str">
        <x:v>FY2024</x:v>
      </x:c>
      <x:c r="H1609" s="18" t="str">
        <x:v>否</x:v>
      </x:c>
      <x:c r="I1609" s="19" t="str">
        <x:v>DAILY_ENTRIES_EXITS</x:v>
      </x:c>
      <x:c r="J1609" s="19" t="str">
        <x:v>7号線南北線</x:v>
      </x:c>
      <x:c r="K1609" s="18" t="str">
        <x:v>transport-node:5f4f1de3-be78-51d3-b20c-1fc7ea754a74</x:v>
      </x:c>
      <x:c r="L1609" s="19" t="str">
        <x:v>组件待审核</x:v>
      </x:c>
      <x:c r="M1609" s="21" t="n">
        <x:v>35.7543867</x:v>
      </x:c>
      <x:c r="N1609" s="21" t="n">
        <x:v>139.7374111</x:v>
      </x:c>
      <x:c r="O1609" s="18" t="str">
        <x:v>003236</x:v>
      </x:c>
      <x:c r="P1609" s="18" t="str">
        <x:v>7号線南北線</x:v>
      </x:c>
      <x:c r="Q1609" s="19" t="str">
        <x:v>S12_061_GE_10000
OFFICIAL_HUB_COMPONENT_REVIEW</x:v>
      </x:c>
      <x:c r="R1609" s="19" t="str">
        <x:v>S12_061 usage threshold</x:v>
      </x:c>
      <x:c r="S1609" s="19" t="str">
        <x:v>https://nlftp.mlit.go.jp/ksj/gml/datalist/KsjTmplt-S12-2024.html</x:v>
      </x:c>
      <x:c r="T1609" s="19" t="str">
        <x:v>https://nlftp.mlit.go.jp/ksj/gml/datalist/KsjTmplt-S12-2024.html
https://www.tokyometro.jp/station/oji/index.html</x:v>
      </x:c>
      <x:c r="U1609" s="19" t="str">
        <x:v>station-component|王子|東京地下鉄|metro|35.7544|139.7374|</x:v>
      </x:c>
      <x:c r="V1609" s="19" t="str">
        <x:v>003236 / 003236 / 7号線南北線</x:v>
      </x:c>
      <x:c r="W1609" s="18" t="str">
        <x:v>否</x:v>
      </x:c>
      <x:c r="X1609" s="18" t="str">
        <x:v>0785e932a32b3ec15e1a1345537ae145eafe1c07bf38d5c16c11ee2b391e7a28</x:v>
      </x:c>
      <x:c r="Y1609" s="20" t="n">
        <x:v>1</x:v>
      </x:c>
      <x:c r="Z1609" s="20" t="n">
        <x:v>1</x:v>
      </x:c>
      <x:c r="AA1609" s="19" t="str">
        <x:v>王子・王子駅前</x:v>
      </x:c>
      <x:c r="AB1609" s="18" t="str">
        <x:v>transport-hub-review:197999f8-b571-5bcd-9cf1-049bdfb871b9</x:v>
      </x:c>
      <x:c r="AC1609" s="19"/>
    </x:row>
    <x:row r="1610" ht="33" customHeight="1">
      <x:c r="A1610" s="18" t="str">
        <x:v>王子</x:v>
      </x:c>
      <x:c r="B1610" s="18" t="str">
        <x:v>東日本旅客鉄道</x:v>
      </x:c>
      <x:c r="C1610" s="18" t="str">
        <x:v>conventional_rail</x:v>
      </x:c>
      <x:c r="D1610" s="19" t="str">
        <x:v>T1</x:v>
      </x:c>
      <x:c r="E1610" s="20" t="n">
        <x:v>117716</x:v>
      </x:c>
      <x:c r="F1610" s="18" t="str">
        <x:v>persons/day</x:v>
      </x:c>
      <x:c r="G1610" s="18" t="str">
        <x:v>FY2024</x:v>
      </x:c>
      <x:c r="H1610" s="18" t="str">
        <x:v>否</x:v>
      </x:c>
      <x:c r="I1610" s="19" t="str">
        <x:v>DAILY_ENTRIES_EXITS</x:v>
      </x:c>
      <x:c r="J1610" s="19" t="str">
        <x:v>東北線</x:v>
      </x:c>
      <x:c r="K1610" s="18" t="str">
        <x:v>transport-node:8f4536b4-6dcc-5932-accf-b1422903e195</x:v>
      </x:c>
      <x:c r="L1610" s="19" t="str">
        <x:v>组件待审核</x:v>
      </x:c>
      <x:c r="M1610" s="21" t="n">
        <x:v>35.752325</x:v>
      </x:c>
      <x:c r="N1610" s="21" t="n">
        <x:v>139.73821</x:v>
      </x:c>
      <x:c r="O1610" s="18" t="str">
        <x:v>003241</x:v>
      </x:c>
      <x:c r="P1610" s="18" t="str">
        <x:v>東北線</x:v>
      </x:c>
      <x:c r="Q1610" s="19" t="str">
        <x:v>S12_061_GE_10000
OFFICIAL_HUB_COMPONENT_REVIEW</x:v>
      </x:c>
      <x:c r="R1610" s="19" t="str">
        <x:v>S12_061 usage threshold</x:v>
      </x:c>
      <x:c r="S1610" s="19" t="str">
        <x:v>https://nlftp.mlit.go.jp/ksj/gml/datalist/KsjTmplt-S12-2024.html</x:v>
      </x:c>
      <x:c r="T1610" s="19" t="str">
        <x:v>https://nlftp.mlit.go.jp/ksj/gml/datalist/KsjTmplt-S12-2024.html
https://www.tokyometro.jp/station/oji/index.html</x:v>
      </x:c>
      <x:c r="U1610" s="19" t="str">
        <x:v>station-component|王子|東日本旅客鉄道|conventional_rail|35.7523|139.7382|</x:v>
      </x:c>
      <x:c r="V1610" s="19" t="str">
        <x:v>003236 / 003241 / 東北線</x:v>
      </x:c>
      <x:c r="W1610" s="18" t="str">
        <x:v>否</x:v>
      </x:c>
      <x:c r="X1610" s="18" t="str">
        <x:v>0785e932a32b3ec15e1a1345537ae145eafe1c07bf38d5c16c11ee2b391e7a28</x:v>
      </x:c>
      <x:c r="Y1610" s="20" t="n">
        <x:v>1</x:v>
      </x:c>
      <x:c r="Z1610" s="20" t="n">
        <x:v>1</x:v>
      </x:c>
      <x:c r="AA1610" s="19" t="str">
        <x:v>王子・王子駅前</x:v>
      </x:c>
      <x:c r="AB1610" s="18" t="str">
        <x:v>transport-hub-review:197999f8-b571-5bcd-9cf1-049bdfb871b9</x:v>
      </x:c>
      <x:c r="AC1610" s="19"/>
    </x:row>
    <x:row r="1611" ht="28" customHeight="1">
      <x:c r="A1611" s="18" t="str">
        <x:v>王子公園</x:v>
      </x:c>
      <x:c r="B1611" s="18" t="str">
        <x:v>阪急電鉄</x:v>
      </x:c>
      <x:c r="C1611" s="18" t="str">
        <x:v>private_rail</x:v>
      </x:c>
      <x:c r="D1611" s="19" t="str">
        <x:v>T2</x:v>
      </x:c>
      <x:c r="E1611" s="20" t="n">
        <x:v>16201</x:v>
      </x:c>
      <x:c r="F1611" s="18" t="str">
        <x:v>persons/day</x:v>
      </x:c>
      <x:c r="G1611" s="18" t="str">
        <x:v>FY2024</x:v>
      </x:c>
      <x:c r="H1611" s="18" t="str">
        <x:v>否</x:v>
      </x:c>
      <x:c r="I1611" s="19" t="str">
        <x:v>DAILY_ENTRIES_EXITS</x:v>
      </x:c>
      <x:c r="J1611" s="19" t="str">
        <x:v>神戸線</x:v>
      </x:c>
      <x:c r="K1611" s="18" t="str">
        <x:v>transport-node:7494191a-36f5-5110-855b-3d01c4832475</x:v>
      </x:c>
      <x:c r="L1611" s="19" t="str">
        <x:v>组件待审核</x:v>
      </x:c>
      <x:c r="M1611" s="21" t="n">
        <x:v>34.71034</x:v>
      </x:c>
      <x:c r="N1611" s="21" t="n">
        <x:v>135.21864</x:v>
      </x:c>
      <x:c r="O1611" s="18" t="str">
        <x:v>007024</x:v>
      </x:c>
      <x:c r="P1611" s="18" t="str">
        <x:v>神戸線</x:v>
      </x:c>
      <x:c r="Q1611" s="19" t="str">
        <x:v>S12_061_GE_10000</x:v>
      </x:c>
      <x:c r="R1611" s="19" t="str">
        <x:v>S12_061 usage threshold</x:v>
      </x:c>
      <x:c r="S1611" s="19" t="str">
        <x:v>https://nlftp.mlit.go.jp/ksj/gml/datalist/KsjTmplt-S12-2024.html</x:v>
      </x:c>
      <x:c r="T1611" s="19" t="str">
        <x:v>https://nlftp.mlit.go.jp/ksj/gml/datalist/KsjTmplt-S12-2024.html</x:v>
      </x:c>
      <x:c r="U1611" s="19" t="str">
        <x:v>station-component|王子公園|阪急電鉄|private_rail|34.7103|135.2186|</x:v>
      </x:c>
      <x:c r="V1611" s="19" t="str">
        <x:v>007024 / 007024 / 神戸線</x:v>
      </x:c>
      <x:c r="W1611" s="18" t="str">
        <x:v>否</x:v>
      </x:c>
      <x:c r="X1611" s="18" t="str">
        <x:v>0785e932a32b3ec15e1a1345537ae145eafe1c07bf38d5c16c11ee2b391e7a28</x:v>
      </x:c>
      <x:c r="Y1611" s="20" t="n">
        <x:v>1</x:v>
      </x:c>
      <x:c r="Z1611" s="20" t="n">
        <x:v>1</x:v>
      </x:c>
      <x:c r="AA1611" s="19"/>
      <x:c r="AB1611" s="18"/>
      <x:c r="AC1611" s="19"/>
    </x:row>
    <x:row r="1612" ht="28" customHeight="1">
      <x:c r="A1612" s="18" t="str">
        <x:v>王子神谷</x:v>
      </x:c>
      <x:c r="B1612" s="18" t="str">
        <x:v>東京地下鉄</x:v>
      </x:c>
      <x:c r="C1612" s="18" t="str">
        <x:v>metro</x:v>
      </x:c>
      <x:c r="D1612" s="19" t="str">
        <x:v>T2</x:v>
      </x:c>
      <x:c r="E1612" s="20" t="n">
        <x:v>36275</x:v>
      </x:c>
      <x:c r="F1612" s="18" t="str">
        <x:v>persons/day</x:v>
      </x:c>
      <x:c r="G1612" s="18" t="str">
        <x:v>FY2024</x:v>
      </x:c>
      <x:c r="H1612" s="18" t="str">
        <x:v>否</x:v>
      </x:c>
      <x:c r="I1612" s="19" t="str">
        <x:v>DAILY_ENTRIES_EXITS</x:v>
      </x:c>
      <x:c r="J1612" s="19" t="str">
        <x:v>7号線南北線</x:v>
      </x:c>
      <x:c r="K1612" s="18" t="str">
        <x:v>transport-node:3c0f49d7-4bd9-593b-b90a-0df947d18986</x:v>
      </x:c>
      <x:c r="L1612" s="19" t="str">
        <x:v>组件待审核</x:v>
      </x:c>
      <x:c r="M1612" s="21" t="n">
        <x:v>35.76509</x:v>
      </x:c>
      <x:c r="N1612" s="21" t="n">
        <x:v>139.7357</x:v>
      </x:c>
      <x:c r="O1612" s="18" t="str">
        <x:v>003207</x:v>
      </x:c>
      <x:c r="P1612" s="18" t="str">
        <x:v>7号線南北線</x:v>
      </x:c>
      <x:c r="Q1612" s="19" t="str">
        <x:v>S12_061_GE_10000</x:v>
      </x:c>
      <x:c r="R1612" s="19" t="str">
        <x:v>S12_061 usage threshold</x:v>
      </x:c>
      <x:c r="S1612" s="19" t="str">
        <x:v>https://nlftp.mlit.go.jp/ksj/gml/datalist/KsjTmplt-S12-2024.html</x:v>
      </x:c>
      <x:c r="T1612" s="19" t="str">
        <x:v>https://nlftp.mlit.go.jp/ksj/gml/datalist/KsjTmplt-S12-2024.html</x:v>
      </x:c>
      <x:c r="U1612" s="19" t="str">
        <x:v>station-component|王子神谷|東京地下鉄|metro|35.7651|139.7357|</x:v>
      </x:c>
      <x:c r="V1612" s="19" t="str">
        <x:v>003207 / 003207 / 7号線南北線</x:v>
      </x:c>
      <x:c r="W1612" s="18" t="str">
        <x:v>否</x:v>
      </x:c>
      <x:c r="X1612" s="18" t="str">
        <x:v>0785e932a32b3ec15e1a1345537ae145eafe1c07bf38d5c16c11ee2b391e7a28</x:v>
      </x:c>
      <x:c r="Y1612" s="20" t="n">
        <x:v>1</x:v>
      </x:c>
      <x:c r="Z1612" s="20" t="n">
        <x:v>1</x:v>
      </x:c>
      <x:c r="AA1612" s="19"/>
      <x:c r="AB1612" s="18"/>
      <x:c r="AC1612" s="19"/>
    </x:row>
    <x:row r="1613" ht="33" customHeight="1">
      <x:c r="A1613" s="18" t="str">
        <x:v>王子駅前</x:v>
      </x:c>
      <x:c r="B1613" s="18" t="str">
        <x:v>東京都</x:v>
      </x:c>
      <x:c r="C1613" s="18" t="str">
        <x:v>tram</x:v>
      </x:c>
      <x:c r="D1613" s="19" t="str">
        <x:v>T3</x:v>
      </x:c>
      <x:c r="E1613" s="20" t="n">
        <x:v>9239</x:v>
      </x:c>
      <x:c r="F1613" s="18" t="str">
        <x:v>persons/day</x:v>
      </x:c>
      <x:c r="G1613" s="18" t="str">
        <x:v>FY2024</x:v>
      </x:c>
      <x:c r="H1613" s="18" t="str">
        <x:v>否</x:v>
      </x:c>
      <x:c r="I1613" s="19" t="str">
        <x:v>DAILY_ENTRIES_EXITS</x:v>
      </x:c>
      <x:c r="J1613" s="19" t="str">
        <x:v>荒川線</x:v>
      </x:c>
      <x:c r="K1613" s="18" t="str">
        <x:v>transport-node:a5848bd4-900e-5d30-ab4e-aa2a49339b6d</x:v>
      </x:c>
      <x:c r="L1613" s="19" t="str">
        <x:v>组件待审核</x:v>
      </x:c>
      <x:c r="M1613" s="21" t="n">
        <x:v>35.75273</x:v>
      </x:c>
      <x:c r="N1613" s="21" t="n">
        <x:v>139.7382267</x:v>
      </x:c>
      <x:c r="O1613" s="18" t="str">
        <x:v>003239</x:v>
      </x:c>
      <x:c r="P1613" s="18" t="str">
        <x:v>荒川線</x:v>
      </x:c>
      <x:c r="Q1613" s="19" t="str">
        <x:v>OFFICIAL_HUB_COMPONENT_REVIEW</x:v>
      </x:c>
      <x:c r="R1613" s="19" t="str">
        <x:v>S12_061 usage threshold; low-flow inclusion justified by official Hub component review</x:v>
      </x:c>
      <x:c r="S1613" s="19" t="str">
        <x:v>https://nlftp.mlit.go.jp/ksj/gml/datalist/KsjTmplt-S12-2024.html</x:v>
      </x:c>
      <x:c r="T1613" s="19" t="str">
        <x:v>https://nlftp.mlit.go.jp/ksj/gml/datalist/KsjTmplt-S12-2024.html
https://www.tokyometro.jp/station/oji/index.html</x:v>
      </x:c>
      <x:c r="U1613" s="19" t="str">
        <x:v>station-component|王子駅前|東京都|tram|35.7527|139.7382|</x:v>
      </x:c>
      <x:c r="V1613" s="19" t="str">
        <x:v>003239 / 003239 / 荒川線</x:v>
      </x:c>
      <x:c r="W1613" s="18" t="str">
        <x:v>否</x:v>
      </x:c>
      <x:c r="X1613" s="18" t="str">
        <x:v>0785e932a32b3ec15e1a1345537ae145eafe1c07bf38d5c16c11ee2b391e7a28</x:v>
      </x:c>
      <x:c r="Y1613" s="20" t="n">
        <x:v>1</x:v>
      </x:c>
      <x:c r="Z1613" s="20" t="n">
        <x:v>1</x:v>
      </x:c>
      <x:c r="AA1613" s="19" t="str">
        <x:v>王子・王子駅前</x:v>
      </x:c>
      <x:c r="AB1613" s="18" t="str">
        <x:v>transport-hub-review:197999f8-b571-5bcd-9cf1-049bdfb871b9</x:v>
      </x:c>
      <x:c r="AC1613" s="19"/>
    </x:row>
    <x:row r="1614" ht="33" customHeight="1">
      <x:c r="A1614" s="18" t="str">
        <x:v>王寺</x:v>
      </x:c>
      <x:c r="B1614" s="18" t="str">
        <x:v>西日本旅客鉄道</x:v>
      </x:c>
      <x:c r="C1614" s="18" t="str">
        <x:v>conventional_rail</x:v>
      </x:c>
      <x:c r="D1614" s="19" t="str">
        <x:v>T2</x:v>
      </x:c>
      <x:c r="E1614" s="20" t="n">
        <x:v>43456</x:v>
      </x:c>
      <x:c r="F1614" s="18" t="str">
        <x:v>persons/day</x:v>
      </x:c>
      <x:c r="G1614" s="18" t="str">
        <x:v>FY2024</x:v>
      </x:c>
      <x:c r="H1614" s="18" t="str">
        <x:v>否</x:v>
      </x:c>
      <x:c r="I1614" s="19" t="str">
        <x:v>DAILY_ENTRIES_EXITS</x:v>
      </x:c>
      <x:c r="J1614" s="19" t="str">
        <x:v>和歌山線
関西線</x:v>
      </x:c>
      <x:c r="K1614" s="18" t="str">
        <x:v>transport-node:98bcfe89-f8cd-5386-81c9-c774a251572e</x:v>
      </x:c>
      <x:c r="L1614" s="19" t="str">
        <x:v>组件待审核</x:v>
      </x:c>
      <x:c r="M1614" s="21" t="n">
        <x:v>34.597465</x:v>
      </x:c>
      <x:c r="N1614" s="21" t="n">
        <x:v>135.703775</x:v>
      </x:c>
      <x:c r="O1614" s="18" t="str">
        <x:v>007616</x:v>
      </x:c>
      <x:c r="P1614" s="18" t="str">
        <x:v>関西線</x:v>
      </x:c>
      <x:c r="Q1614" s="19" t="str">
        <x:v>S12_061_GE_10000</x:v>
      </x:c>
      <x:c r="R1614" s="19" t="str">
        <x:v>S12_061 usage threshold</x:v>
      </x:c>
      <x:c r="S1614" s="19" t="str">
        <x:v>https://nlftp.mlit.go.jp/ksj/gml/datalist/KsjTmplt-S12-2024.html</x:v>
      </x:c>
      <x:c r="T1614" s="19" t="str">
        <x:v>https://nlftp.mlit.go.jp/ksj/gml/datalist/KsjTmplt-S12-2024.html</x:v>
      </x:c>
      <x:c r="U1614" s="19" t="str">
        <x:v>station-component|王寺|西日本旅客鉄道|conventional_rail|34.5975|135.7038|</x:v>
      </x:c>
      <x:c r="V1614" s="19" t="str">
        <x:v>007616 / 007616 / 関西線
007616 / 007617 / 和歌山線</x:v>
      </x:c>
      <x:c r="W1614" s="18" t="str">
        <x:v>否</x:v>
      </x:c>
      <x:c r="X1614" s="18" t="str">
        <x:v>0785e932a32b3ec15e1a1345537ae145eafe1c07bf38d5c16c11ee2b391e7a28</x:v>
      </x:c>
      <x:c r="Y1614" s="20" t="n">
        <x:v>1</x:v>
      </x:c>
      <x:c r="Z1614" s="20" t="n">
        <x:v>1</x:v>
      </x:c>
      <x:c r="AA1614" s="19"/>
      <x:c r="AB1614" s="18"/>
      <x:c r="AC1614" s="19"/>
    </x:row>
    <x:row r="1615" ht="28" customHeight="1">
      <x:c r="A1615" s="18" t="str">
        <x:v>琴似</x:v>
      </x:c>
      <x:c r="B1615" s="18" t="str">
        <x:v>北海道旅客鉄道</x:v>
      </x:c>
      <x:c r="C1615" s="18" t="str">
        <x:v>conventional_rail</x:v>
      </x:c>
      <x:c r="D1615" s="19" t="str">
        <x:v>T2</x:v>
      </x:c>
      <x:c r="E1615" s="20" t="n">
        <x:v>19924</x:v>
      </x:c>
      <x:c r="F1615" s="18" t="str">
        <x:v>persons/day</x:v>
      </x:c>
      <x:c r="G1615" s="18" t="str">
        <x:v>FY2024</x:v>
      </x:c>
      <x:c r="H1615" s="18" t="str">
        <x:v>否</x:v>
      </x:c>
      <x:c r="I1615" s="19" t="str">
        <x:v>DAILY_ENTRIES_EXITS</x:v>
      </x:c>
      <x:c r="J1615" s="19" t="str">
        <x:v>函館線</x:v>
      </x:c>
      <x:c r="K1615" s="18" t="str">
        <x:v>transport-node:f3c9ea2d-016b-51e8-a457-06620ad9e385</x:v>
      </x:c>
      <x:c r="L1615" s="19" t="str">
        <x:v>组件待审核</x:v>
      </x:c>
      <x:c r="M1615" s="21" t="n">
        <x:v>43.08151</x:v>
      </x:c>
      <x:c r="N1615" s="21" t="n">
        <x:v>141.307395</x:v>
      </x:c>
      <x:c r="O1615" s="18" t="str">
        <x:v>000217</x:v>
      </x:c>
      <x:c r="P1615" s="18" t="str">
        <x:v>函館線</x:v>
      </x:c>
      <x:c r="Q1615" s="19" t="str">
        <x:v>S12_061_GE_10000</x:v>
      </x:c>
      <x:c r="R1615" s="19" t="str">
        <x:v>S12_061 usage threshold</x:v>
      </x:c>
      <x:c r="S1615" s="19" t="str">
        <x:v>https://nlftp.mlit.go.jp/ksj/gml/datalist/KsjTmplt-S12-2024.html</x:v>
      </x:c>
      <x:c r="T1615" s="19" t="str">
        <x:v>https://nlftp.mlit.go.jp/ksj/gml/datalist/KsjTmplt-S12-2024.html</x:v>
      </x:c>
      <x:c r="U1615" s="19" t="str">
        <x:v>station-component|琴似|北海道旅客鉄道|conventional_rail|43.0815|141.3074|</x:v>
      </x:c>
      <x:c r="V1615" s="19" t="str">
        <x:v>000217 / 000217 / 函館線</x:v>
      </x:c>
      <x:c r="W1615" s="18" t="str">
        <x:v>否</x:v>
      </x:c>
      <x:c r="X1615" s="18" t="str">
        <x:v>0785e932a32b3ec15e1a1345537ae145eafe1c07bf38d5c16c11ee2b391e7a28</x:v>
      </x:c>
      <x:c r="Y1615" s="20" t="n">
        <x:v>1</x:v>
      </x:c>
      <x:c r="Z1615" s="20" t="n">
        <x:v>1</x:v>
      </x:c>
      <x:c r="AA1615" s="19"/>
      <x:c r="AB1615" s="18"/>
      <x:c r="AC1615" s="19"/>
    </x:row>
    <x:row r="1616" ht="28" customHeight="1">
      <x:c r="A1616" s="18" t="str">
        <x:v>琴似</x:v>
      </x:c>
      <x:c r="B1616" s="18" t="str">
        <x:v>札幌市</x:v>
      </x:c>
      <x:c r="C1616" s="18" t="str">
        <x:v>metro</x:v>
      </x:c>
      <x:c r="D1616" s="19" t="str">
        <x:v>T2</x:v>
      </x:c>
      <x:c r="E1616" s="20" t="n">
        <x:v>30460</x:v>
      </x:c>
      <x:c r="F1616" s="18" t="str">
        <x:v>persons/day</x:v>
      </x:c>
      <x:c r="G1616" s="18" t="str">
        <x:v>FY2024</x:v>
      </x:c>
      <x:c r="H1616" s="18" t="str">
        <x:v>否</x:v>
      </x:c>
      <x:c r="I1616" s="19" t="str">
        <x:v>DAILY_ENTRIES_EXITS</x:v>
      </x:c>
      <x:c r="J1616" s="19" t="str">
        <x:v>東西線</x:v>
      </x:c>
      <x:c r="K1616" s="18" t="str">
        <x:v>transport-node:dbb0bd24-33ce-5a44-bbbe-eabce739b3a4</x:v>
      </x:c>
      <x:c r="L1616" s="19" t="str">
        <x:v>组件待审核</x:v>
      </x:c>
      <x:c r="M1616" s="21" t="n">
        <x:v>43.075445</x:v>
      </x:c>
      <x:c r="N1616" s="21" t="n">
        <x:v>141.304445</x:v>
      </x:c>
      <x:c r="O1616" s="18" t="str">
        <x:v>000220</x:v>
      </x:c>
      <x:c r="P1616" s="18" t="str">
        <x:v>東西線</x:v>
      </x:c>
      <x:c r="Q1616" s="19" t="str">
        <x:v>S12_061_GE_10000</x:v>
      </x:c>
      <x:c r="R1616" s="19" t="str">
        <x:v>S12_061 usage threshold</x:v>
      </x:c>
      <x:c r="S1616" s="19" t="str">
        <x:v>https://nlftp.mlit.go.jp/ksj/gml/datalist/KsjTmplt-S12-2024.html</x:v>
      </x:c>
      <x:c r="T1616" s="19" t="str">
        <x:v>https://nlftp.mlit.go.jp/ksj/gml/datalist/KsjTmplt-S12-2024.html</x:v>
      </x:c>
      <x:c r="U1616" s="19" t="str">
        <x:v>station-component|琴似|札幌市|metro|43.0754|141.3044|</x:v>
      </x:c>
      <x:c r="V1616" s="19" t="str">
        <x:v>000220 / 000220 / 東西線</x:v>
      </x:c>
      <x:c r="W1616" s="18" t="str">
        <x:v>否</x:v>
      </x:c>
      <x:c r="X1616" s="18" t="str">
        <x:v>0785e932a32b3ec15e1a1345537ae145eafe1c07bf38d5c16c11ee2b391e7a28</x:v>
      </x:c>
      <x:c r="Y1616" s="20" t="n">
        <x:v>1</x:v>
      </x:c>
      <x:c r="Z1616" s="20" t="n">
        <x:v>1</x:v>
      </x:c>
      <x:c r="AA1616" s="19"/>
      <x:c r="AB1616" s="18"/>
      <x:c r="AC1616" s="19"/>
    </x:row>
    <x:row r="1617" ht="28" customHeight="1">
      <x:c r="A1617" s="18" t="str">
        <x:v>瑞江</x:v>
      </x:c>
      <x:c r="B1617" s="18" t="str">
        <x:v>東京都</x:v>
      </x:c>
      <x:c r="C1617" s="18" t="str">
        <x:v>metro</x:v>
      </x:c>
      <x:c r="D1617" s="19" t="str">
        <x:v>T1</x:v>
      </x:c>
      <x:c r="E1617" s="20" t="n">
        <x:v>55028</x:v>
      </x:c>
      <x:c r="F1617" s="18" t="str">
        <x:v>persons/day</x:v>
      </x:c>
      <x:c r="G1617" s="18" t="str">
        <x:v>FY2024</x:v>
      </x:c>
      <x:c r="H1617" s="18" t="str">
        <x:v>否</x:v>
      </x:c>
      <x:c r="I1617" s="19" t="str">
        <x:v>DAILY_ENTRIES_EXITS</x:v>
      </x:c>
      <x:c r="J1617" s="19" t="str">
        <x:v>10号線新宿線</x:v>
      </x:c>
      <x:c r="K1617" s="18" t="str">
        <x:v>transport-node:ebae635a-e8a8-514b-b88e-de1cbc883125</x:v>
      </x:c>
      <x:c r="L1617" s="19" t="str">
        <x:v>组件待审核</x:v>
      </x:c>
      <x:c r="M1617" s="21" t="n">
        <x:v>35.69339</x:v>
      </x:c>
      <x:c r="N1617" s="21" t="n">
        <x:v>139.89781</x:v>
      </x:c>
      <x:c r="O1617" s="18" t="str">
        <x:v>003667</x:v>
      </x:c>
      <x:c r="P1617" s="18" t="str">
        <x:v>10号線新宿線</x:v>
      </x:c>
      <x:c r="Q1617" s="19" t="str">
        <x:v>S12_061_GE_10000</x:v>
      </x:c>
      <x:c r="R1617" s="19" t="str">
        <x:v>S12_061 usage threshold</x:v>
      </x:c>
      <x:c r="S1617" s="19" t="str">
        <x:v>https://nlftp.mlit.go.jp/ksj/gml/datalist/KsjTmplt-S12-2024.html</x:v>
      </x:c>
      <x:c r="T1617" s="19" t="str">
        <x:v>https://nlftp.mlit.go.jp/ksj/gml/datalist/KsjTmplt-S12-2024.html</x:v>
      </x:c>
      <x:c r="U1617" s="19" t="str">
        <x:v>station-component|瑞江|東京都|metro|35.6934|139.8978|</x:v>
      </x:c>
      <x:c r="V1617" s="19" t="str">
        <x:v>003667 / 003667 / 10号線新宿線</x:v>
      </x:c>
      <x:c r="W1617" s="18" t="str">
        <x:v>否</x:v>
      </x:c>
      <x:c r="X1617" s="18" t="str">
        <x:v>0785e932a32b3ec15e1a1345537ae145eafe1c07bf38d5c16c11ee2b391e7a28</x:v>
      </x:c>
      <x:c r="Y1617" s="20" t="n">
        <x:v>1</x:v>
      </x:c>
      <x:c r="Z1617" s="20" t="n">
        <x:v>1</x:v>
      </x:c>
      <x:c r="AA1617" s="19"/>
      <x:c r="AB1617" s="18"/>
      <x:c r="AC1617" s="19"/>
    </x:row>
    <x:row r="1618" ht="28" customHeight="1">
      <x:c r="A1618" s="18" t="str">
        <x:v>瑞穂区役所</x:v>
      </x:c>
      <x:c r="B1618" s="18" t="str">
        <x:v>名古屋市</x:v>
      </x:c>
      <x:c r="C1618" s="18" t="str">
        <x:v>metro</x:v>
      </x:c>
      <x:c r="D1618" s="19" t="str">
        <x:v>T2</x:v>
      </x:c>
      <x:c r="E1618" s="20" t="n">
        <x:v>14552</x:v>
      </x:c>
      <x:c r="F1618" s="18" t="str">
        <x:v>persons/day</x:v>
      </x:c>
      <x:c r="G1618" s="18" t="str">
        <x:v>FY2024</x:v>
      </x:c>
      <x:c r="H1618" s="18" t="str">
        <x:v>否</x:v>
      </x:c>
      <x:c r="I1618" s="19" t="str">
        <x:v>DAILY_ENTRIES_EXITS</x:v>
      </x:c>
      <x:c r="J1618" s="19" t="str">
        <x:v>6号線桜通線</x:v>
      </x:c>
      <x:c r="K1618" s="18" t="str">
        <x:v>transport-node:4a4b9392-1ce1-509c-91de-33c362d8a940</x:v>
      </x:c>
      <x:c r="L1618" s="19" t="str">
        <x:v>组件待审核</x:v>
      </x:c>
      <x:c r="M1618" s="21" t="n">
        <x:v>35.13203</x:v>
      </x:c>
      <x:c r="N1618" s="21" t="n">
        <x:v>136.93439</x:v>
      </x:c>
      <x:c r="O1618" s="18" t="str">
        <x:v>005583</x:v>
      </x:c>
      <x:c r="P1618" s="18" t="str">
        <x:v>6号線桜通線</x:v>
      </x:c>
      <x:c r="Q1618" s="19" t="str">
        <x:v>S12_061_GE_10000</x:v>
      </x:c>
      <x:c r="R1618" s="19" t="str">
        <x:v>S12_061 usage threshold</x:v>
      </x:c>
      <x:c r="S1618" s="19" t="str">
        <x:v>https://nlftp.mlit.go.jp/ksj/gml/datalist/KsjTmplt-S12-2024.html</x:v>
      </x:c>
      <x:c r="T1618" s="19" t="str">
        <x:v>https://nlftp.mlit.go.jp/ksj/gml/datalist/KsjTmplt-S12-2024.html</x:v>
      </x:c>
      <x:c r="U1618" s="19" t="str">
        <x:v>station-component|瑞穂区役所|名古屋市|metro|35.1320|136.9344|</x:v>
      </x:c>
      <x:c r="V1618" s="19" t="str">
        <x:v>005583 / 005583 / 6号線桜通線</x:v>
      </x:c>
      <x:c r="W1618" s="18" t="str">
        <x:v>否</x:v>
      </x:c>
      <x:c r="X1618" s="18" t="str">
        <x:v>0785e932a32b3ec15e1a1345537ae145eafe1c07bf38d5c16c11ee2b391e7a28</x:v>
      </x:c>
      <x:c r="Y1618" s="20" t="n">
        <x:v>1</x:v>
      </x:c>
      <x:c r="Z1618" s="20" t="n">
        <x:v>1</x:v>
      </x:c>
      <x:c r="AA1618" s="19"/>
      <x:c r="AB1618" s="18"/>
      <x:c r="AC1618" s="19"/>
    </x:row>
    <x:row r="1619" ht="28" customHeight="1">
      <x:c r="A1619" s="18" t="str">
        <x:v>環状通東</x:v>
      </x:c>
      <x:c r="B1619" s="18" t="str">
        <x:v>札幌市</x:v>
      </x:c>
      <x:c r="C1619" s="18" t="str">
        <x:v>metro</x:v>
      </x:c>
      <x:c r="D1619" s="19" t="str">
        <x:v>T2</x:v>
      </x:c>
      <x:c r="E1619" s="20" t="n">
        <x:v>17560</x:v>
      </x:c>
      <x:c r="F1619" s="18" t="str">
        <x:v>persons/day</x:v>
      </x:c>
      <x:c r="G1619" s="18" t="str">
        <x:v>FY2024</x:v>
      </x:c>
      <x:c r="H1619" s="18" t="str">
        <x:v>否</x:v>
      </x:c>
      <x:c r="I1619" s="19" t="str">
        <x:v>DAILY_ENTRIES_EXITS</x:v>
      </x:c>
      <x:c r="J1619" s="19" t="str">
        <x:v>東豊線</x:v>
      </x:c>
      <x:c r="K1619" s="18" t="str">
        <x:v>transport-node:61e615a4-d690-5abe-be56-70d9f9242329</x:v>
      </x:c>
      <x:c r="L1619" s="19" t="str">
        <x:v>组件待审核</x:v>
      </x:c>
      <x:c r="M1619" s="21" t="n">
        <x:v>43.08238</x:v>
      </x:c>
      <x:c r="N1619" s="21" t="n">
        <x:v>141.374425</x:v>
      </x:c>
      <x:c r="O1619" s="18" t="str">
        <x:v>000212</x:v>
      </x:c>
      <x:c r="P1619" s="18" t="str">
        <x:v>東豊線</x:v>
      </x:c>
      <x:c r="Q1619" s="19" t="str">
        <x:v>S12_061_GE_10000</x:v>
      </x:c>
      <x:c r="R1619" s="19" t="str">
        <x:v>S12_061 usage threshold</x:v>
      </x:c>
      <x:c r="S1619" s="19" t="str">
        <x:v>https://nlftp.mlit.go.jp/ksj/gml/datalist/KsjTmplt-S12-2024.html</x:v>
      </x:c>
      <x:c r="T1619" s="19" t="str">
        <x:v>https://nlftp.mlit.go.jp/ksj/gml/datalist/KsjTmplt-S12-2024.html</x:v>
      </x:c>
      <x:c r="U1619" s="19" t="str">
        <x:v>station-component|環状通東|札幌市|metro|43.0824|141.3744|</x:v>
      </x:c>
      <x:c r="V1619" s="19" t="str">
        <x:v>000212 / 000212 / 東豊線</x:v>
      </x:c>
      <x:c r="W1619" s="18" t="str">
        <x:v>否</x:v>
      </x:c>
      <x:c r="X1619" s="18" t="str">
        <x:v>0785e932a32b3ec15e1a1345537ae145eafe1c07bf38d5c16c11ee2b391e7a28</x:v>
      </x:c>
      <x:c r="Y1619" s="20" t="n">
        <x:v>1</x:v>
      </x:c>
      <x:c r="Z1619" s="20" t="n">
        <x:v>1</x:v>
      </x:c>
      <x:c r="AA1619" s="19"/>
      <x:c r="AB1619" s="18"/>
      <x:c r="AC1619" s="19"/>
    </x:row>
    <x:row r="1620" ht="28" customHeight="1">
      <x:c r="A1620" s="18" t="str">
        <x:v>瓢箪山</x:v>
      </x:c>
      <x:c r="B1620" s="18" t="str">
        <x:v>近畿日本鉄道</x:v>
      </x:c>
      <x:c r="C1620" s="18" t="str">
        <x:v>private_rail</x:v>
      </x:c>
      <x:c r="D1620" s="19" t="str">
        <x:v>T2</x:v>
      </x:c>
      <x:c r="E1620" s="20" t="n">
        <x:v>19071</x:v>
      </x:c>
      <x:c r="F1620" s="18" t="str">
        <x:v>persons/day</x:v>
      </x:c>
      <x:c r="G1620" s="18" t="str">
        <x:v>FY2024</x:v>
      </x:c>
      <x:c r="H1620" s="18" t="str">
        <x:v>否</x:v>
      </x:c>
      <x:c r="I1620" s="19" t="str">
        <x:v>DAILY_ENTRIES_EXITS</x:v>
      </x:c>
      <x:c r="J1620" s="19" t="str">
        <x:v>奈良線</x:v>
      </x:c>
      <x:c r="K1620" s="18" t="str">
        <x:v>transport-node:2f08aadd-fcaa-5eb9-8ed5-6c0efc22e5d5</x:v>
      </x:c>
      <x:c r="L1620" s="19" t="str">
        <x:v>组件待审核</x:v>
      </x:c>
      <x:c r="M1620" s="21" t="n">
        <x:v>34.6620075</x:v>
      </x:c>
      <x:c r="N1620" s="21" t="n">
        <x:v>135.638975</x:v>
      </x:c>
      <x:c r="O1620" s="18" t="str">
        <x:v>007365</x:v>
      </x:c>
      <x:c r="P1620" s="18" t="str">
        <x:v>奈良線</x:v>
      </x:c>
      <x:c r="Q1620" s="19" t="str">
        <x:v>S12_061_GE_10000</x:v>
      </x:c>
      <x:c r="R1620" s="19" t="str">
        <x:v>S12_061 usage threshold</x:v>
      </x:c>
      <x:c r="S1620" s="19" t="str">
        <x:v>https://nlftp.mlit.go.jp/ksj/gml/datalist/KsjTmplt-S12-2024.html</x:v>
      </x:c>
      <x:c r="T1620" s="19" t="str">
        <x:v>https://nlftp.mlit.go.jp/ksj/gml/datalist/KsjTmplt-S12-2024.html</x:v>
      </x:c>
      <x:c r="U1620" s="19" t="str">
        <x:v>station-component|瓢箪山|近畿日本鉄道|private_rail|34.6620|135.6390|</x:v>
      </x:c>
      <x:c r="V1620" s="19" t="str">
        <x:v>007365 / 007365 / 奈良線</x:v>
      </x:c>
      <x:c r="W1620" s="18" t="str">
        <x:v>否</x:v>
      </x:c>
      <x:c r="X1620" s="18" t="str">
        <x:v>0785e932a32b3ec15e1a1345537ae145eafe1c07bf38d5c16c11ee2b391e7a28</x:v>
      </x:c>
      <x:c r="Y1620" s="20" t="n">
        <x:v>1</x:v>
      </x:c>
      <x:c r="Z1620" s="20" t="n">
        <x:v>1</x:v>
      </x:c>
      <x:c r="AA1620" s="19"/>
      <x:c r="AB1620" s="18"/>
      <x:c r="AC1620" s="19"/>
    </x:row>
    <x:row r="1621" ht="47" customHeight="1">
      <x:c r="A1621" s="18" t="str">
        <x:v>瓦町</x:v>
      </x:c>
      <x:c r="B1621" s="18" t="str">
        <x:v>高松琴平電気鉄道</x:v>
      </x:c>
      <x:c r="C1621" s="18" t="str">
        <x:v>private_rail</x:v>
      </x:c>
      <x:c r="D1621" s="19" t="str">
        <x:v>T2</x:v>
      </x:c>
      <x:c r="E1621" s="20" t="n">
        <x:v>15088</x:v>
      </x:c>
      <x:c r="F1621" s="18" t="str">
        <x:v>persons/day</x:v>
      </x:c>
      <x:c r="G1621" s="18" t="str">
        <x:v>FY2024</x:v>
      </x:c>
      <x:c r="H1621" s="18" t="str">
        <x:v>否</x:v>
      </x:c>
      <x:c r="I1621" s="19" t="str">
        <x:v>DAILY_ENTRIES_EXITS</x:v>
      </x:c>
      <x:c r="J1621" s="19" t="str">
        <x:v>志度線
琴平線
長尾線</x:v>
      </x:c>
      <x:c r="K1621" s="18" t="str">
        <x:v>transport-node:ce9e4e15-fff6-5e1e-a07c-7f48583a9e07</x:v>
      </x:c>
      <x:c r="L1621" s="19" t="str">
        <x:v>组件待审核</x:v>
      </x:c>
      <x:c r="M1621" s="21" t="n">
        <x:v>34.33882</x:v>
      </x:c>
      <x:c r="N1621" s="21" t="n">
        <x:v>134.05258</x:v>
      </x:c>
      <x:c r="O1621" s="18" t="str">
        <x:v>008191</x:v>
      </x:c>
      <x:c r="P1621" s="18" t="str">
        <x:v>琴平線</x:v>
      </x:c>
      <x:c r="Q1621" s="19" t="str">
        <x:v>S12_061_GE_10000</x:v>
      </x:c>
      <x:c r="R1621" s="19" t="str">
        <x:v>S12_061 usage threshold</x:v>
      </x:c>
      <x:c r="S1621" s="19" t="str">
        <x:v>https://nlftp.mlit.go.jp/ksj/gml/datalist/KsjTmplt-S12-2024.html</x:v>
      </x:c>
      <x:c r="T1621" s="19" t="str">
        <x:v>https://nlftp.mlit.go.jp/ksj/gml/datalist/KsjTmplt-S12-2024.html</x:v>
      </x:c>
      <x:c r="U1621" s="19" t="str">
        <x:v>station-component|瓦町|高松琴平電気鉄道|private_rail|34.3388|134.0526|</x:v>
      </x:c>
      <x:c r="V1621" s="19" t="str">
        <x:v>008191 / 008187 / 志度線
008191 / 008191 / 琴平線
008191 / 008192 / 長尾線</x:v>
      </x:c>
      <x:c r="W1621" s="18" t="str">
        <x:v>否</x:v>
      </x:c>
      <x:c r="X1621" s="18" t="str">
        <x:v>0785e932a32b3ec15e1a1345537ae145eafe1c07bf38d5c16c11ee2b391e7a28</x:v>
      </x:c>
      <x:c r="Y1621" s="20" t="n">
        <x:v>1</x:v>
      </x:c>
      <x:c r="Z1621" s="20" t="n">
        <x:v>1</x:v>
      </x:c>
      <x:c r="AA1621" s="19"/>
      <x:c r="AB1621" s="18"/>
      <x:c r="AC1621" s="19"/>
    </x:row>
    <x:row r="1622" ht="28" customHeight="1">
      <x:c r="A1622" s="18" t="str">
        <x:v>甚目寺</x:v>
      </x:c>
      <x:c r="B1622" s="18" t="str">
        <x:v>名古屋鉄道</x:v>
      </x:c>
      <x:c r="C1622" s="18" t="str">
        <x:v>private_rail</x:v>
      </x:c>
      <x:c r="D1622" s="19" t="str">
        <x:v>T2</x:v>
      </x:c>
      <x:c r="E1622" s="20" t="n">
        <x:v>10268</x:v>
      </x:c>
      <x:c r="F1622" s="18" t="str">
        <x:v>persons/day</x:v>
      </x:c>
      <x:c r="G1622" s="18" t="str">
        <x:v>FY2024</x:v>
      </x:c>
      <x:c r="H1622" s="18" t="str">
        <x:v>否</x:v>
      </x:c>
      <x:c r="I1622" s="19" t="str">
        <x:v>DAILY_ENTRIES_EXITS</x:v>
      </x:c>
      <x:c r="J1622" s="19" t="str">
        <x:v>津島線</x:v>
      </x:c>
      <x:c r="K1622" s="18" t="str">
        <x:v>transport-node:41a9ff1d-6841-51c8-93cf-88499da32af9</x:v>
      </x:c>
      <x:c r="L1622" s="19" t="str">
        <x:v>组件待审核</x:v>
      </x:c>
      <x:c r="M1622" s="21" t="n">
        <x:v>35.195955</x:v>
      </x:c>
      <x:c r="N1622" s="21" t="n">
        <x:v>136.825855</x:v>
      </x:c>
      <x:c r="O1622" s="18" t="str">
        <x:v>005368</x:v>
      </x:c>
      <x:c r="P1622" s="18" t="str">
        <x:v>津島線</x:v>
      </x:c>
      <x:c r="Q1622" s="19" t="str">
        <x:v>S12_061_GE_10000</x:v>
      </x:c>
      <x:c r="R1622" s="19" t="str">
        <x:v>S12_061 usage threshold</x:v>
      </x:c>
      <x:c r="S1622" s="19" t="str">
        <x:v>https://nlftp.mlit.go.jp/ksj/gml/datalist/KsjTmplt-S12-2024.html</x:v>
      </x:c>
      <x:c r="T1622" s="19" t="str">
        <x:v>https://nlftp.mlit.go.jp/ksj/gml/datalist/KsjTmplt-S12-2024.html</x:v>
      </x:c>
      <x:c r="U1622" s="19" t="str">
        <x:v>station-component|甚目寺|名古屋鉄道|private_rail|35.1960|136.8259|</x:v>
      </x:c>
      <x:c r="V1622" s="19" t="str">
        <x:v>005368 / 005368 / 津島線</x:v>
      </x:c>
      <x:c r="W1622" s="18" t="str">
        <x:v>否</x:v>
      </x:c>
      <x:c r="X1622" s="18" t="str">
        <x:v>0785e932a32b3ec15e1a1345537ae145eafe1c07bf38d5c16c11ee2b391e7a28</x:v>
      </x:c>
      <x:c r="Y1622" s="20" t="n">
        <x:v>1</x:v>
      </x:c>
      <x:c r="Z1622" s="20" t="n">
        <x:v>1</x:v>
      </x:c>
      <x:c r="AA1622" s="19"/>
      <x:c r="AB1622" s="18"/>
      <x:c r="AC1622" s="19"/>
    </x:row>
    <x:row r="1623" ht="28" customHeight="1">
      <x:c r="A1623" s="18" t="str">
        <x:v>生田</x:v>
      </x:c>
      <x:c r="B1623" s="18" t="str">
        <x:v>小田急電鉄</x:v>
      </x:c>
      <x:c r="C1623" s="18" t="str">
        <x:v>private_rail</x:v>
      </x:c>
      <x:c r="D1623" s="19" t="str">
        <x:v>T2</x:v>
      </x:c>
      <x:c r="E1623" s="20" t="n">
        <x:v>44658</x:v>
      </x:c>
      <x:c r="F1623" s="18" t="str">
        <x:v>persons/day</x:v>
      </x:c>
      <x:c r="G1623" s="18" t="str">
        <x:v>FY2024</x:v>
      </x:c>
      <x:c r="H1623" s="18" t="str">
        <x:v>否</x:v>
      </x:c>
      <x:c r="I1623" s="19" t="str">
        <x:v>DAILY_ENTRIES_EXITS</x:v>
      </x:c>
      <x:c r="J1623" s="19" t="str">
        <x:v>小田原線</x:v>
      </x:c>
      <x:c r="K1623" s="18" t="str">
        <x:v>transport-node:b8b6b284-93e9-5cb9-be38-cd23c37b729c</x:v>
      </x:c>
      <x:c r="L1623" s="19" t="str">
        <x:v>组件待审核</x:v>
      </x:c>
      <x:c r="M1623" s="21" t="n">
        <x:v>35.61494</x:v>
      </x:c>
      <x:c r="N1623" s="21" t="n">
        <x:v>139.5418</x:v>
      </x:c>
      <x:c r="O1623" s="18" t="str">
        <x:v>004159</x:v>
      </x:c>
      <x:c r="P1623" s="18" t="str">
        <x:v>小田原線</x:v>
      </x:c>
      <x:c r="Q1623" s="19" t="str">
        <x:v>S12_061_GE_10000</x:v>
      </x:c>
      <x:c r="R1623" s="19" t="str">
        <x:v>S12_061 usage threshold</x:v>
      </x:c>
      <x:c r="S1623" s="19" t="str">
        <x:v>https://nlftp.mlit.go.jp/ksj/gml/datalist/KsjTmplt-S12-2024.html</x:v>
      </x:c>
      <x:c r="T1623" s="19" t="str">
        <x:v>https://nlftp.mlit.go.jp/ksj/gml/datalist/KsjTmplt-S12-2024.html</x:v>
      </x:c>
      <x:c r="U1623" s="19" t="str">
        <x:v>station-component|生田|小田急電鉄|private_rail|35.6149|139.5418|</x:v>
      </x:c>
      <x:c r="V1623" s="19" t="str">
        <x:v>004159 / 004159 / 小田原線</x:v>
      </x:c>
      <x:c r="W1623" s="18" t="str">
        <x:v>否</x:v>
      </x:c>
      <x:c r="X1623" s="18" t="str">
        <x:v>0785e932a32b3ec15e1a1345537ae145eafe1c07bf38d5c16c11ee2b391e7a28</x:v>
      </x:c>
      <x:c r="Y1623" s="20" t="n">
        <x:v>1</x:v>
      </x:c>
      <x:c r="Z1623" s="20" t="n">
        <x:v>1</x:v>
      </x:c>
      <x:c r="AA1623" s="19"/>
      <x:c r="AB1623" s="18"/>
      <x:c r="AC1623" s="19"/>
    </x:row>
    <x:row r="1624" ht="47" customHeight="1">
      <x:c r="A1624" s="18" t="str">
        <x:v>生駒</x:v>
      </x:c>
      <x:c r="B1624" s="18" t="str">
        <x:v>近畿日本鉄道</x:v>
      </x:c>
      <x:c r="C1624" s="18" t="str">
        <x:v>private_rail</x:v>
      </x:c>
      <x:c r="D1624" s="19" t="str">
        <x:v>T2</x:v>
      </x:c>
      <x:c r="E1624" s="20" t="n">
        <x:v>42694</x:v>
      </x:c>
      <x:c r="F1624" s="18" t="str">
        <x:v>persons/day</x:v>
      </x:c>
      <x:c r="G1624" s="18" t="str">
        <x:v>FY2024</x:v>
      </x:c>
      <x:c r="H1624" s="18" t="str">
        <x:v>否</x:v>
      </x:c>
      <x:c r="I1624" s="19" t="str">
        <x:v>DAILY_ENTRIES_EXITS</x:v>
      </x:c>
      <x:c r="J1624" s="19" t="str">
        <x:v>けいはんな線
奈良線
生駒線</x:v>
      </x:c>
      <x:c r="K1624" s="18" t="str">
        <x:v>transport-node:64bcac11-a4ac-5769-b1fd-1150a93184c1</x:v>
      </x:c>
      <x:c r="L1624" s="19" t="str">
        <x:v>组件待审核</x:v>
      </x:c>
      <x:c r="M1624" s="21" t="n">
        <x:v>34.6931</x:v>
      </x:c>
      <x:c r="N1624" s="21" t="n">
        <x:v>135.698055</x:v>
      </x:c>
      <x:c r="O1624" s="18" t="str">
        <x:v>007123</x:v>
      </x:c>
      <x:c r="P1624" s="18" t="str">
        <x:v>奈良線</x:v>
      </x:c>
      <x:c r="Q1624" s="19" t="str">
        <x:v>S12_061_GE_10000</x:v>
      </x:c>
      <x:c r="R1624" s="19" t="str">
        <x:v>S12_061 usage threshold</x:v>
      </x:c>
      <x:c r="S1624" s="19" t="str">
        <x:v>https://nlftp.mlit.go.jp/ksj/gml/datalist/KsjTmplt-S12-2024.html</x:v>
      </x:c>
      <x:c r="T1624" s="19" t="str">
        <x:v>https://nlftp.mlit.go.jp/ksj/gml/datalist/KsjTmplt-S12-2024.html</x:v>
      </x:c>
      <x:c r="U1624" s="19" t="str">
        <x:v>station-component|生駒|近畿日本鉄道|private_rail|34.6931|135.6981|</x:v>
      </x:c>
      <x:c r="V1624" s="19" t="str">
        <x:v>007122 / 007122 / けいはんな線
007122 / 007123 / 奈良線
007122 / 007124 / 生駒線</x:v>
      </x:c>
      <x:c r="W1624" s="18" t="str">
        <x:v>否</x:v>
      </x:c>
      <x:c r="X1624" s="18" t="str">
        <x:v>0785e932a32b3ec15e1a1345537ae145eafe1c07bf38d5c16c11ee2b391e7a28</x:v>
      </x:c>
      <x:c r="Y1624" s="20" t="n">
        <x:v>1</x:v>
      </x:c>
      <x:c r="Z1624" s="20" t="n">
        <x:v>1</x:v>
      </x:c>
      <x:c r="AA1624" s="19"/>
      <x:c r="AB1624" s="18"/>
      <x:c r="AC1624" s="19"/>
    </x:row>
    <x:row r="1625" ht="28" customHeight="1">
      <x:c r="A1625" s="18" t="str">
        <x:v>生麦</x:v>
      </x:c>
      <x:c r="B1625" s="18" t="str">
        <x:v>京浜急行電鉄</x:v>
      </x:c>
      <x:c r="C1625" s="18" t="str">
        <x:v>private_rail</x:v>
      </x:c>
      <x:c r="D1625" s="19" t="str">
        <x:v>T2</x:v>
      </x:c>
      <x:c r="E1625" s="20" t="n">
        <x:v>28687</x:v>
      </x:c>
      <x:c r="F1625" s="18" t="str">
        <x:v>persons/day</x:v>
      </x:c>
      <x:c r="G1625" s="18" t="str">
        <x:v>FY2024</x:v>
      </x:c>
      <x:c r="H1625" s="18" t="str">
        <x:v>否</x:v>
      </x:c>
      <x:c r="I1625" s="19" t="str">
        <x:v>DAILY_ENTRIES_EXITS</x:v>
      </x:c>
      <x:c r="J1625" s="19" t="str">
        <x:v>本線</x:v>
      </x:c>
      <x:c r="K1625" s="18" t="str">
        <x:v>transport-node:d8523f7c-2233-5caa-997f-93c2fed6c033</x:v>
      </x:c>
      <x:c r="L1625" s="19" t="str">
        <x:v>组件待审核</x:v>
      </x:c>
      <x:c r="M1625" s="21" t="n">
        <x:v>35.4956</x:v>
      </x:c>
      <x:c r="N1625" s="21" t="n">
        <x:v>139.667335</x:v>
      </x:c>
      <x:c r="O1625" s="18" t="str">
        <x:v>004538</x:v>
      </x:c>
      <x:c r="P1625" s="18" t="str">
        <x:v>本線</x:v>
      </x:c>
      <x:c r="Q1625" s="19" t="str">
        <x:v>S12_061_GE_10000</x:v>
      </x:c>
      <x:c r="R1625" s="19" t="str">
        <x:v>S12_061 usage threshold</x:v>
      </x:c>
      <x:c r="S1625" s="19" t="str">
        <x:v>https://nlftp.mlit.go.jp/ksj/gml/datalist/KsjTmplt-S12-2024.html</x:v>
      </x:c>
      <x:c r="T1625" s="19" t="str">
        <x:v>https://nlftp.mlit.go.jp/ksj/gml/datalist/KsjTmplt-S12-2024.html</x:v>
      </x:c>
      <x:c r="U1625" s="19" t="str">
        <x:v>station-component|生麦|京浜急行電鉄|private_rail|35.4956|139.6673|</x:v>
      </x:c>
      <x:c r="V1625" s="19" t="str">
        <x:v>004538 / 004538 / 本線</x:v>
      </x:c>
      <x:c r="W1625" s="18" t="str">
        <x:v>否</x:v>
      </x:c>
      <x:c r="X1625" s="18" t="str">
        <x:v>0785e932a32b3ec15e1a1345537ae145eafe1c07bf38d5c16c11ee2b391e7a28</x:v>
      </x:c>
      <x:c r="Y1625" s="20" t="n">
        <x:v>1</x:v>
      </x:c>
      <x:c r="Z1625" s="20" t="n">
        <x:v>1</x:v>
      </x:c>
      <x:c r="AA1625" s="19"/>
      <x:c r="AB1625" s="18"/>
      <x:c r="AC1625" s="19"/>
    </x:row>
    <x:row r="1626" ht="28" customHeight="1">
      <x:c r="A1626" s="18" t="str">
        <x:v>用賀</x:v>
      </x:c>
      <x:c r="B1626" s="18" t="str">
        <x:v>東急電鉄</x:v>
      </x:c>
      <x:c r="C1626" s="18" t="str">
        <x:v>private_rail</x:v>
      </x:c>
      <x:c r="D1626" s="19" t="str">
        <x:v>T1</x:v>
      </x:c>
      <x:c r="E1626" s="20" t="n">
        <x:v>65061</x:v>
      </x:c>
      <x:c r="F1626" s="18" t="str">
        <x:v>persons/day</x:v>
      </x:c>
      <x:c r="G1626" s="18" t="str">
        <x:v>FY2024</x:v>
      </x:c>
      <x:c r="H1626" s="18" t="str">
        <x:v>否</x:v>
      </x:c>
      <x:c r="I1626" s="19" t="str">
        <x:v>DAILY_ENTRIES_EXITS</x:v>
      </x:c>
      <x:c r="J1626" s="19" t="str">
        <x:v>田園都市線</x:v>
      </x:c>
      <x:c r="K1626" s="18" t="str">
        <x:v>transport-node:edd70981-8408-5551-8ad9-884ddb414659</x:v>
      </x:c>
      <x:c r="L1626" s="19" t="str">
        <x:v>组件待审核</x:v>
      </x:c>
      <x:c r="M1626" s="21" t="n">
        <x:v>35.62658</x:v>
      </x:c>
      <x:c r="N1626" s="21" t="n">
        <x:v>139.6342467</x:v>
      </x:c>
      <x:c r="O1626" s="18" t="str">
        <x:v>004109</x:v>
      </x:c>
      <x:c r="P1626" s="18" t="str">
        <x:v>田園都市線</x:v>
      </x:c>
      <x:c r="Q1626" s="19" t="str">
        <x:v>S12_061_GE_10000</x:v>
      </x:c>
      <x:c r="R1626" s="19" t="str">
        <x:v>S12_061 usage threshold</x:v>
      </x:c>
      <x:c r="S1626" s="19" t="str">
        <x:v>https://nlftp.mlit.go.jp/ksj/gml/datalist/KsjTmplt-S12-2024.html</x:v>
      </x:c>
      <x:c r="T1626" s="19" t="str">
        <x:v>https://nlftp.mlit.go.jp/ksj/gml/datalist/KsjTmplt-S12-2024.html</x:v>
      </x:c>
      <x:c r="U1626" s="19" t="str">
        <x:v>station-component|用賀|東急電鉄|private_rail|35.6266|139.6342|</x:v>
      </x:c>
      <x:c r="V1626" s="19" t="str">
        <x:v>004109 / 004109 / 田園都市線</x:v>
      </x:c>
      <x:c r="W1626" s="18" t="str">
        <x:v>否</x:v>
      </x:c>
      <x:c r="X1626" s="18" t="str">
        <x:v>0785e932a32b3ec15e1a1345537ae145eafe1c07bf38d5c16c11ee2b391e7a28</x:v>
      </x:c>
      <x:c r="Y1626" s="20" t="n">
        <x:v>1</x:v>
      </x:c>
      <x:c r="Z1626" s="20" t="n">
        <x:v>1</x:v>
      </x:c>
      <x:c r="AA1626" s="19"/>
      <x:c r="AB1626" s="18"/>
      <x:c r="AC1626" s="19"/>
    </x:row>
    <x:row r="1627" ht="28" customHeight="1">
      <x:c r="A1627" s="18" t="str">
        <x:v>田原本</x:v>
      </x:c>
      <x:c r="B1627" s="18" t="str">
        <x:v>近畿日本鉄道</x:v>
      </x:c>
      <x:c r="C1627" s="18" t="str">
        <x:v>private_rail</x:v>
      </x:c>
      <x:c r="D1627" s="19" t="str">
        <x:v>T2</x:v>
      </x:c>
      <x:c r="E1627" s="20" t="n">
        <x:v>11651</x:v>
      </x:c>
      <x:c r="F1627" s="18" t="str">
        <x:v>persons/day</x:v>
      </x:c>
      <x:c r="G1627" s="18" t="str">
        <x:v>FY2024</x:v>
      </x:c>
      <x:c r="H1627" s="18" t="str">
        <x:v>否</x:v>
      </x:c>
      <x:c r="I1627" s="19" t="str">
        <x:v>DAILY_ENTRIES_EXITS</x:v>
      </x:c>
      <x:c r="J1627" s="19" t="str">
        <x:v>橿原線</x:v>
      </x:c>
      <x:c r="K1627" s="18" t="str">
        <x:v>transport-node:7cb21689-07b7-5fd0-81a2-272ac14effcb</x:v>
      </x:c>
      <x:c r="L1627" s="19" t="str">
        <x:v>组件待审核</x:v>
      </x:c>
      <x:c r="M1627" s="21" t="n">
        <x:v>34.553085</x:v>
      </x:c>
      <x:c r="N1627" s="21" t="n">
        <x:v>135.790875</x:v>
      </x:c>
      <x:c r="O1627" s="18" t="str">
        <x:v>007725</x:v>
      </x:c>
      <x:c r="P1627" s="18" t="str">
        <x:v>橿原線</x:v>
      </x:c>
      <x:c r="Q1627" s="19" t="str">
        <x:v>S12_061_GE_10000</x:v>
      </x:c>
      <x:c r="R1627" s="19" t="str">
        <x:v>S12_061 usage threshold</x:v>
      </x:c>
      <x:c r="S1627" s="19" t="str">
        <x:v>https://nlftp.mlit.go.jp/ksj/gml/datalist/KsjTmplt-S12-2024.html</x:v>
      </x:c>
      <x:c r="T1627" s="19" t="str">
        <x:v>https://nlftp.mlit.go.jp/ksj/gml/datalist/KsjTmplt-S12-2024.html</x:v>
      </x:c>
      <x:c r="U1627" s="19" t="str">
        <x:v>station-component|田原本|近畿日本鉄道|private_rail|34.5531|135.7909|</x:v>
      </x:c>
      <x:c r="V1627" s="19" t="str">
        <x:v>007725 / 007725 / 橿原線</x:v>
      </x:c>
      <x:c r="W1627" s="18" t="str">
        <x:v>否</x:v>
      </x:c>
      <x:c r="X1627" s="18" t="str">
        <x:v>0785e932a32b3ec15e1a1345537ae145eafe1c07bf38d5c16c11ee2b391e7a28</x:v>
      </x:c>
      <x:c r="Y1627" s="20" t="n">
        <x:v>1</x:v>
      </x:c>
      <x:c r="Z1627" s="20" t="n">
        <x:v>1</x:v>
      </x:c>
      <x:c r="AA1627" s="19"/>
      <x:c r="AB1627" s="18"/>
      <x:c r="AC1627" s="19"/>
    </x:row>
    <x:row r="1628" ht="28" customHeight="1">
      <x:c r="A1628" s="18" t="str">
        <x:v>田原町</x:v>
      </x:c>
      <x:c r="B1628" s="18" t="str">
        <x:v>東京地下鉄</x:v>
      </x:c>
      <x:c r="C1628" s="18" t="str">
        <x:v>metro</x:v>
      </x:c>
      <x:c r="D1628" s="19" t="str">
        <x:v>T2</x:v>
      </x:c>
      <x:c r="E1628" s="20" t="n">
        <x:v>36681</x:v>
      </x:c>
      <x:c r="F1628" s="18" t="str">
        <x:v>persons/day</x:v>
      </x:c>
      <x:c r="G1628" s="18" t="str">
        <x:v>FY2024</x:v>
      </x:c>
      <x:c r="H1628" s="18" t="str">
        <x:v>否</x:v>
      </x:c>
      <x:c r="I1628" s="19" t="str">
        <x:v>DAILY_ENTRIES_EXITS</x:v>
      </x:c>
      <x:c r="J1628" s="19" t="str">
        <x:v>3号線銀座線</x:v>
      </x:c>
      <x:c r="K1628" s="18" t="str">
        <x:v>transport-node:1467d456-5419-51e8-bef3-a3faf386e765</x:v>
      </x:c>
      <x:c r="L1628" s="19" t="str">
        <x:v>组件待审核</x:v>
      </x:c>
      <x:c r="M1628" s="21" t="n">
        <x:v>35.7099067</x:v>
      </x:c>
      <x:c r="N1628" s="21" t="n">
        <x:v>139.7903467</x:v>
      </x:c>
      <x:c r="O1628" s="18" t="str">
        <x:v>003530</x:v>
      </x:c>
      <x:c r="P1628" s="18" t="str">
        <x:v>3号線銀座線</x:v>
      </x:c>
      <x:c r="Q1628" s="19" t="str">
        <x:v>S12_061_GE_10000</x:v>
      </x:c>
      <x:c r="R1628" s="19" t="str">
        <x:v>S12_061 usage threshold</x:v>
      </x:c>
      <x:c r="S1628" s="19" t="str">
        <x:v>https://nlftp.mlit.go.jp/ksj/gml/datalist/KsjTmplt-S12-2024.html</x:v>
      </x:c>
      <x:c r="T1628" s="19" t="str">
        <x:v>https://nlftp.mlit.go.jp/ksj/gml/datalist/KsjTmplt-S12-2024.html</x:v>
      </x:c>
      <x:c r="U1628" s="19" t="str">
        <x:v>station-component|田原町|東京地下鉄|metro|35.7099|139.7903|</x:v>
      </x:c>
      <x:c r="V1628" s="19" t="str">
        <x:v>003530 / 003530 / 3号線銀座線</x:v>
      </x:c>
      <x:c r="W1628" s="18" t="str">
        <x:v>否</x:v>
      </x:c>
      <x:c r="X1628" s="18" t="str">
        <x:v>0785e932a32b3ec15e1a1345537ae145eafe1c07bf38d5c16c11ee2b391e7a28</x:v>
      </x:c>
      <x:c r="Y1628" s="20" t="n">
        <x:v>1</x:v>
      </x:c>
      <x:c r="Z1628" s="20" t="n">
        <x:v>1</x:v>
      </x:c>
      <x:c r="AA1628" s="19"/>
      <x:c r="AB1628" s="18"/>
      <x:c r="AC1628" s="19"/>
    </x:row>
    <x:row r="1629" ht="33" customHeight="1">
      <x:c r="A1629" s="18" t="str">
        <x:v>田園調布</x:v>
      </x:c>
      <x:c r="B1629" s="18" t="str">
        <x:v>東急電鉄</x:v>
      </x:c>
      <x:c r="C1629" s="18" t="str">
        <x:v>private_rail</x:v>
      </x:c>
      <x:c r="D1629" s="19" t="str">
        <x:v>T2</x:v>
      </x:c>
      <x:c r="E1629" s="20" t="n">
        <x:v>30210</x:v>
      </x:c>
      <x:c r="F1629" s="18" t="str">
        <x:v>persons/day</x:v>
      </x:c>
      <x:c r="G1629" s="18" t="str">
        <x:v>FY2024</x:v>
      </x:c>
      <x:c r="H1629" s="18" t="str">
        <x:v>否</x:v>
      </x:c>
      <x:c r="I1629" s="19" t="str">
        <x:v>DAILY_ENTRIES_EXITS</x:v>
      </x:c>
      <x:c r="J1629" s="19" t="str">
        <x:v>東横線
目黒線</x:v>
      </x:c>
      <x:c r="K1629" s="18" t="str">
        <x:v>transport-node:ab80a917-d257-5dc4-bea4-1f89e52c521f</x:v>
      </x:c>
      <x:c r="L1629" s="19" t="str">
        <x:v>组件待审核</x:v>
      </x:c>
      <x:c r="M1629" s="21" t="n">
        <x:v>35.59729</x:v>
      </x:c>
      <x:c r="N1629" s="21" t="n">
        <x:v>139.667285</x:v>
      </x:c>
      <x:c r="O1629" s="18" t="str">
        <x:v>004245</x:v>
      </x:c>
      <x:c r="P1629" s="18" t="str">
        <x:v>東横線</x:v>
      </x:c>
      <x:c r="Q1629" s="19" t="str">
        <x:v>S12_061_GE_10000</x:v>
      </x:c>
      <x:c r="R1629" s="19" t="str">
        <x:v>S12_061 usage threshold</x:v>
      </x:c>
      <x:c r="S1629" s="19" t="str">
        <x:v>https://nlftp.mlit.go.jp/ksj/gml/datalist/KsjTmplt-S12-2024.html</x:v>
      </x:c>
      <x:c r="T1629" s="19" t="str">
        <x:v>https://nlftp.mlit.go.jp/ksj/gml/datalist/KsjTmplt-S12-2024.html</x:v>
      </x:c>
      <x:c r="U1629" s="19" t="str">
        <x:v>station-component|田園調布|東急電鉄|private_rail|35.5973|139.6673|</x:v>
      </x:c>
      <x:c r="V1629" s="19" t="str">
        <x:v>004245 / 004245 / 東横線
004245 / 004246 / 目黒線</x:v>
      </x:c>
      <x:c r="W1629" s="18" t="str">
        <x:v>否</x:v>
      </x:c>
      <x:c r="X1629" s="18" t="str">
        <x:v>0785e932a32b3ec15e1a1345537ae145eafe1c07bf38d5c16c11ee2b391e7a28</x:v>
      </x:c>
      <x:c r="Y1629" s="20" t="n">
        <x:v>1</x:v>
      </x:c>
      <x:c r="Z1629" s="20" t="n">
        <x:v>1</x:v>
      </x:c>
      <x:c r="AA1629" s="19"/>
      <x:c r="AB1629" s="18"/>
      <x:c r="AC1629" s="19"/>
    </x:row>
    <x:row r="1630" ht="28" customHeight="1">
      <x:c r="A1630" s="18" t="str">
        <x:v>田無</x:v>
      </x:c>
      <x:c r="B1630" s="18" t="str">
        <x:v>西武鉄道</x:v>
      </x:c>
      <x:c r="C1630" s="18" t="str">
        <x:v>private_rail</x:v>
      </x:c>
      <x:c r="D1630" s="19" t="str">
        <x:v>T1</x:v>
      </x:c>
      <x:c r="E1630" s="20" t="n">
        <x:v>68058</x:v>
      </x:c>
      <x:c r="F1630" s="18" t="str">
        <x:v>persons/day</x:v>
      </x:c>
      <x:c r="G1630" s="18" t="str">
        <x:v>FY2024</x:v>
      </x:c>
      <x:c r="H1630" s="18" t="str">
        <x:v>否</x:v>
      </x:c>
      <x:c r="I1630" s="19" t="str">
        <x:v>DAILY_ENTRIES_EXITS</x:v>
      </x:c>
      <x:c r="J1630" s="19" t="str">
        <x:v>新宿線</x:v>
      </x:c>
      <x:c r="K1630" s="18" t="str">
        <x:v>transport-node:1ef7450b-f4ad-51d9-86c7-406e5774a1ba</x:v>
      </x:c>
      <x:c r="L1630" s="19" t="str">
        <x:v>组件待审核</x:v>
      </x:c>
      <x:c r="M1630" s="21" t="n">
        <x:v>35.727195</x:v>
      </x:c>
      <x:c r="N1630" s="21" t="n">
        <x:v>139.538985</x:v>
      </x:c>
      <x:c r="O1630" s="18" t="str">
        <x:v>003423</x:v>
      </x:c>
      <x:c r="P1630" s="18" t="str">
        <x:v>新宿線</x:v>
      </x:c>
      <x:c r="Q1630" s="19" t="str">
        <x:v>S12_061_GE_10000</x:v>
      </x:c>
      <x:c r="R1630" s="19" t="str">
        <x:v>S12_061 usage threshold</x:v>
      </x:c>
      <x:c r="S1630" s="19" t="str">
        <x:v>https://nlftp.mlit.go.jp/ksj/gml/datalist/KsjTmplt-S12-2024.html</x:v>
      </x:c>
      <x:c r="T1630" s="19" t="str">
        <x:v>https://nlftp.mlit.go.jp/ksj/gml/datalist/KsjTmplt-S12-2024.html</x:v>
      </x:c>
      <x:c r="U1630" s="19" t="str">
        <x:v>station-component|田無|西武鉄道|private_rail|35.7272|139.5390|</x:v>
      </x:c>
      <x:c r="V1630" s="19" t="str">
        <x:v>003423 / 003423 / 新宿線</x:v>
      </x:c>
      <x:c r="W1630" s="18" t="str">
        <x:v>否</x:v>
      </x:c>
      <x:c r="X1630" s="18" t="str">
        <x:v>0785e932a32b3ec15e1a1345537ae145eafe1c07bf38d5c16c11ee2b391e7a28</x:v>
      </x:c>
      <x:c r="Y1630" s="20" t="n">
        <x:v>1</x:v>
      </x:c>
      <x:c r="Z1630" s="20" t="n">
        <x:v>1</x:v>
      </x:c>
      <x:c r="AA1630" s="19"/>
      <x:c r="AB1630" s="18"/>
      <x:c r="AC1630" s="19"/>
    </x:row>
    <x:row r="1631" ht="33" customHeight="1">
      <x:c r="A1631" s="18" t="str">
        <x:v>田町</x:v>
      </x:c>
      <x:c r="B1631" s="18" t="str">
        <x:v>東日本旅客鉄道</x:v>
      </x:c>
      <x:c r="C1631" s="18" t="str">
        <x:v>conventional_rail</x:v>
      </x:c>
      <x:c r="D1631" s="19" t="str">
        <x:v>T0</x:v>
      </x:c>
      <x:c r="E1631" s="20" t="n">
        <x:v>251710</x:v>
      </x:c>
      <x:c r="F1631" s="18" t="str">
        <x:v>persons/day</x:v>
      </x:c>
      <x:c r="G1631" s="18" t="str">
        <x:v>FY2024</x:v>
      </x:c>
      <x:c r="H1631" s="18" t="str">
        <x:v>否</x:v>
      </x:c>
      <x:c r="I1631" s="19" t="str">
        <x:v>DAILY_ENTRIES_EXITS</x:v>
      </x:c>
      <x:c r="J1631" s="19" t="str">
        <x:v>東海道線</x:v>
      </x:c>
      <x:c r="K1631" s="18" t="str">
        <x:v>transport-node:d6b24cd1-26b7-5ddb-8d9d-8bfd30c28ae2</x:v>
      </x:c>
      <x:c r="L1631" s="19" t="str">
        <x:v>组件待审核</x:v>
      </x:c>
      <x:c r="M1631" s="21" t="n">
        <x:v>35.64574</x:v>
      </x:c>
      <x:c r="N1631" s="21" t="n">
        <x:v>139.747605</x:v>
      </x:c>
      <x:c r="O1631" s="18" t="str">
        <x:v>004000</x:v>
      </x:c>
      <x:c r="P1631" s="18" t="str">
        <x:v>東海道線</x:v>
      </x:c>
      <x:c r="Q1631" s="19" t="str">
        <x:v>S12_061_GE_10000
OFFICIAL_HUB_COMPONENT_REVIEW</x:v>
      </x:c>
      <x:c r="R1631" s="19" t="str">
        <x:v>S12_061 usage threshold</x:v>
      </x:c>
      <x:c r="S1631" s="19" t="str">
        <x:v>https://nlftp.mlit.go.jp/ksj/gml/datalist/KsjTmplt-S12-2024.html</x:v>
      </x:c>
      <x:c r="T1631" s="19" t="str">
        <x:v>https://nlftp.mlit.go.jp/ksj/gml/datalist/KsjTmplt-S12-2024.html
https://www.kotsu.metro.tokyo.jp/subway/stations/mita.html</x:v>
      </x:c>
      <x:c r="U1631" s="19" t="str">
        <x:v>station-component|田町|東日本旅客鉄道|conventional_rail|35.6457|139.7476|</x:v>
      </x:c>
      <x:c r="V1631" s="19" t="str">
        <x:v>004000 / 004000 / 東海道線</x:v>
      </x:c>
      <x:c r="W1631" s="18" t="str">
        <x:v>否</x:v>
      </x:c>
      <x:c r="X1631" s="18" t="str">
        <x:v>0785e932a32b3ec15e1a1345537ae145eafe1c07bf38d5c16c11ee2b391e7a28</x:v>
      </x:c>
      <x:c r="Y1631" s="20" t="n">
        <x:v>1</x:v>
      </x:c>
      <x:c r="Z1631" s="20" t="n">
        <x:v>1</x:v>
      </x:c>
      <x:c r="AA1631" s="19" t="str">
        <x:v>田町・三田</x:v>
      </x:c>
      <x:c r="AB1631" s="18" t="str">
        <x:v>transport-hub-review:adffa6bc-9aa0-55f7-8dcb-c88ca553d44b</x:v>
      </x:c>
      <x:c r="AC1631" s="19"/>
    </x:row>
    <x:row r="1632" ht="33" customHeight="1">
      <x:c r="A1632" s="18" t="str">
        <x:v>田端</x:v>
      </x:c>
      <x:c r="B1632" s="18" t="str">
        <x:v>東日本旅客鉄道</x:v>
      </x:c>
      <x:c r="C1632" s="18" t="str">
        <x:v>conventional_rail</x:v>
      </x:c>
      <x:c r="D1632" s="19" t="str">
        <x:v>T1</x:v>
      </x:c>
      <x:c r="E1632" s="20" t="n">
        <x:v>80958</x:v>
      </x:c>
      <x:c r="F1632" s="18" t="str">
        <x:v>persons/day</x:v>
      </x:c>
      <x:c r="G1632" s="18" t="str">
        <x:v>FY2024</x:v>
      </x:c>
      <x:c r="H1632" s="18" t="str">
        <x:v>否</x:v>
      </x:c>
      <x:c r="I1632" s="19" t="str">
        <x:v>DAILY_ENTRIES_EXITS</x:v>
      </x:c>
      <x:c r="J1632" s="19" t="str">
        <x:v>山手線
東北線</x:v>
      </x:c>
      <x:c r="K1632" s="18" t="str">
        <x:v>transport-node:957450fc-c070-5b33-ad4c-25fa22b13fa7</x:v>
      </x:c>
      <x:c r="L1632" s="19" t="str">
        <x:v>组件待审核</x:v>
      </x:c>
      <x:c r="M1632" s="21" t="n">
        <x:v>35.737475</x:v>
      </x:c>
      <x:c r="N1632" s="21" t="n">
        <x:v>139.761575</x:v>
      </x:c>
      <x:c r="O1632" s="18" t="str">
        <x:v>003335</x:v>
      </x:c>
      <x:c r="P1632" s="18" t="str">
        <x:v>山手線</x:v>
      </x:c>
      <x:c r="Q1632" s="19" t="str">
        <x:v>S12_061_GE_10000</x:v>
      </x:c>
      <x:c r="R1632" s="19" t="str">
        <x:v>S12_061 usage threshold</x:v>
      </x:c>
      <x:c r="S1632" s="19" t="str">
        <x:v>https://nlftp.mlit.go.jp/ksj/gml/datalist/KsjTmplt-S12-2024.html</x:v>
      </x:c>
      <x:c r="T1632" s="19" t="str">
        <x:v>https://nlftp.mlit.go.jp/ksj/gml/datalist/KsjTmplt-S12-2024.html</x:v>
      </x:c>
      <x:c r="U1632" s="19" t="str">
        <x:v>station-component|田端|東日本旅客鉄道|conventional_rail|35.7375|139.7616|</x:v>
      </x:c>
      <x:c r="V1632" s="19" t="str">
        <x:v>003335 / 003335 / 山手線
003335 / 003336 / 東北線</x:v>
      </x:c>
      <x:c r="W1632" s="18" t="str">
        <x:v>否</x:v>
      </x:c>
      <x:c r="X1632" s="18" t="str">
        <x:v>0785e932a32b3ec15e1a1345537ae145eafe1c07bf38d5c16c11ee2b391e7a28</x:v>
      </x:c>
      <x:c r="Y1632" s="20" t="n">
        <x:v>1</x:v>
      </x:c>
      <x:c r="Z1632" s="20" t="n">
        <x:v>1</x:v>
      </x:c>
      <x:c r="AA1632" s="19"/>
      <x:c r="AB1632" s="18"/>
      <x:c r="AC1632" s="19"/>
    </x:row>
    <x:row r="1633" ht="28" customHeight="1">
      <x:c r="A1633" s="18" t="str">
        <x:v>甲南山手</x:v>
      </x:c>
      <x:c r="B1633" s="18" t="str">
        <x:v>西日本旅客鉄道</x:v>
      </x:c>
      <x:c r="C1633" s="18" t="str">
        <x:v>conventional_rail</x:v>
      </x:c>
      <x:c r="D1633" s="19" t="str">
        <x:v>T2</x:v>
      </x:c>
      <x:c r="E1633" s="20" t="n">
        <x:v>20878</x:v>
      </x:c>
      <x:c r="F1633" s="18" t="str">
        <x:v>persons/day</x:v>
      </x:c>
      <x:c r="G1633" s="18" t="str">
        <x:v>FY2024</x:v>
      </x:c>
      <x:c r="H1633" s="18" t="str">
        <x:v>否</x:v>
      </x:c>
      <x:c r="I1633" s="19" t="str">
        <x:v>DAILY_ENTRIES_EXITS</x:v>
      </x:c>
      <x:c r="J1633" s="19" t="str">
        <x:v>東海道線</x:v>
      </x:c>
      <x:c r="K1633" s="18" t="str">
        <x:v>transport-node:b7afe1b8-ba12-537e-9fe6-be2c7bd3d229</x:v>
      </x:c>
      <x:c r="L1633" s="19" t="str">
        <x:v>组件待审核</x:v>
      </x:c>
      <x:c r="M1633" s="21" t="n">
        <x:v>34.730635</x:v>
      </x:c>
      <x:c r="N1633" s="21" t="n">
        <x:v>135.292605</x:v>
      </x:c>
      <x:c r="O1633" s="18" t="str">
        <x:v>006926</x:v>
      </x:c>
      <x:c r="P1633" s="18" t="str">
        <x:v>東海道線</x:v>
      </x:c>
      <x:c r="Q1633" s="19" t="str">
        <x:v>S12_061_GE_10000</x:v>
      </x:c>
      <x:c r="R1633" s="19" t="str">
        <x:v>S12_061 usage threshold</x:v>
      </x:c>
      <x:c r="S1633" s="19" t="str">
        <x:v>https://nlftp.mlit.go.jp/ksj/gml/datalist/KsjTmplt-S12-2024.html</x:v>
      </x:c>
      <x:c r="T1633" s="19" t="str">
        <x:v>https://nlftp.mlit.go.jp/ksj/gml/datalist/KsjTmplt-S12-2024.html</x:v>
      </x:c>
      <x:c r="U1633" s="19" t="str">
        <x:v>station-component|甲南山手|西日本旅客鉄道|conventional_rail|34.7306|135.2926|</x:v>
      </x:c>
      <x:c r="V1633" s="19" t="str">
        <x:v>006926 / 006926 / 東海道線</x:v>
      </x:c>
      <x:c r="W1633" s="18" t="str">
        <x:v>否</x:v>
      </x:c>
      <x:c r="X1633" s="18" t="str">
        <x:v>0785e932a32b3ec15e1a1345537ae145eafe1c07bf38d5c16c11ee2b391e7a28</x:v>
      </x:c>
      <x:c r="Y1633" s="20" t="n">
        <x:v>1</x:v>
      </x:c>
      <x:c r="Z1633" s="20" t="n">
        <x:v>1</x:v>
      </x:c>
      <x:c r="AA1633" s="19"/>
      <x:c r="AB1633" s="18"/>
      <x:c r="AC1633" s="19"/>
    </x:row>
    <x:row r="1634" ht="28" customHeight="1">
      <x:c r="A1634" s="18" t="str">
        <x:v>甲子園</x:v>
      </x:c>
      <x:c r="B1634" s="18" t="str">
        <x:v>阪神電気鉄道</x:v>
      </x:c>
      <x:c r="C1634" s="18" t="str">
        <x:v>private_rail</x:v>
      </x:c>
      <x:c r="D1634" s="19" t="str">
        <x:v>T1</x:v>
      </x:c>
      <x:c r="E1634" s="20" t="n">
        <x:v>52729</x:v>
      </x:c>
      <x:c r="F1634" s="18" t="str">
        <x:v>persons/day</x:v>
      </x:c>
      <x:c r="G1634" s="18" t="str">
        <x:v>FY2024</x:v>
      </x:c>
      <x:c r="H1634" s="18" t="str">
        <x:v>否</x:v>
      </x:c>
      <x:c r="I1634" s="19" t="str">
        <x:v>DAILY_ENTRIES_EXITS</x:v>
      </x:c>
      <x:c r="J1634" s="19" t="str">
        <x:v>本線</x:v>
      </x:c>
      <x:c r="K1634" s="18" t="str">
        <x:v>transport-node:b5ba13c6-306c-5891-a372-4573e2bff07a</x:v>
      </x:c>
      <x:c r="L1634" s="19" t="str">
        <x:v>组件待审核</x:v>
      </x:c>
      <x:c r="M1634" s="21" t="n">
        <x:v>34.72396</x:v>
      </x:c>
      <x:c r="N1634" s="21" t="n">
        <x:v>135.363275</x:v>
      </x:c>
      <x:c r="O1634" s="18" t="str">
        <x:v>006954</x:v>
      </x:c>
      <x:c r="P1634" s="18" t="str">
        <x:v>本線</x:v>
      </x:c>
      <x:c r="Q1634" s="19" t="str">
        <x:v>S12_061_GE_10000</x:v>
      </x:c>
      <x:c r="R1634" s="19" t="str">
        <x:v>S12_061 usage threshold</x:v>
      </x:c>
      <x:c r="S1634" s="19" t="str">
        <x:v>https://nlftp.mlit.go.jp/ksj/gml/datalist/KsjTmplt-S12-2024.html</x:v>
      </x:c>
      <x:c r="T1634" s="19" t="str">
        <x:v>https://nlftp.mlit.go.jp/ksj/gml/datalist/KsjTmplt-S12-2024.html</x:v>
      </x:c>
      <x:c r="U1634" s="19" t="str">
        <x:v>station-component|甲子園|阪神電気鉄道|private_rail|34.7240|135.3633|</x:v>
      </x:c>
      <x:c r="V1634" s="19" t="str">
        <x:v>006954 / 006954 / 本線</x:v>
      </x:c>
      <x:c r="W1634" s="18" t="str">
        <x:v>否</x:v>
      </x:c>
      <x:c r="X1634" s="18" t="str">
        <x:v>0785e932a32b3ec15e1a1345537ae145eafe1c07bf38d5c16c11ee2b391e7a28</x:v>
      </x:c>
      <x:c r="Y1634" s="20" t="n">
        <x:v>1</x:v>
      </x:c>
      <x:c r="Z1634" s="20" t="n">
        <x:v>1</x:v>
      </x:c>
      <x:c r="AA1634" s="19"/>
      <x:c r="AB1634" s="18"/>
      <x:c r="AC1634" s="19"/>
    </x:row>
    <x:row r="1635" ht="28" customHeight="1">
      <x:c r="A1635" s="18" t="str">
        <x:v>甲子園口</x:v>
      </x:c>
      <x:c r="B1635" s="18" t="str">
        <x:v>西日本旅客鉄道</x:v>
      </x:c>
      <x:c r="C1635" s="18" t="str">
        <x:v>conventional_rail</x:v>
      </x:c>
      <x:c r="D1635" s="19" t="str">
        <x:v>T2</x:v>
      </x:c>
      <x:c r="E1635" s="20" t="n">
        <x:v>35268</x:v>
      </x:c>
      <x:c r="F1635" s="18" t="str">
        <x:v>persons/day</x:v>
      </x:c>
      <x:c r="G1635" s="18" t="str">
        <x:v>FY2024</x:v>
      </x:c>
      <x:c r="H1635" s="18" t="str">
        <x:v>否</x:v>
      </x:c>
      <x:c r="I1635" s="19" t="str">
        <x:v>DAILY_ENTRIES_EXITS</x:v>
      </x:c>
      <x:c r="J1635" s="19" t="str">
        <x:v>東海道線</x:v>
      </x:c>
      <x:c r="K1635" s="18" t="str">
        <x:v>transport-node:8e3e48b4-9eae-54ad-95b2-63744ee85a4f</x:v>
      </x:c>
      <x:c r="L1635" s="19" t="str">
        <x:v>组件待审核</x:v>
      </x:c>
      <x:c r="M1635" s="21" t="n">
        <x:v>34.73906</x:v>
      </x:c>
      <x:c r="N1635" s="21" t="n">
        <x:v>135.37439</x:v>
      </x:c>
      <x:c r="O1635" s="18" t="str">
        <x:v>006879</x:v>
      </x:c>
      <x:c r="P1635" s="18" t="str">
        <x:v>東海道線</x:v>
      </x:c>
      <x:c r="Q1635" s="19" t="str">
        <x:v>S12_061_GE_10000</x:v>
      </x:c>
      <x:c r="R1635" s="19" t="str">
        <x:v>S12_061 usage threshold</x:v>
      </x:c>
      <x:c r="S1635" s="19" t="str">
        <x:v>https://nlftp.mlit.go.jp/ksj/gml/datalist/KsjTmplt-S12-2024.html</x:v>
      </x:c>
      <x:c r="T1635" s="19" t="str">
        <x:v>https://nlftp.mlit.go.jp/ksj/gml/datalist/KsjTmplt-S12-2024.html</x:v>
      </x:c>
      <x:c r="U1635" s="19" t="str">
        <x:v>station-component|甲子園口|西日本旅客鉄道|conventional_rail|34.7391|135.3744|</x:v>
      </x:c>
      <x:c r="V1635" s="19" t="str">
        <x:v>006879 / 006879 / 東海道線</x:v>
      </x:c>
      <x:c r="W1635" s="18" t="str">
        <x:v>否</x:v>
      </x:c>
      <x:c r="X1635" s="18" t="str">
        <x:v>0785e932a32b3ec15e1a1345537ae145eafe1c07bf38d5c16c11ee2b391e7a28</x:v>
      </x:c>
      <x:c r="Y1635" s="20" t="n">
        <x:v>1</x:v>
      </x:c>
      <x:c r="Z1635" s="20" t="n">
        <x:v>1</x:v>
      </x:c>
      <x:c r="AA1635" s="19"/>
      <x:c r="AB1635" s="18"/>
      <x:c r="AC1635" s="19"/>
    </x:row>
    <x:row r="1636" ht="28" customHeight="1">
      <x:c r="A1636" s="18" t="str">
        <x:v>甲府</x:v>
      </x:c>
      <x:c r="B1636" s="18" t="str">
        <x:v>東日本旅客鉄道</x:v>
      </x:c>
      <x:c r="C1636" s="18" t="str">
        <x:v>conventional_rail</x:v>
      </x:c>
      <x:c r="D1636" s="19" t="str">
        <x:v>T2</x:v>
      </x:c>
      <x:c r="E1636" s="20" t="n">
        <x:v>27926</x:v>
      </x:c>
      <x:c r="F1636" s="18" t="str">
        <x:v>persons/day</x:v>
      </x:c>
      <x:c r="G1636" s="18" t="str">
        <x:v>FY2024</x:v>
      </x:c>
      <x:c r="H1636" s="18" t="str">
        <x:v>否</x:v>
      </x:c>
      <x:c r="I1636" s="19" t="str">
        <x:v>DAILY_ENTRIES_EXITS</x:v>
      </x:c>
      <x:c r="J1636" s="19" t="str">
        <x:v>中央線</x:v>
      </x:c>
      <x:c r="K1636" s="18" t="str">
        <x:v>transport-node:8240cdf3-9c5d-5a7d-9a20-e1859db21320</x:v>
      </x:c>
      <x:c r="L1636" s="19" t="str">
        <x:v>组件待审核</x:v>
      </x:c>
      <x:c r="M1636" s="21" t="n">
        <x:v>35.667125</x:v>
      </x:c>
      <x:c r="N1636" s="21" t="n">
        <x:v>138.56876</x:v>
      </x:c>
      <x:c r="O1636" s="18" t="str">
        <x:v>003867</x:v>
      </x:c>
      <x:c r="P1636" s="18" t="str">
        <x:v>中央線</x:v>
      </x:c>
      <x:c r="Q1636" s="19" t="str">
        <x:v>S12_061_GE_10000</x:v>
      </x:c>
      <x:c r="R1636" s="19" t="str">
        <x:v>S12_061 usage threshold</x:v>
      </x:c>
      <x:c r="S1636" s="19" t="str">
        <x:v>https://nlftp.mlit.go.jp/ksj/gml/datalist/KsjTmplt-S12-2024.html</x:v>
      </x:c>
      <x:c r="T1636" s="19" t="str">
        <x:v>https://nlftp.mlit.go.jp/ksj/gml/datalist/KsjTmplt-S12-2024.html</x:v>
      </x:c>
      <x:c r="U1636" s="19" t="str">
        <x:v>station-component|甲府|東日本旅客鉄道|conventional_rail|35.6671|138.5688|</x:v>
      </x:c>
      <x:c r="V1636" s="19" t="str">
        <x:v>003867 / 003867 / 中央線</x:v>
      </x:c>
      <x:c r="W1636" s="18" t="str">
        <x:v>否</x:v>
      </x:c>
      <x:c r="X1636" s="18" t="str">
        <x:v>0785e932a32b3ec15e1a1345537ae145eafe1c07bf38d5c16c11ee2b391e7a28</x:v>
      </x:c>
      <x:c r="Y1636" s="20" t="n">
        <x:v>1</x:v>
      </x:c>
      <x:c r="Z1636" s="20" t="n">
        <x:v>1</x:v>
      </x:c>
      <x:c r="AA1636" s="19"/>
      <x:c r="AB1636" s="18"/>
      <x:c r="AC1636" s="19"/>
    </x:row>
    <x:row r="1637" ht="28" customHeight="1">
      <x:c r="A1637" s="18" t="str">
        <x:v>甲東園</x:v>
      </x:c>
      <x:c r="B1637" s="18" t="str">
        <x:v>阪急電鉄</x:v>
      </x:c>
      <x:c r="C1637" s="18" t="str">
        <x:v>private_rail</x:v>
      </x:c>
      <x:c r="D1637" s="19" t="str">
        <x:v>T2</x:v>
      </x:c>
      <x:c r="E1637" s="20" t="n">
        <x:v>22895</x:v>
      </x:c>
      <x:c r="F1637" s="18" t="str">
        <x:v>persons/day</x:v>
      </x:c>
      <x:c r="G1637" s="18" t="str">
        <x:v>FY2024</x:v>
      </x:c>
      <x:c r="H1637" s="18" t="str">
        <x:v>否</x:v>
      </x:c>
      <x:c r="I1637" s="19" t="str">
        <x:v>DAILY_ENTRIES_EXITS</x:v>
      </x:c>
      <x:c r="J1637" s="19" t="str">
        <x:v>今津線</x:v>
      </x:c>
      <x:c r="K1637" s="18" t="str">
        <x:v>transport-node:417a1ec6-e034-513b-a008-3a8309915299</x:v>
      </x:c>
      <x:c r="L1637" s="19" t="str">
        <x:v>组件待审核</x:v>
      </x:c>
      <x:c r="M1637" s="21" t="n">
        <x:v>34.766765</x:v>
      </x:c>
      <x:c r="N1637" s="21" t="n">
        <x:v>135.35981</x:v>
      </x:c>
      <x:c r="O1637" s="18" t="str">
        <x:v>006761</x:v>
      </x:c>
      <x:c r="P1637" s="18" t="str">
        <x:v>今津線</x:v>
      </x:c>
      <x:c r="Q1637" s="19" t="str">
        <x:v>S12_061_GE_10000</x:v>
      </x:c>
      <x:c r="R1637" s="19" t="str">
        <x:v>S12_061 usage threshold</x:v>
      </x:c>
      <x:c r="S1637" s="19" t="str">
        <x:v>https://nlftp.mlit.go.jp/ksj/gml/datalist/KsjTmplt-S12-2024.html</x:v>
      </x:c>
      <x:c r="T1637" s="19" t="str">
        <x:v>https://nlftp.mlit.go.jp/ksj/gml/datalist/KsjTmplt-S12-2024.html</x:v>
      </x:c>
      <x:c r="U1637" s="19" t="str">
        <x:v>station-component|甲東園|阪急電鉄|private_rail|34.7668|135.3598|</x:v>
      </x:c>
      <x:c r="V1637" s="19" t="str">
        <x:v>006761 / 006761 / 今津線</x:v>
      </x:c>
      <x:c r="W1637" s="18" t="str">
        <x:v>否</x:v>
      </x:c>
      <x:c r="X1637" s="18" t="str">
        <x:v>0785e932a32b3ec15e1a1345537ae145eafe1c07bf38d5c16c11ee2b391e7a28</x:v>
      </x:c>
      <x:c r="Y1637" s="20" t="n">
        <x:v>1</x:v>
      </x:c>
      <x:c r="Z1637" s="20" t="n">
        <x:v>1</x:v>
      </x:c>
      <x:c r="AA1637" s="19"/>
      <x:c r="AB1637" s="18"/>
      <x:c r="AC1637" s="19"/>
    </x:row>
    <x:row r="1638" ht="33" customHeight="1">
      <x:c r="A1638" s="18" t="str">
        <x:v>町屋</x:v>
      </x:c>
      <x:c r="B1638" s="18" t="str">
        <x:v>京成電鉄</x:v>
      </x:c>
      <x:c r="C1638" s="18" t="str">
        <x:v>private_rail</x:v>
      </x:c>
      <x:c r="D1638" s="19" t="str">
        <x:v>T2</x:v>
      </x:c>
      <x:c r="E1638" s="20" t="n">
        <x:v>19511</x:v>
      </x:c>
      <x:c r="F1638" s="18" t="str">
        <x:v>persons/day</x:v>
      </x:c>
      <x:c r="G1638" s="18" t="str">
        <x:v>FY2024</x:v>
      </x:c>
      <x:c r="H1638" s="18" t="str">
        <x:v>否</x:v>
      </x:c>
      <x:c r="I1638" s="19" t="str">
        <x:v>DAILY_ENTRIES_EXITS</x:v>
      </x:c>
      <x:c r="J1638" s="19" t="str">
        <x:v>本線</x:v>
      </x:c>
      <x:c r="K1638" s="18" t="str">
        <x:v>transport-node:ecf215c7-a12d-589c-9004-af568abaccb0</x:v>
      </x:c>
      <x:c r="L1638" s="19" t="str">
        <x:v>组件待审核</x:v>
      </x:c>
      <x:c r="M1638" s="21" t="n">
        <x:v>35.74234</x:v>
      </x:c>
      <x:c r="N1638" s="21" t="n">
        <x:v>139.78157</x:v>
      </x:c>
      <x:c r="O1638" s="18" t="str">
        <x:v>003302</x:v>
      </x:c>
      <x:c r="P1638" s="18" t="str">
        <x:v>本線</x:v>
      </x:c>
      <x:c r="Q1638" s="19" t="str">
        <x:v>S12_061_GE_10000
OFFICIAL_HUB_COMPONENT_REVIEW</x:v>
      </x:c>
      <x:c r="R1638" s="19" t="str">
        <x:v>S12_061 usage threshold</x:v>
      </x:c>
      <x:c r="S1638" s="19" t="str">
        <x:v>https://nlftp.mlit.go.jp/ksj/gml/datalist/KsjTmplt-S12-2024.html</x:v>
      </x:c>
      <x:c r="T1638" s="19" t="str">
        <x:v>https://nlftp.mlit.go.jp/ksj/gml/datalist/KsjTmplt-S12-2024.html
https://www.tokyometro.jp/station/machiya/index.html</x:v>
      </x:c>
      <x:c r="U1638" s="19" t="str">
        <x:v>station-component|町屋|京成電鉄|private_rail|35.7423|139.7816|</x:v>
      </x:c>
      <x:c r="V1638" s="19" t="str">
        <x:v>003302 / 003302 / 本線</x:v>
      </x:c>
      <x:c r="W1638" s="18" t="str">
        <x:v>否</x:v>
      </x:c>
      <x:c r="X1638" s="18" t="str">
        <x:v>0785e932a32b3ec15e1a1345537ae145eafe1c07bf38d5c16c11ee2b391e7a28</x:v>
      </x:c>
      <x:c r="Y1638" s="20" t="n">
        <x:v>1</x:v>
      </x:c>
      <x:c r="Z1638" s="20" t="n">
        <x:v>1</x:v>
      </x:c>
      <x:c r="AA1638" s="19" t="str">
        <x:v>町屋</x:v>
      </x:c>
      <x:c r="AB1638" s="18" t="str">
        <x:v>transport-hub-review:1f17541f-971b-5fc5-ace3-e6efc7e38f87</x:v>
      </x:c>
      <x:c r="AC1638" s="19"/>
    </x:row>
    <x:row r="1639" ht="33" customHeight="1">
      <x:c r="A1639" s="18" t="str">
        <x:v>町屋</x:v>
      </x:c>
      <x:c r="B1639" s="18" t="str">
        <x:v>東京地下鉄</x:v>
      </x:c>
      <x:c r="C1639" s="18" t="str">
        <x:v>metro</x:v>
      </x:c>
      <x:c r="D1639" s="19" t="str">
        <x:v>T1</x:v>
      </x:c>
      <x:c r="E1639" s="20" t="n">
        <x:v>60574</x:v>
      </x:c>
      <x:c r="F1639" s="18" t="str">
        <x:v>persons/day</x:v>
      </x:c>
      <x:c r="G1639" s="18" t="str">
        <x:v>FY2024</x:v>
      </x:c>
      <x:c r="H1639" s="18" t="str">
        <x:v>否</x:v>
      </x:c>
      <x:c r="I1639" s="19" t="str">
        <x:v>DAILY_ENTRIES_EXITS</x:v>
      </x:c>
      <x:c r="J1639" s="19" t="str">
        <x:v>9号線千代田線</x:v>
      </x:c>
      <x:c r="K1639" s="18" t="str">
        <x:v>transport-node:4f73d2f0-f853-554d-ac4e-8a2f9c5154c0</x:v>
      </x:c>
      <x:c r="L1639" s="19" t="str">
        <x:v>组件待审核</x:v>
      </x:c>
      <x:c r="M1639" s="21" t="n">
        <x:v>35.742162</x:v>
      </x:c>
      <x:c r="N1639" s="21" t="n">
        <x:v>139.780108</x:v>
      </x:c>
      <x:c r="O1639" s="18" t="str">
        <x:v>003304</x:v>
      </x:c>
      <x:c r="P1639" s="18" t="str">
        <x:v>9号線千代田線</x:v>
      </x:c>
      <x:c r="Q1639" s="19" t="str">
        <x:v>S12_061_GE_10000
OFFICIAL_HUB_COMPONENT_REVIEW</x:v>
      </x:c>
      <x:c r="R1639" s="19" t="str">
        <x:v>S12_061 usage threshold</x:v>
      </x:c>
      <x:c r="S1639" s="19" t="str">
        <x:v>https://nlftp.mlit.go.jp/ksj/gml/datalist/KsjTmplt-S12-2024.html</x:v>
      </x:c>
      <x:c r="T1639" s="19" t="str">
        <x:v>https://nlftp.mlit.go.jp/ksj/gml/datalist/KsjTmplt-S12-2024.html
https://www.tokyometro.jp/station/machiya/index.html</x:v>
      </x:c>
      <x:c r="U1639" s="19" t="str">
        <x:v>station-component|町屋|東京地下鉄|metro|35.7422|139.7801|</x:v>
      </x:c>
      <x:c r="V1639" s="19" t="str">
        <x:v>003302 / 003304 / 9号線千代田線</x:v>
      </x:c>
      <x:c r="W1639" s="18" t="str">
        <x:v>否</x:v>
      </x:c>
      <x:c r="X1639" s="18" t="str">
        <x:v>0785e932a32b3ec15e1a1345537ae145eafe1c07bf38d5c16c11ee2b391e7a28</x:v>
      </x:c>
      <x:c r="Y1639" s="20" t="n">
        <x:v>1</x:v>
      </x:c>
      <x:c r="Z1639" s="20" t="n">
        <x:v>1</x:v>
      </x:c>
      <x:c r="AA1639" s="19" t="str">
        <x:v>町屋</x:v>
      </x:c>
      <x:c r="AB1639" s="18" t="str">
        <x:v>transport-hub-review:1f17541f-971b-5fc5-ace3-e6efc7e38f87</x:v>
      </x:c>
      <x:c r="AC1639" s="19"/>
    </x:row>
    <x:row r="1640" ht="33" customHeight="1">
      <x:c r="A1640" s="18" t="str">
        <x:v>町屋駅前</x:v>
      </x:c>
      <x:c r="B1640" s="18" t="str">
        <x:v>東京都</x:v>
      </x:c>
      <x:c r="C1640" s="18" t="str">
        <x:v>tram</x:v>
      </x:c>
      <x:c r="D1640" s="19" t="str">
        <x:v>T3</x:v>
      </x:c>
      <x:c r="E1640" s="20" t="n">
        <x:v>8555</x:v>
      </x:c>
      <x:c r="F1640" s="18" t="str">
        <x:v>persons/day</x:v>
      </x:c>
      <x:c r="G1640" s="18" t="str">
        <x:v>FY2024</x:v>
      </x:c>
      <x:c r="H1640" s="18" t="str">
        <x:v>否</x:v>
      </x:c>
      <x:c r="I1640" s="19" t="str">
        <x:v>DAILY_ENTRIES_EXITS</x:v>
      </x:c>
      <x:c r="J1640" s="19" t="str">
        <x:v>荒川線</x:v>
      </x:c>
      <x:c r="K1640" s="18" t="str">
        <x:v>transport-node:439975e0-eda9-5a77-be69-4a429f264cb1</x:v>
      </x:c>
      <x:c r="L1640" s="19" t="str">
        <x:v>组件待审核</x:v>
      </x:c>
      <x:c r="M1640" s="21" t="n">
        <x:v>35.742775</x:v>
      </x:c>
      <x:c r="N1640" s="21" t="n">
        <x:v>139.780775</x:v>
      </x:c>
      <x:c r="O1640" s="18" t="str">
        <x:v>003299</x:v>
      </x:c>
      <x:c r="P1640" s="18" t="str">
        <x:v>荒川線</x:v>
      </x:c>
      <x:c r="Q1640" s="19" t="str">
        <x:v>OFFICIAL_HUB_COMPONENT_REVIEW</x:v>
      </x:c>
      <x:c r="R1640" s="19" t="str">
        <x:v>S12_061 usage threshold; low-flow inclusion justified by official Hub component review</x:v>
      </x:c>
      <x:c r="S1640" s="19" t="str">
        <x:v>https://nlftp.mlit.go.jp/ksj/gml/datalist/KsjTmplt-S12-2024.html</x:v>
      </x:c>
      <x:c r="T1640" s="19" t="str">
        <x:v>https://nlftp.mlit.go.jp/ksj/gml/datalist/KsjTmplt-S12-2024.html
https://www.tokyometro.jp/station/machiya/index.html</x:v>
      </x:c>
      <x:c r="U1640" s="19" t="str">
        <x:v>station-component|町屋駅前|東京都|tram|35.7428|139.7808|</x:v>
      </x:c>
      <x:c r="V1640" s="19" t="str">
        <x:v>003299 / 003299 / 荒川線</x:v>
      </x:c>
      <x:c r="W1640" s="18" t="str">
        <x:v>否</x:v>
      </x:c>
      <x:c r="X1640" s="18" t="str">
        <x:v>0785e932a32b3ec15e1a1345537ae145eafe1c07bf38d5c16c11ee2b391e7a28</x:v>
      </x:c>
      <x:c r="Y1640" s="20" t="n">
        <x:v>1</x:v>
      </x:c>
      <x:c r="Z1640" s="20" t="n">
        <x:v>1</x:v>
      </x:c>
      <x:c r="AA1640" s="19" t="str">
        <x:v>町屋</x:v>
      </x:c>
      <x:c r="AB1640" s="18" t="str">
        <x:v>transport-hub-review:1f17541f-971b-5fc5-ace3-e6efc7e38f87</x:v>
      </x:c>
      <x:c r="AC1640" s="19"/>
    </x:row>
    <x:row r="1641" ht="33" customHeight="1">
      <x:c r="A1641" s="18" t="str">
        <x:v>町田</x:v>
      </x:c>
      <x:c r="B1641" s="18" t="str">
        <x:v>小田急電鉄</x:v>
      </x:c>
      <x:c r="C1641" s="18" t="str">
        <x:v>private_rail</x:v>
      </x:c>
      <x:c r="D1641" s="19" t="str">
        <x:v>T0</x:v>
      </x:c>
      <x:c r="E1641" s="20" t="n">
        <x:v>258628</x:v>
      </x:c>
      <x:c r="F1641" s="18" t="str">
        <x:v>persons/day</x:v>
      </x:c>
      <x:c r="G1641" s="18" t="str">
        <x:v>FY2024</x:v>
      </x:c>
      <x:c r="H1641" s="18" t="str">
        <x:v>否</x:v>
      </x:c>
      <x:c r="I1641" s="19" t="str">
        <x:v>DAILY_ENTRIES_EXITS</x:v>
      </x:c>
      <x:c r="J1641" s="19" t="str">
        <x:v>小田原線</x:v>
      </x:c>
      <x:c r="K1641" s="18" t="str">
        <x:v>transport-node:993b1d33-2965-56bd-afa4-c045827a9a61</x:v>
      </x:c>
      <x:c r="L1641" s="19" t="str">
        <x:v>组件待审核</x:v>
      </x:c>
      <x:c r="M1641" s="21" t="n">
        <x:v>35.543845</x:v>
      </x:c>
      <x:c r="N1641" s="21" t="n">
        <x:v>139.4450025</x:v>
      </x:c>
      <x:c r="O1641" s="18" t="str">
        <x:v>004387</x:v>
      </x:c>
      <x:c r="P1641" s="18" t="str">
        <x:v>小田原線</x:v>
      </x:c>
      <x:c r="Q1641" s="19" t="str">
        <x:v>S12_061_GE_10000
OFFICIAL_HUB_COMPONENT_REVIEW</x:v>
      </x:c>
      <x:c r="R1641" s="19" t="str">
        <x:v>S12_061 usage threshold</x:v>
      </x:c>
      <x:c r="S1641" s="19" t="str">
        <x:v>https://nlftp.mlit.go.jp/ksj/gml/datalist/KsjTmplt-S12-2024.html</x:v>
      </x:c>
      <x:c r="T1641" s="19" t="str">
        <x:v>https://nlftp.mlit.go.jp/ksj/gml/datalist/KsjTmplt-S12-2024.html
https://www.odakyu.jp/station/</x:v>
      </x:c>
      <x:c r="U1641" s="19" t="str">
        <x:v>station-component|町田|小田急電鉄|private_rail|35.5438|139.4450|</x:v>
      </x:c>
      <x:c r="V1641" s="19" t="str">
        <x:v>004387 / 004387 / 小田原線</x:v>
      </x:c>
      <x:c r="W1641" s="18" t="str">
        <x:v>否</x:v>
      </x:c>
      <x:c r="X1641" s="18" t="str">
        <x:v>0785e932a32b3ec15e1a1345537ae145eafe1c07bf38d5c16c11ee2b391e7a28</x:v>
      </x:c>
      <x:c r="Y1641" s="20" t="n">
        <x:v>1</x:v>
      </x:c>
      <x:c r="Z1641" s="20" t="n">
        <x:v>1</x:v>
      </x:c>
      <x:c r="AA1641" s="19" t="str">
        <x:v>町田</x:v>
      </x:c>
      <x:c r="AB1641" s="18" t="str">
        <x:v>transport-hub-review:bf8c88cb-e52c-5e41-b80a-c0aff8f4c168</x:v>
      </x:c>
      <x:c r="AC1641" s="19"/>
    </x:row>
    <x:row r="1642" ht="33" customHeight="1">
      <x:c r="A1642" s="18" t="str">
        <x:v>町田</x:v>
      </x:c>
      <x:c r="B1642" s="18" t="str">
        <x:v>東日本旅客鉄道</x:v>
      </x:c>
      <x:c r="C1642" s="18" t="str">
        <x:v>conventional_rail</x:v>
      </x:c>
      <x:c r="D1642" s="19" t="str">
        <x:v>T0</x:v>
      </x:c>
      <x:c r="E1642" s="20" t="n">
        <x:v>200236</x:v>
      </x:c>
      <x:c r="F1642" s="18" t="str">
        <x:v>persons/day</x:v>
      </x:c>
      <x:c r="G1642" s="18" t="str">
        <x:v>FY2024</x:v>
      </x:c>
      <x:c r="H1642" s="18" t="str">
        <x:v>否</x:v>
      </x:c>
      <x:c r="I1642" s="19" t="str">
        <x:v>DAILY_ENTRIES_EXITS</x:v>
      </x:c>
      <x:c r="J1642" s="19" t="str">
        <x:v>横浜線</x:v>
      </x:c>
      <x:c r="K1642" s="18" t="str">
        <x:v>transport-node:626c12c0-0c52-5571-bbb9-a0005e265a28</x:v>
      </x:c>
      <x:c r="L1642" s="19" t="str">
        <x:v>组件待审核</x:v>
      </x:c>
      <x:c r="M1642" s="21" t="n">
        <x:v>35.541545</x:v>
      </x:c>
      <x:c r="N1642" s="21" t="n">
        <x:v>139.44659</x:v>
      </x:c>
      <x:c r="O1642" s="18" t="str">
        <x:v>004396</x:v>
      </x:c>
      <x:c r="P1642" s="18" t="str">
        <x:v>横浜線</x:v>
      </x:c>
      <x:c r="Q1642" s="19" t="str">
        <x:v>S12_061_GE_10000
OFFICIAL_HUB_COMPONENT_REVIEW</x:v>
      </x:c>
      <x:c r="R1642" s="19" t="str">
        <x:v>S12_061 usage threshold</x:v>
      </x:c>
      <x:c r="S1642" s="19" t="str">
        <x:v>https://nlftp.mlit.go.jp/ksj/gml/datalist/KsjTmplt-S12-2024.html</x:v>
      </x:c>
      <x:c r="T1642" s="19" t="str">
        <x:v>https://nlftp.mlit.go.jp/ksj/gml/datalist/KsjTmplt-S12-2024.html
https://www.odakyu.jp/station/</x:v>
      </x:c>
      <x:c r="U1642" s="19" t="str">
        <x:v>station-component|町田|東日本旅客鉄道|conventional_rail|35.5415|139.4466|</x:v>
      </x:c>
      <x:c r="V1642" s="19" t="str">
        <x:v>004387 / 004396 / 横浜線</x:v>
      </x:c>
      <x:c r="W1642" s="18" t="str">
        <x:v>否</x:v>
      </x:c>
      <x:c r="X1642" s="18" t="str">
        <x:v>0785e932a32b3ec15e1a1345537ae145eafe1c07bf38d5c16c11ee2b391e7a28</x:v>
      </x:c>
      <x:c r="Y1642" s="20" t="n">
        <x:v>1</x:v>
      </x:c>
      <x:c r="Z1642" s="20" t="n">
        <x:v>1</x:v>
      </x:c>
      <x:c r="AA1642" s="19" t="str">
        <x:v>町田</x:v>
      </x:c>
      <x:c r="AB1642" s="18" t="str">
        <x:v>transport-hub-review:bf8c88cb-e52c-5e41-b80a-c0aff8f4c168</x:v>
      </x:c>
      <x:c r="AC1642" s="19"/>
    </x:row>
    <x:row r="1643" ht="28" customHeight="1">
      <x:c r="A1643" s="18" t="str">
        <x:v>発寒南</x:v>
      </x:c>
      <x:c r="B1643" s="18" t="str">
        <x:v>札幌市</x:v>
      </x:c>
      <x:c r="C1643" s="18" t="str">
        <x:v>metro</x:v>
      </x:c>
      <x:c r="D1643" s="19" t="str">
        <x:v>T2</x:v>
      </x:c>
      <x:c r="E1643" s="20" t="n">
        <x:v>18860</x:v>
      </x:c>
      <x:c r="F1643" s="18" t="str">
        <x:v>persons/day</x:v>
      </x:c>
      <x:c r="G1643" s="18" t="str">
        <x:v>FY2024</x:v>
      </x:c>
      <x:c r="H1643" s="18" t="str">
        <x:v>否</x:v>
      </x:c>
      <x:c r="I1643" s="19" t="str">
        <x:v>DAILY_ENTRIES_EXITS</x:v>
      </x:c>
      <x:c r="J1643" s="19" t="str">
        <x:v>東西線</x:v>
      </x:c>
      <x:c r="K1643" s="18" t="str">
        <x:v>transport-node:5de2dbb8-9b8a-5654-ac15-b629b4b77335</x:v>
      </x:c>
      <x:c r="L1643" s="19" t="str">
        <x:v>组件待审核</x:v>
      </x:c>
      <x:c r="M1643" s="21" t="n">
        <x:v>43.08153</x:v>
      </x:c>
      <x:c r="N1643" s="21" t="n">
        <x:v>141.29022</x:v>
      </x:c>
      <x:c r="O1643" s="18" t="str">
        <x:v>000216</x:v>
      </x:c>
      <x:c r="P1643" s="18" t="str">
        <x:v>東西線</x:v>
      </x:c>
      <x:c r="Q1643" s="19" t="str">
        <x:v>S12_061_GE_10000</x:v>
      </x:c>
      <x:c r="R1643" s="19" t="str">
        <x:v>S12_061 usage threshold</x:v>
      </x:c>
      <x:c r="S1643" s="19" t="str">
        <x:v>https://nlftp.mlit.go.jp/ksj/gml/datalist/KsjTmplt-S12-2024.html</x:v>
      </x:c>
      <x:c r="T1643" s="19" t="str">
        <x:v>https://nlftp.mlit.go.jp/ksj/gml/datalist/KsjTmplt-S12-2024.html</x:v>
      </x:c>
      <x:c r="U1643" s="19" t="str">
        <x:v>station-component|発寒南|札幌市|metro|43.0815|141.2902|</x:v>
      </x:c>
      <x:c r="V1643" s="19" t="str">
        <x:v>000216 / 000216 / 東西線</x:v>
      </x:c>
      <x:c r="W1643" s="18" t="str">
        <x:v>否</x:v>
      </x:c>
      <x:c r="X1643" s="18" t="str">
        <x:v>0785e932a32b3ec15e1a1345537ae145eafe1c07bf38d5c16c11ee2b391e7a28</x:v>
      </x:c>
      <x:c r="Y1643" s="20" t="n">
        <x:v>1</x:v>
      </x:c>
      <x:c r="Z1643" s="20" t="n">
        <x:v>1</x:v>
      </x:c>
      <x:c r="AA1643" s="19"/>
      <x:c r="AB1643" s="18"/>
      <x:c r="AC1643" s="19"/>
    </x:row>
    <x:row r="1644" ht="33" customHeight="1">
      <x:c r="A1644" s="18" t="str">
        <x:v>登戸</x:v>
      </x:c>
      <x:c r="B1644" s="18" t="str">
        <x:v>小田急電鉄</x:v>
      </x:c>
      <x:c r="C1644" s="18" t="str">
        <x:v>private_rail</x:v>
      </x:c>
      <x:c r="D1644" s="19" t="str">
        <x:v>T1</x:v>
      </x:c>
      <x:c r="E1644" s="20" t="n">
        <x:v>161191</x:v>
      </x:c>
      <x:c r="F1644" s="18" t="str">
        <x:v>persons/day</x:v>
      </x:c>
      <x:c r="G1644" s="18" t="str">
        <x:v>FY2024</x:v>
      </x:c>
      <x:c r="H1644" s="18" t="str">
        <x:v>否</x:v>
      </x:c>
      <x:c r="I1644" s="19" t="str">
        <x:v>DAILY_ENTRIES_EXITS</x:v>
      </x:c>
      <x:c r="J1644" s="19" t="str">
        <x:v>小田原線</x:v>
      </x:c>
      <x:c r="K1644" s="18" t="str">
        <x:v>transport-node:c88b5d1a-c512-5f79-8471-1334bfe71fd8</x:v>
      </x:c>
      <x:c r="L1644" s="19" t="str">
        <x:v>组件待审核</x:v>
      </x:c>
      <x:c r="M1644" s="21" t="n">
        <x:v>35.6208825</x:v>
      </x:c>
      <x:c r="N1644" s="21" t="n">
        <x:v>139.5693925</x:v>
      </x:c>
      <x:c r="O1644" s="18" t="str">
        <x:v>004130</x:v>
      </x:c>
      <x:c r="P1644" s="18" t="str">
        <x:v>小田原線</x:v>
      </x:c>
      <x:c r="Q1644" s="19" t="str">
        <x:v>S12_061_GE_10000
OFFICIAL_HUB_COMPONENT_REVIEW</x:v>
      </x:c>
      <x:c r="R1644" s="19" t="str">
        <x:v>S12_061 usage threshold</x:v>
      </x:c>
      <x:c r="S1644" s="19" t="str">
        <x:v>https://nlftp.mlit.go.jp/ksj/gml/datalist/KsjTmplt-S12-2024.html</x:v>
      </x:c>
      <x:c r="T1644" s="19" t="str">
        <x:v>https://nlftp.mlit.go.jp/ksj/gml/datalist/KsjTmplt-S12-2024.html
https://www.odakyu.jp/station/</x:v>
      </x:c>
      <x:c r="U1644" s="19" t="str">
        <x:v>station-component|登戸|小田急電鉄|private_rail|35.6209|139.5694|</x:v>
      </x:c>
      <x:c r="V1644" s="19" t="str">
        <x:v>004130 / 004130 / 小田原線</x:v>
      </x:c>
      <x:c r="W1644" s="18" t="str">
        <x:v>否</x:v>
      </x:c>
      <x:c r="X1644" s="18" t="str">
        <x:v>0785e932a32b3ec15e1a1345537ae145eafe1c07bf38d5c16c11ee2b391e7a28</x:v>
      </x:c>
      <x:c r="Y1644" s="20" t="n">
        <x:v>1</x:v>
      </x:c>
      <x:c r="Z1644" s="20" t="n">
        <x:v>1</x:v>
      </x:c>
      <x:c r="AA1644" s="19" t="str">
        <x:v>登戸</x:v>
      </x:c>
      <x:c r="AB1644" s="18" t="str">
        <x:v>transport-hub-review:060271cb-3364-5bf0-a1d2-7d366ffdbee6</x:v>
      </x:c>
      <x:c r="AC1644" s="19"/>
    </x:row>
    <x:row r="1645" ht="33" customHeight="1">
      <x:c r="A1645" s="18" t="str">
        <x:v>登戸</x:v>
      </x:c>
      <x:c r="B1645" s="18" t="str">
        <x:v>東日本旅客鉄道</x:v>
      </x:c>
      <x:c r="C1645" s="18" t="str">
        <x:v>conventional_rail</x:v>
      </x:c>
      <x:c r="D1645" s="19" t="str">
        <x:v>T1</x:v>
      </x:c>
      <x:c r="E1645" s="20" t="n">
        <x:v>154856</x:v>
      </x:c>
      <x:c r="F1645" s="18" t="str">
        <x:v>persons/day</x:v>
      </x:c>
      <x:c r="G1645" s="18" t="str">
        <x:v>FY2024</x:v>
      </x:c>
      <x:c r="H1645" s="18" t="str">
        <x:v>否</x:v>
      </x:c>
      <x:c r="I1645" s="19" t="str">
        <x:v>DAILY_ENTRIES_EXITS</x:v>
      </x:c>
      <x:c r="J1645" s="19" t="str">
        <x:v>南武線</x:v>
      </x:c>
      <x:c r="K1645" s="18" t="str">
        <x:v>transport-node:016e8853-2d09-5208-b6a9-c13b844c529b</x:v>
      </x:c>
      <x:c r="L1645" s="19" t="str">
        <x:v>组件待审核</x:v>
      </x:c>
      <x:c r="M1645" s="21" t="n">
        <x:v>35.62071</x:v>
      </x:c>
      <x:c r="N1645" s="21" t="n">
        <x:v>139.5702067</x:v>
      </x:c>
      <x:c r="O1645" s="18" t="str">
        <x:v>004131</x:v>
      </x:c>
      <x:c r="P1645" s="18" t="str">
        <x:v>南武線</x:v>
      </x:c>
      <x:c r="Q1645" s="19" t="str">
        <x:v>S12_061_GE_10000
OFFICIAL_HUB_COMPONENT_REVIEW</x:v>
      </x:c>
      <x:c r="R1645" s="19" t="str">
        <x:v>S12_061 usage threshold</x:v>
      </x:c>
      <x:c r="S1645" s="19" t="str">
        <x:v>https://nlftp.mlit.go.jp/ksj/gml/datalist/KsjTmplt-S12-2024.html</x:v>
      </x:c>
      <x:c r="T1645" s="19" t="str">
        <x:v>https://nlftp.mlit.go.jp/ksj/gml/datalist/KsjTmplt-S12-2024.html
https://www.odakyu.jp/station/</x:v>
      </x:c>
      <x:c r="U1645" s="19" t="str">
        <x:v>station-component|登戸|東日本旅客鉄道|conventional_rail|35.6207|139.5702|</x:v>
      </x:c>
      <x:c r="V1645" s="19" t="str">
        <x:v>004130 / 004131 / 南武線</x:v>
      </x:c>
      <x:c r="W1645" s="18" t="str">
        <x:v>否</x:v>
      </x:c>
      <x:c r="X1645" s="18" t="str">
        <x:v>0785e932a32b3ec15e1a1345537ae145eafe1c07bf38d5c16c11ee2b391e7a28</x:v>
      </x:c>
      <x:c r="Y1645" s="20" t="n">
        <x:v>1</x:v>
      </x:c>
      <x:c r="Z1645" s="20" t="n">
        <x:v>1</x:v>
      </x:c>
      <x:c r="AA1645" s="19" t="str">
        <x:v>登戸</x:v>
      </x:c>
      <x:c r="AB1645" s="18" t="str">
        <x:v>transport-hub-review:060271cb-3364-5bf0-a1d2-7d366ffdbee6</x:v>
      </x:c>
      <x:c r="AC1645" s="19"/>
    </x:row>
    <x:row r="1646" ht="28" customHeight="1">
      <x:c r="A1646" s="18" t="str">
        <x:v>白子</x:v>
      </x:c>
      <x:c r="B1646" s="18" t="str">
        <x:v>近畿日本鉄道</x:v>
      </x:c>
      <x:c r="C1646" s="18" t="str">
        <x:v>private_rail</x:v>
      </x:c>
      <x:c r="D1646" s="19" t="str">
        <x:v>T2</x:v>
      </x:c>
      <x:c r="E1646" s="20" t="n">
        <x:v>12830</x:v>
      </x:c>
      <x:c r="F1646" s="18" t="str">
        <x:v>persons/day</x:v>
      </x:c>
      <x:c r="G1646" s="18" t="str">
        <x:v>FY2024</x:v>
      </x:c>
      <x:c r="H1646" s="18" t="str">
        <x:v>否</x:v>
      </x:c>
      <x:c r="I1646" s="19" t="str">
        <x:v>DAILY_ENTRIES_EXITS</x:v>
      </x:c>
      <x:c r="J1646" s="19" t="str">
        <x:v>名古屋線</x:v>
      </x:c>
      <x:c r="K1646" s="18" t="str">
        <x:v>transport-node:daf8a0ef-2e90-5023-a58b-46977a3597a9</x:v>
      </x:c>
      <x:c r="L1646" s="19" t="str">
        <x:v>组件待审核</x:v>
      </x:c>
      <x:c r="M1646" s="21" t="n">
        <x:v>34.83386</x:v>
      </x:c>
      <x:c r="N1646" s="21" t="n">
        <x:v>136.5895</x:v>
      </x:c>
      <x:c r="O1646" s="18" t="str">
        <x:v>006482</x:v>
      </x:c>
      <x:c r="P1646" s="18" t="str">
        <x:v>名古屋線</x:v>
      </x:c>
      <x:c r="Q1646" s="19" t="str">
        <x:v>S12_061_GE_10000</x:v>
      </x:c>
      <x:c r="R1646" s="19" t="str">
        <x:v>S12_061 usage threshold</x:v>
      </x:c>
      <x:c r="S1646" s="19" t="str">
        <x:v>https://nlftp.mlit.go.jp/ksj/gml/datalist/KsjTmplt-S12-2024.html</x:v>
      </x:c>
      <x:c r="T1646" s="19" t="str">
        <x:v>https://nlftp.mlit.go.jp/ksj/gml/datalist/KsjTmplt-S12-2024.html</x:v>
      </x:c>
      <x:c r="U1646" s="19" t="str">
        <x:v>station-component|白子|近畿日本鉄道|private_rail|34.8339|136.5895|</x:v>
      </x:c>
      <x:c r="V1646" s="19" t="str">
        <x:v>006482 / 006482 / 名古屋線</x:v>
      </x:c>
      <x:c r="W1646" s="18" t="str">
        <x:v>否</x:v>
      </x:c>
      <x:c r="X1646" s="18" t="str">
        <x:v>0785e932a32b3ec15e1a1345537ae145eafe1c07bf38d5c16c11ee2b391e7a28</x:v>
      </x:c>
      <x:c r="Y1646" s="20" t="n">
        <x:v>1</x:v>
      </x:c>
      <x:c r="Z1646" s="20" t="n">
        <x:v>1</x:v>
      </x:c>
      <x:c r="AA1646" s="19"/>
      <x:c r="AB1646" s="18"/>
      <x:c r="AC1646" s="19"/>
    </x:row>
    <x:row r="1647" ht="28" customHeight="1">
      <x:c r="A1647" s="18" t="str">
        <x:v>白山</x:v>
      </x:c>
      <x:c r="B1647" s="18" t="str">
        <x:v>東京都</x:v>
      </x:c>
      <x:c r="C1647" s="18" t="str">
        <x:v>metro</x:v>
      </x:c>
      <x:c r="D1647" s="19" t="str">
        <x:v>T2</x:v>
      </x:c>
      <x:c r="E1647" s="20" t="n">
        <x:v>48388</x:v>
      </x:c>
      <x:c r="F1647" s="18" t="str">
        <x:v>persons/day</x:v>
      </x:c>
      <x:c r="G1647" s="18" t="str">
        <x:v>FY2024</x:v>
      </x:c>
      <x:c r="H1647" s="18" t="str">
        <x:v>否</x:v>
      </x:c>
      <x:c r="I1647" s="19" t="str">
        <x:v>DAILY_ENTRIES_EXITS</x:v>
      </x:c>
      <x:c r="J1647" s="19" t="str">
        <x:v>6号線三田線</x:v>
      </x:c>
      <x:c r="K1647" s="18" t="str">
        <x:v>transport-node:f845844f-6693-5638-9725-f138c5ed5f0d</x:v>
      </x:c>
      <x:c r="L1647" s="19" t="str">
        <x:v>组件待审核</x:v>
      </x:c>
      <x:c r="M1647" s="21" t="n">
        <x:v>35.72155</x:v>
      </x:c>
      <x:c r="N1647" s="21" t="n">
        <x:v>139.7522967</x:v>
      </x:c>
      <x:c r="O1647" s="18" t="str">
        <x:v>003461</x:v>
      </x:c>
      <x:c r="P1647" s="18" t="str">
        <x:v>6号線三田線</x:v>
      </x:c>
      <x:c r="Q1647" s="19" t="str">
        <x:v>S12_061_GE_10000</x:v>
      </x:c>
      <x:c r="R1647" s="19" t="str">
        <x:v>S12_061 usage threshold</x:v>
      </x:c>
      <x:c r="S1647" s="19" t="str">
        <x:v>https://nlftp.mlit.go.jp/ksj/gml/datalist/KsjTmplt-S12-2024.html</x:v>
      </x:c>
      <x:c r="T1647" s="19" t="str">
        <x:v>https://nlftp.mlit.go.jp/ksj/gml/datalist/KsjTmplt-S12-2024.html</x:v>
      </x:c>
      <x:c r="U1647" s="19" t="str">
        <x:v>station-component|白山|東京都|metro|35.7216|139.7523|</x:v>
      </x:c>
      <x:c r="V1647" s="19" t="str">
        <x:v>003461 / 003461 / 6号線三田線</x:v>
      </x:c>
      <x:c r="W1647" s="18" t="str">
        <x:v>否</x:v>
      </x:c>
      <x:c r="X1647" s="18" t="str">
        <x:v>0785e932a32b3ec15e1a1345537ae145eafe1c07bf38d5c16c11ee2b391e7a28</x:v>
      </x:c>
      <x:c r="Y1647" s="20" t="n">
        <x:v>1</x:v>
      </x:c>
      <x:c r="Z1647" s="20" t="n">
        <x:v>1</x:v>
      </x:c>
      <x:c r="AA1647" s="19"/>
      <x:c r="AB1647" s="18"/>
      <x:c r="AC1647" s="19"/>
    </x:row>
    <x:row r="1648" ht="28" customHeight="1">
      <x:c r="A1648" s="18" t="str">
        <x:v>白岡</x:v>
      </x:c>
      <x:c r="B1648" s="18" t="str">
        <x:v>東日本旅客鉄道</x:v>
      </x:c>
      <x:c r="C1648" s="18" t="str">
        <x:v>conventional_rail</x:v>
      </x:c>
      <x:c r="D1648" s="19" t="str">
        <x:v>T2</x:v>
      </x:c>
      <x:c r="E1648" s="20" t="n">
        <x:v>23340</x:v>
      </x:c>
      <x:c r="F1648" s="18" t="str">
        <x:v>persons/day</x:v>
      </x:c>
      <x:c r="G1648" s="18" t="str">
        <x:v>FY2024</x:v>
      </x:c>
      <x:c r="H1648" s="18" t="str">
        <x:v>否</x:v>
      </x:c>
      <x:c r="I1648" s="19" t="str">
        <x:v>DAILY_ENTRIES_EXITS</x:v>
      </x:c>
      <x:c r="J1648" s="19" t="str">
        <x:v>東北線</x:v>
      </x:c>
      <x:c r="K1648" s="18" t="str">
        <x:v>transport-node:27e11593-c83e-5da9-be44-2a2d01c080d3</x:v>
      </x:c>
      <x:c r="L1648" s="19" t="str">
        <x:v>组件待审核</x:v>
      </x:c>
      <x:c r="M1648" s="21" t="n">
        <x:v>36.01778</x:v>
      </x:c>
      <x:c r="N1648" s="21" t="n">
        <x:v>139.66688</x:v>
      </x:c>
      <x:c r="O1648" s="18" t="str">
        <x:v>002737</x:v>
      </x:c>
      <x:c r="P1648" s="18" t="str">
        <x:v>東北線</x:v>
      </x:c>
      <x:c r="Q1648" s="19" t="str">
        <x:v>S12_061_GE_10000</x:v>
      </x:c>
      <x:c r="R1648" s="19" t="str">
        <x:v>S12_061 usage threshold</x:v>
      </x:c>
      <x:c r="S1648" s="19" t="str">
        <x:v>https://nlftp.mlit.go.jp/ksj/gml/datalist/KsjTmplt-S12-2024.html</x:v>
      </x:c>
      <x:c r="T1648" s="19" t="str">
        <x:v>https://nlftp.mlit.go.jp/ksj/gml/datalist/KsjTmplt-S12-2024.html</x:v>
      </x:c>
      <x:c r="U1648" s="19" t="str">
        <x:v>station-component|白岡|東日本旅客鉄道|conventional_rail|36.0178|139.6669|</x:v>
      </x:c>
      <x:c r="V1648" s="19" t="str">
        <x:v>002737 / 002737 / 東北線</x:v>
      </x:c>
      <x:c r="W1648" s="18" t="str">
        <x:v>否</x:v>
      </x:c>
      <x:c r="X1648" s="18" t="str">
        <x:v>0785e932a32b3ec15e1a1345537ae145eafe1c07bf38d5c16c11ee2b391e7a28</x:v>
      </x:c>
      <x:c r="Y1648" s="20" t="n">
        <x:v>1</x:v>
      </x:c>
      <x:c r="Z1648" s="20" t="n">
        <x:v>1</x:v>
      </x:c>
      <x:c r="AA1648" s="19"/>
      <x:c r="AB1648" s="18"/>
      <x:c r="AC1648" s="19"/>
    </x:row>
    <x:row r="1649" ht="28" customHeight="1">
      <x:c r="A1649" s="18" t="str">
        <x:v>白楽</x:v>
      </x:c>
      <x:c r="B1649" s="18" t="str">
        <x:v>東急電鉄</x:v>
      </x:c>
      <x:c r="C1649" s="18" t="str">
        <x:v>private_rail</x:v>
      </x:c>
      <x:c r="D1649" s="19" t="str">
        <x:v>T2</x:v>
      </x:c>
      <x:c r="E1649" s="20" t="n">
        <x:v>41502</x:v>
      </x:c>
      <x:c r="F1649" s="18" t="str">
        <x:v>persons/day</x:v>
      </x:c>
      <x:c r="G1649" s="18" t="str">
        <x:v>FY2024</x:v>
      </x:c>
      <x:c r="H1649" s="18" t="str">
        <x:v>否</x:v>
      </x:c>
      <x:c r="I1649" s="19" t="str">
        <x:v>DAILY_ENTRIES_EXITS</x:v>
      </x:c>
      <x:c r="J1649" s="19" t="str">
        <x:v>東横線</x:v>
      </x:c>
      <x:c r="K1649" s="18" t="str">
        <x:v>transport-node:66f3b16d-00b7-55d7-86b4-ffe0bc0af9db</x:v>
      </x:c>
      <x:c r="L1649" s="19" t="str">
        <x:v>组件待审核</x:v>
      </x:c>
      <x:c r="M1649" s="21" t="n">
        <x:v>35.4895029</x:v>
      </x:c>
      <x:c r="N1649" s="21" t="n">
        <x:v>139.6279214</x:v>
      </x:c>
      <x:c r="O1649" s="18" t="str">
        <x:v>004554</x:v>
      </x:c>
      <x:c r="P1649" s="18" t="str">
        <x:v>東横線</x:v>
      </x:c>
      <x:c r="Q1649" s="19" t="str">
        <x:v>S12_061_GE_10000</x:v>
      </x:c>
      <x:c r="R1649" s="19" t="str">
        <x:v>S12_061 usage threshold</x:v>
      </x:c>
      <x:c r="S1649" s="19" t="str">
        <x:v>https://nlftp.mlit.go.jp/ksj/gml/datalist/KsjTmplt-S12-2024.html</x:v>
      </x:c>
      <x:c r="T1649" s="19" t="str">
        <x:v>https://nlftp.mlit.go.jp/ksj/gml/datalist/KsjTmplt-S12-2024.html</x:v>
      </x:c>
      <x:c r="U1649" s="19" t="str">
        <x:v>station-component|白楽|東急電鉄|private_rail|35.4895|139.6279|</x:v>
      </x:c>
      <x:c r="V1649" s="19" t="str">
        <x:v>004554 / 004554 / 東横線</x:v>
      </x:c>
      <x:c r="W1649" s="18" t="str">
        <x:v>否</x:v>
      </x:c>
      <x:c r="X1649" s="18" t="str">
        <x:v>0785e932a32b3ec15e1a1345537ae145eafe1c07bf38d5c16c11ee2b391e7a28</x:v>
      </x:c>
      <x:c r="Y1649" s="20" t="n">
        <x:v>1</x:v>
      </x:c>
      <x:c r="Z1649" s="20" t="n">
        <x:v>1</x:v>
      </x:c>
      <x:c r="AA1649" s="19"/>
      <x:c r="AB1649" s="18"/>
      <x:c r="AC1649" s="19"/>
    </x:row>
    <x:row r="1650" ht="33" customHeight="1">
      <x:c r="A1650" s="18" t="str">
        <x:v>白石</x:v>
      </x:c>
      <x:c r="B1650" s="18" t="str">
        <x:v>北海道旅客鉄道</x:v>
      </x:c>
      <x:c r="C1650" s="18" t="str">
        <x:v>conventional_rail</x:v>
      </x:c>
      <x:c r="D1650" s="19" t="str">
        <x:v>T2</x:v>
      </x:c>
      <x:c r="E1650" s="20" t="n">
        <x:v>14940</x:v>
      </x:c>
      <x:c r="F1650" s="18" t="str">
        <x:v>persons/day</x:v>
      </x:c>
      <x:c r="G1650" s="18" t="str">
        <x:v>FY2024</x:v>
      </x:c>
      <x:c r="H1650" s="18" t="str">
        <x:v>否</x:v>
      </x:c>
      <x:c r="I1650" s="19" t="str">
        <x:v>DAILY_ENTRIES_EXITS</x:v>
      </x:c>
      <x:c r="J1650" s="19" t="str">
        <x:v>函館線
千歳線</x:v>
      </x:c>
      <x:c r="K1650" s="18" t="str">
        <x:v>transport-node:4ae10996-f62b-549c-919f-3d6c1484b9d1</x:v>
      </x:c>
      <x:c r="L1650" s="19" t="str">
        <x:v>组件待审核</x:v>
      </x:c>
      <x:c r="M1650" s="21" t="n">
        <x:v>43.05476</x:v>
      </x:c>
      <x:c r="N1650" s="21" t="n">
        <x:v>141.41407</x:v>
      </x:c>
      <x:c r="O1650" s="18" t="str">
        <x:v>000256</x:v>
      </x:c>
      <x:c r="P1650" s="18" t="str">
        <x:v>函館線</x:v>
      </x:c>
      <x:c r="Q1650" s="19" t="str">
        <x:v>S12_061_GE_10000</x:v>
      </x:c>
      <x:c r="R1650" s="19" t="str">
        <x:v>S12_061 usage threshold</x:v>
      </x:c>
      <x:c r="S1650" s="19" t="str">
        <x:v>https://nlftp.mlit.go.jp/ksj/gml/datalist/KsjTmplt-S12-2024.html</x:v>
      </x:c>
      <x:c r="T1650" s="19" t="str">
        <x:v>https://nlftp.mlit.go.jp/ksj/gml/datalist/KsjTmplt-S12-2024.html</x:v>
      </x:c>
      <x:c r="U1650" s="19" t="str">
        <x:v>station-component|白石|北海道旅客鉄道|conventional_rail|43.0548|141.4141|</x:v>
      </x:c>
      <x:c r="V1650" s="19" t="str">
        <x:v>000255 / 000255 / 千歳線
000255 / 000256 / 函館線</x:v>
      </x:c>
      <x:c r="W1650" s="18" t="str">
        <x:v>否</x:v>
      </x:c>
      <x:c r="X1650" s="18" t="str">
        <x:v>0785e932a32b3ec15e1a1345537ae145eafe1c07bf38d5c16c11ee2b391e7a28</x:v>
      </x:c>
      <x:c r="Y1650" s="20" t="n">
        <x:v>1</x:v>
      </x:c>
      <x:c r="Z1650" s="20" t="n">
        <x:v>1</x:v>
      </x:c>
      <x:c r="AA1650" s="19"/>
      <x:c r="AB1650" s="18"/>
      <x:c r="AC1650" s="19"/>
    </x:row>
    <x:row r="1651" ht="28" customHeight="1">
      <x:c r="A1651" s="18" t="str">
        <x:v>白石</x:v>
      </x:c>
      <x:c r="B1651" s="18" t="str">
        <x:v>札幌市</x:v>
      </x:c>
      <x:c r="C1651" s="18" t="str">
        <x:v>metro</x:v>
      </x:c>
      <x:c r="D1651" s="19" t="str">
        <x:v>T2</x:v>
      </x:c>
      <x:c r="E1651" s="20" t="n">
        <x:v>28762</x:v>
      </x:c>
      <x:c r="F1651" s="18" t="str">
        <x:v>persons/day</x:v>
      </x:c>
      <x:c r="G1651" s="18" t="str">
        <x:v>FY2024</x:v>
      </x:c>
      <x:c r="H1651" s="18" t="str">
        <x:v>否</x:v>
      </x:c>
      <x:c r="I1651" s="19" t="str">
        <x:v>DAILY_ENTRIES_EXITS</x:v>
      </x:c>
      <x:c r="J1651" s="19" t="str">
        <x:v>東西線</x:v>
      </x:c>
      <x:c r="K1651" s="18" t="str">
        <x:v>transport-node:3901a0e3-ca99-59a9-b3f1-f51b397c9940</x:v>
      </x:c>
      <x:c r="L1651" s="19" t="str">
        <x:v>组件待审核</x:v>
      </x:c>
      <x:c r="M1651" s="21" t="n">
        <x:v>43.04635</x:v>
      </x:c>
      <x:c r="N1651" s="21" t="n">
        <x:v>141.395705</x:v>
      </x:c>
      <x:c r="O1651" s="18" t="str">
        <x:v>000267</x:v>
      </x:c>
      <x:c r="P1651" s="18" t="str">
        <x:v>東西線</x:v>
      </x:c>
      <x:c r="Q1651" s="19" t="str">
        <x:v>S12_061_GE_10000</x:v>
      </x:c>
      <x:c r="R1651" s="19" t="str">
        <x:v>S12_061 usage threshold</x:v>
      </x:c>
      <x:c r="S1651" s="19" t="str">
        <x:v>https://nlftp.mlit.go.jp/ksj/gml/datalist/KsjTmplt-S12-2024.html</x:v>
      </x:c>
      <x:c r="T1651" s="19" t="str">
        <x:v>https://nlftp.mlit.go.jp/ksj/gml/datalist/KsjTmplt-S12-2024.html</x:v>
      </x:c>
      <x:c r="U1651" s="19" t="str">
        <x:v>station-component|白石|札幌市|metro|43.0463|141.3957|</x:v>
      </x:c>
      <x:c r="V1651" s="19" t="str">
        <x:v>000267 / 000267 / 東西線</x:v>
      </x:c>
      <x:c r="W1651" s="18" t="str">
        <x:v>否</x:v>
      </x:c>
      <x:c r="X1651" s="18" t="str">
        <x:v>0785e932a32b3ec15e1a1345537ae145eafe1c07bf38d5c16c11ee2b391e7a28</x:v>
      </x:c>
      <x:c r="Y1651" s="20" t="n">
        <x:v>1</x:v>
      </x:c>
      <x:c r="Z1651" s="20" t="n">
        <x:v>1</x:v>
      </x:c>
      <x:c r="AA1651" s="19"/>
      <x:c r="AB1651" s="18"/>
      <x:c r="AC1651" s="19"/>
    </x:row>
    <x:row r="1652" ht="33" customHeight="1">
      <x:c r="A1652" s="18" t="str">
        <x:v>白石蔵王</x:v>
      </x:c>
      <x:c r="B1652" s="18" t="str">
        <x:v>東日本旅客鉄道</x:v>
      </x:c>
      <x:c r="C1652" s="18" t="str">
        <x:v>shinkansen</x:v>
      </x:c>
      <x:c r="D1652" s="19" t="str">
        <x:v>T3</x:v>
      </x:c>
      <x:c r="E1652" s="20" t="n">
        <x:v>1728</x:v>
      </x:c>
      <x:c r="F1652" s="18" t="str">
        <x:v>persons/day</x:v>
      </x:c>
      <x:c r="G1652" s="18" t="str">
        <x:v>FY2024</x:v>
      </x:c>
      <x:c r="H1652" s="18" t="str">
        <x:v>否</x:v>
      </x:c>
      <x:c r="I1652" s="19" t="str">
        <x:v>DAILY_ENTRIES_EXITS</x:v>
      </x:c>
      <x:c r="J1652" s="19" t="str">
        <x:v>東北新幹線</x:v>
      </x:c>
      <x:c r="K1652" s="18" t="str">
        <x:v>transport-node:ac036c4a-679b-50c7-9b36-53eed32aff4b</x:v>
      </x:c>
      <x:c r="L1652" s="19" t="str">
        <x:v>组件待审核</x:v>
      </x:c>
      <x:c r="M1652" s="21" t="n">
        <x:v>37.99498</x:v>
      </x:c>
      <x:c r="N1652" s="21" t="n">
        <x:v>140.63296</x:v>
      </x:c>
      <x:c r="O1652" s="18" t="str">
        <x:v>001272</x:v>
      </x:c>
      <x:c r="P1652" s="18" t="str">
        <x:v>東北新幹線</x:v>
      </x:c>
      <x:c r="Q1652" s="19" t="str">
        <x:v>SHINKANSEN</x:v>
      </x:c>
      <x:c r="R1652" s="19" t="str">
        <x:v>S12_061 usage threshold; low-flow inclusion justified by Shinkansen inventory</x:v>
      </x:c>
      <x:c r="S1652" s="19" t="str">
        <x:v>https://nlftp.mlit.go.jp/ksj/gml/datalist/KsjTmplt-S12-2024.html</x:v>
      </x:c>
      <x:c r="T1652" s="19" t="str">
        <x:v>https://nlftp.mlit.go.jp/ksj/gml/datalist/KsjTmplt-S12-2024.html</x:v>
      </x:c>
      <x:c r="U1652" s="19" t="str">
        <x:v>station-component|白石蔵王|東日本旅客鉄道|shinkansen|37.9950|140.6330|</x:v>
      </x:c>
      <x:c r="V1652" s="19" t="str">
        <x:v>001272 / 001272 / 東北新幹線</x:v>
      </x:c>
      <x:c r="W1652" s="18" t="str">
        <x:v>否</x:v>
      </x:c>
      <x:c r="X1652" s="18" t="str">
        <x:v>0785e932a32b3ec15e1a1345537ae145eafe1c07bf38d5c16c11ee2b391e7a28</x:v>
      </x:c>
      <x:c r="Y1652" s="20" t="n">
        <x:v>1</x:v>
      </x:c>
      <x:c r="Z1652" s="20" t="n">
        <x:v>1</x:v>
      </x:c>
      <x:c r="AA1652" s="19"/>
      <x:c r="AB1652" s="18"/>
      <x:c r="AC1652" s="19"/>
    </x:row>
    <x:row r="1653" ht="28" customHeight="1">
      <x:c r="A1653" s="18" t="str">
        <x:v>白金台</x:v>
      </x:c>
      <x:c r="B1653" s="18" t="str">
        <x:v>東京地下鉄</x:v>
      </x:c>
      <x:c r="C1653" s="18" t="str">
        <x:v>metro</x:v>
      </x:c>
      <x:c r="D1653" s="19" t="str">
        <x:v>T2</x:v>
      </x:c>
      <x:c r="E1653" s="20" t="n">
        <x:v>16791</x:v>
      </x:c>
      <x:c r="F1653" s="18" t="str">
        <x:v>persons/day</x:v>
      </x:c>
      <x:c r="G1653" s="18" t="str">
        <x:v>FY2024</x:v>
      </x:c>
      <x:c r="H1653" s="18" t="str">
        <x:v>否</x:v>
      </x:c>
      <x:c r="I1653" s="19" t="str">
        <x:v>DAILY_ENTRIES_EXITS</x:v>
      </x:c>
      <x:c r="J1653" s="19" t="str">
        <x:v>7号線南北線</x:v>
      </x:c>
      <x:c r="K1653" s="18" t="str">
        <x:v>transport-node:126bc13c-2b36-5e81-86ee-721cbb1e8147</x:v>
      </x:c>
      <x:c r="L1653" s="19" t="str">
        <x:v>组件待审核</x:v>
      </x:c>
      <x:c r="M1653" s="21" t="n">
        <x:v>35.63777</x:v>
      </x:c>
      <x:c r="N1653" s="21" t="n">
        <x:v>139.72586</x:v>
      </x:c>
      <x:c r="O1653" s="18" t="str">
        <x:v>004045</x:v>
      </x:c>
      <x:c r="P1653" s="18" t="str">
        <x:v>7号線南北線</x:v>
      </x:c>
      <x:c r="Q1653" s="19" t="str">
        <x:v>S12_061_GE_10000</x:v>
      </x:c>
      <x:c r="R1653" s="19" t="str">
        <x:v>S12_061 usage threshold</x:v>
      </x:c>
      <x:c r="S1653" s="19" t="str">
        <x:v>https://nlftp.mlit.go.jp/ksj/gml/datalist/KsjTmplt-S12-2024.html</x:v>
      </x:c>
      <x:c r="T1653" s="19" t="str">
        <x:v>https://nlftp.mlit.go.jp/ksj/gml/datalist/KsjTmplt-S12-2024.html</x:v>
      </x:c>
      <x:c r="U1653" s="19" t="str">
        <x:v>station-component|白金台|東京地下鉄|metro|35.6378|139.7259|</x:v>
      </x:c>
      <x:c r="V1653" s="19" t="str">
        <x:v>004044 / 004045 / 7号線南北線</x:v>
      </x:c>
      <x:c r="W1653" s="18" t="str">
        <x:v>否</x:v>
      </x:c>
      <x:c r="X1653" s="18" t="str">
        <x:v>0785e932a32b3ec15e1a1345537ae145eafe1c07bf38d5c16c11ee2b391e7a28</x:v>
      </x:c>
      <x:c r="Y1653" s="20" t="n">
        <x:v>1</x:v>
      </x:c>
      <x:c r="Z1653" s="20" t="n">
        <x:v>1</x:v>
      </x:c>
      <x:c r="AA1653" s="19"/>
      <x:c r="AB1653" s="18"/>
      <x:c r="AC1653" s="19"/>
    </x:row>
    <x:row r="1654" ht="33" customHeight="1">
      <x:c r="A1654" s="18" t="str">
        <x:v>白金高輪</x:v>
      </x:c>
      <x:c r="B1654" s="18" t="str">
        <x:v>東京地下鉄</x:v>
      </x:c>
      <x:c r="C1654" s="18" t="str">
        <x:v>metro</x:v>
      </x:c>
      <x:c r="D1654" s="19" t="str">
        <x:v>T2</x:v>
      </x:c>
      <x:c r="E1654" s="20" t="n">
        <x:v>36926</x:v>
      </x:c>
      <x:c r="F1654" s="18" t="str">
        <x:v>persons/day</x:v>
      </x:c>
      <x:c r="G1654" s="18" t="str">
        <x:v>FY2024</x:v>
      </x:c>
      <x:c r="H1654" s="18" t="str">
        <x:v>否</x:v>
      </x:c>
      <x:c r="I1654" s="19" t="str">
        <x:v>DAILY_ENTRIES_EXITS</x:v>
      </x:c>
      <x:c r="J1654" s="19" t="str">
        <x:v>7号線南北線</x:v>
      </x:c>
      <x:c r="K1654" s="18" t="str">
        <x:v>transport-node:51eedf60-5618-5343-a4e2-3cc97617bdb1</x:v>
      </x:c>
      <x:c r="L1654" s="19" t="str">
        <x:v>组件待审核</x:v>
      </x:c>
      <x:c r="M1654" s="21" t="n">
        <x:v>35.643145</x:v>
      </x:c>
      <x:c r="N1654" s="21" t="n">
        <x:v>139.734285</x:v>
      </x:c>
      <x:c r="O1654" s="18" t="str">
        <x:v>004026</x:v>
      </x:c>
      <x:c r="P1654" s="18" t="str">
        <x:v>7号線南北線</x:v>
      </x:c>
      <x:c r="Q1654" s="19" t="str">
        <x:v>S12_061_GE_10000
OFFICIAL_HUB_COMPONENT_REVIEW</x:v>
      </x:c>
      <x:c r="R1654" s="19" t="str">
        <x:v>S12_061 usage threshold</x:v>
      </x:c>
      <x:c r="S1654" s="19" t="str">
        <x:v>https://nlftp.mlit.go.jp/ksj/gml/datalist/KsjTmplt-S12-2024.html</x:v>
      </x:c>
      <x:c r="T1654" s="19" t="str">
        <x:v>https://nlftp.mlit.go.jp/ksj/gml/datalist/KsjTmplt-S12-2024.html
https://www.tokyometro.jp/station/shirokane-takanawa/index.html</x:v>
      </x:c>
      <x:c r="U1654" s="19" t="str">
        <x:v>station-component|白金高輪|東京地下鉄|metro|35.6431|139.7343|</x:v>
      </x:c>
      <x:c r="V1654" s="19" t="str">
        <x:v>004025 / 004026 / 7号線南北線</x:v>
      </x:c>
      <x:c r="W1654" s="18" t="str">
        <x:v>否</x:v>
      </x:c>
      <x:c r="X1654" s="18" t="str">
        <x:v>0785e932a32b3ec15e1a1345537ae145eafe1c07bf38d5c16c11ee2b391e7a28</x:v>
      </x:c>
      <x:c r="Y1654" s="20" t="n">
        <x:v>1</x:v>
      </x:c>
      <x:c r="Z1654" s="20" t="n">
        <x:v>1</x:v>
      </x:c>
      <x:c r="AA1654" s="19" t="str">
        <x:v>白金高輪</x:v>
      </x:c>
      <x:c r="AB1654" s="18" t="str">
        <x:v>transport-hub-review:572d517f-2290-5675-8485-80dcc7779b40</x:v>
      </x:c>
      <x:c r="AC1654" s="19"/>
    </x:row>
    <x:row r="1655" ht="33" customHeight="1">
      <x:c r="A1655" s="18" t="str">
        <x:v>白金高輪</x:v>
      </x:c>
      <x:c r="B1655" s="18" t="str">
        <x:v>東京都</x:v>
      </x:c>
      <x:c r="C1655" s="18" t="str">
        <x:v>metro</x:v>
      </x:c>
      <x:c r="D1655" s="19"/>
      <x:c r="E1655" s="20"/>
      <x:c r="F1655" s="18"/>
      <x:c r="G1655" s="18" t="str">
        <x:v>FY2024</x:v>
      </x:c>
      <x:c r="H1655" s="18" t="str">
        <x:v>是</x:v>
      </x:c>
      <x:c r="I1655" s="19" t="str">
        <x:v>USAGE_DATA_UNAVAILABLE</x:v>
      </x:c>
      <x:c r="J1655" s="19" t="str">
        <x:v>6号線三田線</x:v>
      </x:c>
      <x:c r="K1655" s="18" t="str">
        <x:v>transport-node:a47ee2dd-2d6b-5a72-a375-07b2efe5ab4e</x:v>
      </x:c>
      <x:c r="L1655" s="19" t="str">
        <x:v>组件待审核</x:v>
      </x:c>
      <x:c r="M1655" s="21" t="n">
        <x:v>35.643145</x:v>
      </x:c>
      <x:c r="N1655" s="21" t="n">
        <x:v>139.734285</x:v>
      </x:c>
      <x:c r="O1655" s="18" t="str">
        <x:v>004025</x:v>
      </x:c>
      <x:c r="P1655" s="18" t="str">
        <x:v>6号線三田線</x:v>
      </x:c>
      <x:c r="Q1655" s="19" t="str">
        <x:v>OFFICIAL_HUB_COMPONENT_REVIEW</x:v>
      </x:c>
      <x:c r="R1655" s="19" t="str">
        <x:v>Official S12 usage unavailable; manual tier review required</x:v>
      </x:c>
      <x:c r="S1655" s="19" t="str">
        <x:v>https://nlftp.mlit.go.jp/ksj/gml/datalist/KsjTmplt-S12-2024.html</x:v>
      </x:c>
      <x:c r="T1655" s="19" t="str">
        <x:v>https://nlftp.mlit.go.jp/ksj/gml/datalist/KsjTmplt-S12-2024.html
https://www.tokyometro.jp/station/shirokane-takanawa/index.html</x:v>
      </x:c>
      <x:c r="U1655" s="19" t="str">
        <x:v>station-component|白金高輪|東京都|metro|35.6431|139.7343|</x:v>
      </x:c>
      <x:c r="V1655" s="19" t="str">
        <x:v>004025 / 004025 / 6号線三田線</x:v>
      </x:c>
      <x:c r="W1655" s="18" t="str">
        <x:v>否</x:v>
      </x:c>
      <x:c r="X1655" s="18" t="str">
        <x:v>0785e932a32b3ec15e1a1345537ae145eafe1c07bf38d5c16c11ee2b391e7a28</x:v>
      </x:c>
      <x:c r="Y1655" s="20" t="n">
        <x:v>1</x:v>
      </x:c>
      <x:c r="Z1655" s="20" t="n">
        <x:v>2</x:v>
      </x:c>
      <x:c r="AA1655" s="19" t="str">
        <x:v>白金高輪</x:v>
      </x:c>
      <x:c r="AB1655" s="18" t="str">
        <x:v>transport-hub-review:572d517f-2290-5675-8485-80dcc7779b40</x:v>
      </x:c>
      <x:c r="AC1655" s="19"/>
    </x:row>
    <x:row r="1656" ht="28" customHeight="1">
      <x:c r="A1656" s="18" t="str">
        <x:v>白鷺</x:v>
      </x:c>
      <x:c r="B1656" s="18" t="str">
        <x:v>南海電気鉄道</x:v>
      </x:c>
      <x:c r="C1656" s="18" t="str">
        <x:v>private_rail</x:v>
      </x:c>
      <x:c r="D1656" s="19" t="str">
        <x:v>T2</x:v>
      </x:c>
      <x:c r="E1656" s="20" t="n">
        <x:v>10365</x:v>
      </x:c>
      <x:c r="F1656" s="18" t="str">
        <x:v>persons/day</x:v>
      </x:c>
      <x:c r="G1656" s="18" t="str">
        <x:v>FY2024</x:v>
      </x:c>
      <x:c r="H1656" s="18" t="str">
        <x:v>否</x:v>
      </x:c>
      <x:c r="I1656" s="19" t="str">
        <x:v>DAILY_ENTRIES_EXITS</x:v>
      </x:c>
      <x:c r="J1656" s="19" t="str">
        <x:v>高野線</x:v>
      </x:c>
      <x:c r="K1656" s="18" t="str">
        <x:v>transport-node:0689f0ae-2f18-5d90-99c0-8bd67987e1d7</x:v>
      </x:c>
      <x:c r="L1656" s="19" t="str">
        <x:v>组件待审核</x:v>
      </x:c>
      <x:c r="M1656" s="21" t="n">
        <x:v>34.550105</x:v>
      </x:c>
      <x:c r="N1656" s="21" t="n">
        <x:v>135.51334</x:v>
      </x:c>
      <x:c r="O1656" s="18" t="str">
        <x:v>007733</x:v>
      </x:c>
      <x:c r="P1656" s="18" t="str">
        <x:v>高野線</x:v>
      </x:c>
      <x:c r="Q1656" s="19" t="str">
        <x:v>S12_061_GE_10000</x:v>
      </x:c>
      <x:c r="R1656" s="19" t="str">
        <x:v>S12_061 usage threshold</x:v>
      </x:c>
      <x:c r="S1656" s="19" t="str">
        <x:v>https://nlftp.mlit.go.jp/ksj/gml/datalist/KsjTmplt-S12-2024.html</x:v>
      </x:c>
      <x:c r="T1656" s="19" t="str">
        <x:v>https://nlftp.mlit.go.jp/ksj/gml/datalist/KsjTmplt-S12-2024.html</x:v>
      </x:c>
      <x:c r="U1656" s="19" t="str">
        <x:v>station-component|白鷺|南海電気鉄道|private_rail|34.5501|135.5133|</x:v>
      </x:c>
      <x:c r="V1656" s="19" t="str">
        <x:v>007733 / 007733 / 高野線</x:v>
      </x:c>
      <x:c r="W1656" s="18" t="str">
        <x:v>否</x:v>
      </x:c>
      <x:c r="X1656" s="18" t="str">
        <x:v>0785e932a32b3ec15e1a1345537ae145eafe1c07bf38d5c16c11ee2b391e7a28</x:v>
      </x:c>
      <x:c r="Y1656" s="20" t="n">
        <x:v>1</x:v>
      </x:c>
      <x:c r="Z1656" s="20" t="n">
        <x:v>1</x:v>
      </x:c>
      <x:c r="AA1656" s="19"/>
      <x:c r="AB1656" s="18"/>
      <x:c r="AC1656" s="19"/>
    </x:row>
    <x:row r="1657" ht="28" customHeight="1">
      <x:c r="A1657" s="18" t="str">
        <x:v>百合ヶ丘</x:v>
      </x:c>
      <x:c r="B1657" s="18" t="str">
        <x:v>小田急電鉄</x:v>
      </x:c>
      <x:c r="C1657" s="18" t="str">
        <x:v>private_rail</x:v>
      </x:c>
      <x:c r="D1657" s="19" t="str">
        <x:v>T2</x:v>
      </x:c>
      <x:c r="E1657" s="20" t="n">
        <x:v>20583</x:v>
      </x:c>
      <x:c r="F1657" s="18" t="str">
        <x:v>persons/day</x:v>
      </x:c>
      <x:c r="G1657" s="18" t="str">
        <x:v>FY2024</x:v>
      </x:c>
      <x:c r="H1657" s="18" t="str">
        <x:v>否</x:v>
      </x:c>
      <x:c r="I1657" s="19" t="str">
        <x:v>DAILY_ENTRIES_EXITS</x:v>
      </x:c>
      <x:c r="J1657" s="19" t="str">
        <x:v>小田原線</x:v>
      </x:c>
      <x:c r="K1657" s="18" t="str">
        <x:v>transport-node:76a9267e-8fff-5b4e-9988-050739559e99</x:v>
      </x:c>
      <x:c r="L1657" s="19" t="str">
        <x:v>组件待审核</x:v>
      </x:c>
      <x:c r="M1657" s="21" t="n">
        <x:v>35.609025</x:v>
      </x:c>
      <x:c r="N1657" s="21" t="n">
        <x:v>139.51608</x:v>
      </x:c>
      <x:c r="O1657" s="18" t="str">
        <x:v>004185</x:v>
      </x:c>
      <x:c r="P1657" s="18" t="str">
        <x:v>小田原線</x:v>
      </x:c>
      <x:c r="Q1657" s="19" t="str">
        <x:v>S12_061_GE_10000</x:v>
      </x:c>
      <x:c r="R1657" s="19" t="str">
        <x:v>S12_061 usage threshold</x:v>
      </x:c>
      <x:c r="S1657" s="19" t="str">
        <x:v>https://nlftp.mlit.go.jp/ksj/gml/datalist/KsjTmplt-S12-2024.html</x:v>
      </x:c>
      <x:c r="T1657" s="19" t="str">
        <x:v>https://nlftp.mlit.go.jp/ksj/gml/datalist/KsjTmplt-S12-2024.html</x:v>
      </x:c>
      <x:c r="U1657" s="19" t="str">
        <x:v>station-component|百合ヶ丘|小田急電鉄|private_rail|35.6090|139.5161|</x:v>
      </x:c>
      <x:c r="V1657" s="19" t="str">
        <x:v>004185 / 004185 / 小田原線</x:v>
      </x:c>
      <x:c r="W1657" s="18" t="str">
        <x:v>否</x:v>
      </x:c>
      <x:c r="X1657" s="18" t="str">
        <x:v>0785e932a32b3ec15e1a1345537ae145eafe1c07bf38d5c16c11ee2b391e7a28</x:v>
      </x:c>
      <x:c r="Y1657" s="20" t="n">
        <x:v>1</x:v>
      </x:c>
      <x:c r="Z1657" s="20" t="n">
        <x:v>1</x:v>
      </x:c>
      <x:c r="AA1657" s="19"/>
      <x:c r="AB1657" s="18"/>
      <x:c r="AC1657" s="19"/>
    </x:row>
    <x:row r="1658" ht="47" customHeight="1">
      <x:c r="A1658" s="18" t="str">
        <x:v>盛岡</x:v>
      </x:c>
      <x:c r="B1658" s="18" t="str">
        <x:v>東日本旅客鉄道</x:v>
      </x:c>
      <x:c r="C1658" s="18" t="str">
        <x:v>conventional_rail</x:v>
      </x:c>
      <x:c r="D1658" s="19" t="str">
        <x:v>T2</x:v>
      </x:c>
      <x:c r="E1658" s="20" t="n">
        <x:v>32900</x:v>
      </x:c>
      <x:c r="F1658" s="18" t="str">
        <x:v>persons/day</x:v>
      </x:c>
      <x:c r="G1658" s="18" t="str">
        <x:v>FY2024</x:v>
      </x:c>
      <x:c r="H1658" s="18" t="str">
        <x:v>否</x:v>
      </x:c>
      <x:c r="I1658" s="19" t="str">
        <x:v>DAILY_ENTRIES_EXITS</x:v>
      </x:c>
      <x:c r="J1658" s="19" t="str">
        <x:v>山田線
東北線
田沢湖線</x:v>
      </x:c>
      <x:c r="K1658" s="18" t="str">
        <x:v>transport-node:12ef2e9d-601f-56c7-afdc-d5e3a3415e5f</x:v>
      </x:c>
      <x:c r="L1658" s="19" t="str">
        <x:v>组件待审核</x:v>
      </x:c>
      <x:c r="M1658" s="21" t="n">
        <x:v>39.701195</x:v>
      </x:c>
      <x:c r="N1658" s="21" t="n">
        <x:v>141.136375</x:v>
      </x:c>
      <x:c r="O1658" s="18" t="str">
        <x:v>000793</x:v>
      </x:c>
      <x:c r="P1658" s="18" t="str">
        <x:v>東北線</x:v>
      </x:c>
      <x:c r="Q1658" s="19" t="str">
        <x:v>S12_061_GE_10000</x:v>
      </x:c>
      <x:c r="R1658" s="19" t="str">
        <x:v>S12_061 usage threshold</x:v>
      </x:c>
      <x:c r="S1658" s="19" t="str">
        <x:v>https://nlftp.mlit.go.jp/ksj/gml/datalist/KsjTmplt-S12-2024.html</x:v>
      </x:c>
      <x:c r="T1658" s="19" t="str">
        <x:v>https://nlftp.mlit.go.jp/ksj/gml/datalist/KsjTmplt-S12-2024.html</x:v>
      </x:c>
      <x:c r="U1658" s="19" t="str">
        <x:v>station-component|盛岡|東日本旅客鉄道|conventional_rail|39.7012|141.1364|</x:v>
      </x:c>
      <x:c r="V1658" s="19" t="str">
        <x:v>000792 / 000791 / 田沢湖線
000792 / 000792 / 山田線
000792 / 000793 / 東北線</x:v>
      </x:c>
      <x:c r="W1658" s="18" t="str">
        <x:v>否</x:v>
      </x:c>
      <x:c r="X1658" s="18" t="str">
        <x:v>0785e932a32b3ec15e1a1345537ae145eafe1c07bf38d5c16c11ee2b391e7a28</x:v>
      </x:c>
      <x:c r="Y1658" s="20" t="n">
        <x:v>1</x:v>
      </x:c>
      <x:c r="Z1658" s="20" t="n">
        <x:v>1</x:v>
      </x:c>
      <x:c r="AA1658" s="19"/>
      <x:c r="AB1658" s="18"/>
      <x:c r="AC1658" s="19"/>
    </x:row>
    <x:row r="1659" ht="33" customHeight="1">
      <x:c r="A1659" s="18" t="str">
        <x:v>盛岡</x:v>
      </x:c>
      <x:c r="B1659" s="18" t="str">
        <x:v>東日本旅客鉄道</x:v>
      </x:c>
      <x:c r="C1659" s="18" t="str">
        <x:v>shinkansen</x:v>
      </x:c>
      <x:c r="D1659" s="19"/>
      <x:c r="E1659" s="20" t="n">
        <x:v>7430</x:v>
      </x:c>
      <x:c r="F1659" s="18" t="str">
        <x:v>boardings/day</x:v>
      </x:c>
      <x:c r="G1659" s="18" t="str">
        <x:v>FY2024</x:v>
      </x:c>
      <x:c r="H1659" s="18" t="str">
        <x:v>是</x:v>
      </x:c>
      <x:c r="I1659" s="19" t="str">
        <x:v>DAILY_SHINKANSEN_BOARDINGS</x:v>
      </x:c>
      <x:c r="J1659" s="19" t="str">
        <x:v>東北新幹線</x:v>
      </x:c>
      <x:c r="K1659" s="18" t="str">
        <x:v>transport-node:75fed979-471e-5411-88b1-af5f236d04b4</x:v>
      </x:c>
      <x:c r="L1659" s="19" t="str">
        <x:v>组件待审核</x:v>
      </x:c>
      <x:c r="M1659" s="21" t="n">
        <x:v>39.70155</x:v>
      </x:c>
      <x:c r="N1659" s="21" t="n">
        <x:v>141.13653</x:v>
      </x:c>
      <x:c r="O1659" s="18" t="str">
        <x:v>000790</x:v>
      </x:c>
      <x:c r="P1659" s="18" t="str">
        <x:v>東北新幹線</x:v>
      </x:c>
      <x:c r="Q1659" s="19" t="str">
        <x:v>SHINKANSEN</x:v>
      </x:c>
      <x:c r="R1659" s="19" t="str">
        <x:v>Official fallback retained in published scope/unit; tier remains null pending metric/manual review.</x:v>
      </x:c>
      <x:c r="S1659" s="19" t="str">
        <x:v>https://www.jreast.co.jp/company/data/passenger/2024_shinkansen.html/</x:v>
      </x:c>
      <x:c r="T1659" s="19" t="str">
        <x:v>https://nlftp.mlit.go.jp/ksj/gml/datalist/KsjTmplt-S12-2024.html
https://www.jreast.co.jp/company/data/passenger/2024_shinkansen.html/</x:v>
      </x:c>
      <x:c r="U1659" s="19" t="str">
        <x:v>station-component|盛岡|東日本旅客鉄道|shinkansen|39.7015|141.1365|</x:v>
      </x:c>
      <x:c r="V1659" s="19" t="str">
        <x:v>000792 / 000790 / 東北新幹線</x:v>
      </x:c>
      <x:c r="W1659" s="18" t="str">
        <x:v>否</x:v>
      </x:c>
      <x:c r="X1659" s="18" t="str">
        <x:v>0785e932a32b3ec15e1a1345537ae145eafe1c07bf38d5c16c11ee2b391e7a28</x:v>
      </x:c>
      <x:c r="Y1659" s="20" t="n">
        <x:v>1</x:v>
      </x:c>
      <x:c r="Z1659" s="20" t="n">
        <x:v>2</x:v>
      </x:c>
      <x:c r="AA1659" s="19"/>
      <x:c r="AB1659" s="18"/>
      <x:c r="AC1659" s="19"/>
    </x:row>
    <x:row r="1660" ht="28" customHeight="1">
      <x:c r="A1660" s="18" t="str">
        <x:v>目白</x:v>
      </x:c>
      <x:c r="B1660" s="18" t="str">
        <x:v>東日本旅客鉄道</x:v>
      </x:c>
      <x:c r="C1660" s="18" t="str">
        <x:v>conventional_rail</x:v>
      </x:c>
      <x:c r="D1660" s="19" t="str">
        <x:v>T1</x:v>
      </x:c>
      <x:c r="E1660" s="20" t="n">
        <x:v>67082</x:v>
      </x:c>
      <x:c r="F1660" s="18" t="str">
        <x:v>persons/day</x:v>
      </x:c>
      <x:c r="G1660" s="18" t="str">
        <x:v>FY2024</x:v>
      </x:c>
      <x:c r="H1660" s="18" t="str">
        <x:v>否</x:v>
      </x:c>
      <x:c r="I1660" s="19" t="str">
        <x:v>DAILY_ENTRIES_EXITS</x:v>
      </x:c>
      <x:c r="J1660" s="19" t="str">
        <x:v>山手線</x:v>
      </x:c>
      <x:c r="K1660" s="18" t="str">
        <x:v>transport-node:abb98360-91cf-5e55-9b34-d61a94b147bf</x:v>
      </x:c>
      <x:c r="L1660" s="19" t="str">
        <x:v>组件待审核</x:v>
      </x:c>
      <x:c r="M1660" s="21" t="n">
        <x:v>35.72039</x:v>
      </x:c>
      <x:c r="N1660" s="21" t="n">
        <x:v>139.70628</x:v>
      </x:c>
      <x:c r="O1660" s="18" t="str">
        <x:v>003470</x:v>
      </x:c>
      <x:c r="P1660" s="18" t="str">
        <x:v>山手線</x:v>
      </x:c>
      <x:c r="Q1660" s="19" t="str">
        <x:v>S12_061_GE_10000</x:v>
      </x:c>
      <x:c r="R1660" s="19" t="str">
        <x:v>S12_061 usage threshold</x:v>
      </x:c>
      <x:c r="S1660" s="19" t="str">
        <x:v>https://nlftp.mlit.go.jp/ksj/gml/datalist/KsjTmplt-S12-2024.html</x:v>
      </x:c>
      <x:c r="T1660" s="19" t="str">
        <x:v>https://nlftp.mlit.go.jp/ksj/gml/datalist/KsjTmplt-S12-2024.html</x:v>
      </x:c>
      <x:c r="U1660" s="19" t="str">
        <x:v>station-component|目白|東日本旅客鉄道|conventional_rail|35.7204|139.7063|</x:v>
      </x:c>
      <x:c r="V1660" s="19" t="str">
        <x:v>003470 / 003470 / 山手線</x:v>
      </x:c>
      <x:c r="W1660" s="18" t="str">
        <x:v>否</x:v>
      </x:c>
      <x:c r="X1660" s="18" t="str">
        <x:v>0785e932a32b3ec15e1a1345537ae145eafe1c07bf38d5c16c11ee2b391e7a28</x:v>
      </x:c>
      <x:c r="Y1660" s="20" t="n">
        <x:v>1</x:v>
      </x:c>
      <x:c r="Z1660" s="20" t="n">
        <x:v>1</x:v>
      </x:c>
      <x:c r="AA1660" s="19"/>
      <x:c r="AB1660" s="18"/>
      <x:c r="AC1660" s="19"/>
    </x:row>
    <x:row r="1661" ht="33" customHeight="1">
      <x:c r="A1661" s="18" t="str">
        <x:v>目黒</x:v>
      </x:c>
      <x:c r="B1661" s="18" t="str">
        <x:v>東京地下鉄</x:v>
      </x:c>
      <x:c r="C1661" s="18" t="str">
        <x:v>metro</x:v>
      </x:c>
      <x:c r="D1661" s="19"/>
      <x:c r="E1661" s="20"/>
      <x:c r="F1661" s="18"/>
      <x:c r="G1661" s="18" t="str">
        <x:v>FY2024</x:v>
      </x:c>
      <x:c r="H1661" s="18" t="str">
        <x:v>是</x:v>
      </x:c>
      <x:c r="I1661" s="19" t="str">
        <x:v>USAGE_DATA_UNAVAILABLE</x:v>
      </x:c>
      <x:c r="J1661" s="19" t="str">
        <x:v>7号線南北線</x:v>
      </x:c>
      <x:c r="K1661" s="18" t="str">
        <x:v>transport-node:b6873e8b-1578-5042-9584-11fd765ab5f1</x:v>
      </x:c>
      <x:c r="L1661" s="19" t="str">
        <x:v>组件待审核</x:v>
      </x:c>
      <x:c r="M1661" s="21" t="n">
        <x:v>35.632485</x:v>
      </x:c>
      <x:c r="N1661" s="21" t="n">
        <x:v>139.71566</x:v>
      </x:c>
      <x:c r="O1661" s="18" t="str">
        <x:v>004073</x:v>
      </x:c>
      <x:c r="P1661" s="18" t="str">
        <x:v>7号線南北線</x:v>
      </x:c>
      <x:c r="Q1661" s="19" t="str">
        <x:v>OFFICIAL_HUB_COMPONENT_REVIEW</x:v>
      </x:c>
      <x:c r="R1661" s="19" t="str">
        <x:v>Official S12 usage unavailable; manual tier review required</x:v>
      </x:c>
      <x:c r="S1661" s="19" t="str">
        <x:v>https://nlftp.mlit.go.jp/ksj/gml/datalist/KsjTmplt-S12-2024.html</x:v>
      </x:c>
      <x:c r="T1661" s="19" t="str">
        <x:v>https://nlftp.mlit.go.jp/ksj/gml/datalist/KsjTmplt-S12-2024.html
https://www.tokyometro.jp/station/meguro/index.html</x:v>
      </x:c>
      <x:c r="U1661" s="19" t="str">
        <x:v>station-component|目黒|東京地下鉄|metro|35.6325|139.7157|</x:v>
      </x:c>
      <x:c r="V1661" s="19" t="str">
        <x:v>004072 / 004073 / 7号線南北線</x:v>
      </x:c>
      <x:c r="W1661" s="18" t="str">
        <x:v>否</x:v>
      </x:c>
      <x:c r="X1661" s="18" t="str">
        <x:v>0785e932a32b3ec15e1a1345537ae145eafe1c07bf38d5c16c11ee2b391e7a28</x:v>
      </x:c>
      <x:c r="Y1661" s="20" t="n">
        <x:v>1</x:v>
      </x:c>
      <x:c r="Z1661" s="20" t="n">
        <x:v>2</x:v>
      </x:c>
      <x:c r="AA1661" s="19" t="str">
        <x:v>目黒</x:v>
      </x:c>
      <x:c r="AB1661" s="18" t="str">
        <x:v>transport-hub-review:2e14e16f-4fe0-5c7d-829a-a6a82c8baf61</x:v>
      </x:c>
      <x:c r="AC1661" s="19"/>
    </x:row>
    <x:row r="1662" ht="33" customHeight="1">
      <x:c r="A1662" s="18" t="str">
        <x:v>目黒</x:v>
      </x:c>
      <x:c r="B1662" s="18" t="str">
        <x:v>東京都</x:v>
      </x:c>
      <x:c r="C1662" s="18" t="str">
        <x:v>metro</x:v>
      </x:c>
      <x:c r="D1662" s="19"/>
      <x:c r="E1662" s="20"/>
      <x:c r="F1662" s="18"/>
      <x:c r="G1662" s="18" t="str">
        <x:v>FY2024</x:v>
      </x:c>
      <x:c r="H1662" s="18" t="str">
        <x:v>是</x:v>
      </x:c>
      <x:c r="I1662" s="19" t="str">
        <x:v>USAGE_DATA_UNAVAILABLE</x:v>
      </x:c>
      <x:c r="J1662" s="19" t="str">
        <x:v>6号線三田線</x:v>
      </x:c>
      <x:c r="K1662" s="18" t="str">
        <x:v>transport-node:7819b680-755c-5bfa-96a0-861c1c5e443a</x:v>
      </x:c>
      <x:c r="L1662" s="19" t="str">
        <x:v>组件待审核</x:v>
      </x:c>
      <x:c r="M1662" s="21" t="n">
        <x:v>35.632485</x:v>
      </x:c>
      <x:c r="N1662" s="21" t="n">
        <x:v>139.71566</x:v>
      </x:c>
      <x:c r="O1662" s="18" t="str">
        <x:v>004072</x:v>
      </x:c>
      <x:c r="P1662" s="18" t="str">
        <x:v>6号線三田線</x:v>
      </x:c>
      <x:c r="Q1662" s="19" t="str">
        <x:v>OFFICIAL_HUB_COMPONENT_REVIEW</x:v>
      </x:c>
      <x:c r="R1662" s="19" t="str">
        <x:v>Official S12 usage unavailable; manual tier review required</x:v>
      </x:c>
      <x:c r="S1662" s="19" t="str">
        <x:v>https://nlftp.mlit.go.jp/ksj/gml/datalist/KsjTmplt-S12-2024.html</x:v>
      </x:c>
      <x:c r="T1662" s="19" t="str">
        <x:v>https://nlftp.mlit.go.jp/ksj/gml/datalist/KsjTmplt-S12-2024.html
https://www.tokyometro.jp/station/meguro/index.html</x:v>
      </x:c>
      <x:c r="U1662" s="19" t="str">
        <x:v>station-component|目黒|東京都|metro|35.6325|139.7157|</x:v>
      </x:c>
      <x:c r="V1662" s="19" t="str">
        <x:v>004072 / 004072 / 6号線三田線</x:v>
      </x:c>
      <x:c r="W1662" s="18" t="str">
        <x:v>否</x:v>
      </x:c>
      <x:c r="X1662" s="18" t="str">
        <x:v>0785e932a32b3ec15e1a1345537ae145eafe1c07bf38d5c16c11ee2b391e7a28</x:v>
      </x:c>
      <x:c r="Y1662" s="20" t="n">
        <x:v>1</x:v>
      </x:c>
      <x:c r="Z1662" s="20" t="n">
        <x:v>2</x:v>
      </x:c>
      <x:c r="AA1662" s="19" t="str">
        <x:v>目黒</x:v>
      </x:c>
      <x:c r="AB1662" s="18" t="str">
        <x:v>transport-hub-review:2e14e16f-4fe0-5c7d-829a-a6a82c8baf61</x:v>
      </x:c>
      <x:c r="AC1662" s="19"/>
    </x:row>
    <x:row r="1663" ht="33" customHeight="1">
      <x:c r="A1663" s="18" t="str">
        <x:v>目黒</x:v>
      </x:c>
      <x:c r="B1663" s="18" t="str">
        <x:v>東急電鉄</x:v>
      </x:c>
      <x:c r="C1663" s="18" t="str">
        <x:v>private_rail</x:v>
      </x:c>
      <x:c r="D1663" s="19" t="str">
        <x:v>T0</x:v>
      </x:c>
      <x:c r="E1663" s="20" t="n">
        <x:v>379056</x:v>
      </x:c>
      <x:c r="F1663" s="18" t="str">
        <x:v>persons/day</x:v>
      </x:c>
      <x:c r="G1663" s="18" t="str">
        <x:v>FY2024</x:v>
      </x:c>
      <x:c r="H1663" s="18" t="str">
        <x:v>否</x:v>
      </x:c>
      <x:c r="I1663" s="19" t="str">
        <x:v>DAILY_ENTRIES_EXITS</x:v>
      </x:c>
      <x:c r="J1663" s="19" t="str">
        <x:v>目黒線</x:v>
      </x:c>
      <x:c r="K1663" s="18" t="str">
        <x:v>transport-node:50907f30-6e7c-58e1-924d-bce04a919bdc</x:v>
      </x:c>
      <x:c r="L1663" s="19" t="str">
        <x:v>组件待审核</x:v>
      </x:c>
      <x:c r="M1663" s="21" t="n">
        <x:v>35.632485</x:v>
      </x:c>
      <x:c r="N1663" s="21" t="n">
        <x:v>139.71566</x:v>
      </x:c>
      <x:c r="O1663" s="18" t="str">
        <x:v>004074</x:v>
      </x:c>
      <x:c r="P1663" s="18" t="str">
        <x:v>目黒線</x:v>
      </x:c>
      <x:c r="Q1663" s="19" t="str">
        <x:v>S12_061_GE_10000
OFFICIAL_HUB_COMPONENT_REVIEW</x:v>
      </x:c>
      <x:c r="R1663" s="19" t="str">
        <x:v>S12_061 usage threshold</x:v>
      </x:c>
      <x:c r="S1663" s="19" t="str">
        <x:v>https://nlftp.mlit.go.jp/ksj/gml/datalist/KsjTmplt-S12-2024.html</x:v>
      </x:c>
      <x:c r="T1663" s="19" t="str">
        <x:v>https://nlftp.mlit.go.jp/ksj/gml/datalist/KsjTmplt-S12-2024.html
https://www.tokyometro.jp/station/meguro/index.html</x:v>
      </x:c>
      <x:c r="U1663" s="19" t="str">
        <x:v>station-component|目黒|東急電鉄|private_rail|35.6325|139.7157|</x:v>
      </x:c>
      <x:c r="V1663" s="19" t="str">
        <x:v>004072 / 004074 / 目黒線</x:v>
      </x:c>
      <x:c r="W1663" s="18" t="str">
        <x:v>否</x:v>
      </x:c>
      <x:c r="X1663" s="18" t="str">
        <x:v>0785e932a32b3ec15e1a1345537ae145eafe1c07bf38d5c16c11ee2b391e7a28</x:v>
      </x:c>
      <x:c r="Y1663" s="20" t="n">
        <x:v>1</x:v>
      </x:c>
      <x:c r="Z1663" s="20" t="n">
        <x:v>1</x:v>
      </x:c>
      <x:c r="AA1663" s="19" t="str">
        <x:v>目黒</x:v>
      </x:c>
      <x:c r="AB1663" s="18" t="str">
        <x:v>transport-hub-review:2e14e16f-4fe0-5c7d-829a-a6a82c8baf61</x:v>
      </x:c>
      <x:c r="AC1663" s="19"/>
    </x:row>
    <x:row r="1664" ht="33" customHeight="1">
      <x:c r="A1664" s="18" t="str">
        <x:v>目黒</x:v>
      </x:c>
      <x:c r="B1664" s="18" t="str">
        <x:v>東日本旅客鉄道</x:v>
      </x:c>
      <x:c r="C1664" s="18" t="str">
        <x:v>conventional_rail</x:v>
      </x:c>
      <x:c r="D1664" s="19" t="str">
        <x:v>T1</x:v>
      </x:c>
      <x:c r="E1664" s="20" t="n">
        <x:v>186768</x:v>
      </x:c>
      <x:c r="F1664" s="18" t="str">
        <x:v>persons/day</x:v>
      </x:c>
      <x:c r="G1664" s="18" t="str">
        <x:v>FY2024</x:v>
      </x:c>
      <x:c r="H1664" s="18" t="str">
        <x:v>否</x:v>
      </x:c>
      <x:c r="I1664" s="19" t="str">
        <x:v>DAILY_ENTRIES_EXITS</x:v>
      </x:c>
      <x:c r="J1664" s="19" t="str">
        <x:v>山手線</x:v>
      </x:c>
      <x:c r="K1664" s="18" t="str">
        <x:v>transport-node:f22cd1ae-b3c5-5ab1-8e8d-262dbd84df01</x:v>
      </x:c>
      <x:c r="L1664" s="19" t="str">
        <x:v>组件待审核</x:v>
      </x:c>
      <x:c r="M1664" s="21" t="n">
        <x:v>35.6334057</x:v>
      </x:c>
      <x:c r="N1664" s="21" t="n">
        <x:v>139.7157271</x:v>
      </x:c>
      <x:c r="O1664" s="18" t="str">
        <x:v>004071</x:v>
      </x:c>
      <x:c r="P1664" s="18" t="str">
        <x:v>山手線</x:v>
      </x:c>
      <x:c r="Q1664" s="19" t="str">
        <x:v>S12_061_GE_10000
OFFICIAL_HUB_COMPONENT_REVIEW</x:v>
      </x:c>
      <x:c r="R1664" s="19" t="str">
        <x:v>S12_061 usage threshold</x:v>
      </x:c>
      <x:c r="S1664" s="19" t="str">
        <x:v>https://nlftp.mlit.go.jp/ksj/gml/datalist/KsjTmplt-S12-2024.html</x:v>
      </x:c>
      <x:c r="T1664" s="19" t="str">
        <x:v>https://nlftp.mlit.go.jp/ksj/gml/datalist/KsjTmplt-S12-2024.html
https://www.tokyometro.jp/station/meguro/index.html</x:v>
      </x:c>
      <x:c r="U1664" s="19" t="str">
        <x:v>station-component|目黒|東日本旅客鉄道|conventional_rail|35.6334|139.7157|</x:v>
      </x:c>
      <x:c r="V1664" s="19" t="str">
        <x:v>004072 / 004071 / 山手線</x:v>
      </x:c>
      <x:c r="W1664" s="18" t="str">
        <x:v>否</x:v>
      </x:c>
      <x:c r="X1664" s="18" t="str">
        <x:v>0785e932a32b3ec15e1a1345537ae145eafe1c07bf38d5c16c11ee2b391e7a28</x:v>
      </x:c>
      <x:c r="Y1664" s="20" t="n">
        <x:v>1</x:v>
      </x:c>
      <x:c r="Z1664" s="20" t="n">
        <x:v>1</x:v>
      </x:c>
      <x:c r="AA1664" s="19" t="str">
        <x:v>目黒</x:v>
      </x:c>
      <x:c r="AB1664" s="18" t="str">
        <x:v>transport-hub-review:2e14e16f-4fe0-5c7d-829a-a6a82c8baf61</x:v>
      </x:c>
      <x:c r="AC1664" s="19"/>
    </x:row>
    <x:row r="1665" ht="28" customHeight="1">
      <x:c r="A1665" s="18" t="str">
        <x:v>相原</x:v>
      </x:c>
      <x:c r="B1665" s="18" t="str">
        <x:v>東日本旅客鉄道</x:v>
      </x:c>
      <x:c r="C1665" s="18" t="str">
        <x:v>conventional_rail</x:v>
      </x:c>
      <x:c r="D1665" s="19" t="str">
        <x:v>T2</x:v>
      </x:c>
      <x:c r="E1665" s="20" t="n">
        <x:v>19964</x:v>
      </x:c>
      <x:c r="F1665" s="18" t="str">
        <x:v>persons/day</x:v>
      </x:c>
      <x:c r="G1665" s="18" t="str">
        <x:v>FY2024</x:v>
      </x:c>
      <x:c r="H1665" s="18" t="str">
        <x:v>否</x:v>
      </x:c>
      <x:c r="I1665" s="19" t="str">
        <x:v>DAILY_ENTRIES_EXITS</x:v>
      </x:c>
      <x:c r="J1665" s="19" t="str">
        <x:v>横浜線</x:v>
      </x:c>
      <x:c r="K1665" s="18" t="str">
        <x:v>transport-node:b8b1fcae-c759-5344-8387-5278084a1cc4</x:v>
      </x:c>
      <x:c r="L1665" s="19" t="str">
        <x:v>组件待审核</x:v>
      </x:c>
      <x:c r="M1665" s="21" t="n">
        <x:v>35.60693</x:v>
      </x:c>
      <x:c r="N1665" s="21" t="n">
        <x:v>139.33168</x:v>
      </x:c>
      <x:c r="O1665" s="18" t="str">
        <x:v>004206</x:v>
      </x:c>
      <x:c r="P1665" s="18" t="str">
        <x:v>横浜線</x:v>
      </x:c>
      <x:c r="Q1665" s="19" t="str">
        <x:v>S12_061_GE_10000</x:v>
      </x:c>
      <x:c r="R1665" s="19" t="str">
        <x:v>S12_061 usage threshold</x:v>
      </x:c>
      <x:c r="S1665" s="19" t="str">
        <x:v>https://nlftp.mlit.go.jp/ksj/gml/datalist/KsjTmplt-S12-2024.html</x:v>
      </x:c>
      <x:c r="T1665" s="19" t="str">
        <x:v>https://nlftp.mlit.go.jp/ksj/gml/datalist/KsjTmplt-S12-2024.html</x:v>
      </x:c>
      <x:c r="U1665" s="19" t="str">
        <x:v>station-component|相原|東日本旅客鉄道|conventional_rail|35.6069|139.3317|</x:v>
      </x:c>
      <x:c r="V1665" s="19" t="str">
        <x:v>004206 / 004206 / 横浜線</x:v>
      </x:c>
      <x:c r="W1665" s="18" t="str">
        <x:v>否</x:v>
      </x:c>
      <x:c r="X1665" s="18" t="str">
        <x:v>0785e932a32b3ec15e1a1345537ae145eafe1c07bf38d5c16c11ee2b391e7a28</x:v>
      </x:c>
      <x:c r="Y1665" s="20" t="n">
        <x:v>1</x:v>
      </x:c>
      <x:c r="Z1665" s="20" t="n">
        <x:v>1</x:v>
      </x:c>
      <x:c r="AA1665" s="19"/>
      <x:c r="AB1665" s="18"/>
      <x:c r="AC1665" s="19"/>
    </x:row>
    <x:row r="1666" ht="28" customHeight="1">
      <x:c r="A1666" s="18" t="str">
        <x:v>相川</x:v>
      </x:c>
      <x:c r="B1666" s="18" t="str">
        <x:v>阪急電鉄</x:v>
      </x:c>
      <x:c r="C1666" s="18" t="str">
        <x:v>private_rail</x:v>
      </x:c>
      <x:c r="D1666" s="19" t="str">
        <x:v>T2</x:v>
      </x:c>
      <x:c r="E1666" s="20" t="n">
        <x:v>15328</x:v>
      </x:c>
      <x:c r="F1666" s="18" t="str">
        <x:v>persons/day</x:v>
      </x:c>
      <x:c r="G1666" s="18" t="str">
        <x:v>FY2024</x:v>
      </x:c>
      <x:c r="H1666" s="18" t="str">
        <x:v>否</x:v>
      </x:c>
      <x:c r="I1666" s="19" t="str">
        <x:v>DAILY_ENTRIES_EXITS</x:v>
      </x:c>
      <x:c r="J1666" s="19" t="str">
        <x:v>京都線</x:v>
      </x:c>
      <x:c r="K1666" s="18" t="str">
        <x:v>transport-node:1a3dbd4e-ade1-5bc0-b0a0-6af4e7efa403</x:v>
      </x:c>
      <x:c r="L1666" s="19" t="str">
        <x:v>组件待审核</x:v>
      </x:c>
      <x:c r="M1666" s="21" t="n">
        <x:v>34.7577975</x:v>
      </x:c>
      <x:c r="N1666" s="21" t="n">
        <x:v>135.533675</x:v>
      </x:c>
      <x:c r="O1666" s="18" t="str">
        <x:v>006807</x:v>
      </x:c>
      <x:c r="P1666" s="18" t="str">
        <x:v>京都線</x:v>
      </x:c>
      <x:c r="Q1666" s="19" t="str">
        <x:v>S12_061_GE_10000</x:v>
      </x:c>
      <x:c r="R1666" s="19" t="str">
        <x:v>S12_061 usage threshold</x:v>
      </x:c>
      <x:c r="S1666" s="19" t="str">
        <x:v>https://nlftp.mlit.go.jp/ksj/gml/datalist/KsjTmplt-S12-2024.html</x:v>
      </x:c>
      <x:c r="T1666" s="19" t="str">
        <x:v>https://nlftp.mlit.go.jp/ksj/gml/datalist/KsjTmplt-S12-2024.html</x:v>
      </x:c>
      <x:c r="U1666" s="19" t="str">
        <x:v>station-component|相川|阪急電鉄|private_rail|34.7578|135.5337|</x:v>
      </x:c>
      <x:c r="V1666" s="19" t="str">
        <x:v>006807 / 006807 / 京都線</x:v>
      </x:c>
      <x:c r="W1666" s="18" t="str">
        <x:v>否</x:v>
      </x:c>
      <x:c r="X1666" s="18" t="str">
        <x:v>0785e932a32b3ec15e1a1345537ae145eafe1c07bf38d5c16c11ee2b391e7a28</x:v>
      </x:c>
      <x:c r="Y1666" s="20" t="n">
        <x:v>1</x:v>
      </x:c>
      <x:c r="Z1666" s="20" t="n">
        <x:v>1</x:v>
      </x:c>
      <x:c r="AA1666" s="19"/>
      <x:c r="AB1666" s="18"/>
      <x:c r="AC1666" s="19"/>
    </x:row>
    <x:row r="1667" ht="28" customHeight="1">
      <x:c r="A1667" s="18" t="str">
        <x:v>相模原</x:v>
      </x:c>
      <x:c r="B1667" s="18" t="str">
        <x:v>東日本旅客鉄道</x:v>
      </x:c>
      <x:c r="C1667" s="18" t="str">
        <x:v>conventional_rail</x:v>
      </x:c>
      <x:c r="D1667" s="19" t="str">
        <x:v>T1</x:v>
      </x:c>
      <x:c r="E1667" s="20" t="n">
        <x:v>55924</x:v>
      </x:c>
      <x:c r="F1667" s="18" t="str">
        <x:v>persons/day</x:v>
      </x:c>
      <x:c r="G1667" s="18" t="str">
        <x:v>FY2024</x:v>
      </x:c>
      <x:c r="H1667" s="18" t="str">
        <x:v>否</x:v>
      </x:c>
      <x:c r="I1667" s="19" t="str">
        <x:v>DAILY_ENTRIES_EXITS</x:v>
      </x:c>
      <x:c r="J1667" s="19" t="str">
        <x:v>横浜線</x:v>
      </x:c>
      <x:c r="K1667" s="18" t="str">
        <x:v>transport-node:7eb2d076-2d17-5b75-b85a-c19514afc146</x:v>
      </x:c>
      <x:c r="L1667" s="19" t="str">
        <x:v>组件待审核</x:v>
      </x:c>
      <x:c r="M1667" s="21" t="n">
        <x:v>35.5814875</x:v>
      </x:c>
      <x:c r="N1667" s="21" t="n">
        <x:v>139.3706225</x:v>
      </x:c>
      <x:c r="O1667" s="18" t="str">
        <x:v>004284</x:v>
      </x:c>
      <x:c r="P1667" s="18" t="str">
        <x:v>横浜線</x:v>
      </x:c>
      <x:c r="Q1667" s="19" t="str">
        <x:v>S12_061_GE_10000</x:v>
      </x:c>
      <x:c r="R1667" s="19" t="str">
        <x:v>S12_061 usage threshold</x:v>
      </x:c>
      <x:c r="S1667" s="19" t="str">
        <x:v>https://nlftp.mlit.go.jp/ksj/gml/datalist/KsjTmplt-S12-2024.html</x:v>
      </x:c>
      <x:c r="T1667" s="19" t="str">
        <x:v>https://nlftp.mlit.go.jp/ksj/gml/datalist/KsjTmplt-S12-2024.html</x:v>
      </x:c>
      <x:c r="U1667" s="19" t="str">
        <x:v>station-component|相模原|東日本旅客鉄道|conventional_rail|35.5815|139.3706|</x:v>
      </x:c>
      <x:c r="V1667" s="19" t="str">
        <x:v>004284 / 004284 / 横浜線</x:v>
      </x:c>
      <x:c r="W1667" s="18" t="str">
        <x:v>否</x:v>
      </x:c>
      <x:c r="X1667" s="18" t="str">
        <x:v>0785e932a32b3ec15e1a1345537ae145eafe1c07bf38d5c16c11ee2b391e7a28</x:v>
      </x:c>
      <x:c r="Y1667" s="20" t="n">
        <x:v>1</x:v>
      </x:c>
      <x:c r="Z1667" s="20" t="n">
        <x:v>1</x:v>
      </x:c>
      <x:c r="AA1667" s="19"/>
      <x:c r="AB1667" s="18"/>
      <x:c r="AC1667" s="19"/>
    </x:row>
    <x:row r="1668" ht="28" customHeight="1">
      <x:c r="A1668" s="18" t="str">
        <x:v>相模大塚</x:v>
      </x:c>
      <x:c r="B1668" s="18" t="str">
        <x:v>相模鉄道</x:v>
      </x:c>
      <x:c r="C1668" s="18" t="str">
        <x:v>private_rail</x:v>
      </x:c>
      <x:c r="D1668" s="19" t="str">
        <x:v>T2</x:v>
      </x:c>
      <x:c r="E1668" s="20" t="n">
        <x:v>14538</x:v>
      </x:c>
      <x:c r="F1668" s="18" t="str">
        <x:v>persons/day</x:v>
      </x:c>
      <x:c r="G1668" s="18" t="str">
        <x:v>FY2024</x:v>
      </x:c>
      <x:c r="H1668" s="18" t="str">
        <x:v>否</x:v>
      </x:c>
      <x:c r="I1668" s="19" t="str">
        <x:v>DAILY_ENTRIES_EXITS</x:v>
      </x:c>
      <x:c r="J1668" s="19" t="str">
        <x:v>相鉄本線</x:v>
      </x:c>
      <x:c r="K1668" s="18" t="str">
        <x:v>transport-node:1779abc8-b6ce-55cf-aa3a-bc3944525d52</x:v>
      </x:c>
      <x:c r="L1668" s="19" t="str">
        <x:v>组件待审核</x:v>
      </x:c>
      <x:c r="M1668" s="21" t="n">
        <x:v>35.47054</x:v>
      </x:c>
      <x:c r="N1668" s="21" t="n">
        <x:v>139.441155</x:v>
      </x:c>
      <x:c r="O1668" s="18" t="str">
        <x:v>004614</x:v>
      </x:c>
      <x:c r="P1668" s="18" t="str">
        <x:v>相鉄本線</x:v>
      </x:c>
      <x:c r="Q1668" s="19" t="str">
        <x:v>S12_061_GE_10000</x:v>
      </x:c>
      <x:c r="R1668" s="19" t="str">
        <x:v>S12_061 usage threshold</x:v>
      </x:c>
      <x:c r="S1668" s="19" t="str">
        <x:v>https://nlftp.mlit.go.jp/ksj/gml/datalist/KsjTmplt-S12-2024.html</x:v>
      </x:c>
      <x:c r="T1668" s="19" t="str">
        <x:v>https://nlftp.mlit.go.jp/ksj/gml/datalist/KsjTmplt-S12-2024.html</x:v>
      </x:c>
      <x:c r="U1668" s="19" t="str">
        <x:v>station-component|相模大塚|相模鉄道|private_rail|35.4705|139.4412|</x:v>
      </x:c>
      <x:c r="V1668" s="19" t="str">
        <x:v>004614 / 004614 / 相鉄本線</x:v>
      </x:c>
      <x:c r="W1668" s="18" t="str">
        <x:v>否</x:v>
      </x:c>
      <x:c r="X1668" s="18" t="str">
        <x:v>0785e932a32b3ec15e1a1345537ae145eafe1c07bf38d5c16c11ee2b391e7a28</x:v>
      </x:c>
      <x:c r="Y1668" s="20" t="n">
        <x:v>1</x:v>
      </x:c>
      <x:c r="Z1668" s="20" t="n">
        <x:v>1</x:v>
      </x:c>
      <x:c r="AA1668" s="19"/>
      <x:c r="AB1668" s="18"/>
      <x:c r="AC1668" s="19"/>
    </x:row>
    <x:row r="1669" ht="33" customHeight="1">
      <x:c r="A1669" s="18" t="str">
        <x:v>相模大野</x:v>
      </x:c>
      <x:c r="B1669" s="18" t="str">
        <x:v>小田急電鉄</x:v>
      </x:c>
      <x:c r="C1669" s="18" t="str">
        <x:v>private_rail</x:v>
      </x:c>
      <x:c r="D1669" s="19" t="str">
        <x:v>T1</x:v>
      </x:c>
      <x:c r="E1669" s="20" t="n">
        <x:v>117415</x:v>
      </x:c>
      <x:c r="F1669" s="18" t="str">
        <x:v>persons/day</x:v>
      </x:c>
      <x:c r="G1669" s="18" t="str">
        <x:v>FY2024</x:v>
      </x:c>
      <x:c r="H1669" s="18" t="str">
        <x:v>否</x:v>
      </x:c>
      <x:c r="I1669" s="19" t="str">
        <x:v>DAILY_ENTRIES_EXITS</x:v>
      </x:c>
      <x:c r="J1669" s="19" t="str">
        <x:v>小田原線
江ノ島線</x:v>
      </x:c>
      <x:c r="K1669" s="18" t="str">
        <x:v>transport-node:f90deb5b-5aba-5f15-8b8e-a205bf03eb04</x:v>
      </x:c>
      <x:c r="L1669" s="19" t="str">
        <x:v>组件待审核</x:v>
      </x:c>
      <x:c r="M1669" s="21" t="n">
        <x:v>35.5322</x:v>
      </x:c>
      <x:c r="N1669" s="21" t="n">
        <x:v>139.437885</x:v>
      </x:c>
      <x:c r="O1669" s="18" t="str">
        <x:v>004427</x:v>
      </x:c>
      <x:c r="P1669" s="18" t="str">
        <x:v>小田原線</x:v>
      </x:c>
      <x:c r="Q1669" s="19" t="str">
        <x:v>S12_061_GE_10000
OFFICIAL_HUB_COMPONENT_REVIEW</x:v>
      </x:c>
      <x:c r="R1669" s="19" t="str">
        <x:v>S12_061 usage threshold</x:v>
      </x:c>
      <x:c r="S1669" s="19" t="str">
        <x:v>https://nlftp.mlit.go.jp/ksj/gml/datalist/KsjTmplt-S12-2024.html</x:v>
      </x:c>
      <x:c r="T1669" s="19" t="str">
        <x:v>https://nlftp.mlit.go.jp/ksj/gml/datalist/KsjTmplt-S12-2024.html
https://www.odakyu.jp/station/</x:v>
      </x:c>
      <x:c r="U1669" s="19" t="str">
        <x:v>station-component|相模大野|小田急電鉄|private_rail|35.5322|139.4379|</x:v>
      </x:c>
      <x:c r="V1669" s="19" t="str">
        <x:v>004426 / 004426 / 江ノ島線
004426 / 004427 / 小田原線</x:v>
      </x:c>
      <x:c r="W1669" s="18" t="str">
        <x:v>否</x:v>
      </x:c>
      <x:c r="X1669" s="18" t="str">
        <x:v>0785e932a32b3ec15e1a1345537ae145eafe1c07bf38d5c16c11ee2b391e7a28</x:v>
      </x:c>
      <x:c r="Y1669" s="20" t="n">
        <x:v>1</x:v>
      </x:c>
      <x:c r="Z1669" s="20" t="n">
        <x:v>1</x:v>
      </x:c>
      <x:c r="AA1669" s="19" t="str">
        <x:v>相模大野</x:v>
      </x:c>
      <x:c r="AB1669" s="18" t="str">
        <x:v>transport-hub-review:66e5e848-28a9-510a-b910-23b7740d2969</x:v>
      </x:c>
      <x:c r="AC1669" s="19"/>
    </x:row>
    <x:row r="1670" ht="28" customHeight="1">
      <x:c r="A1670" s="18" t="str">
        <x:v>相武台前</x:v>
      </x:c>
      <x:c r="B1670" s="18" t="str">
        <x:v>小田急電鉄</x:v>
      </x:c>
      <x:c r="C1670" s="18" t="str">
        <x:v>private_rail</x:v>
      </x:c>
      <x:c r="D1670" s="19" t="str">
        <x:v>T2</x:v>
      </x:c>
      <x:c r="E1670" s="20" t="n">
        <x:v>35603</x:v>
      </x:c>
      <x:c r="F1670" s="18" t="str">
        <x:v>persons/day</x:v>
      </x:c>
      <x:c r="G1670" s="18" t="str">
        <x:v>FY2024</x:v>
      </x:c>
      <x:c r="H1670" s="18" t="str">
        <x:v>否</x:v>
      </x:c>
      <x:c r="I1670" s="19" t="str">
        <x:v>DAILY_ENTRIES_EXITS</x:v>
      </x:c>
      <x:c r="J1670" s="19" t="str">
        <x:v>小田原線</x:v>
      </x:c>
      <x:c r="K1670" s="18" t="str">
        <x:v>transport-node:375f8f4c-7041-5b1a-bd6d-5fd05aa9f60d</x:v>
      </x:c>
      <x:c r="L1670" s="19" t="str">
        <x:v>组件待审核</x:v>
      </x:c>
      <x:c r="M1670" s="21" t="n">
        <x:v>35.49936</x:v>
      </x:c>
      <x:c r="N1670" s="21" t="n">
        <x:v>139.408545</x:v>
      </x:c>
      <x:c r="O1670" s="18" t="str">
        <x:v>004525</x:v>
      </x:c>
      <x:c r="P1670" s="18" t="str">
        <x:v>小田原線</x:v>
      </x:c>
      <x:c r="Q1670" s="19" t="str">
        <x:v>S12_061_GE_10000</x:v>
      </x:c>
      <x:c r="R1670" s="19" t="str">
        <x:v>S12_061 usage threshold</x:v>
      </x:c>
      <x:c r="S1670" s="19" t="str">
        <x:v>https://nlftp.mlit.go.jp/ksj/gml/datalist/KsjTmplt-S12-2024.html</x:v>
      </x:c>
      <x:c r="T1670" s="19" t="str">
        <x:v>https://nlftp.mlit.go.jp/ksj/gml/datalist/KsjTmplt-S12-2024.html</x:v>
      </x:c>
      <x:c r="U1670" s="19" t="str">
        <x:v>station-component|相武台前|小田急電鉄|private_rail|35.4994|139.4085|</x:v>
      </x:c>
      <x:c r="V1670" s="19" t="str">
        <x:v>004525 / 004525 / 小田原線</x:v>
      </x:c>
      <x:c r="W1670" s="18" t="str">
        <x:v>否</x:v>
      </x:c>
      <x:c r="X1670" s="18" t="str">
        <x:v>0785e932a32b3ec15e1a1345537ae145eafe1c07bf38d5c16c11ee2b391e7a28</x:v>
      </x:c>
      <x:c r="Y1670" s="20" t="n">
        <x:v>1</x:v>
      </x:c>
      <x:c r="Z1670" s="20" t="n">
        <x:v>1</x:v>
      </x:c>
      <x:c r="AA1670" s="19"/>
      <x:c r="AB1670" s="18"/>
      <x:c r="AC1670" s="19"/>
    </x:row>
    <x:row r="1671" ht="28" customHeight="1">
      <x:c r="A1671" s="18" t="str">
        <x:v>相生</x:v>
      </x:c>
      <x:c r="B1671" s="18" t="str">
        <x:v>西日本旅客鉄道</x:v>
      </x:c>
      <x:c r="C1671" s="18" t="str">
        <x:v>shinkansen</x:v>
      </x:c>
      <x:c r="D1671" s="19"/>
      <x:c r="E1671" s="20"/>
      <x:c r="F1671" s="18"/>
      <x:c r="G1671" s="18" t="str">
        <x:v>FY2024</x:v>
      </x:c>
      <x:c r="H1671" s="18" t="str">
        <x:v>是</x:v>
      </x:c>
      <x:c r="I1671" s="19" t="str">
        <x:v>USAGE_DATA_UNAVAILABLE</x:v>
      </x:c>
      <x:c r="J1671" s="19" t="str">
        <x:v>山陽新幹線</x:v>
      </x:c>
      <x:c r="K1671" s="18" t="str">
        <x:v>transport-node:aa90bd55-084b-5600-aefd-6ec791fd28e3</x:v>
      </x:c>
      <x:c r="L1671" s="19" t="str">
        <x:v>组件待审核</x:v>
      </x:c>
      <x:c r="M1671" s="21" t="n">
        <x:v>34.81827</x:v>
      </x:c>
      <x:c r="N1671" s="21" t="n">
        <x:v>134.47436</x:v>
      </x:c>
      <x:c r="O1671" s="18" t="str">
        <x:v>006552</x:v>
      </x:c>
      <x:c r="P1671" s="18" t="str">
        <x:v>山陽新幹線</x:v>
      </x:c>
      <x:c r="Q1671" s="19" t="str">
        <x:v>SHINKANSEN</x:v>
      </x:c>
      <x:c r="R1671" s="19" t="str">
        <x:v>Official S12 usage unavailable; manual tier review required</x:v>
      </x:c>
      <x:c r="S1671" s="19" t="str">
        <x:v>https://nlftp.mlit.go.jp/ksj/gml/datalist/KsjTmplt-S12-2024.html</x:v>
      </x:c>
      <x:c r="T1671" s="19" t="str">
        <x:v>https://nlftp.mlit.go.jp/ksj/gml/datalist/KsjTmplt-S12-2024.html</x:v>
      </x:c>
      <x:c r="U1671" s="19" t="str">
        <x:v>station-component|相生|西日本旅客鉄道|shinkansen|34.8183|134.4744|</x:v>
      </x:c>
      <x:c r="V1671" s="19" t="str">
        <x:v>006554 / 006552 / 山陽新幹線</x:v>
      </x:c>
      <x:c r="W1671" s="18" t="str">
        <x:v>否</x:v>
      </x:c>
      <x:c r="X1671" s="18" t="str">
        <x:v>0785e932a32b3ec15e1a1345537ae145eafe1c07bf38d5c16c11ee2b391e7a28</x:v>
      </x:c>
      <x:c r="Y1671" s="20" t="n">
        <x:v>1</x:v>
      </x:c>
      <x:c r="Z1671" s="20" t="n">
        <x:v>2</x:v>
      </x:c>
      <x:c r="AA1671" s="19"/>
      <x:c r="AB1671" s="18"/>
      <x:c r="AC1671" s="19"/>
    </x:row>
    <x:row r="1672" ht="28" customHeight="1">
      <x:c r="A1672" s="18" t="str">
        <x:v>県庁前</x:v>
      </x:c>
      <x:c r="B1672" s="18" t="str">
        <x:v>広島高速交通</x:v>
      </x:c>
      <x:c r="C1672" s="18" t="str">
        <x:v>fixed_guideway</x:v>
      </x:c>
      <x:c r="D1672" s="19" t="str">
        <x:v>T2</x:v>
      </x:c>
      <x:c r="E1672" s="20" t="n">
        <x:v>14137</x:v>
      </x:c>
      <x:c r="F1672" s="18" t="str">
        <x:v>persons/day</x:v>
      </x:c>
      <x:c r="G1672" s="18" t="str">
        <x:v>FY2024</x:v>
      </x:c>
      <x:c r="H1672" s="18" t="str">
        <x:v>否</x:v>
      </x:c>
      <x:c r="I1672" s="19" t="str">
        <x:v>DAILY_ENTRIES_EXITS</x:v>
      </x:c>
      <x:c r="J1672" s="19" t="str">
        <x:v>広島新交通1号線</x:v>
      </x:c>
      <x:c r="K1672" s="18" t="str">
        <x:v>transport-node:0de91f36-883b-5e3f-97e1-da1a4afc7513</x:v>
      </x:c>
      <x:c r="L1672" s="19" t="str">
        <x:v>组件待审核</x:v>
      </x:c>
      <x:c r="M1672" s="21" t="n">
        <x:v>34.39664</x:v>
      </x:c>
      <x:c r="N1672" s="21" t="n">
        <x:v>132.4581467</x:v>
      </x:c>
      <x:c r="O1672" s="18" t="str">
        <x:v>008037</x:v>
      </x:c>
      <x:c r="P1672" s="18" t="str">
        <x:v>広島新交通1号線</x:v>
      </x:c>
      <x:c r="Q1672" s="19" t="str">
        <x:v>S12_061_GE_10000</x:v>
      </x:c>
      <x:c r="R1672" s="19" t="str">
        <x:v>S12_061 usage threshold</x:v>
      </x:c>
      <x:c r="S1672" s="19" t="str">
        <x:v>https://nlftp.mlit.go.jp/ksj/gml/datalist/KsjTmplt-S12-2024.html</x:v>
      </x:c>
      <x:c r="T1672" s="19" t="str">
        <x:v>https://nlftp.mlit.go.jp/ksj/gml/datalist/KsjTmplt-S12-2024.html</x:v>
      </x:c>
      <x:c r="U1672" s="19" t="str">
        <x:v>station-component|県庁前|広島高速交通|fixed_guideway|34.3966|132.4581|</x:v>
      </x:c>
      <x:c r="V1672" s="19" t="str">
        <x:v>008037 / 008037 / 広島新交通1号線</x:v>
      </x:c>
      <x:c r="W1672" s="18" t="str">
        <x:v>否</x:v>
      </x:c>
      <x:c r="X1672" s="18" t="str">
        <x:v>0785e932a32b3ec15e1a1345537ae145eafe1c07bf38d5c16c11ee2b391e7a28</x:v>
      </x:c>
      <x:c r="Y1672" s="20" t="n">
        <x:v>1</x:v>
      </x:c>
      <x:c r="Z1672" s="20" t="n">
        <x:v>1</x:v>
      </x:c>
      <x:c r="AA1672" s="19"/>
      <x:c r="AB1672" s="18"/>
      <x:c r="AC1672" s="19"/>
    </x:row>
    <x:row r="1673" ht="28" customHeight="1">
      <x:c r="A1673" s="18" t="str">
        <x:v>県庁前</x:v>
      </x:c>
      <x:c r="B1673" s="18" t="str">
        <x:v>沖縄都市モノレール</x:v>
      </x:c>
      <x:c r="C1673" s="18" t="str">
        <x:v>fixed_guideway</x:v>
      </x:c>
      <x:c r="D1673" s="19" t="str">
        <x:v>T2</x:v>
      </x:c>
      <x:c r="E1673" s="20" t="n">
        <x:v>14905</x:v>
      </x:c>
      <x:c r="F1673" s="18" t="str">
        <x:v>persons/day</x:v>
      </x:c>
      <x:c r="G1673" s="18" t="str">
        <x:v>FY2024</x:v>
      </x:c>
      <x:c r="H1673" s="18" t="str">
        <x:v>否</x:v>
      </x:c>
      <x:c r="I1673" s="19" t="str">
        <x:v>DAILY_ENTRIES_EXITS</x:v>
      </x:c>
      <x:c r="J1673" s="19" t="str">
        <x:v>沖縄都市モノレール線</x:v>
      </x:c>
      <x:c r="K1673" s="18" t="str">
        <x:v>transport-node:a39a4057-1ef8-59fc-8994-ffdf9b7943a7</x:v>
      </x:c>
      <x:c r="L1673" s="19" t="str">
        <x:v>组件待审核</x:v>
      </x:c>
      <x:c r="M1673" s="21" t="n">
        <x:v>26.21439</x:v>
      </x:c>
      <x:c r="N1673" s="21" t="n">
        <x:v>127.679315</x:v>
      </x:c>
      <x:c r="O1673" s="18" t="str">
        <x:v>010136</x:v>
      </x:c>
      <x:c r="P1673" s="18" t="str">
        <x:v>沖縄都市モノレール線</x:v>
      </x:c>
      <x:c r="Q1673" s="19" t="str">
        <x:v>S12_061_GE_10000</x:v>
      </x:c>
      <x:c r="R1673" s="19" t="str">
        <x:v>S12_061 usage threshold</x:v>
      </x:c>
      <x:c r="S1673" s="19" t="str">
        <x:v>https://nlftp.mlit.go.jp/ksj/gml/datalist/KsjTmplt-S12-2024.html</x:v>
      </x:c>
      <x:c r="T1673" s="19" t="str">
        <x:v>https://nlftp.mlit.go.jp/ksj/gml/datalist/KsjTmplt-S12-2024.html</x:v>
      </x:c>
      <x:c r="U1673" s="19" t="str">
        <x:v>station-component|県庁前|沖縄都市モノレール|fixed_guideway|26.2144|127.6793|</x:v>
      </x:c>
      <x:c r="V1673" s="19" t="str">
        <x:v>010136 / 010136 / 沖縄都市モノレール線</x:v>
      </x:c>
      <x:c r="W1673" s="18" t="str">
        <x:v>否</x:v>
      </x:c>
      <x:c r="X1673" s="18" t="str">
        <x:v>0785e932a32b3ec15e1a1345537ae145eafe1c07bf38d5c16c11ee2b391e7a28</x:v>
      </x:c>
      <x:c r="Y1673" s="20" t="n">
        <x:v>1</x:v>
      </x:c>
      <x:c r="Z1673" s="20" t="n">
        <x:v>1</x:v>
      </x:c>
      <x:c r="AA1673" s="19"/>
      <x:c r="AB1673" s="18"/>
      <x:c r="AC1673" s="19"/>
    </x:row>
    <x:row r="1674" ht="28" customHeight="1">
      <x:c r="A1674" s="18" t="str">
        <x:v>県立大学</x:v>
      </x:c>
      <x:c r="B1674" s="18" t="str">
        <x:v>京浜急行電鉄</x:v>
      </x:c>
      <x:c r="C1674" s="18" t="str">
        <x:v>private_rail</x:v>
      </x:c>
      <x:c r="D1674" s="19" t="str">
        <x:v>T2</x:v>
      </x:c>
      <x:c r="E1674" s="20" t="n">
        <x:v>10931</x:v>
      </x:c>
      <x:c r="F1674" s="18" t="str">
        <x:v>persons/day</x:v>
      </x:c>
      <x:c r="G1674" s="18" t="str">
        <x:v>FY2024</x:v>
      </x:c>
      <x:c r="H1674" s="18" t="str">
        <x:v>否</x:v>
      </x:c>
      <x:c r="I1674" s="19" t="str">
        <x:v>DAILY_ENTRIES_EXITS</x:v>
      </x:c>
      <x:c r="J1674" s="19" t="str">
        <x:v>本線</x:v>
      </x:c>
      <x:c r="K1674" s="18" t="str">
        <x:v>transport-node:d1f2cf26-79f1-54d6-b093-fac99a3f34b3</x:v>
      </x:c>
      <x:c r="L1674" s="19" t="str">
        <x:v>组件待审核</x:v>
      </x:c>
      <x:c r="M1674" s="21" t="n">
        <x:v>35.2698167</x:v>
      </x:c>
      <x:c r="N1674" s="21" t="n">
        <x:v>139.67697</x:v>
      </x:c>
      <x:c r="O1674" s="18" t="str">
        <x:v>005181</x:v>
      </x:c>
      <x:c r="P1674" s="18" t="str">
        <x:v>本線</x:v>
      </x:c>
      <x:c r="Q1674" s="19" t="str">
        <x:v>S12_061_GE_10000</x:v>
      </x:c>
      <x:c r="R1674" s="19" t="str">
        <x:v>S12_061 usage threshold</x:v>
      </x:c>
      <x:c r="S1674" s="19" t="str">
        <x:v>https://nlftp.mlit.go.jp/ksj/gml/datalist/KsjTmplt-S12-2024.html</x:v>
      </x:c>
      <x:c r="T1674" s="19" t="str">
        <x:v>https://nlftp.mlit.go.jp/ksj/gml/datalist/KsjTmplt-S12-2024.html</x:v>
      </x:c>
      <x:c r="U1674" s="19" t="str">
        <x:v>station-component|県立大学|京浜急行電鉄|private_rail|35.2698|139.6770|</x:v>
      </x:c>
      <x:c r="V1674" s="19" t="str">
        <x:v>005181 / 005181 / 本線</x:v>
      </x:c>
      <x:c r="W1674" s="18" t="str">
        <x:v>否</x:v>
      </x:c>
      <x:c r="X1674" s="18" t="str">
        <x:v>0785e932a32b3ec15e1a1345537ae145eafe1c07bf38d5c16c11ee2b391e7a28</x:v>
      </x:c>
      <x:c r="Y1674" s="20" t="n">
        <x:v>1</x:v>
      </x:c>
      <x:c r="Z1674" s="20" t="n">
        <x:v>1</x:v>
      </x:c>
      <x:c r="AA1674" s="19"/>
      <x:c r="AB1674" s="18"/>
      <x:c r="AC1674" s="19"/>
    </x:row>
    <x:row r="1675" ht="28" customHeight="1">
      <x:c r="A1675" s="18" t="str">
        <x:v>真駒内</x:v>
      </x:c>
      <x:c r="B1675" s="18" t="str">
        <x:v>札幌市</x:v>
      </x:c>
      <x:c r="C1675" s="18" t="str">
        <x:v>metro</x:v>
      </x:c>
      <x:c r="D1675" s="19" t="str">
        <x:v>T2</x:v>
      </x:c>
      <x:c r="E1675" s="20" t="n">
        <x:v>22720</x:v>
      </x:c>
      <x:c r="F1675" s="18" t="str">
        <x:v>persons/day</x:v>
      </x:c>
      <x:c r="G1675" s="18" t="str">
        <x:v>FY2024</x:v>
      </x:c>
      <x:c r="H1675" s="18" t="str">
        <x:v>否</x:v>
      </x:c>
      <x:c r="I1675" s="19" t="str">
        <x:v>DAILY_ENTRIES_EXITS</x:v>
      </x:c>
      <x:c r="J1675" s="19" t="str">
        <x:v>南北線</x:v>
      </x:c>
      <x:c r="K1675" s="18" t="str">
        <x:v>transport-node:66c81434-9ce3-5fce-8e13-9c7e9ebbea63</x:v>
      </x:c>
      <x:c r="L1675" s="19" t="str">
        <x:v>组件待审核</x:v>
      </x:c>
      <x:c r="M1675" s="21" t="n">
        <x:v>42.99118</x:v>
      </x:c>
      <x:c r="N1675" s="21" t="n">
        <x:v>141.358545</x:v>
      </x:c>
      <x:c r="O1675" s="18" t="str">
        <x:v>000314</x:v>
      </x:c>
      <x:c r="P1675" s="18" t="str">
        <x:v>南北線</x:v>
      </x:c>
      <x:c r="Q1675" s="19" t="str">
        <x:v>S12_061_GE_10000</x:v>
      </x:c>
      <x:c r="R1675" s="19" t="str">
        <x:v>S12_061 usage threshold</x:v>
      </x:c>
      <x:c r="S1675" s="19" t="str">
        <x:v>https://nlftp.mlit.go.jp/ksj/gml/datalist/KsjTmplt-S12-2024.html</x:v>
      </x:c>
      <x:c r="T1675" s="19" t="str">
        <x:v>https://nlftp.mlit.go.jp/ksj/gml/datalist/KsjTmplt-S12-2024.html</x:v>
      </x:c>
      <x:c r="U1675" s="19" t="str">
        <x:v>station-component|真駒内|札幌市|metro|42.9912|141.3585|</x:v>
      </x:c>
      <x:c r="V1675" s="19" t="str">
        <x:v>000314 / 000314 / 南北線</x:v>
      </x:c>
      <x:c r="W1675" s="18" t="str">
        <x:v>否</x:v>
      </x:c>
      <x:c r="X1675" s="18" t="str">
        <x:v>0785e932a32b3ec15e1a1345537ae145eafe1c07bf38d5c16c11ee2b391e7a28</x:v>
      </x:c>
      <x:c r="Y1675" s="20" t="n">
        <x:v>1</x:v>
      </x:c>
      <x:c r="Z1675" s="20" t="n">
        <x:v>1</x:v>
      </x:c>
      <x:c r="AA1675" s="19"/>
      <x:c r="AB1675" s="18"/>
      <x:c r="AC1675" s="19"/>
    </x:row>
    <x:row r="1676" ht="28" customHeight="1">
      <x:c r="A1676" s="18" t="str">
        <x:v>矢口渡</x:v>
      </x:c>
      <x:c r="B1676" s="18" t="str">
        <x:v>東急電鉄</x:v>
      </x:c>
      <x:c r="C1676" s="18" t="str">
        <x:v>private_rail</x:v>
      </x:c>
      <x:c r="D1676" s="19" t="str">
        <x:v>T2</x:v>
      </x:c>
      <x:c r="E1676" s="20" t="n">
        <x:v>25506</x:v>
      </x:c>
      <x:c r="F1676" s="18" t="str">
        <x:v>persons/day</x:v>
      </x:c>
      <x:c r="G1676" s="18" t="str">
        <x:v>FY2024</x:v>
      </x:c>
      <x:c r="H1676" s="18" t="str">
        <x:v>否</x:v>
      </x:c>
      <x:c r="I1676" s="19" t="str">
        <x:v>DAILY_ENTRIES_EXITS</x:v>
      </x:c>
      <x:c r="J1676" s="19" t="str">
        <x:v>東急多摩川線</x:v>
      </x:c>
      <x:c r="K1676" s="18" t="str">
        <x:v>transport-node:5ba7a923-fb9f-58e3-a669-a2fff04d1735</x:v>
      </x:c>
      <x:c r="L1676" s="19" t="str">
        <x:v>组件待审核</x:v>
      </x:c>
      <x:c r="M1676" s="21" t="n">
        <x:v>35.56245</x:v>
      </x:c>
      <x:c r="N1676" s="21" t="n">
        <x:v>139.70034</x:v>
      </x:c>
      <x:c r="O1676" s="18" t="str">
        <x:v>004329</x:v>
      </x:c>
      <x:c r="P1676" s="18" t="str">
        <x:v>東急多摩川線</x:v>
      </x:c>
      <x:c r="Q1676" s="19" t="str">
        <x:v>S12_061_GE_10000</x:v>
      </x:c>
      <x:c r="R1676" s="19" t="str">
        <x:v>S12_061 usage threshold</x:v>
      </x:c>
      <x:c r="S1676" s="19" t="str">
        <x:v>https://nlftp.mlit.go.jp/ksj/gml/datalist/KsjTmplt-S12-2024.html</x:v>
      </x:c>
      <x:c r="T1676" s="19" t="str">
        <x:v>https://nlftp.mlit.go.jp/ksj/gml/datalist/KsjTmplt-S12-2024.html</x:v>
      </x:c>
      <x:c r="U1676" s="19" t="str">
        <x:v>station-component|矢口渡|東急電鉄|private_rail|35.5624|139.7003|</x:v>
      </x:c>
      <x:c r="V1676" s="19" t="str">
        <x:v>004329 / 004329 / 東急多摩川線</x:v>
      </x:c>
      <x:c r="W1676" s="18" t="str">
        <x:v>否</x:v>
      </x:c>
      <x:c r="X1676" s="18" t="str">
        <x:v>0785e932a32b3ec15e1a1345537ae145eafe1c07bf38d5c16c11ee2b391e7a28</x:v>
      </x:c>
      <x:c r="Y1676" s="20" t="n">
        <x:v>1</x:v>
      </x:c>
      <x:c r="Z1676" s="20" t="n">
        <x:v>1</x:v>
      </x:c>
      <x:c r="AA1676" s="19"/>
      <x:c r="AB1676" s="18"/>
      <x:c r="AC1676" s="19"/>
    </x:row>
    <x:row r="1677" ht="28" customHeight="1">
      <x:c r="A1677" s="18" t="str">
        <x:v>矢向</x:v>
      </x:c>
      <x:c r="B1677" s="18" t="str">
        <x:v>東日本旅客鉄道</x:v>
      </x:c>
      <x:c r="C1677" s="18" t="str">
        <x:v>conventional_rail</x:v>
      </x:c>
      <x:c r="D1677" s="19" t="str">
        <x:v>T2</x:v>
      </x:c>
      <x:c r="E1677" s="20" t="n">
        <x:v>35884</x:v>
      </x:c>
      <x:c r="F1677" s="18" t="str">
        <x:v>persons/day</x:v>
      </x:c>
      <x:c r="G1677" s="18" t="str">
        <x:v>FY2024</x:v>
      </x:c>
      <x:c r="H1677" s="18" t="str">
        <x:v>否</x:v>
      </x:c>
      <x:c r="I1677" s="19" t="str">
        <x:v>DAILY_ENTRIES_EXITS</x:v>
      </x:c>
      <x:c r="J1677" s="19" t="str">
        <x:v>南武線</x:v>
      </x:c>
      <x:c r="K1677" s="18" t="str">
        <x:v>transport-node:6b2443f3-74dc-5879-a208-51da01f7553c</x:v>
      </x:c>
      <x:c r="L1677" s="19" t="str">
        <x:v>组件待审核</x:v>
      </x:c>
      <x:c r="M1677" s="21" t="n">
        <x:v>35.53946</x:v>
      </x:c>
      <x:c r="N1677" s="21" t="n">
        <x:v>139.68038</x:v>
      </x:c>
      <x:c r="O1677" s="18" t="str">
        <x:v>004403</x:v>
      </x:c>
      <x:c r="P1677" s="18" t="str">
        <x:v>南武線</x:v>
      </x:c>
      <x:c r="Q1677" s="19" t="str">
        <x:v>S12_061_GE_10000</x:v>
      </x:c>
      <x:c r="R1677" s="19" t="str">
        <x:v>S12_061 usage threshold</x:v>
      </x:c>
      <x:c r="S1677" s="19" t="str">
        <x:v>https://nlftp.mlit.go.jp/ksj/gml/datalist/KsjTmplt-S12-2024.html</x:v>
      </x:c>
      <x:c r="T1677" s="19" t="str">
        <x:v>https://nlftp.mlit.go.jp/ksj/gml/datalist/KsjTmplt-S12-2024.html</x:v>
      </x:c>
      <x:c r="U1677" s="19" t="str">
        <x:v>station-component|矢向|東日本旅客鉄道|conventional_rail|35.5395|139.6804|</x:v>
      </x:c>
      <x:c r="V1677" s="19" t="str">
        <x:v>004403 / 004403 / 南武線</x:v>
      </x:c>
      <x:c r="W1677" s="18" t="str">
        <x:v>否</x:v>
      </x:c>
      <x:c r="X1677" s="18" t="str">
        <x:v>0785e932a32b3ec15e1a1345537ae145eafe1c07bf38d5c16c11ee2b391e7a28</x:v>
      </x:c>
      <x:c r="Y1677" s="20" t="n">
        <x:v>1</x:v>
      </x:c>
      <x:c r="Z1677" s="20" t="n">
        <x:v>1</x:v>
      </x:c>
      <x:c r="AA1677" s="19"/>
      <x:c r="AB1677" s="18"/>
      <x:c r="AC1677" s="19"/>
    </x:row>
    <x:row r="1678" ht="28" customHeight="1">
      <x:c r="A1678" s="18" t="str">
        <x:v>矢場町</x:v>
      </x:c>
      <x:c r="B1678" s="18" t="str">
        <x:v>名古屋市</x:v>
      </x:c>
      <x:c r="C1678" s="18" t="str">
        <x:v>metro</x:v>
      </x:c>
      <x:c r="D1678" s="19" t="str">
        <x:v>T1</x:v>
      </x:c>
      <x:c r="E1678" s="20" t="n">
        <x:v>59961</x:v>
      </x:c>
      <x:c r="F1678" s="18" t="str">
        <x:v>persons/day</x:v>
      </x:c>
      <x:c r="G1678" s="18" t="str">
        <x:v>FY2024</x:v>
      </x:c>
      <x:c r="H1678" s="18" t="str">
        <x:v>否</x:v>
      </x:c>
      <x:c r="I1678" s="19" t="str">
        <x:v>DAILY_ENTRIES_EXITS</x:v>
      </x:c>
      <x:c r="J1678" s="19" t="str">
        <x:v>2号線名城線</x:v>
      </x:c>
      <x:c r="K1678" s="18" t="str">
        <x:v>transport-node:14b3331f-d850-5f2a-91c1-df47408490fb</x:v>
      </x:c>
      <x:c r="L1678" s="19" t="str">
        <x:v>组件待审核</x:v>
      </x:c>
      <x:c r="M1678" s="21" t="n">
        <x:v>35.163305</x:v>
      </x:c>
      <x:c r="N1678" s="21" t="n">
        <x:v>136.908725</x:v>
      </x:c>
      <x:c r="O1678" s="18" t="str">
        <x:v>005485</x:v>
      </x:c>
      <x:c r="P1678" s="18" t="str">
        <x:v>2号線名城線</x:v>
      </x:c>
      <x:c r="Q1678" s="19" t="str">
        <x:v>S12_061_GE_10000</x:v>
      </x:c>
      <x:c r="R1678" s="19" t="str">
        <x:v>S12_061 usage threshold</x:v>
      </x:c>
      <x:c r="S1678" s="19" t="str">
        <x:v>https://nlftp.mlit.go.jp/ksj/gml/datalist/KsjTmplt-S12-2024.html</x:v>
      </x:c>
      <x:c r="T1678" s="19" t="str">
        <x:v>https://nlftp.mlit.go.jp/ksj/gml/datalist/KsjTmplt-S12-2024.html</x:v>
      </x:c>
      <x:c r="U1678" s="19" t="str">
        <x:v>station-component|矢場町|名古屋市|metro|35.1633|136.9087|</x:v>
      </x:c>
      <x:c r="V1678" s="19" t="str">
        <x:v>005485 / 005485 / 2号線名城線</x:v>
      </x:c>
      <x:c r="W1678" s="18" t="str">
        <x:v>否</x:v>
      </x:c>
      <x:c r="X1678" s="18" t="str">
        <x:v>0785e932a32b3ec15e1a1345537ae145eafe1c07bf38d5c16c11ee2b391e7a28</x:v>
      </x:c>
      <x:c r="Y1678" s="20" t="n">
        <x:v>1</x:v>
      </x:c>
      <x:c r="Z1678" s="20" t="n">
        <x:v>1</x:v>
      </x:c>
      <x:c r="AA1678" s="19"/>
      <x:c r="AB1678" s="18"/>
      <x:c r="AC1678" s="19"/>
    </x:row>
    <x:row r="1679" ht="28" customHeight="1">
      <x:c r="A1679" s="18" t="str">
        <x:v>矢川</x:v>
      </x:c>
      <x:c r="B1679" s="18" t="str">
        <x:v>東日本旅客鉄道</x:v>
      </x:c>
      <x:c r="C1679" s="18" t="str">
        <x:v>conventional_rail</x:v>
      </x:c>
      <x:c r="D1679" s="19" t="str">
        <x:v>T2</x:v>
      </x:c>
      <x:c r="E1679" s="20" t="n">
        <x:v>16536</x:v>
      </x:c>
      <x:c r="F1679" s="18" t="str">
        <x:v>persons/day</x:v>
      </x:c>
      <x:c r="G1679" s="18" t="str">
        <x:v>FY2024</x:v>
      </x:c>
      <x:c r="H1679" s="18" t="str">
        <x:v>否</x:v>
      </x:c>
      <x:c r="I1679" s="19" t="str">
        <x:v>DAILY_ENTRIES_EXITS</x:v>
      </x:c>
      <x:c r="J1679" s="19" t="str">
        <x:v>南武線</x:v>
      </x:c>
      <x:c r="K1679" s="18" t="str">
        <x:v>transport-node:505be76c-b73e-59f0-9ff5-e669f0b9bf4c</x:v>
      </x:c>
      <x:c r="L1679" s="19" t="str">
        <x:v>组件待审核</x:v>
      </x:c>
      <x:c r="M1679" s="21" t="n">
        <x:v>35.685075</x:v>
      </x:c>
      <x:c r="N1679" s="21" t="n">
        <x:v>139.43159</x:v>
      </x:c>
      <x:c r="O1679" s="18" t="str">
        <x:v>003733</x:v>
      </x:c>
      <x:c r="P1679" s="18" t="str">
        <x:v>南武線</x:v>
      </x:c>
      <x:c r="Q1679" s="19" t="str">
        <x:v>S12_061_GE_10000</x:v>
      </x:c>
      <x:c r="R1679" s="19" t="str">
        <x:v>S12_061 usage threshold</x:v>
      </x:c>
      <x:c r="S1679" s="19" t="str">
        <x:v>https://nlftp.mlit.go.jp/ksj/gml/datalist/KsjTmplt-S12-2024.html</x:v>
      </x:c>
      <x:c r="T1679" s="19" t="str">
        <x:v>https://nlftp.mlit.go.jp/ksj/gml/datalist/KsjTmplt-S12-2024.html</x:v>
      </x:c>
      <x:c r="U1679" s="19" t="str">
        <x:v>station-component|矢川|東日本旅客鉄道|conventional_rail|35.6851|139.4316|</x:v>
      </x:c>
      <x:c r="V1679" s="19" t="str">
        <x:v>003733 / 003733 / 南武線</x:v>
      </x:c>
      <x:c r="W1679" s="18" t="str">
        <x:v>否</x:v>
      </x:c>
      <x:c r="X1679" s="18" t="str">
        <x:v>0785e932a32b3ec15e1a1345537ae145eafe1c07bf38d5c16c11ee2b391e7a28</x:v>
      </x:c>
      <x:c r="Y1679" s="20" t="n">
        <x:v>1</x:v>
      </x:c>
      <x:c r="Z1679" s="20" t="n">
        <x:v>1</x:v>
      </x:c>
      <x:c r="AA1679" s="19"/>
      <x:c r="AB1679" s="18"/>
      <x:c r="AC1679" s="19"/>
    </x:row>
    <x:row r="1680" ht="28" customHeight="1">
      <x:c r="A1680" s="18" t="str">
        <x:v>矢部</x:v>
      </x:c>
      <x:c r="B1680" s="18" t="str">
        <x:v>東日本旅客鉄道</x:v>
      </x:c>
      <x:c r="C1680" s="18" t="str">
        <x:v>conventional_rail</x:v>
      </x:c>
      <x:c r="D1680" s="19" t="str">
        <x:v>T2</x:v>
      </x:c>
      <x:c r="E1680" s="20" t="n">
        <x:v>23664</x:v>
      </x:c>
      <x:c r="F1680" s="18" t="str">
        <x:v>persons/day</x:v>
      </x:c>
      <x:c r="G1680" s="18" t="str">
        <x:v>FY2024</x:v>
      </x:c>
      <x:c r="H1680" s="18" t="str">
        <x:v>否</x:v>
      </x:c>
      <x:c r="I1680" s="19" t="str">
        <x:v>DAILY_ENTRIES_EXITS</x:v>
      </x:c>
      <x:c r="J1680" s="19" t="str">
        <x:v>横浜線</x:v>
      </x:c>
      <x:c r="K1680" s="18" t="str">
        <x:v>transport-node:0faff248-7ebe-53d3-bd73-b455c7a2dda8</x:v>
      </x:c>
      <x:c r="L1680" s="19" t="str">
        <x:v>组件待审核</x:v>
      </x:c>
      <x:c r="M1680" s="21" t="n">
        <x:v>35.57309</x:v>
      </x:c>
      <x:c r="N1680" s="21" t="n">
        <x:v>139.38655</x:v>
      </x:c>
      <x:c r="O1680" s="18" t="str">
        <x:v>004304</x:v>
      </x:c>
      <x:c r="P1680" s="18" t="str">
        <x:v>横浜線</x:v>
      </x:c>
      <x:c r="Q1680" s="19" t="str">
        <x:v>S12_061_GE_10000</x:v>
      </x:c>
      <x:c r="R1680" s="19" t="str">
        <x:v>S12_061 usage threshold</x:v>
      </x:c>
      <x:c r="S1680" s="19" t="str">
        <x:v>https://nlftp.mlit.go.jp/ksj/gml/datalist/KsjTmplt-S12-2024.html</x:v>
      </x:c>
      <x:c r="T1680" s="19" t="str">
        <x:v>https://nlftp.mlit.go.jp/ksj/gml/datalist/KsjTmplt-S12-2024.html</x:v>
      </x:c>
      <x:c r="U1680" s="19" t="str">
        <x:v>station-component|矢部|東日本旅客鉄道|conventional_rail|35.5731|139.3865|</x:v>
      </x:c>
      <x:c r="V1680" s="19" t="str">
        <x:v>004304 / 004304 / 横浜線</x:v>
      </x:c>
      <x:c r="W1680" s="18" t="str">
        <x:v>否</x:v>
      </x:c>
      <x:c r="X1680" s="18" t="str">
        <x:v>0785e932a32b3ec15e1a1345537ae145eafe1c07bf38d5c16c11ee2b391e7a28</x:v>
      </x:c>
      <x:c r="Y1680" s="20" t="n">
        <x:v>1</x:v>
      </x:c>
      <x:c r="Z1680" s="20" t="n">
        <x:v>1</x:v>
      </x:c>
      <x:c r="AA1680" s="19"/>
      <x:c r="AB1680" s="18"/>
      <x:c r="AC1680" s="19"/>
    </x:row>
    <x:row r="1681" ht="28" customHeight="1">
      <x:c r="A1681" s="18" t="str">
        <x:v>矢野</x:v>
      </x:c>
      <x:c r="B1681" s="18" t="str">
        <x:v>西日本旅客鉄道</x:v>
      </x:c>
      <x:c r="C1681" s="18" t="str">
        <x:v>conventional_rail</x:v>
      </x:c>
      <x:c r="D1681" s="19" t="str">
        <x:v>T2</x:v>
      </x:c>
      <x:c r="E1681" s="20" t="n">
        <x:v>13462</x:v>
      </x:c>
      <x:c r="F1681" s="18" t="str">
        <x:v>persons/day</x:v>
      </x:c>
      <x:c r="G1681" s="18" t="str">
        <x:v>FY2024</x:v>
      </x:c>
      <x:c r="H1681" s="18" t="str">
        <x:v>否</x:v>
      </x:c>
      <x:c r="I1681" s="19" t="str">
        <x:v>DAILY_ENTRIES_EXITS</x:v>
      </x:c>
      <x:c r="J1681" s="19" t="str">
        <x:v>呉線</x:v>
      </x:c>
      <x:c r="K1681" s="18" t="str">
        <x:v>transport-node:1f0b2977-e4b2-5cd5-a60e-83315ffc7124</x:v>
      </x:c>
      <x:c r="L1681" s="19" t="str">
        <x:v>组件待审核</x:v>
      </x:c>
      <x:c r="M1681" s="21" t="n">
        <x:v>34.352185</x:v>
      </x:c>
      <x:c r="N1681" s="21" t="n">
        <x:v>132.532125</x:v>
      </x:c>
      <x:c r="O1681" s="18" t="str">
        <x:v>008160</x:v>
      </x:c>
      <x:c r="P1681" s="18" t="str">
        <x:v>呉線</x:v>
      </x:c>
      <x:c r="Q1681" s="19" t="str">
        <x:v>S12_061_GE_10000</x:v>
      </x:c>
      <x:c r="R1681" s="19" t="str">
        <x:v>S12_061 usage threshold</x:v>
      </x:c>
      <x:c r="S1681" s="19" t="str">
        <x:v>https://nlftp.mlit.go.jp/ksj/gml/datalist/KsjTmplt-S12-2024.html</x:v>
      </x:c>
      <x:c r="T1681" s="19" t="str">
        <x:v>https://nlftp.mlit.go.jp/ksj/gml/datalist/KsjTmplt-S12-2024.html</x:v>
      </x:c>
      <x:c r="U1681" s="19" t="str">
        <x:v>station-component|矢野|西日本旅客鉄道|conventional_rail|34.3522|132.5321|</x:v>
      </x:c>
      <x:c r="V1681" s="19" t="str">
        <x:v>008160 / 008160 / 呉線</x:v>
      </x:c>
      <x:c r="W1681" s="18" t="str">
        <x:v>否</x:v>
      </x:c>
      <x:c r="X1681" s="18" t="str">
        <x:v>0785e932a32b3ec15e1a1345537ae145eafe1c07bf38d5c16c11ee2b391e7a28</x:v>
      </x:c>
      <x:c r="Y1681" s="20" t="n">
        <x:v>1</x:v>
      </x:c>
      <x:c r="Z1681" s="20" t="n">
        <x:v>1</x:v>
      </x:c>
      <x:c r="AA1681" s="19"/>
      <x:c r="AB1681" s="18"/>
      <x:c r="AC1681" s="19"/>
    </x:row>
    <x:row r="1682" ht="28" customHeight="1">
      <x:c r="A1682" s="18" t="str">
        <x:v>矢野口</x:v>
      </x:c>
      <x:c r="B1682" s="18" t="str">
        <x:v>東日本旅客鉄道</x:v>
      </x:c>
      <x:c r="C1682" s="18" t="str">
        <x:v>conventional_rail</x:v>
      </x:c>
      <x:c r="D1682" s="19" t="str">
        <x:v>T2</x:v>
      </x:c>
      <x:c r="E1682" s="20" t="n">
        <x:v>18294</x:v>
      </x:c>
      <x:c r="F1682" s="18" t="str">
        <x:v>persons/day</x:v>
      </x:c>
      <x:c r="G1682" s="18" t="str">
        <x:v>FY2024</x:v>
      </x:c>
      <x:c r="H1682" s="18" t="str">
        <x:v>否</x:v>
      </x:c>
      <x:c r="I1682" s="19" t="str">
        <x:v>DAILY_ENTRIES_EXITS</x:v>
      </x:c>
      <x:c r="J1682" s="19" t="str">
        <x:v>南武線</x:v>
      </x:c>
      <x:c r="K1682" s="18" t="str">
        <x:v>transport-node:9d7d4232-56e0-5527-b04b-ead65ac55036</x:v>
      </x:c>
      <x:c r="L1682" s="19" t="str">
        <x:v>组件待审核</x:v>
      </x:c>
      <x:c r="M1682" s="21" t="n">
        <x:v>35.641735</x:v>
      </x:c>
      <x:c r="N1682" s="21" t="n">
        <x:v>139.520435</x:v>
      </x:c>
      <x:c r="O1682" s="18" t="str">
        <x:v>004032</x:v>
      </x:c>
      <x:c r="P1682" s="18" t="str">
        <x:v>南武線</x:v>
      </x:c>
      <x:c r="Q1682" s="19" t="str">
        <x:v>S12_061_GE_10000</x:v>
      </x:c>
      <x:c r="R1682" s="19" t="str">
        <x:v>S12_061 usage threshold</x:v>
      </x:c>
      <x:c r="S1682" s="19" t="str">
        <x:v>https://nlftp.mlit.go.jp/ksj/gml/datalist/KsjTmplt-S12-2024.html</x:v>
      </x:c>
      <x:c r="T1682" s="19" t="str">
        <x:v>https://nlftp.mlit.go.jp/ksj/gml/datalist/KsjTmplt-S12-2024.html</x:v>
      </x:c>
      <x:c r="U1682" s="19" t="str">
        <x:v>station-component|矢野口|東日本旅客鉄道|conventional_rail|35.6417|139.5204|</x:v>
      </x:c>
      <x:c r="V1682" s="19" t="str">
        <x:v>004032 / 004032 / 南武線</x:v>
      </x:c>
      <x:c r="W1682" s="18" t="str">
        <x:v>否</x:v>
      </x:c>
      <x:c r="X1682" s="18" t="str">
        <x:v>0785e932a32b3ec15e1a1345537ae145eafe1c07bf38d5c16c11ee2b391e7a28</x:v>
      </x:c>
      <x:c r="Y1682" s="20" t="n">
        <x:v>1</x:v>
      </x:c>
      <x:c r="Z1682" s="20" t="n">
        <x:v>1</x:v>
      </x:c>
      <x:c r="AA1682" s="19"/>
      <x:c r="AB1682" s="18"/>
      <x:c r="AC1682" s="19"/>
    </x:row>
    <x:row r="1683" ht="28" customHeight="1">
      <x:c r="A1683" s="18" t="str">
        <x:v>知多半田</x:v>
      </x:c>
      <x:c r="B1683" s="18" t="str">
        <x:v>名古屋鉄道</x:v>
      </x:c>
      <x:c r="C1683" s="18" t="str">
        <x:v>private_rail</x:v>
      </x:c>
      <x:c r="D1683" s="19" t="str">
        <x:v>T2</x:v>
      </x:c>
      <x:c r="E1683" s="20" t="n">
        <x:v>10097</x:v>
      </x:c>
      <x:c r="F1683" s="18" t="str">
        <x:v>persons/day</x:v>
      </x:c>
      <x:c r="G1683" s="18" t="str">
        <x:v>FY2024</x:v>
      </x:c>
      <x:c r="H1683" s="18" t="str">
        <x:v>否</x:v>
      </x:c>
      <x:c r="I1683" s="19" t="str">
        <x:v>DAILY_ENTRIES_EXITS</x:v>
      </x:c>
      <x:c r="J1683" s="19" t="str">
        <x:v>河和線</x:v>
      </x:c>
      <x:c r="K1683" s="18" t="str">
        <x:v>transport-node:89868c48-277c-5169-b515-7ca4fdcfb4e3</x:v>
      </x:c>
      <x:c r="L1683" s="19" t="str">
        <x:v>组件待审核</x:v>
      </x:c>
      <x:c r="M1683" s="21" t="n">
        <x:v>34.893992</x:v>
      </x:c>
      <x:c r="N1683" s="21" t="n">
        <x:v>136.92588</x:v>
      </x:c>
      <x:c r="O1683" s="18" t="str">
        <x:v>006321</x:v>
      </x:c>
      <x:c r="P1683" s="18" t="str">
        <x:v>河和線</x:v>
      </x:c>
      <x:c r="Q1683" s="19" t="str">
        <x:v>S12_061_GE_10000</x:v>
      </x:c>
      <x:c r="R1683" s="19" t="str">
        <x:v>S12_061 usage threshold</x:v>
      </x:c>
      <x:c r="S1683" s="19" t="str">
        <x:v>https://nlftp.mlit.go.jp/ksj/gml/datalist/KsjTmplt-S12-2024.html</x:v>
      </x:c>
      <x:c r="T1683" s="19" t="str">
        <x:v>https://nlftp.mlit.go.jp/ksj/gml/datalist/KsjTmplt-S12-2024.html</x:v>
      </x:c>
      <x:c r="U1683" s="19" t="str">
        <x:v>station-component|知多半田|名古屋鉄道|private_rail|34.8940|136.9259|</x:v>
      </x:c>
      <x:c r="V1683" s="19" t="str">
        <x:v>006321 / 006321 / 河和線</x:v>
      </x:c>
      <x:c r="W1683" s="18" t="str">
        <x:v>否</x:v>
      </x:c>
      <x:c r="X1683" s="18" t="str">
        <x:v>0785e932a32b3ec15e1a1345537ae145eafe1c07bf38d5c16c11ee2b391e7a28</x:v>
      </x:c>
      <x:c r="Y1683" s="20" t="n">
        <x:v>1</x:v>
      </x:c>
      <x:c r="Z1683" s="20" t="n">
        <x:v>1</x:v>
      </x:c>
      <x:c r="AA1683" s="19"/>
      <x:c r="AB1683" s="18"/>
      <x:c r="AC1683" s="19"/>
    </x:row>
    <x:row r="1684" ht="33" customHeight="1">
      <x:c r="A1684" s="18" t="str">
        <x:v>知立</x:v>
      </x:c>
      <x:c r="B1684" s="18" t="str">
        <x:v>名古屋鉄道</x:v>
      </x:c>
      <x:c r="C1684" s="18" t="str">
        <x:v>private_rail</x:v>
      </x:c>
      <x:c r="D1684" s="19" t="str">
        <x:v>T2</x:v>
      </x:c>
      <x:c r="E1684" s="20" t="n">
        <x:v>29576</x:v>
      </x:c>
      <x:c r="F1684" s="18" t="str">
        <x:v>persons/day</x:v>
      </x:c>
      <x:c r="G1684" s="18" t="str">
        <x:v>FY2024</x:v>
      </x:c>
      <x:c r="H1684" s="18" t="str">
        <x:v>否</x:v>
      </x:c>
      <x:c r="I1684" s="19" t="str">
        <x:v>DAILY_ENTRIES_EXITS</x:v>
      </x:c>
      <x:c r="J1684" s="19" t="str">
        <x:v>三河線
名古屋本線</x:v>
      </x:c>
      <x:c r="K1684" s="18" t="str">
        <x:v>transport-node:898e5fca-7be6-51b8-a7bb-8a70f365296d</x:v>
      </x:c>
      <x:c r="L1684" s="19" t="str">
        <x:v>组件待审核</x:v>
      </x:c>
      <x:c r="M1684" s="21" t="n">
        <x:v>35.00623</x:v>
      </x:c>
      <x:c r="N1684" s="21" t="n">
        <x:v>137.039665</x:v>
      </x:c>
      <x:c r="O1684" s="18" t="str">
        <x:v>005985</x:v>
      </x:c>
      <x:c r="P1684" s="18" t="str">
        <x:v>名古屋本線</x:v>
      </x:c>
      <x:c r="Q1684" s="19" t="str">
        <x:v>S12_061_GE_10000</x:v>
      </x:c>
      <x:c r="R1684" s="19" t="str">
        <x:v>S12_061 usage threshold</x:v>
      </x:c>
      <x:c r="S1684" s="19" t="str">
        <x:v>https://nlftp.mlit.go.jp/ksj/gml/datalist/KsjTmplt-S12-2024.html</x:v>
      </x:c>
      <x:c r="T1684" s="19" t="str">
        <x:v>https://nlftp.mlit.go.jp/ksj/gml/datalist/KsjTmplt-S12-2024.html</x:v>
      </x:c>
      <x:c r="U1684" s="19" t="str">
        <x:v>station-component|知立|名古屋鉄道|private_rail|35.0062|137.0397|</x:v>
      </x:c>
      <x:c r="V1684" s="19" t="str">
        <x:v>005984 / 005984 / 三河線
005984 / 005985 / 名古屋本線</x:v>
      </x:c>
      <x:c r="W1684" s="18" t="str">
        <x:v>否</x:v>
      </x:c>
      <x:c r="X1684" s="18" t="str">
        <x:v>0785e932a32b3ec15e1a1345537ae145eafe1c07bf38d5c16c11ee2b391e7a28</x:v>
      </x:c>
      <x:c r="Y1684" s="20" t="n">
        <x:v>1</x:v>
      </x:c>
      <x:c r="Z1684" s="20" t="n">
        <x:v>1</x:v>
      </x:c>
      <x:c r="AA1684" s="19"/>
      <x:c r="AB1684" s="18"/>
      <x:c r="AC1684" s="19"/>
    </x:row>
    <x:row r="1685" ht="28" customHeight="1">
      <x:c r="A1685" s="18" t="str">
        <x:v>石山</x:v>
      </x:c>
      <x:c r="B1685" s="18" t="str">
        <x:v>西日本旅客鉄道</x:v>
      </x:c>
      <x:c r="C1685" s="18" t="str">
        <x:v>conventional_rail</x:v>
      </x:c>
      <x:c r="D1685" s="19" t="str">
        <x:v>T2</x:v>
      </x:c>
      <x:c r="E1685" s="20" t="n">
        <x:v>42058</x:v>
      </x:c>
      <x:c r="F1685" s="18" t="str">
        <x:v>persons/day</x:v>
      </x:c>
      <x:c r="G1685" s="18" t="str">
        <x:v>FY2024</x:v>
      </x:c>
      <x:c r="H1685" s="18" t="str">
        <x:v>否</x:v>
      </x:c>
      <x:c r="I1685" s="19" t="str">
        <x:v>DAILY_ENTRIES_EXITS</x:v>
      </x:c>
      <x:c r="J1685" s="19" t="str">
        <x:v>東海道線</x:v>
      </x:c>
      <x:c r="K1685" s="18" t="str">
        <x:v>transport-node:a2ba1677-44f8-52c9-8f71-d4b95385f18d</x:v>
      </x:c>
      <x:c r="L1685" s="19" t="str">
        <x:v>组件待审核</x:v>
      </x:c>
      <x:c r="M1685" s="21" t="n">
        <x:v>34.980065</x:v>
      </x:c>
      <x:c r="N1685" s="21" t="n">
        <x:v>135.898785</x:v>
      </x:c>
      <x:c r="O1685" s="18" t="str">
        <x:v>006098</x:v>
      </x:c>
      <x:c r="P1685" s="18" t="str">
        <x:v>東海道線</x:v>
      </x:c>
      <x:c r="Q1685" s="19" t="str">
        <x:v>S12_061_GE_10000</x:v>
      </x:c>
      <x:c r="R1685" s="19" t="str">
        <x:v>S12_061 usage threshold</x:v>
      </x:c>
      <x:c r="S1685" s="19" t="str">
        <x:v>https://nlftp.mlit.go.jp/ksj/gml/datalist/KsjTmplt-S12-2024.html</x:v>
      </x:c>
      <x:c r="T1685" s="19" t="str">
        <x:v>https://nlftp.mlit.go.jp/ksj/gml/datalist/KsjTmplt-S12-2024.html</x:v>
      </x:c>
      <x:c r="U1685" s="19" t="str">
        <x:v>station-component|石山|西日本旅客鉄道|conventional_rail|34.9801|135.8988|</x:v>
      </x:c>
      <x:c r="V1685" s="19" t="str">
        <x:v>006098 / 006098 / 東海道線</x:v>
      </x:c>
      <x:c r="W1685" s="18" t="str">
        <x:v>否</x:v>
      </x:c>
      <x:c r="X1685" s="18" t="str">
        <x:v>0785e932a32b3ec15e1a1345537ae145eafe1c07bf38d5c16c11ee2b391e7a28</x:v>
      </x:c>
      <x:c r="Y1685" s="20" t="n">
        <x:v>1</x:v>
      </x:c>
      <x:c r="Z1685" s="20" t="n">
        <x:v>1</x:v>
      </x:c>
      <x:c r="AA1685" s="19"/>
      <x:c r="AB1685" s="18"/>
      <x:c r="AC1685" s="19"/>
    </x:row>
    <x:row r="1686" ht="28" customHeight="1">
      <x:c r="A1686" s="18" t="str">
        <x:v>石川台</x:v>
      </x:c>
      <x:c r="B1686" s="18" t="str">
        <x:v>東急電鉄</x:v>
      </x:c>
      <x:c r="C1686" s="18" t="str">
        <x:v>private_rail</x:v>
      </x:c>
      <x:c r="D1686" s="19" t="str">
        <x:v>T2</x:v>
      </x:c>
      <x:c r="E1686" s="20" t="n">
        <x:v>14877</x:v>
      </x:c>
      <x:c r="F1686" s="18" t="str">
        <x:v>persons/day</x:v>
      </x:c>
      <x:c r="G1686" s="18" t="str">
        <x:v>FY2024</x:v>
      </x:c>
      <x:c r="H1686" s="18" t="str">
        <x:v>否</x:v>
      </x:c>
      <x:c r="I1686" s="19" t="str">
        <x:v>DAILY_ENTRIES_EXITS</x:v>
      </x:c>
      <x:c r="J1686" s="19" t="str">
        <x:v>池上線</x:v>
      </x:c>
      <x:c r="K1686" s="18" t="str">
        <x:v>transport-node:87c88a84-6991-5de8-8943-9895d4273b03</x:v>
      </x:c>
      <x:c r="L1686" s="19" t="str">
        <x:v>组件待审核</x:v>
      </x:c>
      <x:c r="M1686" s="21" t="n">
        <x:v>35.59686</x:v>
      </x:c>
      <x:c r="N1686" s="21" t="n">
        <x:v>139.68509</x:v>
      </x:c>
      <x:c r="O1686" s="18" t="str">
        <x:v>004247</x:v>
      </x:c>
      <x:c r="P1686" s="18" t="str">
        <x:v>池上線</x:v>
      </x:c>
      <x:c r="Q1686" s="19" t="str">
        <x:v>S12_061_GE_10000</x:v>
      </x:c>
      <x:c r="R1686" s="19" t="str">
        <x:v>S12_061 usage threshold</x:v>
      </x:c>
      <x:c r="S1686" s="19" t="str">
        <x:v>https://nlftp.mlit.go.jp/ksj/gml/datalist/KsjTmplt-S12-2024.html</x:v>
      </x:c>
      <x:c r="T1686" s="19" t="str">
        <x:v>https://nlftp.mlit.go.jp/ksj/gml/datalist/KsjTmplt-S12-2024.html</x:v>
      </x:c>
      <x:c r="U1686" s="19" t="str">
        <x:v>station-component|石川台|東急電鉄|private_rail|35.5969|139.6851|</x:v>
      </x:c>
      <x:c r="V1686" s="19" t="str">
        <x:v>004247 / 004247 / 池上線</x:v>
      </x:c>
      <x:c r="W1686" s="18" t="str">
        <x:v>否</x:v>
      </x:c>
      <x:c r="X1686" s="18" t="str">
        <x:v>0785e932a32b3ec15e1a1345537ae145eafe1c07bf38d5c16c11ee2b391e7a28</x:v>
      </x:c>
      <x:c r="Y1686" s="20" t="n">
        <x:v>1</x:v>
      </x:c>
      <x:c r="Z1686" s="20" t="n">
        <x:v>1</x:v>
      </x:c>
      <x:c r="AA1686" s="19"/>
      <x:c r="AB1686" s="18"/>
      <x:c r="AC1686" s="19"/>
    </x:row>
    <x:row r="1687" ht="28" customHeight="1">
      <x:c r="A1687" s="18" t="str">
        <x:v>石川町</x:v>
      </x:c>
      <x:c r="B1687" s="18" t="str">
        <x:v>東日本旅客鉄道</x:v>
      </x:c>
      <x:c r="C1687" s="18" t="str">
        <x:v>conventional_rail</x:v>
      </x:c>
      <x:c r="D1687" s="19" t="str">
        <x:v>T1</x:v>
      </x:c>
      <x:c r="E1687" s="20" t="n">
        <x:v>60082</x:v>
      </x:c>
      <x:c r="F1687" s="18" t="str">
        <x:v>persons/day</x:v>
      </x:c>
      <x:c r="G1687" s="18" t="str">
        <x:v>FY2024</x:v>
      </x:c>
      <x:c r="H1687" s="18" t="str">
        <x:v>否</x:v>
      </x:c>
      <x:c r="I1687" s="19" t="str">
        <x:v>DAILY_ENTRIES_EXITS</x:v>
      </x:c>
      <x:c r="J1687" s="19" t="str">
        <x:v>根岸線</x:v>
      </x:c>
      <x:c r="K1687" s="18" t="str">
        <x:v>transport-node:2c65bc69-aef9-522c-9cdb-443fa2d4b60f</x:v>
      </x:c>
      <x:c r="L1687" s="19" t="str">
        <x:v>组件待审核</x:v>
      </x:c>
      <x:c r="M1687" s="21" t="n">
        <x:v>35.4389067</x:v>
      </x:c>
      <x:c r="N1687" s="21" t="n">
        <x:v>139.6429167</x:v>
      </x:c>
      <x:c r="O1687" s="18" t="str">
        <x:v>004716</x:v>
      </x:c>
      <x:c r="P1687" s="18" t="str">
        <x:v>根岸線</x:v>
      </x:c>
      <x:c r="Q1687" s="19" t="str">
        <x:v>S12_061_GE_10000</x:v>
      </x:c>
      <x:c r="R1687" s="19" t="str">
        <x:v>S12_061 usage threshold</x:v>
      </x:c>
      <x:c r="S1687" s="19" t="str">
        <x:v>https://nlftp.mlit.go.jp/ksj/gml/datalist/KsjTmplt-S12-2024.html</x:v>
      </x:c>
      <x:c r="T1687" s="19" t="str">
        <x:v>https://nlftp.mlit.go.jp/ksj/gml/datalist/KsjTmplt-S12-2024.html</x:v>
      </x:c>
      <x:c r="U1687" s="19" t="str">
        <x:v>station-component|石川町|東日本旅客鉄道|conventional_rail|35.4389|139.6429|</x:v>
      </x:c>
      <x:c r="V1687" s="19" t="str">
        <x:v>004716 / 004716 / 根岸線</x:v>
      </x:c>
      <x:c r="W1687" s="18" t="str">
        <x:v>否</x:v>
      </x:c>
      <x:c r="X1687" s="18" t="str">
        <x:v>0785e932a32b3ec15e1a1345537ae145eafe1c07bf38d5c16c11ee2b391e7a28</x:v>
      </x:c>
      <x:c r="Y1687" s="20" t="n">
        <x:v>1</x:v>
      </x:c>
      <x:c r="Z1687" s="20" t="n">
        <x:v>1</x:v>
      </x:c>
      <x:c r="AA1687" s="19"/>
      <x:c r="AB1687" s="18"/>
      <x:c r="AC1687" s="19"/>
    </x:row>
    <x:row r="1688" ht="33" customHeight="1">
      <x:c r="A1688" s="18" t="str">
        <x:v>石橋阪大前</x:v>
      </x:c>
      <x:c r="B1688" s="18" t="str">
        <x:v>阪急電鉄</x:v>
      </x:c>
      <x:c r="C1688" s="18" t="str">
        <x:v>private_rail</x:v>
      </x:c>
      <x:c r="D1688" s="19" t="str">
        <x:v>T2</x:v>
      </x:c>
      <x:c r="E1688" s="20" t="n">
        <x:v>39177</x:v>
      </x:c>
      <x:c r="F1688" s="18" t="str">
        <x:v>persons/day</x:v>
      </x:c>
      <x:c r="G1688" s="18" t="str">
        <x:v>FY2024</x:v>
      </x:c>
      <x:c r="H1688" s="18" t="str">
        <x:v>否</x:v>
      </x:c>
      <x:c r="I1688" s="19" t="str">
        <x:v>DAILY_ENTRIES_EXITS</x:v>
      </x:c>
      <x:c r="J1688" s="19" t="str">
        <x:v>宝塚線
箕面線</x:v>
      </x:c>
      <x:c r="K1688" s="18" t="str">
        <x:v>transport-node:08694275-278d-59d2-8c0f-9d92e4e0f622</x:v>
      </x:c>
      <x:c r="L1688" s="19" t="str">
        <x:v>组件待审核</x:v>
      </x:c>
      <x:c r="M1688" s="21" t="n">
        <x:v>34.808195</x:v>
      </x:c>
      <x:c r="N1688" s="21" t="n">
        <x:v>135.44549</x:v>
      </x:c>
      <x:c r="O1688" s="18" t="str">
        <x:v>006594</x:v>
      </x:c>
      <x:c r="P1688" s="18" t="str">
        <x:v>宝塚線</x:v>
      </x:c>
      <x:c r="Q1688" s="19" t="str">
        <x:v>S12_061_GE_10000</x:v>
      </x:c>
      <x:c r="R1688" s="19" t="str">
        <x:v>S12_061 usage threshold</x:v>
      </x:c>
      <x:c r="S1688" s="19" t="str">
        <x:v>https://nlftp.mlit.go.jp/ksj/gml/datalist/KsjTmplt-S12-2024.html</x:v>
      </x:c>
      <x:c r="T1688" s="19" t="str">
        <x:v>https://nlftp.mlit.go.jp/ksj/gml/datalist/KsjTmplt-S12-2024.html</x:v>
      </x:c>
      <x:c r="U1688" s="19" t="str">
        <x:v>station-component|石橋阪大前|阪急電鉄|private_rail|34.8082|135.4455|</x:v>
      </x:c>
      <x:c r="V1688" s="19" t="str">
        <x:v>006594 / 006594 / 宝塚線
006594 / 006595 / 箕面線</x:v>
      </x:c>
      <x:c r="W1688" s="18" t="str">
        <x:v>否</x:v>
      </x:c>
      <x:c r="X1688" s="18" t="str">
        <x:v>0785e932a32b3ec15e1a1345537ae145eafe1c07bf38d5c16c11ee2b391e7a28</x:v>
      </x:c>
      <x:c r="Y1688" s="20" t="n">
        <x:v>1</x:v>
      </x:c>
      <x:c r="Z1688" s="20" t="n">
        <x:v>1</x:v>
      </x:c>
      <x:c r="AA1688" s="19"/>
      <x:c r="AB1688" s="18"/>
      <x:c r="AC1688" s="19"/>
    </x:row>
    <x:row r="1689" ht="28" customHeight="1">
      <x:c r="A1689" s="18" t="str">
        <x:v>石津川</x:v>
      </x:c>
      <x:c r="B1689" s="18" t="str">
        <x:v>南海電気鉄道</x:v>
      </x:c>
      <x:c r="C1689" s="18" t="str">
        <x:v>private_rail</x:v>
      </x:c>
      <x:c r="D1689" s="19" t="str">
        <x:v>T2</x:v>
      </x:c>
      <x:c r="E1689" s="20" t="n">
        <x:v>13592</x:v>
      </x:c>
      <x:c r="F1689" s="18" t="str">
        <x:v>persons/day</x:v>
      </x:c>
      <x:c r="G1689" s="18" t="str">
        <x:v>FY2024</x:v>
      </x:c>
      <x:c r="H1689" s="18" t="str">
        <x:v>否</x:v>
      </x:c>
      <x:c r="I1689" s="19" t="str">
        <x:v>DAILY_ENTRIES_EXITS</x:v>
      </x:c>
      <x:c r="J1689" s="19" t="str">
        <x:v>南海本線</x:v>
      </x:c>
      <x:c r="K1689" s="18" t="str">
        <x:v>transport-node:2ea3a3be-e21d-569b-8458-b3132f7369e8</x:v>
      </x:c>
      <x:c r="L1689" s="19" t="str">
        <x:v>组件待审核</x:v>
      </x:c>
      <x:c r="M1689" s="21" t="n">
        <x:v>34.55933</x:v>
      </x:c>
      <x:c r="N1689" s="21" t="n">
        <x:v>135.453265</x:v>
      </x:c>
      <x:c r="O1689" s="18" t="str">
        <x:v>007707</x:v>
      </x:c>
      <x:c r="P1689" s="18" t="str">
        <x:v>南海本線</x:v>
      </x:c>
      <x:c r="Q1689" s="19" t="str">
        <x:v>S12_061_GE_10000</x:v>
      </x:c>
      <x:c r="R1689" s="19" t="str">
        <x:v>S12_061 usage threshold</x:v>
      </x:c>
      <x:c r="S1689" s="19" t="str">
        <x:v>https://nlftp.mlit.go.jp/ksj/gml/datalist/KsjTmplt-S12-2024.html</x:v>
      </x:c>
      <x:c r="T1689" s="19" t="str">
        <x:v>https://nlftp.mlit.go.jp/ksj/gml/datalist/KsjTmplt-S12-2024.html</x:v>
      </x:c>
      <x:c r="U1689" s="19" t="str">
        <x:v>station-component|石津川|南海電気鉄道|private_rail|34.5593|135.4533|</x:v>
      </x:c>
      <x:c r="V1689" s="19" t="str">
        <x:v>007707 / 007707 / 南海本線</x:v>
      </x:c>
      <x:c r="W1689" s="18" t="str">
        <x:v>否</x:v>
      </x:c>
      <x:c r="X1689" s="18" t="str">
        <x:v>0785e932a32b3ec15e1a1345537ae145eafe1c07bf38d5c16c11ee2b391e7a28</x:v>
      </x:c>
      <x:c r="Y1689" s="20" t="n">
        <x:v>1</x:v>
      </x:c>
      <x:c r="Z1689" s="20" t="n">
        <x:v>1</x:v>
      </x:c>
      <x:c r="AA1689" s="19"/>
      <x:c r="AB1689" s="18"/>
      <x:c r="AC1689" s="19"/>
    </x:row>
    <x:row r="1690" ht="28" customHeight="1">
      <x:c r="A1690" s="18" t="str">
        <x:v>石神井公園</x:v>
      </x:c>
      <x:c r="B1690" s="18" t="str">
        <x:v>西武鉄道</x:v>
      </x:c>
      <x:c r="C1690" s="18" t="str">
        <x:v>private_rail</x:v>
      </x:c>
      <x:c r="D1690" s="19" t="str">
        <x:v>T1</x:v>
      </x:c>
      <x:c r="E1690" s="20" t="n">
        <x:v>76732</x:v>
      </x:c>
      <x:c r="F1690" s="18" t="str">
        <x:v>persons/day</x:v>
      </x:c>
      <x:c r="G1690" s="18" t="str">
        <x:v>FY2024</x:v>
      </x:c>
      <x:c r="H1690" s="18" t="str">
        <x:v>否</x:v>
      </x:c>
      <x:c r="I1690" s="19" t="str">
        <x:v>DAILY_ENTRIES_EXITS</x:v>
      </x:c>
      <x:c r="J1690" s="19" t="str">
        <x:v>池袋線</x:v>
      </x:c>
      <x:c r="K1690" s="18" t="str">
        <x:v>transport-node:b8a8e5f2-75fd-5f0c-8f7f-34ad9ac462f2</x:v>
      </x:c>
      <x:c r="L1690" s="19" t="str">
        <x:v>组件待审核</x:v>
      </x:c>
      <x:c r="M1690" s="21" t="n">
        <x:v>35.74364</x:v>
      </x:c>
      <x:c r="N1690" s="21" t="n">
        <x:v>139.606555</x:v>
      </x:c>
      <x:c r="O1690" s="18" t="str">
        <x:v>003292</x:v>
      </x:c>
      <x:c r="P1690" s="18" t="str">
        <x:v>池袋線</x:v>
      </x:c>
      <x:c r="Q1690" s="19" t="str">
        <x:v>S12_061_GE_10000</x:v>
      </x:c>
      <x:c r="R1690" s="19" t="str">
        <x:v>S12_061 usage threshold</x:v>
      </x:c>
      <x:c r="S1690" s="19" t="str">
        <x:v>https://nlftp.mlit.go.jp/ksj/gml/datalist/KsjTmplt-S12-2024.html</x:v>
      </x:c>
      <x:c r="T1690" s="19" t="str">
        <x:v>https://nlftp.mlit.go.jp/ksj/gml/datalist/KsjTmplt-S12-2024.html</x:v>
      </x:c>
      <x:c r="U1690" s="19" t="str">
        <x:v>station-component|石神井公園|西武鉄道|private_rail|35.7436|139.6066|</x:v>
      </x:c>
      <x:c r="V1690" s="19" t="str">
        <x:v>003292 / 003292 / 池袋線</x:v>
      </x:c>
      <x:c r="W1690" s="18" t="str">
        <x:v>否</x:v>
      </x:c>
      <x:c r="X1690" s="18" t="str">
        <x:v>0785e932a32b3ec15e1a1345537ae145eafe1c07bf38d5c16c11ee2b391e7a28</x:v>
      </x:c>
      <x:c r="Y1690" s="20" t="n">
        <x:v>1</x:v>
      </x:c>
      <x:c r="Z1690" s="20" t="n">
        <x:v>1</x:v>
      </x:c>
      <x:c r="AA1690" s="19"/>
      <x:c r="AB1690" s="18"/>
      <x:c r="AC1690" s="19"/>
    </x:row>
    <x:row r="1691" ht="33" customHeight="1">
      <x:c r="A1691" s="18" t="str">
        <x:v>砂田橋</x:v>
      </x:c>
      <x:c r="B1691" s="18" t="str">
        <x:v>名古屋ガイドウェイバス</x:v>
      </x:c>
      <x:c r="C1691" s="18" t="str">
        <x:v>fixed_guideway</x:v>
      </x:c>
      <x:c r="D1691" s="19" t="str">
        <x:v>T3</x:v>
      </x:c>
      <x:c r="E1691" s="20" t="n">
        <x:v>1664</x:v>
      </x:c>
      <x:c r="F1691" s="18" t="str">
        <x:v>persons/day</x:v>
      </x:c>
      <x:c r="G1691" s="18" t="str">
        <x:v>FY2024</x:v>
      </x:c>
      <x:c r="H1691" s="18" t="str">
        <x:v>否</x:v>
      </x:c>
      <x:c r="I1691" s="19" t="str">
        <x:v>DAILY_ENTRIES_EXITS</x:v>
      </x:c>
      <x:c r="J1691" s="19" t="str">
        <x:v>ガイドウェイバス志段味線</x:v>
      </x:c>
      <x:c r="K1691" s="18" t="str">
        <x:v>transport-node:51f31d61-b836-5899-b0e0-973ef8a75763</x:v>
      </x:c>
      <x:c r="L1691" s="19" t="str">
        <x:v>组件待审核</x:v>
      </x:c>
      <x:c r="M1691" s="21" t="n">
        <x:v>35.18878</x:v>
      </x:c>
      <x:c r="N1691" s="21" t="n">
        <x:v>136.954205</x:v>
      </x:c>
      <x:c r="O1691" s="18" t="str">
        <x:v>005397</x:v>
      </x:c>
      <x:c r="P1691" s="18" t="str">
        <x:v>ガイドウェイバス志段味線</x:v>
      </x:c>
      <x:c r="Q1691" s="19" t="str">
        <x:v>OFFICIAL_HUB_COMPONENT_REVIEW</x:v>
      </x:c>
      <x:c r="R1691" s="19" t="str">
        <x:v>S12_061 usage threshold; low-flow inclusion justified by official Hub component review</x:v>
      </x:c>
      <x:c r="S1691" s="19" t="str">
        <x:v>https://nlftp.mlit.go.jp/ksj/gml/datalist/KsjTmplt-S12-2024.html</x:v>
      </x:c>
      <x:c r="T1691" s="19" t="str">
        <x:v>https://nlftp.mlit.go.jp/ksj/gml/datalist/KsjTmplt-S12-2024.html
https://www.kotsu.city.nagoya.jp/rp/ticket/TRP0001550.htm</x:v>
      </x:c>
      <x:c r="U1691" s="19" t="str">
        <x:v>station-component|砂田橋|名古屋ガイドウェイバス|fixed_guideway|35.1888|136.9542|</x:v>
      </x:c>
      <x:c r="V1691" s="19" t="str">
        <x:v>005397 / 005397 / ガイドウェイバス志段味線</x:v>
      </x:c>
      <x:c r="W1691" s="18" t="str">
        <x:v>否</x:v>
      </x:c>
      <x:c r="X1691" s="18" t="str">
        <x:v>0785e932a32b3ec15e1a1345537ae145eafe1c07bf38d5c16c11ee2b391e7a28</x:v>
      </x:c>
      <x:c r="Y1691" s="20" t="n">
        <x:v>1</x:v>
      </x:c>
      <x:c r="Z1691" s="20" t="n">
        <x:v>1</x:v>
      </x:c>
      <x:c r="AA1691" s="19" t="str">
        <x:v>砂田橋</x:v>
      </x:c>
      <x:c r="AB1691" s="18" t="str">
        <x:v>transport-hub-review:6a5c94ac-7329-50f3-bfd3-98f439d65a03</x:v>
      </x:c>
      <x:c r="AC1691" s="19"/>
    </x:row>
    <x:row r="1692" ht="33" customHeight="1">
      <x:c r="A1692" s="18" t="str">
        <x:v>砂田橋</x:v>
      </x:c>
      <x:c r="B1692" s="18" t="str">
        <x:v>名古屋市</x:v>
      </x:c>
      <x:c r="C1692" s="18" t="str">
        <x:v>metro</x:v>
      </x:c>
      <x:c r="D1692" s="19" t="str">
        <x:v>T2</x:v>
      </x:c>
      <x:c r="E1692" s="20" t="n">
        <x:v>13637</x:v>
      </x:c>
      <x:c r="F1692" s="18" t="str">
        <x:v>persons/day</x:v>
      </x:c>
      <x:c r="G1692" s="18" t="str">
        <x:v>FY2024</x:v>
      </x:c>
      <x:c r="H1692" s="18" t="str">
        <x:v>否</x:v>
      </x:c>
      <x:c r="I1692" s="19" t="str">
        <x:v>DAILY_ENTRIES_EXITS</x:v>
      </x:c>
      <x:c r="J1692" s="19" t="str">
        <x:v>4号線名城線</x:v>
      </x:c>
      <x:c r="K1692" s="18" t="str">
        <x:v>transport-node:efa67c63-d900-5225-8421-59116d04d685</x:v>
      </x:c>
      <x:c r="L1692" s="19" t="str">
        <x:v>组件待审核</x:v>
      </x:c>
      <x:c r="M1692" s="21" t="n">
        <x:v>35.188705</x:v>
      </x:c>
      <x:c r="N1692" s="21" t="n">
        <x:v>136.954635</x:v>
      </x:c>
      <x:c r="O1692" s="18" t="str">
        <x:v>005398</x:v>
      </x:c>
      <x:c r="P1692" s="18" t="str">
        <x:v>4号線名城線</x:v>
      </x:c>
      <x:c r="Q1692" s="19" t="str">
        <x:v>S12_061_GE_10000
OFFICIAL_HUB_COMPONENT_REVIEW</x:v>
      </x:c>
      <x:c r="R1692" s="19" t="str">
        <x:v>S12_061 usage threshold</x:v>
      </x:c>
      <x:c r="S1692" s="19" t="str">
        <x:v>https://nlftp.mlit.go.jp/ksj/gml/datalist/KsjTmplt-S12-2024.html</x:v>
      </x:c>
      <x:c r="T1692" s="19" t="str">
        <x:v>https://nlftp.mlit.go.jp/ksj/gml/datalist/KsjTmplt-S12-2024.html
https://www.kotsu.city.nagoya.jp/rp/ticket/TRP0001550.htm</x:v>
      </x:c>
      <x:c r="U1692" s="19" t="str">
        <x:v>station-component|砂田橋|名古屋市|metro|35.1887|136.9546|</x:v>
      </x:c>
      <x:c r="V1692" s="19" t="str">
        <x:v>005397 / 005398 / 4号線名城線</x:v>
      </x:c>
      <x:c r="W1692" s="18" t="str">
        <x:v>否</x:v>
      </x:c>
      <x:c r="X1692" s="18" t="str">
        <x:v>0785e932a32b3ec15e1a1345537ae145eafe1c07bf38d5c16c11ee2b391e7a28</x:v>
      </x:c>
      <x:c r="Y1692" s="20" t="n">
        <x:v>1</x:v>
      </x:c>
      <x:c r="Z1692" s="20" t="n">
        <x:v>1</x:v>
      </x:c>
      <x:c r="AA1692" s="19" t="str">
        <x:v>砂田橋</x:v>
      </x:c>
      <x:c r="AB1692" s="18" t="str">
        <x:v>transport-hub-review:6a5c94ac-7329-50f3-bfd3-98f439d65a03</x:v>
      </x:c>
      <x:c r="AC1692" s="19"/>
    </x:row>
    <x:row r="1693" ht="28" customHeight="1">
      <x:c r="A1693" s="18" t="str">
        <x:v>研究学園</x:v>
      </x:c>
      <x:c r="B1693" s="18" t="str">
        <x:v>首都圏新都市鉄道</x:v>
      </x:c>
      <x:c r="C1693" s="18" t="str">
        <x:v>private_rail</x:v>
      </x:c>
      <x:c r="D1693" s="19" t="str">
        <x:v>T2</x:v>
      </x:c>
      <x:c r="E1693" s="20" t="n">
        <x:v>15919</x:v>
      </x:c>
      <x:c r="F1693" s="18" t="str">
        <x:v>persons/day</x:v>
      </x:c>
      <x:c r="G1693" s="18" t="str">
        <x:v>FY2024</x:v>
      </x:c>
      <x:c r="H1693" s="18" t="str">
        <x:v>否</x:v>
      </x:c>
      <x:c r="I1693" s="19" t="str">
        <x:v>DAILY_ENTRIES_EXITS</x:v>
      </x:c>
      <x:c r="J1693" s="19" t="str">
        <x:v>常磐新線</x:v>
      </x:c>
      <x:c r="K1693" s="18" t="str">
        <x:v>transport-node:3b7e1070-990c-5947-8e3f-c056905d1e25</x:v>
      </x:c>
      <x:c r="L1693" s="19" t="str">
        <x:v>组件待审核</x:v>
      </x:c>
      <x:c r="M1693" s="21" t="n">
        <x:v>36.082165</x:v>
      </x:c>
      <x:c r="N1693" s="21" t="n">
        <x:v>140.08228</x:v>
      </x:c>
      <x:c r="O1693" s="18" t="str">
        <x:v>002656</x:v>
      </x:c>
      <x:c r="P1693" s="18" t="str">
        <x:v>常磐新線</x:v>
      </x:c>
      <x:c r="Q1693" s="19" t="str">
        <x:v>S12_061_GE_10000</x:v>
      </x:c>
      <x:c r="R1693" s="19" t="str">
        <x:v>S12_061 usage threshold</x:v>
      </x:c>
      <x:c r="S1693" s="19" t="str">
        <x:v>https://nlftp.mlit.go.jp/ksj/gml/datalist/KsjTmplt-S12-2024.html</x:v>
      </x:c>
      <x:c r="T1693" s="19" t="str">
        <x:v>https://nlftp.mlit.go.jp/ksj/gml/datalist/KsjTmplt-S12-2024.html</x:v>
      </x:c>
      <x:c r="U1693" s="19" t="str">
        <x:v>station-component|研究学園|首都圏新都市鉄道|private_rail|36.0822|140.0823|</x:v>
      </x:c>
      <x:c r="V1693" s="19" t="str">
        <x:v>002656 / 002656 / 常磐新線</x:v>
      </x:c>
      <x:c r="W1693" s="18" t="str">
        <x:v>否</x:v>
      </x:c>
      <x:c r="X1693" s="18" t="str">
        <x:v>0785e932a32b3ec15e1a1345537ae145eafe1c07bf38d5c16c11ee2b391e7a28</x:v>
      </x:c>
      <x:c r="Y1693" s="20" t="n">
        <x:v>1</x:v>
      </x:c>
      <x:c r="Z1693" s="20" t="n">
        <x:v>1</x:v>
      </x:c>
      <x:c r="AA1693" s="19"/>
      <x:c r="AB1693" s="18"/>
      <x:c r="AC1693" s="19"/>
    </x:row>
    <x:row r="1694" ht="28" customHeight="1">
      <x:c r="A1694" s="18" t="str">
        <x:v>磐田</x:v>
      </x:c>
      <x:c r="B1694" s="18" t="str">
        <x:v>東海旅客鉄道</x:v>
      </x:c>
      <x:c r="C1694" s="18" t="str">
        <x:v>conventional_rail</x:v>
      </x:c>
      <x:c r="D1694" s="19" t="str">
        <x:v>T2</x:v>
      </x:c>
      <x:c r="E1694" s="20" t="n">
        <x:v>11504</x:v>
      </x:c>
      <x:c r="F1694" s="18" t="str">
        <x:v>persons/day</x:v>
      </x:c>
      <x:c r="G1694" s="18" t="str">
        <x:v>FY2024</x:v>
      </x:c>
      <x:c r="H1694" s="18" t="str">
        <x:v>否</x:v>
      </x:c>
      <x:c r="I1694" s="19" t="str">
        <x:v>DAILY_ENTRIES_EXITS</x:v>
      </x:c>
      <x:c r="J1694" s="19" t="str">
        <x:v>東海道線</x:v>
      </x:c>
      <x:c r="K1694" s="18" t="str">
        <x:v>transport-node:531c5635-31d0-50f9-be0f-2df481cb6858</x:v>
      </x:c>
      <x:c r="L1694" s="19" t="str">
        <x:v>组件待审核</x:v>
      </x:c>
      <x:c r="M1694" s="21" t="n">
        <x:v>34.710215</x:v>
      </x:c>
      <x:c r="N1694" s="21" t="n">
        <x:v>137.85227</x:v>
      </x:c>
      <x:c r="O1694" s="18" t="str">
        <x:v>007025</x:v>
      </x:c>
      <x:c r="P1694" s="18" t="str">
        <x:v>東海道線</x:v>
      </x:c>
      <x:c r="Q1694" s="19" t="str">
        <x:v>S12_061_GE_10000</x:v>
      </x:c>
      <x:c r="R1694" s="19" t="str">
        <x:v>S12_061 usage threshold</x:v>
      </x:c>
      <x:c r="S1694" s="19" t="str">
        <x:v>https://nlftp.mlit.go.jp/ksj/gml/datalist/KsjTmplt-S12-2024.html</x:v>
      </x:c>
      <x:c r="T1694" s="19" t="str">
        <x:v>https://nlftp.mlit.go.jp/ksj/gml/datalist/KsjTmplt-S12-2024.html</x:v>
      </x:c>
      <x:c r="U1694" s="19" t="str">
        <x:v>station-component|磐田|東海旅客鉄道|conventional_rail|34.7102|137.8523|</x:v>
      </x:c>
      <x:c r="V1694" s="19" t="str">
        <x:v>007025 / 007025 / 東海道線</x:v>
      </x:c>
      <x:c r="W1694" s="18" t="str">
        <x:v>否</x:v>
      </x:c>
      <x:c r="X1694" s="18" t="str">
        <x:v>0785e932a32b3ec15e1a1345537ae145eafe1c07bf38d5c16c11ee2b391e7a28</x:v>
      </x:c>
      <x:c r="Y1694" s="20" t="n">
        <x:v>1</x:v>
      </x:c>
      <x:c r="Z1694" s="20" t="n">
        <x:v>1</x:v>
      </x:c>
      <x:c r="AA1694" s="19"/>
      <x:c r="AB1694" s="18"/>
      <x:c r="AC1694" s="19"/>
    </x:row>
    <x:row r="1695" ht="28" customHeight="1">
      <x:c r="A1695" s="18" t="str">
        <x:v>磯子</x:v>
      </x:c>
      <x:c r="B1695" s="18" t="str">
        <x:v>東日本旅客鉄道</x:v>
      </x:c>
      <x:c r="C1695" s="18" t="str">
        <x:v>conventional_rail</x:v>
      </x:c>
      <x:c r="D1695" s="19" t="str">
        <x:v>T2</x:v>
      </x:c>
      <x:c r="E1695" s="20" t="n">
        <x:v>35350</x:v>
      </x:c>
      <x:c r="F1695" s="18" t="str">
        <x:v>persons/day</x:v>
      </x:c>
      <x:c r="G1695" s="18" t="str">
        <x:v>FY2024</x:v>
      </x:c>
      <x:c r="H1695" s="18" t="str">
        <x:v>否</x:v>
      </x:c>
      <x:c r="I1695" s="19" t="str">
        <x:v>DAILY_ENTRIES_EXITS</x:v>
      </x:c>
      <x:c r="J1695" s="19" t="str">
        <x:v>根岸線</x:v>
      </x:c>
      <x:c r="K1695" s="18" t="str">
        <x:v>transport-node:a8636b74-f217-534c-a624-305e016b33f5</x:v>
      </x:c>
      <x:c r="L1695" s="19" t="str">
        <x:v>组件待审核</x:v>
      </x:c>
      <x:c r="M1695" s="21" t="n">
        <x:v>35.400575</x:v>
      </x:c>
      <x:c r="N1695" s="21" t="n">
        <x:v>139.61847</x:v>
      </x:c>
      <x:c r="O1695" s="18" t="str">
        <x:v>004821</x:v>
      </x:c>
      <x:c r="P1695" s="18" t="str">
        <x:v>根岸線</x:v>
      </x:c>
      <x:c r="Q1695" s="19" t="str">
        <x:v>S12_061_GE_10000</x:v>
      </x:c>
      <x:c r="R1695" s="19" t="str">
        <x:v>S12_061 usage threshold</x:v>
      </x:c>
      <x:c r="S1695" s="19" t="str">
        <x:v>https://nlftp.mlit.go.jp/ksj/gml/datalist/KsjTmplt-S12-2024.html</x:v>
      </x:c>
      <x:c r="T1695" s="19" t="str">
        <x:v>https://nlftp.mlit.go.jp/ksj/gml/datalist/KsjTmplt-S12-2024.html</x:v>
      </x:c>
      <x:c r="U1695" s="19" t="str">
        <x:v>station-component|磯子|東日本旅客鉄道|conventional_rail|35.4006|139.6185|</x:v>
      </x:c>
      <x:c r="V1695" s="19" t="str">
        <x:v>004821 / 004821 / 根岸線</x:v>
      </x:c>
      <x:c r="W1695" s="18" t="str">
        <x:v>否</x:v>
      </x:c>
      <x:c r="X1695" s="18" t="str">
        <x:v>0785e932a32b3ec15e1a1345537ae145eafe1c07bf38d5c16c11ee2b391e7a28</x:v>
      </x:c>
      <x:c r="Y1695" s="20" t="n">
        <x:v>1</x:v>
      </x:c>
      <x:c r="Z1695" s="20" t="n">
        <x:v>1</x:v>
      </x:c>
      <x:c r="AA1695" s="19"/>
      <x:c r="AB1695" s="18"/>
      <x:c r="AC1695" s="19"/>
    </x:row>
    <x:row r="1696" ht="28" customHeight="1">
      <x:c r="A1696" s="18" t="str">
        <x:v>祇園</x:v>
      </x:c>
      <x:c r="B1696" s="18" t="str">
        <x:v>福岡市</x:v>
      </x:c>
      <x:c r="C1696" s="18" t="str">
        <x:v>metro</x:v>
      </x:c>
      <x:c r="D1696" s="19" t="str">
        <x:v>T2</x:v>
      </x:c>
      <x:c r="E1696" s="20" t="n">
        <x:v>15493</x:v>
      </x:c>
      <x:c r="F1696" s="18" t="str">
        <x:v>persons/day</x:v>
      </x:c>
      <x:c r="G1696" s="18" t="str">
        <x:v>FY2024</x:v>
      </x:c>
      <x:c r="H1696" s="18" t="str">
        <x:v>否</x:v>
      </x:c>
      <x:c r="I1696" s="19" t="str">
        <x:v>DAILY_ENTRIES_EXITS</x:v>
      </x:c>
      <x:c r="J1696" s="19" t="str">
        <x:v>1号線(空港線)</x:v>
      </x:c>
      <x:c r="K1696" s="18" t="str">
        <x:v>transport-node:b87328d2-bebe-5fb3-aed7-8bd2902313c2</x:v>
      </x:c>
      <x:c r="L1696" s="19" t="str">
        <x:v>组件待审核</x:v>
      </x:c>
      <x:c r="M1696" s="21" t="n">
        <x:v>33.59407</x:v>
      </x:c>
      <x:c r="N1696" s="21" t="n">
        <x:v>130.414385</x:v>
      </x:c>
      <x:c r="O1696" s="18" t="str">
        <x:v>009021</x:v>
      </x:c>
      <x:c r="P1696" s="18" t="str">
        <x:v>1号線(空港線)</x:v>
      </x:c>
      <x:c r="Q1696" s="19" t="str">
        <x:v>S12_061_GE_10000</x:v>
      </x:c>
      <x:c r="R1696" s="19" t="str">
        <x:v>S12_061 usage threshold</x:v>
      </x:c>
      <x:c r="S1696" s="19" t="str">
        <x:v>https://nlftp.mlit.go.jp/ksj/gml/datalist/KsjTmplt-S12-2024.html</x:v>
      </x:c>
      <x:c r="T1696" s="19" t="str">
        <x:v>https://nlftp.mlit.go.jp/ksj/gml/datalist/KsjTmplt-S12-2024.html</x:v>
      </x:c>
      <x:c r="U1696" s="19" t="str">
        <x:v>station-component|祇園|福岡市|metro|33.5941|130.4144|</x:v>
      </x:c>
      <x:c r="V1696" s="19" t="str">
        <x:v>009021 / 009021 / 1号線(空港線)</x:v>
      </x:c>
      <x:c r="W1696" s="18" t="str">
        <x:v>否</x:v>
      </x:c>
      <x:c r="X1696" s="18" t="str">
        <x:v>0785e932a32b3ec15e1a1345537ae145eafe1c07bf38d5c16c11ee2b391e7a28</x:v>
      </x:c>
      <x:c r="Y1696" s="20" t="n">
        <x:v>1</x:v>
      </x:c>
      <x:c r="Z1696" s="20" t="n">
        <x:v>1</x:v>
      </x:c>
      <x:c r="AA1696" s="19"/>
      <x:c r="AB1696" s="18"/>
      <x:c r="AC1696" s="19"/>
    </x:row>
    <x:row r="1697" ht="33" customHeight="1">
      <x:c r="A1697" s="18" t="str">
        <x:v>祇園四条</x:v>
      </x:c>
      <x:c r="B1697" s="18" t="str">
        <x:v>京阪電気鉄道</x:v>
      </x:c>
      <x:c r="C1697" s="18" t="str">
        <x:v>private_rail</x:v>
      </x:c>
      <x:c r="D1697" s="19" t="str">
        <x:v>T2</x:v>
      </x:c>
      <x:c r="E1697" s="20" t="n">
        <x:v>48367</x:v>
      </x:c>
      <x:c r="F1697" s="18" t="str">
        <x:v>persons/day</x:v>
      </x:c>
      <x:c r="G1697" s="18" t="str">
        <x:v>FY2024</x:v>
      </x:c>
      <x:c r="H1697" s="18" t="str">
        <x:v>否</x:v>
      </x:c>
      <x:c r="I1697" s="19" t="str">
        <x:v>DAILY_ENTRIES_EXITS</x:v>
      </x:c>
      <x:c r="J1697" s="19" t="str">
        <x:v>京阪本線</x:v>
      </x:c>
      <x:c r="K1697" s="18" t="str">
        <x:v>transport-node:ee660479-b1bc-5fc0-8eae-cc88e0e77df0</x:v>
      </x:c>
      <x:c r="L1697" s="19" t="str">
        <x:v>组件待审核</x:v>
      </x:c>
      <x:c r="M1697" s="21" t="n">
        <x:v>35.003322</x:v>
      </x:c>
      <x:c r="N1697" s="21" t="n">
        <x:v>135.771926</x:v>
      </x:c>
      <x:c r="O1697" s="18" t="str">
        <x:v>005997</x:v>
      </x:c>
      <x:c r="P1697" s="18" t="str">
        <x:v>京阪本線</x:v>
      </x:c>
      <x:c r="Q1697" s="19" t="str">
        <x:v>S12_061_GE_10000
OFFICIAL_HUB_COMPONENT_REVIEW</x:v>
      </x:c>
      <x:c r="R1697" s="19" t="str">
        <x:v>S12_061 usage threshold</x:v>
      </x:c>
      <x:c r="S1697" s="19" t="str">
        <x:v>https://nlftp.mlit.go.jp/ksj/gml/datalist/KsjTmplt-S12-2024.html</x:v>
      </x:c>
      <x:c r="T1697" s="19" t="str">
        <x:v>https://nlftp.mlit.go.jp/ksj/gml/datalist/KsjTmplt-S12-2024.html
https://www.hankyu.co.jp/station/index.html</x:v>
      </x:c>
      <x:c r="U1697" s="19" t="str">
        <x:v>station-component|祇園四条|京阪電気鉄道|private_rail|35.0033|135.7719|</x:v>
      </x:c>
      <x:c r="V1697" s="19" t="str">
        <x:v>005997 / 005997 / 京阪本線</x:v>
      </x:c>
      <x:c r="W1697" s="18" t="str">
        <x:v>否</x:v>
      </x:c>
      <x:c r="X1697" s="18" t="str">
        <x:v>0785e932a32b3ec15e1a1345537ae145eafe1c07bf38d5c16c11ee2b391e7a28</x:v>
      </x:c>
      <x:c r="Y1697" s="20" t="n">
        <x:v>1</x:v>
      </x:c>
      <x:c r="Z1697" s="20" t="n">
        <x:v>1</x:v>
      </x:c>
      <x:c r="AA1697" s="19" t="str">
        <x:v>京都河原町・祇園四条</x:v>
      </x:c>
      <x:c r="AB1697" s="18" t="str">
        <x:v>transport-hub-review:d1d65bc5-c59c-5b6b-8e0c-2a7136d43f14</x:v>
      </x:c>
      <x:c r="AC1697" s="19"/>
    </x:row>
    <x:row r="1698" ht="28" customHeight="1">
      <x:c r="A1698" s="18" t="str">
        <x:v>祐天寺</x:v>
      </x:c>
      <x:c r="B1698" s="18" t="str">
        <x:v>東急電鉄</x:v>
      </x:c>
      <x:c r="C1698" s="18" t="str">
        <x:v>private_rail</x:v>
      </x:c>
      <x:c r="D1698" s="19" t="str">
        <x:v>T2</x:v>
      </x:c>
      <x:c r="E1698" s="20" t="n">
        <x:v>29907</x:v>
      </x:c>
      <x:c r="F1698" s="18" t="str">
        <x:v>persons/day</x:v>
      </x:c>
      <x:c r="G1698" s="18" t="str">
        <x:v>FY2024</x:v>
      </x:c>
      <x:c r="H1698" s="18" t="str">
        <x:v>否</x:v>
      </x:c>
      <x:c r="I1698" s="19" t="str">
        <x:v>DAILY_ENTRIES_EXITS</x:v>
      </x:c>
      <x:c r="J1698" s="19" t="str">
        <x:v>東横線</x:v>
      </x:c>
      <x:c r="K1698" s="18" t="str">
        <x:v>transport-node:0f8bbb17-c360-5ea1-a2a9-9a980549ddfa</x:v>
      </x:c>
      <x:c r="L1698" s="19" t="str">
        <x:v>组件待审核</x:v>
      </x:c>
      <x:c r="M1698" s="21" t="n">
        <x:v>35.63717</x:v>
      </x:c>
      <x:c r="N1698" s="21" t="n">
        <x:v>139.69075</x:v>
      </x:c>
      <x:c r="O1698" s="18" t="str">
        <x:v>004050</x:v>
      </x:c>
      <x:c r="P1698" s="18" t="str">
        <x:v>東横線</x:v>
      </x:c>
      <x:c r="Q1698" s="19" t="str">
        <x:v>S12_061_GE_10000</x:v>
      </x:c>
      <x:c r="R1698" s="19" t="str">
        <x:v>S12_061 usage threshold</x:v>
      </x:c>
      <x:c r="S1698" s="19" t="str">
        <x:v>https://nlftp.mlit.go.jp/ksj/gml/datalist/KsjTmplt-S12-2024.html</x:v>
      </x:c>
      <x:c r="T1698" s="19" t="str">
        <x:v>https://nlftp.mlit.go.jp/ksj/gml/datalist/KsjTmplt-S12-2024.html</x:v>
      </x:c>
      <x:c r="U1698" s="19" t="str">
        <x:v>station-component|祐天寺|東急電鉄|private_rail|35.6372|139.6908|</x:v>
      </x:c>
      <x:c r="V1698" s="19" t="str">
        <x:v>004050 / 004050 / 東横線</x:v>
      </x:c>
      <x:c r="W1698" s="18" t="str">
        <x:v>否</x:v>
      </x:c>
      <x:c r="X1698" s="18" t="str">
        <x:v>0785e932a32b3ec15e1a1345537ae145eafe1c07bf38d5c16c11ee2b391e7a28</x:v>
      </x:c>
      <x:c r="Y1698" s="20" t="n">
        <x:v>1</x:v>
      </x:c>
      <x:c r="Z1698" s="20" t="n">
        <x:v>1</x:v>
      </x:c>
      <x:c r="AA1698" s="19"/>
      <x:c r="AB1698" s="18"/>
      <x:c r="AC1698" s="19"/>
    </x:row>
    <x:row r="1699" ht="28" customHeight="1">
      <x:c r="A1699" s="18" t="str">
        <x:v>祖師ヶ谷大蔵</x:v>
      </x:c>
      <x:c r="B1699" s="18" t="str">
        <x:v>小田急電鉄</x:v>
      </x:c>
      <x:c r="C1699" s="18" t="str">
        <x:v>private_rail</x:v>
      </x:c>
      <x:c r="D1699" s="19" t="str">
        <x:v>T2</x:v>
      </x:c>
      <x:c r="E1699" s="20" t="n">
        <x:v>47616</x:v>
      </x:c>
      <x:c r="F1699" s="18" t="str">
        <x:v>persons/day</x:v>
      </x:c>
      <x:c r="G1699" s="18" t="str">
        <x:v>FY2024</x:v>
      </x:c>
      <x:c r="H1699" s="18" t="str">
        <x:v>否</x:v>
      </x:c>
      <x:c r="I1699" s="19" t="str">
        <x:v>DAILY_ENTRIES_EXITS</x:v>
      </x:c>
      <x:c r="J1699" s="19" t="str">
        <x:v>小田原線</x:v>
      </x:c>
      <x:c r="K1699" s="18" t="str">
        <x:v>transport-node:f1ed34af-9d85-5b1e-8a9e-27d3758b6759</x:v>
      </x:c>
      <x:c r="L1699" s="19" t="str">
        <x:v>组件待审核</x:v>
      </x:c>
      <x:c r="M1699" s="21" t="n">
        <x:v>35.643265</x:v>
      </x:c>
      <x:c r="N1699" s="21" t="n">
        <x:v>139.609795</x:v>
      </x:c>
      <x:c r="O1699" s="18" t="str">
        <x:v>004024</x:v>
      </x:c>
      <x:c r="P1699" s="18" t="str">
        <x:v>小田原線</x:v>
      </x:c>
      <x:c r="Q1699" s="19" t="str">
        <x:v>S12_061_GE_10000</x:v>
      </x:c>
      <x:c r="R1699" s="19" t="str">
        <x:v>S12_061 usage threshold</x:v>
      </x:c>
      <x:c r="S1699" s="19" t="str">
        <x:v>https://nlftp.mlit.go.jp/ksj/gml/datalist/KsjTmplt-S12-2024.html</x:v>
      </x:c>
      <x:c r="T1699" s="19" t="str">
        <x:v>https://nlftp.mlit.go.jp/ksj/gml/datalist/KsjTmplt-S12-2024.html</x:v>
      </x:c>
      <x:c r="U1699" s="19" t="str">
        <x:v>station-component|祖師ヶ谷大蔵|小田急電鉄|private_rail|35.6433|139.6098|</x:v>
      </x:c>
      <x:c r="V1699" s="19" t="str">
        <x:v>004024 / 004024 / 小田原線</x:v>
      </x:c>
      <x:c r="W1699" s="18" t="str">
        <x:v>否</x:v>
      </x:c>
      <x:c r="X1699" s="18" t="str">
        <x:v>0785e932a32b3ec15e1a1345537ae145eafe1c07bf38d5c16c11ee2b391e7a28</x:v>
      </x:c>
      <x:c r="Y1699" s="20" t="n">
        <x:v>1</x:v>
      </x:c>
      <x:c r="Z1699" s="20" t="n">
        <x:v>1</x:v>
      </x:c>
      <x:c r="AA1699" s="19"/>
      <x:c r="AB1699" s="18"/>
      <x:c r="AC1699" s="19"/>
    </x:row>
    <x:row r="1700" ht="33" customHeight="1">
      <x:c r="A1700" s="18" t="str">
        <x:v>祝園</x:v>
      </x:c>
      <x:c r="B1700" s="18" t="str">
        <x:v>西日本旅客鉄道</x:v>
      </x:c>
      <x:c r="C1700" s="18" t="str">
        <x:v>conventional_rail</x:v>
      </x:c>
      <x:c r="D1700" s="19" t="str">
        <x:v>T3</x:v>
      </x:c>
      <x:c r="E1700" s="20" t="n">
        <x:v>4218</x:v>
      </x:c>
      <x:c r="F1700" s="18" t="str">
        <x:v>persons/day</x:v>
      </x:c>
      <x:c r="G1700" s="18" t="str">
        <x:v>FY2024</x:v>
      </x:c>
      <x:c r="H1700" s="18" t="str">
        <x:v>否</x:v>
      </x:c>
      <x:c r="I1700" s="19" t="str">
        <x:v>DAILY_ENTRIES_EXITS</x:v>
      </x:c>
      <x:c r="J1700" s="19" t="str">
        <x:v>片町線</x:v>
      </x:c>
      <x:c r="K1700" s="18" t="str">
        <x:v>transport-node:e66b3834-1e35-5d36-8e0c-643a03f255e1</x:v>
      </x:c>
      <x:c r="L1700" s="19" t="str">
        <x:v>组件待审核</x:v>
      </x:c>
      <x:c r="M1700" s="21" t="n">
        <x:v>34.76019</x:v>
      </x:c>
      <x:c r="N1700" s="21" t="n">
        <x:v>135.792025</x:v>
      </x:c>
      <x:c r="O1700" s="18" t="str">
        <x:v>006796</x:v>
      </x:c>
      <x:c r="P1700" s="18" t="str">
        <x:v>片町線</x:v>
      </x:c>
      <x:c r="Q1700" s="19" t="str">
        <x:v>OFFICIAL_HUB_COMPONENT_REVIEW</x:v>
      </x:c>
      <x:c r="R1700" s="19" t="str">
        <x:v>S12_061 usage threshold; low-flow inclusion justified by official Hub component review</x:v>
      </x:c>
      <x:c r="S1700" s="19" t="str">
        <x:v>https://nlftp.mlit.go.jp/ksj/gml/datalist/KsjTmplt-S12-2024.html</x:v>
      </x:c>
      <x:c r="T1700" s="19" t="str">
        <x:v>https://nlftp.mlit.go.jp/ksj/gml/datalist/KsjTmplt-S12-2024.html
https://www.kintetsu.co.jp/station/</x:v>
      </x:c>
      <x:c r="U1700" s="19" t="str">
        <x:v>station-component|祝園|西日本旅客鉄道|conventional_rail|34.7602|135.7920|</x:v>
      </x:c>
      <x:c r="V1700" s="19" t="str">
        <x:v>006796 / 006796 / 片町線</x:v>
      </x:c>
      <x:c r="W1700" s="18" t="str">
        <x:v>否</x:v>
      </x:c>
      <x:c r="X1700" s="18" t="str">
        <x:v>0785e932a32b3ec15e1a1345537ae145eafe1c07bf38d5c16c11ee2b391e7a28</x:v>
      </x:c>
      <x:c r="Y1700" s="20" t="n">
        <x:v>1</x:v>
      </x:c>
      <x:c r="Z1700" s="20" t="n">
        <x:v>1</x:v>
      </x:c>
      <x:c r="AA1700" s="19" t="str">
        <x:v>新祝園・祝園</x:v>
      </x:c>
      <x:c r="AB1700" s="18" t="str">
        <x:v>transport-hub-review:27ce8e98-b8fa-5c16-acc6-073d99a9e053</x:v>
      </x:c>
      <x:c r="AC1700" s="19"/>
    </x:row>
    <x:row r="1701" ht="33" customHeight="1">
      <x:c r="A1701" s="18" t="str">
        <x:v>神保町</x:v>
      </x:c>
      <x:c r="B1701" s="18" t="str">
        <x:v>東京地下鉄</x:v>
      </x:c>
      <x:c r="C1701" s="18" t="str">
        <x:v>metro</x:v>
      </x:c>
      <x:c r="D1701" s="19" t="str">
        <x:v>T1</x:v>
      </x:c>
      <x:c r="E1701" s="20" t="n">
        <x:v>85815</x:v>
      </x:c>
      <x:c r="F1701" s="18" t="str">
        <x:v>persons/day</x:v>
      </x:c>
      <x:c r="G1701" s="18" t="str">
        <x:v>FY2024</x:v>
      </x:c>
      <x:c r="H1701" s="18" t="str">
        <x:v>否</x:v>
      </x:c>
      <x:c r="I1701" s="19" t="str">
        <x:v>DAILY_ENTRIES_EXITS</x:v>
      </x:c>
      <x:c r="J1701" s="19" t="str">
        <x:v>11号線半蔵門線</x:v>
      </x:c>
      <x:c r="K1701" s="18" t="str">
        <x:v>transport-node:845a2cfe-d113-5460-bad8-0c563276295b</x:v>
      </x:c>
      <x:c r="L1701" s="19" t="str">
        <x:v>组件待审核</x:v>
      </x:c>
      <x:c r="M1701" s="21" t="n">
        <x:v>35.6959148</x:v>
      </x:c>
      <x:c r="N1701" s="21" t="n">
        <x:v>139.7578268</x:v>
      </x:c>
      <x:c r="O1701" s="18" t="str">
        <x:v>003652</x:v>
      </x:c>
      <x:c r="P1701" s="18" t="str">
        <x:v>11号線半蔵門線</x:v>
      </x:c>
      <x:c r="Q1701" s="19" t="str">
        <x:v>S12_061_GE_10000
OFFICIAL_HUB_COMPONENT_REVIEW</x:v>
      </x:c>
      <x:c r="R1701" s="19" t="str">
        <x:v>S12_061 usage threshold</x:v>
      </x:c>
      <x:c r="S1701" s="19" t="str">
        <x:v>https://nlftp.mlit.go.jp/ksj/gml/datalist/KsjTmplt-S12-2024.html</x:v>
      </x:c>
      <x:c r="T1701" s="19" t="str">
        <x:v>https://nlftp.mlit.go.jp/ksj/gml/datalist/KsjTmplt-S12-2024.html
https://www.tokyometro.jp/station/jimbocho/index.html</x:v>
      </x:c>
      <x:c r="U1701" s="19" t="str">
        <x:v>station-component|神保町|東京地下鉄|metro|35.6959|139.7578|</x:v>
      </x:c>
      <x:c r="V1701" s="19" t="str">
        <x:v>003651 / 003652 / 11号線半蔵門線</x:v>
      </x:c>
      <x:c r="W1701" s="18" t="str">
        <x:v>否</x:v>
      </x:c>
      <x:c r="X1701" s="18" t="str">
        <x:v>0785e932a32b3ec15e1a1345537ae145eafe1c07bf38d5c16c11ee2b391e7a28</x:v>
      </x:c>
      <x:c r="Y1701" s="20" t="n">
        <x:v>1</x:v>
      </x:c>
      <x:c r="Z1701" s="20" t="n">
        <x:v>1</x:v>
      </x:c>
      <x:c r="AA1701" s="19" t="str">
        <x:v>神保町</x:v>
      </x:c>
      <x:c r="AB1701" s="18" t="str">
        <x:v>transport-hub-review:890e82e4-b9c1-52e2-b8e7-92d81e6f4da3</x:v>
      </x:c>
      <x:c r="AC1701" s="19"/>
    </x:row>
    <x:row r="1702" ht="33" customHeight="1">
      <x:c r="A1702" s="18" t="str">
        <x:v>神保町</x:v>
      </x:c>
      <x:c r="B1702" s="18" t="str">
        <x:v>東京都</x:v>
      </x:c>
      <x:c r="C1702" s="18" t="str">
        <x:v>metro</x:v>
      </x:c>
      <x:c r="D1702" s="19" t="str">
        <x:v>T1</x:v>
      </x:c>
      <x:c r="E1702" s="20" t="n">
        <x:v>117291</x:v>
      </x:c>
      <x:c r="F1702" s="18" t="str">
        <x:v>persons/day</x:v>
      </x:c>
      <x:c r="G1702" s="18" t="str">
        <x:v>FY2024</x:v>
      </x:c>
      <x:c r="H1702" s="18" t="str">
        <x:v>否</x:v>
      </x:c>
      <x:c r="I1702" s="19" t="str">
        <x:v>DAILY_ENTRIES_EXITS</x:v>
      </x:c>
      <x:c r="J1702" s="19" t="str">
        <x:v>10号線新宿線
6号線三田線</x:v>
      </x:c>
      <x:c r="K1702" s="18" t="str">
        <x:v>transport-node:1e81685e-e33c-507c-9f55-a850aced074e</x:v>
      </x:c>
      <x:c r="L1702" s="19" t="str">
        <x:v>组件待审核</x:v>
      </x:c>
      <x:c r="M1702" s="21" t="n">
        <x:v>35.6950255</x:v>
      </x:c>
      <x:c r="N1702" s="21" t="n">
        <x:v>139.7583098</x:v>
      </x:c>
      <x:c r="O1702" s="18" t="str">
        <x:v>003660</x:v>
      </x:c>
      <x:c r="P1702" s="18" t="str">
        <x:v>6号線三田線</x:v>
      </x:c>
      <x:c r="Q1702" s="19" t="str">
        <x:v>S12_061_GE_10000
OFFICIAL_HUB_COMPONENT_REVIEW</x:v>
      </x:c>
      <x:c r="R1702" s="19" t="str">
        <x:v>S12_061 usage threshold</x:v>
      </x:c>
      <x:c r="S1702" s="19" t="str">
        <x:v>https://nlftp.mlit.go.jp/ksj/gml/datalist/KsjTmplt-S12-2024.html</x:v>
      </x:c>
      <x:c r="T1702" s="19" t="str">
        <x:v>https://nlftp.mlit.go.jp/ksj/gml/datalist/KsjTmplt-S12-2024.html
https://www.tokyometro.jp/station/jimbocho/index.html</x:v>
      </x:c>
      <x:c r="U1702" s="19" t="str">
        <x:v>station-component|神保町|東京都|metro|35.6950|139.7583|</x:v>
      </x:c>
      <x:c r="V1702" s="19" t="str">
        <x:v>003651 / 003651 / 10号線新宿線
003651 / 003660 / 6号線三田線</x:v>
      </x:c>
      <x:c r="W1702" s="18" t="str">
        <x:v>否</x:v>
      </x:c>
      <x:c r="X1702" s="18" t="str">
        <x:v>0785e932a32b3ec15e1a1345537ae145eafe1c07bf38d5c16c11ee2b391e7a28</x:v>
      </x:c>
      <x:c r="Y1702" s="20" t="n">
        <x:v>1</x:v>
      </x:c>
      <x:c r="Z1702" s="20" t="n">
        <x:v>1</x:v>
      </x:c>
      <x:c r="AA1702" s="19" t="str">
        <x:v>神保町</x:v>
      </x:c>
      <x:c r="AB1702" s="18" t="str">
        <x:v>transport-hub-review:890e82e4-b9c1-52e2-b8e7-92d81e6f4da3</x:v>
      </x:c>
      <x:c r="AC1702" s="19"/>
    </x:row>
    <x:row r="1703" ht="28" customHeight="1">
      <x:c r="A1703" s="18" t="str">
        <x:v>神奈川新町</x:v>
      </x:c>
      <x:c r="B1703" s="18" t="str">
        <x:v>京浜急行電鉄</x:v>
      </x:c>
      <x:c r="C1703" s="18" t="str">
        <x:v>private_rail</x:v>
      </x:c>
      <x:c r="D1703" s="19" t="str">
        <x:v>T2</x:v>
      </x:c>
      <x:c r="E1703" s="20" t="n">
        <x:v>17052</x:v>
      </x:c>
      <x:c r="F1703" s="18" t="str">
        <x:v>persons/day</x:v>
      </x:c>
      <x:c r="G1703" s="18" t="str">
        <x:v>FY2024</x:v>
      </x:c>
      <x:c r="H1703" s="18" t="str">
        <x:v>否</x:v>
      </x:c>
      <x:c r="I1703" s="19" t="str">
        <x:v>DAILY_ENTRIES_EXITS</x:v>
      </x:c>
      <x:c r="J1703" s="19" t="str">
        <x:v>本線</x:v>
      </x:c>
      <x:c r="K1703" s="18" t="str">
        <x:v>transport-node:cd9e8e22-7e65-54f1-a090-052f5fd0f685</x:v>
      </x:c>
      <x:c r="L1703" s="19" t="str">
        <x:v>组件待审核</x:v>
      </x:c>
      <x:c r="M1703" s="21" t="n">
        <x:v>35.481515</x:v>
      </x:c>
      <x:c r="N1703" s="21" t="n">
        <x:v>139.64017</x:v>
      </x:c>
      <x:c r="O1703" s="18" t="str">
        <x:v>004579</x:v>
      </x:c>
      <x:c r="P1703" s="18" t="str">
        <x:v>本線</x:v>
      </x:c>
      <x:c r="Q1703" s="19" t="str">
        <x:v>S12_061_GE_10000</x:v>
      </x:c>
      <x:c r="R1703" s="19" t="str">
        <x:v>S12_061 usage threshold</x:v>
      </x:c>
      <x:c r="S1703" s="19" t="str">
        <x:v>https://nlftp.mlit.go.jp/ksj/gml/datalist/KsjTmplt-S12-2024.html</x:v>
      </x:c>
      <x:c r="T1703" s="19" t="str">
        <x:v>https://nlftp.mlit.go.jp/ksj/gml/datalist/KsjTmplt-S12-2024.html</x:v>
      </x:c>
      <x:c r="U1703" s="19" t="str">
        <x:v>station-component|神奈川新町|京浜急行電鉄|private_rail|35.4815|139.6402|</x:v>
      </x:c>
      <x:c r="V1703" s="19" t="str">
        <x:v>004579 / 004579 / 本線</x:v>
      </x:c>
      <x:c r="W1703" s="18" t="str">
        <x:v>否</x:v>
      </x:c>
      <x:c r="X1703" s="18" t="str">
        <x:v>0785e932a32b3ec15e1a1345537ae145eafe1c07bf38d5c16c11ee2b391e7a28</x:v>
      </x:c>
      <x:c r="Y1703" s="20" t="n">
        <x:v>1</x:v>
      </x:c>
      <x:c r="Z1703" s="20" t="n">
        <x:v>1</x:v>
      </x:c>
      <x:c r="AA1703" s="19"/>
      <x:c r="AB1703" s="18"/>
      <x:c r="AC1703" s="19"/>
    </x:row>
    <x:row r="1704" ht="33" customHeight="1">
      <x:c r="A1704" s="18" t="str">
        <x:v>神宮前</x:v>
      </x:c>
      <x:c r="B1704" s="18" t="str">
        <x:v>名古屋鉄道</x:v>
      </x:c>
      <x:c r="C1704" s="18" t="str">
        <x:v>private_rail</x:v>
      </x:c>
      <x:c r="D1704" s="19" t="str">
        <x:v>T2</x:v>
      </x:c>
      <x:c r="E1704" s="20" t="n">
        <x:v>32703</x:v>
      </x:c>
      <x:c r="F1704" s="18" t="str">
        <x:v>persons/day</x:v>
      </x:c>
      <x:c r="G1704" s="18" t="str">
        <x:v>FY2024</x:v>
      </x:c>
      <x:c r="H1704" s="18" t="str">
        <x:v>否</x:v>
      </x:c>
      <x:c r="I1704" s="19" t="str">
        <x:v>DAILY_ENTRIES_EXITS</x:v>
      </x:c>
      <x:c r="J1704" s="19" t="str">
        <x:v>名古屋本線
常滑線</x:v>
      </x:c>
      <x:c r="K1704" s="18" t="str">
        <x:v>transport-node:706489bb-cd58-543e-bb14-12215885c976</x:v>
      </x:c>
      <x:c r="L1704" s="19" t="str">
        <x:v>组件待审核</x:v>
      </x:c>
      <x:c r="M1704" s="21" t="n">
        <x:v>35.125705</x:v>
      </x:c>
      <x:c r="N1704" s="21" t="n">
        <x:v>136.912565</x:v>
      </x:c>
      <x:c r="O1704" s="18" t="str">
        <x:v>005606</x:v>
      </x:c>
      <x:c r="P1704" s="18" t="str">
        <x:v>名古屋本線</x:v>
      </x:c>
      <x:c r="Q1704" s="19" t="str">
        <x:v>S12_061_GE_10000</x:v>
      </x:c>
      <x:c r="R1704" s="19" t="str">
        <x:v>S12_061 usage threshold</x:v>
      </x:c>
      <x:c r="S1704" s="19" t="str">
        <x:v>https://nlftp.mlit.go.jp/ksj/gml/datalist/KsjTmplt-S12-2024.html</x:v>
      </x:c>
      <x:c r="T1704" s="19" t="str">
        <x:v>https://nlftp.mlit.go.jp/ksj/gml/datalist/KsjTmplt-S12-2024.html</x:v>
      </x:c>
      <x:c r="U1704" s="19" t="str">
        <x:v>station-component|神宮前|名古屋鉄道|private_rail|35.1257|136.9126|</x:v>
      </x:c>
      <x:c r="V1704" s="19" t="str">
        <x:v>005605 / 005605 / 常滑線
005605 / 005606 / 名古屋本線</x:v>
      </x:c>
      <x:c r="W1704" s="18" t="str">
        <x:v>否</x:v>
      </x:c>
      <x:c r="X1704" s="18" t="str">
        <x:v>0785e932a32b3ec15e1a1345537ae145eafe1c07bf38d5c16c11ee2b391e7a28</x:v>
      </x:c>
      <x:c r="Y1704" s="20" t="n">
        <x:v>1</x:v>
      </x:c>
      <x:c r="Z1704" s="20" t="n">
        <x:v>1</x:v>
      </x:c>
      <x:c r="AA1704" s="19"/>
      <x:c r="AB1704" s="18"/>
      <x:c r="AC1704" s="19"/>
    </x:row>
    <x:row r="1705" ht="28" customHeight="1">
      <x:c r="A1705" s="18" t="str">
        <x:v>神崎川</x:v>
      </x:c>
      <x:c r="B1705" s="18" t="str">
        <x:v>阪急電鉄</x:v>
      </x:c>
      <x:c r="C1705" s="18" t="str">
        <x:v>private_rail</x:v>
      </x:c>
      <x:c r="D1705" s="19" t="str">
        <x:v>T2</x:v>
      </x:c>
      <x:c r="E1705" s="20" t="n">
        <x:v>17756</x:v>
      </x:c>
      <x:c r="F1705" s="18" t="str">
        <x:v>persons/day</x:v>
      </x:c>
      <x:c r="G1705" s="18" t="str">
        <x:v>FY2024</x:v>
      </x:c>
      <x:c r="H1705" s="18" t="str">
        <x:v>否</x:v>
      </x:c>
      <x:c r="I1705" s="19" t="str">
        <x:v>DAILY_ENTRIES_EXITS</x:v>
      </x:c>
      <x:c r="J1705" s="19" t="str">
        <x:v>神戸線</x:v>
      </x:c>
      <x:c r="K1705" s="18" t="str">
        <x:v>transport-node:9804afb8-433e-54d6-ab32-fd195492bd81</x:v>
      </x:c>
      <x:c r="L1705" s="19" t="str">
        <x:v>组件待审核</x:v>
      </x:c>
      <x:c r="M1705" s="21" t="n">
        <x:v>34.731975</x:v>
      </x:c>
      <x:c r="N1705" s="21" t="n">
        <x:v>135.4731375</x:v>
      </x:c>
      <x:c r="O1705" s="18" t="str">
        <x:v>006916</x:v>
      </x:c>
      <x:c r="P1705" s="18" t="str">
        <x:v>神戸線</x:v>
      </x:c>
      <x:c r="Q1705" s="19" t="str">
        <x:v>S12_061_GE_10000</x:v>
      </x:c>
      <x:c r="R1705" s="19" t="str">
        <x:v>S12_061 usage threshold</x:v>
      </x:c>
      <x:c r="S1705" s="19" t="str">
        <x:v>https://nlftp.mlit.go.jp/ksj/gml/datalist/KsjTmplt-S12-2024.html</x:v>
      </x:c>
      <x:c r="T1705" s="19" t="str">
        <x:v>https://nlftp.mlit.go.jp/ksj/gml/datalist/KsjTmplt-S12-2024.html</x:v>
      </x:c>
      <x:c r="U1705" s="19" t="str">
        <x:v>station-component|神崎川|阪急電鉄|private_rail|34.7320|135.4731|</x:v>
      </x:c>
      <x:c r="V1705" s="19" t="str">
        <x:v>006916 / 006916 / 神戸線</x:v>
      </x:c>
      <x:c r="W1705" s="18" t="str">
        <x:v>否</x:v>
      </x:c>
      <x:c r="X1705" s="18" t="str">
        <x:v>0785e932a32b3ec15e1a1345537ae145eafe1c07bf38d5c16c11ee2b391e7a28</x:v>
      </x:c>
      <x:c r="Y1705" s="20" t="n">
        <x:v>1</x:v>
      </x:c>
      <x:c r="Z1705" s="20" t="n">
        <x:v>1</x:v>
      </x:c>
      <x:c r="AA1705" s="19"/>
      <x:c r="AB1705" s="18"/>
      <x:c r="AC1705" s="19"/>
    </x:row>
    <x:row r="1706" ht="33" customHeight="1">
      <x:c r="A1706" s="18" t="str">
        <x:v>神戸</x:v>
      </x:c>
      <x:c r="B1706" s="18" t="str">
        <x:v>西日本旅客鉄道</x:v>
      </x:c>
      <x:c r="C1706" s="18" t="str">
        <x:v>conventional_rail</x:v>
      </x:c>
      <x:c r="D1706" s="19" t="str">
        <x:v>T1</x:v>
      </x:c>
      <x:c r="E1706" s="20" t="n">
        <x:v>101672</x:v>
      </x:c>
      <x:c r="F1706" s="18" t="str">
        <x:v>persons/day</x:v>
      </x:c>
      <x:c r="G1706" s="18" t="str">
        <x:v>FY2024</x:v>
      </x:c>
      <x:c r="H1706" s="18" t="str">
        <x:v>否</x:v>
      </x:c>
      <x:c r="I1706" s="19" t="str">
        <x:v>DAILY_ENTRIES_EXITS</x:v>
      </x:c>
      <x:c r="J1706" s="19" t="str">
        <x:v>山陽線
東海道線</x:v>
      </x:c>
      <x:c r="K1706" s="18" t="str">
        <x:v>transport-node:13de0a4c-67b3-5352-8e6b-15c02041c227</x:v>
      </x:c>
      <x:c r="L1706" s="19" t="str">
        <x:v>组件待审核</x:v>
      </x:c>
      <x:c r="M1706" s="21" t="n">
        <x:v>34.67922</x:v>
      </x:c>
      <x:c r="N1706" s="21" t="n">
        <x:v>135.17822</x:v>
      </x:c>
      <x:c r="O1706" s="18" t="str">
        <x:v>007225</x:v>
      </x:c>
      <x:c r="P1706" s="18" t="str">
        <x:v>東海道線</x:v>
      </x:c>
      <x:c r="Q1706" s="19" t="str">
        <x:v>S12_061_GE_10000
OFFICIAL_HUB_COMPONENT_REVIEW</x:v>
      </x:c>
      <x:c r="R1706" s="19" t="str">
        <x:v>S12_061 usage threshold</x:v>
      </x:c>
      <x:c r="S1706" s="19" t="str">
        <x:v>https://nlftp.mlit.go.jp/ksj/gml/datalist/KsjTmplt-S12-2024.html</x:v>
      </x:c>
      <x:c r="T1706" s="19" t="str">
        <x:v>https://kotsu.city.kobe.lg.jp/chinese-trad/cnt-subway-map/
https://nlftp.mlit.go.jp/ksj/gml/datalist/KsjTmplt-S12-2024.html</x:v>
      </x:c>
      <x:c r="U1706" s="19" t="str">
        <x:v>station-component|神戸|西日本旅客鉄道|conventional_rail|34.6792|135.1782|</x:v>
      </x:c>
      <x:c r="V1706" s="19" t="str">
        <x:v>007224 / 007224 / 山陽線
007224 / 007225 / 東海道線</x:v>
      </x:c>
      <x:c r="W1706" s="18" t="str">
        <x:v>否</x:v>
      </x:c>
      <x:c r="X1706" s="18" t="str">
        <x:v>0785e932a32b3ec15e1a1345537ae145eafe1c07bf38d5c16c11ee2b391e7a28</x:v>
      </x:c>
      <x:c r="Y1706" s="20" t="n">
        <x:v>1</x:v>
      </x:c>
      <x:c r="Z1706" s="20" t="n">
        <x:v>1</x:v>
      </x:c>
      <x:c r="AA1706" s="19" t="str">
        <x:v>神戸・ハーバーランド</x:v>
      </x:c>
      <x:c r="AB1706" s="18" t="str">
        <x:v>transport-hub-review:ef2b178f-c070-5236-934d-cca402fa7af5</x:v>
      </x:c>
      <x:c r="AC1706" s="19"/>
    </x:row>
    <x:row r="1707" ht="33" customHeight="1">
      <x:c r="A1707" s="18" t="str">
        <x:v>神戸三宮</x:v>
      </x:c>
      <x:c r="B1707" s="18" t="str">
        <x:v>阪急電鉄</x:v>
      </x:c>
      <x:c r="C1707" s="18" t="str">
        <x:v>private_rail</x:v>
      </x:c>
      <x:c r="D1707" s="19" t="str">
        <x:v>T1</x:v>
      </x:c>
      <x:c r="E1707" s="20" t="n">
        <x:v>99076</x:v>
      </x:c>
      <x:c r="F1707" s="18" t="str">
        <x:v>persons/day</x:v>
      </x:c>
      <x:c r="G1707" s="18" t="str">
        <x:v>FY2024</x:v>
      </x:c>
      <x:c r="H1707" s="18" t="str">
        <x:v>否</x:v>
      </x:c>
      <x:c r="I1707" s="19" t="str">
        <x:v>DAILY_ENTRIES_EXITS</x:v>
      </x:c>
      <x:c r="J1707" s="19" t="str">
        <x:v>神戸線
神戸高速線</x:v>
      </x:c>
      <x:c r="K1707" s="18" t="str">
        <x:v>transport-node:fc375f81-db78-55d7-8cb1-bb3e76328fe1</x:v>
      </x:c>
      <x:c r="L1707" s="19" t="str">
        <x:v>组件待审核</x:v>
      </x:c>
      <x:c r="M1707" s="21" t="n">
        <x:v>34.693145</x:v>
      </x:c>
      <x:c r="N1707" s="21" t="n">
        <x:v>135.192855</x:v>
      </x:c>
      <x:c r="O1707" s="18" t="str">
        <x:v>007121</x:v>
      </x:c>
      <x:c r="P1707" s="18" t="str">
        <x:v>神戸線</x:v>
      </x:c>
      <x:c r="Q1707" s="19" t="str">
        <x:v>S12_061_GE_10000
OFFICIAL_HUB_COMPONENT_REVIEW</x:v>
      </x:c>
      <x:c r="R1707" s="19" t="str">
        <x:v>S12_061 usage threshold</x:v>
      </x:c>
      <x:c r="S1707" s="19" t="str">
        <x:v>https://nlftp.mlit.go.jp/ksj/gml/datalist/KsjTmplt-S12-2024.html</x:v>
      </x:c>
      <x:c r="T1707" s="19" t="str">
        <x:v>https://kotsu.city.kobe.lg.jp/chinese-trad/cnt-subway-map/
https://nlftp.mlit.go.jp/ksj/gml/datalist/KsjTmplt-S12-2024.html</x:v>
      </x:c>
      <x:c r="U1707" s="19" t="str">
        <x:v>station-component|神戸三宮|阪急電鉄|private_rail|34.6931|135.1929|</x:v>
      </x:c>
      <x:c r="V1707" s="19" t="str">
        <x:v>007120 / 007120 / 神戸高速線
007120 / 007121 / 神戸線</x:v>
      </x:c>
      <x:c r="W1707" s="18" t="str">
        <x:v>否</x:v>
      </x:c>
      <x:c r="X1707" s="18" t="str">
        <x:v>0785e932a32b3ec15e1a1345537ae145eafe1c07bf38d5c16c11ee2b391e7a28</x:v>
      </x:c>
      <x:c r="Y1707" s="20" t="n">
        <x:v>1</x:v>
      </x:c>
      <x:c r="Z1707" s="20" t="n">
        <x:v>1</x:v>
      </x:c>
      <x:c r="AA1707" s="19" t="str">
        <x:v>三ノ宮</x:v>
      </x:c>
      <x:c r="AB1707" s="18" t="str">
        <x:v>transport-hub-review:842e847d-eb2e-565f-829e-04fdc20c430b</x:v>
      </x:c>
      <x:c r="AC1707" s="19"/>
    </x:row>
    <x:row r="1708" ht="33" customHeight="1">
      <x:c r="A1708" s="18" t="str">
        <x:v>神戸三宮</x:v>
      </x:c>
      <x:c r="B1708" s="18" t="str">
        <x:v>阪神電気鉄道</x:v>
      </x:c>
      <x:c r="C1708" s="18" t="str">
        <x:v>private_rail</x:v>
      </x:c>
      <x:c r="D1708" s="19" t="str">
        <x:v>T1</x:v>
      </x:c>
      <x:c r="E1708" s="20" t="n">
        <x:v>109523</x:v>
      </x:c>
      <x:c r="F1708" s="18" t="str">
        <x:v>persons/day</x:v>
      </x:c>
      <x:c r="G1708" s="18" t="str">
        <x:v>FY2024</x:v>
      </x:c>
      <x:c r="H1708" s="18" t="str">
        <x:v>否</x:v>
      </x:c>
      <x:c r="I1708" s="19" t="str">
        <x:v>DAILY_ENTRIES_EXITS</x:v>
      </x:c>
      <x:c r="J1708" s="19" t="str">
        <x:v>本線</x:v>
      </x:c>
      <x:c r="K1708" s="18" t="str">
        <x:v>transport-node:65156bcf-b723-53ad-9dc9-b04716bf6b0f</x:v>
      </x:c>
      <x:c r="L1708" s="19" t="str">
        <x:v>组件待审核</x:v>
      </x:c>
      <x:c r="M1708" s="21" t="n">
        <x:v>34.69382</x:v>
      </x:c>
      <x:c r="N1708" s="21" t="n">
        <x:v>135.1952333</x:v>
      </x:c>
      <x:c r="O1708" s="18" t="str">
        <x:v>007116</x:v>
      </x:c>
      <x:c r="P1708" s="18" t="str">
        <x:v>本線</x:v>
      </x:c>
      <x:c r="Q1708" s="19" t="str">
        <x:v>S12_061_GE_10000
OFFICIAL_HUB_COMPONENT_REVIEW</x:v>
      </x:c>
      <x:c r="R1708" s="19" t="str">
        <x:v>S12_061 usage threshold</x:v>
      </x:c>
      <x:c r="S1708" s="19" t="str">
        <x:v>https://nlftp.mlit.go.jp/ksj/gml/datalist/KsjTmplt-S12-2024.html</x:v>
      </x:c>
      <x:c r="T1708" s="19" t="str">
        <x:v>https://kotsu.city.kobe.lg.jp/chinese-trad/cnt-subway-map/
https://nlftp.mlit.go.jp/ksj/gml/datalist/KsjTmplt-S12-2024.html</x:v>
      </x:c>
      <x:c r="U1708" s="19" t="str">
        <x:v>station-component|神戸三宮|阪神電気鉄道|private_rail|34.6938|135.1952|</x:v>
      </x:c>
      <x:c r="V1708" s="19" t="str">
        <x:v>007120 / 007116 / 本線</x:v>
      </x:c>
      <x:c r="W1708" s="18" t="str">
        <x:v>否</x:v>
      </x:c>
      <x:c r="X1708" s="18" t="str">
        <x:v>0785e932a32b3ec15e1a1345537ae145eafe1c07bf38d5c16c11ee2b391e7a28</x:v>
      </x:c>
      <x:c r="Y1708" s="20" t="n">
        <x:v>1</x:v>
      </x:c>
      <x:c r="Z1708" s="20" t="n">
        <x:v>1</x:v>
      </x:c>
      <x:c r="AA1708" s="19" t="str">
        <x:v>三ノ宮</x:v>
      </x:c>
      <x:c r="AB1708" s="18" t="str">
        <x:v>transport-hub-review:842e847d-eb2e-565f-829e-04fdc20c430b</x:v>
      </x:c>
      <x:c r="AC1708" s="19"/>
    </x:row>
    <x:row r="1709" ht="33" customHeight="1">
      <x:c r="A1709" s="18" t="str">
        <x:v>神戸空港</x:v>
      </x:c>
      <x:c r="B1709" s="18" t="str">
        <x:v>神戸新交通</x:v>
      </x:c>
      <x:c r="C1709" s="18" t="str">
        <x:v>fixed_guideway</x:v>
      </x:c>
      <x:c r="D1709" s="19" t="str">
        <x:v>T3</x:v>
      </x:c>
      <x:c r="E1709" s="20" t="n">
        <x:v>7830</x:v>
      </x:c>
      <x:c r="F1709" s="18" t="str">
        <x:v>persons/day</x:v>
      </x:c>
      <x:c r="G1709" s="18" t="str">
        <x:v>FY2024</x:v>
      </x:c>
      <x:c r="H1709" s="18" t="str">
        <x:v>否</x:v>
      </x:c>
      <x:c r="I1709" s="19" t="str">
        <x:v>DAILY_ENTRIES_EXITS</x:v>
      </x:c>
      <x:c r="J1709" s="19" t="str">
        <x:v>ポートアイランド線</x:v>
      </x:c>
      <x:c r="K1709" s="18" t="str">
        <x:v>transport-node:92ae5c9e-14ec-5362-a37a-752001adc409</x:v>
      </x:c>
      <x:c r="L1709" s="19" t="str">
        <x:v>组件待审核</x:v>
      </x:c>
      <x:c r="M1709" s="21" t="n">
        <x:v>34.63735</x:v>
      </x:c>
      <x:c r="N1709" s="21" t="n">
        <x:v>135.228975</x:v>
      </x:c>
      <x:c r="O1709" s="18" t="str">
        <x:v>007482</x:v>
      </x:c>
      <x:c r="P1709" s="18" t="str">
        <x:v>ポートアイランド線</x:v>
      </x:c>
      <x:c r="Q1709" s="19" t="str">
        <x:v>AIRPORT_ACCESS_AUDIT</x:v>
      </x:c>
      <x:c r="R1709" s="19" t="str">
        <x:v>S12_061 usage threshold; low-flow inclusion justified by airport access</x:v>
      </x:c>
      <x:c r="S1709" s="19" t="str">
        <x:v>https://nlftp.mlit.go.jp/ksj/gml/datalist/KsjTmplt-S12-2024.html</x:v>
      </x:c>
      <x:c r="T1709" s="19" t="str">
        <x:v>https://nlftp.mlit.go.jp/ksj/gml/datalist/KsjTmplt-S12-2024.html</x:v>
      </x:c>
      <x:c r="U1709" s="19" t="str">
        <x:v>station-component|神戸空港|神戸新交通|fixed_guideway|34.6373|135.2290|</x:v>
      </x:c>
      <x:c r="V1709" s="19" t="str">
        <x:v>007482 / 007482 / ポートアイランド線</x:v>
      </x:c>
      <x:c r="W1709" s="18" t="str">
        <x:v>否</x:v>
      </x:c>
      <x:c r="X1709" s="18" t="str">
        <x:v>0785e932a32b3ec15e1a1345537ae145eafe1c07bf38d5c16c11ee2b391e7a28</x:v>
      </x:c>
      <x:c r="Y1709" s="20" t="n">
        <x:v>1</x:v>
      </x:c>
      <x:c r="Z1709" s="20" t="n">
        <x:v>1</x:v>
      </x:c>
      <x:c r="AA1709" s="19"/>
      <x:c r="AB1709" s="18"/>
      <x:c r="AC1709" s="19"/>
    </x:row>
    <x:row r="1710" ht="28" customHeight="1">
      <x:c r="A1710" s="18" t="str">
        <x:v>神楽坂</x:v>
      </x:c>
      <x:c r="B1710" s="18" t="str">
        <x:v>東京地下鉄</x:v>
      </x:c>
      <x:c r="C1710" s="18" t="str">
        <x:v>metro</x:v>
      </x:c>
      <x:c r="D1710" s="19" t="str">
        <x:v>T2</x:v>
      </x:c>
      <x:c r="E1710" s="20" t="n">
        <x:v>40020</x:v>
      </x:c>
      <x:c r="F1710" s="18" t="str">
        <x:v>persons/day</x:v>
      </x:c>
      <x:c r="G1710" s="18" t="str">
        <x:v>FY2024</x:v>
      </x:c>
      <x:c r="H1710" s="18" t="str">
        <x:v>否</x:v>
      </x:c>
      <x:c r="I1710" s="19" t="str">
        <x:v>DAILY_ENTRIES_EXITS</x:v>
      </x:c>
      <x:c r="J1710" s="19" t="str">
        <x:v>5号線東西線</x:v>
      </x:c>
      <x:c r="K1710" s="18" t="str">
        <x:v>transport-node:d8fa0d2e-e373-5b0d-9b76-c8f21754884c</x:v>
      </x:c>
      <x:c r="L1710" s="19" t="str">
        <x:v>组件待审核</x:v>
      </x:c>
      <x:c r="M1710" s="21" t="n">
        <x:v>35.703865</x:v>
      </x:c>
      <x:c r="N1710" s="21" t="n">
        <x:v>139.73452</x:v>
      </x:c>
      <x:c r="O1710" s="18" t="str">
        <x:v>003578</x:v>
      </x:c>
      <x:c r="P1710" s="18" t="str">
        <x:v>5号線東西線</x:v>
      </x:c>
      <x:c r="Q1710" s="19" t="str">
        <x:v>S12_061_GE_10000</x:v>
      </x:c>
      <x:c r="R1710" s="19" t="str">
        <x:v>S12_061 usage threshold</x:v>
      </x:c>
      <x:c r="S1710" s="19" t="str">
        <x:v>https://nlftp.mlit.go.jp/ksj/gml/datalist/KsjTmplt-S12-2024.html</x:v>
      </x:c>
      <x:c r="T1710" s="19" t="str">
        <x:v>https://nlftp.mlit.go.jp/ksj/gml/datalist/KsjTmplt-S12-2024.html</x:v>
      </x:c>
      <x:c r="U1710" s="19" t="str">
        <x:v>station-component|神楽坂|東京地下鉄|metro|35.7039|139.7345|</x:v>
      </x:c>
      <x:c r="V1710" s="19" t="str">
        <x:v>003578 / 003578 / 5号線東西線</x:v>
      </x:c>
      <x:c r="W1710" s="18" t="str">
        <x:v>否</x:v>
      </x:c>
      <x:c r="X1710" s="18" t="str">
        <x:v>0785e932a32b3ec15e1a1345537ae145eafe1c07bf38d5c16c11ee2b391e7a28</x:v>
      </x:c>
      <x:c r="Y1710" s="20" t="n">
        <x:v>1</x:v>
      </x:c>
      <x:c r="Z1710" s="20" t="n">
        <x:v>1</x:v>
      </x:c>
      <x:c r="AA1710" s="19"/>
      <x:c r="AB1710" s="18"/>
      <x:c r="AC1710" s="19"/>
    </x:row>
    <x:row r="1711" ht="28" customHeight="1">
      <x:c r="A1711" s="18" t="str">
        <x:v>神泉</x:v>
      </x:c>
      <x:c r="B1711" s="18" t="str">
        <x:v>京王電鉄</x:v>
      </x:c>
      <x:c r="C1711" s="18" t="str">
        <x:v>private_rail</x:v>
      </x:c>
      <x:c r="D1711" s="19" t="str">
        <x:v>T2</x:v>
      </x:c>
      <x:c r="E1711" s="20" t="n">
        <x:v>10963</x:v>
      </x:c>
      <x:c r="F1711" s="18" t="str">
        <x:v>persons/day</x:v>
      </x:c>
      <x:c r="G1711" s="18" t="str">
        <x:v>FY2024</x:v>
      </x:c>
      <x:c r="H1711" s="18" t="str">
        <x:v>否</x:v>
      </x:c>
      <x:c r="I1711" s="19" t="str">
        <x:v>DAILY_ENTRIES_EXITS</x:v>
      </x:c>
      <x:c r="J1711" s="19" t="str">
        <x:v>井の頭線</x:v>
      </x:c>
      <x:c r="K1711" s="18" t="str">
        <x:v>transport-node:4f599907-a39c-5c05-a8c8-b1ee6f60609a</x:v>
      </x:c>
      <x:c r="L1711" s="19" t="str">
        <x:v>组件待审核</x:v>
      </x:c>
      <x:c r="M1711" s="21" t="n">
        <x:v>35.65718</x:v>
      </x:c>
      <x:c r="N1711" s="21" t="n">
        <x:v>139.6932525</x:v>
      </x:c>
      <x:c r="O1711" s="18" t="str">
        <x:v>003938</x:v>
      </x:c>
      <x:c r="P1711" s="18" t="str">
        <x:v>井の頭線</x:v>
      </x:c>
      <x:c r="Q1711" s="19" t="str">
        <x:v>S12_061_GE_10000</x:v>
      </x:c>
      <x:c r="R1711" s="19" t="str">
        <x:v>S12_061 usage threshold</x:v>
      </x:c>
      <x:c r="S1711" s="19" t="str">
        <x:v>https://nlftp.mlit.go.jp/ksj/gml/datalist/KsjTmplt-S12-2024.html</x:v>
      </x:c>
      <x:c r="T1711" s="19" t="str">
        <x:v>https://nlftp.mlit.go.jp/ksj/gml/datalist/KsjTmplt-S12-2024.html</x:v>
      </x:c>
      <x:c r="U1711" s="19" t="str">
        <x:v>station-component|神泉|京王電鉄|private_rail|35.6572|139.6933|</x:v>
      </x:c>
      <x:c r="V1711" s="19" t="str">
        <x:v>003938 / 003938 / 井の頭線</x:v>
      </x:c>
      <x:c r="W1711" s="18" t="str">
        <x:v>否</x:v>
      </x:c>
      <x:c r="X1711" s="18" t="str">
        <x:v>0785e932a32b3ec15e1a1345537ae145eafe1c07bf38d5c16c11ee2b391e7a28</x:v>
      </x:c>
      <x:c r="Y1711" s="20" t="n">
        <x:v>1</x:v>
      </x:c>
      <x:c r="Z1711" s="20" t="n">
        <x:v>1</x:v>
      </x:c>
      <x:c r="AA1711" s="19"/>
      <x:c r="AB1711" s="18"/>
      <x:c r="AC1711" s="19"/>
    </x:row>
    <x:row r="1712" ht="33" customHeight="1">
      <x:c r="A1712" s="18" t="str">
        <x:v>神田</x:v>
      </x:c>
      <x:c r="B1712" s="18" t="str">
        <x:v>東京地下鉄</x:v>
      </x:c>
      <x:c r="C1712" s="18" t="str">
        <x:v>metro</x:v>
      </x:c>
      <x:c r="D1712" s="19" t="str">
        <x:v>T1</x:v>
      </x:c>
      <x:c r="E1712" s="20" t="n">
        <x:v>56241</x:v>
      </x:c>
      <x:c r="F1712" s="18" t="str">
        <x:v>persons/day</x:v>
      </x:c>
      <x:c r="G1712" s="18" t="str">
        <x:v>FY2024</x:v>
      </x:c>
      <x:c r="H1712" s="18" t="str">
        <x:v>否</x:v>
      </x:c>
      <x:c r="I1712" s="19" t="str">
        <x:v>DAILY_ENTRIES_EXITS</x:v>
      </x:c>
      <x:c r="J1712" s="19" t="str">
        <x:v>3号線銀座線</x:v>
      </x:c>
      <x:c r="K1712" s="18" t="str">
        <x:v>transport-node:0345ded4-872d-547c-b249-b2ca30584dac</x:v>
      </x:c>
      <x:c r="L1712" s="19" t="str">
        <x:v>组件待审核</x:v>
      </x:c>
      <x:c r="M1712" s="21" t="n">
        <x:v>35.693715</x:v>
      </x:c>
      <x:c r="N1712" s="21" t="n">
        <x:v>139.77089</x:v>
      </x:c>
      <x:c r="O1712" s="18" t="str">
        <x:v>003666</x:v>
      </x:c>
      <x:c r="P1712" s="18" t="str">
        <x:v>3号線銀座線</x:v>
      </x:c>
      <x:c r="Q1712" s="19" t="str">
        <x:v>S12_061_GE_10000
OFFICIAL_HUB_COMPONENT_REVIEW</x:v>
      </x:c>
      <x:c r="R1712" s="19" t="str">
        <x:v>S12_061 usage threshold</x:v>
      </x:c>
      <x:c r="S1712" s="19" t="str">
        <x:v>https://nlftp.mlit.go.jp/ksj/gml/datalist/KsjTmplt-S12-2024.html</x:v>
      </x:c>
      <x:c r="T1712" s="19" t="str">
        <x:v>https://nlftp.mlit.go.jp/ksj/gml/datalist/KsjTmplt-S12-2024.html
https://www.tokyometro.jp/station/kanda/index.html</x:v>
      </x:c>
      <x:c r="U1712" s="19" t="str">
        <x:v>station-component|神田|東京地下鉄|metro|35.6937|139.7709|</x:v>
      </x:c>
      <x:c r="V1712" s="19" t="str">
        <x:v>003677 / 003666 / 3号線銀座線</x:v>
      </x:c>
      <x:c r="W1712" s="18" t="str">
        <x:v>否</x:v>
      </x:c>
      <x:c r="X1712" s="18" t="str">
        <x:v>0785e932a32b3ec15e1a1345537ae145eafe1c07bf38d5c16c11ee2b391e7a28</x:v>
      </x:c>
      <x:c r="Y1712" s="20" t="n">
        <x:v>1</x:v>
      </x:c>
      <x:c r="Z1712" s="20" t="n">
        <x:v>1</x:v>
      </x:c>
      <x:c r="AA1712" s="19" t="str">
        <x:v>神田</x:v>
      </x:c>
      <x:c r="AB1712" s="18" t="str">
        <x:v>transport-hub-review:599b74f6-e954-51c3-9bcb-acdb996bbef4</x:v>
      </x:c>
      <x:c r="AC1712" s="19"/>
    </x:row>
    <x:row r="1713" ht="33" customHeight="1">
      <x:c r="A1713" s="18" t="str">
        <x:v>神田</x:v>
      </x:c>
      <x:c r="B1713" s="18" t="str">
        <x:v>東日本旅客鉄道</x:v>
      </x:c>
      <x:c r="C1713" s="18" t="str">
        <x:v>conventional_rail</x:v>
      </x:c>
      <x:c r="D1713" s="19" t="str">
        <x:v>T1</x:v>
      </x:c>
      <x:c r="E1713" s="20" t="n">
        <x:v>181056</x:v>
      </x:c>
      <x:c r="F1713" s="18" t="str">
        <x:v>persons/day</x:v>
      </x:c>
      <x:c r="G1713" s="18" t="str">
        <x:v>FY2024</x:v>
      </x:c>
      <x:c r="H1713" s="18" t="str">
        <x:v>否</x:v>
      </x:c>
      <x:c r="I1713" s="19" t="str">
        <x:v>DAILY_ENTRIES_EXITS</x:v>
      </x:c>
      <x:c r="J1713" s="19" t="str">
        <x:v>中央線
東北線</x:v>
      </x:c>
      <x:c r="K1713" s="18" t="str">
        <x:v>transport-node:796854df-1d8c-5af9-b61c-b3ffffccc706</x:v>
      </x:c>
      <x:c r="L1713" s="19" t="str">
        <x:v>组件待审核</x:v>
      </x:c>
      <x:c r="M1713" s="21" t="n">
        <x:v>35.69177</x:v>
      </x:c>
      <x:c r="N1713" s="21" t="n">
        <x:v>139.770875</x:v>
      </x:c>
      <x:c r="O1713" s="18" t="str">
        <x:v>003677</x:v>
      </x:c>
      <x:c r="P1713" s="18" t="str">
        <x:v>中央線</x:v>
      </x:c>
      <x:c r="Q1713" s="19" t="str">
        <x:v>S12_061_GE_10000
OFFICIAL_HUB_COMPONENT_REVIEW</x:v>
      </x:c>
      <x:c r="R1713" s="19" t="str">
        <x:v>S12_061 usage threshold</x:v>
      </x:c>
      <x:c r="S1713" s="19" t="str">
        <x:v>https://nlftp.mlit.go.jp/ksj/gml/datalist/KsjTmplt-S12-2024.html</x:v>
      </x:c>
      <x:c r="T1713" s="19" t="str">
        <x:v>https://nlftp.mlit.go.jp/ksj/gml/datalist/KsjTmplt-S12-2024.html
https://www.tokyometro.jp/station/kanda/index.html</x:v>
      </x:c>
      <x:c r="U1713" s="19" t="str">
        <x:v>station-component|神田|東日本旅客鉄道|conventional_rail|35.6918|139.7709|</x:v>
      </x:c>
      <x:c r="V1713" s="19" t="str">
        <x:v>003677 / 003677 / 中央線
003677 / 003678 / 東北線</x:v>
      </x:c>
      <x:c r="W1713" s="18" t="str">
        <x:v>否</x:v>
      </x:c>
      <x:c r="X1713" s="18" t="str">
        <x:v>0785e932a32b3ec15e1a1345537ae145eafe1c07bf38d5c16c11ee2b391e7a28</x:v>
      </x:c>
      <x:c r="Y1713" s="20" t="n">
        <x:v>1</x:v>
      </x:c>
      <x:c r="Z1713" s="20" t="n">
        <x:v>1</x:v>
      </x:c>
      <x:c r="AA1713" s="19" t="str">
        <x:v>神田</x:v>
      </x:c>
      <x:c r="AB1713" s="18" t="str">
        <x:v>transport-hub-review:599b74f6-e954-51c3-9bcb-acdb996bbef4</x:v>
      </x:c>
      <x:c r="AC1713" s="19"/>
    </x:row>
    <x:row r="1714" ht="28" customHeight="1">
      <x:c r="A1714" s="18" t="str">
        <x:v>神谷町</x:v>
      </x:c>
      <x:c r="B1714" s="18" t="str">
        <x:v>東京地下鉄</x:v>
      </x:c>
      <x:c r="C1714" s="18" t="str">
        <x:v>metro</x:v>
      </x:c>
      <x:c r="D1714" s="19" t="str">
        <x:v>T1</x:v>
      </x:c>
      <x:c r="E1714" s="20" t="n">
        <x:v>107982</x:v>
      </x:c>
      <x:c r="F1714" s="18" t="str">
        <x:v>persons/day</x:v>
      </x:c>
      <x:c r="G1714" s="18" t="str">
        <x:v>FY2024</x:v>
      </x:c>
      <x:c r="H1714" s="18" t="str">
        <x:v>否</x:v>
      </x:c>
      <x:c r="I1714" s="19" t="str">
        <x:v>DAILY_ENTRIES_EXITS</x:v>
      </x:c>
      <x:c r="J1714" s="19" t="str">
        <x:v>2号線日比谷線</x:v>
      </x:c>
      <x:c r="K1714" s="18" t="str">
        <x:v>transport-node:30d0db79-bd94-5e7c-b395-e7331ce1cea3</x:v>
      </x:c>
      <x:c r="L1714" s="19" t="str">
        <x:v>组件待审核</x:v>
      </x:c>
      <x:c r="M1714" s="21" t="n">
        <x:v>35.662625</x:v>
      </x:c>
      <x:c r="N1714" s="21" t="n">
        <x:v>139.744725</x:v>
      </x:c>
      <x:c r="O1714" s="18" t="str">
        <x:v>003900</x:v>
      </x:c>
      <x:c r="P1714" s="18" t="str">
        <x:v>2号線日比谷線</x:v>
      </x:c>
      <x:c r="Q1714" s="19" t="str">
        <x:v>S12_061_GE_10000</x:v>
      </x:c>
      <x:c r="R1714" s="19" t="str">
        <x:v>S12_061 usage threshold</x:v>
      </x:c>
      <x:c r="S1714" s="19" t="str">
        <x:v>https://nlftp.mlit.go.jp/ksj/gml/datalist/KsjTmplt-S12-2024.html</x:v>
      </x:c>
      <x:c r="T1714" s="19" t="str">
        <x:v>https://nlftp.mlit.go.jp/ksj/gml/datalist/KsjTmplt-S12-2024.html</x:v>
      </x:c>
      <x:c r="U1714" s="19" t="str">
        <x:v>station-component|神谷町|東京地下鉄|metro|35.6626|139.7447|</x:v>
      </x:c>
      <x:c r="V1714" s="19" t="str">
        <x:v>003900 / 003900 / 2号線日比谷線</x:v>
      </x:c>
      <x:c r="W1714" s="18" t="str">
        <x:v>否</x:v>
      </x:c>
      <x:c r="X1714" s="18" t="str">
        <x:v>0785e932a32b3ec15e1a1345537ae145eafe1c07bf38d5c16c11ee2b391e7a28</x:v>
      </x:c>
      <x:c r="Y1714" s="20" t="n">
        <x:v>1</x:v>
      </x:c>
      <x:c r="Z1714" s="20" t="n">
        <x:v>1</x:v>
      </x:c>
      <x:c r="AA1714" s="19"/>
      <x:c r="AB1714" s="18"/>
      <x:c r="AC1714" s="19"/>
    </x:row>
    <x:row r="1715" ht="28" customHeight="1">
      <x:c r="A1715" s="18" t="str">
        <x:v>神領</x:v>
      </x:c>
      <x:c r="B1715" s="18" t="str">
        <x:v>東海旅客鉄道</x:v>
      </x:c>
      <x:c r="C1715" s="18" t="str">
        <x:v>conventional_rail</x:v>
      </x:c>
      <x:c r="D1715" s="19" t="str">
        <x:v>T2</x:v>
      </x:c>
      <x:c r="E1715" s="20" t="n">
        <x:v>25511</x:v>
      </x:c>
      <x:c r="F1715" s="18" t="str">
        <x:v>persons/day</x:v>
      </x:c>
      <x:c r="G1715" s="18" t="str">
        <x:v>FY2024</x:v>
      </x:c>
      <x:c r="H1715" s="18" t="str">
        <x:v>否</x:v>
      </x:c>
      <x:c r="I1715" s="19" t="str">
        <x:v>DAILY_ENTRIES_EXITS</x:v>
      </x:c>
      <x:c r="J1715" s="19" t="str">
        <x:v>中央線</x:v>
      </x:c>
      <x:c r="K1715" s="18" t="str">
        <x:v>transport-node:5ca15ebe-b251-5f56-affb-867b4f4d7cc4</x:v>
      </x:c>
      <x:c r="L1715" s="19" t="str">
        <x:v>组件待审核</x:v>
      </x:c>
      <x:c r="M1715" s="21" t="n">
        <x:v>35.256595</x:v>
      </x:c>
      <x:c r="N1715" s="21" t="n">
        <x:v>137.010465</x:v>
      </x:c>
      <x:c r="O1715" s="18" t="str">
        <x:v>005212</x:v>
      </x:c>
      <x:c r="P1715" s="18" t="str">
        <x:v>中央線</x:v>
      </x:c>
      <x:c r="Q1715" s="19" t="str">
        <x:v>S12_061_GE_10000</x:v>
      </x:c>
      <x:c r="R1715" s="19" t="str">
        <x:v>S12_061 usage threshold</x:v>
      </x:c>
      <x:c r="S1715" s="19" t="str">
        <x:v>https://nlftp.mlit.go.jp/ksj/gml/datalist/KsjTmplt-S12-2024.html</x:v>
      </x:c>
      <x:c r="T1715" s="19" t="str">
        <x:v>https://nlftp.mlit.go.jp/ksj/gml/datalist/KsjTmplt-S12-2024.html</x:v>
      </x:c>
      <x:c r="U1715" s="19" t="str">
        <x:v>station-component|神領|東海旅客鉄道|conventional_rail|35.2566|137.0105|</x:v>
      </x:c>
      <x:c r="V1715" s="19" t="str">
        <x:v>005212 / 005212 / 中央線</x:v>
      </x:c>
      <x:c r="W1715" s="18" t="str">
        <x:v>否</x:v>
      </x:c>
      <x:c r="X1715" s="18" t="str">
        <x:v>0785e932a32b3ec15e1a1345537ae145eafe1c07bf38d5c16c11ee2b391e7a28</x:v>
      </x:c>
      <x:c r="Y1715" s="20" t="n">
        <x:v>1</x:v>
      </x:c>
      <x:c r="Z1715" s="20" t="n">
        <x:v>1</x:v>
      </x:c>
      <x:c r="AA1715" s="19"/>
      <x:c r="AB1715" s="18"/>
      <x:c r="AC1715" s="19"/>
    </x:row>
    <x:row r="1716" ht="28" customHeight="1">
      <x:c r="A1716" s="18" t="str">
        <x:v>福</x:v>
      </x:c>
      <x:c r="B1716" s="18" t="str">
        <x:v>阪神電気鉄道</x:v>
      </x:c>
      <x:c r="C1716" s="18" t="str">
        <x:v>private_rail</x:v>
      </x:c>
      <x:c r="D1716" s="19" t="str">
        <x:v>T2</x:v>
      </x:c>
      <x:c r="E1716" s="20" t="n">
        <x:v>12757</x:v>
      </x:c>
      <x:c r="F1716" s="18" t="str">
        <x:v>persons/day</x:v>
      </x:c>
      <x:c r="G1716" s="18" t="str">
        <x:v>FY2024</x:v>
      </x:c>
      <x:c r="H1716" s="18" t="str">
        <x:v>否</x:v>
      </x:c>
      <x:c r="I1716" s="19" t="str">
        <x:v>DAILY_ENTRIES_EXITS</x:v>
      </x:c>
      <x:c r="J1716" s="19" t="str">
        <x:v>阪神なんば線</x:v>
      </x:c>
      <x:c r="K1716" s="18" t="str">
        <x:v>transport-node:094939d9-6c2b-5c07-ad49-3122290b6dd0</x:v>
      </x:c>
      <x:c r="L1716" s="19" t="str">
        <x:v>组件待审核</x:v>
      </x:c>
      <x:c r="M1716" s="21" t="n">
        <x:v>34.699825</x:v>
      </x:c>
      <x:c r="N1716" s="21" t="n">
        <x:v>135.442735</x:v>
      </x:c>
      <x:c r="O1716" s="18" t="str">
        <x:v>007077</x:v>
      </x:c>
      <x:c r="P1716" s="18" t="str">
        <x:v>阪神なんば線</x:v>
      </x:c>
      <x:c r="Q1716" s="19" t="str">
        <x:v>S12_061_GE_10000</x:v>
      </x:c>
      <x:c r="R1716" s="19" t="str">
        <x:v>S12_061 usage threshold</x:v>
      </x:c>
      <x:c r="S1716" s="19" t="str">
        <x:v>https://nlftp.mlit.go.jp/ksj/gml/datalist/KsjTmplt-S12-2024.html</x:v>
      </x:c>
      <x:c r="T1716" s="19" t="str">
        <x:v>https://nlftp.mlit.go.jp/ksj/gml/datalist/KsjTmplt-S12-2024.html</x:v>
      </x:c>
      <x:c r="U1716" s="19" t="str">
        <x:v>station-component|福|阪神電気鉄道|private_rail|34.6998|135.4427|</x:v>
      </x:c>
      <x:c r="V1716" s="19" t="str">
        <x:v>007077 / 007077 / 阪神なんば線</x:v>
      </x:c>
      <x:c r="W1716" s="18" t="str">
        <x:v>否</x:v>
      </x:c>
      <x:c r="X1716" s="18" t="str">
        <x:v>0785e932a32b3ec15e1a1345537ae145eafe1c07bf38d5c16c11ee2b391e7a28</x:v>
      </x:c>
      <x:c r="Y1716" s="20" t="n">
        <x:v>1</x:v>
      </x:c>
      <x:c r="Z1716" s="20" t="n">
        <x:v>1</x:v>
      </x:c>
      <x:c r="AA1716" s="19"/>
      <x:c r="AB1716" s="18"/>
      <x:c r="AC1716" s="19"/>
    </x:row>
    <x:row r="1717" ht="28" customHeight="1">
      <x:c r="A1717" s="18" t="str">
        <x:v>福井</x:v>
      </x:c>
      <x:c r="B1717" s="18" t="str">
        <x:v>ハピラインふくい</x:v>
      </x:c>
      <x:c r="C1717" s="18" t="str">
        <x:v>private_rail</x:v>
      </x:c>
      <x:c r="D1717" s="19" t="str">
        <x:v>T2</x:v>
      </x:c>
      <x:c r="E1717" s="20" t="n">
        <x:v>14534</x:v>
      </x:c>
      <x:c r="F1717" s="18" t="str">
        <x:v>persons/day</x:v>
      </x:c>
      <x:c r="G1717" s="18" t="str">
        <x:v>FY2024</x:v>
      </x:c>
      <x:c r="H1717" s="18" t="str">
        <x:v>否</x:v>
      </x:c>
      <x:c r="I1717" s="19" t="str">
        <x:v>DAILY_ENTRIES_EXITS</x:v>
      </x:c>
      <x:c r="J1717" s="19" t="str">
        <x:v>ハピラインふくい線</x:v>
      </x:c>
      <x:c r="K1717" s="18" t="str">
        <x:v>transport-node:2717566a-bdc5-50ec-9d59-9378882b6877</x:v>
      </x:c>
      <x:c r="L1717" s="19" t="str">
        <x:v>组件待审核</x:v>
      </x:c>
      <x:c r="M1717" s="21" t="n">
        <x:v>36.0622089</x:v>
      </x:c>
      <x:c r="N1717" s="21" t="n">
        <x:v>136.2234043</x:v>
      </x:c>
      <x:c r="O1717" s="18" t="str">
        <x:v>002689</x:v>
      </x:c>
      <x:c r="P1717" s="18" t="str">
        <x:v>ハピラインふくい線</x:v>
      </x:c>
      <x:c r="Q1717" s="19" t="str">
        <x:v>S12_061_GE_10000</x:v>
      </x:c>
      <x:c r="R1717" s="19" t="str">
        <x:v>S12_061 usage threshold</x:v>
      </x:c>
      <x:c r="S1717" s="19" t="str">
        <x:v>https://nlftp.mlit.go.jp/ksj/gml/datalist/KsjTmplt-S12-2024.html</x:v>
      </x:c>
      <x:c r="T1717" s="19" t="str">
        <x:v>https://nlftp.mlit.go.jp/ksj/gml/datalist/KsjTmplt-S12-2024.html</x:v>
      </x:c>
      <x:c r="U1717" s="19" t="str">
        <x:v>station-component|福井|ハピラインふくい|private_rail|36.0622|136.2234|</x:v>
      </x:c>
      <x:c r="V1717" s="19" t="str">
        <x:v>002688 / 002689 / ハピラインふくい線</x:v>
      </x:c>
      <x:c r="W1717" s="18" t="str">
        <x:v>否</x:v>
      </x:c>
      <x:c r="X1717" s="18" t="str">
        <x:v>0785e932a32b3ec15e1a1345537ae145eafe1c07bf38d5c16c11ee2b391e7a28</x:v>
      </x:c>
      <x:c r="Y1717" s="20" t="n">
        <x:v>1</x:v>
      </x:c>
      <x:c r="Z1717" s="20" t="n">
        <x:v>1</x:v>
      </x:c>
      <x:c r="AA1717" s="19"/>
      <x:c r="AB1717" s="18"/>
      <x:c r="AC1717" s="19"/>
    </x:row>
    <x:row r="1718" ht="33" customHeight="1">
      <x:c r="A1718" s="18" t="str">
        <x:v>福井</x:v>
      </x:c>
      <x:c r="B1718" s="18" t="str">
        <x:v>西日本旅客鉄道</x:v>
      </x:c>
      <x:c r="C1718" s="18" t="str">
        <x:v>shinkansen</x:v>
      </x:c>
      <x:c r="D1718" s="19" t="str">
        <x:v>T3</x:v>
      </x:c>
      <x:c r="E1718" s="20" t="n">
        <x:v>8606</x:v>
      </x:c>
      <x:c r="F1718" s="18" t="str">
        <x:v>persons/day</x:v>
      </x:c>
      <x:c r="G1718" s="18" t="str">
        <x:v>FY2024</x:v>
      </x:c>
      <x:c r="H1718" s="18" t="str">
        <x:v>否</x:v>
      </x:c>
      <x:c r="I1718" s="19" t="str">
        <x:v>DAILY_ENTRIES_EXITS</x:v>
      </x:c>
      <x:c r="J1718" s="19" t="str">
        <x:v>北陸新幹線</x:v>
      </x:c>
      <x:c r="K1718" s="18" t="str">
        <x:v>transport-node:4b6cd30e-9c15-5aa9-bae7-0f78d124e309</x:v>
      </x:c>
      <x:c r="L1718" s="19" t="str">
        <x:v>组件待审核</x:v>
      </x:c>
      <x:c r="M1718" s="21" t="n">
        <x:v>36.0616486</x:v>
      </x:c>
      <x:c r="N1718" s="21" t="n">
        <x:v>136.2233831</x:v>
      </x:c>
      <x:c r="O1718" s="18" t="str">
        <x:v>010179</x:v>
      </x:c>
      <x:c r="P1718" s="18" t="str">
        <x:v>北陸新幹線</x:v>
      </x:c>
      <x:c r="Q1718" s="19" t="str">
        <x:v>SHINKANSEN</x:v>
      </x:c>
      <x:c r="R1718" s="19" t="str">
        <x:v>S12_061 usage threshold; low-flow inclusion justified by Shinkansen inventory</x:v>
      </x:c>
      <x:c r="S1718" s="19" t="str">
        <x:v>https://nlftp.mlit.go.jp/ksj/gml/datalist/KsjTmplt-S12-2024.html</x:v>
      </x:c>
      <x:c r="T1718" s="19" t="str">
        <x:v>https://nlftp.mlit.go.jp/ksj/gml/datalist/KsjTmplt-S12-2024.html</x:v>
      </x:c>
      <x:c r="U1718" s="19" t="str">
        <x:v>station-component|福井|西日本旅客鉄道|shinkansen|36.0616|136.2234|</x:v>
      </x:c>
      <x:c r="V1718" s="19" t="str">
        <x:v>002688 / 010179 / 北陸新幹線</x:v>
      </x:c>
      <x:c r="W1718" s="18" t="str">
        <x:v>否</x:v>
      </x:c>
      <x:c r="X1718" s="18" t="str">
        <x:v>0785e932a32b3ec15e1a1345537ae145eafe1c07bf38d5c16c11ee2b391e7a28</x:v>
      </x:c>
      <x:c r="Y1718" s="20" t="n">
        <x:v>1</x:v>
      </x:c>
      <x:c r="Z1718" s="20" t="n">
        <x:v>1</x:v>
      </x:c>
      <x:c r="AA1718" s="19"/>
      <x:c r="AB1718" s="18"/>
      <x:c r="AC1718" s="19"/>
    </x:row>
    <x:row r="1719" ht="28" customHeight="1">
      <x:c r="A1719" s="18" t="str">
        <x:v>福住</x:v>
      </x:c>
      <x:c r="B1719" s="18" t="str">
        <x:v>札幌市</x:v>
      </x:c>
      <x:c r="C1719" s="18" t="str">
        <x:v>metro</x:v>
      </x:c>
      <x:c r="D1719" s="19" t="str">
        <x:v>T2</x:v>
      </x:c>
      <x:c r="E1719" s="20" t="n">
        <x:v>29708</x:v>
      </x:c>
      <x:c r="F1719" s="18" t="str">
        <x:v>persons/day</x:v>
      </x:c>
      <x:c r="G1719" s="18" t="str">
        <x:v>FY2024</x:v>
      </x:c>
      <x:c r="H1719" s="18" t="str">
        <x:v>否</x:v>
      </x:c>
      <x:c r="I1719" s="19" t="str">
        <x:v>DAILY_ENTRIES_EXITS</x:v>
      </x:c>
      <x:c r="J1719" s="19" t="str">
        <x:v>東豊線</x:v>
      </x:c>
      <x:c r="K1719" s="18" t="str">
        <x:v>transport-node:5ba659ae-c90b-51ef-a0d5-8cd6609a5c99</x:v>
      </x:c>
      <x:c r="L1719" s="19" t="str">
        <x:v>组件待审核</x:v>
      </x:c>
      <x:c r="M1719" s="21" t="n">
        <x:v>43.021825</x:v>
      </x:c>
      <x:c r="N1719" s="21" t="n">
        <x:v>141.402885</x:v>
      </x:c>
      <x:c r="O1719" s="18" t="str">
        <x:v>000299</x:v>
      </x:c>
      <x:c r="P1719" s="18" t="str">
        <x:v>東豊線</x:v>
      </x:c>
      <x:c r="Q1719" s="19" t="str">
        <x:v>S12_061_GE_10000</x:v>
      </x:c>
      <x:c r="R1719" s="19" t="str">
        <x:v>S12_061 usage threshold</x:v>
      </x:c>
      <x:c r="S1719" s="19" t="str">
        <x:v>https://nlftp.mlit.go.jp/ksj/gml/datalist/KsjTmplt-S12-2024.html</x:v>
      </x:c>
      <x:c r="T1719" s="19" t="str">
        <x:v>https://nlftp.mlit.go.jp/ksj/gml/datalist/KsjTmplt-S12-2024.html</x:v>
      </x:c>
      <x:c r="U1719" s="19" t="str">
        <x:v>station-component|福住|札幌市|metro|43.0218|141.4029|</x:v>
      </x:c>
      <x:c r="V1719" s="19" t="str">
        <x:v>000299 / 000299 / 東豊線</x:v>
      </x:c>
      <x:c r="W1719" s="18" t="str">
        <x:v>否</x:v>
      </x:c>
      <x:c r="X1719" s="18" t="str">
        <x:v>0785e932a32b3ec15e1a1345537ae145eafe1c07bf38d5c16c11ee2b391e7a28</x:v>
      </x:c>
      <x:c r="Y1719" s="20" t="n">
        <x:v>1</x:v>
      </x:c>
      <x:c r="Z1719" s="20" t="n">
        <x:v>1</x:v>
      </x:c>
      <x:c r="AA1719" s="19"/>
      <x:c r="AB1719" s="18"/>
      <x:c r="AC1719" s="19"/>
    </x:row>
    <x:row r="1720" ht="28" customHeight="1">
      <x:c r="A1720" s="18" t="str">
        <x:v>福大前</x:v>
      </x:c>
      <x:c r="B1720" s="18" t="str">
        <x:v>福岡市</x:v>
      </x:c>
      <x:c r="C1720" s="18" t="str">
        <x:v>metro</x:v>
      </x:c>
      <x:c r="D1720" s="19" t="str">
        <x:v>T2</x:v>
      </x:c>
      <x:c r="E1720" s="20" t="n">
        <x:v>14714</x:v>
      </x:c>
      <x:c r="F1720" s="18" t="str">
        <x:v>persons/day</x:v>
      </x:c>
      <x:c r="G1720" s="18" t="str">
        <x:v>FY2024</x:v>
      </x:c>
      <x:c r="H1720" s="18" t="str">
        <x:v>否</x:v>
      </x:c>
      <x:c r="I1720" s="19" t="str">
        <x:v>DAILY_ENTRIES_EXITS</x:v>
      </x:c>
      <x:c r="J1720" s="19" t="str">
        <x:v>3号線(七隈線)</x:v>
      </x:c>
      <x:c r="K1720" s="18" t="str">
        <x:v>transport-node:7ecbc5e3-5e0c-599c-82bb-4f43e9474a7f</x:v>
      </x:c>
      <x:c r="L1720" s="19" t="str">
        <x:v>组件待审核</x:v>
      </x:c>
      <x:c r="M1720" s="21" t="n">
        <x:v>33.547455</x:v>
      </x:c>
      <x:c r="N1720" s="21" t="n">
        <x:v>130.36226</x:v>
      </x:c>
      <x:c r="O1720" s="18" t="str">
        <x:v>009187</x:v>
      </x:c>
      <x:c r="P1720" s="18" t="str">
        <x:v>3号線(七隈線)</x:v>
      </x:c>
      <x:c r="Q1720" s="19" t="str">
        <x:v>S12_061_GE_10000</x:v>
      </x:c>
      <x:c r="R1720" s="19" t="str">
        <x:v>S12_061 usage threshold</x:v>
      </x:c>
      <x:c r="S1720" s="19" t="str">
        <x:v>https://nlftp.mlit.go.jp/ksj/gml/datalist/KsjTmplt-S12-2024.html</x:v>
      </x:c>
      <x:c r="T1720" s="19" t="str">
        <x:v>https://nlftp.mlit.go.jp/ksj/gml/datalist/KsjTmplt-S12-2024.html</x:v>
      </x:c>
      <x:c r="U1720" s="19" t="str">
        <x:v>station-component|福大前|福岡市|metro|33.5475|130.3623|</x:v>
      </x:c>
      <x:c r="V1720" s="19" t="str">
        <x:v>009187 / 009187 / 3号線(七隈線)</x:v>
      </x:c>
      <x:c r="W1720" s="18" t="str">
        <x:v>否</x:v>
      </x:c>
      <x:c r="X1720" s="18" t="str">
        <x:v>0785e932a32b3ec15e1a1345537ae145eafe1c07bf38d5c16c11ee2b391e7a28</x:v>
      </x:c>
      <x:c r="Y1720" s="20" t="n">
        <x:v>1</x:v>
      </x:c>
      <x:c r="Z1720" s="20" t="n">
        <x:v>1</x:v>
      </x:c>
      <x:c r="AA1720" s="19"/>
      <x:c r="AB1720" s="18"/>
      <x:c r="AC1720" s="19"/>
    </x:row>
    <x:row r="1721" ht="33" customHeight="1">
      <x:c r="A1721" s="18" t="str">
        <x:v>福山</x:v>
      </x:c>
      <x:c r="B1721" s="18" t="str">
        <x:v>西日本旅客鉄道</x:v>
      </x:c>
      <x:c r="C1721" s="18" t="str">
        <x:v>conventional_rail</x:v>
      </x:c>
      <x:c r="D1721" s="19" t="str">
        <x:v>T2</x:v>
      </x:c>
      <x:c r="E1721" s="20" t="n">
        <x:v>39646</x:v>
      </x:c>
      <x:c r="F1721" s="18" t="str">
        <x:v>persons/day</x:v>
      </x:c>
      <x:c r="G1721" s="18" t="str">
        <x:v>FY2024</x:v>
      </x:c>
      <x:c r="H1721" s="18" t="str">
        <x:v>否</x:v>
      </x:c>
      <x:c r="I1721" s="19" t="str">
        <x:v>DAILY_ENTRIES_EXITS</x:v>
      </x:c>
      <x:c r="J1721" s="19" t="str">
        <x:v>山陽線
福塩線</x:v>
      </x:c>
      <x:c r="K1721" s="18" t="str">
        <x:v>transport-node:41dbe846-67f6-5e5b-9b16-d4f6ad86aaa8</x:v>
      </x:c>
      <x:c r="L1721" s="19" t="str">
        <x:v>组件待审核</x:v>
      </x:c>
      <x:c r="M1721" s="21" t="n">
        <x:v>34.4892675</x:v>
      </x:c>
      <x:c r="N1721" s="21" t="n">
        <x:v>133.361345</x:v>
      </x:c>
      <x:c r="O1721" s="18" t="str">
        <x:v>007862</x:v>
      </x:c>
      <x:c r="P1721" s="18" t="str">
        <x:v>山陽線</x:v>
      </x:c>
      <x:c r="Q1721" s="19" t="str">
        <x:v>S12_061_GE_10000</x:v>
      </x:c>
      <x:c r="R1721" s="19" t="str">
        <x:v>S12_061 usage threshold</x:v>
      </x:c>
      <x:c r="S1721" s="19" t="str">
        <x:v>https://nlftp.mlit.go.jp/ksj/gml/datalist/KsjTmplt-S12-2024.html</x:v>
      </x:c>
      <x:c r="T1721" s="19" t="str">
        <x:v>https://nlftp.mlit.go.jp/ksj/gml/datalist/KsjTmplt-S12-2024.html</x:v>
      </x:c>
      <x:c r="U1721" s="19" t="str">
        <x:v>station-component|福山|西日本旅客鉄道|conventional_rail|34.4893|133.3613|</x:v>
      </x:c>
      <x:c r="V1721" s="19" t="str">
        <x:v>007862 / 007862 / 山陽線
007862 / 007863 / 福塩線</x:v>
      </x:c>
      <x:c r="W1721" s="18" t="str">
        <x:v>否</x:v>
      </x:c>
      <x:c r="X1721" s="18" t="str">
        <x:v>0785e932a32b3ec15e1a1345537ae145eafe1c07bf38d5c16c11ee2b391e7a28</x:v>
      </x:c>
      <x:c r="Y1721" s="20" t="n">
        <x:v>1</x:v>
      </x:c>
      <x:c r="Z1721" s="20" t="n">
        <x:v>1</x:v>
      </x:c>
      <x:c r="AA1721" s="19"/>
      <x:c r="AB1721" s="18"/>
      <x:c r="AC1721" s="19"/>
    </x:row>
    <x:row r="1722" ht="33" customHeight="1">
      <x:c r="A1722" s="18" t="str">
        <x:v>福山</x:v>
      </x:c>
      <x:c r="B1722" s="18" t="str">
        <x:v>西日本旅客鉄道</x:v>
      </x:c>
      <x:c r="C1722" s="18" t="str">
        <x:v>shinkansen</x:v>
      </x:c>
      <x:c r="D1722" s="19"/>
      <x:c r="E1722" s="20" t="n">
        <x:v>20665</x:v>
      </x:c>
      <x:c r="F1722" s="18" t="str">
        <x:v>boardings/day</x:v>
      </x:c>
      <x:c r="G1722" s="18" t="str">
        <x:v>FY2025</x:v>
      </x:c>
      <x:c r="H1722" s="18" t="str">
        <x:v>是</x:v>
      </x:c>
      <x:c r="I1722" s="19" t="str">
        <x:v>STATION_COMPLEX_PROXY</x:v>
      </x:c>
      <x:c r="J1722" s="19" t="str">
        <x:v>山陽新幹線</x:v>
      </x:c>
      <x:c r="K1722" s="18" t="str">
        <x:v>transport-node:9edc7eef-11ed-5c83-a4a5-3e0a7a3ca67e</x:v>
      </x:c>
      <x:c r="L1722" s="19" t="str">
        <x:v>组件待审核</x:v>
      </x:c>
      <x:c r="M1722" s="21" t="n">
        <x:v>34.4892475</x:v>
      </x:c>
      <x:c r="N1722" s="21" t="n">
        <x:v>133.3613</x:v>
      </x:c>
      <x:c r="O1722" s="18" t="str">
        <x:v>007864</x:v>
      </x:c>
      <x:c r="P1722" s="18" t="str">
        <x:v>山陽新幹線</x:v>
      </x:c>
      <x:c r="Q1722" s="19" t="str">
        <x:v>SHINKANSEN</x:v>
      </x:c>
      <x:c r="R1722" s="19" t="str">
        <x:v>Official fallback retained in published scope/unit; tier remains null pending metric/manual review.</x:v>
      </x:c>
      <x:c r="S1722" s="19" t="str">
        <x:v>https://www.westjr.co.jp/company/info/issue/data/pdf/data2026_11.pdf</x:v>
      </x:c>
      <x:c r="T1722" s="19" t="str">
        <x:v>https://nlftp.mlit.go.jp/ksj/gml/datalist/KsjTmplt-S12-2024.html
https://www.westjr.co.jp/company/info/issue/data/pdf/data2026_11.pdf</x:v>
      </x:c>
      <x:c r="U1722" s="19" t="str">
        <x:v>station-component|福山|西日本旅客鉄道|shinkansen|34.4892|133.3613|</x:v>
      </x:c>
      <x:c r="V1722" s="19" t="str">
        <x:v>007862 / 007864 / 山陽新幹線</x:v>
      </x:c>
      <x:c r="W1722" s="18" t="str">
        <x:v>否</x:v>
      </x:c>
      <x:c r="X1722" s="18" t="str">
        <x:v>0785e932a32b3ec15e1a1345537ae145eafe1c07bf38d5c16c11ee2b391e7a28</x:v>
      </x:c>
      <x:c r="Y1722" s="20" t="n">
        <x:v>1</x:v>
      </x:c>
      <x:c r="Z1722" s="20" t="n">
        <x:v>2</x:v>
      </x:c>
      <x:c r="AA1722" s="19"/>
      <x:c r="AB1722" s="18"/>
      <x:c r="AC1722" s="19"/>
    </x:row>
    <x:row r="1723" ht="33" customHeight="1">
      <x:c r="A1723" s="18" t="str">
        <x:v>福岡空港</x:v>
      </x:c>
      <x:c r="B1723" s="18" t="str">
        <x:v>福岡市</x:v>
      </x:c>
      <x:c r="C1723" s="18" t="str">
        <x:v>metro</x:v>
      </x:c>
      <x:c r="D1723" s="19" t="str">
        <x:v>T1</x:v>
      </x:c>
      <x:c r="E1723" s="20" t="n">
        <x:v>60799</x:v>
      </x:c>
      <x:c r="F1723" s="18" t="str">
        <x:v>persons/day</x:v>
      </x:c>
      <x:c r="G1723" s="18" t="str">
        <x:v>FY2024</x:v>
      </x:c>
      <x:c r="H1723" s="18" t="str">
        <x:v>否</x:v>
      </x:c>
      <x:c r="I1723" s="19" t="str">
        <x:v>DAILY_ENTRIES_EXITS</x:v>
      </x:c>
      <x:c r="J1723" s="19" t="str">
        <x:v>1号線(空港線)</x:v>
      </x:c>
      <x:c r="K1723" s="18" t="str">
        <x:v>transport-node:77ce3771-37e7-578b-8df6-f7da85cfc745</x:v>
      </x:c>
      <x:c r="L1723" s="19" t="str">
        <x:v>组件待审核</x:v>
      </x:c>
      <x:c r="M1723" s="21" t="n">
        <x:v>33.597375</x:v>
      </x:c>
      <x:c r="N1723" s="21" t="n">
        <x:v>130.447975</x:v>
      </x:c>
      <x:c r="O1723" s="18" t="str">
        <x:v>009015</x:v>
      </x:c>
      <x:c r="P1723" s="18" t="str">
        <x:v>1号線(空港線)</x:v>
      </x:c>
      <x:c r="Q1723" s="19" t="str">
        <x:v>S12_061_GE_10000
AIRPORT_ACCESS_AUDIT</x:v>
      </x:c>
      <x:c r="R1723" s="19" t="str">
        <x:v>S12_061 usage threshold</x:v>
      </x:c>
      <x:c r="S1723" s="19" t="str">
        <x:v>https://nlftp.mlit.go.jp/ksj/gml/datalist/KsjTmplt-S12-2024.html</x:v>
      </x:c>
      <x:c r="T1723" s="19" t="str">
        <x:v>https://nlftp.mlit.go.jp/ksj/gml/datalist/KsjTmplt-S12-2024.html</x:v>
      </x:c>
      <x:c r="U1723" s="19" t="str">
        <x:v>station-component|福岡空港|福岡市|metro|33.5974|130.4480|</x:v>
      </x:c>
      <x:c r="V1723" s="19" t="str">
        <x:v>009015 / 009015 / 1号線(空港線)</x:v>
      </x:c>
      <x:c r="W1723" s="18" t="str">
        <x:v>否</x:v>
      </x:c>
      <x:c r="X1723" s="18" t="str">
        <x:v>0785e932a32b3ec15e1a1345537ae145eafe1c07bf38d5c16c11ee2b391e7a28</x:v>
      </x:c>
      <x:c r="Y1723" s="20" t="n">
        <x:v>1</x:v>
      </x:c>
      <x:c r="Z1723" s="20" t="n">
        <x:v>1</x:v>
      </x:c>
      <x:c r="AA1723" s="19"/>
      <x:c r="AB1723" s="18"/>
      <x:c r="AC1723" s="19"/>
    </x:row>
    <x:row r="1724" ht="33" customHeight="1">
      <x:c r="A1724" s="18" t="str">
        <x:v>福島</x:v>
      </x:c>
      <x:c r="B1724" s="18" t="str">
        <x:v>東日本旅客鉄道</x:v>
      </x:c>
      <x:c r="C1724" s="18" t="str">
        <x:v>conventional_rail</x:v>
      </x:c>
      <x:c r="D1724" s="19" t="str">
        <x:v>T2</x:v>
      </x:c>
      <x:c r="E1724" s="20" t="n">
        <x:v>29308</x:v>
      </x:c>
      <x:c r="F1724" s="18" t="str">
        <x:v>persons/day</x:v>
      </x:c>
      <x:c r="G1724" s="18" t="str">
        <x:v>FY2024</x:v>
      </x:c>
      <x:c r="H1724" s="18" t="str">
        <x:v>否</x:v>
      </x:c>
      <x:c r="I1724" s="19" t="str">
        <x:v>DAILY_ENTRIES_EXITS</x:v>
      </x:c>
      <x:c r="J1724" s="19" t="str">
        <x:v>奥羽線
東北線</x:v>
      </x:c>
      <x:c r="K1724" s="18" t="str">
        <x:v>transport-node:67964d15-f3af-5c24-bf9f-4d7c1e34949a</x:v>
      </x:c>
      <x:c r="L1724" s="19" t="str">
        <x:v>组件待审核</x:v>
      </x:c>
      <x:c r="M1724" s="21" t="n">
        <x:v>37.754315</x:v>
      </x:c>
      <x:c r="N1724" s="21" t="n">
        <x:v>140.45993</x:v>
      </x:c>
      <x:c r="O1724" s="18" t="str">
        <x:v>001370</x:v>
      </x:c>
      <x:c r="P1724" s="18" t="str">
        <x:v>東北線</x:v>
      </x:c>
      <x:c r="Q1724" s="19" t="str">
        <x:v>S12_061_GE_10000</x:v>
      </x:c>
      <x:c r="R1724" s="19" t="str">
        <x:v>S12_061 usage threshold</x:v>
      </x:c>
      <x:c r="S1724" s="19" t="str">
        <x:v>https://nlftp.mlit.go.jp/ksj/gml/datalist/KsjTmplt-S12-2024.html</x:v>
      </x:c>
      <x:c r="T1724" s="19" t="str">
        <x:v>https://nlftp.mlit.go.jp/ksj/gml/datalist/KsjTmplt-S12-2024.html</x:v>
      </x:c>
      <x:c r="U1724" s="19" t="str">
        <x:v>station-component|福島|東日本旅客鉄道|conventional_rail|37.7543|140.4599|</x:v>
      </x:c>
      <x:c r="V1724" s="19" t="str">
        <x:v>001373 / 001370 / 東北線
001373 / 001373 / 奥羽線</x:v>
      </x:c>
      <x:c r="W1724" s="18" t="str">
        <x:v>否</x:v>
      </x:c>
      <x:c r="X1724" s="18" t="str">
        <x:v>0785e932a32b3ec15e1a1345537ae145eafe1c07bf38d5c16c11ee2b391e7a28</x:v>
      </x:c>
      <x:c r="Y1724" s="20" t="n">
        <x:v>1</x:v>
      </x:c>
      <x:c r="Z1724" s="20" t="n">
        <x:v>1</x:v>
      </x:c>
      <x:c r="AA1724" s="19"/>
      <x:c r="AB1724" s="18"/>
      <x:c r="AC1724" s="19"/>
    </x:row>
    <x:row r="1725" ht="33" customHeight="1">
      <x:c r="A1725" s="18" t="str">
        <x:v>福島</x:v>
      </x:c>
      <x:c r="B1725" s="18" t="str">
        <x:v>東日本旅客鉄道</x:v>
      </x:c>
      <x:c r="C1725" s="18" t="str">
        <x:v>shinkansen</x:v>
      </x:c>
      <x:c r="D1725" s="19"/>
      <x:c r="E1725" s="20" t="n">
        <x:v>7017</x:v>
      </x:c>
      <x:c r="F1725" s="18" t="str">
        <x:v>boardings/day</x:v>
      </x:c>
      <x:c r="G1725" s="18" t="str">
        <x:v>FY2024</x:v>
      </x:c>
      <x:c r="H1725" s="18" t="str">
        <x:v>是</x:v>
      </x:c>
      <x:c r="I1725" s="19" t="str">
        <x:v>DAILY_SHINKANSEN_BOARDINGS</x:v>
      </x:c>
      <x:c r="J1725" s="19" t="str">
        <x:v>東北新幹線</x:v>
      </x:c>
      <x:c r="K1725" s="18" t="str">
        <x:v>transport-node:9b96d310-fea9-522b-afa5-0f1bf4be5178</x:v>
      </x:c>
      <x:c r="L1725" s="19" t="str">
        <x:v>组件待审核</x:v>
      </x:c>
      <x:c r="M1725" s="21" t="n">
        <x:v>37.75371</x:v>
      </x:c>
      <x:c r="N1725" s="21" t="n">
        <x:v>140.4586033</x:v>
      </x:c>
      <x:c r="O1725" s="18" t="str">
        <x:v>001374</x:v>
      </x:c>
      <x:c r="P1725" s="18" t="str">
        <x:v>東北新幹線</x:v>
      </x:c>
      <x:c r="Q1725" s="19" t="str">
        <x:v>SHINKANSEN</x:v>
      </x:c>
      <x:c r="R1725" s="19" t="str">
        <x:v>Official fallback retained in published scope/unit; tier remains null pending metric/manual review.</x:v>
      </x:c>
      <x:c r="S1725" s="19" t="str">
        <x:v>https://www.jreast.co.jp/company/data/passenger/2024_shinkansen.html/</x:v>
      </x:c>
      <x:c r="T1725" s="19" t="str">
        <x:v>https://nlftp.mlit.go.jp/ksj/gml/datalist/KsjTmplt-S12-2024.html
https://www.jreast.co.jp/company/data/passenger/2024_shinkansen.html/</x:v>
      </x:c>
      <x:c r="U1725" s="19" t="str">
        <x:v>station-component|福島|東日本旅客鉄道|shinkansen|37.7537|140.4586|</x:v>
      </x:c>
      <x:c r="V1725" s="19" t="str">
        <x:v>001373 / 001374 / 東北新幹線</x:v>
      </x:c>
      <x:c r="W1725" s="18" t="str">
        <x:v>否</x:v>
      </x:c>
      <x:c r="X1725" s="18" t="str">
        <x:v>0785e932a32b3ec15e1a1345537ae145eafe1c07bf38d5c16c11ee2b391e7a28</x:v>
      </x:c>
      <x:c r="Y1725" s="20" t="n">
        <x:v>1</x:v>
      </x:c>
      <x:c r="Z1725" s="20" t="n">
        <x:v>2</x:v>
      </x:c>
      <x:c r="AA1725" s="19"/>
      <x:c r="AB1725" s="18"/>
      <x:c r="AC1725" s="19"/>
    </x:row>
    <x:row r="1726" ht="33" customHeight="1">
      <x:c r="A1726" s="18" t="str">
        <x:v>福島</x:v>
      </x:c>
      <x:c r="B1726" s="18" t="str">
        <x:v>西日本旅客鉄道</x:v>
      </x:c>
      <x:c r="C1726" s="18" t="str">
        <x:v>conventional_rail</x:v>
      </x:c>
      <x:c r="D1726" s="19" t="str">
        <x:v>T1</x:v>
      </x:c>
      <x:c r="E1726" s="20" t="n">
        <x:v>56884</x:v>
      </x:c>
      <x:c r="F1726" s="18" t="str">
        <x:v>persons/day</x:v>
      </x:c>
      <x:c r="G1726" s="18" t="str">
        <x:v>FY2024</x:v>
      </x:c>
      <x:c r="H1726" s="18" t="str">
        <x:v>否</x:v>
      </x:c>
      <x:c r="I1726" s="19" t="str">
        <x:v>DAILY_ENTRIES_EXITS</x:v>
      </x:c>
      <x:c r="J1726" s="19" t="str">
        <x:v>大阪環状線
東海道線</x:v>
      </x:c>
      <x:c r="K1726" s="18" t="str">
        <x:v>transport-node:dda94a48-80f8-5ecb-b2c2-15c688e6fd8b</x:v>
      </x:c>
      <x:c r="L1726" s="19" t="str">
        <x:v>组件待审核</x:v>
      </x:c>
      <x:c r="M1726" s="21" t="n">
        <x:v>34.69718</x:v>
      </x:c>
      <x:c r="N1726" s="21" t="n">
        <x:v>135.48658</x:v>
      </x:c>
      <x:c r="O1726" s="18" t="str">
        <x:v>007091</x:v>
      </x:c>
      <x:c r="P1726" s="18" t="str">
        <x:v>大阪環状線</x:v>
      </x:c>
      <x:c r="Q1726" s="19" t="str">
        <x:v>S12_061_GE_10000</x:v>
      </x:c>
      <x:c r="R1726" s="19" t="str">
        <x:v>S12_061 usage threshold</x:v>
      </x:c>
      <x:c r="S1726" s="19" t="str">
        <x:v>https://nlftp.mlit.go.jp/ksj/gml/datalist/KsjTmplt-S12-2024.html</x:v>
      </x:c>
      <x:c r="T1726" s="19" t="str">
        <x:v>https://nlftp.mlit.go.jp/ksj/gml/datalist/KsjTmplt-S12-2024.html</x:v>
      </x:c>
      <x:c r="U1726" s="19" t="str">
        <x:v>station-component|福島|西日本旅客鉄道|conventional_rail|34.6972|135.4866|</x:v>
      </x:c>
      <x:c r="V1726" s="19" t="str">
        <x:v>007091 / 007091 / 大阪環状線
007091 / 010170 / 東海道線</x:v>
      </x:c>
      <x:c r="W1726" s="18" t="str">
        <x:v>否</x:v>
      </x:c>
      <x:c r="X1726" s="18" t="str">
        <x:v>0785e932a32b3ec15e1a1345537ae145eafe1c07bf38d5c16c11ee2b391e7a28</x:v>
      </x:c>
      <x:c r="Y1726" s="20" t="n">
        <x:v>1</x:v>
      </x:c>
      <x:c r="Z1726" s="20" t="n">
        <x:v>1</x:v>
      </x:c>
      <x:c r="AA1726" s="19"/>
      <x:c r="AB1726" s="18"/>
      <x:c r="AC1726" s="19"/>
    </x:row>
    <x:row r="1727" ht="28" customHeight="1">
      <x:c r="A1727" s="18" t="str">
        <x:v>福島</x:v>
      </x:c>
      <x:c r="B1727" s="18" t="str">
        <x:v>阪神電気鉄道</x:v>
      </x:c>
      <x:c r="C1727" s="18" t="str">
        <x:v>private_rail</x:v>
      </x:c>
      <x:c r="D1727" s="19" t="str">
        <x:v>T2</x:v>
      </x:c>
      <x:c r="E1727" s="20" t="n">
        <x:v>11053</x:v>
      </x:c>
      <x:c r="F1727" s="18" t="str">
        <x:v>persons/day</x:v>
      </x:c>
      <x:c r="G1727" s="18" t="str">
        <x:v>FY2024</x:v>
      </x:c>
      <x:c r="H1727" s="18" t="str">
        <x:v>否</x:v>
      </x:c>
      <x:c r="I1727" s="19" t="str">
        <x:v>DAILY_ENTRIES_EXITS</x:v>
      </x:c>
      <x:c r="J1727" s="19" t="str">
        <x:v>本線</x:v>
      </x:c>
      <x:c r="K1727" s="18" t="str">
        <x:v>transport-node:733a3c2b-d7aa-585e-9724-07377e697b3a</x:v>
      </x:c>
      <x:c r="L1727" s="19" t="str">
        <x:v>组件待审核</x:v>
      </x:c>
      <x:c r="M1727" s="21" t="n">
        <x:v>34.69607</x:v>
      </x:c>
      <x:c r="N1727" s="21" t="n">
        <x:v>135.488275</x:v>
      </x:c>
      <x:c r="O1727" s="18" t="str">
        <x:v>007098</x:v>
      </x:c>
      <x:c r="P1727" s="18" t="str">
        <x:v>本線</x:v>
      </x:c>
      <x:c r="Q1727" s="19" t="str">
        <x:v>S12_061_GE_10000</x:v>
      </x:c>
      <x:c r="R1727" s="19" t="str">
        <x:v>S12_061 usage threshold</x:v>
      </x:c>
      <x:c r="S1727" s="19" t="str">
        <x:v>https://nlftp.mlit.go.jp/ksj/gml/datalist/KsjTmplt-S12-2024.html</x:v>
      </x:c>
      <x:c r="T1727" s="19" t="str">
        <x:v>https://nlftp.mlit.go.jp/ksj/gml/datalist/KsjTmplt-S12-2024.html</x:v>
      </x:c>
      <x:c r="U1727" s="19" t="str">
        <x:v>station-component|福島|阪神電気鉄道|private_rail|34.6961|135.4883|</x:v>
      </x:c>
      <x:c r="V1727" s="19" t="str">
        <x:v>007091 / 007098 / 本線</x:v>
      </x:c>
      <x:c r="W1727" s="18" t="str">
        <x:v>否</x:v>
      </x:c>
      <x:c r="X1727" s="18" t="str">
        <x:v>0785e932a32b3ec15e1a1345537ae145eafe1c07bf38d5c16c11ee2b391e7a28</x:v>
      </x:c>
      <x:c r="Y1727" s="20" t="n">
        <x:v>1</x:v>
      </x:c>
      <x:c r="Z1727" s="20" t="n">
        <x:v>1</x:v>
      </x:c>
      <x:c r="AA1727" s="19"/>
      <x:c r="AB1727" s="18"/>
      <x:c r="AC1727" s="19"/>
    </x:row>
    <x:row r="1728" ht="28" customHeight="1">
      <x:c r="A1728" s="18" t="str">
        <x:v>福工大前</x:v>
      </x:c>
      <x:c r="B1728" s="18" t="str">
        <x:v>九州旅客鉄道</x:v>
      </x:c>
      <x:c r="C1728" s="18" t="str">
        <x:v>conventional_rail</x:v>
      </x:c>
      <x:c r="D1728" s="19" t="str">
        <x:v>T2</x:v>
      </x:c>
      <x:c r="E1728" s="20" t="n">
        <x:v>22998</x:v>
      </x:c>
      <x:c r="F1728" s="18" t="str">
        <x:v>persons/day</x:v>
      </x:c>
      <x:c r="G1728" s="18" t="str">
        <x:v>FY2024</x:v>
      </x:c>
      <x:c r="H1728" s="18" t="str">
        <x:v>否</x:v>
      </x:c>
      <x:c r="I1728" s="19" t="str">
        <x:v>DAILY_ENTRIES_EXITS</x:v>
      </x:c>
      <x:c r="J1728" s="19" t="str">
        <x:v>鹿児島線</x:v>
      </x:c>
      <x:c r="K1728" s="18" t="str">
        <x:v>transport-node:1d80e870-5981-5403-b9c9-fc793f02ae29</x:v>
      </x:c>
      <x:c r="L1728" s="19" t="str">
        <x:v>组件待审核</x:v>
      </x:c>
      <x:c r="M1728" s="21" t="n">
        <x:v>33.6986733</x:v>
      </x:c>
      <x:c r="N1728" s="21" t="n">
        <x:v>130.4407367</x:v>
      </x:c>
      <x:c r="O1728" s="18" t="str">
        <x:v>008894</x:v>
      </x:c>
      <x:c r="P1728" s="18" t="str">
        <x:v>鹿児島線</x:v>
      </x:c>
      <x:c r="Q1728" s="19" t="str">
        <x:v>S12_061_GE_10000</x:v>
      </x:c>
      <x:c r="R1728" s="19" t="str">
        <x:v>S12_061 usage threshold</x:v>
      </x:c>
      <x:c r="S1728" s="19" t="str">
        <x:v>https://nlftp.mlit.go.jp/ksj/gml/datalist/KsjTmplt-S12-2024.html</x:v>
      </x:c>
      <x:c r="T1728" s="19" t="str">
        <x:v>https://nlftp.mlit.go.jp/ksj/gml/datalist/KsjTmplt-S12-2024.html</x:v>
      </x:c>
      <x:c r="U1728" s="19" t="str">
        <x:v>station-component|福工大前|九州旅客鉄道|conventional_rail|33.6987|130.4407|</x:v>
      </x:c>
      <x:c r="V1728" s="19" t="str">
        <x:v>008894 / 008894 / 鹿児島線</x:v>
      </x:c>
      <x:c r="W1728" s="18" t="str">
        <x:v>否</x:v>
      </x:c>
      <x:c r="X1728" s="18" t="str">
        <x:v>0785e932a32b3ec15e1a1345537ae145eafe1c07bf38d5c16c11ee2b391e7a28</x:v>
      </x:c>
      <x:c r="Y1728" s="20" t="n">
        <x:v>1</x:v>
      </x:c>
      <x:c r="Z1728" s="20" t="n">
        <x:v>1</x:v>
      </x:c>
      <x:c r="AA1728" s="19"/>
      <x:c r="AB1728" s="18"/>
      <x:c r="AC1728" s="19"/>
    </x:row>
    <x:row r="1729" ht="28" customHeight="1">
      <x:c r="A1729" s="18" t="str">
        <x:v>福生</x:v>
      </x:c>
      <x:c r="B1729" s="18" t="str">
        <x:v>東日本旅客鉄道</x:v>
      </x:c>
      <x:c r="C1729" s="18" t="str">
        <x:v>conventional_rail</x:v>
      </x:c>
      <x:c r="D1729" s="19" t="str">
        <x:v>T2</x:v>
      </x:c>
      <x:c r="E1729" s="20" t="n">
        <x:v>30374</x:v>
      </x:c>
      <x:c r="F1729" s="18" t="str">
        <x:v>persons/day</x:v>
      </x:c>
      <x:c r="G1729" s="18" t="str">
        <x:v>FY2024</x:v>
      </x:c>
      <x:c r="H1729" s="18" t="str">
        <x:v>否</x:v>
      </x:c>
      <x:c r="I1729" s="19" t="str">
        <x:v>DAILY_ENTRIES_EXITS</x:v>
      </x:c>
      <x:c r="J1729" s="19" t="str">
        <x:v>青梅線</x:v>
      </x:c>
      <x:c r="K1729" s="18" t="str">
        <x:v>transport-node:a5fc7f53-aea1-5ea1-af05-8922467bd0df</x:v>
      </x:c>
      <x:c r="L1729" s="19" t="str">
        <x:v>组件待审核</x:v>
      </x:c>
      <x:c r="M1729" s="21" t="n">
        <x:v>35.742485</x:v>
      </x:c>
      <x:c r="N1729" s="21" t="n">
        <x:v>139.327745</x:v>
      </x:c>
      <x:c r="O1729" s="18" t="str">
        <x:v>003300</x:v>
      </x:c>
      <x:c r="P1729" s="18" t="str">
        <x:v>青梅線</x:v>
      </x:c>
      <x:c r="Q1729" s="19" t="str">
        <x:v>S12_061_GE_10000</x:v>
      </x:c>
      <x:c r="R1729" s="19" t="str">
        <x:v>S12_061 usage threshold</x:v>
      </x:c>
      <x:c r="S1729" s="19" t="str">
        <x:v>https://nlftp.mlit.go.jp/ksj/gml/datalist/KsjTmplt-S12-2024.html</x:v>
      </x:c>
      <x:c r="T1729" s="19" t="str">
        <x:v>https://nlftp.mlit.go.jp/ksj/gml/datalist/KsjTmplt-S12-2024.html</x:v>
      </x:c>
      <x:c r="U1729" s="19" t="str">
        <x:v>station-component|福生|東日本旅客鉄道|conventional_rail|35.7425|139.3277|</x:v>
      </x:c>
      <x:c r="V1729" s="19" t="str">
        <x:v>003300 / 003300 / 青梅線</x:v>
      </x:c>
      <x:c r="W1729" s="18" t="str">
        <x:v>否</x:v>
      </x:c>
      <x:c r="X1729" s="18" t="str">
        <x:v>0785e932a32b3ec15e1a1345537ae145eafe1c07bf38d5c16c11ee2b391e7a28</x:v>
      </x:c>
      <x:c r="Y1729" s="20" t="n">
        <x:v>1</x:v>
      </x:c>
      <x:c r="Z1729" s="20" t="n">
        <x:v>1</x:v>
      </x:c>
      <x:c r="AA1729" s="19"/>
      <x:c r="AB1729" s="18"/>
      <x:c r="AC1729" s="19"/>
    </x:row>
    <x:row r="1730" ht="28" customHeight="1">
      <x:c r="A1730" s="18" t="str">
        <x:v>福間</x:v>
      </x:c>
      <x:c r="B1730" s="18" t="str">
        <x:v>九州旅客鉄道</x:v>
      </x:c>
      <x:c r="C1730" s="18" t="str">
        <x:v>conventional_rail</x:v>
      </x:c>
      <x:c r="D1730" s="19" t="str">
        <x:v>T2</x:v>
      </x:c>
      <x:c r="E1730" s="20" t="n">
        <x:v>18114</x:v>
      </x:c>
      <x:c r="F1730" s="18" t="str">
        <x:v>persons/day</x:v>
      </x:c>
      <x:c r="G1730" s="18" t="str">
        <x:v>FY2024</x:v>
      </x:c>
      <x:c r="H1730" s="18" t="str">
        <x:v>否</x:v>
      </x:c>
      <x:c r="I1730" s="19" t="str">
        <x:v>DAILY_ENTRIES_EXITS</x:v>
      </x:c>
      <x:c r="J1730" s="19" t="str">
        <x:v>鹿児島線</x:v>
      </x:c>
      <x:c r="K1730" s="18" t="str">
        <x:v>transport-node:99b11318-e271-5625-a5a2-36ac44679ed8</x:v>
      </x:c>
      <x:c r="L1730" s="19" t="str">
        <x:v>组件待审核</x:v>
      </x:c>
      <x:c r="M1730" s="21" t="n">
        <x:v>33.763755</x:v>
      </x:c>
      <x:c r="N1730" s="21" t="n">
        <x:v>130.48721</x:v>
      </x:c>
      <x:c r="O1730" s="18" t="str">
        <x:v>008847</x:v>
      </x:c>
      <x:c r="P1730" s="18" t="str">
        <x:v>鹿児島線</x:v>
      </x:c>
      <x:c r="Q1730" s="19" t="str">
        <x:v>S12_061_GE_10000</x:v>
      </x:c>
      <x:c r="R1730" s="19" t="str">
        <x:v>S12_061 usage threshold</x:v>
      </x:c>
      <x:c r="S1730" s="19" t="str">
        <x:v>https://nlftp.mlit.go.jp/ksj/gml/datalist/KsjTmplt-S12-2024.html</x:v>
      </x:c>
      <x:c r="T1730" s="19" t="str">
        <x:v>https://nlftp.mlit.go.jp/ksj/gml/datalist/KsjTmplt-S12-2024.html</x:v>
      </x:c>
      <x:c r="U1730" s="19" t="str">
        <x:v>station-component|福間|九州旅客鉄道|conventional_rail|33.7638|130.4872|</x:v>
      </x:c>
      <x:c r="V1730" s="19" t="str">
        <x:v>008847 / 008847 / 鹿児島線</x:v>
      </x:c>
      <x:c r="W1730" s="18" t="str">
        <x:v>否</x:v>
      </x:c>
      <x:c r="X1730" s="18" t="str">
        <x:v>0785e932a32b3ec15e1a1345537ae145eafe1c07bf38d5c16c11ee2b391e7a28</x:v>
      </x:c>
      <x:c r="Y1730" s="20" t="n">
        <x:v>1</x:v>
      </x:c>
      <x:c r="Z1730" s="20" t="n">
        <x:v>1</x:v>
      </x:c>
      <x:c r="AA1730" s="19"/>
      <x:c r="AB1730" s="18"/>
      <x:c r="AC1730" s="19"/>
    </x:row>
    <x:row r="1731" ht="28" customHeight="1">
      <x:c r="A1731" s="18" t="str">
        <x:v>秋川</x:v>
      </x:c>
      <x:c r="B1731" s="18" t="str">
        <x:v>東日本旅客鉄道</x:v>
      </x:c>
      <x:c r="C1731" s="18" t="str">
        <x:v>conventional_rail</x:v>
      </x:c>
      <x:c r="D1731" s="19" t="str">
        <x:v>T2</x:v>
      </x:c>
      <x:c r="E1731" s="20" t="n">
        <x:v>11938</x:v>
      </x:c>
      <x:c r="F1731" s="18" t="str">
        <x:v>persons/day</x:v>
      </x:c>
      <x:c r="G1731" s="18" t="str">
        <x:v>FY2024</x:v>
      </x:c>
      <x:c r="H1731" s="18" t="str">
        <x:v>否</x:v>
      </x:c>
      <x:c r="I1731" s="19" t="str">
        <x:v>DAILY_ENTRIES_EXITS</x:v>
      </x:c>
      <x:c r="J1731" s="19" t="str">
        <x:v>五日市線</x:v>
      </x:c>
      <x:c r="K1731" s="18" t="str">
        <x:v>transport-node:971375b5-8bc4-5395-af53-d8938f18e3a7</x:v>
      </x:c>
      <x:c r="L1731" s="19" t="str">
        <x:v>组件待审核</x:v>
      </x:c>
      <x:c r="M1731" s="21" t="n">
        <x:v>35.72805</x:v>
      </x:c>
      <x:c r="N1731" s="21" t="n">
        <x:v>139.28675</x:v>
      </x:c>
      <x:c r="O1731" s="18" t="str">
        <x:v>003413</x:v>
      </x:c>
      <x:c r="P1731" s="18" t="str">
        <x:v>五日市線</x:v>
      </x:c>
      <x:c r="Q1731" s="19" t="str">
        <x:v>S12_061_GE_10000</x:v>
      </x:c>
      <x:c r="R1731" s="19" t="str">
        <x:v>S12_061 usage threshold</x:v>
      </x:c>
      <x:c r="S1731" s="19" t="str">
        <x:v>https://nlftp.mlit.go.jp/ksj/gml/datalist/KsjTmplt-S12-2024.html</x:v>
      </x:c>
      <x:c r="T1731" s="19" t="str">
        <x:v>https://nlftp.mlit.go.jp/ksj/gml/datalist/KsjTmplt-S12-2024.html</x:v>
      </x:c>
      <x:c r="U1731" s="19" t="str">
        <x:v>station-component|秋川|東日本旅客鉄道|conventional_rail|35.7281|139.2868|</x:v>
      </x:c>
      <x:c r="V1731" s="19" t="str">
        <x:v>003413 / 003413 / 五日市線</x:v>
      </x:c>
      <x:c r="W1731" s="18" t="str">
        <x:v>否</x:v>
      </x:c>
      <x:c r="X1731" s="18" t="str">
        <x:v>0785e932a32b3ec15e1a1345537ae145eafe1c07bf38d5c16c11ee2b391e7a28</x:v>
      </x:c>
      <x:c r="Y1731" s="20" t="n">
        <x:v>1</x:v>
      </x:c>
      <x:c r="Z1731" s="20" t="n">
        <x:v>1</x:v>
      </x:c>
      <x:c r="AA1731" s="19"/>
      <x:c r="AB1731" s="18"/>
      <x:c r="AC1731" s="19"/>
    </x:row>
    <x:row r="1732" ht="28" customHeight="1">
      <x:c r="A1732" s="18" t="str">
        <x:v>秋津</x:v>
      </x:c>
      <x:c r="B1732" s="18" t="str">
        <x:v>西武鉄道</x:v>
      </x:c>
      <x:c r="C1732" s="18" t="str">
        <x:v>private_rail</x:v>
      </x:c>
      <x:c r="D1732" s="19" t="str">
        <x:v>T1</x:v>
      </x:c>
      <x:c r="E1732" s="20" t="n">
        <x:v>76596</x:v>
      </x:c>
      <x:c r="F1732" s="18" t="str">
        <x:v>persons/day</x:v>
      </x:c>
      <x:c r="G1732" s="18" t="str">
        <x:v>FY2024</x:v>
      </x:c>
      <x:c r="H1732" s="18" t="str">
        <x:v>否</x:v>
      </x:c>
      <x:c r="I1732" s="19" t="str">
        <x:v>DAILY_ENTRIES_EXITS</x:v>
      </x:c>
      <x:c r="J1732" s="19" t="str">
        <x:v>池袋線</x:v>
      </x:c>
      <x:c r="K1732" s="18" t="str">
        <x:v>transport-node:d577f989-1008-5a6a-9979-a4128f0f9884</x:v>
      </x:c>
      <x:c r="L1732" s="19" t="str">
        <x:v>组件待审核</x:v>
      </x:c>
      <x:c r="M1732" s="21" t="n">
        <x:v>35.7784925</x:v>
      </x:c>
      <x:c r="N1732" s="21" t="n">
        <x:v>139.4968425</x:v>
      </x:c>
      <x:c r="O1732" s="18" t="str">
        <x:v>003151</x:v>
      </x:c>
      <x:c r="P1732" s="18" t="str">
        <x:v>池袋線</x:v>
      </x:c>
      <x:c r="Q1732" s="19" t="str">
        <x:v>S12_061_GE_10000</x:v>
      </x:c>
      <x:c r="R1732" s="19" t="str">
        <x:v>S12_061 usage threshold</x:v>
      </x:c>
      <x:c r="S1732" s="19" t="str">
        <x:v>https://nlftp.mlit.go.jp/ksj/gml/datalist/KsjTmplt-S12-2024.html</x:v>
      </x:c>
      <x:c r="T1732" s="19" t="str">
        <x:v>https://nlftp.mlit.go.jp/ksj/gml/datalist/KsjTmplt-S12-2024.html</x:v>
      </x:c>
      <x:c r="U1732" s="19" t="str">
        <x:v>station-component|秋津|西武鉄道|private_rail|35.7785|139.4968|</x:v>
      </x:c>
      <x:c r="V1732" s="19" t="str">
        <x:v>003151 / 003151 / 池袋線</x:v>
      </x:c>
      <x:c r="W1732" s="18" t="str">
        <x:v>否</x:v>
      </x:c>
      <x:c r="X1732" s="18" t="str">
        <x:v>0785e932a32b3ec15e1a1345537ae145eafe1c07bf38d5c16c11ee2b391e7a28</x:v>
      </x:c>
      <x:c r="Y1732" s="20" t="n">
        <x:v>1</x:v>
      </x:c>
      <x:c r="Z1732" s="20" t="n">
        <x:v>1</x:v>
      </x:c>
      <x:c r="AA1732" s="19"/>
      <x:c r="AB1732" s="18"/>
      <x:c r="AC1732" s="19"/>
    </x:row>
    <x:row r="1733" ht="33" customHeight="1">
      <x:c r="A1733" s="18" t="str">
        <x:v>秋田</x:v>
      </x:c>
      <x:c r="B1733" s="18" t="str">
        <x:v>東日本旅客鉄道</x:v>
      </x:c>
      <x:c r="C1733" s="18" t="str">
        <x:v>conventional_rail</x:v>
      </x:c>
      <x:c r="D1733" s="19" t="str">
        <x:v>T2</x:v>
      </x:c>
      <x:c r="E1733" s="20" t="n">
        <x:v>20098</x:v>
      </x:c>
      <x:c r="F1733" s="18" t="str">
        <x:v>persons/day</x:v>
      </x:c>
      <x:c r="G1733" s="18" t="str">
        <x:v>FY2024</x:v>
      </x:c>
      <x:c r="H1733" s="18" t="str">
        <x:v>否</x:v>
      </x:c>
      <x:c r="I1733" s="19" t="str">
        <x:v>DAILY_ENTRIES_EXITS</x:v>
      </x:c>
      <x:c r="J1733" s="19" t="str">
        <x:v>奥羽線
羽越線</x:v>
      </x:c>
      <x:c r="K1733" s="18" t="str">
        <x:v>transport-node:f4b648a8-c90e-56db-9c16-574df30d185e</x:v>
      </x:c>
      <x:c r="L1733" s="19" t="str">
        <x:v>组件待审核</x:v>
      </x:c>
      <x:c r="M1733" s="21" t="n">
        <x:v>39.71755</x:v>
      </x:c>
      <x:c r="N1733" s="21" t="n">
        <x:v>140.12975</x:v>
      </x:c>
      <x:c r="O1733" s="18" t="str">
        <x:v>000783</x:v>
      </x:c>
      <x:c r="P1733" s="18" t="str">
        <x:v>奥羽線</x:v>
      </x:c>
      <x:c r="Q1733" s="19" t="str">
        <x:v>S12_061_GE_10000</x:v>
      </x:c>
      <x:c r="R1733" s="19" t="str">
        <x:v>S12_061 usage threshold</x:v>
      </x:c>
      <x:c r="S1733" s="19" t="str">
        <x:v>https://nlftp.mlit.go.jp/ksj/gml/datalist/KsjTmplt-S12-2024.html</x:v>
      </x:c>
      <x:c r="T1733" s="19" t="str">
        <x:v>https://nlftp.mlit.go.jp/ksj/gml/datalist/KsjTmplt-S12-2024.html</x:v>
      </x:c>
      <x:c r="U1733" s="19" t="str">
        <x:v>station-component|秋田|東日本旅客鉄道|conventional_rail|39.7176|140.1298|</x:v>
      </x:c>
      <x:c r="V1733" s="19" t="str">
        <x:v>000783 / 000783 / 奥羽線
000783 / 000784 / 羽越線</x:v>
      </x:c>
      <x:c r="W1733" s="18" t="str">
        <x:v>否</x:v>
      </x:c>
      <x:c r="X1733" s="18" t="str">
        <x:v>0785e932a32b3ec15e1a1345537ae145eafe1c07bf38d5c16c11ee2b391e7a28</x:v>
      </x:c>
      <x:c r="Y1733" s="20" t="n">
        <x:v>1</x:v>
      </x:c>
      <x:c r="Z1733" s="20" t="n">
        <x:v>1</x:v>
      </x:c>
      <x:c r="AA1733" s="19"/>
      <x:c r="AB1733" s="18"/>
      <x:c r="AC1733" s="19"/>
    </x:row>
    <x:row r="1734" ht="33" customHeight="1">
      <x:c r="A1734" s="18" t="str">
        <x:v>秋葉原</x:v>
      </x:c>
      <x:c r="B1734" s="18" t="str">
        <x:v>東京地下鉄</x:v>
      </x:c>
      <x:c r="C1734" s="18" t="str">
        <x:v>metro</x:v>
      </x:c>
      <x:c r="D1734" s="19" t="str">
        <x:v>T1</x:v>
      </x:c>
      <x:c r="E1734" s="20" t="n">
        <x:v>111781</x:v>
      </x:c>
      <x:c r="F1734" s="18" t="str">
        <x:v>persons/day</x:v>
      </x:c>
      <x:c r="G1734" s="18" t="str">
        <x:v>FY2024</x:v>
      </x:c>
      <x:c r="H1734" s="18" t="str">
        <x:v>否</x:v>
      </x:c>
      <x:c r="I1734" s="19" t="str">
        <x:v>DAILY_ENTRIES_EXITS</x:v>
      </x:c>
      <x:c r="J1734" s="19" t="str">
        <x:v>2号線日比谷線</x:v>
      </x:c>
      <x:c r="K1734" s="18" t="str">
        <x:v>transport-node:24d0eb89-04cf-537f-88ba-4f2439e2dc31</x:v>
      </x:c>
      <x:c r="L1734" s="19" t="str">
        <x:v>组件待审核</x:v>
      </x:c>
      <x:c r="M1734" s="21" t="n">
        <x:v>35.69793</x:v>
      </x:c>
      <x:c r="N1734" s="21" t="n">
        <x:v>139.7755267</x:v>
      </x:c>
      <x:c r="O1734" s="18" t="str">
        <x:v>003629</x:v>
      </x:c>
      <x:c r="P1734" s="18" t="str">
        <x:v>2号線日比谷線</x:v>
      </x:c>
      <x:c r="Q1734" s="19" t="str">
        <x:v>S12_061_GE_10000
OFFICIAL_HUB_COMPONENT_REVIEW</x:v>
      </x:c>
      <x:c r="R1734" s="19" t="str">
        <x:v>S12_061 usage threshold</x:v>
      </x:c>
      <x:c r="S1734" s="19" t="str">
        <x:v>https://nlftp.mlit.go.jp/ksj/gml/datalist/KsjTmplt-S12-2024.html</x:v>
      </x:c>
      <x:c r="T1734" s="19" t="str">
        <x:v>https://nlftp.mlit.go.jp/ksj/gml/datalist/KsjTmplt-S12-2024.html
https://www.tokyometro.jp/station/akihabara/index.html</x:v>
      </x:c>
      <x:c r="U1734" s="19" t="str">
        <x:v>station-component|秋葉原|東京地下鉄|metro|35.6979|139.7755|</x:v>
      </x:c>
      <x:c r="V1734" s="19" t="str">
        <x:v>003624 / 003629 / 2号線日比谷線</x:v>
      </x:c>
      <x:c r="W1734" s="18" t="str">
        <x:v>否</x:v>
      </x:c>
      <x:c r="X1734" s="18" t="str">
        <x:v>0785e932a32b3ec15e1a1345537ae145eafe1c07bf38d5c16c11ee2b391e7a28</x:v>
      </x:c>
      <x:c r="Y1734" s="20" t="n">
        <x:v>1</x:v>
      </x:c>
      <x:c r="Z1734" s="20" t="n">
        <x:v>1</x:v>
      </x:c>
      <x:c r="AA1734" s="19" t="str">
        <x:v>秋葉原・岩本町</x:v>
      </x:c>
      <x:c r="AB1734" s="18" t="str">
        <x:v>transport-hub-review:5dffb3d9-b363-5c0b-ba0f-ccaacbdbb995</x:v>
      </x:c>
      <x:c r="AC1734" s="19"/>
    </x:row>
    <x:row r="1735" ht="33" customHeight="1">
      <x:c r="A1735" s="18" t="str">
        <x:v>秋葉原</x:v>
      </x:c>
      <x:c r="B1735" s="18" t="str">
        <x:v>東日本旅客鉄道</x:v>
      </x:c>
      <x:c r="C1735" s="18" t="str">
        <x:v>conventional_rail</x:v>
      </x:c>
      <x:c r="D1735" s="19" t="str">
        <x:v>T0</x:v>
      </x:c>
      <x:c r="E1735" s="20" t="n">
        <x:v>442842</x:v>
      </x:c>
      <x:c r="F1735" s="18" t="str">
        <x:v>persons/day</x:v>
      </x:c>
      <x:c r="G1735" s="18" t="str">
        <x:v>FY2024</x:v>
      </x:c>
      <x:c r="H1735" s="18" t="str">
        <x:v>否</x:v>
      </x:c>
      <x:c r="I1735" s="19" t="str">
        <x:v>DAILY_ENTRIES_EXITS</x:v>
      </x:c>
      <x:c r="J1735" s="19" t="str">
        <x:v>東北線
総武線</x:v>
      </x:c>
      <x:c r="K1735" s="18" t="str">
        <x:v>transport-node:a15ebbd6-4f5e-5d9a-a657-6f9fe9157d81</x:v>
      </x:c>
      <x:c r="L1735" s="19" t="str">
        <x:v>组件待审核</x:v>
      </x:c>
      <x:c r="M1735" s="21" t="n">
        <x:v>35.69832</x:v>
      </x:c>
      <x:c r="N1735" s="21" t="n">
        <x:v>139.773215</x:v>
      </x:c>
      <x:c r="O1735" s="18" t="str">
        <x:v>003626</x:v>
      </x:c>
      <x:c r="P1735" s="18" t="str">
        <x:v>総武線</x:v>
      </x:c>
      <x:c r="Q1735" s="19" t="str">
        <x:v>S12_061_GE_10000
OFFICIAL_HUB_COMPONENT_REVIEW</x:v>
      </x:c>
      <x:c r="R1735" s="19" t="str">
        <x:v>S12_061 usage threshold</x:v>
      </x:c>
      <x:c r="S1735" s="19" t="str">
        <x:v>https://nlftp.mlit.go.jp/ksj/gml/datalist/KsjTmplt-S12-2024.html</x:v>
      </x:c>
      <x:c r="T1735" s="19" t="str">
        <x:v>https://nlftp.mlit.go.jp/ksj/gml/datalist/KsjTmplt-S12-2024.html
https://www.tokyometro.jp/station/akihabara/index.html</x:v>
      </x:c>
      <x:c r="U1735" s="19" t="str">
        <x:v>station-component|秋葉原|東日本旅客鉄道|conventional_rail|35.6983|139.7732|</x:v>
      </x:c>
      <x:c r="V1735" s="19" t="str">
        <x:v>003624 / 003625 / 東北線
003624 / 003626 / 総武線</x:v>
      </x:c>
      <x:c r="W1735" s="18" t="str">
        <x:v>否</x:v>
      </x:c>
      <x:c r="X1735" s="18" t="str">
        <x:v>0785e932a32b3ec15e1a1345537ae145eafe1c07bf38d5c16c11ee2b391e7a28</x:v>
      </x:c>
      <x:c r="Y1735" s="20" t="n">
        <x:v>1</x:v>
      </x:c>
      <x:c r="Z1735" s="20" t="n">
        <x:v>1</x:v>
      </x:c>
      <x:c r="AA1735" s="19" t="str">
        <x:v>秋葉原・岩本町</x:v>
      </x:c>
      <x:c r="AB1735" s="18" t="str">
        <x:v>transport-hub-review:5dffb3d9-b363-5c0b-ba0f-ccaacbdbb995</x:v>
      </x:c>
      <x:c r="AC1735" s="19"/>
    </x:row>
    <x:row r="1736" ht="33" customHeight="1">
      <x:c r="A1736" s="18" t="str">
        <x:v>秋葉原</x:v>
      </x:c>
      <x:c r="B1736" s="18" t="str">
        <x:v>首都圏新都市鉄道</x:v>
      </x:c>
      <x:c r="C1736" s="18" t="str">
        <x:v>private_rail</x:v>
      </x:c>
      <x:c r="D1736" s="19" t="str">
        <x:v>T1</x:v>
      </x:c>
      <x:c r="E1736" s="20" t="n">
        <x:v>123783</x:v>
      </x:c>
      <x:c r="F1736" s="18" t="str">
        <x:v>persons/day</x:v>
      </x:c>
      <x:c r="G1736" s="18" t="str">
        <x:v>FY2024</x:v>
      </x:c>
      <x:c r="H1736" s="18" t="str">
        <x:v>否</x:v>
      </x:c>
      <x:c r="I1736" s="19" t="str">
        <x:v>DAILY_ENTRIES_EXITS</x:v>
      </x:c>
      <x:c r="J1736" s="19" t="str">
        <x:v>常磐新線</x:v>
      </x:c>
      <x:c r="K1736" s="18" t="str">
        <x:v>transport-node:a30373d3-796d-5c5c-ae48-bc4349410d1e</x:v>
      </x:c>
      <x:c r="L1736" s="19" t="str">
        <x:v>组件待审核</x:v>
      </x:c>
      <x:c r="M1736" s="21" t="n">
        <x:v>35.69897</x:v>
      </x:c>
      <x:c r="N1736" s="21" t="n">
        <x:v>139.7742833</x:v>
      </x:c>
      <x:c r="O1736" s="18" t="str">
        <x:v>003624</x:v>
      </x:c>
      <x:c r="P1736" s="18" t="str">
        <x:v>常磐新線</x:v>
      </x:c>
      <x:c r="Q1736" s="19" t="str">
        <x:v>S12_061_GE_10000
OFFICIAL_HUB_COMPONENT_REVIEW</x:v>
      </x:c>
      <x:c r="R1736" s="19" t="str">
        <x:v>S12_061 usage threshold</x:v>
      </x:c>
      <x:c r="S1736" s="19" t="str">
        <x:v>https://nlftp.mlit.go.jp/ksj/gml/datalist/KsjTmplt-S12-2024.html</x:v>
      </x:c>
      <x:c r="T1736" s="19" t="str">
        <x:v>https://nlftp.mlit.go.jp/ksj/gml/datalist/KsjTmplt-S12-2024.html
https://www.tokyometro.jp/station/akihabara/index.html</x:v>
      </x:c>
      <x:c r="U1736" s="19" t="str">
        <x:v>station-component|秋葉原|首都圏新都市鉄道|private_rail|35.6990|139.7743|</x:v>
      </x:c>
      <x:c r="V1736" s="19" t="str">
        <x:v>003624 / 003624 / 常磐新線</x:v>
      </x:c>
      <x:c r="W1736" s="18" t="str">
        <x:v>否</x:v>
      </x:c>
      <x:c r="X1736" s="18" t="str">
        <x:v>0785e932a32b3ec15e1a1345537ae145eafe1c07bf38d5c16c11ee2b391e7a28</x:v>
      </x:c>
      <x:c r="Y1736" s="20" t="n">
        <x:v>1</x:v>
      </x:c>
      <x:c r="Z1736" s="20" t="n">
        <x:v>1</x:v>
      </x:c>
      <x:c r="AA1736" s="19" t="str">
        <x:v>秋葉原・岩本町</x:v>
      </x:c>
      <x:c r="AB1736" s="18" t="str">
        <x:v>transport-hub-review:5dffb3d9-b363-5c0b-ba0f-ccaacbdbb995</x:v>
      </x:c>
      <x:c r="AC1736" s="19"/>
    </x:row>
    <x:row r="1737" ht="28" customHeight="1">
      <x:c r="A1737" s="18" t="str">
        <x:v>秦野</x:v>
      </x:c>
      <x:c r="B1737" s="18" t="str">
        <x:v>小田急電鉄</x:v>
      </x:c>
      <x:c r="C1737" s="18" t="str">
        <x:v>private_rail</x:v>
      </x:c>
      <x:c r="D1737" s="19" t="str">
        <x:v>T2</x:v>
      </x:c>
      <x:c r="E1737" s="20" t="n">
        <x:v>36217</x:v>
      </x:c>
      <x:c r="F1737" s="18" t="str">
        <x:v>persons/day</x:v>
      </x:c>
      <x:c r="G1737" s="18" t="str">
        <x:v>FY2024</x:v>
      </x:c>
      <x:c r="H1737" s="18" t="str">
        <x:v>否</x:v>
      </x:c>
      <x:c r="I1737" s="19" t="str">
        <x:v>DAILY_ENTRIES_EXITS</x:v>
      </x:c>
      <x:c r="J1737" s="19" t="str">
        <x:v>小田原線</x:v>
      </x:c>
      <x:c r="K1737" s="18" t="str">
        <x:v>transport-node:da6a4e44-a958-5acb-a728-35869729b164</x:v>
      </x:c>
      <x:c r="L1737" s="19" t="str">
        <x:v>组件待审核</x:v>
      </x:c>
      <x:c r="M1737" s="21" t="n">
        <x:v>35.37007</x:v>
      </x:c>
      <x:c r="N1737" s="21" t="n">
        <x:v>139.22608</x:v>
      </x:c>
      <x:c r="O1737" s="18" t="str">
        <x:v>004913</x:v>
      </x:c>
      <x:c r="P1737" s="18" t="str">
        <x:v>小田原線</x:v>
      </x:c>
      <x:c r="Q1737" s="19" t="str">
        <x:v>S12_061_GE_10000</x:v>
      </x:c>
      <x:c r="R1737" s="19" t="str">
        <x:v>S12_061 usage threshold</x:v>
      </x:c>
      <x:c r="S1737" s="19" t="str">
        <x:v>https://nlftp.mlit.go.jp/ksj/gml/datalist/KsjTmplt-S12-2024.html</x:v>
      </x:c>
      <x:c r="T1737" s="19" t="str">
        <x:v>https://nlftp.mlit.go.jp/ksj/gml/datalist/KsjTmplt-S12-2024.html</x:v>
      </x:c>
      <x:c r="U1737" s="19" t="str">
        <x:v>station-component|秦野|小田急電鉄|private_rail|35.3701|139.2261|</x:v>
      </x:c>
      <x:c r="V1737" s="19" t="str">
        <x:v>004913 / 004913 / 小田原線</x:v>
      </x:c>
      <x:c r="W1737" s="18" t="str">
        <x:v>否</x:v>
      </x:c>
      <x:c r="X1737" s="18" t="str">
        <x:v>0785e932a32b3ec15e1a1345537ae145eafe1c07bf38d5c16c11ee2b391e7a28</x:v>
      </x:c>
      <x:c r="Y1737" s="20" t="n">
        <x:v>1</x:v>
      </x:c>
      <x:c r="Z1737" s="20" t="n">
        <x:v>1</x:v>
      </x:c>
      <x:c r="AA1737" s="19"/>
      <x:c r="AB1737" s="18"/>
      <x:c r="AC1737" s="19"/>
    </x:row>
    <x:row r="1738" ht="28" customHeight="1">
      <x:c r="A1738" s="18" t="str">
        <x:v>稲城</x:v>
      </x:c>
      <x:c r="B1738" s="18" t="str">
        <x:v>京王電鉄</x:v>
      </x:c>
      <x:c r="C1738" s="18" t="str">
        <x:v>private_rail</x:v>
      </x:c>
      <x:c r="D1738" s="19" t="str">
        <x:v>T2</x:v>
      </x:c>
      <x:c r="E1738" s="20" t="n">
        <x:v>19257</x:v>
      </x:c>
      <x:c r="F1738" s="18" t="str">
        <x:v>persons/day</x:v>
      </x:c>
      <x:c r="G1738" s="18" t="str">
        <x:v>FY2024</x:v>
      </x:c>
      <x:c r="H1738" s="18" t="str">
        <x:v>否</x:v>
      </x:c>
      <x:c r="I1738" s="19" t="str">
        <x:v>DAILY_ENTRIES_EXITS</x:v>
      </x:c>
      <x:c r="J1738" s="19" t="str">
        <x:v>相模原線</x:v>
      </x:c>
      <x:c r="K1738" s="18" t="str">
        <x:v>transport-node:a1b5ec75-e309-5b89-b302-3b34159e756e</x:v>
      </x:c>
      <x:c r="L1738" s="19" t="str">
        <x:v>组件待审核</x:v>
      </x:c>
      <x:c r="M1738" s="21" t="n">
        <x:v>35.6361443</x:v>
      </x:c>
      <x:c r="N1738" s="21" t="n">
        <x:v>139.5002343</x:v>
      </x:c>
      <x:c r="O1738" s="18" t="str">
        <x:v>004056</x:v>
      </x:c>
      <x:c r="P1738" s="18" t="str">
        <x:v>相模原線</x:v>
      </x:c>
      <x:c r="Q1738" s="19" t="str">
        <x:v>S12_061_GE_10000</x:v>
      </x:c>
      <x:c r="R1738" s="19" t="str">
        <x:v>S12_061 usage threshold</x:v>
      </x:c>
      <x:c r="S1738" s="19" t="str">
        <x:v>https://nlftp.mlit.go.jp/ksj/gml/datalist/KsjTmplt-S12-2024.html</x:v>
      </x:c>
      <x:c r="T1738" s="19" t="str">
        <x:v>https://nlftp.mlit.go.jp/ksj/gml/datalist/KsjTmplt-S12-2024.html</x:v>
      </x:c>
      <x:c r="U1738" s="19" t="str">
        <x:v>station-component|稲城|京王電鉄|private_rail|35.6361|139.5002|</x:v>
      </x:c>
      <x:c r="V1738" s="19" t="str">
        <x:v>004056 / 004056 / 相模原線</x:v>
      </x:c>
      <x:c r="W1738" s="18" t="str">
        <x:v>否</x:v>
      </x:c>
      <x:c r="X1738" s="18" t="str">
        <x:v>0785e932a32b3ec15e1a1345537ae145eafe1c07bf38d5c16c11ee2b391e7a28</x:v>
      </x:c>
      <x:c r="Y1738" s="20" t="n">
        <x:v>1</x:v>
      </x:c>
      <x:c r="Z1738" s="20" t="n">
        <x:v>1</x:v>
      </x:c>
      <x:c r="AA1738" s="19"/>
      <x:c r="AB1738" s="18"/>
      <x:c r="AC1738" s="19"/>
    </x:row>
    <x:row r="1739" ht="28" customHeight="1">
      <x:c r="A1739" s="18" t="str">
        <x:v>稲城長沼</x:v>
      </x:c>
      <x:c r="B1739" s="18" t="str">
        <x:v>東日本旅客鉄道</x:v>
      </x:c>
      <x:c r="C1739" s="18" t="str">
        <x:v>conventional_rail</x:v>
      </x:c>
      <x:c r="D1739" s="19" t="str">
        <x:v>T2</x:v>
      </x:c>
      <x:c r="E1739" s="20" t="n">
        <x:v>15668</x:v>
      </x:c>
      <x:c r="F1739" s="18" t="str">
        <x:v>persons/day</x:v>
      </x:c>
      <x:c r="G1739" s="18" t="str">
        <x:v>FY2024</x:v>
      </x:c>
      <x:c r="H1739" s="18" t="str">
        <x:v>否</x:v>
      </x:c>
      <x:c r="I1739" s="19" t="str">
        <x:v>DAILY_ENTRIES_EXITS</x:v>
      </x:c>
      <x:c r="J1739" s="19" t="str">
        <x:v>南武線</x:v>
      </x:c>
      <x:c r="K1739" s="18" t="str">
        <x:v>transport-node:b947bac9-5d83-526e-b94e-7c840567e172</x:v>
      </x:c>
      <x:c r="L1739" s="19" t="str">
        <x:v>组件待审核</x:v>
      </x:c>
      <x:c r="M1739" s="21" t="n">
        <x:v>35.644275</x:v>
      </x:c>
      <x:c r="N1739" s="21" t="n">
        <x:v>139.50261</x:v>
      </x:c>
      <x:c r="O1739" s="18" t="str">
        <x:v>004011</x:v>
      </x:c>
      <x:c r="P1739" s="18" t="str">
        <x:v>南武線</x:v>
      </x:c>
      <x:c r="Q1739" s="19" t="str">
        <x:v>S12_061_GE_10000</x:v>
      </x:c>
      <x:c r="R1739" s="19" t="str">
        <x:v>S12_061 usage threshold</x:v>
      </x:c>
      <x:c r="S1739" s="19" t="str">
        <x:v>https://nlftp.mlit.go.jp/ksj/gml/datalist/KsjTmplt-S12-2024.html</x:v>
      </x:c>
      <x:c r="T1739" s="19" t="str">
        <x:v>https://nlftp.mlit.go.jp/ksj/gml/datalist/KsjTmplt-S12-2024.html</x:v>
      </x:c>
      <x:c r="U1739" s="19" t="str">
        <x:v>station-component|稲城長沼|東日本旅客鉄道|conventional_rail|35.6443|139.5026|</x:v>
      </x:c>
      <x:c r="V1739" s="19" t="str">
        <x:v>004011 / 004011 / 南武線</x:v>
      </x:c>
      <x:c r="W1739" s="18" t="str">
        <x:v>否</x:v>
      </x:c>
      <x:c r="X1739" s="18" t="str">
        <x:v>0785e932a32b3ec15e1a1345537ae145eafe1c07bf38d5c16c11ee2b391e7a28</x:v>
      </x:c>
      <x:c r="Y1739" s="20" t="n">
        <x:v>1</x:v>
      </x:c>
      <x:c r="Z1739" s="20" t="n">
        <x:v>1</x:v>
      </x:c>
      <x:c r="AA1739" s="19"/>
      <x:c r="AB1739" s="18"/>
      <x:c r="AC1739" s="19"/>
    </x:row>
    <x:row r="1740" ht="28" customHeight="1">
      <x:c r="A1740" s="18" t="str">
        <x:v>稲毛</x:v>
      </x:c>
      <x:c r="B1740" s="18" t="str">
        <x:v>東日本旅客鉄道</x:v>
      </x:c>
      <x:c r="C1740" s="18" t="str">
        <x:v>conventional_rail</x:v>
      </x:c>
      <x:c r="D1740" s="19" t="str">
        <x:v>T1</x:v>
      </x:c>
      <x:c r="E1740" s="20" t="n">
        <x:v>92590</x:v>
      </x:c>
      <x:c r="F1740" s="18" t="str">
        <x:v>persons/day</x:v>
      </x:c>
      <x:c r="G1740" s="18" t="str">
        <x:v>FY2024</x:v>
      </x:c>
      <x:c r="H1740" s="18" t="str">
        <x:v>否</x:v>
      </x:c>
      <x:c r="I1740" s="19" t="str">
        <x:v>DAILY_ENTRIES_EXITS</x:v>
      </x:c>
      <x:c r="J1740" s="19" t="str">
        <x:v>総武線</x:v>
      </x:c>
      <x:c r="K1740" s="18" t="str">
        <x:v>transport-node:4e18fdb6-de03-5423-955d-ab9e2e316210</x:v>
      </x:c>
      <x:c r="L1740" s="19" t="str">
        <x:v>组件待审核</x:v>
      </x:c>
      <x:c r="M1740" s="21" t="n">
        <x:v>35.637715</x:v>
      </x:c>
      <x:c r="N1740" s="21" t="n">
        <x:v>140.0922775</x:v>
      </x:c>
      <x:c r="O1740" s="18" t="str">
        <x:v>004047</x:v>
      </x:c>
      <x:c r="P1740" s="18" t="str">
        <x:v>総武線</x:v>
      </x:c>
      <x:c r="Q1740" s="19" t="str">
        <x:v>S12_061_GE_10000</x:v>
      </x:c>
      <x:c r="R1740" s="19" t="str">
        <x:v>S12_061 usage threshold</x:v>
      </x:c>
      <x:c r="S1740" s="19" t="str">
        <x:v>https://nlftp.mlit.go.jp/ksj/gml/datalist/KsjTmplt-S12-2024.html</x:v>
      </x:c>
      <x:c r="T1740" s="19" t="str">
        <x:v>https://nlftp.mlit.go.jp/ksj/gml/datalist/KsjTmplt-S12-2024.html</x:v>
      </x:c>
      <x:c r="U1740" s="19" t="str">
        <x:v>station-component|稲毛|東日本旅客鉄道|conventional_rail|35.6377|140.0923|</x:v>
      </x:c>
      <x:c r="V1740" s="19" t="str">
        <x:v>004047 / 004047 / 総武線</x:v>
      </x:c>
      <x:c r="W1740" s="18" t="str">
        <x:v>否</x:v>
      </x:c>
      <x:c r="X1740" s="18" t="str">
        <x:v>0785e932a32b3ec15e1a1345537ae145eafe1c07bf38d5c16c11ee2b391e7a28</x:v>
      </x:c>
      <x:c r="Y1740" s="20" t="n">
        <x:v>1</x:v>
      </x:c>
      <x:c r="Z1740" s="20" t="n">
        <x:v>1</x:v>
      </x:c>
      <x:c r="AA1740" s="19"/>
      <x:c r="AB1740" s="18"/>
      <x:c r="AC1740" s="19"/>
    </x:row>
    <x:row r="1741" ht="28" customHeight="1">
      <x:c r="A1741" s="18" t="str">
        <x:v>稲毛海岸</x:v>
      </x:c>
      <x:c r="B1741" s="18" t="str">
        <x:v>東日本旅客鉄道</x:v>
      </x:c>
      <x:c r="C1741" s="18" t="str">
        <x:v>conventional_rail</x:v>
      </x:c>
      <x:c r="D1741" s="19" t="str">
        <x:v>T2</x:v>
      </x:c>
      <x:c r="E1741" s="20" t="n">
        <x:v>40720</x:v>
      </x:c>
      <x:c r="F1741" s="18" t="str">
        <x:v>persons/day</x:v>
      </x:c>
      <x:c r="G1741" s="18" t="str">
        <x:v>FY2024</x:v>
      </x:c>
      <x:c r="H1741" s="18" t="str">
        <x:v>否</x:v>
      </x:c>
      <x:c r="I1741" s="19" t="str">
        <x:v>DAILY_ENTRIES_EXITS</x:v>
      </x:c>
      <x:c r="J1741" s="19" t="str">
        <x:v>京葉線</x:v>
      </x:c>
      <x:c r="K1741" s="18" t="str">
        <x:v>transport-node:1b8512a5-1180-5a97-b064-c286afec5dd1</x:v>
      </x:c>
      <x:c r="L1741" s="19" t="str">
        <x:v>组件待审核</x:v>
      </x:c>
      <x:c r="M1741" s="21" t="n">
        <x:v>35.62951</x:v>
      </x:c>
      <x:c r="N1741" s="21" t="n">
        <x:v>140.07396</x:v>
      </x:c>
      <x:c r="O1741" s="18" t="str">
        <x:v>004093</x:v>
      </x:c>
      <x:c r="P1741" s="18" t="str">
        <x:v>京葉線</x:v>
      </x:c>
      <x:c r="Q1741" s="19" t="str">
        <x:v>S12_061_GE_10000</x:v>
      </x:c>
      <x:c r="R1741" s="19" t="str">
        <x:v>S12_061 usage threshold</x:v>
      </x:c>
      <x:c r="S1741" s="19" t="str">
        <x:v>https://nlftp.mlit.go.jp/ksj/gml/datalist/KsjTmplt-S12-2024.html</x:v>
      </x:c>
      <x:c r="T1741" s="19" t="str">
        <x:v>https://nlftp.mlit.go.jp/ksj/gml/datalist/KsjTmplt-S12-2024.html</x:v>
      </x:c>
      <x:c r="U1741" s="19" t="str">
        <x:v>station-component|稲毛海岸|東日本旅客鉄道|conventional_rail|35.6295|140.0740|</x:v>
      </x:c>
      <x:c r="V1741" s="19" t="str">
        <x:v>004093 / 004093 / 京葉線</x:v>
      </x:c>
      <x:c r="W1741" s="18" t="str">
        <x:v>否</x:v>
      </x:c>
      <x:c r="X1741" s="18" t="str">
        <x:v>0785e932a32b3ec15e1a1345537ae145eafe1c07bf38d5c16c11ee2b391e7a28</x:v>
      </x:c>
      <x:c r="Y1741" s="20" t="n">
        <x:v>1</x:v>
      </x:c>
      <x:c r="Z1741" s="20" t="n">
        <x:v>1</x:v>
      </x:c>
      <x:c r="AA1741" s="19"/>
      <x:c r="AB1741" s="18"/>
      <x:c r="AC1741" s="19"/>
    </x:row>
    <x:row r="1742" ht="28" customHeight="1">
      <x:c r="A1742" s="18" t="str">
        <x:v>稲沢</x:v>
      </x:c>
      <x:c r="B1742" s="18" t="str">
        <x:v>東海旅客鉄道</x:v>
      </x:c>
      <x:c r="C1742" s="18" t="str">
        <x:v>conventional_rail</x:v>
      </x:c>
      <x:c r="D1742" s="19" t="str">
        <x:v>T2</x:v>
      </x:c>
      <x:c r="E1742" s="20" t="n">
        <x:v>17585</x:v>
      </x:c>
      <x:c r="F1742" s="18" t="str">
        <x:v>persons/day</x:v>
      </x:c>
      <x:c r="G1742" s="18" t="str">
        <x:v>FY2024</x:v>
      </x:c>
      <x:c r="H1742" s="18" t="str">
        <x:v>否</x:v>
      </x:c>
      <x:c r="I1742" s="19" t="str">
        <x:v>DAILY_ENTRIES_EXITS</x:v>
      </x:c>
      <x:c r="J1742" s="19" t="str">
        <x:v>東海道線</x:v>
      </x:c>
      <x:c r="K1742" s="18" t="str">
        <x:v>transport-node:544b1a13-ecc8-5f29-a183-6b227577f789</x:v>
      </x:c>
      <x:c r="L1742" s="19" t="str">
        <x:v>组件待审核</x:v>
      </x:c>
      <x:c r="M1742" s="21" t="n">
        <x:v>35.2530967</x:v>
      </x:c>
      <x:c r="N1742" s="21" t="n">
        <x:v>136.82093</x:v>
      </x:c>
      <x:c r="O1742" s="18" t="str">
        <x:v>005226</x:v>
      </x:c>
      <x:c r="P1742" s="18" t="str">
        <x:v>東海道線</x:v>
      </x:c>
      <x:c r="Q1742" s="19" t="str">
        <x:v>S12_061_GE_10000</x:v>
      </x:c>
      <x:c r="R1742" s="19" t="str">
        <x:v>S12_061 usage threshold</x:v>
      </x:c>
      <x:c r="S1742" s="19" t="str">
        <x:v>https://nlftp.mlit.go.jp/ksj/gml/datalist/KsjTmplt-S12-2024.html</x:v>
      </x:c>
      <x:c r="T1742" s="19" t="str">
        <x:v>https://nlftp.mlit.go.jp/ksj/gml/datalist/KsjTmplt-S12-2024.html</x:v>
      </x:c>
      <x:c r="U1742" s="19" t="str">
        <x:v>station-component|稲沢|東海旅客鉄道|conventional_rail|35.2531|136.8209|</x:v>
      </x:c>
      <x:c r="V1742" s="19" t="str">
        <x:v>005226 / 005226 / 東海道線</x:v>
      </x:c>
      <x:c r="W1742" s="18" t="str">
        <x:v>否</x:v>
      </x:c>
      <x:c r="X1742" s="18" t="str">
        <x:v>0785e932a32b3ec15e1a1345537ae145eafe1c07bf38d5c16c11ee2b391e7a28</x:v>
      </x:c>
      <x:c r="Y1742" s="20" t="n">
        <x:v>1</x:v>
      </x:c>
      <x:c r="Z1742" s="20" t="n">
        <x:v>1</x:v>
      </x:c>
      <x:c r="AA1742" s="19"/>
      <x:c r="AB1742" s="18"/>
      <x:c r="AC1742" s="19"/>
    </x:row>
    <x:row r="1743" ht="28" customHeight="1">
      <x:c r="A1743" s="18" t="str">
        <x:v>稲田堤</x:v>
      </x:c>
      <x:c r="B1743" s="18" t="str">
        <x:v>東日本旅客鉄道</x:v>
      </x:c>
      <x:c r="C1743" s="18" t="str">
        <x:v>conventional_rail</x:v>
      </x:c>
      <x:c r="D1743" s="19" t="str">
        <x:v>T2</x:v>
      </x:c>
      <x:c r="E1743" s="20" t="n">
        <x:v>47366</x:v>
      </x:c>
      <x:c r="F1743" s="18" t="str">
        <x:v>persons/day</x:v>
      </x:c>
      <x:c r="G1743" s="18" t="str">
        <x:v>FY2024</x:v>
      </x:c>
      <x:c r="H1743" s="18" t="str">
        <x:v>否</x:v>
      </x:c>
      <x:c r="I1743" s="19" t="str">
        <x:v>DAILY_ENTRIES_EXITS</x:v>
      </x:c>
      <x:c r="J1743" s="19" t="str">
        <x:v>南武線</x:v>
      </x:c>
      <x:c r="K1743" s="18" t="str">
        <x:v>transport-node:821d5e6e-c566-545d-96d9-eea842e8170c</x:v>
      </x:c>
      <x:c r="L1743" s="19" t="str">
        <x:v>组件待审核</x:v>
      </x:c>
      <x:c r="M1743" s="21" t="n">
        <x:v>35.63341</x:v>
      </x:c>
      <x:c r="N1743" s="21" t="n">
        <x:v>139.535935</x:v>
      </x:c>
      <x:c r="O1743" s="18" t="str">
        <x:v>004067</x:v>
      </x:c>
      <x:c r="P1743" s="18" t="str">
        <x:v>南武線</x:v>
      </x:c>
      <x:c r="Q1743" s="19" t="str">
        <x:v>S12_061_GE_10000</x:v>
      </x:c>
      <x:c r="R1743" s="19" t="str">
        <x:v>S12_061 usage threshold</x:v>
      </x:c>
      <x:c r="S1743" s="19" t="str">
        <x:v>https://nlftp.mlit.go.jp/ksj/gml/datalist/KsjTmplt-S12-2024.html</x:v>
      </x:c>
      <x:c r="T1743" s="19" t="str">
        <x:v>https://nlftp.mlit.go.jp/ksj/gml/datalist/KsjTmplt-S12-2024.html</x:v>
      </x:c>
      <x:c r="U1743" s="19" t="str">
        <x:v>station-component|稲田堤|東日本旅客鉄道|conventional_rail|35.6334|139.5359|</x:v>
      </x:c>
      <x:c r="V1743" s="19" t="str">
        <x:v>004067 / 004067 / 南武線</x:v>
      </x:c>
      <x:c r="W1743" s="18" t="str">
        <x:v>否</x:v>
      </x:c>
      <x:c r="X1743" s="18" t="str">
        <x:v>0785e932a32b3ec15e1a1345537ae145eafe1c07bf38d5c16c11ee2b391e7a28</x:v>
      </x:c>
      <x:c r="Y1743" s="20" t="n">
        <x:v>1</x:v>
      </x:c>
      <x:c r="Z1743" s="20" t="n">
        <x:v>1</x:v>
      </x:c>
      <x:c r="AA1743" s="19"/>
      <x:c r="AB1743" s="18"/>
      <x:c r="AC1743" s="19"/>
    </x:row>
    <x:row r="1744" ht="28" customHeight="1">
      <x:c r="A1744" s="18" t="str">
        <x:v>稲荷</x:v>
      </x:c>
      <x:c r="B1744" s="18" t="str">
        <x:v>西日本旅客鉄道</x:v>
      </x:c>
      <x:c r="C1744" s="18" t="str">
        <x:v>conventional_rail</x:v>
      </x:c>
      <x:c r="D1744" s="19" t="str">
        <x:v>T2</x:v>
      </x:c>
      <x:c r="E1744" s="20" t="n">
        <x:v>21562</x:v>
      </x:c>
      <x:c r="F1744" s="18" t="str">
        <x:v>persons/day</x:v>
      </x:c>
      <x:c r="G1744" s="18" t="str">
        <x:v>FY2024</x:v>
      </x:c>
      <x:c r="H1744" s="18" t="str">
        <x:v>否</x:v>
      </x:c>
      <x:c r="I1744" s="19" t="str">
        <x:v>DAILY_ENTRIES_EXITS</x:v>
      </x:c>
      <x:c r="J1744" s="19" t="str">
        <x:v>奈良線</x:v>
      </x:c>
      <x:c r="K1744" s="18" t="str">
        <x:v>transport-node:7dc2da68-84a4-59e3-91d1-155e15305c6a</x:v>
      </x:c>
      <x:c r="L1744" s="19" t="str">
        <x:v>组件待审核</x:v>
      </x:c>
      <x:c r="M1744" s="21" t="n">
        <x:v>34.9667467</x:v>
      </x:c>
      <x:c r="N1744" s="21" t="n">
        <x:v>135.77074</x:v>
      </x:c>
      <x:c r="O1744" s="18" t="str">
        <x:v>006145</x:v>
      </x:c>
      <x:c r="P1744" s="18" t="str">
        <x:v>奈良線</x:v>
      </x:c>
      <x:c r="Q1744" s="19" t="str">
        <x:v>S12_061_GE_10000</x:v>
      </x:c>
      <x:c r="R1744" s="19" t="str">
        <x:v>S12_061 usage threshold</x:v>
      </x:c>
      <x:c r="S1744" s="19" t="str">
        <x:v>https://nlftp.mlit.go.jp/ksj/gml/datalist/KsjTmplt-S12-2024.html</x:v>
      </x:c>
      <x:c r="T1744" s="19" t="str">
        <x:v>https://nlftp.mlit.go.jp/ksj/gml/datalist/KsjTmplt-S12-2024.html</x:v>
      </x:c>
      <x:c r="U1744" s="19" t="str">
        <x:v>station-component|稲荷|西日本旅客鉄道|conventional_rail|34.9667|135.7707|</x:v>
      </x:c>
      <x:c r="V1744" s="19" t="str">
        <x:v>006145 / 006145 / 奈良線</x:v>
      </x:c>
      <x:c r="W1744" s="18" t="str">
        <x:v>否</x:v>
      </x:c>
      <x:c r="X1744" s="18" t="str">
        <x:v>0785e932a32b3ec15e1a1345537ae145eafe1c07bf38d5c16c11ee2b391e7a28</x:v>
      </x:c>
      <x:c r="Y1744" s="20" t="n">
        <x:v>1</x:v>
      </x:c>
      <x:c r="Z1744" s="20" t="n">
        <x:v>1</x:v>
      </x:c>
      <x:c r="AA1744" s="19"/>
      <x:c r="AB1744" s="18"/>
      <x:c r="AC1744" s="19"/>
    </x:row>
    <x:row r="1745" ht="28" customHeight="1">
      <x:c r="A1745" s="18" t="str">
        <x:v>稲荷町</x:v>
      </x:c>
      <x:c r="B1745" s="18" t="str">
        <x:v>東京地下鉄</x:v>
      </x:c>
      <x:c r="C1745" s="18" t="str">
        <x:v>metro</x:v>
      </x:c>
      <x:c r="D1745" s="19" t="str">
        <x:v>T2</x:v>
      </x:c>
      <x:c r="E1745" s="20" t="n">
        <x:v>18891</x:v>
      </x:c>
      <x:c r="F1745" s="18" t="str">
        <x:v>persons/day</x:v>
      </x:c>
      <x:c r="G1745" s="18" t="str">
        <x:v>FY2024</x:v>
      </x:c>
      <x:c r="H1745" s="18" t="str">
        <x:v>否</x:v>
      </x:c>
      <x:c r="I1745" s="19" t="str">
        <x:v>DAILY_ENTRIES_EXITS</x:v>
      </x:c>
      <x:c r="J1745" s="19" t="str">
        <x:v>3号線銀座線</x:v>
      </x:c>
      <x:c r="K1745" s="18" t="str">
        <x:v>transport-node:8e8143a0-5595-52ff-9dde-fa95b7a26376</x:v>
      </x:c>
      <x:c r="L1745" s="19" t="str">
        <x:v>组件待审核</x:v>
      </x:c>
      <x:c r="M1745" s="21" t="n">
        <x:v>35.7114033</x:v>
      </x:c>
      <x:c r="N1745" s="21" t="n">
        <x:v>139.78212</x:v>
      </x:c>
      <x:c r="O1745" s="18" t="str">
        <x:v>003519</x:v>
      </x:c>
      <x:c r="P1745" s="18" t="str">
        <x:v>3号線銀座線</x:v>
      </x:c>
      <x:c r="Q1745" s="19" t="str">
        <x:v>S12_061_GE_10000</x:v>
      </x:c>
      <x:c r="R1745" s="19" t="str">
        <x:v>S12_061 usage threshold</x:v>
      </x:c>
      <x:c r="S1745" s="19" t="str">
        <x:v>https://nlftp.mlit.go.jp/ksj/gml/datalist/KsjTmplt-S12-2024.html</x:v>
      </x:c>
      <x:c r="T1745" s="19" t="str">
        <x:v>https://nlftp.mlit.go.jp/ksj/gml/datalist/KsjTmplt-S12-2024.html</x:v>
      </x:c>
      <x:c r="U1745" s="19" t="str">
        <x:v>station-component|稲荷町|東京地下鉄|metro|35.7114|139.7821|</x:v>
      </x:c>
      <x:c r="V1745" s="19" t="str">
        <x:v>003519 / 003519 / 3号線銀座線</x:v>
      </x:c>
      <x:c r="W1745" s="18" t="str">
        <x:v>否</x:v>
      </x:c>
      <x:c r="X1745" s="18" t="str">
        <x:v>0785e932a32b3ec15e1a1345537ae145eafe1c07bf38d5c16c11ee2b391e7a28</x:v>
      </x:c>
      <x:c r="Y1745" s="20" t="n">
        <x:v>1</x:v>
      </x:c>
      <x:c r="Z1745" s="20" t="n">
        <x:v>1</x:v>
      </x:c>
      <x:c r="AA1745" s="19"/>
      <x:c r="AB1745" s="18"/>
      <x:c r="AC1745" s="19"/>
    </x:row>
    <x:row r="1746" ht="28" customHeight="1">
      <x:c r="A1746" s="18" t="str">
        <x:v>穂積</x:v>
      </x:c>
      <x:c r="B1746" s="18" t="str">
        <x:v>東海旅客鉄道</x:v>
      </x:c>
      <x:c r="C1746" s="18" t="str">
        <x:v>conventional_rail</x:v>
      </x:c>
      <x:c r="D1746" s="19" t="str">
        <x:v>T2</x:v>
      </x:c>
      <x:c r="E1746" s="20" t="n">
        <x:v>17505</x:v>
      </x:c>
      <x:c r="F1746" s="18" t="str">
        <x:v>persons/day</x:v>
      </x:c>
      <x:c r="G1746" s="18" t="str">
        <x:v>FY2024</x:v>
      </x:c>
      <x:c r="H1746" s="18" t="str">
        <x:v>否</x:v>
      </x:c>
      <x:c r="I1746" s="19" t="str">
        <x:v>DAILY_ENTRIES_EXITS</x:v>
      </x:c>
      <x:c r="J1746" s="19" t="str">
        <x:v>東海道線</x:v>
      </x:c>
      <x:c r="K1746" s="18" t="str">
        <x:v>transport-node:99a05b62-a0dc-5448-9766-efba4541c7b6</x:v>
      </x:c>
      <x:c r="L1746" s="19" t="str">
        <x:v>组件待审核</x:v>
      </x:c>
      <x:c r="M1746" s="21" t="n">
        <x:v>35.396265</x:v>
      </x:c>
      <x:c r="N1746" s="21" t="n">
        <x:v>136.693635</x:v>
      </x:c>
      <x:c r="O1746" s="18" t="str">
        <x:v>004841</x:v>
      </x:c>
      <x:c r="P1746" s="18" t="str">
        <x:v>東海道線</x:v>
      </x:c>
      <x:c r="Q1746" s="19" t="str">
        <x:v>S12_061_GE_10000</x:v>
      </x:c>
      <x:c r="R1746" s="19" t="str">
        <x:v>S12_061 usage threshold</x:v>
      </x:c>
      <x:c r="S1746" s="19" t="str">
        <x:v>https://nlftp.mlit.go.jp/ksj/gml/datalist/KsjTmplt-S12-2024.html</x:v>
      </x:c>
      <x:c r="T1746" s="19" t="str">
        <x:v>https://nlftp.mlit.go.jp/ksj/gml/datalist/KsjTmplt-S12-2024.html</x:v>
      </x:c>
      <x:c r="U1746" s="19" t="str">
        <x:v>station-component|穂積|東海旅客鉄道|conventional_rail|35.3963|136.6936|</x:v>
      </x:c>
      <x:c r="V1746" s="19" t="str">
        <x:v>004841 / 004841 / 東海道線</x:v>
      </x:c>
      <x:c r="W1746" s="18" t="str">
        <x:v>否</x:v>
      </x:c>
      <x:c r="X1746" s="18" t="str">
        <x:v>0785e932a32b3ec15e1a1345537ae145eafe1c07bf38d5c16c11ee2b391e7a28</x:v>
      </x:c>
      <x:c r="Y1746" s="20" t="n">
        <x:v>1</x:v>
      </x:c>
      <x:c r="Z1746" s="20" t="n">
        <x:v>1</x:v>
      </x:c>
      <x:c r="AA1746" s="19"/>
      <x:c r="AB1746" s="18"/>
      <x:c r="AC1746" s="19"/>
    </x:row>
    <x:row r="1747" ht="28" customHeight="1">
      <x:c r="A1747" s="18" t="str">
        <x:v>穴守稲荷</x:v>
      </x:c>
      <x:c r="B1747" s="18" t="str">
        <x:v>京浜急行電鉄</x:v>
      </x:c>
      <x:c r="C1747" s="18" t="str">
        <x:v>private_rail</x:v>
      </x:c>
      <x:c r="D1747" s="19" t="str">
        <x:v>T2</x:v>
      </x:c>
      <x:c r="E1747" s="20" t="n">
        <x:v>20698</x:v>
      </x:c>
      <x:c r="F1747" s="18" t="str">
        <x:v>persons/day</x:v>
      </x:c>
      <x:c r="G1747" s="18" t="str">
        <x:v>FY2024</x:v>
      </x:c>
      <x:c r="H1747" s="18" t="str">
        <x:v>否</x:v>
      </x:c>
      <x:c r="I1747" s="19" t="str">
        <x:v>DAILY_ENTRIES_EXITS</x:v>
      </x:c>
      <x:c r="J1747" s="19" t="str">
        <x:v>空港線</x:v>
      </x:c>
      <x:c r="K1747" s="18" t="str">
        <x:v>transport-node:55aad9c2-9092-5ec0-b6c8-a27e981ec820</x:v>
      </x:c>
      <x:c r="L1747" s="19" t="str">
        <x:v>组件待审核</x:v>
      </x:c>
      <x:c r="M1747" s="21" t="n">
        <x:v>35.5503333</x:v>
      </x:c>
      <x:c r="N1747" s="21" t="n">
        <x:v>139.7467167</x:v>
      </x:c>
      <x:c r="O1747" s="18" t="str">
        <x:v>004364</x:v>
      </x:c>
      <x:c r="P1747" s="18" t="str">
        <x:v>空港線</x:v>
      </x:c>
      <x:c r="Q1747" s="19" t="str">
        <x:v>S12_061_GE_10000</x:v>
      </x:c>
      <x:c r="R1747" s="19" t="str">
        <x:v>S12_061 usage threshold</x:v>
      </x:c>
      <x:c r="S1747" s="19" t="str">
        <x:v>https://nlftp.mlit.go.jp/ksj/gml/datalist/KsjTmplt-S12-2024.html</x:v>
      </x:c>
      <x:c r="T1747" s="19" t="str">
        <x:v>https://nlftp.mlit.go.jp/ksj/gml/datalist/KsjTmplt-S12-2024.html</x:v>
      </x:c>
      <x:c r="U1747" s="19" t="str">
        <x:v>station-component|穴守稲荷|京浜急行電鉄|private_rail|35.5503|139.7467|</x:v>
      </x:c>
      <x:c r="V1747" s="19" t="str">
        <x:v>004364 / 004364 / 空港線</x:v>
      </x:c>
      <x:c r="W1747" s="18" t="str">
        <x:v>否</x:v>
      </x:c>
      <x:c r="X1747" s="18" t="str">
        <x:v>0785e932a32b3ec15e1a1345537ae145eafe1c07bf38d5c16c11ee2b391e7a28</x:v>
      </x:c>
      <x:c r="Y1747" s="20" t="n">
        <x:v>1</x:v>
      </x:c>
      <x:c r="Z1747" s="20" t="n">
        <x:v>1</x:v>
      </x:c>
      <x:c r="AA1747" s="19"/>
      <x:c r="AB1747" s="18"/>
      <x:c r="AC1747" s="19"/>
    </x:row>
    <x:row r="1748" ht="33" customHeight="1">
      <x:c r="A1748" s="18" t="str">
        <x:v>空港第2ビル</x:v>
      </x:c>
      <x:c r="B1748" s="18" t="str">
        <x:v>京成電鉄</x:v>
      </x:c>
      <x:c r="C1748" s="18" t="str">
        <x:v>private_rail</x:v>
      </x:c>
      <x:c r="D1748" s="19" t="str">
        <x:v>T2</x:v>
      </x:c>
      <x:c r="E1748" s="20" t="n">
        <x:v>35735</x:v>
      </x:c>
      <x:c r="F1748" s="18" t="str">
        <x:v>persons/day</x:v>
      </x:c>
      <x:c r="G1748" s="18" t="str">
        <x:v>FY2024</x:v>
      </x:c>
      <x:c r="H1748" s="18" t="str">
        <x:v>否</x:v>
      </x:c>
      <x:c r="I1748" s="19" t="str">
        <x:v>DAILY_ENTRIES_EXITS</x:v>
      </x:c>
      <x:c r="J1748" s="19" t="str">
        <x:v>成田空港線
本線</x:v>
      </x:c>
      <x:c r="K1748" s="18" t="str">
        <x:v>transport-node:f46e3802-810e-5065-a651-dabff78d594a</x:v>
      </x:c>
      <x:c r="L1748" s="19" t="str">
        <x:v>组件待审核</x:v>
      </x:c>
      <x:c r="M1748" s="21" t="n">
        <x:v>35.77296</x:v>
      </x:c>
      <x:c r="N1748" s="21" t="n">
        <x:v>140.38761</x:v>
      </x:c>
      <x:c r="O1748" s="18" t="str">
        <x:v>003175</x:v>
      </x:c>
      <x:c r="P1748" s="18" t="str">
        <x:v>本線</x:v>
      </x:c>
      <x:c r="Q1748" s="19" t="str">
        <x:v>S12_061_GE_10000
AIRPORT_ACCESS_AUDIT</x:v>
      </x:c>
      <x:c r="R1748" s="19" t="str">
        <x:v>S12_061 usage threshold</x:v>
      </x:c>
      <x:c r="S1748" s="19" t="str">
        <x:v>https://nlftp.mlit.go.jp/ksj/gml/datalist/KsjTmplt-S12-2024.html</x:v>
      </x:c>
      <x:c r="T1748" s="19" t="str">
        <x:v>https://nlftp.mlit.go.jp/ksj/gml/datalist/KsjTmplt-S12-2024.html</x:v>
      </x:c>
      <x:c r="U1748" s="19" t="str">
        <x:v>station-component|空港第2ビル|京成電鉄|private_rail|35.7730|140.3876|</x:v>
      </x:c>
      <x:c r="V1748" s="19" t="str">
        <x:v>003173 / 003174 / 成田空港線
003173 / 003175 / 本線</x:v>
      </x:c>
      <x:c r="W1748" s="18" t="str">
        <x:v>否</x:v>
      </x:c>
      <x:c r="X1748" s="18" t="str">
        <x:v>0785e932a32b3ec15e1a1345537ae145eafe1c07bf38d5c16c11ee2b391e7a28</x:v>
      </x:c>
      <x:c r="Y1748" s="20" t="n">
        <x:v>1</x:v>
      </x:c>
      <x:c r="Z1748" s="20" t="n">
        <x:v>1</x:v>
      </x:c>
      <x:c r="AA1748" s="19"/>
      <x:c r="AB1748" s="18"/>
      <x:c r="AC1748" s="19"/>
    </x:row>
    <x:row r="1749" ht="33" customHeight="1">
      <x:c r="A1749" s="18" t="str">
        <x:v>空港第2ビル</x:v>
      </x:c>
      <x:c r="B1749" s="18" t="str">
        <x:v>東日本旅客鉄道</x:v>
      </x:c>
      <x:c r="C1749" s="18" t="str">
        <x:v>conventional_rail</x:v>
      </x:c>
      <x:c r="D1749" s="19" t="str">
        <x:v>T2</x:v>
      </x:c>
      <x:c r="E1749" s="20" t="n">
        <x:v>11980</x:v>
      </x:c>
      <x:c r="F1749" s="18" t="str">
        <x:v>persons/day</x:v>
      </x:c>
      <x:c r="G1749" s="18" t="str">
        <x:v>FY2024</x:v>
      </x:c>
      <x:c r="H1749" s="18" t="str">
        <x:v>否</x:v>
      </x:c>
      <x:c r="I1749" s="19" t="str">
        <x:v>DAILY_ENTRIES_EXITS</x:v>
      </x:c>
      <x:c r="J1749" s="19" t="str">
        <x:v>成田線</x:v>
      </x:c>
      <x:c r="K1749" s="18" t="str">
        <x:v>transport-node:c5f183c4-faf2-5224-855e-e536c20dff7c</x:v>
      </x:c>
      <x:c r="L1749" s="19" t="str">
        <x:v>组件待审核</x:v>
      </x:c>
      <x:c r="M1749" s="21" t="n">
        <x:v>35.77296</x:v>
      </x:c>
      <x:c r="N1749" s="21" t="n">
        <x:v>140.38761</x:v>
      </x:c>
      <x:c r="O1749" s="18" t="str">
        <x:v>003173</x:v>
      </x:c>
      <x:c r="P1749" s="18" t="str">
        <x:v>成田線</x:v>
      </x:c>
      <x:c r="Q1749" s="19" t="str">
        <x:v>S12_061_GE_10000
AIRPORT_ACCESS_AUDIT</x:v>
      </x:c>
      <x:c r="R1749" s="19" t="str">
        <x:v>S12_061 usage threshold</x:v>
      </x:c>
      <x:c r="S1749" s="19" t="str">
        <x:v>https://nlftp.mlit.go.jp/ksj/gml/datalist/KsjTmplt-S12-2024.html</x:v>
      </x:c>
      <x:c r="T1749" s="19" t="str">
        <x:v>https://nlftp.mlit.go.jp/ksj/gml/datalist/KsjTmplt-S12-2024.html</x:v>
      </x:c>
      <x:c r="U1749" s="19" t="str">
        <x:v>station-component|空港第2ビル|東日本旅客鉄道|conventional_rail|35.7730|140.3876|</x:v>
      </x:c>
      <x:c r="V1749" s="19" t="str">
        <x:v>003173 / 003173 / 成田線</x:v>
      </x:c>
      <x:c r="W1749" s="18" t="str">
        <x:v>否</x:v>
      </x:c>
      <x:c r="X1749" s="18" t="str">
        <x:v>0785e932a32b3ec15e1a1345537ae145eafe1c07bf38d5c16c11ee2b391e7a28</x:v>
      </x:c>
      <x:c r="Y1749" s="20" t="n">
        <x:v>1</x:v>
      </x:c>
      <x:c r="Z1749" s="20" t="n">
        <x:v>1</x:v>
      </x:c>
      <x:c r="AA1749" s="19"/>
      <x:c r="AB1749" s="18"/>
      <x:c r="AC1749" s="19"/>
    </x:row>
    <x:row r="1750" ht="28" customHeight="1">
      <x:c r="A1750" s="18" t="str">
        <x:v>立会川</x:v>
      </x:c>
      <x:c r="B1750" s="18" t="str">
        <x:v>京浜急行電鉄</x:v>
      </x:c>
      <x:c r="C1750" s="18" t="str">
        <x:v>private_rail</x:v>
      </x:c>
      <x:c r="D1750" s="19" t="str">
        <x:v>T2</x:v>
      </x:c>
      <x:c r="E1750" s="20" t="n">
        <x:v>17669</x:v>
      </x:c>
      <x:c r="F1750" s="18" t="str">
        <x:v>persons/day</x:v>
      </x:c>
      <x:c r="G1750" s="18" t="str">
        <x:v>FY2024</x:v>
      </x:c>
      <x:c r="H1750" s="18" t="str">
        <x:v>否</x:v>
      </x:c>
      <x:c r="I1750" s="19" t="str">
        <x:v>DAILY_ENTRIES_EXITS</x:v>
      </x:c>
      <x:c r="J1750" s="19" t="str">
        <x:v>本線</x:v>
      </x:c>
      <x:c r="K1750" s="18" t="str">
        <x:v>transport-node:39018b02-f1a8-5e9e-bda1-067c7b812905</x:v>
      </x:c>
      <x:c r="L1750" s="19" t="str">
        <x:v>组件待审核</x:v>
      </x:c>
      <x:c r="M1750" s="21" t="n">
        <x:v>35.598505</x:v>
      </x:c>
      <x:c r="N1750" s="21" t="n">
        <x:v>139.738945</x:v>
      </x:c>
      <x:c r="O1750" s="18" t="str">
        <x:v>004244</x:v>
      </x:c>
      <x:c r="P1750" s="18" t="str">
        <x:v>本線</x:v>
      </x:c>
      <x:c r="Q1750" s="19" t="str">
        <x:v>S12_061_GE_10000</x:v>
      </x:c>
      <x:c r="R1750" s="19" t="str">
        <x:v>S12_061 usage threshold</x:v>
      </x:c>
      <x:c r="S1750" s="19" t="str">
        <x:v>https://nlftp.mlit.go.jp/ksj/gml/datalist/KsjTmplt-S12-2024.html</x:v>
      </x:c>
      <x:c r="T1750" s="19" t="str">
        <x:v>https://nlftp.mlit.go.jp/ksj/gml/datalist/KsjTmplt-S12-2024.html</x:v>
      </x:c>
      <x:c r="U1750" s="19" t="str">
        <x:v>station-component|立会川|京浜急行電鉄|private_rail|35.5985|139.7389|</x:v>
      </x:c>
      <x:c r="V1750" s="19" t="str">
        <x:v>004244 / 004244 / 本線</x:v>
      </x:c>
      <x:c r="W1750" s="18" t="str">
        <x:v>否</x:v>
      </x:c>
      <x:c r="X1750" s="18" t="str">
        <x:v>0785e932a32b3ec15e1a1345537ae145eafe1c07bf38d5c16c11ee2b391e7a28</x:v>
      </x:c>
      <x:c r="Y1750" s="20" t="n">
        <x:v>1</x:v>
      </x:c>
      <x:c r="Z1750" s="20" t="n">
        <x:v>1</x:v>
      </x:c>
      <x:c r="AA1750" s="19"/>
      <x:c r="AB1750" s="18"/>
      <x:c r="AC1750" s="19"/>
    </x:row>
    <x:row r="1751" ht="28" customHeight="1">
      <x:c r="A1751" s="18" t="str">
        <x:v>立場</x:v>
      </x:c>
      <x:c r="B1751" s="18" t="str">
        <x:v>横浜市</x:v>
      </x:c>
      <x:c r="C1751" s="18" t="str">
        <x:v>metro</x:v>
      </x:c>
      <x:c r="D1751" s="19" t="str">
        <x:v>T2</x:v>
      </x:c>
      <x:c r="E1751" s="20" t="n">
        <x:v>10149</x:v>
      </x:c>
      <x:c r="F1751" s="18" t="str">
        <x:v>persons/day</x:v>
      </x:c>
      <x:c r="G1751" s="18" t="str">
        <x:v>FY2024</x:v>
      </x:c>
      <x:c r="H1751" s="18" t="str">
        <x:v>否</x:v>
      </x:c>
      <x:c r="I1751" s="19" t="str">
        <x:v>DAILY_ENTRIES_EXITS</x:v>
      </x:c>
      <x:c r="J1751" s="19" t="str">
        <x:v>1号線</x:v>
      </x:c>
      <x:c r="K1751" s="18" t="str">
        <x:v>transport-node:a6ea8ff8-cfdf-53e3-bf29-71439f053d97</x:v>
      </x:c>
      <x:c r="L1751" s="19" t="str">
        <x:v>组件待审核</x:v>
      </x:c>
      <x:c r="M1751" s="21" t="n">
        <x:v>35.41438</x:v>
      </x:c>
      <x:c r="N1751" s="21" t="n">
        <x:v>139.5007</x:v>
      </x:c>
      <x:c r="O1751" s="18" t="str">
        <x:v>004775</x:v>
      </x:c>
      <x:c r="P1751" s="18" t="str">
        <x:v>1号線</x:v>
      </x:c>
      <x:c r="Q1751" s="19" t="str">
        <x:v>S12_061_GE_10000</x:v>
      </x:c>
      <x:c r="R1751" s="19" t="str">
        <x:v>S12_061 usage threshold</x:v>
      </x:c>
      <x:c r="S1751" s="19" t="str">
        <x:v>https://nlftp.mlit.go.jp/ksj/gml/datalist/KsjTmplt-S12-2024.html</x:v>
      </x:c>
      <x:c r="T1751" s="19" t="str">
        <x:v>https://nlftp.mlit.go.jp/ksj/gml/datalist/KsjTmplt-S12-2024.html</x:v>
      </x:c>
      <x:c r="U1751" s="19" t="str">
        <x:v>station-component|立場|横浜市|metro|35.4144|139.5007|</x:v>
      </x:c>
      <x:c r="V1751" s="19" t="str">
        <x:v>004775 / 004775 / 1号線</x:v>
      </x:c>
      <x:c r="W1751" s="18" t="str">
        <x:v>否</x:v>
      </x:c>
      <x:c r="X1751" s="18" t="str">
        <x:v>0785e932a32b3ec15e1a1345537ae145eafe1c07bf38d5c16c11ee2b391e7a28</x:v>
      </x:c>
      <x:c r="Y1751" s="20" t="n">
        <x:v>1</x:v>
      </x:c>
      <x:c r="Z1751" s="20" t="n">
        <x:v>1</x:v>
      </x:c>
      <x:c r="AA1751" s="19"/>
      <x:c r="AB1751" s="18"/>
      <x:c r="AC1751" s="19"/>
    </x:row>
    <x:row r="1752" ht="47" customHeight="1">
      <x:c r="A1752" s="18" t="str">
        <x:v>立川</x:v>
      </x:c>
      <x:c r="B1752" s="18" t="str">
        <x:v>東日本旅客鉄道</x:v>
      </x:c>
      <x:c r="C1752" s="18" t="str">
        <x:v>conventional_rail</x:v>
      </x:c>
      <x:c r="D1752" s="19" t="str">
        <x:v>T0</x:v>
      </x:c>
      <x:c r="E1752" s="20" t="n">
        <x:v>308182</x:v>
      </x:c>
      <x:c r="F1752" s="18" t="str">
        <x:v>persons/day</x:v>
      </x:c>
      <x:c r="G1752" s="18" t="str">
        <x:v>FY2024</x:v>
      </x:c>
      <x:c r="H1752" s="18" t="str">
        <x:v>否</x:v>
      </x:c>
      <x:c r="I1752" s="19" t="str">
        <x:v>DAILY_ENTRIES_EXITS</x:v>
      </x:c>
      <x:c r="J1752" s="19" t="str">
        <x:v>中央線
南武線
青梅線</x:v>
      </x:c>
      <x:c r="K1752" s="18" t="str">
        <x:v>transport-node:e367976f-6c38-5e3a-8677-1f89135471bd</x:v>
      </x:c>
      <x:c r="L1752" s="19" t="str">
        <x:v>组件待审核</x:v>
      </x:c>
      <x:c r="M1752" s="21" t="n">
        <x:v>35.698025</x:v>
      </x:c>
      <x:c r="N1752" s="21" t="n">
        <x:v>139.4137825</x:v>
      </x:c>
      <x:c r="O1752" s="18" t="str">
        <x:v>003634</x:v>
      </x:c>
      <x:c r="P1752" s="18" t="str">
        <x:v>中央線</x:v>
      </x:c>
      <x:c r="Q1752" s="19" t="str">
        <x:v>S12_061_GE_10000
OFFICIAL_HUB_COMPONENT_REVIEW</x:v>
      </x:c>
      <x:c r="R1752" s="19" t="str">
        <x:v>S12_061 usage threshold</x:v>
      </x:c>
      <x:c r="S1752" s="19" t="str">
        <x:v>https://nlftp.mlit.go.jp/ksj/gml/datalist/KsjTmplt-S12-2024.html</x:v>
      </x:c>
      <x:c r="T1752" s="19" t="str">
        <x:v>https://nlftp.mlit.go.jp/ksj/gml/datalist/KsjTmplt-S12-2024.html
https://www.tama-monorail.co.jp/monorail/station/tachikawa-minami/</x:v>
      </x:c>
      <x:c r="U1752" s="19" t="str">
        <x:v>station-component|立川|東日本旅客鉄道|conventional_rail|35.6980|139.4138|</x:v>
      </x:c>
      <x:c r="V1752" s="19" t="str">
        <x:v>003634 / 003627 / 青梅線
003634 / 003634 / 中央線
003634 / 003637 / 南武線</x:v>
      </x:c>
      <x:c r="W1752" s="18" t="str">
        <x:v>否</x:v>
      </x:c>
      <x:c r="X1752" s="18" t="str">
        <x:v>0785e932a32b3ec15e1a1345537ae145eafe1c07bf38d5c16c11ee2b391e7a28</x:v>
      </x:c>
      <x:c r="Y1752" s="20" t="n">
        <x:v>1</x:v>
      </x:c>
      <x:c r="Z1752" s="20" t="n">
        <x:v>1</x:v>
      </x:c>
      <x:c r="AA1752" s="19" t="str">
        <x:v>立川</x:v>
      </x:c>
      <x:c r="AB1752" s="18" t="str">
        <x:v>transport-hub-review:b5df1a9a-192f-5074-9253-71bc6ceb8378</x:v>
      </x:c>
      <x:c r="AC1752" s="19"/>
    </x:row>
    <x:row r="1753" ht="33" customHeight="1">
      <x:c r="A1753" s="18" t="str">
        <x:v>立川北</x:v>
      </x:c>
      <x:c r="B1753" s="18" t="str">
        <x:v>多摩都市モノレール</x:v>
      </x:c>
      <x:c r="C1753" s="18" t="str">
        <x:v>fixed_guideway</x:v>
      </x:c>
      <x:c r="D1753" s="19" t="str">
        <x:v>T2</x:v>
      </x:c>
      <x:c r="E1753" s="20" t="n">
        <x:v>44015</x:v>
      </x:c>
      <x:c r="F1753" s="18" t="str">
        <x:v>persons/day</x:v>
      </x:c>
      <x:c r="G1753" s="18" t="str">
        <x:v>FY2024</x:v>
      </x:c>
      <x:c r="H1753" s="18" t="str">
        <x:v>否</x:v>
      </x:c>
      <x:c r="I1753" s="19" t="str">
        <x:v>DAILY_ENTRIES_EXITS</x:v>
      </x:c>
      <x:c r="J1753" s="19" t="str">
        <x:v>多摩都市モノレール線</x:v>
      </x:c>
      <x:c r="K1753" s="18" t="str">
        <x:v>transport-node:9d9a4d8a-a279-5ced-96f6-9fdc026616ec</x:v>
      </x:c>
      <x:c r="L1753" s="19" t="str">
        <x:v>组件待审核</x:v>
      </x:c>
      <x:c r="M1753" s="21" t="n">
        <x:v>35.699525</x:v>
      </x:c>
      <x:c r="N1753" s="21" t="n">
        <x:v>139.412665</x:v>
      </x:c>
      <x:c r="O1753" s="18" t="str">
        <x:v>003617</x:v>
      </x:c>
      <x:c r="P1753" s="18" t="str">
        <x:v>多摩都市モノレール線</x:v>
      </x:c>
      <x:c r="Q1753" s="19" t="str">
        <x:v>S12_061_GE_10000
OFFICIAL_HUB_COMPONENT_REVIEW</x:v>
      </x:c>
      <x:c r="R1753" s="19" t="str">
        <x:v>S12_061 usage threshold</x:v>
      </x:c>
      <x:c r="S1753" s="19" t="str">
        <x:v>https://nlftp.mlit.go.jp/ksj/gml/datalist/KsjTmplt-S12-2024.html</x:v>
      </x:c>
      <x:c r="T1753" s="19" t="str">
        <x:v>https://nlftp.mlit.go.jp/ksj/gml/datalist/KsjTmplt-S12-2024.html
https://www.tama-monorail.co.jp/monorail/station/tachikawa-minami/</x:v>
      </x:c>
      <x:c r="U1753" s="19" t="str">
        <x:v>station-component|立川北|多摩都市モノレール|fixed_guideway|35.6995|139.4127|</x:v>
      </x:c>
      <x:c r="V1753" s="19" t="str">
        <x:v>003617 / 003617 / 多摩都市モノレール線</x:v>
      </x:c>
      <x:c r="W1753" s="18" t="str">
        <x:v>否</x:v>
      </x:c>
      <x:c r="X1753" s="18" t="str">
        <x:v>0785e932a32b3ec15e1a1345537ae145eafe1c07bf38d5c16c11ee2b391e7a28</x:v>
      </x:c>
      <x:c r="Y1753" s="20" t="n">
        <x:v>1</x:v>
      </x:c>
      <x:c r="Z1753" s="20" t="n">
        <x:v>1</x:v>
      </x:c>
      <x:c r="AA1753" s="19" t="str">
        <x:v>立川</x:v>
      </x:c>
      <x:c r="AB1753" s="18" t="str">
        <x:v>transport-hub-review:b5df1a9a-192f-5074-9253-71bc6ceb8378</x:v>
      </x:c>
      <x:c r="AC1753" s="19"/>
    </x:row>
    <x:row r="1754" ht="33" customHeight="1">
      <x:c r="A1754" s="18" t="str">
        <x:v>立川南</x:v>
      </x:c>
      <x:c r="B1754" s="18" t="str">
        <x:v>多摩都市モノレール</x:v>
      </x:c>
      <x:c r="C1754" s="18" t="str">
        <x:v>fixed_guideway</x:v>
      </x:c>
      <x:c r="D1754" s="19" t="str">
        <x:v>T2</x:v>
      </x:c>
      <x:c r="E1754" s="20" t="n">
        <x:v>31877</x:v>
      </x:c>
      <x:c r="F1754" s="18" t="str">
        <x:v>persons/day</x:v>
      </x:c>
      <x:c r="G1754" s="18" t="str">
        <x:v>FY2024</x:v>
      </x:c>
      <x:c r="H1754" s="18" t="str">
        <x:v>否</x:v>
      </x:c>
      <x:c r="I1754" s="19" t="str">
        <x:v>DAILY_ENTRIES_EXITS</x:v>
      </x:c>
      <x:c r="J1754" s="19" t="str">
        <x:v>多摩都市モノレール線</x:v>
      </x:c>
      <x:c r="K1754" s="18" t="str">
        <x:v>transport-node:328932fd-7d26-5cce-846a-823dc4b9c8c6</x:v>
      </x:c>
      <x:c r="L1754" s="19" t="str">
        <x:v>组件待审核</x:v>
      </x:c>
      <x:c r="M1754" s="21" t="n">
        <x:v>35.69617</x:v>
      </x:c>
      <x:c r="N1754" s="21" t="n">
        <x:v>139.412575</x:v>
      </x:c>
      <x:c r="O1754" s="18" t="str">
        <x:v>003649</x:v>
      </x:c>
      <x:c r="P1754" s="18" t="str">
        <x:v>多摩都市モノレール線</x:v>
      </x:c>
      <x:c r="Q1754" s="19" t="str">
        <x:v>S12_061_GE_10000
OFFICIAL_HUB_COMPONENT_REVIEW</x:v>
      </x:c>
      <x:c r="R1754" s="19" t="str">
        <x:v>S12_061 usage threshold</x:v>
      </x:c>
      <x:c r="S1754" s="19" t="str">
        <x:v>https://nlftp.mlit.go.jp/ksj/gml/datalist/KsjTmplt-S12-2024.html</x:v>
      </x:c>
      <x:c r="T1754" s="19" t="str">
        <x:v>https://nlftp.mlit.go.jp/ksj/gml/datalist/KsjTmplt-S12-2024.html
https://www.tama-monorail.co.jp/monorail/station/tachikawa-minami/</x:v>
      </x:c>
      <x:c r="U1754" s="19" t="str">
        <x:v>station-component|立川南|多摩都市モノレール|fixed_guideway|35.6962|139.4126|</x:v>
      </x:c>
      <x:c r="V1754" s="19" t="str">
        <x:v>003649 / 003649 / 多摩都市モノレール線</x:v>
      </x:c>
      <x:c r="W1754" s="18" t="str">
        <x:v>否</x:v>
      </x:c>
      <x:c r="X1754" s="18" t="str">
        <x:v>0785e932a32b3ec15e1a1345537ae145eafe1c07bf38d5c16c11ee2b391e7a28</x:v>
      </x:c>
      <x:c r="Y1754" s="20" t="n">
        <x:v>1</x:v>
      </x:c>
      <x:c r="Z1754" s="20" t="n">
        <x:v>1</x:v>
      </x:c>
      <x:c r="AA1754" s="19" t="str">
        <x:v>立川</x:v>
      </x:c>
      <x:c r="AB1754" s="18" t="str">
        <x:v>transport-hub-review:b5df1a9a-192f-5074-9253-71bc6ceb8378</x:v>
      </x:c>
      <x:c r="AC1754" s="19"/>
    </x:row>
    <x:row r="1755" ht="28" customHeight="1">
      <x:c r="A1755" s="18" t="str">
        <x:v>立花</x:v>
      </x:c>
      <x:c r="B1755" s="18" t="str">
        <x:v>西日本旅客鉄道</x:v>
      </x:c>
      <x:c r="C1755" s="18" t="str">
        <x:v>conventional_rail</x:v>
      </x:c>
      <x:c r="D1755" s="19" t="str">
        <x:v>T2</x:v>
      </x:c>
      <x:c r="E1755" s="20" t="n">
        <x:v>46054</x:v>
      </x:c>
      <x:c r="F1755" s="18" t="str">
        <x:v>persons/day</x:v>
      </x:c>
      <x:c r="G1755" s="18" t="str">
        <x:v>FY2024</x:v>
      </x:c>
      <x:c r="H1755" s="18" t="str">
        <x:v>否</x:v>
      </x:c>
      <x:c r="I1755" s="19" t="str">
        <x:v>DAILY_ENTRIES_EXITS</x:v>
      </x:c>
      <x:c r="J1755" s="19" t="str">
        <x:v>東海道線</x:v>
      </x:c>
      <x:c r="K1755" s="18" t="str">
        <x:v>transport-node:7832d9c5-cb9f-584b-8f0e-ee9c3d27e573</x:v>
      </x:c>
      <x:c r="L1755" s="19" t="str">
        <x:v>组件待审核</x:v>
      </x:c>
      <x:c r="M1755" s="21" t="n">
        <x:v>34.737885</x:v>
      </x:c>
      <x:c r="N1755" s="21" t="n">
        <x:v>135.3996</x:v>
      </x:c>
      <x:c r="O1755" s="18" t="str">
        <x:v>006886</x:v>
      </x:c>
      <x:c r="P1755" s="18" t="str">
        <x:v>東海道線</x:v>
      </x:c>
      <x:c r="Q1755" s="19" t="str">
        <x:v>S12_061_GE_10000</x:v>
      </x:c>
      <x:c r="R1755" s="19" t="str">
        <x:v>S12_061 usage threshold</x:v>
      </x:c>
      <x:c r="S1755" s="19" t="str">
        <x:v>https://nlftp.mlit.go.jp/ksj/gml/datalist/KsjTmplt-S12-2024.html</x:v>
      </x:c>
      <x:c r="T1755" s="19" t="str">
        <x:v>https://nlftp.mlit.go.jp/ksj/gml/datalist/KsjTmplt-S12-2024.html</x:v>
      </x:c>
      <x:c r="U1755" s="19" t="str">
        <x:v>station-component|立花|西日本旅客鉄道|conventional_rail|34.7379|135.3996|</x:v>
      </x:c>
      <x:c r="V1755" s="19" t="str">
        <x:v>006886 / 006886 / 東海道線</x:v>
      </x:c>
      <x:c r="W1755" s="18" t="str">
        <x:v>否</x:v>
      </x:c>
      <x:c r="X1755" s="18" t="str">
        <x:v>0785e932a32b3ec15e1a1345537ae145eafe1c07bf38d5c16c11ee2b391e7a28</x:v>
      </x:c>
      <x:c r="Y1755" s="20" t="n">
        <x:v>1</x:v>
      </x:c>
      <x:c r="Z1755" s="20" t="n">
        <x:v>1</x:v>
      </x:c>
      <x:c r="AA1755" s="19"/>
      <x:c r="AB1755" s="18"/>
      <x:c r="AC1755" s="19"/>
    </x:row>
    <x:row r="1756" ht="28" customHeight="1">
      <x:c r="A1756" s="18" t="str">
        <x:v>立飛</x:v>
      </x:c>
      <x:c r="B1756" s="18" t="str">
        <x:v>多摩都市モノレール</x:v>
      </x:c>
      <x:c r="C1756" s="18" t="str">
        <x:v>fixed_guideway</x:v>
      </x:c>
      <x:c r="D1756" s="19" t="str">
        <x:v>T2</x:v>
      </x:c>
      <x:c r="E1756" s="20" t="n">
        <x:v>14304</x:v>
      </x:c>
      <x:c r="F1756" s="18" t="str">
        <x:v>persons/day</x:v>
      </x:c>
      <x:c r="G1756" s="18" t="str">
        <x:v>FY2024</x:v>
      </x:c>
      <x:c r="H1756" s="18" t="str">
        <x:v>否</x:v>
      </x:c>
      <x:c r="I1756" s="19" t="str">
        <x:v>DAILY_ENTRIES_EXITS</x:v>
      </x:c>
      <x:c r="J1756" s="19" t="str">
        <x:v>多摩都市モノレール線</x:v>
      </x:c>
      <x:c r="K1756" s="18" t="str">
        <x:v>transport-node:b52a5c96-7bd0-5d2c-bb69-294e84de6ae2</x:v>
      </x:c>
      <x:c r="L1756" s="19" t="str">
        <x:v>组件待审核</x:v>
      </x:c>
      <x:c r="M1756" s="21" t="n">
        <x:v>35.71427</x:v>
      </x:c>
      <x:c r="N1756" s="21" t="n">
        <x:v>139.41707</x:v>
      </x:c>
      <x:c r="O1756" s="18" t="str">
        <x:v>003499</x:v>
      </x:c>
      <x:c r="P1756" s="18" t="str">
        <x:v>多摩都市モノレール線</x:v>
      </x:c>
      <x:c r="Q1756" s="19" t="str">
        <x:v>S12_061_GE_10000</x:v>
      </x:c>
      <x:c r="R1756" s="19" t="str">
        <x:v>S12_061 usage threshold</x:v>
      </x:c>
      <x:c r="S1756" s="19" t="str">
        <x:v>https://nlftp.mlit.go.jp/ksj/gml/datalist/KsjTmplt-S12-2024.html</x:v>
      </x:c>
      <x:c r="T1756" s="19" t="str">
        <x:v>https://nlftp.mlit.go.jp/ksj/gml/datalist/KsjTmplt-S12-2024.html</x:v>
      </x:c>
      <x:c r="U1756" s="19" t="str">
        <x:v>station-component|立飛|多摩都市モノレール|fixed_guideway|35.7143|139.4171|</x:v>
      </x:c>
      <x:c r="V1756" s="19" t="str">
        <x:v>003499 / 003499 / 多摩都市モノレール線</x:v>
      </x:c>
      <x:c r="W1756" s="18" t="str">
        <x:v>否</x:v>
      </x:c>
      <x:c r="X1756" s="18" t="str">
        <x:v>0785e932a32b3ec15e1a1345537ae145eafe1c07bf38d5c16c11ee2b391e7a28</x:v>
      </x:c>
      <x:c r="Y1756" s="20" t="n">
        <x:v>1</x:v>
      </x:c>
      <x:c r="Z1756" s="20" t="n">
        <x:v>1</x:v>
      </x:c>
      <x:c r="AA1756" s="19"/>
      <x:c r="AB1756" s="18"/>
      <x:c r="AC1756" s="19"/>
    </x:row>
    <x:row r="1757" ht="28" customHeight="1">
      <x:c r="A1757" s="18" t="str">
        <x:v>竹ノ塚</x:v>
      </x:c>
      <x:c r="B1757" s="18" t="str">
        <x:v>東武鉄道</x:v>
      </x:c>
      <x:c r="C1757" s="18" t="str">
        <x:v>private_rail</x:v>
      </x:c>
      <x:c r="D1757" s="19" t="str">
        <x:v>T1</x:v>
      </x:c>
      <x:c r="E1757" s="20" t="n">
        <x:v>67699</x:v>
      </x:c>
      <x:c r="F1757" s="18" t="str">
        <x:v>persons/day</x:v>
      </x:c>
      <x:c r="G1757" s="18" t="str">
        <x:v>FY2024</x:v>
      </x:c>
      <x:c r="H1757" s="18" t="str">
        <x:v>否</x:v>
      </x:c>
      <x:c r="I1757" s="19" t="str">
        <x:v>DAILY_ENTRIES_EXITS</x:v>
      </x:c>
      <x:c r="J1757" s="19" t="str">
        <x:v>伊勢崎線</x:v>
      </x:c>
      <x:c r="K1757" s="18" t="str">
        <x:v>transport-node:f2976d35-73db-5623-a143-9c6dceb646c2</x:v>
      </x:c>
      <x:c r="L1757" s="19" t="str">
        <x:v>组件待审核</x:v>
      </x:c>
      <x:c r="M1757" s="21" t="n">
        <x:v>35.79437</x:v>
      </x:c>
      <x:c r="N1757" s="21" t="n">
        <x:v>139.79072</x:v>
      </x:c>
      <x:c r="O1757" s="18" t="str">
        <x:v>003101</x:v>
      </x:c>
      <x:c r="P1757" s="18" t="str">
        <x:v>伊勢崎線</x:v>
      </x:c>
      <x:c r="Q1757" s="19" t="str">
        <x:v>S12_061_GE_10000</x:v>
      </x:c>
      <x:c r="R1757" s="19" t="str">
        <x:v>S12_061 usage threshold</x:v>
      </x:c>
      <x:c r="S1757" s="19" t="str">
        <x:v>https://nlftp.mlit.go.jp/ksj/gml/datalist/KsjTmplt-S12-2024.html</x:v>
      </x:c>
      <x:c r="T1757" s="19" t="str">
        <x:v>https://nlftp.mlit.go.jp/ksj/gml/datalist/KsjTmplt-S12-2024.html</x:v>
      </x:c>
      <x:c r="U1757" s="19" t="str">
        <x:v>station-component|竹ノ塚|東武鉄道|private_rail|35.7944|139.7907|</x:v>
      </x:c>
      <x:c r="V1757" s="19" t="str">
        <x:v>003101 / 003101 / 伊勢崎線</x:v>
      </x:c>
      <x:c r="W1757" s="18" t="str">
        <x:v>否</x:v>
      </x:c>
      <x:c r="X1757" s="18" t="str">
        <x:v>0785e932a32b3ec15e1a1345537ae145eafe1c07bf38d5c16c11ee2b391e7a28</x:v>
      </x:c>
      <x:c r="Y1757" s="20" t="n">
        <x:v>1</x:v>
      </x:c>
      <x:c r="Z1757" s="20" t="n">
        <x:v>1</x:v>
      </x:c>
      <x:c r="AA1757" s="19"/>
      <x:c r="AB1757" s="18"/>
      <x:c r="AC1757" s="19"/>
    </x:row>
    <x:row r="1758" ht="28" customHeight="1">
      <x:c r="A1758" s="18" t="str">
        <x:v>竹下</x:v>
      </x:c>
      <x:c r="B1758" s="18" t="str">
        <x:v>九州旅客鉄道</x:v>
      </x:c>
      <x:c r="C1758" s="18" t="str">
        <x:v>conventional_rail</x:v>
      </x:c>
      <x:c r="D1758" s="19" t="str">
        <x:v>T2</x:v>
      </x:c>
      <x:c r="E1758" s="20" t="n">
        <x:v>20254</x:v>
      </x:c>
      <x:c r="F1758" s="18" t="str">
        <x:v>persons/day</x:v>
      </x:c>
      <x:c r="G1758" s="18" t="str">
        <x:v>FY2024</x:v>
      </x:c>
      <x:c r="H1758" s="18" t="str">
        <x:v>否</x:v>
      </x:c>
      <x:c r="I1758" s="19" t="str">
        <x:v>DAILY_ENTRIES_EXITS</x:v>
      </x:c>
      <x:c r="J1758" s="19" t="str">
        <x:v>鹿児島線</x:v>
      </x:c>
      <x:c r="K1758" s="18" t="str">
        <x:v>transport-node:19bc0d63-c2d2-5f97-9081-ef80cf8974d8</x:v>
      </x:c>
      <x:c r="L1758" s="19" t="str">
        <x:v>组件待审核</x:v>
      </x:c>
      <x:c r="M1758" s="21" t="n">
        <x:v>33.56864</x:v>
      </x:c>
      <x:c r="N1758" s="21" t="n">
        <x:v>130.431655</x:v>
      </x:c>
      <x:c r="O1758" s="18" t="str">
        <x:v>009090</x:v>
      </x:c>
      <x:c r="P1758" s="18" t="str">
        <x:v>鹿児島線</x:v>
      </x:c>
      <x:c r="Q1758" s="19" t="str">
        <x:v>S12_061_GE_10000</x:v>
      </x:c>
      <x:c r="R1758" s="19" t="str">
        <x:v>S12_061 usage threshold</x:v>
      </x:c>
      <x:c r="S1758" s="19" t="str">
        <x:v>https://nlftp.mlit.go.jp/ksj/gml/datalist/KsjTmplt-S12-2024.html</x:v>
      </x:c>
      <x:c r="T1758" s="19" t="str">
        <x:v>https://nlftp.mlit.go.jp/ksj/gml/datalist/KsjTmplt-S12-2024.html</x:v>
      </x:c>
      <x:c r="U1758" s="19" t="str">
        <x:v>station-component|竹下|九州旅客鉄道|conventional_rail|33.5686|130.4317|</x:v>
      </x:c>
      <x:c r="V1758" s="19" t="str">
        <x:v>009090 / 009090 / 鹿児島線</x:v>
      </x:c>
      <x:c r="W1758" s="18" t="str">
        <x:v>否</x:v>
      </x:c>
      <x:c r="X1758" s="18" t="str">
        <x:v>0785e932a32b3ec15e1a1345537ae145eafe1c07bf38d5c16c11ee2b391e7a28</x:v>
      </x:c>
      <x:c r="Y1758" s="20" t="n">
        <x:v>1</x:v>
      </x:c>
      <x:c r="Z1758" s="20" t="n">
        <x:v>1</x:v>
      </x:c>
      <x:c r="AA1758" s="19"/>
      <x:c r="AB1758" s="18"/>
      <x:c r="AC1758" s="19"/>
    </x:row>
    <x:row r="1759" ht="28" customHeight="1">
      <x:c r="A1759" s="18" t="str">
        <x:v>竹橋</x:v>
      </x:c>
      <x:c r="B1759" s="18" t="str">
        <x:v>東京地下鉄</x:v>
      </x:c>
      <x:c r="C1759" s="18" t="str">
        <x:v>metro</x:v>
      </x:c>
      <x:c r="D1759" s="19" t="str">
        <x:v>T2</x:v>
      </x:c>
      <x:c r="E1759" s="20" t="n">
        <x:v>42156</x:v>
      </x:c>
      <x:c r="F1759" s="18" t="str">
        <x:v>persons/day</x:v>
      </x:c>
      <x:c r="G1759" s="18" t="str">
        <x:v>FY2024</x:v>
      </x:c>
      <x:c r="H1759" s="18" t="str">
        <x:v>否</x:v>
      </x:c>
      <x:c r="I1759" s="19" t="str">
        <x:v>DAILY_ENTRIES_EXITS</x:v>
      </x:c>
      <x:c r="J1759" s="19" t="str">
        <x:v>5号線東西線</x:v>
      </x:c>
      <x:c r="K1759" s="18" t="str">
        <x:v>transport-node:88fbbbcc-5908-5d7a-b2e4-06417e5fd085</x:v>
      </x:c>
      <x:c r="L1759" s="19" t="str">
        <x:v>组件待审核</x:v>
      </x:c>
      <x:c r="M1759" s="21" t="n">
        <x:v>35.69044</x:v>
      </x:c>
      <x:c r="N1759" s="21" t="n">
        <x:v>139.75767</x:v>
      </x:c>
      <x:c r="O1759" s="18" t="str">
        <x:v>003691</x:v>
      </x:c>
      <x:c r="P1759" s="18" t="str">
        <x:v>5号線東西線</x:v>
      </x:c>
      <x:c r="Q1759" s="19" t="str">
        <x:v>S12_061_GE_10000</x:v>
      </x:c>
      <x:c r="R1759" s="19" t="str">
        <x:v>S12_061 usage threshold</x:v>
      </x:c>
      <x:c r="S1759" s="19" t="str">
        <x:v>https://nlftp.mlit.go.jp/ksj/gml/datalist/KsjTmplt-S12-2024.html</x:v>
      </x:c>
      <x:c r="T1759" s="19" t="str">
        <x:v>https://nlftp.mlit.go.jp/ksj/gml/datalist/KsjTmplt-S12-2024.html</x:v>
      </x:c>
      <x:c r="U1759" s="19" t="str">
        <x:v>station-component|竹橋|東京地下鉄|metro|35.6904|139.7577|</x:v>
      </x:c>
      <x:c r="V1759" s="19" t="str">
        <x:v>003691 / 003691 / 5号線東西線</x:v>
      </x:c>
      <x:c r="W1759" s="18" t="str">
        <x:v>否</x:v>
      </x:c>
      <x:c r="X1759" s="18" t="str">
        <x:v>0785e932a32b3ec15e1a1345537ae145eafe1c07bf38d5c16c11ee2b391e7a28</x:v>
      </x:c>
      <x:c r="Y1759" s="20" t="n">
        <x:v>1</x:v>
      </x:c>
      <x:c r="Z1759" s="20" t="n">
        <x:v>1</x:v>
      </x:c>
      <x:c r="AA1759" s="19"/>
      <x:c r="AB1759" s="18"/>
      <x:c r="AC1759" s="19"/>
    </x:row>
    <x:row r="1760" ht="33" customHeight="1">
      <x:c r="A1760" s="18" t="str">
        <x:v>竹田</x:v>
      </x:c>
      <x:c r="B1760" s="18" t="str">
        <x:v>京都市</x:v>
      </x:c>
      <x:c r="C1760" s="18" t="str">
        <x:v>metro</x:v>
      </x:c>
      <x:c r="D1760" s="19" t="str">
        <x:v>T2</x:v>
      </x:c>
      <x:c r="E1760" s="20" t="n">
        <x:v>30493</x:v>
      </x:c>
      <x:c r="F1760" s="18" t="str">
        <x:v>persons/day</x:v>
      </x:c>
      <x:c r="G1760" s="18" t="str">
        <x:v>FY2024</x:v>
      </x:c>
      <x:c r="H1760" s="18" t="str">
        <x:v>否</x:v>
      </x:c>
      <x:c r="I1760" s="19" t="str">
        <x:v>DAILY_ENTRIES_EXITS</x:v>
      </x:c>
      <x:c r="J1760" s="19" t="str">
        <x:v>烏丸線</x:v>
      </x:c>
      <x:c r="K1760" s="18" t="str">
        <x:v>transport-node:8035c92c-1843-5455-bb48-a32acfcc5f74</x:v>
      </x:c>
      <x:c r="L1760" s="19" t="str">
        <x:v>组件待审核</x:v>
      </x:c>
      <x:c r="M1760" s="21" t="n">
        <x:v>34.95599</x:v>
      </x:c>
      <x:c r="N1760" s="21" t="n">
        <x:v>135.75616</x:v>
      </x:c>
      <x:c r="O1760" s="18" t="str">
        <x:v>006172</x:v>
      </x:c>
      <x:c r="P1760" s="18" t="str">
        <x:v>烏丸線</x:v>
      </x:c>
      <x:c r="Q1760" s="19" t="str">
        <x:v>S12_061_GE_10000
OFFICIAL_HUB_COMPONENT_REVIEW</x:v>
      </x:c>
      <x:c r="R1760" s="19" t="str">
        <x:v>S12_061 usage threshold</x:v>
      </x:c>
      <x:c r="S1760" s="19" t="str">
        <x:v>https://nlftp.mlit.go.jp/ksj/gml/datalist/KsjTmplt-S12-2024.html</x:v>
      </x:c>
      <x:c r="T1760" s="19" t="str">
        <x:v>https://nlftp.mlit.go.jp/ksj/gml/datalist/KsjTmplt-S12-2024.html
https://www.kintetsu.co.jp/station/</x:v>
      </x:c>
      <x:c r="U1760" s="19" t="str">
        <x:v>station-component|竹田|京都市|metro|34.9560|135.7562|</x:v>
      </x:c>
      <x:c r="V1760" s="19" t="str">
        <x:v>006172 / 006172 / 烏丸線</x:v>
      </x:c>
      <x:c r="W1760" s="18" t="str">
        <x:v>否</x:v>
      </x:c>
      <x:c r="X1760" s="18" t="str">
        <x:v>0785e932a32b3ec15e1a1345537ae145eafe1c07bf38d5c16c11ee2b391e7a28</x:v>
      </x:c>
      <x:c r="Y1760" s="20" t="n">
        <x:v>1</x:v>
      </x:c>
      <x:c r="Z1760" s="20" t="n">
        <x:v>1</x:v>
      </x:c>
      <x:c r="AA1760" s="19" t="str">
        <x:v>竹田</x:v>
      </x:c>
      <x:c r="AB1760" s="18" t="str">
        <x:v>transport-hub-review:c035392c-64c6-5a2e-afbf-0a9a92456895</x:v>
      </x:c>
      <x:c r="AC1760" s="19"/>
    </x:row>
    <x:row r="1761" ht="33" customHeight="1">
      <x:c r="A1761" s="18" t="str">
        <x:v>竹田</x:v>
      </x:c>
      <x:c r="B1761" s="18" t="str">
        <x:v>近畿日本鉄道</x:v>
      </x:c>
      <x:c r="C1761" s="18" t="str">
        <x:v>private_rail</x:v>
      </x:c>
      <x:c r="D1761" s="19"/>
      <x:c r="E1761" s="20"/>
      <x:c r="F1761" s="18"/>
      <x:c r="G1761" s="18" t="str">
        <x:v>FY2024</x:v>
      </x:c>
      <x:c r="H1761" s="18" t="str">
        <x:v>是</x:v>
      </x:c>
      <x:c r="I1761" s="19" t="str">
        <x:v>USAGE_DATA_UNAVAILABLE</x:v>
      </x:c>
      <x:c r="J1761" s="19" t="str">
        <x:v>京都線</x:v>
      </x:c>
      <x:c r="K1761" s="18" t="str">
        <x:v>transport-node:3ce60782-b74d-59fa-b7b6-3b500de0ad50</x:v>
      </x:c>
      <x:c r="L1761" s="19" t="str">
        <x:v>组件待审核</x:v>
      </x:c>
      <x:c r="M1761" s="21" t="n">
        <x:v>34.95599</x:v>
      </x:c>
      <x:c r="N1761" s="21" t="n">
        <x:v>135.75616</x:v>
      </x:c>
      <x:c r="O1761" s="18" t="str">
        <x:v>006173</x:v>
      </x:c>
      <x:c r="P1761" s="18" t="str">
        <x:v>京都線</x:v>
      </x:c>
      <x:c r="Q1761" s="19" t="str">
        <x:v>OFFICIAL_HUB_COMPONENT_REVIEW</x:v>
      </x:c>
      <x:c r="R1761" s="19" t="str">
        <x:v>Official S12 usage unavailable; manual tier review required</x:v>
      </x:c>
      <x:c r="S1761" s="19" t="str">
        <x:v>https://nlftp.mlit.go.jp/ksj/gml/datalist/KsjTmplt-S12-2024.html</x:v>
      </x:c>
      <x:c r="T1761" s="19" t="str">
        <x:v>https://nlftp.mlit.go.jp/ksj/gml/datalist/KsjTmplt-S12-2024.html
https://www.kintetsu.co.jp/station/</x:v>
      </x:c>
      <x:c r="U1761" s="19" t="str">
        <x:v>station-component|竹田|近畿日本鉄道|private_rail|34.9560|135.7562|</x:v>
      </x:c>
      <x:c r="V1761" s="19" t="str">
        <x:v>006172 / 006173 / 京都線</x:v>
      </x:c>
      <x:c r="W1761" s="18" t="str">
        <x:v>否</x:v>
      </x:c>
      <x:c r="X1761" s="18" t="str">
        <x:v>0785e932a32b3ec15e1a1345537ae145eafe1c07bf38d5c16c11ee2b391e7a28</x:v>
      </x:c>
      <x:c r="Y1761" s="20" t="n">
        <x:v>1</x:v>
      </x:c>
      <x:c r="Z1761" s="20" t="n">
        <x:v>2</x:v>
      </x:c>
      <x:c r="AA1761" s="19" t="str">
        <x:v>竹田</x:v>
      </x:c>
      <x:c r="AB1761" s="18" t="str">
        <x:v>transport-hub-review:c035392c-64c6-5a2e-afbf-0a9a92456895</x:v>
      </x:c>
      <x:c r="AC1761" s="19"/>
    </x:row>
    <x:row r="1762" ht="28" customHeight="1">
      <x:c r="A1762" s="18" t="str">
        <x:v>笠寺</x:v>
      </x:c>
      <x:c r="B1762" s="18" t="str">
        <x:v>東海旅客鉄道</x:v>
      </x:c>
      <x:c r="C1762" s="18" t="str">
        <x:v>conventional_rail</x:v>
      </x:c>
      <x:c r="D1762" s="19" t="str">
        <x:v>T2</x:v>
      </x:c>
      <x:c r="E1762" s="20" t="n">
        <x:v>12064</x:v>
      </x:c>
      <x:c r="F1762" s="18" t="str">
        <x:v>persons/day</x:v>
      </x:c>
      <x:c r="G1762" s="18" t="str">
        <x:v>FY2024</x:v>
      </x:c>
      <x:c r="H1762" s="18" t="str">
        <x:v>否</x:v>
      </x:c>
      <x:c r="I1762" s="19" t="str">
        <x:v>DAILY_ENTRIES_EXITS</x:v>
      </x:c>
      <x:c r="J1762" s="19" t="str">
        <x:v>東海道線</x:v>
      </x:c>
      <x:c r="K1762" s="18" t="str">
        <x:v>transport-node:f23790da-588c-5293-be75-bfb7fa256623</x:v>
      </x:c>
      <x:c r="L1762" s="19" t="str">
        <x:v>组件待审核</x:v>
      </x:c>
      <x:c r="M1762" s="21" t="n">
        <x:v>35.0953167</x:v>
      </x:c>
      <x:c r="N1762" s="21" t="n">
        <x:v>136.9262267</x:v>
      </x:c>
      <x:c r="O1762" s="18" t="str">
        <x:v>005712</x:v>
      </x:c>
      <x:c r="P1762" s="18" t="str">
        <x:v>東海道線</x:v>
      </x:c>
      <x:c r="Q1762" s="19" t="str">
        <x:v>S12_061_GE_10000</x:v>
      </x:c>
      <x:c r="R1762" s="19" t="str">
        <x:v>S12_061 usage threshold</x:v>
      </x:c>
      <x:c r="S1762" s="19" t="str">
        <x:v>https://nlftp.mlit.go.jp/ksj/gml/datalist/KsjTmplt-S12-2024.html</x:v>
      </x:c>
      <x:c r="T1762" s="19" t="str">
        <x:v>https://nlftp.mlit.go.jp/ksj/gml/datalist/KsjTmplt-S12-2024.html</x:v>
      </x:c>
      <x:c r="U1762" s="19" t="str">
        <x:v>station-component|笠寺|東海旅客鉄道|conventional_rail|35.0953|136.9262|</x:v>
      </x:c>
      <x:c r="V1762" s="19" t="str">
        <x:v>005712 / 005712 / 東海道線</x:v>
      </x:c>
      <x:c r="W1762" s="18" t="str">
        <x:v>否</x:v>
      </x:c>
      <x:c r="X1762" s="18" t="str">
        <x:v>0785e932a32b3ec15e1a1345537ae145eafe1c07bf38d5c16c11ee2b391e7a28</x:v>
      </x:c>
      <x:c r="Y1762" s="20" t="n">
        <x:v>1</x:v>
      </x:c>
      <x:c r="Z1762" s="20" t="n">
        <x:v>1</x:v>
      </x:c>
      <x:c r="AA1762" s="19"/>
      <x:c r="AB1762" s="18"/>
      <x:c r="AC1762" s="19"/>
    </x:row>
    <x:row r="1763" ht="28" customHeight="1">
      <x:c r="A1763" s="18" t="str">
        <x:v>笹原</x:v>
      </x:c>
      <x:c r="B1763" s="18" t="str">
        <x:v>九州旅客鉄道</x:v>
      </x:c>
      <x:c r="C1763" s="18" t="str">
        <x:v>conventional_rail</x:v>
      </x:c>
      <x:c r="D1763" s="19" t="str">
        <x:v>T2</x:v>
      </x:c>
      <x:c r="E1763" s="20" t="n">
        <x:v>11170</x:v>
      </x:c>
      <x:c r="F1763" s="18" t="str">
        <x:v>persons/day</x:v>
      </x:c>
      <x:c r="G1763" s="18" t="str">
        <x:v>FY2024</x:v>
      </x:c>
      <x:c r="H1763" s="18" t="str">
        <x:v>否</x:v>
      </x:c>
      <x:c r="I1763" s="19" t="str">
        <x:v>DAILY_ENTRIES_EXITS</x:v>
      </x:c>
      <x:c r="J1763" s="19" t="str">
        <x:v>鹿児島線</x:v>
      </x:c>
      <x:c r="K1763" s="18" t="str">
        <x:v>transport-node:03ab2fb4-a582-5464-b2a3-b5dd2a8685c5</x:v>
      </x:c>
      <x:c r="L1763" s="19" t="str">
        <x:v>组件待审核</x:v>
      </x:c>
      <x:c r="M1763" s="21" t="n">
        <x:v>33.55326</x:v>
      </x:c>
      <x:c r="N1763" s="21" t="n">
        <x:v>130.44869</x:v>
      </x:c>
      <x:c r="O1763" s="18" t="str">
        <x:v>009156</x:v>
      </x:c>
      <x:c r="P1763" s="18" t="str">
        <x:v>鹿児島線</x:v>
      </x:c>
      <x:c r="Q1763" s="19" t="str">
        <x:v>S12_061_GE_10000</x:v>
      </x:c>
      <x:c r="R1763" s="19" t="str">
        <x:v>S12_061 usage threshold</x:v>
      </x:c>
      <x:c r="S1763" s="19" t="str">
        <x:v>https://nlftp.mlit.go.jp/ksj/gml/datalist/KsjTmplt-S12-2024.html</x:v>
      </x:c>
      <x:c r="T1763" s="19" t="str">
        <x:v>https://nlftp.mlit.go.jp/ksj/gml/datalist/KsjTmplt-S12-2024.html</x:v>
      </x:c>
      <x:c r="U1763" s="19" t="str">
        <x:v>station-component|笹原|九州旅客鉄道|conventional_rail|33.5533|130.4487|</x:v>
      </x:c>
      <x:c r="V1763" s="19" t="str">
        <x:v>009156 / 009156 / 鹿児島線</x:v>
      </x:c>
      <x:c r="W1763" s="18" t="str">
        <x:v>否</x:v>
      </x:c>
      <x:c r="X1763" s="18" t="str">
        <x:v>0785e932a32b3ec15e1a1345537ae145eafe1c07bf38d5c16c11ee2b391e7a28</x:v>
      </x:c>
      <x:c r="Y1763" s="20" t="n">
        <x:v>1</x:v>
      </x:c>
      <x:c r="Z1763" s="20" t="n">
        <x:v>1</x:v>
      </x:c>
      <x:c r="AA1763" s="19"/>
      <x:c r="AB1763" s="18"/>
      <x:c r="AC1763" s="19"/>
    </x:row>
    <x:row r="1764" ht="28" customHeight="1">
      <x:c r="A1764" s="18" t="str">
        <x:v>笹塚</x:v>
      </x:c>
      <x:c r="B1764" s="18" t="str">
        <x:v>京王電鉄</x:v>
      </x:c>
      <x:c r="C1764" s="18" t="str">
        <x:v>private_rail</x:v>
      </x:c>
      <x:c r="D1764" s="19" t="str">
        <x:v>T1</x:v>
      </x:c>
      <x:c r="E1764" s="20" t="n">
        <x:v>73199</x:v>
      </x:c>
      <x:c r="F1764" s="18" t="str">
        <x:v>persons/day</x:v>
      </x:c>
      <x:c r="G1764" s="18" t="str">
        <x:v>FY2024</x:v>
      </x:c>
      <x:c r="H1764" s="18" t="str">
        <x:v>否</x:v>
      </x:c>
      <x:c r="I1764" s="19" t="str">
        <x:v>DAILY_ENTRIES_EXITS</x:v>
      </x:c>
      <x:c r="J1764" s="19" t="str">
        <x:v>京王線</x:v>
      </x:c>
      <x:c r="K1764" s="18" t="str">
        <x:v>transport-node:beb78db7-626e-5a8e-8045-935a482e8922</x:v>
      </x:c>
      <x:c r="L1764" s="19" t="str">
        <x:v>组件待审核</x:v>
      </x:c>
      <x:c r="M1764" s="21" t="n">
        <x:v>35.67366</x:v>
      </x:c>
      <x:c r="N1764" s="21" t="n">
        <x:v>139.667175</x:v>
      </x:c>
      <x:c r="O1764" s="18" t="str">
        <x:v>003806</x:v>
      </x:c>
      <x:c r="P1764" s="18" t="str">
        <x:v>京王線</x:v>
      </x:c>
      <x:c r="Q1764" s="19" t="str">
        <x:v>S12_061_GE_10000</x:v>
      </x:c>
      <x:c r="R1764" s="19" t="str">
        <x:v>S12_061 usage threshold</x:v>
      </x:c>
      <x:c r="S1764" s="19" t="str">
        <x:v>https://nlftp.mlit.go.jp/ksj/gml/datalist/KsjTmplt-S12-2024.html</x:v>
      </x:c>
      <x:c r="T1764" s="19" t="str">
        <x:v>https://nlftp.mlit.go.jp/ksj/gml/datalist/KsjTmplt-S12-2024.html</x:v>
      </x:c>
      <x:c r="U1764" s="19" t="str">
        <x:v>station-component|笹塚|京王電鉄|private_rail|35.6737|139.6672|</x:v>
      </x:c>
      <x:c r="V1764" s="19" t="str">
        <x:v>003806 / 003806 / 京王線</x:v>
      </x:c>
      <x:c r="W1764" s="18" t="str">
        <x:v>否</x:v>
      </x:c>
      <x:c r="X1764" s="18" t="str">
        <x:v>0785e932a32b3ec15e1a1345537ae145eafe1c07bf38d5c16c11ee2b391e7a28</x:v>
      </x:c>
      <x:c r="Y1764" s="20" t="n">
        <x:v>1</x:v>
      </x:c>
      <x:c r="Z1764" s="20" t="n">
        <x:v>1</x:v>
      </x:c>
      <x:c r="AA1764" s="19"/>
      <x:c r="AB1764" s="18"/>
      <x:c r="AC1764" s="19"/>
    </x:row>
    <x:row r="1765" ht="28" customHeight="1">
      <x:c r="A1765" s="18" t="str">
        <x:v>等々力</x:v>
      </x:c>
      <x:c r="B1765" s="18" t="str">
        <x:v>東急電鉄</x:v>
      </x:c>
      <x:c r="C1765" s="18" t="str">
        <x:v>private_rail</x:v>
      </x:c>
      <x:c r="D1765" s="19" t="str">
        <x:v>T2</x:v>
      </x:c>
      <x:c r="E1765" s="20" t="n">
        <x:v>27098</x:v>
      </x:c>
      <x:c r="F1765" s="18" t="str">
        <x:v>persons/day</x:v>
      </x:c>
      <x:c r="G1765" s="18" t="str">
        <x:v>FY2024</x:v>
      </x:c>
      <x:c r="H1765" s="18" t="str">
        <x:v>否</x:v>
      </x:c>
      <x:c r="I1765" s="19" t="str">
        <x:v>DAILY_ENTRIES_EXITS</x:v>
      </x:c>
      <x:c r="J1765" s="19" t="str">
        <x:v>大井町線</x:v>
      </x:c>
      <x:c r="K1765" s="18" t="str">
        <x:v>transport-node:065229d6-792f-5261-9a7c-458acbaa0c7e</x:v>
      </x:c>
      <x:c r="L1765" s="19" t="str">
        <x:v>组件待审核</x:v>
      </x:c>
      <x:c r="M1765" s="21" t="n">
        <x:v>35.60837</x:v>
      </x:c>
      <x:c r="N1765" s="21" t="n">
        <x:v>139.64796</x:v>
      </x:c>
      <x:c r="O1765" s="18" t="str">
        <x:v>004191</x:v>
      </x:c>
      <x:c r="P1765" s="18" t="str">
        <x:v>大井町線</x:v>
      </x:c>
      <x:c r="Q1765" s="19" t="str">
        <x:v>S12_061_GE_10000</x:v>
      </x:c>
      <x:c r="R1765" s="19" t="str">
        <x:v>S12_061 usage threshold</x:v>
      </x:c>
      <x:c r="S1765" s="19" t="str">
        <x:v>https://nlftp.mlit.go.jp/ksj/gml/datalist/KsjTmplt-S12-2024.html</x:v>
      </x:c>
      <x:c r="T1765" s="19" t="str">
        <x:v>https://nlftp.mlit.go.jp/ksj/gml/datalist/KsjTmplt-S12-2024.html</x:v>
      </x:c>
      <x:c r="U1765" s="19" t="str">
        <x:v>station-component|等々力|東急電鉄|private_rail|35.6084|139.6480|</x:v>
      </x:c>
      <x:c r="V1765" s="19" t="str">
        <x:v>004191 / 004191 / 大井町線</x:v>
      </x:c>
      <x:c r="W1765" s="18" t="str">
        <x:v>否</x:v>
      </x:c>
      <x:c r="X1765" s="18" t="str">
        <x:v>0785e932a32b3ec15e1a1345537ae145eafe1c07bf38d5c16c11ee2b391e7a28</x:v>
      </x:c>
      <x:c r="Y1765" s="20" t="n">
        <x:v>1</x:v>
      </x:c>
      <x:c r="Z1765" s="20" t="n">
        <x:v>1</x:v>
      </x:c>
      <x:c r="AA1765" s="19"/>
      <x:c r="AB1765" s="18"/>
      <x:c r="AC1765" s="19"/>
    </x:row>
    <x:row r="1766" ht="28" customHeight="1">
      <x:c r="A1766" s="18" t="str">
        <x:v>筑前前原</x:v>
      </x:c>
      <x:c r="B1766" s="18" t="str">
        <x:v>九州旅客鉄道</x:v>
      </x:c>
      <x:c r="C1766" s="18" t="str">
        <x:v>conventional_rail</x:v>
      </x:c>
      <x:c r="D1766" s="19" t="str">
        <x:v>T2</x:v>
      </x:c>
      <x:c r="E1766" s="20" t="n">
        <x:v>12902</x:v>
      </x:c>
      <x:c r="F1766" s="18" t="str">
        <x:v>persons/day</x:v>
      </x:c>
      <x:c r="G1766" s="18" t="str">
        <x:v>FY2024</x:v>
      </x:c>
      <x:c r="H1766" s="18" t="str">
        <x:v>否</x:v>
      </x:c>
      <x:c r="I1766" s="19" t="str">
        <x:v>DAILY_ENTRIES_EXITS</x:v>
      </x:c>
      <x:c r="J1766" s="19" t="str">
        <x:v>筑肥線</x:v>
      </x:c>
      <x:c r="K1766" s="18" t="str">
        <x:v>transport-node:fb7bc207-0f29-5916-ba59-b20887d38623</x:v>
      </x:c>
      <x:c r="L1766" s="19" t="str">
        <x:v>组件待审核</x:v>
      </x:c>
      <x:c r="M1766" s="21" t="n">
        <x:v>33.557015</x:v>
      </x:c>
      <x:c r="N1766" s="21" t="n">
        <x:v>130.199175</x:v>
      </x:c>
      <x:c r="O1766" s="18" t="str">
        <x:v>009145</x:v>
      </x:c>
      <x:c r="P1766" s="18" t="str">
        <x:v>筑肥線</x:v>
      </x:c>
      <x:c r="Q1766" s="19" t="str">
        <x:v>S12_061_GE_10000</x:v>
      </x:c>
      <x:c r="R1766" s="19" t="str">
        <x:v>S12_061 usage threshold</x:v>
      </x:c>
      <x:c r="S1766" s="19" t="str">
        <x:v>https://nlftp.mlit.go.jp/ksj/gml/datalist/KsjTmplt-S12-2024.html</x:v>
      </x:c>
      <x:c r="T1766" s="19" t="str">
        <x:v>https://nlftp.mlit.go.jp/ksj/gml/datalist/KsjTmplt-S12-2024.html</x:v>
      </x:c>
      <x:c r="U1766" s="19" t="str">
        <x:v>station-component|筑前前原|九州旅客鉄道|conventional_rail|33.5570|130.1992|</x:v>
      </x:c>
      <x:c r="V1766" s="19" t="str">
        <x:v>009145 / 009145 / 筑肥線</x:v>
      </x:c>
      <x:c r="W1766" s="18" t="str">
        <x:v>否</x:v>
      </x:c>
      <x:c r="X1766" s="18" t="str">
        <x:v>0785e932a32b3ec15e1a1345537ae145eafe1c07bf38d5c16c11ee2b391e7a28</x:v>
      </x:c>
      <x:c r="Y1766" s="20" t="n">
        <x:v>1</x:v>
      </x:c>
      <x:c r="Z1766" s="20" t="n">
        <x:v>1</x:v>
      </x:c>
      <x:c r="AA1766" s="19"/>
      <x:c r="AB1766" s="18"/>
      <x:c r="AC1766" s="19"/>
    </x:row>
    <x:row r="1767" ht="33" customHeight="1">
      <x:c r="A1767" s="18" t="str">
        <x:v>筑後船小屋</x:v>
      </x:c>
      <x:c r="B1767" s="18" t="str">
        <x:v>九州旅客鉄道</x:v>
      </x:c>
      <x:c r="C1767" s="18" t="str">
        <x:v>shinkansen</x:v>
      </x:c>
      <x:c r="D1767" s="19"/>
      <x:c r="E1767" s="20" t="n">
        <x:v>1221</x:v>
      </x:c>
      <x:c r="F1767" s="18" t="str">
        <x:v>boardings/day</x:v>
      </x:c>
      <x:c r="G1767" s="18" t="str">
        <x:v>FY2024</x:v>
      </x:c>
      <x:c r="H1767" s="18" t="str">
        <x:v>是</x:v>
      </x:c>
      <x:c r="I1767" s="19" t="str">
        <x:v>STATION_COMPLEX_PROXY</x:v>
      </x:c>
      <x:c r="J1767" s="19" t="str">
        <x:v>九州新幹線</x:v>
      </x:c>
      <x:c r="K1767" s="18" t="str">
        <x:v>transport-node:f0687bf3-e339-548f-93ad-4081f149aab5</x:v>
      </x:c>
      <x:c r="L1767" s="19" t="str">
        <x:v>组件待审核</x:v>
      </x:c>
      <x:c r="M1767" s="21" t="n">
        <x:v>33.1779773</x:v>
      </x:c>
      <x:c r="N1767" s="21" t="n">
        <x:v>130.492433</x:v>
      </x:c>
      <x:c r="O1767" s="18" t="str">
        <x:v>009547</x:v>
      </x:c>
      <x:c r="P1767" s="18" t="str">
        <x:v>九州新幹線</x:v>
      </x:c>
      <x:c r="Q1767" s="19" t="str">
        <x:v>SHINKANSEN</x:v>
      </x:c>
      <x:c r="R1767" s="19" t="str">
        <x:v>Official fallback retained in published scope/unit; tier remains null pending metric/manual review.</x:v>
      </x:c>
      <x:c r="S1767" s="19" t="str">
        <x:v>https://www.jrkyushu.co.jp/company/info/data/pdf/2024ekibetsu.pdf</x:v>
      </x:c>
      <x:c r="T1767" s="19" t="str">
        <x:v>https://nlftp.mlit.go.jp/ksj/gml/datalist/KsjTmplt-S12-2024.html
https://www.jrkyushu.co.jp/company/info/data/pdf/2024ekibetsu.pdf</x:v>
      </x:c>
      <x:c r="U1767" s="19" t="str">
        <x:v>station-component|筑後船小屋|九州旅客鉄道|shinkansen|33.1780|130.4924|</x:v>
      </x:c>
      <x:c r="V1767" s="19" t="str">
        <x:v>009546 / 009547 / 九州新幹線</x:v>
      </x:c>
      <x:c r="W1767" s="18" t="str">
        <x:v>否</x:v>
      </x:c>
      <x:c r="X1767" s="18" t="str">
        <x:v>0785e932a32b3ec15e1a1345537ae145eafe1c07bf38d5c16c11ee2b391e7a28</x:v>
      </x:c>
      <x:c r="Y1767" s="20" t="n">
        <x:v>1</x:v>
      </x:c>
      <x:c r="Z1767" s="20" t="n">
        <x:v>2</x:v>
      </x:c>
      <x:c r="AA1767" s="19"/>
      <x:c r="AB1767" s="18"/>
      <x:c r="AC1767" s="19"/>
    </x:row>
    <x:row r="1768" ht="28" customHeight="1">
      <x:c r="A1768" s="18" t="str">
        <x:v>箕面</x:v>
      </x:c>
      <x:c r="B1768" s="18" t="str">
        <x:v>阪急電鉄</x:v>
      </x:c>
      <x:c r="C1768" s="18" t="str">
        <x:v>private_rail</x:v>
      </x:c>
      <x:c r="D1768" s="19" t="str">
        <x:v>T2</x:v>
      </x:c>
      <x:c r="E1768" s="20" t="n">
        <x:v>12248</x:v>
      </x:c>
      <x:c r="F1768" s="18" t="str">
        <x:v>persons/day</x:v>
      </x:c>
      <x:c r="G1768" s="18" t="str">
        <x:v>FY2024</x:v>
      </x:c>
      <x:c r="H1768" s="18" t="str">
        <x:v>否</x:v>
      </x:c>
      <x:c r="I1768" s="19" t="str">
        <x:v>DAILY_ENTRIES_EXITS</x:v>
      </x:c>
      <x:c r="J1768" s="19" t="str">
        <x:v>箕面線</x:v>
      </x:c>
      <x:c r="K1768" s="18" t="str">
        <x:v>transport-node:7efc5d1a-f755-5300-9a01-acf0c8a81b89</x:v>
      </x:c>
      <x:c r="L1768" s="19" t="str">
        <x:v>组件待审核</x:v>
      </x:c>
      <x:c r="M1768" s="21" t="n">
        <x:v>34.8342763</x:v>
      </x:c>
      <x:c r="N1768" s="21" t="n">
        <x:v>135.4682237</x:v>
      </x:c>
      <x:c r="O1768" s="18" t="str">
        <x:v>006481</x:v>
      </x:c>
      <x:c r="P1768" s="18" t="str">
        <x:v>箕面線</x:v>
      </x:c>
      <x:c r="Q1768" s="19" t="str">
        <x:v>S12_061_GE_10000</x:v>
      </x:c>
      <x:c r="R1768" s="19" t="str">
        <x:v>S12_061 usage threshold</x:v>
      </x:c>
      <x:c r="S1768" s="19" t="str">
        <x:v>https://nlftp.mlit.go.jp/ksj/gml/datalist/KsjTmplt-S12-2024.html</x:v>
      </x:c>
      <x:c r="T1768" s="19" t="str">
        <x:v>https://nlftp.mlit.go.jp/ksj/gml/datalist/KsjTmplt-S12-2024.html</x:v>
      </x:c>
      <x:c r="U1768" s="19" t="str">
        <x:v>station-component|箕面|阪急電鉄|private_rail|34.8343|135.4682|</x:v>
      </x:c>
      <x:c r="V1768" s="19" t="str">
        <x:v>006481 / 006481 / 箕面線</x:v>
      </x:c>
      <x:c r="W1768" s="18" t="str">
        <x:v>否</x:v>
      </x:c>
      <x:c r="X1768" s="18" t="str">
        <x:v>0785e932a32b3ec15e1a1345537ae145eafe1c07bf38d5c16c11ee2b391e7a28</x:v>
      </x:c>
      <x:c r="Y1768" s="20" t="n">
        <x:v>1</x:v>
      </x:c>
      <x:c r="Z1768" s="20" t="n">
        <x:v>1</x:v>
      </x:c>
      <x:c r="AA1768" s="19"/>
      <x:c r="AB1768" s="18"/>
      <x:c r="AC1768" s="19"/>
    </x:row>
    <x:row r="1769" ht="28" customHeight="1">
      <x:c r="A1769" s="18" t="str">
        <x:v>箕面船場阪大前</x:v>
      </x:c>
      <x:c r="B1769" s="18" t="str">
        <x:v>北大阪急行電鉄</x:v>
      </x:c>
      <x:c r="C1769" s="18" t="str">
        <x:v>tram</x:v>
      </x:c>
      <x:c r="D1769" s="19" t="str">
        <x:v>T2</x:v>
      </x:c>
      <x:c r="E1769" s="20" t="n">
        <x:v>14095</x:v>
      </x:c>
      <x:c r="F1769" s="18" t="str">
        <x:v>persons/day</x:v>
      </x:c>
      <x:c r="G1769" s="18" t="str">
        <x:v>FY2024</x:v>
      </x:c>
      <x:c r="H1769" s="18" t="str">
        <x:v>否</x:v>
      </x:c>
      <x:c r="I1769" s="19" t="str">
        <x:v>DAILY_ENTRIES_EXITS</x:v>
      </x:c>
      <x:c r="J1769" s="19" t="str">
        <x:v>南北線</x:v>
      </x:c>
      <x:c r="K1769" s="18" t="str">
        <x:v>transport-node:41677ac5-2098-57cf-8069-6d972dec4903</x:v>
      </x:c>
      <x:c r="L1769" s="19" t="str">
        <x:v>组件待审核</x:v>
      </x:c>
      <x:c r="M1769" s="21" t="n">
        <x:v>34.821701</x:v>
      </x:c>
      <x:c r="N1769" s="21" t="n">
        <x:v>135.490289</x:v>
      </x:c>
      <x:c r="O1769" s="18" t="str">
        <x:v>010184</x:v>
      </x:c>
      <x:c r="P1769" s="18" t="str">
        <x:v>南北線</x:v>
      </x:c>
      <x:c r="Q1769" s="19" t="str">
        <x:v>S12_061_GE_10000</x:v>
      </x:c>
      <x:c r="R1769" s="19" t="str">
        <x:v>S12_061 usage threshold</x:v>
      </x:c>
      <x:c r="S1769" s="19" t="str">
        <x:v>https://nlftp.mlit.go.jp/ksj/gml/datalist/KsjTmplt-S12-2024.html</x:v>
      </x:c>
      <x:c r="T1769" s="19" t="str">
        <x:v>https://nlftp.mlit.go.jp/ksj/gml/datalist/KsjTmplt-S12-2024.html</x:v>
      </x:c>
      <x:c r="U1769" s="19" t="str">
        <x:v>station-component|箕面船場阪大前|北大阪急行電鉄|tram|34.8217|135.4903|</x:v>
      </x:c>
      <x:c r="V1769" s="19" t="str">
        <x:v>010184 / 010184 / 南北線</x:v>
      </x:c>
      <x:c r="W1769" s="18" t="str">
        <x:v>否</x:v>
      </x:c>
      <x:c r="X1769" s="18" t="str">
        <x:v>0785e932a32b3ec15e1a1345537ae145eafe1c07bf38d5c16c11ee2b391e7a28</x:v>
      </x:c>
      <x:c r="Y1769" s="20" t="n">
        <x:v>1</x:v>
      </x:c>
      <x:c r="Z1769" s="20" t="n">
        <x:v>1</x:v>
      </x:c>
      <x:c r="AA1769" s="19"/>
      <x:c r="AB1769" s="18"/>
      <x:c r="AC1769" s="19"/>
    </x:row>
    <x:row r="1770" ht="28" customHeight="1">
      <x:c r="A1770" s="18" t="str">
        <x:v>箕面萱野</x:v>
      </x:c>
      <x:c r="B1770" s="18" t="str">
        <x:v>北大阪急行電鉄</x:v>
      </x:c>
      <x:c r="C1770" s="18" t="str">
        <x:v>tram</x:v>
      </x:c>
      <x:c r="D1770" s="19" t="str">
        <x:v>T2</x:v>
      </x:c>
      <x:c r="E1770" s="20" t="n">
        <x:v>19985</x:v>
      </x:c>
      <x:c r="F1770" s="18" t="str">
        <x:v>persons/day</x:v>
      </x:c>
      <x:c r="G1770" s="18" t="str">
        <x:v>FY2024</x:v>
      </x:c>
      <x:c r="H1770" s="18" t="str">
        <x:v>否</x:v>
      </x:c>
      <x:c r="I1770" s="19" t="str">
        <x:v>DAILY_ENTRIES_EXITS</x:v>
      </x:c>
      <x:c r="J1770" s="19" t="str">
        <x:v>南北線</x:v>
      </x:c>
      <x:c r="K1770" s="18" t="str">
        <x:v>transport-node:e7f1b07d-c32a-5734-a2d6-1c81546900f3</x:v>
      </x:c>
      <x:c r="L1770" s="19" t="str">
        <x:v>组件待审核</x:v>
      </x:c>
      <x:c r="M1770" s="21" t="n">
        <x:v>34.8315232</x:v>
      </x:c>
      <x:c r="N1770" s="21" t="n">
        <x:v>135.489038</x:v>
      </x:c>
      <x:c r="O1770" s="18" t="str">
        <x:v>010183</x:v>
      </x:c>
      <x:c r="P1770" s="18" t="str">
        <x:v>南北線</x:v>
      </x:c>
      <x:c r="Q1770" s="19" t="str">
        <x:v>S12_061_GE_10000</x:v>
      </x:c>
      <x:c r="R1770" s="19" t="str">
        <x:v>S12_061 usage threshold</x:v>
      </x:c>
      <x:c r="S1770" s="19" t="str">
        <x:v>https://nlftp.mlit.go.jp/ksj/gml/datalist/KsjTmplt-S12-2024.html</x:v>
      </x:c>
      <x:c r="T1770" s="19" t="str">
        <x:v>https://nlftp.mlit.go.jp/ksj/gml/datalist/KsjTmplt-S12-2024.html</x:v>
      </x:c>
      <x:c r="U1770" s="19" t="str">
        <x:v>station-component|箕面萱野|北大阪急行電鉄|tram|34.8315|135.4890|</x:v>
      </x:c>
      <x:c r="V1770" s="19" t="str">
        <x:v>010183 / 010183 / 南北線</x:v>
      </x:c>
      <x:c r="W1770" s="18" t="str">
        <x:v>否</x:v>
      </x:c>
      <x:c r="X1770" s="18" t="str">
        <x:v>0785e932a32b3ec15e1a1345537ae145eafe1c07bf38d5c16c11ee2b391e7a28</x:v>
      </x:c>
      <x:c r="Y1770" s="20" t="n">
        <x:v>1</x:v>
      </x:c>
      <x:c r="Z1770" s="20" t="n">
        <x:v>1</x:v>
      </x:c>
      <x:c r="AA1770" s="19"/>
      <x:c r="AB1770" s="18"/>
      <x:c r="AC1770" s="19"/>
    </x:row>
    <x:row r="1771" ht="28" customHeight="1">
      <x:c r="A1771" s="18" t="str">
        <x:v>箱崎</x:v>
      </x:c>
      <x:c r="B1771" s="18" t="str">
        <x:v>九州旅客鉄道</x:v>
      </x:c>
      <x:c r="C1771" s="18" t="str">
        <x:v>conventional_rail</x:v>
      </x:c>
      <x:c r="D1771" s="19" t="str">
        <x:v>T2</x:v>
      </x:c>
      <x:c r="E1771" s="20" t="n">
        <x:v>13362</x:v>
      </x:c>
      <x:c r="F1771" s="18" t="str">
        <x:v>persons/day</x:v>
      </x:c>
      <x:c r="G1771" s="18" t="str">
        <x:v>FY2024</x:v>
      </x:c>
      <x:c r="H1771" s="18" t="str">
        <x:v>否</x:v>
      </x:c>
      <x:c r="I1771" s="19" t="str">
        <x:v>DAILY_ENTRIES_EXITS</x:v>
      </x:c>
      <x:c r="J1771" s="19" t="str">
        <x:v>鹿児島線</x:v>
      </x:c>
      <x:c r="K1771" s="18" t="str">
        <x:v>transport-node:9c4022ee-cb69-5c8b-a7cc-d1a7d9424888</x:v>
      </x:c>
      <x:c r="L1771" s="19" t="str">
        <x:v>组件待审核</x:v>
      </x:c>
      <x:c r="M1771" s="21" t="n">
        <x:v>33.618025</x:v>
      </x:c>
      <x:c r="N1771" s="21" t="n">
        <x:v>130.42655</x:v>
      </x:c>
      <x:c r="O1771" s="18" t="str">
        <x:v>008985</x:v>
      </x:c>
      <x:c r="P1771" s="18" t="str">
        <x:v>鹿児島線</x:v>
      </x:c>
      <x:c r="Q1771" s="19" t="str">
        <x:v>S12_061_GE_10000</x:v>
      </x:c>
      <x:c r="R1771" s="19" t="str">
        <x:v>S12_061 usage threshold</x:v>
      </x:c>
      <x:c r="S1771" s="19" t="str">
        <x:v>https://nlftp.mlit.go.jp/ksj/gml/datalist/KsjTmplt-S12-2024.html</x:v>
      </x:c>
      <x:c r="T1771" s="19" t="str">
        <x:v>https://nlftp.mlit.go.jp/ksj/gml/datalist/KsjTmplt-S12-2024.html</x:v>
      </x:c>
      <x:c r="U1771" s="19" t="str">
        <x:v>station-component|箱崎|九州旅客鉄道|conventional_rail|33.6180|130.4265|</x:v>
      </x:c>
      <x:c r="V1771" s="19" t="str">
        <x:v>008985 / 008985 / 鹿児島線</x:v>
      </x:c>
      <x:c r="W1771" s="18" t="str">
        <x:v>否</x:v>
      </x:c>
      <x:c r="X1771" s="18" t="str">
        <x:v>0785e932a32b3ec15e1a1345537ae145eafe1c07bf38d5c16c11ee2b391e7a28</x:v>
      </x:c>
      <x:c r="Y1771" s="20" t="n">
        <x:v>1</x:v>
      </x:c>
      <x:c r="Z1771" s="20" t="n">
        <x:v>1</x:v>
      </x:c>
      <x:c r="AA1771" s="19"/>
      <x:c r="AB1771" s="18"/>
      <x:c r="AC1771" s="19"/>
    </x:row>
    <x:row r="1772" ht="28" customHeight="1">
      <x:c r="A1772" s="18" t="str">
        <x:v>築地</x:v>
      </x:c>
      <x:c r="B1772" s="18" t="str">
        <x:v>東京地下鉄</x:v>
      </x:c>
      <x:c r="C1772" s="18" t="str">
        <x:v>metro</x:v>
      </x:c>
      <x:c r="D1772" s="19" t="str">
        <x:v>T1</x:v>
      </x:c>
      <x:c r="E1772" s="20" t="n">
        <x:v>59492</x:v>
      </x:c>
      <x:c r="F1772" s="18" t="str">
        <x:v>persons/day</x:v>
      </x:c>
      <x:c r="G1772" s="18" t="str">
        <x:v>FY2024</x:v>
      </x:c>
      <x:c r="H1772" s="18" t="str">
        <x:v>否</x:v>
      </x:c>
      <x:c r="I1772" s="19" t="str">
        <x:v>DAILY_ENTRIES_EXITS</x:v>
      </x:c>
      <x:c r="J1772" s="19" t="str">
        <x:v>2号線日比谷線</x:v>
      </x:c>
      <x:c r="K1772" s="18" t="str">
        <x:v>transport-node:ef25573a-82df-5236-959f-55321118c9a3</x:v>
      </x:c>
      <x:c r="L1772" s="19" t="str">
        <x:v>组件待审核</x:v>
      </x:c>
      <x:c r="M1772" s="21" t="n">
        <x:v>35.667985</x:v>
      </x:c>
      <x:c r="N1772" s="21" t="n">
        <x:v>139.7725483</x:v>
      </x:c>
      <x:c r="O1772" s="18" t="str">
        <x:v>003860</x:v>
      </x:c>
      <x:c r="P1772" s="18" t="str">
        <x:v>2号線日比谷線</x:v>
      </x:c>
      <x:c r="Q1772" s="19" t="str">
        <x:v>S12_061_GE_10000</x:v>
      </x:c>
      <x:c r="R1772" s="19" t="str">
        <x:v>S12_061 usage threshold</x:v>
      </x:c>
      <x:c r="S1772" s="19" t="str">
        <x:v>https://nlftp.mlit.go.jp/ksj/gml/datalist/KsjTmplt-S12-2024.html</x:v>
      </x:c>
      <x:c r="T1772" s="19" t="str">
        <x:v>https://nlftp.mlit.go.jp/ksj/gml/datalist/KsjTmplt-S12-2024.html</x:v>
      </x:c>
      <x:c r="U1772" s="19" t="str">
        <x:v>station-component|築地|東京地下鉄|metro|35.6680|139.7725|</x:v>
      </x:c>
      <x:c r="V1772" s="19" t="str">
        <x:v>003860 / 003860 / 2号線日比谷線</x:v>
      </x:c>
      <x:c r="W1772" s="18" t="str">
        <x:v>否</x:v>
      </x:c>
      <x:c r="X1772" s="18" t="str">
        <x:v>0785e932a32b3ec15e1a1345537ae145eafe1c07bf38d5c16c11ee2b391e7a28</x:v>
      </x:c>
      <x:c r="Y1772" s="20" t="n">
        <x:v>1</x:v>
      </x:c>
      <x:c r="Z1772" s="20" t="n">
        <x:v>1</x:v>
      </x:c>
      <x:c r="AA1772" s="19"/>
      <x:c r="AB1772" s="18"/>
      <x:c r="AC1772" s="19"/>
    </x:row>
    <x:row r="1773" ht="28" customHeight="1">
      <x:c r="A1773" s="18" t="str">
        <x:v>築地市場</x:v>
      </x:c>
      <x:c r="B1773" s="18" t="str">
        <x:v>東京都</x:v>
      </x:c>
      <x:c r="C1773" s="18" t="str">
        <x:v>metro</x:v>
      </x:c>
      <x:c r="D1773" s="19" t="str">
        <x:v>T2</x:v>
      </x:c>
      <x:c r="E1773" s="20" t="n">
        <x:v>23281</x:v>
      </x:c>
      <x:c r="F1773" s="18" t="str">
        <x:v>persons/day</x:v>
      </x:c>
      <x:c r="G1773" s="18" t="str">
        <x:v>FY2024</x:v>
      </x:c>
      <x:c r="H1773" s="18" t="str">
        <x:v>否</x:v>
      </x:c>
      <x:c r="I1773" s="19" t="str">
        <x:v>DAILY_ENTRIES_EXITS</x:v>
      </x:c>
      <x:c r="J1773" s="19" t="str">
        <x:v>12号線大江戸線</x:v>
      </x:c>
      <x:c r="K1773" s="18" t="str">
        <x:v>transport-node:a11805b5-f3c7-579b-b700-fa2c0fd42267</x:v>
      </x:c>
      <x:c r="L1773" s="19" t="str">
        <x:v>组件待审核</x:v>
      </x:c>
      <x:c r="M1773" s="21" t="n">
        <x:v>35.66496</x:v>
      </x:c>
      <x:c r="N1773" s="21" t="n">
        <x:v>139.76675</x:v>
      </x:c>
      <x:c r="O1773" s="18" t="str">
        <x:v>003886</x:v>
      </x:c>
      <x:c r="P1773" s="18" t="str">
        <x:v>12号線大江戸線</x:v>
      </x:c>
      <x:c r="Q1773" s="19" t="str">
        <x:v>S12_061_GE_10000</x:v>
      </x:c>
      <x:c r="R1773" s="19" t="str">
        <x:v>S12_061 usage threshold</x:v>
      </x:c>
      <x:c r="S1773" s="19" t="str">
        <x:v>https://nlftp.mlit.go.jp/ksj/gml/datalist/KsjTmplt-S12-2024.html</x:v>
      </x:c>
      <x:c r="T1773" s="19" t="str">
        <x:v>https://nlftp.mlit.go.jp/ksj/gml/datalist/KsjTmplt-S12-2024.html</x:v>
      </x:c>
      <x:c r="U1773" s="19" t="str">
        <x:v>station-component|築地市場|東京都|metro|35.6650|139.7668|</x:v>
      </x:c>
      <x:c r="V1773" s="19" t="str">
        <x:v>003886 / 003886 / 12号線大江戸線</x:v>
      </x:c>
      <x:c r="W1773" s="18" t="str">
        <x:v>否</x:v>
      </x:c>
      <x:c r="X1773" s="18" t="str">
        <x:v>0785e932a32b3ec15e1a1345537ae145eafe1c07bf38d5c16c11ee2b391e7a28</x:v>
      </x:c>
      <x:c r="Y1773" s="20" t="n">
        <x:v>1</x:v>
      </x:c>
      <x:c r="Z1773" s="20" t="n">
        <x:v>1</x:v>
      </x:c>
      <x:c r="AA1773" s="19"/>
      <x:c r="AB1773" s="18"/>
      <x:c r="AC1773" s="19"/>
    </x:row>
    <x:row r="1774" ht="33" customHeight="1">
      <x:c r="A1774" s="18" t="str">
        <x:v>篠ノ井</x:v>
      </x:c>
      <x:c r="B1774" s="18" t="str">
        <x:v>東日本旅客鉄道</x:v>
      </x:c>
      <x:c r="C1774" s="18" t="str">
        <x:v>conventional_rail</x:v>
      </x:c>
      <x:c r="D1774" s="19" t="str">
        <x:v>T2</x:v>
      </x:c>
      <x:c r="E1774" s="20" t="n">
        <x:v>16390</x:v>
      </x:c>
      <x:c r="F1774" s="18" t="str">
        <x:v>persons/day</x:v>
      </x:c>
      <x:c r="G1774" s="18" t="str">
        <x:v>FY2024</x:v>
      </x:c>
      <x:c r="H1774" s="18" t="str">
        <x:v>否</x:v>
      </x:c>
      <x:c r="I1774" s="19" t="str">
        <x:v>DAILY_ENTRIES_EXITS</x:v>
      </x:c>
      <x:c r="J1774" s="19" t="str">
        <x:v>信越線
篠ノ井線</x:v>
      </x:c>
      <x:c r="K1774" s="18" t="str">
        <x:v>transport-node:3679c570-f836-56c9-b523-57f19c10cda9</x:v>
      </x:c>
      <x:c r="L1774" s="19" t="str">
        <x:v>组件待审核</x:v>
      </x:c>
      <x:c r="M1774" s="21" t="n">
        <x:v>36.5769567</x:v>
      </x:c>
      <x:c r="N1774" s="21" t="n">
        <x:v>138.1380733</x:v>
      </x:c>
      <x:c r="O1774" s="18" t="str">
        <x:v>002097</x:v>
      </x:c>
      <x:c r="P1774" s="18" t="str">
        <x:v>信越線</x:v>
      </x:c>
      <x:c r="Q1774" s="19" t="str">
        <x:v>S12_061_GE_10000</x:v>
      </x:c>
      <x:c r="R1774" s="19" t="str">
        <x:v>S12_061 usage threshold</x:v>
      </x:c>
      <x:c r="S1774" s="19" t="str">
        <x:v>https://nlftp.mlit.go.jp/ksj/gml/datalist/KsjTmplt-S12-2024.html</x:v>
      </x:c>
      <x:c r="T1774" s="19" t="str">
        <x:v>https://nlftp.mlit.go.jp/ksj/gml/datalist/KsjTmplt-S12-2024.html</x:v>
      </x:c>
      <x:c r="U1774" s="19" t="str">
        <x:v>station-component|篠ノ井|東日本旅客鉄道|conventional_rail|36.5770|138.1381|</x:v>
      </x:c>
      <x:c r="V1774" s="19" t="str">
        <x:v>002096 / 002096 / 篠ノ井線
002096 / 002097 / 信越線</x:v>
      </x:c>
      <x:c r="W1774" s="18" t="str">
        <x:v>否</x:v>
      </x:c>
      <x:c r="X1774" s="18" t="str">
        <x:v>0785e932a32b3ec15e1a1345537ae145eafe1c07bf38d5c16c11ee2b391e7a28</x:v>
      </x:c>
      <x:c r="Y1774" s="20" t="n">
        <x:v>1</x:v>
      </x:c>
      <x:c r="Z1774" s="20" t="n">
        <x:v>1</x:v>
      </x:c>
      <x:c r="AA1774" s="19"/>
      <x:c r="AB1774" s="18"/>
      <x:c r="AC1774" s="19"/>
    </x:row>
    <x:row r="1775" ht="28" customHeight="1">
      <x:c r="A1775" s="18" t="str">
        <x:v>篠崎</x:v>
      </x:c>
      <x:c r="B1775" s="18" t="str">
        <x:v>東京都</x:v>
      </x:c>
      <x:c r="C1775" s="18" t="str">
        <x:v>metro</x:v>
      </x:c>
      <x:c r="D1775" s="19" t="str">
        <x:v>T2</x:v>
      </x:c>
      <x:c r="E1775" s="20" t="n">
        <x:v>39512</x:v>
      </x:c>
      <x:c r="F1775" s="18" t="str">
        <x:v>persons/day</x:v>
      </x:c>
      <x:c r="G1775" s="18" t="str">
        <x:v>FY2024</x:v>
      </x:c>
      <x:c r="H1775" s="18" t="str">
        <x:v>否</x:v>
      </x:c>
      <x:c r="I1775" s="19" t="str">
        <x:v>DAILY_ENTRIES_EXITS</x:v>
      </x:c>
      <x:c r="J1775" s="19" t="str">
        <x:v>10号線新宿線</x:v>
      </x:c>
      <x:c r="K1775" s="18" t="str">
        <x:v>transport-node:6271639a-b492-555e-b51a-371c95ae38e1</x:v>
      </x:c>
      <x:c r="L1775" s="19" t="str">
        <x:v>组件待审核</x:v>
      </x:c>
      <x:c r="M1775" s="21" t="n">
        <x:v>35.70612</x:v>
      </x:c>
      <x:c r="N1775" s="21" t="n">
        <x:v>139.903885</x:v>
      </x:c>
      <x:c r="O1775" s="18" t="str">
        <x:v>003565</x:v>
      </x:c>
      <x:c r="P1775" s="18" t="str">
        <x:v>10号線新宿線</x:v>
      </x:c>
      <x:c r="Q1775" s="19" t="str">
        <x:v>S12_061_GE_10000</x:v>
      </x:c>
      <x:c r="R1775" s="19" t="str">
        <x:v>S12_061 usage threshold</x:v>
      </x:c>
      <x:c r="S1775" s="19" t="str">
        <x:v>https://nlftp.mlit.go.jp/ksj/gml/datalist/KsjTmplt-S12-2024.html</x:v>
      </x:c>
      <x:c r="T1775" s="19" t="str">
        <x:v>https://nlftp.mlit.go.jp/ksj/gml/datalist/KsjTmplt-S12-2024.html</x:v>
      </x:c>
      <x:c r="U1775" s="19" t="str">
        <x:v>station-component|篠崎|東京都|metro|35.7061|139.9039|</x:v>
      </x:c>
      <x:c r="V1775" s="19" t="str">
        <x:v>003565 / 003565 / 10号線新宿線</x:v>
      </x:c>
      <x:c r="W1775" s="18" t="str">
        <x:v>否</x:v>
      </x:c>
      <x:c r="X1775" s="18" t="str">
        <x:v>0785e932a32b3ec15e1a1345537ae145eafe1c07bf38d5c16c11ee2b391e7a28</x:v>
      </x:c>
      <x:c r="Y1775" s="20" t="n">
        <x:v>1</x:v>
      </x:c>
      <x:c r="Z1775" s="20" t="n">
        <x:v>1</x:v>
      </x:c>
      <x:c r="AA1775" s="19"/>
      <x:c r="AB1775" s="18"/>
      <x:c r="AC1775" s="19"/>
    </x:row>
    <x:row r="1776" ht="28" customHeight="1">
      <x:c r="A1776" s="18" t="str">
        <x:v>篠栗</x:v>
      </x:c>
      <x:c r="B1776" s="18" t="str">
        <x:v>九州旅客鉄道</x:v>
      </x:c>
      <x:c r="C1776" s="18" t="str">
        <x:v>conventional_rail</x:v>
      </x:c>
      <x:c r="D1776" s="19" t="str">
        <x:v>T2</x:v>
      </x:c>
      <x:c r="E1776" s="20" t="n">
        <x:v>10486</x:v>
      </x:c>
      <x:c r="F1776" s="18" t="str">
        <x:v>persons/day</x:v>
      </x:c>
      <x:c r="G1776" s="18" t="str">
        <x:v>FY2024</x:v>
      </x:c>
      <x:c r="H1776" s="18" t="str">
        <x:v>否</x:v>
      </x:c>
      <x:c r="I1776" s="19" t="str">
        <x:v>DAILY_ENTRIES_EXITS</x:v>
      </x:c>
      <x:c r="J1776" s="19" t="str">
        <x:v>篠栗線</x:v>
      </x:c>
      <x:c r="K1776" s="18" t="str">
        <x:v>transport-node:9dcb00a1-4c77-5834-95f5-3530391dc75d</x:v>
      </x:c>
      <x:c r="L1776" s="19" t="str">
        <x:v>组件待审核</x:v>
      </x:c>
      <x:c r="M1776" s="21" t="n">
        <x:v>33.623925</x:v>
      </x:c>
      <x:c r="N1776" s="21" t="n">
        <x:v>130.52405</x:v>
      </x:c>
      <x:c r="O1776" s="18" t="str">
        <x:v>008976</x:v>
      </x:c>
      <x:c r="P1776" s="18" t="str">
        <x:v>篠栗線</x:v>
      </x:c>
      <x:c r="Q1776" s="19" t="str">
        <x:v>S12_061_GE_10000</x:v>
      </x:c>
      <x:c r="R1776" s="19" t="str">
        <x:v>S12_061 usage threshold</x:v>
      </x:c>
      <x:c r="S1776" s="19" t="str">
        <x:v>https://nlftp.mlit.go.jp/ksj/gml/datalist/KsjTmplt-S12-2024.html</x:v>
      </x:c>
      <x:c r="T1776" s="19" t="str">
        <x:v>https://nlftp.mlit.go.jp/ksj/gml/datalist/KsjTmplt-S12-2024.html</x:v>
      </x:c>
      <x:c r="U1776" s="19" t="str">
        <x:v>station-component|篠栗|九州旅客鉄道|conventional_rail|33.6239|130.5240|</x:v>
      </x:c>
      <x:c r="V1776" s="19" t="str">
        <x:v>008976 / 008976 / 篠栗線</x:v>
      </x:c>
      <x:c r="W1776" s="18" t="str">
        <x:v>否</x:v>
      </x:c>
      <x:c r="X1776" s="18" t="str">
        <x:v>0785e932a32b3ec15e1a1345537ae145eafe1c07bf38d5c16c11ee2b391e7a28</x:v>
      </x:c>
      <x:c r="Y1776" s="20" t="n">
        <x:v>1</x:v>
      </x:c>
      <x:c r="Z1776" s="20" t="n">
        <x:v>1</x:v>
      </x:c>
      <x:c r="AA1776" s="19"/>
      <x:c r="AB1776" s="18"/>
      <x:c r="AC1776" s="19"/>
    </x:row>
    <x:row r="1777" ht="28" customHeight="1">
      <x:c r="A1777" s="18" t="str">
        <x:v>籠原</x:v>
      </x:c>
      <x:c r="B1777" s="18" t="str">
        <x:v>東日本旅客鉄道</x:v>
      </x:c>
      <x:c r="C1777" s="18" t="str">
        <x:v>conventional_rail</x:v>
      </x:c>
      <x:c r="D1777" s="19" t="str">
        <x:v>T2</x:v>
      </x:c>
      <x:c r="E1777" s="20" t="n">
        <x:v>27114</x:v>
      </x:c>
      <x:c r="F1777" s="18" t="str">
        <x:v>persons/day</x:v>
      </x:c>
      <x:c r="G1777" s="18" t="str">
        <x:v>FY2024</x:v>
      </x:c>
      <x:c r="H1777" s="18" t="str">
        <x:v>否</x:v>
      </x:c>
      <x:c r="I1777" s="19" t="str">
        <x:v>DAILY_ENTRIES_EXITS</x:v>
      </x:c>
      <x:c r="J1777" s="19" t="str">
        <x:v>高崎線</x:v>
      </x:c>
      <x:c r="K1777" s="18" t="str">
        <x:v>transport-node:342da455-7393-5e3c-a173-3c5a4b8f069b</x:v>
      </x:c>
      <x:c r="L1777" s="19" t="str">
        <x:v>组件待审核</x:v>
      </x:c>
      <x:c r="M1777" s="21" t="n">
        <x:v>36.17442</x:v>
      </x:c>
      <x:c r="N1777" s="21" t="n">
        <x:v>139.33026</x:v>
      </x:c>
      <x:c r="O1777" s="18" t="str">
        <x:v>002561</x:v>
      </x:c>
      <x:c r="P1777" s="18" t="str">
        <x:v>高崎線</x:v>
      </x:c>
      <x:c r="Q1777" s="19" t="str">
        <x:v>S12_061_GE_10000</x:v>
      </x:c>
      <x:c r="R1777" s="19" t="str">
        <x:v>S12_061 usage threshold</x:v>
      </x:c>
      <x:c r="S1777" s="19" t="str">
        <x:v>https://nlftp.mlit.go.jp/ksj/gml/datalist/KsjTmplt-S12-2024.html</x:v>
      </x:c>
      <x:c r="T1777" s="19" t="str">
        <x:v>https://nlftp.mlit.go.jp/ksj/gml/datalist/KsjTmplt-S12-2024.html</x:v>
      </x:c>
      <x:c r="U1777" s="19" t="str">
        <x:v>station-component|籠原|東日本旅客鉄道|conventional_rail|36.1744|139.3303|</x:v>
      </x:c>
      <x:c r="V1777" s="19" t="str">
        <x:v>002561 / 002561 / 高崎線</x:v>
      </x:c>
      <x:c r="W1777" s="18" t="str">
        <x:v>否</x:v>
      </x:c>
      <x:c r="X1777" s="18" t="str">
        <x:v>0785e932a32b3ec15e1a1345537ae145eafe1c07bf38d5c16c11ee2b391e7a28</x:v>
      </x:c>
      <x:c r="Y1777" s="20" t="n">
        <x:v>1</x:v>
      </x:c>
      <x:c r="Z1777" s="20" t="n">
        <x:v>1</x:v>
      </x:c>
      <x:c r="AA1777" s="19"/>
      <x:c r="AB1777" s="18"/>
      <x:c r="AC1777" s="19"/>
    </x:row>
    <x:row r="1778" ht="33" customHeight="1">
      <x:c r="A1778" s="18" t="str">
        <x:v>米原</x:v>
      </x:c>
      <x:c r="B1778" s="18" t="str">
        <x:v>東海旅客鉄道</x:v>
      </x:c>
      <x:c r="C1778" s="18" t="str">
        <x:v>shinkansen</x:v>
      </x:c>
      <x:c r="D1778" s="19" t="str">
        <x:v>T2</x:v>
      </x:c>
      <x:c r="E1778" s="20" t="n">
        <x:v>10805</x:v>
      </x:c>
      <x:c r="F1778" s="18" t="str">
        <x:v>persons/day</x:v>
      </x:c>
      <x:c r="G1778" s="18" t="str">
        <x:v>FY2024</x:v>
      </x:c>
      <x:c r="H1778" s="18" t="str">
        <x:v>否</x:v>
      </x:c>
      <x:c r="I1778" s="19" t="str">
        <x:v>DAILY_ENTRIES_EXITS</x:v>
      </x:c>
      <x:c r="J1778" s="19" t="str">
        <x:v>東海道新幹線</x:v>
      </x:c>
      <x:c r="K1778" s="18" t="str">
        <x:v>transport-node:1ed880c9-4c9b-5ba4-b8ea-d65527c64857</x:v>
      </x:c>
      <x:c r="L1778" s="19" t="str">
        <x:v>组件待审核</x:v>
      </x:c>
      <x:c r="M1778" s="21" t="n">
        <x:v>35.3150567</x:v>
      </x:c>
      <x:c r="N1778" s="21" t="n">
        <x:v>136.2895233</x:v>
      </x:c>
      <x:c r="O1778" s="18" t="str">
        <x:v>005073</x:v>
      </x:c>
      <x:c r="P1778" s="18" t="str">
        <x:v>東海道新幹線</x:v>
      </x:c>
      <x:c r="Q1778" s="19" t="str">
        <x:v>S12_061_GE_10000
SHINKANSEN</x:v>
      </x:c>
      <x:c r="R1778" s="19" t="str">
        <x:v>S12_061 usage threshold</x:v>
      </x:c>
      <x:c r="S1778" s="19" t="str">
        <x:v>https://nlftp.mlit.go.jp/ksj/gml/datalist/KsjTmplt-S12-2024.html</x:v>
      </x:c>
      <x:c r="T1778" s="19" t="str">
        <x:v>https://nlftp.mlit.go.jp/ksj/gml/datalist/KsjTmplt-S12-2024.html</x:v>
      </x:c>
      <x:c r="U1778" s="19" t="str">
        <x:v>station-component|米原|東海旅客鉄道|shinkansen|35.3151|136.2895|</x:v>
      </x:c>
      <x:c r="V1778" s="19" t="str">
        <x:v>005075 / 005073 / 東海道新幹線</x:v>
      </x:c>
      <x:c r="W1778" s="18" t="str">
        <x:v>否</x:v>
      </x:c>
      <x:c r="X1778" s="18" t="str">
        <x:v>0785e932a32b3ec15e1a1345537ae145eafe1c07bf38d5c16c11ee2b391e7a28</x:v>
      </x:c>
      <x:c r="Y1778" s="20" t="n">
        <x:v>1</x:v>
      </x:c>
      <x:c r="Z1778" s="20" t="n">
        <x:v>1</x:v>
      </x:c>
      <x:c r="AA1778" s="19"/>
      <x:c r="AB1778" s="18"/>
      <x:c r="AC1778" s="19"/>
    </x:row>
    <x:row r="1779" ht="33" customHeight="1">
      <x:c r="A1779" s="18" t="str">
        <x:v>米原</x:v>
      </x:c>
      <x:c r="B1779" s="18" t="str">
        <x:v>西日本旅客鉄道</x:v>
      </x:c>
      <x:c r="C1779" s="18" t="str">
        <x:v>conventional_rail</x:v>
      </x:c>
      <x:c r="D1779" s="19" t="str">
        <x:v>T2</x:v>
      </x:c>
      <x:c r="E1779" s="20" t="n">
        <x:v>11072</x:v>
      </x:c>
      <x:c r="F1779" s="18" t="str">
        <x:v>persons/day</x:v>
      </x:c>
      <x:c r="G1779" s="18" t="str">
        <x:v>FY2024</x:v>
      </x:c>
      <x:c r="H1779" s="18" t="str">
        <x:v>否</x:v>
      </x:c>
      <x:c r="I1779" s="19" t="str">
        <x:v>DAILY_ENTRIES_EXITS</x:v>
      </x:c>
      <x:c r="J1779" s="19" t="str">
        <x:v>北陸線
東海道線</x:v>
      </x:c>
      <x:c r="K1779" s="18" t="str">
        <x:v>transport-node:41cef0eb-2728-56f0-8bb6-875479fe05cc</x:v>
      </x:c>
      <x:c r="L1779" s="19" t="str">
        <x:v>组件待审核</x:v>
      </x:c>
      <x:c r="M1779" s="21" t="n">
        <x:v>35.3148405</x:v>
      </x:c>
      <x:c r="N1779" s="21" t="n">
        <x:v>136.2902235</x:v>
      </x:c>
      <x:c r="O1779" s="18" t="str">
        <x:v>005075</x:v>
      </x:c>
      <x:c r="P1779" s="18" t="str">
        <x:v>東海道線</x:v>
      </x:c>
      <x:c r="Q1779" s="19" t="str">
        <x:v>S12_061_GE_10000</x:v>
      </x:c>
      <x:c r="R1779" s="19" t="str">
        <x:v>S12_061 usage threshold</x:v>
      </x:c>
      <x:c r="S1779" s="19" t="str">
        <x:v>https://nlftp.mlit.go.jp/ksj/gml/datalist/KsjTmplt-S12-2024.html</x:v>
      </x:c>
      <x:c r="T1779" s="19" t="str">
        <x:v>https://nlftp.mlit.go.jp/ksj/gml/datalist/KsjTmplt-S12-2024.html</x:v>
      </x:c>
      <x:c r="U1779" s="19" t="str">
        <x:v>station-component|米原|西日本旅客鉄道|conventional_rail|35.3148|136.2902|</x:v>
      </x:c>
      <x:c r="V1779" s="19" t="str">
        <x:v>005075 / 005075 / 東海道線
005075 / 005077 / 北陸線</x:v>
      </x:c>
      <x:c r="W1779" s="18" t="str">
        <x:v>否</x:v>
      </x:c>
      <x:c r="X1779" s="18" t="str">
        <x:v>0785e932a32b3ec15e1a1345537ae145eafe1c07bf38d5c16c11ee2b391e7a28</x:v>
      </x:c>
      <x:c r="Y1779" s="20" t="n">
        <x:v>1</x:v>
      </x:c>
      <x:c r="Z1779" s="20" t="n">
        <x:v>1</x:v>
      </x:c>
      <x:c r="AA1779" s="19"/>
      <x:c r="AB1779" s="18"/>
      <x:c r="AC1779" s="19"/>
    </x:row>
    <x:row r="1780" ht="33" customHeight="1">
      <x:c r="A1780" s="18" t="str">
        <x:v>米子空港</x:v>
      </x:c>
      <x:c r="B1780" s="18" t="str">
        <x:v>西日本旅客鉄道</x:v>
      </x:c>
      <x:c r="C1780" s="18" t="str">
        <x:v>conventional_rail</x:v>
      </x:c>
      <x:c r="D1780" s="19" t="str">
        <x:v>T3</x:v>
      </x:c>
      <x:c r="E1780" s="20" t="n">
        <x:v>304</x:v>
      </x:c>
      <x:c r="F1780" s="18" t="str">
        <x:v>persons/day</x:v>
      </x:c>
      <x:c r="G1780" s="18" t="str">
        <x:v>FY2024</x:v>
      </x:c>
      <x:c r="H1780" s="18" t="str">
        <x:v>否</x:v>
      </x:c>
      <x:c r="I1780" s="19" t="str">
        <x:v>DAILY_ENTRIES_EXITS</x:v>
      </x:c>
      <x:c r="J1780" s="19" t="str">
        <x:v>境線</x:v>
      </x:c>
      <x:c r="K1780" s="18" t="str">
        <x:v>transport-node:68bf6978-a3be-53c7-b280-2550f6eb9e8a</x:v>
      </x:c>
      <x:c r="L1780" s="19" t="str">
        <x:v>组件待审核</x:v>
      </x:c>
      <x:c r="M1780" s="21" t="n">
        <x:v>35.501987</x:v>
      </x:c>
      <x:c r="N1780" s="21" t="n">
        <x:v>133.247889</x:v>
      </x:c>
      <x:c r="O1780" s="18" t="str">
        <x:v>004516</x:v>
      </x:c>
      <x:c r="P1780" s="18" t="str">
        <x:v>境線</x:v>
      </x:c>
      <x:c r="Q1780" s="19" t="str">
        <x:v>AIRPORT_ACCESS_AUDIT</x:v>
      </x:c>
      <x:c r="R1780" s="19" t="str">
        <x:v>S12_061 usage threshold; low-flow inclusion justified by airport access</x:v>
      </x:c>
      <x:c r="S1780" s="19" t="str">
        <x:v>https://nlftp.mlit.go.jp/ksj/gml/datalist/KsjTmplt-S12-2024.html</x:v>
      </x:c>
      <x:c r="T1780" s="19" t="str">
        <x:v>https://nlftp.mlit.go.jp/ksj/gml/datalist/KsjTmplt-S12-2024.html</x:v>
      </x:c>
      <x:c r="U1780" s="19" t="str">
        <x:v>station-component|米子空港|西日本旅客鉄道|conventional_rail|35.5020|133.2479|</x:v>
      </x:c>
      <x:c r="V1780" s="19" t="str">
        <x:v>004516 / 004516 / 境線</x:v>
      </x:c>
      <x:c r="W1780" s="18" t="str">
        <x:v>否</x:v>
      </x:c>
      <x:c r="X1780" s="18" t="str">
        <x:v>0785e932a32b3ec15e1a1345537ae145eafe1c07bf38d5c16c11ee2b391e7a28</x:v>
      </x:c>
      <x:c r="Y1780" s="20" t="n">
        <x:v>1</x:v>
      </x:c>
      <x:c r="Z1780" s="20" t="n">
        <x:v>1</x:v>
      </x:c>
      <x:c r="AA1780" s="19"/>
      <x:c r="AB1780" s="18"/>
      <x:c r="AC1780" s="19"/>
    </x:row>
    <x:row r="1781" ht="28" customHeight="1">
      <x:c r="A1781" s="18" t="str">
        <x:v>糀谷</x:v>
      </x:c>
      <x:c r="B1781" s="18" t="str">
        <x:v>京浜急行電鉄</x:v>
      </x:c>
      <x:c r="C1781" s="18" t="str">
        <x:v>private_rail</x:v>
      </x:c>
      <x:c r="D1781" s="19" t="str">
        <x:v>T2</x:v>
      </x:c>
      <x:c r="E1781" s="20" t="n">
        <x:v>28346</x:v>
      </x:c>
      <x:c r="F1781" s="18" t="str">
        <x:v>persons/day</x:v>
      </x:c>
      <x:c r="G1781" s="18" t="str">
        <x:v>FY2024</x:v>
      </x:c>
      <x:c r="H1781" s="18" t="str">
        <x:v>否</x:v>
      </x:c>
      <x:c r="I1781" s="19" t="str">
        <x:v>DAILY_ENTRIES_EXITS</x:v>
      </x:c>
      <x:c r="J1781" s="19" t="str">
        <x:v>空港線</x:v>
      </x:c>
      <x:c r="K1781" s="18" t="str">
        <x:v>transport-node:1d48b8d7-bf40-5411-9f82-eca7a67011fb</x:v>
      </x:c>
      <x:c r="L1781" s="19" t="str">
        <x:v>组件待审核</x:v>
      </x:c>
      <x:c r="M1781" s="21" t="n">
        <x:v>35.55445</x:v>
      </x:c>
      <x:c r="N1781" s="21" t="n">
        <x:v>139.72959</x:v>
      </x:c>
      <x:c r="O1781" s="18" t="str">
        <x:v>004349</x:v>
      </x:c>
      <x:c r="P1781" s="18" t="str">
        <x:v>空港線</x:v>
      </x:c>
      <x:c r="Q1781" s="19" t="str">
        <x:v>S12_061_GE_10000</x:v>
      </x:c>
      <x:c r="R1781" s="19" t="str">
        <x:v>S12_061 usage threshold</x:v>
      </x:c>
      <x:c r="S1781" s="19" t="str">
        <x:v>https://nlftp.mlit.go.jp/ksj/gml/datalist/KsjTmplt-S12-2024.html</x:v>
      </x:c>
      <x:c r="T1781" s="19" t="str">
        <x:v>https://nlftp.mlit.go.jp/ksj/gml/datalist/KsjTmplt-S12-2024.html</x:v>
      </x:c>
      <x:c r="U1781" s="19" t="str">
        <x:v>station-component|糀谷|京浜急行電鉄|private_rail|35.5545|139.7296|</x:v>
      </x:c>
      <x:c r="V1781" s="19" t="str">
        <x:v>004349 / 004349 / 空港線</x:v>
      </x:c>
      <x:c r="W1781" s="18" t="str">
        <x:v>否</x:v>
      </x:c>
      <x:c r="X1781" s="18" t="str">
        <x:v>0785e932a32b3ec15e1a1345537ae145eafe1c07bf38d5c16c11ee2b391e7a28</x:v>
      </x:c>
      <x:c r="Y1781" s="20" t="n">
        <x:v>1</x:v>
      </x:c>
      <x:c r="Z1781" s="20" t="n">
        <x:v>1</x:v>
      </x:c>
      <x:c r="AA1781" s="19"/>
      <x:c r="AB1781" s="18"/>
      <x:c r="AC1781" s="19"/>
    </x:row>
    <x:row r="1782" ht="33" customHeight="1">
      <x:c r="A1782" s="18" t="str">
        <x:v>糸魚川</x:v>
      </x:c>
      <x:c r="B1782" s="18" t="str">
        <x:v>西日本旅客鉄道</x:v>
      </x:c>
      <x:c r="C1782" s="18" t="str">
        <x:v>shinkansen</x:v>
      </x:c>
      <x:c r="D1782" s="19" t="str">
        <x:v>T3</x:v>
      </x:c>
      <x:c r="E1782" s="20" t="n">
        <x:v>1160</x:v>
      </x:c>
      <x:c r="F1782" s="18" t="str">
        <x:v>persons/day</x:v>
      </x:c>
      <x:c r="G1782" s="18" t="str">
        <x:v>FY2024</x:v>
      </x:c>
      <x:c r="H1782" s="18" t="str">
        <x:v>否</x:v>
      </x:c>
      <x:c r="I1782" s="19" t="str">
        <x:v>DAILY_ENTRIES_EXITS</x:v>
      </x:c>
      <x:c r="J1782" s="19" t="str">
        <x:v>北陸新幹線</x:v>
      </x:c>
      <x:c r="K1782" s="18" t="str">
        <x:v>transport-node:8a3ec0cc-c1a5-5124-a48e-edd44a33549a</x:v>
      </x:c>
      <x:c r="L1782" s="19" t="str">
        <x:v>组件待审核</x:v>
      </x:c>
      <x:c r="M1782" s="21" t="n">
        <x:v>37.0431145</x:v>
      </x:c>
      <x:c r="N1782" s="21" t="n">
        <x:v>137.8612932</x:v>
      </x:c>
      <x:c r="O1782" s="18" t="str">
        <x:v>001668</x:v>
      </x:c>
      <x:c r="P1782" s="18" t="str">
        <x:v>北陸新幹線</x:v>
      </x:c>
      <x:c r="Q1782" s="19" t="str">
        <x:v>SHINKANSEN</x:v>
      </x:c>
      <x:c r="R1782" s="19" t="str">
        <x:v>S12_061 usage threshold; low-flow inclusion justified by Shinkansen inventory</x:v>
      </x:c>
      <x:c r="S1782" s="19" t="str">
        <x:v>https://nlftp.mlit.go.jp/ksj/gml/datalist/KsjTmplt-S12-2024.html</x:v>
      </x:c>
      <x:c r="T1782" s="19" t="str">
        <x:v>https://nlftp.mlit.go.jp/ksj/gml/datalist/KsjTmplt-S12-2024.html</x:v>
      </x:c>
      <x:c r="U1782" s="19" t="str">
        <x:v>station-component|糸魚川|西日本旅客鉄道|shinkansen|37.0431|137.8613|</x:v>
      </x:c>
      <x:c r="V1782" s="19" t="str">
        <x:v>001666 / 001668 / 北陸新幹線</x:v>
      </x:c>
      <x:c r="W1782" s="18" t="str">
        <x:v>否</x:v>
      </x:c>
      <x:c r="X1782" s="18" t="str">
        <x:v>0785e932a32b3ec15e1a1345537ae145eafe1c07bf38d5c16c11ee2b391e7a28</x:v>
      </x:c>
      <x:c r="Y1782" s="20" t="n">
        <x:v>1</x:v>
      </x:c>
      <x:c r="Z1782" s="20" t="n">
        <x:v>1</x:v>
      </x:c>
      <x:c r="AA1782" s="19"/>
      <x:c r="AB1782" s="18"/>
      <x:c r="AC1782" s="19"/>
    </x:row>
    <x:row r="1783" ht="33" customHeight="1">
      <x:c r="A1783" s="18" t="str">
        <x:v>紙屋町西</x:v>
      </x:c>
      <x:c r="B1783" s="18" t="str">
        <x:v>広島電鉄</x:v>
      </x:c>
      <x:c r="C1783" s="18" t="str">
        <x:v>tram</x:v>
      </x:c>
      <x:c r="D1783" s="19" t="str">
        <x:v>T2</x:v>
      </x:c>
      <x:c r="E1783" s="20" t="n">
        <x:v>13306</x:v>
      </x:c>
      <x:c r="F1783" s="18" t="str">
        <x:v>persons/day</x:v>
      </x:c>
      <x:c r="G1783" s="18" t="str">
        <x:v>FY2024</x:v>
      </x:c>
      <x:c r="H1783" s="18" t="str">
        <x:v>否</x:v>
      </x:c>
      <x:c r="I1783" s="19" t="str">
        <x:v>DAILY_ENTRIES_EXITS</x:v>
      </x:c>
      <x:c r="J1783" s="19" t="str">
        <x:v>宇品線
本線</x:v>
      </x:c>
      <x:c r="K1783" s="18" t="str">
        <x:v>transport-node:37988c49-3b40-54da-bf74-dbfd26b70c70</x:v>
      </x:c>
      <x:c r="L1783" s="19" t="str">
        <x:v>组件待审核</x:v>
      </x:c>
      <x:c r="M1783" s="21" t="n">
        <x:v>34.39532</x:v>
      </x:c>
      <x:c r="N1783" s="21" t="n">
        <x:v>132.45692</x:v>
      </x:c>
      <x:c r="O1783" s="18" t="str">
        <x:v>008044</x:v>
      </x:c>
      <x:c r="P1783" s="18" t="str">
        <x:v>本線</x:v>
      </x:c>
      <x:c r="Q1783" s="19" t="str">
        <x:v>S12_061_GE_10000</x:v>
      </x:c>
      <x:c r="R1783" s="19" t="str">
        <x:v>S12_061 usage threshold</x:v>
      </x:c>
      <x:c r="S1783" s="19" t="str">
        <x:v>https://nlftp.mlit.go.jp/ksj/gml/datalist/KsjTmplt-S12-2024.html</x:v>
      </x:c>
      <x:c r="T1783" s="19" t="str">
        <x:v>https://nlftp.mlit.go.jp/ksj/gml/datalist/KsjTmplt-S12-2024.html</x:v>
      </x:c>
      <x:c r="U1783" s="19" t="str">
        <x:v>station-component|紙屋町西|広島電鉄|tram|34.3953|132.4569|</x:v>
      </x:c>
      <x:c r="V1783" s="19" t="str">
        <x:v>008043 / 008043 / 宇品線
008043 / 008044 / 本線</x:v>
      </x:c>
      <x:c r="W1783" s="18" t="str">
        <x:v>否</x:v>
      </x:c>
      <x:c r="X1783" s="18" t="str">
        <x:v>0785e932a32b3ec15e1a1345537ae145eafe1c07bf38d5c16c11ee2b391e7a28</x:v>
      </x:c>
      <x:c r="Y1783" s="20" t="n">
        <x:v>1</x:v>
      </x:c>
      <x:c r="Z1783" s="20" t="n">
        <x:v>1</x:v>
      </x:c>
      <x:c r="AA1783" s="19"/>
      <x:c r="AB1783" s="18"/>
      <x:c r="AC1783" s="19"/>
    </x:row>
    <x:row r="1784" ht="28" customHeight="1">
      <x:c r="A1784" s="18" t="str">
        <x:v>経堂</x:v>
      </x:c>
      <x:c r="B1784" s="18" t="str">
        <x:v>小田急電鉄</x:v>
      </x:c>
      <x:c r="C1784" s="18" t="str">
        <x:v>private_rail</x:v>
      </x:c>
      <x:c r="D1784" s="19" t="str">
        <x:v>T1</x:v>
      </x:c>
      <x:c r="E1784" s="20" t="n">
        <x:v>82232</x:v>
      </x:c>
      <x:c r="F1784" s="18" t="str">
        <x:v>persons/day</x:v>
      </x:c>
      <x:c r="G1784" s="18" t="str">
        <x:v>FY2024</x:v>
      </x:c>
      <x:c r="H1784" s="18" t="str">
        <x:v>否</x:v>
      </x:c>
      <x:c r="I1784" s="19" t="str">
        <x:v>DAILY_ENTRIES_EXITS</x:v>
      </x:c>
      <x:c r="J1784" s="19" t="str">
        <x:v>小田原線</x:v>
      </x:c>
      <x:c r="K1784" s="18" t="str">
        <x:v>transport-node:fd8b7df5-e532-5c59-9244-e3ed2ddc37b6</x:v>
      </x:c>
      <x:c r="L1784" s="19" t="str">
        <x:v>组件待审核</x:v>
      </x:c>
      <x:c r="M1784" s="21" t="n">
        <x:v>35.6513075</x:v>
      </x:c>
      <x:c r="N1784" s="21" t="n">
        <x:v>139.6370825</x:v>
      </x:c>
      <x:c r="O1784" s="18" t="str">
        <x:v>003970</x:v>
      </x:c>
      <x:c r="P1784" s="18" t="str">
        <x:v>小田原線</x:v>
      </x:c>
      <x:c r="Q1784" s="19" t="str">
        <x:v>S12_061_GE_10000</x:v>
      </x:c>
      <x:c r="R1784" s="19" t="str">
        <x:v>S12_061 usage threshold</x:v>
      </x:c>
      <x:c r="S1784" s="19" t="str">
        <x:v>https://nlftp.mlit.go.jp/ksj/gml/datalist/KsjTmplt-S12-2024.html</x:v>
      </x:c>
      <x:c r="T1784" s="19" t="str">
        <x:v>https://nlftp.mlit.go.jp/ksj/gml/datalist/KsjTmplt-S12-2024.html</x:v>
      </x:c>
      <x:c r="U1784" s="19" t="str">
        <x:v>station-component|経堂|小田急電鉄|private_rail|35.6513|139.6371|</x:v>
      </x:c>
      <x:c r="V1784" s="19" t="str">
        <x:v>003970 / 003970 / 小田原線</x:v>
      </x:c>
      <x:c r="W1784" s="18" t="str">
        <x:v>否</x:v>
      </x:c>
      <x:c r="X1784" s="18" t="str">
        <x:v>0785e932a32b3ec15e1a1345537ae145eafe1c07bf38d5c16c11ee2b391e7a28</x:v>
      </x:c>
      <x:c r="Y1784" s="20" t="n">
        <x:v>1</x:v>
      </x:c>
      <x:c r="Z1784" s="20" t="n">
        <x:v>1</x:v>
      </x:c>
      <x:c r="AA1784" s="19"/>
      <x:c r="AB1784" s="18"/>
      <x:c r="AC1784" s="19"/>
    </x:row>
    <x:row r="1785" ht="28" customHeight="1">
      <x:c r="A1785" s="18" t="str">
        <x:v>綱島</x:v>
      </x:c>
      <x:c r="B1785" s="18" t="str">
        <x:v>東急電鉄</x:v>
      </x:c>
      <x:c r="C1785" s="18" t="str">
        <x:v>private_rail</x:v>
      </x:c>
      <x:c r="D1785" s="19" t="str">
        <x:v>T1</x:v>
      </x:c>
      <x:c r="E1785" s="20" t="n">
        <x:v>81176</x:v>
      </x:c>
      <x:c r="F1785" s="18" t="str">
        <x:v>persons/day</x:v>
      </x:c>
      <x:c r="G1785" s="18" t="str">
        <x:v>FY2024</x:v>
      </x:c>
      <x:c r="H1785" s="18" t="str">
        <x:v>否</x:v>
      </x:c>
      <x:c r="I1785" s="19" t="str">
        <x:v>DAILY_ENTRIES_EXITS</x:v>
      </x:c>
      <x:c r="J1785" s="19" t="str">
        <x:v>東横線</x:v>
      </x:c>
      <x:c r="K1785" s="18" t="str">
        <x:v>transport-node:335fed7b-62d9-536d-ab67-c578149ec155</x:v>
      </x:c>
      <x:c r="L1785" s="19" t="str">
        <x:v>组件待审核</x:v>
      </x:c>
      <x:c r="M1785" s="21" t="n">
        <x:v>35.536815</x:v>
      </x:c>
      <x:c r="N1785" s="21" t="n">
        <x:v>139.634795</x:v>
      </x:c>
      <x:c r="O1785" s="18" t="str">
        <x:v>004406</x:v>
      </x:c>
      <x:c r="P1785" s="18" t="str">
        <x:v>東横線</x:v>
      </x:c>
      <x:c r="Q1785" s="19" t="str">
        <x:v>S12_061_GE_10000</x:v>
      </x:c>
      <x:c r="R1785" s="19" t="str">
        <x:v>S12_061 usage threshold</x:v>
      </x:c>
      <x:c r="S1785" s="19" t="str">
        <x:v>https://nlftp.mlit.go.jp/ksj/gml/datalist/KsjTmplt-S12-2024.html</x:v>
      </x:c>
      <x:c r="T1785" s="19" t="str">
        <x:v>https://nlftp.mlit.go.jp/ksj/gml/datalist/KsjTmplt-S12-2024.html</x:v>
      </x:c>
      <x:c r="U1785" s="19" t="str">
        <x:v>station-component|綱島|東急電鉄|private_rail|35.5368|139.6348|</x:v>
      </x:c>
      <x:c r="V1785" s="19" t="str">
        <x:v>004406 / 004406 / 東横線</x:v>
      </x:c>
      <x:c r="W1785" s="18" t="str">
        <x:v>否</x:v>
      </x:c>
      <x:c r="X1785" s="18" t="str">
        <x:v>0785e932a32b3ec15e1a1345537ae145eafe1c07bf38d5c16c11ee2b391e7a28</x:v>
      </x:c>
      <x:c r="Y1785" s="20" t="n">
        <x:v>1</x:v>
      </x:c>
      <x:c r="Z1785" s="20" t="n">
        <x:v>1</x:v>
      </x:c>
      <x:c r="AA1785" s="19"/>
      <x:c r="AB1785" s="18"/>
      <x:c r="AC1785" s="19"/>
    </x:row>
    <x:row r="1786" ht="28" customHeight="1">
      <x:c r="A1786" s="18" t="str">
        <x:v>網干</x:v>
      </x:c>
      <x:c r="B1786" s="18" t="str">
        <x:v>西日本旅客鉄道</x:v>
      </x:c>
      <x:c r="C1786" s="18" t="str">
        <x:v>conventional_rail</x:v>
      </x:c>
      <x:c r="D1786" s="19" t="str">
        <x:v>T2</x:v>
      </x:c>
      <x:c r="E1786" s="20" t="n">
        <x:v>13726</x:v>
      </x:c>
      <x:c r="F1786" s="18" t="str">
        <x:v>persons/day</x:v>
      </x:c>
      <x:c r="G1786" s="18" t="str">
        <x:v>FY2024</x:v>
      </x:c>
      <x:c r="H1786" s="18" t="str">
        <x:v>否</x:v>
      </x:c>
      <x:c r="I1786" s="19" t="str">
        <x:v>DAILY_ENTRIES_EXITS</x:v>
      </x:c>
      <x:c r="J1786" s="19" t="str">
        <x:v>山陽線</x:v>
      </x:c>
      <x:c r="K1786" s="18" t="str">
        <x:v>transport-node:90eddce1-648b-596d-bdea-b134e2322dd0</x:v>
      </x:c>
      <x:c r="L1786" s="19" t="str">
        <x:v>组件待审核</x:v>
      </x:c>
      <x:c r="M1786" s="21" t="n">
        <x:v>34.814245</x:v>
      </x:c>
      <x:c r="N1786" s="21" t="n">
        <x:v>134.58476</x:v>
      </x:c>
      <x:c r="O1786" s="18" t="str">
        <x:v>006571</x:v>
      </x:c>
      <x:c r="P1786" s="18" t="str">
        <x:v>山陽線</x:v>
      </x:c>
      <x:c r="Q1786" s="19" t="str">
        <x:v>S12_061_GE_10000</x:v>
      </x:c>
      <x:c r="R1786" s="19" t="str">
        <x:v>S12_061 usage threshold</x:v>
      </x:c>
      <x:c r="S1786" s="19" t="str">
        <x:v>https://nlftp.mlit.go.jp/ksj/gml/datalist/KsjTmplt-S12-2024.html</x:v>
      </x:c>
      <x:c r="T1786" s="19" t="str">
        <x:v>https://nlftp.mlit.go.jp/ksj/gml/datalist/KsjTmplt-S12-2024.html</x:v>
      </x:c>
      <x:c r="U1786" s="19" t="str">
        <x:v>station-component|網干|西日本旅客鉄道|conventional_rail|34.8142|134.5848|</x:v>
      </x:c>
      <x:c r="V1786" s="19" t="str">
        <x:v>006571 / 006571 / 山陽線</x:v>
      </x:c>
      <x:c r="W1786" s="18" t="str">
        <x:v>否</x:v>
      </x:c>
      <x:c r="X1786" s="18" t="str">
        <x:v>0785e932a32b3ec15e1a1345537ae145eafe1c07bf38d5c16c11ee2b391e7a28</x:v>
      </x:c>
      <x:c r="Y1786" s="20" t="n">
        <x:v>1</x:v>
      </x:c>
      <x:c r="Z1786" s="20" t="n">
        <x:v>1</x:v>
      </x:c>
      <x:c r="AA1786" s="19"/>
      <x:c r="AB1786" s="18"/>
      <x:c r="AC1786" s="19"/>
    </x:row>
    <x:row r="1787" ht="33" customHeight="1">
      <x:c r="A1787" s="18" t="str">
        <x:v>綾瀬</x:v>
      </x:c>
      <x:c r="B1787" s="18" t="str">
        <x:v>東京地下鉄</x:v>
      </x:c>
      <x:c r="C1787" s="18" t="str">
        <x:v>metro</x:v>
      </x:c>
      <x:c r="D1787" s="19" t="str">
        <x:v>T0</x:v>
      </x:c>
      <x:c r="E1787" s="20" t="n">
        <x:v>384554</x:v>
      </x:c>
      <x:c r="F1787" s="18" t="str">
        <x:v>persons/day</x:v>
      </x:c>
      <x:c r="G1787" s="18" t="str">
        <x:v>FY2024</x:v>
      </x:c>
      <x:c r="H1787" s="18" t="str">
        <x:v>否</x:v>
      </x:c>
      <x:c r="I1787" s="19" t="str">
        <x:v>DAILY_ENTRIES_EXITS</x:v>
      </x:c>
      <x:c r="J1787" s="19" t="str">
        <x:v>9号線千代田線</x:v>
      </x:c>
      <x:c r="K1787" s="18" t="str">
        <x:v>transport-node:be9a5bb1-746e-5284-b1fd-bd9932f964ce</x:v>
      </x:c>
      <x:c r="L1787" s="19" t="str">
        <x:v>组件待审核</x:v>
      </x:c>
      <x:c r="M1787" s="21" t="n">
        <x:v>35.762285</x:v>
      </x:c>
      <x:c r="N1787" s="21" t="n">
        <x:v>139.82489</x:v>
      </x:c>
      <x:c r="O1787" s="18" t="str">
        <x:v>003214</x:v>
      </x:c>
      <x:c r="P1787" s="18" t="str">
        <x:v>9号線千代田線</x:v>
      </x:c>
      <x:c r="Q1787" s="19" t="str">
        <x:v>S12_061_GE_10000
OFFICIAL_HUB_COMPONENT_REVIEW</x:v>
      </x:c>
      <x:c r="R1787" s="19" t="str">
        <x:v>S12_061 usage threshold</x:v>
      </x:c>
      <x:c r="S1787" s="19" t="str">
        <x:v>https://nlftp.mlit.go.jp/ksj/gml/datalist/KsjTmplt-S12-2024.html</x:v>
      </x:c>
      <x:c r="T1787" s="19" t="str">
        <x:v>https://nlftp.mlit.go.jp/ksj/gml/datalist/KsjTmplt-S12-2024.html
https://www.tokyometro.jp/station/ayase/index.html</x:v>
      </x:c>
      <x:c r="U1787" s="19" t="str">
        <x:v>station-component|綾瀬|東京地下鉄|metro|35.7623|139.8249|</x:v>
      </x:c>
      <x:c r="V1787" s="19" t="str">
        <x:v>003214 / 003214 / 9号線千代田線</x:v>
      </x:c>
      <x:c r="W1787" s="18" t="str">
        <x:v>否</x:v>
      </x:c>
      <x:c r="X1787" s="18" t="str">
        <x:v>0785e932a32b3ec15e1a1345537ae145eafe1c07bf38d5c16c11ee2b391e7a28</x:v>
      </x:c>
      <x:c r="Y1787" s="20" t="n">
        <x:v>1</x:v>
      </x:c>
      <x:c r="Z1787" s="20" t="n">
        <x:v>1</x:v>
      </x:c>
      <x:c r="AA1787" s="19" t="str">
        <x:v>綾瀬</x:v>
      </x:c>
      <x:c r="AB1787" s="18" t="str">
        <x:v>transport-hub-review:816100fd-b4a2-5490-9d5b-2cff9761f595</x:v>
      </x:c>
      <x:c r="AC1787" s="19"/>
    </x:row>
    <x:row r="1788" ht="33" customHeight="1">
      <x:c r="A1788" s="18" t="str">
        <x:v>綾瀬</x:v>
      </x:c>
      <x:c r="B1788" s="18" t="str">
        <x:v>東日本旅客鉄道</x:v>
      </x:c>
      <x:c r="C1788" s="18" t="str">
        <x:v>conventional_rail</x:v>
      </x:c>
      <x:c r="D1788" s="19"/>
      <x:c r="E1788" s="20"/>
      <x:c r="F1788" s="18"/>
      <x:c r="G1788" s="18" t="str">
        <x:v>FY2024</x:v>
      </x:c>
      <x:c r="H1788" s="18" t="str">
        <x:v>是</x:v>
      </x:c>
      <x:c r="I1788" s="19" t="str">
        <x:v>USAGE_DATA_UNAVAILABLE</x:v>
      </x:c>
      <x:c r="J1788" s="19" t="str">
        <x:v>常磐線</x:v>
      </x:c>
      <x:c r="K1788" s="18" t="str">
        <x:v>transport-node:f48c90c1-9d01-5b6a-902e-64a1c91a769c</x:v>
      </x:c>
      <x:c r="L1788" s="19" t="str">
        <x:v>组件待审核</x:v>
      </x:c>
      <x:c r="M1788" s="21" t="n">
        <x:v>35.762165</x:v>
      </x:c>
      <x:c r="N1788" s="21" t="n">
        <x:v>139.824935</x:v>
      </x:c>
      <x:c r="O1788" s="18" t="str">
        <x:v>003215</x:v>
      </x:c>
      <x:c r="P1788" s="18" t="str">
        <x:v>常磐線</x:v>
      </x:c>
      <x:c r="Q1788" s="19" t="str">
        <x:v>OFFICIAL_HUB_COMPONENT_REVIEW</x:v>
      </x:c>
      <x:c r="R1788" s="19" t="str">
        <x:v>Official S12 usage unavailable; manual tier review required</x:v>
      </x:c>
      <x:c r="S1788" s="19" t="str">
        <x:v>https://nlftp.mlit.go.jp/ksj/gml/datalist/KsjTmplt-S12-2024.html</x:v>
      </x:c>
      <x:c r="T1788" s="19" t="str">
        <x:v>https://nlftp.mlit.go.jp/ksj/gml/datalist/KsjTmplt-S12-2024.html
https://www.tokyometro.jp/station/ayase/index.html</x:v>
      </x:c>
      <x:c r="U1788" s="19" t="str">
        <x:v>station-component|綾瀬|東日本旅客鉄道|conventional_rail|35.7622|139.8249|</x:v>
      </x:c>
      <x:c r="V1788" s="19" t="str">
        <x:v>003214 / 003215 / 常磐線</x:v>
      </x:c>
      <x:c r="W1788" s="18" t="str">
        <x:v>否</x:v>
      </x:c>
      <x:c r="X1788" s="18" t="str">
        <x:v>0785e932a32b3ec15e1a1345537ae145eafe1c07bf38d5c16c11ee2b391e7a28</x:v>
      </x:c>
      <x:c r="Y1788" s="20" t="n">
        <x:v>1</x:v>
      </x:c>
      <x:c r="Z1788" s="20" t="n">
        <x:v>2</x:v>
      </x:c>
      <x:c r="AA1788" s="19" t="str">
        <x:v>綾瀬</x:v>
      </x:c>
      <x:c r="AB1788" s="18" t="str">
        <x:v>transport-hub-review:816100fd-b4a2-5490-9d5b-2cff9761f595</x:v>
      </x:c>
      <x:c r="AC1788" s="19"/>
    </x:row>
    <x:row r="1789" ht="28" customHeight="1">
      <x:c r="A1789" s="18" t="str">
        <x:v>総合運動公園</x:v>
      </x:c>
      <x:c r="B1789" s="18" t="str">
        <x:v>神戸市</x:v>
      </x:c>
      <x:c r="C1789" s="18" t="str">
        <x:v>metro</x:v>
      </x:c>
      <x:c r="D1789" s="19" t="str">
        <x:v>T2</x:v>
      </x:c>
      <x:c r="E1789" s="20" t="n">
        <x:v>11127</x:v>
      </x:c>
      <x:c r="F1789" s="18" t="str">
        <x:v>persons/day</x:v>
      </x:c>
      <x:c r="G1789" s="18" t="str">
        <x:v>FY2024</x:v>
      </x:c>
      <x:c r="H1789" s="18" t="str">
        <x:v>否</x:v>
      </x:c>
      <x:c r="I1789" s="19" t="str">
        <x:v>DAILY_ENTRIES_EXITS</x:v>
      </x:c>
      <x:c r="J1789" s="19" t="str">
        <x:v>西神延伸線</x:v>
      </x:c>
      <x:c r="K1789" s="18" t="str">
        <x:v>transport-node:78ece2fc-b9bf-50c5-a796-372e458ccade</x:v>
      </x:c>
      <x:c r="L1789" s="19" t="str">
        <x:v>组件待审核</x:v>
      </x:c>
      <x:c r="M1789" s="21" t="n">
        <x:v>34.6816433</x:v>
      </x:c>
      <x:c r="N1789" s="21" t="n">
        <x:v>135.0753833</x:v>
      </x:c>
      <x:c r="O1789" s="18" t="str">
        <x:v>007199</x:v>
      </x:c>
      <x:c r="P1789" s="18" t="str">
        <x:v>西神延伸線</x:v>
      </x:c>
      <x:c r="Q1789" s="19" t="str">
        <x:v>S12_061_GE_10000</x:v>
      </x:c>
      <x:c r="R1789" s="19" t="str">
        <x:v>S12_061 usage threshold</x:v>
      </x:c>
      <x:c r="S1789" s="19" t="str">
        <x:v>https://nlftp.mlit.go.jp/ksj/gml/datalist/KsjTmplt-S12-2024.html</x:v>
      </x:c>
      <x:c r="T1789" s="19" t="str">
        <x:v>https://nlftp.mlit.go.jp/ksj/gml/datalist/KsjTmplt-S12-2024.html</x:v>
      </x:c>
      <x:c r="U1789" s="19" t="str">
        <x:v>station-component|総合運動公園|神戸市|metro|34.6816|135.0754|</x:v>
      </x:c>
      <x:c r="V1789" s="19" t="str">
        <x:v>007199 / 007199 / 西神延伸線</x:v>
      </x:c>
      <x:c r="W1789" s="18" t="str">
        <x:v>否</x:v>
      </x:c>
      <x:c r="X1789" s="18" t="str">
        <x:v>0785e932a32b3ec15e1a1345537ae145eafe1c07bf38d5c16c11ee2b391e7a28</x:v>
      </x:c>
      <x:c r="Y1789" s="20" t="n">
        <x:v>1</x:v>
      </x:c>
      <x:c r="Z1789" s="20" t="n">
        <x:v>1</x:v>
      </x:c>
      <x:c r="AA1789" s="19"/>
      <x:c r="AB1789" s="18"/>
      <x:c r="AC1789" s="19"/>
    </x:row>
    <x:row r="1790" ht="28" customHeight="1">
      <x:c r="A1790" s="18" t="str">
        <x:v>総持寺</x:v>
      </x:c>
      <x:c r="B1790" s="18" t="str">
        <x:v>阪急電鉄</x:v>
      </x:c>
      <x:c r="C1790" s="18" t="str">
        <x:v>private_rail</x:v>
      </x:c>
      <x:c r="D1790" s="19" t="str">
        <x:v>T2</x:v>
      </x:c>
      <x:c r="E1790" s="20" t="n">
        <x:v>12493</x:v>
      </x:c>
      <x:c r="F1790" s="18" t="str">
        <x:v>persons/day</x:v>
      </x:c>
      <x:c r="G1790" s="18" t="str">
        <x:v>FY2024</x:v>
      </x:c>
      <x:c r="H1790" s="18" t="str">
        <x:v>否</x:v>
      </x:c>
      <x:c r="I1790" s="19" t="str">
        <x:v>DAILY_ENTRIES_EXITS</x:v>
      </x:c>
      <x:c r="J1790" s="19" t="str">
        <x:v>京都線</x:v>
      </x:c>
      <x:c r="K1790" s="18" t="str">
        <x:v>transport-node:28369d24-0a91-51a9-abab-04ac9c97cd2e</x:v>
      </x:c>
      <x:c r="L1790" s="19" t="str">
        <x:v>组件待审核</x:v>
      </x:c>
      <x:c r="M1790" s="21" t="n">
        <x:v>34.827165</x:v>
      </x:c>
      <x:c r="N1790" s="21" t="n">
        <x:v>135.58479</x:v>
      </x:c>
      <x:c r="O1790" s="18" t="str">
        <x:v>006508</x:v>
      </x:c>
      <x:c r="P1790" s="18" t="str">
        <x:v>京都線</x:v>
      </x:c>
      <x:c r="Q1790" s="19" t="str">
        <x:v>S12_061_GE_10000</x:v>
      </x:c>
      <x:c r="R1790" s="19" t="str">
        <x:v>S12_061 usage threshold</x:v>
      </x:c>
      <x:c r="S1790" s="19" t="str">
        <x:v>https://nlftp.mlit.go.jp/ksj/gml/datalist/KsjTmplt-S12-2024.html</x:v>
      </x:c>
      <x:c r="T1790" s="19" t="str">
        <x:v>https://nlftp.mlit.go.jp/ksj/gml/datalist/KsjTmplt-S12-2024.html</x:v>
      </x:c>
      <x:c r="U1790" s="19" t="str">
        <x:v>station-component|総持寺|阪急電鉄|private_rail|34.8272|135.5848|</x:v>
      </x:c>
      <x:c r="V1790" s="19" t="str">
        <x:v>006508 / 006508 / 京都線</x:v>
      </x:c>
      <x:c r="W1790" s="18" t="str">
        <x:v>否</x:v>
      </x:c>
      <x:c r="X1790" s="18" t="str">
        <x:v>0785e932a32b3ec15e1a1345537ae145eafe1c07bf38d5c16c11ee2b391e7a28</x:v>
      </x:c>
      <x:c r="Y1790" s="20" t="n">
        <x:v>1</x:v>
      </x:c>
      <x:c r="Z1790" s="20" t="n">
        <x:v>1</x:v>
      </x:c>
      <x:c r="AA1790" s="19"/>
      <x:c r="AB1790" s="18"/>
      <x:c r="AC1790" s="19"/>
    </x:row>
    <x:row r="1791" ht="28" customHeight="1">
      <x:c r="A1791" s="18" t="str">
        <x:v>緑が丘</x:v>
      </x:c>
      <x:c r="B1791" s="18" t="str">
        <x:v>東急電鉄</x:v>
      </x:c>
      <x:c r="C1791" s="18" t="str">
        <x:v>private_rail</x:v>
      </x:c>
      <x:c r="D1791" s="19" t="str">
        <x:v>T2</x:v>
      </x:c>
      <x:c r="E1791" s="20" t="n">
        <x:v>10090</x:v>
      </x:c>
      <x:c r="F1791" s="18" t="str">
        <x:v>persons/day</x:v>
      </x:c>
      <x:c r="G1791" s="18" t="str">
        <x:v>FY2024</x:v>
      </x:c>
      <x:c r="H1791" s="18" t="str">
        <x:v>否</x:v>
      </x:c>
      <x:c r="I1791" s="19" t="str">
        <x:v>DAILY_ENTRIES_EXITS</x:v>
      </x:c>
      <x:c r="J1791" s="19" t="str">
        <x:v>大井町線</x:v>
      </x:c>
      <x:c r="K1791" s="18" t="str">
        <x:v>transport-node:a7fb950e-8bb8-5e13-94ff-2f140556182e</x:v>
      </x:c>
      <x:c r="L1791" s="19" t="str">
        <x:v>组件待审核</x:v>
      </x:c>
      <x:c r="M1791" s="21" t="n">
        <x:v>35.606475</x:v>
      </x:c>
      <x:c r="N1791" s="21" t="n">
        <x:v>139.67915</x:v>
      </x:c>
      <x:c r="O1791" s="18" t="str">
        <x:v>004210</x:v>
      </x:c>
      <x:c r="P1791" s="18" t="str">
        <x:v>大井町線</x:v>
      </x:c>
      <x:c r="Q1791" s="19" t="str">
        <x:v>S12_061_GE_10000</x:v>
      </x:c>
      <x:c r="R1791" s="19" t="str">
        <x:v>S12_061 usage threshold</x:v>
      </x:c>
      <x:c r="S1791" s="19" t="str">
        <x:v>https://nlftp.mlit.go.jp/ksj/gml/datalist/KsjTmplt-S12-2024.html</x:v>
      </x:c>
      <x:c r="T1791" s="19" t="str">
        <x:v>https://nlftp.mlit.go.jp/ksj/gml/datalist/KsjTmplt-S12-2024.html</x:v>
      </x:c>
      <x:c r="U1791" s="19" t="str">
        <x:v>station-component|緑が丘|東急電鉄|private_rail|35.6065|139.6791|</x:v>
      </x:c>
      <x:c r="V1791" s="19" t="str">
        <x:v>004210 / 004210 / 大井町線</x:v>
      </x:c>
      <x:c r="W1791" s="18" t="str">
        <x:v>否</x:v>
      </x:c>
      <x:c r="X1791" s="18" t="str">
        <x:v>0785e932a32b3ec15e1a1345537ae145eafe1c07bf38d5c16c11ee2b391e7a28</x:v>
      </x:c>
      <x:c r="Y1791" s="20" t="n">
        <x:v>1</x:v>
      </x:c>
      <x:c r="Z1791" s="20" t="n">
        <x:v>1</x:v>
      </x:c>
      <x:c r="AA1791" s="19"/>
      <x:c r="AB1791" s="18"/>
      <x:c r="AC1791" s="19"/>
    </x:row>
    <x:row r="1792" ht="28" customHeight="1">
      <x:c r="A1792" s="18" t="str">
        <x:v>緑園都市</x:v>
      </x:c>
      <x:c r="B1792" s="18" t="str">
        <x:v>相模鉄道</x:v>
      </x:c>
      <x:c r="C1792" s="18" t="str">
        <x:v>private_rail</x:v>
      </x:c>
      <x:c r="D1792" s="19" t="str">
        <x:v>T2</x:v>
      </x:c>
      <x:c r="E1792" s="20" t="n">
        <x:v>21214</x:v>
      </x:c>
      <x:c r="F1792" s="18" t="str">
        <x:v>persons/day</x:v>
      </x:c>
      <x:c r="G1792" s="18" t="str">
        <x:v>FY2024</x:v>
      </x:c>
      <x:c r="H1792" s="18" t="str">
        <x:v>否</x:v>
      </x:c>
      <x:c r="I1792" s="19" t="str">
        <x:v>DAILY_ENTRIES_EXITS</x:v>
      </x:c>
      <x:c r="J1792" s="19" t="str">
        <x:v>相鉄いずみ野線</x:v>
      </x:c>
      <x:c r="K1792" s="18" t="str">
        <x:v>transport-node:e3326ed5-3fc1-5719-b196-98d431855392</x:v>
      </x:c>
      <x:c r="L1792" s="19" t="str">
        <x:v>组件待审核</x:v>
      </x:c>
      <x:c r="M1792" s="21" t="n">
        <x:v>35.439305</x:v>
      </x:c>
      <x:c r="N1792" s="21" t="n">
        <x:v>139.5217775</x:v>
      </x:c>
      <x:c r="O1792" s="18" t="str">
        <x:v>004714</x:v>
      </x:c>
      <x:c r="P1792" s="18" t="str">
        <x:v>相鉄いずみ野線</x:v>
      </x:c>
      <x:c r="Q1792" s="19" t="str">
        <x:v>S12_061_GE_10000</x:v>
      </x:c>
      <x:c r="R1792" s="19" t="str">
        <x:v>S12_061 usage threshold</x:v>
      </x:c>
      <x:c r="S1792" s="19" t="str">
        <x:v>https://nlftp.mlit.go.jp/ksj/gml/datalist/KsjTmplt-S12-2024.html</x:v>
      </x:c>
      <x:c r="T1792" s="19" t="str">
        <x:v>https://nlftp.mlit.go.jp/ksj/gml/datalist/KsjTmplt-S12-2024.html</x:v>
      </x:c>
      <x:c r="U1792" s="19" t="str">
        <x:v>station-component|緑園都市|相模鉄道|private_rail|35.4393|139.5218|</x:v>
      </x:c>
      <x:c r="V1792" s="19" t="str">
        <x:v>004714 / 004714 / 相鉄いずみ野線</x:v>
      </x:c>
      <x:c r="W1792" s="18" t="str">
        <x:v>否</x:v>
      </x:c>
      <x:c r="X1792" s="18" t="str">
        <x:v>0785e932a32b3ec15e1a1345537ae145eafe1c07bf38d5c16c11ee2b391e7a28</x:v>
      </x:c>
      <x:c r="Y1792" s="20" t="n">
        <x:v>1</x:v>
      </x:c>
      <x:c r="Z1792" s="20" t="n">
        <x:v>1</x:v>
      </x:c>
      <x:c r="AA1792" s="19"/>
      <x:c r="AB1792" s="18"/>
      <x:c r="AC1792" s="19"/>
    </x:row>
    <x:row r="1793" ht="28" customHeight="1">
      <x:c r="A1793" s="18" t="str">
        <x:v>緑地公園</x:v>
      </x:c>
      <x:c r="B1793" s="18" t="str">
        <x:v>北大阪急行電鉄</x:v>
      </x:c>
      <x:c r="C1793" s="18" t="str">
        <x:v>private_rail</x:v>
      </x:c>
      <x:c r="D1793" s="19" t="str">
        <x:v>T2</x:v>
      </x:c>
      <x:c r="E1793" s="20" t="n">
        <x:v>32503</x:v>
      </x:c>
      <x:c r="F1793" s="18" t="str">
        <x:v>persons/day</x:v>
      </x:c>
      <x:c r="G1793" s="18" t="str">
        <x:v>FY2024</x:v>
      </x:c>
      <x:c r="H1793" s="18" t="str">
        <x:v>否</x:v>
      </x:c>
      <x:c r="I1793" s="19" t="str">
        <x:v>DAILY_ENTRIES_EXITS</x:v>
      </x:c>
      <x:c r="J1793" s="19" t="str">
        <x:v>南北線</x:v>
      </x:c>
      <x:c r="K1793" s="18" t="str">
        <x:v>transport-node:85400cd2-ac28-5c36-b20d-70bb6b25a597</x:v>
      </x:c>
      <x:c r="L1793" s="19" t="str">
        <x:v>组件待审核</x:v>
      </x:c>
      <x:c r="M1793" s="21" t="n">
        <x:v>34.774815</x:v>
      </x:c>
      <x:c r="N1793" s="21" t="n">
        <x:v>135.495275</x:v>
      </x:c>
      <x:c r="O1793" s="18" t="str">
        <x:v>006728</x:v>
      </x:c>
      <x:c r="P1793" s="18" t="str">
        <x:v>南北線</x:v>
      </x:c>
      <x:c r="Q1793" s="19" t="str">
        <x:v>S12_061_GE_10000</x:v>
      </x:c>
      <x:c r="R1793" s="19" t="str">
        <x:v>S12_061 usage threshold</x:v>
      </x:c>
      <x:c r="S1793" s="19" t="str">
        <x:v>https://nlftp.mlit.go.jp/ksj/gml/datalist/KsjTmplt-S12-2024.html</x:v>
      </x:c>
      <x:c r="T1793" s="19" t="str">
        <x:v>https://nlftp.mlit.go.jp/ksj/gml/datalist/KsjTmplt-S12-2024.html</x:v>
      </x:c>
      <x:c r="U1793" s="19" t="str">
        <x:v>station-component|緑地公園|北大阪急行電鉄|private_rail|34.7748|135.4953|</x:v>
      </x:c>
      <x:c r="V1793" s="19" t="str">
        <x:v>006728 / 006728 / 南北線</x:v>
      </x:c>
      <x:c r="W1793" s="18" t="str">
        <x:v>否</x:v>
      </x:c>
      <x:c r="X1793" s="18" t="str">
        <x:v>0785e932a32b3ec15e1a1345537ae145eafe1c07bf38d5c16c11ee2b391e7a28</x:v>
      </x:c>
      <x:c r="Y1793" s="20" t="n">
        <x:v>1</x:v>
      </x:c>
      <x:c r="Z1793" s="20" t="n">
        <x:v>1</x:v>
      </x:c>
      <x:c r="AA1793" s="19"/>
      <x:c r="AB1793" s="18"/>
      <x:c r="AC1793" s="19"/>
    </x:row>
    <x:row r="1794" ht="33" customHeight="1">
      <x:c r="A1794" s="18" t="str">
        <x:v>緑橋</x:v>
      </x:c>
      <x:c r="B1794" s="18" t="str">
        <x:v>大阪市高速電気軌道</x:v>
      </x:c>
      <x:c r="C1794" s="18" t="str">
        <x:v>metro</x:v>
      </x:c>
      <x:c r="D1794" s="19" t="str">
        <x:v>T2</x:v>
      </x:c>
      <x:c r="E1794" s="20" t="n">
        <x:v>23283</x:v>
      </x:c>
      <x:c r="F1794" s="18" t="str">
        <x:v>persons/day</x:v>
      </x:c>
      <x:c r="G1794" s="18" t="str">
        <x:v>FY2024</x:v>
      </x:c>
      <x:c r="H1794" s="18" t="str">
        <x:v>否</x:v>
      </x:c>
      <x:c r="I1794" s="19" t="str">
        <x:v>DAILY_ENTRIES_EXITS</x:v>
      </x:c>
      <x:c r="J1794" s="19" t="str">
        <x:v>4号線(中央線)
8号線(今里筋線)</x:v>
      </x:c>
      <x:c r="K1794" s="18" t="str">
        <x:v>transport-node:6c7ba793-6be0-5155-9453-813fb3117135</x:v>
      </x:c>
      <x:c r="L1794" s="19" t="str">
        <x:v>组件待审核</x:v>
      </x:c>
      <x:c r="M1794" s="21" t="n">
        <x:v>34.68072</x:v>
      </x:c>
      <x:c r="N1794" s="21" t="n">
        <x:v>135.54503</x:v>
      </x:c>
      <x:c r="O1794" s="18" t="str">
        <x:v>007209</x:v>
      </x:c>
      <x:c r="P1794" s="18" t="str">
        <x:v>4号線(中央線)</x:v>
      </x:c>
      <x:c r="Q1794" s="19" t="str">
        <x:v>S12_061_GE_10000
OFFICIAL_HUB_COMPONENT_REVIEW</x:v>
      </x:c>
      <x:c r="R1794" s="19" t="str">
        <x:v>S12_061 usage threshold</x:v>
      </x:c>
      <x:c r="S1794" s="19" t="str">
        <x:v>https://nlftp.mlit.go.jp/ksj/gml/datalist/KsjTmplt-S12-2024.html</x:v>
      </x:c>
      <x:c r="T1794" s="19" t="str">
        <x:v>https://nlftp.mlit.go.jp/ksj/gml/datalist/KsjTmplt-S12-2024.html
https://subway.osakametro.co.jp/station_guide/C/c20/index.php</x:v>
      </x:c>
      <x:c r="U1794" s="19" t="str">
        <x:v>station-component|緑橋|大阪市高速電気軌道|metro|34.6807|135.5450|</x:v>
      </x:c>
      <x:c r="V1794" s="19" t="str">
        <x:v>007201 / 007201 / 8号線(今里筋線)
007201 / 007209 / 4号線(中央線)</x:v>
      </x:c>
      <x:c r="W1794" s="18" t="str">
        <x:v>否</x:v>
      </x:c>
      <x:c r="X1794" s="18" t="str">
        <x:v>0785e932a32b3ec15e1a1345537ae145eafe1c07bf38d5c16c11ee2b391e7a28</x:v>
      </x:c>
      <x:c r="Y1794" s="20" t="n">
        <x:v>1</x:v>
      </x:c>
      <x:c r="Z1794" s="20" t="n">
        <x:v>1</x:v>
      </x:c>
      <x:c r="AA1794" s="19" t="str">
        <x:v>緑橋</x:v>
      </x:c>
      <x:c r="AB1794" s="18" t="str">
        <x:v>transport-hub-review:b495f336-9e44-566f-a3f4-471e7e6b9066</x:v>
      </x:c>
      <x:c r="AC1794" s="19"/>
    </x:row>
    <x:row r="1795" ht="33" customHeight="1">
      <x:c r="A1795" s="18" t="str">
        <x:v>練馬</x:v>
      </x:c>
      <x:c r="B1795" s="18" t="str">
        <x:v>東京都</x:v>
      </x:c>
      <x:c r="C1795" s="18" t="str">
        <x:v>metro</x:v>
      </x:c>
      <x:c r="D1795" s="19" t="str">
        <x:v>T1</x:v>
      </x:c>
      <x:c r="E1795" s="20" t="n">
        <x:v>52494</x:v>
      </x:c>
      <x:c r="F1795" s="18" t="str">
        <x:v>persons/day</x:v>
      </x:c>
      <x:c r="G1795" s="18" t="str">
        <x:v>FY2024</x:v>
      </x:c>
      <x:c r="H1795" s="18" t="str">
        <x:v>否</x:v>
      </x:c>
      <x:c r="I1795" s="19" t="str">
        <x:v>DAILY_ENTRIES_EXITS</x:v>
      </x:c>
      <x:c r="J1795" s="19" t="str">
        <x:v>12号線大江戸線</x:v>
      </x:c>
      <x:c r="K1795" s="18" t="str">
        <x:v>transport-node:17aae77c-a29b-5e8b-95a2-ec28dc964eec</x:v>
      </x:c>
      <x:c r="L1795" s="19" t="str">
        <x:v>组件待审核</x:v>
      </x:c>
      <x:c r="M1795" s="21" t="n">
        <x:v>35.737315</x:v>
      </x:c>
      <x:c r="N1795" s="21" t="n">
        <x:v>139.65457</x:v>
      </x:c>
      <x:c r="O1795" s="18" t="str">
        <x:v>003338</x:v>
      </x:c>
      <x:c r="P1795" s="18" t="str">
        <x:v>12号線大江戸線</x:v>
      </x:c>
      <x:c r="Q1795" s="19" t="str">
        <x:v>S12_061_GE_10000
OFFICIAL_HUB_COMPONENT_REVIEW</x:v>
      </x:c>
      <x:c r="R1795" s="19" t="str">
        <x:v>S12_061 usage threshold</x:v>
      </x:c>
      <x:c r="S1795" s="19" t="str">
        <x:v>https://nlftp.mlit.go.jp/ksj/gml/datalist/KsjTmplt-S12-2024.html</x:v>
      </x:c>
      <x:c r="T1795" s="19" t="str">
        <x:v>https://nlftp.mlit.go.jp/ksj/gml/datalist/KsjTmplt-S12-2024.html
https://www.seiburailway.jp/railway/station/nerima/</x:v>
      </x:c>
      <x:c r="U1795" s="19" t="str">
        <x:v>station-component|練馬|東京都|metro|35.7373|139.6546|</x:v>
      </x:c>
      <x:c r="V1795" s="19" t="str">
        <x:v>003328 / 003338 / 12号線大江戸線</x:v>
      </x:c>
      <x:c r="W1795" s="18" t="str">
        <x:v>否</x:v>
      </x:c>
      <x:c r="X1795" s="18" t="str">
        <x:v>0785e932a32b3ec15e1a1345537ae145eafe1c07bf38d5c16c11ee2b391e7a28</x:v>
      </x:c>
      <x:c r="Y1795" s="20" t="n">
        <x:v>1</x:v>
      </x:c>
      <x:c r="Z1795" s="20" t="n">
        <x:v>1</x:v>
      </x:c>
      <x:c r="AA1795" s="19" t="str">
        <x:v>練馬</x:v>
      </x:c>
      <x:c r="AB1795" s="18" t="str">
        <x:v>transport-hub-review:ff5c321d-663a-5910-87fd-ff022d88d50e</x:v>
      </x:c>
      <x:c r="AC1795" s="19"/>
    </x:row>
    <x:row r="1796" ht="47" customHeight="1">
      <x:c r="A1796" s="18" t="str">
        <x:v>練馬</x:v>
      </x:c>
      <x:c r="B1796" s="18" t="str">
        <x:v>西武鉄道</x:v>
      </x:c>
      <x:c r="C1796" s="18" t="str">
        <x:v>private_rail</x:v>
      </x:c>
      <x:c r="D1796" s="19" t="str">
        <x:v>T1</x:v>
      </x:c>
      <x:c r="E1796" s="20" t="n">
        <x:v>121493</x:v>
      </x:c>
      <x:c r="F1796" s="18" t="str">
        <x:v>persons/day</x:v>
      </x:c>
      <x:c r="G1796" s="18" t="str">
        <x:v>FY2024</x:v>
      </x:c>
      <x:c r="H1796" s="18" t="str">
        <x:v>否</x:v>
      </x:c>
      <x:c r="I1796" s="19" t="str">
        <x:v>DAILY_ENTRIES_EXITS</x:v>
      </x:c>
      <x:c r="J1796" s="19" t="str">
        <x:v>池袋線
西武有楽町線
豊島線</x:v>
      </x:c>
      <x:c r="K1796" s="18" t="str">
        <x:v>transport-node:9fa07429-7a3c-53a7-a3a0-db2cad145e34</x:v>
      </x:c>
      <x:c r="L1796" s="19" t="str">
        <x:v>组件待审核</x:v>
      </x:c>
      <x:c r="M1796" s="21" t="n">
        <x:v>35.737935</x:v>
      </x:c>
      <x:c r="N1796" s="21" t="n">
        <x:v>139.65444</x:v>
      </x:c>
      <x:c r="O1796" s="18" t="str">
        <x:v>003329</x:v>
      </x:c>
      <x:c r="P1796" s="18" t="str">
        <x:v>池袋線</x:v>
      </x:c>
      <x:c r="Q1796" s="19" t="str">
        <x:v>S12_061_GE_10000
OFFICIAL_HUB_COMPONENT_REVIEW</x:v>
      </x:c>
      <x:c r="R1796" s="19" t="str">
        <x:v>S12_061 usage threshold</x:v>
      </x:c>
      <x:c r="S1796" s="19" t="str">
        <x:v>https://nlftp.mlit.go.jp/ksj/gml/datalist/KsjTmplt-S12-2024.html</x:v>
      </x:c>
      <x:c r="T1796" s="19" t="str">
        <x:v>https://nlftp.mlit.go.jp/ksj/gml/datalist/KsjTmplt-S12-2024.html
https://www.seiburailway.jp/railway/station/nerima/</x:v>
      </x:c>
      <x:c r="U1796" s="19" t="str">
        <x:v>station-component|練馬|西武鉄道|private_rail|35.7379|139.6544|</x:v>
      </x:c>
      <x:c r="V1796" s="19" t="str">
        <x:v>003328 / 003328 / 西武有楽町線
003328 / 003329 / 池袋線
003328 / 003330 / 豊島線</x:v>
      </x:c>
      <x:c r="W1796" s="18" t="str">
        <x:v>否</x:v>
      </x:c>
      <x:c r="X1796" s="18" t="str">
        <x:v>0785e932a32b3ec15e1a1345537ae145eafe1c07bf38d5c16c11ee2b391e7a28</x:v>
      </x:c>
      <x:c r="Y1796" s="20" t="n">
        <x:v>1</x:v>
      </x:c>
      <x:c r="Z1796" s="20" t="n">
        <x:v>1</x:v>
      </x:c>
      <x:c r="AA1796" s="19" t="str">
        <x:v>練馬</x:v>
      </x:c>
      <x:c r="AB1796" s="18" t="str">
        <x:v>transport-hub-review:ff5c321d-663a-5910-87fd-ff022d88d50e</x:v>
      </x:c>
      <x:c r="AC1796" s="19"/>
    </x:row>
    <x:row r="1797" ht="28" customHeight="1">
      <x:c r="A1797" s="18" t="str">
        <x:v>練馬春日町</x:v>
      </x:c>
      <x:c r="B1797" s="18" t="str">
        <x:v>東京都</x:v>
      </x:c>
      <x:c r="C1797" s="18" t="str">
        <x:v>metro</x:v>
      </x:c>
      <x:c r="D1797" s="19" t="str">
        <x:v>T2</x:v>
      </x:c>
      <x:c r="E1797" s="20" t="n">
        <x:v>22655</x:v>
      </x:c>
      <x:c r="F1797" s="18" t="str">
        <x:v>persons/day</x:v>
      </x:c>
      <x:c r="G1797" s="18" t="str">
        <x:v>FY2024</x:v>
      </x:c>
      <x:c r="H1797" s="18" t="str">
        <x:v>否</x:v>
      </x:c>
      <x:c r="I1797" s="19" t="str">
        <x:v>DAILY_ENTRIES_EXITS</x:v>
      </x:c>
      <x:c r="J1797" s="19" t="str">
        <x:v>12号線大江戸線</x:v>
      </x:c>
      <x:c r="K1797" s="18" t="str">
        <x:v>transport-node:26e13879-6880-57d5-8b3c-23b0be5c32ea</x:v>
      </x:c>
      <x:c r="L1797" s="19" t="str">
        <x:v>组件待审核</x:v>
      </x:c>
      <x:c r="M1797" s="21" t="n">
        <x:v>35.75136</x:v>
      </x:c>
      <x:c r="N1797" s="21" t="n">
        <x:v>139.64076</x:v>
      </x:c>
      <x:c r="O1797" s="18" t="str">
        <x:v>003243</x:v>
      </x:c>
      <x:c r="P1797" s="18" t="str">
        <x:v>12号線大江戸線</x:v>
      </x:c>
      <x:c r="Q1797" s="19" t="str">
        <x:v>S12_061_GE_10000</x:v>
      </x:c>
      <x:c r="R1797" s="19" t="str">
        <x:v>S12_061 usage threshold</x:v>
      </x:c>
      <x:c r="S1797" s="19" t="str">
        <x:v>https://nlftp.mlit.go.jp/ksj/gml/datalist/KsjTmplt-S12-2024.html</x:v>
      </x:c>
      <x:c r="T1797" s="19" t="str">
        <x:v>https://nlftp.mlit.go.jp/ksj/gml/datalist/KsjTmplt-S12-2024.html</x:v>
      </x:c>
      <x:c r="U1797" s="19" t="str">
        <x:v>station-component|練馬春日町|東京都|metro|35.7514|139.6408|</x:v>
      </x:c>
      <x:c r="V1797" s="19" t="str">
        <x:v>003243 / 003243 / 12号線大江戸線</x:v>
      </x:c>
      <x:c r="W1797" s="18" t="str">
        <x:v>否</x:v>
      </x:c>
      <x:c r="X1797" s="18" t="str">
        <x:v>0785e932a32b3ec15e1a1345537ae145eafe1c07bf38d5c16c11ee2b391e7a28</x:v>
      </x:c>
      <x:c r="Y1797" s="20" t="n">
        <x:v>1</x:v>
      </x:c>
      <x:c r="Z1797" s="20" t="n">
        <x:v>1</x:v>
      </x:c>
      <x:c r="AA1797" s="19"/>
      <x:c r="AB1797" s="18"/>
      <x:c r="AC1797" s="19"/>
    </x:row>
    <x:row r="1798" ht="28" customHeight="1">
      <x:c r="A1798" s="18" t="str">
        <x:v>練馬高野台</x:v>
      </x:c>
      <x:c r="B1798" s="18" t="str">
        <x:v>西武鉄道</x:v>
      </x:c>
      <x:c r="C1798" s="18" t="str">
        <x:v>private_rail</x:v>
      </x:c>
      <x:c r="D1798" s="19" t="str">
        <x:v>T2</x:v>
      </x:c>
      <x:c r="E1798" s="20" t="n">
        <x:v>26372</x:v>
      </x:c>
      <x:c r="F1798" s="18" t="str">
        <x:v>persons/day</x:v>
      </x:c>
      <x:c r="G1798" s="18" t="str">
        <x:v>FY2024</x:v>
      </x:c>
      <x:c r="H1798" s="18" t="str">
        <x:v>否</x:v>
      </x:c>
      <x:c r="I1798" s="19" t="str">
        <x:v>DAILY_ENTRIES_EXITS</x:v>
      </x:c>
      <x:c r="J1798" s="19" t="str">
        <x:v>池袋線</x:v>
      </x:c>
      <x:c r="K1798" s="18" t="str">
        <x:v>transport-node:23c06ddb-de56-5f02-9f6a-119c6e2c5a2e</x:v>
      </x:c>
      <x:c r="L1798" s="19" t="str">
        <x:v>组件待审核</x:v>
      </x:c>
      <x:c r="M1798" s="21" t="n">
        <x:v>35.740615</x:v>
      </x:c>
      <x:c r="N1798" s="21" t="n">
        <x:v>139.616835</x:v>
      </x:c>
      <x:c r="O1798" s="18" t="str">
        <x:v>003314</x:v>
      </x:c>
      <x:c r="P1798" s="18" t="str">
        <x:v>池袋線</x:v>
      </x:c>
      <x:c r="Q1798" s="19" t="str">
        <x:v>S12_061_GE_10000</x:v>
      </x:c>
      <x:c r="R1798" s="19" t="str">
        <x:v>S12_061 usage threshold</x:v>
      </x:c>
      <x:c r="S1798" s="19" t="str">
        <x:v>https://nlftp.mlit.go.jp/ksj/gml/datalist/KsjTmplt-S12-2024.html</x:v>
      </x:c>
      <x:c r="T1798" s="19" t="str">
        <x:v>https://nlftp.mlit.go.jp/ksj/gml/datalist/KsjTmplt-S12-2024.html</x:v>
      </x:c>
      <x:c r="U1798" s="19" t="str">
        <x:v>station-component|練馬高野台|西武鉄道|private_rail|35.7406|139.6168|</x:v>
      </x:c>
      <x:c r="V1798" s="19" t="str">
        <x:v>003314 / 003314 / 池袋線</x:v>
      </x:c>
      <x:c r="W1798" s="18" t="str">
        <x:v>否</x:v>
      </x:c>
      <x:c r="X1798" s="18" t="str">
        <x:v>0785e932a32b3ec15e1a1345537ae145eafe1c07bf38d5c16c11ee2b391e7a28</x:v>
      </x:c>
      <x:c r="Y1798" s="20" t="n">
        <x:v>1</x:v>
      </x:c>
      <x:c r="Z1798" s="20" t="n">
        <x:v>1</x:v>
      </x:c>
      <x:c r="AA1798" s="19"/>
      <x:c r="AB1798" s="18"/>
      <x:c r="AC1798" s="19"/>
    </x:row>
    <x:row r="1799" ht="28" customHeight="1">
      <x:c r="A1799" s="18" t="str">
        <x:v>美園</x:v>
      </x:c>
      <x:c r="B1799" s="18" t="str">
        <x:v>札幌市</x:v>
      </x:c>
      <x:c r="C1799" s="18" t="str">
        <x:v>metro</x:v>
      </x:c>
      <x:c r="D1799" s="19" t="str">
        <x:v>T2</x:v>
      </x:c>
      <x:c r="E1799" s="20" t="n">
        <x:v>11312</x:v>
      </x:c>
      <x:c r="F1799" s="18" t="str">
        <x:v>persons/day</x:v>
      </x:c>
      <x:c r="G1799" s="18" t="str">
        <x:v>FY2024</x:v>
      </x:c>
      <x:c r="H1799" s="18" t="str">
        <x:v>否</x:v>
      </x:c>
      <x:c r="I1799" s="19" t="str">
        <x:v>DAILY_ENTRIES_EXITS</x:v>
      </x:c>
      <x:c r="J1799" s="19" t="str">
        <x:v>東豊線</x:v>
      </x:c>
      <x:c r="K1799" s="18" t="str">
        <x:v>transport-node:4e4cd619-cea3-5ada-bcd4-c120cb9a1681</x:v>
      </x:c>
      <x:c r="L1799" s="19" t="str">
        <x:v>组件待审核</x:v>
      </x:c>
      <x:c r="M1799" s="21" t="n">
        <x:v>43.0361833</x:v>
      </x:c>
      <x:c r="N1799" s="21" t="n">
        <x:v>141.3857733</x:v>
      </x:c>
      <x:c r="O1799" s="18" t="str">
        <x:v>000282</x:v>
      </x:c>
      <x:c r="P1799" s="18" t="str">
        <x:v>東豊線</x:v>
      </x:c>
      <x:c r="Q1799" s="19" t="str">
        <x:v>S12_061_GE_10000</x:v>
      </x:c>
      <x:c r="R1799" s="19" t="str">
        <x:v>S12_061 usage threshold</x:v>
      </x:c>
      <x:c r="S1799" s="19" t="str">
        <x:v>https://nlftp.mlit.go.jp/ksj/gml/datalist/KsjTmplt-S12-2024.html</x:v>
      </x:c>
      <x:c r="T1799" s="19" t="str">
        <x:v>https://nlftp.mlit.go.jp/ksj/gml/datalist/KsjTmplt-S12-2024.html</x:v>
      </x:c>
      <x:c r="U1799" s="19" t="str">
        <x:v>station-component|美園|札幌市|metro|43.0362|141.3858|</x:v>
      </x:c>
      <x:c r="V1799" s="19" t="str">
        <x:v>000282 / 000282 / 東豊線</x:v>
      </x:c>
      <x:c r="W1799" s="18" t="str">
        <x:v>否</x:v>
      </x:c>
      <x:c r="X1799" s="18" t="str">
        <x:v>0785e932a32b3ec15e1a1345537ae145eafe1c07bf38d5c16c11ee2b391e7a28</x:v>
      </x:c>
      <x:c r="Y1799" s="20" t="n">
        <x:v>1</x:v>
      </x:c>
      <x:c r="Z1799" s="20" t="n">
        <x:v>1</x:v>
      </x:c>
      <x:c r="AA1799" s="19"/>
      <x:c r="AB1799" s="18"/>
      <x:c r="AC1799" s="19"/>
    </x:row>
    <x:row r="1800" ht="28" customHeight="1">
      <x:c r="A1800" s="18" t="str">
        <x:v>羽村</x:v>
      </x:c>
      <x:c r="B1800" s="18" t="str">
        <x:v>東日本旅客鉄道</x:v>
      </x:c>
      <x:c r="C1800" s="18" t="str">
        <x:v>conventional_rail</x:v>
      </x:c>
      <x:c r="D1800" s="19" t="str">
        <x:v>T2</x:v>
      </x:c>
      <x:c r="E1800" s="20" t="n">
        <x:v>25008</x:v>
      </x:c>
      <x:c r="F1800" s="18" t="str">
        <x:v>persons/day</x:v>
      </x:c>
      <x:c r="G1800" s="18" t="str">
        <x:v>FY2024</x:v>
      </x:c>
      <x:c r="H1800" s="18" t="str">
        <x:v>否</x:v>
      </x:c>
      <x:c r="I1800" s="19" t="str">
        <x:v>DAILY_ENTRIES_EXITS</x:v>
      </x:c>
      <x:c r="J1800" s="19" t="str">
        <x:v>青梅線</x:v>
      </x:c>
      <x:c r="K1800" s="18" t="str">
        <x:v>transport-node:83adfb64-31a7-5645-8e34-b9de0d088383</x:v>
      </x:c>
      <x:c r="L1800" s="19" t="str">
        <x:v>组件待审核</x:v>
      </x:c>
      <x:c r="M1800" s="21" t="n">
        <x:v>35.75794</x:v>
      </x:c>
      <x:c r="N1800" s="21" t="n">
        <x:v>139.3163</x:v>
      </x:c>
      <x:c r="O1800" s="18" t="str">
        <x:v>003226</x:v>
      </x:c>
      <x:c r="P1800" s="18" t="str">
        <x:v>青梅線</x:v>
      </x:c>
      <x:c r="Q1800" s="19" t="str">
        <x:v>S12_061_GE_10000</x:v>
      </x:c>
      <x:c r="R1800" s="19" t="str">
        <x:v>S12_061 usage threshold</x:v>
      </x:c>
      <x:c r="S1800" s="19" t="str">
        <x:v>https://nlftp.mlit.go.jp/ksj/gml/datalist/KsjTmplt-S12-2024.html</x:v>
      </x:c>
      <x:c r="T1800" s="19" t="str">
        <x:v>https://nlftp.mlit.go.jp/ksj/gml/datalist/KsjTmplt-S12-2024.html</x:v>
      </x:c>
      <x:c r="U1800" s="19" t="str">
        <x:v>station-component|羽村|東日本旅客鉄道|conventional_rail|35.7579|139.3163|</x:v>
      </x:c>
      <x:c r="V1800" s="19" t="str">
        <x:v>003226 / 003226 / 青梅線</x:v>
      </x:c>
      <x:c r="W1800" s="18" t="str">
        <x:v>否</x:v>
      </x:c>
      <x:c r="X1800" s="18" t="str">
        <x:v>0785e932a32b3ec15e1a1345537ae145eafe1c07bf38d5c16c11ee2b391e7a28</x:v>
      </x:c>
      <x:c r="Y1800" s="20" t="n">
        <x:v>1</x:v>
      </x:c>
      <x:c r="Z1800" s="20" t="n">
        <x:v>1</x:v>
      </x:c>
      <x:c r="AA1800" s="19"/>
      <x:c r="AB1800" s="18"/>
      <x:c r="AC1800" s="19"/>
    </x:row>
    <x:row r="1801" ht="28" customHeight="1">
      <x:c r="A1801" s="18" t="str">
        <x:v>羽沢横浜国大</x:v>
      </x:c>
      <x:c r="B1801" s="18" t="str">
        <x:v>相模鉄道</x:v>
      </x:c>
      <x:c r="C1801" s="18" t="str">
        <x:v>private_rail</x:v>
      </x:c>
      <x:c r="D1801" s="19" t="str">
        <x:v>T2</x:v>
      </x:c>
      <x:c r="E1801" s="20" t="n">
        <x:v>34672</x:v>
      </x:c>
      <x:c r="F1801" s="18" t="str">
        <x:v>persons/day</x:v>
      </x:c>
      <x:c r="G1801" s="18" t="str">
        <x:v>FY2024</x:v>
      </x:c>
      <x:c r="H1801" s="18" t="str">
        <x:v>否</x:v>
      </x:c>
      <x:c r="I1801" s="19" t="str">
        <x:v>DAILY_ENTRIES_EXITS</x:v>
      </x:c>
      <x:c r="J1801" s="19" t="str">
        <x:v>相鉄新横浜線</x:v>
      </x:c>
      <x:c r="K1801" s="18" t="str">
        <x:v>transport-node:b084491b-8a33-527d-a4a9-c6a6787d9934</x:v>
      </x:c>
      <x:c r="L1801" s="19" t="str">
        <x:v>组件待审核</x:v>
      </x:c>
      <x:c r="M1801" s="21" t="n">
        <x:v>35.4812292</x:v>
      </x:c>
      <x:c r="N1801" s="21" t="n">
        <x:v>139.5861347</x:v>
      </x:c>
      <x:c r="O1801" s="18" t="str">
        <x:v>004582</x:v>
      </x:c>
      <x:c r="P1801" s="18" t="str">
        <x:v>相鉄新横浜線</x:v>
      </x:c>
      <x:c r="Q1801" s="19" t="str">
        <x:v>S12_061_GE_10000</x:v>
      </x:c>
      <x:c r="R1801" s="19" t="str">
        <x:v>S12_061 usage threshold</x:v>
      </x:c>
      <x:c r="S1801" s="19" t="str">
        <x:v>https://nlftp.mlit.go.jp/ksj/gml/datalist/KsjTmplt-S12-2024.html</x:v>
      </x:c>
      <x:c r="T1801" s="19" t="str">
        <x:v>https://nlftp.mlit.go.jp/ksj/gml/datalist/KsjTmplt-S12-2024.html</x:v>
      </x:c>
      <x:c r="U1801" s="19" t="str">
        <x:v>station-component|羽沢横浜国大|相模鉄道|private_rail|35.4812|139.5861|</x:v>
      </x:c>
      <x:c r="V1801" s="19" t="str">
        <x:v>004581 / 004582 / 相鉄新横浜線</x:v>
      </x:c>
      <x:c r="W1801" s="18" t="str">
        <x:v>否</x:v>
      </x:c>
      <x:c r="X1801" s="18" t="str">
        <x:v>0785e932a32b3ec15e1a1345537ae145eafe1c07bf38d5c16c11ee2b391e7a28</x:v>
      </x:c>
      <x:c r="Y1801" s="20" t="n">
        <x:v>1</x:v>
      </x:c>
      <x:c r="Z1801" s="20" t="n">
        <x:v>1</x:v>
      </x:c>
      <x:c r="AA1801" s="19"/>
      <x:c r="AB1801" s="18"/>
      <x:c r="AC1801" s="19"/>
    </x:row>
    <x:row r="1802" ht="28" customHeight="1">
      <x:c r="A1802" s="18" t="str">
        <x:v>羽生</x:v>
      </x:c>
      <x:c r="B1802" s="18" t="str">
        <x:v>東武鉄道</x:v>
      </x:c>
      <x:c r="C1802" s="18" t="str">
        <x:v>private_rail</x:v>
      </x:c>
      <x:c r="D1802" s="19" t="str">
        <x:v>T2</x:v>
      </x:c>
      <x:c r="E1802" s="20" t="n">
        <x:v>11646</x:v>
      </x:c>
      <x:c r="F1802" s="18" t="str">
        <x:v>persons/day</x:v>
      </x:c>
      <x:c r="G1802" s="18" t="str">
        <x:v>FY2024</x:v>
      </x:c>
      <x:c r="H1802" s="18" t="str">
        <x:v>否</x:v>
      </x:c>
      <x:c r="I1802" s="19" t="str">
        <x:v>DAILY_ENTRIES_EXITS</x:v>
      </x:c>
      <x:c r="J1802" s="19" t="str">
        <x:v>伊勢崎線</x:v>
      </x:c>
      <x:c r="K1802" s="18" t="str">
        <x:v>transport-node:59caae2d-16b6-58a8-83e1-fa30456e2698</x:v>
      </x:c>
      <x:c r="L1802" s="19" t="str">
        <x:v>组件待审核</x:v>
      </x:c>
      <x:c r="M1802" s="21" t="n">
        <x:v>36.1700733</x:v>
      </x:c>
      <x:c r="N1802" s="21" t="n">
        <x:v>139.53403</x:v>
      </x:c>
      <x:c r="O1802" s="18" t="str">
        <x:v>002566</x:v>
      </x:c>
      <x:c r="P1802" s="18" t="str">
        <x:v>伊勢崎線</x:v>
      </x:c>
      <x:c r="Q1802" s="19" t="str">
        <x:v>S12_061_GE_10000</x:v>
      </x:c>
      <x:c r="R1802" s="19" t="str">
        <x:v>S12_061 usage threshold</x:v>
      </x:c>
      <x:c r="S1802" s="19" t="str">
        <x:v>https://nlftp.mlit.go.jp/ksj/gml/datalist/KsjTmplt-S12-2024.html</x:v>
      </x:c>
      <x:c r="T1802" s="19" t="str">
        <x:v>https://nlftp.mlit.go.jp/ksj/gml/datalist/KsjTmplt-S12-2024.html</x:v>
      </x:c>
      <x:c r="U1802" s="19" t="str">
        <x:v>station-component|羽生|東武鉄道|private_rail|36.1701|139.5340|</x:v>
      </x:c>
      <x:c r="V1802" s="19" t="str">
        <x:v>002565 / 002566 / 伊勢崎線</x:v>
      </x:c>
      <x:c r="W1802" s="18" t="str">
        <x:v>否</x:v>
      </x:c>
      <x:c r="X1802" s="18" t="str">
        <x:v>0785e932a32b3ec15e1a1345537ae145eafe1c07bf38d5c16c11ee2b391e7a28</x:v>
      </x:c>
      <x:c r="Y1802" s="20" t="n">
        <x:v>1</x:v>
      </x:c>
      <x:c r="Z1802" s="20" t="n">
        <x:v>1</x:v>
      </x:c>
      <x:c r="AA1802" s="19"/>
      <x:c r="AB1802" s="18"/>
      <x:c r="AC1802" s="19"/>
    </x:row>
    <x:row r="1803" ht="33" customHeight="1">
      <x:c r="A1803" s="18" t="str">
        <x:v>羽田空港第1ターミナル</x:v>
      </x:c>
      <x:c r="B1803" s="18" t="str">
        <x:v>東京モノレール</x:v>
      </x:c>
      <x:c r="C1803" s="18" t="str">
        <x:v>fixed_guideway</x:v>
      </x:c>
      <x:c r="D1803" s="19" t="str">
        <x:v>T2</x:v>
      </x:c>
      <x:c r="E1803" s="20" t="n">
        <x:v>21124</x:v>
      </x:c>
      <x:c r="F1803" s="18" t="str">
        <x:v>persons/day</x:v>
      </x:c>
      <x:c r="G1803" s="18" t="str">
        <x:v>FY2024</x:v>
      </x:c>
      <x:c r="H1803" s="18" t="str">
        <x:v>否</x:v>
      </x:c>
      <x:c r="I1803" s="19" t="str">
        <x:v>DAILY_ENTRIES_EXITS</x:v>
      </x:c>
      <x:c r="J1803" s="19" t="str">
        <x:v>東京モノレール羽田空港線</x:v>
      </x:c>
      <x:c r="K1803" s="18" t="str">
        <x:v>transport-node:07b5b96f-ca74-51ec-ab59-18acff71e8ae</x:v>
      </x:c>
      <x:c r="L1803" s="19" t="str">
        <x:v>组件待审核</x:v>
      </x:c>
      <x:c r="M1803" s="21" t="n">
        <x:v>35.54914</x:v>
      </x:c>
      <x:c r="N1803" s="21" t="n">
        <x:v>139.78461</x:v>
      </x:c>
      <x:c r="O1803" s="18" t="str">
        <x:v>004372</x:v>
      </x:c>
      <x:c r="P1803" s="18" t="str">
        <x:v>東京モノレール羽田空港線</x:v>
      </x:c>
      <x:c r="Q1803" s="19" t="str">
        <x:v>S12_061_GE_10000
AIRPORT_ACCESS_AUDIT</x:v>
      </x:c>
      <x:c r="R1803" s="19" t="str">
        <x:v>S12_061 usage threshold</x:v>
      </x:c>
      <x:c r="S1803" s="19" t="str">
        <x:v>https://nlftp.mlit.go.jp/ksj/gml/datalist/KsjTmplt-S12-2024.html</x:v>
      </x:c>
      <x:c r="T1803" s="19" t="str">
        <x:v>https://nlftp.mlit.go.jp/ksj/gml/datalist/KsjTmplt-S12-2024.html</x:v>
      </x:c>
      <x:c r="U1803" s="19" t="str">
        <x:v>station-component|羽田空港第1ターミナル|東京モノレール|fixed_guideway|35.5491|139.7846|</x:v>
      </x:c>
      <x:c r="V1803" s="19" t="str">
        <x:v>004372 / 004372 / 東京モノレール羽田空港線</x:v>
      </x:c>
      <x:c r="W1803" s="18" t="str">
        <x:v>否</x:v>
      </x:c>
      <x:c r="X1803" s="18" t="str">
        <x:v>0785e932a32b3ec15e1a1345537ae145eafe1c07bf38d5c16c11ee2b391e7a28</x:v>
      </x:c>
      <x:c r="Y1803" s="20" t="n">
        <x:v>1</x:v>
      </x:c>
      <x:c r="Z1803" s="20" t="n">
        <x:v>1</x:v>
      </x:c>
      <x:c r="AA1803" s="19"/>
      <x:c r="AB1803" s="18"/>
      <x:c r="AC1803" s="19"/>
    </x:row>
    <x:row r="1804" ht="33" customHeight="1">
      <x:c r="A1804" s="18" t="str">
        <x:v>羽田空港第1・第2ターミナル</x:v>
      </x:c>
      <x:c r="B1804" s="18" t="str">
        <x:v>京浜急行電鉄</x:v>
      </x:c>
      <x:c r="C1804" s="18" t="str">
        <x:v>private_rail</x:v>
      </x:c>
      <x:c r="D1804" s="19" t="str">
        <x:v>T1</x:v>
      </x:c>
      <x:c r="E1804" s="20" t="n">
        <x:v>111697</x:v>
      </x:c>
      <x:c r="F1804" s="18" t="str">
        <x:v>persons/day</x:v>
      </x:c>
      <x:c r="G1804" s="18" t="str">
        <x:v>FY2024</x:v>
      </x:c>
      <x:c r="H1804" s="18" t="str">
        <x:v>否</x:v>
      </x:c>
      <x:c r="I1804" s="19" t="str">
        <x:v>DAILY_ENTRIES_EXITS</x:v>
      </x:c>
      <x:c r="J1804" s="19" t="str">
        <x:v>空港線</x:v>
      </x:c>
      <x:c r="K1804" s="18" t="str">
        <x:v>transport-node:bf55d1d9-f26a-59dc-89d0-411d76053637</x:v>
      </x:c>
      <x:c r="L1804" s="19" t="str">
        <x:v>组件待审核</x:v>
      </x:c>
      <x:c r="M1804" s="21" t="n">
        <x:v>35.5498</x:v>
      </x:c>
      <x:c r="N1804" s="21" t="n">
        <x:v>139.786025</x:v>
      </x:c>
      <x:c r="O1804" s="18" t="str">
        <x:v>004368</x:v>
      </x:c>
      <x:c r="P1804" s="18" t="str">
        <x:v>空港線</x:v>
      </x:c>
      <x:c r="Q1804" s="19" t="str">
        <x:v>S12_061_GE_10000
AIRPORT_ACCESS_AUDIT</x:v>
      </x:c>
      <x:c r="R1804" s="19" t="str">
        <x:v>S12_061 usage threshold</x:v>
      </x:c>
      <x:c r="S1804" s="19" t="str">
        <x:v>https://nlftp.mlit.go.jp/ksj/gml/datalist/KsjTmplt-S12-2024.html</x:v>
      </x:c>
      <x:c r="T1804" s="19" t="str">
        <x:v>https://nlftp.mlit.go.jp/ksj/gml/datalist/KsjTmplt-S12-2024.html</x:v>
      </x:c>
      <x:c r="U1804" s="19" t="str">
        <x:v>station-component|羽田空港第1・第2ターミナル|京浜急行電鉄|private_rail|35.5498|139.7860|</x:v>
      </x:c>
      <x:c r="V1804" s="19" t="str">
        <x:v>004368 / 004368 / 空港線</x:v>
      </x:c>
      <x:c r="W1804" s="18" t="str">
        <x:v>否</x:v>
      </x:c>
      <x:c r="X1804" s="18" t="str">
        <x:v>0785e932a32b3ec15e1a1345537ae145eafe1c07bf38d5c16c11ee2b391e7a28</x:v>
      </x:c>
      <x:c r="Y1804" s="20" t="n">
        <x:v>1</x:v>
      </x:c>
      <x:c r="Z1804" s="20" t="n">
        <x:v>1</x:v>
      </x:c>
      <x:c r="AA1804" s="19"/>
      <x:c r="AB1804" s="18"/>
      <x:c r="AC1804" s="19"/>
    </x:row>
    <x:row r="1805" ht="33" customHeight="1">
      <x:c r="A1805" s="18" t="str">
        <x:v>羽田空港第2ターミナル</x:v>
      </x:c>
      <x:c r="B1805" s="18" t="str">
        <x:v>東京モノレール</x:v>
      </x:c>
      <x:c r="C1805" s="18" t="str">
        <x:v>fixed_guideway</x:v>
      </x:c>
      <x:c r="D1805" s="19" t="str">
        <x:v>T2</x:v>
      </x:c>
      <x:c r="E1805" s="20" t="n">
        <x:v>24342</x:v>
      </x:c>
      <x:c r="F1805" s="18" t="str">
        <x:v>persons/day</x:v>
      </x:c>
      <x:c r="G1805" s="18" t="str">
        <x:v>FY2024</x:v>
      </x:c>
      <x:c r="H1805" s="18" t="str">
        <x:v>否</x:v>
      </x:c>
      <x:c r="I1805" s="19" t="str">
        <x:v>DAILY_ENTRIES_EXITS</x:v>
      </x:c>
      <x:c r="J1805" s="19" t="str">
        <x:v>東京モノレール羽田空港線</x:v>
      </x:c>
      <x:c r="K1805" s="18" t="str">
        <x:v>transport-node:53f628e6-7c12-5bcd-ad08-cf6d84ff07db</x:v>
      </x:c>
      <x:c r="L1805" s="19" t="str">
        <x:v>组件待审核</x:v>
      </x:c>
      <x:c r="M1805" s="21" t="n">
        <x:v>35.550795</x:v>
      </x:c>
      <x:c r="N1805" s="21" t="n">
        <x:v>139.7882</x:v>
      </x:c>
      <x:c r="O1805" s="18" t="str">
        <x:v>004361</x:v>
      </x:c>
      <x:c r="P1805" s="18" t="str">
        <x:v>東京モノレール羽田空港線</x:v>
      </x:c>
      <x:c r="Q1805" s="19" t="str">
        <x:v>S12_061_GE_10000
AIRPORT_ACCESS_AUDIT</x:v>
      </x:c>
      <x:c r="R1805" s="19" t="str">
        <x:v>S12_061 usage threshold</x:v>
      </x:c>
      <x:c r="S1805" s="19" t="str">
        <x:v>https://nlftp.mlit.go.jp/ksj/gml/datalist/KsjTmplt-S12-2024.html</x:v>
      </x:c>
      <x:c r="T1805" s="19" t="str">
        <x:v>https://nlftp.mlit.go.jp/ksj/gml/datalist/KsjTmplt-S12-2024.html</x:v>
      </x:c>
      <x:c r="U1805" s="19" t="str">
        <x:v>station-component|羽田空港第2ターミナル|東京モノレール|fixed_guideway|35.5508|139.7882|</x:v>
      </x:c>
      <x:c r="V1805" s="19" t="str">
        <x:v>004361 / 004361 / 東京モノレール羽田空港線</x:v>
      </x:c>
      <x:c r="W1805" s="18" t="str">
        <x:v>否</x:v>
      </x:c>
      <x:c r="X1805" s="18" t="str">
        <x:v>0785e932a32b3ec15e1a1345537ae145eafe1c07bf38d5c16c11ee2b391e7a28</x:v>
      </x:c>
      <x:c r="Y1805" s="20" t="n">
        <x:v>1</x:v>
      </x:c>
      <x:c r="Z1805" s="20" t="n">
        <x:v>1</x:v>
      </x:c>
      <x:c r="AA1805" s="19"/>
      <x:c r="AB1805" s="18"/>
      <x:c r="AC1805" s="19"/>
    </x:row>
    <x:row r="1806" ht="33" customHeight="1">
      <x:c r="A1806" s="18" t="str">
        <x:v>羽田空港第3ターミナル</x:v>
      </x:c>
      <x:c r="B1806" s="18" t="str">
        <x:v>京浜急行電鉄</x:v>
      </x:c>
      <x:c r="C1806" s="18" t="str">
        <x:v>private_rail</x:v>
      </x:c>
      <x:c r="D1806" s="19" t="str">
        <x:v>T2</x:v>
      </x:c>
      <x:c r="E1806" s="20" t="n">
        <x:v>36613</x:v>
      </x:c>
      <x:c r="F1806" s="18" t="str">
        <x:v>persons/day</x:v>
      </x:c>
      <x:c r="G1806" s="18" t="str">
        <x:v>FY2024</x:v>
      </x:c>
      <x:c r="H1806" s="18" t="str">
        <x:v>否</x:v>
      </x:c>
      <x:c r="I1806" s="19" t="str">
        <x:v>DAILY_ENTRIES_EXITS</x:v>
      </x:c>
      <x:c r="J1806" s="19" t="str">
        <x:v>空港線</x:v>
      </x:c>
      <x:c r="K1806" s="18" t="str">
        <x:v>transport-node:a4998ec9-29b6-5147-a881-7616292658ad</x:v>
      </x:c>
      <x:c r="L1806" s="19" t="str">
        <x:v>组件待审核</x:v>
      </x:c>
      <x:c r="M1806" s="21" t="n">
        <x:v>35.54498</x:v>
      </x:c>
      <x:c r="N1806" s="21" t="n">
        <x:v>139.7670665</x:v>
      </x:c>
      <x:c r="O1806" s="18" t="str">
        <x:v>004382</x:v>
      </x:c>
      <x:c r="P1806" s="18" t="str">
        <x:v>空港線</x:v>
      </x:c>
      <x:c r="Q1806" s="19" t="str">
        <x:v>S12_061_GE_10000
AIRPORT_ACCESS_AUDIT</x:v>
      </x:c>
      <x:c r="R1806" s="19" t="str">
        <x:v>S12_061 usage threshold</x:v>
      </x:c>
      <x:c r="S1806" s="19" t="str">
        <x:v>https://nlftp.mlit.go.jp/ksj/gml/datalist/KsjTmplt-S12-2024.html</x:v>
      </x:c>
      <x:c r="T1806" s="19" t="str">
        <x:v>https://nlftp.mlit.go.jp/ksj/gml/datalist/KsjTmplt-S12-2024.html</x:v>
      </x:c>
      <x:c r="U1806" s="19" t="str">
        <x:v>station-component|羽田空港第3ターミナル|京浜急行電鉄|private_rail|35.5450|139.7671|</x:v>
      </x:c>
      <x:c r="V1806" s="19" t="str">
        <x:v>004382 / 004382 / 空港線</x:v>
      </x:c>
      <x:c r="W1806" s="18" t="str">
        <x:v>否</x:v>
      </x:c>
      <x:c r="X1806" s="18" t="str">
        <x:v>0785e932a32b3ec15e1a1345537ae145eafe1c07bf38d5c16c11ee2b391e7a28</x:v>
      </x:c>
      <x:c r="Y1806" s="20" t="n">
        <x:v>1</x:v>
      </x:c>
      <x:c r="Z1806" s="20" t="n">
        <x:v>1</x:v>
      </x:c>
      <x:c r="AA1806" s="19"/>
      <x:c r="AB1806" s="18"/>
      <x:c r="AC1806" s="19"/>
    </x:row>
    <x:row r="1807" ht="33" customHeight="1">
      <x:c r="A1807" s="18" t="str">
        <x:v>羽田空港第3ターミナル</x:v>
      </x:c>
      <x:c r="B1807" s="18" t="str">
        <x:v>東京モノレール</x:v>
      </x:c>
      <x:c r="C1807" s="18" t="str">
        <x:v>fixed_guideway</x:v>
      </x:c>
      <x:c r="D1807" s="19" t="str">
        <x:v>T2</x:v>
      </x:c>
      <x:c r="E1807" s="20" t="n">
        <x:v>10707</x:v>
      </x:c>
      <x:c r="F1807" s="18" t="str">
        <x:v>persons/day</x:v>
      </x:c>
      <x:c r="G1807" s="18" t="str">
        <x:v>FY2024</x:v>
      </x:c>
      <x:c r="H1807" s="18" t="str">
        <x:v>否</x:v>
      </x:c>
      <x:c r="I1807" s="19" t="str">
        <x:v>DAILY_ENTRIES_EXITS</x:v>
      </x:c>
      <x:c r="J1807" s="19" t="str">
        <x:v>東京モノレール羽田空港線</x:v>
      </x:c>
      <x:c r="K1807" s="18" t="str">
        <x:v>transport-node:dc374a6b-4643-5d95-9eda-5835cfb12bb7</x:v>
      </x:c>
      <x:c r="L1807" s="19" t="str">
        <x:v>组件待审核</x:v>
      </x:c>
      <x:c r="M1807" s="21" t="n">
        <x:v>35.5439128</x:v>
      </x:c>
      <x:c r="N1807" s="21" t="n">
        <x:v>139.7685835</x:v>
      </x:c>
      <x:c r="O1807" s="18" t="str">
        <x:v>004388</x:v>
      </x:c>
      <x:c r="P1807" s="18" t="str">
        <x:v>東京モノレール羽田空港線</x:v>
      </x:c>
      <x:c r="Q1807" s="19" t="str">
        <x:v>S12_061_GE_10000
AIRPORT_ACCESS_AUDIT</x:v>
      </x:c>
      <x:c r="R1807" s="19" t="str">
        <x:v>S12_061 usage threshold</x:v>
      </x:c>
      <x:c r="S1807" s="19" t="str">
        <x:v>https://nlftp.mlit.go.jp/ksj/gml/datalist/KsjTmplt-S12-2024.html</x:v>
      </x:c>
      <x:c r="T1807" s="19" t="str">
        <x:v>https://nlftp.mlit.go.jp/ksj/gml/datalist/KsjTmplt-S12-2024.html</x:v>
      </x:c>
      <x:c r="U1807" s="19" t="str">
        <x:v>station-component|羽田空港第3ターミナル|東京モノレール|fixed_guideway|35.5439|139.7686|</x:v>
      </x:c>
      <x:c r="V1807" s="19" t="str">
        <x:v>004382 / 004388 / 東京モノレール羽田空港線</x:v>
      </x:c>
      <x:c r="W1807" s="18" t="str">
        <x:v>否</x:v>
      </x:c>
      <x:c r="X1807" s="18" t="str">
        <x:v>0785e932a32b3ec15e1a1345537ae145eafe1c07bf38d5c16c11ee2b391e7a28</x:v>
      </x:c>
      <x:c r="Y1807" s="20" t="n">
        <x:v>1</x:v>
      </x:c>
      <x:c r="Z1807" s="20" t="n">
        <x:v>1</x:v>
      </x:c>
      <x:c r="AA1807" s="19"/>
      <x:c r="AB1807" s="18"/>
      <x:c r="AC1807" s="19"/>
    </x:row>
    <x:row r="1808" ht="33" customHeight="1">
      <x:c r="A1808" s="18" t="str">
        <x:v>羽衣</x:v>
      </x:c>
      <x:c r="B1808" s="18" t="str">
        <x:v>南海電気鉄道</x:v>
      </x:c>
      <x:c r="C1808" s="18" t="str">
        <x:v>private_rail</x:v>
      </x:c>
      <x:c r="D1808" s="19" t="str">
        <x:v>T2</x:v>
      </x:c>
      <x:c r="E1808" s="20" t="n">
        <x:v>20416</x:v>
      </x:c>
      <x:c r="F1808" s="18" t="str">
        <x:v>persons/day</x:v>
      </x:c>
      <x:c r="G1808" s="18" t="str">
        <x:v>FY2024</x:v>
      </x:c>
      <x:c r="H1808" s="18" t="str">
        <x:v>否</x:v>
      </x:c>
      <x:c r="I1808" s="19" t="str">
        <x:v>DAILY_ENTRIES_EXITS</x:v>
      </x:c>
      <x:c r="J1808" s="19" t="str">
        <x:v>南海本線
高師浜線</x:v>
      </x:c>
      <x:c r="K1808" s="18" t="str">
        <x:v>transport-node:8762ae06-d766-5cee-9012-75d52a60b501</x:v>
      </x:c>
      <x:c r="L1808" s="19" t="str">
        <x:v>组件待审核</x:v>
      </x:c>
      <x:c r="M1808" s="21" t="n">
        <x:v>34.53431</x:v>
      </x:c>
      <x:c r="N1808" s="21" t="n">
        <x:v>135.44172</x:v>
      </x:c>
      <x:c r="O1808" s="18" t="str">
        <x:v>007765</x:v>
      </x:c>
      <x:c r="P1808" s="18" t="str">
        <x:v>南海本線</x:v>
      </x:c>
      <x:c r="Q1808" s="19" t="str">
        <x:v>S12_061_GE_10000</x:v>
      </x:c>
      <x:c r="R1808" s="19" t="str">
        <x:v>S12_061 usage threshold</x:v>
      </x:c>
      <x:c r="S1808" s="19" t="str">
        <x:v>https://nlftp.mlit.go.jp/ksj/gml/datalist/KsjTmplt-S12-2024.html</x:v>
      </x:c>
      <x:c r="T1808" s="19" t="str">
        <x:v>https://nlftp.mlit.go.jp/ksj/gml/datalist/KsjTmplt-S12-2024.html</x:v>
      </x:c>
      <x:c r="U1808" s="19" t="str">
        <x:v>station-component|羽衣|南海電気鉄道|private_rail|34.5343|135.4417|</x:v>
      </x:c>
      <x:c r="V1808" s="19" t="str">
        <x:v>007764 / 007764 / 高師浜線
007764 / 007765 / 南海本線</x:v>
      </x:c>
      <x:c r="W1808" s="18" t="str">
        <x:v>否</x:v>
      </x:c>
      <x:c r="X1808" s="18" t="str">
        <x:v>0785e932a32b3ec15e1a1345537ae145eafe1c07bf38d5c16c11ee2b391e7a28</x:v>
      </x:c>
      <x:c r="Y1808" s="20" t="n">
        <x:v>1</x:v>
      </x:c>
      <x:c r="Z1808" s="20" t="n">
        <x:v>1</x:v>
      </x:c>
      <x:c r="AA1808" s="19"/>
      <x:c r="AB1808" s="18"/>
      <x:c r="AC1808" s="19"/>
    </x:row>
    <x:row r="1809" ht="28" customHeight="1">
      <x:c r="A1809" s="18" t="str">
        <x:v>習志野</x:v>
      </x:c>
      <x:c r="B1809" s="18" t="str">
        <x:v>新京成電鉄</x:v>
      </x:c>
      <x:c r="C1809" s="18" t="str">
        <x:v>private_rail</x:v>
      </x:c>
      <x:c r="D1809" s="19" t="str">
        <x:v>T2</x:v>
      </x:c>
      <x:c r="E1809" s="20" t="n">
        <x:v>13187</x:v>
      </x:c>
      <x:c r="F1809" s="18" t="str">
        <x:v>persons/day</x:v>
      </x:c>
      <x:c r="G1809" s="18" t="str">
        <x:v>FY2024</x:v>
      </x:c>
      <x:c r="H1809" s="18" t="str">
        <x:v>否</x:v>
      </x:c>
      <x:c r="I1809" s="19" t="str">
        <x:v>DAILY_ENTRIES_EXITS</x:v>
      </x:c>
      <x:c r="J1809" s="19" t="str">
        <x:v>新京成線</x:v>
      </x:c>
      <x:c r="K1809" s="18" t="str">
        <x:v>transport-node:bce4215a-69e9-5bce-8cb6-b50a2f333b84</x:v>
      </x:c>
      <x:c r="L1809" s="19" t="str">
        <x:v>组件待审核</x:v>
      </x:c>
      <x:c r="M1809" s="21" t="n">
        <x:v>35.715375</x:v>
      </x:c>
      <x:c r="N1809" s="21" t="n">
        <x:v>140.042795</x:v>
      </x:c>
      <x:c r="O1809" s="18" t="str">
        <x:v>003493</x:v>
      </x:c>
      <x:c r="P1809" s="18" t="str">
        <x:v>新京成線</x:v>
      </x:c>
      <x:c r="Q1809" s="19" t="str">
        <x:v>S12_061_GE_10000</x:v>
      </x:c>
      <x:c r="R1809" s="19" t="str">
        <x:v>S12_061 usage threshold</x:v>
      </x:c>
      <x:c r="S1809" s="19" t="str">
        <x:v>https://nlftp.mlit.go.jp/ksj/gml/datalist/KsjTmplt-S12-2024.html</x:v>
      </x:c>
      <x:c r="T1809" s="19" t="str">
        <x:v>https://nlftp.mlit.go.jp/ksj/gml/datalist/KsjTmplt-S12-2024.html</x:v>
      </x:c>
      <x:c r="U1809" s="19" t="str">
        <x:v>station-component|習志野|新京成電鉄|private_rail|35.7154|140.0428|</x:v>
      </x:c>
      <x:c r="V1809" s="19" t="str">
        <x:v>003493 / 003493 / 新京成線</x:v>
      </x:c>
      <x:c r="W1809" s="18" t="str">
        <x:v>否</x:v>
      </x:c>
      <x:c r="X1809" s="18" t="str">
        <x:v>0785e932a32b3ec15e1a1345537ae145eafe1c07bf38d5c16c11ee2b391e7a28</x:v>
      </x:c>
      <x:c r="Y1809" s="20" t="n">
        <x:v>1</x:v>
      </x:c>
      <x:c r="Z1809" s="20" t="n">
        <x:v>1</x:v>
      </x:c>
      <x:c r="AA1809" s="19"/>
      <x:c r="AB1809" s="18"/>
      <x:c r="AC1809" s="19"/>
    </x:row>
    <x:row r="1810" ht="28" customHeight="1">
      <x:c r="A1810" s="18" t="str">
        <x:v>聖蹟桜ヶ丘</x:v>
      </x:c>
      <x:c r="B1810" s="18" t="str">
        <x:v>京王電鉄</x:v>
      </x:c>
      <x:c r="C1810" s="18" t="str">
        <x:v>private_rail</x:v>
      </x:c>
      <x:c r="D1810" s="19" t="str">
        <x:v>T1</x:v>
      </x:c>
      <x:c r="E1810" s="20" t="n">
        <x:v>58241</x:v>
      </x:c>
      <x:c r="F1810" s="18" t="str">
        <x:v>persons/day</x:v>
      </x:c>
      <x:c r="G1810" s="18" t="str">
        <x:v>FY2024</x:v>
      </x:c>
      <x:c r="H1810" s="18" t="str">
        <x:v>否</x:v>
      </x:c>
      <x:c r="I1810" s="19" t="str">
        <x:v>DAILY_ENTRIES_EXITS</x:v>
      </x:c>
      <x:c r="J1810" s="19" t="str">
        <x:v>京王線</x:v>
      </x:c>
      <x:c r="K1810" s="18" t="str">
        <x:v>transport-node:269dd987-7430-50e0-a137-8709f3ef2cf6</x:v>
      </x:c>
      <x:c r="L1810" s="19" t="str">
        <x:v>组件待审核</x:v>
      </x:c>
      <x:c r="M1810" s="21" t="n">
        <x:v>35.6507867</x:v>
      </x:c>
      <x:c r="N1810" s="21" t="n">
        <x:v>139.4468733</x:v>
      </x:c>
      <x:c r="O1810" s="18" t="str">
        <x:v>003971</x:v>
      </x:c>
      <x:c r="P1810" s="18" t="str">
        <x:v>京王線</x:v>
      </x:c>
      <x:c r="Q1810" s="19" t="str">
        <x:v>S12_061_GE_10000</x:v>
      </x:c>
      <x:c r="R1810" s="19" t="str">
        <x:v>S12_061 usage threshold</x:v>
      </x:c>
      <x:c r="S1810" s="19" t="str">
        <x:v>https://nlftp.mlit.go.jp/ksj/gml/datalist/KsjTmplt-S12-2024.html</x:v>
      </x:c>
      <x:c r="T1810" s="19" t="str">
        <x:v>https://nlftp.mlit.go.jp/ksj/gml/datalist/KsjTmplt-S12-2024.html</x:v>
      </x:c>
      <x:c r="U1810" s="19" t="str">
        <x:v>station-component|聖蹟桜ヶ丘|京王電鉄|private_rail|35.6508|139.4469|</x:v>
      </x:c>
      <x:c r="V1810" s="19" t="str">
        <x:v>003971 / 003971 / 京王線</x:v>
      </x:c>
      <x:c r="W1810" s="18" t="str">
        <x:v>否</x:v>
      </x:c>
      <x:c r="X1810" s="18" t="str">
        <x:v>0785e932a32b3ec15e1a1345537ae145eafe1c07bf38d5c16c11ee2b391e7a28</x:v>
      </x:c>
      <x:c r="Y1810" s="20" t="n">
        <x:v>1</x:v>
      </x:c>
      <x:c r="Z1810" s="20" t="n">
        <x:v>1</x:v>
      </x:c>
      <x:c r="AA1810" s="19"/>
      <x:c r="AB1810" s="18"/>
      <x:c r="AC1810" s="19"/>
    </x:row>
    <x:row r="1811" ht="33" customHeight="1">
      <x:c r="A1811" s="18" t="str">
        <x:v>肥後橋</x:v>
      </x:c>
      <x:c r="B1811" s="18" t="str">
        <x:v>大阪市高速電気軌道</x:v>
      </x:c>
      <x:c r="C1811" s="18" t="str">
        <x:v>metro</x:v>
      </x:c>
      <x:c r="D1811" s="19" t="str">
        <x:v>T1</x:v>
      </x:c>
      <x:c r="E1811" s="20" t="n">
        <x:v>65175</x:v>
      </x:c>
      <x:c r="F1811" s="18" t="str">
        <x:v>persons/day</x:v>
      </x:c>
      <x:c r="G1811" s="18" t="str">
        <x:v>FY2024</x:v>
      </x:c>
      <x:c r="H1811" s="18" t="str">
        <x:v>否</x:v>
      </x:c>
      <x:c r="I1811" s="19" t="str">
        <x:v>DAILY_ENTRIES_EXITS</x:v>
      </x:c>
      <x:c r="J1811" s="19" t="str">
        <x:v>3号線(四つ橋線)</x:v>
      </x:c>
      <x:c r="K1811" s="18" t="str">
        <x:v>transport-node:95c903f6-e4ab-5b49-93a1-2979879b5152</x:v>
      </x:c>
      <x:c r="L1811" s="19" t="str">
        <x:v>组件待审核</x:v>
      </x:c>
      <x:c r="M1811" s="21" t="n">
        <x:v>34.691215</x:v>
      </x:c>
      <x:c r="N1811" s="21" t="n">
        <x:v>135.496365</x:v>
      </x:c>
      <x:c r="O1811" s="18" t="str">
        <x:v>007143</x:v>
      </x:c>
      <x:c r="P1811" s="18" t="str">
        <x:v>3号線(四つ橋線)</x:v>
      </x:c>
      <x:c r="Q1811" s="19" t="str">
        <x:v>S12_061_GE_10000
OFFICIAL_HUB_COMPONENT_REVIEW</x:v>
      </x:c>
      <x:c r="R1811" s="19" t="str">
        <x:v>S12_061 usage threshold</x:v>
      </x:c>
      <x:c r="S1811" s="19" t="str">
        <x:v>https://nlftp.mlit.go.jp/ksj/gml/datalist/KsjTmplt-S12-2024.html</x:v>
      </x:c>
      <x:c r="T1811" s="19" t="str">
        <x:v>https://nlftp.mlit.go.jp/ksj/gml/datalist/KsjTmplt-S12-2024.html
https://subway.osakametro.co.jp/station_guide/Y/y12/index.php</x:v>
      </x:c>
      <x:c r="U1811" s="19" t="str">
        <x:v>station-component|肥後橋|大阪市高速電気軌道|metro|34.6912|135.4964|</x:v>
      </x:c>
      <x:c r="V1811" s="19" t="str">
        <x:v>007143 / 007143 / 3号線(四つ橋線)</x:v>
      </x:c>
      <x:c r="W1811" s="18" t="str">
        <x:v>否</x:v>
      </x:c>
      <x:c r="X1811" s="18" t="str">
        <x:v>0785e932a32b3ec15e1a1345537ae145eafe1c07bf38d5c16c11ee2b391e7a28</x:v>
      </x:c>
      <x:c r="Y1811" s="20" t="n">
        <x:v>1</x:v>
      </x:c>
      <x:c r="Z1811" s="20" t="n">
        <x:v>1</x:v>
      </x:c>
      <x:c r="AA1811" s="19" t="str">
        <x:v>肥後橋・渡辺橋</x:v>
      </x:c>
      <x:c r="AB1811" s="18" t="str">
        <x:v>transport-hub-review:002a6dc1-2e3a-5593-86d9-510006dbbbf6</x:v>
      </x:c>
      <x:c r="AC1811" s="19"/>
    </x:row>
    <x:row r="1812" ht="28" customHeight="1">
      <x:c r="A1812" s="18" t="str">
        <x:v>能登川</x:v>
      </x:c>
      <x:c r="B1812" s="18" t="str">
        <x:v>西日本旅客鉄道</x:v>
      </x:c>
      <x:c r="C1812" s="18" t="str">
        <x:v>conventional_rail</x:v>
      </x:c>
      <x:c r="D1812" s="19" t="str">
        <x:v>T2</x:v>
      </x:c>
      <x:c r="E1812" s="20" t="n">
        <x:v>12682</x:v>
      </x:c>
      <x:c r="F1812" s="18" t="str">
        <x:v>persons/day</x:v>
      </x:c>
      <x:c r="G1812" s="18" t="str">
        <x:v>FY2024</x:v>
      </x:c>
      <x:c r="H1812" s="18" t="str">
        <x:v>否</x:v>
      </x:c>
      <x:c r="I1812" s="19" t="str">
        <x:v>DAILY_ENTRIES_EXITS</x:v>
      </x:c>
      <x:c r="J1812" s="19" t="str">
        <x:v>東海道線</x:v>
      </x:c>
      <x:c r="K1812" s="18" t="str">
        <x:v>transport-node:b502d40d-afee-5470-99af-ff419dd733be</x:v>
      </x:c>
      <x:c r="L1812" s="19" t="str">
        <x:v>组件待审核</x:v>
      </x:c>
      <x:c r="M1812" s="21" t="n">
        <x:v>35.179955</x:v>
      </x:c>
      <x:c r="N1812" s="21" t="n">
        <x:v>136.166015</x:v>
      </x:c>
      <x:c r="O1812" s="18" t="str">
        <x:v>005415</x:v>
      </x:c>
      <x:c r="P1812" s="18" t="str">
        <x:v>東海道線</x:v>
      </x:c>
      <x:c r="Q1812" s="19" t="str">
        <x:v>S12_061_GE_10000</x:v>
      </x:c>
      <x:c r="R1812" s="19" t="str">
        <x:v>S12_061 usage threshold</x:v>
      </x:c>
      <x:c r="S1812" s="19" t="str">
        <x:v>https://nlftp.mlit.go.jp/ksj/gml/datalist/KsjTmplt-S12-2024.html</x:v>
      </x:c>
      <x:c r="T1812" s="19" t="str">
        <x:v>https://nlftp.mlit.go.jp/ksj/gml/datalist/KsjTmplt-S12-2024.html</x:v>
      </x:c>
      <x:c r="U1812" s="19" t="str">
        <x:v>station-component|能登川|西日本旅客鉄道|conventional_rail|35.1800|136.1660|</x:v>
      </x:c>
      <x:c r="V1812" s="19" t="str">
        <x:v>005415 / 005415 / 東海道線</x:v>
      </x:c>
      <x:c r="W1812" s="18" t="str">
        <x:v>否</x:v>
      </x:c>
      <x:c r="X1812" s="18" t="str">
        <x:v>0785e932a32b3ec15e1a1345537ae145eafe1c07bf38d5c16c11ee2b391e7a28</x:v>
      </x:c>
      <x:c r="Y1812" s="20" t="n">
        <x:v>1</x:v>
      </x:c>
      <x:c r="Z1812" s="20" t="n">
        <x:v>1</x:v>
      </x:c>
      <x:c r="AA1812" s="19"/>
      <x:c r="AB1812" s="18"/>
      <x:c r="AC1812" s="19"/>
    </x:row>
    <x:row r="1813" ht="28" customHeight="1">
      <x:c r="A1813" s="18" t="str">
        <x:v>能見台</x:v>
      </x:c>
      <x:c r="B1813" s="18" t="str">
        <x:v>京浜急行電鉄</x:v>
      </x:c>
      <x:c r="C1813" s="18" t="str">
        <x:v>private_rail</x:v>
      </x:c>
      <x:c r="D1813" s="19" t="str">
        <x:v>T2</x:v>
      </x:c>
      <x:c r="E1813" s="20" t="n">
        <x:v>30091</x:v>
      </x:c>
      <x:c r="F1813" s="18" t="str">
        <x:v>persons/day</x:v>
      </x:c>
      <x:c r="G1813" s="18" t="str">
        <x:v>FY2024</x:v>
      </x:c>
      <x:c r="H1813" s="18" t="str">
        <x:v>否</x:v>
      </x:c>
      <x:c r="I1813" s="19" t="str">
        <x:v>DAILY_ENTRIES_EXITS</x:v>
      </x:c>
      <x:c r="J1813" s="19" t="str">
        <x:v>本線</x:v>
      </x:c>
      <x:c r="K1813" s="18" t="str">
        <x:v>transport-node:7a9eebcc-fb63-563b-9fcd-fd55e30dc52b</x:v>
      </x:c>
      <x:c r="L1813" s="19" t="str">
        <x:v>组件待审核</x:v>
      </x:c>
      <x:c r="M1813" s="21" t="n">
        <x:v>35.3605575</x:v>
      </x:c>
      <x:c r="N1813" s="21" t="n">
        <x:v>139.62923</x:v>
      </x:c>
      <x:c r="O1813" s="18" t="str">
        <x:v>004944</x:v>
      </x:c>
      <x:c r="P1813" s="18" t="str">
        <x:v>本線</x:v>
      </x:c>
      <x:c r="Q1813" s="19" t="str">
        <x:v>S12_061_GE_10000</x:v>
      </x:c>
      <x:c r="R1813" s="19" t="str">
        <x:v>S12_061 usage threshold</x:v>
      </x:c>
      <x:c r="S1813" s="19" t="str">
        <x:v>https://nlftp.mlit.go.jp/ksj/gml/datalist/KsjTmplt-S12-2024.html</x:v>
      </x:c>
      <x:c r="T1813" s="19" t="str">
        <x:v>https://nlftp.mlit.go.jp/ksj/gml/datalist/KsjTmplt-S12-2024.html</x:v>
      </x:c>
      <x:c r="U1813" s="19" t="str">
        <x:v>station-component|能見台|京浜急行電鉄|private_rail|35.3606|139.6292|</x:v>
      </x:c>
      <x:c r="V1813" s="19" t="str">
        <x:v>004944 / 004944 / 本線</x:v>
      </x:c>
      <x:c r="W1813" s="18" t="str">
        <x:v>否</x:v>
      </x:c>
      <x:c r="X1813" s="18" t="str">
        <x:v>0785e932a32b3ec15e1a1345537ae145eafe1c07bf38d5c16c11ee2b391e7a28</x:v>
      </x:c>
      <x:c r="Y1813" s="20" t="n">
        <x:v>1</x:v>
      </x:c>
      <x:c r="Z1813" s="20" t="n">
        <x:v>1</x:v>
      </x:c>
      <x:c r="AA1813" s="19"/>
      <x:c r="AB1813" s="18"/>
      <x:c r="AC1813" s="19"/>
    </x:row>
    <x:row r="1814" ht="28" customHeight="1">
      <x:c r="A1814" s="18" t="str">
        <x:v>膳所</x:v>
      </x:c>
      <x:c r="B1814" s="18" t="str">
        <x:v>西日本旅客鉄道</x:v>
      </x:c>
      <x:c r="C1814" s="18" t="str">
        <x:v>conventional_rail</x:v>
      </x:c>
      <x:c r="D1814" s="19" t="str">
        <x:v>T2</x:v>
      </x:c>
      <x:c r="E1814" s="20" t="n">
        <x:v>24540</x:v>
      </x:c>
      <x:c r="F1814" s="18" t="str">
        <x:v>persons/day</x:v>
      </x:c>
      <x:c r="G1814" s="18" t="str">
        <x:v>FY2024</x:v>
      </x:c>
      <x:c r="H1814" s="18" t="str">
        <x:v>否</x:v>
      </x:c>
      <x:c r="I1814" s="19" t="str">
        <x:v>DAILY_ENTRIES_EXITS</x:v>
      </x:c>
      <x:c r="J1814" s="19" t="str">
        <x:v>東海道線</x:v>
      </x:c>
      <x:c r="K1814" s="18" t="str">
        <x:v>transport-node:a3475c4d-ee23-55ef-88de-bd2adf8b0112</x:v>
      </x:c>
      <x:c r="L1814" s="19" t="str">
        <x:v>组件待审核</x:v>
      </x:c>
      <x:c r="M1814" s="21" t="n">
        <x:v>34.999126</x:v>
      </x:c>
      <x:c r="N1814" s="21" t="n">
        <x:v>135.880902</x:v>
      </x:c>
      <x:c r="O1814" s="18" t="str">
        <x:v>006012</x:v>
      </x:c>
      <x:c r="P1814" s="18" t="str">
        <x:v>東海道線</x:v>
      </x:c>
      <x:c r="Q1814" s="19" t="str">
        <x:v>S12_061_GE_10000</x:v>
      </x:c>
      <x:c r="R1814" s="19" t="str">
        <x:v>S12_061 usage threshold</x:v>
      </x:c>
      <x:c r="S1814" s="19" t="str">
        <x:v>https://nlftp.mlit.go.jp/ksj/gml/datalist/KsjTmplt-S12-2024.html</x:v>
      </x:c>
      <x:c r="T1814" s="19" t="str">
        <x:v>https://nlftp.mlit.go.jp/ksj/gml/datalist/KsjTmplt-S12-2024.html</x:v>
      </x:c>
      <x:c r="U1814" s="19" t="str">
        <x:v>station-component|膳所|西日本旅客鉄道|conventional_rail|34.9991|135.8809|</x:v>
      </x:c>
      <x:c r="V1814" s="19" t="str">
        <x:v>006012 / 006012 / 東海道線</x:v>
      </x:c>
      <x:c r="W1814" s="18" t="str">
        <x:v>否</x:v>
      </x:c>
      <x:c r="X1814" s="18" t="str">
        <x:v>0785e932a32b3ec15e1a1345537ae145eafe1c07bf38d5c16c11ee2b391e7a28</x:v>
      </x:c>
      <x:c r="Y1814" s="20" t="n">
        <x:v>1</x:v>
      </x:c>
      <x:c r="Z1814" s="20" t="n">
        <x:v>1</x:v>
      </x:c>
      <x:c r="AA1814" s="19"/>
      <x:c r="AB1814" s="18"/>
      <x:c r="AC1814" s="19"/>
    </x:row>
    <x:row r="1815" ht="33" customHeight="1">
      <x:c r="A1815" s="18" t="str">
        <x:v>自由が丘</x:v>
      </x:c>
      <x:c r="B1815" s="18" t="str">
        <x:v>東急電鉄</x:v>
      </x:c>
      <x:c r="C1815" s="18" t="str">
        <x:v>private_rail</x:v>
      </x:c>
      <x:c r="D1815" s="19" t="str">
        <x:v>T1</x:v>
      </x:c>
      <x:c r="E1815" s="20" t="n">
        <x:v>136588</x:v>
      </x:c>
      <x:c r="F1815" s="18" t="str">
        <x:v>persons/day</x:v>
      </x:c>
      <x:c r="G1815" s="18" t="str">
        <x:v>FY2024</x:v>
      </x:c>
      <x:c r="H1815" s="18" t="str">
        <x:v>否</x:v>
      </x:c>
      <x:c r="I1815" s="19" t="str">
        <x:v>DAILY_ENTRIES_EXITS</x:v>
      </x:c>
      <x:c r="J1815" s="19" t="str">
        <x:v>大井町線
東横線</x:v>
      </x:c>
      <x:c r="K1815" s="18" t="str">
        <x:v>transport-node:15fe9bda-de63-54bf-94ec-5caccfa92c2e</x:v>
      </x:c>
      <x:c r="L1815" s="19" t="str">
        <x:v>组件待审核</x:v>
      </x:c>
      <x:c r="M1815" s="21" t="n">
        <x:v>35.6072975</x:v>
      </x:c>
      <x:c r="N1815" s="21" t="n">
        <x:v>139.6687125</x:v>
      </x:c>
      <x:c r="O1815" s="18" t="str">
        <x:v>004199</x:v>
      </x:c>
      <x:c r="P1815" s="18" t="str">
        <x:v>東横線</x:v>
      </x:c>
      <x:c r="Q1815" s="19" t="str">
        <x:v>S12_061_GE_10000</x:v>
      </x:c>
      <x:c r="R1815" s="19" t="str">
        <x:v>S12_061 usage threshold</x:v>
      </x:c>
      <x:c r="S1815" s="19" t="str">
        <x:v>https://nlftp.mlit.go.jp/ksj/gml/datalist/KsjTmplt-S12-2024.html</x:v>
      </x:c>
      <x:c r="T1815" s="19" t="str">
        <x:v>https://nlftp.mlit.go.jp/ksj/gml/datalist/KsjTmplt-S12-2024.html</x:v>
      </x:c>
      <x:c r="U1815" s="19" t="str">
        <x:v>station-component|自由が丘|東急電鉄|private_rail|35.6073|139.6687|</x:v>
      </x:c>
      <x:c r="V1815" s="19" t="str">
        <x:v>004196 / 004196 / 大井町線
004196 / 004199 / 東横線</x:v>
      </x:c>
      <x:c r="W1815" s="18" t="str">
        <x:v>否</x:v>
      </x:c>
      <x:c r="X1815" s="18" t="str">
        <x:v>0785e932a32b3ec15e1a1345537ae145eafe1c07bf38d5c16c11ee2b391e7a28</x:v>
      </x:c>
      <x:c r="Y1815" s="20" t="n">
        <x:v>1</x:v>
      </x:c>
      <x:c r="Z1815" s="20" t="n">
        <x:v>1</x:v>
      </x:c>
      <x:c r="AA1815" s="19"/>
      <x:c r="AB1815" s="18"/>
      <x:c r="AC1815" s="19"/>
    </x:row>
    <x:row r="1816" ht="28" customHeight="1">
      <x:c r="A1816" s="18" t="str">
        <x:v>自由ヶ丘</x:v>
      </x:c>
      <x:c r="B1816" s="18" t="str">
        <x:v>名古屋市</x:v>
      </x:c>
      <x:c r="C1816" s="18" t="str">
        <x:v>metro</x:v>
      </x:c>
      <x:c r="D1816" s="19" t="str">
        <x:v>T2</x:v>
      </x:c>
      <x:c r="E1816" s="20" t="n">
        <x:v>12342</x:v>
      </x:c>
      <x:c r="F1816" s="18" t="str">
        <x:v>persons/day</x:v>
      </x:c>
      <x:c r="G1816" s="18" t="str">
        <x:v>FY2024</x:v>
      </x:c>
      <x:c r="H1816" s="18" t="str">
        <x:v>否</x:v>
      </x:c>
      <x:c r="I1816" s="19" t="str">
        <x:v>DAILY_ENTRIES_EXITS</x:v>
      </x:c>
      <x:c r="J1816" s="19" t="str">
        <x:v>4号線名城線</x:v>
      </x:c>
      <x:c r="K1816" s="18" t="str">
        <x:v>transport-node:732baf58-e128-5ca9-a2c3-5b0e272ef461</x:v>
      </x:c>
      <x:c r="L1816" s="19" t="str">
        <x:v>组件待审核</x:v>
      </x:c>
      <x:c r="M1816" s="21" t="n">
        <x:v>35.17539</x:v>
      </x:c>
      <x:c r="N1816" s="21" t="n">
        <x:v>136.966805</x:v>
      </x:c>
      <x:c r="O1816" s="18" t="str">
        <x:v>005429</x:v>
      </x:c>
      <x:c r="P1816" s="18" t="str">
        <x:v>4号線名城線</x:v>
      </x:c>
      <x:c r="Q1816" s="19" t="str">
        <x:v>S12_061_GE_10000</x:v>
      </x:c>
      <x:c r="R1816" s="19" t="str">
        <x:v>S12_061 usage threshold</x:v>
      </x:c>
      <x:c r="S1816" s="19" t="str">
        <x:v>https://nlftp.mlit.go.jp/ksj/gml/datalist/KsjTmplt-S12-2024.html</x:v>
      </x:c>
      <x:c r="T1816" s="19" t="str">
        <x:v>https://nlftp.mlit.go.jp/ksj/gml/datalist/KsjTmplt-S12-2024.html</x:v>
      </x:c>
      <x:c r="U1816" s="19" t="str">
        <x:v>station-component|自由ヶ丘|名古屋市|metro|35.1754|136.9668|</x:v>
      </x:c>
      <x:c r="V1816" s="19" t="str">
        <x:v>005429 / 005429 / 4号線名城線</x:v>
      </x:c>
      <x:c r="W1816" s="18" t="str">
        <x:v>否</x:v>
      </x:c>
      <x:c r="X1816" s="18" t="str">
        <x:v>0785e932a32b3ec15e1a1345537ae145eafe1c07bf38d5c16c11ee2b391e7a28</x:v>
      </x:c>
      <x:c r="Y1816" s="20" t="n">
        <x:v>1</x:v>
      </x:c>
      <x:c r="Z1816" s="20" t="n">
        <x:v>1</x:v>
      </x:c>
      <x:c r="AA1816" s="19"/>
      <x:c r="AB1816" s="18"/>
      <x:c r="AC1816" s="19"/>
    </x:row>
    <x:row r="1817" ht="28" customHeight="1">
      <x:c r="A1817" s="18" t="str">
        <x:v>舞子</x:v>
      </x:c>
      <x:c r="B1817" s="18" t="str">
        <x:v>西日本旅客鉄道</x:v>
      </x:c>
      <x:c r="C1817" s="18" t="str">
        <x:v>conventional_rail</x:v>
      </x:c>
      <x:c r="D1817" s="19" t="str">
        <x:v>T2</x:v>
      </x:c>
      <x:c r="E1817" s="20" t="n">
        <x:v>32050</x:v>
      </x:c>
      <x:c r="F1817" s="18" t="str">
        <x:v>persons/day</x:v>
      </x:c>
      <x:c r="G1817" s="18" t="str">
        <x:v>FY2024</x:v>
      </x:c>
      <x:c r="H1817" s="18" t="str">
        <x:v>否</x:v>
      </x:c>
      <x:c r="I1817" s="19" t="str">
        <x:v>DAILY_ENTRIES_EXITS</x:v>
      </x:c>
      <x:c r="J1817" s="19" t="str">
        <x:v>山陽線</x:v>
      </x:c>
      <x:c r="K1817" s="18" t="str">
        <x:v>transport-node:94cc066f-b21f-5220-a455-dfd2bea1f082</x:v>
      </x:c>
      <x:c r="L1817" s="19" t="str">
        <x:v>组件待审核</x:v>
      </x:c>
      <x:c r="M1817" s="21" t="n">
        <x:v>34.633245</x:v>
      </x:c>
      <x:c r="N1817" s="21" t="n">
        <x:v>135.034235</x:v>
      </x:c>
      <x:c r="O1817" s="18" t="str">
        <x:v>007497</x:v>
      </x:c>
      <x:c r="P1817" s="18" t="str">
        <x:v>山陽線</x:v>
      </x:c>
      <x:c r="Q1817" s="19" t="str">
        <x:v>S12_061_GE_10000</x:v>
      </x:c>
      <x:c r="R1817" s="19" t="str">
        <x:v>S12_061 usage threshold</x:v>
      </x:c>
      <x:c r="S1817" s="19" t="str">
        <x:v>https://nlftp.mlit.go.jp/ksj/gml/datalist/KsjTmplt-S12-2024.html</x:v>
      </x:c>
      <x:c r="T1817" s="19" t="str">
        <x:v>https://nlftp.mlit.go.jp/ksj/gml/datalist/KsjTmplt-S12-2024.html</x:v>
      </x:c>
      <x:c r="U1817" s="19" t="str">
        <x:v>station-component|舞子|西日本旅客鉄道|conventional_rail|34.6332|135.0342|</x:v>
      </x:c>
      <x:c r="V1817" s="19" t="str">
        <x:v>007497 / 007497 / 山陽線</x:v>
      </x:c>
      <x:c r="W1817" s="18" t="str">
        <x:v>否</x:v>
      </x:c>
      <x:c r="X1817" s="18" t="str">
        <x:v>0785e932a32b3ec15e1a1345537ae145eafe1c07bf38d5c16c11ee2b391e7a28</x:v>
      </x:c>
      <x:c r="Y1817" s="20" t="n">
        <x:v>1</x:v>
      </x:c>
      <x:c r="Z1817" s="20" t="n">
        <x:v>1</x:v>
      </x:c>
      <x:c r="AA1817" s="19"/>
      <x:c r="AB1817" s="18"/>
      <x:c r="AC1817" s="19"/>
    </x:row>
    <x:row r="1818" ht="28" customHeight="1">
      <x:c r="A1818" s="18" t="str">
        <x:v>舞浜</x:v>
      </x:c>
      <x:c r="B1818" s="18" t="str">
        <x:v>東日本旅客鉄道</x:v>
      </x:c>
      <x:c r="C1818" s="18" t="str">
        <x:v>conventional_rail</x:v>
      </x:c>
      <x:c r="D1818" s="19" t="str">
        <x:v>T1</x:v>
      </x:c>
      <x:c r="E1818" s="20" t="n">
        <x:v>158806</x:v>
      </x:c>
      <x:c r="F1818" s="18" t="str">
        <x:v>persons/day</x:v>
      </x:c>
      <x:c r="G1818" s="18" t="str">
        <x:v>FY2024</x:v>
      </x:c>
      <x:c r="H1818" s="18" t="str">
        <x:v>否</x:v>
      </x:c>
      <x:c r="I1818" s="19" t="str">
        <x:v>DAILY_ENTRIES_EXITS</x:v>
      </x:c>
      <x:c r="J1818" s="19" t="str">
        <x:v>京葉線</x:v>
      </x:c>
      <x:c r="K1818" s="18" t="str">
        <x:v>transport-node:ff116e1b-dde4-5c33-8296-a9b0a386902b</x:v>
      </x:c>
      <x:c r="L1818" s="19" t="str">
        <x:v>组件待审核</x:v>
      </x:c>
      <x:c r="M1818" s="21" t="n">
        <x:v>35.63616</x:v>
      </x:c>
      <x:c r="N1818" s="21" t="n">
        <x:v>139.88372</x:v>
      </x:c>
      <x:c r="O1818" s="18" t="str">
        <x:v>004055</x:v>
      </x:c>
      <x:c r="P1818" s="18" t="str">
        <x:v>京葉線</x:v>
      </x:c>
      <x:c r="Q1818" s="19" t="str">
        <x:v>S12_061_GE_10000</x:v>
      </x:c>
      <x:c r="R1818" s="19" t="str">
        <x:v>S12_061 usage threshold</x:v>
      </x:c>
      <x:c r="S1818" s="19" t="str">
        <x:v>https://nlftp.mlit.go.jp/ksj/gml/datalist/KsjTmplt-S12-2024.html</x:v>
      </x:c>
      <x:c r="T1818" s="19" t="str">
        <x:v>https://nlftp.mlit.go.jp/ksj/gml/datalist/KsjTmplt-S12-2024.html</x:v>
      </x:c>
      <x:c r="U1818" s="19" t="str">
        <x:v>station-component|舞浜|東日本旅客鉄道|conventional_rail|35.6362|139.8837|</x:v>
      </x:c>
      <x:c r="V1818" s="19" t="str">
        <x:v>004055 / 004055 / 京葉線</x:v>
      </x:c>
      <x:c r="W1818" s="18" t="str">
        <x:v>否</x:v>
      </x:c>
      <x:c r="X1818" s="18" t="str">
        <x:v>0785e932a32b3ec15e1a1345537ae145eafe1c07bf38d5c16c11ee2b391e7a28</x:v>
      </x:c>
      <x:c r="Y1818" s="20" t="n">
        <x:v>1</x:v>
      </x:c>
      <x:c r="Z1818" s="20" t="n">
        <x:v>1</x:v>
      </x:c>
      <x:c r="AA1818" s="19"/>
      <x:c r="AB1818" s="18"/>
      <x:c r="AC1818" s="19"/>
    </x:row>
    <x:row r="1819" ht="28" customHeight="1">
      <x:c r="A1819" s="18" t="str">
        <x:v>航空公園</x:v>
      </x:c>
      <x:c r="B1819" s="18" t="str">
        <x:v>西武鉄道</x:v>
      </x:c>
      <x:c r="C1819" s="18" t="str">
        <x:v>private_rail</x:v>
      </x:c>
      <x:c r="D1819" s="19" t="str">
        <x:v>T2</x:v>
      </x:c>
      <x:c r="E1819" s="20" t="n">
        <x:v>23946</x:v>
      </x:c>
      <x:c r="F1819" s="18" t="str">
        <x:v>persons/day</x:v>
      </x:c>
      <x:c r="G1819" s="18" t="str">
        <x:v>FY2024</x:v>
      </x:c>
      <x:c r="H1819" s="18" t="str">
        <x:v>否</x:v>
      </x:c>
      <x:c r="I1819" s="19" t="str">
        <x:v>DAILY_ENTRIES_EXITS</x:v>
      </x:c>
      <x:c r="J1819" s="19" t="str">
        <x:v>新宿線</x:v>
      </x:c>
      <x:c r="K1819" s="18" t="str">
        <x:v>transport-node:f93795d9-1407-5cde-81e7-1beebe7c065e</x:v>
      </x:c>
      <x:c r="L1819" s="19" t="str">
        <x:v>组件待审核</x:v>
      </x:c>
      <x:c r="M1819" s="21" t="n">
        <x:v>35.79834</x:v>
      </x:c>
      <x:c r="N1819" s="21" t="n">
        <x:v>139.46559</x:v>
      </x:c>
      <x:c r="O1819" s="18" t="str">
        <x:v>003094</x:v>
      </x:c>
      <x:c r="P1819" s="18" t="str">
        <x:v>新宿線</x:v>
      </x:c>
      <x:c r="Q1819" s="19" t="str">
        <x:v>S12_061_GE_10000</x:v>
      </x:c>
      <x:c r="R1819" s="19" t="str">
        <x:v>S12_061 usage threshold</x:v>
      </x:c>
      <x:c r="S1819" s="19" t="str">
        <x:v>https://nlftp.mlit.go.jp/ksj/gml/datalist/KsjTmplt-S12-2024.html</x:v>
      </x:c>
      <x:c r="T1819" s="19" t="str">
        <x:v>https://nlftp.mlit.go.jp/ksj/gml/datalist/KsjTmplt-S12-2024.html</x:v>
      </x:c>
      <x:c r="U1819" s="19" t="str">
        <x:v>station-component|航空公園|西武鉄道|private_rail|35.7983|139.4656|</x:v>
      </x:c>
      <x:c r="V1819" s="19" t="str">
        <x:v>003094 / 003094 / 新宿線</x:v>
      </x:c>
      <x:c r="W1819" s="18" t="str">
        <x:v>否</x:v>
      </x:c>
      <x:c r="X1819" s="18" t="str">
        <x:v>0785e932a32b3ec15e1a1345537ae145eafe1c07bf38d5c16c11ee2b391e7a28</x:v>
      </x:c>
      <x:c r="Y1819" s="20" t="n">
        <x:v>1</x:v>
      </x:c>
      <x:c r="Z1819" s="20" t="n">
        <x:v>1</x:v>
      </x:c>
      <x:c r="AA1819" s="19"/>
      <x:c r="AB1819" s="18"/>
      <x:c r="AC1819" s="19"/>
    </x:row>
    <x:row r="1820" ht="28" customHeight="1">
      <x:c r="A1820" s="18" t="str">
        <x:v>船堀</x:v>
      </x:c>
      <x:c r="B1820" s="18" t="str">
        <x:v>東京都</x:v>
      </x:c>
      <x:c r="C1820" s="18" t="str">
        <x:v>metro</x:v>
      </x:c>
      <x:c r="D1820" s="19" t="str">
        <x:v>T1</x:v>
      </x:c>
      <x:c r="E1820" s="20" t="n">
        <x:v>58409</x:v>
      </x:c>
      <x:c r="F1820" s="18" t="str">
        <x:v>persons/day</x:v>
      </x:c>
      <x:c r="G1820" s="18" t="str">
        <x:v>FY2024</x:v>
      </x:c>
      <x:c r="H1820" s="18" t="str">
        <x:v>否</x:v>
      </x:c>
      <x:c r="I1820" s="19" t="str">
        <x:v>DAILY_ENTRIES_EXITS</x:v>
      </x:c>
      <x:c r="J1820" s="19" t="str">
        <x:v>10号線新宿線</x:v>
      </x:c>
      <x:c r="K1820" s="18" t="str">
        <x:v>transport-node:b8e251ad-db0e-5fab-8255-2aab712742b9</x:v>
      </x:c>
      <x:c r="L1820" s="19" t="str">
        <x:v>组件待审核</x:v>
      </x:c>
      <x:c r="M1820" s="21" t="n">
        <x:v>35.683785</x:v>
      </x:c>
      <x:c r="N1820" s="21" t="n">
        <x:v>139.863855</x:v>
      </x:c>
      <x:c r="O1820" s="18" t="str">
        <x:v>003745</x:v>
      </x:c>
      <x:c r="P1820" s="18" t="str">
        <x:v>10号線新宿線</x:v>
      </x:c>
      <x:c r="Q1820" s="19" t="str">
        <x:v>S12_061_GE_10000</x:v>
      </x:c>
      <x:c r="R1820" s="19" t="str">
        <x:v>S12_061 usage threshold</x:v>
      </x:c>
      <x:c r="S1820" s="19" t="str">
        <x:v>https://nlftp.mlit.go.jp/ksj/gml/datalist/KsjTmplt-S12-2024.html</x:v>
      </x:c>
      <x:c r="T1820" s="19" t="str">
        <x:v>https://nlftp.mlit.go.jp/ksj/gml/datalist/KsjTmplt-S12-2024.html</x:v>
      </x:c>
      <x:c r="U1820" s="19" t="str">
        <x:v>station-component|船堀|東京都|metro|35.6838|139.8639|</x:v>
      </x:c>
      <x:c r="V1820" s="19" t="str">
        <x:v>003745 / 003745 / 10号線新宿線</x:v>
      </x:c>
      <x:c r="W1820" s="18" t="str">
        <x:v>否</x:v>
      </x:c>
      <x:c r="X1820" s="18" t="str">
        <x:v>0785e932a32b3ec15e1a1345537ae145eafe1c07bf38d5c16c11ee2b391e7a28</x:v>
      </x:c>
      <x:c r="Y1820" s="20" t="n">
        <x:v>1</x:v>
      </x:c>
      <x:c r="Z1820" s="20" t="n">
        <x:v>1</x:v>
      </x:c>
      <x:c r="AA1820" s="19"/>
      <x:c r="AB1820" s="18"/>
      <x:c r="AC1820" s="19"/>
    </x:row>
    <x:row r="1821" ht="33" customHeight="1">
      <x:c r="A1821" s="18" t="str">
        <x:v>船橋</x:v>
      </x:c>
      <x:c r="B1821" s="18" t="str">
        <x:v>東日本旅客鉄道</x:v>
      </x:c>
      <x:c r="C1821" s="18" t="str">
        <x:v>conventional_rail</x:v>
      </x:c>
      <x:c r="D1821" s="19" t="str">
        <x:v>T0</x:v>
      </x:c>
      <x:c r="E1821" s="20" t="n">
        <x:v>258854</x:v>
      </x:c>
      <x:c r="F1821" s="18" t="str">
        <x:v>persons/day</x:v>
      </x:c>
      <x:c r="G1821" s="18" t="str">
        <x:v>FY2024</x:v>
      </x:c>
      <x:c r="H1821" s="18" t="str">
        <x:v>否</x:v>
      </x:c>
      <x:c r="I1821" s="19" t="str">
        <x:v>DAILY_ENTRIES_EXITS</x:v>
      </x:c>
      <x:c r="J1821" s="19" t="str">
        <x:v>総武線</x:v>
      </x:c>
      <x:c r="K1821" s="18" t="str">
        <x:v>transport-node:14dd7856-90b2-5739-9cb9-81ab872da3d0</x:v>
      </x:c>
      <x:c r="L1821" s="19" t="str">
        <x:v>组件待审核</x:v>
      </x:c>
      <x:c r="M1821" s="21" t="n">
        <x:v>35.7017925</x:v>
      </x:c>
      <x:c r="N1821" s="21" t="n">
        <x:v>139.9840725</x:v>
      </x:c>
      <x:c r="O1821" s="18" t="str">
        <x:v>003593</x:v>
      </x:c>
      <x:c r="P1821" s="18" t="str">
        <x:v>総武線</x:v>
      </x:c>
      <x:c r="Q1821" s="19" t="str">
        <x:v>S12_061_GE_10000
OFFICIAL_HUB_COMPONENT_REVIEW</x:v>
      </x:c>
      <x:c r="R1821" s="19" t="str">
        <x:v>S12_061 usage threshold</x:v>
      </x:c>
      <x:c r="S1821" s="19" t="str">
        <x:v>https://nlftp.mlit.go.jp/ksj/gml/datalist/KsjTmplt-S12-2024.html</x:v>
      </x:c>
      <x:c r="T1821" s="19" t="str">
        <x:v>https://nlftp.mlit.go.jp/ksj/gml/datalist/KsjTmplt-S12-2024.html
https://www.tobu.co.jp/railway/guide/station/info/6412/</x:v>
      </x:c>
      <x:c r="U1821" s="19" t="str">
        <x:v>station-component|船橋|東日本旅客鉄道|conventional_rail|35.7018|139.9841|</x:v>
      </x:c>
      <x:c r="V1821" s="19" t="str">
        <x:v>003589 / 003593 / 総武線</x:v>
      </x:c>
      <x:c r="W1821" s="18" t="str">
        <x:v>否</x:v>
      </x:c>
      <x:c r="X1821" s="18" t="str">
        <x:v>0785e932a32b3ec15e1a1345537ae145eafe1c07bf38d5c16c11ee2b391e7a28</x:v>
      </x:c>
      <x:c r="Y1821" s="20" t="n">
        <x:v>1</x:v>
      </x:c>
      <x:c r="Z1821" s="20" t="n">
        <x:v>1</x:v>
      </x:c>
      <x:c r="AA1821" s="19" t="str">
        <x:v>船橋</x:v>
      </x:c>
      <x:c r="AB1821" s="18" t="str">
        <x:v>transport-hub-review:4d774c33-e173-58e9-a5c6-96c09067f79c</x:v>
      </x:c>
      <x:c r="AC1821" s="19"/>
    </x:row>
    <x:row r="1822" ht="33" customHeight="1">
      <x:c r="A1822" s="18" t="str">
        <x:v>船橋</x:v>
      </x:c>
      <x:c r="B1822" s="18" t="str">
        <x:v>東武鉄道</x:v>
      </x:c>
      <x:c r="C1822" s="18" t="str">
        <x:v>private_rail</x:v>
      </x:c>
      <x:c r="D1822" s="19" t="str">
        <x:v>T1</x:v>
      </x:c>
      <x:c r="E1822" s="20" t="n">
        <x:v>116250</x:v>
      </x:c>
      <x:c r="F1822" s="18" t="str">
        <x:v>persons/day</x:v>
      </x:c>
      <x:c r="G1822" s="18" t="str">
        <x:v>FY2024</x:v>
      </x:c>
      <x:c r="H1822" s="18" t="str">
        <x:v>否</x:v>
      </x:c>
      <x:c r="I1822" s="19" t="str">
        <x:v>DAILY_ENTRIES_EXITS</x:v>
      </x:c>
      <x:c r="J1822" s="19" t="str">
        <x:v>野田線</x:v>
      </x:c>
      <x:c r="K1822" s="18" t="str">
        <x:v>transport-node:6e98e96a-fb1e-591f-ab39-747bd1342bec</x:v>
      </x:c>
      <x:c r="L1822" s="19" t="str">
        <x:v>组件待审核</x:v>
      </x:c>
      <x:c r="M1822" s="21" t="n">
        <x:v>35.7021</x:v>
      </x:c>
      <x:c r="N1822" s="21" t="n">
        <x:v>139.984365</x:v>
      </x:c>
      <x:c r="O1822" s="18" t="str">
        <x:v>003589</x:v>
      </x:c>
      <x:c r="P1822" s="18" t="str">
        <x:v>野田線</x:v>
      </x:c>
      <x:c r="Q1822" s="19" t="str">
        <x:v>S12_061_GE_10000
OFFICIAL_HUB_COMPONENT_REVIEW</x:v>
      </x:c>
      <x:c r="R1822" s="19" t="str">
        <x:v>S12_061 usage threshold</x:v>
      </x:c>
      <x:c r="S1822" s="19" t="str">
        <x:v>https://nlftp.mlit.go.jp/ksj/gml/datalist/KsjTmplt-S12-2024.html</x:v>
      </x:c>
      <x:c r="T1822" s="19" t="str">
        <x:v>https://nlftp.mlit.go.jp/ksj/gml/datalist/KsjTmplt-S12-2024.html
https://www.tobu.co.jp/railway/guide/station/info/6412/</x:v>
      </x:c>
      <x:c r="U1822" s="19" t="str">
        <x:v>station-component|船橋|東武鉄道|private_rail|35.7021|139.9844|</x:v>
      </x:c>
      <x:c r="V1822" s="19" t="str">
        <x:v>003589 / 003589 / 野田線</x:v>
      </x:c>
      <x:c r="W1822" s="18" t="str">
        <x:v>否</x:v>
      </x:c>
      <x:c r="X1822" s="18" t="str">
        <x:v>0785e932a32b3ec15e1a1345537ae145eafe1c07bf38d5c16c11ee2b391e7a28</x:v>
      </x:c>
      <x:c r="Y1822" s="20" t="n">
        <x:v>1</x:v>
      </x:c>
      <x:c r="Z1822" s="20" t="n">
        <x:v>1</x:v>
      </x:c>
      <x:c r="AA1822" s="19" t="str">
        <x:v>船橋</x:v>
      </x:c>
      <x:c r="AB1822" s="18" t="str">
        <x:v>transport-hub-review:4d774c33-e173-58e9-a5c6-96c09067f79c</x:v>
      </x:c>
      <x:c r="AC1822" s="19"/>
    </x:row>
    <x:row r="1823" ht="28" customHeight="1">
      <x:c r="A1823" s="18" t="str">
        <x:v>船橋日大前</x:v>
      </x:c>
      <x:c r="B1823" s="18" t="str">
        <x:v>東葉高速鉄道</x:v>
      </x:c>
      <x:c r="C1823" s="18" t="str">
        <x:v>private_rail</x:v>
      </x:c>
      <x:c r="D1823" s="19" t="str">
        <x:v>T2</x:v>
      </x:c>
      <x:c r="E1823" s="20" t="n">
        <x:v>21606</x:v>
      </x:c>
      <x:c r="F1823" s="18" t="str">
        <x:v>persons/day</x:v>
      </x:c>
      <x:c r="G1823" s="18" t="str">
        <x:v>FY2024</x:v>
      </x:c>
      <x:c r="H1823" s="18" t="str">
        <x:v>否</x:v>
      </x:c>
      <x:c r="I1823" s="19" t="str">
        <x:v>DAILY_ENTRIES_EXITS</x:v>
      </x:c>
      <x:c r="J1823" s="19" t="str">
        <x:v>東葉高速線</x:v>
      </x:c>
      <x:c r="K1823" s="18" t="str">
        <x:v>transport-node:c8403217-2789-599b-988e-10cdebfde7e9</x:v>
      </x:c>
      <x:c r="L1823" s="19" t="str">
        <x:v>组件待审核</x:v>
      </x:c>
      <x:c r="M1823" s="21" t="n">
        <x:v>35.727245</x:v>
      </x:c>
      <x:c r="N1823" s="21" t="n">
        <x:v>140.060075</x:v>
      </x:c>
      <x:c r="O1823" s="18" t="str">
        <x:v>003421</x:v>
      </x:c>
      <x:c r="P1823" s="18" t="str">
        <x:v>東葉高速線</x:v>
      </x:c>
      <x:c r="Q1823" s="19" t="str">
        <x:v>S12_061_GE_10000</x:v>
      </x:c>
      <x:c r="R1823" s="19" t="str">
        <x:v>S12_061 usage threshold</x:v>
      </x:c>
      <x:c r="S1823" s="19" t="str">
        <x:v>https://nlftp.mlit.go.jp/ksj/gml/datalist/KsjTmplt-S12-2024.html</x:v>
      </x:c>
      <x:c r="T1823" s="19" t="str">
        <x:v>https://nlftp.mlit.go.jp/ksj/gml/datalist/KsjTmplt-S12-2024.html</x:v>
      </x:c>
      <x:c r="U1823" s="19" t="str">
        <x:v>station-component|船橋日大前|東葉高速鉄道|private_rail|35.7272|140.0601|</x:v>
      </x:c>
      <x:c r="V1823" s="19" t="str">
        <x:v>003421 / 003421 / 東葉高速線</x:v>
      </x:c>
      <x:c r="W1823" s="18" t="str">
        <x:v>否</x:v>
      </x:c>
      <x:c r="X1823" s="18" t="str">
        <x:v>0785e932a32b3ec15e1a1345537ae145eafe1c07bf38d5c16c11ee2b391e7a28</x:v>
      </x:c>
      <x:c r="Y1823" s="20" t="n">
        <x:v>1</x:v>
      </x:c>
      <x:c r="Z1823" s="20" t="n">
        <x:v>1</x:v>
      </x:c>
      <x:c r="AA1823" s="19"/>
      <x:c r="AB1823" s="18"/>
      <x:c r="AC1823" s="19"/>
    </x:row>
    <x:row r="1824" ht="28" customHeight="1">
      <x:c r="A1824" s="18" t="str">
        <x:v>船橋法典</x:v>
      </x:c>
      <x:c r="B1824" s="18" t="str">
        <x:v>東日本旅客鉄道</x:v>
      </x:c>
      <x:c r="C1824" s="18" t="str">
        <x:v>conventional_rail</x:v>
      </x:c>
      <x:c r="D1824" s="19" t="str">
        <x:v>T2</x:v>
      </x:c>
      <x:c r="E1824" s="20" t="n">
        <x:v>35370</x:v>
      </x:c>
      <x:c r="F1824" s="18" t="str">
        <x:v>persons/day</x:v>
      </x:c>
      <x:c r="G1824" s="18" t="str">
        <x:v>FY2024</x:v>
      </x:c>
      <x:c r="H1824" s="18" t="str">
        <x:v>否</x:v>
      </x:c>
      <x:c r="I1824" s="19" t="str">
        <x:v>DAILY_ENTRIES_EXITS</x:v>
      </x:c>
      <x:c r="J1824" s="19" t="str">
        <x:v>武蔵野線</x:v>
      </x:c>
      <x:c r="K1824" s="18" t="str">
        <x:v>transport-node:9e507680-fb53-5694-92e8-f096227e55bf</x:v>
      </x:c>
      <x:c r="L1824" s="19" t="str">
        <x:v>组件待审核</x:v>
      </x:c>
      <x:c r="M1824" s="21" t="n">
        <x:v>35.73052</x:v>
      </x:c>
      <x:c r="N1824" s="21" t="n">
        <x:v>139.966684</x:v>
      </x:c>
      <x:c r="O1824" s="18" t="str">
        <x:v>003387</x:v>
      </x:c>
      <x:c r="P1824" s="18" t="str">
        <x:v>武蔵野線</x:v>
      </x:c>
      <x:c r="Q1824" s="19" t="str">
        <x:v>S12_061_GE_10000</x:v>
      </x:c>
      <x:c r="R1824" s="19" t="str">
        <x:v>S12_061 usage threshold</x:v>
      </x:c>
      <x:c r="S1824" s="19" t="str">
        <x:v>https://nlftp.mlit.go.jp/ksj/gml/datalist/KsjTmplt-S12-2024.html</x:v>
      </x:c>
      <x:c r="T1824" s="19" t="str">
        <x:v>https://nlftp.mlit.go.jp/ksj/gml/datalist/KsjTmplt-S12-2024.html</x:v>
      </x:c>
      <x:c r="U1824" s="19" t="str">
        <x:v>station-component|船橋法典|東日本旅客鉄道|conventional_rail|35.7305|139.9667|</x:v>
      </x:c>
      <x:c r="V1824" s="19" t="str">
        <x:v>003387 / 003387 / 武蔵野線</x:v>
      </x:c>
      <x:c r="W1824" s="18" t="str">
        <x:v>否</x:v>
      </x:c>
      <x:c r="X1824" s="18" t="str">
        <x:v>0785e932a32b3ec15e1a1345537ae145eafe1c07bf38d5c16c11ee2b391e7a28</x:v>
      </x:c>
      <x:c r="Y1824" s="20" t="n">
        <x:v>1</x:v>
      </x:c>
      <x:c r="Z1824" s="20" t="n">
        <x:v>1</x:v>
      </x:c>
      <x:c r="AA1824" s="19"/>
      <x:c r="AB1824" s="18"/>
      <x:c r="AC1824" s="19"/>
    </x:row>
    <x:row r="1825" ht="28" customHeight="1">
      <x:c r="A1825" s="18" t="str">
        <x:v>船橋競馬場</x:v>
      </x:c>
      <x:c r="B1825" s="18" t="str">
        <x:v>京成電鉄</x:v>
      </x:c>
      <x:c r="C1825" s="18" t="str">
        <x:v>private_rail</x:v>
      </x:c>
      <x:c r="D1825" s="19" t="str">
        <x:v>T2</x:v>
      </x:c>
      <x:c r="E1825" s="20" t="n">
        <x:v>18907</x:v>
      </x:c>
      <x:c r="F1825" s="18" t="str">
        <x:v>persons/day</x:v>
      </x:c>
      <x:c r="G1825" s="18" t="str">
        <x:v>FY2024</x:v>
      </x:c>
      <x:c r="H1825" s="18" t="str">
        <x:v>否</x:v>
      </x:c>
      <x:c r="I1825" s="19" t="str">
        <x:v>DAILY_ENTRIES_EXITS</x:v>
      </x:c>
      <x:c r="J1825" s="19" t="str">
        <x:v>本線</x:v>
      </x:c>
      <x:c r="K1825" s="18" t="str">
        <x:v>transport-node:2f21d7af-4198-5710-88c5-c77daeac34a4</x:v>
      </x:c>
      <x:c r="L1825" s="19" t="str">
        <x:v>组件待审核</x:v>
      </x:c>
      <x:c r="M1825" s="21" t="n">
        <x:v>35.6896425</x:v>
      </x:c>
      <x:c r="N1825" s="21" t="n">
        <x:v>139.997955</x:v>
      </x:c>
      <x:c r="O1825" s="18" t="str">
        <x:v>003699</x:v>
      </x:c>
      <x:c r="P1825" s="18" t="str">
        <x:v>本線</x:v>
      </x:c>
      <x:c r="Q1825" s="19" t="str">
        <x:v>S12_061_GE_10000</x:v>
      </x:c>
      <x:c r="R1825" s="19" t="str">
        <x:v>S12_061 usage threshold</x:v>
      </x:c>
      <x:c r="S1825" s="19" t="str">
        <x:v>https://nlftp.mlit.go.jp/ksj/gml/datalist/KsjTmplt-S12-2024.html</x:v>
      </x:c>
      <x:c r="T1825" s="19" t="str">
        <x:v>https://nlftp.mlit.go.jp/ksj/gml/datalist/KsjTmplt-S12-2024.html</x:v>
      </x:c>
      <x:c r="U1825" s="19" t="str">
        <x:v>station-component|船橋競馬場|京成電鉄|private_rail|35.6896|139.9980|</x:v>
      </x:c>
      <x:c r="V1825" s="19" t="str">
        <x:v>003699 / 003699 / 本線</x:v>
      </x:c>
      <x:c r="W1825" s="18" t="str">
        <x:v>否</x:v>
      </x:c>
      <x:c r="X1825" s="18" t="str">
        <x:v>0785e932a32b3ec15e1a1345537ae145eafe1c07bf38d5c16c11ee2b391e7a28</x:v>
      </x:c>
      <x:c r="Y1825" s="20" t="n">
        <x:v>1</x:v>
      </x:c>
      <x:c r="Z1825" s="20" t="n">
        <x:v>1</x:v>
      </x:c>
      <x:c r="AA1825" s="19"/>
      <x:c r="AB1825" s="18"/>
      <x:c r="AC1825" s="19"/>
    </x:row>
    <x:row r="1826" ht="28" customHeight="1">
      <x:c r="A1826" s="18" t="str">
        <x:v>芝公園</x:v>
      </x:c>
      <x:c r="B1826" s="18" t="str">
        <x:v>東京都</x:v>
      </x:c>
      <x:c r="C1826" s="18" t="str">
        <x:v>metro</x:v>
      </x:c>
      <x:c r="D1826" s="19" t="str">
        <x:v>T2</x:v>
      </x:c>
      <x:c r="E1826" s="20" t="n">
        <x:v>28023</x:v>
      </x:c>
      <x:c r="F1826" s="18" t="str">
        <x:v>persons/day</x:v>
      </x:c>
      <x:c r="G1826" s="18" t="str">
        <x:v>FY2024</x:v>
      </x:c>
      <x:c r="H1826" s="18" t="str">
        <x:v>否</x:v>
      </x:c>
      <x:c r="I1826" s="19" t="str">
        <x:v>DAILY_ENTRIES_EXITS</x:v>
      </x:c>
      <x:c r="J1826" s="19" t="str">
        <x:v>6号線三田線</x:v>
      </x:c>
      <x:c r="K1826" s="18" t="str">
        <x:v>transport-node:a8ca8bb9-a141-5608-93d3-be1e5704748e</x:v>
      </x:c>
      <x:c r="L1826" s="19" t="str">
        <x:v>组件待审核</x:v>
      </x:c>
      <x:c r="M1826" s="21" t="n">
        <x:v>35.6537475</x:v>
      </x:c>
      <x:c r="N1826" s="21" t="n">
        <x:v>139.749765</x:v>
      </x:c>
      <x:c r="O1826" s="18" t="str">
        <x:v>003962</x:v>
      </x:c>
      <x:c r="P1826" s="18" t="str">
        <x:v>6号線三田線</x:v>
      </x:c>
      <x:c r="Q1826" s="19" t="str">
        <x:v>S12_061_GE_10000</x:v>
      </x:c>
      <x:c r="R1826" s="19" t="str">
        <x:v>S12_061 usage threshold</x:v>
      </x:c>
      <x:c r="S1826" s="19" t="str">
        <x:v>https://nlftp.mlit.go.jp/ksj/gml/datalist/KsjTmplt-S12-2024.html</x:v>
      </x:c>
      <x:c r="T1826" s="19" t="str">
        <x:v>https://nlftp.mlit.go.jp/ksj/gml/datalist/KsjTmplt-S12-2024.html</x:v>
      </x:c>
      <x:c r="U1826" s="19" t="str">
        <x:v>station-component|芝公園|東京都|metro|35.6537|139.7498|</x:v>
      </x:c>
      <x:c r="V1826" s="19" t="str">
        <x:v>003962 / 003962 / 6号線三田線</x:v>
      </x:c>
      <x:c r="W1826" s="18" t="str">
        <x:v>否</x:v>
      </x:c>
      <x:c r="X1826" s="18" t="str">
        <x:v>0785e932a32b3ec15e1a1345537ae145eafe1c07bf38d5c16c11ee2b391e7a28</x:v>
      </x:c>
      <x:c r="Y1826" s="20" t="n">
        <x:v>1</x:v>
      </x:c>
      <x:c r="Z1826" s="20" t="n">
        <x:v>1</x:v>
      </x:c>
      <x:c r="AA1826" s="19"/>
      <x:c r="AB1826" s="18"/>
      <x:c r="AC1826" s="19"/>
    </x:row>
    <x:row r="1827" ht="28" customHeight="1">
      <x:c r="A1827" s="18" t="str">
        <x:v>芦原橋</x:v>
      </x:c>
      <x:c r="B1827" s="18" t="str">
        <x:v>西日本旅客鉄道</x:v>
      </x:c>
      <x:c r="C1827" s="18" t="str">
        <x:v>conventional_rail</x:v>
      </x:c>
      <x:c r="D1827" s="19" t="str">
        <x:v>T2</x:v>
      </x:c>
      <x:c r="E1827" s="20" t="n">
        <x:v>12130</x:v>
      </x:c>
      <x:c r="F1827" s="18" t="str">
        <x:v>persons/day</x:v>
      </x:c>
      <x:c r="G1827" s="18" t="str">
        <x:v>FY2024</x:v>
      </x:c>
      <x:c r="H1827" s="18" t="str">
        <x:v>否</x:v>
      </x:c>
      <x:c r="I1827" s="19" t="str">
        <x:v>DAILY_ENTRIES_EXITS</x:v>
      </x:c>
      <x:c r="J1827" s="19" t="str">
        <x:v>大阪環状線</x:v>
      </x:c>
      <x:c r="K1827" s="18" t="str">
        <x:v>transport-node:b9e3c49c-ff31-5f52-b7bb-b52a9fa3f272</x:v>
      </x:c>
      <x:c r="L1827" s="19" t="str">
        <x:v>组件待审核</x:v>
      </x:c>
      <x:c r="M1827" s="21" t="n">
        <x:v>34.658575</x:v>
      </x:c>
      <x:c r="N1827" s="21" t="n">
        <x:v>135.48919</x:v>
      </x:c>
      <x:c r="O1827" s="18" t="str">
        <x:v>007379</x:v>
      </x:c>
      <x:c r="P1827" s="18" t="str">
        <x:v>大阪環状線</x:v>
      </x:c>
      <x:c r="Q1827" s="19" t="str">
        <x:v>S12_061_GE_10000</x:v>
      </x:c>
      <x:c r="R1827" s="19" t="str">
        <x:v>S12_061 usage threshold</x:v>
      </x:c>
      <x:c r="S1827" s="19" t="str">
        <x:v>https://nlftp.mlit.go.jp/ksj/gml/datalist/KsjTmplt-S12-2024.html</x:v>
      </x:c>
      <x:c r="T1827" s="19" t="str">
        <x:v>https://nlftp.mlit.go.jp/ksj/gml/datalist/KsjTmplt-S12-2024.html</x:v>
      </x:c>
      <x:c r="U1827" s="19" t="str">
        <x:v>station-component|芦原橋|西日本旅客鉄道|conventional_rail|34.6586|135.4892|</x:v>
      </x:c>
      <x:c r="V1827" s="19" t="str">
        <x:v>007379 / 007379 / 大阪環状線</x:v>
      </x:c>
      <x:c r="W1827" s="18" t="str">
        <x:v>否</x:v>
      </x:c>
      <x:c r="X1827" s="18" t="str">
        <x:v>0785e932a32b3ec15e1a1345537ae145eafe1c07bf38d5c16c11ee2b391e7a28</x:v>
      </x:c>
      <x:c r="Y1827" s="20" t="n">
        <x:v>1</x:v>
      </x:c>
      <x:c r="Z1827" s="20" t="n">
        <x:v>1</x:v>
      </x:c>
      <x:c r="AA1827" s="19"/>
      <x:c r="AB1827" s="18"/>
      <x:c r="AC1827" s="19"/>
    </x:row>
    <x:row r="1828" ht="33" customHeight="1">
      <x:c r="A1828" s="18" t="str">
        <x:v>芦原温泉</x:v>
      </x:c>
      <x:c r="B1828" s="18" t="str">
        <x:v>西日本旅客鉄道</x:v>
      </x:c>
      <x:c r="C1828" s="18" t="str">
        <x:v>shinkansen</x:v>
      </x:c>
      <x:c r="D1828" s="19" t="str">
        <x:v>T3</x:v>
      </x:c>
      <x:c r="E1828" s="20" t="n">
        <x:v>1162</x:v>
      </x:c>
      <x:c r="F1828" s="18" t="str">
        <x:v>persons/day</x:v>
      </x:c>
      <x:c r="G1828" s="18" t="str">
        <x:v>FY2024</x:v>
      </x:c>
      <x:c r="H1828" s="18" t="str">
        <x:v>否</x:v>
      </x:c>
      <x:c r="I1828" s="19" t="str">
        <x:v>DAILY_ENTRIES_EXITS</x:v>
      </x:c>
      <x:c r="J1828" s="19" t="str">
        <x:v>北陸新幹線</x:v>
      </x:c>
      <x:c r="K1828" s="18" t="str">
        <x:v>transport-node:e4e7d1c0-c728-53d9-973d-bf0f61a72fe2</x:v>
      </x:c>
      <x:c r="L1828" s="19" t="str">
        <x:v>组件待审核</x:v>
      </x:c>
      <x:c r="M1828" s="21" t="n">
        <x:v>36.2154283</x:v>
      </x:c>
      <x:c r="N1828" s="21" t="n">
        <x:v>136.2353632</x:v>
      </x:c>
      <x:c r="O1828" s="18" t="str">
        <x:v>010178</x:v>
      </x:c>
      <x:c r="P1828" s="18" t="str">
        <x:v>北陸新幹線</x:v>
      </x:c>
      <x:c r="Q1828" s="19" t="str">
        <x:v>SHINKANSEN</x:v>
      </x:c>
      <x:c r="R1828" s="19" t="str">
        <x:v>S12_061 usage threshold; low-flow inclusion justified by Shinkansen inventory</x:v>
      </x:c>
      <x:c r="S1828" s="19" t="str">
        <x:v>https://nlftp.mlit.go.jp/ksj/gml/datalist/KsjTmplt-S12-2024.html</x:v>
      </x:c>
      <x:c r="T1828" s="19" t="str">
        <x:v>https://nlftp.mlit.go.jp/ksj/gml/datalist/KsjTmplt-S12-2024.html</x:v>
      </x:c>
      <x:c r="U1828" s="19" t="str">
        <x:v>station-component|芦原温泉|西日本旅客鉄道|shinkansen|36.2154|136.2354|</x:v>
      </x:c>
      <x:c r="V1828" s="19" t="str">
        <x:v>002529 / 010178 / 北陸新幹線</x:v>
      </x:c>
      <x:c r="W1828" s="18" t="str">
        <x:v>否</x:v>
      </x:c>
      <x:c r="X1828" s="18" t="str">
        <x:v>0785e932a32b3ec15e1a1345537ae145eafe1c07bf38d5c16c11ee2b391e7a28</x:v>
      </x:c>
      <x:c r="Y1828" s="20" t="n">
        <x:v>1</x:v>
      </x:c>
      <x:c r="Z1828" s="20" t="n">
        <x:v>1</x:v>
      </x:c>
      <x:c r="AA1828" s="19"/>
      <x:c r="AB1828" s="18"/>
      <x:c r="AC1828" s="19"/>
    </x:row>
    <x:row r="1829" ht="28" customHeight="1">
      <x:c r="A1829" s="18" t="str">
        <x:v>芦屋</x:v>
      </x:c>
      <x:c r="B1829" s="18" t="str">
        <x:v>西日本旅客鉄道</x:v>
      </x:c>
      <x:c r="C1829" s="18" t="str">
        <x:v>conventional_rail</x:v>
      </x:c>
      <x:c r="D1829" s="19" t="str">
        <x:v>T2</x:v>
      </x:c>
      <x:c r="E1829" s="20" t="n">
        <x:v>48238</x:v>
      </x:c>
      <x:c r="F1829" s="18" t="str">
        <x:v>persons/day</x:v>
      </x:c>
      <x:c r="G1829" s="18" t="str">
        <x:v>FY2024</x:v>
      </x:c>
      <x:c r="H1829" s="18" t="str">
        <x:v>否</x:v>
      </x:c>
      <x:c r="I1829" s="19" t="str">
        <x:v>DAILY_ENTRIES_EXITS</x:v>
      </x:c>
      <x:c r="J1829" s="19" t="str">
        <x:v>東海道線</x:v>
      </x:c>
      <x:c r="K1829" s="18" t="str">
        <x:v>transport-node:46b8e71a-f654-556d-977c-a180b63d646f</x:v>
      </x:c>
      <x:c r="L1829" s="19" t="str">
        <x:v>组件待审核</x:v>
      </x:c>
      <x:c r="M1829" s="21" t="n">
        <x:v>34.734265</x:v>
      </x:c>
      <x:c r="N1829" s="21" t="n">
        <x:v>135.307395</x:v>
      </x:c>
      <x:c r="O1829" s="18" t="str">
        <x:v>006908</x:v>
      </x:c>
      <x:c r="P1829" s="18" t="str">
        <x:v>東海道線</x:v>
      </x:c>
      <x:c r="Q1829" s="19" t="str">
        <x:v>S12_061_GE_10000</x:v>
      </x:c>
      <x:c r="R1829" s="19" t="str">
        <x:v>S12_061 usage threshold</x:v>
      </x:c>
      <x:c r="S1829" s="19" t="str">
        <x:v>https://nlftp.mlit.go.jp/ksj/gml/datalist/KsjTmplt-S12-2024.html</x:v>
      </x:c>
      <x:c r="T1829" s="19" t="str">
        <x:v>https://nlftp.mlit.go.jp/ksj/gml/datalist/KsjTmplt-S12-2024.html</x:v>
      </x:c>
      <x:c r="U1829" s="19" t="str">
        <x:v>station-component|芦屋|西日本旅客鉄道|conventional_rail|34.7343|135.3074|</x:v>
      </x:c>
      <x:c r="V1829" s="19" t="str">
        <x:v>006908 / 006908 / 東海道線</x:v>
      </x:c>
      <x:c r="W1829" s="18" t="str">
        <x:v>否</x:v>
      </x:c>
      <x:c r="X1829" s="18" t="str">
        <x:v>0785e932a32b3ec15e1a1345537ae145eafe1c07bf38d5c16c11ee2b391e7a28</x:v>
      </x:c>
      <x:c r="Y1829" s="20" t="n">
        <x:v>1</x:v>
      </x:c>
      <x:c r="Z1829" s="20" t="n">
        <x:v>1</x:v>
      </x:c>
      <x:c r="AA1829" s="19"/>
      <x:c r="AB1829" s="18"/>
      <x:c r="AC1829" s="19"/>
    </x:row>
    <x:row r="1830" ht="28" customHeight="1">
      <x:c r="A1830" s="18" t="str">
        <x:v>芦屋</x:v>
      </x:c>
      <x:c r="B1830" s="18" t="str">
        <x:v>阪神電気鉄道</x:v>
      </x:c>
      <x:c r="C1830" s="18" t="str">
        <x:v>private_rail</x:v>
      </x:c>
      <x:c r="D1830" s="19" t="str">
        <x:v>T2</x:v>
      </x:c>
      <x:c r="E1830" s="20" t="n">
        <x:v>27302</x:v>
      </x:c>
      <x:c r="F1830" s="18" t="str">
        <x:v>persons/day</x:v>
      </x:c>
      <x:c r="G1830" s="18" t="str">
        <x:v>FY2024</x:v>
      </x:c>
      <x:c r="H1830" s="18" t="str">
        <x:v>否</x:v>
      </x:c>
      <x:c r="I1830" s="19" t="str">
        <x:v>DAILY_ENTRIES_EXITS</x:v>
      </x:c>
      <x:c r="J1830" s="19" t="str">
        <x:v>本線</x:v>
      </x:c>
      <x:c r="K1830" s="18" t="str">
        <x:v>transport-node:9105a175-688e-5406-a186-09906cec68a7</x:v>
      </x:c>
      <x:c r="L1830" s="19" t="str">
        <x:v>组件待审核</x:v>
      </x:c>
      <x:c r="M1830" s="21" t="n">
        <x:v>34.72777</x:v>
      </x:c>
      <x:c r="N1830" s="21" t="n">
        <x:v>135.30355</x:v>
      </x:c>
      <x:c r="O1830" s="18" t="str">
        <x:v>006936</x:v>
      </x:c>
      <x:c r="P1830" s="18" t="str">
        <x:v>本線</x:v>
      </x:c>
      <x:c r="Q1830" s="19" t="str">
        <x:v>S12_061_GE_10000</x:v>
      </x:c>
      <x:c r="R1830" s="19" t="str">
        <x:v>S12_061 usage threshold</x:v>
      </x:c>
      <x:c r="S1830" s="19" t="str">
        <x:v>https://nlftp.mlit.go.jp/ksj/gml/datalist/KsjTmplt-S12-2024.html</x:v>
      </x:c>
      <x:c r="T1830" s="19" t="str">
        <x:v>https://nlftp.mlit.go.jp/ksj/gml/datalist/KsjTmplt-S12-2024.html</x:v>
      </x:c>
      <x:c r="U1830" s="19" t="str">
        <x:v>station-component|芦屋|阪神電気鉄道|private_rail|34.7278|135.3036|</x:v>
      </x:c>
      <x:c r="V1830" s="19" t="str">
        <x:v>006936 / 006936 / 本線</x:v>
      </x:c>
      <x:c r="W1830" s="18" t="str">
        <x:v>否</x:v>
      </x:c>
      <x:c r="X1830" s="18" t="str">
        <x:v>0785e932a32b3ec15e1a1345537ae145eafe1c07bf38d5c16c11ee2b391e7a28</x:v>
      </x:c>
      <x:c r="Y1830" s="20" t="n">
        <x:v>1</x:v>
      </x:c>
      <x:c r="Z1830" s="20" t="n">
        <x:v>1</x:v>
      </x:c>
      <x:c r="AA1830" s="19"/>
      <x:c r="AB1830" s="18"/>
      <x:c r="AC1830" s="19"/>
    </x:row>
    <x:row r="1831" ht="28" customHeight="1">
      <x:c r="A1831" s="18" t="str">
        <x:v>芦屋川</x:v>
      </x:c>
      <x:c r="B1831" s="18" t="str">
        <x:v>阪急電鉄</x:v>
      </x:c>
      <x:c r="C1831" s="18" t="str">
        <x:v>private_rail</x:v>
      </x:c>
      <x:c r="D1831" s="19" t="str">
        <x:v>T2</x:v>
      </x:c>
      <x:c r="E1831" s="20" t="n">
        <x:v>13650</x:v>
      </x:c>
      <x:c r="F1831" s="18" t="str">
        <x:v>persons/day</x:v>
      </x:c>
      <x:c r="G1831" s="18" t="str">
        <x:v>FY2024</x:v>
      </x:c>
      <x:c r="H1831" s="18" t="str">
        <x:v>否</x:v>
      </x:c>
      <x:c r="I1831" s="19" t="str">
        <x:v>DAILY_ENTRIES_EXITS</x:v>
      </x:c>
      <x:c r="J1831" s="19" t="str">
        <x:v>神戸線</x:v>
      </x:c>
      <x:c r="K1831" s="18" t="str">
        <x:v>transport-node:e8bb9041-a717-5382-a339-3992f354b6fd</x:v>
      </x:c>
      <x:c r="L1831" s="19" t="str">
        <x:v>组件待审核</x:v>
      </x:c>
      <x:c r="M1831" s="21" t="n">
        <x:v>34.73639</x:v>
      </x:c>
      <x:c r="N1831" s="21" t="n">
        <x:v>135.30079</x:v>
      </x:c>
      <x:c r="O1831" s="18" t="str">
        <x:v>006895</x:v>
      </x:c>
      <x:c r="P1831" s="18" t="str">
        <x:v>神戸線</x:v>
      </x:c>
      <x:c r="Q1831" s="19" t="str">
        <x:v>S12_061_GE_10000</x:v>
      </x:c>
      <x:c r="R1831" s="19" t="str">
        <x:v>S12_061 usage threshold</x:v>
      </x:c>
      <x:c r="S1831" s="19" t="str">
        <x:v>https://nlftp.mlit.go.jp/ksj/gml/datalist/KsjTmplt-S12-2024.html</x:v>
      </x:c>
      <x:c r="T1831" s="19" t="str">
        <x:v>https://nlftp.mlit.go.jp/ksj/gml/datalist/KsjTmplt-S12-2024.html</x:v>
      </x:c>
      <x:c r="U1831" s="19" t="str">
        <x:v>station-component|芦屋川|阪急電鉄|private_rail|34.7364|135.3008|</x:v>
      </x:c>
      <x:c r="V1831" s="19" t="str">
        <x:v>006895 / 006895 / 神戸線</x:v>
      </x:c>
      <x:c r="W1831" s="18" t="str">
        <x:v>否</x:v>
      </x:c>
      <x:c r="X1831" s="18" t="str">
        <x:v>0785e932a32b3ec15e1a1345537ae145eafe1c07bf38d5c16c11ee2b391e7a28</x:v>
      </x:c>
      <x:c r="Y1831" s="20" t="n">
        <x:v>1</x:v>
      </x:c>
      <x:c r="Z1831" s="20" t="n">
        <x:v>1</x:v>
      </x:c>
      <x:c r="AA1831" s="19"/>
      <x:c r="AB1831" s="18"/>
      <x:c r="AC1831" s="19"/>
    </x:row>
    <x:row r="1832" ht="28" customHeight="1">
      <x:c r="A1832" s="18" t="str">
        <x:v>芦花公園</x:v>
      </x:c>
      <x:c r="B1832" s="18" t="str">
        <x:v>京王電鉄</x:v>
      </x:c>
      <x:c r="C1832" s="18" t="str">
        <x:v>private_rail</x:v>
      </x:c>
      <x:c r="D1832" s="19" t="str">
        <x:v>T2</x:v>
      </x:c>
      <x:c r="E1832" s="20" t="n">
        <x:v>14016</x:v>
      </x:c>
      <x:c r="F1832" s="18" t="str">
        <x:v>persons/day</x:v>
      </x:c>
      <x:c r="G1832" s="18" t="str">
        <x:v>FY2024</x:v>
      </x:c>
      <x:c r="H1832" s="18" t="str">
        <x:v>否</x:v>
      </x:c>
      <x:c r="I1832" s="19" t="str">
        <x:v>DAILY_ENTRIES_EXITS</x:v>
      </x:c>
      <x:c r="J1832" s="19" t="str">
        <x:v>京王線</x:v>
      </x:c>
      <x:c r="K1832" s="18" t="str">
        <x:v>transport-node:02a3dace-ccab-5c2a-8222-062383b1cbbb</x:v>
      </x:c>
      <x:c r="L1832" s="19" t="str">
        <x:v>组件待审核</x:v>
      </x:c>
      <x:c r="M1832" s="21" t="n">
        <x:v>35.6705475</x:v>
      </x:c>
      <x:c r="N1832" s="21" t="n">
        <x:v>139.6084025</x:v>
      </x:c>
      <x:c r="O1832" s="18" t="str">
        <x:v>003832</x:v>
      </x:c>
      <x:c r="P1832" s="18" t="str">
        <x:v>京王線</x:v>
      </x:c>
      <x:c r="Q1832" s="19" t="str">
        <x:v>S12_061_GE_10000</x:v>
      </x:c>
      <x:c r="R1832" s="19" t="str">
        <x:v>S12_061 usage threshold</x:v>
      </x:c>
      <x:c r="S1832" s="19" t="str">
        <x:v>https://nlftp.mlit.go.jp/ksj/gml/datalist/KsjTmplt-S12-2024.html</x:v>
      </x:c>
      <x:c r="T1832" s="19" t="str">
        <x:v>https://nlftp.mlit.go.jp/ksj/gml/datalist/KsjTmplt-S12-2024.html</x:v>
      </x:c>
      <x:c r="U1832" s="19" t="str">
        <x:v>station-component|芦花公園|京王電鉄|private_rail|35.6705|139.6084|</x:v>
      </x:c>
      <x:c r="V1832" s="19" t="str">
        <x:v>003832 / 003832 / 京王線</x:v>
      </x:c>
      <x:c r="W1832" s="18" t="str">
        <x:v>否</x:v>
      </x:c>
      <x:c r="X1832" s="18" t="str">
        <x:v>0785e932a32b3ec15e1a1345537ae145eafe1c07bf38d5c16c11ee2b391e7a28</x:v>
      </x:c>
      <x:c r="Y1832" s="20" t="n">
        <x:v>1</x:v>
      </x:c>
      <x:c r="Z1832" s="20" t="n">
        <x:v>1</x:v>
      </x:c>
      <x:c r="AA1832" s="19"/>
      <x:c r="AB1832" s="18"/>
      <x:c r="AC1832" s="19"/>
    </x:row>
    <x:row r="1833" ht="28" customHeight="1">
      <x:c r="A1833" s="18" t="str">
        <x:v>花園町</x:v>
      </x:c>
      <x:c r="B1833" s="18" t="str">
        <x:v>大阪市高速電気軌道</x:v>
      </x:c>
      <x:c r="C1833" s="18" t="str">
        <x:v>metro</x:v>
      </x:c>
      <x:c r="D1833" s="19" t="str">
        <x:v>T2</x:v>
      </x:c>
      <x:c r="E1833" s="20" t="n">
        <x:v>17520</x:v>
      </x:c>
      <x:c r="F1833" s="18" t="str">
        <x:v>persons/day</x:v>
      </x:c>
      <x:c r="G1833" s="18" t="str">
        <x:v>FY2024</x:v>
      </x:c>
      <x:c r="H1833" s="18" t="str">
        <x:v>否</x:v>
      </x:c>
      <x:c r="I1833" s="19" t="str">
        <x:v>DAILY_ENTRIES_EXITS</x:v>
      </x:c>
      <x:c r="J1833" s="19" t="str">
        <x:v>3号線(四つ橋線)</x:v>
      </x:c>
      <x:c r="K1833" s="18" t="str">
        <x:v>transport-node:2bf01baf-320e-5e89-9fd1-39b33bbad52f</x:v>
      </x:c>
      <x:c r="L1833" s="19" t="str">
        <x:v>组件待审核</x:v>
      </x:c>
      <x:c r="M1833" s="21" t="n">
        <x:v>34.644205</x:v>
      </x:c>
      <x:c r="N1833" s="21" t="n">
        <x:v>135.49655</x:v>
      </x:c>
      <x:c r="O1833" s="18" t="str">
        <x:v>007454</x:v>
      </x:c>
      <x:c r="P1833" s="18" t="str">
        <x:v>3号線(四つ橋線)</x:v>
      </x:c>
      <x:c r="Q1833" s="19" t="str">
        <x:v>S12_061_GE_10000</x:v>
      </x:c>
      <x:c r="R1833" s="19" t="str">
        <x:v>S12_061 usage threshold</x:v>
      </x:c>
      <x:c r="S1833" s="19" t="str">
        <x:v>https://nlftp.mlit.go.jp/ksj/gml/datalist/KsjTmplt-S12-2024.html</x:v>
      </x:c>
      <x:c r="T1833" s="19" t="str">
        <x:v>https://nlftp.mlit.go.jp/ksj/gml/datalist/KsjTmplt-S12-2024.html</x:v>
      </x:c>
      <x:c r="U1833" s="19" t="str">
        <x:v>station-component|花園町|大阪市高速電気軌道|metro|34.6442|135.4966|</x:v>
      </x:c>
      <x:c r="V1833" s="19" t="str">
        <x:v>007454 / 007454 / 3号線(四つ橋線)</x:v>
      </x:c>
      <x:c r="W1833" s="18" t="str">
        <x:v>否</x:v>
      </x:c>
      <x:c r="X1833" s="18" t="str">
        <x:v>0785e932a32b3ec15e1a1345537ae145eafe1c07bf38d5c16c11ee2b391e7a28</x:v>
      </x:c>
      <x:c r="Y1833" s="20" t="n">
        <x:v>1</x:v>
      </x:c>
      <x:c r="Z1833" s="20" t="n">
        <x:v>1</x:v>
      </x:c>
      <x:c r="AA1833" s="19"/>
      <x:c r="AB1833" s="18"/>
      <x:c r="AC1833" s="19"/>
    </x:row>
    <x:row r="1834" ht="28" customHeight="1">
      <x:c r="A1834" s="18" t="str">
        <x:v>花小金井</x:v>
      </x:c>
      <x:c r="B1834" s="18" t="str">
        <x:v>西武鉄道</x:v>
      </x:c>
      <x:c r="C1834" s="18" t="str">
        <x:v>private_rail</x:v>
      </x:c>
      <x:c r="D1834" s="19" t="str">
        <x:v>T1</x:v>
      </x:c>
      <x:c r="E1834" s="20" t="n">
        <x:v>54491</x:v>
      </x:c>
      <x:c r="F1834" s="18" t="str">
        <x:v>persons/day</x:v>
      </x:c>
      <x:c r="G1834" s="18" t="str">
        <x:v>FY2024</x:v>
      </x:c>
      <x:c r="H1834" s="18" t="str">
        <x:v>否</x:v>
      </x:c>
      <x:c r="I1834" s="19" t="str">
        <x:v>DAILY_ENTRIES_EXITS</x:v>
      </x:c>
      <x:c r="J1834" s="19" t="str">
        <x:v>新宿線</x:v>
      </x:c>
      <x:c r="K1834" s="18" t="str">
        <x:v>transport-node:e6d4f638-32d5-5141-bd9c-1bae6d7ad8da</x:v>
      </x:c>
      <x:c r="L1834" s="19" t="str">
        <x:v>组件待审核</x:v>
      </x:c>
      <x:c r="M1834" s="21" t="n">
        <x:v>35.726145</x:v>
      </x:c>
      <x:c r="N1834" s="21" t="n">
        <x:v>139.51332</x:v>
      </x:c>
      <x:c r="O1834" s="18" t="str">
        <x:v>003430</x:v>
      </x:c>
      <x:c r="P1834" s="18" t="str">
        <x:v>新宿線</x:v>
      </x:c>
      <x:c r="Q1834" s="19" t="str">
        <x:v>S12_061_GE_10000</x:v>
      </x:c>
      <x:c r="R1834" s="19" t="str">
        <x:v>S12_061 usage threshold</x:v>
      </x:c>
      <x:c r="S1834" s="19" t="str">
        <x:v>https://nlftp.mlit.go.jp/ksj/gml/datalist/KsjTmplt-S12-2024.html</x:v>
      </x:c>
      <x:c r="T1834" s="19" t="str">
        <x:v>https://nlftp.mlit.go.jp/ksj/gml/datalist/KsjTmplt-S12-2024.html</x:v>
      </x:c>
      <x:c r="U1834" s="19" t="str">
        <x:v>station-component|花小金井|西武鉄道|private_rail|35.7261|139.5133|</x:v>
      </x:c>
      <x:c r="V1834" s="19" t="str">
        <x:v>003430 / 003430 / 新宿線</x:v>
      </x:c>
      <x:c r="W1834" s="18" t="str">
        <x:v>否</x:v>
      </x:c>
      <x:c r="X1834" s="18" t="str">
        <x:v>0785e932a32b3ec15e1a1345537ae145eafe1c07bf38d5c16c11ee2b391e7a28</x:v>
      </x:c>
      <x:c r="Y1834" s="20" t="n">
        <x:v>1</x:v>
      </x:c>
      <x:c r="Z1834" s="20" t="n">
        <x:v>1</x:v>
      </x:c>
      <x:c r="AA1834" s="19"/>
      <x:c r="AB1834" s="18"/>
      <x:c r="AC1834" s="19"/>
    </x:row>
    <x:row r="1835" ht="28" customHeight="1">
      <x:c r="A1835" s="18" t="str">
        <x:v>苗穂</x:v>
      </x:c>
      <x:c r="B1835" s="18" t="str">
        <x:v>北海道旅客鉄道</x:v>
      </x:c>
      <x:c r="C1835" s="18" t="str">
        <x:v>conventional_rail</x:v>
      </x:c>
      <x:c r="D1835" s="19" t="str">
        <x:v>T2</x:v>
      </x:c>
      <x:c r="E1835" s="20" t="n">
        <x:v>12202</x:v>
      </x:c>
      <x:c r="F1835" s="18" t="str">
        <x:v>persons/day</x:v>
      </x:c>
      <x:c r="G1835" s="18" t="str">
        <x:v>FY2024</x:v>
      </x:c>
      <x:c r="H1835" s="18" t="str">
        <x:v>否</x:v>
      </x:c>
      <x:c r="I1835" s="19" t="str">
        <x:v>DAILY_ENTRIES_EXITS</x:v>
      </x:c>
      <x:c r="J1835" s="19" t="str">
        <x:v>函館線</x:v>
      </x:c>
      <x:c r="K1835" s="18" t="str">
        <x:v>transport-node:51208f1f-48ab-5d23-b078-7e29666ef9fe</x:v>
      </x:c>
      <x:c r="L1835" s="19" t="str">
        <x:v>组件待审核</x:v>
      </x:c>
      <x:c r="M1835" s="21" t="n">
        <x:v>43.0685968</x:v>
      </x:c>
      <x:c r="N1835" s="21" t="n">
        <x:v>141.373705</x:v>
      </x:c>
      <x:c r="O1835" s="18" t="str">
        <x:v>000226</x:v>
      </x:c>
      <x:c r="P1835" s="18" t="str">
        <x:v>函館線</x:v>
      </x:c>
      <x:c r="Q1835" s="19" t="str">
        <x:v>S12_061_GE_10000</x:v>
      </x:c>
      <x:c r="R1835" s="19" t="str">
        <x:v>S12_061 usage threshold</x:v>
      </x:c>
      <x:c r="S1835" s="19" t="str">
        <x:v>https://nlftp.mlit.go.jp/ksj/gml/datalist/KsjTmplt-S12-2024.html</x:v>
      </x:c>
      <x:c r="T1835" s="19" t="str">
        <x:v>https://nlftp.mlit.go.jp/ksj/gml/datalist/KsjTmplt-S12-2024.html</x:v>
      </x:c>
      <x:c r="U1835" s="19" t="str">
        <x:v>station-component|苗穂|北海道旅客鉄道|conventional_rail|43.0686|141.3737|</x:v>
      </x:c>
      <x:c r="V1835" s="19" t="str">
        <x:v>000226 / 000226 / 函館線</x:v>
      </x:c>
      <x:c r="W1835" s="18" t="str">
        <x:v>否</x:v>
      </x:c>
      <x:c r="X1835" s="18" t="str">
        <x:v>0785e932a32b3ec15e1a1345537ae145eafe1c07bf38d5c16c11ee2b391e7a28</x:v>
      </x:c>
      <x:c r="Y1835" s="20" t="n">
        <x:v>1</x:v>
      </x:c>
      <x:c r="Z1835" s="20" t="n">
        <x:v>1</x:v>
      </x:c>
      <x:c r="AA1835" s="19"/>
      <x:c r="AB1835" s="18"/>
      <x:c r="AC1835" s="19"/>
    </x:row>
    <x:row r="1836" ht="28" customHeight="1">
      <x:c r="A1836" s="18" t="str">
        <x:v>若松河田</x:v>
      </x:c>
      <x:c r="B1836" s="18" t="str">
        <x:v>東京都</x:v>
      </x:c>
      <x:c r="C1836" s="18" t="str">
        <x:v>metro</x:v>
      </x:c>
      <x:c r="D1836" s="19" t="str">
        <x:v>T2</x:v>
      </x:c>
      <x:c r="E1836" s="20" t="n">
        <x:v>28849</x:v>
      </x:c>
      <x:c r="F1836" s="18" t="str">
        <x:v>persons/day</x:v>
      </x:c>
      <x:c r="G1836" s="18" t="str">
        <x:v>FY2024</x:v>
      </x:c>
      <x:c r="H1836" s="18" t="str">
        <x:v>否</x:v>
      </x:c>
      <x:c r="I1836" s="19" t="str">
        <x:v>DAILY_ENTRIES_EXITS</x:v>
      </x:c>
      <x:c r="J1836" s="19" t="str">
        <x:v>12号線大江戸線</x:v>
      </x:c>
      <x:c r="K1836" s="18" t="str">
        <x:v>transport-node:8a2eded2-e3f9-5ff6-8e2d-10c2b729abca</x:v>
      </x:c>
      <x:c r="L1836" s="19" t="str">
        <x:v>组件待审核</x:v>
      </x:c>
      <x:c r="M1836" s="21" t="n">
        <x:v>35.699165</x:v>
      </x:c>
      <x:c r="N1836" s="21" t="n">
        <x:v>139.718185</x:v>
      </x:c>
      <x:c r="O1836" s="18" t="str">
        <x:v>003623</x:v>
      </x:c>
      <x:c r="P1836" s="18" t="str">
        <x:v>12号線大江戸線</x:v>
      </x:c>
      <x:c r="Q1836" s="19" t="str">
        <x:v>S12_061_GE_10000</x:v>
      </x:c>
      <x:c r="R1836" s="19" t="str">
        <x:v>S12_061 usage threshold</x:v>
      </x:c>
      <x:c r="S1836" s="19" t="str">
        <x:v>https://nlftp.mlit.go.jp/ksj/gml/datalist/KsjTmplt-S12-2024.html</x:v>
      </x:c>
      <x:c r="T1836" s="19" t="str">
        <x:v>https://nlftp.mlit.go.jp/ksj/gml/datalist/KsjTmplt-S12-2024.html</x:v>
      </x:c>
      <x:c r="U1836" s="19" t="str">
        <x:v>station-component|若松河田|東京都|metro|35.6992|139.7182|</x:v>
      </x:c>
      <x:c r="V1836" s="19" t="str">
        <x:v>003623 / 003623 / 12号線大江戸線</x:v>
      </x:c>
      <x:c r="W1836" s="18" t="str">
        <x:v>否</x:v>
      </x:c>
      <x:c r="X1836" s="18" t="str">
        <x:v>0785e932a32b3ec15e1a1345537ae145eafe1c07bf38d5c16c11ee2b391e7a28</x:v>
      </x:c>
      <x:c r="Y1836" s="20" t="n">
        <x:v>1</x:v>
      </x:c>
      <x:c r="Z1836" s="20" t="n">
        <x:v>1</x:v>
      </x:c>
      <x:c r="AA1836" s="19"/>
      <x:c r="AB1836" s="18"/>
      <x:c r="AC1836" s="19"/>
    </x:row>
    <x:row r="1837" ht="28" customHeight="1">
      <x:c r="A1837" s="18" t="str">
        <x:v>若江岩田</x:v>
      </x:c>
      <x:c r="B1837" s="18" t="str">
        <x:v>近畿日本鉄道</x:v>
      </x:c>
      <x:c r="C1837" s="18" t="str">
        <x:v>private_rail</x:v>
      </x:c>
      <x:c r="D1837" s="19" t="str">
        <x:v>T2</x:v>
      </x:c>
      <x:c r="E1837" s="20" t="n">
        <x:v>15540</x:v>
      </x:c>
      <x:c r="F1837" s="18" t="str">
        <x:v>persons/day</x:v>
      </x:c>
      <x:c r="G1837" s="18" t="str">
        <x:v>FY2024</x:v>
      </x:c>
      <x:c r="H1837" s="18" t="str">
        <x:v>否</x:v>
      </x:c>
      <x:c r="I1837" s="19" t="str">
        <x:v>DAILY_ENTRIES_EXITS</x:v>
      </x:c>
      <x:c r="J1837" s="19" t="str">
        <x:v>奈良線</x:v>
      </x:c>
      <x:c r="K1837" s="18" t="str">
        <x:v>transport-node:9de53bed-c877-58b6-aae6-c291d05da038</x:v>
      </x:c>
      <x:c r="L1837" s="19" t="str">
        <x:v>组件待审核</x:v>
      </x:c>
      <x:c r="M1837" s="21" t="n">
        <x:v>34.66311</x:v>
      </x:c>
      <x:c r="N1837" s="21" t="n">
        <x:v>135.608355</x:v>
      </x:c>
      <x:c r="O1837" s="18" t="str">
        <x:v>007354</x:v>
      </x:c>
      <x:c r="P1837" s="18" t="str">
        <x:v>奈良線</x:v>
      </x:c>
      <x:c r="Q1837" s="19" t="str">
        <x:v>S12_061_GE_10000</x:v>
      </x:c>
      <x:c r="R1837" s="19" t="str">
        <x:v>S12_061 usage threshold</x:v>
      </x:c>
      <x:c r="S1837" s="19" t="str">
        <x:v>https://nlftp.mlit.go.jp/ksj/gml/datalist/KsjTmplt-S12-2024.html</x:v>
      </x:c>
      <x:c r="T1837" s="19" t="str">
        <x:v>https://nlftp.mlit.go.jp/ksj/gml/datalist/KsjTmplt-S12-2024.html</x:v>
      </x:c>
      <x:c r="U1837" s="19" t="str">
        <x:v>station-component|若江岩田|近畿日本鉄道|private_rail|34.6631|135.6084|</x:v>
      </x:c>
      <x:c r="V1837" s="19" t="str">
        <x:v>007354 / 007354 / 奈良線</x:v>
      </x:c>
      <x:c r="W1837" s="18" t="str">
        <x:v>否</x:v>
      </x:c>
      <x:c r="X1837" s="18" t="str">
        <x:v>0785e932a32b3ec15e1a1345537ae145eafe1c07bf38d5c16c11ee2b391e7a28</x:v>
      </x:c>
      <x:c r="Y1837" s="20" t="n">
        <x:v>1</x:v>
      </x:c>
      <x:c r="Z1837" s="20" t="n">
        <x:v>1</x:v>
      </x:c>
      <x:c r="AA1837" s="19"/>
      <x:c r="AB1837" s="18"/>
      <x:c r="AC1837" s="19"/>
    </x:row>
    <x:row r="1838" ht="28" customHeight="1">
      <x:c r="A1838" s="18" t="str">
        <x:v>若葉</x:v>
      </x:c>
      <x:c r="B1838" s="18" t="str">
        <x:v>東武鉄道</x:v>
      </x:c>
      <x:c r="C1838" s="18" t="str">
        <x:v>private_rail</x:v>
      </x:c>
      <x:c r="D1838" s="19" t="str">
        <x:v>T2</x:v>
      </x:c>
      <x:c r="E1838" s="20" t="n">
        <x:v>34699</x:v>
      </x:c>
      <x:c r="F1838" s="18" t="str">
        <x:v>persons/day</x:v>
      </x:c>
      <x:c r="G1838" s="18" t="str">
        <x:v>FY2024</x:v>
      </x:c>
      <x:c r="H1838" s="18" t="str">
        <x:v>否</x:v>
      </x:c>
      <x:c r="I1838" s="19" t="str">
        <x:v>DAILY_ENTRIES_EXITS</x:v>
      </x:c>
      <x:c r="J1838" s="19" t="str">
        <x:v>東上本線</x:v>
      </x:c>
      <x:c r="K1838" s="18" t="str">
        <x:v>transport-node:8e4170ec-ff55-52f9-ad46-46d46f389622</x:v>
      </x:c>
      <x:c r="L1838" s="19" t="str">
        <x:v>组件待审核</x:v>
      </x:c>
      <x:c r="M1838" s="21" t="n">
        <x:v>35.9490733</x:v>
      </x:c>
      <x:c r="N1838" s="21" t="n">
        <x:v>139.4084867</x:v>
      </x:c>
      <x:c r="O1838" s="18" t="str">
        <x:v>002837</x:v>
      </x:c>
      <x:c r="P1838" s="18" t="str">
        <x:v>東上本線</x:v>
      </x:c>
      <x:c r="Q1838" s="19" t="str">
        <x:v>S12_061_GE_10000</x:v>
      </x:c>
      <x:c r="R1838" s="19" t="str">
        <x:v>S12_061 usage threshold</x:v>
      </x:c>
      <x:c r="S1838" s="19" t="str">
        <x:v>https://nlftp.mlit.go.jp/ksj/gml/datalist/KsjTmplt-S12-2024.html</x:v>
      </x:c>
      <x:c r="T1838" s="19" t="str">
        <x:v>https://nlftp.mlit.go.jp/ksj/gml/datalist/KsjTmplt-S12-2024.html</x:v>
      </x:c>
      <x:c r="U1838" s="19" t="str">
        <x:v>station-component|若葉|東武鉄道|private_rail|35.9491|139.4085|</x:v>
      </x:c>
      <x:c r="V1838" s="19" t="str">
        <x:v>002837 / 002837 / 東上本線</x:v>
      </x:c>
      <x:c r="W1838" s="18" t="str">
        <x:v>否</x:v>
      </x:c>
      <x:c r="X1838" s="18" t="str">
        <x:v>0785e932a32b3ec15e1a1345537ae145eafe1c07bf38d5c16c11ee2b391e7a28</x:v>
      </x:c>
      <x:c r="Y1838" s="20" t="n">
        <x:v>1</x:v>
      </x:c>
      <x:c r="Z1838" s="20" t="n">
        <x:v>1</x:v>
      </x:c>
      <x:c r="AA1838" s="19"/>
      <x:c r="AB1838" s="18"/>
      <x:c r="AC1838" s="19"/>
    </x:row>
    <x:row r="1839" ht="28" customHeight="1">
      <x:c r="A1839" s="18" t="str">
        <x:v>若葉台</x:v>
      </x:c>
      <x:c r="B1839" s="18" t="str">
        <x:v>京王電鉄</x:v>
      </x:c>
      <x:c r="C1839" s="18" t="str">
        <x:v>private_rail</x:v>
      </x:c>
      <x:c r="D1839" s="19" t="str">
        <x:v>T2</x:v>
      </x:c>
      <x:c r="E1839" s="20" t="n">
        <x:v>23893</x:v>
      </x:c>
      <x:c r="F1839" s="18" t="str">
        <x:v>persons/day</x:v>
      </x:c>
      <x:c r="G1839" s="18" t="str">
        <x:v>FY2024</x:v>
      </x:c>
      <x:c r="H1839" s="18" t="str">
        <x:v>否</x:v>
      </x:c>
      <x:c r="I1839" s="19" t="str">
        <x:v>DAILY_ENTRIES_EXITS</x:v>
      </x:c>
      <x:c r="J1839" s="19" t="str">
        <x:v>相模原線</x:v>
      </x:c>
      <x:c r="K1839" s="18" t="str">
        <x:v>transport-node:772182bc-c7dc-54ea-9d86-9115a7cf573b</x:v>
      </x:c>
      <x:c r="L1839" s="19" t="str">
        <x:v>组件待审核</x:v>
      </x:c>
      <x:c r="M1839" s="21" t="n">
        <x:v>35.619365</x:v>
      </x:c>
      <x:c r="N1839" s="21" t="n">
        <x:v>139.47234</x:v>
      </x:c>
      <x:c r="O1839" s="18" t="str">
        <x:v>004139</x:v>
      </x:c>
      <x:c r="P1839" s="18" t="str">
        <x:v>相模原線</x:v>
      </x:c>
      <x:c r="Q1839" s="19" t="str">
        <x:v>S12_061_GE_10000</x:v>
      </x:c>
      <x:c r="R1839" s="19" t="str">
        <x:v>S12_061 usage threshold</x:v>
      </x:c>
      <x:c r="S1839" s="19" t="str">
        <x:v>https://nlftp.mlit.go.jp/ksj/gml/datalist/KsjTmplt-S12-2024.html</x:v>
      </x:c>
      <x:c r="T1839" s="19" t="str">
        <x:v>https://nlftp.mlit.go.jp/ksj/gml/datalist/KsjTmplt-S12-2024.html</x:v>
      </x:c>
      <x:c r="U1839" s="19" t="str">
        <x:v>station-component|若葉台|京王電鉄|private_rail|35.6194|139.4723|</x:v>
      </x:c>
      <x:c r="V1839" s="19" t="str">
        <x:v>004139 / 004139 / 相模原線</x:v>
      </x:c>
      <x:c r="W1839" s="18" t="str">
        <x:v>否</x:v>
      </x:c>
      <x:c r="X1839" s="18" t="str">
        <x:v>0785e932a32b3ec15e1a1345537ae145eafe1c07bf38d5c16c11ee2b391e7a28</x:v>
      </x:c>
      <x:c r="Y1839" s="20" t="n">
        <x:v>1</x:v>
      </x:c>
      <x:c r="Z1839" s="20" t="n">
        <x:v>1</x:v>
      </x:c>
      <x:c r="AA1839" s="19"/>
      <x:c r="AB1839" s="18"/>
      <x:c r="AC1839" s="19"/>
    </x:row>
    <x:row r="1840" ht="28" customHeight="1">
      <x:c r="A1840" s="18" t="str">
        <x:v>苦楽園口</x:v>
      </x:c>
      <x:c r="B1840" s="18" t="str">
        <x:v>阪急電鉄</x:v>
      </x:c>
      <x:c r="C1840" s="18" t="str">
        <x:v>private_rail</x:v>
      </x:c>
      <x:c r="D1840" s="19" t="str">
        <x:v>T2</x:v>
      </x:c>
      <x:c r="E1840" s="20" t="n">
        <x:v>11292</x:v>
      </x:c>
      <x:c r="F1840" s="18" t="str">
        <x:v>persons/day</x:v>
      </x:c>
      <x:c r="G1840" s="18" t="str">
        <x:v>FY2024</x:v>
      </x:c>
      <x:c r="H1840" s="18" t="str">
        <x:v>否</x:v>
      </x:c>
      <x:c r="I1840" s="19" t="str">
        <x:v>DAILY_ENTRIES_EXITS</x:v>
      </x:c>
      <x:c r="J1840" s="19" t="str">
        <x:v>甲陽線</x:v>
      </x:c>
      <x:c r="K1840" s="18" t="str">
        <x:v>transport-node:76ebad73-844d-52ba-b07b-9f3254c31c33</x:v>
      </x:c>
      <x:c r="L1840" s="19" t="str">
        <x:v>组件待审核</x:v>
      </x:c>
      <x:c r="M1840" s="21" t="n">
        <x:v>34.75006</x:v>
      </x:c>
      <x:c r="N1840" s="21" t="n">
        <x:v>135.32894</x:v>
      </x:c>
      <x:c r="O1840" s="18" t="str">
        <x:v>006834</x:v>
      </x:c>
      <x:c r="P1840" s="18" t="str">
        <x:v>甲陽線</x:v>
      </x:c>
      <x:c r="Q1840" s="19" t="str">
        <x:v>S12_061_GE_10000</x:v>
      </x:c>
      <x:c r="R1840" s="19" t="str">
        <x:v>S12_061 usage threshold</x:v>
      </x:c>
      <x:c r="S1840" s="19" t="str">
        <x:v>https://nlftp.mlit.go.jp/ksj/gml/datalist/KsjTmplt-S12-2024.html</x:v>
      </x:c>
      <x:c r="T1840" s="19" t="str">
        <x:v>https://nlftp.mlit.go.jp/ksj/gml/datalist/KsjTmplt-S12-2024.html</x:v>
      </x:c>
      <x:c r="U1840" s="19" t="str">
        <x:v>station-component|苦楽園口|阪急電鉄|private_rail|34.7501|135.3289|</x:v>
      </x:c>
      <x:c r="V1840" s="19" t="str">
        <x:v>006834 / 006834 / 甲陽線</x:v>
      </x:c>
      <x:c r="W1840" s="18" t="str">
        <x:v>否</x:v>
      </x:c>
      <x:c r="X1840" s="18" t="str">
        <x:v>0785e932a32b3ec15e1a1345537ae145eafe1c07bf38d5c16c11ee2b391e7a28</x:v>
      </x:c>
      <x:c r="Y1840" s="20" t="n">
        <x:v>1</x:v>
      </x:c>
      <x:c r="Z1840" s="20" t="n">
        <x:v>1</x:v>
      </x:c>
      <x:c r="AA1840" s="19"/>
      <x:c r="AB1840" s="18"/>
      <x:c r="AC1840" s="19"/>
    </x:row>
    <x:row r="1841" ht="28" customHeight="1">
      <x:c r="A1841" s="18" t="str">
        <x:v>茂原</x:v>
      </x:c>
      <x:c r="B1841" s="18" t="str">
        <x:v>東日本旅客鉄道</x:v>
      </x:c>
      <x:c r="C1841" s="18" t="str">
        <x:v>conventional_rail</x:v>
      </x:c>
      <x:c r="D1841" s="19" t="str">
        <x:v>T2</x:v>
      </x:c>
      <x:c r="E1841" s="20" t="n">
        <x:v>18566</x:v>
      </x:c>
      <x:c r="F1841" s="18" t="str">
        <x:v>persons/day</x:v>
      </x:c>
      <x:c r="G1841" s="18" t="str">
        <x:v>FY2024</x:v>
      </x:c>
      <x:c r="H1841" s="18" t="str">
        <x:v>否</x:v>
      </x:c>
      <x:c r="I1841" s="19" t="str">
        <x:v>DAILY_ENTRIES_EXITS</x:v>
      </x:c>
      <x:c r="J1841" s="19" t="str">
        <x:v>外房線</x:v>
      </x:c>
      <x:c r="K1841" s="18" t="str">
        <x:v>transport-node:7f68e673-99dc-5ee5-b8e7-521e83de0053</x:v>
      </x:c>
      <x:c r="L1841" s="19" t="str">
        <x:v>组件待审核</x:v>
      </x:c>
      <x:c r="M1841" s="21" t="n">
        <x:v>35.42683</x:v>
      </x:c>
      <x:c r="N1841" s="21" t="n">
        <x:v>140.30407</x:v>
      </x:c>
      <x:c r="O1841" s="18" t="str">
        <x:v>004751</x:v>
      </x:c>
      <x:c r="P1841" s="18" t="str">
        <x:v>外房線</x:v>
      </x:c>
      <x:c r="Q1841" s="19" t="str">
        <x:v>S12_061_GE_10000</x:v>
      </x:c>
      <x:c r="R1841" s="19" t="str">
        <x:v>S12_061 usage threshold</x:v>
      </x:c>
      <x:c r="S1841" s="19" t="str">
        <x:v>https://nlftp.mlit.go.jp/ksj/gml/datalist/KsjTmplt-S12-2024.html</x:v>
      </x:c>
      <x:c r="T1841" s="19" t="str">
        <x:v>https://nlftp.mlit.go.jp/ksj/gml/datalist/KsjTmplt-S12-2024.html</x:v>
      </x:c>
      <x:c r="U1841" s="19" t="str">
        <x:v>station-component|茂原|東日本旅客鉄道|conventional_rail|35.4268|140.3041|</x:v>
      </x:c>
      <x:c r="V1841" s="19" t="str">
        <x:v>004751 / 004751 / 外房線</x:v>
      </x:c>
      <x:c r="W1841" s="18" t="str">
        <x:v>否</x:v>
      </x:c>
      <x:c r="X1841" s="18" t="str">
        <x:v>0785e932a32b3ec15e1a1345537ae145eafe1c07bf38d5c16c11ee2b391e7a28</x:v>
      </x:c>
      <x:c r="Y1841" s="20" t="n">
        <x:v>1</x:v>
      </x:c>
      <x:c r="Z1841" s="20" t="n">
        <x:v>1</x:v>
      </x:c>
      <x:c r="AA1841" s="19"/>
      <x:c r="AB1841" s="18"/>
      <x:c r="AC1841" s="19"/>
    </x:row>
    <x:row r="1842" ht="33" customHeight="1">
      <x:c r="A1842" s="18" t="str">
        <x:v>茅ヶ崎</x:v>
      </x:c>
      <x:c r="B1842" s="18" t="str">
        <x:v>東日本旅客鉄道</x:v>
      </x:c>
      <x:c r="C1842" s="18" t="str">
        <x:v>conventional_rail</x:v>
      </x:c>
      <x:c r="D1842" s="19" t="str">
        <x:v>T1</x:v>
      </x:c>
      <x:c r="E1842" s="20" t="n">
        <x:v>104686</x:v>
      </x:c>
      <x:c r="F1842" s="18" t="str">
        <x:v>persons/day</x:v>
      </x:c>
      <x:c r="G1842" s="18" t="str">
        <x:v>FY2024</x:v>
      </x:c>
      <x:c r="H1842" s="18" t="str">
        <x:v>否</x:v>
      </x:c>
      <x:c r="I1842" s="19" t="str">
        <x:v>DAILY_ENTRIES_EXITS</x:v>
      </x:c>
      <x:c r="J1842" s="19" t="str">
        <x:v>東海道線
相模線</x:v>
      </x:c>
      <x:c r="K1842" s="18" t="str">
        <x:v>transport-node:b2a96155-102e-53c7-a7ed-5682d3556333</x:v>
      </x:c>
      <x:c r="L1842" s="19" t="str">
        <x:v>组件待审核</x:v>
      </x:c>
      <x:c r="M1842" s="21" t="n">
        <x:v>35.33042</x:v>
      </x:c>
      <x:c r="N1842" s="21" t="n">
        <x:v>139.4073825</x:v>
      </x:c>
      <x:c r="O1842" s="18" t="str">
        <x:v>005024</x:v>
      </x:c>
      <x:c r="P1842" s="18" t="str">
        <x:v>東海道線</x:v>
      </x:c>
      <x:c r="Q1842" s="19" t="str">
        <x:v>S12_061_GE_10000</x:v>
      </x:c>
      <x:c r="R1842" s="19" t="str">
        <x:v>S12_061 usage threshold</x:v>
      </x:c>
      <x:c r="S1842" s="19" t="str">
        <x:v>https://nlftp.mlit.go.jp/ksj/gml/datalist/KsjTmplt-S12-2024.html</x:v>
      </x:c>
      <x:c r="T1842" s="19" t="str">
        <x:v>https://nlftp.mlit.go.jp/ksj/gml/datalist/KsjTmplt-S12-2024.html</x:v>
      </x:c>
      <x:c r="U1842" s="19" t="str">
        <x:v>station-component|茅ヶ崎|東日本旅客鉄道|conventional_rail|35.3304|139.4074|</x:v>
      </x:c>
      <x:c r="V1842" s="19" t="str">
        <x:v>005023 / 005023 / 相模線
005023 / 005024 / 東海道線</x:v>
      </x:c>
      <x:c r="W1842" s="18" t="str">
        <x:v>否</x:v>
      </x:c>
      <x:c r="X1842" s="18" t="str">
        <x:v>0785e932a32b3ec15e1a1345537ae145eafe1c07bf38d5c16c11ee2b391e7a28</x:v>
      </x:c>
      <x:c r="Y1842" s="20" t="n">
        <x:v>1</x:v>
      </x:c>
      <x:c r="Z1842" s="20" t="n">
        <x:v>1</x:v>
      </x:c>
      <x:c r="AA1842" s="19"/>
      <x:c r="AB1842" s="18"/>
      <x:c r="AC1842" s="19"/>
    </x:row>
    <x:row r="1843" ht="33" customHeight="1">
      <x:c r="A1843" s="18" t="str">
        <x:v>茅場町</x:v>
      </x:c>
      <x:c r="B1843" s="18" t="str">
        <x:v>東京地下鉄</x:v>
      </x:c>
      <x:c r="C1843" s="18" t="str">
        <x:v>metro</x:v>
      </x:c>
      <x:c r="D1843" s="19" t="str">
        <x:v>T1</x:v>
      </x:c>
      <x:c r="E1843" s="20" t="n">
        <x:v>112343</x:v>
      </x:c>
      <x:c r="F1843" s="18" t="str">
        <x:v>persons/day</x:v>
      </x:c>
      <x:c r="G1843" s="18" t="str">
        <x:v>FY2024</x:v>
      </x:c>
      <x:c r="H1843" s="18" t="str">
        <x:v>否</x:v>
      </x:c>
      <x:c r="I1843" s="19" t="str">
        <x:v>DAILY_ENTRIES_EXITS</x:v>
      </x:c>
      <x:c r="J1843" s="19" t="str">
        <x:v>2号線日比谷線
5号線東西線</x:v>
      </x:c>
      <x:c r="K1843" s="18" t="str">
        <x:v>transport-node:28e3b324-2f73-5a9c-aede-e4ab5fc1ce6e</x:v>
      </x:c>
      <x:c r="L1843" s="19" t="str">
        <x:v>组件待审核</x:v>
      </x:c>
      <x:c r="M1843" s="21" t="n">
        <x:v>35.68032</x:v>
      </x:c>
      <x:c r="N1843" s="21" t="n">
        <x:v>139.7793367</x:v>
      </x:c>
      <x:c r="O1843" s="18" t="str">
        <x:v>003773</x:v>
      </x:c>
      <x:c r="P1843" s="18" t="str">
        <x:v>5号線東西線</x:v>
      </x:c>
      <x:c r="Q1843" s="19" t="str">
        <x:v>S12_061_GE_10000
OFFICIAL_HUB_COMPONENT_REVIEW</x:v>
      </x:c>
      <x:c r="R1843" s="19" t="str">
        <x:v>S12_061 usage threshold</x:v>
      </x:c>
      <x:c r="S1843" s="19" t="str">
        <x:v>https://nlftp.mlit.go.jp/ksj/gml/datalist/KsjTmplt-S12-2024.html</x:v>
      </x:c>
      <x:c r="T1843" s="19" t="str">
        <x:v>https://nlftp.mlit.go.jp/ksj/gml/datalist/KsjTmplt-S12-2024.html
https://www.tokyometro.jp/station/kayabacho/index.html</x:v>
      </x:c>
      <x:c r="U1843" s="19" t="str">
        <x:v>station-component|茅場町|東京地下鉄|metro|35.6803|139.7793|</x:v>
      </x:c>
      <x:c r="V1843" s="19" t="str">
        <x:v>003773 / 003773 / 5号線東西線
003773 / 003776 / 2号線日比谷線</x:v>
      </x:c>
      <x:c r="W1843" s="18" t="str">
        <x:v>否</x:v>
      </x:c>
      <x:c r="X1843" s="18" t="str">
        <x:v>0785e932a32b3ec15e1a1345537ae145eafe1c07bf38d5c16c11ee2b391e7a28</x:v>
      </x:c>
      <x:c r="Y1843" s="20" t="n">
        <x:v>1</x:v>
      </x:c>
      <x:c r="Z1843" s="20" t="n">
        <x:v>1</x:v>
      </x:c>
      <x:c r="AA1843" s="19" t="str">
        <x:v>茅場町</x:v>
      </x:c>
      <x:c r="AB1843" s="18" t="str">
        <x:v>transport-hub-review:710269f3-2ca5-5271-b3a4-d08d27f2ce9f</x:v>
      </x:c>
      <x:c r="AC1843" s="19"/>
    </x:row>
    <x:row r="1844" ht="28" customHeight="1">
      <x:c r="A1844" s="18" t="str">
        <x:v>茗荷谷</x:v>
      </x:c>
      <x:c r="B1844" s="18" t="str">
        <x:v>東京地下鉄</x:v>
      </x:c>
      <x:c r="C1844" s="18" t="str">
        <x:v>metro</x:v>
      </x:c>
      <x:c r="D1844" s="19" t="str">
        <x:v>T1</x:v>
      </x:c>
      <x:c r="E1844" s="20" t="n">
        <x:v>78606</x:v>
      </x:c>
      <x:c r="F1844" s="18" t="str">
        <x:v>persons/day</x:v>
      </x:c>
      <x:c r="G1844" s="18" t="str">
        <x:v>FY2024</x:v>
      </x:c>
      <x:c r="H1844" s="18" t="str">
        <x:v>否</x:v>
      </x:c>
      <x:c r="I1844" s="19" t="str">
        <x:v>DAILY_ENTRIES_EXITS</x:v>
      </x:c>
      <x:c r="J1844" s="19" t="str">
        <x:v>4号線丸ノ内線</x:v>
      </x:c>
      <x:c r="K1844" s="18" t="str">
        <x:v>transport-node:17402ab8-770c-5510-a8bc-dbabd4e63bad</x:v>
      </x:c>
      <x:c r="L1844" s="19" t="str">
        <x:v>组件待审核</x:v>
      </x:c>
      <x:c r="M1844" s="21" t="n">
        <x:v>35.7172</x:v>
      </x:c>
      <x:c r="N1844" s="21" t="n">
        <x:v>139.736895</x:v>
      </x:c>
      <x:c r="O1844" s="18" t="str">
        <x:v>003484</x:v>
      </x:c>
      <x:c r="P1844" s="18" t="str">
        <x:v>4号線丸ノ内線</x:v>
      </x:c>
      <x:c r="Q1844" s="19" t="str">
        <x:v>S12_061_GE_10000</x:v>
      </x:c>
      <x:c r="R1844" s="19" t="str">
        <x:v>S12_061 usage threshold</x:v>
      </x:c>
      <x:c r="S1844" s="19" t="str">
        <x:v>https://nlftp.mlit.go.jp/ksj/gml/datalist/KsjTmplt-S12-2024.html</x:v>
      </x:c>
      <x:c r="T1844" s="19" t="str">
        <x:v>https://nlftp.mlit.go.jp/ksj/gml/datalist/KsjTmplt-S12-2024.html</x:v>
      </x:c>
      <x:c r="U1844" s="19" t="str">
        <x:v>station-component|茗荷谷|東京地下鉄|metro|35.7172|139.7369|</x:v>
      </x:c>
      <x:c r="V1844" s="19" t="str">
        <x:v>003484 / 003484 / 4号線丸ノ内線</x:v>
      </x:c>
      <x:c r="W1844" s="18" t="str">
        <x:v>否</x:v>
      </x:c>
      <x:c r="X1844" s="18" t="str">
        <x:v>0785e932a32b3ec15e1a1345537ae145eafe1c07bf38d5c16c11ee2b391e7a28</x:v>
      </x:c>
      <x:c r="Y1844" s="20" t="n">
        <x:v>1</x:v>
      </x:c>
      <x:c r="Z1844" s="20" t="n">
        <x:v>1</x:v>
      </x:c>
      <x:c r="AA1844" s="19"/>
      <x:c r="AB1844" s="18"/>
      <x:c r="AC1844" s="19"/>
    </x:row>
    <x:row r="1845" ht="28" customHeight="1">
      <x:c r="A1845" s="18" t="str">
        <x:v>茨木</x:v>
      </x:c>
      <x:c r="B1845" s="18" t="str">
        <x:v>西日本旅客鉄道</x:v>
      </x:c>
      <x:c r="C1845" s="18" t="str">
        <x:v>conventional_rail</x:v>
      </x:c>
      <x:c r="D1845" s="19" t="str">
        <x:v>T1</x:v>
      </x:c>
      <x:c r="E1845" s="20" t="n">
        <x:v>91038</x:v>
      </x:c>
      <x:c r="F1845" s="18" t="str">
        <x:v>persons/day</x:v>
      </x:c>
      <x:c r="G1845" s="18" t="str">
        <x:v>FY2024</x:v>
      </x:c>
      <x:c r="H1845" s="18" t="str">
        <x:v>否</x:v>
      </x:c>
      <x:c r="I1845" s="19" t="str">
        <x:v>DAILY_ENTRIES_EXITS</x:v>
      </x:c>
      <x:c r="J1845" s="19" t="str">
        <x:v>東海道線</x:v>
      </x:c>
      <x:c r="K1845" s="18" t="str">
        <x:v>transport-node:a50e2c7b-ebe2-5ed8-9d7d-56d57deca82a</x:v>
      </x:c>
      <x:c r="L1845" s="19" t="str">
        <x:v>组件待审核</x:v>
      </x:c>
      <x:c r="M1845" s="21" t="n">
        <x:v>34.815078</x:v>
      </x:c>
      <x:c r="N1845" s="21" t="n">
        <x:v>135.562072</x:v>
      </x:c>
      <x:c r="O1845" s="18" t="str">
        <x:v>006567</x:v>
      </x:c>
      <x:c r="P1845" s="18" t="str">
        <x:v>東海道線</x:v>
      </x:c>
      <x:c r="Q1845" s="19" t="str">
        <x:v>S12_061_GE_10000</x:v>
      </x:c>
      <x:c r="R1845" s="19" t="str">
        <x:v>S12_061 usage threshold</x:v>
      </x:c>
      <x:c r="S1845" s="19" t="str">
        <x:v>https://nlftp.mlit.go.jp/ksj/gml/datalist/KsjTmplt-S12-2024.html</x:v>
      </x:c>
      <x:c r="T1845" s="19" t="str">
        <x:v>https://nlftp.mlit.go.jp/ksj/gml/datalist/KsjTmplt-S12-2024.html</x:v>
      </x:c>
      <x:c r="U1845" s="19" t="str">
        <x:v>station-component|茨木|西日本旅客鉄道|conventional_rail|34.8151|135.5621|</x:v>
      </x:c>
      <x:c r="V1845" s="19" t="str">
        <x:v>006567 / 006567 / 東海道線</x:v>
      </x:c>
      <x:c r="W1845" s="18" t="str">
        <x:v>否</x:v>
      </x:c>
      <x:c r="X1845" s="18" t="str">
        <x:v>0785e932a32b3ec15e1a1345537ae145eafe1c07bf38d5c16c11ee2b391e7a28</x:v>
      </x:c>
      <x:c r="Y1845" s="20" t="n">
        <x:v>1</x:v>
      </x:c>
      <x:c r="Z1845" s="20" t="n">
        <x:v>1</x:v>
      </x:c>
      <x:c r="AA1845" s="19"/>
      <x:c r="AB1845" s="18"/>
      <x:c r="AC1845" s="19"/>
    </x:row>
    <x:row r="1846" ht="28" customHeight="1">
      <x:c r="A1846" s="18" t="str">
        <x:v>茨木市</x:v>
      </x:c>
      <x:c r="B1846" s="18" t="str">
        <x:v>阪急電鉄</x:v>
      </x:c>
      <x:c r="C1846" s="18" t="str">
        <x:v>private_rail</x:v>
      </x:c>
      <x:c r="D1846" s="19" t="str">
        <x:v>T1</x:v>
      </x:c>
      <x:c r="E1846" s="20" t="n">
        <x:v>53322</x:v>
      </x:c>
      <x:c r="F1846" s="18" t="str">
        <x:v>persons/day</x:v>
      </x:c>
      <x:c r="G1846" s="18" t="str">
        <x:v>FY2024</x:v>
      </x:c>
      <x:c r="H1846" s="18" t="str">
        <x:v>否</x:v>
      </x:c>
      <x:c r="I1846" s="19" t="str">
        <x:v>DAILY_ENTRIES_EXITS</x:v>
      </x:c>
      <x:c r="J1846" s="19" t="str">
        <x:v>京都線</x:v>
      </x:c>
      <x:c r="K1846" s="18" t="str">
        <x:v>transport-node:5ad6e012-0f3d-59b1-8547-cc431862a68d</x:v>
      </x:c>
      <x:c r="L1846" s="19" t="str">
        <x:v>组件待审核</x:v>
      </x:c>
      <x:c r="M1846" s="21" t="n">
        <x:v>34.8165</x:v>
      </x:c>
      <x:c r="N1846" s="21" t="n">
        <x:v>135.57568</x:v>
      </x:c>
      <x:c r="O1846" s="18" t="str">
        <x:v>006562</x:v>
      </x:c>
      <x:c r="P1846" s="18" t="str">
        <x:v>京都線</x:v>
      </x:c>
      <x:c r="Q1846" s="19" t="str">
        <x:v>S12_061_GE_10000</x:v>
      </x:c>
      <x:c r="R1846" s="19" t="str">
        <x:v>S12_061 usage threshold</x:v>
      </x:c>
      <x:c r="S1846" s="19" t="str">
        <x:v>https://nlftp.mlit.go.jp/ksj/gml/datalist/KsjTmplt-S12-2024.html</x:v>
      </x:c>
      <x:c r="T1846" s="19" t="str">
        <x:v>https://nlftp.mlit.go.jp/ksj/gml/datalist/KsjTmplt-S12-2024.html</x:v>
      </x:c>
      <x:c r="U1846" s="19" t="str">
        <x:v>station-component|茨木市|阪急電鉄|private_rail|34.8165|135.5757|</x:v>
      </x:c>
      <x:c r="V1846" s="19" t="str">
        <x:v>006562 / 006562 / 京都線</x:v>
      </x:c>
      <x:c r="W1846" s="18" t="str">
        <x:v>否</x:v>
      </x:c>
      <x:c r="X1846" s="18" t="str">
        <x:v>0785e932a32b3ec15e1a1345537ae145eafe1c07bf38d5c16c11ee2b391e7a28</x:v>
      </x:c>
      <x:c r="Y1846" s="20" t="n">
        <x:v>1</x:v>
      </x:c>
      <x:c r="Z1846" s="20" t="n">
        <x:v>1</x:v>
      </x:c>
      <x:c r="AA1846" s="19"/>
      <x:c r="AB1846" s="18"/>
      <x:c r="AC1846" s="19"/>
    </x:row>
    <x:row r="1847" ht="28" customHeight="1">
      <x:c r="A1847" s="18" t="str">
        <x:v>茶屋ヶ坂</x:v>
      </x:c>
      <x:c r="B1847" s="18" t="str">
        <x:v>名古屋市</x:v>
      </x:c>
      <x:c r="C1847" s="18" t="str">
        <x:v>metro</x:v>
      </x:c>
      <x:c r="D1847" s="19" t="str">
        <x:v>T2</x:v>
      </x:c>
      <x:c r="E1847" s="20" t="n">
        <x:v>14082</x:v>
      </x:c>
      <x:c r="F1847" s="18" t="str">
        <x:v>persons/day</x:v>
      </x:c>
      <x:c r="G1847" s="18" t="str">
        <x:v>FY2024</x:v>
      </x:c>
      <x:c r="H1847" s="18" t="str">
        <x:v>否</x:v>
      </x:c>
      <x:c r="I1847" s="19" t="str">
        <x:v>DAILY_ENTRIES_EXITS</x:v>
      </x:c>
      <x:c r="J1847" s="19" t="str">
        <x:v>4号線名城線</x:v>
      </x:c>
      <x:c r="K1847" s="18" t="str">
        <x:v>transport-node:18477eba-d898-5854-8080-83bf45044db3</x:v>
      </x:c>
      <x:c r="L1847" s="19" t="str">
        <x:v>组件待审核</x:v>
      </x:c>
      <x:c r="M1847" s="21" t="n">
        <x:v>35.18466</x:v>
      </x:c>
      <x:c r="N1847" s="21" t="n">
        <x:v>136.962125</x:v>
      </x:c>
      <x:c r="O1847" s="18" t="str">
        <x:v>005406</x:v>
      </x:c>
      <x:c r="P1847" s="18" t="str">
        <x:v>4号線名城線</x:v>
      </x:c>
      <x:c r="Q1847" s="19" t="str">
        <x:v>S12_061_GE_10000</x:v>
      </x:c>
      <x:c r="R1847" s="19" t="str">
        <x:v>S12_061 usage threshold</x:v>
      </x:c>
      <x:c r="S1847" s="19" t="str">
        <x:v>https://nlftp.mlit.go.jp/ksj/gml/datalist/KsjTmplt-S12-2024.html</x:v>
      </x:c>
      <x:c r="T1847" s="19" t="str">
        <x:v>https://nlftp.mlit.go.jp/ksj/gml/datalist/KsjTmplt-S12-2024.html</x:v>
      </x:c>
      <x:c r="U1847" s="19" t="str">
        <x:v>station-component|茶屋ヶ坂|名古屋市|metro|35.1847|136.9621|</x:v>
      </x:c>
      <x:c r="V1847" s="19" t="str">
        <x:v>005406 / 005406 / 4号線名城線</x:v>
      </x:c>
      <x:c r="W1847" s="18" t="str">
        <x:v>否</x:v>
      </x:c>
      <x:c r="X1847" s="18" t="str">
        <x:v>0785e932a32b3ec15e1a1345537ae145eafe1c07bf38d5c16c11ee2b391e7a28</x:v>
      </x:c>
      <x:c r="Y1847" s="20" t="n">
        <x:v>1</x:v>
      </x:c>
      <x:c r="Z1847" s="20" t="n">
        <x:v>1</x:v>
      </x:c>
      <x:c r="AA1847" s="19"/>
      <x:c r="AB1847" s="18"/>
      <x:c r="AC1847" s="19"/>
    </x:row>
    <x:row r="1848" ht="28" customHeight="1">
      <x:c r="A1848" s="18" t="str">
        <x:v>草加</x:v>
      </x:c>
      <x:c r="B1848" s="18" t="str">
        <x:v>東武鉄道</x:v>
      </x:c>
      <x:c r="C1848" s="18" t="str">
        <x:v>private_rail</x:v>
      </x:c>
      <x:c r="D1848" s="19" t="str">
        <x:v>T1</x:v>
      </x:c>
      <x:c r="E1848" s="20" t="n">
        <x:v>82501</x:v>
      </x:c>
      <x:c r="F1848" s="18" t="str">
        <x:v>persons/day</x:v>
      </x:c>
      <x:c r="G1848" s="18" t="str">
        <x:v>FY2024</x:v>
      </x:c>
      <x:c r="H1848" s="18" t="str">
        <x:v>否</x:v>
      </x:c>
      <x:c r="I1848" s="19" t="str">
        <x:v>DAILY_ENTRIES_EXITS</x:v>
      </x:c>
      <x:c r="J1848" s="19" t="str">
        <x:v>伊勢崎線</x:v>
      </x:c>
      <x:c r="K1848" s="18" t="str">
        <x:v>transport-node:6a2ffe28-eee2-5312-a744-af3775fa6f23</x:v>
      </x:c>
      <x:c r="L1848" s="19" t="str">
        <x:v>组件待审核</x:v>
      </x:c>
      <x:c r="M1848" s="21" t="n">
        <x:v>35.82838</x:v>
      </x:c>
      <x:c r="N1848" s="21" t="n">
        <x:v>139.803455</x:v>
      </x:c>
      <x:c r="O1848" s="18" t="str">
        <x:v>003040</x:v>
      </x:c>
      <x:c r="P1848" s="18" t="str">
        <x:v>伊勢崎線</x:v>
      </x:c>
      <x:c r="Q1848" s="19" t="str">
        <x:v>S12_061_GE_10000</x:v>
      </x:c>
      <x:c r="R1848" s="19" t="str">
        <x:v>S12_061 usage threshold</x:v>
      </x:c>
      <x:c r="S1848" s="19" t="str">
        <x:v>https://nlftp.mlit.go.jp/ksj/gml/datalist/KsjTmplt-S12-2024.html</x:v>
      </x:c>
      <x:c r="T1848" s="19" t="str">
        <x:v>https://nlftp.mlit.go.jp/ksj/gml/datalist/KsjTmplt-S12-2024.html</x:v>
      </x:c>
      <x:c r="U1848" s="19" t="str">
        <x:v>station-component|草加|東武鉄道|private_rail|35.8284|139.8035|</x:v>
      </x:c>
      <x:c r="V1848" s="19" t="str">
        <x:v>003040 / 003040 / 伊勢崎線</x:v>
      </x:c>
      <x:c r="W1848" s="18" t="str">
        <x:v>否</x:v>
      </x:c>
      <x:c r="X1848" s="18" t="str">
        <x:v>0785e932a32b3ec15e1a1345537ae145eafe1c07bf38d5c16c11ee2b391e7a28</x:v>
      </x:c>
      <x:c r="Y1848" s="20" t="n">
        <x:v>1</x:v>
      </x:c>
      <x:c r="Z1848" s="20" t="n">
        <x:v>1</x:v>
      </x:c>
      <x:c r="AA1848" s="19"/>
      <x:c r="AB1848" s="18"/>
      <x:c r="AC1848" s="19"/>
    </x:row>
    <x:row r="1849" ht="33" customHeight="1">
      <x:c r="A1849" s="18" t="str">
        <x:v>草江</x:v>
      </x:c>
      <x:c r="B1849" s="18" t="str">
        <x:v>西日本旅客鉄道</x:v>
      </x:c>
      <x:c r="C1849" s="18" t="str">
        <x:v>conventional_rail</x:v>
      </x:c>
      <x:c r="D1849" s="19" t="str">
        <x:v>T3</x:v>
      </x:c>
      <x:c r="E1849" s="20" t="n">
        <x:v>130</x:v>
      </x:c>
      <x:c r="F1849" s="18" t="str">
        <x:v>persons/day</x:v>
      </x:c>
      <x:c r="G1849" s="18" t="str">
        <x:v>FY2024</x:v>
      </x:c>
      <x:c r="H1849" s="18" t="str">
        <x:v>否</x:v>
      </x:c>
      <x:c r="I1849" s="19" t="str">
        <x:v>DAILY_ENTRIES_EXITS</x:v>
      </x:c>
      <x:c r="J1849" s="19" t="str">
        <x:v>宇部線</x:v>
      </x:c>
      <x:c r="K1849" s="18" t="str">
        <x:v>transport-node:98242072-ac41-57bb-b80b-b211312c82e1</x:v>
      </x:c>
      <x:c r="L1849" s="19" t="str">
        <x:v>组件待审核</x:v>
      </x:c>
      <x:c r="M1849" s="21" t="n">
        <x:v>33.93652</x:v>
      </x:c>
      <x:c r="N1849" s="21" t="n">
        <x:v>131.274215</x:v>
      </x:c>
      <x:c r="O1849" s="18" t="str">
        <x:v>008643</x:v>
      </x:c>
      <x:c r="P1849" s="18" t="str">
        <x:v>宇部線</x:v>
      </x:c>
      <x:c r="Q1849" s="19" t="str">
        <x:v>AIRPORT_ACCESS_AUDIT</x:v>
      </x:c>
      <x:c r="R1849" s="19" t="str">
        <x:v>S12_061 usage threshold; low-flow inclusion justified by airport access</x:v>
      </x:c>
      <x:c r="S1849" s="19" t="str">
        <x:v>https://nlftp.mlit.go.jp/ksj/gml/datalist/KsjTmplt-S12-2024.html</x:v>
      </x:c>
      <x:c r="T1849" s="19" t="str">
        <x:v>https://nlftp.mlit.go.jp/ksj/gml/datalist/KsjTmplt-S12-2024.html</x:v>
      </x:c>
      <x:c r="U1849" s="19" t="str">
        <x:v>station-component|草江|西日本旅客鉄道|conventional_rail|33.9365|131.2742|</x:v>
      </x:c>
      <x:c r="V1849" s="19" t="str">
        <x:v>008643 / 008643 / 宇部線</x:v>
      </x:c>
      <x:c r="W1849" s="18" t="str">
        <x:v>否</x:v>
      </x:c>
      <x:c r="X1849" s="18" t="str">
        <x:v>0785e932a32b3ec15e1a1345537ae145eafe1c07bf38d5c16c11ee2b391e7a28</x:v>
      </x:c>
      <x:c r="Y1849" s="20" t="n">
        <x:v>1</x:v>
      </x:c>
      <x:c r="Z1849" s="20" t="n">
        <x:v>1</x:v>
      </x:c>
      <x:c r="AA1849" s="19"/>
      <x:c r="AB1849" s="18"/>
      <x:c r="AC1849" s="19"/>
    </x:row>
    <x:row r="1850" ht="33" customHeight="1">
      <x:c r="A1850" s="18" t="str">
        <x:v>草津</x:v>
      </x:c>
      <x:c r="B1850" s="18" t="str">
        <x:v>西日本旅客鉄道</x:v>
      </x:c>
      <x:c r="C1850" s="18" t="str">
        <x:v>conventional_rail</x:v>
      </x:c>
      <x:c r="D1850" s="19" t="str">
        <x:v>T1</x:v>
      </x:c>
      <x:c r="E1850" s="20" t="n">
        <x:v>59070</x:v>
      </x:c>
      <x:c r="F1850" s="18" t="str">
        <x:v>persons/day</x:v>
      </x:c>
      <x:c r="G1850" s="18" t="str">
        <x:v>FY2024</x:v>
      </x:c>
      <x:c r="H1850" s="18" t="str">
        <x:v>否</x:v>
      </x:c>
      <x:c r="I1850" s="19" t="str">
        <x:v>DAILY_ENTRIES_EXITS</x:v>
      </x:c>
      <x:c r="J1850" s="19" t="str">
        <x:v>東海道線
草津線</x:v>
      </x:c>
      <x:c r="K1850" s="18" t="str">
        <x:v>transport-node:a4fc7524-9e99-5312-812a-fb3655ac9d96</x:v>
      </x:c>
      <x:c r="L1850" s="19" t="str">
        <x:v>组件待审核</x:v>
      </x:c>
      <x:c r="M1850" s="21" t="n">
        <x:v>35.0226325</x:v>
      </x:c>
      <x:c r="N1850" s="21" t="n">
        <x:v>135.962375</x:v>
      </x:c>
      <x:c r="O1850" s="18" t="str">
        <x:v>005901</x:v>
      </x:c>
      <x:c r="P1850" s="18" t="str">
        <x:v>東海道線</x:v>
      </x:c>
      <x:c r="Q1850" s="19" t="str">
        <x:v>S12_061_GE_10000</x:v>
      </x:c>
      <x:c r="R1850" s="19" t="str">
        <x:v>S12_061 usage threshold</x:v>
      </x:c>
      <x:c r="S1850" s="19" t="str">
        <x:v>https://nlftp.mlit.go.jp/ksj/gml/datalist/KsjTmplt-S12-2024.html</x:v>
      </x:c>
      <x:c r="T1850" s="19" t="str">
        <x:v>https://nlftp.mlit.go.jp/ksj/gml/datalist/KsjTmplt-S12-2024.html</x:v>
      </x:c>
      <x:c r="U1850" s="19" t="str">
        <x:v>station-component|草津|西日本旅客鉄道|conventional_rail|35.0226|135.9624|</x:v>
      </x:c>
      <x:c r="V1850" s="19" t="str">
        <x:v>005901 / 005901 / 東海道線
005901 / 005904 / 草津線</x:v>
      </x:c>
      <x:c r="W1850" s="18" t="str">
        <x:v>否</x:v>
      </x:c>
      <x:c r="X1850" s="18" t="str">
        <x:v>0785e932a32b3ec15e1a1345537ae145eafe1c07bf38d5c16c11ee2b391e7a28</x:v>
      </x:c>
      <x:c r="Y1850" s="20" t="n">
        <x:v>1</x:v>
      </x:c>
      <x:c r="Z1850" s="20" t="n">
        <x:v>1</x:v>
      </x:c>
      <x:c r="AA1850" s="19"/>
      <x:c r="AB1850" s="18"/>
      <x:c r="AC1850" s="19"/>
    </x:row>
    <x:row r="1851" ht="28" customHeight="1">
      <x:c r="A1851" s="18" t="str">
        <x:v>草薙</x:v>
      </x:c>
      <x:c r="B1851" s="18" t="str">
        <x:v>東海旅客鉄道</x:v>
      </x:c>
      <x:c r="C1851" s="18" t="str">
        <x:v>conventional_rail</x:v>
      </x:c>
      <x:c r="D1851" s="19" t="str">
        <x:v>T2</x:v>
      </x:c>
      <x:c r="E1851" s="20" t="n">
        <x:v>22369</x:v>
      </x:c>
      <x:c r="F1851" s="18" t="str">
        <x:v>persons/day</x:v>
      </x:c>
      <x:c r="G1851" s="18" t="str">
        <x:v>FY2024</x:v>
      </x:c>
      <x:c r="H1851" s="18" t="str">
        <x:v>否</x:v>
      </x:c>
      <x:c r="I1851" s="19" t="str">
        <x:v>DAILY_ENTRIES_EXITS</x:v>
      </x:c>
      <x:c r="J1851" s="19" t="str">
        <x:v>東海道線</x:v>
      </x:c>
      <x:c r="K1851" s="18" t="str">
        <x:v>transport-node:3c4340fc-1d5c-5c76-890e-0a8c7528a829</x:v>
      </x:c>
      <x:c r="L1851" s="19" t="str">
        <x:v>组件待审核</x:v>
      </x:c>
      <x:c r="M1851" s="21" t="n">
        <x:v>35.0022933</x:v>
      </x:c>
      <x:c r="N1851" s="21" t="n">
        <x:v>138.4410233</x:v>
      </x:c>
      <x:c r="O1851" s="18" t="str">
        <x:v>006002</x:v>
      </x:c>
      <x:c r="P1851" s="18" t="str">
        <x:v>東海道線</x:v>
      </x:c>
      <x:c r="Q1851" s="19" t="str">
        <x:v>S12_061_GE_10000</x:v>
      </x:c>
      <x:c r="R1851" s="19" t="str">
        <x:v>S12_061 usage threshold</x:v>
      </x:c>
      <x:c r="S1851" s="19" t="str">
        <x:v>https://nlftp.mlit.go.jp/ksj/gml/datalist/KsjTmplt-S12-2024.html</x:v>
      </x:c>
      <x:c r="T1851" s="19" t="str">
        <x:v>https://nlftp.mlit.go.jp/ksj/gml/datalist/KsjTmplt-S12-2024.html</x:v>
      </x:c>
      <x:c r="U1851" s="19" t="str">
        <x:v>station-component|草薙|東海旅客鉄道|conventional_rail|35.0023|138.4410|</x:v>
      </x:c>
      <x:c r="V1851" s="19" t="str">
        <x:v>006002 / 006002 / 東海道線</x:v>
      </x:c>
      <x:c r="W1851" s="18" t="str">
        <x:v>否</x:v>
      </x:c>
      <x:c r="X1851" s="18" t="str">
        <x:v>0785e932a32b3ec15e1a1345537ae145eafe1c07bf38d5c16c11ee2b391e7a28</x:v>
      </x:c>
      <x:c r="Y1851" s="20" t="n">
        <x:v>1</x:v>
      </x:c>
      <x:c r="Z1851" s="20" t="n">
        <x:v>1</x:v>
      </x:c>
      <x:c r="AA1851" s="19"/>
      <x:c r="AB1851" s="18"/>
      <x:c r="AC1851" s="19"/>
    </x:row>
    <x:row r="1852" ht="28" customHeight="1">
      <x:c r="A1852" s="18" t="str">
        <x:v>荏原中延</x:v>
      </x:c>
      <x:c r="B1852" s="18" t="str">
        <x:v>東急電鉄</x:v>
      </x:c>
      <x:c r="C1852" s="18" t="str">
        <x:v>private_rail</x:v>
      </x:c>
      <x:c r="D1852" s="19" t="str">
        <x:v>T2</x:v>
      </x:c>
      <x:c r="E1852" s="20" t="n">
        <x:v>12777</x:v>
      </x:c>
      <x:c r="F1852" s="18" t="str">
        <x:v>persons/day</x:v>
      </x:c>
      <x:c r="G1852" s="18" t="str">
        <x:v>FY2024</x:v>
      </x:c>
      <x:c r="H1852" s="18" t="str">
        <x:v>否</x:v>
      </x:c>
      <x:c r="I1852" s="19" t="str">
        <x:v>DAILY_ENTRIES_EXITS</x:v>
      </x:c>
      <x:c r="J1852" s="19" t="str">
        <x:v>池上線</x:v>
      </x:c>
      <x:c r="K1852" s="18" t="str">
        <x:v>transport-node:af4dd64b-df48-5fcb-9c95-1843fb7b5671</x:v>
      </x:c>
      <x:c r="L1852" s="19" t="str">
        <x:v>组件待审核</x:v>
      </x:c>
      <x:c r="M1852" s="21" t="n">
        <x:v>35.6099</x:v>
      </x:c>
      <x:c r="N1852" s="21" t="n">
        <x:v>139.71203</x:v>
      </x:c>
      <x:c r="O1852" s="18" t="str">
        <x:v>004181</x:v>
      </x:c>
      <x:c r="P1852" s="18" t="str">
        <x:v>池上線</x:v>
      </x:c>
      <x:c r="Q1852" s="19" t="str">
        <x:v>S12_061_GE_10000</x:v>
      </x:c>
      <x:c r="R1852" s="19" t="str">
        <x:v>S12_061 usage threshold</x:v>
      </x:c>
      <x:c r="S1852" s="19" t="str">
        <x:v>https://nlftp.mlit.go.jp/ksj/gml/datalist/KsjTmplt-S12-2024.html</x:v>
      </x:c>
      <x:c r="T1852" s="19" t="str">
        <x:v>https://nlftp.mlit.go.jp/ksj/gml/datalist/KsjTmplt-S12-2024.html</x:v>
      </x:c>
      <x:c r="U1852" s="19" t="str">
        <x:v>station-component|荏原中延|東急電鉄|private_rail|35.6099|139.7120|</x:v>
      </x:c>
      <x:c r="V1852" s="19" t="str">
        <x:v>004181 / 004181 / 池上線</x:v>
      </x:c>
      <x:c r="W1852" s="18" t="str">
        <x:v>否</x:v>
      </x:c>
      <x:c r="X1852" s="18" t="str">
        <x:v>0785e932a32b3ec15e1a1345537ae145eafe1c07bf38d5c16c11ee2b391e7a28</x:v>
      </x:c>
      <x:c r="Y1852" s="20" t="n">
        <x:v>1</x:v>
      </x:c>
      <x:c r="Z1852" s="20" t="n">
        <x:v>1</x:v>
      </x:c>
      <x:c r="AA1852" s="19"/>
      <x:c r="AB1852" s="18"/>
      <x:c r="AC1852" s="19"/>
    </x:row>
    <x:row r="1853" ht="28" customHeight="1">
      <x:c r="A1853" s="18" t="str">
        <x:v>荏原町</x:v>
      </x:c>
      <x:c r="B1853" s="18" t="str">
        <x:v>東急電鉄</x:v>
      </x:c>
      <x:c r="C1853" s="18" t="str">
        <x:v>private_rail</x:v>
      </x:c>
      <x:c r="D1853" s="19" t="str">
        <x:v>T2</x:v>
      </x:c>
      <x:c r="E1853" s="20" t="n">
        <x:v>15179</x:v>
      </x:c>
      <x:c r="F1853" s="18" t="str">
        <x:v>persons/day</x:v>
      </x:c>
      <x:c r="G1853" s="18" t="str">
        <x:v>FY2024</x:v>
      </x:c>
      <x:c r="H1853" s="18" t="str">
        <x:v>否</x:v>
      </x:c>
      <x:c r="I1853" s="19" t="str">
        <x:v>DAILY_ENTRIES_EXITS</x:v>
      </x:c>
      <x:c r="J1853" s="19" t="str">
        <x:v>大井町線</x:v>
      </x:c>
      <x:c r="K1853" s="18" t="str">
        <x:v>transport-node:70794fa9-0f4a-5a74-987e-e19a2cf32680</x:v>
      </x:c>
      <x:c r="L1853" s="19" t="str">
        <x:v>组件待审核</x:v>
      </x:c>
      <x:c r="M1853" s="21" t="n">
        <x:v>35.60381</x:v>
      </x:c>
      <x:c r="N1853" s="21" t="n">
        <x:v>139.707545</x:v>
      </x:c>
      <x:c r="O1853" s="18" t="str">
        <x:v>004225</x:v>
      </x:c>
      <x:c r="P1853" s="18" t="str">
        <x:v>大井町線</x:v>
      </x:c>
      <x:c r="Q1853" s="19" t="str">
        <x:v>S12_061_GE_10000</x:v>
      </x:c>
      <x:c r="R1853" s="19" t="str">
        <x:v>S12_061 usage threshold</x:v>
      </x:c>
      <x:c r="S1853" s="19" t="str">
        <x:v>https://nlftp.mlit.go.jp/ksj/gml/datalist/KsjTmplt-S12-2024.html</x:v>
      </x:c>
      <x:c r="T1853" s="19" t="str">
        <x:v>https://nlftp.mlit.go.jp/ksj/gml/datalist/KsjTmplt-S12-2024.html</x:v>
      </x:c>
      <x:c r="U1853" s="19" t="str">
        <x:v>station-component|荏原町|東急電鉄|private_rail|35.6038|139.7075|</x:v>
      </x:c>
      <x:c r="V1853" s="19" t="str">
        <x:v>004225 / 004225 / 大井町線</x:v>
      </x:c>
      <x:c r="W1853" s="18" t="str">
        <x:v>否</x:v>
      </x:c>
      <x:c r="X1853" s="18" t="str">
        <x:v>0785e932a32b3ec15e1a1345537ae145eafe1c07bf38d5c16c11ee2b391e7a28</x:v>
      </x:c>
      <x:c r="Y1853" s="20" t="n">
        <x:v>1</x:v>
      </x:c>
      <x:c r="Z1853" s="20" t="n">
        <x:v>1</x:v>
      </x:c>
      <x:c r="AA1853" s="19"/>
      <x:c r="AB1853" s="18"/>
      <x:c r="AC1853" s="19"/>
    </x:row>
    <x:row r="1854" ht="28" customHeight="1">
      <x:c r="A1854" s="18" t="str">
        <x:v>荒川沖</x:v>
      </x:c>
      <x:c r="B1854" s="18" t="str">
        <x:v>東日本旅客鉄道</x:v>
      </x:c>
      <x:c r="C1854" s="18" t="str">
        <x:v>conventional_rail</x:v>
      </x:c>
      <x:c r="D1854" s="19" t="str">
        <x:v>T2</x:v>
      </x:c>
      <x:c r="E1854" s="20" t="n">
        <x:v>14766</x:v>
      </x:c>
      <x:c r="F1854" s="18" t="str">
        <x:v>persons/day</x:v>
      </x:c>
      <x:c r="G1854" s="18" t="str">
        <x:v>FY2024</x:v>
      </x:c>
      <x:c r="H1854" s="18" t="str">
        <x:v>否</x:v>
      </x:c>
      <x:c r="I1854" s="19" t="str">
        <x:v>DAILY_ENTRIES_EXITS</x:v>
      </x:c>
      <x:c r="J1854" s="19" t="str">
        <x:v>常磐線</x:v>
      </x:c>
      <x:c r="K1854" s="18" t="str">
        <x:v>transport-node:3c0efd19-828c-59ee-9594-7fd660f44072</x:v>
      </x:c>
      <x:c r="L1854" s="19" t="str">
        <x:v>组件待审核</x:v>
      </x:c>
      <x:c r="M1854" s="21" t="n">
        <x:v>36.030595</x:v>
      </x:c>
      <x:c r="N1854" s="21" t="n">
        <x:v>140.165985</x:v>
      </x:c>
      <x:c r="O1854" s="18" t="str">
        <x:v>002723</x:v>
      </x:c>
      <x:c r="P1854" s="18" t="str">
        <x:v>常磐線</x:v>
      </x:c>
      <x:c r="Q1854" s="19" t="str">
        <x:v>S12_061_GE_10000</x:v>
      </x:c>
      <x:c r="R1854" s="19" t="str">
        <x:v>S12_061 usage threshold</x:v>
      </x:c>
      <x:c r="S1854" s="19" t="str">
        <x:v>https://nlftp.mlit.go.jp/ksj/gml/datalist/KsjTmplt-S12-2024.html</x:v>
      </x:c>
      <x:c r="T1854" s="19" t="str">
        <x:v>https://nlftp.mlit.go.jp/ksj/gml/datalist/KsjTmplt-S12-2024.html</x:v>
      </x:c>
      <x:c r="U1854" s="19" t="str">
        <x:v>station-component|荒川沖|東日本旅客鉄道|conventional_rail|36.0306|140.1660|</x:v>
      </x:c>
      <x:c r="V1854" s="19" t="str">
        <x:v>002723 / 002723 / 常磐線</x:v>
      </x:c>
      <x:c r="W1854" s="18" t="str">
        <x:v>否</x:v>
      </x:c>
      <x:c r="X1854" s="18" t="str">
        <x:v>0785e932a32b3ec15e1a1345537ae145eafe1c07bf38d5c16c11ee2b391e7a28</x:v>
      </x:c>
      <x:c r="Y1854" s="20" t="n">
        <x:v>1</x:v>
      </x:c>
      <x:c r="Z1854" s="20" t="n">
        <x:v>1</x:v>
      </x:c>
      <x:c r="AA1854" s="19"/>
      <x:c r="AB1854" s="18"/>
      <x:c r="AC1854" s="19"/>
    </x:row>
    <x:row r="1855" ht="28" customHeight="1">
      <x:c r="A1855" s="18" t="str">
        <x:v>荒本</x:v>
      </x:c>
      <x:c r="B1855" s="18" t="str">
        <x:v>近畿日本鉄道</x:v>
      </x:c>
      <x:c r="C1855" s="18" t="str">
        <x:v>private_rail</x:v>
      </x:c>
      <x:c r="D1855" s="19" t="str">
        <x:v>T2</x:v>
      </x:c>
      <x:c r="E1855" s="20" t="n">
        <x:v>14440</x:v>
      </x:c>
      <x:c r="F1855" s="18" t="str">
        <x:v>persons/day</x:v>
      </x:c>
      <x:c r="G1855" s="18" t="str">
        <x:v>FY2024</x:v>
      </x:c>
      <x:c r="H1855" s="18" t="str">
        <x:v>否</x:v>
      </x:c>
      <x:c r="I1855" s="19" t="str">
        <x:v>DAILY_ENTRIES_EXITS</x:v>
      </x:c>
      <x:c r="J1855" s="19" t="str">
        <x:v>けいはんな線</x:v>
      </x:c>
      <x:c r="K1855" s="18" t="str">
        <x:v>transport-node:5b988422-b9b2-5945-9a6a-bf8faafe45ac</x:v>
      </x:c>
      <x:c r="L1855" s="19" t="str">
        <x:v>组件待审核</x:v>
      </x:c>
      <x:c r="M1855" s="21" t="n">
        <x:v>34.678625</x:v>
      </x:c>
      <x:c r="N1855" s="21" t="n">
        <x:v>135.60499</x:v>
      </x:c>
      <x:c r="O1855" s="18" t="str">
        <x:v>007234</x:v>
      </x:c>
      <x:c r="P1855" s="18" t="str">
        <x:v>けいはんな線</x:v>
      </x:c>
      <x:c r="Q1855" s="19" t="str">
        <x:v>S12_061_GE_10000</x:v>
      </x:c>
      <x:c r="R1855" s="19" t="str">
        <x:v>S12_061 usage threshold</x:v>
      </x:c>
      <x:c r="S1855" s="19" t="str">
        <x:v>https://nlftp.mlit.go.jp/ksj/gml/datalist/KsjTmplt-S12-2024.html</x:v>
      </x:c>
      <x:c r="T1855" s="19" t="str">
        <x:v>https://nlftp.mlit.go.jp/ksj/gml/datalist/KsjTmplt-S12-2024.html</x:v>
      </x:c>
      <x:c r="U1855" s="19" t="str">
        <x:v>station-component|荒本|近畿日本鉄道|private_rail|34.6786|135.6050|</x:v>
      </x:c>
      <x:c r="V1855" s="19" t="str">
        <x:v>007234 / 007234 / けいはんな線</x:v>
      </x:c>
      <x:c r="W1855" s="18" t="str">
        <x:v>否</x:v>
      </x:c>
      <x:c r="X1855" s="18" t="str">
        <x:v>0785e932a32b3ec15e1a1345537ae145eafe1c07bf38d5c16c11ee2b391e7a28</x:v>
      </x:c>
      <x:c r="Y1855" s="20" t="n">
        <x:v>1</x:v>
      </x:c>
      <x:c r="Z1855" s="20" t="n">
        <x:v>1</x:v>
      </x:c>
      <x:c r="AA1855" s="19"/>
      <x:c r="AB1855" s="18"/>
      <x:c r="AC1855" s="19"/>
    </x:row>
    <x:row r="1856" ht="33" customHeight="1">
      <x:c r="A1856" s="18" t="str">
        <x:v>荻窪</x:v>
      </x:c>
      <x:c r="B1856" s="18" t="str">
        <x:v>東京地下鉄</x:v>
      </x:c>
      <x:c r="C1856" s="18" t="str">
        <x:v>metro</x:v>
      </x:c>
      <x:c r="D1856" s="19" t="str">
        <x:v>T1</x:v>
      </x:c>
      <x:c r="E1856" s="20" t="n">
        <x:v>85957</x:v>
      </x:c>
      <x:c r="F1856" s="18" t="str">
        <x:v>persons/day</x:v>
      </x:c>
      <x:c r="G1856" s="18" t="str">
        <x:v>FY2024</x:v>
      </x:c>
      <x:c r="H1856" s="18" t="str">
        <x:v>否</x:v>
      </x:c>
      <x:c r="I1856" s="19" t="str">
        <x:v>DAILY_ENTRIES_EXITS</x:v>
      </x:c>
      <x:c r="J1856" s="19" t="str">
        <x:v>4号線丸ノ内線</x:v>
      </x:c>
      <x:c r="K1856" s="18" t="str">
        <x:v>transport-node:9b1d92c5-032d-50df-ad6f-548977cbbf44</x:v>
      </x:c>
      <x:c r="L1856" s="19" t="str">
        <x:v>组件待审核</x:v>
      </x:c>
      <x:c r="M1856" s="21" t="n">
        <x:v>35.704175</x:v>
      </x:c>
      <x:c r="N1856" s="21" t="n">
        <x:v>139.61976</x:v>
      </x:c>
      <x:c r="O1856" s="18" t="str">
        <x:v>003577</x:v>
      </x:c>
      <x:c r="P1856" s="18" t="str">
        <x:v>4号線丸ノ内線</x:v>
      </x:c>
      <x:c r="Q1856" s="19" t="str">
        <x:v>S12_061_GE_10000
OFFICIAL_HUB_COMPONENT_REVIEW</x:v>
      </x:c>
      <x:c r="R1856" s="19" t="str">
        <x:v>S12_061 usage threshold</x:v>
      </x:c>
      <x:c r="S1856" s="19" t="str">
        <x:v>https://nlftp.mlit.go.jp/ksj/gml/datalist/KsjTmplt-S12-2024.html</x:v>
      </x:c>
      <x:c r="T1856" s="19" t="str">
        <x:v>https://nlftp.mlit.go.jp/ksj/gml/datalist/KsjTmplt-S12-2024.html
https://www.tokyometro.jp/station/ogikubo/index.html</x:v>
      </x:c>
      <x:c r="U1856" s="19" t="str">
        <x:v>station-component|荻窪|東京地下鉄|metro|35.7042|139.6198|</x:v>
      </x:c>
      <x:c r="V1856" s="19" t="str">
        <x:v>003575 / 003577 / 4号線丸ノ内線</x:v>
      </x:c>
      <x:c r="W1856" s="18" t="str">
        <x:v>否</x:v>
      </x:c>
      <x:c r="X1856" s="18" t="str">
        <x:v>0785e932a32b3ec15e1a1345537ae145eafe1c07bf38d5c16c11ee2b391e7a28</x:v>
      </x:c>
      <x:c r="Y1856" s="20" t="n">
        <x:v>1</x:v>
      </x:c>
      <x:c r="Z1856" s="20" t="n">
        <x:v>1</x:v>
      </x:c>
      <x:c r="AA1856" s="19" t="str">
        <x:v>荻窪</x:v>
      </x:c>
      <x:c r="AB1856" s="18" t="str">
        <x:v>transport-hub-review:6ed92e9c-48f7-5aa7-868a-bd170f157e49</x:v>
      </x:c>
      <x:c r="AC1856" s="19"/>
    </x:row>
    <x:row r="1857" ht="33" customHeight="1">
      <x:c r="A1857" s="18" t="str">
        <x:v>荻窪</x:v>
      </x:c>
      <x:c r="B1857" s="18" t="str">
        <x:v>東日本旅客鉄道</x:v>
      </x:c>
      <x:c r="C1857" s="18" t="str">
        <x:v>conventional_rail</x:v>
      </x:c>
      <x:c r="D1857" s="19" t="str">
        <x:v>T1</x:v>
      </x:c>
      <x:c r="E1857" s="20" t="n">
        <x:v>164158</x:v>
      </x:c>
      <x:c r="F1857" s="18" t="str">
        <x:v>persons/day</x:v>
      </x:c>
      <x:c r="G1857" s="18" t="str">
        <x:v>FY2024</x:v>
      </x:c>
      <x:c r="H1857" s="18" t="str">
        <x:v>否</x:v>
      </x:c>
      <x:c r="I1857" s="19" t="str">
        <x:v>DAILY_ENTRIES_EXITS</x:v>
      </x:c>
      <x:c r="J1857" s="19" t="str">
        <x:v>中央線</x:v>
      </x:c>
      <x:c r="K1857" s="18" t="str">
        <x:v>transport-node:554b7089-d5b3-543d-9775-de2f0f13d9b9</x:v>
      </x:c>
      <x:c r="L1857" s="19" t="str">
        <x:v>组件待审核</x:v>
      </x:c>
      <x:c r="M1857" s="21" t="n">
        <x:v>35.70443</x:v>
      </x:c>
      <x:c r="N1857" s="21" t="n">
        <x:v>139.620245</x:v>
      </x:c>
      <x:c r="O1857" s="18" t="str">
        <x:v>003575</x:v>
      </x:c>
      <x:c r="P1857" s="18" t="str">
        <x:v>中央線</x:v>
      </x:c>
      <x:c r="Q1857" s="19" t="str">
        <x:v>S12_061_GE_10000
OFFICIAL_HUB_COMPONENT_REVIEW</x:v>
      </x:c>
      <x:c r="R1857" s="19" t="str">
        <x:v>S12_061 usage threshold</x:v>
      </x:c>
      <x:c r="S1857" s="19" t="str">
        <x:v>https://nlftp.mlit.go.jp/ksj/gml/datalist/KsjTmplt-S12-2024.html</x:v>
      </x:c>
      <x:c r="T1857" s="19" t="str">
        <x:v>https://nlftp.mlit.go.jp/ksj/gml/datalist/KsjTmplt-S12-2024.html
https://www.tokyometro.jp/station/ogikubo/index.html</x:v>
      </x:c>
      <x:c r="U1857" s="19" t="str">
        <x:v>station-component|荻窪|東日本旅客鉄道|conventional_rail|35.7044|139.6202|</x:v>
      </x:c>
      <x:c r="V1857" s="19" t="str">
        <x:v>003575 / 003575 / 中央線</x:v>
      </x:c>
      <x:c r="W1857" s="18" t="str">
        <x:v>否</x:v>
      </x:c>
      <x:c r="X1857" s="18" t="str">
        <x:v>0785e932a32b3ec15e1a1345537ae145eafe1c07bf38d5c16c11ee2b391e7a28</x:v>
      </x:c>
      <x:c r="Y1857" s="20" t="n">
        <x:v>1</x:v>
      </x:c>
      <x:c r="Z1857" s="20" t="n">
        <x:v>1</x:v>
      </x:c>
      <x:c r="AA1857" s="19" t="str">
        <x:v>荻窪</x:v>
      </x:c>
      <x:c r="AB1857" s="18" t="str">
        <x:v>transport-hub-review:6ed92e9c-48f7-5aa7-868a-bd170f157e49</x:v>
      </x:c>
      <x:c r="AC1857" s="19"/>
    </x:row>
    <x:row r="1858" ht="33" customHeight="1">
      <x:c r="A1858" s="18" t="str">
        <x:v>菊名</x:v>
      </x:c>
      <x:c r="B1858" s="18" t="str">
        <x:v>東急電鉄</x:v>
      </x:c>
      <x:c r="C1858" s="18" t="str">
        <x:v>private_rail</x:v>
      </x:c>
      <x:c r="D1858" s="19" t="str">
        <x:v>T1</x:v>
      </x:c>
      <x:c r="E1858" s="20" t="n">
        <x:v>94477</x:v>
      </x:c>
      <x:c r="F1858" s="18" t="str">
        <x:v>persons/day</x:v>
      </x:c>
      <x:c r="G1858" s="18" t="str">
        <x:v>FY2024</x:v>
      </x:c>
      <x:c r="H1858" s="18" t="str">
        <x:v>否</x:v>
      </x:c>
      <x:c r="I1858" s="19" t="str">
        <x:v>DAILY_ENTRIES_EXITS</x:v>
      </x:c>
      <x:c r="J1858" s="19" t="str">
        <x:v>東横線</x:v>
      </x:c>
      <x:c r="K1858" s="18" t="str">
        <x:v>transport-node:9a10eec7-3ce1-5e3e-bfd7-5c0c1c91251d</x:v>
      </x:c>
      <x:c r="L1858" s="19" t="str">
        <x:v>组件待审核</x:v>
      </x:c>
      <x:c r="M1858" s="21" t="n">
        <x:v>35.5105133</x:v>
      </x:c>
      <x:c r="N1858" s="21" t="n">
        <x:v>139.6313067</x:v>
      </x:c>
      <x:c r="O1858" s="18" t="str">
        <x:v>004487</x:v>
      </x:c>
      <x:c r="P1858" s="18" t="str">
        <x:v>東横線</x:v>
      </x:c>
      <x:c r="Q1858" s="19" t="str">
        <x:v>S12_061_GE_10000
OFFICIAL_HUB_COMPONENT_REVIEW</x:v>
      </x:c>
      <x:c r="R1858" s="19" t="str">
        <x:v>S12_061 usage threshold</x:v>
      </x:c>
      <x:c r="S1858" s="19" t="str">
        <x:v>https://nlftp.mlit.go.jp/ksj/gml/datalist/KsjTmplt-S12-2024.html</x:v>
      </x:c>
      <x:c r="T1858" s="19" t="str">
        <x:v>https://nlftp.mlit.go.jp/ksj/gml/datalist/KsjTmplt-S12-2024.html
https://www.tokyu.co.jp/area/kikuna/station/</x:v>
      </x:c>
      <x:c r="U1858" s="19" t="str">
        <x:v>station-component|菊名|東急電鉄|private_rail|35.5105|139.6313|</x:v>
      </x:c>
      <x:c r="V1858" s="19" t="str">
        <x:v>004487 / 004487 / 東横線</x:v>
      </x:c>
      <x:c r="W1858" s="18" t="str">
        <x:v>否</x:v>
      </x:c>
      <x:c r="X1858" s="18" t="str">
        <x:v>0785e932a32b3ec15e1a1345537ae145eafe1c07bf38d5c16c11ee2b391e7a28</x:v>
      </x:c>
      <x:c r="Y1858" s="20" t="n">
        <x:v>1</x:v>
      </x:c>
      <x:c r="Z1858" s="20" t="n">
        <x:v>1</x:v>
      </x:c>
      <x:c r="AA1858" s="19" t="str">
        <x:v>菊名</x:v>
      </x:c>
      <x:c r="AB1858" s="18" t="str">
        <x:v>transport-hub-review:a2cf845f-246b-5d50-b8af-81cd2afc8309</x:v>
      </x:c>
      <x:c r="AC1858" s="19"/>
    </x:row>
    <x:row r="1859" ht="33" customHeight="1">
      <x:c r="A1859" s="18" t="str">
        <x:v>菊名</x:v>
      </x:c>
      <x:c r="B1859" s="18" t="str">
        <x:v>東日本旅客鉄道</x:v>
      </x:c>
      <x:c r="C1859" s="18" t="str">
        <x:v>conventional_rail</x:v>
      </x:c>
      <x:c r="D1859" s="19" t="str">
        <x:v>T1</x:v>
      </x:c>
      <x:c r="E1859" s="20" t="n">
        <x:v>72496</x:v>
      </x:c>
      <x:c r="F1859" s="18" t="str">
        <x:v>persons/day</x:v>
      </x:c>
      <x:c r="G1859" s="18" t="str">
        <x:v>FY2024</x:v>
      </x:c>
      <x:c r="H1859" s="18" t="str">
        <x:v>否</x:v>
      </x:c>
      <x:c r="I1859" s="19" t="str">
        <x:v>DAILY_ENTRIES_EXITS</x:v>
      </x:c>
      <x:c r="J1859" s="19" t="str">
        <x:v>横浜線</x:v>
      </x:c>
      <x:c r="K1859" s="18" t="str">
        <x:v>transport-node:78f96472-ec0a-55b4-867d-4f9f184e332f</x:v>
      </x:c>
      <x:c r="L1859" s="19" t="str">
        <x:v>组件待审核</x:v>
      </x:c>
      <x:c r="M1859" s="21" t="n">
        <x:v>35.509635</x:v>
      </x:c>
      <x:c r="N1859" s="21" t="n">
        <x:v>139.63024</x:v>
      </x:c>
      <x:c r="O1859" s="18" t="str">
        <x:v>004490</x:v>
      </x:c>
      <x:c r="P1859" s="18" t="str">
        <x:v>横浜線</x:v>
      </x:c>
      <x:c r="Q1859" s="19" t="str">
        <x:v>S12_061_GE_10000
OFFICIAL_HUB_COMPONENT_REVIEW</x:v>
      </x:c>
      <x:c r="R1859" s="19" t="str">
        <x:v>S12_061 usage threshold</x:v>
      </x:c>
      <x:c r="S1859" s="19" t="str">
        <x:v>https://nlftp.mlit.go.jp/ksj/gml/datalist/KsjTmplt-S12-2024.html</x:v>
      </x:c>
      <x:c r="T1859" s="19" t="str">
        <x:v>https://nlftp.mlit.go.jp/ksj/gml/datalist/KsjTmplt-S12-2024.html
https://www.tokyu.co.jp/area/kikuna/station/</x:v>
      </x:c>
      <x:c r="U1859" s="19" t="str">
        <x:v>station-component|菊名|東日本旅客鉄道|conventional_rail|35.5096|139.6302|</x:v>
      </x:c>
      <x:c r="V1859" s="19" t="str">
        <x:v>004487 / 004490 / 横浜線</x:v>
      </x:c>
      <x:c r="W1859" s="18" t="str">
        <x:v>否</x:v>
      </x:c>
      <x:c r="X1859" s="18" t="str">
        <x:v>0785e932a32b3ec15e1a1345537ae145eafe1c07bf38d5c16c11ee2b391e7a28</x:v>
      </x:c>
      <x:c r="Y1859" s="20" t="n">
        <x:v>1</x:v>
      </x:c>
      <x:c r="Z1859" s="20" t="n">
        <x:v>1</x:v>
      </x:c>
      <x:c r="AA1859" s="19" t="str">
        <x:v>菊名</x:v>
      </x:c>
      <x:c r="AB1859" s="18" t="str">
        <x:v>transport-hub-review:a2cf845f-246b-5d50-b8af-81cd2afc8309</x:v>
      </x:c>
      <x:c r="AC1859" s="19"/>
    </x:row>
    <x:row r="1860" ht="28" customHeight="1">
      <x:c r="A1860" s="18" t="str">
        <x:v>菊川</x:v>
      </x:c>
      <x:c r="B1860" s="18" t="str">
        <x:v>東京都</x:v>
      </x:c>
      <x:c r="C1860" s="18" t="str">
        <x:v>metro</x:v>
      </x:c>
      <x:c r="D1860" s="19" t="str">
        <x:v>T2</x:v>
      </x:c>
      <x:c r="E1860" s="20" t="n">
        <x:v>24573</x:v>
      </x:c>
      <x:c r="F1860" s="18" t="str">
        <x:v>persons/day</x:v>
      </x:c>
      <x:c r="G1860" s="18" t="str">
        <x:v>FY2024</x:v>
      </x:c>
      <x:c r="H1860" s="18" t="str">
        <x:v>否</x:v>
      </x:c>
      <x:c r="I1860" s="19" t="str">
        <x:v>DAILY_ENTRIES_EXITS</x:v>
      </x:c>
      <x:c r="J1860" s="19" t="str">
        <x:v>10号線新宿線</x:v>
      </x:c>
      <x:c r="K1860" s="18" t="str">
        <x:v>transport-node:7de28a61-39b0-5cd5-93cf-cb5e55168cd7</x:v>
      </x:c>
      <x:c r="L1860" s="19" t="str">
        <x:v>组件待审核</x:v>
      </x:c>
      <x:c r="M1860" s="21" t="n">
        <x:v>35.6884067</x:v>
      </x:c>
      <x:c r="N1860" s="21" t="n">
        <x:v>139.8061033</x:v>
      </x:c>
      <x:c r="O1860" s="18" t="str">
        <x:v>003709</x:v>
      </x:c>
      <x:c r="P1860" s="18" t="str">
        <x:v>10号線新宿線</x:v>
      </x:c>
      <x:c r="Q1860" s="19" t="str">
        <x:v>S12_061_GE_10000</x:v>
      </x:c>
      <x:c r="R1860" s="19" t="str">
        <x:v>S12_061 usage threshold</x:v>
      </x:c>
      <x:c r="S1860" s="19" t="str">
        <x:v>https://nlftp.mlit.go.jp/ksj/gml/datalist/KsjTmplt-S12-2024.html</x:v>
      </x:c>
      <x:c r="T1860" s="19" t="str">
        <x:v>https://nlftp.mlit.go.jp/ksj/gml/datalist/KsjTmplt-S12-2024.html</x:v>
      </x:c>
      <x:c r="U1860" s="19" t="str">
        <x:v>station-component|菊川|東京都|metro|35.6884|139.8061|</x:v>
      </x:c>
      <x:c r="V1860" s="19" t="str">
        <x:v>003709 / 003709 / 10号線新宿線</x:v>
      </x:c>
      <x:c r="W1860" s="18" t="str">
        <x:v>否</x:v>
      </x:c>
      <x:c r="X1860" s="18" t="str">
        <x:v>0785e932a32b3ec15e1a1345537ae145eafe1c07bf38d5c16c11ee2b391e7a28</x:v>
      </x:c>
      <x:c r="Y1860" s="20" t="n">
        <x:v>1</x:v>
      </x:c>
      <x:c r="Z1860" s="20" t="n">
        <x:v>1</x:v>
      </x:c>
      <x:c r="AA1860" s="19"/>
      <x:c r="AB1860" s="18"/>
      <x:c r="AC1860" s="19"/>
    </x:row>
    <x:row r="1861" ht="28" customHeight="1">
      <x:c r="A1861" s="18" t="str">
        <x:v>菊水</x:v>
      </x:c>
      <x:c r="B1861" s="18" t="str">
        <x:v>札幌市</x:v>
      </x:c>
      <x:c r="C1861" s="18" t="str">
        <x:v>metro</x:v>
      </x:c>
      <x:c r="D1861" s="19" t="str">
        <x:v>T2</x:v>
      </x:c>
      <x:c r="E1861" s="20" t="n">
        <x:v>22754</x:v>
      </x:c>
      <x:c r="F1861" s="18" t="str">
        <x:v>persons/day</x:v>
      </x:c>
      <x:c r="G1861" s="18" t="str">
        <x:v>FY2024</x:v>
      </x:c>
      <x:c r="H1861" s="18" t="str">
        <x:v>否</x:v>
      </x:c>
      <x:c r="I1861" s="19" t="str">
        <x:v>DAILY_ENTRIES_EXITS</x:v>
      </x:c>
      <x:c r="J1861" s="19" t="str">
        <x:v>東西線</x:v>
      </x:c>
      <x:c r="K1861" s="18" t="str">
        <x:v>transport-node:9e27584b-2cea-5799-91e8-2cf4a1a18561</x:v>
      </x:c>
      <x:c r="L1861" s="19" t="str">
        <x:v>组件待审核</x:v>
      </x:c>
      <x:c r="M1861" s="21" t="n">
        <x:v>43.05726</x:v>
      </x:c>
      <x:c r="N1861" s="21" t="n">
        <x:v>141.372755</x:v>
      </x:c>
      <x:c r="O1861" s="18" t="str">
        <x:v>000243</x:v>
      </x:c>
      <x:c r="P1861" s="18" t="str">
        <x:v>東西線</x:v>
      </x:c>
      <x:c r="Q1861" s="19" t="str">
        <x:v>S12_061_GE_10000</x:v>
      </x:c>
      <x:c r="R1861" s="19" t="str">
        <x:v>S12_061 usage threshold</x:v>
      </x:c>
      <x:c r="S1861" s="19" t="str">
        <x:v>https://nlftp.mlit.go.jp/ksj/gml/datalist/KsjTmplt-S12-2024.html</x:v>
      </x:c>
      <x:c r="T1861" s="19" t="str">
        <x:v>https://nlftp.mlit.go.jp/ksj/gml/datalist/KsjTmplt-S12-2024.html</x:v>
      </x:c>
      <x:c r="U1861" s="19" t="str">
        <x:v>station-component|菊水|札幌市|metro|43.0573|141.3728|</x:v>
      </x:c>
      <x:c r="V1861" s="19" t="str">
        <x:v>000243 / 000243 / 東西線</x:v>
      </x:c>
      <x:c r="W1861" s="18" t="str">
        <x:v>否</x:v>
      </x:c>
      <x:c r="X1861" s="18" t="str">
        <x:v>0785e932a32b3ec15e1a1345537ae145eafe1c07bf38d5c16c11ee2b391e7a28</x:v>
      </x:c>
      <x:c r="Y1861" s="20" t="n">
        <x:v>1</x:v>
      </x:c>
      <x:c r="Z1861" s="20" t="n">
        <x:v>1</x:v>
      </x:c>
      <x:c r="AA1861" s="19"/>
      <x:c r="AB1861" s="18"/>
      <x:c r="AC1861" s="19"/>
    </x:row>
    <x:row r="1862" ht="28" customHeight="1">
      <x:c r="A1862" s="18" t="str">
        <x:v>菖蒲池</x:v>
      </x:c>
      <x:c r="B1862" s="18" t="str">
        <x:v>近畿日本鉄道</x:v>
      </x:c>
      <x:c r="C1862" s="18" t="str">
        <x:v>private_rail</x:v>
      </x:c>
      <x:c r="D1862" s="19" t="str">
        <x:v>T2</x:v>
      </x:c>
      <x:c r="E1862" s="20" t="n">
        <x:v>11136</x:v>
      </x:c>
      <x:c r="F1862" s="18" t="str">
        <x:v>persons/day</x:v>
      </x:c>
      <x:c r="G1862" s="18" t="str">
        <x:v>FY2024</x:v>
      </x:c>
      <x:c r="H1862" s="18" t="str">
        <x:v>否</x:v>
      </x:c>
      <x:c r="I1862" s="19" t="str">
        <x:v>DAILY_ENTRIES_EXITS</x:v>
      </x:c>
      <x:c r="J1862" s="19" t="str">
        <x:v>奈良線</x:v>
      </x:c>
      <x:c r="K1862" s="18" t="str">
        <x:v>transport-node:a9e0d55c-6e80-5d9b-8914-7add6d7b9ecf</x:v>
      </x:c>
      <x:c r="L1862" s="19" t="str">
        <x:v>组件待审核</x:v>
      </x:c>
      <x:c r="M1862" s="21" t="n">
        <x:v>34.697925</x:v>
      </x:c>
      <x:c r="N1862" s="21" t="n">
        <x:v>135.761275</x:v>
      </x:c>
      <x:c r="O1862" s="18" t="str">
        <x:v>007088</x:v>
      </x:c>
      <x:c r="P1862" s="18" t="str">
        <x:v>奈良線</x:v>
      </x:c>
      <x:c r="Q1862" s="19" t="str">
        <x:v>S12_061_GE_10000</x:v>
      </x:c>
      <x:c r="R1862" s="19" t="str">
        <x:v>S12_061 usage threshold</x:v>
      </x:c>
      <x:c r="S1862" s="19" t="str">
        <x:v>https://nlftp.mlit.go.jp/ksj/gml/datalist/KsjTmplt-S12-2024.html</x:v>
      </x:c>
      <x:c r="T1862" s="19" t="str">
        <x:v>https://nlftp.mlit.go.jp/ksj/gml/datalist/KsjTmplt-S12-2024.html</x:v>
      </x:c>
      <x:c r="U1862" s="19" t="str">
        <x:v>station-component|菖蒲池|近畿日本鉄道|private_rail|34.6979|135.7613|</x:v>
      </x:c>
      <x:c r="V1862" s="19" t="str">
        <x:v>007088 / 007088 / 奈良線</x:v>
      </x:c>
      <x:c r="W1862" s="18" t="str">
        <x:v>否</x:v>
      </x:c>
      <x:c r="X1862" s="18" t="str">
        <x:v>0785e932a32b3ec15e1a1345537ae145eafe1c07bf38d5c16c11ee2b391e7a28</x:v>
      </x:c>
      <x:c r="Y1862" s="20" t="n">
        <x:v>1</x:v>
      </x:c>
      <x:c r="Z1862" s="20" t="n">
        <x:v>1</x:v>
      </x:c>
      <x:c r="AA1862" s="19"/>
      <x:c r="AB1862" s="18"/>
      <x:c r="AC1862" s="19"/>
    </x:row>
    <x:row r="1863" ht="33" customHeight="1">
      <x:c r="A1863" s="18" t="str">
        <x:v>萩山</x:v>
      </x:c>
      <x:c r="B1863" s="18" t="str">
        <x:v>西武鉄道</x:v>
      </x:c>
      <x:c r="C1863" s="18" t="str">
        <x:v>private_rail</x:v>
      </x:c>
      <x:c r="D1863" s="19" t="str">
        <x:v>T3</x:v>
      </x:c>
      <x:c r="E1863" s="20" t="n">
        <x:v>9179</x:v>
      </x:c>
      <x:c r="F1863" s="18" t="str">
        <x:v>persons/day</x:v>
      </x:c>
      <x:c r="G1863" s="18" t="str">
        <x:v>FY2024</x:v>
      </x:c>
      <x:c r="H1863" s="18" t="str">
        <x:v>否</x:v>
      </x:c>
      <x:c r="I1863" s="19" t="str">
        <x:v>DAILY_ENTRIES_EXITS</x:v>
      </x:c>
      <x:c r="J1863" s="19" t="str">
        <x:v>多摩湖線
拝島線</x:v>
      </x:c>
      <x:c r="K1863" s="18" t="str">
        <x:v>transport-node:99057a2b-9968-5edb-9330-310011a7435f</x:v>
      </x:c>
      <x:c r="L1863" s="19" t="str">
        <x:v>组件待审核</x:v>
      </x:c>
      <x:c r="M1863" s="21" t="n">
        <x:v>35.7407625</x:v>
      </x:c>
      <x:c r="N1863" s="21" t="n">
        <x:v>139.47687</x:v>
      </x:c>
      <x:c r="O1863" s="18" t="str">
        <x:v>003313</x:v>
      </x:c>
      <x:c r="P1863" s="18" t="str">
        <x:v>拝島線</x:v>
      </x:c>
      <x:c r="Q1863" s="19" t="str">
        <x:v>OFFICIAL_HUB_COMPONENT_REVIEW</x:v>
      </x:c>
      <x:c r="R1863" s="19" t="str">
        <x:v>S12_061 usage threshold; low-flow inclusion justified by official Hub component review</x:v>
      </x:c>
      <x:c r="S1863" s="19" t="str">
        <x:v>https://nlftp.mlit.go.jp/ksj/gml/datalist/KsjTmplt-S12-2024.html</x:v>
      </x:c>
      <x:c r="T1863" s="19" t="str">
        <x:v>https://nlftp.mlit.go.jp/ksj/gml/datalist/KsjTmplt-S12-2024.html
https://www.seiburailway.jp/railway/station/</x:v>
      </x:c>
      <x:c r="U1863" s="19" t="str">
        <x:v>station-component|萩山|西武鉄道|private_rail|35.7408|139.4769|</x:v>
      </x:c>
      <x:c r="V1863" s="19" t="str">
        <x:v>003312 / 003312 / 多摩湖線
003312 / 003313 / 拝島線</x:v>
      </x:c>
      <x:c r="W1863" s="18" t="str">
        <x:v>否</x:v>
      </x:c>
      <x:c r="X1863" s="18" t="str">
        <x:v>0785e932a32b3ec15e1a1345537ae145eafe1c07bf38d5c16c11ee2b391e7a28</x:v>
      </x:c>
      <x:c r="Y1863" s="20" t="n">
        <x:v>1</x:v>
      </x:c>
      <x:c r="Z1863" s="20" t="n">
        <x:v>1</x:v>
      </x:c>
      <x:c r="AA1863" s="19" t="str">
        <x:v>萩山</x:v>
      </x:c>
      <x:c r="AB1863" s="18" t="str">
        <x:v>transport-hub-review:3088b69c-269b-5f9f-9481-2c9eb328e520</x:v>
      </x:c>
      <x:c r="AC1863" s="19"/>
    </x:row>
    <x:row r="1864" ht="28" customHeight="1">
      <x:c r="A1864" s="18" t="str">
        <x:v>萱島</x:v>
      </x:c>
      <x:c r="B1864" s="18" t="str">
        <x:v>京阪電気鉄道</x:v>
      </x:c>
      <x:c r="C1864" s="18" t="str">
        <x:v>private_rail</x:v>
      </x:c>
      <x:c r="D1864" s="19" t="str">
        <x:v>T2</x:v>
      </x:c>
      <x:c r="E1864" s="20" t="n">
        <x:v>21142</x:v>
      </x:c>
      <x:c r="F1864" s="18" t="str">
        <x:v>persons/day</x:v>
      </x:c>
      <x:c r="G1864" s="18" t="str">
        <x:v>FY2024</x:v>
      </x:c>
      <x:c r="H1864" s="18" t="str">
        <x:v>否</x:v>
      </x:c>
      <x:c r="I1864" s="19" t="str">
        <x:v>DAILY_ENTRIES_EXITS</x:v>
      </x:c>
      <x:c r="J1864" s="19" t="str">
        <x:v>京阪本線</x:v>
      </x:c>
      <x:c r="K1864" s="18" t="str">
        <x:v>transport-node:29950d09-f170-525c-9718-f2dff330d5dd</x:v>
      </x:c>
      <x:c r="L1864" s="19" t="str">
        <x:v>组件待审核</x:v>
      </x:c>
      <x:c r="M1864" s="21" t="n">
        <x:v>34.7474</x:v>
      </x:c>
      <x:c r="N1864" s="21" t="n">
        <x:v>135.6109967</x:v>
      </x:c>
      <x:c r="O1864" s="18" t="str">
        <x:v>006845</x:v>
      </x:c>
      <x:c r="P1864" s="18" t="str">
        <x:v>京阪本線</x:v>
      </x:c>
      <x:c r="Q1864" s="19" t="str">
        <x:v>S12_061_GE_10000</x:v>
      </x:c>
      <x:c r="R1864" s="19" t="str">
        <x:v>S12_061 usage threshold</x:v>
      </x:c>
      <x:c r="S1864" s="19" t="str">
        <x:v>https://nlftp.mlit.go.jp/ksj/gml/datalist/KsjTmplt-S12-2024.html</x:v>
      </x:c>
      <x:c r="T1864" s="19" t="str">
        <x:v>https://nlftp.mlit.go.jp/ksj/gml/datalist/KsjTmplt-S12-2024.html</x:v>
      </x:c>
      <x:c r="U1864" s="19" t="str">
        <x:v>station-component|萱島|京阪電気鉄道|private_rail|34.7474|135.6110|</x:v>
      </x:c>
      <x:c r="V1864" s="19" t="str">
        <x:v>006845 / 006845 / 京阪本線</x:v>
      </x:c>
      <x:c r="W1864" s="18" t="str">
        <x:v>否</x:v>
      </x:c>
      <x:c r="X1864" s="18" t="str">
        <x:v>0785e932a32b3ec15e1a1345537ae145eafe1c07bf38d5c16c11ee2b391e7a28</x:v>
      </x:c>
      <x:c r="Y1864" s="20" t="n">
        <x:v>1</x:v>
      </x:c>
      <x:c r="Z1864" s="20" t="n">
        <x:v>1</x:v>
      </x:c>
      <x:c r="AA1864" s="19"/>
      <x:c r="AB1864" s="18"/>
      <x:c r="AC1864" s="19"/>
    </x:row>
    <x:row r="1865" ht="28" customHeight="1">
      <x:c r="A1865" s="18" t="str">
        <x:v>落合</x:v>
      </x:c>
      <x:c r="B1865" s="18" t="str">
        <x:v>東京地下鉄</x:v>
      </x:c>
      <x:c r="C1865" s="18" t="str">
        <x:v>metro</x:v>
      </x:c>
      <x:c r="D1865" s="19" t="str">
        <x:v>T2</x:v>
      </x:c>
      <x:c r="E1865" s="20" t="n">
        <x:v>26664</x:v>
      </x:c>
      <x:c r="F1865" s="18" t="str">
        <x:v>persons/day</x:v>
      </x:c>
      <x:c r="G1865" s="18" t="str">
        <x:v>FY2024</x:v>
      </x:c>
      <x:c r="H1865" s="18" t="str">
        <x:v>否</x:v>
      </x:c>
      <x:c r="I1865" s="19" t="str">
        <x:v>DAILY_ENTRIES_EXITS</x:v>
      </x:c>
      <x:c r="J1865" s="19" t="str">
        <x:v>5号線東西線</x:v>
      </x:c>
      <x:c r="K1865" s="18" t="str">
        <x:v>transport-node:39003185-b0a3-52c4-9023-8c786f751a11</x:v>
      </x:c>
      <x:c r="L1865" s="19" t="str">
        <x:v>组件待审核</x:v>
      </x:c>
      <x:c r="M1865" s="21" t="n">
        <x:v>35.710635</x:v>
      </x:c>
      <x:c r="N1865" s="21" t="n">
        <x:v>139.685965</x:v>
      </x:c>
      <x:c r="O1865" s="18" t="str">
        <x:v>003523</x:v>
      </x:c>
      <x:c r="P1865" s="18" t="str">
        <x:v>5号線東西線</x:v>
      </x:c>
      <x:c r="Q1865" s="19" t="str">
        <x:v>S12_061_GE_10000</x:v>
      </x:c>
      <x:c r="R1865" s="19" t="str">
        <x:v>S12_061 usage threshold</x:v>
      </x:c>
      <x:c r="S1865" s="19" t="str">
        <x:v>https://nlftp.mlit.go.jp/ksj/gml/datalist/KsjTmplt-S12-2024.html</x:v>
      </x:c>
      <x:c r="T1865" s="19" t="str">
        <x:v>https://nlftp.mlit.go.jp/ksj/gml/datalist/KsjTmplt-S12-2024.html</x:v>
      </x:c>
      <x:c r="U1865" s="19" t="str">
        <x:v>station-component|落合|東京地下鉄|metro|35.7106|139.6860|</x:v>
      </x:c>
      <x:c r="V1865" s="19" t="str">
        <x:v>003523 / 003523 / 5号線東西線</x:v>
      </x:c>
      <x:c r="W1865" s="18" t="str">
        <x:v>否</x:v>
      </x:c>
      <x:c r="X1865" s="18" t="str">
        <x:v>0785e932a32b3ec15e1a1345537ae145eafe1c07bf38d5c16c11ee2b391e7a28</x:v>
      </x:c>
      <x:c r="Y1865" s="20" t="n">
        <x:v>1</x:v>
      </x:c>
      <x:c r="Z1865" s="20" t="n">
        <x:v>1</x:v>
      </x:c>
      <x:c r="AA1865" s="19"/>
      <x:c r="AB1865" s="18"/>
      <x:c r="AC1865" s="19"/>
    </x:row>
    <x:row r="1866" ht="28" customHeight="1">
      <x:c r="A1866" s="18" t="str">
        <x:v>落合南長崎</x:v>
      </x:c>
      <x:c r="B1866" s="18" t="str">
        <x:v>東京都</x:v>
      </x:c>
      <x:c r="C1866" s="18" t="str">
        <x:v>metro</x:v>
      </x:c>
      <x:c r="D1866" s="19" t="str">
        <x:v>T2</x:v>
      </x:c>
      <x:c r="E1866" s="20" t="n">
        <x:v>27118</x:v>
      </x:c>
      <x:c r="F1866" s="18" t="str">
        <x:v>persons/day</x:v>
      </x:c>
      <x:c r="G1866" s="18" t="str">
        <x:v>FY2024</x:v>
      </x:c>
      <x:c r="H1866" s="18" t="str">
        <x:v>否</x:v>
      </x:c>
      <x:c r="I1866" s="19" t="str">
        <x:v>DAILY_ENTRIES_EXITS</x:v>
      </x:c>
      <x:c r="J1866" s="19" t="str">
        <x:v>12号線大江戸線</x:v>
      </x:c>
      <x:c r="K1866" s="18" t="str">
        <x:v>transport-node:d9e74893-11fb-5e7b-a190-83167d9eec5c</x:v>
      </x:c>
      <x:c r="L1866" s="19" t="str">
        <x:v>组件待审核</x:v>
      </x:c>
      <x:c r="M1866" s="21" t="n">
        <x:v>35.723435</x:v>
      </x:c>
      <x:c r="N1866" s="21" t="n">
        <x:v>139.6834575</x:v>
      </x:c>
      <x:c r="O1866" s="18" t="str">
        <x:v>003448</x:v>
      </x:c>
      <x:c r="P1866" s="18" t="str">
        <x:v>12号線大江戸線</x:v>
      </x:c>
      <x:c r="Q1866" s="19" t="str">
        <x:v>S12_061_GE_10000</x:v>
      </x:c>
      <x:c r="R1866" s="19" t="str">
        <x:v>S12_061 usage threshold</x:v>
      </x:c>
      <x:c r="S1866" s="19" t="str">
        <x:v>https://nlftp.mlit.go.jp/ksj/gml/datalist/KsjTmplt-S12-2024.html</x:v>
      </x:c>
      <x:c r="T1866" s="19" t="str">
        <x:v>https://nlftp.mlit.go.jp/ksj/gml/datalist/KsjTmplt-S12-2024.html</x:v>
      </x:c>
      <x:c r="U1866" s="19" t="str">
        <x:v>station-component|落合南長崎|東京都|metro|35.7234|139.6835|</x:v>
      </x:c>
      <x:c r="V1866" s="19" t="str">
        <x:v>003448 / 003448 / 12号線大江戸線</x:v>
      </x:c>
      <x:c r="W1866" s="18" t="str">
        <x:v>否</x:v>
      </x:c>
      <x:c r="X1866" s="18" t="str">
        <x:v>0785e932a32b3ec15e1a1345537ae145eafe1c07bf38d5c16c11ee2b391e7a28</x:v>
      </x:c>
      <x:c r="Y1866" s="20" t="n">
        <x:v>1</x:v>
      </x:c>
      <x:c r="Z1866" s="20" t="n">
        <x:v>1</x:v>
      </x:c>
      <x:c r="AA1866" s="19"/>
      <x:c r="AB1866" s="18"/>
      <x:c r="AC1866" s="19"/>
    </x:row>
    <x:row r="1867" ht="28" customHeight="1">
      <x:c r="A1867" s="18" t="str">
        <x:v>葛西</x:v>
      </x:c>
      <x:c r="B1867" s="18" t="str">
        <x:v>東京地下鉄</x:v>
      </x:c>
      <x:c r="C1867" s="18" t="str">
        <x:v>metro</x:v>
      </x:c>
      <x:c r="D1867" s="19" t="str">
        <x:v>T1</x:v>
      </x:c>
      <x:c r="E1867" s="20" t="n">
        <x:v>99258</x:v>
      </x:c>
      <x:c r="F1867" s="18" t="str">
        <x:v>persons/day</x:v>
      </x:c>
      <x:c r="G1867" s="18" t="str">
        <x:v>FY2024</x:v>
      </x:c>
      <x:c r="H1867" s="18" t="str">
        <x:v>否</x:v>
      </x:c>
      <x:c r="I1867" s="19" t="str">
        <x:v>DAILY_ENTRIES_EXITS</x:v>
      </x:c>
      <x:c r="J1867" s="19" t="str">
        <x:v>5号線東西線</x:v>
      </x:c>
      <x:c r="K1867" s="18" t="str">
        <x:v>transport-node:98133273-3fe7-58c7-8c2b-52b788095359</x:v>
      </x:c>
      <x:c r="L1867" s="19" t="str">
        <x:v>组件待审核</x:v>
      </x:c>
      <x:c r="M1867" s="21" t="n">
        <x:v>35.66363</x:v>
      </x:c>
      <x:c r="N1867" s="21" t="n">
        <x:v>139.8723088</x:v>
      </x:c>
      <x:c r="O1867" s="18" t="str">
        <x:v>003894</x:v>
      </x:c>
      <x:c r="P1867" s="18" t="str">
        <x:v>5号線東西線</x:v>
      </x:c>
      <x:c r="Q1867" s="19" t="str">
        <x:v>S12_061_GE_10000</x:v>
      </x:c>
      <x:c r="R1867" s="19" t="str">
        <x:v>S12_061 usage threshold</x:v>
      </x:c>
      <x:c r="S1867" s="19" t="str">
        <x:v>https://nlftp.mlit.go.jp/ksj/gml/datalist/KsjTmplt-S12-2024.html</x:v>
      </x:c>
      <x:c r="T1867" s="19" t="str">
        <x:v>https://nlftp.mlit.go.jp/ksj/gml/datalist/KsjTmplt-S12-2024.html</x:v>
      </x:c>
      <x:c r="U1867" s="19" t="str">
        <x:v>station-component|葛西|東京地下鉄|metro|35.6636|139.8723|</x:v>
      </x:c>
      <x:c r="V1867" s="19" t="str">
        <x:v>003894 / 003894 / 5号線東西線</x:v>
      </x:c>
      <x:c r="W1867" s="18" t="str">
        <x:v>否</x:v>
      </x:c>
      <x:c r="X1867" s="18" t="str">
        <x:v>0785e932a32b3ec15e1a1345537ae145eafe1c07bf38d5c16c11ee2b391e7a28</x:v>
      </x:c>
      <x:c r="Y1867" s="20" t="n">
        <x:v>1</x:v>
      </x:c>
      <x:c r="Z1867" s="20" t="n">
        <x:v>1</x:v>
      </x:c>
      <x:c r="AA1867" s="19"/>
      <x:c r="AB1867" s="18"/>
      <x:c r="AC1867" s="19"/>
    </x:row>
    <x:row r="1868" ht="28" customHeight="1">
      <x:c r="A1868" s="18" t="str">
        <x:v>葛西臨海公園</x:v>
      </x:c>
      <x:c r="B1868" s="18" t="str">
        <x:v>東日本旅客鉄道</x:v>
      </x:c>
      <x:c r="C1868" s="18" t="str">
        <x:v>conventional_rail</x:v>
      </x:c>
      <x:c r="D1868" s="19" t="str">
        <x:v>T2</x:v>
      </x:c>
      <x:c r="E1868" s="20" t="n">
        <x:v>29022</x:v>
      </x:c>
      <x:c r="F1868" s="18" t="str">
        <x:v>persons/day</x:v>
      </x:c>
      <x:c r="G1868" s="18" t="str">
        <x:v>FY2024</x:v>
      </x:c>
      <x:c r="H1868" s="18" t="str">
        <x:v>否</x:v>
      </x:c>
      <x:c r="I1868" s="19" t="str">
        <x:v>DAILY_ENTRIES_EXITS</x:v>
      </x:c>
      <x:c r="J1868" s="19" t="str">
        <x:v>京葉線</x:v>
      </x:c>
      <x:c r="K1868" s="18" t="str">
        <x:v>transport-node:b80f1659-ee3c-547f-b575-5b2a76031cda</x:v>
      </x:c>
      <x:c r="L1868" s="19" t="str">
        <x:v>组件待审核</x:v>
      </x:c>
      <x:c r="M1868" s="21" t="n">
        <x:v>35.64417</x:v>
      </x:c>
      <x:c r="N1868" s="21" t="n">
        <x:v>139.861485</x:v>
      </x:c>
      <x:c r="O1868" s="18" t="str">
        <x:v>004012</x:v>
      </x:c>
      <x:c r="P1868" s="18" t="str">
        <x:v>京葉線</x:v>
      </x:c>
      <x:c r="Q1868" s="19" t="str">
        <x:v>S12_061_GE_10000</x:v>
      </x:c>
      <x:c r="R1868" s="19" t="str">
        <x:v>S12_061 usage threshold</x:v>
      </x:c>
      <x:c r="S1868" s="19" t="str">
        <x:v>https://nlftp.mlit.go.jp/ksj/gml/datalist/KsjTmplt-S12-2024.html</x:v>
      </x:c>
      <x:c r="T1868" s="19" t="str">
        <x:v>https://nlftp.mlit.go.jp/ksj/gml/datalist/KsjTmplt-S12-2024.html</x:v>
      </x:c>
      <x:c r="U1868" s="19" t="str">
        <x:v>station-component|葛西臨海公園|東日本旅客鉄道|conventional_rail|35.6442|139.8615|</x:v>
      </x:c>
      <x:c r="V1868" s="19" t="str">
        <x:v>004012 / 004012 / 京葉線</x:v>
      </x:c>
      <x:c r="W1868" s="18" t="str">
        <x:v>否</x:v>
      </x:c>
      <x:c r="X1868" s="18" t="str">
        <x:v>0785e932a32b3ec15e1a1345537ae145eafe1c07bf38d5c16c11ee2b391e7a28</x:v>
      </x:c>
      <x:c r="Y1868" s="20" t="n">
        <x:v>1</x:v>
      </x:c>
      <x:c r="Z1868" s="20" t="n">
        <x:v>1</x:v>
      </x:c>
      <x:c r="AA1868" s="19"/>
      <x:c r="AB1868" s="18"/>
      <x:c r="AC1868" s="19"/>
    </x:row>
    <x:row r="1869" ht="28" customHeight="1">
      <x:c r="A1869" s="18" t="str">
        <x:v>蒔田</x:v>
      </x:c>
      <x:c r="B1869" s="18" t="str">
        <x:v>横浜市</x:v>
      </x:c>
      <x:c r="C1869" s="18" t="str">
        <x:v>metro</x:v>
      </x:c>
      <x:c r="D1869" s="19" t="str">
        <x:v>T2</x:v>
      </x:c>
      <x:c r="E1869" s="20" t="n">
        <x:v>11150</x:v>
      </x:c>
      <x:c r="F1869" s="18" t="str">
        <x:v>persons/day</x:v>
      </x:c>
      <x:c r="G1869" s="18" t="str">
        <x:v>FY2024</x:v>
      </x:c>
      <x:c r="H1869" s="18" t="str">
        <x:v>否</x:v>
      </x:c>
      <x:c r="I1869" s="19" t="str">
        <x:v>DAILY_ENTRIES_EXITS</x:v>
      </x:c>
      <x:c r="J1869" s="19" t="str">
        <x:v>1号線</x:v>
      </x:c>
      <x:c r="K1869" s="18" t="str">
        <x:v>transport-node:d284b22a-604b-527c-b58b-d5cc9fe165be</x:v>
      </x:c>
      <x:c r="L1869" s="19" t="str">
        <x:v>组件待审核</x:v>
      </x:c>
      <x:c r="M1869" s="21" t="n">
        <x:v>35.43031</x:v>
      </x:c>
      <x:c r="N1869" s="21" t="n">
        <x:v>139.61053</x:v>
      </x:c>
      <x:c r="O1869" s="18" t="str">
        <x:v>004737</x:v>
      </x:c>
      <x:c r="P1869" s="18" t="str">
        <x:v>1号線</x:v>
      </x:c>
      <x:c r="Q1869" s="19" t="str">
        <x:v>S12_061_GE_10000</x:v>
      </x:c>
      <x:c r="R1869" s="19" t="str">
        <x:v>S12_061 usage threshold</x:v>
      </x:c>
      <x:c r="S1869" s="19" t="str">
        <x:v>https://nlftp.mlit.go.jp/ksj/gml/datalist/KsjTmplt-S12-2024.html</x:v>
      </x:c>
      <x:c r="T1869" s="19" t="str">
        <x:v>https://nlftp.mlit.go.jp/ksj/gml/datalist/KsjTmplt-S12-2024.html</x:v>
      </x:c>
      <x:c r="U1869" s="19" t="str">
        <x:v>station-component|蒔田|横浜市|metro|35.4303|139.6105|</x:v>
      </x:c>
      <x:c r="V1869" s="19" t="str">
        <x:v>004737 / 004737 / 1号線</x:v>
      </x:c>
      <x:c r="W1869" s="18" t="str">
        <x:v>否</x:v>
      </x:c>
      <x:c r="X1869" s="18" t="str">
        <x:v>0785e932a32b3ec15e1a1345537ae145eafe1c07bf38d5c16c11ee2b391e7a28</x:v>
      </x:c>
      <x:c r="Y1869" s="20" t="n">
        <x:v>1</x:v>
      </x:c>
      <x:c r="Z1869" s="20" t="n">
        <x:v>1</x:v>
      </x:c>
      <x:c r="AA1869" s="19"/>
      <x:c r="AB1869" s="18"/>
      <x:c r="AC1869" s="19"/>
    </x:row>
    <x:row r="1870" ht="28" customHeight="1">
      <x:c r="A1870" s="18" t="str">
        <x:v>蒲生</x:v>
      </x:c>
      <x:c r="B1870" s="18" t="str">
        <x:v>東武鉄道</x:v>
      </x:c>
      <x:c r="C1870" s="18" t="str">
        <x:v>private_rail</x:v>
      </x:c>
      <x:c r="D1870" s="19" t="str">
        <x:v>T2</x:v>
      </x:c>
      <x:c r="E1870" s="20" t="n">
        <x:v>17051</x:v>
      </x:c>
      <x:c r="F1870" s="18" t="str">
        <x:v>persons/day</x:v>
      </x:c>
      <x:c r="G1870" s="18" t="str">
        <x:v>FY2024</x:v>
      </x:c>
      <x:c r="H1870" s="18" t="str">
        <x:v>否</x:v>
      </x:c>
      <x:c r="I1870" s="19" t="str">
        <x:v>DAILY_ENTRIES_EXITS</x:v>
      </x:c>
      <x:c r="J1870" s="19" t="str">
        <x:v>伊勢崎線</x:v>
      </x:c>
      <x:c r="K1870" s="18" t="str">
        <x:v>transport-node:3cd92d4f-c38c-5473-832e-5e2d96d89049</x:v>
      </x:c>
      <x:c r="L1870" s="19" t="str">
        <x:v>组件待审核</x:v>
      </x:c>
      <x:c r="M1870" s="21" t="n">
        <x:v>35.86689</x:v>
      </x:c>
      <x:c r="N1870" s="21" t="n">
        <x:v>139.791765</x:v>
      </x:c>
      <x:c r="O1870" s="18" t="str">
        <x:v>002977</x:v>
      </x:c>
      <x:c r="P1870" s="18" t="str">
        <x:v>伊勢崎線</x:v>
      </x:c>
      <x:c r="Q1870" s="19" t="str">
        <x:v>S12_061_GE_10000</x:v>
      </x:c>
      <x:c r="R1870" s="19" t="str">
        <x:v>S12_061 usage threshold</x:v>
      </x:c>
      <x:c r="S1870" s="19" t="str">
        <x:v>https://nlftp.mlit.go.jp/ksj/gml/datalist/KsjTmplt-S12-2024.html</x:v>
      </x:c>
      <x:c r="T1870" s="19" t="str">
        <x:v>https://nlftp.mlit.go.jp/ksj/gml/datalist/KsjTmplt-S12-2024.html</x:v>
      </x:c>
      <x:c r="U1870" s="19" t="str">
        <x:v>station-component|蒲生|東武鉄道|private_rail|35.8669|139.7918|</x:v>
      </x:c>
      <x:c r="V1870" s="19" t="str">
        <x:v>002977 / 002977 / 伊勢崎線</x:v>
      </x:c>
      <x:c r="W1870" s="18" t="str">
        <x:v>否</x:v>
      </x:c>
      <x:c r="X1870" s="18" t="str">
        <x:v>0785e932a32b3ec15e1a1345537ae145eafe1c07bf38d5c16c11ee2b391e7a28</x:v>
      </x:c>
      <x:c r="Y1870" s="20" t="n">
        <x:v>1</x:v>
      </x:c>
      <x:c r="Z1870" s="20" t="n">
        <x:v>1</x:v>
      </x:c>
      <x:c r="AA1870" s="19"/>
      <x:c r="AB1870" s="18"/>
      <x:c r="AC1870" s="19"/>
    </x:row>
    <x:row r="1871" ht="33" customHeight="1">
      <x:c r="A1871" s="18" t="str">
        <x:v>蒲生四丁目</x:v>
      </x:c>
      <x:c r="B1871" s="18" t="str">
        <x:v>大阪市高速電気軌道</x:v>
      </x:c>
      <x:c r="C1871" s="18" t="str">
        <x:v>metro</x:v>
      </x:c>
      <x:c r="D1871" s="19" t="str">
        <x:v>T2</x:v>
      </x:c>
      <x:c r="E1871" s="20" t="n">
        <x:v>17513</x:v>
      </x:c>
      <x:c r="F1871" s="18" t="str">
        <x:v>persons/day</x:v>
      </x:c>
      <x:c r="G1871" s="18" t="str">
        <x:v>FY2024</x:v>
      </x:c>
      <x:c r="H1871" s="18" t="str">
        <x:v>否</x:v>
      </x:c>
      <x:c r="I1871" s="19" t="str">
        <x:v>DAILY_ENTRIES_EXITS</x:v>
      </x:c>
      <x:c r="J1871" s="19" t="str">
        <x:v>7号線(長堀鶴見緑地線)
8号線(今里筋線)</x:v>
      </x:c>
      <x:c r="K1871" s="18" t="str">
        <x:v>transport-node:0c62c1c4-f832-5b9d-a1e7-ba889b4ae12e</x:v>
      </x:c>
      <x:c r="L1871" s="19" t="str">
        <x:v>组件待审核</x:v>
      </x:c>
      <x:c r="M1871" s="21" t="n">
        <x:v>34.70049</x:v>
      </x:c>
      <x:c r="N1871" s="21" t="n">
        <x:v>135.54775</x:v>
      </x:c>
      <x:c r="O1871" s="18" t="str">
        <x:v>007075</x:v>
      </x:c>
      <x:c r="P1871" s="18" t="str">
        <x:v>7号線(長堀鶴見緑地線)</x:v>
      </x:c>
      <x:c r="Q1871" s="19" t="str">
        <x:v>S12_061_GE_10000
OFFICIAL_HUB_COMPONENT_REVIEW</x:v>
      </x:c>
      <x:c r="R1871" s="19" t="str">
        <x:v>S12_061 usage threshold</x:v>
      </x:c>
      <x:c r="S1871" s="19" t="str">
        <x:v>https://nlftp.mlit.go.jp/ksj/gml/datalist/KsjTmplt-S12-2024.html</x:v>
      </x:c>
      <x:c r="T1871" s="19" t="str">
        <x:v>https://nlftp.mlit.go.jp/ksj/gml/datalist/KsjTmplt-S12-2024.html
https://subway.osakametro.co.jp/station_guide/I/i18/index.php</x:v>
      </x:c>
      <x:c r="U1871" s="19" t="str">
        <x:v>station-component|蒲生四丁目|大阪市高速電気軌道|metro|34.7005|135.5478|</x:v>
      </x:c>
      <x:c r="V1871" s="19" t="str">
        <x:v>007073 / 007073 / 8号線(今里筋線)
007073 / 007075 / 7号線(長堀鶴見緑地線)</x:v>
      </x:c>
      <x:c r="W1871" s="18" t="str">
        <x:v>否</x:v>
      </x:c>
      <x:c r="X1871" s="18" t="str">
        <x:v>0785e932a32b3ec15e1a1345537ae145eafe1c07bf38d5c16c11ee2b391e7a28</x:v>
      </x:c>
      <x:c r="Y1871" s="20" t="n">
        <x:v>1</x:v>
      </x:c>
      <x:c r="Z1871" s="20" t="n">
        <x:v>1</x:v>
      </x:c>
      <x:c r="AA1871" s="19" t="str">
        <x:v>蒲生四丁目</x:v>
      </x:c>
      <x:c r="AB1871" s="18" t="str">
        <x:v>transport-hub-review:4bd410bb-0446-5c07-9350-78c4d9fd47f7</x:v>
      </x:c>
      <x:c r="AC1871" s="19"/>
    </x:row>
    <x:row r="1872" ht="33" customHeight="1">
      <x:c r="A1872" s="18" t="str">
        <x:v>蒲田</x:v>
      </x:c>
      <x:c r="B1872" s="18" t="str">
        <x:v>東急電鉄</x:v>
      </x:c>
      <x:c r="C1872" s="18" t="str">
        <x:v>private_rail</x:v>
      </x:c>
      <x:c r="D1872" s="19" t="str">
        <x:v>T1</x:v>
      </x:c>
      <x:c r="E1872" s="20" t="n">
        <x:v>156965</x:v>
      </x:c>
      <x:c r="F1872" s="18" t="str">
        <x:v>persons/day</x:v>
      </x:c>
      <x:c r="G1872" s="18" t="str">
        <x:v>FY2024</x:v>
      </x:c>
      <x:c r="H1872" s="18" t="str">
        <x:v>否</x:v>
      </x:c>
      <x:c r="I1872" s="19" t="str">
        <x:v>DAILY_ENTRIES_EXITS</x:v>
      </x:c>
      <x:c r="J1872" s="19" t="str">
        <x:v>東急多摩川線
池上線</x:v>
      </x:c>
      <x:c r="K1872" s="18" t="str">
        <x:v>transport-node:f9cb6d48-f5f3-5860-9ae4-d6b94ff518f1</x:v>
      </x:c>
      <x:c r="L1872" s="19" t="str">
        <x:v>组件待审核</x:v>
      </x:c>
      <x:c r="M1872" s="21" t="n">
        <x:v>35.56177</x:v>
      </x:c>
      <x:c r="N1872" s="21" t="n">
        <x:v>139.71459</x:v>
      </x:c>
      <x:c r="O1872" s="18" t="str">
        <x:v>004330</x:v>
      </x:c>
      <x:c r="P1872" s="18" t="str">
        <x:v>池上線</x:v>
      </x:c>
      <x:c r="Q1872" s="19" t="str">
        <x:v>S12_061_GE_10000
OFFICIAL_HUB_COMPONENT_REVIEW</x:v>
      </x:c>
      <x:c r="R1872" s="19" t="str">
        <x:v>S12_061 usage threshold</x:v>
      </x:c>
      <x:c r="S1872" s="19" t="str">
        <x:v>https://nlftp.mlit.go.jp/ksj/gml/datalist/KsjTmplt-S12-2024.html</x:v>
      </x:c>
      <x:c r="T1872" s="19" t="str">
        <x:v>https://nlftp.mlit.go.jp/ksj/gml/datalist/KsjTmplt-S12-2024.html
https://www.tokyu.co.jp/area/kamata/station/</x:v>
      </x:c>
      <x:c r="U1872" s="19" t="str">
        <x:v>station-component|蒲田|東急電鉄|private_rail|35.5618|139.7146|</x:v>
      </x:c>
      <x:c r="V1872" s="19" t="str">
        <x:v>004330 / 004330 / 池上線
004330 / 004333 / 東急多摩川線</x:v>
      </x:c>
      <x:c r="W1872" s="18" t="str">
        <x:v>否</x:v>
      </x:c>
      <x:c r="X1872" s="18" t="str">
        <x:v>0785e932a32b3ec15e1a1345537ae145eafe1c07bf38d5c16c11ee2b391e7a28</x:v>
      </x:c>
      <x:c r="Y1872" s="20" t="n">
        <x:v>1</x:v>
      </x:c>
      <x:c r="Z1872" s="20" t="n">
        <x:v>1</x:v>
      </x:c>
      <x:c r="AA1872" s="19" t="str">
        <x:v>蒲田</x:v>
      </x:c>
      <x:c r="AB1872" s="18" t="str">
        <x:v>transport-hub-review:17f92d06-1c1e-5535-a5f5-f6c2160fec87</x:v>
      </x:c>
      <x:c r="AC1872" s="19"/>
    </x:row>
    <x:row r="1873" ht="33" customHeight="1">
      <x:c r="A1873" s="18" t="str">
        <x:v>蒲田</x:v>
      </x:c>
      <x:c r="B1873" s="18" t="str">
        <x:v>東日本旅客鉄道</x:v>
      </x:c>
      <x:c r="C1873" s="18" t="str">
        <x:v>conventional_rail</x:v>
      </x:c>
      <x:c r="D1873" s="19" t="str">
        <x:v>T0</x:v>
      </x:c>
      <x:c r="E1873" s="20" t="n">
        <x:v>251560</x:v>
      </x:c>
      <x:c r="F1873" s="18" t="str">
        <x:v>persons/day</x:v>
      </x:c>
      <x:c r="G1873" s="18" t="str">
        <x:v>FY2024</x:v>
      </x:c>
      <x:c r="H1873" s="18" t="str">
        <x:v>否</x:v>
      </x:c>
      <x:c r="I1873" s="19" t="str">
        <x:v>DAILY_ENTRIES_EXITS</x:v>
      </x:c>
      <x:c r="J1873" s="19" t="str">
        <x:v>東海道線</x:v>
      </x:c>
      <x:c r="K1873" s="18" t="str">
        <x:v>transport-node:6c4ae01b-4ad3-5fea-a733-c33a72aed4ea</x:v>
      </x:c>
      <x:c r="L1873" s="19" t="str">
        <x:v>组件待审核</x:v>
      </x:c>
      <x:c r="M1873" s="21" t="n">
        <x:v>35.562485</x:v>
      </x:c>
      <x:c r="N1873" s="21" t="n">
        <x:v>139.71603</x:v>
      </x:c>
      <x:c r="O1873" s="18" t="str">
        <x:v>004328</x:v>
      </x:c>
      <x:c r="P1873" s="18" t="str">
        <x:v>東海道線</x:v>
      </x:c>
      <x:c r="Q1873" s="19" t="str">
        <x:v>S12_061_GE_10000
OFFICIAL_HUB_COMPONENT_REVIEW</x:v>
      </x:c>
      <x:c r="R1873" s="19" t="str">
        <x:v>S12_061 usage threshold</x:v>
      </x:c>
      <x:c r="S1873" s="19" t="str">
        <x:v>https://nlftp.mlit.go.jp/ksj/gml/datalist/KsjTmplt-S12-2024.html</x:v>
      </x:c>
      <x:c r="T1873" s="19" t="str">
        <x:v>https://nlftp.mlit.go.jp/ksj/gml/datalist/KsjTmplt-S12-2024.html
https://www.tokyu.co.jp/area/kamata/station/</x:v>
      </x:c>
      <x:c r="U1873" s="19" t="str">
        <x:v>station-component|蒲田|東日本旅客鉄道|conventional_rail|35.5625|139.7160|</x:v>
      </x:c>
      <x:c r="V1873" s="19" t="str">
        <x:v>004330 / 004328 / 東海道線</x:v>
      </x:c>
      <x:c r="W1873" s="18" t="str">
        <x:v>否</x:v>
      </x:c>
      <x:c r="X1873" s="18" t="str">
        <x:v>0785e932a32b3ec15e1a1345537ae145eafe1c07bf38d5c16c11ee2b391e7a28</x:v>
      </x:c>
      <x:c r="Y1873" s="20" t="n">
        <x:v>1</x:v>
      </x:c>
      <x:c r="Z1873" s="20" t="n">
        <x:v>1</x:v>
      </x:c>
      <x:c r="AA1873" s="19" t="str">
        <x:v>蒲田</x:v>
      </x:c>
      <x:c r="AB1873" s="18" t="str">
        <x:v>transport-hub-review:17f92d06-1c1e-5535-a5f5-f6c2160fec87</x:v>
      </x:c>
      <x:c r="AC1873" s="19"/>
    </x:row>
    <x:row r="1874" ht="28" customHeight="1">
      <x:c r="A1874" s="18" t="str">
        <x:v>蒲郡</x:v>
      </x:c>
      <x:c r="B1874" s="18" t="str">
        <x:v>東海旅客鉄道</x:v>
      </x:c>
      <x:c r="C1874" s="18" t="str">
        <x:v>conventional_rail</x:v>
      </x:c>
      <x:c r="D1874" s="19" t="str">
        <x:v>T2</x:v>
      </x:c>
      <x:c r="E1874" s="20" t="n">
        <x:v>14403</x:v>
      </x:c>
      <x:c r="F1874" s="18" t="str">
        <x:v>persons/day</x:v>
      </x:c>
      <x:c r="G1874" s="18" t="str">
        <x:v>FY2024</x:v>
      </x:c>
      <x:c r="H1874" s="18" t="str">
        <x:v>否</x:v>
      </x:c>
      <x:c r="I1874" s="19" t="str">
        <x:v>DAILY_ENTRIES_EXITS</x:v>
      </x:c>
      <x:c r="J1874" s="19" t="str">
        <x:v>東海道線</x:v>
      </x:c>
      <x:c r="K1874" s="18" t="str">
        <x:v>transport-node:f7220a19-5ba3-53a6-bd99-166917597ae5</x:v>
      </x:c>
      <x:c r="L1874" s="19" t="str">
        <x:v>组件待审核</x:v>
      </x:c>
      <x:c r="M1874" s="21" t="n">
        <x:v>34.822736</x:v>
      </x:c>
      <x:c r="N1874" s="21" t="n">
        <x:v>137.227378</x:v>
      </x:c>
      <x:c r="O1874" s="18" t="str">
        <x:v>006529</x:v>
      </x:c>
      <x:c r="P1874" s="18" t="str">
        <x:v>東海道線</x:v>
      </x:c>
      <x:c r="Q1874" s="19" t="str">
        <x:v>S12_061_GE_10000</x:v>
      </x:c>
      <x:c r="R1874" s="19" t="str">
        <x:v>S12_061 usage threshold</x:v>
      </x:c>
      <x:c r="S1874" s="19" t="str">
        <x:v>https://nlftp.mlit.go.jp/ksj/gml/datalist/KsjTmplt-S12-2024.html</x:v>
      </x:c>
      <x:c r="T1874" s="19" t="str">
        <x:v>https://nlftp.mlit.go.jp/ksj/gml/datalist/KsjTmplt-S12-2024.html</x:v>
      </x:c>
      <x:c r="U1874" s="19" t="str">
        <x:v>station-component|蒲郡|東海旅客鉄道|conventional_rail|34.8227|137.2274|</x:v>
      </x:c>
      <x:c r="V1874" s="19" t="str">
        <x:v>006528 / 006529 / 東海道線</x:v>
      </x:c>
      <x:c r="W1874" s="18" t="str">
        <x:v>否</x:v>
      </x:c>
      <x:c r="X1874" s="18" t="str">
        <x:v>0785e932a32b3ec15e1a1345537ae145eafe1c07bf38d5c16c11ee2b391e7a28</x:v>
      </x:c>
      <x:c r="Y1874" s="20" t="n">
        <x:v>1</x:v>
      </x:c>
      <x:c r="Z1874" s="20" t="n">
        <x:v>1</x:v>
      </x:c>
      <x:c r="AA1874" s="19"/>
      <x:c r="AB1874" s="18"/>
      <x:c r="AC1874" s="19"/>
    </x:row>
    <x:row r="1875" ht="28" customHeight="1">
      <x:c r="A1875" s="18" t="str">
        <x:v>蓮根</x:v>
      </x:c>
      <x:c r="B1875" s="18" t="str">
        <x:v>東京都</x:v>
      </x:c>
      <x:c r="C1875" s="18" t="str">
        <x:v>metro</x:v>
      </x:c>
      <x:c r="D1875" s="19" t="str">
        <x:v>T2</x:v>
      </x:c>
      <x:c r="E1875" s="20" t="n">
        <x:v>19363</x:v>
      </x:c>
      <x:c r="F1875" s="18" t="str">
        <x:v>persons/day</x:v>
      </x:c>
      <x:c r="G1875" s="18" t="str">
        <x:v>FY2024</x:v>
      </x:c>
      <x:c r="H1875" s="18" t="str">
        <x:v>否</x:v>
      </x:c>
      <x:c r="I1875" s="19" t="str">
        <x:v>DAILY_ENTRIES_EXITS</x:v>
      </x:c>
      <x:c r="J1875" s="19" t="str">
        <x:v>6号線三田線</x:v>
      </x:c>
      <x:c r="K1875" s="18" t="str">
        <x:v>transport-node:6a8d1968-6b43-5278-a9d6-22bbf7b64dd3</x:v>
      </x:c>
      <x:c r="L1875" s="19" t="str">
        <x:v>组件待审核</x:v>
      </x:c>
      <x:c r="M1875" s="21" t="n">
        <x:v>35.784055</x:v>
      </x:c>
      <x:c r="N1875" s="21" t="n">
        <x:v>139.67906</x:v>
      </x:c>
      <x:c r="O1875" s="18" t="str">
        <x:v>003140</x:v>
      </x:c>
      <x:c r="P1875" s="18" t="str">
        <x:v>6号線三田線</x:v>
      </x:c>
      <x:c r="Q1875" s="19" t="str">
        <x:v>S12_061_GE_10000</x:v>
      </x:c>
      <x:c r="R1875" s="19" t="str">
        <x:v>S12_061 usage threshold</x:v>
      </x:c>
      <x:c r="S1875" s="19" t="str">
        <x:v>https://nlftp.mlit.go.jp/ksj/gml/datalist/KsjTmplt-S12-2024.html</x:v>
      </x:c>
      <x:c r="T1875" s="19" t="str">
        <x:v>https://nlftp.mlit.go.jp/ksj/gml/datalist/KsjTmplt-S12-2024.html</x:v>
      </x:c>
      <x:c r="U1875" s="19" t="str">
        <x:v>station-component|蓮根|東京都|metro|35.7841|139.6791|</x:v>
      </x:c>
      <x:c r="V1875" s="19" t="str">
        <x:v>003140 / 003140 / 6号線三田線</x:v>
      </x:c>
      <x:c r="W1875" s="18" t="str">
        <x:v>否</x:v>
      </x:c>
      <x:c r="X1875" s="18" t="str">
        <x:v>0785e932a32b3ec15e1a1345537ae145eafe1c07bf38d5c16c11ee2b391e7a28</x:v>
      </x:c>
      <x:c r="Y1875" s="20" t="n">
        <x:v>1</x:v>
      </x:c>
      <x:c r="Z1875" s="20" t="n">
        <x:v>1</x:v>
      </x:c>
      <x:c r="AA1875" s="19"/>
      <x:c r="AB1875" s="18"/>
      <x:c r="AC1875" s="19"/>
    </x:row>
    <x:row r="1876" ht="28" customHeight="1">
      <x:c r="A1876" s="18" t="str">
        <x:v>蓮田</x:v>
      </x:c>
      <x:c r="B1876" s="18" t="str">
        <x:v>東日本旅客鉄道</x:v>
      </x:c>
      <x:c r="C1876" s="18" t="str">
        <x:v>conventional_rail</x:v>
      </x:c>
      <x:c r="D1876" s="19" t="str">
        <x:v>T2</x:v>
      </x:c>
      <x:c r="E1876" s="20" t="n">
        <x:v>37868</x:v>
      </x:c>
      <x:c r="F1876" s="18" t="str">
        <x:v>persons/day</x:v>
      </x:c>
      <x:c r="G1876" s="18" t="str">
        <x:v>FY2024</x:v>
      </x:c>
      <x:c r="H1876" s="18" t="str">
        <x:v>否</x:v>
      </x:c>
      <x:c r="I1876" s="19" t="str">
        <x:v>DAILY_ENTRIES_EXITS</x:v>
      </x:c>
      <x:c r="J1876" s="19" t="str">
        <x:v>東北線</x:v>
      </x:c>
      <x:c r="K1876" s="18" t="str">
        <x:v>transport-node:6a4b7500-1d77-5a01-a968-142c97616795</x:v>
      </x:c>
      <x:c r="L1876" s="19" t="str">
        <x:v>组件待审核</x:v>
      </x:c>
      <x:c r="M1876" s="21" t="n">
        <x:v>35.981165</x:v>
      </x:c>
      <x:c r="N1876" s="21" t="n">
        <x:v>139.652965</x:v>
      </x:c>
      <x:c r="O1876" s="18" t="str">
        <x:v>002781</x:v>
      </x:c>
      <x:c r="P1876" s="18" t="str">
        <x:v>東北線</x:v>
      </x:c>
      <x:c r="Q1876" s="19" t="str">
        <x:v>S12_061_GE_10000</x:v>
      </x:c>
      <x:c r="R1876" s="19" t="str">
        <x:v>S12_061 usage threshold</x:v>
      </x:c>
      <x:c r="S1876" s="19" t="str">
        <x:v>https://nlftp.mlit.go.jp/ksj/gml/datalist/KsjTmplt-S12-2024.html</x:v>
      </x:c>
      <x:c r="T1876" s="19" t="str">
        <x:v>https://nlftp.mlit.go.jp/ksj/gml/datalist/KsjTmplt-S12-2024.html</x:v>
      </x:c>
      <x:c r="U1876" s="19" t="str">
        <x:v>station-component|蓮田|東日本旅客鉄道|conventional_rail|35.9812|139.6530|</x:v>
      </x:c>
      <x:c r="V1876" s="19" t="str">
        <x:v>002781 / 002781 / 東北線</x:v>
      </x:c>
      <x:c r="W1876" s="18" t="str">
        <x:v>否</x:v>
      </x:c>
      <x:c r="X1876" s="18" t="str">
        <x:v>0785e932a32b3ec15e1a1345537ae145eafe1c07bf38d5c16c11ee2b391e7a28</x:v>
      </x:c>
      <x:c r="Y1876" s="20" t="n">
        <x:v>1</x:v>
      </x:c>
      <x:c r="Z1876" s="20" t="n">
        <x:v>1</x:v>
      </x:c>
      <x:c r="AA1876" s="19"/>
      <x:c r="AB1876" s="18"/>
      <x:c r="AC1876" s="19"/>
    </x:row>
    <x:row r="1877" ht="33" customHeight="1">
      <x:c r="A1877" s="18" t="str">
        <x:v>蔵前</x:v>
      </x:c>
      <x:c r="B1877" s="18" t="str">
        <x:v>東京都</x:v>
      </x:c>
      <x:c r="C1877" s="18" t="str">
        <x:v>metro</x:v>
      </x:c>
      <x:c r="D1877" s="19" t="str">
        <x:v>T2</x:v>
      </x:c>
      <x:c r="E1877" s="20" t="n">
        <x:v>28718</x:v>
      </x:c>
      <x:c r="F1877" s="18" t="str">
        <x:v>persons/day</x:v>
      </x:c>
      <x:c r="G1877" s="18" t="str">
        <x:v>FY2024</x:v>
      </x:c>
      <x:c r="H1877" s="18" t="str">
        <x:v>否</x:v>
      </x:c>
      <x:c r="I1877" s="19" t="str">
        <x:v>DAILY_ENTRIES_EXITS</x:v>
      </x:c>
      <x:c r="J1877" s="19" t="str">
        <x:v>1号線浅草線</x:v>
      </x:c>
      <x:c r="K1877" s="18" t="str">
        <x:v>transport-node:c6162e3d-77f4-5e8b-a957-16cc50ea407a</x:v>
      </x:c>
      <x:c r="L1877" s="19" t="str">
        <x:v>MULTIPLE_PRIMARY_RECORDS_REVIEW_REQUIRED</x:v>
      </x:c>
      <x:c r="M1877" s="21" t="n">
        <x:v>35.7033225</x:v>
      </x:c>
      <x:c r="N1877" s="21" t="n">
        <x:v>139.791065</x:v>
      </x:c>
      <x:c r="O1877" s="18" t="str">
        <x:v>003583</x:v>
      </x:c>
      <x:c r="P1877" s="18" t="str">
        <x:v>1号線浅草線</x:v>
      </x:c>
      <x:c r="Q1877" s="19" t="str">
        <x:v>S12_061_GE_10000</x:v>
      </x:c>
      <x:c r="R1877" s="19" t="str">
        <x:v>S12_061 usage threshold</x:v>
      </x:c>
      <x:c r="S1877" s="19" t="str">
        <x:v>https://nlftp.mlit.go.jp/ksj/gml/datalist/KsjTmplt-S12-2024.html</x:v>
      </x:c>
      <x:c r="T1877" s="19" t="str">
        <x:v>https://nlftp.mlit.go.jp/ksj/gml/datalist/KsjTmplt-S12-2024.html</x:v>
      </x:c>
      <x:c r="U1877" s="19" t="str">
        <x:v>station-component|蔵前|東京都|metro|35.7033|139.7911|1号線浅草線</x:v>
      </x:c>
      <x:c r="V1877" s="19" t="str">
        <x:v>003571 / 003571 / 12号線大江戸線
003571 / 003583 / 1号線浅草線</x:v>
      </x:c>
      <x:c r="W1877" s="18" t="str">
        <x:v>否</x:v>
      </x:c>
      <x:c r="X1877" s="18" t="str">
        <x:v>0785e932a32b3ec15e1a1345537ae145eafe1c07bf38d5c16c11ee2b391e7a28</x:v>
      </x:c>
      <x:c r="Y1877" s="20" t="n">
        <x:v>1</x:v>
      </x:c>
      <x:c r="Z1877" s="20" t="n">
        <x:v>1</x:v>
      </x:c>
      <x:c r="AA1877" s="19"/>
      <x:c r="AB1877" s="18"/>
      <x:c r="AC1877" s="19"/>
    </x:row>
    <x:row r="1878" ht="33" customHeight="1">
      <x:c r="A1878" s="18" t="str">
        <x:v>蔵前</x:v>
      </x:c>
      <x:c r="B1878" s="18" t="str">
        <x:v>東京都</x:v>
      </x:c>
      <x:c r="C1878" s="18" t="str">
        <x:v>metro</x:v>
      </x:c>
      <x:c r="D1878" s="19" t="str">
        <x:v>T2</x:v>
      </x:c>
      <x:c r="E1878" s="20" t="n">
        <x:v>24338</x:v>
      </x:c>
      <x:c r="F1878" s="18" t="str">
        <x:v>persons/day</x:v>
      </x:c>
      <x:c r="G1878" s="18" t="str">
        <x:v>FY2024</x:v>
      </x:c>
      <x:c r="H1878" s="18" t="str">
        <x:v>否</x:v>
      </x:c>
      <x:c r="I1878" s="19" t="str">
        <x:v>DAILY_ENTRIES_EXITS</x:v>
      </x:c>
      <x:c r="J1878" s="19" t="str">
        <x:v>12号線大江戸線</x:v>
      </x:c>
      <x:c r="K1878" s="18" t="str">
        <x:v>transport-node:bba7e7b9-80f8-5585-a57b-7bb36a75fb98</x:v>
      </x:c>
      <x:c r="L1878" s="19" t="str">
        <x:v>MULTIPLE_PRIMARY_RECORDS_REVIEW_REQUIRED</x:v>
      </x:c>
      <x:c r="M1878" s="21" t="n">
        <x:v>35.7054917</x:v>
      </x:c>
      <x:c r="N1878" s="21" t="n">
        <x:v>139.7922933</x:v>
      </x:c>
      <x:c r="O1878" s="18" t="str">
        <x:v>003571</x:v>
      </x:c>
      <x:c r="P1878" s="18" t="str">
        <x:v>12号線大江戸線</x:v>
      </x:c>
      <x:c r="Q1878" s="19" t="str">
        <x:v>S12_061_GE_10000</x:v>
      </x:c>
      <x:c r="R1878" s="19" t="str">
        <x:v>S12_061 usage threshold</x:v>
      </x:c>
      <x:c r="S1878" s="19" t="str">
        <x:v>https://nlftp.mlit.go.jp/ksj/gml/datalist/KsjTmplt-S12-2024.html</x:v>
      </x:c>
      <x:c r="T1878" s="19" t="str">
        <x:v>https://nlftp.mlit.go.jp/ksj/gml/datalist/KsjTmplt-S12-2024.html</x:v>
      </x:c>
      <x:c r="U1878" s="19" t="str">
        <x:v>station-component|蔵前|東京都|metro|35.7055|139.7923|12号線大江戸線</x:v>
      </x:c>
      <x:c r="V1878" s="19" t="str">
        <x:v>003571 / 003571 / 12号線大江戸線
003571 / 003583 / 1号線浅草線</x:v>
      </x:c>
      <x:c r="W1878" s="18" t="str">
        <x:v>否</x:v>
      </x:c>
      <x:c r="X1878" s="18" t="str">
        <x:v>0785e932a32b3ec15e1a1345537ae145eafe1c07bf38d5c16c11ee2b391e7a28</x:v>
      </x:c>
      <x:c r="Y1878" s="20" t="n">
        <x:v>1</x:v>
      </x:c>
      <x:c r="Z1878" s="20" t="n">
        <x:v>1</x:v>
      </x:c>
      <x:c r="AA1878" s="19"/>
      <x:c r="AB1878" s="18"/>
      <x:c r="AC1878" s="19"/>
    </x:row>
    <x:row r="1879" ht="28" customHeight="1">
      <x:c r="A1879" s="18" t="str">
        <x:v>蕨</x:v>
      </x:c>
      <x:c r="B1879" s="18" t="str">
        <x:v>東日本旅客鉄道</x:v>
      </x:c>
      <x:c r="C1879" s="18" t="str">
        <x:v>conventional_rail</x:v>
      </x:c>
      <x:c r="D1879" s="19" t="str">
        <x:v>T1</x:v>
      </x:c>
      <x:c r="E1879" s="20" t="n">
        <x:v>111724</x:v>
      </x:c>
      <x:c r="F1879" s="18" t="str">
        <x:v>persons/day</x:v>
      </x:c>
      <x:c r="G1879" s="18" t="str">
        <x:v>FY2024</x:v>
      </x:c>
      <x:c r="H1879" s="18" t="str">
        <x:v>否</x:v>
      </x:c>
      <x:c r="I1879" s="19" t="str">
        <x:v>DAILY_ENTRIES_EXITS</x:v>
      </x:c>
      <x:c r="J1879" s="19" t="str">
        <x:v>東北線</x:v>
      </x:c>
      <x:c r="K1879" s="18" t="str">
        <x:v>transport-node:fa5424cb-0069-54c3-8d71-c9b05488cccd</x:v>
      </x:c>
      <x:c r="L1879" s="19" t="str">
        <x:v>组件待审核</x:v>
      </x:c>
      <x:c r="M1879" s="21" t="n">
        <x:v>35.82793</x:v>
      </x:c>
      <x:c r="N1879" s="21" t="n">
        <x:v>139.690415</x:v>
      </x:c>
      <x:c r="O1879" s="18" t="str">
        <x:v>003041</x:v>
      </x:c>
      <x:c r="P1879" s="18" t="str">
        <x:v>東北線</x:v>
      </x:c>
      <x:c r="Q1879" s="19" t="str">
        <x:v>S12_061_GE_10000</x:v>
      </x:c>
      <x:c r="R1879" s="19" t="str">
        <x:v>S12_061 usage threshold</x:v>
      </x:c>
      <x:c r="S1879" s="19" t="str">
        <x:v>https://nlftp.mlit.go.jp/ksj/gml/datalist/KsjTmplt-S12-2024.html</x:v>
      </x:c>
      <x:c r="T1879" s="19" t="str">
        <x:v>https://nlftp.mlit.go.jp/ksj/gml/datalist/KsjTmplt-S12-2024.html</x:v>
      </x:c>
      <x:c r="U1879" s="19" t="str">
        <x:v>station-component|蕨|東日本旅客鉄道|conventional_rail|35.8279|139.6904|</x:v>
      </x:c>
      <x:c r="V1879" s="19" t="str">
        <x:v>003041 / 003041 / 東北線</x:v>
      </x:c>
      <x:c r="W1879" s="18" t="str">
        <x:v>否</x:v>
      </x:c>
      <x:c r="X1879" s="18" t="str">
        <x:v>0785e932a32b3ec15e1a1345537ae145eafe1c07bf38d5c16c11ee2b391e7a28</x:v>
      </x:c>
      <x:c r="Y1879" s="20" t="n">
        <x:v>1</x:v>
      </x:c>
      <x:c r="Z1879" s="20" t="n">
        <x:v>1</x:v>
      </x:c>
      <x:c r="AA1879" s="19"/>
      <x:c r="AB1879" s="18"/>
      <x:c r="AC1879" s="19"/>
    </x:row>
    <x:row r="1880" ht="28" customHeight="1">
      <x:c r="A1880" s="18" t="str">
        <x:v>薬園台</x:v>
      </x:c>
      <x:c r="B1880" s="18" t="str">
        <x:v>新京成電鉄</x:v>
      </x:c>
      <x:c r="C1880" s="18" t="str">
        <x:v>private_rail</x:v>
      </x:c>
      <x:c r="D1880" s="19" t="str">
        <x:v>T2</x:v>
      </x:c>
      <x:c r="E1880" s="20" t="n">
        <x:v>14755</x:v>
      </x:c>
      <x:c r="F1880" s="18" t="str">
        <x:v>persons/day</x:v>
      </x:c>
      <x:c r="G1880" s="18" t="str">
        <x:v>FY2024</x:v>
      </x:c>
      <x:c r="H1880" s="18" t="str">
        <x:v>否</x:v>
      </x:c>
      <x:c r="I1880" s="19" t="str">
        <x:v>DAILY_ENTRIES_EXITS</x:v>
      </x:c>
      <x:c r="J1880" s="19" t="str">
        <x:v>新京成線</x:v>
      </x:c>
      <x:c r="K1880" s="18" t="str">
        <x:v>transport-node:38d9281c-4358-5a5c-b94a-a1e10784db71</x:v>
      </x:c>
      <x:c r="L1880" s="19" t="str">
        <x:v>组件待审核</x:v>
      </x:c>
      <x:c r="M1880" s="21" t="n">
        <x:v>35.7091</x:v>
      </x:c>
      <x:c r="N1880" s="21" t="n">
        <x:v>140.036705</x:v>
      </x:c>
      <x:c r="O1880" s="18" t="str">
        <x:v>003535</x:v>
      </x:c>
      <x:c r="P1880" s="18" t="str">
        <x:v>新京成線</x:v>
      </x:c>
      <x:c r="Q1880" s="19" t="str">
        <x:v>S12_061_GE_10000</x:v>
      </x:c>
      <x:c r="R1880" s="19" t="str">
        <x:v>S12_061 usage threshold</x:v>
      </x:c>
      <x:c r="S1880" s="19" t="str">
        <x:v>https://nlftp.mlit.go.jp/ksj/gml/datalist/KsjTmplt-S12-2024.html</x:v>
      </x:c>
      <x:c r="T1880" s="19" t="str">
        <x:v>https://nlftp.mlit.go.jp/ksj/gml/datalist/KsjTmplt-S12-2024.html</x:v>
      </x:c>
      <x:c r="U1880" s="19" t="str">
        <x:v>station-component|薬園台|新京成電鉄|private_rail|35.7091|140.0367|</x:v>
      </x:c>
      <x:c r="V1880" s="19" t="str">
        <x:v>003535 / 003535 / 新京成線</x:v>
      </x:c>
      <x:c r="W1880" s="18" t="str">
        <x:v>否</x:v>
      </x:c>
      <x:c r="X1880" s="18" t="str">
        <x:v>0785e932a32b3ec15e1a1345537ae145eafe1c07bf38d5c16c11ee2b391e7a28</x:v>
      </x:c>
      <x:c r="Y1880" s="20" t="n">
        <x:v>1</x:v>
      </x:c>
      <x:c r="Z1880" s="20" t="n">
        <x:v>1</x:v>
      </x:c>
      <x:c r="AA1880" s="19"/>
      <x:c r="AB1880" s="18"/>
      <x:c r="AC1880" s="19"/>
    </x:row>
    <x:row r="1881" ht="33" customHeight="1">
      <x:c r="A1881" s="18" t="str">
        <x:v>薬院</x:v>
      </x:c>
      <x:c r="B1881" s="18" t="str">
        <x:v>福岡市</x:v>
      </x:c>
      <x:c r="C1881" s="18" t="str">
        <x:v>metro</x:v>
      </x:c>
      <x:c r="D1881" s="19" t="str">
        <x:v>T2</x:v>
      </x:c>
      <x:c r="E1881" s="20" t="n">
        <x:v>30366</x:v>
      </x:c>
      <x:c r="F1881" s="18" t="str">
        <x:v>persons/day</x:v>
      </x:c>
      <x:c r="G1881" s="18" t="str">
        <x:v>FY2024</x:v>
      </x:c>
      <x:c r="H1881" s="18" t="str">
        <x:v>否</x:v>
      </x:c>
      <x:c r="I1881" s="19" t="str">
        <x:v>DAILY_ENTRIES_EXITS</x:v>
      </x:c>
      <x:c r="J1881" s="19" t="str">
        <x:v>3号線(七隈線)</x:v>
      </x:c>
      <x:c r="K1881" s="18" t="str">
        <x:v>transport-node:cc0ee662-f989-5167-86ac-8167fdd8d0a6</x:v>
      </x:c>
      <x:c r="L1881" s="19" t="str">
        <x:v>组件待审核</x:v>
      </x:c>
      <x:c r="M1881" s="21" t="n">
        <x:v>33.581755</x:v>
      </x:c>
      <x:c r="N1881" s="21" t="n">
        <x:v>130.4022</x:v>
      </x:c>
      <x:c r="O1881" s="18" t="str">
        <x:v>009050</x:v>
      </x:c>
      <x:c r="P1881" s="18" t="str">
        <x:v>3号線(七隈線)</x:v>
      </x:c>
      <x:c r="Q1881" s="19" t="str">
        <x:v>S12_061_GE_10000
OFFICIAL_HUB_COMPONENT_REVIEW</x:v>
      </x:c>
      <x:c r="R1881" s="19" t="str">
        <x:v>S12_061 usage threshold</x:v>
      </x:c>
      <x:c r="S1881" s="19" t="str">
        <x:v>https://nlftp.mlit.go.jp/ksj/gml/datalist/KsjTmplt-S12-2024.html</x:v>
      </x:c>
      <x:c r="T1881" s="19" t="str">
        <x:v>https://nlftp.mlit.go.jp/ksj/gml/datalist/KsjTmplt-S12-2024.html
https://subway.city.fukuoka.lg.jp/?lan=ja</x:v>
      </x:c>
      <x:c r="U1881" s="19" t="str">
        <x:v>station-component|薬院|福岡市|metro|33.5818|130.4022|</x:v>
      </x:c>
      <x:c r="V1881" s="19" t="str">
        <x:v>009049 / 009050 / 3号線(七隈線)</x:v>
      </x:c>
      <x:c r="W1881" s="18" t="str">
        <x:v>否</x:v>
      </x:c>
      <x:c r="X1881" s="18" t="str">
        <x:v>0785e932a32b3ec15e1a1345537ae145eafe1c07bf38d5c16c11ee2b391e7a28</x:v>
      </x:c>
      <x:c r="Y1881" s="20" t="n">
        <x:v>1</x:v>
      </x:c>
      <x:c r="Z1881" s="20" t="n">
        <x:v>1</x:v>
      </x:c>
      <x:c r="AA1881" s="19" t="str">
        <x:v>薬院</x:v>
      </x:c>
      <x:c r="AB1881" s="18" t="str">
        <x:v>transport-hub-review:bef77706-84db-54f9-b167-1c965bd206ea</x:v>
      </x:c>
      <x:c r="AC1881" s="19"/>
    </x:row>
    <x:row r="1882" ht="33" customHeight="1">
      <x:c r="A1882" s="18" t="str">
        <x:v>薬院</x:v>
      </x:c>
      <x:c r="B1882" s="18" t="str">
        <x:v>西日本鉄道</x:v>
      </x:c>
      <x:c r="C1882" s="18" t="str">
        <x:v>private_rail</x:v>
      </x:c>
      <x:c r="D1882" s="19" t="str">
        <x:v>T2</x:v>
      </x:c>
      <x:c r="E1882" s="20" t="n">
        <x:v>42346</x:v>
      </x:c>
      <x:c r="F1882" s="18" t="str">
        <x:v>persons/day</x:v>
      </x:c>
      <x:c r="G1882" s="18" t="str">
        <x:v>FY2024</x:v>
      </x:c>
      <x:c r="H1882" s="18" t="str">
        <x:v>否</x:v>
      </x:c>
      <x:c r="I1882" s="19" t="str">
        <x:v>DAILY_ENTRIES_EXITS</x:v>
      </x:c>
      <x:c r="J1882" s="19" t="str">
        <x:v>天神大牟田線</x:v>
      </x:c>
      <x:c r="K1882" s="18" t="str">
        <x:v>transport-node:48c8bfb3-75d5-568a-8b95-d612eb4959ef</x:v>
      </x:c>
      <x:c r="L1882" s="19" t="str">
        <x:v>组件待审核</x:v>
      </x:c>
      <x:c r="M1882" s="21" t="n">
        <x:v>33.58191</x:v>
      </x:c>
      <x:c r="N1882" s="21" t="n">
        <x:v>130.40181</x:v>
      </x:c>
      <x:c r="O1882" s="18" t="str">
        <x:v>009049</x:v>
      </x:c>
      <x:c r="P1882" s="18" t="str">
        <x:v>天神大牟田線</x:v>
      </x:c>
      <x:c r="Q1882" s="19" t="str">
        <x:v>S12_061_GE_10000
OFFICIAL_HUB_COMPONENT_REVIEW</x:v>
      </x:c>
      <x:c r="R1882" s="19" t="str">
        <x:v>S12_061 usage threshold</x:v>
      </x:c>
      <x:c r="S1882" s="19" t="str">
        <x:v>https://nlftp.mlit.go.jp/ksj/gml/datalist/KsjTmplt-S12-2024.html</x:v>
      </x:c>
      <x:c r="T1882" s="19" t="str">
        <x:v>https://nlftp.mlit.go.jp/ksj/gml/datalist/KsjTmplt-S12-2024.html
https://subway.city.fukuoka.lg.jp/?lan=ja</x:v>
      </x:c>
      <x:c r="U1882" s="19" t="str">
        <x:v>station-component|薬院|西日本鉄道|private_rail|33.5819|130.4018|</x:v>
      </x:c>
      <x:c r="V1882" s="19" t="str">
        <x:v>009049 / 009049 / 天神大牟田線</x:v>
      </x:c>
      <x:c r="W1882" s="18" t="str">
        <x:v>否</x:v>
      </x:c>
      <x:c r="X1882" s="18" t="str">
        <x:v>0785e932a32b3ec15e1a1345537ae145eafe1c07bf38d5c16c11ee2b391e7a28</x:v>
      </x:c>
      <x:c r="Y1882" s="20" t="n">
        <x:v>1</x:v>
      </x:c>
      <x:c r="Z1882" s="20" t="n">
        <x:v>1</x:v>
      </x:c>
      <x:c r="AA1882" s="19" t="str">
        <x:v>薬院</x:v>
      </x:c>
      <x:c r="AB1882" s="18" t="str">
        <x:v>transport-hub-review:bef77706-84db-54f9-b167-1c965bd206ea</x:v>
      </x:c>
      <x:c r="AC1882" s="19"/>
    </x:row>
    <x:row r="1883" ht="33" customHeight="1">
      <x:c r="A1883" s="18" t="str">
        <x:v>藤が丘</x:v>
      </x:c>
      <x:c r="B1883" s="18" t="str">
        <x:v>名古屋市</x:v>
      </x:c>
      <x:c r="C1883" s="18" t="str">
        <x:v>metro</x:v>
      </x:c>
      <x:c r="D1883" s="19" t="str">
        <x:v>T1</x:v>
      </x:c>
      <x:c r="E1883" s="20" t="n">
        <x:v>58521</x:v>
      </x:c>
      <x:c r="F1883" s="18" t="str">
        <x:v>persons/day</x:v>
      </x:c>
      <x:c r="G1883" s="18" t="str">
        <x:v>FY2024</x:v>
      </x:c>
      <x:c r="H1883" s="18" t="str">
        <x:v>否</x:v>
      </x:c>
      <x:c r="I1883" s="19" t="str">
        <x:v>DAILY_ENTRIES_EXITS</x:v>
      </x:c>
      <x:c r="J1883" s="19" t="str">
        <x:v>1号線東山線</x:v>
      </x:c>
      <x:c r="K1883" s="18" t="str">
        <x:v>transport-node:a52f0947-ac49-58a8-be5f-c5872e070991</x:v>
      </x:c>
      <x:c r="L1883" s="19" t="str">
        <x:v>组件待审核</x:v>
      </x:c>
      <x:c r="M1883" s="21" t="n">
        <x:v>35.182555</x:v>
      </x:c>
      <x:c r="N1883" s="21" t="n">
        <x:v>137.021445</x:v>
      </x:c>
      <x:c r="O1883" s="18" t="str">
        <x:v>005410</x:v>
      </x:c>
      <x:c r="P1883" s="18" t="str">
        <x:v>1号線東山線</x:v>
      </x:c>
      <x:c r="Q1883" s="19" t="str">
        <x:v>S12_061_GE_10000
OFFICIAL_HUB_COMPONENT_REVIEW</x:v>
      </x:c>
      <x:c r="R1883" s="19" t="str">
        <x:v>S12_061 usage threshold</x:v>
      </x:c>
      <x:c r="S1883" s="19" t="str">
        <x:v>https://nlftp.mlit.go.jp/ksj/gml/datalist/KsjTmplt-S12-2024.html</x:v>
      </x:c>
      <x:c r="T1883" s="19" t="str">
        <x:v>https://nlftp.mlit.go.jp/ksj/gml/datalist/KsjTmplt-S12-2024.html
https://www.kotsu.city.nagoya.jp/rp/ticket/TRP0001550.htm</x:v>
      </x:c>
      <x:c r="U1883" s="19" t="str">
        <x:v>station-component|藤が丘|名古屋市|metro|35.1826|137.0214|</x:v>
      </x:c>
      <x:c r="V1883" s="19" t="str">
        <x:v>005410 / 005410 / 1号線東山線</x:v>
      </x:c>
      <x:c r="W1883" s="18" t="str">
        <x:v>否</x:v>
      </x:c>
      <x:c r="X1883" s="18" t="str">
        <x:v>0785e932a32b3ec15e1a1345537ae145eafe1c07bf38d5c16c11ee2b391e7a28</x:v>
      </x:c>
      <x:c r="Y1883" s="20" t="n">
        <x:v>1</x:v>
      </x:c>
      <x:c r="Z1883" s="20" t="n">
        <x:v>1</x:v>
      </x:c>
      <x:c r="AA1883" s="19" t="str">
        <x:v>藤が丘</x:v>
      </x:c>
      <x:c r="AB1883" s="18" t="str">
        <x:v>transport-hub-review:3a4bb997-e6a6-5523-95f2-f896e18d20bc</x:v>
      </x:c>
      <x:c r="AC1883" s="19"/>
    </x:row>
    <x:row r="1884" ht="33" customHeight="1">
      <x:c r="A1884" s="18" t="str">
        <x:v>藤が丘</x:v>
      </x:c>
      <x:c r="B1884" s="18" t="str">
        <x:v>愛知高速交通</x:v>
      </x:c>
      <x:c r="C1884" s="18" t="str">
        <x:v>fixed_guideway</x:v>
      </x:c>
      <x:c r="D1884" s="19" t="str">
        <x:v>T2</x:v>
      </x:c>
      <x:c r="E1884" s="20" t="n">
        <x:v>22203</x:v>
      </x:c>
      <x:c r="F1884" s="18" t="str">
        <x:v>persons/day</x:v>
      </x:c>
      <x:c r="G1884" s="18" t="str">
        <x:v>FY2024</x:v>
      </x:c>
      <x:c r="H1884" s="18" t="str">
        <x:v>否</x:v>
      </x:c>
      <x:c r="I1884" s="19" t="str">
        <x:v>DAILY_ENTRIES_EXITS</x:v>
      </x:c>
      <x:c r="J1884" s="19" t="str">
        <x:v>東部丘陵線</x:v>
      </x:c>
      <x:c r="K1884" s="18" t="str">
        <x:v>transport-node:ef8979f4-8642-5bc3-b7b4-95532d5e3e0a</x:v>
      </x:c>
      <x:c r="L1884" s="19" t="str">
        <x:v>组件待审核</x:v>
      </x:c>
      <x:c r="M1884" s="21" t="n">
        <x:v>35.1822</x:v>
      </x:c>
      <x:c r="N1884" s="21" t="n">
        <x:v>137.022265</x:v>
      </x:c>
      <x:c r="O1884" s="18" t="str">
        <x:v>005412</x:v>
      </x:c>
      <x:c r="P1884" s="18" t="str">
        <x:v>東部丘陵線</x:v>
      </x:c>
      <x:c r="Q1884" s="19" t="str">
        <x:v>S12_061_GE_10000
OFFICIAL_HUB_COMPONENT_REVIEW</x:v>
      </x:c>
      <x:c r="R1884" s="19" t="str">
        <x:v>S12_061 usage threshold</x:v>
      </x:c>
      <x:c r="S1884" s="19" t="str">
        <x:v>https://nlftp.mlit.go.jp/ksj/gml/datalist/KsjTmplt-S12-2024.html</x:v>
      </x:c>
      <x:c r="T1884" s="19" t="str">
        <x:v>https://nlftp.mlit.go.jp/ksj/gml/datalist/KsjTmplt-S12-2024.html
https://www.kotsu.city.nagoya.jp/rp/ticket/TRP0001550.htm</x:v>
      </x:c>
      <x:c r="U1884" s="19" t="str">
        <x:v>station-component|藤が丘|愛知高速交通|fixed_guideway|35.1822|137.0223|</x:v>
      </x:c>
      <x:c r="V1884" s="19" t="str">
        <x:v>005410 / 005412 / 東部丘陵線</x:v>
      </x:c>
      <x:c r="W1884" s="18" t="str">
        <x:v>否</x:v>
      </x:c>
      <x:c r="X1884" s="18" t="str">
        <x:v>0785e932a32b3ec15e1a1345537ae145eafe1c07bf38d5c16c11ee2b391e7a28</x:v>
      </x:c>
      <x:c r="Y1884" s="20" t="n">
        <x:v>1</x:v>
      </x:c>
      <x:c r="Z1884" s="20" t="n">
        <x:v>1</x:v>
      </x:c>
      <x:c r="AA1884" s="19" t="str">
        <x:v>藤が丘</x:v>
      </x:c>
      <x:c r="AB1884" s="18" t="str">
        <x:v>transport-hub-review:3a4bb997-e6a6-5523-95f2-f896e18d20bc</x:v>
      </x:c>
      <x:c r="AC1884" s="19"/>
    </x:row>
    <x:row r="1885" ht="28" customHeight="1">
      <x:c r="A1885" s="18" t="str">
        <x:v>藤が丘</x:v>
      </x:c>
      <x:c r="B1885" s="18" t="str">
        <x:v>東急電鉄</x:v>
      </x:c>
      <x:c r="C1885" s="18" t="str">
        <x:v>private_rail</x:v>
      </x:c>
      <x:c r="D1885" s="19" t="str">
        <x:v>T2</x:v>
      </x:c>
      <x:c r="E1885" s="20" t="n">
        <x:v>25508</x:v>
      </x:c>
      <x:c r="F1885" s="18" t="str">
        <x:v>persons/day</x:v>
      </x:c>
      <x:c r="G1885" s="18" t="str">
        <x:v>FY2024</x:v>
      </x:c>
      <x:c r="H1885" s="18" t="str">
        <x:v>否</x:v>
      </x:c>
      <x:c r="I1885" s="19" t="str">
        <x:v>DAILY_ENTRIES_EXITS</x:v>
      </x:c>
      <x:c r="J1885" s="19" t="str">
        <x:v>田園都市線</x:v>
      </x:c>
      <x:c r="K1885" s="18" t="str">
        <x:v>transport-node:002aaa40-dca9-5909-ac6c-3d379133161d</x:v>
      </x:c>
      <x:c r="L1885" s="19" t="str">
        <x:v>组件待审核</x:v>
      </x:c>
      <x:c r="M1885" s="21" t="n">
        <x:v>35.5434</x:v>
      </x:c>
      <x:c r="N1885" s="21" t="n">
        <x:v>139.52758</x:v>
      </x:c>
      <x:c r="O1885" s="18" t="str">
        <x:v>004391</x:v>
      </x:c>
      <x:c r="P1885" s="18" t="str">
        <x:v>田園都市線</x:v>
      </x:c>
      <x:c r="Q1885" s="19" t="str">
        <x:v>S12_061_GE_10000</x:v>
      </x:c>
      <x:c r="R1885" s="19" t="str">
        <x:v>S12_061 usage threshold</x:v>
      </x:c>
      <x:c r="S1885" s="19" t="str">
        <x:v>https://nlftp.mlit.go.jp/ksj/gml/datalist/KsjTmplt-S12-2024.html</x:v>
      </x:c>
      <x:c r="T1885" s="19" t="str">
        <x:v>https://nlftp.mlit.go.jp/ksj/gml/datalist/KsjTmplt-S12-2024.html</x:v>
      </x:c>
      <x:c r="U1885" s="19" t="str">
        <x:v>station-component|藤が丘|東急電鉄|private_rail|35.5434|139.5276|</x:v>
      </x:c>
      <x:c r="V1885" s="19" t="str">
        <x:v>004391 / 004391 / 田園都市線</x:v>
      </x:c>
      <x:c r="W1885" s="18" t="str">
        <x:v>否</x:v>
      </x:c>
      <x:c r="X1885" s="18" t="str">
        <x:v>0785e932a32b3ec15e1a1345537ae145eafe1c07bf38d5c16c11ee2b391e7a28</x:v>
      </x:c>
      <x:c r="Y1885" s="20" t="n">
        <x:v>1</x:v>
      </x:c>
      <x:c r="Z1885" s="20" t="n">
        <x:v>1</x:v>
      </x:c>
      <x:c r="AA1885" s="19"/>
      <x:c r="AB1885" s="18"/>
      <x:c r="AC1885" s="19"/>
    </x:row>
    <x:row r="1886" ht="28" customHeight="1">
      <x:c r="A1886" s="18" t="str">
        <x:v>藤井寺</x:v>
      </x:c>
      <x:c r="B1886" s="18" t="str">
        <x:v>近畿日本鉄道</x:v>
      </x:c>
      <x:c r="C1886" s="18" t="str">
        <x:v>private_rail</x:v>
      </x:c>
      <x:c r="D1886" s="19" t="str">
        <x:v>T2</x:v>
      </x:c>
      <x:c r="E1886" s="20" t="n">
        <x:v>33670</x:v>
      </x:c>
      <x:c r="F1886" s="18" t="str">
        <x:v>persons/day</x:v>
      </x:c>
      <x:c r="G1886" s="18" t="str">
        <x:v>FY2024</x:v>
      </x:c>
      <x:c r="H1886" s="18" t="str">
        <x:v>否</x:v>
      </x:c>
      <x:c r="I1886" s="19" t="str">
        <x:v>DAILY_ENTRIES_EXITS</x:v>
      </x:c>
      <x:c r="J1886" s="19" t="str">
        <x:v>南大阪線</x:v>
      </x:c>
      <x:c r="K1886" s="18" t="str">
        <x:v>transport-node:5d4fb437-0374-52fe-95d2-aa3b77919910</x:v>
      </x:c>
      <x:c r="L1886" s="19" t="str">
        <x:v>组件待审核</x:v>
      </x:c>
      <x:c r="M1886" s="21" t="n">
        <x:v>34.571515</x:v>
      </x:c>
      <x:c r="N1886" s="21" t="n">
        <x:v>135.594</x:v>
      </x:c>
      <x:c r="O1886" s="18" t="str">
        <x:v>007678</x:v>
      </x:c>
      <x:c r="P1886" s="18" t="str">
        <x:v>南大阪線</x:v>
      </x:c>
      <x:c r="Q1886" s="19" t="str">
        <x:v>S12_061_GE_10000</x:v>
      </x:c>
      <x:c r="R1886" s="19" t="str">
        <x:v>S12_061 usage threshold</x:v>
      </x:c>
      <x:c r="S1886" s="19" t="str">
        <x:v>https://nlftp.mlit.go.jp/ksj/gml/datalist/KsjTmplt-S12-2024.html</x:v>
      </x:c>
      <x:c r="T1886" s="19" t="str">
        <x:v>https://nlftp.mlit.go.jp/ksj/gml/datalist/KsjTmplt-S12-2024.html</x:v>
      </x:c>
      <x:c r="U1886" s="19" t="str">
        <x:v>station-component|藤井寺|近畿日本鉄道|private_rail|34.5715|135.5940|</x:v>
      </x:c>
      <x:c r="V1886" s="19" t="str">
        <x:v>007678 / 007678 / 南大阪線</x:v>
      </x:c>
      <x:c r="W1886" s="18" t="str">
        <x:v>否</x:v>
      </x:c>
      <x:c r="X1886" s="18" t="str">
        <x:v>0785e932a32b3ec15e1a1345537ae145eafe1c07bf38d5c16c11ee2b391e7a28</x:v>
      </x:c>
      <x:c r="Y1886" s="20" t="n">
        <x:v>1</x:v>
      </x:c>
      <x:c r="Z1886" s="20" t="n">
        <x:v>1</x:v>
      </x:c>
      <x:c r="AA1886" s="19"/>
      <x:c r="AB1886" s="18"/>
      <x:c r="AC1886" s="19"/>
    </x:row>
    <x:row r="1887" ht="28" customHeight="1">
      <x:c r="A1887" s="18" t="str">
        <x:v>藤崎</x:v>
      </x:c>
      <x:c r="B1887" s="18" t="str">
        <x:v>福岡市</x:v>
      </x:c>
      <x:c r="C1887" s="18" t="str">
        <x:v>metro</x:v>
      </x:c>
      <x:c r="D1887" s="19" t="str">
        <x:v>T2</x:v>
      </x:c>
      <x:c r="E1887" s="20" t="n">
        <x:v>22359</x:v>
      </x:c>
      <x:c r="F1887" s="18" t="str">
        <x:v>persons/day</x:v>
      </x:c>
      <x:c r="G1887" s="18" t="str">
        <x:v>FY2024</x:v>
      </x:c>
      <x:c r="H1887" s="18" t="str">
        <x:v>否</x:v>
      </x:c>
      <x:c r="I1887" s="19" t="str">
        <x:v>DAILY_ENTRIES_EXITS</x:v>
      </x:c>
      <x:c r="J1887" s="19" t="str">
        <x:v>1号線(空港線)</x:v>
      </x:c>
      <x:c r="K1887" s="18" t="str">
        <x:v>transport-node:2a9d5121-f203-5e85-a8ac-1c67f7a62ff2</x:v>
      </x:c>
      <x:c r="L1887" s="19" t="str">
        <x:v>组件待审核</x:v>
      </x:c>
      <x:c r="M1887" s="21" t="n">
        <x:v>33.5813575</x:v>
      </x:c>
      <x:c r="N1887" s="21" t="n">
        <x:v>130.348485</x:v>
      </x:c>
      <x:c r="O1887" s="18" t="str">
        <x:v>009052</x:v>
      </x:c>
      <x:c r="P1887" s="18" t="str">
        <x:v>1号線(空港線)</x:v>
      </x:c>
      <x:c r="Q1887" s="19" t="str">
        <x:v>S12_061_GE_10000</x:v>
      </x:c>
      <x:c r="R1887" s="19" t="str">
        <x:v>S12_061 usage threshold</x:v>
      </x:c>
      <x:c r="S1887" s="19" t="str">
        <x:v>https://nlftp.mlit.go.jp/ksj/gml/datalist/KsjTmplt-S12-2024.html</x:v>
      </x:c>
      <x:c r="T1887" s="19" t="str">
        <x:v>https://nlftp.mlit.go.jp/ksj/gml/datalist/KsjTmplt-S12-2024.html</x:v>
      </x:c>
      <x:c r="U1887" s="19" t="str">
        <x:v>station-component|藤崎|福岡市|metro|33.5814|130.3485|</x:v>
      </x:c>
      <x:c r="V1887" s="19" t="str">
        <x:v>009052 / 009052 / 1号線(空港線)</x:v>
      </x:c>
      <x:c r="W1887" s="18" t="str">
        <x:v>否</x:v>
      </x:c>
      <x:c r="X1887" s="18" t="str">
        <x:v>0785e932a32b3ec15e1a1345537ae145eafe1c07bf38d5c16c11ee2b391e7a28</x:v>
      </x:c>
      <x:c r="Y1887" s="20" t="n">
        <x:v>1</x:v>
      </x:c>
      <x:c r="Z1887" s="20" t="n">
        <x:v>1</x:v>
      </x:c>
      <x:c r="AA1887" s="19"/>
      <x:c r="AB1887" s="18"/>
      <x:c r="AC1887" s="19"/>
    </x:row>
    <x:row r="1888" ht="28" customHeight="1">
      <x:c r="A1888" s="18" t="str">
        <x:v>藤枝</x:v>
      </x:c>
      <x:c r="B1888" s="18" t="str">
        <x:v>東海旅客鉄道</x:v>
      </x:c>
      <x:c r="C1888" s="18" t="str">
        <x:v>conventional_rail</x:v>
      </x:c>
      <x:c r="D1888" s="19" t="str">
        <x:v>T2</x:v>
      </x:c>
      <x:c r="E1888" s="20" t="n">
        <x:v>20389</x:v>
      </x:c>
      <x:c r="F1888" s="18" t="str">
        <x:v>persons/day</x:v>
      </x:c>
      <x:c r="G1888" s="18" t="str">
        <x:v>FY2024</x:v>
      </x:c>
      <x:c r="H1888" s="18" t="str">
        <x:v>否</x:v>
      </x:c>
      <x:c r="I1888" s="19" t="str">
        <x:v>DAILY_ENTRIES_EXITS</x:v>
      </x:c>
      <x:c r="J1888" s="19" t="str">
        <x:v>東海道線</x:v>
      </x:c>
      <x:c r="K1888" s="18" t="str">
        <x:v>transport-node:1694151b-3588-5065-bedb-820cf8fb1eb3</x:v>
      </x:c>
      <x:c r="L1888" s="19" t="str">
        <x:v>组件待审核</x:v>
      </x:c>
      <x:c r="M1888" s="21" t="n">
        <x:v>34.84957</x:v>
      </x:c>
      <x:c r="N1888" s="21" t="n">
        <x:v>138.25287</x:v>
      </x:c>
      <x:c r="O1888" s="18" t="str">
        <x:v>006441</x:v>
      </x:c>
      <x:c r="P1888" s="18" t="str">
        <x:v>東海道線</x:v>
      </x:c>
      <x:c r="Q1888" s="19" t="str">
        <x:v>S12_061_GE_10000</x:v>
      </x:c>
      <x:c r="R1888" s="19" t="str">
        <x:v>S12_061 usage threshold</x:v>
      </x:c>
      <x:c r="S1888" s="19" t="str">
        <x:v>https://nlftp.mlit.go.jp/ksj/gml/datalist/KsjTmplt-S12-2024.html</x:v>
      </x:c>
      <x:c r="T1888" s="19" t="str">
        <x:v>https://nlftp.mlit.go.jp/ksj/gml/datalist/KsjTmplt-S12-2024.html</x:v>
      </x:c>
      <x:c r="U1888" s="19" t="str">
        <x:v>station-component|藤枝|東海旅客鉄道|conventional_rail|34.8496|138.2529|</x:v>
      </x:c>
      <x:c r="V1888" s="19" t="str">
        <x:v>006441 / 006441 / 東海道線</x:v>
      </x:c>
      <x:c r="W1888" s="18" t="str">
        <x:v>否</x:v>
      </x:c>
      <x:c r="X1888" s="18" t="str">
        <x:v>0785e932a32b3ec15e1a1345537ae145eafe1c07bf38d5c16c11ee2b391e7a28</x:v>
      </x:c>
      <x:c r="Y1888" s="20" t="n">
        <x:v>1</x:v>
      </x:c>
      <x:c r="Z1888" s="20" t="n">
        <x:v>1</x:v>
      </x:c>
      <x:c r="AA1888" s="19"/>
      <x:c r="AB1888" s="18"/>
      <x:c r="AC1888" s="19"/>
    </x:row>
    <x:row r="1889" ht="28" customHeight="1">
      <x:c r="A1889" s="18" t="str">
        <x:v>藤森</x:v>
      </x:c>
      <x:c r="B1889" s="18" t="str">
        <x:v>京阪電気鉄道</x:v>
      </x:c>
      <x:c r="C1889" s="18" t="str">
        <x:v>private_rail</x:v>
      </x:c>
      <x:c r="D1889" s="19" t="str">
        <x:v>T2</x:v>
      </x:c>
      <x:c r="E1889" s="20" t="n">
        <x:v>11066</x:v>
      </x:c>
      <x:c r="F1889" s="18" t="str">
        <x:v>persons/day</x:v>
      </x:c>
      <x:c r="G1889" s="18" t="str">
        <x:v>FY2024</x:v>
      </x:c>
      <x:c r="H1889" s="18" t="str">
        <x:v>否</x:v>
      </x:c>
      <x:c r="I1889" s="19" t="str">
        <x:v>DAILY_ENTRIES_EXITS</x:v>
      </x:c>
      <x:c r="J1889" s="19" t="str">
        <x:v>京阪本線</x:v>
      </x:c>
      <x:c r="K1889" s="18" t="str">
        <x:v>transport-node:9d2de71f-8e57-5b78-afc5-7ff97d3ffb09</x:v>
      </x:c>
      <x:c r="L1889" s="19" t="str">
        <x:v>组件待审核</x:v>
      </x:c>
      <x:c r="M1889" s="21" t="n">
        <x:v>34.95688</x:v>
      </x:c>
      <x:c r="N1889" s="21" t="n">
        <x:v>135.77022</x:v>
      </x:c>
      <x:c r="O1889" s="18" t="str">
        <x:v>006169</x:v>
      </x:c>
      <x:c r="P1889" s="18" t="str">
        <x:v>京阪本線</x:v>
      </x:c>
      <x:c r="Q1889" s="19" t="str">
        <x:v>S12_061_GE_10000</x:v>
      </x:c>
      <x:c r="R1889" s="19" t="str">
        <x:v>S12_061 usage threshold</x:v>
      </x:c>
      <x:c r="S1889" s="19" t="str">
        <x:v>https://nlftp.mlit.go.jp/ksj/gml/datalist/KsjTmplt-S12-2024.html</x:v>
      </x:c>
      <x:c r="T1889" s="19" t="str">
        <x:v>https://nlftp.mlit.go.jp/ksj/gml/datalist/KsjTmplt-S12-2024.html</x:v>
      </x:c>
      <x:c r="U1889" s="19" t="str">
        <x:v>station-component|藤森|京阪電気鉄道|private_rail|34.9569|135.7702|</x:v>
      </x:c>
      <x:c r="V1889" s="19" t="str">
        <x:v>006169 / 006169 / 京阪本線</x:v>
      </x:c>
      <x:c r="W1889" s="18" t="str">
        <x:v>否</x:v>
      </x:c>
      <x:c r="X1889" s="18" t="str">
        <x:v>0785e932a32b3ec15e1a1345537ae145eafe1c07bf38d5c16c11ee2b391e7a28</x:v>
      </x:c>
      <x:c r="Y1889" s="20" t="n">
        <x:v>1</x:v>
      </x:c>
      <x:c r="Z1889" s="20" t="n">
        <x:v>1</x:v>
      </x:c>
      <x:c r="AA1889" s="19"/>
      <x:c r="AB1889" s="18"/>
      <x:c r="AC1889" s="19"/>
    </x:row>
    <x:row r="1890" ht="33" customHeight="1">
      <x:c r="A1890" s="18" t="str">
        <x:v>藤沢</x:v>
      </x:c>
      <x:c r="B1890" s="18" t="str">
        <x:v>小田急電鉄</x:v>
      </x:c>
      <x:c r="C1890" s="18" t="str">
        <x:v>private_rail</x:v>
      </x:c>
      <x:c r="D1890" s="19" t="str">
        <x:v>T1</x:v>
      </x:c>
      <x:c r="E1890" s="20" t="n">
        <x:v>159683</x:v>
      </x:c>
      <x:c r="F1890" s="18" t="str">
        <x:v>persons/day</x:v>
      </x:c>
      <x:c r="G1890" s="18" t="str">
        <x:v>FY2024</x:v>
      </x:c>
      <x:c r="H1890" s="18" t="str">
        <x:v>否</x:v>
      </x:c>
      <x:c r="I1890" s="19" t="str">
        <x:v>DAILY_ENTRIES_EXITS</x:v>
      </x:c>
      <x:c r="J1890" s="19" t="str">
        <x:v>江ノ島線</x:v>
      </x:c>
      <x:c r="K1890" s="18" t="str">
        <x:v>transport-node:fc525669-c12e-59e4-85c2-a26effca0b0e</x:v>
      </x:c>
      <x:c r="L1890" s="19" t="str">
        <x:v>组件待审核</x:v>
      </x:c>
      <x:c r="M1890" s="21" t="n">
        <x:v>35.338595</x:v>
      </x:c>
      <x:c r="N1890" s="21" t="n">
        <x:v>139.48712</x:v>
      </x:c>
      <x:c r="O1890" s="18" t="str">
        <x:v>004997</x:v>
      </x:c>
      <x:c r="P1890" s="18" t="str">
        <x:v>江ノ島線</x:v>
      </x:c>
      <x:c r="Q1890" s="19" t="str">
        <x:v>S12_061_GE_10000
OFFICIAL_HUB_COMPONENT_REVIEW</x:v>
      </x:c>
      <x:c r="R1890" s="19" t="str">
        <x:v>S12_061 usage threshold</x:v>
      </x:c>
      <x:c r="S1890" s="19" t="str">
        <x:v>https://nlftp.mlit.go.jp/ksj/gml/datalist/KsjTmplt-S12-2024.html</x:v>
      </x:c>
      <x:c r="T1890" s="19" t="str">
        <x:v>https://nlftp.mlit.go.jp/ksj/gml/datalist/KsjTmplt-S12-2024.html
https://www.odakyu.jp/station/</x:v>
      </x:c>
      <x:c r="U1890" s="19" t="str">
        <x:v>station-component|藤沢|小田急電鉄|private_rail|35.3386|139.4871|</x:v>
      </x:c>
      <x:c r="V1890" s="19" t="str">
        <x:v>004997 / 004997 / 江ノ島線</x:v>
      </x:c>
      <x:c r="W1890" s="18" t="str">
        <x:v>否</x:v>
      </x:c>
      <x:c r="X1890" s="18" t="str">
        <x:v>0785e932a32b3ec15e1a1345537ae145eafe1c07bf38d5c16c11ee2b391e7a28</x:v>
      </x:c>
      <x:c r="Y1890" s="20" t="n">
        <x:v>1</x:v>
      </x:c>
      <x:c r="Z1890" s="20" t="n">
        <x:v>1</x:v>
      </x:c>
      <x:c r="AA1890" s="19" t="str">
        <x:v>藤沢</x:v>
      </x:c>
      <x:c r="AB1890" s="18" t="str">
        <x:v>transport-hub-review:f227d87b-5e37-51a8-acc6-4141970d48c3</x:v>
      </x:c>
      <x:c r="AC1890" s="19"/>
    </x:row>
    <x:row r="1891" ht="33" customHeight="1">
      <x:c r="A1891" s="18" t="str">
        <x:v>藤沢</x:v>
      </x:c>
      <x:c r="B1891" s="18" t="str">
        <x:v>東日本旅客鉄道</x:v>
      </x:c>
      <x:c r="C1891" s="18" t="str">
        <x:v>conventional_rail</x:v>
      </x:c>
      <x:c r="D1891" s="19" t="str">
        <x:v>T0</x:v>
      </x:c>
      <x:c r="E1891" s="20" t="n">
        <x:v>206134</x:v>
      </x:c>
      <x:c r="F1891" s="18" t="str">
        <x:v>persons/day</x:v>
      </x:c>
      <x:c r="G1891" s="18" t="str">
        <x:v>FY2024</x:v>
      </x:c>
      <x:c r="H1891" s="18" t="str">
        <x:v>否</x:v>
      </x:c>
      <x:c r="I1891" s="19" t="str">
        <x:v>DAILY_ENTRIES_EXITS</x:v>
      </x:c>
      <x:c r="J1891" s="19" t="str">
        <x:v>東海道線</x:v>
      </x:c>
      <x:c r="K1891" s="18" t="str">
        <x:v>transport-node:ad2ac2e6-a3e2-50a9-bff1-c08c7f28b28e</x:v>
      </x:c>
      <x:c r="L1891" s="19" t="str">
        <x:v>组件待审核</x:v>
      </x:c>
      <x:c r="M1891" s="21" t="n">
        <x:v>35.3388425</x:v>
      </x:c>
      <x:c r="N1891" s="21" t="n">
        <x:v>139.48667</x:v>
      </x:c>
      <x:c r="O1891" s="18" t="str">
        <x:v>004996</x:v>
      </x:c>
      <x:c r="P1891" s="18" t="str">
        <x:v>東海道線</x:v>
      </x:c>
      <x:c r="Q1891" s="19" t="str">
        <x:v>S12_061_GE_10000
OFFICIAL_HUB_COMPONENT_REVIEW</x:v>
      </x:c>
      <x:c r="R1891" s="19" t="str">
        <x:v>S12_061 usage threshold</x:v>
      </x:c>
      <x:c r="S1891" s="19" t="str">
        <x:v>https://nlftp.mlit.go.jp/ksj/gml/datalist/KsjTmplt-S12-2024.html</x:v>
      </x:c>
      <x:c r="T1891" s="19" t="str">
        <x:v>https://nlftp.mlit.go.jp/ksj/gml/datalist/KsjTmplt-S12-2024.html
https://www.odakyu.jp/station/</x:v>
      </x:c>
      <x:c r="U1891" s="19" t="str">
        <x:v>station-component|藤沢|東日本旅客鉄道|conventional_rail|35.3388|139.4867|</x:v>
      </x:c>
      <x:c r="V1891" s="19" t="str">
        <x:v>004997 / 004996 / 東海道線</x:v>
      </x:c>
      <x:c r="W1891" s="18" t="str">
        <x:v>否</x:v>
      </x:c>
      <x:c r="X1891" s="18" t="str">
        <x:v>0785e932a32b3ec15e1a1345537ae145eafe1c07bf38d5c16c11ee2b391e7a28</x:v>
      </x:c>
      <x:c r="Y1891" s="20" t="n">
        <x:v>1</x:v>
      </x:c>
      <x:c r="Z1891" s="20" t="n">
        <x:v>1</x:v>
      </x:c>
      <x:c r="AA1891" s="19" t="str">
        <x:v>藤沢</x:v>
      </x:c>
      <x:c r="AB1891" s="18" t="str">
        <x:v>transport-hub-review:f227d87b-5e37-51a8-acc6-4141970d48c3</x:v>
      </x:c>
      <x:c r="AC1891" s="19"/>
    </x:row>
    <x:row r="1892" ht="33" customHeight="1">
      <x:c r="A1892" s="18" t="str">
        <x:v>藤沢</x:v>
      </x:c>
      <x:c r="B1892" s="18" t="str">
        <x:v>江ノ島電鉄</x:v>
      </x:c>
      <x:c r="C1892" s="18" t="str">
        <x:v>private_rail</x:v>
      </x:c>
      <x:c r="D1892" s="19" t="str">
        <x:v>T2</x:v>
      </x:c>
      <x:c r="E1892" s="20" t="n">
        <x:v>22452</x:v>
      </x:c>
      <x:c r="F1892" s="18" t="str">
        <x:v>persons/day</x:v>
      </x:c>
      <x:c r="G1892" s="18" t="str">
        <x:v>FY2024</x:v>
      </x:c>
      <x:c r="H1892" s="18" t="str">
        <x:v>否</x:v>
      </x:c>
      <x:c r="I1892" s="19" t="str">
        <x:v>DAILY_ENTRIES_EXITS</x:v>
      </x:c>
      <x:c r="J1892" s="19" t="str">
        <x:v>江ノ島電鉄線</x:v>
      </x:c>
      <x:c r="K1892" s="18" t="str">
        <x:v>transport-node:3cef631b-95f5-5488-83c7-baabe810fa02</x:v>
      </x:c>
      <x:c r="L1892" s="19" t="str">
        <x:v>组件待审核</x:v>
      </x:c>
      <x:c r="M1892" s="21" t="n">
        <x:v>35.337222</x:v>
      </x:c>
      <x:c r="N1892" s="21" t="n">
        <x:v>139.48723</x:v>
      </x:c>
      <x:c r="O1892" s="18" t="str">
        <x:v>005001</x:v>
      </x:c>
      <x:c r="P1892" s="18" t="str">
        <x:v>江ノ島電鉄線</x:v>
      </x:c>
      <x:c r="Q1892" s="19" t="str">
        <x:v>S12_061_GE_10000
OFFICIAL_HUB_COMPONENT_REVIEW</x:v>
      </x:c>
      <x:c r="R1892" s="19" t="str">
        <x:v>S12_061 usage threshold</x:v>
      </x:c>
      <x:c r="S1892" s="19" t="str">
        <x:v>https://nlftp.mlit.go.jp/ksj/gml/datalist/KsjTmplt-S12-2024.html</x:v>
      </x:c>
      <x:c r="T1892" s="19" t="str">
        <x:v>https://nlftp.mlit.go.jp/ksj/gml/datalist/KsjTmplt-S12-2024.html
https://www.odakyu.jp/station/</x:v>
      </x:c>
      <x:c r="U1892" s="19" t="str">
        <x:v>station-component|藤沢|江ノ島電鉄|private_rail|35.3372|139.4872|</x:v>
      </x:c>
      <x:c r="V1892" s="19" t="str">
        <x:v>004997 / 005001 / 江ノ島電鉄線</x:v>
      </x:c>
      <x:c r="W1892" s="18" t="str">
        <x:v>否</x:v>
      </x:c>
      <x:c r="X1892" s="18" t="str">
        <x:v>0785e932a32b3ec15e1a1345537ae145eafe1c07bf38d5c16c11ee2b391e7a28</x:v>
      </x:c>
      <x:c r="Y1892" s="20" t="n">
        <x:v>1</x:v>
      </x:c>
      <x:c r="Z1892" s="20" t="n">
        <x:v>1</x:v>
      </x:c>
      <x:c r="AA1892" s="19" t="str">
        <x:v>藤沢</x:v>
      </x:c>
      <x:c r="AB1892" s="18" t="str">
        <x:v>transport-hub-review:f227d87b-5e37-51a8-acc6-4141970d48c3</x:v>
      </x:c>
      <x:c r="AC1892" s="19"/>
    </x:row>
    <x:row r="1893" ht="28" customHeight="1">
      <x:c r="A1893" s="18" t="str">
        <x:v>藤沢本町</x:v>
      </x:c>
      <x:c r="B1893" s="18" t="str">
        <x:v>小田急電鉄</x:v>
      </x:c>
      <x:c r="C1893" s="18" t="str">
        <x:v>private_rail</x:v>
      </x:c>
      <x:c r="D1893" s="19" t="str">
        <x:v>T2</x:v>
      </x:c>
      <x:c r="E1893" s="20" t="n">
        <x:v>20527</x:v>
      </x:c>
      <x:c r="F1893" s="18" t="str">
        <x:v>persons/day</x:v>
      </x:c>
      <x:c r="G1893" s="18" t="str">
        <x:v>FY2024</x:v>
      </x:c>
      <x:c r="H1893" s="18" t="str">
        <x:v>否</x:v>
      </x:c>
      <x:c r="I1893" s="19" t="str">
        <x:v>DAILY_ENTRIES_EXITS</x:v>
      </x:c>
      <x:c r="J1893" s="19" t="str">
        <x:v>江ノ島線</x:v>
      </x:c>
      <x:c r="K1893" s="18" t="str">
        <x:v>transport-node:43457f2a-8717-500e-8419-d9dc6a998907</x:v>
      </x:c>
      <x:c r="L1893" s="19" t="str">
        <x:v>组件待审核</x:v>
      </x:c>
      <x:c r="M1893" s="21" t="n">
        <x:v>35.34821</x:v>
      </x:c>
      <x:c r="N1893" s="21" t="n">
        <x:v>139.47584</x:v>
      </x:c>
      <x:c r="O1893" s="18" t="str">
        <x:v>004973</x:v>
      </x:c>
      <x:c r="P1893" s="18" t="str">
        <x:v>江ノ島線</x:v>
      </x:c>
      <x:c r="Q1893" s="19" t="str">
        <x:v>S12_061_GE_10000</x:v>
      </x:c>
      <x:c r="R1893" s="19" t="str">
        <x:v>S12_061 usage threshold</x:v>
      </x:c>
      <x:c r="S1893" s="19" t="str">
        <x:v>https://nlftp.mlit.go.jp/ksj/gml/datalist/KsjTmplt-S12-2024.html</x:v>
      </x:c>
      <x:c r="T1893" s="19" t="str">
        <x:v>https://nlftp.mlit.go.jp/ksj/gml/datalist/KsjTmplt-S12-2024.html</x:v>
      </x:c>
      <x:c r="U1893" s="19" t="str">
        <x:v>station-component|藤沢本町|小田急電鉄|private_rail|35.3482|139.4758|</x:v>
      </x:c>
      <x:c r="V1893" s="19" t="str">
        <x:v>004973 / 004973 / 江ノ島線</x:v>
      </x:c>
      <x:c r="W1893" s="18" t="str">
        <x:v>否</x:v>
      </x:c>
      <x:c r="X1893" s="18" t="str">
        <x:v>0785e932a32b3ec15e1a1345537ae145eafe1c07bf38d5c16c11ee2b391e7a28</x:v>
      </x:c>
      <x:c r="Y1893" s="20" t="n">
        <x:v>1</x:v>
      </x:c>
      <x:c r="Z1893" s="20" t="n">
        <x:v>1</x:v>
      </x:c>
      <x:c r="AA1893" s="19"/>
      <x:c r="AB1893" s="18"/>
      <x:c r="AC1893" s="19"/>
    </x:row>
    <x:row r="1894" ht="47" customHeight="1">
      <x:c r="A1894" s="18" t="str">
        <x:v>蘇我</x:v>
      </x:c>
      <x:c r="B1894" s="18" t="str">
        <x:v>東日本旅客鉄道</x:v>
      </x:c>
      <x:c r="C1894" s="18" t="str">
        <x:v>conventional_rail</x:v>
      </x:c>
      <x:c r="D1894" s="19" t="str">
        <x:v>T1</x:v>
      </x:c>
      <x:c r="E1894" s="20" t="n">
        <x:v>65410</x:v>
      </x:c>
      <x:c r="F1894" s="18" t="str">
        <x:v>persons/day</x:v>
      </x:c>
      <x:c r="G1894" s="18" t="str">
        <x:v>FY2024</x:v>
      </x:c>
      <x:c r="H1894" s="18" t="str">
        <x:v>否</x:v>
      </x:c>
      <x:c r="I1894" s="19" t="str">
        <x:v>DAILY_ENTRIES_EXITS</x:v>
      </x:c>
      <x:c r="J1894" s="19" t="str">
        <x:v>京葉線
内房線
外房線</x:v>
      </x:c>
      <x:c r="K1894" s="18" t="str">
        <x:v>transport-node:3d01e8a4-0c90-5195-bfdf-17a33907b824</x:v>
      </x:c>
      <x:c r="L1894" s="19" t="str">
        <x:v>组件待审核</x:v>
      </x:c>
      <x:c r="M1894" s="21" t="n">
        <x:v>35.5823233</x:v>
      </x:c>
      <x:c r="N1894" s="21" t="n">
        <x:v>140.1306533</x:v>
      </x:c>
      <x:c r="O1894" s="18" t="str">
        <x:v>004283</x:v>
      </x:c>
      <x:c r="P1894" s="18" t="str">
        <x:v>内房線</x:v>
      </x:c>
      <x:c r="Q1894" s="19" t="str">
        <x:v>S12_061_GE_10000</x:v>
      </x:c>
      <x:c r="R1894" s="19" t="str">
        <x:v>S12_061 usage threshold</x:v>
      </x:c>
      <x:c r="S1894" s="19" t="str">
        <x:v>https://nlftp.mlit.go.jp/ksj/gml/datalist/KsjTmplt-S12-2024.html</x:v>
      </x:c>
      <x:c r="T1894" s="19" t="str">
        <x:v>https://nlftp.mlit.go.jp/ksj/gml/datalist/KsjTmplt-S12-2024.html</x:v>
      </x:c>
      <x:c r="U1894" s="19" t="str">
        <x:v>station-component|蘇我|東日本旅客鉄道|conventional_rail|35.5823|140.1307|</x:v>
      </x:c>
      <x:c r="V1894" s="19" t="str">
        <x:v>004281 / 004281 / 外房線
004281 / 004282 / 京葉線
004281 / 004283 / 内房線</x:v>
      </x:c>
      <x:c r="W1894" s="18" t="str">
        <x:v>否</x:v>
      </x:c>
      <x:c r="X1894" s="18" t="str">
        <x:v>0785e932a32b3ec15e1a1345537ae145eafe1c07bf38d5c16c11ee2b391e7a28</x:v>
      </x:c>
      <x:c r="Y1894" s="20" t="n">
        <x:v>1</x:v>
      </x:c>
      <x:c r="Z1894" s="20" t="n">
        <x:v>1</x:v>
      </x:c>
      <x:c r="AA1894" s="19"/>
      <x:c r="AB1894" s="18"/>
      <x:c r="AC1894" s="19"/>
    </x:row>
    <x:row r="1895" ht="28" customHeight="1">
      <x:c r="A1895" s="18" t="str">
        <x:v>虎ノ門</x:v>
      </x:c>
      <x:c r="B1895" s="18" t="str">
        <x:v>東京地下鉄</x:v>
      </x:c>
      <x:c r="C1895" s="18" t="str">
        <x:v>metro</x:v>
      </x:c>
      <x:c r="D1895" s="19" t="str">
        <x:v>T1</x:v>
      </x:c>
      <x:c r="E1895" s="20" t="n">
        <x:v>96029</x:v>
      </x:c>
      <x:c r="F1895" s="18" t="str">
        <x:v>persons/day</x:v>
      </x:c>
      <x:c r="G1895" s="18" t="str">
        <x:v>FY2024</x:v>
      </x:c>
      <x:c r="H1895" s="18" t="str">
        <x:v>否</x:v>
      </x:c>
      <x:c r="I1895" s="19" t="str">
        <x:v>DAILY_ENTRIES_EXITS</x:v>
      </x:c>
      <x:c r="J1895" s="19" t="str">
        <x:v>3号線銀座線</x:v>
      </x:c>
      <x:c r="K1895" s="18" t="str">
        <x:v>transport-node:2df7c1a7-7114-5598-80c4-affa2c3298a4</x:v>
      </x:c>
      <x:c r="L1895" s="19" t="str">
        <x:v>组件待审核</x:v>
      </x:c>
      <x:c r="M1895" s="21" t="n">
        <x:v>35.67016</x:v>
      </x:c>
      <x:c r="N1895" s="21" t="n">
        <x:v>139.75012</x:v>
      </x:c>
      <x:c r="O1895" s="18" t="str">
        <x:v>003835</x:v>
      </x:c>
      <x:c r="P1895" s="18" t="str">
        <x:v>3号線銀座線</x:v>
      </x:c>
      <x:c r="Q1895" s="19" t="str">
        <x:v>S12_061_GE_10000</x:v>
      </x:c>
      <x:c r="R1895" s="19" t="str">
        <x:v>S12_061 usage threshold</x:v>
      </x:c>
      <x:c r="S1895" s="19" t="str">
        <x:v>https://nlftp.mlit.go.jp/ksj/gml/datalist/KsjTmplt-S12-2024.html</x:v>
      </x:c>
      <x:c r="T1895" s="19" t="str">
        <x:v>https://nlftp.mlit.go.jp/ksj/gml/datalist/KsjTmplt-S12-2024.html</x:v>
      </x:c>
      <x:c r="U1895" s="19" t="str">
        <x:v>station-component|虎ノ門|東京地下鉄|metro|35.6702|139.7501|</x:v>
      </x:c>
      <x:c r="V1895" s="19" t="str">
        <x:v>003835 / 003835 / 3号線銀座線</x:v>
      </x:c>
      <x:c r="W1895" s="18" t="str">
        <x:v>否</x:v>
      </x:c>
      <x:c r="X1895" s="18" t="str">
        <x:v>0785e932a32b3ec15e1a1345537ae145eafe1c07bf38d5c16c11ee2b391e7a28</x:v>
      </x:c>
      <x:c r="Y1895" s="20" t="n">
        <x:v>1</x:v>
      </x:c>
      <x:c r="Z1895" s="20" t="n">
        <x:v>1</x:v>
      </x:c>
      <x:c r="AA1895" s="19"/>
      <x:c r="AB1895" s="18"/>
      <x:c r="AC1895" s="19"/>
    </x:row>
    <x:row r="1896" ht="28" customHeight="1">
      <x:c r="A1896" s="18" t="str">
        <x:v>虎ノ門ヒルズ</x:v>
      </x:c>
      <x:c r="B1896" s="18" t="str">
        <x:v>東京地下鉄</x:v>
      </x:c>
      <x:c r="C1896" s="18" t="str">
        <x:v>metro</x:v>
      </x:c>
      <x:c r="D1896" s="19" t="str">
        <x:v>T1</x:v>
      </x:c>
      <x:c r="E1896" s="20" t="n">
        <x:v>56595</x:v>
      </x:c>
      <x:c r="F1896" s="18" t="str">
        <x:v>persons/day</x:v>
      </x:c>
      <x:c r="G1896" s="18" t="str">
        <x:v>FY2024</x:v>
      </x:c>
      <x:c r="H1896" s="18" t="str">
        <x:v>否</x:v>
      </x:c>
      <x:c r="I1896" s="19" t="str">
        <x:v>DAILY_ENTRIES_EXITS</x:v>
      </x:c>
      <x:c r="J1896" s="19" t="str">
        <x:v>2号線日比谷線</x:v>
      </x:c>
      <x:c r="K1896" s="18" t="str">
        <x:v>transport-node:882df26e-80e1-5438-a7a5-9a029ebe3b8a</x:v>
      </x:c>
      <x:c r="L1896" s="19" t="str">
        <x:v>组件待审核</x:v>
      </x:c>
      <x:c r="M1896" s="21" t="n">
        <x:v>35.66733</x:v>
      </x:c>
      <x:c r="N1896" s="21" t="n">
        <x:v>139.747775</x:v>
      </x:c>
      <x:c r="O1896" s="18" t="str">
        <x:v>003866</x:v>
      </x:c>
      <x:c r="P1896" s="18" t="str">
        <x:v>2号線日比谷線</x:v>
      </x:c>
      <x:c r="Q1896" s="19" t="str">
        <x:v>S12_061_GE_10000</x:v>
      </x:c>
      <x:c r="R1896" s="19" t="str">
        <x:v>S12_061 usage threshold</x:v>
      </x:c>
      <x:c r="S1896" s="19" t="str">
        <x:v>https://nlftp.mlit.go.jp/ksj/gml/datalist/KsjTmplt-S12-2024.html</x:v>
      </x:c>
      <x:c r="T1896" s="19" t="str">
        <x:v>https://nlftp.mlit.go.jp/ksj/gml/datalist/KsjTmplt-S12-2024.html</x:v>
      </x:c>
      <x:c r="U1896" s="19" t="str">
        <x:v>station-component|虎ノ門ヒルズ|東京地下鉄|metro|35.6673|139.7478|</x:v>
      </x:c>
      <x:c r="V1896" s="19" t="str">
        <x:v>003866 / 003866 / 2号線日比谷線</x:v>
      </x:c>
      <x:c r="W1896" s="18" t="str">
        <x:v>否</x:v>
      </x:c>
      <x:c r="X1896" s="18" t="str">
        <x:v>0785e932a32b3ec15e1a1345537ae145eafe1c07bf38d5c16c11ee2b391e7a28</x:v>
      </x:c>
      <x:c r="Y1896" s="20" t="n">
        <x:v>1</x:v>
      </x:c>
      <x:c r="Z1896" s="20" t="n">
        <x:v>1</x:v>
      </x:c>
      <x:c r="AA1896" s="19"/>
      <x:c r="AB1896" s="18"/>
      <x:c r="AC1896" s="19"/>
    </x:row>
    <x:row r="1897" ht="33" customHeight="1">
      <x:c r="A1897" s="18" t="str">
        <x:v>蛍池</x:v>
      </x:c>
      <x:c r="B1897" s="18" t="str">
        <x:v>大阪モノレール</x:v>
      </x:c>
      <x:c r="C1897" s="18" t="str">
        <x:v>fixed_guideway</x:v>
      </x:c>
      <x:c r="D1897" s="19" t="str">
        <x:v>T2</x:v>
      </x:c>
      <x:c r="E1897" s="20" t="n">
        <x:v>29448</x:v>
      </x:c>
      <x:c r="F1897" s="18" t="str">
        <x:v>persons/day</x:v>
      </x:c>
      <x:c r="G1897" s="18" t="str">
        <x:v>FY2024</x:v>
      </x:c>
      <x:c r="H1897" s="18" t="str">
        <x:v>否</x:v>
      </x:c>
      <x:c r="I1897" s="19" t="str">
        <x:v>DAILY_ENTRIES_EXITS</x:v>
      </x:c>
      <x:c r="J1897" s="19" t="str">
        <x:v>大阪モノレール線</x:v>
      </x:c>
      <x:c r="K1897" s="18" t="str">
        <x:v>transport-node:f9b9bd31-54d2-53a6-a3fe-0bb2fa4888f6</x:v>
      </x:c>
      <x:c r="L1897" s="19" t="str">
        <x:v>组件待审核</x:v>
      </x:c>
      <x:c r="M1897" s="21" t="n">
        <x:v>34.7940197</x:v>
      </x:c>
      <x:c r="N1897" s="21" t="n">
        <x:v>135.4494129</x:v>
      </x:c>
      <x:c r="O1897" s="18" t="str">
        <x:v>006661</x:v>
      </x:c>
      <x:c r="P1897" s="18" t="str">
        <x:v>大阪モノレール線</x:v>
      </x:c>
      <x:c r="Q1897" s="19" t="str">
        <x:v>S12_061_GE_10000
OFFICIAL_HUB_COMPONENT_REVIEW</x:v>
      </x:c>
      <x:c r="R1897" s="19" t="str">
        <x:v>S12_061 usage threshold</x:v>
      </x:c>
      <x:c r="S1897" s="19" t="str">
        <x:v>https://nlftp.mlit.go.jp/ksj/gml/datalist/KsjTmplt-S12-2024.html</x:v>
      </x:c>
      <x:c r="T1897" s="19" t="str">
        <x:v>https://nlftp.mlit.go.jp/ksj/gml/datalist/KsjTmplt-S12-2024.html
https://www.hankyu.co.jp/station/index.html</x:v>
      </x:c>
      <x:c r="U1897" s="19" t="str">
        <x:v>station-component|蛍池|大阪モノレール|fixed_guideway|34.7940|135.4494|</x:v>
      </x:c>
      <x:c r="V1897" s="19" t="str">
        <x:v>006656 / 006661 / 大阪モノレール線</x:v>
      </x:c>
      <x:c r="W1897" s="18" t="str">
        <x:v>否</x:v>
      </x:c>
      <x:c r="X1897" s="18" t="str">
        <x:v>0785e932a32b3ec15e1a1345537ae145eafe1c07bf38d5c16c11ee2b391e7a28</x:v>
      </x:c>
      <x:c r="Y1897" s="20" t="n">
        <x:v>1</x:v>
      </x:c>
      <x:c r="Z1897" s="20" t="n">
        <x:v>1</x:v>
      </x:c>
      <x:c r="AA1897" s="19" t="str">
        <x:v>蛍池</x:v>
      </x:c>
      <x:c r="AB1897" s="18" t="str">
        <x:v>transport-hub-review:491be3de-fc07-5d29-b9fa-a646cbfa13b9</x:v>
      </x:c>
      <x:c r="AC1897" s="19"/>
    </x:row>
    <x:row r="1898" ht="33" customHeight="1">
      <x:c r="A1898" s="18" t="str">
        <x:v>蛍池</x:v>
      </x:c>
      <x:c r="B1898" s="18" t="str">
        <x:v>阪急電鉄</x:v>
      </x:c>
      <x:c r="C1898" s="18" t="str">
        <x:v>private_rail</x:v>
      </x:c>
      <x:c r="D1898" s="19" t="str">
        <x:v>T2</x:v>
      </x:c>
      <x:c r="E1898" s="20" t="n">
        <x:v>38675</x:v>
      </x:c>
      <x:c r="F1898" s="18" t="str">
        <x:v>persons/day</x:v>
      </x:c>
      <x:c r="G1898" s="18" t="str">
        <x:v>FY2024</x:v>
      </x:c>
      <x:c r="H1898" s="18" t="str">
        <x:v>否</x:v>
      </x:c>
      <x:c r="I1898" s="19" t="str">
        <x:v>DAILY_ENTRIES_EXITS</x:v>
      </x:c>
      <x:c r="J1898" s="19" t="str">
        <x:v>宝塚線</x:v>
      </x:c>
      <x:c r="K1898" s="18" t="str">
        <x:v>transport-node:0775cb47-fc83-581f-a0f7-974726e559b9</x:v>
      </x:c>
      <x:c r="L1898" s="19" t="str">
        <x:v>组件待审核</x:v>
      </x:c>
      <x:c r="M1898" s="21" t="n">
        <x:v>34.794645</x:v>
      </x:c>
      <x:c r="N1898" s="21" t="n">
        <x:v>135.44923</x:v>
      </x:c>
      <x:c r="O1898" s="18" t="str">
        <x:v>006656</x:v>
      </x:c>
      <x:c r="P1898" s="18" t="str">
        <x:v>宝塚線</x:v>
      </x:c>
      <x:c r="Q1898" s="19" t="str">
        <x:v>S12_061_GE_10000
OFFICIAL_HUB_COMPONENT_REVIEW</x:v>
      </x:c>
      <x:c r="R1898" s="19" t="str">
        <x:v>S12_061 usage threshold</x:v>
      </x:c>
      <x:c r="S1898" s="19" t="str">
        <x:v>https://nlftp.mlit.go.jp/ksj/gml/datalist/KsjTmplt-S12-2024.html</x:v>
      </x:c>
      <x:c r="T1898" s="19" t="str">
        <x:v>https://nlftp.mlit.go.jp/ksj/gml/datalist/KsjTmplt-S12-2024.html
https://www.hankyu.co.jp/station/index.html</x:v>
      </x:c>
      <x:c r="U1898" s="19" t="str">
        <x:v>station-component|蛍池|阪急電鉄|private_rail|34.7946|135.4492|</x:v>
      </x:c>
      <x:c r="V1898" s="19" t="str">
        <x:v>006656 / 006656 / 宝塚線</x:v>
      </x:c>
      <x:c r="W1898" s="18" t="str">
        <x:v>否</x:v>
      </x:c>
      <x:c r="X1898" s="18" t="str">
        <x:v>0785e932a32b3ec15e1a1345537ae145eafe1c07bf38d5c16c11ee2b391e7a28</x:v>
      </x:c>
      <x:c r="Y1898" s="20" t="n">
        <x:v>1</x:v>
      </x:c>
      <x:c r="Z1898" s="20" t="n">
        <x:v>1</x:v>
      </x:c>
      <x:c r="AA1898" s="19" t="str">
        <x:v>蛍池</x:v>
      </x:c>
      <x:c r="AB1898" s="18" t="str">
        <x:v>transport-hub-review:491be3de-fc07-5d29-b9fa-a646cbfa13b9</x:v>
      </x:c>
      <x:c r="AC1898" s="19"/>
    </x:row>
    <x:row r="1899" ht="28" customHeight="1">
      <x:c r="A1899" s="18" t="str">
        <x:v>行徳</x:v>
      </x:c>
      <x:c r="B1899" s="18" t="str">
        <x:v>東京地下鉄</x:v>
      </x:c>
      <x:c r="C1899" s="18" t="str">
        <x:v>metro</x:v>
      </x:c>
      <x:c r="D1899" s="19" t="str">
        <x:v>T1</x:v>
      </x:c>
      <x:c r="E1899" s="20" t="n">
        <x:v>54606</x:v>
      </x:c>
      <x:c r="F1899" s="18" t="str">
        <x:v>persons/day</x:v>
      </x:c>
      <x:c r="G1899" s="18" t="str">
        <x:v>FY2024</x:v>
      </x:c>
      <x:c r="H1899" s="18" t="str">
        <x:v>否</x:v>
      </x:c>
      <x:c r="I1899" s="19" t="str">
        <x:v>DAILY_ENTRIES_EXITS</x:v>
      </x:c>
      <x:c r="J1899" s="19" t="str">
        <x:v>5号線東西線</x:v>
      </x:c>
      <x:c r="K1899" s="18" t="str">
        <x:v>transport-node:e2859a97-04f8-5f70-9c95-8c7d534bc34c</x:v>
      </x:c>
      <x:c r="L1899" s="19" t="str">
        <x:v>组件待审核</x:v>
      </x:c>
      <x:c r="M1899" s="21" t="n">
        <x:v>35.6828475</x:v>
      </x:c>
      <x:c r="N1899" s="21" t="n">
        <x:v>139.9144625</x:v>
      </x:c>
      <x:c r="O1899" s="18" t="str">
        <x:v>003755</x:v>
      </x:c>
      <x:c r="P1899" s="18" t="str">
        <x:v>5号線東西線</x:v>
      </x:c>
      <x:c r="Q1899" s="19" t="str">
        <x:v>S12_061_GE_10000</x:v>
      </x:c>
      <x:c r="R1899" s="19" t="str">
        <x:v>S12_061 usage threshold</x:v>
      </x:c>
      <x:c r="S1899" s="19" t="str">
        <x:v>https://nlftp.mlit.go.jp/ksj/gml/datalist/KsjTmplt-S12-2024.html</x:v>
      </x:c>
      <x:c r="T1899" s="19" t="str">
        <x:v>https://nlftp.mlit.go.jp/ksj/gml/datalist/KsjTmplt-S12-2024.html</x:v>
      </x:c>
      <x:c r="U1899" s="19" t="str">
        <x:v>station-component|行徳|東京地下鉄|metro|35.6828|139.9145|</x:v>
      </x:c>
      <x:c r="V1899" s="19" t="str">
        <x:v>003755 / 003755 / 5号線東西線</x:v>
      </x:c>
      <x:c r="W1899" s="18" t="str">
        <x:v>否</x:v>
      </x:c>
      <x:c r="X1899" s="18" t="str">
        <x:v>0785e932a32b3ec15e1a1345537ae145eafe1c07bf38d5c16c11ee2b391e7a28</x:v>
      </x:c>
      <x:c r="Y1899" s="20" t="n">
        <x:v>1</x:v>
      </x:c>
      <x:c r="Z1899" s="20" t="n">
        <x:v>1</x:v>
      </x:c>
      <x:c r="AA1899" s="19"/>
      <x:c r="AB1899" s="18"/>
      <x:c r="AC1899" s="19"/>
    </x:row>
    <x:row r="1900" ht="28" customHeight="1">
      <x:c r="A1900" s="18" t="str">
        <x:v>行橋</x:v>
      </x:c>
      <x:c r="B1900" s="18" t="str">
        <x:v>九州旅客鉄道</x:v>
      </x:c>
      <x:c r="C1900" s="18" t="str">
        <x:v>conventional_rail</x:v>
      </x:c>
      <x:c r="D1900" s="19" t="str">
        <x:v>T2</x:v>
      </x:c>
      <x:c r="E1900" s="20" t="n">
        <x:v>11086</x:v>
      </x:c>
      <x:c r="F1900" s="18" t="str">
        <x:v>persons/day</x:v>
      </x:c>
      <x:c r="G1900" s="18" t="str">
        <x:v>FY2024</x:v>
      </x:c>
      <x:c r="H1900" s="18" t="str">
        <x:v>否</x:v>
      </x:c>
      <x:c r="I1900" s="19" t="str">
        <x:v>DAILY_ENTRIES_EXITS</x:v>
      </x:c>
      <x:c r="J1900" s="19" t="str">
        <x:v>日豊線</x:v>
      </x:c>
      <x:c r="K1900" s="18" t="str">
        <x:v>transport-node:b705f62b-1268-552b-ad97-55a232253824</x:v>
      </x:c>
      <x:c r="L1900" s="19" t="str">
        <x:v>组件待审核</x:v>
      </x:c>
      <x:c r="M1900" s="21" t="n">
        <x:v>33.72875</x:v>
      </x:c>
      <x:c r="N1900" s="21" t="n">
        <x:v>130.970255</x:v>
      </x:c>
      <x:c r="O1900" s="18" t="str">
        <x:v>008870</x:v>
      </x:c>
      <x:c r="P1900" s="18" t="str">
        <x:v>日豊線</x:v>
      </x:c>
      <x:c r="Q1900" s="19" t="str">
        <x:v>S12_061_GE_10000</x:v>
      </x:c>
      <x:c r="R1900" s="19" t="str">
        <x:v>S12_061 usage threshold</x:v>
      </x:c>
      <x:c r="S1900" s="19" t="str">
        <x:v>https://nlftp.mlit.go.jp/ksj/gml/datalist/KsjTmplt-S12-2024.html</x:v>
      </x:c>
      <x:c r="T1900" s="19" t="str">
        <x:v>https://nlftp.mlit.go.jp/ksj/gml/datalist/KsjTmplt-S12-2024.html</x:v>
      </x:c>
      <x:c r="U1900" s="19" t="str">
        <x:v>station-component|行橋|九州旅客鉄道|conventional_rail|33.7287|130.9703|</x:v>
      </x:c>
      <x:c r="V1900" s="19" t="str">
        <x:v>008870 / 008870 / 日豊線</x:v>
      </x:c>
      <x:c r="W1900" s="18" t="str">
        <x:v>否</x:v>
      </x:c>
      <x:c r="X1900" s="18" t="str">
        <x:v>0785e932a32b3ec15e1a1345537ae145eafe1c07bf38d5c16c11ee2b391e7a28</x:v>
      </x:c>
      <x:c r="Y1900" s="20" t="n">
        <x:v>1</x:v>
      </x:c>
      <x:c r="Z1900" s="20" t="n">
        <x:v>1</x:v>
      </x:c>
      <x:c r="AA1900" s="19"/>
      <x:c r="AB1900" s="18"/>
      <x:c r="AC1900" s="19"/>
    </x:row>
    <x:row r="1901" ht="28" customHeight="1">
      <x:c r="A1901" s="18" t="str">
        <x:v>行田</x:v>
      </x:c>
      <x:c r="B1901" s="18" t="str">
        <x:v>東日本旅客鉄道</x:v>
      </x:c>
      <x:c r="C1901" s="18" t="str">
        <x:v>conventional_rail</x:v>
      </x:c>
      <x:c r="D1901" s="19" t="str">
        <x:v>T2</x:v>
      </x:c>
      <x:c r="E1901" s="20" t="n">
        <x:v>11830</x:v>
      </x:c>
      <x:c r="F1901" s="18" t="str">
        <x:v>persons/day</x:v>
      </x:c>
      <x:c r="G1901" s="18" t="str">
        <x:v>FY2024</x:v>
      </x:c>
      <x:c r="H1901" s="18" t="str">
        <x:v>否</x:v>
      </x:c>
      <x:c r="I1901" s="19" t="str">
        <x:v>DAILY_ENTRIES_EXITS</x:v>
      </x:c>
      <x:c r="J1901" s="19" t="str">
        <x:v>高崎線</x:v>
      </x:c>
      <x:c r="K1901" s="18" t="str">
        <x:v>transport-node:f8784b8b-485e-5ba4-9710-e20c8891e996</x:v>
      </x:c>
      <x:c r="L1901" s="19" t="str">
        <x:v>组件待审核</x:v>
      </x:c>
      <x:c r="M1901" s="21" t="n">
        <x:v>36.1138825</x:v>
      </x:c>
      <x:c r="N1901" s="21" t="n">
        <x:v>139.43209</x:v>
      </x:c>
      <x:c r="O1901" s="18" t="str">
        <x:v>002619</x:v>
      </x:c>
      <x:c r="P1901" s="18" t="str">
        <x:v>高崎線</x:v>
      </x:c>
      <x:c r="Q1901" s="19" t="str">
        <x:v>S12_061_GE_10000</x:v>
      </x:c>
      <x:c r="R1901" s="19" t="str">
        <x:v>S12_061 usage threshold</x:v>
      </x:c>
      <x:c r="S1901" s="19" t="str">
        <x:v>https://nlftp.mlit.go.jp/ksj/gml/datalist/KsjTmplt-S12-2024.html</x:v>
      </x:c>
      <x:c r="T1901" s="19" t="str">
        <x:v>https://nlftp.mlit.go.jp/ksj/gml/datalist/KsjTmplt-S12-2024.html</x:v>
      </x:c>
      <x:c r="U1901" s="19" t="str">
        <x:v>station-component|行田|東日本旅客鉄道|conventional_rail|36.1139|139.4321|</x:v>
      </x:c>
      <x:c r="V1901" s="19" t="str">
        <x:v>002619 / 002619 / 高崎線</x:v>
      </x:c>
      <x:c r="W1901" s="18" t="str">
        <x:v>否</x:v>
      </x:c>
      <x:c r="X1901" s="18" t="str">
        <x:v>0785e932a32b3ec15e1a1345537ae145eafe1c07bf38d5c16c11ee2b391e7a28</x:v>
      </x:c>
      <x:c r="Y1901" s="20" t="n">
        <x:v>1</x:v>
      </x:c>
      <x:c r="Z1901" s="20" t="n">
        <x:v>1</x:v>
      </x:c>
      <x:c r="AA1901" s="19"/>
      <x:c r="AB1901" s="18"/>
      <x:c r="AC1901" s="19"/>
    </x:row>
    <x:row r="1902" ht="28" customHeight="1">
      <x:c r="A1902" s="18" t="str">
        <x:v>衣笠</x:v>
      </x:c>
      <x:c r="B1902" s="18" t="str">
        <x:v>東日本旅客鉄道</x:v>
      </x:c>
      <x:c r="C1902" s="18" t="str">
        <x:v>conventional_rail</x:v>
      </x:c>
      <x:c r="D1902" s="19" t="str">
        <x:v>T2</x:v>
      </x:c>
      <x:c r="E1902" s="20" t="n">
        <x:v>15166</x:v>
      </x:c>
      <x:c r="F1902" s="18" t="str">
        <x:v>persons/day</x:v>
      </x:c>
      <x:c r="G1902" s="18" t="str">
        <x:v>FY2024</x:v>
      </x:c>
      <x:c r="H1902" s="18" t="str">
        <x:v>否</x:v>
      </x:c>
      <x:c r="I1902" s="19" t="str">
        <x:v>DAILY_ENTRIES_EXITS</x:v>
      </x:c>
      <x:c r="J1902" s="19" t="str">
        <x:v>横須賀線</x:v>
      </x:c>
      <x:c r="K1902" s="18" t="str">
        <x:v>transport-node:2503cdd6-4393-50f5-89e1-cca94b7a3b24</x:v>
      </x:c>
      <x:c r="L1902" s="19" t="str">
        <x:v>组件待审核</x:v>
      </x:c>
      <x:c r="M1902" s="21" t="n">
        <x:v>35.25711</x:v>
      </x:c>
      <x:c r="N1902" s="21" t="n">
        <x:v>139.66099</x:v>
      </x:c>
      <x:c r="O1902" s="18" t="str">
        <x:v>005210</x:v>
      </x:c>
      <x:c r="P1902" s="18" t="str">
        <x:v>横須賀線</x:v>
      </x:c>
      <x:c r="Q1902" s="19" t="str">
        <x:v>S12_061_GE_10000</x:v>
      </x:c>
      <x:c r="R1902" s="19" t="str">
        <x:v>S12_061 usage threshold</x:v>
      </x:c>
      <x:c r="S1902" s="19" t="str">
        <x:v>https://nlftp.mlit.go.jp/ksj/gml/datalist/KsjTmplt-S12-2024.html</x:v>
      </x:c>
      <x:c r="T1902" s="19" t="str">
        <x:v>https://nlftp.mlit.go.jp/ksj/gml/datalist/KsjTmplt-S12-2024.html</x:v>
      </x:c>
      <x:c r="U1902" s="19" t="str">
        <x:v>station-component|衣笠|東日本旅客鉄道|conventional_rail|35.2571|139.6610|</x:v>
      </x:c>
      <x:c r="V1902" s="19" t="str">
        <x:v>005210 / 005210 / 横須賀線</x:v>
      </x:c>
      <x:c r="W1902" s="18" t="str">
        <x:v>否</x:v>
      </x:c>
      <x:c r="X1902" s="18" t="str">
        <x:v>0785e932a32b3ec15e1a1345537ae145eafe1c07bf38d5c16c11ee2b391e7a28</x:v>
      </x:c>
      <x:c r="Y1902" s="20" t="n">
        <x:v>1</x:v>
      </x:c>
      <x:c r="Z1902" s="20" t="n">
        <x:v>1</x:v>
      </x:c>
      <x:c r="AA1902" s="19"/>
      <x:c r="AB1902" s="18"/>
      <x:c r="AC1902" s="19"/>
    </x:row>
    <x:row r="1903" ht="47" customHeight="1">
      <x:c r="A1903" s="18" t="str">
        <x:v>表参道</x:v>
      </x:c>
      <x:c r="B1903" s="18" t="str">
        <x:v>東京地下鉄</x:v>
      </x:c>
      <x:c r="C1903" s="18" t="str">
        <x:v>metro</x:v>
      </x:c>
      <x:c r="D1903" s="19" t="str">
        <x:v>T1</x:v>
      </x:c>
      <x:c r="E1903" s="20" t="n">
        <x:v>176901</x:v>
      </x:c>
      <x:c r="F1903" s="18" t="str">
        <x:v>persons/day</x:v>
      </x:c>
      <x:c r="G1903" s="18" t="str">
        <x:v>FY2024</x:v>
      </x:c>
      <x:c r="H1903" s="18" t="str">
        <x:v>否</x:v>
      </x:c>
      <x:c r="I1903" s="19" t="str">
        <x:v>DAILY_ENTRIES_EXITS</x:v>
      </x:c>
      <x:c r="J1903" s="19" t="str">
        <x:v>11号線半蔵門線
3号線銀座線
9号線千代田線</x:v>
      </x:c>
      <x:c r="K1903" s="18" t="str">
        <x:v>transport-node:0dc8465f-68de-55ec-ac1c-35178ac5e3b8</x:v>
      </x:c>
      <x:c r="L1903" s="19" t="str">
        <x:v>组件待审核</x:v>
      </x:c>
      <x:c r="M1903" s="21" t="n">
        <x:v>35.6650633</x:v>
      </x:c>
      <x:c r="N1903" s="21" t="n">
        <x:v>139.71249</x:v>
      </x:c>
      <x:c r="O1903" s="18" t="str">
        <x:v>003885</x:v>
      </x:c>
      <x:c r="P1903" s="18" t="str">
        <x:v>3号線銀座線</x:v>
      </x:c>
      <x:c r="Q1903" s="19" t="str">
        <x:v>S12_061_GE_10000
OFFICIAL_HUB_COMPONENT_REVIEW</x:v>
      </x:c>
      <x:c r="R1903" s="19" t="str">
        <x:v>S12_061 usage threshold</x:v>
      </x:c>
      <x:c r="S1903" s="19" t="str">
        <x:v>https://nlftp.mlit.go.jp/ksj/gml/datalist/KsjTmplt-S12-2024.html</x:v>
      </x:c>
      <x:c r="T1903" s="19" t="str">
        <x:v>https://nlftp.mlit.go.jp/ksj/gml/datalist/KsjTmplt-S12-2024.html
https://www.tokyometro.jp/station/omote-sando/index.html</x:v>
      </x:c>
      <x:c r="U1903" s="19" t="str">
        <x:v>station-component|表参道|東京地下鉄|metro|35.6651|139.7125|</x:v>
      </x:c>
      <x:c r="V1903" s="19" t="str">
        <x:v>003883 / 003879 / 9号線千代田線
003883 / 003883 / 11号線半蔵門線
003883 / 003885 / 3号線銀座線</x:v>
      </x:c>
      <x:c r="W1903" s="18" t="str">
        <x:v>否</x:v>
      </x:c>
      <x:c r="X1903" s="18" t="str">
        <x:v>0785e932a32b3ec15e1a1345537ae145eafe1c07bf38d5c16c11ee2b391e7a28</x:v>
      </x:c>
      <x:c r="Y1903" s="20" t="n">
        <x:v>1</x:v>
      </x:c>
      <x:c r="Z1903" s="20" t="n">
        <x:v>1</x:v>
      </x:c>
      <x:c r="AA1903" s="19" t="str">
        <x:v>表参道</x:v>
      </x:c>
      <x:c r="AB1903" s="18" t="str">
        <x:v>transport-hub-review:4fbf4b7f-731c-5db0-b41d-a2fc3534bb63</x:v>
      </x:c>
      <x:c r="AC1903" s="19"/>
    </x:row>
    <x:row r="1904" ht="28" customHeight="1">
      <x:c r="A1904" s="18" t="str">
        <x:v>袖ヶ浦</x:v>
      </x:c>
      <x:c r="B1904" s="18" t="str">
        <x:v>東日本旅客鉄道</x:v>
      </x:c>
      <x:c r="C1904" s="18" t="str">
        <x:v>conventional_rail</x:v>
      </x:c>
      <x:c r="D1904" s="19" t="str">
        <x:v>T2</x:v>
      </x:c>
      <x:c r="E1904" s="20" t="n">
        <x:v>11312</x:v>
      </x:c>
      <x:c r="F1904" s="18" t="str">
        <x:v>persons/day</x:v>
      </x:c>
      <x:c r="G1904" s="18" t="str">
        <x:v>FY2024</x:v>
      </x:c>
      <x:c r="H1904" s="18" t="str">
        <x:v>否</x:v>
      </x:c>
      <x:c r="I1904" s="19" t="str">
        <x:v>DAILY_ENTRIES_EXITS</x:v>
      </x:c>
      <x:c r="J1904" s="19" t="str">
        <x:v>内房線</x:v>
      </x:c>
      <x:c r="K1904" s="18" t="str">
        <x:v>transport-node:503ff0d9-49b5-57ad-848a-709ccf469c74</x:v>
      </x:c>
      <x:c r="L1904" s="19" t="str">
        <x:v>组件待审核</x:v>
      </x:c>
      <x:c r="M1904" s="21" t="n">
        <x:v>35.431905</x:v>
      </x:c>
      <x:c r="N1904" s="21" t="n">
        <x:v>139.95721</x:v>
      </x:c>
      <x:c r="O1904" s="18" t="str">
        <x:v>004730</x:v>
      </x:c>
      <x:c r="P1904" s="18" t="str">
        <x:v>内房線</x:v>
      </x:c>
      <x:c r="Q1904" s="19" t="str">
        <x:v>S12_061_GE_10000</x:v>
      </x:c>
      <x:c r="R1904" s="19" t="str">
        <x:v>S12_061 usage threshold</x:v>
      </x:c>
      <x:c r="S1904" s="19" t="str">
        <x:v>https://nlftp.mlit.go.jp/ksj/gml/datalist/KsjTmplt-S12-2024.html</x:v>
      </x:c>
      <x:c r="T1904" s="19" t="str">
        <x:v>https://nlftp.mlit.go.jp/ksj/gml/datalist/KsjTmplt-S12-2024.html</x:v>
      </x:c>
      <x:c r="U1904" s="19" t="str">
        <x:v>station-component|袖ヶ浦|東日本旅客鉄道|conventional_rail|35.4319|139.9572|</x:v>
      </x:c>
      <x:c r="V1904" s="19" t="str">
        <x:v>004730 / 004730 / 内房線</x:v>
      </x:c>
      <x:c r="W1904" s="18" t="str">
        <x:v>否</x:v>
      </x:c>
      <x:c r="X1904" s="18" t="str">
        <x:v>0785e932a32b3ec15e1a1345537ae145eafe1c07bf38d5c16c11ee2b391e7a28</x:v>
      </x:c>
      <x:c r="Y1904" s="20" t="n">
        <x:v>1</x:v>
      </x:c>
      <x:c r="Z1904" s="20" t="n">
        <x:v>1</x:v>
      </x:c>
      <x:c r="AA1904" s="19"/>
      <x:c r="AB1904" s="18"/>
      <x:c r="AC1904" s="19"/>
    </x:row>
    <x:row r="1905" ht="28" customHeight="1">
      <x:c r="A1905" s="18" t="str">
        <x:v>西11丁目</x:v>
      </x:c>
      <x:c r="B1905" s="18" t="str">
        <x:v>札幌市</x:v>
      </x:c>
      <x:c r="C1905" s="18" t="str">
        <x:v>metro</x:v>
      </x:c>
      <x:c r="D1905" s="19" t="str">
        <x:v>T2</x:v>
      </x:c>
      <x:c r="E1905" s="20" t="n">
        <x:v>32586</x:v>
      </x:c>
      <x:c r="F1905" s="18" t="str">
        <x:v>persons/day</x:v>
      </x:c>
      <x:c r="G1905" s="18" t="str">
        <x:v>FY2024</x:v>
      </x:c>
      <x:c r="H1905" s="18" t="str">
        <x:v>否</x:v>
      </x:c>
      <x:c r="I1905" s="19" t="str">
        <x:v>DAILY_ENTRIES_EXITS</x:v>
      </x:c>
      <x:c r="J1905" s="19" t="str">
        <x:v>東西線</x:v>
      </x:c>
      <x:c r="K1905" s="18" t="str">
        <x:v>transport-node:63cce806-02db-5c57-8ae4-2c5a7e965dba</x:v>
      </x:c>
      <x:c r="L1905" s="19" t="str">
        <x:v>组件待审核</x:v>
      </x:c>
      <x:c r="M1905" s="21" t="n">
        <x:v>43.058685</x:v>
      </x:c>
      <x:c r="N1905" s="21" t="n">
        <x:v>141.341395</x:v>
      </x:c>
      <x:c r="O1905" s="18" t="str">
        <x:v>000237</x:v>
      </x:c>
      <x:c r="P1905" s="18" t="str">
        <x:v>東西線</x:v>
      </x:c>
      <x:c r="Q1905" s="19" t="str">
        <x:v>S12_061_GE_10000</x:v>
      </x:c>
      <x:c r="R1905" s="19" t="str">
        <x:v>S12_061 usage threshold</x:v>
      </x:c>
      <x:c r="S1905" s="19" t="str">
        <x:v>https://nlftp.mlit.go.jp/ksj/gml/datalist/KsjTmplt-S12-2024.html</x:v>
      </x:c>
      <x:c r="T1905" s="19" t="str">
        <x:v>https://nlftp.mlit.go.jp/ksj/gml/datalist/KsjTmplt-S12-2024.html</x:v>
      </x:c>
      <x:c r="U1905" s="19" t="str">
        <x:v>station-component|西11丁目|札幌市|metro|43.0587|141.3414|</x:v>
      </x:c>
      <x:c r="V1905" s="19" t="str">
        <x:v>000237 / 000237 / 東西線</x:v>
      </x:c>
      <x:c r="W1905" s="18" t="str">
        <x:v>否</x:v>
      </x:c>
      <x:c r="X1905" s="18" t="str">
        <x:v>0785e932a32b3ec15e1a1345537ae145eafe1c07bf38d5c16c11ee2b391e7a28</x:v>
      </x:c>
      <x:c r="Y1905" s="20" t="n">
        <x:v>1</x:v>
      </x:c>
      <x:c r="Z1905" s="20" t="n">
        <x:v>1</x:v>
      </x:c>
      <x:c r="AA1905" s="19"/>
      <x:c r="AB1905" s="18"/>
      <x:c r="AC1905" s="19"/>
    </x:row>
    <x:row r="1906" ht="28" customHeight="1">
      <x:c r="A1906" s="18" t="str">
        <x:v>西18丁目</x:v>
      </x:c>
      <x:c r="B1906" s="18" t="str">
        <x:v>札幌市</x:v>
      </x:c>
      <x:c r="C1906" s="18" t="str">
        <x:v>metro</x:v>
      </x:c>
      <x:c r="D1906" s="19" t="str">
        <x:v>T2</x:v>
      </x:c>
      <x:c r="E1906" s="20" t="n">
        <x:v>32750</x:v>
      </x:c>
      <x:c r="F1906" s="18" t="str">
        <x:v>persons/day</x:v>
      </x:c>
      <x:c r="G1906" s="18" t="str">
        <x:v>FY2024</x:v>
      </x:c>
      <x:c r="H1906" s="18" t="str">
        <x:v>否</x:v>
      </x:c>
      <x:c r="I1906" s="19" t="str">
        <x:v>DAILY_ENTRIES_EXITS</x:v>
      </x:c>
      <x:c r="J1906" s="19" t="str">
        <x:v>東西線</x:v>
      </x:c>
      <x:c r="K1906" s="18" t="str">
        <x:v>transport-node:948498dc-ed04-5c5a-a03d-ed4b693ff2f9</x:v>
      </x:c>
      <x:c r="L1906" s="19" t="str">
        <x:v>组件待审核</x:v>
      </x:c>
      <x:c r="M1906" s="21" t="n">
        <x:v>43.05724</x:v>
      </x:c>
      <x:c r="N1906" s="21" t="n">
        <x:v>141.330405</x:v>
      </x:c>
      <x:c r="O1906" s="18" t="str">
        <x:v>000244</x:v>
      </x:c>
      <x:c r="P1906" s="18" t="str">
        <x:v>東西線</x:v>
      </x:c>
      <x:c r="Q1906" s="19" t="str">
        <x:v>S12_061_GE_10000</x:v>
      </x:c>
      <x:c r="R1906" s="19" t="str">
        <x:v>S12_061 usage threshold</x:v>
      </x:c>
      <x:c r="S1906" s="19" t="str">
        <x:v>https://nlftp.mlit.go.jp/ksj/gml/datalist/KsjTmplt-S12-2024.html</x:v>
      </x:c>
      <x:c r="T1906" s="19" t="str">
        <x:v>https://nlftp.mlit.go.jp/ksj/gml/datalist/KsjTmplt-S12-2024.html</x:v>
      </x:c>
      <x:c r="U1906" s="19" t="str">
        <x:v>station-component|西18丁目|札幌市|metro|43.0572|141.3304|</x:v>
      </x:c>
      <x:c r="V1906" s="19" t="str">
        <x:v>000244 / 000244 / 東西線</x:v>
      </x:c>
      <x:c r="W1906" s="18" t="str">
        <x:v>否</x:v>
      </x:c>
      <x:c r="X1906" s="18" t="str">
        <x:v>0785e932a32b3ec15e1a1345537ae145eafe1c07bf38d5c16c11ee2b391e7a28</x:v>
      </x:c>
      <x:c r="Y1906" s="20" t="n">
        <x:v>1</x:v>
      </x:c>
      <x:c r="Z1906" s="20" t="n">
        <x:v>1</x:v>
      </x:c>
      <x:c r="AA1906" s="19"/>
      <x:c r="AB1906" s="18"/>
      <x:c r="AC1906" s="19"/>
    </x:row>
    <x:row r="1907" ht="28" customHeight="1">
      <x:c r="A1907" s="18" t="str">
        <x:v>西28丁目</x:v>
      </x:c>
      <x:c r="B1907" s="18" t="str">
        <x:v>札幌市</x:v>
      </x:c>
      <x:c r="C1907" s="18" t="str">
        <x:v>metro</x:v>
      </x:c>
      <x:c r="D1907" s="19" t="str">
        <x:v>T2</x:v>
      </x:c>
      <x:c r="E1907" s="20" t="n">
        <x:v>21074</x:v>
      </x:c>
      <x:c r="F1907" s="18" t="str">
        <x:v>persons/day</x:v>
      </x:c>
      <x:c r="G1907" s="18" t="str">
        <x:v>FY2024</x:v>
      </x:c>
      <x:c r="H1907" s="18" t="str">
        <x:v>否</x:v>
      </x:c>
      <x:c r="I1907" s="19" t="str">
        <x:v>DAILY_ENTRIES_EXITS</x:v>
      </x:c>
      <x:c r="J1907" s="19" t="str">
        <x:v>東西線</x:v>
      </x:c>
      <x:c r="K1907" s="18" t="str">
        <x:v>transport-node:32ae1abb-ce59-504c-8e2a-c8aae06d63fa</x:v>
      </x:c>
      <x:c r="L1907" s="19" t="str">
        <x:v>组件待审核</x:v>
      </x:c>
      <x:c r="M1907" s="21" t="n">
        <x:v>43.060965</x:v>
      </x:c>
      <x:c r="N1907" s="21" t="n">
        <x:v>141.314565</x:v>
      </x:c>
      <x:c r="O1907" s="18" t="str">
        <x:v>000231</x:v>
      </x:c>
      <x:c r="P1907" s="18" t="str">
        <x:v>東西線</x:v>
      </x:c>
      <x:c r="Q1907" s="19" t="str">
        <x:v>S12_061_GE_10000</x:v>
      </x:c>
      <x:c r="R1907" s="19" t="str">
        <x:v>S12_061 usage threshold</x:v>
      </x:c>
      <x:c r="S1907" s="19" t="str">
        <x:v>https://nlftp.mlit.go.jp/ksj/gml/datalist/KsjTmplt-S12-2024.html</x:v>
      </x:c>
      <x:c r="T1907" s="19" t="str">
        <x:v>https://nlftp.mlit.go.jp/ksj/gml/datalist/KsjTmplt-S12-2024.html</x:v>
      </x:c>
      <x:c r="U1907" s="19" t="str">
        <x:v>station-component|西28丁目|札幌市|metro|43.0610|141.3146|</x:v>
      </x:c>
      <x:c r="V1907" s="19" t="str">
        <x:v>000231 / 000231 / 東西線</x:v>
      </x:c>
      <x:c r="W1907" s="18" t="str">
        <x:v>否</x:v>
      </x:c>
      <x:c r="X1907" s="18" t="str">
        <x:v>0785e932a32b3ec15e1a1345537ae145eafe1c07bf38d5c16c11ee2b391e7a28</x:v>
      </x:c>
      <x:c r="Y1907" s="20" t="n">
        <x:v>1</x:v>
      </x:c>
      <x:c r="Z1907" s="20" t="n">
        <x:v>1</x:v>
      </x:c>
      <x:c r="AA1907" s="19"/>
      <x:c r="AB1907" s="18"/>
      <x:c r="AC1907" s="19"/>
    </x:row>
    <x:row r="1908" ht="33" customHeight="1">
      <x:c r="A1908" s="18" t="str">
        <x:v>西4丁目</x:v>
      </x:c>
      <x:c r="B1908" s="18" t="str">
        <x:v>一般社団法人札幌市交通事業振興公社</x:v>
      </x:c>
      <x:c r="C1908" s="18" t="str">
        <x:v>tram</x:v>
      </x:c>
      <x:c r="D1908" s="19" t="str">
        <x:v>T2</x:v>
      </x:c>
      <x:c r="E1908" s="20" t="n">
        <x:v>12610</x:v>
      </x:c>
      <x:c r="F1908" s="18" t="str">
        <x:v>persons/day</x:v>
      </x:c>
      <x:c r="G1908" s="18" t="str">
        <x:v>FY2024</x:v>
      </x:c>
      <x:c r="H1908" s="18" t="str">
        <x:v>否</x:v>
      </x:c>
      <x:c r="I1908" s="19" t="str">
        <x:v>DAILY_ENTRIES_EXITS</x:v>
      </x:c>
      <x:c r="J1908" s="19" t="str">
        <x:v>1条線
都心線</x:v>
      </x:c>
      <x:c r="K1908" s="18" t="str">
        <x:v>transport-node:e61ba0ad-05d6-5bef-8dd7-d4568f8a88dc</x:v>
      </x:c>
      <x:c r="L1908" s="19" t="str">
        <x:v>组件待审核</x:v>
      </x:c>
      <x:c r="M1908" s="21" t="n">
        <x:v>43.058895</x:v>
      </x:c>
      <x:c r="N1908" s="21" t="n">
        <x:v>141.351845</x:v>
      </x:c>
      <x:c r="O1908" s="18" t="str">
        <x:v>000235</x:v>
      </x:c>
      <x:c r="P1908" s="18" t="str">
        <x:v>1条線</x:v>
      </x:c>
      <x:c r="Q1908" s="19" t="str">
        <x:v>S12_061_GE_10000</x:v>
      </x:c>
      <x:c r="R1908" s="19" t="str">
        <x:v>S12_061 usage threshold</x:v>
      </x:c>
      <x:c r="S1908" s="19" t="str">
        <x:v>https://nlftp.mlit.go.jp/ksj/gml/datalist/KsjTmplt-S12-2024.html</x:v>
      </x:c>
      <x:c r="T1908" s="19" t="str">
        <x:v>https://nlftp.mlit.go.jp/ksj/gml/datalist/KsjTmplt-S12-2024.html</x:v>
      </x:c>
      <x:c r="U1908" s="19" t="str">
        <x:v>station-component|西4丁目|一般社団法人札幌市交通事業振興公社|tram|43.0589|141.3518|</x:v>
      </x:c>
      <x:c r="V1908" s="19" t="str">
        <x:v>000235 / 000235 / 1条線
000235 / 000236 / 都心線</x:v>
      </x:c>
      <x:c r="W1908" s="18" t="str">
        <x:v>否</x:v>
      </x:c>
      <x:c r="X1908" s="18" t="str">
        <x:v>0785e932a32b3ec15e1a1345537ae145eafe1c07bf38d5c16c11ee2b391e7a28</x:v>
      </x:c>
      <x:c r="Y1908" s="20" t="n">
        <x:v>1</x:v>
      </x:c>
      <x:c r="Z1908" s="20" t="n">
        <x:v>1</x:v>
      </x:c>
      <x:c r="AA1908" s="19"/>
      <x:c r="AB1908" s="18"/>
      <x:c r="AC1908" s="19"/>
    </x:row>
    <x:row r="1909" ht="28" customHeight="1">
      <x:c r="A1909" s="18" t="str">
        <x:v>西三荘</x:v>
      </x:c>
      <x:c r="B1909" s="18" t="str">
        <x:v>京阪電気鉄道</x:v>
      </x:c>
      <x:c r="C1909" s="18" t="str">
        <x:v>private_rail</x:v>
      </x:c>
      <x:c r="D1909" s="19" t="str">
        <x:v>T2</x:v>
      </x:c>
      <x:c r="E1909" s="20" t="n">
        <x:v>13288</x:v>
      </x:c>
      <x:c r="F1909" s="18" t="str">
        <x:v>persons/day</x:v>
      </x:c>
      <x:c r="G1909" s="18" t="str">
        <x:v>FY2024</x:v>
      </x:c>
      <x:c r="H1909" s="18" t="str">
        <x:v>否</x:v>
      </x:c>
      <x:c r="I1909" s="19" t="str">
        <x:v>DAILY_ENTRIES_EXITS</x:v>
      </x:c>
      <x:c r="J1909" s="19" t="str">
        <x:v>京阪本線</x:v>
      </x:c>
      <x:c r="K1909" s="18" t="str">
        <x:v>transport-node:17f2f8ed-b9c0-5cbc-bf99-a9ece8674ed6</x:v>
      </x:c>
      <x:c r="L1909" s="19" t="str">
        <x:v>组件待审核</x:v>
      </x:c>
      <x:c r="M1909" s="21" t="n">
        <x:v>34.73734</x:v>
      </x:c>
      <x:c r="N1909" s="21" t="n">
        <x:v>135.57589</x:v>
      </x:c>
      <x:c r="O1909" s="18" t="str">
        <x:v>006892</x:v>
      </x:c>
      <x:c r="P1909" s="18" t="str">
        <x:v>京阪本線</x:v>
      </x:c>
      <x:c r="Q1909" s="19" t="str">
        <x:v>S12_061_GE_10000</x:v>
      </x:c>
      <x:c r="R1909" s="19" t="str">
        <x:v>S12_061 usage threshold</x:v>
      </x:c>
      <x:c r="S1909" s="19" t="str">
        <x:v>https://nlftp.mlit.go.jp/ksj/gml/datalist/KsjTmplt-S12-2024.html</x:v>
      </x:c>
      <x:c r="T1909" s="19" t="str">
        <x:v>https://nlftp.mlit.go.jp/ksj/gml/datalist/KsjTmplt-S12-2024.html</x:v>
      </x:c>
      <x:c r="U1909" s="19" t="str">
        <x:v>station-component|西三荘|京阪電気鉄道|private_rail|34.7373|135.5759|</x:v>
      </x:c>
      <x:c r="V1909" s="19" t="str">
        <x:v>006892 / 006892 / 京阪本線</x:v>
      </x:c>
      <x:c r="W1909" s="18" t="str">
        <x:v>否</x:v>
      </x:c>
      <x:c r="X1909" s="18" t="str">
        <x:v>0785e932a32b3ec15e1a1345537ae145eafe1c07bf38d5c16c11ee2b391e7a28</x:v>
      </x:c>
      <x:c r="Y1909" s="20" t="n">
        <x:v>1</x:v>
      </x:c>
      <x:c r="Z1909" s="20" t="n">
        <x:v>1</x:v>
      </x:c>
      <x:c r="AA1909" s="19"/>
      <x:c r="AB1909" s="18"/>
      <x:c r="AC1909" s="19"/>
    </x:row>
    <x:row r="1910" ht="33" customHeight="1">
      <x:c r="A1910" s="18" t="str">
        <x:v>西中島南方</x:v>
      </x:c>
      <x:c r="B1910" s="18" t="str">
        <x:v>大阪市高速電気軌道</x:v>
      </x:c>
      <x:c r="C1910" s="18" t="str">
        <x:v>metro</x:v>
      </x:c>
      <x:c r="D1910" s="19" t="str">
        <x:v>T1</x:v>
      </x:c>
      <x:c r="E1910" s="20" t="n">
        <x:v>63530</x:v>
      </x:c>
      <x:c r="F1910" s="18" t="str">
        <x:v>persons/day</x:v>
      </x:c>
      <x:c r="G1910" s="18" t="str">
        <x:v>FY2024</x:v>
      </x:c>
      <x:c r="H1910" s="18" t="str">
        <x:v>否</x:v>
      </x:c>
      <x:c r="I1910" s="19" t="str">
        <x:v>DAILY_ENTRIES_EXITS</x:v>
      </x:c>
      <x:c r="J1910" s="19" t="str">
        <x:v>1号線(御堂筋線)</x:v>
      </x:c>
      <x:c r="K1910" s="18" t="str">
        <x:v>transport-node:072ce89a-b16e-5071-a30c-7a613a15fd74</x:v>
      </x:c>
      <x:c r="L1910" s="19" t="str">
        <x:v>组件待审核</x:v>
      </x:c>
      <x:c r="M1910" s="21" t="n">
        <x:v>34.72655</x:v>
      </x:c>
      <x:c r="N1910" s="21" t="n">
        <x:v>135.498605</x:v>
      </x:c>
      <x:c r="O1910" s="18" t="str">
        <x:v>006942</x:v>
      </x:c>
      <x:c r="P1910" s="18" t="str">
        <x:v>1号線(御堂筋線)</x:v>
      </x:c>
      <x:c r="Q1910" s="19" t="str">
        <x:v>S12_061_GE_10000
OFFICIAL_HUB_COMPONENT_REVIEW</x:v>
      </x:c>
      <x:c r="R1910" s="19" t="str">
        <x:v>S12_061 usage threshold</x:v>
      </x:c>
      <x:c r="S1910" s="19" t="str">
        <x:v>https://nlftp.mlit.go.jp/ksj/gml/datalist/KsjTmplt-S12-2024.html</x:v>
      </x:c>
      <x:c r="T1910" s="19" t="str">
        <x:v>https://nlftp.mlit.go.jp/ksj/gml/datalist/KsjTmplt-S12-2024.html
https://subway.osakametro.co.jp/station_guide/M/m14/index.php</x:v>
      </x:c>
      <x:c r="U1910" s="19" t="str">
        <x:v>station-component|西中島南方|大阪市高速電気軌道|metro|34.7266|135.4986|</x:v>
      </x:c>
      <x:c r="V1910" s="19" t="str">
        <x:v>006942 / 006942 / 1号線(御堂筋線)</x:v>
      </x:c>
      <x:c r="W1910" s="18" t="str">
        <x:v>否</x:v>
      </x:c>
      <x:c r="X1910" s="18" t="str">
        <x:v>0785e932a32b3ec15e1a1345537ae145eafe1c07bf38d5c16c11ee2b391e7a28</x:v>
      </x:c>
      <x:c r="Y1910" s="20" t="n">
        <x:v>1</x:v>
      </x:c>
      <x:c r="Z1910" s="20" t="n">
        <x:v>1</x:v>
      </x:c>
      <x:c r="AA1910" s="19" t="str">
        <x:v>西中島南方・南方</x:v>
      </x:c>
      <x:c r="AB1910" s="18" t="str">
        <x:v>transport-hub-review:aa489796-0024-524c-8d16-92039b2e4d8a</x:v>
      </x:c>
      <x:c r="AC1910" s="19"/>
    </x:row>
    <x:row r="1911" ht="33" customHeight="1">
      <x:c r="A1911" s="18" t="str">
        <x:v>西九条</x:v>
      </x:c>
      <x:c r="B1911" s="18" t="str">
        <x:v>西日本旅客鉄道</x:v>
      </x:c>
      <x:c r="C1911" s="18" t="str">
        <x:v>conventional_rail</x:v>
      </x:c>
      <x:c r="D1911" s="19" t="str">
        <x:v>T1</x:v>
      </x:c>
      <x:c r="E1911" s="20" t="n">
        <x:v>66830</x:v>
      </x:c>
      <x:c r="F1911" s="18" t="str">
        <x:v>persons/day</x:v>
      </x:c>
      <x:c r="G1911" s="18" t="str">
        <x:v>FY2024</x:v>
      </x:c>
      <x:c r="H1911" s="18" t="str">
        <x:v>否</x:v>
      </x:c>
      <x:c r="I1911" s="19" t="str">
        <x:v>DAILY_ENTRIES_EXITS</x:v>
      </x:c>
      <x:c r="J1911" s="19" t="str">
        <x:v>大阪環状線
桜島線</x:v>
      </x:c>
      <x:c r="K1911" s="18" t="str">
        <x:v>transport-node:785eb566-fb89-5df1-aabb-efce74a9a4a1</x:v>
      </x:c>
      <x:c r="L1911" s="19" t="str">
        <x:v>组件待审核</x:v>
      </x:c>
      <x:c r="M1911" s="21" t="n">
        <x:v>34.6827733</x:v>
      </x:c>
      <x:c r="N1911" s="21" t="n">
        <x:v>135.4669333</x:v>
      </x:c>
      <x:c r="O1911" s="18" t="str">
        <x:v>007188</x:v>
      </x:c>
      <x:c r="P1911" s="18" t="str">
        <x:v>大阪環状線</x:v>
      </x:c>
      <x:c r="Q1911" s="19" t="str">
        <x:v>S12_061_GE_10000</x:v>
      </x:c>
      <x:c r="R1911" s="19" t="str">
        <x:v>S12_061 usage threshold</x:v>
      </x:c>
      <x:c r="S1911" s="19" t="str">
        <x:v>https://nlftp.mlit.go.jp/ksj/gml/datalist/KsjTmplt-S12-2024.html</x:v>
      </x:c>
      <x:c r="T1911" s="19" t="str">
        <x:v>https://nlftp.mlit.go.jp/ksj/gml/datalist/KsjTmplt-S12-2024.html</x:v>
      </x:c>
      <x:c r="U1911" s="19" t="str">
        <x:v>station-component|西九条|西日本旅客鉄道|conventional_rail|34.6828|135.4669|</x:v>
      </x:c>
      <x:c r="V1911" s="19" t="str">
        <x:v>007187 / 007187 / 桜島線
007187 / 007188 / 大阪環状線</x:v>
      </x:c>
      <x:c r="W1911" s="18" t="str">
        <x:v>否</x:v>
      </x:c>
      <x:c r="X1911" s="18" t="str">
        <x:v>0785e932a32b3ec15e1a1345537ae145eafe1c07bf38d5c16c11ee2b391e7a28</x:v>
      </x:c>
      <x:c r="Y1911" s="20" t="n">
        <x:v>1</x:v>
      </x:c>
      <x:c r="Z1911" s="20" t="n">
        <x:v>1</x:v>
      </x:c>
      <x:c r="AA1911" s="19"/>
      <x:c r="AB1911" s="18"/>
      <x:c r="AC1911" s="19"/>
    </x:row>
    <x:row r="1912" ht="28" customHeight="1">
      <x:c r="A1912" s="18" t="str">
        <x:v>西九条</x:v>
      </x:c>
      <x:c r="B1912" s="18" t="str">
        <x:v>阪神電気鉄道</x:v>
      </x:c>
      <x:c r="C1912" s="18" t="str">
        <x:v>private_rail</x:v>
      </x:c>
      <x:c r="D1912" s="19" t="str">
        <x:v>T2</x:v>
      </x:c>
      <x:c r="E1912" s="20" t="n">
        <x:v>44113</x:v>
      </x:c>
      <x:c r="F1912" s="18" t="str">
        <x:v>persons/day</x:v>
      </x:c>
      <x:c r="G1912" s="18" t="str">
        <x:v>FY2024</x:v>
      </x:c>
      <x:c r="H1912" s="18" t="str">
        <x:v>否</x:v>
      </x:c>
      <x:c r="I1912" s="19" t="str">
        <x:v>DAILY_ENTRIES_EXITS</x:v>
      </x:c>
      <x:c r="J1912" s="19" t="str">
        <x:v>阪神なんば線</x:v>
      </x:c>
      <x:c r="K1912" s="18" t="str">
        <x:v>transport-node:f0e93795-7956-59fd-9fed-6c292a7cc34a</x:v>
      </x:c>
      <x:c r="L1912" s="19" t="str">
        <x:v>组件待审核</x:v>
      </x:c>
      <x:c r="M1912" s="21" t="n">
        <x:v>34.682055</x:v>
      </x:c>
      <x:c r="N1912" s="21" t="n">
        <x:v>135.46607</x:v>
      </x:c>
      <x:c r="O1912" s="18" t="str">
        <x:v>007192</x:v>
      </x:c>
      <x:c r="P1912" s="18" t="str">
        <x:v>阪神なんば線</x:v>
      </x:c>
      <x:c r="Q1912" s="19" t="str">
        <x:v>S12_061_GE_10000</x:v>
      </x:c>
      <x:c r="R1912" s="19" t="str">
        <x:v>S12_061 usage threshold</x:v>
      </x:c>
      <x:c r="S1912" s="19" t="str">
        <x:v>https://nlftp.mlit.go.jp/ksj/gml/datalist/KsjTmplt-S12-2024.html</x:v>
      </x:c>
      <x:c r="T1912" s="19" t="str">
        <x:v>https://nlftp.mlit.go.jp/ksj/gml/datalist/KsjTmplt-S12-2024.html</x:v>
      </x:c>
      <x:c r="U1912" s="19" t="str">
        <x:v>station-component|西九条|阪神電気鉄道|private_rail|34.6821|135.4661|</x:v>
      </x:c>
      <x:c r="V1912" s="19" t="str">
        <x:v>007187 / 007192 / 阪神なんば線</x:v>
      </x:c>
      <x:c r="W1912" s="18" t="str">
        <x:v>否</x:v>
      </x:c>
      <x:c r="X1912" s="18" t="str">
        <x:v>0785e932a32b3ec15e1a1345537ae145eafe1c07bf38d5c16c11ee2b391e7a28</x:v>
      </x:c>
      <x:c r="Y1912" s="20" t="n">
        <x:v>1</x:v>
      </x:c>
      <x:c r="Z1912" s="20" t="n">
        <x:v>1</x:v>
      </x:c>
      <x:c r="AA1912" s="19"/>
      <x:c r="AB1912" s="18"/>
      <x:c r="AC1912" s="19"/>
    </x:row>
    <x:row r="1913" ht="28" customHeight="1">
      <x:c r="A1913" s="18" t="str">
        <x:v>西京極</x:v>
      </x:c>
      <x:c r="B1913" s="18" t="str">
        <x:v>阪急電鉄</x:v>
      </x:c>
      <x:c r="C1913" s="18" t="str">
        <x:v>private_rail</x:v>
      </x:c>
      <x:c r="D1913" s="19" t="str">
        <x:v>T2</x:v>
      </x:c>
      <x:c r="E1913" s="20" t="n">
        <x:v>16286</x:v>
      </x:c>
      <x:c r="F1913" s="18" t="str">
        <x:v>persons/day</x:v>
      </x:c>
      <x:c r="G1913" s="18" t="str">
        <x:v>FY2024</x:v>
      </x:c>
      <x:c r="H1913" s="18" t="str">
        <x:v>否</x:v>
      </x:c>
      <x:c r="I1913" s="19" t="str">
        <x:v>DAILY_ENTRIES_EXITS</x:v>
      </x:c>
      <x:c r="J1913" s="19" t="str">
        <x:v>京都線</x:v>
      </x:c>
      <x:c r="K1913" s="18" t="str">
        <x:v>transport-node:823d15dc-d54a-5ecb-8b0a-461211cf457b</x:v>
      </x:c>
      <x:c r="L1913" s="19" t="str">
        <x:v>组件待审核</x:v>
      </x:c>
      <x:c r="M1913" s="21" t="n">
        <x:v>34.9925367</x:v>
      </x:c>
      <x:c r="N1913" s="21" t="n">
        <x:v>135.71852</x:v>
      </x:c>
      <x:c r="O1913" s="18" t="str">
        <x:v>006045</x:v>
      </x:c>
      <x:c r="P1913" s="18" t="str">
        <x:v>京都線</x:v>
      </x:c>
      <x:c r="Q1913" s="19" t="str">
        <x:v>S12_061_GE_10000</x:v>
      </x:c>
      <x:c r="R1913" s="19" t="str">
        <x:v>S12_061 usage threshold</x:v>
      </x:c>
      <x:c r="S1913" s="19" t="str">
        <x:v>https://nlftp.mlit.go.jp/ksj/gml/datalist/KsjTmplt-S12-2024.html</x:v>
      </x:c>
      <x:c r="T1913" s="19" t="str">
        <x:v>https://nlftp.mlit.go.jp/ksj/gml/datalist/KsjTmplt-S12-2024.html</x:v>
      </x:c>
      <x:c r="U1913" s="19" t="str">
        <x:v>station-component|西京極|阪急電鉄|private_rail|34.9925|135.7185|</x:v>
      </x:c>
      <x:c r="V1913" s="19" t="str">
        <x:v>006045 / 006045 / 京都線</x:v>
      </x:c>
      <x:c r="W1913" s="18" t="str">
        <x:v>否</x:v>
      </x:c>
      <x:c r="X1913" s="18" t="str">
        <x:v>0785e932a32b3ec15e1a1345537ae145eafe1c07bf38d5c16c11ee2b391e7a28</x:v>
      </x:c>
      <x:c r="Y1913" s="20" t="n">
        <x:v>1</x:v>
      </x:c>
      <x:c r="Z1913" s="20" t="n">
        <x:v>1</x:v>
      </x:c>
      <x:c r="AA1913" s="19"/>
      <x:c r="AB1913" s="18"/>
      <x:c r="AC1913" s="19"/>
    </x:row>
    <x:row r="1914" ht="28" customHeight="1">
      <x:c r="A1914" s="18" t="str">
        <x:v>西八王子</x:v>
      </x:c>
      <x:c r="B1914" s="18" t="str">
        <x:v>東日本旅客鉄道</x:v>
      </x:c>
      <x:c r="C1914" s="18" t="str">
        <x:v>conventional_rail</x:v>
      </x:c>
      <x:c r="D1914" s="19" t="str">
        <x:v>T1</x:v>
      </x:c>
      <x:c r="E1914" s="20" t="n">
        <x:v>60272</x:v>
      </x:c>
      <x:c r="F1914" s="18" t="str">
        <x:v>persons/day</x:v>
      </x:c>
      <x:c r="G1914" s="18" t="str">
        <x:v>FY2024</x:v>
      </x:c>
      <x:c r="H1914" s="18" t="str">
        <x:v>否</x:v>
      </x:c>
      <x:c r="I1914" s="19" t="str">
        <x:v>DAILY_ENTRIES_EXITS</x:v>
      </x:c>
      <x:c r="J1914" s="19" t="str">
        <x:v>中央線</x:v>
      </x:c>
      <x:c r="K1914" s="18" t="str">
        <x:v>transport-node:610b1e02-0942-5ee8-a11f-663acfd2f22a</x:v>
      </x:c>
      <x:c r="L1914" s="19" t="str">
        <x:v>组件待审核</x:v>
      </x:c>
      <x:c r="M1914" s="21" t="n">
        <x:v>35.656275</x:v>
      </x:c>
      <x:c r="N1914" s="21" t="n">
        <x:v>139.312005</x:v>
      </x:c>
      <x:c r="O1914" s="18" t="str">
        <x:v>003942</x:v>
      </x:c>
      <x:c r="P1914" s="18" t="str">
        <x:v>中央線</x:v>
      </x:c>
      <x:c r="Q1914" s="19" t="str">
        <x:v>S12_061_GE_10000</x:v>
      </x:c>
      <x:c r="R1914" s="19" t="str">
        <x:v>S12_061 usage threshold</x:v>
      </x:c>
      <x:c r="S1914" s="19" t="str">
        <x:v>https://nlftp.mlit.go.jp/ksj/gml/datalist/KsjTmplt-S12-2024.html</x:v>
      </x:c>
      <x:c r="T1914" s="19" t="str">
        <x:v>https://nlftp.mlit.go.jp/ksj/gml/datalist/KsjTmplt-S12-2024.html</x:v>
      </x:c>
      <x:c r="U1914" s="19" t="str">
        <x:v>station-component|西八王子|東日本旅客鉄道|conventional_rail|35.6563|139.3120|</x:v>
      </x:c>
      <x:c r="V1914" s="19" t="str">
        <x:v>003942 / 003942 / 中央線</x:v>
      </x:c>
      <x:c r="W1914" s="18" t="str">
        <x:v>否</x:v>
      </x:c>
      <x:c r="X1914" s="18" t="str">
        <x:v>0785e932a32b3ec15e1a1345537ae145eafe1c07bf38d5c16c11ee2b391e7a28</x:v>
      </x:c>
      <x:c r="Y1914" s="20" t="n">
        <x:v>1</x:v>
      </x:c>
      <x:c r="Z1914" s="20" t="n">
        <x:v>1</x:v>
      </x:c>
      <x:c r="AA1914" s="19"/>
      <x:c r="AB1914" s="18"/>
      <x:c r="AC1914" s="19"/>
    </x:row>
    <x:row r="1915" ht="28" customHeight="1">
      <x:c r="A1915" s="18" t="str">
        <x:v>西千葉</x:v>
      </x:c>
      <x:c r="B1915" s="18" t="str">
        <x:v>東日本旅客鉄道</x:v>
      </x:c>
      <x:c r="C1915" s="18" t="str">
        <x:v>conventional_rail</x:v>
      </x:c>
      <x:c r="D1915" s="19" t="str">
        <x:v>T2</x:v>
      </x:c>
      <x:c r="E1915" s="20" t="n">
        <x:v>40842</x:v>
      </x:c>
      <x:c r="F1915" s="18" t="str">
        <x:v>persons/day</x:v>
      </x:c>
      <x:c r="G1915" s="18" t="str">
        <x:v>FY2024</x:v>
      </x:c>
      <x:c r="H1915" s="18" t="str">
        <x:v>否</x:v>
      </x:c>
      <x:c r="I1915" s="19" t="str">
        <x:v>DAILY_ENTRIES_EXITS</x:v>
      </x:c>
      <x:c r="J1915" s="19" t="str">
        <x:v>総武線</x:v>
      </x:c>
      <x:c r="K1915" s="18" t="str">
        <x:v>transport-node:0416a2d1-022f-571e-ba30-0d2e419897c9</x:v>
      </x:c>
      <x:c r="L1915" s="19" t="str">
        <x:v>组件待审核</x:v>
      </x:c>
      <x:c r="M1915" s="21" t="n">
        <x:v>35.6226267</x:v>
      </x:c>
      <x:c r="N1915" s="21" t="n">
        <x:v>140.1033267</x:v>
      </x:c>
      <x:c r="O1915" s="18" t="str">
        <x:v>004124</x:v>
      </x:c>
      <x:c r="P1915" s="18" t="str">
        <x:v>総武線</x:v>
      </x:c>
      <x:c r="Q1915" s="19" t="str">
        <x:v>S12_061_GE_10000</x:v>
      </x:c>
      <x:c r="R1915" s="19" t="str">
        <x:v>S12_061 usage threshold</x:v>
      </x:c>
      <x:c r="S1915" s="19" t="str">
        <x:v>https://nlftp.mlit.go.jp/ksj/gml/datalist/KsjTmplt-S12-2024.html</x:v>
      </x:c>
      <x:c r="T1915" s="19" t="str">
        <x:v>https://nlftp.mlit.go.jp/ksj/gml/datalist/KsjTmplt-S12-2024.html</x:v>
      </x:c>
      <x:c r="U1915" s="19" t="str">
        <x:v>station-component|西千葉|東日本旅客鉄道|conventional_rail|35.6226|140.1033|</x:v>
      </x:c>
      <x:c r="V1915" s="19" t="str">
        <x:v>004124 / 004124 / 総武線</x:v>
      </x:c>
      <x:c r="W1915" s="18" t="str">
        <x:v>否</x:v>
      </x:c>
      <x:c r="X1915" s="18" t="str">
        <x:v>0785e932a32b3ec15e1a1345537ae145eafe1c07bf38d5c16c11ee2b391e7a28</x:v>
      </x:c>
      <x:c r="Y1915" s="20" t="n">
        <x:v>1</x:v>
      </x:c>
      <x:c r="Z1915" s="20" t="n">
        <x:v>1</x:v>
      </x:c>
      <x:c r="AA1915" s="19"/>
      <x:c r="AB1915" s="18"/>
      <x:c r="AC1915" s="19"/>
    </x:row>
    <x:row r="1916" ht="28" customHeight="1">
      <x:c r="A1916" s="18" t="str">
        <x:v>西台</x:v>
      </x:c>
      <x:c r="B1916" s="18" t="str">
        <x:v>東京都</x:v>
      </x:c>
      <x:c r="C1916" s="18" t="str">
        <x:v>metro</x:v>
      </x:c>
      <x:c r="D1916" s="19" t="str">
        <x:v>T2</x:v>
      </x:c>
      <x:c r="E1916" s="20" t="n">
        <x:v>25605</x:v>
      </x:c>
      <x:c r="F1916" s="18" t="str">
        <x:v>persons/day</x:v>
      </x:c>
      <x:c r="G1916" s="18" t="str">
        <x:v>FY2024</x:v>
      </x:c>
      <x:c r="H1916" s="18" t="str">
        <x:v>否</x:v>
      </x:c>
      <x:c r="I1916" s="19" t="str">
        <x:v>DAILY_ENTRIES_EXITS</x:v>
      </x:c>
      <x:c r="J1916" s="19" t="str">
        <x:v>6号線三田線</x:v>
      </x:c>
      <x:c r="K1916" s="18" t="str">
        <x:v>transport-node:b5944fe2-3715-5593-b1f5-16492ef5ea2e</x:v>
      </x:c>
      <x:c r="L1916" s="19" t="str">
        <x:v>组件待审核</x:v>
      </x:c>
      <x:c r="M1916" s="21" t="n">
        <x:v>35.78708</x:v>
      </x:c>
      <x:c r="N1916" s="21" t="n">
        <x:v>139.67268</x:v>
      </x:c>
      <x:c r="O1916" s="18" t="str">
        <x:v>003128</x:v>
      </x:c>
      <x:c r="P1916" s="18" t="str">
        <x:v>6号線三田線</x:v>
      </x:c>
      <x:c r="Q1916" s="19" t="str">
        <x:v>S12_061_GE_10000</x:v>
      </x:c>
      <x:c r="R1916" s="19" t="str">
        <x:v>S12_061 usage threshold</x:v>
      </x:c>
      <x:c r="S1916" s="19" t="str">
        <x:v>https://nlftp.mlit.go.jp/ksj/gml/datalist/KsjTmplt-S12-2024.html</x:v>
      </x:c>
      <x:c r="T1916" s="19" t="str">
        <x:v>https://nlftp.mlit.go.jp/ksj/gml/datalist/KsjTmplt-S12-2024.html</x:v>
      </x:c>
      <x:c r="U1916" s="19" t="str">
        <x:v>station-component|西台|東京都|metro|35.7871|139.6727|</x:v>
      </x:c>
      <x:c r="V1916" s="19" t="str">
        <x:v>003128 / 003128 / 6号線三田線</x:v>
      </x:c>
      <x:c r="W1916" s="18" t="str">
        <x:v>否</x:v>
      </x:c>
      <x:c r="X1916" s="18" t="str">
        <x:v>0785e932a32b3ec15e1a1345537ae145eafe1c07bf38d5c16c11ee2b391e7a28</x:v>
      </x:c>
      <x:c r="Y1916" s="20" t="n">
        <x:v>1</x:v>
      </x:c>
      <x:c r="Z1916" s="20" t="n">
        <x:v>1</x:v>
      </x:c>
      <x:c r="AA1916" s="19"/>
      <x:c r="AB1916" s="18"/>
      <x:c r="AC1916" s="19"/>
    </x:row>
    <x:row r="1917" ht="33" customHeight="1">
      <x:c r="A1917" s="18" t="str">
        <x:v>西国分寺</x:v>
      </x:c>
      <x:c r="B1917" s="18" t="str">
        <x:v>東日本旅客鉄道</x:v>
      </x:c>
      <x:c r="C1917" s="18" t="str">
        <x:v>conventional_rail</x:v>
      </x:c>
      <x:c r="D1917" s="19" t="str">
        <x:v>T1</x:v>
      </x:c>
      <x:c r="E1917" s="20" t="n">
        <x:v>55728</x:v>
      </x:c>
      <x:c r="F1917" s="18" t="str">
        <x:v>persons/day</x:v>
      </x:c>
      <x:c r="G1917" s="18" t="str">
        <x:v>FY2024</x:v>
      </x:c>
      <x:c r="H1917" s="18" t="str">
        <x:v>否</x:v>
      </x:c>
      <x:c r="I1917" s="19" t="str">
        <x:v>DAILY_ENTRIES_EXITS</x:v>
      </x:c>
      <x:c r="J1917" s="19" t="str">
        <x:v>中央線
武蔵野線</x:v>
      </x:c>
      <x:c r="K1917" s="18" t="str">
        <x:v>transport-node:d18e8376-c8ac-5bf1-a642-9d5c166c648a</x:v>
      </x:c>
      <x:c r="L1917" s="19" t="str">
        <x:v>组件待审核</x:v>
      </x:c>
      <x:c r="M1917" s="21" t="n">
        <x:v>35.6997225</x:v>
      </x:c>
      <x:c r="N1917" s="21" t="n">
        <x:v>139.46577</x:v>
      </x:c>
      <x:c r="O1917" s="18" t="str">
        <x:v>003614</x:v>
      </x:c>
      <x:c r="P1917" s="18" t="str">
        <x:v>中央線</x:v>
      </x:c>
      <x:c r="Q1917" s="19" t="str">
        <x:v>S12_061_GE_10000</x:v>
      </x:c>
      <x:c r="R1917" s="19" t="str">
        <x:v>S12_061 usage threshold</x:v>
      </x:c>
      <x:c r="S1917" s="19" t="str">
        <x:v>https://nlftp.mlit.go.jp/ksj/gml/datalist/KsjTmplt-S12-2024.html</x:v>
      </x:c>
      <x:c r="T1917" s="19" t="str">
        <x:v>https://nlftp.mlit.go.jp/ksj/gml/datalist/KsjTmplt-S12-2024.html</x:v>
      </x:c>
      <x:c r="U1917" s="19" t="str">
        <x:v>station-component|西国分寺|東日本旅客鉄道|conventional_rail|35.6997|139.4658|</x:v>
      </x:c>
      <x:c r="V1917" s="19" t="str">
        <x:v>003611 / 003611 / 武蔵野線
003611 / 003614 / 中央線</x:v>
      </x:c>
      <x:c r="W1917" s="18" t="str">
        <x:v>否</x:v>
      </x:c>
      <x:c r="X1917" s="18" t="str">
        <x:v>0785e932a32b3ec15e1a1345537ae145eafe1c07bf38d5c16c11ee2b391e7a28</x:v>
      </x:c>
      <x:c r="Y1917" s="20" t="n">
        <x:v>1</x:v>
      </x:c>
      <x:c r="Z1917" s="20" t="n">
        <x:v>1</x:v>
      </x:c>
      <x:c r="AA1917" s="19"/>
      <x:c r="AB1917" s="18"/>
      <x:c r="AC1917" s="19"/>
    </x:row>
    <x:row r="1918" ht="28" customHeight="1">
      <x:c r="A1918" s="18" t="str">
        <x:v>西国立</x:v>
      </x:c>
      <x:c r="B1918" s="18" t="str">
        <x:v>東日本旅客鉄道</x:v>
      </x:c>
      <x:c r="C1918" s="18" t="str">
        <x:v>conventional_rail</x:v>
      </x:c>
      <x:c r="D1918" s="19" t="str">
        <x:v>T2</x:v>
      </x:c>
      <x:c r="E1918" s="20" t="n">
        <x:v>18656</x:v>
      </x:c>
      <x:c r="F1918" s="18" t="str">
        <x:v>persons/day</x:v>
      </x:c>
      <x:c r="G1918" s="18" t="str">
        <x:v>FY2024</x:v>
      </x:c>
      <x:c r="H1918" s="18" t="str">
        <x:v>否</x:v>
      </x:c>
      <x:c r="I1918" s="19" t="str">
        <x:v>DAILY_ENTRIES_EXITS</x:v>
      </x:c>
      <x:c r="J1918" s="19" t="str">
        <x:v>南武線</x:v>
      </x:c>
      <x:c r="K1918" s="18" t="str">
        <x:v>transport-node:5c09bcd0-fe31-5b81-92da-959c0d061861</x:v>
      </x:c>
      <x:c r="L1918" s="19" t="str">
        <x:v>组件待审核</x:v>
      </x:c>
      <x:c r="M1918" s="21" t="n">
        <x:v>35.69379</x:v>
      </x:c>
      <x:c r="N1918" s="21" t="n">
        <x:v>139.423905</x:v>
      </x:c>
      <x:c r="O1918" s="18" t="str">
        <x:v>003665</x:v>
      </x:c>
      <x:c r="P1918" s="18" t="str">
        <x:v>南武線</x:v>
      </x:c>
      <x:c r="Q1918" s="19" t="str">
        <x:v>S12_061_GE_10000</x:v>
      </x:c>
      <x:c r="R1918" s="19" t="str">
        <x:v>S12_061 usage threshold</x:v>
      </x:c>
      <x:c r="S1918" s="19" t="str">
        <x:v>https://nlftp.mlit.go.jp/ksj/gml/datalist/KsjTmplt-S12-2024.html</x:v>
      </x:c>
      <x:c r="T1918" s="19" t="str">
        <x:v>https://nlftp.mlit.go.jp/ksj/gml/datalist/KsjTmplt-S12-2024.html</x:v>
      </x:c>
      <x:c r="U1918" s="19" t="str">
        <x:v>station-component|西国立|東日本旅客鉄道|conventional_rail|35.6938|139.4239|</x:v>
      </x:c>
      <x:c r="V1918" s="19" t="str">
        <x:v>003665 / 003665 / 南武線</x:v>
      </x:c>
      <x:c r="W1918" s="18" t="str">
        <x:v>否</x:v>
      </x:c>
      <x:c r="X1918" s="18" t="str">
        <x:v>0785e932a32b3ec15e1a1345537ae145eafe1c07bf38d5c16c11ee2b391e7a28</x:v>
      </x:c>
      <x:c r="Y1918" s="20" t="n">
        <x:v>1</x:v>
      </x:c>
      <x:c r="Z1918" s="20" t="n">
        <x:v>1</x:v>
      </x:c>
      <x:c r="AA1918" s="19"/>
      <x:c r="AB1918" s="18"/>
      <x:c r="AC1918" s="19"/>
    </x:row>
    <x:row r="1919" ht="28" customHeight="1">
      <x:c r="A1919" s="18" t="str">
        <x:v>西大井</x:v>
      </x:c>
      <x:c r="B1919" s="18" t="str">
        <x:v>東日本旅客鉄道</x:v>
      </x:c>
      <x:c r="C1919" s="18" t="str">
        <x:v>conventional_rail</x:v>
      </x:c>
      <x:c r="D1919" s="19" t="str">
        <x:v>T2</x:v>
      </x:c>
      <x:c r="E1919" s="20" t="n">
        <x:v>39232</x:v>
      </x:c>
      <x:c r="F1919" s="18" t="str">
        <x:v>persons/day</x:v>
      </x:c>
      <x:c r="G1919" s="18" t="str">
        <x:v>FY2024</x:v>
      </x:c>
      <x:c r="H1919" s="18" t="str">
        <x:v>否</x:v>
      </x:c>
      <x:c r="I1919" s="19" t="str">
        <x:v>DAILY_ENTRIES_EXITS</x:v>
      </x:c>
      <x:c r="J1919" s="19" t="str">
        <x:v>東海道線</x:v>
      </x:c>
      <x:c r="K1919" s="18" t="str">
        <x:v>transport-node:cc308fc0-493b-5383-9d5e-adab3a1a7b1d</x:v>
      </x:c>
      <x:c r="L1919" s="19" t="str">
        <x:v>组件待审核</x:v>
      </x:c>
      <x:c r="M1919" s="21" t="n">
        <x:v>35.6017657</x:v>
      </x:c>
      <x:c r="N1919" s="21" t="n">
        <x:v>139.7216357</x:v>
      </x:c>
      <x:c r="O1919" s="18" t="str">
        <x:v>004235</x:v>
      </x:c>
      <x:c r="P1919" s="18" t="str">
        <x:v>東海道線</x:v>
      </x:c>
      <x:c r="Q1919" s="19" t="str">
        <x:v>S12_061_GE_10000</x:v>
      </x:c>
      <x:c r="R1919" s="19" t="str">
        <x:v>S12_061 usage threshold</x:v>
      </x:c>
      <x:c r="S1919" s="19" t="str">
        <x:v>https://nlftp.mlit.go.jp/ksj/gml/datalist/KsjTmplt-S12-2024.html</x:v>
      </x:c>
      <x:c r="T1919" s="19" t="str">
        <x:v>https://nlftp.mlit.go.jp/ksj/gml/datalist/KsjTmplt-S12-2024.html</x:v>
      </x:c>
      <x:c r="U1919" s="19" t="str">
        <x:v>station-component|西大井|東日本旅客鉄道|conventional_rail|35.6018|139.7216|</x:v>
      </x:c>
      <x:c r="V1919" s="19" t="str">
        <x:v>004235 / 004235 / 東海道線</x:v>
      </x:c>
      <x:c r="W1919" s="18" t="str">
        <x:v>否</x:v>
      </x:c>
      <x:c r="X1919" s="18" t="str">
        <x:v>0785e932a32b3ec15e1a1345537ae145eafe1c07bf38d5c16c11ee2b391e7a28</x:v>
      </x:c>
      <x:c r="Y1919" s="20" t="n">
        <x:v>1</x:v>
      </x:c>
      <x:c r="Z1919" s="20" t="n">
        <x:v>1</x:v>
      </x:c>
      <x:c r="AA1919" s="19"/>
      <x:c r="AB1919" s="18"/>
      <x:c r="AC1919" s="19"/>
    </x:row>
    <x:row r="1920" ht="28" customHeight="1">
      <x:c r="A1920" s="18" t="str">
        <x:v>西大宮</x:v>
      </x:c>
      <x:c r="B1920" s="18" t="str">
        <x:v>東日本旅客鉄道</x:v>
      </x:c>
      <x:c r="C1920" s="18" t="str">
        <x:v>conventional_rail</x:v>
      </x:c>
      <x:c r="D1920" s="19" t="str">
        <x:v>T2</x:v>
      </x:c>
      <x:c r="E1920" s="20" t="n">
        <x:v>25212</x:v>
      </x:c>
      <x:c r="F1920" s="18" t="str">
        <x:v>persons/day</x:v>
      </x:c>
      <x:c r="G1920" s="18" t="str">
        <x:v>FY2024</x:v>
      </x:c>
      <x:c r="H1920" s="18" t="str">
        <x:v>否</x:v>
      </x:c>
      <x:c r="I1920" s="19" t="str">
        <x:v>DAILY_ENTRIES_EXITS</x:v>
      </x:c>
      <x:c r="J1920" s="19" t="str">
        <x:v>川越線</x:v>
      </x:c>
      <x:c r="K1920" s="18" t="str">
        <x:v>transport-node:3e54b46e-8292-539b-928a-40f362b06ba7</x:v>
      </x:c>
      <x:c r="L1920" s="19" t="str">
        <x:v>组件待审核</x:v>
      </x:c>
      <x:c r="M1920" s="21" t="n">
        <x:v>35.9219833</x:v>
      </x:c>
      <x:c r="N1920" s="21" t="n">
        <x:v>139.5789667</x:v>
      </x:c>
      <x:c r="O1920" s="18" t="str">
        <x:v>002877</x:v>
      </x:c>
      <x:c r="P1920" s="18" t="str">
        <x:v>川越線</x:v>
      </x:c>
      <x:c r="Q1920" s="19" t="str">
        <x:v>S12_061_GE_10000</x:v>
      </x:c>
      <x:c r="R1920" s="19" t="str">
        <x:v>S12_061 usage threshold</x:v>
      </x:c>
      <x:c r="S1920" s="19" t="str">
        <x:v>https://nlftp.mlit.go.jp/ksj/gml/datalist/KsjTmplt-S12-2024.html</x:v>
      </x:c>
      <x:c r="T1920" s="19" t="str">
        <x:v>https://nlftp.mlit.go.jp/ksj/gml/datalist/KsjTmplt-S12-2024.html</x:v>
      </x:c>
      <x:c r="U1920" s="19" t="str">
        <x:v>station-component|西大宮|東日本旅客鉄道|conventional_rail|35.9220|139.5790|</x:v>
      </x:c>
      <x:c r="V1920" s="19" t="str">
        <x:v>002877 / 002877 / 川越線</x:v>
      </x:c>
      <x:c r="W1920" s="18" t="str">
        <x:v>否</x:v>
      </x:c>
      <x:c r="X1920" s="18" t="str">
        <x:v>0785e932a32b3ec15e1a1345537ae145eafe1c07bf38d5c16c11ee2b391e7a28</x:v>
      </x:c>
      <x:c r="Y1920" s="20" t="n">
        <x:v>1</x:v>
      </x:c>
      <x:c r="Z1920" s="20" t="n">
        <x:v>1</x:v>
      </x:c>
      <x:c r="AA1920" s="19"/>
      <x:c r="AB1920" s="18"/>
      <x:c r="AC1920" s="19"/>
    </x:row>
    <x:row r="1921" ht="28" customHeight="1">
      <x:c r="A1921" s="18" t="str">
        <x:v>西大島</x:v>
      </x:c>
      <x:c r="B1921" s="18" t="str">
        <x:v>東京都</x:v>
      </x:c>
      <x:c r="C1921" s="18" t="str">
        <x:v>metro</x:v>
      </x:c>
      <x:c r="D1921" s="19" t="str">
        <x:v>T2</x:v>
      </x:c>
      <x:c r="E1921" s="20" t="n">
        <x:v>27698</x:v>
      </x:c>
      <x:c r="F1921" s="18" t="str">
        <x:v>persons/day</x:v>
      </x:c>
      <x:c r="G1921" s="18" t="str">
        <x:v>FY2024</x:v>
      </x:c>
      <x:c r="H1921" s="18" t="str">
        <x:v>否</x:v>
      </x:c>
      <x:c r="I1921" s="19" t="str">
        <x:v>DAILY_ENTRIES_EXITS</x:v>
      </x:c>
      <x:c r="J1921" s="19" t="str">
        <x:v>10号線新宿線</x:v>
      </x:c>
      <x:c r="K1921" s="18" t="str">
        <x:v>transport-node:d92d5984-3fe7-57da-80a6-257a657308bc</x:v>
      </x:c>
      <x:c r="L1921" s="19" t="str">
        <x:v>组件待审核</x:v>
      </x:c>
      <x:c r="M1921" s="21" t="n">
        <x:v>35.6893433</x:v>
      </x:c>
      <x:c r="N1921" s="21" t="n">
        <x:v>139.8262967</x:v>
      </x:c>
      <x:c r="O1921" s="18" t="str">
        <x:v>003702</x:v>
      </x:c>
      <x:c r="P1921" s="18" t="str">
        <x:v>10号線新宿線</x:v>
      </x:c>
      <x:c r="Q1921" s="19" t="str">
        <x:v>S12_061_GE_10000</x:v>
      </x:c>
      <x:c r="R1921" s="19" t="str">
        <x:v>S12_061 usage threshold</x:v>
      </x:c>
      <x:c r="S1921" s="19" t="str">
        <x:v>https://nlftp.mlit.go.jp/ksj/gml/datalist/KsjTmplt-S12-2024.html</x:v>
      </x:c>
      <x:c r="T1921" s="19" t="str">
        <x:v>https://nlftp.mlit.go.jp/ksj/gml/datalist/KsjTmplt-S12-2024.html</x:v>
      </x:c>
      <x:c r="U1921" s="19" t="str">
        <x:v>station-component|西大島|東京都|metro|35.6893|139.8263|</x:v>
      </x:c>
      <x:c r="V1921" s="19" t="str">
        <x:v>003702 / 003702 / 10号線新宿線</x:v>
      </x:c>
      <x:c r="W1921" s="18" t="str">
        <x:v>否</x:v>
      </x:c>
      <x:c r="X1921" s="18" t="str">
        <x:v>0785e932a32b3ec15e1a1345537ae145eafe1c07bf38d5c16c11ee2b391e7a28</x:v>
      </x:c>
      <x:c r="Y1921" s="20" t="n">
        <x:v>1</x:v>
      </x:c>
      <x:c r="Z1921" s="20" t="n">
        <x:v>1</x:v>
      </x:c>
      <x:c r="AA1921" s="19"/>
      <x:c r="AB1921" s="18"/>
      <x:c r="AC1921" s="19"/>
    </x:row>
    <x:row r="1922" ht="28" customHeight="1">
      <x:c r="A1922" s="18" t="str">
        <x:v>西大橋</x:v>
      </x:c>
      <x:c r="B1922" s="18" t="str">
        <x:v>大阪市高速電気軌道</x:v>
      </x:c>
      <x:c r="C1922" s="18" t="str">
        <x:v>metro</x:v>
      </x:c>
      <x:c r="D1922" s="19" t="str">
        <x:v>T2</x:v>
      </x:c>
      <x:c r="E1922" s="20" t="n">
        <x:v>12609</x:v>
      </x:c>
      <x:c r="F1922" s="18" t="str">
        <x:v>persons/day</x:v>
      </x:c>
      <x:c r="G1922" s="18" t="str">
        <x:v>FY2024</x:v>
      </x:c>
      <x:c r="H1922" s="18" t="str">
        <x:v>否</x:v>
      </x:c>
      <x:c r="I1922" s="19" t="str">
        <x:v>DAILY_ENTRIES_EXITS</x:v>
      </x:c>
      <x:c r="J1922" s="19" t="str">
        <x:v>7号線(長堀鶴見緑地線)</x:v>
      </x:c>
      <x:c r="K1922" s="18" t="str">
        <x:v>transport-node:d99fe82b-b05d-5d38-a4fb-9a1da15d7e8f</x:v>
      </x:c>
      <x:c r="L1922" s="19" t="str">
        <x:v>组件待审核</x:v>
      </x:c>
      <x:c r="M1922" s="21" t="n">
        <x:v>34.675535</x:v>
      </x:c>
      <x:c r="N1922" s="21" t="n">
        <x:v>135.49372</x:v>
      </x:c>
      <x:c r="O1922" s="18" t="str">
        <x:v>007249</x:v>
      </x:c>
      <x:c r="P1922" s="18" t="str">
        <x:v>7号線(長堀鶴見緑地線)</x:v>
      </x:c>
      <x:c r="Q1922" s="19" t="str">
        <x:v>S12_061_GE_10000</x:v>
      </x:c>
      <x:c r="R1922" s="19" t="str">
        <x:v>S12_061 usage threshold</x:v>
      </x:c>
      <x:c r="S1922" s="19" t="str">
        <x:v>https://nlftp.mlit.go.jp/ksj/gml/datalist/KsjTmplt-S12-2024.html</x:v>
      </x:c>
      <x:c r="T1922" s="19" t="str">
        <x:v>https://nlftp.mlit.go.jp/ksj/gml/datalist/KsjTmplt-S12-2024.html</x:v>
      </x:c>
      <x:c r="U1922" s="19" t="str">
        <x:v>station-component|西大橋|大阪市高速電気軌道|metro|34.6755|135.4937|</x:v>
      </x:c>
      <x:c r="V1922" s="19" t="str">
        <x:v>007249 / 007249 / 7号線(長堀鶴見緑地線)</x:v>
      </x:c>
      <x:c r="W1922" s="18" t="str">
        <x:v>否</x:v>
      </x:c>
      <x:c r="X1922" s="18" t="str">
        <x:v>0785e932a32b3ec15e1a1345537ae145eafe1c07bf38d5c16c11ee2b391e7a28</x:v>
      </x:c>
      <x:c r="Y1922" s="20" t="n">
        <x:v>1</x:v>
      </x:c>
      <x:c r="Z1922" s="20" t="n">
        <x:v>1</x:v>
      </x:c>
      <x:c r="AA1922" s="19"/>
      <x:c r="AB1922" s="18"/>
      <x:c r="AC1922" s="19"/>
    </x:row>
    <x:row r="1923" ht="28" customHeight="1">
      <x:c r="A1923" s="18" t="str">
        <x:v>西大路</x:v>
      </x:c>
      <x:c r="B1923" s="18" t="str">
        <x:v>西日本旅客鉄道</x:v>
      </x:c>
      <x:c r="C1923" s="18" t="str">
        <x:v>conventional_rail</x:v>
      </x:c>
      <x:c r="D1923" s="19" t="str">
        <x:v>T2</x:v>
      </x:c>
      <x:c r="E1923" s="20" t="n">
        <x:v>34400</x:v>
      </x:c>
      <x:c r="F1923" s="18" t="str">
        <x:v>persons/day</x:v>
      </x:c>
      <x:c r="G1923" s="18" t="str">
        <x:v>FY2024</x:v>
      </x:c>
      <x:c r="H1923" s="18" t="str">
        <x:v>否</x:v>
      </x:c>
      <x:c r="I1923" s="19" t="str">
        <x:v>DAILY_ENTRIES_EXITS</x:v>
      </x:c>
      <x:c r="J1923" s="19" t="str">
        <x:v>東海道線</x:v>
      </x:c>
      <x:c r="K1923" s="18" t="str">
        <x:v>transport-node:44129752-be94-5063-b1f4-ce54c65699a7</x:v>
      </x:c>
      <x:c r="L1923" s="19" t="str">
        <x:v>组件待审核</x:v>
      </x:c>
      <x:c r="M1923" s="21" t="n">
        <x:v>34.98099</x:v>
      </x:c>
      <x:c r="N1923" s="21" t="n">
        <x:v>135.7314933</x:v>
      </x:c>
      <x:c r="O1923" s="18" t="str">
        <x:v>006096</x:v>
      </x:c>
      <x:c r="P1923" s="18" t="str">
        <x:v>東海道線</x:v>
      </x:c>
      <x:c r="Q1923" s="19" t="str">
        <x:v>S12_061_GE_10000</x:v>
      </x:c>
      <x:c r="R1923" s="19" t="str">
        <x:v>S12_061 usage threshold</x:v>
      </x:c>
      <x:c r="S1923" s="19" t="str">
        <x:v>https://nlftp.mlit.go.jp/ksj/gml/datalist/KsjTmplt-S12-2024.html</x:v>
      </x:c>
      <x:c r="T1923" s="19" t="str">
        <x:v>https://nlftp.mlit.go.jp/ksj/gml/datalist/KsjTmplt-S12-2024.html</x:v>
      </x:c>
      <x:c r="U1923" s="19" t="str">
        <x:v>station-component|西大路|西日本旅客鉄道|conventional_rail|34.9810|135.7315|</x:v>
      </x:c>
      <x:c r="V1923" s="19" t="str">
        <x:v>006096 / 006096 / 東海道線</x:v>
      </x:c>
      <x:c r="W1923" s="18" t="str">
        <x:v>否</x:v>
      </x:c>
      <x:c r="X1923" s="18" t="str">
        <x:v>0785e932a32b3ec15e1a1345537ae145eafe1c07bf38d5c16c11ee2b391e7a28</x:v>
      </x:c>
      <x:c r="Y1923" s="20" t="n">
        <x:v>1</x:v>
      </x:c>
      <x:c r="Z1923" s="20" t="n">
        <x:v>1</x:v>
      </x:c>
      <x:c r="AA1923" s="19"/>
      <x:c r="AB1923" s="18"/>
      <x:c r="AC1923" s="19"/>
    </x:row>
    <x:row r="1924" ht="28" customHeight="1">
      <x:c r="A1924" s="18" t="str">
        <x:v>西大路御池</x:v>
      </x:c>
      <x:c r="B1924" s="18" t="str">
        <x:v>京都市</x:v>
      </x:c>
      <x:c r="C1924" s="18" t="str">
        <x:v>metro</x:v>
      </x:c>
      <x:c r="D1924" s="19" t="str">
        <x:v>T2</x:v>
      </x:c>
      <x:c r="E1924" s="20" t="n">
        <x:v>11244</x:v>
      </x:c>
      <x:c r="F1924" s="18" t="str">
        <x:v>persons/day</x:v>
      </x:c>
      <x:c r="G1924" s="18" t="str">
        <x:v>FY2024</x:v>
      </x:c>
      <x:c r="H1924" s="18" t="str">
        <x:v>否</x:v>
      </x:c>
      <x:c r="I1924" s="19" t="str">
        <x:v>DAILY_ENTRIES_EXITS</x:v>
      </x:c>
      <x:c r="J1924" s="19" t="str">
        <x:v>東西線</x:v>
      </x:c>
      <x:c r="K1924" s="18" t="str">
        <x:v>transport-node:67088a96-c96a-540c-befe-c51d6ade9e8f</x:v>
      </x:c>
      <x:c r="L1924" s="19" t="str">
        <x:v>组件待审核</x:v>
      </x:c>
      <x:c r="M1924" s="21" t="n">
        <x:v>35.010961</x:v>
      </x:c>
      <x:c r="N1924" s="21" t="n">
        <x:v>135.7306175</x:v>
      </x:c>
      <x:c r="O1924" s="18" t="str">
        <x:v>005957</x:v>
      </x:c>
      <x:c r="P1924" s="18" t="str">
        <x:v>東西線</x:v>
      </x:c>
      <x:c r="Q1924" s="19" t="str">
        <x:v>S12_061_GE_10000</x:v>
      </x:c>
      <x:c r="R1924" s="19" t="str">
        <x:v>S12_061 usage threshold</x:v>
      </x:c>
      <x:c r="S1924" s="19" t="str">
        <x:v>https://nlftp.mlit.go.jp/ksj/gml/datalist/KsjTmplt-S12-2024.html</x:v>
      </x:c>
      <x:c r="T1924" s="19" t="str">
        <x:v>https://nlftp.mlit.go.jp/ksj/gml/datalist/KsjTmplt-S12-2024.html</x:v>
      </x:c>
      <x:c r="U1924" s="19" t="str">
        <x:v>station-component|西大路御池|京都市|metro|35.0110|135.7306|</x:v>
      </x:c>
      <x:c r="V1924" s="19" t="str">
        <x:v>005957 / 005957 / 東西線</x:v>
      </x:c>
      <x:c r="W1924" s="18" t="str">
        <x:v>否</x:v>
      </x:c>
      <x:c r="X1924" s="18" t="str">
        <x:v>0785e932a32b3ec15e1a1345537ae145eafe1c07bf38d5c16c11ee2b391e7a28</x:v>
      </x:c>
      <x:c r="Y1924" s="20" t="n">
        <x:v>1</x:v>
      </x:c>
      <x:c r="Z1924" s="20" t="n">
        <x:v>1</x:v>
      </x:c>
      <x:c r="AA1924" s="19"/>
      <x:c r="AB1924" s="18"/>
      <x:c r="AC1924" s="19"/>
    </x:row>
    <x:row r="1925" ht="28" customHeight="1">
      <x:c r="A1925" s="18" t="str">
        <x:v>西宮</x:v>
      </x:c>
      <x:c r="B1925" s="18" t="str">
        <x:v>西日本旅客鉄道</x:v>
      </x:c>
      <x:c r="C1925" s="18" t="str">
        <x:v>conventional_rail</x:v>
      </x:c>
      <x:c r="D1925" s="19" t="str">
        <x:v>T2</x:v>
      </x:c>
      <x:c r="E1925" s="20" t="n">
        <x:v>37368</x:v>
      </x:c>
      <x:c r="F1925" s="18" t="str">
        <x:v>persons/day</x:v>
      </x:c>
      <x:c r="G1925" s="18" t="str">
        <x:v>FY2024</x:v>
      </x:c>
      <x:c r="H1925" s="18" t="str">
        <x:v>否</x:v>
      </x:c>
      <x:c r="I1925" s="19" t="str">
        <x:v>DAILY_ENTRIES_EXITS</x:v>
      </x:c>
      <x:c r="J1925" s="19" t="str">
        <x:v>東海道線</x:v>
      </x:c>
      <x:c r="K1925" s="18" t="str">
        <x:v>transport-node:da5cdc99-40f0-5e48-b145-bbefd76a5fe9</x:v>
      </x:c>
      <x:c r="L1925" s="19" t="str">
        <x:v>组件待审核</x:v>
      </x:c>
      <x:c r="M1925" s="21" t="n">
        <x:v>34.73901</x:v>
      </x:c>
      <x:c r="N1925" s="21" t="n">
        <x:v>135.34878</x:v>
      </x:c>
      <x:c r="O1925" s="18" t="str">
        <x:v>006881</x:v>
      </x:c>
      <x:c r="P1925" s="18" t="str">
        <x:v>東海道線</x:v>
      </x:c>
      <x:c r="Q1925" s="19" t="str">
        <x:v>S12_061_GE_10000</x:v>
      </x:c>
      <x:c r="R1925" s="19" t="str">
        <x:v>S12_061 usage threshold</x:v>
      </x:c>
      <x:c r="S1925" s="19" t="str">
        <x:v>https://nlftp.mlit.go.jp/ksj/gml/datalist/KsjTmplt-S12-2024.html</x:v>
      </x:c>
      <x:c r="T1925" s="19" t="str">
        <x:v>https://nlftp.mlit.go.jp/ksj/gml/datalist/KsjTmplt-S12-2024.html</x:v>
      </x:c>
      <x:c r="U1925" s="19" t="str">
        <x:v>station-component|西宮|西日本旅客鉄道|conventional_rail|34.7390|135.3488|</x:v>
      </x:c>
      <x:c r="V1925" s="19" t="str">
        <x:v>006881 / 006881 / 東海道線</x:v>
      </x:c>
      <x:c r="W1925" s="18" t="str">
        <x:v>否</x:v>
      </x:c>
      <x:c r="X1925" s="18" t="str">
        <x:v>0785e932a32b3ec15e1a1345537ae145eafe1c07bf38d5c16c11ee2b391e7a28</x:v>
      </x:c>
      <x:c r="Y1925" s="20" t="n">
        <x:v>1</x:v>
      </x:c>
      <x:c r="Z1925" s="20" t="n">
        <x:v>1</x:v>
      </x:c>
      <x:c r="AA1925" s="19"/>
      <x:c r="AB1925" s="18"/>
      <x:c r="AC1925" s="19"/>
    </x:row>
    <x:row r="1926" ht="28" customHeight="1">
      <x:c r="A1926" s="18" t="str">
        <x:v>西宮</x:v>
      </x:c>
      <x:c r="B1926" s="18" t="str">
        <x:v>阪神電気鉄道</x:v>
      </x:c>
      <x:c r="C1926" s="18" t="str">
        <x:v>private_rail</x:v>
      </x:c>
      <x:c r="D1926" s="19" t="str">
        <x:v>T2</x:v>
      </x:c>
      <x:c r="E1926" s="20" t="n">
        <x:v>46831</x:v>
      </x:c>
      <x:c r="F1926" s="18" t="str">
        <x:v>persons/day</x:v>
      </x:c>
      <x:c r="G1926" s="18" t="str">
        <x:v>FY2024</x:v>
      </x:c>
      <x:c r="H1926" s="18" t="str">
        <x:v>否</x:v>
      </x:c>
      <x:c r="I1926" s="19" t="str">
        <x:v>DAILY_ENTRIES_EXITS</x:v>
      </x:c>
      <x:c r="J1926" s="19" t="str">
        <x:v>本線</x:v>
      </x:c>
      <x:c r="K1926" s="18" t="str">
        <x:v>transport-node:95fa18d1-d468-5435-979e-e1796562417c</x:v>
      </x:c>
      <x:c r="L1926" s="19" t="str">
        <x:v>组件待审核</x:v>
      </x:c>
      <x:c r="M1926" s="21" t="n">
        <x:v>34.73668</x:v>
      </x:c>
      <x:c r="N1926" s="21" t="n">
        <x:v>135.339505</x:v>
      </x:c>
      <x:c r="O1926" s="18" t="str">
        <x:v>006894</x:v>
      </x:c>
      <x:c r="P1926" s="18" t="str">
        <x:v>本線</x:v>
      </x:c>
      <x:c r="Q1926" s="19" t="str">
        <x:v>S12_061_GE_10000</x:v>
      </x:c>
      <x:c r="R1926" s="19" t="str">
        <x:v>S12_061 usage threshold</x:v>
      </x:c>
      <x:c r="S1926" s="19" t="str">
        <x:v>https://nlftp.mlit.go.jp/ksj/gml/datalist/KsjTmplt-S12-2024.html</x:v>
      </x:c>
      <x:c r="T1926" s="19" t="str">
        <x:v>https://nlftp.mlit.go.jp/ksj/gml/datalist/KsjTmplt-S12-2024.html</x:v>
      </x:c>
      <x:c r="U1926" s="19" t="str">
        <x:v>station-component|西宮|阪神電気鉄道|private_rail|34.7367|135.3395|</x:v>
      </x:c>
      <x:c r="V1926" s="19" t="str">
        <x:v>006894 / 006894 / 本線</x:v>
      </x:c>
      <x:c r="W1926" s="18" t="str">
        <x:v>否</x:v>
      </x:c>
      <x:c r="X1926" s="18" t="str">
        <x:v>0785e932a32b3ec15e1a1345537ae145eafe1c07bf38d5c16c11ee2b391e7a28</x:v>
      </x:c>
      <x:c r="Y1926" s="20" t="n">
        <x:v>1</x:v>
      </x:c>
      <x:c r="Z1926" s="20" t="n">
        <x:v>1</x:v>
      </x:c>
      <x:c r="AA1926" s="19"/>
      <x:c r="AB1926" s="18"/>
      <x:c r="AC1926" s="19"/>
    </x:row>
    <x:row r="1927" ht="33" customHeight="1">
      <x:c r="A1927" s="18" t="str">
        <x:v>西宮北口</x:v>
      </x:c>
      <x:c r="B1927" s="18" t="str">
        <x:v>阪急電鉄</x:v>
      </x:c>
      <x:c r="C1927" s="18" t="str">
        <x:v>private_rail</x:v>
      </x:c>
      <x:c r="D1927" s="19" t="str">
        <x:v>T1</x:v>
      </x:c>
      <x:c r="E1927" s="20" t="n">
        <x:v>94699</x:v>
      </x:c>
      <x:c r="F1927" s="18" t="str">
        <x:v>persons/day</x:v>
      </x:c>
      <x:c r="G1927" s="18" t="str">
        <x:v>FY2024</x:v>
      </x:c>
      <x:c r="H1927" s="18" t="str">
        <x:v>否</x:v>
      </x:c>
      <x:c r="I1927" s="19" t="str">
        <x:v>DAILY_ENTRIES_EXITS</x:v>
      </x:c>
      <x:c r="J1927" s="19" t="str">
        <x:v>今津線
神戸線</x:v>
      </x:c>
      <x:c r="K1927" s="18" t="str">
        <x:v>transport-node:ec2de7d5-4eef-52b6-932e-c7a1d42223de</x:v>
      </x:c>
      <x:c r="L1927" s="19" t="str">
        <x:v>组件待审核</x:v>
      </x:c>
      <x:c r="M1927" s="21" t="n">
        <x:v>34.7459467</x:v>
      </x:c>
      <x:c r="N1927" s="21" t="n">
        <x:v>135.3567</x:v>
      </x:c>
      <x:c r="O1927" s="18" t="str">
        <x:v>006853</x:v>
      </x:c>
      <x:c r="P1927" s="18" t="str">
        <x:v>神戸線</x:v>
      </x:c>
      <x:c r="Q1927" s="19" t="str">
        <x:v>S12_061_GE_10000</x:v>
      </x:c>
      <x:c r="R1927" s="19" t="str">
        <x:v>S12_061 usage threshold</x:v>
      </x:c>
      <x:c r="S1927" s="19" t="str">
        <x:v>https://nlftp.mlit.go.jp/ksj/gml/datalist/KsjTmplt-S12-2024.html</x:v>
      </x:c>
      <x:c r="T1927" s="19" t="str">
        <x:v>https://nlftp.mlit.go.jp/ksj/gml/datalist/KsjTmplt-S12-2024.html</x:v>
      </x:c>
      <x:c r="U1927" s="19" t="str">
        <x:v>station-component|西宮北口|阪急電鉄|private_rail|34.7459|135.3567|</x:v>
      </x:c>
      <x:c r="V1927" s="19" t="str">
        <x:v>006852 / 006852 / 今津線
006852 / 006853 / 神戸線</x:v>
      </x:c>
      <x:c r="W1927" s="18" t="str">
        <x:v>否</x:v>
      </x:c>
      <x:c r="X1927" s="18" t="str">
        <x:v>0785e932a32b3ec15e1a1345537ae145eafe1c07bf38d5c16c11ee2b391e7a28</x:v>
      </x:c>
      <x:c r="Y1927" s="20" t="n">
        <x:v>1</x:v>
      </x:c>
      <x:c r="Z1927" s="20" t="n">
        <x:v>1</x:v>
      </x:c>
      <x:c r="AA1927" s="19"/>
      <x:c r="AB1927" s="18"/>
      <x:c r="AC1927" s="19"/>
    </x:row>
    <x:row r="1928" ht="28" customHeight="1">
      <x:c r="A1928" s="18" t="str">
        <x:v>西宮名塩</x:v>
      </x:c>
      <x:c r="B1928" s="18" t="str">
        <x:v>西日本旅客鉄道</x:v>
      </x:c>
      <x:c r="C1928" s="18" t="str">
        <x:v>conventional_rail</x:v>
      </x:c>
      <x:c r="D1928" s="19" t="str">
        <x:v>T2</x:v>
      </x:c>
      <x:c r="E1928" s="20" t="n">
        <x:v>14456</x:v>
      </x:c>
      <x:c r="F1928" s="18" t="str">
        <x:v>persons/day</x:v>
      </x:c>
      <x:c r="G1928" s="18" t="str">
        <x:v>FY2024</x:v>
      </x:c>
      <x:c r="H1928" s="18" t="str">
        <x:v>否</x:v>
      </x:c>
      <x:c r="I1928" s="19" t="str">
        <x:v>DAILY_ENTRIES_EXITS</x:v>
      </x:c>
      <x:c r="J1928" s="19" t="str">
        <x:v>福知山線</x:v>
      </x:c>
      <x:c r="K1928" s="18" t="str">
        <x:v>transport-node:47453281-facc-59f3-8760-2b115dfe1d7c</x:v>
      </x:c>
      <x:c r="L1928" s="19" t="str">
        <x:v>组件待审核</x:v>
      </x:c>
      <x:c r="M1928" s="21" t="n">
        <x:v>34.82723</x:v>
      </x:c>
      <x:c r="N1928" s="21" t="n">
        <x:v>135.308885</x:v>
      </x:c>
      <x:c r="O1928" s="18" t="str">
        <x:v>006507</x:v>
      </x:c>
      <x:c r="P1928" s="18" t="str">
        <x:v>福知山線</x:v>
      </x:c>
      <x:c r="Q1928" s="19" t="str">
        <x:v>S12_061_GE_10000</x:v>
      </x:c>
      <x:c r="R1928" s="19" t="str">
        <x:v>S12_061 usage threshold</x:v>
      </x:c>
      <x:c r="S1928" s="19" t="str">
        <x:v>https://nlftp.mlit.go.jp/ksj/gml/datalist/KsjTmplt-S12-2024.html</x:v>
      </x:c>
      <x:c r="T1928" s="19" t="str">
        <x:v>https://nlftp.mlit.go.jp/ksj/gml/datalist/KsjTmplt-S12-2024.html</x:v>
      </x:c>
      <x:c r="U1928" s="19" t="str">
        <x:v>station-component|西宮名塩|西日本旅客鉄道|conventional_rail|34.8272|135.3089|</x:v>
      </x:c>
      <x:c r="V1928" s="19" t="str">
        <x:v>006507 / 006507 / 福知山線</x:v>
      </x:c>
      <x:c r="W1928" s="18" t="str">
        <x:v>否</x:v>
      </x:c>
      <x:c r="X1928" s="18" t="str">
        <x:v>0785e932a32b3ec15e1a1345537ae145eafe1c07bf38d5c16c11ee2b391e7a28</x:v>
      </x:c>
      <x:c r="Y1928" s="20" t="n">
        <x:v>1</x:v>
      </x:c>
      <x:c r="Z1928" s="20" t="n">
        <x:v>1</x:v>
      </x:c>
      <x:c r="AA1928" s="19"/>
      <x:c r="AB1928" s="18"/>
      <x:c r="AC1928" s="19"/>
    </x:row>
    <x:row r="1929" ht="28" customHeight="1">
      <x:c r="A1929" s="18" t="str">
        <x:v>西小山</x:v>
      </x:c>
      <x:c r="B1929" s="18" t="str">
        <x:v>東急電鉄</x:v>
      </x:c>
      <x:c r="C1929" s="18" t="str">
        <x:v>private_rail</x:v>
      </x:c>
      <x:c r="D1929" s="19" t="str">
        <x:v>T2</x:v>
      </x:c>
      <x:c r="E1929" s="20" t="n">
        <x:v>33007</x:v>
      </x:c>
      <x:c r="F1929" s="18" t="str">
        <x:v>persons/day</x:v>
      </x:c>
      <x:c r="G1929" s="18" t="str">
        <x:v>FY2024</x:v>
      </x:c>
      <x:c r="H1929" s="18" t="str">
        <x:v>否</x:v>
      </x:c>
      <x:c r="I1929" s="19" t="str">
        <x:v>DAILY_ENTRIES_EXITS</x:v>
      </x:c>
      <x:c r="J1929" s="19" t="str">
        <x:v>目黒線</x:v>
      </x:c>
      <x:c r="K1929" s="18" t="str">
        <x:v>transport-node:2bf024b6-9ef5-55d5-933e-52d4e250e787</x:v>
      </x:c>
      <x:c r="L1929" s="19" t="str">
        <x:v>组件待审核</x:v>
      </x:c>
      <x:c r="M1929" s="21" t="n">
        <x:v>35.615435</x:v>
      </x:c>
      <x:c r="N1929" s="21" t="n">
        <x:v>139.69871</x:v>
      </x:c>
      <x:c r="O1929" s="18" t="str">
        <x:v>004157</x:v>
      </x:c>
      <x:c r="P1929" s="18" t="str">
        <x:v>目黒線</x:v>
      </x:c>
      <x:c r="Q1929" s="19" t="str">
        <x:v>S12_061_GE_10000</x:v>
      </x:c>
      <x:c r="R1929" s="19" t="str">
        <x:v>S12_061 usage threshold</x:v>
      </x:c>
      <x:c r="S1929" s="19" t="str">
        <x:v>https://nlftp.mlit.go.jp/ksj/gml/datalist/KsjTmplt-S12-2024.html</x:v>
      </x:c>
      <x:c r="T1929" s="19" t="str">
        <x:v>https://nlftp.mlit.go.jp/ksj/gml/datalist/KsjTmplt-S12-2024.html</x:v>
      </x:c>
      <x:c r="U1929" s="19" t="str">
        <x:v>station-component|西小山|東急電鉄|private_rail|35.6154|139.6987|</x:v>
      </x:c>
      <x:c r="V1929" s="19" t="str">
        <x:v>004157 / 004157 / 目黒線</x:v>
      </x:c>
      <x:c r="W1929" s="18" t="str">
        <x:v>否</x:v>
      </x:c>
      <x:c r="X1929" s="18" t="str">
        <x:v>0785e932a32b3ec15e1a1345537ae145eafe1c07bf38d5c16c11ee2b391e7a28</x:v>
      </x:c>
      <x:c r="Y1929" s="20" t="n">
        <x:v>1</x:v>
      </x:c>
      <x:c r="Z1929" s="20" t="n">
        <x:v>1</x:v>
      </x:c>
      <x:c r="AA1929" s="19"/>
      <x:c r="AB1929" s="18"/>
      <x:c r="AC1929" s="19"/>
    </x:row>
    <x:row r="1930" ht="28" customHeight="1">
      <x:c r="A1930" s="18" t="str">
        <x:v>西山天王山</x:v>
      </x:c>
      <x:c r="B1930" s="18" t="str">
        <x:v>阪急電鉄</x:v>
      </x:c>
      <x:c r="C1930" s="18" t="str">
        <x:v>private_rail</x:v>
      </x:c>
      <x:c r="D1930" s="19" t="str">
        <x:v>T2</x:v>
      </x:c>
      <x:c r="E1930" s="20" t="n">
        <x:v>13199</x:v>
      </x:c>
      <x:c r="F1930" s="18" t="str">
        <x:v>persons/day</x:v>
      </x:c>
      <x:c r="G1930" s="18" t="str">
        <x:v>FY2024</x:v>
      </x:c>
      <x:c r="H1930" s="18" t="str">
        <x:v>否</x:v>
      </x:c>
      <x:c r="I1930" s="19" t="str">
        <x:v>DAILY_ENTRIES_EXITS</x:v>
      </x:c>
      <x:c r="J1930" s="19" t="str">
        <x:v>京都線</x:v>
      </x:c>
      <x:c r="K1930" s="18" t="str">
        <x:v>transport-node:73848d66-d51a-5a6a-83c9-e256f1f3ecd6</x:v>
      </x:c>
      <x:c r="L1930" s="19" t="str">
        <x:v>组件待审核</x:v>
      </x:c>
      <x:c r="M1930" s="21" t="n">
        <x:v>34.9128945</x:v>
      </x:c>
      <x:c r="N1930" s="21" t="n">
        <x:v>135.6885535</x:v>
      </x:c>
      <x:c r="O1930" s="18" t="str">
        <x:v>006279</x:v>
      </x:c>
      <x:c r="P1930" s="18" t="str">
        <x:v>京都線</x:v>
      </x:c>
      <x:c r="Q1930" s="19" t="str">
        <x:v>S12_061_GE_10000</x:v>
      </x:c>
      <x:c r="R1930" s="19" t="str">
        <x:v>S12_061 usage threshold</x:v>
      </x:c>
      <x:c r="S1930" s="19" t="str">
        <x:v>https://nlftp.mlit.go.jp/ksj/gml/datalist/KsjTmplt-S12-2024.html</x:v>
      </x:c>
      <x:c r="T1930" s="19" t="str">
        <x:v>https://nlftp.mlit.go.jp/ksj/gml/datalist/KsjTmplt-S12-2024.html</x:v>
      </x:c>
      <x:c r="U1930" s="19" t="str">
        <x:v>station-component|西山天王山|阪急電鉄|private_rail|34.9129|135.6886|</x:v>
      </x:c>
      <x:c r="V1930" s="19" t="str">
        <x:v>006279 / 006279 / 京都線</x:v>
      </x:c>
      <x:c r="W1930" s="18" t="str">
        <x:v>否</x:v>
      </x:c>
      <x:c r="X1930" s="18" t="str">
        <x:v>0785e932a32b3ec15e1a1345537ae145eafe1c07bf38d5c16c11ee2b391e7a28</x:v>
      </x:c>
      <x:c r="Y1930" s="20" t="n">
        <x:v>1</x:v>
      </x:c>
      <x:c r="Z1930" s="20" t="n">
        <x:v>1</x:v>
      </x:c>
      <x:c r="AA1930" s="19"/>
      <x:c r="AB1930" s="18"/>
      <x:c r="AC1930" s="19"/>
    </x:row>
    <x:row r="1931" ht="28" customHeight="1">
      <x:c r="A1931" s="18" t="str">
        <x:v>西岐阜</x:v>
      </x:c>
      <x:c r="B1931" s="18" t="str">
        <x:v>東海旅客鉄道</x:v>
      </x:c>
      <x:c r="C1931" s="18" t="str">
        <x:v>conventional_rail</x:v>
      </x:c>
      <x:c r="D1931" s="19" t="str">
        <x:v>T2</x:v>
      </x:c>
      <x:c r="E1931" s="20" t="n">
        <x:v>11965</x:v>
      </x:c>
      <x:c r="F1931" s="18" t="str">
        <x:v>persons/day</x:v>
      </x:c>
      <x:c r="G1931" s="18" t="str">
        <x:v>FY2024</x:v>
      </x:c>
      <x:c r="H1931" s="18" t="str">
        <x:v>否</x:v>
      </x:c>
      <x:c r="I1931" s="19" t="str">
        <x:v>DAILY_ENTRIES_EXITS</x:v>
      </x:c>
      <x:c r="J1931" s="19" t="str">
        <x:v>東海道線</x:v>
      </x:c>
      <x:c r="K1931" s="18" t="str">
        <x:v>transport-node:3eb96546-b77e-5b14-9a1b-c0d35a256df2</x:v>
      </x:c>
      <x:c r="L1931" s="19" t="str">
        <x:v>组件待审核</x:v>
      </x:c>
      <x:c r="M1931" s="21" t="n">
        <x:v>35.404525</x:v>
      </x:c>
      <x:c r="N1931" s="21" t="n">
        <x:v>136.72326</x:v>
      </x:c>
      <x:c r="O1931" s="18" t="str">
        <x:v>004801</x:v>
      </x:c>
      <x:c r="P1931" s="18" t="str">
        <x:v>東海道線</x:v>
      </x:c>
      <x:c r="Q1931" s="19" t="str">
        <x:v>S12_061_GE_10000</x:v>
      </x:c>
      <x:c r="R1931" s="19" t="str">
        <x:v>S12_061 usage threshold</x:v>
      </x:c>
      <x:c r="S1931" s="19" t="str">
        <x:v>https://nlftp.mlit.go.jp/ksj/gml/datalist/KsjTmplt-S12-2024.html</x:v>
      </x:c>
      <x:c r="T1931" s="19" t="str">
        <x:v>https://nlftp.mlit.go.jp/ksj/gml/datalist/KsjTmplt-S12-2024.html</x:v>
      </x:c>
      <x:c r="U1931" s="19" t="str">
        <x:v>station-component|西岐阜|東海旅客鉄道|conventional_rail|35.4045|136.7233|</x:v>
      </x:c>
      <x:c r="V1931" s="19" t="str">
        <x:v>004801 / 004801 / 東海道線</x:v>
      </x:c>
      <x:c r="W1931" s="18" t="str">
        <x:v>否</x:v>
      </x:c>
      <x:c r="X1931" s="18" t="str">
        <x:v>0785e932a32b3ec15e1a1345537ae145eafe1c07bf38d5c16c11ee2b391e7a28</x:v>
      </x:c>
      <x:c r="Y1931" s="20" t="n">
        <x:v>1</x:v>
      </x:c>
      <x:c r="Z1931" s="20" t="n">
        <x:v>1</x:v>
      </x:c>
      <x:c r="AA1931" s="19"/>
      <x:c r="AB1931" s="18"/>
      <x:c r="AC1931" s="19"/>
    </x:row>
    <x:row r="1932" ht="28" customHeight="1">
      <x:c r="A1932" s="18" t="str">
        <x:v>西川口</x:v>
      </x:c>
      <x:c r="B1932" s="18" t="str">
        <x:v>東日本旅客鉄道</x:v>
      </x:c>
      <x:c r="C1932" s="18" t="str">
        <x:v>conventional_rail</x:v>
      </x:c>
      <x:c r="D1932" s="19" t="str">
        <x:v>T1</x:v>
      </x:c>
      <x:c r="E1932" s="20" t="n">
        <x:v>109948</x:v>
      </x:c>
      <x:c r="F1932" s="18" t="str">
        <x:v>persons/day</x:v>
      </x:c>
      <x:c r="G1932" s="18" t="str">
        <x:v>FY2024</x:v>
      </x:c>
      <x:c r="H1932" s="18" t="str">
        <x:v>否</x:v>
      </x:c>
      <x:c r="I1932" s="19" t="str">
        <x:v>DAILY_ENTRIES_EXITS</x:v>
      </x:c>
      <x:c r="J1932" s="19" t="str">
        <x:v>東北線</x:v>
      </x:c>
      <x:c r="K1932" s="18" t="str">
        <x:v>transport-node:201b3414-3e9c-5af2-af06-6c7013559856</x:v>
      </x:c>
      <x:c r="L1932" s="19" t="str">
        <x:v>组件待审核</x:v>
      </x:c>
      <x:c r="M1932" s="21" t="n">
        <x:v>35.815515</x:v>
      </x:c>
      <x:c r="N1932" s="21" t="n">
        <x:v>139.70436</x:v>
      </x:c>
      <x:c r="O1932" s="18" t="str">
        <x:v>003055</x:v>
      </x:c>
      <x:c r="P1932" s="18" t="str">
        <x:v>東北線</x:v>
      </x:c>
      <x:c r="Q1932" s="19" t="str">
        <x:v>S12_061_GE_10000</x:v>
      </x:c>
      <x:c r="R1932" s="19" t="str">
        <x:v>S12_061 usage threshold</x:v>
      </x:c>
      <x:c r="S1932" s="19" t="str">
        <x:v>https://nlftp.mlit.go.jp/ksj/gml/datalist/KsjTmplt-S12-2024.html</x:v>
      </x:c>
      <x:c r="T1932" s="19" t="str">
        <x:v>https://nlftp.mlit.go.jp/ksj/gml/datalist/KsjTmplt-S12-2024.html</x:v>
      </x:c>
      <x:c r="U1932" s="19" t="str">
        <x:v>station-component|西川口|東日本旅客鉄道|conventional_rail|35.8155|139.7044|</x:v>
      </x:c>
      <x:c r="V1932" s="19" t="str">
        <x:v>003055 / 003055 / 東北線</x:v>
      </x:c>
      <x:c r="W1932" s="18" t="str">
        <x:v>否</x:v>
      </x:c>
      <x:c r="X1932" s="18" t="str">
        <x:v>0785e932a32b3ec15e1a1345537ae145eafe1c07bf38d5c16c11ee2b391e7a28</x:v>
      </x:c>
      <x:c r="Y1932" s="20" t="n">
        <x:v>1</x:v>
      </x:c>
      <x:c r="Z1932" s="20" t="n">
        <x:v>1</x:v>
      </x:c>
      <x:c r="AA1932" s="19"/>
      <x:c r="AB1932" s="18"/>
      <x:c r="AC1932" s="19"/>
    </x:row>
    <x:row r="1933" ht="28" customHeight="1">
      <x:c r="A1933" s="18" t="str">
        <x:v>西巣鴨</x:v>
      </x:c>
      <x:c r="B1933" s="18" t="str">
        <x:v>東京都</x:v>
      </x:c>
      <x:c r="C1933" s="18" t="str">
        <x:v>metro</x:v>
      </x:c>
      <x:c r="D1933" s="19" t="str">
        <x:v>T2</x:v>
      </x:c>
      <x:c r="E1933" s="20" t="n">
        <x:v>29560</x:v>
      </x:c>
      <x:c r="F1933" s="18" t="str">
        <x:v>persons/day</x:v>
      </x:c>
      <x:c r="G1933" s="18" t="str">
        <x:v>FY2024</x:v>
      </x:c>
      <x:c r="H1933" s="18" t="str">
        <x:v>否</x:v>
      </x:c>
      <x:c r="I1933" s="19" t="str">
        <x:v>DAILY_ENTRIES_EXITS</x:v>
      </x:c>
      <x:c r="J1933" s="19" t="str">
        <x:v>6号線三田線</x:v>
      </x:c>
      <x:c r="K1933" s="18" t="str">
        <x:v>transport-node:dc061e5e-9a35-558e-b791-fec8c524a55b</x:v>
      </x:c>
      <x:c r="L1933" s="19" t="str">
        <x:v>组件待审核</x:v>
      </x:c>
      <x:c r="M1933" s="21" t="n">
        <x:v>35.743415</x:v>
      </x:c>
      <x:c r="N1933" s="21" t="n">
        <x:v>139.728725</x:v>
      </x:c>
      <x:c r="O1933" s="18" t="str">
        <x:v>003293</x:v>
      </x:c>
      <x:c r="P1933" s="18" t="str">
        <x:v>6号線三田線</x:v>
      </x:c>
      <x:c r="Q1933" s="19" t="str">
        <x:v>S12_061_GE_10000</x:v>
      </x:c>
      <x:c r="R1933" s="19" t="str">
        <x:v>S12_061 usage threshold</x:v>
      </x:c>
      <x:c r="S1933" s="19" t="str">
        <x:v>https://nlftp.mlit.go.jp/ksj/gml/datalist/KsjTmplt-S12-2024.html</x:v>
      </x:c>
      <x:c r="T1933" s="19" t="str">
        <x:v>https://nlftp.mlit.go.jp/ksj/gml/datalist/KsjTmplt-S12-2024.html</x:v>
      </x:c>
      <x:c r="U1933" s="19" t="str">
        <x:v>station-component|西巣鴨|東京都|metro|35.7434|139.7287|</x:v>
      </x:c>
      <x:c r="V1933" s="19" t="str">
        <x:v>003293 / 003293 / 6号線三田線</x:v>
      </x:c>
      <x:c r="W1933" s="18" t="str">
        <x:v>否</x:v>
      </x:c>
      <x:c r="X1933" s="18" t="str">
        <x:v>0785e932a32b3ec15e1a1345537ae145eafe1c07bf38d5c16c11ee2b391e7a28</x:v>
      </x:c>
      <x:c r="Y1933" s="20" t="n">
        <x:v>1</x:v>
      </x:c>
      <x:c r="Z1933" s="20" t="n">
        <x:v>1</x:v>
      </x:c>
      <x:c r="AA1933" s="19"/>
      <x:c r="AB1933" s="18"/>
      <x:c r="AC1933" s="19"/>
    </x:row>
    <x:row r="1934" ht="28" customHeight="1">
      <x:c r="A1934" s="18" t="str">
        <x:v>西広島</x:v>
      </x:c>
      <x:c r="B1934" s="18" t="str">
        <x:v>西日本旅客鉄道</x:v>
      </x:c>
      <x:c r="C1934" s="18" t="str">
        <x:v>conventional_rail</x:v>
      </x:c>
      <x:c r="D1934" s="19" t="str">
        <x:v>T2</x:v>
      </x:c>
      <x:c r="E1934" s="20" t="n">
        <x:v>16908</x:v>
      </x:c>
      <x:c r="F1934" s="18" t="str">
        <x:v>persons/day</x:v>
      </x:c>
      <x:c r="G1934" s="18" t="str">
        <x:v>FY2024</x:v>
      </x:c>
      <x:c r="H1934" s="18" t="str">
        <x:v>否</x:v>
      </x:c>
      <x:c r="I1934" s="19" t="str">
        <x:v>DAILY_ENTRIES_EXITS</x:v>
      </x:c>
      <x:c r="J1934" s="19" t="str">
        <x:v>山陽線</x:v>
      </x:c>
      <x:c r="K1934" s="18" t="str">
        <x:v>transport-node:f7bebee3-37a2-5dcb-bba2-9fd1b540c9d1</x:v>
      </x:c>
      <x:c r="L1934" s="19" t="str">
        <x:v>组件待审核</x:v>
      </x:c>
      <x:c r="M1934" s="21" t="n">
        <x:v>34.3981833</x:v>
      </x:c>
      <x:c r="N1934" s="21" t="n">
        <x:v>132.4281767</x:v>
      </x:c>
      <x:c r="O1934" s="18" t="str">
        <x:v>008027</x:v>
      </x:c>
      <x:c r="P1934" s="18" t="str">
        <x:v>山陽線</x:v>
      </x:c>
      <x:c r="Q1934" s="19" t="str">
        <x:v>S12_061_GE_10000</x:v>
      </x:c>
      <x:c r="R1934" s="19" t="str">
        <x:v>S12_061 usage threshold</x:v>
      </x:c>
      <x:c r="S1934" s="19" t="str">
        <x:v>https://nlftp.mlit.go.jp/ksj/gml/datalist/KsjTmplt-S12-2024.html</x:v>
      </x:c>
      <x:c r="T1934" s="19" t="str">
        <x:v>https://nlftp.mlit.go.jp/ksj/gml/datalist/KsjTmplt-S12-2024.html</x:v>
      </x:c>
      <x:c r="U1934" s="19" t="str">
        <x:v>station-component|西広島|西日本旅客鉄道|conventional_rail|34.3982|132.4282|</x:v>
      </x:c>
      <x:c r="V1934" s="19" t="str">
        <x:v>008027 / 008027 / 山陽線</x:v>
      </x:c>
      <x:c r="W1934" s="18" t="str">
        <x:v>否</x:v>
      </x:c>
      <x:c r="X1934" s="18" t="str">
        <x:v>0785e932a32b3ec15e1a1345537ae145eafe1c07bf38d5c16c11ee2b391e7a28</x:v>
      </x:c>
      <x:c r="Y1934" s="20" t="n">
        <x:v>1</x:v>
      </x:c>
      <x:c r="Z1934" s="20" t="n">
        <x:v>1</x:v>
      </x:c>
      <x:c r="AA1934" s="19"/>
      <x:c r="AB1934" s="18"/>
      <x:c r="AC1934" s="19"/>
    </x:row>
    <x:row r="1935" ht="28" customHeight="1">
      <x:c r="A1935" s="18" t="str">
        <x:v>西府</x:v>
      </x:c>
      <x:c r="B1935" s="18" t="str">
        <x:v>東日本旅客鉄道</x:v>
      </x:c>
      <x:c r="C1935" s="18" t="str">
        <x:v>conventional_rail</x:v>
      </x:c>
      <x:c r="D1935" s="19" t="str">
        <x:v>T2</x:v>
      </x:c>
      <x:c r="E1935" s="20" t="n">
        <x:v>21706</x:v>
      </x:c>
      <x:c r="F1935" s="18" t="str">
        <x:v>persons/day</x:v>
      </x:c>
      <x:c r="G1935" s="18" t="str">
        <x:v>FY2024</x:v>
      </x:c>
      <x:c r="H1935" s="18" t="str">
        <x:v>否</x:v>
      </x:c>
      <x:c r="I1935" s="19" t="str">
        <x:v>DAILY_ENTRIES_EXITS</x:v>
      </x:c>
      <x:c r="J1935" s="19" t="str">
        <x:v>南武線</x:v>
      </x:c>
      <x:c r="K1935" s="18" t="str">
        <x:v>transport-node:15980e41-3134-5072-89e0-0591871a6856</x:v>
      </x:c>
      <x:c r="L1935" s="19" t="str">
        <x:v>组件待审核</x:v>
      </x:c>
      <x:c r="M1935" s="21" t="n">
        <x:v>35.670935</x:v>
      </x:c>
      <x:c r="N1935" s="21" t="n">
        <x:v>139.45739</x:v>
      </x:c>
      <x:c r="O1935" s="18" t="str">
        <x:v>003831</x:v>
      </x:c>
      <x:c r="P1935" s="18" t="str">
        <x:v>南武線</x:v>
      </x:c>
      <x:c r="Q1935" s="19" t="str">
        <x:v>S12_061_GE_10000</x:v>
      </x:c>
      <x:c r="R1935" s="19" t="str">
        <x:v>S12_061 usage threshold</x:v>
      </x:c>
      <x:c r="S1935" s="19" t="str">
        <x:v>https://nlftp.mlit.go.jp/ksj/gml/datalist/KsjTmplt-S12-2024.html</x:v>
      </x:c>
      <x:c r="T1935" s="19" t="str">
        <x:v>https://nlftp.mlit.go.jp/ksj/gml/datalist/KsjTmplt-S12-2024.html</x:v>
      </x:c>
      <x:c r="U1935" s="19" t="str">
        <x:v>station-component|西府|東日本旅客鉄道|conventional_rail|35.6709|139.4574|</x:v>
      </x:c>
      <x:c r="V1935" s="19" t="str">
        <x:v>003831 / 003831 / 南武線</x:v>
      </x:c>
      <x:c r="W1935" s="18" t="str">
        <x:v>否</x:v>
      </x:c>
      <x:c r="X1935" s="18" t="str">
        <x:v>0785e932a32b3ec15e1a1345537ae145eafe1c07bf38d5c16c11ee2b391e7a28</x:v>
      </x:c>
      <x:c r="Y1935" s="20" t="n">
        <x:v>1</x:v>
      </x:c>
      <x:c r="Z1935" s="20" t="n">
        <x:v>1</x:v>
      </x:c>
      <x:c r="AA1935" s="19"/>
      <x:c r="AB1935" s="18"/>
      <x:c r="AC1935" s="19"/>
    </x:row>
    <x:row r="1936" ht="33" customHeight="1">
      <x:c r="A1936" s="18" t="str">
        <x:v>西所沢</x:v>
      </x:c>
      <x:c r="B1936" s="18" t="str">
        <x:v>西武鉄道</x:v>
      </x:c>
      <x:c r="C1936" s="18" t="str">
        <x:v>private_rail</x:v>
      </x:c>
      <x:c r="D1936" s="19" t="str">
        <x:v>T2</x:v>
      </x:c>
      <x:c r="E1936" s="20" t="n">
        <x:v>24676</x:v>
      </x:c>
      <x:c r="F1936" s="18" t="str">
        <x:v>persons/day</x:v>
      </x:c>
      <x:c r="G1936" s="18" t="str">
        <x:v>FY2024</x:v>
      </x:c>
      <x:c r="H1936" s="18" t="str">
        <x:v>否</x:v>
      </x:c>
      <x:c r="I1936" s="19" t="str">
        <x:v>DAILY_ENTRIES_EXITS</x:v>
      </x:c>
      <x:c r="J1936" s="19" t="str">
        <x:v>池袋線
狭山線</x:v>
      </x:c>
      <x:c r="K1936" s="18" t="str">
        <x:v>transport-node:80cf0645-18c7-543a-8c87-a79bd56ca252</x:v>
      </x:c>
      <x:c r="L1936" s="19" t="str">
        <x:v>组件待审核</x:v>
      </x:c>
      <x:c r="M1936" s="21" t="n">
        <x:v>35.7887575</x:v>
      </x:c>
      <x:c r="N1936" s="21" t="n">
        <x:v>139.456245</x:v>
      </x:c>
      <x:c r="O1936" s="18" t="str">
        <x:v>003119</x:v>
      </x:c>
      <x:c r="P1936" s="18" t="str">
        <x:v>池袋線</x:v>
      </x:c>
      <x:c r="Q1936" s="19" t="str">
        <x:v>S12_061_GE_10000
OFFICIAL_HUB_COMPONENT_REVIEW</x:v>
      </x:c>
      <x:c r="R1936" s="19" t="str">
        <x:v>S12_061 usage threshold</x:v>
      </x:c>
      <x:c r="S1936" s="19" t="str">
        <x:v>https://nlftp.mlit.go.jp/ksj/gml/datalist/KsjTmplt-S12-2024.html</x:v>
      </x:c>
      <x:c r="T1936" s="19" t="str">
        <x:v>https://nlftp.mlit.go.jp/ksj/gml/datalist/KsjTmplt-S12-2024.html
https://www.seiburailway.jp/railway/station/</x:v>
      </x:c>
      <x:c r="U1936" s="19" t="str">
        <x:v>station-component|西所沢|西武鉄道|private_rail|35.7888|139.4562|</x:v>
      </x:c>
      <x:c r="V1936" s="19" t="str">
        <x:v>003118 / 003118 / 狭山線
003118 / 003119 / 池袋線</x:v>
      </x:c>
      <x:c r="W1936" s="18" t="str">
        <x:v>否</x:v>
      </x:c>
      <x:c r="X1936" s="18" t="str">
        <x:v>0785e932a32b3ec15e1a1345537ae145eafe1c07bf38d5c16c11ee2b391e7a28</x:v>
      </x:c>
      <x:c r="Y1936" s="20" t="n">
        <x:v>1</x:v>
      </x:c>
      <x:c r="Z1936" s="20" t="n">
        <x:v>1</x:v>
      </x:c>
      <x:c r="AA1936" s="19" t="str">
        <x:v>西所沢</x:v>
      </x:c>
      <x:c r="AB1936" s="18" t="str">
        <x:v>transport-hub-review:a2ad86a3-7c81-5904-95d2-a8f815ebff83</x:v>
      </x:c>
      <x:c r="AC1936" s="19"/>
    </x:row>
    <x:row r="1937" ht="28" customHeight="1">
      <x:c r="A1937" s="18" t="str">
        <x:v>西新</x:v>
      </x:c>
      <x:c r="B1937" s="18" t="str">
        <x:v>福岡市</x:v>
      </x:c>
      <x:c r="C1937" s="18" t="str">
        <x:v>metro</x:v>
      </x:c>
      <x:c r="D1937" s="19" t="str">
        <x:v>T2</x:v>
      </x:c>
      <x:c r="E1937" s="20" t="n">
        <x:v>45660</x:v>
      </x:c>
      <x:c r="F1937" s="18" t="str">
        <x:v>persons/day</x:v>
      </x:c>
      <x:c r="G1937" s="18" t="str">
        <x:v>FY2024</x:v>
      </x:c>
      <x:c r="H1937" s="18" t="str">
        <x:v>否</x:v>
      </x:c>
      <x:c r="I1937" s="19" t="str">
        <x:v>DAILY_ENTRIES_EXITS</x:v>
      </x:c>
      <x:c r="J1937" s="19" t="str">
        <x:v>1号線(空港線)</x:v>
      </x:c>
      <x:c r="K1937" s="18" t="str">
        <x:v>transport-node:e1d0a7d5-bbd0-53b3-8d02-2e4d2ba0e988</x:v>
      </x:c>
      <x:c r="L1937" s="19" t="str">
        <x:v>组件待审核</x:v>
      </x:c>
      <x:c r="M1937" s="21" t="n">
        <x:v>33.583765</x:v>
      </x:c>
      <x:c r="N1937" s="21" t="n">
        <x:v>130.359525</x:v>
      </x:c>
      <x:c r="O1937" s="18" t="str">
        <x:v>009045</x:v>
      </x:c>
      <x:c r="P1937" s="18" t="str">
        <x:v>1号線(空港線)</x:v>
      </x:c>
      <x:c r="Q1937" s="19" t="str">
        <x:v>S12_061_GE_10000</x:v>
      </x:c>
      <x:c r="R1937" s="19" t="str">
        <x:v>S12_061 usage threshold</x:v>
      </x:c>
      <x:c r="S1937" s="19" t="str">
        <x:v>https://nlftp.mlit.go.jp/ksj/gml/datalist/KsjTmplt-S12-2024.html</x:v>
      </x:c>
      <x:c r="T1937" s="19" t="str">
        <x:v>https://nlftp.mlit.go.jp/ksj/gml/datalist/KsjTmplt-S12-2024.html</x:v>
      </x:c>
      <x:c r="U1937" s="19" t="str">
        <x:v>station-component|西新|福岡市|metro|33.5838|130.3595|</x:v>
      </x:c>
      <x:c r="V1937" s="19" t="str">
        <x:v>009045 / 009045 / 1号線(空港線)</x:v>
      </x:c>
      <x:c r="W1937" s="18" t="str">
        <x:v>否</x:v>
      </x:c>
      <x:c r="X1937" s="18" t="str">
        <x:v>0785e932a32b3ec15e1a1345537ae145eafe1c07bf38d5c16c11ee2b391e7a28</x:v>
      </x:c>
      <x:c r="Y1937" s="20" t="n">
        <x:v>1</x:v>
      </x:c>
      <x:c r="Z1937" s="20" t="n">
        <x:v>1</x:v>
      </x:c>
      <x:c r="AA1937" s="19"/>
      <x:c r="AB1937" s="18"/>
      <x:c r="AC1937" s="19"/>
    </x:row>
    <x:row r="1938" ht="33" customHeight="1">
      <x:c r="A1938" s="18" t="str">
        <x:v>西新井</x:v>
      </x:c>
      <x:c r="B1938" s="18" t="str">
        <x:v>東武鉄道</x:v>
      </x:c>
      <x:c r="C1938" s="18" t="str">
        <x:v>private_rail</x:v>
      </x:c>
      <x:c r="D1938" s="19" t="str">
        <x:v>T1</x:v>
      </x:c>
      <x:c r="E1938" s="20" t="n">
        <x:v>62984</x:v>
      </x:c>
      <x:c r="F1938" s="18" t="str">
        <x:v>persons/day</x:v>
      </x:c>
      <x:c r="G1938" s="18" t="str">
        <x:v>FY2024</x:v>
      </x:c>
      <x:c r="H1938" s="18" t="str">
        <x:v>否</x:v>
      </x:c>
      <x:c r="I1938" s="19" t="str">
        <x:v>DAILY_ENTRIES_EXITS</x:v>
      </x:c>
      <x:c r="J1938" s="19" t="str">
        <x:v>伊勢崎線
大師線</x:v>
      </x:c>
      <x:c r="K1938" s="18" t="str">
        <x:v>transport-node:93d8f17d-c69a-530e-aafc-f19f75d2281e</x:v>
      </x:c>
      <x:c r="L1938" s="19" t="str">
        <x:v>组件待审核</x:v>
      </x:c>
      <x:c r="M1938" s="21" t="n">
        <x:v>35.77728</x:v>
      </x:c>
      <x:c r="N1938" s="21" t="n">
        <x:v>139.790365</x:v>
      </x:c>
      <x:c r="O1938" s="18" t="str">
        <x:v>003159</x:v>
      </x:c>
      <x:c r="P1938" s="18" t="str">
        <x:v>伊勢崎線</x:v>
      </x:c>
      <x:c r="Q1938" s="19" t="str">
        <x:v>S12_061_GE_10000</x:v>
      </x:c>
      <x:c r="R1938" s="19" t="str">
        <x:v>S12_061 usage threshold</x:v>
      </x:c>
      <x:c r="S1938" s="19" t="str">
        <x:v>https://nlftp.mlit.go.jp/ksj/gml/datalist/KsjTmplt-S12-2024.html</x:v>
      </x:c>
      <x:c r="T1938" s="19" t="str">
        <x:v>https://nlftp.mlit.go.jp/ksj/gml/datalist/KsjTmplt-S12-2024.html</x:v>
      </x:c>
      <x:c r="U1938" s="19" t="str">
        <x:v>station-component|西新井|東武鉄道|private_rail|35.7773|139.7904|</x:v>
      </x:c>
      <x:c r="V1938" s="19" t="str">
        <x:v>003159 / 003159 / 伊勢崎線
003159 / 003160 / 大師線</x:v>
      </x:c>
      <x:c r="W1938" s="18" t="str">
        <x:v>否</x:v>
      </x:c>
      <x:c r="X1938" s="18" t="str">
        <x:v>0785e932a32b3ec15e1a1345537ae145eafe1c07bf38d5c16c11ee2b391e7a28</x:v>
      </x:c>
      <x:c r="Y1938" s="20" t="n">
        <x:v>1</x:v>
      </x:c>
      <x:c r="Z1938" s="20" t="n">
        <x:v>1</x:v>
      </x:c>
      <x:c r="AA1938" s="19"/>
      <x:c r="AB1938" s="18"/>
      <x:c r="AC1938" s="19"/>
    </x:row>
    <x:row r="1939" ht="28" customHeight="1">
      <x:c r="A1939" s="18" t="str">
        <x:v>西新井大師西</x:v>
      </x:c>
      <x:c r="B1939" s="18" t="str">
        <x:v>東京都</x:v>
      </x:c>
      <x:c r="C1939" s="18" t="str">
        <x:v>fixed_guideway</x:v>
      </x:c>
      <x:c r="D1939" s="19" t="str">
        <x:v>T2</x:v>
      </x:c>
      <x:c r="E1939" s="20" t="n">
        <x:v>12405</x:v>
      </x:c>
      <x:c r="F1939" s="18" t="str">
        <x:v>persons/day</x:v>
      </x:c>
      <x:c r="G1939" s="18" t="str">
        <x:v>FY2024</x:v>
      </x:c>
      <x:c r="H1939" s="18" t="str">
        <x:v>否</x:v>
      </x:c>
      <x:c r="I1939" s="19" t="str">
        <x:v>DAILY_ENTRIES_EXITS</x:v>
      </x:c>
      <x:c r="J1939" s="19" t="str">
        <x:v>日暮里・舎人ライナー</x:v>
      </x:c>
      <x:c r="K1939" s="18" t="str">
        <x:v>transport-node:814a28f8-1a72-5400-83fd-76b609dba157</x:v>
      </x:c>
      <x:c r="L1939" s="19" t="str">
        <x:v>组件待审核</x:v>
      </x:c>
      <x:c r="M1939" s="21" t="n">
        <x:v>35.78116</x:v>
      </x:c>
      <x:c r="N1939" s="21" t="n">
        <x:v>139.77014</x:v>
      </x:c>
      <x:c r="O1939" s="18" t="str">
        <x:v>003144</x:v>
      </x:c>
      <x:c r="P1939" s="18" t="str">
        <x:v>日暮里・舎人ライナー</x:v>
      </x:c>
      <x:c r="Q1939" s="19" t="str">
        <x:v>S12_061_GE_10000</x:v>
      </x:c>
      <x:c r="R1939" s="19" t="str">
        <x:v>S12_061 usage threshold</x:v>
      </x:c>
      <x:c r="S1939" s="19" t="str">
        <x:v>https://nlftp.mlit.go.jp/ksj/gml/datalist/KsjTmplt-S12-2024.html</x:v>
      </x:c>
      <x:c r="T1939" s="19" t="str">
        <x:v>https://nlftp.mlit.go.jp/ksj/gml/datalist/KsjTmplt-S12-2024.html</x:v>
      </x:c>
      <x:c r="U1939" s="19" t="str">
        <x:v>station-component|西新井大師西|東京都|fixed_guideway|35.7812|139.7701|</x:v>
      </x:c>
      <x:c r="V1939" s="19" t="str">
        <x:v>003144 / 003144 / 日暮里・舎人ライナー</x:v>
      </x:c>
      <x:c r="W1939" s="18" t="str">
        <x:v>否</x:v>
      </x:c>
      <x:c r="X1939" s="18" t="str">
        <x:v>0785e932a32b3ec15e1a1345537ae145eafe1c07bf38d5c16c11ee2b391e7a28</x:v>
      </x:c>
      <x:c r="Y1939" s="20" t="n">
        <x:v>1</x:v>
      </x:c>
      <x:c r="Z1939" s="20" t="n">
        <x:v>1</x:v>
      </x:c>
      <x:c r="AA1939" s="19"/>
      <x:c r="AB1939" s="18"/>
      <x:c r="AC1939" s="19"/>
    </x:row>
    <x:row r="1940" ht="28" customHeight="1">
      <x:c r="A1940" s="18" t="str">
        <x:v>西新宿</x:v>
      </x:c>
      <x:c r="B1940" s="18" t="str">
        <x:v>東京地下鉄</x:v>
      </x:c>
      <x:c r="C1940" s="18" t="str">
        <x:v>metro</x:v>
      </x:c>
      <x:c r="D1940" s="19" t="str">
        <x:v>T1</x:v>
      </x:c>
      <x:c r="E1940" s="20" t="n">
        <x:v>85481</x:v>
      </x:c>
      <x:c r="F1940" s="18" t="str">
        <x:v>persons/day</x:v>
      </x:c>
      <x:c r="G1940" s="18" t="str">
        <x:v>FY2024</x:v>
      </x:c>
      <x:c r="H1940" s="18" t="str">
        <x:v>否</x:v>
      </x:c>
      <x:c r="I1940" s="19" t="str">
        <x:v>DAILY_ENTRIES_EXITS</x:v>
      </x:c>
      <x:c r="J1940" s="19" t="str">
        <x:v>4号線丸ノ内線</x:v>
      </x:c>
      <x:c r="K1940" s="18" t="str">
        <x:v>transport-node:36d3682f-68bb-5af6-967e-e05dd2d96fc2</x:v>
      </x:c>
      <x:c r="L1940" s="19" t="str">
        <x:v>组件待审核</x:v>
      </x:c>
      <x:c r="M1940" s="21" t="n">
        <x:v>35.694515</x:v>
      </x:c>
      <x:c r="N1940" s="21" t="n">
        <x:v>139.69256</x:v>
      </x:c>
      <x:c r="O1940" s="18" t="str">
        <x:v>003662</x:v>
      </x:c>
      <x:c r="P1940" s="18" t="str">
        <x:v>4号線丸ノ内線</x:v>
      </x:c>
      <x:c r="Q1940" s="19" t="str">
        <x:v>S12_061_GE_10000</x:v>
      </x:c>
      <x:c r="R1940" s="19" t="str">
        <x:v>S12_061 usage threshold</x:v>
      </x:c>
      <x:c r="S1940" s="19" t="str">
        <x:v>https://nlftp.mlit.go.jp/ksj/gml/datalist/KsjTmplt-S12-2024.html</x:v>
      </x:c>
      <x:c r="T1940" s="19" t="str">
        <x:v>https://nlftp.mlit.go.jp/ksj/gml/datalist/KsjTmplt-S12-2024.html</x:v>
      </x:c>
      <x:c r="U1940" s="19" t="str">
        <x:v>station-component|西新宿|東京地下鉄|metro|35.6945|139.6926|</x:v>
      </x:c>
      <x:c r="V1940" s="19" t="str">
        <x:v>003662 / 003662 / 4号線丸ノ内線</x:v>
      </x:c>
      <x:c r="W1940" s="18" t="str">
        <x:v>否</x:v>
      </x:c>
      <x:c r="X1940" s="18" t="str">
        <x:v>0785e932a32b3ec15e1a1345537ae145eafe1c07bf38d5c16c11ee2b391e7a28</x:v>
      </x:c>
      <x:c r="Y1940" s="20" t="n">
        <x:v>1</x:v>
      </x:c>
      <x:c r="Z1940" s="20" t="n">
        <x:v>1</x:v>
      </x:c>
      <x:c r="AA1940" s="19"/>
      <x:c r="AB1940" s="18"/>
      <x:c r="AC1940" s="19"/>
    </x:row>
    <x:row r="1941" ht="28" customHeight="1">
      <x:c r="A1941" s="18" t="str">
        <x:v>西新宿五丁目</x:v>
      </x:c>
      <x:c r="B1941" s="18" t="str">
        <x:v>東京都</x:v>
      </x:c>
      <x:c r="C1941" s="18" t="str">
        <x:v>metro</x:v>
      </x:c>
      <x:c r="D1941" s="19" t="str">
        <x:v>T2</x:v>
      </x:c>
      <x:c r="E1941" s="20" t="n">
        <x:v>32776</x:v>
      </x:c>
      <x:c r="F1941" s="18" t="str">
        <x:v>persons/day</x:v>
      </x:c>
      <x:c r="G1941" s="18" t="str">
        <x:v>FY2024</x:v>
      </x:c>
      <x:c r="H1941" s="18" t="str">
        <x:v>否</x:v>
      </x:c>
      <x:c r="I1941" s="19" t="str">
        <x:v>DAILY_ENTRIES_EXITS</x:v>
      </x:c>
      <x:c r="J1941" s="19" t="str">
        <x:v>12号線大江戸線</x:v>
      </x:c>
      <x:c r="K1941" s="18" t="str">
        <x:v>transport-node:32f745a1-944f-5a4d-be10-042289519e7a</x:v>
      </x:c>
      <x:c r="L1941" s="19" t="str">
        <x:v>组件待审核</x:v>
      </x:c>
      <x:c r="M1941" s="21" t="n">
        <x:v>35.6899</x:v>
      </x:c>
      <x:c r="N1941" s="21" t="n">
        <x:v>139.684665</x:v>
      </x:c>
      <x:c r="O1941" s="18" t="str">
        <x:v>003696</x:v>
      </x:c>
      <x:c r="P1941" s="18" t="str">
        <x:v>12号線大江戸線</x:v>
      </x:c>
      <x:c r="Q1941" s="19" t="str">
        <x:v>S12_061_GE_10000</x:v>
      </x:c>
      <x:c r="R1941" s="19" t="str">
        <x:v>S12_061 usage threshold</x:v>
      </x:c>
      <x:c r="S1941" s="19" t="str">
        <x:v>https://nlftp.mlit.go.jp/ksj/gml/datalist/KsjTmplt-S12-2024.html</x:v>
      </x:c>
      <x:c r="T1941" s="19" t="str">
        <x:v>https://nlftp.mlit.go.jp/ksj/gml/datalist/KsjTmplt-S12-2024.html</x:v>
      </x:c>
      <x:c r="U1941" s="19" t="str">
        <x:v>station-component|西新宿五丁目|東京都|metro|35.6899|139.6847|</x:v>
      </x:c>
      <x:c r="V1941" s="19" t="str">
        <x:v>003696 / 003696 / 12号線大江戸線</x:v>
      </x:c>
      <x:c r="W1941" s="18" t="str">
        <x:v>否</x:v>
      </x:c>
      <x:c r="X1941" s="18" t="str">
        <x:v>0785e932a32b3ec15e1a1345537ae145eafe1c07bf38d5c16c11ee2b391e7a28</x:v>
      </x:c>
      <x:c r="Y1941" s="20" t="n">
        <x:v>1</x:v>
      </x:c>
      <x:c r="Z1941" s="20" t="n">
        <x:v>1</x:v>
      </x:c>
      <x:c r="AA1941" s="19"/>
      <x:c r="AB1941" s="18"/>
      <x:c r="AC1941" s="19"/>
    </x:row>
    <x:row r="1942" ht="33" customHeight="1">
      <x:c r="A1942" s="18" t="str">
        <x:v>西日暮里</x:v>
      </x:c>
      <x:c r="B1942" s="18" t="str">
        <x:v>東京地下鉄</x:v>
      </x:c>
      <x:c r="C1942" s="18" t="str">
        <x:v>metro</x:v>
      </x:c>
      <x:c r="D1942" s="19" t="str">
        <x:v>T1</x:v>
      </x:c>
      <x:c r="E1942" s="20" t="n">
        <x:v>154330</x:v>
      </x:c>
      <x:c r="F1942" s="18" t="str">
        <x:v>persons/day</x:v>
      </x:c>
      <x:c r="G1942" s="18" t="str">
        <x:v>FY2024</x:v>
      </x:c>
      <x:c r="H1942" s="18" t="str">
        <x:v>否</x:v>
      </x:c>
      <x:c r="I1942" s="19" t="str">
        <x:v>DAILY_ENTRIES_EXITS</x:v>
      </x:c>
      <x:c r="J1942" s="19" t="str">
        <x:v>9号線千代田線</x:v>
      </x:c>
      <x:c r="K1942" s="18" t="str">
        <x:v>transport-node:b37f9352-3f6f-5243-a24b-d90476422ca8</x:v>
      </x:c>
      <x:c r="L1942" s="19" t="str">
        <x:v>组件待审核</x:v>
      </x:c>
      <x:c r="M1942" s="21" t="n">
        <x:v>35.73239</x:v>
      </x:c>
      <x:c r="N1942" s="21" t="n">
        <x:v>139.7669633</x:v>
      </x:c>
      <x:c r="O1942" s="18" t="str">
        <x:v>003368</x:v>
      </x:c>
      <x:c r="P1942" s="18" t="str">
        <x:v>9号線千代田線</x:v>
      </x:c>
      <x:c r="Q1942" s="19" t="str">
        <x:v>S12_061_GE_10000
OFFICIAL_HUB_COMPONENT_REVIEW</x:v>
      </x:c>
      <x:c r="R1942" s="19" t="str">
        <x:v>S12_061 usage threshold</x:v>
      </x:c>
      <x:c r="S1942" s="19" t="str">
        <x:v>https://nlftp.mlit.go.jp/ksj/gml/datalist/KsjTmplt-S12-2024.html</x:v>
      </x:c>
      <x:c r="T1942" s="19" t="str">
        <x:v>https://nlftp.mlit.go.jp/ksj/gml/datalist/KsjTmplt-S12-2024.html
https://www.tokyometro.jp/station/nishi-nippori/index.html</x:v>
      </x:c>
      <x:c r="U1942" s="19" t="str">
        <x:v>station-component|西日暮里|東京地下鉄|metro|35.7324|139.7670|</x:v>
      </x:c>
      <x:c r="V1942" s="19" t="str">
        <x:v>003368 / 003368 / 9号線千代田線</x:v>
      </x:c>
      <x:c r="W1942" s="18" t="str">
        <x:v>否</x:v>
      </x:c>
      <x:c r="X1942" s="18" t="str">
        <x:v>0785e932a32b3ec15e1a1345537ae145eafe1c07bf38d5c16c11ee2b391e7a28</x:v>
      </x:c>
      <x:c r="Y1942" s="20" t="n">
        <x:v>1</x:v>
      </x:c>
      <x:c r="Z1942" s="20" t="n">
        <x:v>1</x:v>
      </x:c>
      <x:c r="AA1942" s="19" t="str">
        <x:v>西日暮里</x:v>
      </x:c>
      <x:c r="AB1942" s="18" t="str">
        <x:v>transport-hub-review:5703fdbe-baa3-52c5-b6b8-c52d94dbcfbe</x:v>
      </x:c>
      <x:c r="AC1942" s="19"/>
    </x:row>
    <x:row r="1943" ht="33" customHeight="1">
      <x:c r="A1943" s="18" t="str">
        <x:v>西日暮里</x:v>
      </x:c>
      <x:c r="B1943" s="18" t="str">
        <x:v>東京都</x:v>
      </x:c>
      <x:c r="C1943" s="18" t="str">
        <x:v>fixed_guideway</x:v>
      </x:c>
      <x:c r="D1943" s="19" t="str">
        <x:v>T2</x:v>
      </x:c>
      <x:c r="E1943" s="20" t="n">
        <x:v>19959</x:v>
      </x:c>
      <x:c r="F1943" s="18" t="str">
        <x:v>persons/day</x:v>
      </x:c>
      <x:c r="G1943" s="18" t="str">
        <x:v>FY2024</x:v>
      </x:c>
      <x:c r="H1943" s="18" t="str">
        <x:v>否</x:v>
      </x:c>
      <x:c r="I1943" s="19" t="str">
        <x:v>DAILY_ENTRIES_EXITS</x:v>
      </x:c>
      <x:c r="J1943" s="19" t="str">
        <x:v>日暮里・舎人ライナー</x:v>
      </x:c>
      <x:c r="K1943" s="18" t="str">
        <x:v>transport-node:85e1b515-0c35-57b3-9982-0bad9dd6ba92</x:v>
      </x:c>
      <x:c r="L1943" s="19" t="str">
        <x:v>组件待审核</x:v>
      </x:c>
      <x:c r="M1943" s="21" t="n">
        <x:v>35.733685</x:v>
      </x:c>
      <x:c r="N1943" s="21" t="n">
        <x:v>139.76813</x:v>
      </x:c>
      <x:c r="O1943" s="18" t="str">
        <x:v>003358</x:v>
      </x:c>
      <x:c r="P1943" s="18" t="str">
        <x:v>日暮里・舎人ライナー</x:v>
      </x:c>
      <x:c r="Q1943" s="19" t="str">
        <x:v>S12_061_GE_10000
OFFICIAL_HUB_COMPONENT_REVIEW</x:v>
      </x:c>
      <x:c r="R1943" s="19" t="str">
        <x:v>S12_061 usage threshold</x:v>
      </x:c>
      <x:c r="S1943" s="19" t="str">
        <x:v>https://nlftp.mlit.go.jp/ksj/gml/datalist/KsjTmplt-S12-2024.html</x:v>
      </x:c>
      <x:c r="T1943" s="19" t="str">
        <x:v>https://nlftp.mlit.go.jp/ksj/gml/datalist/KsjTmplt-S12-2024.html
https://www.tokyometro.jp/station/nishi-nippori/index.html</x:v>
      </x:c>
      <x:c r="U1943" s="19" t="str">
        <x:v>station-component|西日暮里|東京都|fixed_guideway|35.7337|139.7681|</x:v>
      </x:c>
      <x:c r="V1943" s="19" t="str">
        <x:v>003368 / 003358 / 日暮里・舎人ライナー</x:v>
      </x:c>
      <x:c r="W1943" s="18" t="str">
        <x:v>否</x:v>
      </x:c>
      <x:c r="X1943" s="18" t="str">
        <x:v>0785e932a32b3ec15e1a1345537ae145eafe1c07bf38d5c16c11ee2b391e7a28</x:v>
      </x:c>
      <x:c r="Y1943" s="20" t="n">
        <x:v>1</x:v>
      </x:c>
      <x:c r="Z1943" s="20" t="n">
        <x:v>1</x:v>
      </x:c>
      <x:c r="AA1943" s="19" t="str">
        <x:v>西日暮里</x:v>
      </x:c>
      <x:c r="AB1943" s="18" t="str">
        <x:v>transport-hub-review:5703fdbe-baa3-52c5-b6b8-c52d94dbcfbe</x:v>
      </x:c>
      <x:c r="AC1943" s="19"/>
    </x:row>
    <x:row r="1944" ht="33" customHeight="1">
      <x:c r="A1944" s="18" t="str">
        <x:v>西日暮里</x:v>
      </x:c>
      <x:c r="B1944" s="18" t="str">
        <x:v>東日本旅客鉄道</x:v>
      </x:c>
      <x:c r="C1944" s="18" t="str">
        <x:v>conventional_rail</x:v>
      </x:c>
      <x:c r="D1944" s="19" t="str">
        <x:v>T1</x:v>
      </x:c>
      <x:c r="E1944" s="20" t="n">
        <x:v>179212</x:v>
      </x:c>
      <x:c r="F1944" s="18" t="str">
        <x:v>persons/day</x:v>
      </x:c>
      <x:c r="G1944" s="18" t="str">
        <x:v>FY2024</x:v>
      </x:c>
      <x:c r="H1944" s="18" t="str">
        <x:v>否</x:v>
      </x:c>
      <x:c r="I1944" s="19" t="str">
        <x:v>DAILY_ENTRIES_EXITS</x:v>
      </x:c>
      <x:c r="J1944" s="19" t="str">
        <x:v>東北線</x:v>
      </x:c>
      <x:c r="K1944" s="18" t="str">
        <x:v>transport-node:1259da7b-3086-5833-a39e-053102f34e7b</x:v>
      </x:c>
      <x:c r="L1944" s="19" t="str">
        <x:v>组件待审核</x:v>
      </x:c>
      <x:c r="M1944" s="21" t="n">
        <x:v>35.732175</x:v>
      </x:c>
      <x:c r="N1944" s="21" t="n">
        <x:v>139.766715</x:v>
      </x:c>
      <x:c r="O1944" s="18" t="str">
        <x:v>003373</x:v>
      </x:c>
      <x:c r="P1944" s="18" t="str">
        <x:v>東北線</x:v>
      </x:c>
      <x:c r="Q1944" s="19" t="str">
        <x:v>S12_061_GE_10000
OFFICIAL_HUB_COMPONENT_REVIEW</x:v>
      </x:c>
      <x:c r="R1944" s="19" t="str">
        <x:v>S12_061 usage threshold</x:v>
      </x:c>
      <x:c r="S1944" s="19" t="str">
        <x:v>https://nlftp.mlit.go.jp/ksj/gml/datalist/KsjTmplt-S12-2024.html</x:v>
      </x:c>
      <x:c r="T1944" s="19" t="str">
        <x:v>https://nlftp.mlit.go.jp/ksj/gml/datalist/KsjTmplt-S12-2024.html
https://www.tokyometro.jp/station/nishi-nippori/index.html</x:v>
      </x:c>
      <x:c r="U1944" s="19" t="str">
        <x:v>station-component|西日暮里|東日本旅客鉄道|conventional_rail|35.7322|139.7667|</x:v>
      </x:c>
      <x:c r="V1944" s="19" t="str">
        <x:v>003368 / 003373 / 東北線</x:v>
      </x:c>
      <x:c r="W1944" s="18" t="str">
        <x:v>否</x:v>
      </x:c>
      <x:c r="X1944" s="18" t="str">
        <x:v>0785e932a32b3ec15e1a1345537ae145eafe1c07bf38d5c16c11ee2b391e7a28</x:v>
      </x:c>
      <x:c r="Y1944" s="20" t="n">
        <x:v>1</x:v>
      </x:c>
      <x:c r="Z1944" s="20" t="n">
        <x:v>1</x:v>
      </x:c>
      <x:c r="AA1944" s="19" t="str">
        <x:v>西日暮里</x:v>
      </x:c>
      <x:c r="AB1944" s="18" t="str">
        <x:v>transport-hub-review:5703fdbe-baa3-52c5-b6b8-c52d94dbcfbe</x:v>
      </x:c>
      <x:c r="AC1944" s="19"/>
    </x:row>
    <x:row r="1945" ht="28" customHeight="1">
      <x:c r="A1945" s="18" t="str">
        <x:v>西早稲田</x:v>
      </x:c>
      <x:c r="B1945" s="18" t="str">
        <x:v>東京地下鉄</x:v>
      </x:c>
      <x:c r="C1945" s="18" t="str">
        <x:v>metro</x:v>
      </x:c>
      <x:c r="D1945" s="19" t="str">
        <x:v>T2</x:v>
      </x:c>
      <x:c r="E1945" s="20" t="n">
        <x:v>37411</x:v>
      </x:c>
      <x:c r="F1945" s="18" t="str">
        <x:v>persons/day</x:v>
      </x:c>
      <x:c r="G1945" s="18" t="str">
        <x:v>FY2024</x:v>
      </x:c>
      <x:c r="H1945" s="18" t="str">
        <x:v>否</x:v>
      </x:c>
      <x:c r="I1945" s="19" t="str">
        <x:v>DAILY_ENTRIES_EXITS</x:v>
      </x:c>
      <x:c r="J1945" s="19" t="str">
        <x:v>13号線副都心線</x:v>
      </x:c>
      <x:c r="K1945" s="18" t="str">
        <x:v>transport-node:b0764665-6ba8-507a-9de8-3cc8701fc4dc</x:v>
      </x:c>
      <x:c r="L1945" s="19" t="str">
        <x:v>组件待审核</x:v>
      </x:c>
      <x:c r="M1945" s="21" t="n">
        <x:v>35.7079933</x:v>
      </x:c>
      <x:c r="N1945" s="21" t="n">
        <x:v>139.70916</x:v>
      </x:c>
      <x:c r="O1945" s="18" t="str">
        <x:v>003544</x:v>
      </x:c>
      <x:c r="P1945" s="18" t="str">
        <x:v>13号線副都心線</x:v>
      </x:c>
      <x:c r="Q1945" s="19" t="str">
        <x:v>S12_061_GE_10000</x:v>
      </x:c>
      <x:c r="R1945" s="19" t="str">
        <x:v>S12_061 usage threshold</x:v>
      </x:c>
      <x:c r="S1945" s="19" t="str">
        <x:v>https://nlftp.mlit.go.jp/ksj/gml/datalist/KsjTmplt-S12-2024.html</x:v>
      </x:c>
      <x:c r="T1945" s="19" t="str">
        <x:v>https://nlftp.mlit.go.jp/ksj/gml/datalist/KsjTmplt-S12-2024.html</x:v>
      </x:c>
      <x:c r="U1945" s="19" t="str">
        <x:v>station-component|西早稲田|東京地下鉄|metro|35.7080|139.7092|</x:v>
      </x:c>
      <x:c r="V1945" s="19" t="str">
        <x:v>003544 / 003544 / 13号線副都心線</x:v>
      </x:c>
      <x:c r="W1945" s="18" t="str">
        <x:v>否</x:v>
      </x:c>
      <x:c r="X1945" s="18" t="str">
        <x:v>0785e932a32b3ec15e1a1345537ae145eafe1c07bf38d5c16c11ee2b391e7a28</x:v>
      </x:c>
      <x:c r="Y1945" s="20" t="n">
        <x:v>1</x:v>
      </x:c>
      <x:c r="Z1945" s="20" t="n">
        <x:v>1</x:v>
      </x:c>
      <x:c r="AA1945" s="19"/>
      <x:c r="AB1945" s="18"/>
      <x:c r="AC1945" s="19"/>
    </x:row>
    <x:row r="1946" ht="28" customHeight="1">
      <x:c r="A1946" s="18" t="str">
        <x:v>西明石</x:v>
      </x:c>
      <x:c r="B1946" s="18" t="str">
        <x:v>西日本旅客鉄道</x:v>
      </x:c>
      <x:c r="C1946" s="18" t="str">
        <x:v>conventional_rail</x:v>
      </x:c>
      <x:c r="D1946" s="19" t="str">
        <x:v>T1</x:v>
      </x:c>
      <x:c r="E1946" s="20" t="n">
        <x:v>60176</x:v>
      </x:c>
      <x:c r="F1946" s="18" t="str">
        <x:v>persons/day</x:v>
      </x:c>
      <x:c r="G1946" s="18" t="str">
        <x:v>FY2024</x:v>
      </x:c>
      <x:c r="H1946" s="18" t="str">
        <x:v>否</x:v>
      </x:c>
      <x:c r="I1946" s="19" t="str">
        <x:v>DAILY_ENTRIES_EXITS</x:v>
      </x:c>
      <x:c r="J1946" s="19" t="str">
        <x:v>山陽線</x:v>
      </x:c>
      <x:c r="K1946" s="18" t="str">
        <x:v>transport-node:a8d923cd-c9d8-5115-bf1f-a88ad0c01439</x:v>
      </x:c>
      <x:c r="L1946" s="19" t="str">
        <x:v>组件待审核</x:v>
      </x:c>
      <x:c r="M1946" s="21" t="n">
        <x:v>34.66588</x:v>
      </x:c>
      <x:c r="N1946" s="21" t="n">
        <x:v>134.9601867</x:v>
      </x:c>
      <x:c r="O1946" s="18" t="str">
        <x:v>007328</x:v>
      </x:c>
      <x:c r="P1946" s="18" t="str">
        <x:v>山陽線</x:v>
      </x:c>
      <x:c r="Q1946" s="19" t="str">
        <x:v>S12_061_GE_10000</x:v>
      </x:c>
      <x:c r="R1946" s="19" t="str">
        <x:v>S12_061 usage threshold</x:v>
      </x:c>
      <x:c r="S1946" s="19" t="str">
        <x:v>https://nlftp.mlit.go.jp/ksj/gml/datalist/KsjTmplt-S12-2024.html</x:v>
      </x:c>
      <x:c r="T1946" s="19" t="str">
        <x:v>https://nlftp.mlit.go.jp/ksj/gml/datalist/KsjTmplt-S12-2024.html</x:v>
      </x:c>
      <x:c r="U1946" s="19" t="str">
        <x:v>station-component|西明石|西日本旅客鉄道|conventional_rail|34.6659|134.9602|</x:v>
      </x:c>
      <x:c r="V1946" s="19" t="str">
        <x:v>007307 / 007328 / 山陽線</x:v>
      </x:c>
      <x:c r="W1946" s="18" t="str">
        <x:v>否</x:v>
      </x:c>
      <x:c r="X1946" s="18" t="str">
        <x:v>0785e932a32b3ec15e1a1345537ae145eafe1c07bf38d5c16c11ee2b391e7a28</x:v>
      </x:c>
      <x:c r="Y1946" s="20" t="n">
        <x:v>1</x:v>
      </x:c>
      <x:c r="Z1946" s="20" t="n">
        <x:v>1</x:v>
      </x:c>
      <x:c r="AA1946" s="19"/>
      <x:c r="AB1946" s="18"/>
      <x:c r="AC1946" s="19"/>
    </x:row>
    <x:row r="1947" ht="33" customHeight="1">
      <x:c r="A1947" s="18" t="str">
        <x:v>西明石</x:v>
      </x:c>
      <x:c r="B1947" s="18" t="str">
        <x:v>西日本旅客鉄道</x:v>
      </x:c>
      <x:c r="C1947" s="18" t="str">
        <x:v>shinkansen</x:v>
      </x:c>
      <x:c r="D1947" s="19"/>
      <x:c r="E1947" s="20" t="n">
        <x:v>34740</x:v>
      </x:c>
      <x:c r="F1947" s="18" t="str">
        <x:v>boardings/day</x:v>
      </x:c>
      <x:c r="G1947" s="18" t="str">
        <x:v>FY2025</x:v>
      </x:c>
      <x:c r="H1947" s="18" t="str">
        <x:v>是</x:v>
      </x:c>
      <x:c r="I1947" s="19" t="str">
        <x:v>STATION_COMPLEX_PROXY</x:v>
      </x:c>
      <x:c r="J1947" s="19" t="str">
        <x:v>山陽新幹線</x:v>
      </x:c>
      <x:c r="K1947" s="18" t="str">
        <x:v>transport-node:d85e1430-bb41-58ff-a06a-cbadc413364d</x:v>
      </x:c>
      <x:c r="L1947" s="19" t="str">
        <x:v>组件待审核</x:v>
      </x:c>
      <x:c r="M1947" s="21" t="n">
        <x:v>34.66702</x:v>
      </x:c>
      <x:c r="N1947" s="21" t="n">
        <x:v>134.9605767</x:v>
      </x:c>
      <x:c r="O1947" s="18" t="str">
        <x:v>007307</x:v>
      </x:c>
      <x:c r="P1947" s="18" t="str">
        <x:v>山陽新幹線</x:v>
      </x:c>
      <x:c r="Q1947" s="19" t="str">
        <x:v>SHINKANSEN</x:v>
      </x:c>
      <x:c r="R1947" s="19" t="str">
        <x:v>Official fallback retained in published scope/unit; tier remains null pending metric/manual review.</x:v>
      </x:c>
      <x:c r="S1947" s="19" t="str">
        <x:v>https://www.westjr.co.jp/company/info/issue/data/pdf/data2026_11.pdf</x:v>
      </x:c>
      <x:c r="T1947" s="19" t="str">
        <x:v>https://nlftp.mlit.go.jp/ksj/gml/datalist/KsjTmplt-S12-2024.html
https://www.westjr.co.jp/company/info/issue/data/pdf/data2026_11.pdf</x:v>
      </x:c>
      <x:c r="U1947" s="19" t="str">
        <x:v>station-component|西明石|西日本旅客鉄道|shinkansen|34.6670|134.9606|</x:v>
      </x:c>
      <x:c r="V1947" s="19" t="str">
        <x:v>007307 / 007307 / 山陽新幹線</x:v>
      </x:c>
      <x:c r="W1947" s="18" t="str">
        <x:v>否</x:v>
      </x:c>
      <x:c r="X1947" s="18" t="str">
        <x:v>0785e932a32b3ec15e1a1345537ae145eafe1c07bf38d5c16c11ee2b391e7a28</x:v>
      </x:c>
      <x:c r="Y1947" s="20" t="n">
        <x:v>1</x:v>
      </x:c>
      <x:c r="Z1947" s="20" t="n">
        <x:v>2</x:v>
      </x:c>
      <x:c r="AA1947" s="19"/>
      <x:c r="AB1947" s="18"/>
      <x:c r="AC1947" s="19"/>
    </x:row>
    <x:row r="1948" ht="28" customHeight="1">
      <x:c r="A1948" s="18" t="str">
        <x:v>西春</x:v>
      </x:c>
      <x:c r="B1948" s="18" t="str">
        <x:v>名古屋鉄道</x:v>
      </x:c>
      <x:c r="C1948" s="18" t="str">
        <x:v>private_rail</x:v>
      </x:c>
      <x:c r="D1948" s="19" t="str">
        <x:v>T2</x:v>
      </x:c>
      <x:c r="E1948" s="20" t="n">
        <x:v>21828</x:v>
      </x:c>
      <x:c r="F1948" s="18" t="str">
        <x:v>persons/day</x:v>
      </x:c>
      <x:c r="G1948" s="18" t="str">
        <x:v>FY2024</x:v>
      </x:c>
      <x:c r="H1948" s="18" t="str">
        <x:v>否</x:v>
      </x:c>
      <x:c r="I1948" s="19" t="str">
        <x:v>DAILY_ENTRIES_EXITS</x:v>
      </x:c>
      <x:c r="J1948" s="19" t="str">
        <x:v>犬山線</x:v>
      </x:c>
      <x:c r="K1948" s="18" t="str">
        <x:v>transport-node:5021d801-e089-5691-bdcd-f354da897de9</x:v>
      </x:c>
      <x:c r="L1948" s="19" t="str">
        <x:v>组件待审核</x:v>
      </x:c>
      <x:c r="M1948" s="21" t="n">
        <x:v>35.2447833</x:v>
      </x:c>
      <x:c r="N1948" s="21" t="n">
        <x:v>136.8712933</x:v>
      </x:c>
      <x:c r="O1948" s="18" t="str">
        <x:v>005251</x:v>
      </x:c>
      <x:c r="P1948" s="18" t="str">
        <x:v>犬山線</x:v>
      </x:c>
      <x:c r="Q1948" s="19" t="str">
        <x:v>S12_061_GE_10000</x:v>
      </x:c>
      <x:c r="R1948" s="19" t="str">
        <x:v>S12_061 usage threshold</x:v>
      </x:c>
      <x:c r="S1948" s="19" t="str">
        <x:v>https://nlftp.mlit.go.jp/ksj/gml/datalist/KsjTmplt-S12-2024.html</x:v>
      </x:c>
      <x:c r="T1948" s="19" t="str">
        <x:v>https://nlftp.mlit.go.jp/ksj/gml/datalist/KsjTmplt-S12-2024.html</x:v>
      </x:c>
      <x:c r="U1948" s="19" t="str">
        <x:v>station-component|西春|名古屋鉄道|private_rail|35.2448|136.8713|</x:v>
      </x:c>
      <x:c r="V1948" s="19" t="str">
        <x:v>005251 / 005251 / 犬山線</x:v>
      </x:c>
      <x:c r="W1948" s="18" t="str">
        <x:v>否</x:v>
      </x:c>
      <x:c r="X1948" s="18" t="str">
        <x:v>0785e932a32b3ec15e1a1345537ae145eafe1c07bf38d5c16c11ee2b391e7a28</x:v>
      </x:c>
      <x:c r="Y1948" s="20" t="n">
        <x:v>1</x:v>
      </x:c>
      <x:c r="Z1948" s="20" t="n">
        <x:v>1</x:v>
      </x:c>
      <x:c r="AA1948" s="19"/>
      <x:c r="AB1948" s="18"/>
      <x:c r="AC1948" s="19"/>
    </x:row>
    <x:row r="1949" ht="28" customHeight="1">
      <x:c r="A1949" s="18" t="str">
        <x:v>西条</x:v>
      </x:c>
      <x:c r="B1949" s="18" t="str">
        <x:v>西日本旅客鉄道</x:v>
      </x:c>
      <x:c r="C1949" s="18" t="str">
        <x:v>conventional_rail</x:v>
      </x:c>
      <x:c r="D1949" s="19" t="str">
        <x:v>T2</x:v>
      </x:c>
      <x:c r="E1949" s="20" t="n">
        <x:v>18218</x:v>
      </x:c>
      <x:c r="F1949" s="18" t="str">
        <x:v>persons/day</x:v>
      </x:c>
      <x:c r="G1949" s="18" t="str">
        <x:v>FY2024</x:v>
      </x:c>
      <x:c r="H1949" s="18" t="str">
        <x:v>否</x:v>
      </x:c>
      <x:c r="I1949" s="19" t="str">
        <x:v>DAILY_ENTRIES_EXITS</x:v>
      </x:c>
      <x:c r="J1949" s="19" t="str">
        <x:v>山陽線</x:v>
      </x:c>
      <x:c r="K1949" s="18" t="str">
        <x:v>transport-node:20fc4dbe-21e9-5c30-8d3a-e80509cefc77</x:v>
      </x:c>
      <x:c r="L1949" s="19" t="str">
        <x:v>组件待审核</x:v>
      </x:c>
      <x:c r="M1949" s="21" t="n">
        <x:v>34.4313233</x:v>
      </x:c>
      <x:c r="N1949" s="21" t="n">
        <x:v>132.7436133</x:v>
      </x:c>
      <x:c r="O1949" s="18" t="str">
        <x:v>007965</x:v>
      </x:c>
      <x:c r="P1949" s="18" t="str">
        <x:v>山陽線</x:v>
      </x:c>
      <x:c r="Q1949" s="19" t="str">
        <x:v>S12_061_GE_10000</x:v>
      </x:c>
      <x:c r="R1949" s="19" t="str">
        <x:v>S12_061 usage threshold</x:v>
      </x:c>
      <x:c r="S1949" s="19" t="str">
        <x:v>https://nlftp.mlit.go.jp/ksj/gml/datalist/KsjTmplt-S12-2024.html</x:v>
      </x:c>
      <x:c r="T1949" s="19" t="str">
        <x:v>https://nlftp.mlit.go.jp/ksj/gml/datalist/KsjTmplt-S12-2024.html</x:v>
      </x:c>
      <x:c r="U1949" s="19" t="str">
        <x:v>station-component|西条|西日本旅客鉄道|conventional_rail|34.4313|132.7436|</x:v>
      </x:c>
      <x:c r="V1949" s="19" t="str">
        <x:v>007965 / 007965 / 山陽線</x:v>
      </x:c>
      <x:c r="W1949" s="18" t="str">
        <x:v>否</x:v>
      </x:c>
      <x:c r="X1949" s="18" t="str">
        <x:v>0785e932a32b3ec15e1a1345537ae145eafe1c07bf38d5c16c11ee2b391e7a28</x:v>
      </x:c>
      <x:c r="Y1949" s="20" t="n">
        <x:v>1</x:v>
      </x:c>
      <x:c r="Z1949" s="20" t="n">
        <x:v>1</x:v>
      </x:c>
      <x:c r="AA1949" s="19"/>
      <x:c r="AB1949" s="18"/>
      <x:c r="AC1949" s="19"/>
    </x:row>
    <x:row r="1950" ht="33" customHeight="1">
      <x:c r="A1950" s="18" t="str">
        <x:v>西桑名</x:v>
      </x:c>
      <x:c r="B1950" s="18" t="str">
        <x:v>三岐鉄道</x:v>
      </x:c>
      <x:c r="C1950" s="18" t="str">
        <x:v>private_rail</x:v>
      </x:c>
      <x:c r="D1950" s="19" t="str">
        <x:v>T3</x:v>
      </x:c>
      <x:c r="E1950" s="20" t="n">
        <x:v>4043</x:v>
      </x:c>
      <x:c r="F1950" s="18" t="str">
        <x:v>persons/day</x:v>
      </x:c>
      <x:c r="G1950" s="18" t="str">
        <x:v>FY2024</x:v>
      </x:c>
      <x:c r="H1950" s="18" t="str">
        <x:v>否</x:v>
      </x:c>
      <x:c r="I1950" s="19" t="str">
        <x:v>DAILY_ENTRIES_EXITS</x:v>
      </x:c>
      <x:c r="J1950" s="19" t="str">
        <x:v>北勢線</x:v>
      </x:c>
      <x:c r="K1950" s="18" t="str">
        <x:v>transport-node:bb1fc446-0f93-57a4-958f-c248a35c83e9</x:v>
      </x:c>
      <x:c r="L1950" s="19" t="str">
        <x:v>组件待审核</x:v>
      </x:c>
      <x:c r="M1950" s="21" t="n">
        <x:v>35.06539</x:v>
      </x:c>
      <x:c r="N1950" s="21" t="n">
        <x:v>136.683795</x:v>
      </x:c>
      <x:c r="O1950" s="18" t="str">
        <x:v>005785</x:v>
      </x:c>
      <x:c r="P1950" s="18" t="str">
        <x:v>北勢線</x:v>
      </x:c>
      <x:c r="Q1950" s="19" t="str">
        <x:v>OFFICIAL_HUB_COMPONENT_REVIEW</x:v>
      </x:c>
      <x:c r="R1950" s="19" t="str">
        <x:v>S12_061 usage threshold; low-flow inclusion justified by official Hub component review</x:v>
      </x:c>
      <x:c r="S1950" s="19" t="str">
        <x:v>https://nlftp.mlit.go.jp/ksj/gml/datalist/KsjTmplt-S12-2024.html</x:v>
      </x:c>
      <x:c r="T1950" s="19" t="str">
        <x:v>https://nlftp.mlit.go.jp/ksj/gml/datalist/KsjTmplt-S12-2024.html
https://www.kintetsu.co.jp/station/</x:v>
      </x:c>
      <x:c r="U1950" s="19" t="str">
        <x:v>station-component|西桑名|三岐鉄道|private_rail|35.0654|136.6838|</x:v>
      </x:c>
      <x:c r="V1950" s="19" t="str">
        <x:v>005785 / 005785 / 北勢線</x:v>
      </x:c>
      <x:c r="W1950" s="18" t="str">
        <x:v>否</x:v>
      </x:c>
      <x:c r="X1950" s="18" t="str">
        <x:v>0785e932a32b3ec15e1a1345537ae145eafe1c07bf38d5c16c11ee2b391e7a28</x:v>
      </x:c>
      <x:c r="Y1950" s="20" t="n">
        <x:v>1</x:v>
      </x:c>
      <x:c r="Z1950" s="20" t="n">
        <x:v>1</x:v>
      </x:c>
      <x:c r="AA1950" s="19" t="str">
        <x:v>桑名</x:v>
      </x:c>
      <x:c r="AB1950" s="18" t="str">
        <x:v>transport-hub-review:925281f4-8da1-5f82-817e-aa0319c08a80</x:v>
      </x:c>
      <x:c r="AC1950" s="19"/>
    </x:row>
    <x:row r="1951" ht="33" customHeight="1">
      <x:c r="A1951" s="18" t="str">
        <x:v>西梅田</x:v>
      </x:c>
      <x:c r="B1951" s="18" t="str">
        <x:v>大阪市高速電気軌道</x:v>
      </x:c>
      <x:c r="C1951" s="18" t="str">
        <x:v>metro</x:v>
      </x:c>
      <x:c r="D1951" s="19" t="str">
        <x:v>T1</x:v>
      </x:c>
      <x:c r="E1951" s="20" t="n">
        <x:v>108362</x:v>
      </x:c>
      <x:c r="F1951" s="18" t="str">
        <x:v>persons/day</x:v>
      </x:c>
      <x:c r="G1951" s="18" t="str">
        <x:v>FY2024</x:v>
      </x:c>
      <x:c r="H1951" s="18" t="str">
        <x:v>否</x:v>
      </x:c>
      <x:c r="I1951" s="19" t="str">
        <x:v>DAILY_ENTRIES_EXITS</x:v>
      </x:c>
      <x:c r="J1951" s="19" t="str">
        <x:v>3号線(四つ橋線)</x:v>
      </x:c>
      <x:c r="K1951" s="18" t="str">
        <x:v>transport-node:556b085d-b688-5d14-a37b-b323193bf161</x:v>
      </x:c>
      <x:c r="L1951" s="19" t="str">
        <x:v>组件待审核</x:v>
      </x:c>
      <x:c r="M1951" s="21" t="n">
        <x:v>34.69944</x:v>
      </x:c>
      <x:c r="N1951" s="21" t="n">
        <x:v>135.495645</x:v>
      </x:c>
      <x:c r="O1951" s="18" t="str">
        <x:v>007080</x:v>
      </x:c>
      <x:c r="P1951" s="18" t="str">
        <x:v>3号線(四つ橋線)</x:v>
      </x:c>
      <x:c r="Q1951" s="19" t="str">
        <x:v>S12_061_GE_10000
OFFICIAL_HUB_COMPONENT_REVIEW</x:v>
      </x:c>
      <x:c r="R1951" s="19" t="str">
        <x:v>S12_061 usage threshold</x:v>
      </x:c>
      <x:c r="S1951" s="19" t="str">
        <x:v>https://nlftp.mlit.go.jp/ksj/gml/datalist/KsjTmplt-S12-2024.html</x:v>
      </x:c>
      <x:c r="T1951" s="19" t="str">
        <x:v>https://nlftp.mlit.go.jp/ksj/gml/datalist/KsjTmplt-S12-2024.html
https://subway.osakametro.co.jp/station_guide/M/m16/index.php</x:v>
      </x:c>
      <x:c r="U1951" s="19" t="str">
        <x:v>station-component|西梅田|大阪市高速電気軌道|metro|34.6994|135.4956|</x:v>
      </x:c>
      <x:c r="V1951" s="19" t="str">
        <x:v>007080 / 007080 / 3号線(四つ橋線)</x:v>
      </x:c>
      <x:c r="W1951" s="18" t="str">
        <x:v>否</x:v>
      </x:c>
      <x:c r="X1951" s="18" t="str">
        <x:v>0785e932a32b3ec15e1a1345537ae145eafe1c07bf38d5c16c11ee2b391e7a28</x:v>
      </x:c>
      <x:c r="Y1951" s="20" t="n">
        <x:v>1</x:v>
      </x:c>
      <x:c r="Z1951" s="20" t="n">
        <x:v>1</x:v>
      </x:c>
      <x:c r="AA1951" s="19" t="str">
        <x:v>大阪・梅田</x:v>
      </x:c>
      <x:c r="AB1951" s="18" t="str">
        <x:v>transport-hub-review:c874f3c0-4c3d-5ef3-adac-91c1a118c3b7</x:v>
      </x:c>
      <x:c r="AC1951" s="19"/>
    </x:row>
    <x:row r="1952" ht="28" customHeight="1">
      <x:c r="A1952" s="18" t="str">
        <x:v>西横浜</x:v>
      </x:c>
      <x:c r="B1952" s="18" t="str">
        <x:v>相模鉄道</x:v>
      </x:c>
      <x:c r="C1952" s="18" t="str">
        <x:v>private_rail</x:v>
      </x:c>
      <x:c r="D1952" s="19" t="str">
        <x:v>T2</x:v>
      </x:c>
      <x:c r="E1952" s="20" t="n">
        <x:v>14957</x:v>
      </x:c>
      <x:c r="F1952" s="18" t="str">
        <x:v>persons/day</x:v>
      </x:c>
      <x:c r="G1952" s="18" t="str">
        <x:v>FY2024</x:v>
      </x:c>
      <x:c r="H1952" s="18" t="str">
        <x:v>否</x:v>
      </x:c>
      <x:c r="I1952" s="19" t="str">
        <x:v>DAILY_ENTRIES_EXITS</x:v>
      </x:c>
      <x:c r="J1952" s="19" t="str">
        <x:v>相鉄本線</x:v>
      </x:c>
      <x:c r="K1952" s="18" t="str">
        <x:v>transport-node:d78e3f15-102d-5cc5-bb69-3528c7522e91</x:v>
      </x:c>
      <x:c r="L1952" s="19" t="str">
        <x:v>组件待审核</x:v>
      </x:c>
      <x:c r="M1952" s="21" t="n">
        <x:v>35.453595</x:v>
      </x:c>
      <x:c r="N1952" s="21" t="n">
        <x:v>139.60897</x:v>
      </x:c>
      <x:c r="O1952" s="18" t="str">
        <x:v>004669</x:v>
      </x:c>
      <x:c r="P1952" s="18" t="str">
        <x:v>相鉄本線</x:v>
      </x:c>
      <x:c r="Q1952" s="19" t="str">
        <x:v>S12_061_GE_10000</x:v>
      </x:c>
      <x:c r="R1952" s="19" t="str">
        <x:v>S12_061 usage threshold</x:v>
      </x:c>
      <x:c r="S1952" s="19" t="str">
        <x:v>https://nlftp.mlit.go.jp/ksj/gml/datalist/KsjTmplt-S12-2024.html</x:v>
      </x:c>
      <x:c r="T1952" s="19" t="str">
        <x:v>https://nlftp.mlit.go.jp/ksj/gml/datalist/KsjTmplt-S12-2024.html</x:v>
      </x:c>
      <x:c r="U1952" s="19" t="str">
        <x:v>station-component|西横浜|相模鉄道|private_rail|35.4536|139.6090|</x:v>
      </x:c>
      <x:c r="V1952" s="19" t="str">
        <x:v>004669 / 004669 / 相鉄本線</x:v>
      </x:c>
      <x:c r="W1952" s="18" t="str">
        <x:v>否</x:v>
      </x:c>
      <x:c r="X1952" s="18" t="str">
        <x:v>0785e932a32b3ec15e1a1345537ae145eafe1c07bf38d5c16c11ee2b391e7a28</x:v>
      </x:c>
      <x:c r="Y1952" s="20" t="n">
        <x:v>1</x:v>
      </x:c>
      <x:c r="Z1952" s="20" t="n">
        <x:v>1</x:v>
      </x:c>
      <x:c r="AA1952" s="19"/>
      <x:c r="AB1952" s="18"/>
      <x:c r="AC1952" s="19"/>
    </x:row>
    <x:row r="1953" ht="28" customHeight="1">
      <x:c r="A1953" s="18" t="str">
        <x:v>西武新宿</x:v>
      </x:c>
      <x:c r="B1953" s="18" t="str">
        <x:v>西武鉄道</x:v>
      </x:c>
      <x:c r="C1953" s="18" t="str">
        <x:v>private_rail</x:v>
      </x:c>
      <x:c r="D1953" s="19" t="str">
        <x:v>T1</x:v>
      </x:c>
      <x:c r="E1953" s="20" t="n">
        <x:v>147390</x:v>
      </x:c>
      <x:c r="F1953" s="18" t="str">
        <x:v>persons/day</x:v>
      </x:c>
      <x:c r="G1953" s="18" t="str">
        <x:v>FY2024</x:v>
      </x:c>
      <x:c r="H1953" s="18" t="str">
        <x:v>否</x:v>
      </x:c>
      <x:c r="I1953" s="19" t="str">
        <x:v>DAILY_ENTRIES_EXITS</x:v>
      </x:c>
      <x:c r="J1953" s="19" t="str">
        <x:v>新宿線</x:v>
      </x:c>
      <x:c r="K1953" s="18" t="str">
        <x:v>transport-node:26c5d3dc-4a78-5f81-8d79-3d5546533fc3</x:v>
      </x:c>
      <x:c r="L1953" s="19" t="str">
        <x:v>组件待审核</x:v>
      </x:c>
      <x:c r="M1953" s="21" t="n">
        <x:v>35.69613</x:v>
      </x:c>
      <x:c r="N1953" s="21" t="n">
        <x:v>139.7000667</x:v>
      </x:c>
      <x:c r="O1953" s="18" t="str">
        <x:v>003648</x:v>
      </x:c>
      <x:c r="P1953" s="18" t="str">
        <x:v>新宿線</x:v>
      </x:c>
      <x:c r="Q1953" s="19" t="str">
        <x:v>S12_061_GE_10000</x:v>
      </x:c>
      <x:c r="R1953" s="19" t="str">
        <x:v>S12_061 usage threshold</x:v>
      </x:c>
      <x:c r="S1953" s="19" t="str">
        <x:v>https://nlftp.mlit.go.jp/ksj/gml/datalist/KsjTmplt-S12-2024.html</x:v>
      </x:c>
      <x:c r="T1953" s="19" t="str">
        <x:v>https://nlftp.mlit.go.jp/ksj/gml/datalist/KsjTmplt-S12-2024.html</x:v>
      </x:c>
      <x:c r="U1953" s="19" t="str">
        <x:v>station-component|西武新宿|西武鉄道|private_rail|35.6961|139.7001|</x:v>
      </x:c>
      <x:c r="V1953" s="19" t="str">
        <x:v>003648 / 003648 / 新宿線</x:v>
      </x:c>
      <x:c r="W1953" s="18" t="str">
        <x:v>否</x:v>
      </x:c>
      <x:c r="X1953" s="18" t="str">
        <x:v>0785e932a32b3ec15e1a1345537ae145eafe1c07bf38d5c16c11ee2b391e7a28</x:v>
      </x:c>
      <x:c r="Y1953" s="20" t="n">
        <x:v>1</x:v>
      </x:c>
      <x:c r="Z1953" s="20" t="n">
        <x:v>1</x:v>
      </x:c>
      <x:c r="AA1953" s="19"/>
      <x:c r="AB1953" s="18"/>
      <x:c r="AC1953" s="19"/>
    </x:row>
    <x:row r="1954" ht="28" customHeight="1">
      <x:c r="A1954" s="18" t="str">
        <x:v>西武柳沢</x:v>
      </x:c>
      <x:c r="B1954" s="18" t="str">
        <x:v>西武鉄道</x:v>
      </x:c>
      <x:c r="C1954" s="18" t="str">
        <x:v>private_rail</x:v>
      </x:c>
      <x:c r="D1954" s="19" t="str">
        <x:v>T2</x:v>
      </x:c>
      <x:c r="E1954" s="20" t="n">
        <x:v>15973</x:v>
      </x:c>
      <x:c r="F1954" s="18" t="str">
        <x:v>persons/day</x:v>
      </x:c>
      <x:c r="G1954" s="18" t="str">
        <x:v>FY2024</x:v>
      </x:c>
      <x:c r="H1954" s="18" t="str">
        <x:v>否</x:v>
      </x:c>
      <x:c r="I1954" s="19" t="str">
        <x:v>DAILY_ENTRIES_EXITS</x:v>
      </x:c>
      <x:c r="J1954" s="19" t="str">
        <x:v>新宿線</x:v>
      </x:c>
      <x:c r="K1954" s="18" t="str">
        <x:v>transport-node:37c3828f-7c73-5d69-837e-b2b21919290a</x:v>
      </x:c>
      <x:c r="L1954" s="19" t="str">
        <x:v>组件待审核</x:v>
      </x:c>
      <x:c r="M1954" s="21" t="n">
        <x:v>35.72858</x:v>
      </x:c>
      <x:c r="N1954" s="21" t="n">
        <x:v>139.5524</x:v>
      </x:c>
      <x:c r="O1954" s="18" t="str">
        <x:v>003409</x:v>
      </x:c>
      <x:c r="P1954" s="18" t="str">
        <x:v>新宿線</x:v>
      </x:c>
      <x:c r="Q1954" s="19" t="str">
        <x:v>S12_061_GE_10000</x:v>
      </x:c>
      <x:c r="R1954" s="19" t="str">
        <x:v>S12_061 usage threshold</x:v>
      </x:c>
      <x:c r="S1954" s="19" t="str">
        <x:v>https://nlftp.mlit.go.jp/ksj/gml/datalist/KsjTmplt-S12-2024.html</x:v>
      </x:c>
      <x:c r="T1954" s="19" t="str">
        <x:v>https://nlftp.mlit.go.jp/ksj/gml/datalist/KsjTmplt-S12-2024.html</x:v>
      </x:c>
      <x:c r="U1954" s="19" t="str">
        <x:v>station-component|西武柳沢|西武鉄道|private_rail|35.7286|139.5524|</x:v>
      </x:c>
      <x:c r="V1954" s="19" t="str">
        <x:v>003409 / 003409 / 新宿線</x:v>
      </x:c>
      <x:c r="W1954" s="18" t="str">
        <x:v>否</x:v>
      </x:c>
      <x:c r="X1954" s="18" t="str">
        <x:v>0785e932a32b3ec15e1a1345537ae145eafe1c07bf38d5c16c11ee2b391e7a28</x:v>
      </x:c>
      <x:c r="Y1954" s="20" t="n">
        <x:v>1</x:v>
      </x:c>
      <x:c r="Z1954" s="20" t="n">
        <x:v>1</x:v>
      </x:c>
      <x:c r="AA1954" s="19"/>
      <x:c r="AB1954" s="18"/>
      <x:c r="AC1954" s="19"/>
    </x:row>
    <x:row r="1955" ht="28" customHeight="1">
      <x:c r="A1955" s="18" t="str">
        <x:v>西武球場前</x:v>
      </x:c>
      <x:c r="B1955" s="18" t="str">
        <x:v>西武鉄道</x:v>
      </x:c>
      <x:c r="C1955" s="18" t="str">
        <x:v>fixed_guideway</x:v>
      </x:c>
      <x:c r="D1955" s="19" t="str">
        <x:v>T2</x:v>
      </x:c>
      <x:c r="E1955" s="20" t="n">
        <x:v>12883</x:v>
      </x:c>
      <x:c r="F1955" s="18" t="str">
        <x:v>persons/day</x:v>
      </x:c>
      <x:c r="G1955" s="18" t="str">
        <x:v>FY2024</x:v>
      </x:c>
      <x:c r="H1955" s="18" t="str">
        <x:v>否</x:v>
      </x:c>
      <x:c r="I1955" s="19" t="str">
        <x:v>DAILY_ENTRIES_EXITS</x:v>
      </x:c>
      <x:c r="J1955" s="19" t="str">
        <x:v>山口線</x:v>
      </x:c>
      <x:c r="K1955" s="18" t="str">
        <x:v>transport-node:7cea441b-bf1b-5f7c-ad4d-890e7977231c</x:v>
      </x:c>
      <x:c r="L1955" s="19" t="str">
        <x:v>组件待审核</x:v>
      </x:c>
      <x:c r="M1955" s="21" t="n">
        <x:v>35.77078</x:v>
      </x:c>
      <x:c r="N1955" s="21" t="n">
        <x:v>139.420235</x:v>
      </x:c>
      <x:c r="O1955" s="18" t="str">
        <x:v>003182</x:v>
      </x:c>
      <x:c r="P1955" s="18" t="str">
        <x:v>山口線</x:v>
      </x:c>
      <x:c r="Q1955" s="19" t="str">
        <x:v>S12_061_GE_10000</x:v>
      </x:c>
      <x:c r="R1955" s="19" t="str">
        <x:v>S12_061 usage threshold</x:v>
      </x:c>
      <x:c r="S1955" s="19" t="str">
        <x:v>https://nlftp.mlit.go.jp/ksj/gml/datalist/KsjTmplt-S12-2024.html</x:v>
      </x:c>
      <x:c r="T1955" s="19" t="str">
        <x:v>https://nlftp.mlit.go.jp/ksj/gml/datalist/KsjTmplt-S12-2024.html</x:v>
      </x:c>
      <x:c r="U1955" s="19" t="str">
        <x:v>station-component|西武球場前|西武鉄道|fixed_guideway|35.7708|139.4202|</x:v>
      </x:c>
      <x:c r="V1955" s="19" t="str">
        <x:v>003181 / 003182 / 山口線</x:v>
      </x:c>
      <x:c r="W1955" s="18" t="str">
        <x:v>否</x:v>
      </x:c>
      <x:c r="X1955" s="18" t="str">
        <x:v>0785e932a32b3ec15e1a1345537ae145eafe1c07bf38d5c16c11ee2b391e7a28</x:v>
      </x:c>
      <x:c r="Y1955" s="20" t="n">
        <x:v>1</x:v>
      </x:c>
      <x:c r="Z1955" s="20" t="n">
        <x:v>1</x:v>
      </x:c>
      <x:c r="AA1955" s="19"/>
      <x:c r="AB1955" s="18"/>
      <x:c r="AC1955" s="19"/>
    </x:row>
    <x:row r="1956" ht="28" customHeight="1">
      <x:c r="A1956" s="18" t="str">
        <x:v>西武立川</x:v>
      </x:c>
      <x:c r="B1956" s="18" t="str">
        <x:v>西武鉄道</x:v>
      </x:c>
      <x:c r="C1956" s="18" t="str">
        <x:v>private_rail</x:v>
      </x:c>
      <x:c r="D1956" s="19" t="str">
        <x:v>T2</x:v>
      </x:c>
      <x:c r="E1956" s="20" t="n">
        <x:v>12004</x:v>
      </x:c>
      <x:c r="F1956" s="18" t="str">
        <x:v>persons/day</x:v>
      </x:c>
      <x:c r="G1956" s="18" t="str">
        <x:v>FY2024</x:v>
      </x:c>
      <x:c r="H1956" s="18" t="str">
        <x:v>否</x:v>
      </x:c>
      <x:c r="I1956" s="19" t="str">
        <x:v>DAILY_ENTRIES_EXITS</x:v>
      </x:c>
      <x:c r="J1956" s="19" t="str">
        <x:v>拝島線</x:v>
      </x:c>
      <x:c r="K1956" s="18" t="str">
        <x:v>transport-node:3d4c51a9-7e06-5f19-a2ce-675007c0e56d</x:v>
      </x:c>
      <x:c r="L1956" s="19" t="str">
        <x:v>组件待审核</x:v>
      </x:c>
      <x:c r="M1956" s="21" t="n">
        <x:v>35.72618</x:v>
      </x:c>
      <x:c r="N1956" s="21" t="n">
        <x:v>139.369655</x:v>
      </x:c>
      <x:c r="O1956" s="18" t="str">
        <x:v>003428</x:v>
      </x:c>
      <x:c r="P1956" s="18" t="str">
        <x:v>拝島線</x:v>
      </x:c>
      <x:c r="Q1956" s="19" t="str">
        <x:v>S12_061_GE_10000</x:v>
      </x:c>
      <x:c r="R1956" s="19" t="str">
        <x:v>S12_061 usage threshold</x:v>
      </x:c>
      <x:c r="S1956" s="19" t="str">
        <x:v>https://nlftp.mlit.go.jp/ksj/gml/datalist/KsjTmplt-S12-2024.html</x:v>
      </x:c>
      <x:c r="T1956" s="19" t="str">
        <x:v>https://nlftp.mlit.go.jp/ksj/gml/datalist/KsjTmplt-S12-2024.html</x:v>
      </x:c>
      <x:c r="U1956" s="19" t="str">
        <x:v>station-component|西武立川|西武鉄道|private_rail|35.7262|139.3697|</x:v>
      </x:c>
      <x:c r="V1956" s="19" t="str">
        <x:v>003428 / 003428 / 拝島線</x:v>
      </x:c>
      <x:c r="W1956" s="18" t="str">
        <x:v>否</x:v>
      </x:c>
      <x:c r="X1956" s="18" t="str">
        <x:v>0785e932a32b3ec15e1a1345537ae145eafe1c07bf38d5c16c11ee2b391e7a28</x:v>
      </x:c>
      <x:c r="Y1956" s="20" t="n">
        <x:v>1</x:v>
      </x:c>
      <x:c r="Z1956" s="20" t="n">
        <x:v>1</x:v>
      </x:c>
      <x:c r="AA1956" s="19"/>
      <x:c r="AB1956" s="18"/>
      <x:c r="AC1956" s="19"/>
    </x:row>
    <x:row r="1957" ht="28" customHeight="1">
      <x:c r="A1957" s="18" t="str">
        <x:v>西永福</x:v>
      </x:c>
      <x:c r="B1957" s="18" t="str">
        <x:v>京王電鉄</x:v>
      </x:c>
      <x:c r="C1957" s="18" t="str">
        <x:v>private_rail</x:v>
      </x:c>
      <x:c r="D1957" s="19" t="str">
        <x:v>T2</x:v>
      </x:c>
      <x:c r="E1957" s="20" t="n">
        <x:v>17596</x:v>
      </x:c>
      <x:c r="F1957" s="18" t="str">
        <x:v>persons/day</x:v>
      </x:c>
      <x:c r="G1957" s="18" t="str">
        <x:v>FY2024</x:v>
      </x:c>
      <x:c r="H1957" s="18" t="str">
        <x:v>否</x:v>
      </x:c>
      <x:c r="I1957" s="19" t="str">
        <x:v>DAILY_ENTRIES_EXITS</x:v>
      </x:c>
      <x:c r="J1957" s="19" t="str">
        <x:v>井の頭線</x:v>
      </x:c>
      <x:c r="K1957" s="18" t="str">
        <x:v>transport-node:308854f5-de53-5e74-99ce-39cb6b4c4fdb</x:v>
      </x:c>
      <x:c r="L1957" s="19" t="str">
        <x:v>组件待审核</x:v>
      </x:c>
      <x:c r="M1957" s="21" t="n">
        <x:v>35.678875</x:v>
      </x:c>
      <x:c r="N1957" s="21" t="n">
        <x:v>139.635155</x:v>
      </x:c>
      <x:c r="O1957" s="18" t="str">
        <x:v>003777</x:v>
      </x:c>
      <x:c r="P1957" s="18" t="str">
        <x:v>井の頭線</x:v>
      </x:c>
      <x:c r="Q1957" s="19" t="str">
        <x:v>S12_061_GE_10000</x:v>
      </x:c>
      <x:c r="R1957" s="19" t="str">
        <x:v>S12_061 usage threshold</x:v>
      </x:c>
      <x:c r="S1957" s="19" t="str">
        <x:v>https://nlftp.mlit.go.jp/ksj/gml/datalist/KsjTmplt-S12-2024.html</x:v>
      </x:c>
      <x:c r="T1957" s="19" t="str">
        <x:v>https://nlftp.mlit.go.jp/ksj/gml/datalist/KsjTmplt-S12-2024.html</x:v>
      </x:c>
      <x:c r="U1957" s="19" t="str">
        <x:v>station-component|西永福|京王電鉄|private_rail|35.6789|139.6352|</x:v>
      </x:c>
      <x:c r="V1957" s="19" t="str">
        <x:v>003777 / 003777 / 井の頭線</x:v>
      </x:c>
      <x:c r="W1957" s="18" t="str">
        <x:v>否</x:v>
      </x:c>
      <x:c r="X1957" s="18" t="str">
        <x:v>0785e932a32b3ec15e1a1345537ae145eafe1c07bf38d5c16c11ee2b391e7a28</x:v>
      </x:c>
      <x:c r="Y1957" s="20" t="n">
        <x:v>1</x:v>
      </x:c>
      <x:c r="Z1957" s="20" t="n">
        <x:v>1</x:v>
      </x:c>
      <x:c r="AA1957" s="19"/>
      <x:c r="AB1957" s="18"/>
      <x:c r="AC1957" s="19"/>
    </x:row>
    <x:row r="1958" ht="28" customHeight="1">
      <x:c r="A1958" s="18" t="str">
        <x:v>西浦和</x:v>
      </x:c>
      <x:c r="B1958" s="18" t="str">
        <x:v>東日本旅客鉄道</x:v>
      </x:c>
      <x:c r="C1958" s="18" t="str">
        <x:v>conventional_rail</x:v>
      </x:c>
      <x:c r="D1958" s="19" t="str">
        <x:v>T2</x:v>
      </x:c>
      <x:c r="E1958" s="20" t="n">
        <x:v>27786</x:v>
      </x:c>
      <x:c r="F1958" s="18" t="str">
        <x:v>persons/day</x:v>
      </x:c>
      <x:c r="G1958" s="18" t="str">
        <x:v>FY2024</x:v>
      </x:c>
      <x:c r="H1958" s="18" t="str">
        <x:v>否</x:v>
      </x:c>
      <x:c r="I1958" s="19" t="str">
        <x:v>DAILY_ENTRIES_EXITS</x:v>
      </x:c>
      <x:c r="J1958" s="19" t="str">
        <x:v>武蔵野線</x:v>
      </x:c>
      <x:c r="K1958" s="18" t="str">
        <x:v>transport-node:2e28fd2c-62a0-56ec-aacd-00f660544155</x:v>
      </x:c>
      <x:c r="L1958" s="19" t="str">
        <x:v>组件待审核</x:v>
      </x:c>
      <x:c r="M1958" s="21" t="n">
        <x:v>35.844185</x:v>
      </x:c>
      <x:c r="N1958" s="21" t="n">
        <x:v>139.627765</x:v>
      </x:c>
      <x:c r="O1958" s="18" t="str">
        <x:v>003014</x:v>
      </x:c>
      <x:c r="P1958" s="18" t="str">
        <x:v>武蔵野線</x:v>
      </x:c>
      <x:c r="Q1958" s="19" t="str">
        <x:v>S12_061_GE_10000</x:v>
      </x:c>
      <x:c r="R1958" s="19" t="str">
        <x:v>S12_061 usage threshold</x:v>
      </x:c>
      <x:c r="S1958" s="19" t="str">
        <x:v>https://nlftp.mlit.go.jp/ksj/gml/datalist/KsjTmplt-S12-2024.html</x:v>
      </x:c>
      <x:c r="T1958" s="19" t="str">
        <x:v>https://nlftp.mlit.go.jp/ksj/gml/datalist/KsjTmplt-S12-2024.html</x:v>
      </x:c>
      <x:c r="U1958" s="19" t="str">
        <x:v>station-component|西浦和|東日本旅客鉄道|conventional_rail|35.8442|139.6278|</x:v>
      </x:c>
      <x:c r="V1958" s="19" t="str">
        <x:v>003014 / 003014 / 武蔵野線</x:v>
      </x:c>
      <x:c r="W1958" s="18" t="str">
        <x:v>否</x:v>
      </x:c>
      <x:c r="X1958" s="18" t="str">
        <x:v>0785e932a32b3ec15e1a1345537ae145eafe1c07bf38d5c16c11ee2b391e7a28</x:v>
      </x:c>
      <x:c r="Y1958" s="20" t="n">
        <x:v>1</x:v>
      </x:c>
      <x:c r="Z1958" s="20" t="n">
        <x:v>1</x:v>
      </x:c>
      <x:c r="AA1958" s="19"/>
      <x:c r="AB1958" s="18"/>
      <x:c r="AC1958" s="19"/>
    </x:row>
    <x:row r="1959" ht="28" customHeight="1">
      <x:c r="A1959" s="18" t="str">
        <x:v>西焼津</x:v>
      </x:c>
      <x:c r="B1959" s="18" t="str">
        <x:v>東海旅客鉄道</x:v>
      </x:c>
      <x:c r="C1959" s="18" t="str">
        <x:v>conventional_rail</x:v>
      </x:c>
      <x:c r="D1959" s="19" t="str">
        <x:v>T2</x:v>
      </x:c>
      <x:c r="E1959" s="20" t="n">
        <x:v>10708</x:v>
      </x:c>
      <x:c r="F1959" s="18" t="str">
        <x:v>persons/day</x:v>
      </x:c>
      <x:c r="G1959" s="18" t="str">
        <x:v>FY2024</x:v>
      </x:c>
      <x:c r="H1959" s="18" t="str">
        <x:v>否</x:v>
      </x:c>
      <x:c r="I1959" s="19" t="str">
        <x:v>DAILY_ENTRIES_EXITS</x:v>
      </x:c>
      <x:c r="J1959" s="19" t="str">
        <x:v>東海道線</x:v>
      </x:c>
      <x:c r="K1959" s="18" t="str">
        <x:v>transport-node:d8b01a1f-b86c-51d8-80f2-539c11b4dc0d</x:v>
      </x:c>
      <x:c r="L1959" s="19" t="str">
        <x:v>组件待审核</x:v>
      </x:c>
      <x:c r="M1959" s="21" t="n">
        <x:v>34.859805</x:v>
      </x:c>
      <x:c r="N1959" s="21" t="n">
        <x:v>138.285595</x:v>
      </x:c>
      <x:c r="O1959" s="18" t="str">
        <x:v>006410</x:v>
      </x:c>
      <x:c r="P1959" s="18" t="str">
        <x:v>東海道線</x:v>
      </x:c>
      <x:c r="Q1959" s="19" t="str">
        <x:v>S12_061_GE_10000</x:v>
      </x:c>
      <x:c r="R1959" s="19" t="str">
        <x:v>S12_061 usage threshold</x:v>
      </x:c>
      <x:c r="S1959" s="19" t="str">
        <x:v>https://nlftp.mlit.go.jp/ksj/gml/datalist/KsjTmplt-S12-2024.html</x:v>
      </x:c>
      <x:c r="T1959" s="19" t="str">
        <x:v>https://nlftp.mlit.go.jp/ksj/gml/datalist/KsjTmplt-S12-2024.html</x:v>
      </x:c>
      <x:c r="U1959" s="19" t="str">
        <x:v>station-component|西焼津|東海旅客鉄道|conventional_rail|34.8598|138.2856|</x:v>
      </x:c>
      <x:c r="V1959" s="19" t="str">
        <x:v>006410 / 006410 / 東海道線</x:v>
      </x:c>
      <x:c r="W1959" s="18" t="str">
        <x:v>否</x:v>
      </x:c>
      <x:c r="X1959" s="18" t="str">
        <x:v>0785e932a32b3ec15e1a1345537ae145eafe1c07bf38d5c16c11ee2b391e7a28</x:v>
      </x:c>
      <x:c r="Y1959" s="20" t="n">
        <x:v>1</x:v>
      </x:c>
      <x:c r="Z1959" s="20" t="n">
        <x:v>1</x:v>
      </x:c>
      <x:c r="AA1959" s="19"/>
      <x:c r="AB1959" s="18"/>
      <x:c r="AC1959" s="19"/>
    </x:row>
    <x:row r="1960" ht="28" customHeight="1">
      <x:c r="A1960" s="18" t="str">
        <x:v>西田辺</x:v>
      </x:c>
      <x:c r="B1960" s="18" t="str">
        <x:v>大阪市高速電気軌道</x:v>
      </x:c>
      <x:c r="C1960" s="18" t="str">
        <x:v>metro</x:v>
      </x:c>
      <x:c r="D1960" s="19" t="str">
        <x:v>T2</x:v>
      </x:c>
      <x:c r="E1960" s="20" t="n">
        <x:v>23305</x:v>
      </x:c>
      <x:c r="F1960" s="18" t="str">
        <x:v>persons/day</x:v>
      </x:c>
      <x:c r="G1960" s="18" t="str">
        <x:v>FY2024</x:v>
      </x:c>
      <x:c r="H1960" s="18" t="str">
        <x:v>否</x:v>
      </x:c>
      <x:c r="I1960" s="19" t="str">
        <x:v>DAILY_ENTRIES_EXITS</x:v>
      </x:c>
      <x:c r="J1960" s="19" t="str">
        <x:v>1号線(御堂筋線)</x:v>
      </x:c>
      <x:c r="K1960" s="18" t="str">
        <x:v>transport-node:f75c3a55-5c7a-5e19-97f7-07ebf5eda0a0</x:v>
      </x:c>
      <x:c r="L1960" s="19" t="str">
        <x:v>组件待审核</x:v>
      </x:c>
      <x:c r="M1960" s="21" t="n">
        <x:v>34.62165</x:v>
      </x:c>
      <x:c r="N1960" s="21" t="n">
        <x:v>135.515175</x:v>
      </x:c>
      <x:c r="O1960" s="18" t="str">
        <x:v>007540</x:v>
      </x:c>
      <x:c r="P1960" s="18" t="str">
        <x:v>1号線(御堂筋線)</x:v>
      </x:c>
      <x:c r="Q1960" s="19" t="str">
        <x:v>S12_061_GE_10000</x:v>
      </x:c>
      <x:c r="R1960" s="19" t="str">
        <x:v>S12_061 usage threshold</x:v>
      </x:c>
      <x:c r="S1960" s="19" t="str">
        <x:v>https://nlftp.mlit.go.jp/ksj/gml/datalist/KsjTmplt-S12-2024.html</x:v>
      </x:c>
      <x:c r="T1960" s="19" t="str">
        <x:v>https://nlftp.mlit.go.jp/ksj/gml/datalist/KsjTmplt-S12-2024.html</x:v>
      </x:c>
      <x:c r="U1960" s="19" t="str">
        <x:v>station-component|西田辺|大阪市高速電気軌道|metro|34.6217|135.5152|</x:v>
      </x:c>
      <x:c r="V1960" s="19" t="str">
        <x:v>007540 / 007540 / 1号線(御堂筋線)</x:v>
      </x:c>
      <x:c r="W1960" s="18" t="str">
        <x:v>否</x:v>
      </x:c>
      <x:c r="X1960" s="18" t="str">
        <x:v>0785e932a32b3ec15e1a1345537ae145eafe1c07bf38d5c16c11ee2b391e7a28</x:v>
      </x:c>
      <x:c r="Y1960" s="20" t="n">
        <x:v>1</x:v>
      </x:c>
      <x:c r="Z1960" s="20" t="n">
        <x:v>1</x:v>
      </x:c>
      <x:c r="AA1960" s="19"/>
      <x:c r="AB1960" s="18"/>
      <x:c r="AC1960" s="19"/>
    </x:row>
    <x:row r="1961" ht="28" customHeight="1">
      <x:c r="A1961" s="18" t="str">
        <x:v>西白井</x:v>
      </x:c>
      <x:c r="B1961" s="18" t="str">
        <x:v>北総鉄道</x:v>
      </x:c>
      <x:c r="C1961" s="18" t="str">
        <x:v>private_rail</x:v>
      </x:c>
      <x:c r="D1961" s="19" t="str">
        <x:v>T2</x:v>
      </x:c>
      <x:c r="E1961" s="20" t="n">
        <x:v>13219</x:v>
      </x:c>
      <x:c r="F1961" s="18" t="str">
        <x:v>persons/day</x:v>
      </x:c>
      <x:c r="G1961" s="18" t="str">
        <x:v>FY2024</x:v>
      </x:c>
      <x:c r="H1961" s="18" t="str">
        <x:v>否</x:v>
      </x:c>
      <x:c r="I1961" s="19" t="str">
        <x:v>DAILY_ENTRIES_EXITS</x:v>
      </x:c>
      <x:c r="J1961" s="19" t="str">
        <x:v>北総線</x:v>
      </x:c>
      <x:c r="K1961" s="18" t="str">
        <x:v>transport-node:38c6df89-6464-5563-83a7-c5038fdcb723</x:v>
      </x:c>
      <x:c r="L1961" s="19" t="str">
        <x:v>组件待审核</x:v>
      </x:c>
      <x:c r="M1961" s="21" t="n">
        <x:v>35.78444</x:v>
      </x:c>
      <x:c r="N1961" s="21" t="n">
        <x:v>140.031745</x:v>
      </x:c>
      <x:c r="O1961" s="18" t="str">
        <x:v>003137</x:v>
      </x:c>
      <x:c r="P1961" s="18" t="str">
        <x:v>北総線</x:v>
      </x:c>
      <x:c r="Q1961" s="19" t="str">
        <x:v>S12_061_GE_10000</x:v>
      </x:c>
      <x:c r="R1961" s="19" t="str">
        <x:v>S12_061 usage threshold</x:v>
      </x:c>
      <x:c r="S1961" s="19" t="str">
        <x:v>https://nlftp.mlit.go.jp/ksj/gml/datalist/KsjTmplt-S12-2024.html</x:v>
      </x:c>
      <x:c r="T1961" s="19" t="str">
        <x:v>https://nlftp.mlit.go.jp/ksj/gml/datalist/KsjTmplt-S12-2024.html</x:v>
      </x:c>
      <x:c r="U1961" s="19" t="str">
        <x:v>station-component|西白井|北総鉄道|private_rail|35.7844|140.0317|</x:v>
      </x:c>
      <x:c r="V1961" s="19" t="str">
        <x:v>003137 / 003137 / 北総線</x:v>
      </x:c>
      <x:c r="W1961" s="18" t="str">
        <x:v>否</x:v>
      </x:c>
      <x:c r="X1961" s="18" t="str">
        <x:v>0785e932a32b3ec15e1a1345537ae145eafe1c07bf38d5c16c11ee2b391e7a28</x:v>
      </x:c>
      <x:c r="Y1961" s="20" t="n">
        <x:v>1</x:v>
      </x:c>
      <x:c r="Z1961" s="20" t="n">
        <x:v>1</x:v>
      </x:c>
      <x:c r="AA1961" s="19"/>
      <x:c r="AB1961" s="18"/>
      <x:c r="AC1961" s="19"/>
    </x:row>
    <x:row r="1962" ht="28" customHeight="1">
      <x:c r="A1962" s="18" t="str">
        <x:v>西神中央</x:v>
      </x:c>
      <x:c r="B1962" s="18" t="str">
        <x:v>神戸市</x:v>
      </x:c>
      <x:c r="C1962" s="18" t="str">
        <x:v>metro</x:v>
      </x:c>
      <x:c r="D1962" s="19" t="str">
        <x:v>T2</x:v>
      </x:c>
      <x:c r="E1962" s="20" t="n">
        <x:v>33687</x:v>
      </x:c>
      <x:c r="F1962" s="18" t="str">
        <x:v>persons/day</x:v>
      </x:c>
      <x:c r="G1962" s="18" t="str">
        <x:v>FY2024</x:v>
      </x:c>
      <x:c r="H1962" s="18" t="str">
        <x:v>否</x:v>
      </x:c>
      <x:c r="I1962" s="19" t="str">
        <x:v>DAILY_ENTRIES_EXITS</x:v>
      </x:c>
      <x:c r="J1962" s="19" t="str">
        <x:v>西神延伸線</x:v>
      </x:c>
      <x:c r="K1962" s="18" t="str">
        <x:v>transport-node:f1075143-0b3a-5b1f-ae06-4dfca8c966bd</x:v>
      </x:c>
      <x:c r="L1962" s="19" t="str">
        <x:v>组件待审核</x:v>
      </x:c>
      <x:c r="M1962" s="21" t="n">
        <x:v>34.719985</x:v>
      </x:c>
      <x:c r="N1962" s="21" t="n">
        <x:v>135.01716</x:v>
      </x:c>
      <x:c r="O1962" s="18" t="str">
        <x:v>006972</x:v>
      </x:c>
      <x:c r="P1962" s="18" t="str">
        <x:v>西神延伸線</x:v>
      </x:c>
      <x:c r="Q1962" s="19" t="str">
        <x:v>S12_061_GE_10000</x:v>
      </x:c>
      <x:c r="R1962" s="19" t="str">
        <x:v>S12_061 usage threshold</x:v>
      </x:c>
      <x:c r="S1962" s="19" t="str">
        <x:v>https://nlftp.mlit.go.jp/ksj/gml/datalist/KsjTmplt-S12-2024.html</x:v>
      </x:c>
      <x:c r="T1962" s="19" t="str">
        <x:v>https://nlftp.mlit.go.jp/ksj/gml/datalist/KsjTmplt-S12-2024.html</x:v>
      </x:c>
      <x:c r="U1962" s="19" t="str">
        <x:v>station-component|西神中央|神戸市|metro|34.7200|135.0172|</x:v>
      </x:c>
      <x:c r="V1962" s="19" t="str">
        <x:v>006972 / 006972 / 西神延伸線</x:v>
      </x:c>
      <x:c r="W1962" s="18" t="str">
        <x:v>否</x:v>
      </x:c>
      <x:c r="X1962" s="18" t="str">
        <x:v>0785e932a32b3ec15e1a1345537ae145eafe1c07bf38d5c16c11ee2b391e7a28</x:v>
      </x:c>
      <x:c r="Y1962" s="20" t="n">
        <x:v>1</x:v>
      </x:c>
      <x:c r="Z1962" s="20" t="n">
        <x:v>1</x:v>
      </x:c>
      <x:c r="AA1962" s="19"/>
      <x:c r="AB1962" s="18"/>
      <x:c r="AC1962" s="19"/>
    </x:row>
    <x:row r="1963" ht="28" customHeight="1">
      <x:c r="A1963" s="18" t="str">
        <x:v>西神南</x:v>
      </x:c>
      <x:c r="B1963" s="18" t="str">
        <x:v>神戸市</x:v>
      </x:c>
      <x:c r="C1963" s="18" t="str">
        <x:v>metro</x:v>
      </x:c>
      <x:c r="D1963" s="19" t="str">
        <x:v>T2</x:v>
      </x:c>
      <x:c r="E1963" s="20" t="n">
        <x:v>19963</x:v>
      </x:c>
      <x:c r="F1963" s="18" t="str">
        <x:v>persons/day</x:v>
      </x:c>
      <x:c r="G1963" s="18" t="str">
        <x:v>FY2024</x:v>
      </x:c>
      <x:c r="H1963" s="18" t="str">
        <x:v>否</x:v>
      </x:c>
      <x:c r="I1963" s="19" t="str">
        <x:v>DAILY_ENTRIES_EXITS</x:v>
      </x:c>
      <x:c r="J1963" s="19" t="str">
        <x:v>西神延伸線</x:v>
      </x:c>
      <x:c r="K1963" s="18" t="str">
        <x:v>transport-node:451f657a-6106-55e8-9716-3167909fbc2a</x:v>
      </x:c>
      <x:c r="L1963" s="19" t="str">
        <x:v>组件待审核</x:v>
      </x:c>
      <x:c r="M1963" s="21" t="n">
        <x:v>34.6994</x:v>
      </x:c>
      <x:c r="N1963" s="21" t="n">
        <x:v>135.030195</x:v>
      </x:c>
      <x:c r="O1963" s="18" t="str">
        <x:v>007081</x:v>
      </x:c>
      <x:c r="P1963" s="18" t="str">
        <x:v>西神延伸線</x:v>
      </x:c>
      <x:c r="Q1963" s="19" t="str">
        <x:v>S12_061_GE_10000</x:v>
      </x:c>
      <x:c r="R1963" s="19" t="str">
        <x:v>S12_061 usage threshold</x:v>
      </x:c>
      <x:c r="S1963" s="19" t="str">
        <x:v>https://nlftp.mlit.go.jp/ksj/gml/datalist/KsjTmplt-S12-2024.html</x:v>
      </x:c>
      <x:c r="T1963" s="19" t="str">
        <x:v>https://nlftp.mlit.go.jp/ksj/gml/datalist/KsjTmplt-S12-2024.html</x:v>
      </x:c>
      <x:c r="U1963" s="19" t="str">
        <x:v>station-component|西神南|神戸市|metro|34.6994|135.0302|</x:v>
      </x:c>
      <x:c r="V1963" s="19" t="str">
        <x:v>007081 / 007081 / 西神延伸線</x:v>
      </x:c>
      <x:c r="W1963" s="18" t="str">
        <x:v>否</x:v>
      </x:c>
      <x:c r="X1963" s="18" t="str">
        <x:v>0785e932a32b3ec15e1a1345537ae145eafe1c07bf38d5c16c11ee2b391e7a28</x:v>
      </x:c>
      <x:c r="Y1963" s="20" t="n">
        <x:v>1</x:v>
      </x:c>
      <x:c r="Z1963" s="20" t="n">
        <x:v>1</x:v>
      </x:c>
      <x:c r="AA1963" s="19"/>
      <x:c r="AB1963" s="18"/>
      <x:c r="AC1963" s="19"/>
    </x:row>
    <x:row r="1964" ht="28" customHeight="1">
      <x:c r="A1964" s="18" t="str">
        <x:v>西立川</x:v>
      </x:c>
      <x:c r="B1964" s="18" t="str">
        <x:v>東日本旅客鉄道</x:v>
      </x:c>
      <x:c r="C1964" s="18" t="str">
        <x:v>conventional_rail</x:v>
      </x:c>
      <x:c r="D1964" s="19" t="str">
        <x:v>T2</x:v>
      </x:c>
      <x:c r="E1964" s="20" t="n">
        <x:v>12614</x:v>
      </x:c>
      <x:c r="F1964" s="18" t="str">
        <x:v>persons/day</x:v>
      </x:c>
      <x:c r="G1964" s="18" t="str">
        <x:v>FY2024</x:v>
      </x:c>
      <x:c r="H1964" s="18" t="str">
        <x:v>否</x:v>
      </x:c>
      <x:c r="I1964" s="19" t="str">
        <x:v>DAILY_ENTRIES_EXITS</x:v>
      </x:c>
      <x:c r="J1964" s="19" t="str">
        <x:v>青梅線</x:v>
      </x:c>
      <x:c r="K1964" s="18" t="str">
        <x:v>transport-node:f3fa8cc6-fa39-59b1-a7e3-75c257da2844</x:v>
      </x:c>
      <x:c r="L1964" s="19" t="str">
        <x:v>组件待审核</x:v>
      </x:c>
      <x:c r="M1964" s="21" t="n">
        <x:v>35.703546</x:v>
      </x:c>
      <x:c r="N1964" s="21" t="n">
        <x:v>139.39339</x:v>
      </x:c>
      <x:c r="O1964" s="18" t="str">
        <x:v>003581</x:v>
      </x:c>
      <x:c r="P1964" s="18" t="str">
        <x:v>青梅線</x:v>
      </x:c>
      <x:c r="Q1964" s="19" t="str">
        <x:v>S12_061_GE_10000</x:v>
      </x:c>
      <x:c r="R1964" s="19" t="str">
        <x:v>S12_061 usage threshold</x:v>
      </x:c>
      <x:c r="S1964" s="19" t="str">
        <x:v>https://nlftp.mlit.go.jp/ksj/gml/datalist/KsjTmplt-S12-2024.html</x:v>
      </x:c>
      <x:c r="T1964" s="19" t="str">
        <x:v>https://nlftp.mlit.go.jp/ksj/gml/datalist/KsjTmplt-S12-2024.html</x:v>
      </x:c>
      <x:c r="U1964" s="19" t="str">
        <x:v>station-component|西立川|東日本旅客鉄道|conventional_rail|35.7035|139.3934|</x:v>
      </x:c>
      <x:c r="V1964" s="19" t="str">
        <x:v>003581 / 003581 / 青梅線</x:v>
      </x:c>
      <x:c r="W1964" s="18" t="str">
        <x:v>否</x:v>
      </x:c>
      <x:c r="X1964" s="18" t="str">
        <x:v>0785e932a32b3ec15e1a1345537ae145eafe1c07bf38d5c16c11ee2b391e7a28</x:v>
      </x:c>
      <x:c r="Y1964" s="20" t="n">
        <x:v>1</x:v>
      </x:c>
      <x:c r="Z1964" s="20" t="n">
        <x:v>1</x:v>
      </x:c>
      <x:c r="AA1964" s="19"/>
      <x:c r="AB1964" s="18"/>
      <x:c r="AC1964" s="19"/>
    </x:row>
    <x:row r="1965" ht="33" customHeight="1">
      <x:c r="A1965" s="18" t="str">
        <x:v>西船橋</x:v>
      </x:c>
      <x:c r="B1965" s="18" t="str">
        <x:v>東京地下鉄</x:v>
      </x:c>
      <x:c r="C1965" s="18" t="str">
        <x:v>metro</x:v>
      </x:c>
      <x:c r="D1965" s="19" t="str">
        <x:v>T0</x:v>
      </x:c>
      <x:c r="E1965" s="20" t="n">
        <x:v>383395</x:v>
      </x:c>
      <x:c r="F1965" s="18" t="str">
        <x:v>persons/day</x:v>
      </x:c>
      <x:c r="G1965" s="18" t="str">
        <x:v>FY2024</x:v>
      </x:c>
      <x:c r="H1965" s="18" t="str">
        <x:v>否</x:v>
      </x:c>
      <x:c r="I1965" s="19" t="str">
        <x:v>DAILY_ENTRIES_EXITS</x:v>
      </x:c>
      <x:c r="J1965" s="19" t="str">
        <x:v>5号線東西線</x:v>
      </x:c>
      <x:c r="K1965" s="18" t="str">
        <x:v>transport-node:875b13b3-3e7f-5e29-a44d-bb350d51f2b1</x:v>
      </x:c>
      <x:c r="L1965" s="19" t="str">
        <x:v>组件待审核</x:v>
      </x:c>
      <x:c r="M1965" s="21" t="n">
        <x:v>35.707315</x:v>
      </x:c>
      <x:c r="N1965" s="21" t="n">
        <x:v>139.95875</x:v>
      </x:c>
      <x:c r="O1965" s="18" t="str">
        <x:v>003551</x:v>
      </x:c>
      <x:c r="P1965" s="18" t="str">
        <x:v>5号線東西線</x:v>
      </x:c>
      <x:c r="Q1965" s="19" t="str">
        <x:v>S12_061_GE_10000
OFFICIAL_HUB_COMPONENT_REVIEW</x:v>
      </x:c>
      <x:c r="R1965" s="19" t="str">
        <x:v>S12_061 usage threshold</x:v>
      </x:c>
      <x:c r="S1965" s="19" t="str">
        <x:v>https://nlftp.mlit.go.jp/ksj/gml/datalist/KsjTmplt-S12-2024.html</x:v>
      </x:c>
      <x:c r="T1965" s="19" t="str">
        <x:v>https://nlftp.mlit.go.jp/ksj/gml/datalist/KsjTmplt-S12-2024.html
https://www.tokyometro.jp/station/nishi-funabashi/index.html</x:v>
      </x:c>
      <x:c r="U1965" s="19" t="str">
        <x:v>station-component|西船橋|東京地下鉄|metro|35.7073|139.9588|</x:v>
      </x:c>
      <x:c r="V1965" s="19" t="str">
        <x:v>003547 / 003551 / 5号線東西線</x:v>
      </x:c>
      <x:c r="W1965" s="18" t="str">
        <x:v>否</x:v>
      </x:c>
      <x:c r="X1965" s="18" t="str">
        <x:v>0785e932a32b3ec15e1a1345537ae145eafe1c07bf38d5c16c11ee2b391e7a28</x:v>
      </x:c>
      <x:c r="Y1965" s="20" t="n">
        <x:v>1</x:v>
      </x:c>
      <x:c r="Z1965" s="20" t="n">
        <x:v>1</x:v>
      </x:c>
      <x:c r="AA1965" s="19" t="str">
        <x:v>西船橋</x:v>
      </x:c>
      <x:c r="AB1965" s="18" t="str">
        <x:v>transport-hub-review:b1f26f94-2d8d-5620-89d8-06a4aa281dc1</x:v>
      </x:c>
      <x:c r="AC1965" s="19"/>
    </x:row>
    <x:row r="1966" ht="47" customHeight="1">
      <x:c r="A1966" s="18" t="str">
        <x:v>西船橋</x:v>
      </x:c>
      <x:c r="B1966" s="18" t="str">
        <x:v>東日本旅客鉄道</x:v>
      </x:c>
      <x:c r="C1966" s="18" t="str">
        <x:v>conventional_rail</x:v>
      </x:c>
      <x:c r="D1966" s="19" t="str">
        <x:v>T0</x:v>
      </x:c>
      <x:c r="E1966" s="20" t="n">
        <x:v>259808</x:v>
      </x:c>
      <x:c r="F1966" s="18" t="str">
        <x:v>persons/day</x:v>
      </x:c>
      <x:c r="G1966" s="18" t="str">
        <x:v>FY2024</x:v>
      </x:c>
      <x:c r="H1966" s="18" t="str">
        <x:v>否</x:v>
      </x:c>
      <x:c r="I1966" s="19" t="str">
        <x:v>DAILY_ENTRIES_EXITS</x:v>
      </x:c>
      <x:c r="J1966" s="19" t="str">
        <x:v>京葉線
武蔵野線
総武線</x:v>
      </x:c>
      <x:c r="K1966" s="18" t="str">
        <x:v>transport-node:5c5eeed3-074f-570d-aa03-f52a7665066f</x:v>
      </x:c>
      <x:c r="L1966" s="19" t="str">
        <x:v>组件待审核</x:v>
      </x:c>
      <x:c r="M1966" s="21" t="n">
        <x:v>35.70733</x:v>
      </x:c>
      <x:c r="N1966" s="21" t="n">
        <x:v>139.959475</x:v>
      </x:c>
      <x:c r="O1966" s="18" t="str">
        <x:v>003547</x:v>
      </x:c>
      <x:c r="P1966" s="18" t="str">
        <x:v>総武線</x:v>
      </x:c>
      <x:c r="Q1966" s="19" t="str">
        <x:v>S12_061_GE_10000
OFFICIAL_HUB_COMPONENT_REVIEW</x:v>
      </x:c>
      <x:c r="R1966" s="19" t="str">
        <x:v>S12_061 usage threshold</x:v>
      </x:c>
      <x:c r="S1966" s="19" t="str">
        <x:v>https://nlftp.mlit.go.jp/ksj/gml/datalist/KsjTmplt-S12-2024.html</x:v>
      </x:c>
      <x:c r="T1966" s="19" t="str">
        <x:v>https://nlftp.mlit.go.jp/ksj/gml/datalist/KsjTmplt-S12-2024.html
https://www.tokyometro.jp/station/nishi-funabashi/index.html</x:v>
      </x:c>
      <x:c r="U1966" s="19" t="str">
        <x:v>station-component|西船橋|東日本旅客鉄道|conventional_rail|35.7073|139.9595|</x:v>
      </x:c>
      <x:c r="V1966" s="19" t="str">
        <x:v>003547 / 003547 / 総武線
003547 / 003553 / 京葉線
003547 / 003554 / 武蔵野線</x:v>
      </x:c>
      <x:c r="W1966" s="18" t="str">
        <x:v>否</x:v>
      </x:c>
      <x:c r="X1966" s="18" t="str">
        <x:v>0785e932a32b3ec15e1a1345537ae145eafe1c07bf38d5c16c11ee2b391e7a28</x:v>
      </x:c>
      <x:c r="Y1966" s="20" t="n">
        <x:v>1</x:v>
      </x:c>
      <x:c r="Z1966" s="20" t="n">
        <x:v>1</x:v>
      </x:c>
      <x:c r="AA1966" s="19" t="str">
        <x:v>西船橋</x:v>
      </x:c>
      <x:c r="AB1966" s="18" t="str">
        <x:v>transport-hub-review:b1f26f94-2d8d-5620-89d8-06a4aa281dc1</x:v>
      </x:c>
      <x:c r="AC1966" s="19"/>
    </x:row>
    <x:row r="1967" ht="33" customHeight="1">
      <x:c r="A1967" s="18" t="str">
        <x:v>西船橋</x:v>
      </x:c>
      <x:c r="B1967" s="18" t="str">
        <x:v>東葉高速鉄道</x:v>
      </x:c>
      <x:c r="C1967" s="18" t="str">
        <x:v>private_rail</x:v>
      </x:c>
      <x:c r="D1967" s="19"/>
      <x:c r="E1967" s="20"/>
      <x:c r="F1967" s="18"/>
      <x:c r="G1967" s="18" t="str">
        <x:v>FY2024</x:v>
      </x:c>
      <x:c r="H1967" s="18" t="str">
        <x:v>是</x:v>
      </x:c>
      <x:c r="I1967" s="19" t="str">
        <x:v>USAGE_DATA_UNAVAILABLE</x:v>
      </x:c>
      <x:c r="J1967" s="19" t="str">
        <x:v>東葉高速線</x:v>
      </x:c>
      <x:c r="K1967" s="18" t="str">
        <x:v>transport-node:2b451248-d14c-57c7-8858-b16cb289196d</x:v>
      </x:c>
      <x:c r="L1967" s="19" t="str">
        <x:v>组件待审核</x:v>
      </x:c>
      <x:c r="M1967" s="21" t="n">
        <x:v>35.707315</x:v>
      </x:c>
      <x:c r="N1967" s="21" t="n">
        <x:v>139.95875</x:v>
      </x:c>
      <x:c r="O1967" s="18" t="str">
        <x:v>003552</x:v>
      </x:c>
      <x:c r="P1967" s="18" t="str">
        <x:v>東葉高速線</x:v>
      </x:c>
      <x:c r="Q1967" s="19" t="str">
        <x:v>OFFICIAL_HUB_COMPONENT_REVIEW</x:v>
      </x:c>
      <x:c r="R1967" s="19" t="str">
        <x:v>Official S12 usage unavailable; manual tier review required</x:v>
      </x:c>
      <x:c r="S1967" s="19" t="str">
        <x:v>https://nlftp.mlit.go.jp/ksj/gml/datalist/KsjTmplt-S12-2024.html</x:v>
      </x:c>
      <x:c r="T1967" s="19" t="str">
        <x:v>https://nlftp.mlit.go.jp/ksj/gml/datalist/KsjTmplt-S12-2024.html
https://www.tokyometro.jp/station/nishi-funabashi/index.html</x:v>
      </x:c>
      <x:c r="U1967" s="19" t="str">
        <x:v>station-component|西船橋|東葉高速鉄道|private_rail|35.7073|139.9588|</x:v>
      </x:c>
      <x:c r="V1967" s="19" t="str">
        <x:v>003547 / 003552 / 東葉高速線</x:v>
      </x:c>
      <x:c r="W1967" s="18" t="str">
        <x:v>否</x:v>
      </x:c>
      <x:c r="X1967" s="18" t="str">
        <x:v>0785e932a32b3ec15e1a1345537ae145eafe1c07bf38d5c16c11ee2b391e7a28</x:v>
      </x:c>
      <x:c r="Y1967" s="20" t="n">
        <x:v>1</x:v>
      </x:c>
      <x:c r="Z1967" s="20" t="n">
        <x:v>2</x:v>
      </x:c>
      <x:c r="AA1967" s="19" t="str">
        <x:v>西船橋</x:v>
      </x:c>
      <x:c r="AB1967" s="18" t="str">
        <x:v>transport-hub-review:b1f26f94-2d8d-5620-89d8-06a4aa281dc1</x:v>
      </x:c>
      <x:c r="AC1967" s="19"/>
    </x:row>
    <x:row r="1968" ht="28" customHeight="1">
      <x:c r="A1968" s="18" t="str">
        <x:v>西荻窪</x:v>
      </x:c>
      <x:c r="B1968" s="18" t="str">
        <x:v>東日本旅客鉄道</x:v>
      </x:c>
      <x:c r="C1968" s="18" t="str">
        <x:v>conventional_rail</x:v>
      </x:c>
      <x:c r="D1968" s="19" t="str">
        <x:v>T1</x:v>
      </x:c>
      <x:c r="E1968" s="20" t="n">
        <x:v>85340</x:v>
      </x:c>
      <x:c r="F1968" s="18" t="str">
        <x:v>persons/day</x:v>
      </x:c>
      <x:c r="G1968" s="18" t="str">
        <x:v>FY2024</x:v>
      </x:c>
      <x:c r="H1968" s="18" t="str">
        <x:v>否</x:v>
      </x:c>
      <x:c r="I1968" s="19" t="str">
        <x:v>DAILY_ENTRIES_EXITS</x:v>
      </x:c>
      <x:c r="J1968" s="19" t="str">
        <x:v>中央線</x:v>
      </x:c>
      <x:c r="K1968" s="18" t="str">
        <x:v>transport-node:1c232402-6079-5b62-8255-2d5d02bd8eb3</x:v>
      </x:c>
      <x:c r="L1968" s="19" t="str">
        <x:v>组件待审核</x:v>
      </x:c>
      <x:c r="M1968" s="21" t="n">
        <x:v>35.7037975</x:v>
      </x:c>
      <x:c r="N1968" s="21" t="n">
        <x:v>139.599705</x:v>
      </x:c>
      <x:c r="O1968" s="18" t="str">
        <x:v>003579</x:v>
      </x:c>
      <x:c r="P1968" s="18" t="str">
        <x:v>中央線</x:v>
      </x:c>
      <x:c r="Q1968" s="19" t="str">
        <x:v>S12_061_GE_10000</x:v>
      </x:c>
      <x:c r="R1968" s="19" t="str">
        <x:v>S12_061 usage threshold</x:v>
      </x:c>
      <x:c r="S1968" s="19" t="str">
        <x:v>https://nlftp.mlit.go.jp/ksj/gml/datalist/KsjTmplt-S12-2024.html</x:v>
      </x:c>
      <x:c r="T1968" s="19" t="str">
        <x:v>https://nlftp.mlit.go.jp/ksj/gml/datalist/KsjTmplt-S12-2024.html</x:v>
      </x:c>
      <x:c r="U1968" s="19" t="str">
        <x:v>station-component|西荻窪|東日本旅客鉄道|conventional_rail|35.7038|139.5997|</x:v>
      </x:c>
      <x:c r="V1968" s="19" t="str">
        <x:v>003579 / 003579 / 中央線</x:v>
      </x:c>
      <x:c r="W1968" s="18" t="str">
        <x:v>否</x:v>
      </x:c>
      <x:c r="X1968" s="18" t="str">
        <x:v>0785e932a32b3ec15e1a1345537ae145eafe1c07bf38d5c16c11ee2b391e7a28</x:v>
      </x:c>
      <x:c r="Y1968" s="20" t="n">
        <x:v>1</x:v>
      </x:c>
      <x:c r="Z1968" s="20" t="n">
        <x:v>1</x:v>
      </x:c>
      <x:c r="AA1968" s="19"/>
      <x:c r="AB1968" s="18"/>
      <x:c r="AC1968" s="19"/>
    </x:row>
    <x:row r="1969" ht="28" customHeight="1">
      <x:c r="A1969" s="18" t="str">
        <x:v>西葛西</x:v>
      </x:c>
      <x:c r="B1969" s="18" t="str">
        <x:v>東京地下鉄</x:v>
      </x:c>
      <x:c r="C1969" s="18" t="str">
        <x:v>metro</x:v>
      </x:c>
      <x:c r="D1969" s="19" t="str">
        <x:v>T1</x:v>
      </x:c>
      <x:c r="E1969" s="20" t="n">
        <x:v>96546</x:v>
      </x:c>
      <x:c r="F1969" s="18" t="str">
        <x:v>persons/day</x:v>
      </x:c>
      <x:c r="G1969" s="18" t="str">
        <x:v>FY2024</x:v>
      </x:c>
      <x:c r="H1969" s="18" t="str">
        <x:v>否</x:v>
      </x:c>
      <x:c r="I1969" s="19" t="str">
        <x:v>DAILY_ENTRIES_EXITS</x:v>
      </x:c>
      <x:c r="J1969" s="19" t="str">
        <x:v>5号線東西線</x:v>
      </x:c>
      <x:c r="K1969" s="18" t="str">
        <x:v>transport-node:9bfc8c87-56ec-57f5-868f-1092209c0fd8</x:v>
      </x:c>
      <x:c r="L1969" s="19" t="str">
        <x:v>组件待审核</x:v>
      </x:c>
      <x:c r="M1969" s="21" t="n">
        <x:v>35.6645833</x:v>
      </x:c>
      <x:c r="N1969" s="21" t="n">
        <x:v>139.859355</x:v>
      </x:c>
      <x:c r="O1969" s="18" t="str">
        <x:v>003890</x:v>
      </x:c>
      <x:c r="P1969" s="18" t="str">
        <x:v>5号線東西線</x:v>
      </x:c>
      <x:c r="Q1969" s="19" t="str">
        <x:v>S12_061_GE_10000</x:v>
      </x:c>
      <x:c r="R1969" s="19" t="str">
        <x:v>S12_061 usage threshold</x:v>
      </x:c>
      <x:c r="S1969" s="19" t="str">
        <x:v>https://nlftp.mlit.go.jp/ksj/gml/datalist/KsjTmplt-S12-2024.html</x:v>
      </x:c>
      <x:c r="T1969" s="19" t="str">
        <x:v>https://nlftp.mlit.go.jp/ksj/gml/datalist/KsjTmplt-S12-2024.html</x:v>
      </x:c>
      <x:c r="U1969" s="19" t="str">
        <x:v>station-component|西葛西|東京地下鉄|metro|35.6646|139.8594|</x:v>
      </x:c>
      <x:c r="V1969" s="19" t="str">
        <x:v>003890 / 003890 / 5号線東西線</x:v>
      </x:c>
      <x:c r="W1969" s="18" t="str">
        <x:v>否</x:v>
      </x:c>
      <x:c r="X1969" s="18" t="str">
        <x:v>0785e932a32b3ec15e1a1345537ae145eafe1c07bf38d5c16c11ee2b391e7a28</x:v>
      </x:c>
      <x:c r="Y1969" s="20" t="n">
        <x:v>1</x:v>
      </x:c>
      <x:c r="Z1969" s="20" t="n">
        <x:v>1</x:v>
      </x:c>
      <x:c r="AA1969" s="19"/>
      <x:c r="AB1969" s="18"/>
      <x:c r="AC1969" s="19"/>
    </x:row>
    <x:row r="1970" ht="28" customHeight="1">
      <x:c r="A1970" s="18" t="str">
        <x:v>西調布</x:v>
      </x:c>
      <x:c r="B1970" s="18" t="str">
        <x:v>京王電鉄</x:v>
      </x:c>
      <x:c r="C1970" s="18" t="str">
        <x:v>private_rail</x:v>
      </x:c>
      <x:c r="D1970" s="19" t="str">
        <x:v>T2</x:v>
      </x:c>
      <x:c r="E1970" s="20" t="n">
        <x:v>16652</x:v>
      </x:c>
      <x:c r="F1970" s="18" t="str">
        <x:v>persons/day</x:v>
      </x:c>
      <x:c r="G1970" s="18" t="str">
        <x:v>FY2024</x:v>
      </x:c>
      <x:c r="H1970" s="18" t="str">
        <x:v>否</x:v>
      </x:c>
      <x:c r="I1970" s="19" t="str">
        <x:v>DAILY_ENTRIES_EXITS</x:v>
      </x:c>
      <x:c r="J1970" s="19" t="str">
        <x:v>京王線</x:v>
      </x:c>
      <x:c r="K1970" s="18" t="str">
        <x:v>transport-node:4405fc62-5443-59a7-805b-cc72866c6964</x:v>
      </x:c>
      <x:c r="L1970" s="19" t="str">
        <x:v>组件待审核</x:v>
      </x:c>
      <x:c r="M1970" s="21" t="n">
        <x:v>35.65732</x:v>
      </x:c>
      <x:c r="N1970" s="21" t="n">
        <x:v>139.529505</x:v>
      </x:c>
      <x:c r="O1970" s="18" t="str">
        <x:v>003937</x:v>
      </x:c>
      <x:c r="P1970" s="18" t="str">
        <x:v>京王線</x:v>
      </x:c>
      <x:c r="Q1970" s="19" t="str">
        <x:v>S12_061_GE_10000</x:v>
      </x:c>
      <x:c r="R1970" s="19" t="str">
        <x:v>S12_061 usage threshold</x:v>
      </x:c>
      <x:c r="S1970" s="19" t="str">
        <x:v>https://nlftp.mlit.go.jp/ksj/gml/datalist/KsjTmplt-S12-2024.html</x:v>
      </x:c>
      <x:c r="T1970" s="19" t="str">
        <x:v>https://nlftp.mlit.go.jp/ksj/gml/datalist/KsjTmplt-S12-2024.html</x:v>
      </x:c>
      <x:c r="U1970" s="19" t="str">
        <x:v>station-component|西調布|京王電鉄|private_rail|35.6573|139.5295|</x:v>
      </x:c>
      <x:c r="V1970" s="19" t="str">
        <x:v>003937 / 003937 / 京王線</x:v>
      </x:c>
      <x:c r="W1970" s="18" t="str">
        <x:v>否</x:v>
      </x:c>
      <x:c r="X1970" s="18" t="str">
        <x:v>0785e932a32b3ec15e1a1345537ae145eafe1c07bf38d5c16c11ee2b391e7a28</x:v>
      </x:c>
      <x:c r="Y1970" s="20" t="n">
        <x:v>1</x:v>
      </x:c>
      <x:c r="Z1970" s="20" t="n">
        <x:v>1</x:v>
      </x:c>
      <x:c r="AA1970" s="19"/>
      <x:c r="AB1970" s="18"/>
      <x:c r="AC1970" s="19"/>
    </x:row>
    <x:row r="1971" ht="33" customHeight="1">
      <x:c r="A1971" s="18" t="str">
        <x:v>西谷</x:v>
      </x:c>
      <x:c r="B1971" s="18" t="str">
        <x:v>相模鉄道</x:v>
      </x:c>
      <x:c r="C1971" s="18" t="str">
        <x:v>private_rail</x:v>
      </x:c>
      <x:c r="D1971" s="19" t="str">
        <x:v>T2</x:v>
      </x:c>
      <x:c r="E1971" s="20" t="n">
        <x:v>28752</x:v>
      </x:c>
      <x:c r="F1971" s="18" t="str">
        <x:v>persons/day</x:v>
      </x:c>
      <x:c r="G1971" s="18" t="str">
        <x:v>FY2024</x:v>
      </x:c>
      <x:c r="H1971" s="18" t="str">
        <x:v>否</x:v>
      </x:c>
      <x:c r="I1971" s="19" t="str">
        <x:v>DAILY_ENTRIES_EXITS</x:v>
      </x:c>
      <x:c r="J1971" s="19" t="str">
        <x:v>相鉄新横浜線
相鉄本線</x:v>
      </x:c>
      <x:c r="K1971" s="18" t="str">
        <x:v>transport-node:c19793f4-8c0d-540f-ab27-3bc4a2886433</x:v>
      </x:c>
      <x:c r="L1971" s="19" t="str">
        <x:v>组件待审核</x:v>
      </x:c>
      <x:c r="M1971" s="21" t="n">
        <x:v>35.4780648</x:v>
      </x:c>
      <x:c r="N1971" s="21" t="n">
        <x:v>139.5655208</x:v>
      </x:c>
      <x:c r="O1971" s="18" t="str">
        <x:v>004595</x:v>
      </x:c>
      <x:c r="P1971" s="18" t="str">
        <x:v>相鉄本線</x:v>
      </x:c>
      <x:c r="Q1971" s="19" t="str">
        <x:v>S12_061_GE_10000</x:v>
      </x:c>
      <x:c r="R1971" s="19" t="str">
        <x:v>S12_061 usage threshold</x:v>
      </x:c>
      <x:c r="S1971" s="19" t="str">
        <x:v>https://nlftp.mlit.go.jp/ksj/gml/datalist/KsjTmplt-S12-2024.html</x:v>
      </x:c>
      <x:c r="T1971" s="19" t="str">
        <x:v>https://nlftp.mlit.go.jp/ksj/gml/datalist/KsjTmplt-S12-2024.html</x:v>
      </x:c>
      <x:c r="U1971" s="19" t="str">
        <x:v>station-component|西谷|相模鉄道|private_rail|35.4781|139.5655|</x:v>
      </x:c>
      <x:c r="V1971" s="19" t="str">
        <x:v>004594 / 004594 / 相鉄新横浜線
004594 / 004595 / 相鉄本線</x:v>
      </x:c>
      <x:c r="W1971" s="18" t="str">
        <x:v>否</x:v>
      </x:c>
      <x:c r="X1971" s="18" t="str">
        <x:v>0785e932a32b3ec15e1a1345537ae145eafe1c07bf38d5c16c11ee2b391e7a28</x:v>
      </x:c>
      <x:c r="Y1971" s="20" t="n">
        <x:v>1</x:v>
      </x:c>
      <x:c r="Z1971" s="20" t="n">
        <x:v>1</x:v>
      </x:c>
      <x:c r="AA1971" s="19"/>
      <x:c r="AB1971" s="18"/>
      <x:c r="AC1971" s="19"/>
    </x:row>
    <x:row r="1972" ht="28" customHeight="1">
      <x:c r="A1972" s="18" t="str">
        <x:v>西鉄久留米</x:v>
      </x:c>
      <x:c r="B1972" s="18" t="str">
        <x:v>西日本鉄道</x:v>
      </x:c>
      <x:c r="C1972" s="18" t="str">
        <x:v>private_rail</x:v>
      </x:c>
      <x:c r="D1972" s="19" t="str">
        <x:v>T2</x:v>
      </x:c>
      <x:c r="E1972" s="20" t="n">
        <x:v>30485</x:v>
      </x:c>
      <x:c r="F1972" s="18" t="str">
        <x:v>persons/day</x:v>
      </x:c>
      <x:c r="G1972" s="18" t="str">
        <x:v>FY2024</x:v>
      </x:c>
      <x:c r="H1972" s="18" t="str">
        <x:v>否</x:v>
      </x:c>
      <x:c r="I1972" s="19" t="str">
        <x:v>DAILY_ENTRIES_EXITS</x:v>
      </x:c>
      <x:c r="J1972" s="19" t="str">
        <x:v>天神大牟田線</x:v>
      </x:c>
      <x:c r="K1972" s="18" t="str">
        <x:v>transport-node:e72c4f8d-9012-5c08-b349-669b090eaa7e</x:v>
      </x:c>
      <x:c r="L1972" s="19" t="str">
        <x:v>组件待审核</x:v>
      </x:c>
      <x:c r="M1972" s="21" t="n">
        <x:v>33.312265</x:v>
      </x:c>
      <x:c r="N1972" s="21" t="n">
        <x:v>130.521045</x:v>
      </x:c>
      <x:c r="O1972" s="18" t="str">
        <x:v>009397</x:v>
      </x:c>
      <x:c r="P1972" s="18" t="str">
        <x:v>天神大牟田線</x:v>
      </x:c>
      <x:c r="Q1972" s="19" t="str">
        <x:v>S12_061_GE_10000</x:v>
      </x:c>
      <x:c r="R1972" s="19" t="str">
        <x:v>S12_061 usage threshold</x:v>
      </x:c>
      <x:c r="S1972" s="19" t="str">
        <x:v>https://nlftp.mlit.go.jp/ksj/gml/datalist/KsjTmplt-S12-2024.html</x:v>
      </x:c>
      <x:c r="T1972" s="19" t="str">
        <x:v>https://nlftp.mlit.go.jp/ksj/gml/datalist/KsjTmplt-S12-2024.html</x:v>
      </x:c>
      <x:c r="U1972" s="19" t="str">
        <x:v>station-component|西鉄久留米|西日本鉄道|private_rail|33.3123|130.5210|</x:v>
      </x:c>
      <x:c r="V1972" s="19" t="str">
        <x:v>009397 / 009397 / 天神大牟田線</x:v>
      </x:c>
      <x:c r="W1972" s="18" t="str">
        <x:v>否</x:v>
      </x:c>
      <x:c r="X1972" s="18" t="str">
        <x:v>0785e932a32b3ec15e1a1345537ae145eafe1c07bf38d5c16c11ee2b391e7a28</x:v>
      </x:c>
      <x:c r="Y1972" s="20" t="n">
        <x:v>1</x:v>
      </x:c>
      <x:c r="Z1972" s="20" t="n">
        <x:v>1</x:v>
      </x:c>
      <x:c r="AA1972" s="19"/>
      <x:c r="AB1972" s="18"/>
      <x:c r="AC1972" s="19"/>
    </x:row>
    <x:row r="1973" ht="33" customHeight="1">
      <x:c r="A1973" s="18" t="str">
        <x:v>西鉄二日市</x:v>
      </x:c>
      <x:c r="B1973" s="18" t="str">
        <x:v>西日本鉄道</x:v>
      </x:c>
      <x:c r="C1973" s="18" t="str">
        <x:v>private_rail</x:v>
      </x:c>
      <x:c r="D1973" s="19" t="str">
        <x:v>T2</x:v>
      </x:c>
      <x:c r="E1973" s="20" t="n">
        <x:v>18704</x:v>
      </x:c>
      <x:c r="F1973" s="18" t="str">
        <x:v>persons/day</x:v>
      </x:c>
      <x:c r="G1973" s="18" t="str">
        <x:v>FY2024</x:v>
      </x:c>
      <x:c r="H1973" s="18" t="str">
        <x:v>否</x:v>
      </x:c>
      <x:c r="I1973" s="19" t="str">
        <x:v>DAILY_ENTRIES_EXITS</x:v>
      </x:c>
      <x:c r="J1973" s="19" t="str">
        <x:v>天神大牟田線
太宰府線</x:v>
      </x:c>
      <x:c r="K1973" s="18" t="str">
        <x:v>transport-node:09a60322-a504-5483-acb5-55d8b7a470fa</x:v>
      </x:c>
      <x:c r="L1973" s="19" t="str">
        <x:v>组件待审核</x:v>
      </x:c>
      <x:c r="M1973" s="21" t="n">
        <x:v>33.502145</x:v>
      </x:c>
      <x:c r="N1973" s="21" t="n">
        <x:v>130.517885</x:v>
      </x:c>
      <x:c r="O1973" s="18" t="str">
        <x:v>009246</x:v>
      </x:c>
      <x:c r="P1973" s="18" t="str">
        <x:v>天神大牟田線</x:v>
      </x:c>
      <x:c r="Q1973" s="19" t="str">
        <x:v>S12_061_GE_10000</x:v>
      </x:c>
      <x:c r="R1973" s="19" t="str">
        <x:v>S12_061 usage threshold</x:v>
      </x:c>
      <x:c r="S1973" s="19" t="str">
        <x:v>https://nlftp.mlit.go.jp/ksj/gml/datalist/KsjTmplt-S12-2024.html</x:v>
      </x:c>
      <x:c r="T1973" s="19" t="str">
        <x:v>https://nlftp.mlit.go.jp/ksj/gml/datalist/KsjTmplt-S12-2024.html</x:v>
      </x:c>
      <x:c r="U1973" s="19" t="str">
        <x:v>station-component|西鉄二日市|西日本鉄道|private_rail|33.5021|130.5179|</x:v>
      </x:c>
      <x:c r="V1973" s="19" t="str">
        <x:v>009245 / 009245 / 太宰府線
009245 / 009246 / 天神大牟田線</x:v>
      </x:c>
      <x:c r="W1973" s="18" t="str">
        <x:v>否</x:v>
      </x:c>
      <x:c r="X1973" s="18" t="str">
        <x:v>0785e932a32b3ec15e1a1345537ae145eafe1c07bf38d5c16c11ee2b391e7a28</x:v>
      </x:c>
      <x:c r="Y1973" s="20" t="n">
        <x:v>1</x:v>
      </x:c>
      <x:c r="Z1973" s="20" t="n">
        <x:v>1</x:v>
      </x:c>
      <x:c r="AA1973" s="19"/>
      <x:c r="AB1973" s="18"/>
      <x:c r="AC1973" s="19"/>
    </x:row>
    <x:row r="1974" ht="28" customHeight="1">
      <x:c r="A1974" s="18" t="str">
        <x:v>西鉄平尾</x:v>
      </x:c>
      <x:c r="B1974" s="18" t="str">
        <x:v>西日本鉄道</x:v>
      </x:c>
      <x:c r="C1974" s="18" t="str">
        <x:v>private_rail</x:v>
      </x:c>
      <x:c r="D1974" s="19" t="str">
        <x:v>T2</x:v>
      </x:c>
      <x:c r="E1974" s="20" t="n">
        <x:v>15019</x:v>
      </x:c>
      <x:c r="F1974" s="18" t="str">
        <x:v>persons/day</x:v>
      </x:c>
      <x:c r="G1974" s="18" t="str">
        <x:v>FY2024</x:v>
      </x:c>
      <x:c r="H1974" s="18" t="str">
        <x:v>否</x:v>
      </x:c>
      <x:c r="I1974" s="19" t="str">
        <x:v>DAILY_ENTRIES_EXITS</x:v>
      </x:c>
      <x:c r="J1974" s="19" t="str">
        <x:v>天神大牟田線</x:v>
      </x:c>
      <x:c r="K1974" s="18" t="str">
        <x:v>transport-node:b5d9d351-cc61-5bc9-a046-52899994ab86</x:v>
      </x:c>
      <x:c r="L1974" s="19" t="str">
        <x:v>组件待审核</x:v>
      </x:c>
      <x:c r="M1974" s="21" t="n">
        <x:v>33.573805</x:v>
      </x:c>
      <x:c r="N1974" s="21" t="n">
        <x:v>130.40631</x:v>
      </x:c>
      <x:c r="O1974" s="18" t="str">
        <x:v>009082</x:v>
      </x:c>
      <x:c r="P1974" s="18" t="str">
        <x:v>天神大牟田線</x:v>
      </x:c>
      <x:c r="Q1974" s="19" t="str">
        <x:v>S12_061_GE_10000</x:v>
      </x:c>
      <x:c r="R1974" s="19" t="str">
        <x:v>S12_061 usage threshold</x:v>
      </x:c>
      <x:c r="S1974" s="19" t="str">
        <x:v>https://nlftp.mlit.go.jp/ksj/gml/datalist/KsjTmplt-S12-2024.html</x:v>
      </x:c>
      <x:c r="T1974" s="19" t="str">
        <x:v>https://nlftp.mlit.go.jp/ksj/gml/datalist/KsjTmplt-S12-2024.html</x:v>
      </x:c>
      <x:c r="U1974" s="19" t="str">
        <x:v>station-component|西鉄平尾|西日本鉄道|private_rail|33.5738|130.4063|</x:v>
      </x:c>
      <x:c r="V1974" s="19" t="str">
        <x:v>009082 / 009082 / 天神大牟田線</x:v>
      </x:c>
      <x:c r="W1974" s="18" t="str">
        <x:v>否</x:v>
      </x:c>
      <x:c r="X1974" s="18" t="str">
        <x:v>0785e932a32b3ec15e1a1345537ae145eafe1c07bf38d5c16c11ee2b391e7a28</x:v>
      </x:c>
      <x:c r="Y1974" s="20" t="n">
        <x:v>1</x:v>
      </x:c>
      <x:c r="Z1974" s="20" t="n">
        <x:v>1</x:v>
      </x:c>
      <x:c r="AA1974" s="19"/>
      <x:c r="AB1974" s="18"/>
      <x:c r="AC1974" s="19"/>
    </x:row>
    <x:row r="1975" ht="28" customHeight="1">
      <x:c r="A1975" s="18" t="str">
        <x:v>西鉄柳川</x:v>
      </x:c>
      <x:c r="B1975" s="18" t="str">
        <x:v>西日本鉄道</x:v>
      </x:c>
      <x:c r="C1975" s="18" t="str">
        <x:v>private_rail</x:v>
      </x:c>
      <x:c r="D1975" s="19" t="str">
        <x:v>T2</x:v>
      </x:c>
      <x:c r="E1975" s="20" t="n">
        <x:v>10905</x:v>
      </x:c>
      <x:c r="F1975" s="18" t="str">
        <x:v>persons/day</x:v>
      </x:c>
      <x:c r="G1975" s="18" t="str">
        <x:v>FY2024</x:v>
      </x:c>
      <x:c r="H1975" s="18" t="str">
        <x:v>否</x:v>
      </x:c>
      <x:c r="I1975" s="19" t="str">
        <x:v>DAILY_ENTRIES_EXITS</x:v>
      </x:c>
      <x:c r="J1975" s="19" t="str">
        <x:v>天神大牟田線</x:v>
      </x:c>
      <x:c r="K1975" s="18" t="str">
        <x:v>transport-node:42c8f957-8ec7-5f75-b41a-067cb9aefbd4</x:v>
      </x:c>
      <x:c r="L1975" s="19" t="str">
        <x:v>组件待审核</x:v>
      </x:c>
      <x:c r="M1975" s="21" t="n">
        <x:v>33.16511</x:v>
      </x:c>
      <x:c r="N1975" s="21" t="n">
        <x:v>130.419245</x:v>
      </x:c>
      <x:c r="O1975" s="18" t="str">
        <x:v>009554</x:v>
      </x:c>
      <x:c r="P1975" s="18" t="str">
        <x:v>天神大牟田線</x:v>
      </x:c>
      <x:c r="Q1975" s="19" t="str">
        <x:v>S12_061_GE_10000</x:v>
      </x:c>
      <x:c r="R1975" s="19" t="str">
        <x:v>S12_061 usage threshold</x:v>
      </x:c>
      <x:c r="S1975" s="19" t="str">
        <x:v>https://nlftp.mlit.go.jp/ksj/gml/datalist/KsjTmplt-S12-2024.html</x:v>
      </x:c>
      <x:c r="T1975" s="19" t="str">
        <x:v>https://nlftp.mlit.go.jp/ksj/gml/datalist/KsjTmplt-S12-2024.html</x:v>
      </x:c>
      <x:c r="U1975" s="19" t="str">
        <x:v>station-component|西鉄柳川|西日本鉄道|private_rail|33.1651|130.4192|</x:v>
      </x:c>
      <x:c r="V1975" s="19" t="str">
        <x:v>009554 / 009554 / 天神大牟田線</x:v>
      </x:c>
      <x:c r="W1975" s="18" t="str">
        <x:v>否</x:v>
      </x:c>
      <x:c r="X1975" s="18" t="str">
        <x:v>0785e932a32b3ec15e1a1345537ae145eafe1c07bf38d5c16c11ee2b391e7a28</x:v>
      </x:c>
      <x:c r="Y1975" s="20" t="n">
        <x:v>1</x:v>
      </x:c>
      <x:c r="Z1975" s="20" t="n">
        <x:v>1</x:v>
      </x:c>
      <x:c r="AA1975" s="19"/>
      <x:c r="AB1975" s="18"/>
      <x:c r="AC1975" s="19"/>
    </x:row>
    <x:row r="1976" ht="33" customHeight="1">
      <x:c r="A1976" s="18" t="str">
        <x:v>西鉄福岡（天神）</x:v>
      </x:c>
      <x:c r="B1976" s="18" t="str">
        <x:v>西日本鉄道</x:v>
      </x:c>
      <x:c r="C1976" s="18" t="str">
        <x:v>private_rail</x:v>
      </x:c>
      <x:c r="D1976" s="19" t="str">
        <x:v>T1</x:v>
      </x:c>
      <x:c r="E1976" s="20" t="n">
        <x:v>121660</x:v>
      </x:c>
      <x:c r="F1976" s="18" t="str">
        <x:v>persons/day</x:v>
      </x:c>
      <x:c r="G1976" s="18" t="str">
        <x:v>FY2024</x:v>
      </x:c>
      <x:c r="H1976" s="18" t="str">
        <x:v>否</x:v>
      </x:c>
      <x:c r="I1976" s="19" t="str">
        <x:v>DAILY_ENTRIES_EXITS</x:v>
      </x:c>
      <x:c r="J1976" s="19" t="str">
        <x:v>天神大牟田線</x:v>
      </x:c>
      <x:c r="K1976" s="18" t="str">
        <x:v>transport-node:c4cd6e29-0e0c-5412-829c-2d872c4f0365</x:v>
      </x:c>
      <x:c r="L1976" s="19" t="str">
        <x:v>组件待审核</x:v>
      </x:c>
      <x:c r="M1976" s="21" t="n">
        <x:v>33.5895167</x:v>
      </x:c>
      <x:c r="N1976" s="21" t="n">
        <x:v>130.39938</x:v>
      </x:c>
      <x:c r="O1976" s="18" t="str">
        <x:v>009036</x:v>
      </x:c>
      <x:c r="P1976" s="18" t="str">
        <x:v>天神大牟田線</x:v>
      </x:c>
      <x:c r="Q1976" s="19" t="str">
        <x:v>S12_061_GE_10000
OFFICIAL_HUB_COMPONENT_REVIEW</x:v>
      </x:c>
      <x:c r="R1976" s="19" t="str">
        <x:v>S12_061 usage threshold</x:v>
      </x:c>
      <x:c r="S1976" s="19" t="str">
        <x:v>https://nlftp.mlit.go.jp/ksj/gml/datalist/KsjTmplt-S12-2024.html</x:v>
      </x:c>
      <x:c r="T1976" s="19" t="str">
        <x:v>https://nlftp.mlit.go.jp/ksj/gml/datalist/KsjTmplt-S12-2024.html
https://subway.city.fukuoka.lg.jp/?lan=ja</x:v>
      </x:c>
      <x:c r="U1976" s="19" t="str">
        <x:v>station-component|西鉄福岡（天神）|西日本鉄道|private_rail|33.5895|130.3994|</x:v>
      </x:c>
      <x:c r="V1976" s="19" t="str">
        <x:v>009036 / 009036 / 天神大牟田線</x:v>
      </x:c>
      <x:c r="W1976" s="18" t="str">
        <x:v>否</x:v>
      </x:c>
      <x:c r="X1976" s="18" t="str">
        <x:v>0785e932a32b3ec15e1a1345537ae145eafe1c07bf38d5c16c11ee2b391e7a28</x:v>
      </x:c>
      <x:c r="Y1976" s="20" t="n">
        <x:v>1</x:v>
      </x:c>
      <x:c r="Z1976" s="20" t="n">
        <x:v>1</x:v>
      </x:c>
      <x:c r="AA1976" s="19" t="str">
        <x:v>天神・西鉄福岡・天神南</x:v>
      </x:c>
      <x:c r="AB1976" s="18" t="str">
        <x:v>transport-hub-review:063472a3-45f9-5bb7-8a3b-d43f8c6c39a1</x:v>
      </x:c>
      <x:c r="AC1976" s="19"/>
    </x:row>
    <x:row r="1977" ht="33" customHeight="1">
      <x:c r="A1977" s="18" t="str">
        <x:v>西長堀</x:v>
      </x:c>
      <x:c r="B1977" s="18" t="str">
        <x:v>大阪市高速電気軌道</x:v>
      </x:c>
      <x:c r="C1977" s="18" t="str">
        <x:v>metro</x:v>
      </x:c>
      <x:c r="D1977" s="19" t="str">
        <x:v>T2</x:v>
      </x:c>
      <x:c r="E1977" s="20" t="n">
        <x:v>24697</x:v>
      </x:c>
      <x:c r="F1977" s="18" t="str">
        <x:v>persons/day</x:v>
      </x:c>
      <x:c r="G1977" s="18" t="str">
        <x:v>FY2024</x:v>
      </x:c>
      <x:c r="H1977" s="18" t="str">
        <x:v>否</x:v>
      </x:c>
      <x:c r="I1977" s="19" t="str">
        <x:v>DAILY_ENTRIES_EXITS</x:v>
      </x:c>
      <x:c r="J1977" s="19" t="str">
        <x:v>5号線(千日前線)
7号線(長堀鶴見緑地線)</x:v>
      </x:c>
      <x:c r="K1977" s="18" t="str">
        <x:v>transport-node:449a1438-87a0-50ce-bb65-b4daf76e3337</x:v>
      </x:c>
      <x:c r="L1977" s="19" t="str">
        <x:v>组件待审核</x:v>
      </x:c>
      <x:c r="M1977" s="21" t="n">
        <x:v>34.673935</x:v>
      </x:c>
      <x:c r="N1977" s="21" t="n">
        <x:v>135.48701</x:v>
      </x:c>
      <x:c r="O1977" s="18" t="str">
        <x:v>007269</x:v>
      </x:c>
      <x:c r="P1977" s="18" t="str">
        <x:v>5号線(千日前線)</x:v>
      </x:c>
      <x:c r="Q1977" s="19" t="str">
        <x:v>S12_061_GE_10000
OFFICIAL_HUB_COMPONENT_REVIEW</x:v>
      </x:c>
      <x:c r="R1977" s="19" t="str">
        <x:v>S12_061 usage threshold</x:v>
      </x:c>
      <x:c r="S1977" s="19" t="str">
        <x:v>https://nlftp.mlit.go.jp/ksj/gml/datalist/KsjTmplt-S12-2024.html</x:v>
      </x:c>
      <x:c r="T1977" s="19" t="str">
        <x:v>https://nlftp.mlit.go.jp/ksj/gml/datalist/KsjTmplt-S12-2024.html
https://subway.osakametro.co.jp/station_guide/N/n13/index.php</x:v>
      </x:c>
      <x:c r="U1977" s="19" t="str">
        <x:v>station-component|西長堀|大阪市高速電気軌道|metro|34.6739|135.4870|</x:v>
      </x:c>
      <x:c r="V1977" s="19" t="str">
        <x:v>007246 / 007246 / 7号線(長堀鶴見緑地線)
007246 / 007269 / 5号線(千日前線)</x:v>
      </x:c>
      <x:c r="W1977" s="18" t="str">
        <x:v>否</x:v>
      </x:c>
      <x:c r="X1977" s="18" t="str">
        <x:v>0785e932a32b3ec15e1a1345537ae145eafe1c07bf38d5c16c11ee2b391e7a28</x:v>
      </x:c>
      <x:c r="Y1977" s="20" t="n">
        <x:v>1</x:v>
      </x:c>
      <x:c r="Z1977" s="20" t="n">
        <x:v>1</x:v>
      </x:c>
      <x:c r="AA1977" s="19" t="str">
        <x:v>西長堀</x:v>
      </x:c>
      <x:c r="AB1977" s="18" t="str">
        <x:v>transport-hub-review:32fbb01e-2799-5ca3-afcc-0415316bda71</x:v>
      </x:c>
      <x:c r="AC1977" s="19"/>
    </x:row>
    <x:row r="1978" ht="33" customHeight="1">
      <x:c r="A1978" s="18" t="str">
        <x:v>西院</x:v>
      </x:c>
      <x:c r="B1978" s="18" t="str">
        <x:v>京福電気鉄道</x:v>
      </x:c>
      <x:c r="C1978" s="18" t="str">
        <x:v>tram</x:v>
      </x:c>
      <x:c r="D1978" s="19" t="str">
        <x:v>T3</x:v>
      </x:c>
      <x:c r="E1978" s="20" t="n">
        <x:v>6060</x:v>
      </x:c>
      <x:c r="F1978" s="18" t="str">
        <x:v>persons/day</x:v>
      </x:c>
      <x:c r="G1978" s="18" t="str">
        <x:v>FY2024</x:v>
      </x:c>
      <x:c r="H1978" s="18" t="str">
        <x:v>否</x:v>
      </x:c>
      <x:c r="I1978" s="19" t="str">
        <x:v>DAILY_ENTRIES_EXITS</x:v>
      </x:c>
      <x:c r="J1978" s="19" t="str">
        <x:v>嵐山本線</x:v>
      </x:c>
      <x:c r="K1978" s="18" t="str">
        <x:v>transport-node:4efa5e12-212d-583f-bdc9-52d7d2def089</x:v>
      </x:c>
      <x:c r="L1978" s="19" t="str">
        <x:v>组件待审核</x:v>
      </x:c>
      <x:c r="M1978" s="21" t="n">
        <x:v>35.0032</x:v>
      </x:c>
      <x:c r="N1978" s="21" t="n">
        <x:v>135.7342725</x:v>
      </x:c>
      <x:c r="O1978" s="18" t="str">
        <x:v>005998</x:v>
      </x:c>
      <x:c r="P1978" s="18" t="str">
        <x:v>嵐山本線</x:v>
      </x:c>
      <x:c r="Q1978" s="19" t="str">
        <x:v>OFFICIAL_HUB_COMPONENT_REVIEW</x:v>
      </x:c>
      <x:c r="R1978" s="19" t="str">
        <x:v>S12_061 usage threshold; low-flow inclusion justified by official Hub component review</x:v>
      </x:c>
      <x:c r="S1978" s="19" t="str">
        <x:v>https://nlftp.mlit.go.jp/ksj/gml/datalist/KsjTmplt-S12-2024.html</x:v>
      </x:c>
      <x:c r="T1978" s="19" t="str">
        <x:v>https://nlftp.mlit.go.jp/ksj/gml/datalist/KsjTmplt-S12-2024.html
https://www.hankyu.co.jp/station/index.html</x:v>
      </x:c>
      <x:c r="U1978" s="19" t="str">
        <x:v>station-component|西院|京福電気鉄道|tram|35.0032|135.7343|</x:v>
      </x:c>
      <x:c r="V1978" s="19" t="str">
        <x:v>005996 / 005998 / 嵐山本線</x:v>
      </x:c>
      <x:c r="W1978" s="18" t="str">
        <x:v>否</x:v>
      </x:c>
      <x:c r="X1978" s="18" t="str">
        <x:v>0785e932a32b3ec15e1a1345537ae145eafe1c07bf38d5c16c11ee2b391e7a28</x:v>
      </x:c>
      <x:c r="Y1978" s="20" t="n">
        <x:v>1</x:v>
      </x:c>
      <x:c r="Z1978" s="20" t="n">
        <x:v>1</x:v>
      </x:c>
      <x:c r="AA1978" s="19" t="str">
        <x:v>西院</x:v>
      </x:c>
      <x:c r="AB1978" s="18" t="str">
        <x:v>transport-hub-review:953261f0-73ed-5708-b1c9-7de606da0518</x:v>
      </x:c>
      <x:c r="AC1978" s="19"/>
    </x:row>
    <x:row r="1979" ht="33" customHeight="1">
      <x:c r="A1979" s="18" t="str">
        <x:v>西院</x:v>
      </x:c>
      <x:c r="B1979" s="18" t="str">
        <x:v>阪急電鉄</x:v>
      </x:c>
      <x:c r="C1979" s="18" t="str">
        <x:v>private_rail</x:v>
      </x:c>
      <x:c r="D1979" s="19" t="str">
        <x:v>T2</x:v>
      </x:c>
      <x:c r="E1979" s="20" t="n">
        <x:v>37635</x:v>
      </x:c>
      <x:c r="F1979" s="18" t="str">
        <x:v>persons/day</x:v>
      </x:c>
      <x:c r="G1979" s="18" t="str">
        <x:v>FY2024</x:v>
      </x:c>
      <x:c r="H1979" s="18" t="str">
        <x:v>否</x:v>
      </x:c>
      <x:c r="I1979" s="19" t="str">
        <x:v>DAILY_ENTRIES_EXITS</x:v>
      </x:c>
      <x:c r="J1979" s="19" t="str">
        <x:v>京都線</x:v>
      </x:c>
      <x:c r="K1979" s="18" t="str">
        <x:v>transport-node:32c4d3fb-a25b-5acc-9454-eb902364f779</x:v>
      </x:c>
      <x:c r="L1979" s="19" t="str">
        <x:v>组件待审核</x:v>
      </x:c>
      <x:c r="M1979" s="21" t="n">
        <x:v>35.003565</x:v>
      </x:c>
      <x:c r="N1979" s="21" t="n">
        <x:v>135.731965</x:v>
      </x:c>
      <x:c r="O1979" s="18" t="str">
        <x:v>005996</x:v>
      </x:c>
      <x:c r="P1979" s="18" t="str">
        <x:v>京都線</x:v>
      </x:c>
      <x:c r="Q1979" s="19" t="str">
        <x:v>S12_061_GE_10000
OFFICIAL_HUB_COMPONENT_REVIEW</x:v>
      </x:c>
      <x:c r="R1979" s="19" t="str">
        <x:v>S12_061 usage threshold</x:v>
      </x:c>
      <x:c r="S1979" s="19" t="str">
        <x:v>https://nlftp.mlit.go.jp/ksj/gml/datalist/KsjTmplt-S12-2024.html</x:v>
      </x:c>
      <x:c r="T1979" s="19" t="str">
        <x:v>https://nlftp.mlit.go.jp/ksj/gml/datalist/KsjTmplt-S12-2024.html
https://www.hankyu.co.jp/station/index.html</x:v>
      </x:c>
      <x:c r="U1979" s="19" t="str">
        <x:v>station-component|西院|阪急電鉄|private_rail|35.0036|135.7320|</x:v>
      </x:c>
      <x:c r="V1979" s="19" t="str">
        <x:v>005996 / 005996 / 京都線</x:v>
      </x:c>
      <x:c r="W1979" s="18" t="str">
        <x:v>否</x:v>
      </x:c>
      <x:c r="X1979" s="18" t="str">
        <x:v>0785e932a32b3ec15e1a1345537ae145eafe1c07bf38d5c16c11ee2b391e7a28</x:v>
      </x:c>
      <x:c r="Y1979" s="20" t="n">
        <x:v>1</x:v>
      </x:c>
      <x:c r="Z1979" s="20" t="n">
        <x:v>1</x:v>
      </x:c>
      <x:c r="AA1979" s="19" t="str">
        <x:v>西院</x:v>
      </x:c>
      <x:c r="AB1979" s="18" t="str">
        <x:v>transport-hub-review:953261f0-73ed-5708-b1c9-7de606da0518</x:v>
      </x:c>
      <x:c r="AC1979" s="19"/>
    </x:row>
    <x:row r="1980" ht="28" customHeight="1">
      <x:c r="A1980" s="18" t="str">
        <x:v>西馬込</x:v>
      </x:c>
      <x:c r="B1980" s="18" t="str">
        <x:v>東京都</x:v>
      </x:c>
      <x:c r="C1980" s="18" t="str">
        <x:v>metro</x:v>
      </x:c>
      <x:c r="D1980" s="19" t="str">
        <x:v>T2</x:v>
      </x:c>
      <x:c r="E1980" s="20" t="n">
        <x:v>43636</x:v>
      </x:c>
      <x:c r="F1980" s="18" t="str">
        <x:v>persons/day</x:v>
      </x:c>
      <x:c r="G1980" s="18" t="str">
        <x:v>FY2024</x:v>
      </x:c>
      <x:c r="H1980" s="18" t="str">
        <x:v>否</x:v>
      </x:c>
      <x:c r="I1980" s="19" t="str">
        <x:v>DAILY_ENTRIES_EXITS</x:v>
      </x:c>
      <x:c r="J1980" s="19" t="str">
        <x:v>1号線浅草線</x:v>
      </x:c>
      <x:c r="K1980" s="18" t="str">
        <x:v>transport-node:f3c29728-58ef-5731-95f0-a9ae76f04712</x:v>
      </x:c>
      <x:c r="L1980" s="19" t="str">
        <x:v>组件待审核</x:v>
      </x:c>
      <x:c r="M1980" s="21" t="n">
        <x:v>35.587305</x:v>
      </x:c>
      <x:c r="N1980" s="21" t="n">
        <x:v>139.70632</x:v>
      </x:c>
      <x:c r="O1980" s="18" t="str">
        <x:v>004270</x:v>
      </x:c>
      <x:c r="P1980" s="18" t="str">
        <x:v>1号線浅草線</x:v>
      </x:c>
      <x:c r="Q1980" s="19" t="str">
        <x:v>S12_061_GE_10000</x:v>
      </x:c>
      <x:c r="R1980" s="19" t="str">
        <x:v>S12_061 usage threshold</x:v>
      </x:c>
      <x:c r="S1980" s="19" t="str">
        <x:v>https://nlftp.mlit.go.jp/ksj/gml/datalist/KsjTmplt-S12-2024.html</x:v>
      </x:c>
      <x:c r="T1980" s="19" t="str">
        <x:v>https://nlftp.mlit.go.jp/ksj/gml/datalist/KsjTmplt-S12-2024.html</x:v>
      </x:c>
      <x:c r="U1980" s="19" t="str">
        <x:v>station-component|西馬込|東京都|metro|35.5873|139.7063|</x:v>
      </x:c>
      <x:c r="V1980" s="19" t="str">
        <x:v>004270 / 004270 / 1号線浅草線</x:v>
      </x:c>
      <x:c r="W1980" s="18" t="str">
        <x:v>否</x:v>
      </x:c>
      <x:c r="X1980" s="18" t="str">
        <x:v>0785e932a32b3ec15e1a1345537ae145eafe1c07bf38d5c16c11ee2b391e7a28</x:v>
      </x:c>
      <x:c r="Y1980" s="20" t="n">
        <x:v>1</x:v>
      </x:c>
      <x:c r="Z1980" s="20" t="n">
        <x:v>1</x:v>
      </x:c>
      <x:c r="AA1980" s="19"/>
      <x:c r="AB1980" s="18"/>
      <x:c r="AC1980" s="19"/>
    </x:row>
    <x:row r="1981" ht="28" customHeight="1">
      <x:c r="A1981" s="18" t="str">
        <x:v>西高島平</x:v>
      </x:c>
      <x:c r="B1981" s="18" t="str">
        <x:v>東京都</x:v>
      </x:c>
      <x:c r="C1981" s="18" t="str">
        <x:v>metro</x:v>
      </x:c>
      <x:c r="D1981" s="19" t="str">
        <x:v>T2</x:v>
      </x:c>
      <x:c r="E1981" s="20" t="n">
        <x:v>12970</x:v>
      </x:c>
      <x:c r="F1981" s="18" t="str">
        <x:v>persons/day</x:v>
      </x:c>
      <x:c r="G1981" s="18" t="str">
        <x:v>FY2024</x:v>
      </x:c>
      <x:c r="H1981" s="18" t="str">
        <x:v>否</x:v>
      </x:c>
      <x:c r="I1981" s="19" t="str">
        <x:v>DAILY_ENTRIES_EXITS</x:v>
      </x:c>
      <x:c r="J1981" s="19" t="str">
        <x:v>6号線三田線</x:v>
      </x:c>
      <x:c r="K1981" s="18" t="str">
        <x:v>transport-node:e5b8d05a-6e17-55be-911e-67f9b9da4acc</x:v>
      </x:c>
      <x:c r="L1981" s="19" t="str">
        <x:v>组件待审核</x:v>
      </x:c>
      <x:c r="M1981" s="21" t="n">
        <x:v>35.791895</x:v>
      </x:c>
      <x:c r="N1981" s="21" t="n">
        <x:v>139.645685</x:v>
      </x:c>
      <x:c r="O1981" s="18" t="str">
        <x:v>003104</x:v>
      </x:c>
      <x:c r="P1981" s="18" t="str">
        <x:v>6号線三田線</x:v>
      </x:c>
      <x:c r="Q1981" s="19" t="str">
        <x:v>S12_061_GE_10000</x:v>
      </x:c>
      <x:c r="R1981" s="19" t="str">
        <x:v>S12_061 usage threshold</x:v>
      </x:c>
      <x:c r="S1981" s="19" t="str">
        <x:v>https://nlftp.mlit.go.jp/ksj/gml/datalist/KsjTmplt-S12-2024.html</x:v>
      </x:c>
      <x:c r="T1981" s="19" t="str">
        <x:v>https://nlftp.mlit.go.jp/ksj/gml/datalist/KsjTmplt-S12-2024.html</x:v>
      </x:c>
      <x:c r="U1981" s="19" t="str">
        <x:v>station-component|西高島平|東京都|metro|35.7919|139.6457|</x:v>
      </x:c>
      <x:c r="V1981" s="19" t="str">
        <x:v>003104 / 003104 / 6号線三田線</x:v>
      </x:c>
      <x:c r="W1981" s="18" t="str">
        <x:v>否</x:v>
      </x:c>
      <x:c r="X1981" s="18" t="str">
        <x:v>0785e932a32b3ec15e1a1345537ae145eafe1c07bf38d5c16c11ee2b391e7a28</x:v>
      </x:c>
      <x:c r="Y1981" s="20" t="n">
        <x:v>1</x:v>
      </x:c>
      <x:c r="Z1981" s="20" t="n">
        <x:v>1</x:v>
      </x:c>
      <x:c r="AA1981" s="19"/>
      <x:c r="AB1981" s="18"/>
      <x:c r="AC1981" s="19"/>
    </x:row>
    <x:row r="1982" ht="33" customHeight="1">
      <x:c r="A1982" s="18" t="str">
        <x:v>要町</x:v>
      </x:c>
      <x:c r="B1982" s="18" t="str">
        <x:v>東京地下鉄</x:v>
      </x:c>
      <x:c r="C1982" s="18" t="str">
        <x:v>metro</x:v>
      </x:c>
      <x:c r="D1982" s="19" t="str">
        <x:v>T2</x:v>
      </x:c>
      <x:c r="E1982" s="20" t="n">
        <x:v>40890</x:v>
      </x:c>
      <x:c r="F1982" s="18" t="str">
        <x:v>persons/day</x:v>
      </x:c>
      <x:c r="G1982" s="18" t="str">
        <x:v>FY2024</x:v>
      </x:c>
      <x:c r="H1982" s="18" t="str">
        <x:v>否</x:v>
      </x:c>
      <x:c r="I1982" s="19" t="str">
        <x:v>DAILY_ENTRIES_EXITS</x:v>
      </x:c>
      <x:c r="J1982" s="19" t="str">
        <x:v>13号線副都心線
8号線有楽町線</x:v>
      </x:c>
      <x:c r="K1982" s="18" t="str">
        <x:v>transport-node:16d9806b-093d-5031-8b22-788e5c903f31</x:v>
      </x:c>
      <x:c r="L1982" s="19" t="str">
        <x:v>组件待审核</x:v>
      </x:c>
      <x:c r="M1982" s="21" t="n">
        <x:v>35.733215</x:v>
      </x:c>
      <x:c r="N1982" s="21" t="n">
        <x:v>139.69848</x:v>
      </x:c>
      <x:c r="O1982" s="18" t="str">
        <x:v>003362</x:v>
      </x:c>
      <x:c r="P1982" s="18" t="str">
        <x:v>8号線有楽町線</x:v>
      </x:c>
      <x:c r="Q1982" s="19" t="str">
        <x:v>S12_061_GE_10000</x:v>
      </x:c>
      <x:c r="R1982" s="19" t="str">
        <x:v>S12_061 usage threshold</x:v>
      </x:c>
      <x:c r="S1982" s="19" t="str">
        <x:v>https://nlftp.mlit.go.jp/ksj/gml/datalist/KsjTmplt-S12-2024.html</x:v>
      </x:c>
      <x:c r="T1982" s="19" t="str">
        <x:v>https://nlftp.mlit.go.jp/ksj/gml/datalist/KsjTmplt-S12-2024.html</x:v>
      </x:c>
      <x:c r="U1982" s="19" t="str">
        <x:v>station-component|要町|東京地下鉄|metro|35.7332|139.6985|</x:v>
      </x:c>
      <x:c r="V1982" s="19" t="str">
        <x:v>003361 / 003361 / 13号線副都心線
003361 / 003362 / 8号線有楽町線</x:v>
      </x:c>
      <x:c r="W1982" s="18" t="str">
        <x:v>否</x:v>
      </x:c>
      <x:c r="X1982" s="18" t="str">
        <x:v>0785e932a32b3ec15e1a1345537ae145eafe1c07bf38d5c16c11ee2b391e7a28</x:v>
      </x:c>
      <x:c r="Y1982" s="20" t="n">
        <x:v>1</x:v>
      </x:c>
      <x:c r="Z1982" s="20" t="n">
        <x:v>1</x:v>
      </x:c>
      <x:c r="AA1982" s="19"/>
      <x:c r="AB1982" s="18"/>
      <x:c r="AC1982" s="19"/>
    </x:row>
    <x:row r="1983" ht="28" customHeight="1">
      <x:c r="A1983" s="18" t="str">
        <x:v>見沼代親水公園</x:v>
      </x:c>
      <x:c r="B1983" s="18" t="str">
        <x:v>東京都</x:v>
      </x:c>
      <x:c r="C1983" s="18" t="str">
        <x:v>fixed_guideway</x:v>
      </x:c>
      <x:c r="D1983" s="19" t="str">
        <x:v>T2</x:v>
      </x:c>
      <x:c r="E1983" s="20" t="n">
        <x:v>13889</x:v>
      </x:c>
      <x:c r="F1983" s="18" t="str">
        <x:v>persons/day</x:v>
      </x:c>
      <x:c r="G1983" s="18" t="str">
        <x:v>FY2024</x:v>
      </x:c>
      <x:c r="H1983" s="18" t="str">
        <x:v>否</x:v>
      </x:c>
      <x:c r="I1983" s="19" t="str">
        <x:v>DAILY_ENTRIES_EXITS</x:v>
      </x:c>
      <x:c r="J1983" s="19" t="str">
        <x:v>日暮里・舎人ライナー</x:v>
      </x:c>
      <x:c r="K1983" s="18" t="str">
        <x:v>transport-node:fa13c595-e88d-59c7-b4ef-9e0ad231bf0b</x:v>
      </x:c>
      <x:c r="L1983" s="19" t="str">
        <x:v>组件待审核</x:v>
      </x:c>
      <x:c r="M1983" s="21" t="n">
        <x:v>35.814605</x:v>
      </x:c>
      <x:c r="N1983" s="21" t="n">
        <x:v>139.7707</x:v>
      </x:c>
      <x:c r="O1983" s="18" t="str">
        <x:v>003060</x:v>
      </x:c>
      <x:c r="P1983" s="18" t="str">
        <x:v>日暮里・舎人ライナー</x:v>
      </x:c>
      <x:c r="Q1983" s="19" t="str">
        <x:v>S12_061_GE_10000</x:v>
      </x:c>
      <x:c r="R1983" s="19" t="str">
        <x:v>S12_061 usage threshold</x:v>
      </x:c>
      <x:c r="S1983" s="19" t="str">
        <x:v>https://nlftp.mlit.go.jp/ksj/gml/datalist/KsjTmplt-S12-2024.html</x:v>
      </x:c>
      <x:c r="T1983" s="19" t="str">
        <x:v>https://nlftp.mlit.go.jp/ksj/gml/datalist/KsjTmplt-S12-2024.html</x:v>
      </x:c>
      <x:c r="U1983" s="19" t="str">
        <x:v>station-component|見沼代親水公園|東京都|fixed_guideway|35.8146|139.7707|</x:v>
      </x:c>
      <x:c r="V1983" s="19" t="str">
        <x:v>003060 / 003060 / 日暮里・舎人ライナー</x:v>
      </x:c>
      <x:c r="W1983" s="18" t="str">
        <x:v>否</x:v>
      </x:c>
      <x:c r="X1983" s="18" t="str">
        <x:v>0785e932a32b3ec15e1a1345537ae145eafe1c07bf38d5c16c11ee2b391e7a28</x:v>
      </x:c>
      <x:c r="Y1983" s="20" t="n">
        <x:v>1</x:v>
      </x:c>
      <x:c r="Z1983" s="20" t="n">
        <x:v>1</x:v>
      </x:c>
      <x:c r="AA1983" s="19"/>
      <x:c r="AB1983" s="18"/>
      <x:c r="AC1983" s="19"/>
    </x:row>
    <x:row r="1984" ht="28" customHeight="1">
      <x:c r="A1984" s="18" t="str">
        <x:v>覚王山</x:v>
      </x:c>
      <x:c r="B1984" s="18" t="str">
        <x:v>名古屋市</x:v>
      </x:c>
      <x:c r="C1984" s="18" t="str">
        <x:v>metro</x:v>
      </x:c>
      <x:c r="D1984" s="19" t="str">
        <x:v>T2</x:v>
      </x:c>
      <x:c r="E1984" s="20" t="n">
        <x:v>18015</x:v>
      </x:c>
      <x:c r="F1984" s="18" t="str">
        <x:v>persons/day</x:v>
      </x:c>
      <x:c r="G1984" s="18" t="str">
        <x:v>FY2024</x:v>
      </x:c>
      <x:c r="H1984" s="18" t="str">
        <x:v>否</x:v>
      </x:c>
      <x:c r="I1984" s="19" t="str">
        <x:v>DAILY_ENTRIES_EXITS</x:v>
      </x:c>
      <x:c r="J1984" s="19" t="str">
        <x:v>1号線東山線</x:v>
      </x:c>
      <x:c r="K1984" s="18" t="str">
        <x:v>transport-node:269946fa-e51c-5f4a-838c-deac6f5228b8</x:v>
      </x:c>
      <x:c r="L1984" s="19" t="str">
        <x:v>组件待审核</x:v>
      </x:c>
      <x:c r="M1984" s="21" t="n">
        <x:v>35.166545</x:v>
      </x:c>
      <x:c r="N1984" s="21" t="n">
        <x:v>136.952505</x:v>
      </x:c>
      <x:c r="O1984" s="18" t="str">
        <x:v>005478</x:v>
      </x:c>
      <x:c r="P1984" s="18" t="str">
        <x:v>1号線東山線</x:v>
      </x:c>
      <x:c r="Q1984" s="19" t="str">
        <x:v>S12_061_GE_10000</x:v>
      </x:c>
      <x:c r="R1984" s="19" t="str">
        <x:v>S12_061 usage threshold</x:v>
      </x:c>
      <x:c r="S1984" s="19" t="str">
        <x:v>https://nlftp.mlit.go.jp/ksj/gml/datalist/KsjTmplt-S12-2024.html</x:v>
      </x:c>
      <x:c r="T1984" s="19" t="str">
        <x:v>https://nlftp.mlit.go.jp/ksj/gml/datalist/KsjTmplt-S12-2024.html</x:v>
      </x:c>
      <x:c r="U1984" s="19" t="str">
        <x:v>station-component|覚王山|名古屋市|metro|35.1665|136.9525|</x:v>
      </x:c>
      <x:c r="V1984" s="19" t="str">
        <x:v>005478 / 005478 / 1号線東山線</x:v>
      </x:c>
      <x:c r="W1984" s="18" t="str">
        <x:v>否</x:v>
      </x:c>
      <x:c r="X1984" s="18" t="str">
        <x:v>0785e932a32b3ec15e1a1345537ae145eafe1c07bf38d5c16c11ee2b391e7a28</x:v>
      </x:c>
      <x:c r="Y1984" s="20" t="n">
        <x:v>1</x:v>
      </x:c>
      <x:c r="Z1984" s="20" t="n">
        <x:v>1</x:v>
      </x:c>
      <x:c r="AA1984" s="19"/>
      <x:c r="AB1984" s="18"/>
      <x:c r="AC1984" s="19"/>
    </x:row>
    <x:row r="1985" ht="28" customHeight="1">
      <x:c r="A1985" s="18" t="str">
        <x:v>誉田</x:v>
      </x:c>
      <x:c r="B1985" s="18" t="str">
        <x:v>東日本旅客鉄道</x:v>
      </x:c>
      <x:c r="C1985" s="18" t="str">
        <x:v>conventional_rail</x:v>
      </x:c>
      <x:c r="D1985" s="19" t="str">
        <x:v>T2</x:v>
      </x:c>
      <x:c r="E1985" s="20" t="n">
        <x:v>14144</x:v>
      </x:c>
      <x:c r="F1985" s="18" t="str">
        <x:v>persons/day</x:v>
      </x:c>
      <x:c r="G1985" s="18" t="str">
        <x:v>FY2024</x:v>
      </x:c>
      <x:c r="H1985" s="18" t="str">
        <x:v>否</x:v>
      </x:c>
      <x:c r="I1985" s="19" t="str">
        <x:v>DAILY_ENTRIES_EXITS</x:v>
      </x:c>
      <x:c r="J1985" s="19" t="str">
        <x:v>外房線</x:v>
      </x:c>
      <x:c r="K1985" s="18" t="str">
        <x:v>transport-node:f3e435f7-b087-511c-80ee-18902f0dbe5c</x:v>
      </x:c>
      <x:c r="L1985" s="19" t="str">
        <x:v>组件待审核</x:v>
      </x:c>
      <x:c r="M1985" s="21" t="n">
        <x:v>35.547</x:v>
      </x:c>
      <x:c r="N1985" s="21" t="n">
        <x:v>140.213785</x:v>
      </x:c>
      <x:c r="O1985" s="18" t="str">
        <x:v>004375</x:v>
      </x:c>
      <x:c r="P1985" s="18" t="str">
        <x:v>外房線</x:v>
      </x:c>
      <x:c r="Q1985" s="19" t="str">
        <x:v>S12_061_GE_10000</x:v>
      </x:c>
      <x:c r="R1985" s="19" t="str">
        <x:v>S12_061 usage threshold</x:v>
      </x:c>
      <x:c r="S1985" s="19" t="str">
        <x:v>https://nlftp.mlit.go.jp/ksj/gml/datalist/KsjTmplt-S12-2024.html</x:v>
      </x:c>
      <x:c r="T1985" s="19" t="str">
        <x:v>https://nlftp.mlit.go.jp/ksj/gml/datalist/KsjTmplt-S12-2024.html</x:v>
      </x:c>
      <x:c r="U1985" s="19" t="str">
        <x:v>station-component|誉田|東日本旅客鉄道|conventional_rail|35.5470|140.2138|</x:v>
      </x:c>
      <x:c r="V1985" s="19" t="str">
        <x:v>004375 / 004375 / 外房線</x:v>
      </x:c>
      <x:c r="W1985" s="18" t="str">
        <x:v>否</x:v>
      </x:c>
      <x:c r="X1985" s="18" t="str">
        <x:v>0785e932a32b3ec15e1a1345537ae145eafe1c07bf38d5c16c11ee2b391e7a28</x:v>
      </x:c>
      <x:c r="Y1985" s="20" t="n">
        <x:v>1</x:v>
      </x:c>
      <x:c r="Z1985" s="20" t="n">
        <x:v>1</x:v>
      </x:c>
      <x:c r="AA1985" s="19"/>
      <x:c r="AB1985" s="18"/>
      <x:c r="AC1985" s="19"/>
    </x:row>
    <x:row r="1986" ht="28" customHeight="1">
      <x:c r="A1986" s="18" t="str">
        <x:v>読売ランド前</x:v>
      </x:c>
      <x:c r="B1986" s="18" t="str">
        <x:v>小田急電鉄</x:v>
      </x:c>
      <x:c r="C1986" s="18" t="str">
        <x:v>private_rail</x:v>
      </x:c>
      <x:c r="D1986" s="19" t="str">
        <x:v>T2</x:v>
      </x:c>
      <x:c r="E1986" s="20" t="n">
        <x:v>31747</x:v>
      </x:c>
      <x:c r="F1986" s="18" t="str">
        <x:v>persons/day</x:v>
      </x:c>
      <x:c r="G1986" s="18" t="str">
        <x:v>FY2024</x:v>
      </x:c>
      <x:c r="H1986" s="18" t="str">
        <x:v>否</x:v>
      </x:c>
      <x:c r="I1986" s="19" t="str">
        <x:v>DAILY_ENTRIES_EXITS</x:v>
      </x:c>
      <x:c r="J1986" s="19" t="str">
        <x:v>小田原線</x:v>
      </x:c>
      <x:c r="K1986" s="18" t="str">
        <x:v>transport-node:fe3ef1c0-75a6-5ed1-a1cd-a7903e1a8696</x:v>
      </x:c>
      <x:c r="L1986" s="19" t="str">
        <x:v>组件待审核</x:v>
      </x:c>
      <x:c r="M1986" s="21" t="n">
        <x:v>35.614735</x:v>
      </x:c>
      <x:c r="N1986" s="21" t="n">
        <x:v>139.52804</x:v>
      </x:c>
      <x:c r="O1986" s="18" t="str">
        <x:v>004160</x:v>
      </x:c>
      <x:c r="P1986" s="18" t="str">
        <x:v>小田原線</x:v>
      </x:c>
      <x:c r="Q1986" s="19" t="str">
        <x:v>S12_061_GE_10000</x:v>
      </x:c>
      <x:c r="R1986" s="19" t="str">
        <x:v>S12_061 usage threshold</x:v>
      </x:c>
      <x:c r="S1986" s="19" t="str">
        <x:v>https://nlftp.mlit.go.jp/ksj/gml/datalist/KsjTmplt-S12-2024.html</x:v>
      </x:c>
      <x:c r="T1986" s="19" t="str">
        <x:v>https://nlftp.mlit.go.jp/ksj/gml/datalist/KsjTmplt-S12-2024.html</x:v>
      </x:c>
      <x:c r="U1986" s="19" t="str">
        <x:v>station-component|読売ランド前|小田急電鉄|private_rail|35.6147|139.5280|</x:v>
      </x:c>
      <x:c r="V1986" s="19" t="str">
        <x:v>004160 / 004160 / 小田原線</x:v>
      </x:c>
      <x:c r="W1986" s="18" t="str">
        <x:v>否</x:v>
      </x:c>
      <x:c r="X1986" s="18" t="str">
        <x:v>0785e932a32b3ec15e1a1345537ae145eafe1c07bf38d5c16c11ee2b391e7a28</x:v>
      </x:c>
      <x:c r="Y1986" s="20" t="n">
        <x:v>1</x:v>
      </x:c>
      <x:c r="Z1986" s="20" t="n">
        <x:v>1</x:v>
      </x:c>
      <x:c r="AA1986" s="19"/>
      <x:c r="AB1986" s="18"/>
      <x:c r="AC1986" s="19"/>
    </x:row>
    <x:row r="1987" ht="33" customHeight="1">
      <x:c r="A1987" s="18" t="str">
        <x:v>調布</x:v>
      </x:c>
      <x:c r="B1987" s="18" t="str">
        <x:v>京王電鉄</x:v>
      </x:c>
      <x:c r="C1987" s="18" t="str">
        <x:v>private_rail</x:v>
      </x:c>
      <x:c r="D1987" s="19" t="str">
        <x:v>T1</x:v>
      </x:c>
      <x:c r="E1987" s="20" t="n">
        <x:v>118575</x:v>
      </x:c>
      <x:c r="F1987" s="18" t="str">
        <x:v>persons/day</x:v>
      </x:c>
      <x:c r="G1987" s="18" t="str">
        <x:v>FY2024</x:v>
      </x:c>
      <x:c r="H1987" s="18" t="str">
        <x:v>否</x:v>
      </x:c>
      <x:c r="I1987" s="19" t="str">
        <x:v>DAILY_ENTRIES_EXITS</x:v>
      </x:c>
      <x:c r="J1987" s="19" t="str">
        <x:v>京王線
相模原線</x:v>
      </x:c>
      <x:c r="K1987" s="18" t="str">
        <x:v>transport-node:17e37ca0-2e29-517c-891f-8c72ebea1348</x:v>
      </x:c>
      <x:c r="L1987" s="19" t="str">
        <x:v>组件待审核</x:v>
      </x:c>
      <x:c r="M1987" s="21" t="n">
        <x:v>35.65177</x:v>
      </x:c>
      <x:c r="N1987" s="21" t="n">
        <x:v>139.544735</x:v>
      </x:c>
      <x:c r="O1987" s="18" t="str">
        <x:v>003966</x:v>
      </x:c>
      <x:c r="P1987" s="18" t="str">
        <x:v>京王線</x:v>
      </x:c>
      <x:c r="Q1987" s="19" t="str">
        <x:v>S12_061_GE_10000
OFFICIAL_HUB_COMPONENT_REVIEW</x:v>
      </x:c>
      <x:c r="R1987" s="19" t="str">
        <x:v>S12_061 usage threshold</x:v>
      </x:c>
      <x:c r="S1987" s="19" t="str">
        <x:v>https://nlftp.mlit.go.jp/ksj/gml/datalist/KsjTmplt-S12-2024.html</x:v>
      </x:c>
      <x:c r="T1987" s="19" t="str">
        <x:v>https://nlftp.mlit.go.jp/ksj/gml/datalist/KsjTmplt-S12-2024.html
https://www.keio.co.jp/train/station/</x:v>
      </x:c>
      <x:c r="U1987" s="19" t="str">
        <x:v>station-component|調布|京王電鉄|private_rail|35.6518|139.5447|</x:v>
      </x:c>
      <x:c r="V1987" s="19" t="str">
        <x:v>003966 / 003966 / 京王線
003966 / 003967 / 相模原線</x:v>
      </x:c>
      <x:c r="W1987" s="18" t="str">
        <x:v>否</x:v>
      </x:c>
      <x:c r="X1987" s="18" t="str">
        <x:v>0785e932a32b3ec15e1a1345537ae145eafe1c07bf38d5c16c11ee2b391e7a28</x:v>
      </x:c>
      <x:c r="Y1987" s="20" t="n">
        <x:v>1</x:v>
      </x:c>
      <x:c r="Z1987" s="20" t="n">
        <x:v>1</x:v>
      </x:c>
      <x:c r="AA1987" s="19" t="str">
        <x:v>調布</x:v>
      </x:c>
      <x:c r="AB1987" s="18" t="str">
        <x:v>transport-hub-review:daf20c6b-57ad-5460-ba6d-0b746f2395f2</x:v>
      </x:c>
      <x:c r="AC1987" s="19"/>
    </x:row>
    <x:row r="1988" ht="33" customHeight="1">
      <x:c r="A1988" s="18" t="str">
        <x:v>諫早</x:v>
      </x:c>
      <x:c r="B1988" s="18" t="str">
        <x:v>九州旅客鉄道</x:v>
      </x:c>
      <x:c r="C1988" s="18" t="str">
        <x:v>conventional_rail</x:v>
      </x:c>
      <x:c r="D1988" s="19" t="str">
        <x:v>T2</x:v>
      </x:c>
      <x:c r="E1988" s="20" t="n">
        <x:v>10254</x:v>
      </x:c>
      <x:c r="F1988" s="18" t="str">
        <x:v>persons/day</x:v>
      </x:c>
      <x:c r="G1988" s="18" t="str">
        <x:v>FY2024</x:v>
      </x:c>
      <x:c r="H1988" s="18" t="str">
        <x:v>否</x:v>
      </x:c>
      <x:c r="I1988" s="19" t="str">
        <x:v>DAILY_ENTRIES_EXITS</x:v>
      </x:c>
      <x:c r="J1988" s="19" t="str">
        <x:v>大村線
長崎線</x:v>
      </x:c>
      <x:c r="K1988" s="18" t="str">
        <x:v>transport-node:e673f5cf-0ad4-582b-ae6d-77d8161bf200</x:v>
      </x:c>
      <x:c r="L1988" s="19" t="str">
        <x:v>组件待审核</x:v>
      </x:c>
      <x:c r="M1988" s="21" t="n">
        <x:v>32.851235</x:v>
      </x:c>
      <x:c r="N1988" s="21" t="n">
        <x:v>130.041505</x:v>
      </x:c>
      <x:c r="O1988" s="18" t="str">
        <x:v>009696</x:v>
      </x:c>
      <x:c r="P1988" s="18" t="str">
        <x:v>長崎線</x:v>
      </x:c>
      <x:c r="Q1988" s="19" t="str">
        <x:v>S12_061_GE_10000</x:v>
      </x:c>
      <x:c r="R1988" s="19" t="str">
        <x:v>S12_061 usage threshold</x:v>
      </x:c>
      <x:c r="S1988" s="19" t="str">
        <x:v>https://nlftp.mlit.go.jp/ksj/gml/datalist/KsjTmplt-S12-2024.html</x:v>
      </x:c>
      <x:c r="T1988" s="19" t="str">
        <x:v>https://nlftp.mlit.go.jp/ksj/gml/datalist/KsjTmplt-S12-2024.html</x:v>
      </x:c>
      <x:c r="U1988" s="19" t="str">
        <x:v>station-component|諫早|九州旅客鉄道|conventional_rail|32.8512|130.0415|</x:v>
      </x:c>
      <x:c r="V1988" s="19" t="str">
        <x:v>009695 / 009695 / 大村線
009695 / 009696 / 長崎線</x:v>
      </x:c>
      <x:c r="W1988" s="18" t="str">
        <x:v>否</x:v>
      </x:c>
      <x:c r="X1988" s="18" t="str">
        <x:v>0785e932a32b3ec15e1a1345537ae145eafe1c07bf38d5c16c11ee2b391e7a28</x:v>
      </x:c>
      <x:c r="Y1988" s="20" t="n">
        <x:v>1</x:v>
      </x:c>
      <x:c r="Z1988" s="20" t="n">
        <x:v>1</x:v>
      </x:c>
      <x:c r="AA1988" s="19"/>
      <x:c r="AB1988" s="18"/>
      <x:c r="AC1988" s="19"/>
    </x:row>
    <x:row r="1989" ht="33" customHeight="1">
      <x:c r="A1989" s="18" t="str">
        <x:v>諫早</x:v>
      </x:c>
      <x:c r="B1989" s="18" t="str">
        <x:v>九州旅客鉄道</x:v>
      </x:c>
      <x:c r="C1989" s="18" t="str">
        <x:v>shinkansen</x:v>
      </x:c>
      <x:c r="D1989" s="19"/>
      <x:c r="E1989" s="20" t="n">
        <x:v>5127</x:v>
      </x:c>
      <x:c r="F1989" s="18" t="str">
        <x:v>boardings/day</x:v>
      </x:c>
      <x:c r="G1989" s="18" t="str">
        <x:v>FY2024</x:v>
      </x:c>
      <x:c r="H1989" s="18" t="str">
        <x:v>是</x:v>
      </x:c>
      <x:c r="I1989" s="19" t="str">
        <x:v>STATION_COMPLEX_PROXY</x:v>
      </x:c>
      <x:c r="J1989" s="19" t="str">
        <x:v>西九州新幹線</x:v>
      </x:c>
      <x:c r="K1989" s="18" t="str">
        <x:v>transport-node:ca31fbf7-3c8e-5caf-9842-5633173b9023</x:v>
      </x:c>
      <x:c r="L1989" s="19" t="str">
        <x:v>组件待审核</x:v>
      </x:c>
      <x:c r="M1989" s="21" t="n">
        <x:v>32.8523734</x:v>
      </x:c>
      <x:c r="N1989" s="21" t="n">
        <x:v>130.0408783</x:v>
      </x:c>
      <x:c r="O1989" s="18" t="str">
        <x:v>009694</x:v>
      </x:c>
      <x:c r="P1989" s="18" t="str">
        <x:v>西九州新幹線</x:v>
      </x:c>
      <x:c r="Q1989" s="19" t="str">
        <x:v>SHINKANSEN</x:v>
      </x:c>
      <x:c r="R1989" s="19" t="str">
        <x:v>Official fallback retained in published scope/unit; tier remains null pending metric/manual review.</x:v>
      </x:c>
      <x:c r="S1989" s="19" t="str">
        <x:v>https://www.jrkyushu.co.jp/company/info/data/pdf/2024ekibetsu.pdf</x:v>
      </x:c>
      <x:c r="T1989" s="19" t="str">
        <x:v>https://nlftp.mlit.go.jp/ksj/gml/datalist/KsjTmplt-S12-2024.html
https://www.jrkyushu.co.jp/company/info/data/pdf/2024ekibetsu.pdf</x:v>
      </x:c>
      <x:c r="U1989" s="19" t="str">
        <x:v>station-component|諫早|九州旅客鉄道|shinkansen|32.8524|130.0409|</x:v>
      </x:c>
      <x:c r="V1989" s="19" t="str">
        <x:v>009695 / 009694 / 西九州新幹線</x:v>
      </x:c>
      <x:c r="W1989" s="18" t="str">
        <x:v>否</x:v>
      </x:c>
      <x:c r="X1989" s="18" t="str">
        <x:v>0785e932a32b3ec15e1a1345537ae145eafe1c07bf38d5c16c11ee2b391e7a28</x:v>
      </x:c>
      <x:c r="Y1989" s="20" t="n">
        <x:v>1</x:v>
      </x:c>
      <x:c r="Z1989" s="20" t="n">
        <x:v>2</x:v>
      </x:c>
      <x:c r="AA1989" s="19"/>
      <x:c r="AB1989" s="18"/>
      <x:c r="AC1989" s="19"/>
    </x:row>
    <x:row r="1990" ht="28" customHeight="1">
      <x:c r="A1990" s="18" t="str">
        <x:v>護国寺</x:v>
      </x:c>
      <x:c r="B1990" s="18" t="str">
        <x:v>東京地下鉄</x:v>
      </x:c>
      <x:c r="C1990" s="18" t="str">
        <x:v>metro</x:v>
      </x:c>
      <x:c r="D1990" s="19" t="str">
        <x:v>T2</x:v>
      </x:c>
      <x:c r="E1990" s="20" t="n">
        <x:v>40640</x:v>
      </x:c>
      <x:c r="F1990" s="18" t="str">
        <x:v>persons/day</x:v>
      </x:c>
      <x:c r="G1990" s="18" t="str">
        <x:v>FY2024</x:v>
      </x:c>
      <x:c r="H1990" s="18" t="str">
        <x:v>否</x:v>
      </x:c>
      <x:c r="I1990" s="19" t="str">
        <x:v>DAILY_ENTRIES_EXITS</x:v>
      </x:c>
      <x:c r="J1990" s="19" t="str">
        <x:v>8号線有楽町線</x:v>
      </x:c>
      <x:c r="K1990" s="18" t="str">
        <x:v>transport-node:b769610a-5e77-597b-ab58-ac7815666248</x:v>
      </x:c>
      <x:c r="L1990" s="19" t="str">
        <x:v>组件待审核</x:v>
      </x:c>
      <x:c r="M1990" s="21" t="n">
        <x:v>35.71918</x:v>
      </x:c>
      <x:c r="N1990" s="21" t="n">
        <x:v>139.72745</x:v>
      </x:c>
      <x:c r="O1990" s="18" t="str">
        <x:v>003474</x:v>
      </x:c>
      <x:c r="P1990" s="18" t="str">
        <x:v>8号線有楽町線</x:v>
      </x:c>
      <x:c r="Q1990" s="19" t="str">
        <x:v>S12_061_GE_10000</x:v>
      </x:c>
      <x:c r="R1990" s="19" t="str">
        <x:v>S12_061 usage threshold</x:v>
      </x:c>
      <x:c r="S1990" s="19" t="str">
        <x:v>https://nlftp.mlit.go.jp/ksj/gml/datalist/KsjTmplt-S12-2024.html</x:v>
      </x:c>
      <x:c r="T1990" s="19" t="str">
        <x:v>https://nlftp.mlit.go.jp/ksj/gml/datalist/KsjTmplt-S12-2024.html</x:v>
      </x:c>
      <x:c r="U1990" s="19" t="str">
        <x:v>station-component|護国寺|東京地下鉄|metro|35.7192|139.7275|</x:v>
      </x:c>
      <x:c r="V1990" s="19" t="str">
        <x:v>003474 / 003474 / 8号線有楽町線</x:v>
      </x:c>
      <x:c r="W1990" s="18" t="str">
        <x:v>否</x:v>
      </x:c>
      <x:c r="X1990" s="18" t="str">
        <x:v>0785e932a32b3ec15e1a1345537ae145eafe1c07bf38d5c16c11ee2b391e7a28</x:v>
      </x:c>
      <x:c r="Y1990" s="20" t="n">
        <x:v>1</x:v>
      </x:c>
      <x:c r="Z1990" s="20" t="n">
        <x:v>1</x:v>
      </x:c>
      <x:c r="AA1990" s="19"/>
      <x:c r="AB1990" s="18"/>
      <x:c r="AC1990" s="19"/>
    </x:row>
    <x:row r="1991" ht="33" customHeight="1">
      <x:c r="A1991" s="18" t="str">
        <x:v>谷上</x:v>
      </x:c>
      <x:c r="B1991" s="18" t="str">
        <x:v>神戸市</x:v>
      </x:c>
      <x:c r="C1991" s="18" t="str">
        <x:v>metro</x:v>
      </x:c>
      <x:c r="D1991" s="19" t="str">
        <x:v>T2</x:v>
      </x:c>
      <x:c r="E1991" s="20" t="n">
        <x:v>28245</x:v>
      </x:c>
      <x:c r="F1991" s="18" t="str">
        <x:v>persons/day</x:v>
      </x:c>
      <x:c r="G1991" s="18" t="str">
        <x:v>FY2024</x:v>
      </x:c>
      <x:c r="H1991" s="18" t="str">
        <x:v>否</x:v>
      </x:c>
      <x:c r="I1991" s="19" t="str">
        <x:v>DAILY_ENTRIES_EXITS</x:v>
      </x:c>
      <x:c r="J1991" s="19" t="str">
        <x:v>北神線</x:v>
      </x:c>
      <x:c r="K1991" s="18" t="str">
        <x:v>transport-node:539c1a2d-9fbe-533e-90c6-804c9ab3ca95</x:v>
      </x:c>
      <x:c r="L1991" s="19" t="str">
        <x:v>组件待审核</x:v>
      </x:c>
      <x:c r="M1991" s="21" t="n">
        <x:v>34.761555</x:v>
      </x:c>
      <x:c r="N1991" s="21" t="n">
        <x:v>135.171305</x:v>
      </x:c>
      <x:c r="O1991" s="18" t="str">
        <x:v>006792</x:v>
      </x:c>
      <x:c r="P1991" s="18" t="str">
        <x:v>北神線</x:v>
      </x:c>
      <x:c r="Q1991" s="19" t="str">
        <x:v>S12_061_GE_10000
OFFICIAL_HUB_COMPONENT_REVIEW</x:v>
      </x:c>
      <x:c r="R1991" s="19" t="str">
        <x:v>S12_061 usage threshold</x:v>
      </x:c>
      <x:c r="S1991" s="19" t="str">
        <x:v>https://nlftp.mlit.go.jp/ksj/gml/datalist/KsjTmplt-S12-2024.html</x:v>
      </x:c>
      <x:c r="T1991" s="19" t="str">
        <x:v>https://kotsu.city.kobe.lg.jp/chinese-trad/cnt-subway-map/
https://nlftp.mlit.go.jp/ksj/gml/datalist/KsjTmplt-S12-2024.html</x:v>
      </x:c>
      <x:c r="U1991" s="19" t="str">
        <x:v>station-component|谷上|神戸市|metro|34.7616|135.1713|</x:v>
      </x:c>
      <x:c r="V1991" s="19" t="str">
        <x:v>006791 / 006792 / 北神線</x:v>
      </x:c>
      <x:c r="W1991" s="18" t="str">
        <x:v>否</x:v>
      </x:c>
      <x:c r="X1991" s="18" t="str">
        <x:v>0785e932a32b3ec15e1a1345537ae145eafe1c07bf38d5c16c11ee2b391e7a28</x:v>
      </x:c>
      <x:c r="Y1991" s="20" t="n">
        <x:v>1</x:v>
      </x:c>
      <x:c r="Z1991" s="20" t="n">
        <x:v>1</x:v>
      </x:c>
      <x:c r="AA1991" s="19" t="str">
        <x:v>谷上</x:v>
      </x:c>
      <x:c r="AB1991" s="18" t="str">
        <x:v>transport-hub-review:f9669491-7037-53a6-bb66-b38d491fb349</x:v>
      </x:c>
      <x:c r="AC1991" s="19"/>
    </x:row>
    <x:row r="1992" ht="33" customHeight="1">
      <x:c r="A1992" s="18" t="str">
        <x:v>谷上</x:v>
      </x:c>
      <x:c r="B1992" s="18" t="str">
        <x:v>神戸電鉄</x:v>
      </x:c>
      <x:c r="C1992" s="18" t="str">
        <x:v>private_rail</x:v>
      </x:c>
      <x:c r="D1992" s="19"/>
      <x:c r="E1992" s="20"/>
      <x:c r="F1992" s="18"/>
      <x:c r="G1992" s="18" t="str">
        <x:v>FY2024</x:v>
      </x:c>
      <x:c r="H1992" s="18" t="str">
        <x:v>是</x:v>
      </x:c>
      <x:c r="I1992" s="19" t="str">
        <x:v>USAGE_DATA_UNAVAILABLE</x:v>
      </x:c>
      <x:c r="J1992" s="19" t="str">
        <x:v>有馬線</x:v>
      </x:c>
      <x:c r="K1992" s="18" t="str">
        <x:v>transport-node:9cb12537-145b-5be7-b4a1-029e18d84dd0</x:v>
      </x:c>
      <x:c r="L1992" s="19" t="str">
        <x:v>组件待审核</x:v>
      </x:c>
      <x:c r="M1992" s="21" t="n">
        <x:v>34.761655</x:v>
      </x:c>
      <x:c r="N1992" s="21" t="n">
        <x:v>135.17127</x:v>
      </x:c>
      <x:c r="O1992" s="18" t="str">
        <x:v>006791</x:v>
      </x:c>
      <x:c r="P1992" s="18" t="str">
        <x:v>有馬線</x:v>
      </x:c>
      <x:c r="Q1992" s="19" t="str">
        <x:v>OFFICIAL_HUB_COMPONENT_REVIEW</x:v>
      </x:c>
      <x:c r="R1992" s="19" t="str">
        <x:v>Official S12 usage unavailable; manual tier review required</x:v>
      </x:c>
      <x:c r="S1992" s="19" t="str">
        <x:v>https://nlftp.mlit.go.jp/ksj/gml/datalist/KsjTmplt-S12-2024.html</x:v>
      </x:c>
      <x:c r="T1992" s="19" t="str">
        <x:v>https://kotsu.city.kobe.lg.jp/chinese-trad/cnt-subway-map/
https://nlftp.mlit.go.jp/ksj/gml/datalist/KsjTmplt-S12-2024.html</x:v>
      </x:c>
      <x:c r="U1992" s="19" t="str">
        <x:v>station-component|谷上|神戸電鉄|private_rail|34.7617|135.1713|</x:v>
      </x:c>
      <x:c r="V1992" s="19" t="str">
        <x:v>006791 / 006791 / 有馬線</x:v>
      </x:c>
      <x:c r="W1992" s="18" t="str">
        <x:v>否</x:v>
      </x:c>
      <x:c r="X1992" s="18" t="str">
        <x:v>0785e932a32b3ec15e1a1345537ae145eafe1c07bf38d5c16c11ee2b391e7a28</x:v>
      </x:c>
      <x:c r="Y1992" s="20" t="n">
        <x:v>1</x:v>
      </x:c>
      <x:c r="Z1992" s="20" t="n">
        <x:v>2</x:v>
      </x:c>
      <x:c r="AA1992" s="19" t="str">
        <x:v>谷上</x:v>
      </x:c>
      <x:c r="AB1992" s="18" t="str">
        <x:v>transport-hub-review:f9669491-7037-53a6-bb66-b38d491fb349</x:v>
      </x:c>
      <x:c r="AC1992" s="19"/>
    </x:row>
    <x:row r="1993" ht="28" customHeight="1">
      <x:c r="A1993" s="18" t="str">
        <x:v>谷保</x:v>
      </x:c>
      <x:c r="B1993" s="18" t="str">
        <x:v>東日本旅客鉄道</x:v>
      </x:c>
      <x:c r="C1993" s="18" t="str">
        <x:v>conventional_rail</x:v>
      </x:c>
      <x:c r="D1993" s="19" t="str">
        <x:v>T2</x:v>
      </x:c>
      <x:c r="E1993" s="20" t="n">
        <x:v>19250</x:v>
      </x:c>
      <x:c r="F1993" s="18" t="str">
        <x:v>persons/day</x:v>
      </x:c>
      <x:c r="G1993" s="18" t="str">
        <x:v>FY2024</x:v>
      </x:c>
      <x:c r="H1993" s="18" t="str">
        <x:v>否</x:v>
      </x:c>
      <x:c r="I1993" s="19" t="str">
        <x:v>DAILY_ENTRIES_EXITS</x:v>
      </x:c>
      <x:c r="J1993" s="19" t="str">
        <x:v>南武線</x:v>
      </x:c>
      <x:c r="K1993" s="18" t="str">
        <x:v>transport-node:6db71a00-6848-5f13-b416-c9e90cca6b6c</x:v>
      </x:c>
      <x:c r="L1993" s="19" t="str">
        <x:v>组件待审核</x:v>
      </x:c>
      <x:c r="M1993" s="21" t="n">
        <x:v>35.68138</x:v>
      </x:c>
      <x:c r="N1993" s="21" t="n">
        <x:v>139.44678</x:v>
      </x:c>
      <x:c r="O1993" s="18" t="str">
        <x:v>003765</x:v>
      </x:c>
      <x:c r="P1993" s="18" t="str">
        <x:v>南武線</x:v>
      </x:c>
      <x:c r="Q1993" s="19" t="str">
        <x:v>S12_061_GE_10000</x:v>
      </x:c>
      <x:c r="R1993" s="19" t="str">
        <x:v>S12_061 usage threshold</x:v>
      </x:c>
      <x:c r="S1993" s="19" t="str">
        <x:v>https://nlftp.mlit.go.jp/ksj/gml/datalist/KsjTmplt-S12-2024.html</x:v>
      </x:c>
      <x:c r="T1993" s="19" t="str">
        <x:v>https://nlftp.mlit.go.jp/ksj/gml/datalist/KsjTmplt-S12-2024.html</x:v>
      </x:c>
      <x:c r="U1993" s="19" t="str">
        <x:v>station-component|谷保|東日本旅客鉄道|conventional_rail|35.6814|139.4468|</x:v>
      </x:c>
      <x:c r="V1993" s="19" t="str">
        <x:v>003765 / 003765 / 南武線</x:v>
      </x:c>
      <x:c r="W1993" s="18" t="str">
        <x:v>否</x:v>
      </x:c>
      <x:c r="X1993" s="18" t="str">
        <x:v>0785e932a32b3ec15e1a1345537ae145eafe1c07bf38d5c16c11ee2b391e7a28</x:v>
      </x:c>
      <x:c r="Y1993" s="20" t="n">
        <x:v>1</x:v>
      </x:c>
      <x:c r="Z1993" s="20" t="n">
        <x:v>1</x:v>
      </x:c>
      <x:c r="AA1993" s="19"/>
      <x:c r="AB1993" s="18"/>
      <x:c r="AC1993" s="19"/>
    </x:row>
    <x:row r="1994" ht="28" customHeight="1">
      <x:c r="A1994" s="18" t="str">
        <x:v>谷在家</x:v>
      </x:c>
      <x:c r="B1994" s="18" t="str">
        <x:v>東京都</x:v>
      </x:c>
      <x:c r="C1994" s="18" t="str">
        <x:v>fixed_guideway</x:v>
      </x:c>
      <x:c r="D1994" s="19" t="str">
        <x:v>T2</x:v>
      </x:c>
      <x:c r="E1994" s="20" t="n">
        <x:v>11064</x:v>
      </x:c>
      <x:c r="F1994" s="18" t="str">
        <x:v>persons/day</x:v>
      </x:c>
      <x:c r="G1994" s="18" t="str">
        <x:v>FY2024</x:v>
      </x:c>
      <x:c r="H1994" s="18" t="str">
        <x:v>否</x:v>
      </x:c>
      <x:c r="I1994" s="19" t="str">
        <x:v>DAILY_ENTRIES_EXITS</x:v>
      </x:c>
      <x:c r="J1994" s="19" t="str">
        <x:v>日暮里・舎人ライナー</x:v>
      </x:c>
      <x:c r="K1994" s="18" t="str">
        <x:v>transport-node:ed0231d1-5a8e-51ae-873f-1212318c43fb</x:v>
      </x:c>
      <x:c r="L1994" s="19" t="str">
        <x:v>组件待审核</x:v>
      </x:c>
      <x:c r="M1994" s="21" t="n">
        <x:v>35.78868</x:v>
      </x:c>
      <x:c r="N1994" s="21" t="n">
        <x:v>139.7701</x:v>
      </x:c>
      <x:c r="O1994" s="18" t="str">
        <x:v>003120</x:v>
      </x:c>
      <x:c r="P1994" s="18" t="str">
        <x:v>日暮里・舎人ライナー</x:v>
      </x:c>
      <x:c r="Q1994" s="19" t="str">
        <x:v>S12_061_GE_10000</x:v>
      </x:c>
      <x:c r="R1994" s="19" t="str">
        <x:v>S12_061 usage threshold</x:v>
      </x:c>
      <x:c r="S1994" s="19" t="str">
        <x:v>https://nlftp.mlit.go.jp/ksj/gml/datalist/KsjTmplt-S12-2024.html</x:v>
      </x:c>
      <x:c r="T1994" s="19" t="str">
        <x:v>https://nlftp.mlit.go.jp/ksj/gml/datalist/KsjTmplt-S12-2024.html</x:v>
      </x:c>
      <x:c r="U1994" s="19" t="str">
        <x:v>station-component|谷在家|東京都|fixed_guideway|35.7887|139.7701|</x:v>
      </x:c>
      <x:c r="V1994" s="19" t="str">
        <x:v>003120 / 003120 / 日暮里・舎人ライナー</x:v>
      </x:c>
      <x:c r="W1994" s="18" t="str">
        <x:v>否</x:v>
      </x:c>
      <x:c r="X1994" s="18" t="str">
        <x:v>0785e932a32b3ec15e1a1345537ae145eafe1c07bf38d5c16c11ee2b391e7a28</x:v>
      </x:c>
      <x:c r="Y1994" s="20" t="n">
        <x:v>1</x:v>
      </x:c>
      <x:c r="Z1994" s="20" t="n">
        <x:v>1</x:v>
      </x:c>
      <x:c r="AA1994" s="19"/>
      <x:c r="AB1994" s="18"/>
      <x:c r="AC1994" s="19"/>
    </x:row>
    <x:row r="1995" ht="28" customHeight="1">
      <x:c r="A1995" s="18" t="str">
        <x:v>谷塚</x:v>
      </x:c>
      <x:c r="B1995" s="18" t="str">
        <x:v>東武鉄道</x:v>
      </x:c>
      <x:c r="C1995" s="18" t="str">
        <x:v>private_rail</x:v>
      </x:c>
      <x:c r="D1995" s="19" t="str">
        <x:v>T2</x:v>
      </x:c>
      <x:c r="E1995" s="20" t="n">
        <x:v>38080</x:v>
      </x:c>
      <x:c r="F1995" s="18" t="str">
        <x:v>persons/day</x:v>
      </x:c>
      <x:c r="G1995" s="18" t="str">
        <x:v>FY2024</x:v>
      </x:c>
      <x:c r="H1995" s="18" t="str">
        <x:v>否</x:v>
      </x:c>
      <x:c r="I1995" s="19" t="str">
        <x:v>DAILY_ENTRIES_EXITS</x:v>
      </x:c>
      <x:c r="J1995" s="19" t="str">
        <x:v>伊勢崎線</x:v>
      </x:c>
      <x:c r="K1995" s="18" t="str">
        <x:v>transport-node:5a178a44-6548-5f87-9a76-4c0b14e3c18a</x:v>
      </x:c>
      <x:c r="L1995" s="19" t="str">
        <x:v>组件待审核</x:v>
      </x:c>
      <x:c r="M1995" s="21" t="n">
        <x:v>35.81486</x:v>
      </x:c>
      <x:c r="N1995" s="21" t="n">
        <x:v>139.801465</x:v>
      </x:c>
      <x:c r="O1995" s="18" t="str">
        <x:v>003059</x:v>
      </x:c>
      <x:c r="P1995" s="18" t="str">
        <x:v>伊勢崎線</x:v>
      </x:c>
      <x:c r="Q1995" s="19" t="str">
        <x:v>S12_061_GE_10000</x:v>
      </x:c>
      <x:c r="R1995" s="19" t="str">
        <x:v>S12_061 usage threshold</x:v>
      </x:c>
      <x:c r="S1995" s="19" t="str">
        <x:v>https://nlftp.mlit.go.jp/ksj/gml/datalist/KsjTmplt-S12-2024.html</x:v>
      </x:c>
      <x:c r="T1995" s="19" t="str">
        <x:v>https://nlftp.mlit.go.jp/ksj/gml/datalist/KsjTmplt-S12-2024.html</x:v>
      </x:c>
      <x:c r="U1995" s="19" t="str">
        <x:v>station-component|谷塚|東武鉄道|private_rail|35.8149|139.8015|</x:v>
      </x:c>
      <x:c r="V1995" s="19" t="str">
        <x:v>003059 / 003059 / 伊勢崎線</x:v>
      </x:c>
      <x:c r="W1995" s="18" t="str">
        <x:v>否</x:v>
      </x:c>
      <x:c r="X1995" s="18" t="str">
        <x:v>0785e932a32b3ec15e1a1345537ae145eafe1c07bf38d5c16c11ee2b391e7a28</x:v>
      </x:c>
      <x:c r="Y1995" s="20" t="n">
        <x:v>1</x:v>
      </x:c>
      <x:c r="Z1995" s="20" t="n">
        <x:v>1</x:v>
      </x:c>
      <x:c r="AA1995" s="19"/>
      <x:c r="AB1995" s="18"/>
      <x:c r="AC1995" s="19"/>
    </x:row>
    <x:row r="1996" ht="28" customHeight="1">
      <x:c r="A1996" s="18" t="str">
        <x:v>谷津</x:v>
      </x:c>
      <x:c r="B1996" s="18" t="str">
        <x:v>京成電鉄</x:v>
      </x:c>
      <x:c r="C1996" s="18" t="str">
        <x:v>private_rail</x:v>
      </x:c>
      <x:c r="D1996" s="19" t="str">
        <x:v>T2</x:v>
      </x:c>
      <x:c r="E1996" s="20" t="n">
        <x:v>10398</x:v>
      </x:c>
      <x:c r="F1996" s="18" t="str">
        <x:v>persons/day</x:v>
      </x:c>
      <x:c r="G1996" s="18" t="str">
        <x:v>FY2024</x:v>
      </x:c>
      <x:c r="H1996" s="18" t="str">
        <x:v>否</x:v>
      </x:c>
      <x:c r="I1996" s="19" t="str">
        <x:v>DAILY_ENTRIES_EXITS</x:v>
      </x:c>
      <x:c r="J1996" s="19" t="str">
        <x:v>本線</x:v>
      </x:c>
      <x:c r="K1996" s="18" t="str">
        <x:v>transport-node:c8f4f235-7bc0-5e35-a95b-9ad81fc151f6</x:v>
      </x:c>
      <x:c r="L1996" s="19" t="str">
        <x:v>组件待审核</x:v>
      </x:c>
      <x:c r="M1996" s="21" t="n">
        <x:v>35.685286</x:v>
      </x:c>
      <x:c r="N1996" s="21" t="n">
        <x:v>140.007648</x:v>
      </x:c>
      <x:c r="O1996" s="18" t="str">
        <x:v>003731</x:v>
      </x:c>
      <x:c r="P1996" s="18" t="str">
        <x:v>本線</x:v>
      </x:c>
      <x:c r="Q1996" s="19" t="str">
        <x:v>S12_061_GE_10000</x:v>
      </x:c>
      <x:c r="R1996" s="19" t="str">
        <x:v>S12_061 usage threshold</x:v>
      </x:c>
      <x:c r="S1996" s="19" t="str">
        <x:v>https://nlftp.mlit.go.jp/ksj/gml/datalist/KsjTmplt-S12-2024.html</x:v>
      </x:c>
      <x:c r="T1996" s="19" t="str">
        <x:v>https://nlftp.mlit.go.jp/ksj/gml/datalist/KsjTmplt-S12-2024.html</x:v>
      </x:c>
      <x:c r="U1996" s="19" t="str">
        <x:v>station-component|谷津|京成電鉄|private_rail|35.6853|140.0076|</x:v>
      </x:c>
      <x:c r="V1996" s="19" t="str">
        <x:v>003731 / 003731 / 本線</x:v>
      </x:c>
      <x:c r="W1996" s="18" t="str">
        <x:v>否</x:v>
      </x:c>
      <x:c r="X1996" s="18" t="str">
        <x:v>0785e932a32b3ec15e1a1345537ae145eafe1c07bf38d5c16c11ee2b391e7a28</x:v>
      </x:c>
      <x:c r="Y1996" s="20" t="n">
        <x:v>1</x:v>
      </x:c>
      <x:c r="Z1996" s="20" t="n">
        <x:v>1</x:v>
      </x:c>
      <x:c r="AA1996" s="19"/>
      <x:c r="AB1996" s="18"/>
      <x:c r="AC1996" s="19"/>
    </x:row>
    <x:row r="1997" ht="33" customHeight="1">
      <x:c r="A1997" s="18" t="str">
        <x:v>谷町九丁目</x:v>
      </x:c>
      <x:c r="B1997" s="18" t="str">
        <x:v>大阪市高速電気軌道</x:v>
      </x:c>
      <x:c r="C1997" s="18" t="str">
        <x:v>metro</x:v>
      </x:c>
      <x:c r="D1997" s="19" t="str">
        <x:v>T1</x:v>
      </x:c>
      <x:c r="E1997" s="20" t="n">
        <x:v>68904</x:v>
      </x:c>
      <x:c r="F1997" s="18" t="str">
        <x:v>persons/day</x:v>
      </x:c>
      <x:c r="G1997" s="18" t="str">
        <x:v>FY2024</x:v>
      </x:c>
      <x:c r="H1997" s="18" t="str">
        <x:v>否</x:v>
      </x:c>
      <x:c r="I1997" s="19" t="str">
        <x:v>DAILY_ENTRIES_EXITS</x:v>
      </x:c>
      <x:c r="J1997" s="19" t="str">
        <x:v>2号線(谷町線)
5号線(千日前線)</x:v>
      </x:c>
      <x:c r="K1997" s="18" t="str">
        <x:v>transport-node:eb59bdfe-60f6-59c6-908d-da9944fde604</x:v>
      </x:c>
      <x:c r="L1997" s="19" t="str">
        <x:v>组件待审核</x:v>
      </x:c>
      <x:c r="M1997" s="21" t="n">
        <x:v>34.6667525</x:v>
      </x:c>
      <x:c r="N1997" s="21" t="n">
        <x:v>135.5157625</x:v>
      </x:c>
      <x:c r="O1997" s="18" t="str">
        <x:v>007306</x:v>
      </x:c>
      <x:c r="P1997" s="18" t="str">
        <x:v>2号線(谷町線)</x:v>
      </x:c>
      <x:c r="Q1997" s="19" t="str">
        <x:v>S12_061_GE_10000
OFFICIAL_HUB_COMPONENT_REVIEW</x:v>
      </x:c>
      <x:c r="R1997" s="19" t="str">
        <x:v>S12_061 usage threshold</x:v>
      </x:c>
      <x:c r="S1997" s="19" t="str">
        <x:v>https://nlftp.mlit.go.jp/ksj/gml/datalist/KsjTmplt-S12-2024.html</x:v>
      </x:c>
      <x:c r="T1997" s="19" t="str">
        <x:v>https://nlftp.mlit.go.jp/ksj/gml/datalist/KsjTmplt-S12-2024.html
https://subway.osakametro.co.jp/station_guide/S/s18/index.php</x:v>
      </x:c>
      <x:c r="U1997" s="19" t="str">
        <x:v>station-component|谷町九丁目|大阪市高速電気軌道|metro|34.6668|135.5158|</x:v>
      </x:c>
      <x:c r="V1997" s="19" t="str">
        <x:v>007306 / 007306 / 2号線(谷町線)
007306 / 007319 / 5号線(千日前線)</x:v>
      </x:c>
      <x:c r="W1997" s="18" t="str">
        <x:v>否</x:v>
      </x:c>
      <x:c r="X1997" s="18" t="str">
        <x:v>0785e932a32b3ec15e1a1345537ae145eafe1c07bf38d5c16c11ee2b391e7a28</x:v>
      </x:c>
      <x:c r="Y1997" s="20" t="n">
        <x:v>1</x:v>
      </x:c>
      <x:c r="Z1997" s="20" t="n">
        <x:v>1</x:v>
      </x:c>
      <x:c r="AA1997" s="19" t="str">
        <x:v>谷町九丁目・大阪上本町</x:v>
      </x:c>
      <x:c r="AB1997" s="18" t="str">
        <x:v>transport-hub-review:85b906d6-551b-5f9c-aad6-f4e56572c3b8</x:v>
      </x:c>
      <x:c r="AC1997" s="19"/>
    </x:row>
    <x:row r="1998" ht="33" customHeight="1">
      <x:c r="A1998" s="18" t="str">
        <x:v>谷町六丁目</x:v>
      </x:c>
      <x:c r="B1998" s="18" t="str">
        <x:v>大阪市高速電気軌道</x:v>
      </x:c>
      <x:c r="C1998" s="18" t="str">
        <x:v>metro</x:v>
      </x:c>
      <x:c r="D1998" s="19" t="str">
        <x:v>T2</x:v>
      </x:c>
      <x:c r="E1998" s="20" t="n">
        <x:v>31116</x:v>
      </x:c>
      <x:c r="F1998" s="18" t="str">
        <x:v>persons/day</x:v>
      </x:c>
      <x:c r="G1998" s="18" t="str">
        <x:v>FY2024</x:v>
      </x:c>
      <x:c r="H1998" s="18" t="str">
        <x:v>否</x:v>
      </x:c>
      <x:c r="I1998" s="19" t="str">
        <x:v>DAILY_ENTRIES_EXITS</x:v>
      </x:c>
      <x:c r="J1998" s="19" t="str">
        <x:v>2号線(谷町線)
7号線(長堀鶴見緑地線)</x:v>
      </x:c>
      <x:c r="K1998" s="18" t="str">
        <x:v>transport-node:6a164141-68e4-5520-98ee-23f933a8cc93</x:v>
      </x:c>
      <x:c r="L1998" s="19" t="str">
        <x:v>组件待审核</x:v>
      </x:c>
      <x:c r="M1998" s="21" t="n">
        <x:v>34.675205</x:v>
      </x:c>
      <x:c r="N1998" s="21" t="n">
        <x:v>135.51707</x:v>
      </x:c>
      <x:c r="O1998" s="18" t="str">
        <x:v>007255</x:v>
      </x:c>
      <x:c r="P1998" s="18" t="str">
        <x:v>2号線(谷町線)</x:v>
      </x:c>
      <x:c r="Q1998" s="19" t="str">
        <x:v>S12_061_GE_10000</x:v>
      </x:c>
      <x:c r="R1998" s="19" t="str">
        <x:v>S12_061 usage threshold</x:v>
      </x:c>
      <x:c r="S1998" s="19" t="str">
        <x:v>https://nlftp.mlit.go.jp/ksj/gml/datalist/KsjTmplt-S12-2024.html</x:v>
      </x:c>
      <x:c r="T1998" s="19" t="str">
        <x:v>https://nlftp.mlit.go.jp/ksj/gml/datalist/KsjTmplt-S12-2024.html</x:v>
      </x:c>
      <x:c r="U1998" s="19" t="str">
        <x:v>station-component|谷町六丁目|大阪市高速電気軌道|metro|34.6752|135.5171|</x:v>
      </x:c>
      <x:c r="V1998" s="19" t="str">
        <x:v>007245 / 007245 / 7号線(長堀鶴見緑地線)
007245 / 007255 / 2号線(谷町線)</x:v>
      </x:c>
      <x:c r="W1998" s="18" t="str">
        <x:v>否</x:v>
      </x:c>
      <x:c r="X1998" s="18" t="str">
        <x:v>0785e932a32b3ec15e1a1345537ae145eafe1c07bf38d5c16c11ee2b391e7a28</x:v>
      </x:c>
      <x:c r="Y1998" s="20" t="n">
        <x:v>1</x:v>
      </x:c>
      <x:c r="Z1998" s="20" t="n">
        <x:v>1</x:v>
      </x:c>
      <x:c r="AA1998" s="19"/>
      <x:c r="AB1998" s="18"/>
      <x:c r="AC1998" s="19"/>
    </x:row>
    <x:row r="1999" ht="33" customHeight="1">
      <x:c r="A1999" s="18" t="str">
        <x:v>谷町四丁目</x:v>
      </x:c>
      <x:c r="B1999" s="18" t="str">
        <x:v>大阪市高速電気軌道</x:v>
      </x:c>
      <x:c r="C1999" s="18" t="str">
        <x:v>metro</x:v>
      </x:c>
      <x:c r="D1999" s="19" t="str">
        <x:v>T1</x:v>
      </x:c>
      <x:c r="E1999" s="20" t="n">
        <x:v>95147</x:v>
      </x:c>
      <x:c r="F1999" s="18" t="str">
        <x:v>persons/day</x:v>
      </x:c>
      <x:c r="G1999" s="18" t="str">
        <x:v>FY2024</x:v>
      </x:c>
      <x:c r="H1999" s="18" t="str">
        <x:v>否</x:v>
      </x:c>
      <x:c r="I1999" s="19" t="str">
        <x:v>DAILY_ENTRIES_EXITS</x:v>
      </x:c>
      <x:c r="J1999" s="19" t="str">
        <x:v>2号線(谷町線)
4号線(中央線)</x:v>
      </x:c>
      <x:c r="K1999" s="18" t="str">
        <x:v>transport-node:15af036a-0f66-59f6-bc59-a1cde26e5015</x:v>
      </x:c>
      <x:c r="L1999" s="19" t="str">
        <x:v>组件待审核</x:v>
      </x:c>
      <x:c r="M1999" s="21" t="n">
        <x:v>34.6819267</x:v>
      </x:c>
      <x:c r="N1999" s="21" t="n">
        <x:v>135.5173033</x:v>
      </x:c>
      <x:c r="O1999" s="18" t="str">
        <x:v>007194</x:v>
      </x:c>
      <x:c r="P1999" s="18" t="str">
        <x:v>2号線(谷町線)</x:v>
      </x:c>
      <x:c r="Q1999" s="19" t="str">
        <x:v>S12_061_GE_10000
OFFICIAL_HUB_COMPONENT_REVIEW</x:v>
      </x:c>
      <x:c r="R1999" s="19" t="str">
        <x:v>S12_061 usage threshold</x:v>
      </x:c>
      <x:c r="S1999" s="19" t="str">
        <x:v>https://nlftp.mlit.go.jp/ksj/gml/datalist/KsjTmplt-S12-2024.html</x:v>
      </x:c>
      <x:c r="T1999" s="19" t="str">
        <x:v>https://nlftp.mlit.go.jp/ksj/gml/datalist/KsjTmplt-S12-2024.html
https://subway.osakametro.co.jp/station_guide/C/c18/index.php</x:v>
      </x:c>
      <x:c r="U1999" s="19" t="str">
        <x:v>station-component|谷町四丁目|大阪市高速電気軌道|metro|34.6819|135.5173|</x:v>
      </x:c>
      <x:c r="V1999" s="19" t="str">
        <x:v>007194 / 007194 / 2号線(谷町線)
007194 / 007205 / 4号線(中央線)</x:v>
      </x:c>
      <x:c r="W1999" s="18" t="str">
        <x:v>否</x:v>
      </x:c>
      <x:c r="X1999" s="18" t="str">
        <x:v>0785e932a32b3ec15e1a1345537ae145eafe1c07bf38d5c16c11ee2b391e7a28</x:v>
      </x:c>
      <x:c r="Y1999" s="20" t="n">
        <x:v>1</x:v>
      </x:c>
      <x:c r="Z1999" s="20" t="n">
        <x:v>1</x:v>
      </x:c>
      <x:c r="AA1999" s="19" t="str">
        <x:v>谷町四丁目</x:v>
      </x:c>
      <x:c r="AB1999" s="18" t="str">
        <x:v>transport-hub-review:4ff26358-deda-547d-bd1e-2ea57fad6ee7</x:v>
      </x:c>
      <x:c r="AC1999" s="19"/>
    </x:row>
    <x:row r="2000" ht="28" customHeight="1">
      <x:c r="A2000" s="18" t="str">
        <x:v>豊中</x:v>
      </x:c>
      <x:c r="B2000" s="18" t="str">
        <x:v>阪急電鉄</x:v>
      </x:c>
      <x:c r="C2000" s="18" t="str">
        <x:v>private_rail</x:v>
      </x:c>
      <x:c r="D2000" s="19" t="str">
        <x:v>T2</x:v>
      </x:c>
      <x:c r="E2000" s="20" t="n">
        <x:v>42613</x:v>
      </x:c>
      <x:c r="F2000" s="18" t="str">
        <x:v>persons/day</x:v>
      </x:c>
      <x:c r="G2000" s="18" t="str">
        <x:v>FY2024</x:v>
      </x:c>
      <x:c r="H2000" s="18" t="str">
        <x:v>否</x:v>
      </x:c>
      <x:c r="I2000" s="19" t="str">
        <x:v>DAILY_ENTRIES_EXITS</x:v>
      </x:c>
      <x:c r="J2000" s="19" t="str">
        <x:v>宝塚線</x:v>
      </x:c>
      <x:c r="K2000" s="18" t="str">
        <x:v>transport-node:c4a99571-6d8e-5ba6-b3d0-227bd51f24c7</x:v>
      </x:c>
      <x:c r="L2000" s="19" t="str">
        <x:v>组件待审核</x:v>
      </x:c>
      <x:c r="M2000" s="21" t="n">
        <x:v>34.7871871</x:v>
      </x:c>
      <x:c r="N2000" s="21" t="n">
        <x:v>135.4619329</x:v>
      </x:c>
      <x:c r="O2000" s="18" t="str">
        <x:v>006689</x:v>
      </x:c>
      <x:c r="P2000" s="18" t="str">
        <x:v>宝塚線</x:v>
      </x:c>
      <x:c r="Q2000" s="19" t="str">
        <x:v>S12_061_GE_10000</x:v>
      </x:c>
      <x:c r="R2000" s="19" t="str">
        <x:v>S12_061 usage threshold</x:v>
      </x:c>
      <x:c r="S2000" s="19" t="str">
        <x:v>https://nlftp.mlit.go.jp/ksj/gml/datalist/KsjTmplt-S12-2024.html</x:v>
      </x:c>
      <x:c r="T2000" s="19" t="str">
        <x:v>https://nlftp.mlit.go.jp/ksj/gml/datalist/KsjTmplt-S12-2024.html</x:v>
      </x:c>
      <x:c r="U2000" s="19" t="str">
        <x:v>station-component|豊中|阪急電鉄|private_rail|34.7872|135.4619|</x:v>
      </x:c>
      <x:c r="V2000" s="19" t="str">
        <x:v>006689 / 006689 / 宝塚線</x:v>
      </x:c>
      <x:c r="W2000" s="18" t="str">
        <x:v>否</x:v>
      </x:c>
      <x:c r="X2000" s="18" t="str">
        <x:v>0785e932a32b3ec15e1a1345537ae145eafe1c07bf38d5c16c11ee2b391e7a28</x:v>
      </x:c>
      <x:c r="Y2000" s="20" t="n">
        <x:v>1</x:v>
      </x:c>
      <x:c r="Z2000" s="20" t="n">
        <x:v>1</x:v>
      </x:c>
      <x:c r="AA2000" s="19"/>
      <x:c r="AB2000" s="18"/>
      <x:c r="AC2000" s="19"/>
    </x:row>
    <x:row r="2001" ht="28" customHeight="1">
      <x:c r="A2001" s="18" t="str">
        <x:v>豊四季</x:v>
      </x:c>
      <x:c r="B2001" s="18" t="str">
        <x:v>東武鉄道</x:v>
      </x:c>
      <x:c r="C2001" s="18" t="str">
        <x:v>private_rail</x:v>
      </x:c>
      <x:c r="D2001" s="19" t="str">
        <x:v>T2</x:v>
      </x:c>
      <x:c r="E2001" s="20" t="n">
        <x:v>15569</x:v>
      </x:c>
      <x:c r="F2001" s="18" t="str">
        <x:v>persons/day</x:v>
      </x:c>
      <x:c r="G2001" s="18" t="str">
        <x:v>FY2024</x:v>
      </x:c>
      <x:c r="H2001" s="18" t="str">
        <x:v>否</x:v>
      </x:c>
      <x:c r="I2001" s="19" t="str">
        <x:v>DAILY_ENTRIES_EXITS</x:v>
      </x:c>
      <x:c r="J2001" s="19" t="str">
        <x:v>野田線</x:v>
      </x:c>
      <x:c r="K2001" s="18" t="str">
        <x:v>transport-node:5fe38998-9258-5887-8ca6-498012d6765c</x:v>
      </x:c>
      <x:c r="L2001" s="19" t="str">
        <x:v>组件待审核</x:v>
      </x:c>
      <x:c r="M2001" s="21" t="n">
        <x:v>35.866535</x:v>
      </x:c>
      <x:c r="N2001" s="21" t="n">
        <x:v>139.93928</x:v>
      </x:c>
      <x:c r="O2001" s="18" t="str">
        <x:v>002978</x:v>
      </x:c>
      <x:c r="P2001" s="18" t="str">
        <x:v>野田線</x:v>
      </x:c>
      <x:c r="Q2001" s="19" t="str">
        <x:v>S12_061_GE_10000</x:v>
      </x:c>
      <x:c r="R2001" s="19" t="str">
        <x:v>S12_061 usage threshold</x:v>
      </x:c>
      <x:c r="S2001" s="19" t="str">
        <x:v>https://nlftp.mlit.go.jp/ksj/gml/datalist/KsjTmplt-S12-2024.html</x:v>
      </x:c>
      <x:c r="T2001" s="19" t="str">
        <x:v>https://nlftp.mlit.go.jp/ksj/gml/datalist/KsjTmplt-S12-2024.html</x:v>
      </x:c>
      <x:c r="U2001" s="19" t="str">
        <x:v>station-component|豊四季|東武鉄道|private_rail|35.8665|139.9393|</x:v>
      </x:c>
      <x:c r="V2001" s="19" t="str">
        <x:v>002978 / 002978 / 野田線</x:v>
      </x:c>
      <x:c r="W2001" s="18" t="str">
        <x:v>否</x:v>
      </x:c>
      <x:c r="X2001" s="18" t="str">
        <x:v>0785e932a32b3ec15e1a1345537ae145eafe1c07bf38d5c16c11ee2b391e7a28</x:v>
      </x:c>
      <x:c r="Y2001" s="20" t="n">
        <x:v>1</x:v>
      </x:c>
      <x:c r="Z2001" s="20" t="n">
        <x:v>1</x:v>
      </x:c>
      <x:c r="AA2001" s="19"/>
      <x:c r="AB2001" s="18"/>
      <x:c r="AC2001" s="19"/>
    </x:row>
    <x:row r="2002" ht="28" customHeight="1">
      <x:c r="A2002" s="18" t="str">
        <x:v>豊島園</x:v>
      </x:c>
      <x:c r="B2002" s="18" t="str">
        <x:v>東京都</x:v>
      </x:c>
      <x:c r="C2002" s="18" t="str">
        <x:v>metro</x:v>
      </x:c>
      <x:c r="D2002" s="19" t="str">
        <x:v>T2</x:v>
      </x:c>
      <x:c r="E2002" s="20" t="n">
        <x:v>14294</x:v>
      </x:c>
      <x:c r="F2002" s="18" t="str">
        <x:v>persons/day</x:v>
      </x:c>
      <x:c r="G2002" s="18" t="str">
        <x:v>FY2024</x:v>
      </x:c>
      <x:c r="H2002" s="18" t="str">
        <x:v>否</x:v>
      </x:c>
      <x:c r="I2002" s="19" t="str">
        <x:v>DAILY_ENTRIES_EXITS</x:v>
      </x:c>
      <x:c r="J2002" s="19" t="str">
        <x:v>12号線大江戸線</x:v>
      </x:c>
      <x:c r="K2002" s="18" t="str">
        <x:v>transport-node:152315b8-57db-5383-be36-c4ce4eb706f8</x:v>
      </x:c>
      <x:c r="L2002" s="19" t="str">
        <x:v>组件待审核</x:v>
      </x:c>
      <x:c r="M2002" s="21" t="n">
        <x:v>35.74161</x:v>
      </x:c>
      <x:c r="N2002" s="21" t="n">
        <x:v>139.649205</x:v>
      </x:c>
      <x:c r="O2002" s="18" t="str">
        <x:v>003309</x:v>
      </x:c>
      <x:c r="P2002" s="18" t="str">
        <x:v>12号線大江戸線</x:v>
      </x:c>
      <x:c r="Q2002" s="19" t="str">
        <x:v>S12_061_GE_10000</x:v>
      </x:c>
      <x:c r="R2002" s="19" t="str">
        <x:v>S12_061 usage threshold</x:v>
      </x:c>
      <x:c r="S2002" s="19" t="str">
        <x:v>https://nlftp.mlit.go.jp/ksj/gml/datalist/KsjTmplt-S12-2024.html</x:v>
      </x:c>
      <x:c r="T2002" s="19" t="str">
        <x:v>https://nlftp.mlit.go.jp/ksj/gml/datalist/KsjTmplt-S12-2024.html</x:v>
      </x:c>
      <x:c r="U2002" s="19" t="str">
        <x:v>station-component|豊島園|東京都|metro|35.7416|139.6492|</x:v>
      </x:c>
      <x:c r="V2002" s="19" t="str">
        <x:v>003305 / 003309 / 12号線大江戸線</x:v>
      </x:c>
      <x:c r="W2002" s="18" t="str">
        <x:v>否</x:v>
      </x:c>
      <x:c r="X2002" s="18" t="str">
        <x:v>0785e932a32b3ec15e1a1345537ae145eafe1c07bf38d5c16c11ee2b391e7a28</x:v>
      </x:c>
      <x:c r="Y2002" s="20" t="n">
        <x:v>1</x:v>
      </x:c>
      <x:c r="Z2002" s="20" t="n">
        <x:v>1</x:v>
      </x:c>
      <x:c r="AA2002" s="19"/>
      <x:c r="AB2002" s="18"/>
      <x:c r="AC2002" s="19"/>
    </x:row>
    <x:row r="2003" ht="28" customHeight="1">
      <x:c r="A2003" s="18" t="str">
        <x:v>豊島園</x:v>
      </x:c>
      <x:c r="B2003" s="18" t="str">
        <x:v>西武鉄道</x:v>
      </x:c>
      <x:c r="C2003" s="18" t="str">
        <x:v>private_rail</x:v>
      </x:c>
      <x:c r="D2003" s="19" t="str">
        <x:v>T2</x:v>
      </x:c>
      <x:c r="E2003" s="20" t="n">
        <x:v>15214</x:v>
      </x:c>
      <x:c r="F2003" s="18" t="str">
        <x:v>persons/day</x:v>
      </x:c>
      <x:c r="G2003" s="18" t="str">
        <x:v>FY2024</x:v>
      </x:c>
      <x:c r="H2003" s="18" t="str">
        <x:v>否</x:v>
      </x:c>
      <x:c r="I2003" s="19" t="str">
        <x:v>DAILY_ENTRIES_EXITS</x:v>
      </x:c>
      <x:c r="J2003" s="19" t="str">
        <x:v>豊島線</x:v>
      </x:c>
      <x:c r="K2003" s="18" t="str">
        <x:v>transport-node:6f27d71d-cbc1-559d-92f4-f86461bb2ec0</x:v>
      </x:c>
      <x:c r="L2003" s="19" t="str">
        <x:v>组件待审核</x:v>
      </x:c>
      <x:c r="M2003" s="21" t="n">
        <x:v>35.742035</x:v>
      </x:c>
      <x:c r="N2003" s="21" t="n">
        <x:v>139.64802</x:v>
      </x:c>
      <x:c r="O2003" s="18" t="str">
        <x:v>003305</x:v>
      </x:c>
      <x:c r="P2003" s="18" t="str">
        <x:v>豊島線</x:v>
      </x:c>
      <x:c r="Q2003" s="19" t="str">
        <x:v>S12_061_GE_10000</x:v>
      </x:c>
      <x:c r="R2003" s="19" t="str">
        <x:v>S12_061 usage threshold</x:v>
      </x:c>
      <x:c r="S2003" s="19" t="str">
        <x:v>https://nlftp.mlit.go.jp/ksj/gml/datalist/KsjTmplt-S12-2024.html</x:v>
      </x:c>
      <x:c r="T2003" s="19" t="str">
        <x:v>https://nlftp.mlit.go.jp/ksj/gml/datalist/KsjTmplt-S12-2024.html</x:v>
      </x:c>
      <x:c r="U2003" s="19" t="str">
        <x:v>station-component|豊島園|西武鉄道|private_rail|35.7420|139.6480|</x:v>
      </x:c>
      <x:c r="V2003" s="19" t="str">
        <x:v>003305 / 003305 / 豊島線</x:v>
      </x:c>
      <x:c r="W2003" s="18" t="str">
        <x:v>否</x:v>
      </x:c>
      <x:c r="X2003" s="18" t="str">
        <x:v>0785e932a32b3ec15e1a1345537ae145eafe1c07bf38d5c16c11ee2b391e7a28</x:v>
      </x:c>
      <x:c r="Y2003" s="20" t="n">
        <x:v>1</x:v>
      </x:c>
      <x:c r="Z2003" s="20" t="n">
        <x:v>1</x:v>
      </x:c>
      <x:c r="AA2003" s="19"/>
      <x:c r="AB2003" s="18"/>
      <x:c r="AC2003" s="19"/>
    </x:row>
    <x:row r="2004" ht="28" customHeight="1">
      <x:c r="A2004" s="18" t="str">
        <x:v>豊平公園</x:v>
      </x:c>
      <x:c r="B2004" s="18" t="str">
        <x:v>札幌市</x:v>
      </x:c>
      <x:c r="C2004" s="18" t="str">
        <x:v>metro</x:v>
      </x:c>
      <x:c r="D2004" s="19" t="str">
        <x:v>T2</x:v>
      </x:c>
      <x:c r="E2004" s="20" t="n">
        <x:v>11908</x:v>
      </x:c>
      <x:c r="F2004" s="18" t="str">
        <x:v>persons/day</x:v>
      </x:c>
      <x:c r="G2004" s="18" t="str">
        <x:v>FY2024</x:v>
      </x:c>
      <x:c r="H2004" s="18" t="str">
        <x:v>否</x:v>
      </x:c>
      <x:c r="I2004" s="19" t="str">
        <x:v>DAILY_ENTRIES_EXITS</x:v>
      </x:c>
      <x:c r="J2004" s="19" t="str">
        <x:v>東豊線</x:v>
      </x:c>
      <x:c r="K2004" s="18" t="str">
        <x:v>transport-node:5069eaf9-8c2b-509e-8898-9bcc90dc9d21</x:v>
      </x:c>
      <x:c r="L2004" s="19" t="str">
        <x:v>组件待审核</x:v>
      </x:c>
      <x:c r="M2004" s="21" t="n">
        <x:v>43.04211</x:v>
      </x:c>
      <x:c r="N2004" s="21" t="n">
        <x:v>141.376165</x:v>
      </x:c>
      <x:c r="O2004" s="18" t="str">
        <x:v>000271</x:v>
      </x:c>
      <x:c r="P2004" s="18" t="str">
        <x:v>東豊線</x:v>
      </x:c>
      <x:c r="Q2004" s="19" t="str">
        <x:v>S12_061_GE_10000</x:v>
      </x:c>
      <x:c r="R2004" s="19" t="str">
        <x:v>S12_061 usage threshold</x:v>
      </x:c>
      <x:c r="S2004" s="19" t="str">
        <x:v>https://nlftp.mlit.go.jp/ksj/gml/datalist/KsjTmplt-S12-2024.html</x:v>
      </x:c>
      <x:c r="T2004" s="19" t="str">
        <x:v>https://nlftp.mlit.go.jp/ksj/gml/datalist/KsjTmplt-S12-2024.html</x:v>
      </x:c>
      <x:c r="U2004" s="19" t="str">
        <x:v>station-component|豊平公園|札幌市|metro|43.0421|141.3762|</x:v>
      </x:c>
      <x:c r="V2004" s="19" t="str">
        <x:v>000271 / 000271 / 東豊線</x:v>
      </x:c>
      <x:c r="W2004" s="18" t="str">
        <x:v>否</x:v>
      </x:c>
      <x:c r="X2004" s="18" t="str">
        <x:v>0785e932a32b3ec15e1a1345537ae145eafe1c07bf38d5c16c11ee2b391e7a28</x:v>
      </x:c>
      <x:c r="Y2004" s="20" t="n">
        <x:v>1</x:v>
      </x:c>
      <x:c r="Z2004" s="20" t="n">
        <x:v>1</x:v>
      </x:c>
      <x:c r="AA2004" s="19"/>
      <x:c r="AB2004" s="18"/>
      <x:c r="AC2004" s="19"/>
    </x:row>
    <x:row r="2005" ht="28" customHeight="1">
      <x:c r="A2005" s="18" t="str">
        <x:v>豊春</x:v>
      </x:c>
      <x:c r="B2005" s="18" t="str">
        <x:v>東武鉄道</x:v>
      </x:c>
      <x:c r="C2005" s="18" t="str">
        <x:v>private_rail</x:v>
      </x:c>
      <x:c r="D2005" s="19" t="str">
        <x:v>T2</x:v>
      </x:c>
      <x:c r="E2005" s="20" t="n">
        <x:v>11592</x:v>
      </x:c>
      <x:c r="F2005" s="18" t="str">
        <x:v>persons/day</x:v>
      </x:c>
      <x:c r="G2005" s="18" t="str">
        <x:v>FY2024</x:v>
      </x:c>
      <x:c r="H2005" s="18" t="str">
        <x:v>否</x:v>
      </x:c>
      <x:c r="I2005" s="19" t="str">
        <x:v>DAILY_ENTRIES_EXITS</x:v>
      </x:c>
      <x:c r="J2005" s="19" t="str">
        <x:v>野田線</x:v>
      </x:c>
      <x:c r="K2005" s="18" t="str">
        <x:v>transport-node:8721a89f-11f3-56a4-8de8-9ad16aec20bf</x:v>
      </x:c>
      <x:c r="L2005" s="19" t="str">
        <x:v>组件待审核</x:v>
      </x:c>
      <x:c r="M2005" s="21" t="n">
        <x:v>35.968035</x:v>
      </x:c>
      <x:c r="N2005" s="21" t="n">
        <x:v>139.726185</x:v>
      </x:c>
      <x:c r="O2005" s="18" t="str">
        <x:v>002807</x:v>
      </x:c>
      <x:c r="P2005" s="18" t="str">
        <x:v>野田線</x:v>
      </x:c>
      <x:c r="Q2005" s="19" t="str">
        <x:v>S12_061_GE_10000</x:v>
      </x:c>
      <x:c r="R2005" s="19" t="str">
        <x:v>S12_061 usage threshold</x:v>
      </x:c>
      <x:c r="S2005" s="19" t="str">
        <x:v>https://nlftp.mlit.go.jp/ksj/gml/datalist/KsjTmplt-S12-2024.html</x:v>
      </x:c>
      <x:c r="T2005" s="19" t="str">
        <x:v>https://nlftp.mlit.go.jp/ksj/gml/datalist/KsjTmplt-S12-2024.html</x:v>
      </x:c>
      <x:c r="U2005" s="19" t="str">
        <x:v>station-component|豊春|東武鉄道|private_rail|35.9680|139.7262|</x:v>
      </x:c>
      <x:c r="V2005" s="19" t="str">
        <x:v>002807 / 002807 / 野田線</x:v>
      </x:c>
      <x:c r="W2005" s="18" t="str">
        <x:v>否</x:v>
      </x:c>
      <x:c r="X2005" s="18" t="str">
        <x:v>0785e932a32b3ec15e1a1345537ae145eafe1c07bf38d5c16c11ee2b391e7a28</x:v>
      </x:c>
      <x:c r="Y2005" s="20" t="n">
        <x:v>1</x:v>
      </x:c>
      <x:c r="Z2005" s="20" t="n">
        <x:v>1</x:v>
      </x:c>
      <x:c r="AA2005" s="19"/>
      <x:c r="AB2005" s="18"/>
      <x:c r="AC2005" s="19"/>
    </x:row>
    <x:row r="2006" ht="33" customHeight="1">
      <x:c r="A2006" s="18" t="str">
        <x:v>豊橋</x:v>
      </x:c>
      <x:c r="B2006" s="18" t="str">
        <x:v>東海旅客鉄道</x:v>
      </x:c>
      <x:c r="C2006" s="18" t="str">
        <x:v>conventional_rail</x:v>
      </x:c>
      <x:c r="D2006" s="19" t="str">
        <x:v>T1</x:v>
      </x:c>
      <x:c r="E2006" s="20" t="n">
        <x:v>84890</x:v>
      </x:c>
      <x:c r="F2006" s="18" t="str">
        <x:v>persons/day</x:v>
      </x:c>
      <x:c r="G2006" s="18" t="str">
        <x:v>FY2024</x:v>
      </x:c>
      <x:c r="H2006" s="18" t="str">
        <x:v>否</x:v>
      </x:c>
      <x:c r="I2006" s="19" t="str">
        <x:v>DAILY_ENTRIES_EXITS</x:v>
      </x:c>
      <x:c r="J2006" s="19" t="str">
        <x:v>東海道線
飯田線</x:v>
      </x:c>
      <x:c r="K2006" s="18" t="str">
        <x:v>transport-node:53d976b4-69b7-5e5f-b3c6-2a80823b7ee0</x:v>
      </x:c>
      <x:c r="L2006" s="19" t="str">
        <x:v>组件待审核</x:v>
      </x:c>
      <x:c r="M2006" s="21" t="n">
        <x:v>34.76207</x:v>
      </x:c>
      <x:c r="N2006" s="21" t="n">
        <x:v>137.3826733</x:v>
      </x:c>
      <x:c r="O2006" s="18" t="str">
        <x:v>006786</x:v>
      </x:c>
      <x:c r="P2006" s="18" t="str">
        <x:v>東海道線</x:v>
      </x:c>
      <x:c r="Q2006" s="19" t="str">
        <x:v>S12_061_GE_10000</x:v>
      </x:c>
      <x:c r="R2006" s="19" t="str">
        <x:v>S12_061 usage threshold</x:v>
      </x:c>
      <x:c r="S2006" s="19" t="str">
        <x:v>https://nlftp.mlit.go.jp/ksj/gml/datalist/KsjTmplt-S12-2024.html</x:v>
      </x:c>
      <x:c r="T2006" s="19" t="str">
        <x:v>https://nlftp.mlit.go.jp/ksj/gml/datalist/KsjTmplt-S12-2024.html</x:v>
      </x:c>
      <x:c r="U2006" s="19" t="str">
        <x:v>station-component|豊橋|東海旅客鉄道|conventional_rail|34.7621|137.3827|</x:v>
      </x:c>
      <x:c r="V2006" s="19" t="str">
        <x:v>006786 / 006786 / 東海道線
006786 / 006787 / 飯田線</x:v>
      </x:c>
      <x:c r="W2006" s="18" t="str">
        <x:v>否</x:v>
      </x:c>
      <x:c r="X2006" s="18" t="str">
        <x:v>0785e932a32b3ec15e1a1345537ae145eafe1c07bf38d5c16c11ee2b391e7a28</x:v>
      </x:c>
      <x:c r="Y2006" s="20" t="n">
        <x:v>1</x:v>
      </x:c>
      <x:c r="Z2006" s="20" t="n">
        <x:v>1</x:v>
      </x:c>
      <x:c r="AA2006" s="19"/>
      <x:c r="AB2006" s="18"/>
      <x:c r="AC2006" s="19"/>
    </x:row>
    <x:row r="2007" ht="28" customHeight="1">
      <x:c r="A2007" s="18" t="str">
        <x:v>豊橋</x:v>
      </x:c>
      <x:c r="B2007" s="18" t="str">
        <x:v>東海旅客鉄道</x:v>
      </x:c>
      <x:c r="C2007" s="18" t="str">
        <x:v>shinkansen</x:v>
      </x:c>
      <x:c r="D2007" s="19"/>
      <x:c r="E2007" s="20"/>
      <x:c r="F2007" s="18"/>
      <x:c r="G2007" s="18" t="str">
        <x:v>FY2024</x:v>
      </x:c>
      <x:c r="H2007" s="18" t="str">
        <x:v>是</x:v>
      </x:c>
      <x:c r="I2007" s="19" t="str">
        <x:v>USAGE_DATA_UNAVAILABLE</x:v>
      </x:c>
      <x:c r="J2007" s="19" t="str">
        <x:v>東海道新幹線</x:v>
      </x:c>
      <x:c r="K2007" s="18" t="str">
        <x:v>transport-node:45115069-12bd-57e8-ab69-a13b7fcdf75d</x:v>
      </x:c>
      <x:c r="L2007" s="19" t="str">
        <x:v>组件待审核</x:v>
      </x:c>
      <x:c r="M2007" s="21" t="n">
        <x:v>34.76289</x:v>
      </x:c>
      <x:c r="N2007" s="21" t="n">
        <x:v>137.38115</x:v>
      </x:c>
      <x:c r="O2007" s="18" t="str">
        <x:v>006783</x:v>
      </x:c>
      <x:c r="P2007" s="18" t="str">
        <x:v>東海道新幹線</x:v>
      </x:c>
      <x:c r="Q2007" s="19" t="str">
        <x:v>SHINKANSEN</x:v>
      </x:c>
      <x:c r="R2007" s="19" t="str">
        <x:v>Official S12 usage unavailable; manual tier review required</x:v>
      </x:c>
      <x:c r="S2007" s="19" t="str">
        <x:v>https://nlftp.mlit.go.jp/ksj/gml/datalist/KsjTmplt-S12-2024.html</x:v>
      </x:c>
      <x:c r="T2007" s="19" t="str">
        <x:v>https://nlftp.mlit.go.jp/ksj/gml/datalist/KsjTmplt-S12-2024.html</x:v>
      </x:c>
      <x:c r="U2007" s="19" t="str">
        <x:v>station-component|豊橋|東海旅客鉄道|shinkansen|34.7629|137.3811|</x:v>
      </x:c>
      <x:c r="V2007" s="19" t="str">
        <x:v>006786 / 006783 / 東海道新幹線</x:v>
      </x:c>
      <x:c r="W2007" s="18" t="str">
        <x:v>否</x:v>
      </x:c>
      <x:c r="X2007" s="18" t="str">
        <x:v>0785e932a32b3ec15e1a1345537ae145eafe1c07bf38d5c16c11ee2b391e7a28</x:v>
      </x:c>
      <x:c r="Y2007" s="20" t="n">
        <x:v>1</x:v>
      </x:c>
      <x:c r="Z2007" s="20" t="n">
        <x:v>2</x:v>
      </x:c>
      <x:c r="AA2007" s="19"/>
      <x:c r="AB2007" s="18"/>
      <x:c r="AC2007" s="19"/>
    </x:row>
    <x:row r="2008" ht="28" customHeight="1">
      <x:c r="A2008" s="18" t="str">
        <x:v>豊水すすきの</x:v>
      </x:c>
      <x:c r="B2008" s="18" t="str">
        <x:v>札幌市</x:v>
      </x:c>
      <x:c r="C2008" s="18" t="str">
        <x:v>metro</x:v>
      </x:c>
      <x:c r="D2008" s="19" t="str">
        <x:v>T2</x:v>
      </x:c>
      <x:c r="E2008" s="20" t="n">
        <x:v>17940</x:v>
      </x:c>
      <x:c r="F2008" s="18" t="str">
        <x:v>persons/day</x:v>
      </x:c>
      <x:c r="G2008" s="18" t="str">
        <x:v>FY2024</x:v>
      </x:c>
      <x:c r="H2008" s="18" t="str">
        <x:v>否</x:v>
      </x:c>
      <x:c r="I2008" s="19" t="str">
        <x:v>DAILY_ENTRIES_EXITS</x:v>
      </x:c>
      <x:c r="J2008" s="19" t="str">
        <x:v>東豊線</x:v>
      </x:c>
      <x:c r="K2008" s="18" t="str">
        <x:v>transport-node:4665ddd5-d4e8-5707-86d6-b3021efd5ef2</x:v>
      </x:c>
      <x:c r="L2008" s="19" t="str">
        <x:v>组件待审核</x:v>
      </x:c>
      <x:c r="M2008" s="21" t="n">
        <x:v>43.054095</x:v>
      </x:c>
      <x:c r="N2008" s="21" t="n">
        <x:v>141.35699</x:v>
      </x:c>
      <x:c r="O2008" s="18" t="str">
        <x:v>000257</x:v>
      </x:c>
      <x:c r="P2008" s="18" t="str">
        <x:v>東豊線</x:v>
      </x:c>
      <x:c r="Q2008" s="19" t="str">
        <x:v>S12_061_GE_10000</x:v>
      </x:c>
      <x:c r="R2008" s="19" t="str">
        <x:v>S12_061 usage threshold</x:v>
      </x:c>
      <x:c r="S2008" s="19" t="str">
        <x:v>https://nlftp.mlit.go.jp/ksj/gml/datalist/KsjTmplt-S12-2024.html</x:v>
      </x:c>
      <x:c r="T2008" s="19" t="str">
        <x:v>https://nlftp.mlit.go.jp/ksj/gml/datalist/KsjTmplt-S12-2024.html</x:v>
      </x:c>
      <x:c r="U2008" s="19" t="str">
        <x:v>station-component|豊水すすきの|札幌市|metro|43.0541|141.3570|</x:v>
      </x:c>
      <x:c r="V2008" s="19" t="str">
        <x:v>000257 / 000257 / 東豊線</x:v>
      </x:c>
      <x:c r="W2008" s="18" t="str">
        <x:v>否</x:v>
      </x:c>
      <x:c r="X2008" s="18" t="str">
        <x:v>0785e932a32b3ec15e1a1345537ae145eafe1c07bf38d5c16c11ee2b391e7a28</x:v>
      </x:c>
      <x:c r="Y2008" s="20" t="n">
        <x:v>1</x:v>
      </x:c>
      <x:c r="Z2008" s="20" t="n">
        <x:v>1</x:v>
      </x:c>
      <x:c r="AA2008" s="19"/>
      <x:c r="AB2008" s="18"/>
      <x:c r="AC2008" s="19"/>
    </x:row>
    <x:row r="2009" ht="28" customHeight="1">
      <x:c r="A2009" s="18" t="str">
        <x:v>豊津</x:v>
      </x:c>
      <x:c r="B2009" s="18" t="str">
        <x:v>阪急電鉄</x:v>
      </x:c>
      <x:c r="C2009" s="18" t="str">
        <x:v>private_rail</x:v>
      </x:c>
      <x:c r="D2009" s="19" t="str">
        <x:v>T2</x:v>
      </x:c>
      <x:c r="E2009" s="20" t="n">
        <x:v>12780</x:v>
      </x:c>
      <x:c r="F2009" s="18" t="str">
        <x:v>persons/day</x:v>
      </x:c>
      <x:c r="G2009" s="18" t="str">
        <x:v>FY2024</x:v>
      </x:c>
      <x:c r="H2009" s="18" t="str">
        <x:v>否</x:v>
      </x:c>
      <x:c r="I2009" s="19" t="str">
        <x:v>DAILY_ENTRIES_EXITS</x:v>
      </x:c>
      <x:c r="J2009" s="19" t="str">
        <x:v>千里線</x:v>
      </x:c>
      <x:c r="K2009" s="18" t="str">
        <x:v>transport-node:a505bfe6-705d-5818-aad2-76d7d3aa5ab5</x:v>
      </x:c>
      <x:c r="L2009" s="19" t="str">
        <x:v>组件待审核</x:v>
      </x:c>
      <x:c r="M2009" s="21" t="n">
        <x:v>34.764638</x:v>
      </x:c>
      <x:c r="N2009" s="21" t="n">
        <x:v>135.5089</x:v>
      </x:c>
      <x:c r="O2009" s="18" t="str">
        <x:v>006772</x:v>
      </x:c>
      <x:c r="P2009" s="18" t="str">
        <x:v>千里線</x:v>
      </x:c>
      <x:c r="Q2009" s="19" t="str">
        <x:v>S12_061_GE_10000</x:v>
      </x:c>
      <x:c r="R2009" s="19" t="str">
        <x:v>S12_061 usage threshold</x:v>
      </x:c>
      <x:c r="S2009" s="19" t="str">
        <x:v>https://nlftp.mlit.go.jp/ksj/gml/datalist/KsjTmplt-S12-2024.html</x:v>
      </x:c>
      <x:c r="T2009" s="19" t="str">
        <x:v>https://nlftp.mlit.go.jp/ksj/gml/datalist/KsjTmplt-S12-2024.html</x:v>
      </x:c>
      <x:c r="U2009" s="19" t="str">
        <x:v>station-component|豊津|阪急電鉄|private_rail|34.7646|135.5089|</x:v>
      </x:c>
      <x:c r="V2009" s="19" t="str">
        <x:v>006772 / 006772 / 千里線</x:v>
      </x:c>
      <x:c r="W2009" s="18" t="str">
        <x:v>否</x:v>
      </x:c>
      <x:c r="X2009" s="18" t="str">
        <x:v>0785e932a32b3ec15e1a1345537ae145eafe1c07bf38d5c16c11ee2b391e7a28</x:v>
      </x:c>
      <x:c r="Y2009" s="20" t="n">
        <x:v>1</x:v>
      </x:c>
      <x:c r="Z2009" s="20" t="n">
        <x:v>1</x:v>
      </x:c>
      <x:c r="AA2009" s="19"/>
      <x:c r="AB2009" s="18"/>
      <x:c r="AC2009" s="19"/>
    </x:row>
    <x:row r="2010" ht="33" customHeight="1">
      <x:c r="A2010" s="18" t="str">
        <x:v>豊洲</x:v>
      </x:c>
      <x:c r="B2010" s="18" t="str">
        <x:v>ゆりかもめ</x:v>
      </x:c>
      <x:c r="C2010" s="18" t="str">
        <x:v>fixed_guideway</x:v>
      </x:c>
      <x:c r="D2010" s="19" t="str">
        <x:v>T2</x:v>
      </x:c>
      <x:c r="E2010" s="20" t="n">
        <x:v>35402</x:v>
      </x:c>
      <x:c r="F2010" s="18" t="str">
        <x:v>persons/day</x:v>
      </x:c>
      <x:c r="G2010" s="18" t="str">
        <x:v>FY2024</x:v>
      </x:c>
      <x:c r="H2010" s="18" t="str">
        <x:v>否</x:v>
      </x:c>
      <x:c r="I2010" s="19" t="str">
        <x:v>DAILY_ENTRIES_EXITS</x:v>
      </x:c>
      <x:c r="J2010" s="19" t="str">
        <x:v>東京臨海新交通臨海線</x:v>
      </x:c>
      <x:c r="K2010" s="18" t="str">
        <x:v>transport-node:0dc01765-3ee8-5796-9228-4991bbdd8cf3</x:v>
      </x:c>
      <x:c r="L2010" s="19" t="str">
        <x:v>组件待审核</x:v>
      </x:c>
      <x:c r="M2010" s="21" t="n">
        <x:v>35.653705</x:v>
      </x:c>
      <x:c r="N2010" s="21" t="n">
        <x:v>139.795435</x:v>
      </x:c>
      <x:c r="O2010" s="18" t="str">
        <x:v>003961</x:v>
      </x:c>
      <x:c r="P2010" s="18" t="str">
        <x:v>東京臨海新交通臨海線</x:v>
      </x:c>
      <x:c r="Q2010" s="19" t="str">
        <x:v>S12_061_GE_10000
OFFICIAL_HUB_COMPONENT_REVIEW</x:v>
      </x:c>
      <x:c r="R2010" s="19" t="str">
        <x:v>S12_061 usage threshold</x:v>
      </x:c>
      <x:c r="S2010" s="19" t="str">
        <x:v>https://nlftp.mlit.go.jp/ksj/gml/datalist/KsjTmplt-S12-2024.html</x:v>
      </x:c>
      <x:c r="T2010" s="19" t="str">
        <x:v>https://nlftp.mlit.go.jp/ksj/gml/datalist/KsjTmplt-S12-2024.html
https://www.tokyometro.jp/station/toyosu/index.html</x:v>
      </x:c>
      <x:c r="U2010" s="19" t="str">
        <x:v>station-component|豊洲|ゆりかもめ|fixed_guideway|35.6537|139.7954|</x:v>
      </x:c>
      <x:c r="V2010" s="19" t="str">
        <x:v>003951 / 003961 / 東京臨海新交通臨海線</x:v>
      </x:c>
      <x:c r="W2010" s="18" t="str">
        <x:v>否</x:v>
      </x:c>
      <x:c r="X2010" s="18" t="str">
        <x:v>0785e932a32b3ec15e1a1345537ae145eafe1c07bf38d5c16c11ee2b391e7a28</x:v>
      </x:c>
      <x:c r="Y2010" s="20" t="n">
        <x:v>1</x:v>
      </x:c>
      <x:c r="Z2010" s="20" t="n">
        <x:v>1</x:v>
      </x:c>
      <x:c r="AA2010" s="19" t="str">
        <x:v>豊洲</x:v>
      </x:c>
      <x:c r="AB2010" s="18" t="str">
        <x:v>transport-hub-review:e203cfa4-81e7-5e70-8e09-ecd382a47411</x:v>
      </x:c>
      <x:c r="AC2010" s="19"/>
    </x:row>
    <x:row r="2011" ht="33" customHeight="1">
      <x:c r="A2011" s="18" t="str">
        <x:v>豊洲</x:v>
      </x:c>
      <x:c r="B2011" s="18" t="str">
        <x:v>東京地下鉄</x:v>
      </x:c>
      <x:c r="C2011" s="18" t="str">
        <x:v>metro</x:v>
      </x:c>
      <x:c r="D2011" s="19" t="str">
        <x:v>T0</x:v>
      </x:c>
      <x:c r="E2011" s="20" t="n">
        <x:v>210782</x:v>
      </x:c>
      <x:c r="F2011" s="18" t="str">
        <x:v>persons/day</x:v>
      </x:c>
      <x:c r="G2011" s="18" t="str">
        <x:v>FY2024</x:v>
      </x:c>
      <x:c r="H2011" s="18" t="str">
        <x:v>否</x:v>
      </x:c>
      <x:c r="I2011" s="19" t="str">
        <x:v>DAILY_ENTRIES_EXITS</x:v>
      </x:c>
      <x:c r="J2011" s="19" t="str">
        <x:v>8号線有楽町線</x:v>
      </x:c>
      <x:c r="K2011" s="18" t="str">
        <x:v>transport-node:c07a4010-30d8-5046-b414-f75a3c1b262c</x:v>
      </x:c>
      <x:c r="L2011" s="19" t="str">
        <x:v>组件待审核</x:v>
      </x:c>
      <x:c r="M2011" s="21" t="n">
        <x:v>35.6551283</x:v>
      </x:c>
      <x:c r="N2011" s="21" t="n">
        <x:v>139.79602</x:v>
      </x:c>
      <x:c r="O2011" s="18" t="str">
        <x:v>003951</x:v>
      </x:c>
      <x:c r="P2011" s="18" t="str">
        <x:v>8号線有楽町線</x:v>
      </x:c>
      <x:c r="Q2011" s="19" t="str">
        <x:v>S12_061_GE_10000
OFFICIAL_HUB_COMPONENT_REVIEW</x:v>
      </x:c>
      <x:c r="R2011" s="19" t="str">
        <x:v>S12_061 usage threshold</x:v>
      </x:c>
      <x:c r="S2011" s="19" t="str">
        <x:v>https://nlftp.mlit.go.jp/ksj/gml/datalist/KsjTmplt-S12-2024.html</x:v>
      </x:c>
      <x:c r="T2011" s="19" t="str">
        <x:v>https://nlftp.mlit.go.jp/ksj/gml/datalist/KsjTmplt-S12-2024.html
https://www.tokyometro.jp/station/toyosu/index.html</x:v>
      </x:c>
      <x:c r="U2011" s="19" t="str">
        <x:v>station-component|豊洲|東京地下鉄|metro|35.6551|139.7960|</x:v>
      </x:c>
      <x:c r="V2011" s="19" t="str">
        <x:v>003951 / 003951 / 8号線有楽町線</x:v>
      </x:c>
      <x:c r="W2011" s="18" t="str">
        <x:v>否</x:v>
      </x:c>
      <x:c r="X2011" s="18" t="str">
        <x:v>0785e932a32b3ec15e1a1345537ae145eafe1c07bf38d5c16c11ee2b391e7a28</x:v>
      </x:c>
      <x:c r="Y2011" s="20" t="n">
        <x:v>1</x:v>
      </x:c>
      <x:c r="Z2011" s="20" t="n">
        <x:v>1</x:v>
      </x:c>
      <x:c r="AA2011" s="19" t="str">
        <x:v>豊洲</x:v>
      </x:c>
      <x:c r="AB2011" s="18" t="str">
        <x:v>transport-hub-review:e203cfa4-81e7-5e70-8e09-ecd382a47411</x:v>
      </x:c>
      <x:c r="AC2011" s="19"/>
    </x:row>
    <x:row r="2012" ht="28" customHeight="1">
      <x:c r="A2012" s="18" t="str">
        <x:v>豊田</x:v>
      </x:c>
      <x:c r="B2012" s="18" t="str">
        <x:v>東日本旅客鉄道</x:v>
      </x:c>
      <x:c r="C2012" s="18" t="str">
        <x:v>conventional_rail</x:v>
      </x:c>
      <x:c r="D2012" s="19" t="str">
        <x:v>T1</x:v>
      </x:c>
      <x:c r="E2012" s="20" t="n">
        <x:v>64440</x:v>
      </x:c>
      <x:c r="F2012" s="18" t="str">
        <x:v>persons/day</x:v>
      </x:c>
      <x:c r="G2012" s="18" t="str">
        <x:v>FY2024</x:v>
      </x:c>
      <x:c r="H2012" s="18" t="str">
        <x:v>否</x:v>
      </x:c>
      <x:c r="I2012" s="19" t="str">
        <x:v>DAILY_ENTRIES_EXITS</x:v>
      </x:c>
      <x:c r="J2012" s="19" t="str">
        <x:v>中央線</x:v>
      </x:c>
      <x:c r="K2012" s="18" t="str">
        <x:v>transport-node:893c7fed-fb73-5abb-8245-cf0ca110f2ab</x:v>
      </x:c>
      <x:c r="L2012" s="19" t="str">
        <x:v>组件待审核</x:v>
      </x:c>
      <x:c r="M2012" s="21" t="n">
        <x:v>35.6594725</x:v>
      </x:c>
      <x:c r="N2012" s="21" t="n">
        <x:v>139.3814875</x:v>
      </x:c>
      <x:c r="O2012" s="18" t="str">
        <x:v>003921</x:v>
      </x:c>
      <x:c r="P2012" s="18" t="str">
        <x:v>中央線</x:v>
      </x:c>
      <x:c r="Q2012" s="19" t="str">
        <x:v>S12_061_GE_10000</x:v>
      </x:c>
      <x:c r="R2012" s="19" t="str">
        <x:v>S12_061 usage threshold</x:v>
      </x:c>
      <x:c r="S2012" s="19" t="str">
        <x:v>https://nlftp.mlit.go.jp/ksj/gml/datalist/KsjTmplt-S12-2024.html</x:v>
      </x:c>
      <x:c r="T2012" s="19" t="str">
        <x:v>https://nlftp.mlit.go.jp/ksj/gml/datalist/KsjTmplt-S12-2024.html</x:v>
      </x:c>
      <x:c r="U2012" s="19" t="str">
        <x:v>station-component|豊田|東日本旅客鉄道|conventional_rail|35.6595|139.3815|</x:v>
      </x:c>
      <x:c r="V2012" s="19" t="str">
        <x:v>003921 / 003921 / 中央線</x:v>
      </x:c>
      <x:c r="W2012" s="18" t="str">
        <x:v>否</x:v>
      </x:c>
      <x:c r="X2012" s="18" t="str">
        <x:v>0785e932a32b3ec15e1a1345537ae145eafe1c07bf38d5c16c11ee2b391e7a28</x:v>
      </x:c>
      <x:c r="Y2012" s="20" t="n">
        <x:v>1</x:v>
      </x:c>
      <x:c r="Z2012" s="20" t="n">
        <x:v>1</x:v>
      </x:c>
      <x:c r="AA2012" s="19"/>
      <x:c r="AB2012" s="18"/>
      <x:c r="AC2012" s="19"/>
    </x:row>
    <x:row r="2013" ht="28" customHeight="1">
      <x:c r="A2013" s="18" t="str">
        <x:v>豊田市</x:v>
      </x:c>
      <x:c r="B2013" s="18" t="str">
        <x:v>名古屋鉄道</x:v>
      </x:c>
      <x:c r="C2013" s="18" t="str">
        <x:v>private_rail</x:v>
      </x:c>
      <x:c r="D2013" s="19" t="str">
        <x:v>T2</x:v>
      </x:c>
      <x:c r="E2013" s="20" t="n">
        <x:v>29694</x:v>
      </x:c>
      <x:c r="F2013" s="18" t="str">
        <x:v>persons/day</x:v>
      </x:c>
      <x:c r="G2013" s="18" t="str">
        <x:v>FY2024</x:v>
      </x:c>
      <x:c r="H2013" s="18" t="str">
        <x:v>否</x:v>
      </x:c>
      <x:c r="I2013" s="19" t="str">
        <x:v>DAILY_ENTRIES_EXITS</x:v>
      </x:c>
      <x:c r="J2013" s="19" t="str">
        <x:v>三河線</x:v>
      </x:c>
      <x:c r="K2013" s="18" t="str">
        <x:v>transport-node:f071735a-9ede-5fab-a348-42778d07094c</x:v>
      </x:c>
      <x:c r="L2013" s="19" t="str">
        <x:v>组件待审核</x:v>
      </x:c>
      <x:c r="M2013" s="21" t="n">
        <x:v>35.08726</x:v>
      </x:c>
      <x:c r="N2013" s="21" t="n">
        <x:v>137.15624</x:v>
      </x:c>
      <x:c r="O2013" s="18" t="str">
        <x:v>005733</x:v>
      </x:c>
      <x:c r="P2013" s="18" t="str">
        <x:v>三河線</x:v>
      </x:c>
      <x:c r="Q2013" s="19" t="str">
        <x:v>S12_061_GE_10000</x:v>
      </x:c>
      <x:c r="R2013" s="19" t="str">
        <x:v>S12_061 usage threshold</x:v>
      </x:c>
      <x:c r="S2013" s="19" t="str">
        <x:v>https://nlftp.mlit.go.jp/ksj/gml/datalist/KsjTmplt-S12-2024.html</x:v>
      </x:c>
      <x:c r="T2013" s="19" t="str">
        <x:v>https://nlftp.mlit.go.jp/ksj/gml/datalist/KsjTmplt-S12-2024.html</x:v>
      </x:c>
      <x:c r="U2013" s="19" t="str">
        <x:v>station-component|豊田市|名古屋鉄道|private_rail|35.0873|137.1562|</x:v>
      </x:c>
      <x:c r="V2013" s="19" t="str">
        <x:v>005733 / 005733 / 三河線</x:v>
      </x:c>
      <x:c r="W2013" s="18" t="str">
        <x:v>否</x:v>
      </x:c>
      <x:c r="X2013" s="18" t="str">
        <x:v>0785e932a32b3ec15e1a1345537ae145eafe1c07bf38d5c16c11ee2b391e7a28</x:v>
      </x:c>
      <x:c r="Y2013" s="20" t="n">
        <x:v>1</x:v>
      </x:c>
      <x:c r="Z2013" s="20" t="n">
        <x:v>1</x:v>
      </x:c>
      <x:c r="AA2013" s="19"/>
      <x:c r="AB2013" s="18"/>
      <x:c r="AC2013" s="19"/>
    </x:row>
    <x:row r="2014" ht="33" customHeight="1">
      <x:c r="A2014" s="18" t="str">
        <x:v>豪徳寺</x:v>
      </x:c>
      <x:c r="B2014" s="18" t="str">
        <x:v>小田急電鉄</x:v>
      </x:c>
      <x:c r="C2014" s="18" t="str">
        <x:v>private_rail</x:v>
      </x:c>
      <x:c r="D2014" s="19" t="str">
        <x:v>T2</x:v>
      </x:c>
      <x:c r="E2014" s="20" t="n">
        <x:v>27512</x:v>
      </x:c>
      <x:c r="F2014" s="18" t="str">
        <x:v>persons/day</x:v>
      </x:c>
      <x:c r="G2014" s="18" t="str">
        <x:v>FY2024</x:v>
      </x:c>
      <x:c r="H2014" s="18" t="str">
        <x:v>否</x:v>
      </x:c>
      <x:c r="I2014" s="19" t="str">
        <x:v>DAILY_ENTRIES_EXITS</x:v>
      </x:c>
      <x:c r="J2014" s="19" t="str">
        <x:v>小田原線</x:v>
      </x:c>
      <x:c r="K2014" s="18" t="str">
        <x:v>transport-node:05777e98-914e-5f0d-8eb0-0c7e9700f525</x:v>
      </x:c>
      <x:c r="L2014" s="19" t="str">
        <x:v>组件待审核</x:v>
      </x:c>
      <x:c r="M2014" s="21" t="n">
        <x:v>35.6537033</x:v>
      </x:c>
      <x:c r="N2014" s="21" t="n">
        <x:v>139.6469967</x:v>
      </x:c>
      <x:c r="O2014" s="18" t="str">
        <x:v>003960</x:v>
      </x:c>
      <x:c r="P2014" s="18" t="str">
        <x:v>小田原線</x:v>
      </x:c>
      <x:c r="Q2014" s="19" t="str">
        <x:v>S12_061_GE_10000
OFFICIAL_HUB_COMPONENT_REVIEW</x:v>
      </x:c>
      <x:c r="R2014" s="19" t="str">
        <x:v>S12_061 usage threshold</x:v>
      </x:c>
      <x:c r="S2014" s="19" t="str">
        <x:v>https://nlftp.mlit.go.jp/ksj/gml/datalist/KsjTmplt-S12-2024.html</x:v>
      </x:c>
      <x:c r="T2014" s="19" t="str">
        <x:v>https://nlftp.mlit.go.jp/ksj/gml/datalist/KsjTmplt-S12-2024.html
https://www.odakyu.jp/station/</x:v>
      </x:c>
      <x:c r="U2014" s="19" t="str">
        <x:v>station-component|豪徳寺|小田急電鉄|private_rail|35.6537|139.6470|</x:v>
      </x:c>
      <x:c r="V2014" s="19" t="str">
        <x:v>003960 / 003960 / 小田原線</x:v>
      </x:c>
      <x:c r="W2014" s="18" t="str">
        <x:v>否</x:v>
      </x:c>
      <x:c r="X2014" s="18" t="str">
        <x:v>0785e932a32b3ec15e1a1345537ae145eafe1c07bf38d5c16c11ee2b391e7a28</x:v>
      </x:c>
      <x:c r="Y2014" s="20" t="n">
        <x:v>1</x:v>
      </x:c>
      <x:c r="Z2014" s="20" t="n">
        <x:v>1</x:v>
      </x:c>
      <x:c r="AA2014" s="19" t="str">
        <x:v>豪徳寺・山下</x:v>
      </x:c>
      <x:c r="AB2014" s="18" t="str">
        <x:v>transport-hub-review:471b1ab6-f1bf-5a5a-ba9c-f4a190e410cf</x:v>
      </x:c>
      <x:c r="AC2014" s="19"/>
    </x:row>
    <x:row r="2015" ht="28" customHeight="1">
      <x:c r="A2015" s="18" t="str">
        <x:v>貝塚</x:v>
      </x:c>
      <x:c r="B2015" s="18" t="str">
        <x:v>南海電気鉄道</x:v>
      </x:c>
      <x:c r="C2015" s="18" t="str">
        <x:v>private_rail</x:v>
      </x:c>
      <x:c r="D2015" s="19" t="str">
        <x:v>T2</x:v>
      </x:c>
      <x:c r="E2015" s="20" t="n">
        <x:v>17822</x:v>
      </x:c>
      <x:c r="F2015" s="18" t="str">
        <x:v>persons/day</x:v>
      </x:c>
      <x:c r="G2015" s="18" t="str">
        <x:v>FY2024</x:v>
      </x:c>
      <x:c r="H2015" s="18" t="str">
        <x:v>否</x:v>
      </x:c>
      <x:c r="I2015" s="19" t="str">
        <x:v>DAILY_ENTRIES_EXITS</x:v>
      </x:c>
      <x:c r="J2015" s="19" t="str">
        <x:v>南海本線</x:v>
      </x:c>
      <x:c r="K2015" s="18" t="str">
        <x:v>transport-node:1becb28c-46e7-50f1-a825-93156ad063b9</x:v>
      </x:c>
      <x:c r="L2015" s="19" t="str">
        <x:v>组件待审核</x:v>
      </x:c>
      <x:c r="M2015" s="21" t="n">
        <x:v>34.445295</x:v>
      </x:c>
      <x:c r="N2015" s="21" t="n">
        <x:v>135.357345</x:v>
      </x:c>
      <x:c r="O2015" s="18" t="str">
        <x:v>007943</x:v>
      </x:c>
      <x:c r="P2015" s="18" t="str">
        <x:v>南海本線</x:v>
      </x:c>
      <x:c r="Q2015" s="19" t="str">
        <x:v>S12_061_GE_10000</x:v>
      </x:c>
      <x:c r="R2015" s="19" t="str">
        <x:v>S12_061 usage threshold</x:v>
      </x:c>
      <x:c r="S2015" s="19" t="str">
        <x:v>https://nlftp.mlit.go.jp/ksj/gml/datalist/KsjTmplt-S12-2024.html</x:v>
      </x:c>
      <x:c r="T2015" s="19" t="str">
        <x:v>https://nlftp.mlit.go.jp/ksj/gml/datalist/KsjTmplt-S12-2024.html</x:v>
      </x:c>
      <x:c r="U2015" s="19" t="str">
        <x:v>station-component|貝塚|南海電気鉄道|private_rail|34.4453|135.3573|</x:v>
      </x:c>
      <x:c r="V2015" s="19" t="str">
        <x:v>007942 / 007943 / 南海本線</x:v>
      </x:c>
      <x:c r="W2015" s="18" t="str">
        <x:v>否</x:v>
      </x:c>
      <x:c r="X2015" s="18" t="str">
        <x:v>0785e932a32b3ec15e1a1345537ae145eafe1c07bf38d5c16c11ee2b391e7a28</x:v>
      </x:c>
      <x:c r="Y2015" s="20" t="n">
        <x:v>1</x:v>
      </x:c>
      <x:c r="Z2015" s="20" t="n">
        <x:v>1</x:v>
      </x:c>
      <x:c r="AA2015" s="19"/>
      <x:c r="AB2015" s="18"/>
      <x:c r="AC2015" s="19"/>
    </x:row>
    <x:row r="2016" ht="33" customHeight="1">
      <x:c r="A2016" s="18" t="str">
        <x:v>貝塚</x:v>
      </x:c>
      <x:c r="B2016" s="18" t="str">
        <x:v>福岡市</x:v>
      </x:c>
      <x:c r="C2016" s="18" t="str">
        <x:v>metro</x:v>
      </x:c>
      <x:c r="D2016" s="19" t="str">
        <x:v>T2</x:v>
      </x:c>
      <x:c r="E2016" s="20" t="n">
        <x:v>22183</x:v>
      </x:c>
      <x:c r="F2016" s="18" t="str">
        <x:v>persons/day</x:v>
      </x:c>
      <x:c r="G2016" s="18" t="str">
        <x:v>FY2024</x:v>
      </x:c>
      <x:c r="H2016" s="18" t="str">
        <x:v>否</x:v>
      </x:c>
      <x:c r="I2016" s="19" t="str">
        <x:v>DAILY_ENTRIES_EXITS</x:v>
      </x:c>
      <x:c r="J2016" s="19" t="str">
        <x:v>2号線(箱崎線)</x:v>
      </x:c>
      <x:c r="K2016" s="18" t="str">
        <x:v>transport-node:50d05e98-bf8f-5463-b944-1b8de15f452d</x:v>
      </x:c>
      <x:c r="L2016" s="19" t="str">
        <x:v>组件待审核</x:v>
      </x:c>
      <x:c r="M2016" s="21" t="n">
        <x:v>33.632114</x:v>
      </x:c>
      <x:c r="N2016" s="21" t="n">
        <x:v>130.425616</x:v>
      </x:c>
      <x:c r="O2016" s="18" t="str">
        <x:v>008967</x:v>
      </x:c>
      <x:c r="P2016" s="18" t="str">
        <x:v>2号線(箱崎線)</x:v>
      </x:c>
      <x:c r="Q2016" s="19" t="str">
        <x:v>S12_061_GE_10000
OFFICIAL_HUB_COMPONENT_REVIEW</x:v>
      </x:c>
      <x:c r="R2016" s="19" t="str">
        <x:v>S12_061 usage threshold</x:v>
      </x:c>
      <x:c r="S2016" s="19" t="str">
        <x:v>https://nlftp.mlit.go.jp/ksj/gml/datalist/KsjTmplt-S12-2024.html</x:v>
      </x:c>
      <x:c r="T2016" s="19" t="str">
        <x:v>https://nlftp.mlit.go.jp/ksj/gml/datalist/KsjTmplt-S12-2024.html
https://subway.city.fukuoka.lg.jp/?lan=ja</x:v>
      </x:c>
      <x:c r="U2016" s="19" t="str">
        <x:v>station-component|貝塚|福岡市|metro|33.6321|130.4256|</x:v>
      </x:c>
      <x:c r="V2016" s="19" t="str">
        <x:v>008967 / 008967 / 2号線(箱崎線)</x:v>
      </x:c>
      <x:c r="W2016" s="18" t="str">
        <x:v>否</x:v>
      </x:c>
      <x:c r="X2016" s="18" t="str">
        <x:v>0785e932a32b3ec15e1a1345537ae145eafe1c07bf38d5c16c11ee2b391e7a28</x:v>
      </x:c>
      <x:c r="Y2016" s="20" t="n">
        <x:v>1</x:v>
      </x:c>
      <x:c r="Z2016" s="20" t="n">
        <x:v>1</x:v>
      </x:c>
      <x:c r="AA2016" s="19" t="str">
        <x:v>貝塚</x:v>
      </x:c>
      <x:c r="AB2016" s="18" t="str">
        <x:v>transport-hub-review:21aad31b-9b8c-5977-984d-980d0cc4cbad</x:v>
      </x:c>
      <x:c r="AC2016" s="19"/>
    </x:row>
    <x:row r="2017" ht="33" customHeight="1">
      <x:c r="A2017" s="18" t="str">
        <x:v>貝塚</x:v>
      </x:c>
      <x:c r="B2017" s="18" t="str">
        <x:v>西日本鉄道</x:v>
      </x:c>
      <x:c r="C2017" s="18" t="str">
        <x:v>private_rail</x:v>
      </x:c>
      <x:c r="D2017" s="19" t="str">
        <x:v>T2</x:v>
      </x:c>
      <x:c r="E2017" s="20" t="n">
        <x:v>17093</x:v>
      </x:c>
      <x:c r="F2017" s="18" t="str">
        <x:v>persons/day</x:v>
      </x:c>
      <x:c r="G2017" s="18" t="str">
        <x:v>FY2024</x:v>
      </x:c>
      <x:c r="H2017" s="18" t="str">
        <x:v>否</x:v>
      </x:c>
      <x:c r="I2017" s="19" t="str">
        <x:v>DAILY_ENTRIES_EXITS</x:v>
      </x:c>
      <x:c r="J2017" s="19" t="str">
        <x:v>貝塚線</x:v>
      </x:c>
      <x:c r="K2017" s="18" t="str">
        <x:v>transport-node:72b57556-4a83-5a62-9866-0a84e7dd2aa9</x:v>
      </x:c>
      <x:c r="L2017" s="19" t="str">
        <x:v>组件待审核</x:v>
      </x:c>
      <x:c r="M2017" s="21" t="n">
        <x:v>33.632114</x:v>
      </x:c>
      <x:c r="N2017" s="21" t="n">
        <x:v>130.425616</x:v>
      </x:c>
      <x:c r="O2017" s="18" t="str">
        <x:v>008968</x:v>
      </x:c>
      <x:c r="P2017" s="18" t="str">
        <x:v>貝塚線</x:v>
      </x:c>
      <x:c r="Q2017" s="19" t="str">
        <x:v>S12_061_GE_10000
OFFICIAL_HUB_COMPONENT_REVIEW</x:v>
      </x:c>
      <x:c r="R2017" s="19" t="str">
        <x:v>S12_061 usage threshold</x:v>
      </x:c>
      <x:c r="S2017" s="19" t="str">
        <x:v>https://nlftp.mlit.go.jp/ksj/gml/datalist/KsjTmplt-S12-2024.html</x:v>
      </x:c>
      <x:c r="T2017" s="19" t="str">
        <x:v>https://nlftp.mlit.go.jp/ksj/gml/datalist/KsjTmplt-S12-2024.html
https://subway.city.fukuoka.lg.jp/?lan=ja</x:v>
      </x:c>
      <x:c r="U2017" s="19" t="str">
        <x:v>station-component|貝塚|西日本鉄道|private_rail|33.6321|130.4256|</x:v>
      </x:c>
      <x:c r="V2017" s="19" t="str">
        <x:v>008967 / 008968 / 貝塚線</x:v>
      </x:c>
      <x:c r="W2017" s="18" t="str">
        <x:v>否</x:v>
      </x:c>
      <x:c r="X2017" s="18" t="str">
        <x:v>0785e932a32b3ec15e1a1345537ae145eafe1c07bf38d5c16c11ee2b391e7a28</x:v>
      </x:c>
      <x:c r="Y2017" s="20" t="n">
        <x:v>1</x:v>
      </x:c>
      <x:c r="Z2017" s="20" t="n">
        <x:v>1</x:v>
      </x:c>
      <x:c r="AA2017" s="19" t="str">
        <x:v>貝塚</x:v>
      </x:c>
      <x:c r="AB2017" s="18" t="str">
        <x:v>transport-hub-review:21aad31b-9b8c-5977-984d-980d0cc4cbad</x:v>
      </x:c>
      <x:c r="AC2017" s="19"/>
    </x:row>
    <x:row r="2018" ht="28" customHeight="1">
      <x:c r="A2018" s="18" t="str">
        <x:v>赤坂</x:v>
      </x:c>
      <x:c r="B2018" s="18" t="str">
        <x:v>東京地下鉄</x:v>
      </x:c>
      <x:c r="C2018" s="18" t="str">
        <x:v>metro</x:v>
      </x:c>
      <x:c r="D2018" s="19" t="str">
        <x:v>T1</x:v>
      </x:c>
      <x:c r="E2018" s="20" t="n">
        <x:v>77718</x:v>
      </x:c>
      <x:c r="F2018" s="18" t="str">
        <x:v>persons/day</x:v>
      </x:c>
      <x:c r="G2018" s="18" t="str">
        <x:v>FY2024</x:v>
      </x:c>
      <x:c r="H2018" s="18" t="str">
        <x:v>否</x:v>
      </x:c>
      <x:c r="I2018" s="19" t="str">
        <x:v>DAILY_ENTRIES_EXITS</x:v>
      </x:c>
      <x:c r="J2018" s="19" t="str">
        <x:v>9号線千代田線</x:v>
      </x:c>
      <x:c r="K2018" s="18" t="str">
        <x:v>transport-node:887f073f-690e-51ad-b637-0f07d6480975</x:v>
      </x:c>
      <x:c r="L2018" s="19" t="str">
        <x:v>组件待审核</x:v>
      </x:c>
      <x:c r="M2018" s="21" t="n">
        <x:v>35.6721133</x:v>
      </x:c>
      <x:c r="N2018" s="21" t="n">
        <x:v>139.73644</x:v>
      </x:c>
      <x:c r="O2018" s="18" t="str">
        <x:v>003822</x:v>
      </x:c>
      <x:c r="P2018" s="18" t="str">
        <x:v>9号線千代田線</x:v>
      </x:c>
      <x:c r="Q2018" s="19" t="str">
        <x:v>S12_061_GE_10000</x:v>
      </x:c>
      <x:c r="R2018" s="19" t="str">
        <x:v>S12_061 usage threshold</x:v>
      </x:c>
      <x:c r="S2018" s="19" t="str">
        <x:v>https://nlftp.mlit.go.jp/ksj/gml/datalist/KsjTmplt-S12-2024.html</x:v>
      </x:c>
      <x:c r="T2018" s="19" t="str">
        <x:v>https://nlftp.mlit.go.jp/ksj/gml/datalist/KsjTmplt-S12-2024.html</x:v>
      </x:c>
      <x:c r="U2018" s="19" t="str">
        <x:v>station-component|赤坂|東京地下鉄|metro|35.6721|139.7364|</x:v>
      </x:c>
      <x:c r="V2018" s="19" t="str">
        <x:v>003822 / 003822 / 9号線千代田線</x:v>
      </x:c>
      <x:c r="W2018" s="18" t="str">
        <x:v>否</x:v>
      </x:c>
      <x:c r="X2018" s="18" t="str">
        <x:v>0785e932a32b3ec15e1a1345537ae145eafe1c07bf38d5c16c11ee2b391e7a28</x:v>
      </x:c>
      <x:c r="Y2018" s="20" t="n">
        <x:v>1</x:v>
      </x:c>
      <x:c r="Z2018" s="20" t="n">
        <x:v>1</x:v>
      </x:c>
      <x:c r="AA2018" s="19"/>
      <x:c r="AB2018" s="18"/>
      <x:c r="AC2018" s="19"/>
    </x:row>
    <x:row r="2019" ht="28" customHeight="1">
      <x:c r="A2019" s="18" t="str">
        <x:v>赤坂</x:v>
      </x:c>
      <x:c r="B2019" s="18" t="str">
        <x:v>福岡市</x:v>
      </x:c>
      <x:c r="C2019" s="18" t="str">
        <x:v>metro</x:v>
      </x:c>
      <x:c r="D2019" s="19" t="str">
        <x:v>T2</x:v>
      </x:c>
      <x:c r="E2019" s="20" t="n">
        <x:v>35586</x:v>
      </x:c>
      <x:c r="F2019" s="18" t="str">
        <x:v>persons/day</x:v>
      </x:c>
      <x:c r="G2019" s="18" t="str">
        <x:v>FY2024</x:v>
      </x:c>
      <x:c r="H2019" s="18" t="str">
        <x:v>否</x:v>
      </x:c>
      <x:c r="I2019" s="19" t="str">
        <x:v>DAILY_ENTRIES_EXITS</x:v>
      </x:c>
      <x:c r="J2019" s="19" t="str">
        <x:v>1号線(空港線)</x:v>
      </x:c>
      <x:c r="K2019" s="18" t="str">
        <x:v>transport-node:ee94851d-78c2-5437-a402-d57839579565</x:v>
      </x:c>
      <x:c r="L2019" s="19" t="str">
        <x:v>组件待审核</x:v>
      </x:c>
      <x:c r="M2019" s="21" t="n">
        <x:v>33.589025</x:v>
      </x:c>
      <x:c r="N2019" s="21" t="n">
        <x:v>130.390515</x:v>
      </x:c>
      <x:c r="O2019" s="18" t="str">
        <x:v>009037</x:v>
      </x:c>
      <x:c r="P2019" s="18" t="str">
        <x:v>1号線(空港線)</x:v>
      </x:c>
      <x:c r="Q2019" s="19" t="str">
        <x:v>S12_061_GE_10000</x:v>
      </x:c>
      <x:c r="R2019" s="19" t="str">
        <x:v>S12_061 usage threshold</x:v>
      </x:c>
      <x:c r="S2019" s="19" t="str">
        <x:v>https://nlftp.mlit.go.jp/ksj/gml/datalist/KsjTmplt-S12-2024.html</x:v>
      </x:c>
      <x:c r="T2019" s="19" t="str">
        <x:v>https://nlftp.mlit.go.jp/ksj/gml/datalist/KsjTmplt-S12-2024.html</x:v>
      </x:c>
      <x:c r="U2019" s="19" t="str">
        <x:v>station-component|赤坂|福岡市|metro|33.5890|130.3905|</x:v>
      </x:c>
      <x:c r="V2019" s="19" t="str">
        <x:v>009037 / 009037 / 1号線(空港線)</x:v>
      </x:c>
      <x:c r="W2019" s="18" t="str">
        <x:v>否</x:v>
      </x:c>
      <x:c r="X2019" s="18" t="str">
        <x:v>0785e932a32b3ec15e1a1345537ae145eafe1c07bf38d5c16c11ee2b391e7a28</x:v>
      </x:c>
      <x:c r="Y2019" s="20" t="n">
        <x:v>1</x:v>
      </x:c>
      <x:c r="Z2019" s="20" t="n">
        <x:v>1</x:v>
      </x:c>
      <x:c r="AA2019" s="19"/>
      <x:c r="AB2019" s="18"/>
      <x:c r="AC2019" s="19"/>
    </x:row>
    <x:row r="2020" ht="33" customHeight="1">
      <x:c r="A2020" s="18" t="str">
        <x:v>赤坂見附</x:v>
      </x:c>
      <x:c r="B2020" s="18" t="str">
        <x:v>東京地下鉄</x:v>
      </x:c>
      <x:c r="C2020" s="18" t="str">
        <x:v>metro</x:v>
      </x:c>
      <x:c r="D2020" s="19" t="str">
        <x:v>T1</x:v>
      </x:c>
      <x:c r="E2020" s="20" t="n">
        <x:v>89214</x:v>
      </x:c>
      <x:c r="F2020" s="18" t="str">
        <x:v>persons/day</x:v>
      </x:c>
      <x:c r="G2020" s="18" t="str">
        <x:v>FY2024</x:v>
      </x:c>
      <x:c r="H2020" s="18" t="str">
        <x:v>否</x:v>
      </x:c>
      <x:c r="I2020" s="19" t="str">
        <x:v>DAILY_ENTRIES_EXITS</x:v>
      </x:c>
      <x:c r="J2020" s="19" t="str">
        <x:v>3号線銀座線
4号線丸ノ内線</x:v>
      </x:c>
      <x:c r="K2020" s="18" t="str">
        <x:v>transport-node:bd63f2a5-cc5d-5f3b-a76e-ab67430dfa5f</x:v>
      </x:c>
      <x:c r="L2020" s="19" t="str">
        <x:v>组件待审核</x:v>
      </x:c>
      <x:c r="M2020" s="21" t="n">
        <x:v>35.6768325</x:v>
      </x:c>
      <x:c r="N2020" s="21" t="n">
        <x:v>139.737365</x:v>
      </x:c>
      <x:c r="O2020" s="18" t="str">
        <x:v>003788</x:v>
      </x:c>
      <x:c r="P2020" s="18" t="str">
        <x:v>3号線銀座線</x:v>
      </x:c>
      <x:c r="Q2020" s="19" t="str">
        <x:v>S12_061_GE_10000
OFFICIAL_HUB_COMPONENT_REVIEW</x:v>
      </x:c>
      <x:c r="R2020" s="19" t="str">
        <x:v>S12_061 usage threshold</x:v>
      </x:c>
      <x:c r="S2020" s="19" t="str">
        <x:v>https://nlftp.mlit.go.jp/ksj/gml/datalist/KsjTmplt-S12-2024.html</x:v>
      </x:c>
      <x:c r="T2020" s="19" t="str">
        <x:v>https://nlftp.mlit.go.jp/ksj/gml/datalist/KsjTmplt-S12-2024.html
https://www.tokyometro.jp/station/akasaka-mitsuke/index.html</x:v>
      </x:c>
      <x:c r="U2020" s="19" t="str">
        <x:v>station-component|赤坂見附|東京地下鉄|metro|35.6768|139.7374|</x:v>
      </x:c>
      <x:c r="V2020" s="19" t="str">
        <x:v>003788 / 003788 / 3号線銀座線
003788 / 003789 / 4号線丸ノ内線</x:v>
      </x:c>
      <x:c r="W2020" s="18" t="str">
        <x:v>否</x:v>
      </x:c>
      <x:c r="X2020" s="18" t="str">
        <x:v>0785e932a32b3ec15e1a1345537ae145eafe1c07bf38d5c16c11ee2b391e7a28</x:v>
      </x:c>
      <x:c r="Y2020" s="20" t="n">
        <x:v>1</x:v>
      </x:c>
      <x:c r="Z2020" s="20" t="n">
        <x:v>1</x:v>
      </x:c>
      <x:c r="AA2020" s="19" t="str">
        <x:v>赤坂見附・永田町</x:v>
      </x:c>
      <x:c r="AB2020" s="18" t="str">
        <x:v>transport-hub-review:62009126-e3fb-58c8-989e-dffdda74bf2b</x:v>
      </x:c>
      <x:c r="AC2020" s="19"/>
    </x:row>
    <x:row r="2021" ht="33" customHeight="1">
      <x:c r="A2021" s="18" t="str">
        <x:v>赤池</x:v>
      </x:c>
      <x:c r="B2021" s="18" t="str">
        <x:v>名古屋市</x:v>
      </x:c>
      <x:c r="C2021" s="18" t="str">
        <x:v>metro</x:v>
      </x:c>
      <x:c r="D2021" s="19" t="str">
        <x:v>T2</x:v>
      </x:c>
      <x:c r="E2021" s="20" t="n">
        <x:v>25774</x:v>
      </x:c>
      <x:c r="F2021" s="18" t="str">
        <x:v>persons/day</x:v>
      </x:c>
      <x:c r="G2021" s="18" t="str">
        <x:v>FY2024</x:v>
      </x:c>
      <x:c r="H2021" s="18" t="str">
        <x:v>否</x:v>
      </x:c>
      <x:c r="I2021" s="19" t="str">
        <x:v>DAILY_ENTRIES_EXITS</x:v>
      </x:c>
      <x:c r="J2021" s="19" t="str">
        <x:v>3号線鶴舞線</x:v>
      </x:c>
      <x:c r="K2021" s="18" t="str">
        <x:v>transport-node:d4c6ae29-f23d-55e0-b09f-44ee25536f54</x:v>
      </x:c>
      <x:c r="L2021" s="19" t="str">
        <x:v>组件待审核</x:v>
      </x:c>
      <x:c r="M2021" s="21" t="n">
        <x:v>35.121035</x:v>
      </x:c>
      <x:c r="N2021" s="21" t="n">
        <x:v>137.018205</x:v>
      </x:c>
      <x:c r="O2021" s="18" t="str">
        <x:v>005624</x:v>
      </x:c>
      <x:c r="P2021" s="18" t="str">
        <x:v>3号線鶴舞線</x:v>
      </x:c>
      <x:c r="Q2021" s="19" t="str">
        <x:v>S12_061_GE_10000
OFFICIAL_HUB_COMPONENT_REVIEW</x:v>
      </x:c>
      <x:c r="R2021" s="19" t="str">
        <x:v>S12_061 usage threshold</x:v>
      </x:c>
      <x:c r="S2021" s="19" t="str">
        <x:v>https://nlftp.mlit.go.jp/ksj/gml/datalist/KsjTmplt-S12-2024.html</x:v>
      </x:c>
      <x:c r="T2021" s="19" t="str">
        <x:v>https://nlftp.mlit.go.jp/ksj/gml/datalist/KsjTmplt-S12-2024.html
https://www.kotsu.city.nagoya.jp/rp/ticket/TRP0001550.htm</x:v>
      </x:c>
      <x:c r="U2021" s="19" t="str">
        <x:v>station-component|赤池|名古屋市|metro|35.1210|137.0182|</x:v>
      </x:c>
      <x:c r="V2021" s="19" t="str">
        <x:v>005624 / 005624 / 3号線鶴舞線</x:v>
      </x:c>
      <x:c r="W2021" s="18" t="str">
        <x:v>否</x:v>
      </x:c>
      <x:c r="X2021" s="18" t="str">
        <x:v>0785e932a32b3ec15e1a1345537ae145eafe1c07bf38d5c16c11ee2b391e7a28</x:v>
      </x:c>
      <x:c r="Y2021" s="20" t="n">
        <x:v>1</x:v>
      </x:c>
      <x:c r="Z2021" s="20" t="n">
        <x:v>1</x:v>
      </x:c>
      <x:c r="AA2021" s="19" t="str">
        <x:v>赤池</x:v>
      </x:c>
      <x:c r="AB2021" s="18" t="str">
        <x:v>transport-hub-review:126b4162-753d-5c94-a0ec-237e48d9dd04</x:v>
      </x:c>
      <x:c r="AC2021" s="19"/>
    </x:row>
    <x:row r="2022" ht="33" customHeight="1">
      <x:c r="A2022" s="18" t="str">
        <x:v>赤池</x:v>
      </x:c>
      <x:c r="B2022" s="18" t="str">
        <x:v>名古屋鉄道</x:v>
      </x:c>
      <x:c r="C2022" s="18" t="str">
        <x:v>private_rail</x:v>
      </x:c>
      <x:c r="D2022" s="19"/>
      <x:c r="E2022" s="20"/>
      <x:c r="F2022" s="18"/>
      <x:c r="G2022" s="18" t="str">
        <x:v>FY2024</x:v>
      </x:c>
      <x:c r="H2022" s="18" t="str">
        <x:v>是</x:v>
      </x:c>
      <x:c r="I2022" s="19" t="str">
        <x:v>USAGE_DATA_UNAVAILABLE</x:v>
      </x:c>
      <x:c r="J2022" s="19" t="str">
        <x:v>豊田線</x:v>
      </x:c>
      <x:c r="K2022" s="18" t="str">
        <x:v>transport-node:bcd6e239-799a-5fca-9ae5-41478c95cf27</x:v>
      </x:c>
      <x:c r="L2022" s="19" t="str">
        <x:v>组件待审核</x:v>
      </x:c>
      <x:c r="M2022" s="21" t="n">
        <x:v>35.121035</x:v>
      </x:c>
      <x:c r="N2022" s="21" t="n">
        <x:v>137.018205</x:v>
      </x:c>
      <x:c r="O2022" s="18" t="str">
        <x:v>005625</x:v>
      </x:c>
      <x:c r="P2022" s="18" t="str">
        <x:v>豊田線</x:v>
      </x:c>
      <x:c r="Q2022" s="19" t="str">
        <x:v>OFFICIAL_HUB_COMPONENT_REVIEW</x:v>
      </x:c>
      <x:c r="R2022" s="19" t="str">
        <x:v>Official S12 usage unavailable; manual tier review required</x:v>
      </x:c>
      <x:c r="S2022" s="19" t="str">
        <x:v>https://nlftp.mlit.go.jp/ksj/gml/datalist/KsjTmplt-S12-2024.html</x:v>
      </x:c>
      <x:c r="T2022" s="19" t="str">
        <x:v>https://nlftp.mlit.go.jp/ksj/gml/datalist/KsjTmplt-S12-2024.html
https://www.kotsu.city.nagoya.jp/rp/ticket/TRP0001550.htm</x:v>
      </x:c>
      <x:c r="U2022" s="19" t="str">
        <x:v>station-component|赤池|名古屋鉄道|private_rail|35.1210|137.0182|</x:v>
      </x:c>
      <x:c r="V2022" s="19" t="str">
        <x:v>005624 / 005625 / 豊田線</x:v>
      </x:c>
      <x:c r="W2022" s="18" t="str">
        <x:v>否</x:v>
      </x:c>
      <x:c r="X2022" s="18" t="str">
        <x:v>0785e932a32b3ec15e1a1345537ae145eafe1c07bf38d5c16c11ee2b391e7a28</x:v>
      </x:c>
      <x:c r="Y2022" s="20" t="n">
        <x:v>1</x:v>
      </x:c>
      <x:c r="Z2022" s="20" t="n">
        <x:v>2</x:v>
      </x:c>
      <x:c r="AA2022" s="19" t="str">
        <x:v>赤池</x:v>
      </x:c>
      <x:c r="AB2022" s="18" t="str">
        <x:v>transport-hub-review:126b4162-753d-5c94-a0ec-237e48d9dd04</x:v>
      </x:c>
      <x:c r="AC2022" s="19"/>
    </x:row>
    <x:row r="2023" ht="33" customHeight="1">
      <x:c r="A2023" s="18" t="str">
        <x:v>赤羽</x:v>
      </x:c>
      <x:c r="B2023" s="18" t="str">
        <x:v>東日本旅客鉄道</x:v>
      </x:c>
      <x:c r="C2023" s="18" t="str">
        <x:v>conventional_rail</x:v>
      </x:c>
      <x:c r="D2023" s="19" t="str">
        <x:v>T1</x:v>
      </x:c>
      <x:c r="E2023" s="20" t="n">
        <x:v>188334</x:v>
      </x:c>
      <x:c r="F2023" s="18" t="str">
        <x:v>persons/day</x:v>
      </x:c>
      <x:c r="G2023" s="18" t="str">
        <x:v>FY2024</x:v>
      </x:c>
      <x:c r="H2023" s="18" t="str">
        <x:v>否</x:v>
      </x:c>
      <x:c r="I2023" s="19" t="str">
        <x:v>DAILY_ENTRIES_EXITS</x:v>
      </x:c>
      <x:c r="J2023" s="19" t="str">
        <x:v>東北線
赤羽線</x:v>
      </x:c>
      <x:c r="K2023" s="18" t="str">
        <x:v>transport-node:96b38df7-cb30-52bf-b584-df98ede3b32b</x:v>
      </x:c>
      <x:c r="L2023" s="19" t="str">
        <x:v>组件待审核</x:v>
      </x:c>
      <x:c r="M2023" s="21" t="n">
        <x:v>35.7775243</x:v>
      </x:c>
      <x:c r="N2023" s="21" t="n">
        <x:v>139.72126</x:v>
      </x:c>
      <x:c r="O2023" s="18" t="str">
        <x:v>003157</x:v>
      </x:c>
      <x:c r="P2023" s="18" t="str">
        <x:v>東北線</x:v>
      </x:c>
      <x:c r="Q2023" s="19" t="str">
        <x:v>S12_061_GE_10000</x:v>
      </x:c>
      <x:c r="R2023" s="19" t="str">
        <x:v>S12_061 usage threshold</x:v>
      </x:c>
      <x:c r="S2023" s="19" t="str">
        <x:v>https://nlftp.mlit.go.jp/ksj/gml/datalist/KsjTmplt-S12-2024.html</x:v>
      </x:c>
      <x:c r="T2023" s="19" t="str">
        <x:v>https://nlftp.mlit.go.jp/ksj/gml/datalist/KsjTmplt-S12-2024.html</x:v>
      </x:c>
      <x:c r="U2023" s="19" t="str">
        <x:v>station-component|赤羽|東日本旅客鉄道|conventional_rail|35.7775|139.7213|</x:v>
      </x:c>
      <x:c r="V2023" s="19" t="str">
        <x:v>003155 / 003155 / 赤羽線
003155 / 003157 / 東北線</x:v>
      </x:c>
      <x:c r="W2023" s="18" t="str">
        <x:v>否</x:v>
      </x:c>
      <x:c r="X2023" s="18" t="str">
        <x:v>0785e932a32b3ec15e1a1345537ae145eafe1c07bf38d5c16c11ee2b391e7a28</x:v>
      </x:c>
      <x:c r="Y2023" s="20" t="n">
        <x:v>1</x:v>
      </x:c>
      <x:c r="Z2023" s="20" t="n">
        <x:v>1</x:v>
      </x:c>
      <x:c r="AA2023" s="19"/>
      <x:c r="AB2023" s="18"/>
      <x:c r="AC2023" s="19"/>
    </x:row>
    <x:row r="2024" ht="33" customHeight="1">
      <x:c r="A2024" s="18" t="str">
        <x:v>赤羽岩淵</x:v>
      </x:c>
      <x:c r="B2024" s="18" t="str">
        <x:v>埼玉高速鉄道</x:v>
      </x:c>
      <x:c r="C2024" s="18" t="str">
        <x:v>private_rail</x:v>
      </x:c>
      <x:c r="D2024" s="19"/>
      <x:c r="E2024" s="20"/>
      <x:c r="F2024" s="18"/>
      <x:c r="G2024" s="18" t="str">
        <x:v>FY2024</x:v>
      </x:c>
      <x:c r="H2024" s="18" t="str">
        <x:v>是</x:v>
      </x:c>
      <x:c r="I2024" s="19" t="str">
        <x:v>USAGE_DATA_UNAVAILABLE</x:v>
      </x:c>
      <x:c r="J2024" s="19" t="str">
        <x:v>埼玉高速鉄道線</x:v>
      </x:c>
      <x:c r="K2024" s="18" t="str">
        <x:v>transport-node:3374ea3a-7d69-58fd-aff1-14237a9757c7</x:v>
      </x:c>
      <x:c r="L2024" s="19" t="str">
        <x:v>组件待审核</x:v>
      </x:c>
      <x:c r="M2024" s="21" t="n">
        <x:v>35.783355</x:v>
      </x:c>
      <x:c r="N2024" s="21" t="n">
        <x:v>139.72211</x:v>
      </x:c>
      <x:c r="O2024" s="18" t="str">
        <x:v>003142</x:v>
      </x:c>
      <x:c r="P2024" s="18" t="str">
        <x:v>埼玉高速鉄道線</x:v>
      </x:c>
      <x:c r="Q2024" s="19" t="str">
        <x:v>OFFICIAL_HUB_COMPONENT_REVIEW</x:v>
      </x:c>
      <x:c r="R2024" s="19" t="str">
        <x:v>Official S12 usage unavailable; manual tier review required</x:v>
      </x:c>
      <x:c r="S2024" s="19" t="str">
        <x:v>https://nlftp.mlit.go.jp/ksj/gml/datalist/KsjTmplt-S12-2024.html</x:v>
      </x:c>
      <x:c r="T2024" s="19" t="str">
        <x:v>https://nlftp.mlit.go.jp/ksj/gml/datalist/KsjTmplt-S12-2024.html
https://www.tokyometro.jp/station/akabane-iwabuchi/index.html</x:v>
      </x:c>
      <x:c r="U2024" s="19" t="str">
        <x:v>station-component|赤羽岩淵|埼玉高速鉄道|private_rail|35.7834|139.7221|</x:v>
      </x:c>
      <x:c r="V2024" s="19" t="str">
        <x:v>003141 / 003142 / 埼玉高速鉄道線</x:v>
      </x:c>
      <x:c r="W2024" s="18" t="str">
        <x:v>否</x:v>
      </x:c>
      <x:c r="X2024" s="18" t="str">
        <x:v>0785e932a32b3ec15e1a1345537ae145eafe1c07bf38d5c16c11ee2b391e7a28</x:v>
      </x:c>
      <x:c r="Y2024" s="20" t="n">
        <x:v>1</x:v>
      </x:c>
      <x:c r="Z2024" s="20" t="n">
        <x:v>2</x:v>
      </x:c>
      <x:c r="AA2024" s="19" t="str">
        <x:v>赤羽岩淵</x:v>
      </x:c>
      <x:c r="AB2024" s="18" t="str">
        <x:v>transport-hub-review:c8bc851e-c188-55f5-ab7c-e4b9b892ec65</x:v>
      </x:c>
      <x:c r="AC2024" s="19"/>
    </x:row>
    <x:row r="2025" ht="33" customHeight="1">
      <x:c r="A2025" s="18" t="str">
        <x:v>赤羽岩淵</x:v>
      </x:c>
      <x:c r="B2025" s="18" t="str">
        <x:v>東京地下鉄</x:v>
      </x:c>
      <x:c r="C2025" s="18" t="str">
        <x:v>metro</x:v>
      </x:c>
      <x:c r="D2025" s="19" t="str">
        <x:v>T1</x:v>
      </x:c>
      <x:c r="E2025" s="20" t="n">
        <x:v>94035</x:v>
      </x:c>
      <x:c r="F2025" s="18" t="str">
        <x:v>persons/day</x:v>
      </x:c>
      <x:c r="G2025" s="18" t="str">
        <x:v>FY2024</x:v>
      </x:c>
      <x:c r="H2025" s="18" t="str">
        <x:v>否</x:v>
      </x:c>
      <x:c r="I2025" s="19" t="str">
        <x:v>DAILY_ENTRIES_EXITS</x:v>
      </x:c>
      <x:c r="J2025" s="19" t="str">
        <x:v>7号線南北線</x:v>
      </x:c>
      <x:c r="K2025" s="18" t="str">
        <x:v>transport-node:fabab716-5dbf-5f73-b60d-5e1809004638</x:v>
      </x:c>
      <x:c r="L2025" s="19" t="str">
        <x:v>组件待审核</x:v>
      </x:c>
      <x:c r="M2025" s="21" t="n">
        <x:v>35.783355</x:v>
      </x:c>
      <x:c r="N2025" s="21" t="n">
        <x:v>139.72211</x:v>
      </x:c>
      <x:c r="O2025" s="18" t="str">
        <x:v>003141</x:v>
      </x:c>
      <x:c r="P2025" s="18" t="str">
        <x:v>7号線南北線</x:v>
      </x:c>
      <x:c r="Q2025" s="19" t="str">
        <x:v>S12_061_GE_10000
OFFICIAL_HUB_COMPONENT_REVIEW</x:v>
      </x:c>
      <x:c r="R2025" s="19" t="str">
        <x:v>S12_061 usage threshold</x:v>
      </x:c>
      <x:c r="S2025" s="19" t="str">
        <x:v>https://nlftp.mlit.go.jp/ksj/gml/datalist/KsjTmplt-S12-2024.html</x:v>
      </x:c>
      <x:c r="T2025" s="19" t="str">
        <x:v>https://nlftp.mlit.go.jp/ksj/gml/datalist/KsjTmplt-S12-2024.html
https://www.tokyometro.jp/station/akabane-iwabuchi/index.html</x:v>
      </x:c>
      <x:c r="U2025" s="19" t="str">
        <x:v>station-component|赤羽岩淵|東京地下鉄|metro|35.7834|139.7221|</x:v>
      </x:c>
      <x:c r="V2025" s="19" t="str">
        <x:v>003141 / 003141 / 7号線南北線</x:v>
      </x:c>
      <x:c r="W2025" s="18" t="str">
        <x:v>否</x:v>
      </x:c>
      <x:c r="X2025" s="18" t="str">
        <x:v>0785e932a32b3ec15e1a1345537ae145eafe1c07bf38d5c16c11ee2b391e7a28</x:v>
      </x:c>
      <x:c r="Y2025" s="20" t="n">
        <x:v>1</x:v>
      </x:c>
      <x:c r="Z2025" s="20" t="n">
        <x:v>1</x:v>
      </x:c>
      <x:c r="AA2025" s="19" t="str">
        <x:v>赤羽岩淵</x:v>
      </x:c>
      <x:c r="AB2025" s="18" t="str">
        <x:v>transport-hub-review:c8bc851e-c188-55f5-ab7c-e4b9b892ec65</x:v>
      </x:c>
      <x:c r="AC2025" s="19"/>
    </x:row>
    <x:row r="2026" ht="28" customHeight="1">
      <x:c r="A2026" s="18" t="str">
        <x:v>赤羽橋</x:v>
      </x:c>
      <x:c r="B2026" s="18" t="str">
        <x:v>東京都</x:v>
      </x:c>
      <x:c r="C2026" s="18" t="str">
        <x:v>metro</x:v>
      </x:c>
      <x:c r="D2026" s="19" t="str">
        <x:v>T2</x:v>
      </x:c>
      <x:c r="E2026" s="20" t="n">
        <x:v>37465</x:v>
      </x:c>
      <x:c r="F2026" s="18" t="str">
        <x:v>persons/day</x:v>
      </x:c>
      <x:c r="G2026" s="18" t="str">
        <x:v>FY2024</x:v>
      </x:c>
      <x:c r="H2026" s="18" t="str">
        <x:v>否</x:v>
      </x:c>
      <x:c r="I2026" s="19" t="str">
        <x:v>DAILY_ENTRIES_EXITS</x:v>
      </x:c>
      <x:c r="J2026" s="19" t="str">
        <x:v>12号線大江戸線</x:v>
      </x:c>
      <x:c r="K2026" s="18" t="str">
        <x:v>transport-node:09f62c6b-0991-589a-bfd4-09f2cedf44a5</x:v>
      </x:c>
      <x:c r="L2026" s="19" t="str">
        <x:v>组件待审核</x:v>
      </x:c>
      <x:c r="M2026" s="21" t="n">
        <x:v>35.65497</x:v>
      </x:c>
      <x:c r="N2026" s="21" t="n">
        <x:v>139.744195</x:v>
      </x:c>
      <x:c r="O2026" s="18" t="str">
        <x:v>003954</x:v>
      </x:c>
      <x:c r="P2026" s="18" t="str">
        <x:v>12号線大江戸線</x:v>
      </x:c>
      <x:c r="Q2026" s="19" t="str">
        <x:v>S12_061_GE_10000</x:v>
      </x:c>
      <x:c r="R2026" s="19" t="str">
        <x:v>S12_061 usage threshold</x:v>
      </x:c>
      <x:c r="S2026" s="19" t="str">
        <x:v>https://nlftp.mlit.go.jp/ksj/gml/datalist/KsjTmplt-S12-2024.html</x:v>
      </x:c>
      <x:c r="T2026" s="19" t="str">
        <x:v>https://nlftp.mlit.go.jp/ksj/gml/datalist/KsjTmplt-S12-2024.html</x:v>
      </x:c>
      <x:c r="U2026" s="19" t="str">
        <x:v>station-component|赤羽橋|東京都|metro|35.6550|139.7442|</x:v>
      </x:c>
      <x:c r="V2026" s="19" t="str">
        <x:v>003954 / 003954 / 12号線大江戸線</x:v>
      </x:c>
      <x:c r="W2026" s="18" t="str">
        <x:v>否</x:v>
      </x:c>
      <x:c r="X2026" s="18" t="str">
        <x:v>0785e932a32b3ec15e1a1345537ae145eafe1c07bf38d5c16c11ee2b391e7a28</x:v>
      </x:c>
      <x:c r="Y2026" s="20" t="n">
        <x:v>1</x:v>
      </x:c>
      <x:c r="Z2026" s="20" t="n">
        <x:v>1</x:v>
      </x:c>
      <x:c r="AA2026" s="19"/>
      <x:c r="AB2026" s="18"/>
      <x:c r="AC2026" s="19"/>
    </x:row>
    <x:row r="2027" ht="28" customHeight="1">
      <x:c r="A2027" s="18" t="str">
        <x:v>赤間</x:v>
      </x:c>
      <x:c r="B2027" s="18" t="str">
        <x:v>九州旅客鉄道</x:v>
      </x:c>
      <x:c r="C2027" s="18" t="str">
        <x:v>conventional_rail</x:v>
      </x:c>
      <x:c r="D2027" s="19" t="str">
        <x:v>T2</x:v>
      </x:c>
      <x:c r="E2027" s="20" t="n">
        <x:v>15342</x:v>
      </x:c>
      <x:c r="F2027" s="18" t="str">
        <x:v>persons/day</x:v>
      </x:c>
      <x:c r="G2027" s="18" t="str">
        <x:v>FY2024</x:v>
      </x:c>
      <x:c r="H2027" s="18" t="str">
        <x:v>否</x:v>
      </x:c>
      <x:c r="I2027" s="19" t="str">
        <x:v>DAILY_ENTRIES_EXITS</x:v>
      </x:c>
      <x:c r="J2027" s="19" t="str">
        <x:v>鹿児島線</x:v>
      </x:c>
      <x:c r="K2027" s="18" t="str">
        <x:v>transport-node:dac27c0f-47fe-58ac-9221-b359eff49a9e</x:v>
      </x:c>
      <x:c r="L2027" s="19" t="str">
        <x:v>组件待审核</x:v>
      </x:c>
      <x:c r="M2027" s="21" t="n">
        <x:v>33.80823</x:v>
      </x:c>
      <x:c r="N2027" s="21" t="n">
        <x:v>130.56959</x:v>
      </x:c>
      <x:c r="O2027" s="18" t="str">
        <x:v>008807</x:v>
      </x:c>
      <x:c r="P2027" s="18" t="str">
        <x:v>鹿児島線</x:v>
      </x:c>
      <x:c r="Q2027" s="19" t="str">
        <x:v>S12_061_GE_10000</x:v>
      </x:c>
      <x:c r="R2027" s="19" t="str">
        <x:v>S12_061 usage threshold</x:v>
      </x:c>
      <x:c r="S2027" s="19" t="str">
        <x:v>https://nlftp.mlit.go.jp/ksj/gml/datalist/KsjTmplt-S12-2024.html</x:v>
      </x:c>
      <x:c r="T2027" s="19" t="str">
        <x:v>https://nlftp.mlit.go.jp/ksj/gml/datalist/KsjTmplt-S12-2024.html</x:v>
      </x:c>
      <x:c r="U2027" s="19" t="str">
        <x:v>station-component|赤間|九州旅客鉄道|conventional_rail|33.8082|130.5696|</x:v>
      </x:c>
      <x:c r="V2027" s="19" t="str">
        <x:v>008807 / 008807 / 鹿児島線</x:v>
      </x:c>
      <x:c r="W2027" s="18" t="str">
        <x:v>否</x:v>
      </x:c>
      <x:c r="X2027" s="18" t="str">
        <x:v>0785e932a32b3ec15e1a1345537ae145eafe1c07bf38d5c16c11ee2b391e7a28</x:v>
      </x:c>
      <x:c r="Y2027" s="20" t="n">
        <x:v>1</x:v>
      </x:c>
      <x:c r="Z2027" s="20" t="n">
        <x:v>1</x:v>
      </x:c>
      <x:c r="AA2027" s="19"/>
      <x:c r="AB2027" s="18"/>
      <x:c r="AC2027" s="19"/>
    </x:row>
    <x:row r="2028" ht="28" customHeight="1">
      <x:c r="A2028" s="18" t="str">
        <x:v>越中島</x:v>
      </x:c>
      <x:c r="B2028" s="18" t="str">
        <x:v>東日本旅客鉄道</x:v>
      </x:c>
      <x:c r="C2028" s="18" t="str">
        <x:v>conventional_rail</x:v>
      </x:c>
      <x:c r="D2028" s="19" t="str">
        <x:v>T2</x:v>
      </x:c>
      <x:c r="E2028" s="20" t="n">
        <x:v>10880</x:v>
      </x:c>
      <x:c r="F2028" s="18" t="str">
        <x:v>persons/day</x:v>
      </x:c>
      <x:c r="G2028" s="18" t="str">
        <x:v>FY2024</x:v>
      </x:c>
      <x:c r="H2028" s="18" t="str">
        <x:v>否</x:v>
      </x:c>
      <x:c r="I2028" s="19" t="str">
        <x:v>DAILY_ENTRIES_EXITS</x:v>
      </x:c>
      <x:c r="J2028" s="19" t="str">
        <x:v>京葉線</x:v>
      </x:c>
      <x:c r="K2028" s="18" t="str">
        <x:v>transport-node:9b520b4d-0f07-514a-8abe-498c9640d0c5</x:v>
      </x:c>
      <x:c r="L2028" s="19" t="str">
        <x:v>组件待审核</x:v>
      </x:c>
      <x:c r="M2028" s="21" t="n">
        <x:v>35.668</x:v>
      </x:c>
      <x:c r="N2028" s="21" t="n">
        <x:v>139.792495</x:v>
      </x:c>
      <x:c r="O2028" s="18" t="str">
        <x:v>003859</x:v>
      </x:c>
      <x:c r="P2028" s="18" t="str">
        <x:v>京葉線</x:v>
      </x:c>
      <x:c r="Q2028" s="19" t="str">
        <x:v>S12_061_GE_10000</x:v>
      </x:c>
      <x:c r="R2028" s="19" t="str">
        <x:v>S12_061 usage threshold</x:v>
      </x:c>
      <x:c r="S2028" s="19" t="str">
        <x:v>https://nlftp.mlit.go.jp/ksj/gml/datalist/KsjTmplt-S12-2024.html</x:v>
      </x:c>
      <x:c r="T2028" s="19" t="str">
        <x:v>https://nlftp.mlit.go.jp/ksj/gml/datalist/KsjTmplt-S12-2024.html</x:v>
      </x:c>
      <x:c r="U2028" s="19" t="str">
        <x:v>station-component|越中島|東日本旅客鉄道|conventional_rail|35.6680|139.7925|</x:v>
      </x:c>
      <x:c r="V2028" s="19" t="str">
        <x:v>003859 / 003859 / 京葉線</x:v>
      </x:c>
      <x:c r="W2028" s="18" t="str">
        <x:v>否</x:v>
      </x:c>
      <x:c r="X2028" s="18" t="str">
        <x:v>0785e932a32b3ec15e1a1345537ae145eafe1c07bf38d5c16c11ee2b391e7a28</x:v>
      </x:c>
      <x:c r="Y2028" s="20" t="n">
        <x:v>1</x:v>
      </x:c>
      <x:c r="Z2028" s="20" t="n">
        <x:v>1</x:v>
      </x:c>
      <x:c r="AA2028" s="19"/>
      <x:c r="AB2028" s="18"/>
      <x:c r="AC2028" s="19"/>
    </x:row>
    <x:row r="2029" ht="33" customHeight="1">
      <x:c r="A2029" s="18" t="str">
        <x:v>越前たけふ</x:v>
      </x:c>
      <x:c r="B2029" s="18" t="str">
        <x:v>西日本旅客鉄道</x:v>
      </x:c>
      <x:c r="C2029" s="18" t="str">
        <x:v>shinkansen</x:v>
      </x:c>
      <x:c r="D2029" s="19" t="str">
        <x:v>T3</x:v>
      </x:c>
      <x:c r="E2029" s="20" t="n">
        <x:v>1126</x:v>
      </x:c>
      <x:c r="F2029" s="18" t="str">
        <x:v>persons/day</x:v>
      </x:c>
      <x:c r="G2029" s="18" t="str">
        <x:v>FY2024</x:v>
      </x:c>
      <x:c r="H2029" s="18" t="str">
        <x:v>否</x:v>
      </x:c>
      <x:c r="I2029" s="19" t="str">
        <x:v>DAILY_ENTRIES_EXITS</x:v>
      </x:c>
      <x:c r="J2029" s="19" t="str">
        <x:v>北陸新幹線</x:v>
      </x:c>
      <x:c r="K2029" s="18" t="str">
        <x:v>transport-node:5ce38d83-4bc2-5a09-91f1-293a742c9cba</x:v>
      </x:c>
      <x:c r="L2029" s="19" t="str">
        <x:v>组件待审核</x:v>
      </x:c>
      <x:c r="M2029" s="21" t="n">
        <x:v>35.895668</x:v>
      </x:c>
      <x:c r="N2029" s="21" t="n">
        <x:v>136.1989148</x:v>
      </x:c>
      <x:c r="O2029" s="18" t="str">
        <x:v>010180</x:v>
      </x:c>
      <x:c r="P2029" s="18" t="str">
        <x:v>北陸新幹線</x:v>
      </x:c>
      <x:c r="Q2029" s="19" t="str">
        <x:v>SHINKANSEN</x:v>
      </x:c>
      <x:c r="R2029" s="19" t="str">
        <x:v>S12_061 usage threshold; low-flow inclusion justified by Shinkansen inventory</x:v>
      </x:c>
      <x:c r="S2029" s="19" t="str">
        <x:v>https://nlftp.mlit.go.jp/ksj/gml/datalist/KsjTmplt-S12-2024.html</x:v>
      </x:c>
      <x:c r="T2029" s="19" t="str">
        <x:v>https://nlftp.mlit.go.jp/ksj/gml/datalist/KsjTmplt-S12-2024.html</x:v>
      </x:c>
      <x:c r="U2029" s="19" t="str">
        <x:v>station-component|越前たけふ|西日本旅客鉄道|shinkansen|35.8957|136.1989|</x:v>
      </x:c>
      <x:c r="V2029" s="19" t="str">
        <x:v>010180 / 010180 / 北陸新幹線</x:v>
      </x:c>
      <x:c r="W2029" s="18" t="str">
        <x:v>否</x:v>
      </x:c>
      <x:c r="X2029" s="18" t="str">
        <x:v>0785e932a32b3ec15e1a1345537ae145eafe1c07bf38d5c16c11ee2b391e7a28</x:v>
      </x:c>
      <x:c r="Y2029" s="20" t="n">
        <x:v>1</x:v>
      </x:c>
      <x:c r="Z2029" s="20" t="n">
        <x:v>1</x:v>
      </x:c>
      <x:c r="AA2029" s="19"/>
      <x:c r="AB2029" s="18"/>
      <x:c r="AC2029" s="19"/>
    </x:row>
    <x:row r="2030" ht="33" customHeight="1">
      <x:c r="A2030" s="18" t="str">
        <x:v>越後湯沢</x:v>
      </x:c>
      <x:c r="B2030" s="18" t="str">
        <x:v>東日本旅客鉄道</x:v>
      </x:c>
      <x:c r="C2030" s="18" t="str">
        <x:v>shinkansen</x:v>
      </x:c>
      <x:c r="D2030" s="19"/>
      <x:c r="E2030" s="20" t="n">
        <x:v>3550</x:v>
      </x:c>
      <x:c r="F2030" s="18" t="str">
        <x:v>boardings/day</x:v>
      </x:c>
      <x:c r="G2030" s="18" t="str">
        <x:v>FY2024</x:v>
      </x:c>
      <x:c r="H2030" s="18" t="str">
        <x:v>是</x:v>
      </x:c>
      <x:c r="I2030" s="19" t="str">
        <x:v>DAILY_SHINKANSEN_BOARDINGS</x:v>
      </x:c>
      <x:c r="J2030" s="19" t="str">
        <x:v>上越新幹線</x:v>
      </x:c>
      <x:c r="K2030" s="18" t="str">
        <x:v>transport-node:44d61002-d01b-50ca-ae6d-be3602e1d260</x:v>
      </x:c>
      <x:c r="L2030" s="19" t="str">
        <x:v>组件待审核</x:v>
      </x:c>
      <x:c r="M2030" s="21" t="n">
        <x:v>36.93572</x:v>
      </x:c>
      <x:c r="N2030" s="21" t="n">
        <x:v>138.8092733</x:v>
      </x:c>
      <x:c r="O2030" s="18" t="str">
        <x:v>001718</x:v>
      </x:c>
      <x:c r="P2030" s="18" t="str">
        <x:v>上越新幹線</x:v>
      </x:c>
      <x:c r="Q2030" s="19" t="str">
        <x:v>SHINKANSEN</x:v>
      </x:c>
      <x:c r="R2030" s="19" t="str">
        <x:v>Official fallback retained in published scope/unit; tier remains null pending metric/manual review.</x:v>
      </x:c>
      <x:c r="S2030" s="19" t="str">
        <x:v>https://www.jreast.co.jp/company/data/passenger/2024_shinkansen.html/</x:v>
      </x:c>
      <x:c r="T2030" s="19" t="str">
        <x:v>https://nlftp.mlit.go.jp/ksj/gml/datalist/KsjTmplt-S12-2024.html
https://www.jreast.co.jp/company/data/passenger/2024_shinkansen.html/</x:v>
      </x:c>
      <x:c r="U2030" s="19" t="str">
        <x:v>station-component|越後湯沢|東日本旅客鉄道|shinkansen|36.9357|138.8093|</x:v>
      </x:c>
      <x:c r="V2030" s="19" t="str">
        <x:v>001717 / 001718 / 上越新幹線</x:v>
      </x:c>
      <x:c r="W2030" s="18" t="str">
        <x:v>否</x:v>
      </x:c>
      <x:c r="X2030" s="18" t="str">
        <x:v>0785e932a32b3ec15e1a1345537ae145eafe1c07bf38d5c16c11ee2b391e7a28</x:v>
      </x:c>
      <x:c r="Y2030" s="20" t="n">
        <x:v>1</x:v>
      </x:c>
      <x:c r="Z2030" s="20" t="n">
        <x:v>2</x:v>
      </x:c>
      <x:c r="AA2030" s="19"/>
      <x:c r="AB2030" s="18"/>
      <x:c r="AC2030" s="19"/>
    </x:row>
    <x:row r="2031" ht="28" customHeight="1">
      <x:c r="A2031" s="18" t="str">
        <x:v>越谷</x:v>
      </x:c>
      <x:c r="B2031" s="18" t="str">
        <x:v>東武鉄道</x:v>
      </x:c>
      <x:c r="C2031" s="18" t="str">
        <x:v>private_rail</x:v>
      </x:c>
      <x:c r="D2031" s="19" t="str">
        <x:v>T2</x:v>
      </x:c>
      <x:c r="E2031" s="20" t="n">
        <x:v>48139</x:v>
      </x:c>
      <x:c r="F2031" s="18" t="str">
        <x:v>persons/day</x:v>
      </x:c>
      <x:c r="G2031" s="18" t="str">
        <x:v>FY2024</x:v>
      </x:c>
      <x:c r="H2031" s="18" t="str">
        <x:v>否</x:v>
      </x:c>
      <x:c r="I2031" s="19" t="str">
        <x:v>DAILY_ENTRIES_EXITS</x:v>
      </x:c>
      <x:c r="J2031" s="19" t="str">
        <x:v>伊勢崎線</x:v>
      </x:c>
      <x:c r="K2031" s="18" t="str">
        <x:v>transport-node:96be4a5c-e58d-5cba-9183-4a80f245d5bc</x:v>
      </x:c>
      <x:c r="L2031" s="19" t="str">
        <x:v>组件待审核</x:v>
      </x:c>
      <x:c r="M2031" s="21" t="n">
        <x:v>35.88753</x:v>
      </x:c>
      <x:c r="N2031" s="21" t="n">
        <x:v>139.786235</x:v>
      </x:c>
      <x:c r="O2031" s="18" t="str">
        <x:v>002942</x:v>
      </x:c>
      <x:c r="P2031" s="18" t="str">
        <x:v>伊勢崎線</x:v>
      </x:c>
      <x:c r="Q2031" s="19" t="str">
        <x:v>S12_061_GE_10000</x:v>
      </x:c>
      <x:c r="R2031" s="19" t="str">
        <x:v>S12_061 usage threshold</x:v>
      </x:c>
      <x:c r="S2031" s="19" t="str">
        <x:v>https://nlftp.mlit.go.jp/ksj/gml/datalist/KsjTmplt-S12-2024.html</x:v>
      </x:c>
      <x:c r="T2031" s="19" t="str">
        <x:v>https://nlftp.mlit.go.jp/ksj/gml/datalist/KsjTmplt-S12-2024.html</x:v>
      </x:c>
      <x:c r="U2031" s="19" t="str">
        <x:v>station-component|越谷|東武鉄道|private_rail|35.8875|139.7862|</x:v>
      </x:c>
      <x:c r="V2031" s="19" t="str">
        <x:v>002942 / 002942 / 伊勢崎線</x:v>
      </x:c>
      <x:c r="W2031" s="18" t="str">
        <x:v>否</x:v>
      </x:c>
      <x:c r="X2031" s="18" t="str">
        <x:v>0785e932a32b3ec15e1a1345537ae145eafe1c07bf38d5c16c11ee2b391e7a28</x:v>
      </x:c>
      <x:c r="Y2031" s="20" t="n">
        <x:v>1</x:v>
      </x:c>
      <x:c r="Z2031" s="20" t="n">
        <x:v>1</x:v>
      </x:c>
      <x:c r="AA2031" s="19"/>
      <x:c r="AB2031" s="18"/>
      <x:c r="AC2031" s="19"/>
    </x:row>
    <x:row r="2032" ht="28" customHeight="1">
      <x:c r="A2032" s="18" t="str">
        <x:v>越谷レイクタウン</x:v>
      </x:c>
      <x:c r="B2032" s="18" t="str">
        <x:v>東日本旅客鉄道</x:v>
      </x:c>
      <x:c r="C2032" s="18" t="str">
        <x:v>conventional_rail</x:v>
      </x:c>
      <x:c r="D2032" s="19" t="str">
        <x:v>T1</x:v>
      </x:c>
      <x:c r="E2032" s="20" t="n">
        <x:v>59534</x:v>
      </x:c>
      <x:c r="F2032" s="18" t="str">
        <x:v>persons/day</x:v>
      </x:c>
      <x:c r="G2032" s="18" t="str">
        <x:v>FY2024</x:v>
      </x:c>
      <x:c r="H2032" s="18" t="str">
        <x:v>否</x:v>
      </x:c>
      <x:c r="I2032" s="19" t="str">
        <x:v>DAILY_ENTRIES_EXITS</x:v>
      </x:c>
      <x:c r="J2032" s="19" t="str">
        <x:v>武蔵野線</x:v>
      </x:c>
      <x:c r="K2032" s="18" t="str">
        <x:v>transport-node:82f53760-f056-5f41-81c3-d127b943c9c0</x:v>
      </x:c>
      <x:c r="L2032" s="19" t="str">
        <x:v>组件待审核</x:v>
      </x:c>
      <x:c r="M2032" s="21" t="n">
        <x:v>35.876115</x:v>
      </x:c>
      <x:c r="N2032" s="21" t="n">
        <x:v>139.82253</x:v>
      </x:c>
      <x:c r="O2032" s="18" t="str">
        <x:v>002957</x:v>
      </x:c>
      <x:c r="P2032" s="18" t="str">
        <x:v>武蔵野線</x:v>
      </x:c>
      <x:c r="Q2032" s="19" t="str">
        <x:v>S12_061_GE_10000</x:v>
      </x:c>
      <x:c r="R2032" s="19" t="str">
        <x:v>S12_061 usage threshold</x:v>
      </x:c>
      <x:c r="S2032" s="19" t="str">
        <x:v>https://nlftp.mlit.go.jp/ksj/gml/datalist/KsjTmplt-S12-2024.html</x:v>
      </x:c>
      <x:c r="T2032" s="19" t="str">
        <x:v>https://nlftp.mlit.go.jp/ksj/gml/datalist/KsjTmplt-S12-2024.html</x:v>
      </x:c>
      <x:c r="U2032" s="19" t="str">
        <x:v>station-component|越谷レイクタウン|東日本旅客鉄道|conventional_rail|35.8761|139.8225|</x:v>
      </x:c>
      <x:c r="V2032" s="19" t="str">
        <x:v>002957 / 002957 / 武蔵野線</x:v>
      </x:c>
      <x:c r="W2032" s="18" t="str">
        <x:v>否</x:v>
      </x:c>
      <x:c r="X2032" s="18" t="str">
        <x:v>0785e932a32b3ec15e1a1345537ae145eafe1c07bf38d5c16c11ee2b391e7a28</x:v>
      </x:c>
      <x:c r="Y2032" s="20" t="n">
        <x:v>1</x:v>
      </x:c>
      <x:c r="Z2032" s="20" t="n">
        <x:v>1</x:v>
      </x:c>
      <x:c r="AA2032" s="19"/>
      <x:c r="AB2032" s="18"/>
      <x:c r="AC2032" s="19"/>
    </x:row>
    <x:row r="2033" ht="28" customHeight="1">
      <x:c r="A2033" s="18" t="str">
        <x:v>蹴上</x:v>
      </x:c>
      <x:c r="B2033" s="18" t="str">
        <x:v>京都市</x:v>
      </x:c>
      <x:c r="C2033" s="18" t="str">
        <x:v>metro</x:v>
      </x:c>
      <x:c r="D2033" s="19" t="str">
        <x:v>T2</x:v>
      </x:c>
      <x:c r="E2033" s="20" t="n">
        <x:v>10725</x:v>
      </x:c>
      <x:c r="F2033" s="18" t="str">
        <x:v>persons/day</x:v>
      </x:c>
      <x:c r="G2033" s="18" t="str">
        <x:v>FY2024</x:v>
      </x:c>
      <x:c r="H2033" s="18" t="str">
        <x:v>否</x:v>
      </x:c>
      <x:c r="I2033" s="19" t="str">
        <x:v>DAILY_ENTRIES_EXITS</x:v>
      </x:c>
      <x:c r="J2033" s="19" t="str">
        <x:v>東西線</x:v>
      </x:c>
      <x:c r="K2033" s="18" t="str">
        <x:v>transport-node:b04f81d5-dc45-5010-bd4e-750f6e3ae531</x:v>
      </x:c>
      <x:c r="L2033" s="19" t="str">
        <x:v>组件待审核</x:v>
      </x:c>
      <x:c r="M2033" s="21" t="n">
        <x:v>35.0080067</x:v>
      </x:c>
      <x:c r="N2033" s="21" t="n">
        <x:v>135.7903967</x:v>
      </x:c>
      <x:c r="O2033" s="18" t="str">
        <x:v>005978</x:v>
      </x:c>
      <x:c r="P2033" s="18" t="str">
        <x:v>東西線</x:v>
      </x:c>
      <x:c r="Q2033" s="19" t="str">
        <x:v>S12_061_GE_10000</x:v>
      </x:c>
      <x:c r="R2033" s="19" t="str">
        <x:v>S12_061 usage threshold</x:v>
      </x:c>
      <x:c r="S2033" s="19" t="str">
        <x:v>https://nlftp.mlit.go.jp/ksj/gml/datalist/KsjTmplt-S12-2024.html</x:v>
      </x:c>
      <x:c r="T2033" s="19" t="str">
        <x:v>https://nlftp.mlit.go.jp/ksj/gml/datalist/KsjTmplt-S12-2024.html</x:v>
      </x:c>
      <x:c r="U2033" s="19" t="str">
        <x:v>station-component|蹴上|京都市|metro|35.0080|135.7904|</x:v>
      </x:c>
      <x:c r="V2033" s="19" t="str">
        <x:v>005978 / 005978 / 東西線</x:v>
      </x:c>
      <x:c r="W2033" s="18" t="str">
        <x:v>否</x:v>
      </x:c>
      <x:c r="X2033" s="18" t="str">
        <x:v>0785e932a32b3ec15e1a1345537ae145eafe1c07bf38d5c16c11ee2b391e7a28</x:v>
      </x:c>
      <x:c r="Y2033" s="20" t="n">
        <x:v>1</x:v>
      </x:c>
      <x:c r="Z2033" s="20" t="n">
        <x:v>1</x:v>
      </x:c>
      <x:c r="AA2033" s="19"/>
      <x:c r="AB2033" s="18"/>
      <x:c r="AC2033" s="19"/>
    </x:row>
    <x:row r="2034" ht="28" customHeight="1">
      <x:c r="A2034" s="18" t="str">
        <x:v>車道</x:v>
      </x:c>
      <x:c r="B2034" s="18" t="str">
        <x:v>名古屋市</x:v>
      </x:c>
      <x:c r="C2034" s="18" t="str">
        <x:v>metro</x:v>
      </x:c>
      <x:c r="D2034" s="19" t="str">
        <x:v>T2</x:v>
      </x:c>
      <x:c r="E2034" s="20" t="n">
        <x:v>13476</x:v>
      </x:c>
      <x:c r="F2034" s="18" t="str">
        <x:v>persons/day</x:v>
      </x:c>
      <x:c r="G2034" s="18" t="str">
        <x:v>FY2024</x:v>
      </x:c>
      <x:c r="H2034" s="18" t="str">
        <x:v>否</x:v>
      </x:c>
      <x:c r="I2034" s="19" t="str">
        <x:v>DAILY_ENTRIES_EXITS</x:v>
      </x:c>
      <x:c r="J2034" s="19" t="str">
        <x:v>6号線桜通線</x:v>
      </x:c>
      <x:c r="K2034" s="18" t="str">
        <x:v>transport-node:ad3d76d8-76fc-555f-b475-a329c22c0355</x:v>
      </x:c>
      <x:c r="L2034" s="19" t="str">
        <x:v>组件待审核</x:v>
      </x:c>
      <x:c r="M2034" s="21" t="n">
        <x:v>35.173405</x:v>
      </x:c>
      <x:c r="N2034" s="21" t="n">
        <x:v>136.92949</x:v>
      </x:c>
      <x:c r="O2034" s="18" t="str">
        <x:v>005438</x:v>
      </x:c>
      <x:c r="P2034" s="18" t="str">
        <x:v>6号線桜通線</x:v>
      </x:c>
      <x:c r="Q2034" s="19" t="str">
        <x:v>S12_061_GE_10000</x:v>
      </x:c>
      <x:c r="R2034" s="19" t="str">
        <x:v>S12_061 usage threshold</x:v>
      </x:c>
      <x:c r="S2034" s="19" t="str">
        <x:v>https://nlftp.mlit.go.jp/ksj/gml/datalist/KsjTmplt-S12-2024.html</x:v>
      </x:c>
      <x:c r="T2034" s="19" t="str">
        <x:v>https://nlftp.mlit.go.jp/ksj/gml/datalist/KsjTmplt-S12-2024.html</x:v>
      </x:c>
      <x:c r="U2034" s="19" t="str">
        <x:v>station-component|車道|名古屋市|metro|35.1734|136.9295|</x:v>
      </x:c>
      <x:c r="V2034" s="19" t="str">
        <x:v>005438 / 005438 / 6号線桜通線</x:v>
      </x:c>
      <x:c r="W2034" s="18" t="str">
        <x:v>否</x:v>
      </x:c>
      <x:c r="X2034" s="18" t="str">
        <x:v>0785e932a32b3ec15e1a1345537ae145eafe1c07bf38d5c16c11ee2b391e7a28</x:v>
      </x:c>
      <x:c r="Y2034" s="20" t="n">
        <x:v>1</x:v>
      </x:c>
      <x:c r="Z2034" s="20" t="n">
        <x:v>1</x:v>
      </x:c>
      <x:c r="AA2034" s="19"/>
      <x:c r="AB2034" s="18"/>
      <x:c r="AC2034" s="19"/>
    </x:row>
    <x:row r="2035" ht="33" customHeight="1">
      <x:c r="A2035" s="18" t="str">
        <x:v>軽井沢</x:v>
      </x:c>
      <x:c r="B2035" s="18" t="str">
        <x:v>東日本旅客鉄道</x:v>
      </x:c>
      <x:c r="C2035" s="18" t="str">
        <x:v>shinkansen</x:v>
      </x:c>
      <x:c r="D2035" s="19" t="str">
        <x:v>T3</x:v>
      </x:c>
      <x:c r="E2035" s="20" t="n">
        <x:v>9382</x:v>
      </x:c>
      <x:c r="F2035" s="18" t="str">
        <x:v>persons/day</x:v>
      </x:c>
      <x:c r="G2035" s="18" t="str">
        <x:v>FY2024</x:v>
      </x:c>
      <x:c r="H2035" s="18" t="str">
        <x:v>否</x:v>
      </x:c>
      <x:c r="I2035" s="19" t="str">
        <x:v>DAILY_ENTRIES_EXITS</x:v>
      </x:c>
      <x:c r="J2035" s="19" t="str">
        <x:v>北陸新幹線</x:v>
      </x:c>
      <x:c r="K2035" s="18" t="str">
        <x:v>transport-node:666b7bf6-a74f-5aa2-930d-dd2f80672f5a</x:v>
      </x:c>
      <x:c r="L2035" s="19" t="str">
        <x:v>组件待审核</x:v>
      </x:c>
      <x:c r="M2035" s="21" t="n">
        <x:v>36.3425975</x:v>
      </x:c>
      <x:c r="N2035" s="21" t="n">
        <x:v>138.6349175</x:v>
      </x:c>
      <x:c r="O2035" s="18" t="str">
        <x:v>002362</x:v>
      </x:c>
      <x:c r="P2035" s="18" t="str">
        <x:v>北陸新幹線</x:v>
      </x:c>
      <x:c r="Q2035" s="19" t="str">
        <x:v>SHINKANSEN</x:v>
      </x:c>
      <x:c r="R2035" s="19" t="str">
        <x:v>S12_061 usage threshold; low-flow inclusion justified by Shinkansen inventory</x:v>
      </x:c>
      <x:c r="S2035" s="19" t="str">
        <x:v>https://nlftp.mlit.go.jp/ksj/gml/datalist/KsjTmplt-S12-2024.html</x:v>
      </x:c>
      <x:c r="T2035" s="19" t="str">
        <x:v>https://nlftp.mlit.go.jp/ksj/gml/datalist/KsjTmplt-S12-2024.html</x:v>
      </x:c>
      <x:c r="U2035" s="19" t="str">
        <x:v>station-component|軽井沢|東日本旅客鉄道|shinkansen|36.3426|138.6349|</x:v>
      </x:c>
      <x:c r="V2035" s="19" t="str">
        <x:v>002361 / 002362 / 北陸新幹線</x:v>
      </x:c>
      <x:c r="W2035" s="18" t="str">
        <x:v>否</x:v>
      </x:c>
      <x:c r="X2035" s="18" t="str">
        <x:v>0785e932a32b3ec15e1a1345537ae145eafe1c07bf38d5c16c11ee2b391e7a28</x:v>
      </x:c>
      <x:c r="Y2035" s="20" t="n">
        <x:v>1</x:v>
      </x:c>
      <x:c r="Z2035" s="20" t="n">
        <x:v>1</x:v>
      </x:c>
      <x:c r="AA2035" s="19"/>
      <x:c r="AB2035" s="18"/>
      <x:c r="AC2035" s="19"/>
    </x:row>
    <x:row r="2036" ht="28" customHeight="1">
      <x:c r="A2036" s="18" t="str">
        <x:v>辰巳</x:v>
      </x:c>
      <x:c r="B2036" s="18" t="str">
        <x:v>東京地下鉄</x:v>
      </x:c>
      <x:c r="C2036" s="18" t="str">
        <x:v>metro</x:v>
      </x:c>
      <x:c r="D2036" s="19" t="str">
        <x:v>T2</x:v>
      </x:c>
      <x:c r="E2036" s="20" t="n">
        <x:v>27776</x:v>
      </x:c>
      <x:c r="F2036" s="18" t="str">
        <x:v>persons/day</x:v>
      </x:c>
      <x:c r="G2036" s="18" t="str">
        <x:v>FY2024</x:v>
      </x:c>
      <x:c r="H2036" s="18" t="str">
        <x:v>否</x:v>
      </x:c>
      <x:c r="I2036" s="19" t="str">
        <x:v>DAILY_ENTRIES_EXITS</x:v>
      </x:c>
      <x:c r="J2036" s="19" t="str">
        <x:v>8号線有楽町線</x:v>
      </x:c>
      <x:c r="K2036" s="18" t="str">
        <x:v>transport-node:d3671980-f789-5862-a09a-4c5f30f65e46</x:v>
      </x:c>
      <x:c r="L2036" s="19" t="str">
        <x:v>组件待审核</x:v>
      </x:c>
      <x:c r="M2036" s="21" t="n">
        <x:v>35.645775</x:v>
      </x:c>
      <x:c r="N2036" s="21" t="n">
        <x:v>139.81033</x:v>
      </x:c>
      <x:c r="O2036" s="18" t="str">
        <x:v>003999</x:v>
      </x:c>
      <x:c r="P2036" s="18" t="str">
        <x:v>8号線有楽町線</x:v>
      </x:c>
      <x:c r="Q2036" s="19" t="str">
        <x:v>S12_061_GE_10000</x:v>
      </x:c>
      <x:c r="R2036" s="19" t="str">
        <x:v>S12_061 usage threshold</x:v>
      </x:c>
      <x:c r="S2036" s="19" t="str">
        <x:v>https://nlftp.mlit.go.jp/ksj/gml/datalist/KsjTmplt-S12-2024.html</x:v>
      </x:c>
      <x:c r="T2036" s="19" t="str">
        <x:v>https://nlftp.mlit.go.jp/ksj/gml/datalist/KsjTmplt-S12-2024.html</x:v>
      </x:c>
      <x:c r="U2036" s="19" t="str">
        <x:v>station-component|辰巳|東京地下鉄|metro|35.6458|139.8103|</x:v>
      </x:c>
      <x:c r="V2036" s="19" t="str">
        <x:v>003999 / 003999 / 8号線有楽町線</x:v>
      </x:c>
      <x:c r="W2036" s="18" t="str">
        <x:v>否</x:v>
      </x:c>
      <x:c r="X2036" s="18" t="str">
        <x:v>0785e932a32b3ec15e1a1345537ae145eafe1c07bf38d5c16c11ee2b391e7a28</x:v>
      </x:c>
      <x:c r="Y2036" s="20" t="n">
        <x:v>1</x:v>
      </x:c>
      <x:c r="Z2036" s="20" t="n">
        <x:v>1</x:v>
      </x:c>
      <x:c r="AA2036" s="19"/>
      <x:c r="AB2036" s="18"/>
      <x:c r="AC2036" s="19"/>
    </x:row>
    <x:row r="2037" ht="28" customHeight="1">
      <x:c r="A2037" s="18" t="str">
        <x:v>辻堂</x:v>
      </x:c>
      <x:c r="B2037" s="18" t="str">
        <x:v>東日本旅客鉄道</x:v>
      </x:c>
      <x:c r="C2037" s="18" t="str">
        <x:v>conventional_rail</x:v>
      </x:c>
      <x:c r="D2037" s="19" t="str">
        <x:v>T1</x:v>
      </x:c>
      <x:c r="E2037" s="20" t="n">
        <x:v>112742</x:v>
      </x:c>
      <x:c r="F2037" s="18" t="str">
        <x:v>persons/day</x:v>
      </x:c>
      <x:c r="G2037" s="18" t="str">
        <x:v>FY2024</x:v>
      </x:c>
      <x:c r="H2037" s="18" t="str">
        <x:v>否</x:v>
      </x:c>
      <x:c r="I2037" s="19" t="str">
        <x:v>DAILY_ENTRIES_EXITS</x:v>
      </x:c>
      <x:c r="J2037" s="19" t="str">
        <x:v>東海道線</x:v>
      </x:c>
      <x:c r="K2037" s="18" t="str">
        <x:v>transport-node:a1c40205-0202-575e-8824-37841b4fa1cf</x:v>
      </x:c>
      <x:c r="L2037" s="19" t="str">
        <x:v>组件待审核</x:v>
      </x:c>
      <x:c r="M2037" s="21" t="n">
        <x:v>35.336845</x:v>
      </x:c>
      <x:c r="N2037" s="21" t="n">
        <x:v>139.445895</x:v>
      </x:c>
      <x:c r="O2037" s="18" t="str">
        <x:v>005004</x:v>
      </x:c>
      <x:c r="P2037" s="18" t="str">
        <x:v>東海道線</x:v>
      </x:c>
      <x:c r="Q2037" s="19" t="str">
        <x:v>S12_061_GE_10000</x:v>
      </x:c>
      <x:c r="R2037" s="19" t="str">
        <x:v>S12_061 usage threshold</x:v>
      </x:c>
      <x:c r="S2037" s="19" t="str">
        <x:v>https://nlftp.mlit.go.jp/ksj/gml/datalist/KsjTmplt-S12-2024.html</x:v>
      </x:c>
      <x:c r="T2037" s="19" t="str">
        <x:v>https://nlftp.mlit.go.jp/ksj/gml/datalist/KsjTmplt-S12-2024.html</x:v>
      </x:c>
      <x:c r="U2037" s="19" t="str">
        <x:v>station-component|辻堂|東日本旅客鉄道|conventional_rail|35.3368|139.4459|</x:v>
      </x:c>
      <x:c r="V2037" s="19" t="str">
        <x:v>005004 / 005004 / 東海道線</x:v>
      </x:c>
      <x:c r="W2037" s="18" t="str">
        <x:v>否</x:v>
      </x:c>
      <x:c r="X2037" s="18" t="str">
        <x:v>0785e932a32b3ec15e1a1345537ae145eafe1c07bf38d5c16c11ee2b391e7a28</x:v>
      </x:c>
      <x:c r="Y2037" s="20" t="n">
        <x:v>1</x:v>
      </x:c>
      <x:c r="Z2037" s="20" t="n">
        <x:v>1</x:v>
      </x:c>
      <x:c r="AA2037" s="19"/>
      <x:c r="AB2037" s="18"/>
      <x:c r="AC2037" s="19"/>
    </x:row>
    <x:row r="2038" ht="28" customHeight="1">
      <x:c r="A2038" s="18" t="str">
        <x:v>近江八幡</x:v>
      </x:c>
      <x:c r="B2038" s="18" t="str">
        <x:v>西日本旅客鉄道</x:v>
      </x:c>
      <x:c r="C2038" s="18" t="str">
        <x:v>conventional_rail</x:v>
      </x:c>
      <x:c r="D2038" s="19" t="str">
        <x:v>T2</x:v>
      </x:c>
      <x:c r="E2038" s="20" t="n">
        <x:v>31866</x:v>
      </x:c>
      <x:c r="F2038" s="18" t="str">
        <x:v>persons/day</x:v>
      </x:c>
      <x:c r="G2038" s="18" t="str">
        <x:v>FY2024</x:v>
      </x:c>
      <x:c r="H2038" s="18" t="str">
        <x:v>否</x:v>
      </x:c>
      <x:c r="I2038" s="19" t="str">
        <x:v>DAILY_ENTRIES_EXITS</x:v>
      </x:c>
      <x:c r="J2038" s="19" t="str">
        <x:v>東海道線</x:v>
      </x:c>
      <x:c r="K2038" s="18" t="str">
        <x:v>transport-node:08ce0f81-8d3b-56e8-99d3-0809814c8fa8</x:v>
      </x:c>
      <x:c r="L2038" s="19" t="str">
        <x:v>组件待审核</x:v>
      </x:c>
      <x:c r="M2038" s="21" t="n">
        <x:v>35.12254</x:v>
      </x:c>
      <x:c r="N2038" s="21" t="n">
        <x:v>136.10255</x:v>
      </x:c>
      <x:c r="O2038" s="18" t="str">
        <x:v>005619</x:v>
      </x:c>
      <x:c r="P2038" s="18" t="str">
        <x:v>東海道線</x:v>
      </x:c>
      <x:c r="Q2038" s="19" t="str">
        <x:v>S12_061_GE_10000</x:v>
      </x:c>
      <x:c r="R2038" s="19" t="str">
        <x:v>S12_061 usage threshold</x:v>
      </x:c>
      <x:c r="S2038" s="19" t="str">
        <x:v>https://nlftp.mlit.go.jp/ksj/gml/datalist/KsjTmplt-S12-2024.html</x:v>
      </x:c>
      <x:c r="T2038" s="19" t="str">
        <x:v>https://nlftp.mlit.go.jp/ksj/gml/datalist/KsjTmplt-S12-2024.html</x:v>
      </x:c>
      <x:c r="U2038" s="19" t="str">
        <x:v>station-component|近江八幡|西日本旅客鉄道|conventional_rail|35.1225|136.1026|</x:v>
      </x:c>
      <x:c r="V2038" s="19" t="str">
        <x:v>005619 / 005619 / 東海道線</x:v>
      </x:c>
      <x:c r="W2038" s="18" t="str">
        <x:v>否</x:v>
      </x:c>
      <x:c r="X2038" s="18" t="str">
        <x:v>0785e932a32b3ec15e1a1345537ae145eafe1c07bf38d5c16c11ee2b391e7a28</x:v>
      </x:c>
      <x:c r="Y2038" s="20" t="n">
        <x:v>1</x:v>
      </x:c>
      <x:c r="Z2038" s="20" t="n">
        <x:v>1</x:v>
      </x:c>
      <x:c r="AA2038" s="19"/>
      <x:c r="AB2038" s="18"/>
      <x:c r="AC2038" s="19"/>
    </x:row>
    <x:row r="2039" ht="33" customHeight="1">
      <x:c r="A2039" s="18" t="str">
        <x:v>近鉄丹波橋</x:v>
      </x:c>
      <x:c r="B2039" s="18" t="str">
        <x:v>近畿日本鉄道</x:v>
      </x:c>
      <x:c r="C2039" s="18" t="str">
        <x:v>private_rail</x:v>
      </x:c>
      <x:c r="D2039" s="19" t="str">
        <x:v>T2</x:v>
      </x:c>
      <x:c r="E2039" s="20" t="n">
        <x:v>42074</x:v>
      </x:c>
      <x:c r="F2039" s="18" t="str">
        <x:v>persons/day</x:v>
      </x:c>
      <x:c r="G2039" s="18" t="str">
        <x:v>FY2024</x:v>
      </x:c>
      <x:c r="H2039" s="18" t="str">
        <x:v>否</x:v>
      </x:c>
      <x:c r="I2039" s="19" t="str">
        <x:v>DAILY_ENTRIES_EXITS</x:v>
      </x:c>
      <x:c r="J2039" s="19" t="str">
        <x:v>京都線</x:v>
      </x:c>
      <x:c r="K2039" s="18" t="str">
        <x:v>transport-node:e07cbd22-b5d2-5ec1-9254-d3078453bf1e</x:v>
      </x:c>
      <x:c r="L2039" s="19" t="str">
        <x:v>组件待审核</x:v>
      </x:c>
      <x:c r="M2039" s="21" t="n">
        <x:v>34.938105</x:v>
      </x:c>
      <x:c r="N2039" s="21" t="n">
        <x:v>135.766425</x:v>
      </x:c>
      <x:c r="O2039" s="18" t="str">
        <x:v>006219</x:v>
      </x:c>
      <x:c r="P2039" s="18" t="str">
        <x:v>京都線</x:v>
      </x:c>
      <x:c r="Q2039" s="19" t="str">
        <x:v>S12_061_GE_10000
OFFICIAL_HUB_COMPONENT_REVIEW</x:v>
      </x:c>
      <x:c r="R2039" s="19" t="str">
        <x:v>S12_061 usage threshold</x:v>
      </x:c>
      <x:c r="S2039" s="19" t="str">
        <x:v>https://nlftp.mlit.go.jp/ksj/gml/datalist/KsjTmplt-S12-2024.html</x:v>
      </x:c>
      <x:c r="T2039" s="19" t="str">
        <x:v>https://nlftp.mlit.go.jp/ksj/gml/datalist/KsjTmplt-S12-2024.html
https://www.kintetsu.co.jp/station/</x:v>
      </x:c>
      <x:c r="U2039" s="19" t="str">
        <x:v>station-component|近鉄丹波橋|近畿日本鉄道|private_rail|34.9381|135.7664|</x:v>
      </x:c>
      <x:c r="V2039" s="19" t="str">
        <x:v>006219 / 006219 / 京都線</x:v>
      </x:c>
      <x:c r="W2039" s="18" t="str">
        <x:v>否</x:v>
      </x:c>
      <x:c r="X2039" s="18" t="str">
        <x:v>0785e932a32b3ec15e1a1345537ae145eafe1c07bf38d5c16c11ee2b391e7a28</x:v>
      </x:c>
      <x:c r="Y2039" s="20" t="n">
        <x:v>1</x:v>
      </x:c>
      <x:c r="Z2039" s="20" t="n">
        <x:v>1</x:v>
      </x:c>
      <x:c r="AA2039" s="19" t="str">
        <x:v>丹波橋・近鉄丹波橋</x:v>
      </x:c>
      <x:c r="AB2039" s="18" t="str">
        <x:v>transport-hub-review:addfacc5-6548-5e0a-9143-09025440b308</x:v>
      </x:c>
      <x:c r="AC2039" s="19"/>
    </x:row>
    <x:row r="2040" ht="28" customHeight="1">
      <x:c r="A2040" s="18" t="str">
        <x:v>近鉄八尾</x:v>
      </x:c>
      <x:c r="B2040" s="18" t="str">
        <x:v>近畿日本鉄道</x:v>
      </x:c>
      <x:c r="C2040" s="18" t="str">
        <x:v>private_rail</x:v>
      </x:c>
      <x:c r="D2040" s="19" t="str">
        <x:v>T2</x:v>
      </x:c>
      <x:c r="E2040" s="20" t="n">
        <x:v>34711</x:v>
      </x:c>
      <x:c r="F2040" s="18" t="str">
        <x:v>persons/day</x:v>
      </x:c>
      <x:c r="G2040" s="18" t="str">
        <x:v>FY2024</x:v>
      </x:c>
      <x:c r="H2040" s="18" t="str">
        <x:v>否</x:v>
      </x:c>
      <x:c r="I2040" s="19" t="str">
        <x:v>DAILY_ENTRIES_EXITS</x:v>
      </x:c>
      <x:c r="J2040" s="19" t="str">
        <x:v>大阪線</x:v>
      </x:c>
      <x:c r="K2040" s="18" t="str">
        <x:v>transport-node:b310c82d-bff9-5e02-a5d6-c4183d90929d</x:v>
      </x:c>
      <x:c r="L2040" s="19" t="str">
        <x:v>组件待审核</x:v>
      </x:c>
      <x:c r="M2040" s="21" t="n">
        <x:v>34.62983</x:v>
      </x:c>
      <x:c r="N2040" s="21" t="n">
        <x:v>135.603545</x:v>
      </x:c>
      <x:c r="O2040" s="18" t="str">
        <x:v>007510</x:v>
      </x:c>
      <x:c r="P2040" s="18" t="str">
        <x:v>大阪線</x:v>
      </x:c>
      <x:c r="Q2040" s="19" t="str">
        <x:v>S12_061_GE_10000</x:v>
      </x:c>
      <x:c r="R2040" s="19" t="str">
        <x:v>S12_061 usage threshold</x:v>
      </x:c>
      <x:c r="S2040" s="19" t="str">
        <x:v>https://nlftp.mlit.go.jp/ksj/gml/datalist/KsjTmplt-S12-2024.html</x:v>
      </x:c>
      <x:c r="T2040" s="19" t="str">
        <x:v>https://nlftp.mlit.go.jp/ksj/gml/datalist/KsjTmplt-S12-2024.html</x:v>
      </x:c>
      <x:c r="U2040" s="19" t="str">
        <x:v>station-component|近鉄八尾|近畿日本鉄道|private_rail|34.6298|135.6035|</x:v>
      </x:c>
      <x:c r="V2040" s="19" t="str">
        <x:v>007510 / 007510 / 大阪線</x:v>
      </x:c>
      <x:c r="W2040" s="18" t="str">
        <x:v>否</x:v>
      </x:c>
      <x:c r="X2040" s="18" t="str">
        <x:v>0785e932a32b3ec15e1a1345537ae145eafe1c07bf38d5c16c11ee2b391e7a28</x:v>
      </x:c>
      <x:c r="Y2040" s="20" t="n">
        <x:v>1</x:v>
      </x:c>
      <x:c r="Z2040" s="20" t="n">
        <x:v>1</x:v>
      </x:c>
      <x:c r="AA2040" s="19"/>
      <x:c r="AB2040" s="18"/>
      <x:c r="AC2040" s="19"/>
    </x:row>
    <x:row r="2041" ht="33" customHeight="1">
      <x:c r="A2041" s="18" t="str">
        <x:v>近鉄八田</x:v>
      </x:c>
      <x:c r="B2041" s="18" t="str">
        <x:v>近畿日本鉄道</x:v>
      </x:c>
      <x:c r="C2041" s="18" t="str">
        <x:v>private_rail</x:v>
      </x:c>
      <x:c r="D2041" s="19" t="str">
        <x:v>T3</x:v>
      </x:c>
      <x:c r="E2041" s="20" t="n">
        <x:v>4012</x:v>
      </x:c>
      <x:c r="F2041" s="18" t="str">
        <x:v>persons/day</x:v>
      </x:c>
      <x:c r="G2041" s="18" t="str">
        <x:v>FY2024</x:v>
      </x:c>
      <x:c r="H2041" s="18" t="str">
        <x:v>否</x:v>
      </x:c>
      <x:c r="I2041" s="19" t="str">
        <x:v>DAILY_ENTRIES_EXITS</x:v>
      </x:c>
      <x:c r="J2041" s="19" t="str">
        <x:v>名古屋線</x:v>
      </x:c>
      <x:c r="K2041" s="18" t="str">
        <x:v>transport-node:5d10d961-ace8-5b8c-ba41-5aa70f0c6b33</x:v>
      </x:c>
      <x:c r="L2041" s="19" t="str">
        <x:v>组件待审核</x:v>
      </x:c>
      <x:c r="M2041" s="21" t="n">
        <x:v>35.149525</x:v>
      </x:c>
      <x:c r="N2041" s="21" t="n">
        <x:v>136.8543385</x:v>
      </x:c>
      <x:c r="O2041" s="18" t="str">
        <x:v>005529</x:v>
      </x:c>
      <x:c r="P2041" s="18" t="str">
        <x:v>名古屋線</x:v>
      </x:c>
      <x:c r="Q2041" s="19" t="str">
        <x:v>OFFICIAL_HUB_COMPONENT_REVIEW</x:v>
      </x:c>
      <x:c r="R2041" s="19" t="str">
        <x:v>S12_061 usage threshold; low-flow inclusion justified by official Hub component review</x:v>
      </x:c>
      <x:c r="S2041" s="19" t="str">
        <x:v>https://nlftp.mlit.go.jp/ksj/gml/datalist/KsjTmplt-S12-2024.html</x:v>
      </x:c>
      <x:c r="T2041" s="19" t="str">
        <x:v>https://nlftp.mlit.go.jp/ksj/gml/datalist/KsjTmplt-S12-2024.html
https://www.kotsu.city.nagoya.jp/rp/ticket/TRP0001550.htm</x:v>
      </x:c>
      <x:c r="U2041" s="19" t="str">
        <x:v>station-component|近鉄八田|近畿日本鉄道|private_rail|35.1495|136.8543|</x:v>
      </x:c>
      <x:c r="V2041" s="19" t="str">
        <x:v>005529 / 005529 / 名古屋線</x:v>
      </x:c>
      <x:c r="W2041" s="18" t="str">
        <x:v>否</x:v>
      </x:c>
      <x:c r="X2041" s="18" t="str">
        <x:v>0785e932a32b3ec15e1a1345537ae145eafe1c07bf38d5c16c11ee2b391e7a28</x:v>
      </x:c>
      <x:c r="Y2041" s="20" t="n">
        <x:v>1</x:v>
      </x:c>
      <x:c r="Z2041" s="20" t="n">
        <x:v>1</x:v>
      </x:c>
      <x:c r="AA2041" s="19" t="str">
        <x:v>八田</x:v>
      </x:c>
      <x:c r="AB2041" s="18" t="str">
        <x:v>transport-hub-review:944118a4-03cf-5340-bdc4-0899edefca20</x:v>
      </x:c>
      <x:c r="AC2041" s="19"/>
    </x:row>
    <x:row r="2042" ht="33" customHeight="1">
      <x:c r="A2042" s="18" t="str">
        <x:v>近鉄名古屋</x:v>
      </x:c>
      <x:c r="B2042" s="18" t="str">
        <x:v>近畿日本鉄道</x:v>
      </x:c>
      <x:c r="C2042" s="18" t="str">
        <x:v>private_rail</x:v>
      </x:c>
      <x:c r="D2042" s="19" t="str">
        <x:v>T1</x:v>
      </x:c>
      <x:c r="E2042" s="20" t="n">
        <x:v>92547</x:v>
      </x:c>
      <x:c r="F2042" s="18" t="str">
        <x:v>persons/day</x:v>
      </x:c>
      <x:c r="G2042" s="18" t="str">
        <x:v>FY2024</x:v>
      </x:c>
      <x:c r="H2042" s="18" t="str">
        <x:v>否</x:v>
      </x:c>
      <x:c r="I2042" s="19" t="str">
        <x:v>DAILY_ENTRIES_EXITS</x:v>
      </x:c>
      <x:c r="J2042" s="19" t="str">
        <x:v>名古屋線</x:v>
      </x:c>
      <x:c r="K2042" s="18" t="str">
        <x:v>transport-node:8aad0ad4-6142-5fc7-8085-1248f3f6a77d</x:v>
      </x:c>
      <x:c r="L2042" s="19" t="str">
        <x:v>组件待审核</x:v>
      </x:c>
      <x:c r="M2042" s="21" t="n">
        <x:v>35.16936</x:v>
      </x:c>
      <x:c r="N2042" s="21" t="n">
        <x:v>136.88375</x:v>
      </x:c>
      <x:c r="O2042" s="18" t="str">
        <x:v>005463</x:v>
      </x:c>
      <x:c r="P2042" s="18" t="str">
        <x:v>名古屋線</x:v>
      </x:c>
      <x:c r="Q2042" s="19" t="str">
        <x:v>S12_061_GE_10000
OFFICIAL_HUB_COMPONENT_REVIEW</x:v>
      </x:c>
      <x:c r="R2042" s="19" t="str">
        <x:v>S12_061 usage threshold</x:v>
      </x:c>
      <x:c r="S2042" s="19" t="str">
        <x:v>https://nlftp.mlit.go.jp/ksj/gml/datalist/KsjTmplt-S12-2024.html</x:v>
      </x:c>
      <x:c r="T2042" s="19" t="str">
        <x:v>https://nlftp.mlit.go.jp/ksj/gml/datalist/KsjTmplt-S12-2024.html
https://www.meitetsu.co.jp/train/station_info/line01/station/1201.html</x:v>
      </x:c>
      <x:c r="U2042" s="19" t="str">
        <x:v>station-component|近鉄名古屋|近畿日本鉄道|private_rail|35.1694|136.8837|</x:v>
      </x:c>
      <x:c r="V2042" s="19" t="str">
        <x:v>005463 / 005463 / 名古屋線</x:v>
      </x:c>
      <x:c r="W2042" s="18" t="str">
        <x:v>否</x:v>
      </x:c>
      <x:c r="X2042" s="18" t="str">
        <x:v>0785e932a32b3ec15e1a1345537ae145eafe1c07bf38d5c16c11ee2b391e7a28</x:v>
      </x:c>
      <x:c r="Y2042" s="20" t="n">
        <x:v>1</x:v>
      </x:c>
      <x:c r="Z2042" s="20" t="n">
        <x:v>1</x:v>
      </x:c>
      <x:c r="AA2042" s="19" t="str">
        <x:v>名古屋</x:v>
      </x:c>
      <x:c r="AB2042" s="18" t="str">
        <x:v>transport-hub-review:f84cdc88-2100-55dc-a385-099023194b00</x:v>
      </x:c>
      <x:c r="AC2042" s="19"/>
    </x:row>
    <x:row r="2043" ht="33" customHeight="1">
      <x:c r="A2043" s="18" t="str">
        <x:v>近鉄四日市</x:v>
      </x:c>
      <x:c r="B2043" s="18" t="str">
        <x:v>近畿日本鉄道</x:v>
      </x:c>
      <x:c r="C2043" s="18" t="str">
        <x:v>private_rail</x:v>
      </x:c>
      <x:c r="D2043" s="19" t="str">
        <x:v>T2</x:v>
      </x:c>
      <x:c r="E2043" s="20" t="n">
        <x:v>40599</x:v>
      </x:c>
      <x:c r="F2043" s="18" t="str">
        <x:v>persons/day</x:v>
      </x:c>
      <x:c r="G2043" s="18" t="str">
        <x:v>FY2024</x:v>
      </x:c>
      <x:c r="H2043" s="18" t="str">
        <x:v>否</x:v>
      </x:c>
      <x:c r="I2043" s="19" t="str">
        <x:v>DAILY_ENTRIES_EXITS</x:v>
      </x:c>
      <x:c r="J2043" s="19" t="str">
        <x:v>名古屋線
湯の山線</x:v>
      </x:c>
      <x:c r="K2043" s="18" t="str">
        <x:v>transport-node:3ac6b435-2841-5a12-a909-72932f0af10d</x:v>
      </x:c>
      <x:c r="L2043" s="19" t="str">
        <x:v>组件待审核</x:v>
      </x:c>
      <x:c r="M2043" s="21" t="n">
        <x:v>34.966975</x:v>
      </x:c>
      <x:c r="N2043" s="21" t="n">
        <x:v>136.618575</x:v>
      </x:c>
      <x:c r="O2043" s="18" t="str">
        <x:v>006143</x:v>
      </x:c>
      <x:c r="P2043" s="18" t="str">
        <x:v>名古屋線</x:v>
      </x:c>
      <x:c r="Q2043" s="19" t="str">
        <x:v>S12_061_GE_10000</x:v>
      </x:c>
      <x:c r="R2043" s="19" t="str">
        <x:v>S12_061 usage threshold</x:v>
      </x:c>
      <x:c r="S2043" s="19" t="str">
        <x:v>https://nlftp.mlit.go.jp/ksj/gml/datalist/KsjTmplt-S12-2024.html</x:v>
      </x:c>
      <x:c r="T2043" s="19" t="str">
        <x:v>https://nlftp.mlit.go.jp/ksj/gml/datalist/KsjTmplt-S12-2024.html</x:v>
      </x:c>
      <x:c r="U2043" s="19" t="str">
        <x:v>station-component|近鉄四日市|近畿日本鉄道|private_rail|34.9670|136.6186|</x:v>
      </x:c>
      <x:c r="V2043" s="19" t="str">
        <x:v>006143 / 006143 / 名古屋線
006143 / 006146 / 湯の山線</x:v>
      </x:c>
      <x:c r="W2043" s="18" t="str">
        <x:v>否</x:v>
      </x:c>
      <x:c r="X2043" s="18" t="str">
        <x:v>0785e932a32b3ec15e1a1345537ae145eafe1c07bf38d5c16c11ee2b391e7a28</x:v>
      </x:c>
      <x:c r="Y2043" s="20" t="n">
        <x:v>1</x:v>
      </x:c>
      <x:c r="Z2043" s="20" t="n">
        <x:v>1</x:v>
      </x:c>
      <x:c r="AA2043" s="19"/>
      <x:c r="AB2043" s="18"/>
      <x:c r="AC2043" s="19"/>
    </x:row>
    <x:row r="2044" ht="28" customHeight="1">
      <x:c r="A2044" s="18" t="str">
        <x:v>近鉄奈良</x:v>
      </x:c>
      <x:c r="B2044" s="18" t="str">
        <x:v>近畿日本鉄道</x:v>
      </x:c>
      <x:c r="C2044" s="18" t="str">
        <x:v>private_rail</x:v>
      </x:c>
      <x:c r="D2044" s="19" t="str">
        <x:v>T1</x:v>
      </x:c>
      <x:c r="E2044" s="20" t="n">
        <x:v>56935</x:v>
      </x:c>
      <x:c r="F2044" s="18" t="str">
        <x:v>persons/day</x:v>
      </x:c>
      <x:c r="G2044" s="18" t="str">
        <x:v>FY2024</x:v>
      </x:c>
      <x:c r="H2044" s="18" t="str">
        <x:v>否</x:v>
      </x:c>
      <x:c r="I2044" s="19" t="str">
        <x:v>DAILY_ENTRIES_EXITS</x:v>
      </x:c>
      <x:c r="J2044" s="19" t="str">
        <x:v>奈良線</x:v>
      </x:c>
      <x:c r="K2044" s="18" t="str">
        <x:v>transport-node:807ffe4c-83b6-5dab-b8d4-d0944dba4ad3</x:v>
      </x:c>
      <x:c r="L2044" s="19" t="str">
        <x:v>组件待审核</x:v>
      </x:c>
      <x:c r="M2044" s="21" t="n">
        <x:v>34.68397</x:v>
      </x:c>
      <x:c r="N2044" s="21" t="n">
        <x:v>135.827855</x:v>
      </x:c>
      <x:c r="O2044" s="18" t="str">
        <x:v>007183</x:v>
      </x:c>
      <x:c r="P2044" s="18" t="str">
        <x:v>奈良線</x:v>
      </x:c>
      <x:c r="Q2044" s="19" t="str">
        <x:v>S12_061_GE_10000</x:v>
      </x:c>
      <x:c r="R2044" s="19" t="str">
        <x:v>S12_061 usage threshold</x:v>
      </x:c>
      <x:c r="S2044" s="19" t="str">
        <x:v>https://nlftp.mlit.go.jp/ksj/gml/datalist/KsjTmplt-S12-2024.html</x:v>
      </x:c>
      <x:c r="T2044" s="19" t="str">
        <x:v>https://nlftp.mlit.go.jp/ksj/gml/datalist/KsjTmplt-S12-2024.html</x:v>
      </x:c>
      <x:c r="U2044" s="19" t="str">
        <x:v>station-component|近鉄奈良|近畿日本鉄道|private_rail|34.6840|135.8279|</x:v>
      </x:c>
      <x:c r="V2044" s="19" t="str">
        <x:v>007183 / 007183 / 奈良線</x:v>
      </x:c>
      <x:c r="W2044" s="18" t="str">
        <x:v>否</x:v>
      </x:c>
      <x:c r="X2044" s="18" t="str">
        <x:v>0785e932a32b3ec15e1a1345537ae145eafe1c07bf38d5c16c11ee2b391e7a28</x:v>
      </x:c>
      <x:c r="Y2044" s="20" t="n">
        <x:v>1</x:v>
      </x:c>
      <x:c r="Z2044" s="20" t="n">
        <x:v>1</x:v>
      </x:c>
      <x:c r="AA2044" s="19"/>
      <x:c r="AB2044" s="18"/>
      <x:c r="AC2044" s="19"/>
    </x:row>
    <x:row r="2045" ht="28" customHeight="1">
      <x:c r="A2045" s="18" t="str">
        <x:v>近鉄富田</x:v>
      </x:c>
      <x:c r="B2045" s="18" t="str">
        <x:v>近畿日本鉄道</x:v>
      </x:c>
      <x:c r="C2045" s="18" t="str">
        <x:v>private_rail</x:v>
      </x:c>
      <x:c r="D2045" s="19" t="str">
        <x:v>T2</x:v>
      </x:c>
      <x:c r="E2045" s="20" t="n">
        <x:v>19026</x:v>
      </x:c>
      <x:c r="F2045" s="18" t="str">
        <x:v>persons/day</x:v>
      </x:c>
      <x:c r="G2045" s="18" t="str">
        <x:v>FY2024</x:v>
      </x:c>
      <x:c r="H2045" s="18" t="str">
        <x:v>否</x:v>
      </x:c>
      <x:c r="I2045" s="19" t="str">
        <x:v>DAILY_ENTRIES_EXITS</x:v>
      </x:c>
      <x:c r="J2045" s="19" t="str">
        <x:v>名古屋線</x:v>
      </x:c>
      <x:c r="K2045" s="18" t="str">
        <x:v>transport-node:39985f10-c310-5b67-b08a-8910f5665603</x:v>
      </x:c>
      <x:c r="L2045" s="19" t="str">
        <x:v>组件待审核</x:v>
      </x:c>
      <x:c r="M2045" s="21" t="n">
        <x:v>35.0064725</x:v>
      </x:c>
      <x:c r="N2045" s="21" t="n">
        <x:v>136.64938</x:v>
      </x:c>
      <x:c r="O2045" s="18" t="str">
        <x:v>005983</x:v>
      </x:c>
      <x:c r="P2045" s="18" t="str">
        <x:v>名古屋線</x:v>
      </x:c>
      <x:c r="Q2045" s="19" t="str">
        <x:v>S12_061_GE_10000</x:v>
      </x:c>
      <x:c r="R2045" s="19" t="str">
        <x:v>S12_061 usage threshold</x:v>
      </x:c>
      <x:c r="S2045" s="19" t="str">
        <x:v>https://nlftp.mlit.go.jp/ksj/gml/datalist/KsjTmplt-S12-2024.html</x:v>
      </x:c>
      <x:c r="T2045" s="19" t="str">
        <x:v>https://nlftp.mlit.go.jp/ksj/gml/datalist/KsjTmplt-S12-2024.html</x:v>
      </x:c>
      <x:c r="U2045" s="19" t="str">
        <x:v>station-component|近鉄富田|近畿日本鉄道|private_rail|35.0065|136.6494|</x:v>
      </x:c>
      <x:c r="V2045" s="19" t="str">
        <x:v>005982 / 005983 / 名古屋線</x:v>
      </x:c>
      <x:c r="W2045" s="18" t="str">
        <x:v>否</x:v>
      </x:c>
      <x:c r="X2045" s="18" t="str">
        <x:v>0785e932a32b3ec15e1a1345537ae145eafe1c07bf38d5c16c11ee2b391e7a28</x:v>
      </x:c>
      <x:c r="Y2045" s="20" t="n">
        <x:v>1</x:v>
      </x:c>
      <x:c r="Z2045" s="20" t="n">
        <x:v>1</x:v>
      </x:c>
      <x:c r="AA2045" s="19"/>
      <x:c r="AB2045" s="18"/>
      <x:c r="AC2045" s="19"/>
    </x:row>
    <x:row r="2046" ht="28" customHeight="1">
      <x:c r="A2046" s="18" t="str">
        <x:v>近鉄弥富</x:v>
      </x:c>
      <x:c r="B2046" s="18" t="str">
        <x:v>近畿日本鉄道</x:v>
      </x:c>
      <x:c r="C2046" s="18" t="str">
        <x:v>private_rail</x:v>
      </x:c>
      <x:c r="D2046" s="19" t="str">
        <x:v>T2</x:v>
      </x:c>
      <x:c r="E2046" s="20" t="n">
        <x:v>10082</x:v>
      </x:c>
      <x:c r="F2046" s="18" t="str">
        <x:v>persons/day</x:v>
      </x:c>
      <x:c r="G2046" s="18" t="str">
        <x:v>FY2024</x:v>
      </x:c>
      <x:c r="H2046" s="18" t="str">
        <x:v>否</x:v>
      </x:c>
      <x:c r="I2046" s="19" t="str">
        <x:v>DAILY_ENTRIES_EXITS</x:v>
      </x:c>
      <x:c r="J2046" s="19" t="str">
        <x:v>名古屋線</x:v>
      </x:c>
      <x:c r="K2046" s="18" t="str">
        <x:v>transport-node:2c640e8a-dde6-557a-9ccf-1d7dbe863190</x:v>
      </x:c>
      <x:c r="L2046" s="19" t="str">
        <x:v>组件待审核</x:v>
      </x:c>
      <x:c r="M2046" s="21" t="n">
        <x:v>35.113585</x:v>
      </x:c>
      <x:c r="N2046" s="21" t="n">
        <x:v>136.727765</x:v>
      </x:c>
      <x:c r="O2046" s="18" t="str">
        <x:v>005659</x:v>
      </x:c>
      <x:c r="P2046" s="18" t="str">
        <x:v>名古屋線</x:v>
      </x:c>
      <x:c r="Q2046" s="19" t="str">
        <x:v>S12_061_GE_10000</x:v>
      </x:c>
      <x:c r="R2046" s="19" t="str">
        <x:v>S12_061 usage threshold</x:v>
      </x:c>
      <x:c r="S2046" s="19" t="str">
        <x:v>https://nlftp.mlit.go.jp/ksj/gml/datalist/KsjTmplt-S12-2024.html</x:v>
      </x:c>
      <x:c r="T2046" s="19" t="str">
        <x:v>https://nlftp.mlit.go.jp/ksj/gml/datalist/KsjTmplt-S12-2024.html</x:v>
      </x:c>
      <x:c r="U2046" s="19" t="str">
        <x:v>station-component|近鉄弥富|近畿日本鉄道|private_rail|35.1136|136.7278|</x:v>
      </x:c>
      <x:c r="V2046" s="19" t="str">
        <x:v>005659 / 005659 / 名古屋線</x:v>
      </x:c>
      <x:c r="W2046" s="18" t="str">
        <x:v>否</x:v>
      </x:c>
      <x:c r="X2046" s="18" t="str">
        <x:v>0785e932a32b3ec15e1a1345537ae145eafe1c07bf38d5c16c11ee2b391e7a28</x:v>
      </x:c>
      <x:c r="Y2046" s="20" t="n">
        <x:v>1</x:v>
      </x:c>
      <x:c r="Z2046" s="20" t="n">
        <x:v>1</x:v>
      </x:c>
      <x:c r="AA2046" s="19"/>
      <x:c r="AB2046" s="18"/>
      <x:c r="AC2046" s="19"/>
    </x:row>
    <x:row r="2047" ht="33" customHeight="1">
      <x:c r="A2047" s="18" t="str">
        <x:v>近鉄日本橋</x:v>
      </x:c>
      <x:c r="B2047" s="18" t="str">
        <x:v>近畿日本鉄道</x:v>
      </x:c>
      <x:c r="C2047" s="18" t="str">
        <x:v>private_rail</x:v>
      </x:c>
      <x:c r="D2047" s="19" t="str">
        <x:v>T2</x:v>
      </x:c>
      <x:c r="E2047" s="20" t="n">
        <x:v>45920</x:v>
      </x:c>
      <x:c r="F2047" s="18" t="str">
        <x:v>persons/day</x:v>
      </x:c>
      <x:c r="G2047" s="18" t="str">
        <x:v>FY2024</x:v>
      </x:c>
      <x:c r="H2047" s="18" t="str">
        <x:v>否</x:v>
      </x:c>
      <x:c r="I2047" s="19" t="str">
        <x:v>DAILY_ENTRIES_EXITS</x:v>
      </x:c>
      <x:c r="J2047" s="19" t="str">
        <x:v>難波線</x:v>
      </x:c>
      <x:c r="K2047" s="18" t="str">
        <x:v>transport-node:03288eca-e765-5e47-83be-dcacbd627b4e</x:v>
      </x:c>
      <x:c r="L2047" s="19" t="str">
        <x:v>组件待审核</x:v>
      </x:c>
      <x:c r="M2047" s="21" t="n">
        <x:v>34.666825</x:v>
      </x:c>
      <x:c r="N2047" s="21" t="n">
        <x:v>135.50623</x:v>
      </x:c>
      <x:c r="O2047" s="18" t="str">
        <x:v>007317</x:v>
      </x:c>
      <x:c r="P2047" s="18" t="str">
        <x:v>難波線</x:v>
      </x:c>
      <x:c r="Q2047" s="19" t="str">
        <x:v>S12_061_GE_10000
OFFICIAL_HUB_COMPONENT_REVIEW</x:v>
      </x:c>
      <x:c r="R2047" s="19" t="str">
        <x:v>S12_061 usage threshold</x:v>
      </x:c>
      <x:c r="S2047" s="19" t="str">
        <x:v>https://nlftp.mlit.go.jp/ksj/gml/datalist/KsjTmplt-S12-2024.html</x:v>
      </x:c>
      <x:c r="T2047" s="19" t="str">
        <x:v>https://nlftp.mlit.go.jp/ksj/gml/datalist/KsjTmplt-S12-2024.html
https://subway.osakametro.co.jp/station_guide/K/k17/index.php</x:v>
      </x:c>
      <x:c r="U2047" s="19" t="str">
        <x:v>station-component|近鉄日本橋|近畿日本鉄道|private_rail|34.6668|135.5062|</x:v>
      </x:c>
      <x:c r="V2047" s="19" t="str">
        <x:v>007317 / 007317 / 難波線</x:v>
      </x:c>
      <x:c r="W2047" s="18" t="str">
        <x:v>否</x:v>
      </x:c>
      <x:c r="X2047" s="18" t="str">
        <x:v>0785e932a32b3ec15e1a1345537ae145eafe1c07bf38d5c16c11ee2b391e7a28</x:v>
      </x:c>
      <x:c r="Y2047" s="20" t="n">
        <x:v>1</x:v>
      </x:c>
      <x:c r="Z2047" s="20" t="n">
        <x:v>1</x:v>
      </x:c>
      <x:c r="AA2047" s="19" t="str">
        <x:v>日本橋・近鉄日本橋</x:v>
      </x:c>
      <x:c r="AB2047" s="18" t="str">
        <x:v>transport-hub-review:e75c060a-699e-5df7-822a-19d68e4de50a</x:v>
      </x:c>
      <x:c r="AC2047" s="19"/>
    </x:row>
    <x:row r="2048" ht="28" customHeight="1">
      <x:c r="A2048" s="18" t="str">
        <x:v>近鉄蟹江</x:v>
      </x:c>
      <x:c r="B2048" s="18" t="str">
        <x:v>近畿日本鉄道</x:v>
      </x:c>
      <x:c r="C2048" s="18" t="str">
        <x:v>private_rail</x:v>
      </x:c>
      <x:c r="D2048" s="19" t="str">
        <x:v>T2</x:v>
      </x:c>
      <x:c r="E2048" s="20" t="n">
        <x:v>10516</x:v>
      </x:c>
      <x:c r="F2048" s="18" t="str">
        <x:v>persons/day</x:v>
      </x:c>
      <x:c r="G2048" s="18" t="str">
        <x:v>FY2024</x:v>
      </x:c>
      <x:c r="H2048" s="18" t="str">
        <x:v>否</x:v>
      </x:c>
      <x:c r="I2048" s="19" t="str">
        <x:v>DAILY_ENTRIES_EXITS</x:v>
      </x:c>
      <x:c r="J2048" s="19" t="str">
        <x:v>名古屋線</x:v>
      </x:c>
      <x:c r="K2048" s="18" t="str">
        <x:v>transport-node:f6ed8511-1b31-5690-889b-d13081fcba19</x:v>
      </x:c>
      <x:c r="L2048" s="19" t="str">
        <x:v>组件待审核</x:v>
      </x:c>
      <x:c r="M2048" s="21" t="n">
        <x:v>35.12965</x:v>
      </x:c>
      <x:c r="N2048" s="21" t="n">
        <x:v>136.795215</x:v>
      </x:c>
      <x:c r="O2048" s="18" t="str">
        <x:v>005588</x:v>
      </x:c>
      <x:c r="P2048" s="18" t="str">
        <x:v>名古屋線</x:v>
      </x:c>
      <x:c r="Q2048" s="19" t="str">
        <x:v>S12_061_GE_10000</x:v>
      </x:c>
      <x:c r="R2048" s="19" t="str">
        <x:v>S12_061 usage threshold</x:v>
      </x:c>
      <x:c r="S2048" s="19" t="str">
        <x:v>https://nlftp.mlit.go.jp/ksj/gml/datalist/KsjTmplt-S12-2024.html</x:v>
      </x:c>
      <x:c r="T2048" s="19" t="str">
        <x:v>https://nlftp.mlit.go.jp/ksj/gml/datalist/KsjTmplt-S12-2024.html</x:v>
      </x:c>
      <x:c r="U2048" s="19" t="str">
        <x:v>station-component|近鉄蟹江|近畿日本鉄道|private_rail|35.1296|136.7952|</x:v>
      </x:c>
      <x:c r="V2048" s="19" t="str">
        <x:v>005588 / 005588 / 名古屋線</x:v>
      </x:c>
      <x:c r="W2048" s="18" t="str">
        <x:v>否</x:v>
      </x:c>
      <x:c r="X2048" s="18" t="str">
        <x:v>0785e932a32b3ec15e1a1345537ae145eafe1c07bf38d5c16c11ee2b391e7a28</x:v>
      </x:c>
      <x:c r="Y2048" s="20" t="n">
        <x:v>1</x:v>
      </x:c>
      <x:c r="Z2048" s="20" t="n">
        <x:v>1</x:v>
      </x:c>
      <x:c r="AA2048" s="19"/>
      <x:c r="AB2048" s="18"/>
      <x:c r="AC2048" s="19"/>
    </x:row>
    <x:row r="2049" ht="28" customHeight="1">
      <x:c r="A2049" s="18" t="str">
        <x:v>近鉄郡山</x:v>
      </x:c>
      <x:c r="B2049" s="18" t="str">
        <x:v>近畿日本鉄道</x:v>
      </x:c>
      <x:c r="C2049" s="18" t="str">
        <x:v>private_rail</x:v>
      </x:c>
      <x:c r="D2049" s="19" t="str">
        <x:v>T2</x:v>
      </x:c>
      <x:c r="E2049" s="20" t="n">
        <x:v>16005</x:v>
      </x:c>
      <x:c r="F2049" s="18" t="str">
        <x:v>persons/day</x:v>
      </x:c>
      <x:c r="G2049" s="18" t="str">
        <x:v>FY2024</x:v>
      </x:c>
      <x:c r="H2049" s="18" t="str">
        <x:v>否</x:v>
      </x:c>
      <x:c r="I2049" s="19" t="str">
        <x:v>DAILY_ENTRIES_EXITS</x:v>
      </x:c>
      <x:c r="J2049" s="19" t="str">
        <x:v>橿原線</x:v>
      </x:c>
      <x:c r="K2049" s="18" t="str">
        <x:v>transport-node:1ef6d8bc-d0d8-59fc-9512-bbdfdad8a524</x:v>
      </x:c>
      <x:c r="L2049" s="19" t="str">
        <x:v>组件待审核</x:v>
      </x:c>
      <x:c r="M2049" s="21" t="n">
        <x:v>34.64605</x:v>
      </x:c>
      <x:c r="N2049" s="21" t="n">
        <x:v>135.780725</x:v>
      </x:c>
      <x:c r="O2049" s="18" t="str">
        <x:v>007448</x:v>
      </x:c>
      <x:c r="P2049" s="18" t="str">
        <x:v>橿原線</x:v>
      </x:c>
      <x:c r="Q2049" s="19" t="str">
        <x:v>S12_061_GE_10000</x:v>
      </x:c>
      <x:c r="R2049" s="19" t="str">
        <x:v>S12_061 usage threshold</x:v>
      </x:c>
      <x:c r="S2049" s="19" t="str">
        <x:v>https://nlftp.mlit.go.jp/ksj/gml/datalist/KsjTmplt-S12-2024.html</x:v>
      </x:c>
      <x:c r="T2049" s="19" t="str">
        <x:v>https://nlftp.mlit.go.jp/ksj/gml/datalist/KsjTmplt-S12-2024.html</x:v>
      </x:c>
      <x:c r="U2049" s="19" t="str">
        <x:v>station-component|近鉄郡山|近畿日本鉄道|private_rail|34.6461|135.7807|</x:v>
      </x:c>
      <x:c r="V2049" s="19" t="str">
        <x:v>007448 / 007448 / 橿原線</x:v>
      </x:c>
      <x:c r="W2049" s="18" t="str">
        <x:v>否</x:v>
      </x:c>
      <x:c r="X2049" s="18" t="str">
        <x:v>0785e932a32b3ec15e1a1345537ae145eafe1c07bf38d5c16c11ee2b391e7a28</x:v>
      </x:c>
      <x:c r="Y2049" s="20" t="n">
        <x:v>1</x:v>
      </x:c>
      <x:c r="Z2049" s="20" t="n">
        <x:v>1</x:v>
      </x:c>
      <x:c r="AA2049" s="19"/>
      <x:c r="AB2049" s="18"/>
      <x:c r="AC2049" s="19"/>
    </x:row>
    <x:row r="2050" ht="28" customHeight="1">
      <x:c r="A2050" s="18" t="str">
        <x:v>追浜</x:v>
      </x:c>
      <x:c r="B2050" s="18" t="str">
        <x:v>京浜急行電鉄</x:v>
      </x:c>
      <x:c r="C2050" s="18" t="str">
        <x:v>private_rail</x:v>
      </x:c>
      <x:c r="D2050" s="19" t="str">
        <x:v>T2</x:v>
      </x:c>
      <x:c r="E2050" s="20" t="n">
        <x:v>38784</x:v>
      </x:c>
      <x:c r="F2050" s="18" t="str">
        <x:v>persons/day</x:v>
      </x:c>
      <x:c r="G2050" s="18" t="str">
        <x:v>FY2024</x:v>
      </x:c>
      <x:c r="H2050" s="18" t="str">
        <x:v>否</x:v>
      </x:c>
      <x:c r="I2050" s="19" t="str">
        <x:v>DAILY_ENTRIES_EXITS</x:v>
      </x:c>
      <x:c r="J2050" s="19" t="str">
        <x:v>本線</x:v>
      </x:c>
      <x:c r="K2050" s="18" t="str">
        <x:v>transport-node:403662b1-66d6-529e-b750-17d3067103b3</x:v>
      </x:c>
      <x:c r="L2050" s="19" t="str">
        <x:v>组件待审核</x:v>
      </x:c>
      <x:c r="M2050" s="21" t="n">
        <x:v>35.3156917</x:v>
      </x:c>
      <x:c r="N2050" s="21" t="n">
        <x:v>139.6248833</x:v>
      </x:c>
      <x:c r="O2050" s="18" t="str">
        <x:v>005066</x:v>
      </x:c>
      <x:c r="P2050" s="18" t="str">
        <x:v>本線</x:v>
      </x:c>
      <x:c r="Q2050" s="19" t="str">
        <x:v>S12_061_GE_10000</x:v>
      </x:c>
      <x:c r="R2050" s="19" t="str">
        <x:v>S12_061 usage threshold</x:v>
      </x:c>
      <x:c r="S2050" s="19" t="str">
        <x:v>https://nlftp.mlit.go.jp/ksj/gml/datalist/KsjTmplt-S12-2024.html</x:v>
      </x:c>
      <x:c r="T2050" s="19" t="str">
        <x:v>https://nlftp.mlit.go.jp/ksj/gml/datalist/KsjTmplt-S12-2024.html</x:v>
      </x:c>
      <x:c r="U2050" s="19" t="str">
        <x:v>station-component|追浜|京浜急行電鉄|private_rail|35.3157|139.6249|</x:v>
      </x:c>
      <x:c r="V2050" s="19" t="str">
        <x:v>005066 / 005066 / 本線</x:v>
      </x:c>
      <x:c r="W2050" s="18" t="str">
        <x:v>否</x:v>
      </x:c>
      <x:c r="X2050" s="18" t="str">
        <x:v>0785e932a32b3ec15e1a1345537ae145eafe1c07bf38d5c16c11ee2b391e7a28</x:v>
      </x:c>
      <x:c r="Y2050" s="20" t="n">
        <x:v>1</x:v>
      </x:c>
      <x:c r="Z2050" s="20" t="n">
        <x:v>1</x:v>
      </x:c>
      <x:c r="AA2050" s="19"/>
      <x:c r="AB2050" s="18"/>
      <x:c r="AC2050" s="19"/>
    </x:row>
    <x:row r="2051" ht="28" customHeight="1">
      <x:c r="A2051" s="18" t="str">
        <x:v>逆井</x:v>
      </x:c>
      <x:c r="B2051" s="18" t="str">
        <x:v>東武鉄道</x:v>
      </x:c>
      <x:c r="C2051" s="18" t="str">
        <x:v>private_rail</x:v>
      </x:c>
      <x:c r="D2051" s="19" t="str">
        <x:v>T2</x:v>
      </x:c>
      <x:c r="E2051" s="20" t="n">
        <x:v>13182</x:v>
      </x:c>
      <x:c r="F2051" s="18" t="str">
        <x:v>persons/day</x:v>
      </x:c>
      <x:c r="G2051" s="18" t="str">
        <x:v>FY2024</x:v>
      </x:c>
      <x:c r="H2051" s="18" t="str">
        <x:v>否</x:v>
      </x:c>
      <x:c r="I2051" s="19" t="str">
        <x:v>DAILY_ENTRIES_EXITS</x:v>
      </x:c>
      <x:c r="J2051" s="19" t="str">
        <x:v>野田線</x:v>
      </x:c>
      <x:c r="K2051" s="18" t="str">
        <x:v>transport-node:1f53107f-1573-5be9-bc0e-b6b9e8262c6d</x:v>
      </x:c>
      <x:c r="L2051" s="19" t="str">
        <x:v>组件待审核</x:v>
      </x:c>
      <x:c r="M2051" s="21" t="n">
        <x:v>35.8232825</x:v>
      </x:c>
      <x:c r="N2051" s="21" t="n">
        <x:v>139.983705</x:v>
      </x:c>
      <x:c r="O2051" s="18" t="str">
        <x:v>003048</x:v>
      </x:c>
      <x:c r="P2051" s="18" t="str">
        <x:v>野田線</x:v>
      </x:c>
      <x:c r="Q2051" s="19" t="str">
        <x:v>S12_061_GE_10000</x:v>
      </x:c>
      <x:c r="R2051" s="19" t="str">
        <x:v>S12_061 usage threshold</x:v>
      </x:c>
      <x:c r="S2051" s="19" t="str">
        <x:v>https://nlftp.mlit.go.jp/ksj/gml/datalist/KsjTmplt-S12-2024.html</x:v>
      </x:c>
      <x:c r="T2051" s="19" t="str">
        <x:v>https://nlftp.mlit.go.jp/ksj/gml/datalist/KsjTmplt-S12-2024.html</x:v>
      </x:c>
      <x:c r="U2051" s="19" t="str">
        <x:v>station-component|逆井|東武鉄道|private_rail|35.8233|139.9837|</x:v>
      </x:c>
      <x:c r="V2051" s="19" t="str">
        <x:v>003048 / 003048 / 野田線</x:v>
      </x:c>
      <x:c r="W2051" s="18" t="str">
        <x:v>否</x:v>
      </x:c>
      <x:c r="X2051" s="18" t="str">
        <x:v>0785e932a32b3ec15e1a1345537ae145eafe1c07bf38d5c16c11ee2b391e7a28</x:v>
      </x:c>
      <x:c r="Y2051" s="20" t="n">
        <x:v>1</x:v>
      </x:c>
      <x:c r="Z2051" s="20" t="n">
        <x:v>1</x:v>
      </x:c>
      <x:c r="AA2051" s="19"/>
      <x:c r="AB2051" s="18"/>
      <x:c r="AC2051" s="19"/>
    </x:row>
    <x:row r="2052" ht="28" customHeight="1">
      <x:c r="A2052" s="18" t="str">
        <x:v>逆瀬川</x:v>
      </x:c>
      <x:c r="B2052" s="18" t="str">
        <x:v>阪急電鉄</x:v>
      </x:c>
      <x:c r="C2052" s="18" t="str">
        <x:v>private_rail</x:v>
      </x:c>
      <x:c r="D2052" s="19" t="str">
        <x:v>T2</x:v>
      </x:c>
      <x:c r="E2052" s="20" t="n">
        <x:v>21480</x:v>
      </x:c>
      <x:c r="F2052" s="18" t="str">
        <x:v>persons/day</x:v>
      </x:c>
      <x:c r="G2052" s="18" t="str">
        <x:v>FY2024</x:v>
      </x:c>
      <x:c r="H2052" s="18" t="str">
        <x:v>否</x:v>
      </x:c>
      <x:c r="I2052" s="19" t="str">
        <x:v>DAILY_ENTRIES_EXITS</x:v>
      </x:c>
      <x:c r="J2052" s="19" t="str">
        <x:v>今津線</x:v>
      </x:c>
      <x:c r="K2052" s="18" t="str">
        <x:v>transport-node:d2989c27-9f03-5bb2-8cea-908e3da9fa58</x:v>
      </x:c>
      <x:c r="L2052" s="19" t="str">
        <x:v>组件待审核</x:v>
      </x:c>
      <x:c r="M2052" s="21" t="n">
        <x:v>34.7970238</x:v>
      </x:c>
      <x:c r="N2052" s="21" t="n">
        <x:v>135.3508887</x:v>
      </x:c>
      <x:c r="O2052" s="18" t="str">
        <x:v>006648</x:v>
      </x:c>
      <x:c r="P2052" s="18" t="str">
        <x:v>今津線</x:v>
      </x:c>
      <x:c r="Q2052" s="19" t="str">
        <x:v>S12_061_GE_10000</x:v>
      </x:c>
      <x:c r="R2052" s="19" t="str">
        <x:v>S12_061 usage threshold</x:v>
      </x:c>
      <x:c r="S2052" s="19" t="str">
        <x:v>https://nlftp.mlit.go.jp/ksj/gml/datalist/KsjTmplt-S12-2024.html</x:v>
      </x:c>
      <x:c r="T2052" s="19" t="str">
        <x:v>https://nlftp.mlit.go.jp/ksj/gml/datalist/KsjTmplt-S12-2024.html</x:v>
      </x:c>
      <x:c r="U2052" s="19" t="str">
        <x:v>station-component|逆瀬川|阪急電鉄|private_rail|34.7970|135.3509|</x:v>
      </x:c>
      <x:c r="V2052" s="19" t="str">
        <x:v>006648 / 006648 / 今津線</x:v>
      </x:c>
      <x:c r="W2052" s="18" t="str">
        <x:v>否</x:v>
      </x:c>
      <x:c r="X2052" s="18" t="str">
        <x:v>0785e932a32b3ec15e1a1345537ae145eafe1c07bf38d5c16c11ee2b391e7a28</x:v>
      </x:c>
      <x:c r="Y2052" s="20" t="n">
        <x:v>1</x:v>
      </x:c>
      <x:c r="Z2052" s="20" t="n">
        <x:v>1</x:v>
      </x:c>
      <x:c r="AA2052" s="19"/>
      <x:c r="AB2052" s="18"/>
      <x:c r="AC2052" s="19"/>
    </x:row>
    <x:row r="2053" ht="28" customHeight="1">
      <x:c r="A2053" s="18" t="str">
        <x:v>逗子</x:v>
      </x:c>
      <x:c r="B2053" s="18" t="str">
        <x:v>東日本旅客鉄道</x:v>
      </x:c>
      <x:c r="C2053" s="18" t="str">
        <x:v>conventional_rail</x:v>
      </x:c>
      <x:c r="D2053" s="19" t="str">
        <x:v>T1</x:v>
      </x:c>
      <x:c r="E2053" s="20" t="n">
        <x:v>51270</x:v>
      </x:c>
      <x:c r="F2053" s="18" t="str">
        <x:v>persons/day</x:v>
      </x:c>
      <x:c r="G2053" s="18" t="str">
        <x:v>FY2024</x:v>
      </x:c>
      <x:c r="H2053" s="18" t="str">
        <x:v>否</x:v>
      </x:c>
      <x:c r="I2053" s="19" t="str">
        <x:v>DAILY_ENTRIES_EXITS</x:v>
      </x:c>
      <x:c r="J2053" s="19" t="str">
        <x:v>横須賀線</x:v>
      </x:c>
      <x:c r="K2053" s="18" t="str">
        <x:v>transport-node:0575d6aa-2caa-5db3-99b4-a46b320a2445</x:v>
      </x:c>
      <x:c r="L2053" s="19" t="str">
        <x:v>组件待审核</x:v>
      </x:c>
      <x:c r="M2053" s="21" t="n">
        <x:v>35.2974063</x:v>
      </x:c>
      <x:c r="N2053" s="21" t="n">
        <x:v>139.5783537</x:v>
      </x:c>
      <x:c r="O2053" s="18" t="str">
        <x:v>005121</x:v>
      </x:c>
      <x:c r="P2053" s="18" t="str">
        <x:v>横須賀線</x:v>
      </x:c>
      <x:c r="Q2053" s="19" t="str">
        <x:v>S12_061_GE_10000</x:v>
      </x:c>
      <x:c r="R2053" s="19" t="str">
        <x:v>S12_061 usage threshold</x:v>
      </x:c>
      <x:c r="S2053" s="19" t="str">
        <x:v>https://nlftp.mlit.go.jp/ksj/gml/datalist/KsjTmplt-S12-2024.html</x:v>
      </x:c>
      <x:c r="T2053" s="19" t="str">
        <x:v>https://nlftp.mlit.go.jp/ksj/gml/datalist/KsjTmplt-S12-2024.html</x:v>
      </x:c>
      <x:c r="U2053" s="19" t="str">
        <x:v>station-component|逗子|東日本旅客鉄道|conventional_rail|35.2974|139.5784|</x:v>
      </x:c>
      <x:c r="V2053" s="19" t="str">
        <x:v>005121 / 005121 / 横須賀線</x:v>
      </x:c>
      <x:c r="W2053" s="18" t="str">
        <x:v>否</x:v>
      </x:c>
      <x:c r="X2053" s="18" t="str">
        <x:v>0785e932a32b3ec15e1a1345537ae145eafe1c07bf38d5c16c11ee2b391e7a28</x:v>
      </x:c>
      <x:c r="Y2053" s="20" t="n">
        <x:v>1</x:v>
      </x:c>
      <x:c r="Z2053" s="20" t="n">
        <x:v>1</x:v>
      </x:c>
      <x:c r="AA2053" s="19"/>
      <x:c r="AB2053" s="18"/>
      <x:c r="AC2053" s="19"/>
    </x:row>
    <x:row r="2054" ht="28" customHeight="1">
      <x:c r="A2054" s="18" t="str">
        <x:v>逗子・葉山</x:v>
      </x:c>
      <x:c r="B2054" s="18" t="str">
        <x:v>京浜急行電鉄</x:v>
      </x:c>
      <x:c r="C2054" s="18" t="str">
        <x:v>private_rail</x:v>
      </x:c>
      <x:c r="D2054" s="19" t="str">
        <x:v>T2</x:v>
      </x:c>
      <x:c r="E2054" s="20" t="n">
        <x:v>22587</x:v>
      </x:c>
      <x:c r="F2054" s="18" t="str">
        <x:v>persons/day</x:v>
      </x:c>
      <x:c r="G2054" s="18" t="str">
        <x:v>FY2024</x:v>
      </x:c>
      <x:c r="H2054" s="18" t="str">
        <x:v>否</x:v>
      </x:c>
      <x:c r="I2054" s="19" t="str">
        <x:v>DAILY_ENTRIES_EXITS</x:v>
      </x:c>
      <x:c r="J2054" s="19" t="str">
        <x:v>逗子線</x:v>
      </x:c>
      <x:c r="K2054" s="18" t="str">
        <x:v>transport-node:9c975a39-333e-57e8-9fd0-2f561d4be35e</x:v>
      </x:c>
      <x:c r="L2054" s="19" t="str">
        <x:v>组件待审核</x:v>
      </x:c>
      <x:c r="M2054" s="21" t="n">
        <x:v>35.294225</x:v>
      </x:c>
      <x:c r="N2054" s="21" t="n">
        <x:v>139.580522</x:v>
      </x:c>
      <x:c r="O2054" s="18" t="str">
        <x:v>005130</x:v>
      </x:c>
      <x:c r="P2054" s="18" t="str">
        <x:v>逗子線</x:v>
      </x:c>
      <x:c r="Q2054" s="19" t="str">
        <x:v>S12_061_GE_10000</x:v>
      </x:c>
      <x:c r="R2054" s="19" t="str">
        <x:v>S12_061 usage threshold</x:v>
      </x:c>
      <x:c r="S2054" s="19" t="str">
        <x:v>https://nlftp.mlit.go.jp/ksj/gml/datalist/KsjTmplt-S12-2024.html</x:v>
      </x:c>
      <x:c r="T2054" s="19" t="str">
        <x:v>https://nlftp.mlit.go.jp/ksj/gml/datalist/KsjTmplt-S12-2024.html</x:v>
      </x:c>
      <x:c r="U2054" s="19" t="str">
        <x:v>station-component|逗子・葉山|京浜急行電鉄|private_rail|35.2942|139.5805|</x:v>
      </x:c>
      <x:c r="V2054" s="19" t="str">
        <x:v>005130 / 005130 / 逗子線</x:v>
      </x:c>
      <x:c r="W2054" s="18" t="str">
        <x:v>否</x:v>
      </x:c>
      <x:c r="X2054" s="18" t="str">
        <x:v>0785e932a32b3ec15e1a1345537ae145eafe1c07bf38d5c16c11ee2b391e7a28</x:v>
      </x:c>
      <x:c r="Y2054" s="20" t="n">
        <x:v>1</x:v>
      </x:c>
      <x:c r="Z2054" s="20" t="n">
        <x:v>1</x:v>
      </x:c>
      <x:c r="AA2054" s="19"/>
      <x:c r="AB2054" s="18"/>
      <x:c r="AC2054" s="19"/>
    </x:row>
    <x:row r="2055" ht="28" customHeight="1">
      <x:c r="A2055" s="18" t="str">
        <x:v>運河</x:v>
      </x:c>
      <x:c r="B2055" s="18" t="str">
        <x:v>東武鉄道</x:v>
      </x:c>
      <x:c r="C2055" s="18" t="str">
        <x:v>private_rail</x:v>
      </x:c>
      <x:c r="D2055" s="19" t="str">
        <x:v>T2</x:v>
      </x:c>
      <x:c r="E2055" s="20" t="n">
        <x:v>21494</x:v>
      </x:c>
      <x:c r="F2055" s="18" t="str">
        <x:v>persons/day</x:v>
      </x:c>
      <x:c r="G2055" s="18" t="str">
        <x:v>FY2024</x:v>
      </x:c>
      <x:c r="H2055" s="18" t="str">
        <x:v>否</x:v>
      </x:c>
      <x:c r="I2055" s="19" t="str">
        <x:v>DAILY_ENTRIES_EXITS</x:v>
      </x:c>
      <x:c r="J2055" s="19" t="str">
        <x:v>野田線</x:v>
      </x:c>
      <x:c r="K2055" s="18" t="str">
        <x:v>transport-node:91139c83-4aa4-5b90-bca1-4f75024634eb</x:v>
      </x:c>
      <x:c r="L2055" s="19" t="str">
        <x:v>组件待审核</x:v>
      </x:c>
      <x:c r="M2055" s="21" t="n">
        <x:v>35.91437</x:v>
      </x:c>
      <x:c r="N2055" s="21" t="n">
        <x:v>139.906035</x:v>
      </x:c>
      <x:c r="O2055" s="18" t="str">
        <x:v>002892</x:v>
      </x:c>
      <x:c r="P2055" s="18" t="str">
        <x:v>野田線</x:v>
      </x:c>
      <x:c r="Q2055" s="19" t="str">
        <x:v>S12_061_GE_10000</x:v>
      </x:c>
      <x:c r="R2055" s="19" t="str">
        <x:v>S12_061 usage threshold</x:v>
      </x:c>
      <x:c r="S2055" s="19" t="str">
        <x:v>https://nlftp.mlit.go.jp/ksj/gml/datalist/KsjTmplt-S12-2024.html</x:v>
      </x:c>
      <x:c r="T2055" s="19" t="str">
        <x:v>https://nlftp.mlit.go.jp/ksj/gml/datalist/KsjTmplt-S12-2024.html</x:v>
      </x:c>
      <x:c r="U2055" s="19" t="str">
        <x:v>station-component|運河|東武鉄道|private_rail|35.9144|139.9060|</x:v>
      </x:c>
      <x:c r="V2055" s="19" t="str">
        <x:v>002892 / 002892 / 野田線</x:v>
      </x:c>
      <x:c r="W2055" s="18" t="str">
        <x:v>否</x:v>
      </x:c>
      <x:c r="X2055" s="18" t="str">
        <x:v>0785e932a32b3ec15e1a1345537ae145eafe1c07bf38d5c16c11ee2b391e7a28</x:v>
      </x:c>
      <x:c r="Y2055" s="20" t="n">
        <x:v>1</x:v>
      </x:c>
      <x:c r="Z2055" s="20" t="n">
        <x:v>1</x:v>
      </x:c>
      <x:c r="AA2055" s="19"/>
      <x:c r="AB2055" s="18"/>
      <x:c r="AC2055" s="19"/>
    </x:row>
    <x:row r="2056" ht="33" customHeight="1">
      <x:c r="A2056" s="18" t="str">
        <x:v>那覇空港</x:v>
      </x:c>
      <x:c r="B2056" s="18" t="str">
        <x:v>沖縄都市モノレール</x:v>
      </x:c>
      <x:c r="C2056" s="18" t="str">
        <x:v>fixed_guideway</x:v>
      </x:c>
      <x:c r="D2056" s="19" t="str">
        <x:v>T2</x:v>
      </x:c>
      <x:c r="E2056" s="20" t="n">
        <x:v>15896</x:v>
      </x:c>
      <x:c r="F2056" s="18" t="str">
        <x:v>persons/day</x:v>
      </x:c>
      <x:c r="G2056" s="18" t="str">
        <x:v>FY2024</x:v>
      </x:c>
      <x:c r="H2056" s="18" t="str">
        <x:v>否</x:v>
      </x:c>
      <x:c r="I2056" s="19" t="str">
        <x:v>DAILY_ENTRIES_EXITS</x:v>
      </x:c>
      <x:c r="J2056" s="19" t="str">
        <x:v>沖縄都市モノレール線</x:v>
      </x:c>
      <x:c r="K2056" s="18" t="str">
        <x:v>transport-node:e3746050-e245-5776-9365-24964fb79462</x:v>
      </x:c>
      <x:c r="L2056" s="19" t="str">
        <x:v>组件待审核</x:v>
      </x:c>
      <x:c r="M2056" s="21" t="n">
        <x:v>26.20666</x:v>
      </x:c>
      <x:c r="N2056" s="21" t="n">
        <x:v>127.652285</x:v>
      </x:c>
      <x:c r="O2056" s="18" t="str">
        <x:v>010138</x:v>
      </x:c>
      <x:c r="P2056" s="18" t="str">
        <x:v>沖縄都市モノレール線</x:v>
      </x:c>
      <x:c r="Q2056" s="19" t="str">
        <x:v>S12_061_GE_10000
AIRPORT_ACCESS_AUDIT</x:v>
      </x:c>
      <x:c r="R2056" s="19" t="str">
        <x:v>S12_061 usage threshold</x:v>
      </x:c>
      <x:c r="S2056" s="19" t="str">
        <x:v>https://nlftp.mlit.go.jp/ksj/gml/datalist/KsjTmplt-S12-2024.html</x:v>
      </x:c>
      <x:c r="T2056" s="19" t="str">
        <x:v>https://nlftp.mlit.go.jp/ksj/gml/datalist/KsjTmplt-S12-2024.html</x:v>
      </x:c>
      <x:c r="U2056" s="19" t="str">
        <x:v>station-component|那覇空港|沖縄都市モノレール|fixed_guideway|26.2067|127.6523|</x:v>
      </x:c>
      <x:c r="V2056" s="19" t="str">
        <x:v>010138 / 010138 / 沖縄都市モノレール線</x:v>
      </x:c>
      <x:c r="W2056" s="18" t="str">
        <x:v>否</x:v>
      </x:c>
      <x:c r="X2056" s="18" t="str">
        <x:v>0785e932a32b3ec15e1a1345537ae145eafe1c07bf38d5c16c11ee2b391e7a28</x:v>
      </x:c>
      <x:c r="Y2056" s="20" t="n">
        <x:v>1</x:v>
      </x:c>
      <x:c r="Z2056" s="20" t="n">
        <x:v>1</x:v>
      </x:c>
      <x:c r="AA2056" s="19"/>
      <x:c r="AB2056" s="18"/>
      <x:c r="AC2056" s="19"/>
    </x:row>
    <x:row r="2057" ht="28" customHeight="1">
      <x:c r="A2057" s="18" t="str">
        <x:v>那須塩原</x:v>
      </x:c>
      <x:c r="B2057" s="18" t="str">
        <x:v>東日本旅客鉄道</x:v>
      </x:c>
      <x:c r="C2057" s="18" t="str">
        <x:v>conventional_rail</x:v>
      </x:c>
      <x:c r="D2057" s="19" t="str">
        <x:v>T2</x:v>
      </x:c>
      <x:c r="E2057" s="20" t="n">
        <x:v>10252</x:v>
      </x:c>
      <x:c r="F2057" s="18" t="str">
        <x:v>persons/day</x:v>
      </x:c>
      <x:c r="G2057" s="18" t="str">
        <x:v>FY2024</x:v>
      </x:c>
      <x:c r="H2057" s="18" t="str">
        <x:v>否</x:v>
      </x:c>
      <x:c r="I2057" s="19" t="str">
        <x:v>DAILY_ENTRIES_EXITS</x:v>
      </x:c>
      <x:c r="J2057" s="19" t="str">
        <x:v>東北線</x:v>
      </x:c>
      <x:c r="K2057" s="18" t="str">
        <x:v>transport-node:9c285423-bbcd-5201-bb3f-91525fadb427</x:v>
      </x:c>
      <x:c r="L2057" s="19" t="str">
        <x:v>组件待审核</x:v>
      </x:c>
      <x:c r="M2057" s="21" t="n">
        <x:v>36.931545</x:v>
      </x:c>
      <x:c r="N2057" s="21" t="n">
        <x:v>140.02106</x:v>
      </x:c>
      <x:c r="O2057" s="18" t="str">
        <x:v>001721</x:v>
      </x:c>
      <x:c r="P2057" s="18" t="str">
        <x:v>東北線</x:v>
      </x:c>
      <x:c r="Q2057" s="19" t="str">
        <x:v>S12_061_GE_10000</x:v>
      </x:c>
      <x:c r="R2057" s="19" t="str">
        <x:v>S12_061 usage threshold</x:v>
      </x:c>
      <x:c r="S2057" s="19" t="str">
        <x:v>https://nlftp.mlit.go.jp/ksj/gml/datalist/KsjTmplt-S12-2024.html</x:v>
      </x:c>
      <x:c r="T2057" s="19" t="str">
        <x:v>https://nlftp.mlit.go.jp/ksj/gml/datalist/KsjTmplt-S12-2024.html</x:v>
      </x:c>
      <x:c r="U2057" s="19" t="str">
        <x:v>station-component|那須塩原|東日本旅客鉄道|conventional_rail|36.9315|140.0211|</x:v>
      </x:c>
      <x:c r="V2057" s="19" t="str">
        <x:v>001720 / 001721 / 東北線</x:v>
      </x:c>
      <x:c r="W2057" s="18" t="str">
        <x:v>否</x:v>
      </x:c>
      <x:c r="X2057" s="18" t="str">
        <x:v>0785e932a32b3ec15e1a1345537ae145eafe1c07bf38d5c16c11ee2b391e7a28</x:v>
      </x:c>
      <x:c r="Y2057" s="20" t="n">
        <x:v>1</x:v>
      </x:c>
      <x:c r="Z2057" s="20" t="n">
        <x:v>1</x:v>
      </x:c>
      <x:c r="AA2057" s="19"/>
      <x:c r="AB2057" s="18"/>
      <x:c r="AC2057" s="19"/>
    </x:row>
    <x:row r="2058" ht="33" customHeight="1">
      <x:c r="A2058" s="18" t="str">
        <x:v>那須塩原</x:v>
      </x:c>
      <x:c r="B2058" s="18" t="str">
        <x:v>東日本旅客鉄道</x:v>
      </x:c>
      <x:c r="C2058" s="18" t="str">
        <x:v>shinkansen</x:v>
      </x:c>
      <x:c r="D2058" s="19"/>
      <x:c r="E2058" s="20" t="n">
        <x:v>3288</x:v>
      </x:c>
      <x:c r="F2058" s="18" t="str">
        <x:v>boardings/day</x:v>
      </x:c>
      <x:c r="G2058" s="18" t="str">
        <x:v>FY2024</x:v>
      </x:c>
      <x:c r="H2058" s="18" t="str">
        <x:v>是</x:v>
      </x:c>
      <x:c r="I2058" s="19" t="str">
        <x:v>DAILY_SHINKANSEN_BOARDINGS</x:v>
      </x:c>
      <x:c r="J2058" s="19" t="str">
        <x:v>東北新幹線</x:v>
      </x:c>
      <x:c r="K2058" s="18" t="str">
        <x:v>transport-node:f4a4ddec-ad46-59f9-8f8a-32eeee314ab6</x:v>
      </x:c>
      <x:c r="L2058" s="19" t="str">
        <x:v>组件待审核</x:v>
      </x:c>
      <x:c r="M2058" s="21" t="n">
        <x:v>36.9314471</x:v>
      </x:c>
      <x:c r="N2058" s="21" t="n">
        <x:v>140.0204686</x:v>
      </x:c>
      <x:c r="O2058" s="18" t="str">
        <x:v>001720</x:v>
      </x:c>
      <x:c r="P2058" s="18" t="str">
        <x:v>東北新幹線</x:v>
      </x:c>
      <x:c r="Q2058" s="19" t="str">
        <x:v>SHINKANSEN</x:v>
      </x:c>
      <x:c r="R2058" s="19" t="str">
        <x:v>Official fallback retained in published scope/unit; tier remains null pending metric/manual review.</x:v>
      </x:c>
      <x:c r="S2058" s="19" t="str">
        <x:v>https://www.jreast.co.jp/company/data/passenger/2024_shinkansen.html/</x:v>
      </x:c>
      <x:c r="T2058" s="19" t="str">
        <x:v>https://nlftp.mlit.go.jp/ksj/gml/datalist/KsjTmplt-S12-2024.html
https://www.jreast.co.jp/company/data/passenger/2024_shinkansen.html/</x:v>
      </x:c>
      <x:c r="U2058" s="19" t="str">
        <x:v>station-component|那須塩原|東日本旅客鉄道|shinkansen|36.9314|140.0205|</x:v>
      </x:c>
      <x:c r="V2058" s="19" t="str">
        <x:v>001720 / 001720 / 東北新幹線</x:v>
      </x:c>
      <x:c r="W2058" s="18" t="str">
        <x:v>否</x:v>
      </x:c>
      <x:c r="X2058" s="18" t="str">
        <x:v>0785e932a32b3ec15e1a1345537ae145eafe1c07bf38d5c16c11ee2b391e7a28</x:v>
      </x:c>
      <x:c r="Y2058" s="20" t="n">
        <x:v>1</x:v>
      </x:c>
      <x:c r="Z2058" s="20" t="n">
        <x:v>2</x:v>
      </x:c>
      <x:c r="AA2058" s="19"/>
      <x:c r="AB2058" s="18"/>
      <x:c r="AC2058" s="19"/>
    </x:row>
    <x:row r="2059" ht="47" customHeight="1">
      <x:c r="A2059" s="18" t="str">
        <x:v>郡山</x:v>
      </x:c>
      <x:c r="B2059" s="18" t="str">
        <x:v>東日本旅客鉄道</x:v>
      </x:c>
      <x:c r="C2059" s="18" t="str">
        <x:v>conventional_rail</x:v>
      </x:c>
      <x:c r="D2059" s="19" t="str">
        <x:v>T2</x:v>
      </x:c>
      <x:c r="E2059" s="20" t="n">
        <x:v>33752</x:v>
      </x:c>
      <x:c r="F2059" s="18" t="str">
        <x:v>persons/day</x:v>
      </x:c>
      <x:c r="G2059" s="18" t="str">
        <x:v>FY2024</x:v>
      </x:c>
      <x:c r="H2059" s="18" t="str">
        <x:v>否</x:v>
      </x:c>
      <x:c r="I2059" s="19" t="str">
        <x:v>DAILY_ENTRIES_EXITS</x:v>
      </x:c>
      <x:c r="J2059" s="19" t="str">
        <x:v>東北線
磐越東線
磐越西線</x:v>
      </x:c>
      <x:c r="K2059" s="18" t="str">
        <x:v>transport-node:bab59f09-bd7b-52cb-adb7-c760b9395ad1</x:v>
      </x:c>
      <x:c r="L2059" s="19" t="str">
        <x:v>组件待审核</x:v>
      </x:c>
      <x:c r="M2059" s="21" t="n">
        <x:v>37.398145</x:v>
      </x:c>
      <x:c r="N2059" s="21" t="n">
        <x:v>140.388865</x:v>
      </x:c>
      <x:c r="O2059" s="18" t="str">
        <x:v>001507</x:v>
      </x:c>
      <x:c r="P2059" s="18" t="str">
        <x:v>東北線</x:v>
      </x:c>
      <x:c r="Q2059" s="19" t="str">
        <x:v>S12_061_GE_10000</x:v>
      </x:c>
      <x:c r="R2059" s="19" t="str">
        <x:v>S12_061 usage threshold</x:v>
      </x:c>
      <x:c r="S2059" s="19" t="str">
        <x:v>https://nlftp.mlit.go.jp/ksj/gml/datalist/KsjTmplt-S12-2024.html</x:v>
      </x:c>
      <x:c r="T2059" s="19" t="str">
        <x:v>https://nlftp.mlit.go.jp/ksj/gml/datalist/KsjTmplt-S12-2024.html</x:v>
      </x:c>
      <x:c r="U2059" s="19" t="str">
        <x:v>station-component|郡山|東日本旅客鉄道|conventional_rail|37.3981|140.3889|</x:v>
      </x:c>
      <x:c r="V2059" s="19" t="str">
        <x:v>001507 / 001507 / 東北線
001507 / 001508 / 磐越西線
001507 / 001509 / 磐越東線</x:v>
      </x:c>
      <x:c r="W2059" s="18" t="str">
        <x:v>否</x:v>
      </x:c>
      <x:c r="X2059" s="18" t="str">
        <x:v>0785e932a32b3ec15e1a1345537ae145eafe1c07bf38d5c16c11ee2b391e7a28</x:v>
      </x:c>
      <x:c r="Y2059" s="20" t="n">
        <x:v>1</x:v>
      </x:c>
      <x:c r="Z2059" s="20" t="n">
        <x:v>1</x:v>
      </x:c>
      <x:c r="AA2059" s="19"/>
      <x:c r="AB2059" s="18"/>
      <x:c r="AC2059" s="19"/>
    </x:row>
    <x:row r="2060" ht="33" customHeight="1">
      <x:c r="A2060" s="18" t="str">
        <x:v>郡山</x:v>
      </x:c>
      <x:c r="B2060" s="18" t="str">
        <x:v>東日本旅客鉄道</x:v>
      </x:c>
      <x:c r="C2060" s="18" t="str">
        <x:v>shinkansen</x:v>
      </x:c>
      <x:c r="D2060" s="19"/>
      <x:c r="E2060" s="20" t="n">
        <x:v>8484</x:v>
      </x:c>
      <x:c r="F2060" s="18" t="str">
        <x:v>boardings/day</x:v>
      </x:c>
      <x:c r="G2060" s="18" t="str">
        <x:v>FY2024</x:v>
      </x:c>
      <x:c r="H2060" s="18" t="str">
        <x:v>是</x:v>
      </x:c>
      <x:c r="I2060" s="19" t="str">
        <x:v>DAILY_SHINKANSEN_BOARDINGS</x:v>
      </x:c>
      <x:c r="J2060" s="19" t="str">
        <x:v>東北新幹線</x:v>
      </x:c>
      <x:c r="K2060" s="18" t="str">
        <x:v>transport-node:1df81fee-0f06-5f2a-a13d-08401ff22848</x:v>
      </x:c>
      <x:c r="L2060" s="19" t="str">
        <x:v>组件待审核</x:v>
      </x:c>
      <x:c r="M2060" s="21" t="n">
        <x:v>37.39862</x:v>
      </x:c>
      <x:c r="N2060" s="21" t="n">
        <x:v>140.38862</x:v>
      </x:c>
      <x:c r="O2060" s="18" t="str">
        <x:v>001506</x:v>
      </x:c>
      <x:c r="P2060" s="18" t="str">
        <x:v>東北新幹線</x:v>
      </x:c>
      <x:c r="Q2060" s="19" t="str">
        <x:v>SHINKANSEN</x:v>
      </x:c>
      <x:c r="R2060" s="19" t="str">
        <x:v>Official fallback retained in published scope/unit; tier remains null pending metric/manual review.</x:v>
      </x:c>
      <x:c r="S2060" s="19" t="str">
        <x:v>https://www.jreast.co.jp/company/data/passenger/2024_shinkansen.html/</x:v>
      </x:c>
      <x:c r="T2060" s="19" t="str">
        <x:v>https://nlftp.mlit.go.jp/ksj/gml/datalist/KsjTmplt-S12-2024.html
https://www.jreast.co.jp/company/data/passenger/2024_shinkansen.html/</x:v>
      </x:c>
      <x:c r="U2060" s="19" t="str">
        <x:v>station-component|郡山|東日本旅客鉄道|shinkansen|37.3986|140.3886|</x:v>
      </x:c>
      <x:c r="V2060" s="19" t="str">
        <x:v>001507 / 001506 / 東北新幹線</x:v>
      </x:c>
      <x:c r="W2060" s="18" t="str">
        <x:v>否</x:v>
      </x:c>
      <x:c r="X2060" s="18" t="str">
        <x:v>0785e932a32b3ec15e1a1345537ae145eafe1c07bf38d5c16c11ee2b391e7a28</x:v>
      </x:c>
      <x:c r="Y2060" s="20" t="n">
        <x:v>1</x:v>
      </x:c>
      <x:c r="Z2060" s="20" t="n">
        <x:v>2</x:v>
      </x:c>
      <x:c r="AA2060" s="19"/>
      <x:c r="AB2060" s="18"/>
      <x:c r="AC2060" s="19"/>
    </x:row>
    <x:row r="2061" ht="28" customHeight="1">
      <x:c r="A2061" s="18" t="str">
        <x:v>郡山</x:v>
      </x:c>
      <x:c r="B2061" s="18" t="str">
        <x:v>西日本旅客鉄道</x:v>
      </x:c>
      <x:c r="C2061" s="18" t="str">
        <x:v>conventional_rail</x:v>
      </x:c>
      <x:c r="D2061" s="19" t="str">
        <x:v>T2</x:v>
      </x:c>
      <x:c r="E2061" s="20" t="n">
        <x:v>10034</x:v>
      </x:c>
      <x:c r="F2061" s="18" t="str">
        <x:v>persons/day</x:v>
      </x:c>
      <x:c r="G2061" s="18" t="str">
        <x:v>FY2024</x:v>
      </x:c>
      <x:c r="H2061" s="18" t="str">
        <x:v>否</x:v>
      </x:c>
      <x:c r="I2061" s="19" t="str">
        <x:v>DAILY_ENTRIES_EXITS</x:v>
      </x:c>
      <x:c r="J2061" s="19" t="str">
        <x:v>関西線</x:v>
      </x:c>
      <x:c r="K2061" s="18" t="str">
        <x:v>transport-node:4aebab71-4fde-5cae-97a4-e0b1369fc0e3</x:v>
      </x:c>
      <x:c r="L2061" s="19" t="str">
        <x:v>组件待审核</x:v>
      </x:c>
      <x:c r="M2061" s="21" t="n">
        <x:v>34.6482167</x:v>
      </x:c>
      <x:c r="N2061" s="21" t="n">
        <x:v>135.7903967</x:v>
      </x:c>
      <x:c r="O2061" s="18" t="str">
        <x:v>007433</x:v>
      </x:c>
      <x:c r="P2061" s="18" t="str">
        <x:v>関西線</x:v>
      </x:c>
      <x:c r="Q2061" s="19" t="str">
        <x:v>S12_061_GE_10000</x:v>
      </x:c>
      <x:c r="R2061" s="19" t="str">
        <x:v>S12_061 usage threshold</x:v>
      </x:c>
      <x:c r="S2061" s="19" t="str">
        <x:v>https://nlftp.mlit.go.jp/ksj/gml/datalist/KsjTmplt-S12-2024.html</x:v>
      </x:c>
      <x:c r="T2061" s="19" t="str">
        <x:v>https://nlftp.mlit.go.jp/ksj/gml/datalist/KsjTmplt-S12-2024.html</x:v>
      </x:c>
      <x:c r="U2061" s="19" t="str">
        <x:v>station-component|郡山|西日本旅客鉄道|conventional_rail|34.6482|135.7904|</x:v>
      </x:c>
      <x:c r="V2061" s="19" t="str">
        <x:v>007433 / 007433 / 関西線</x:v>
      </x:c>
      <x:c r="W2061" s="18" t="str">
        <x:v>否</x:v>
      </x:c>
      <x:c r="X2061" s="18" t="str">
        <x:v>0785e932a32b3ec15e1a1345537ae145eafe1c07bf38d5c16c11ee2b391e7a28</x:v>
      </x:c>
      <x:c r="Y2061" s="20" t="n">
        <x:v>1</x:v>
      </x:c>
      <x:c r="Z2061" s="20" t="n">
        <x:v>1</x:v>
      </x:c>
      <x:c r="AA2061" s="19"/>
      <x:c r="AB2061" s="18"/>
      <x:c r="AC2061" s="19"/>
    </x:row>
    <x:row r="2062" ht="28" customHeight="1">
      <x:c r="A2062" s="18" t="str">
        <x:v>都島</x:v>
      </x:c>
      <x:c r="B2062" s="18" t="str">
        <x:v>大阪市高速電気軌道</x:v>
      </x:c>
      <x:c r="C2062" s="18" t="str">
        <x:v>metro</x:v>
      </x:c>
      <x:c r="D2062" s="19" t="str">
        <x:v>T2</x:v>
      </x:c>
      <x:c r="E2062" s="20" t="n">
        <x:v>32008</x:v>
      </x:c>
      <x:c r="F2062" s="18" t="str">
        <x:v>persons/day</x:v>
      </x:c>
      <x:c r="G2062" s="18" t="str">
        <x:v>FY2024</x:v>
      </x:c>
      <x:c r="H2062" s="18" t="str">
        <x:v>否</x:v>
      </x:c>
      <x:c r="I2062" s="19" t="str">
        <x:v>DAILY_ENTRIES_EXITS</x:v>
      </x:c>
      <x:c r="J2062" s="19" t="str">
        <x:v>2号線(谷町線)</x:v>
      </x:c>
      <x:c r="K2062" s="18" t="str">
        <x:v>transport-node:bfad7e1d-c75d-5af7-af2d-e350d324ab82</x:v>
      </x:c>
      <x:c r="L2062" s="19" t="str">
        <x:v>组件待审核</x:v>
      </x:c>
      <x:c r="M2062" s="21" t="n">
        <x:v>34.708944</x:v>
      </x:c>
      <x:c r="N2062" s="21" t="n">
        <x:v>135.525926</x:v>
      </x:c>
      <x:c r="O2062" s="18" t="str">
        <x:v>007032</x:v>
      </x:c>
      <x:c r="P2062" s="18" t="str">
        <x:v>2号線(谷町線)</x:v>
      </x:c>
      <x:c r="Q2062" s="19" t="str">
        <x:v>S12_061_GE_10000</x:v>
      </x:c>
      <x:c r="R2062" s="19" t="str">
        <x:v>S12_061 usage threshold</x:v>
      </x:c>
      <x:c r="S2062" s="19" t="str">
        <x:v>https://nlftp.mlit.go.jp/ksj/gml/datalist/KsjTmplt-S12-2024.html</x:v>
      </x:c>
      <x:c r="T2062" s="19" t="str">
        <x:v>https://nlftp.mlit.go.jp/ksj/gml/datalist/KsjTmplt-S12-2024.html</x:v>
      </x:c>
      <x:c r="U2062" s="19" t="str">
        <x:v>station-component|都島|大阪市高速電気軌道|metro|34.7089|135.5259|</x:v>
      </x:c>
      <x:c r="V2062" s="19" t="str">
        <x:v>007032 / 007032 / 2号線(谷町線)</x:v>
      </x:c>
      <x:c r="W2062" s="18" t="str">
        <x:v>否</x:v>
      </x:c>
      <x:c r="X2062" s="18" t="str">
        <x:v>0785e932a32b3ec15e1a1345537ae145eafe1c07bf38d5c16c11ee2b391e7a28</x:v>
      </x:c>
      <x:c r="Y2062" s="20" t="n">
        <x:v>1</x:v>
      </x:c>
      <x:c r="Z2062" s="20" t="n">
        <x:v>1</x:v>
      </x:c>
      <x:c r="AA2062" s="19"/>
      <x:c r="AB2062" s="18"/>
      <x:c r="AC2062" s="19"/>
    </x:row>
    <x:row r="2063" ht="28" customHeight="1">
      <x:c r="A2063" s="18" t="str">
        <x:v>都庁前</x:v>
      </x:c>
      <x:c r="B2063" s="18" t="str">
        <x:v>東京都</x:v>
      </x:c>
      <x:c r="C2063" s="18" t="str">
        <x:v>metro</x:v>
      </x:c>
      <x:c r="D2063" s="19" t="str">
        <x:v>T2</x:v>
      </x:c>
      <x:c r="E2063" s="20" t="n">
        <x:v>49779</x:v>
      </x:c>
      <x:c r="F2063" s="18" t="str">
        <x:v>persons/day</x:v>
      </x:c>
      <x:c r="G2063" s="18" t="str">
        <x:v>FY2024</x:v>
      </x:c>
      <x:c r="H2063" s="18" t="str">
        <x:v>否</x:v>
      </x:c>
      <x:c r="I2063" s="19" t="str">
        <x:v>DAILY_ENTRIES_EXITS</x:v>
      </x:c>
      <x:c r="J2063" s="19" t="str">
        <x:v>12号線大江戸線</x:v>
      </x:c>
      <x:c r="K2063" s="18" t="str">
        <x:v>transport-node:ce872a68-3d47-5107-b172-fdafd45d9e50</x:v>
      </x:c>
      <x:c r="L2063" s="19" t="str">
        <x:v>组件待审核</x:v>
      </x:c>
      <x:c r="M2063" s="21" t="n">
        <x:v>35.69059</x:v>
      </x:c>
      <x:c r="N2063" s="21" t="n">
        <x:v>139.692625</x:v>
      </x:c>
      <x:c r="O2063" s="18" t="str">
        <x:v>003690</x:v>
      </x:c>
      <x:c r="P2063" s="18" t="str">
        <x:v>12号線大江戸線</x:v>
      </x:c>
      <x:c r="Q2063" s="19" t="str">
        <x:v>S12_061_GE_10000</x:v>
      </x:c>
      <x:c r="R2063" s="19" t="str">
        <x:v>S12_061 usage threshold</x:v>
      </x:c>
      <x:c r="S2063" s="19" t="str">
        <x:v>https://nlftp.mlit.go.jp/ksj/gml/datalist/KsjTmplt-S12-2024.html</x:v>
      </x:c>
      <x:c r="T2063" s="19" t="str">
        <x:v>https://nlftp.mlit.go.jp/ksj/gml/datalist/KsjTmplt-S12-2024.html</x:v>
      </x:c>
      <x:c r="U2063" s="19" t="str">
        <x:v>station-component|都庁前|東京都|metro|35.6906|139.6926|</x:v>
      </x:c>
      <x:c r="V2063" s="19" t="str">
        <x:v>003690 / 003690 / 12号線大江戸線</x:v>
      </x:c>
      <x:c r="W2063" s="18" t="str">
        <x:v>否</x:v>
      </x:c>
      <x:c r="X2063" s="18" t="str">
        <x:v>0785e932a32b3ec15e1a1345537ae145eafe1c07bf38d5c16c11ee2b391e7a28</x:v>
      </x:c>
      <x:c r="Y2063" s="20" t="n">
        <x:v>1</x:v>
      </x:c>
      <x:c r="Z2063" s="20" t="n">
        <x:v>1</x:v>
      </x:c>
      <x:c r="AA2063" s="19"/>
      <x:c r="AB2063" s="18"/>
      <x:c r="AC2063" s="19"/>
    </x:row>
    <x:row r="2064" ht="28" customHeight="1">
      <x:c r="A2064" s="18" t="str">
        <x:v>都立大学</x:v>
      </x:c>
      <x:c r="B2064" s="18" t="str">
        <x:v>東急電鉄</x:v>
      </x:c>
      <x:c r="C2064" s="18" t="str">
        <x:v>private_rail</x:v>
      </x:c>
      <x:c r="D2064" s="19" t="str">
        <x:v>T2</x:v>
      </x:c>
      <x:c r="E2064" s="20" t="n">
        <x:v>46393</x:v>
      </x:c>
      <x:c r="F2064" s="18" t="str">
        <x:v>persons/day</x:v>
      </x:c>
      <x:c r="G2064" s="18" t="str">
        <x:v>FY2024</x:v>
      </x:c>
      <x:c r="H2064" s="18" t="str">
        <x:v>否</x:v>
      </x:c>
      <x:c r="I2064" s="19" t="str">
        <x:v>DAILY_ENTRIES_EXITS</x:v>
      </x:c>
      <x:c r="J2064" s="19" t="str">
        <x:v>東横線</x:v>
      </x:c>
      <x:c r="K2064" s="18" t="str">
        <x:v>transport-node:d91d7587-f6fa-52dc-9b7a-20e34eafd364</x:v>
      </x:c>
      <x:c r="L2064" s="19" t="str">
        <x:v>组件待审核</x:v>
      </x:c>
      <x:c r="M2064" s="21" t="n">
        <x:v>35.61785</x:v>
      </x:c>
      <x:c r="N2064" s="21" t="n">
        <x:v>139.67644</x:v>
      </x:c>
      <x:c r="O2064" s="18" t="str">
        <x:v>004143</x:v>
      </x:c>
      <x:c r="P2064" s="18" t="str">
        <x:v>東横線</x:v>
      </x:c>
      <x:c r="Q2064" s="19" t="str">
        <x:v>S12_061_GE_10000</x:v>
      </x:c>
      <x:c r="R2064" s="19" t="str">
        <x:v>S12_061 usage threshold</x:v>
      </x:c>
      <x:c r="S2064" s="19" t="str">
        <x:v>https://nlftp.mlit.go.jp/ksj/gml/datalist/KsjTmplt-S12-2024.html</x:v>
      </x:c>
      <x:c r="T2064" s="19" t="str">
        <x:v>https://nlftp.mlit.go.jp/ksj/gml/datalist/KsjTmplt-S12-2024.html</x:v>
      </x:c>
      <x:c r="U2064" s="19" t="str">
        <x:v>station-component|都立大学|東急電鉄|private_rail|35.6178|139.6764|</x:v>
      </x:c>
      <x:c r="V2064" s="19" t="str">
        <x:v>004143 / 004143 / 東横線</x:v>
      </x:c>
      <x:c r="W2064" s="18" t="str">
        <x:v>否</x:v>
      </x:c>
      <x:c r="X2064" s="18" t="str">
        <x:v>0785e932a32b3ec15e1a1345537ae145eafe1c07bf38d5c16c11ee2b391e7a28</x:v>
      </x:c>
      <x:c r="Y2064" s="20" t="n">
        <x:v>1</x:v>
      </x:c>
      <x:c r="Z2064" s="20" t="n">
        <x:v>1</x:v>
      </x:c>
      <x:c r="AA2064" s="19"/>
      <x:c r="AB2064" s="18"/>
      <x:c r="AC2064" s="19"/>
    </x:row>
    <x:row r="2065" ht="28" customHeight="1">
      <x:c r="A2065" s="18" t="str">
        <x:v>都立家政</x:v>
      </x:c>
      <x:c r="B2065" s="18" t="str">
        <x:v>西武鉄道</x:v>
      </x:c>
      <x:c r="C2065" s="18" t="str">
        <x:v>private_rail</x:v>
      </x:c>
      <x:c r="D2065" s="19" t="str">
        <x:v>T2</x:v>
      </x:c>
      <x:c r="E2065" s="20" t="n">
        <x:v>17816</x:v>
      </x:c>
      <x:c r="F2065" s="18" t="str">
        <x:v>persons/day</x:v>
      </x:c>
      <x:c r="G2065" s="18" t="str">
        <x:v>FY2024</x:v>
      </x:c>
      <x:c r="H2065" s="18" t="str">
        <x:v>否</x:v>
      </x:c>
      <x:c r="I2065" s="19" t="str">
        <x:v>DAILY_ENTRIES_EXITS</x:v>
      </x:c>
      <x:c r="J2065" s="19" t="str">
        <x:v>新宿線</x:v>
      </x:c>
      <x:c r="K2065" s="18" t="str">
        <x:v>transport-node:cdb61e22-64e2-57b8-9ec7-e0a31ba9017a</x:v>
      </x:c>
      <x:c r="L2065" s="19" t="str">
        <x:v>组件待审核</x:v>
      </x:c>
      <x:c r="M2065" s="21" t="n">
        <x:v>35.72219</x:v>
      </x:c>
      <x:c r="N2065" s="21" t="n">
        <x:v>139.64543</x:v>
      </x:c>
      <x:c r="O2065" s="18" t="str">
        <x:v>003453</x:v>
      </x:c>
      <x:c r="P2065" s="18" t="str">
        <x:v>新宿線</x:v>
      </x:c>
      <x:c r="Q2065" s="19" t="str">
        <x:v>S12_061_GE_10000</x:v>
      </x:c>
      <x:c r="R2065" s="19" t="str">
        <x:v>S12_061 usage threshold</x:v>
      </x:c>
      <x:c r="S2065" s="19" t="str">
        <x:v>https://nlftp.mlit.go.jp/ksj/gml/datalist/KsjTmplt-S12-2024.html</x:v>
      </x:c>
      <x:c r="T2065" s="19" t="str">
        <x:v>https://nlftp.mlit.go.jp/ksj/gml/datalist/KsjTmplt-S12-2024.html</x:v>
      </x:c>
      <x:c r="U2065" s="19" t="str">
        <x:v>station-component|都立家政|西武鉄道|private_rail|35.7222|139.6454|</x:v>
      </x:c>
      <x:c r="V2065" s="19" t="str">
        <x:v>003453 / 003453 / 新宿線</x:v>
      </x:c>
      <x:c r="W2065" s="18" t="str">
        <x:v>否</x:v>
      </x:c>
      <x:c r="X2065" s="18" t="str">
        <x:v>0785e932a32b3ec15e1a1345537ae145eafe1c07bf38d5c16c11ee2b391e7a28</x:v>
      </x:c>
      <x:c r="Y2065" s="20" t="n">
        <x:v>1</x:v>
      </x:c>
      <x:c r="Z2065" s="20" t="n">
        <x:v>1</x:v>
      </x:c>
      <x:c r="AA2065" s="19"/>
      <x:c r="AB2065" s="18"/>
      <x:c r="AC2065" s="19"/>
    </x:row>
    <x:row r="2066" ht="28" customHeight="1">
      <x:c r="A2066" s="18" t="str">
        <x:v>都筑ふれあいの丘</x:v>
      </x:c>
      <x:c r="B2066" s="18" t="str">
        <x:v>横浜市</x:v>
      </x:c>
      <x:c r="C2066" s="18" t="str">
        <x:v>metro</x:v>
      </x:c>
      <x:c r="D2066" s="19" t="str">
        <x:v>T2</x:v>
      </x:c>
      <x:c r="E2066" s="20" t="n">
        <x:v>10354</x:v>
      </x:c>
      <x:c r="F2066" s="18" t="str">
        <x:v>persons/day</x:v>
      </x:c>
      <x:c r="G2066" s="18" t="str">
        <x:v>FY2024</x:v>
      </x:c>
      <x:c r="H2066" s="18" t="str">
        <x:v>否</x:v>
      </x:c>
      <x:c r="I2066" s="19" t="str">
        <x:v>DAILY_ENTRIES_EXITS</x:v>
      </x:c>
      <x:c r="J2066" s="19" t="str">
        <x:v>4号線</x:v>
      </x:c>
      <x:c r="K2066" s="18" t="str">
        <x:v>transport-node:35427bde-753f-5095-bd27-e5378b301146</x:v>
      </x:c>
      <x:c r="L2066" s="19" t="str">
        <x:v>组件待审核</x:v>
      </x:c>
      <x:c r="M2066" s="21" t="n">
        <x:v>35.536556</x:v>
      </x:c>
      <x:c r="N2066" s="21" t="n">
        <x:v>139.561301</x:v>
      </x:c>
      <x:c r="O2066" s="18" t="str">
        <x:v>004409</x:v>
      </x:c>
      <x:c r="P2066" s="18" t="str">
        <x:v>4号線</x:v>
      </x:c>
      <x:c r="Q2066" s="19" t="str">
        <x:v>S12_061_GE_10000</x:v>
      </x:c>
      <x:c r="R2066" s="19" t="str">
        <x:v>S12_061 usage threshold</x:v>
      </x:c>
      <x:c r="S2066" s="19" t="str">
        <x:v>https://nlftp.mlit.go.jp/ksj/gml/datalist/KsjTmplt-S12-2024.html</x:v>
      </x:c>
      <x:c r="T2066" s="19" t="str">
        <x:v>https://nlftp.mlit.go.jp/ksj/gml/datalist/KsjTmplt-S12-2024.html</x:v>
      </x:c>
      <x:c r="U2066" s="19" t="str">
        <x:v>station-component|都筑ふれあいの丘|横浜市|metro|35.5366|139.5613|</x:v>
      </x:c>
      <x:c r="V2066" s="19" t="str">
        <x:v>004409 / 004409 / 4号線</x:v>
      </x:c>
      <x:c r="W2066" s="18" t="str">
        <x:v>否</x:v>
      </x:c>
      <x:c r="X2066" s="18" t="str">
        <x:v>0785e932a32b3ec15e1a1345537ae145eafe1c07bf38d5c16c11ee2b391e7a28</x:v>
      </x:c>
      <x:c r="Y2066" s="20" t="n">
        <x:v>1</x:v>
      </x:c>
      <x:c r="Z2066" s="20" t="n">
        <x:v>1</x:v>
      </x:c>
      <x:c r="AA2066" s="19"/>
      <x:c r="AB2066" s="18"/>
      <x:c r="AC2066" s="19"/>
    </x:row>
    <x:row r="2067" ht="28" customHeight="1">
      <x:c r="A2067" s="18" t="str">
        <x:v>都賀</x:v>
      </x:c>
      <x:c r="B2067" s="18" t="str">
        <x:v>千葉都市モノレール</x:v>
      </x:c>
      <x:c r="C2067" s="18" t="str">
        <x:v>fixed_guideway</x:v>
      </x:c>
      <x:c r="D2067" s="19" t="str">
        <x:v>T2</x:v>
      </x:c>
      <x:c r="E2067" s="20" t="n">
        <x:v>12048</x:v>
      </x:c>
      <x:c r="F2067" s="18" t="str">
        <x:v>persons/day</x:v>
      </x:c>
      <x:c r="G2067" s="18" t="str">
        <x:v>FY2024</x:v>
      </x:c>
      <x:c r="H2067" s="18" t="str">
        <x:v>否</x:v>
      </x:c>
      <x:c r="I2067" s="19" t="str">
        <x:v>DAILY_ENTRIES_EXITS</x:v>
      </x:c>
      <x:c r="J2067" s="19" t="str">
        <x:v>2号線</x:v>
      </x:c>
      <x:c r="K2067" s="18" t="str">
        <x:v>transport-node:b40782e5-20d1-50a6-ba21-f8eb78c66669</x:v>
      </x:c>
      <x:c r="L2067" s="19" t="str">
        <x:v>组件待审核</x:v>
      </x:c>
      <x:c r="M2067" s="21" t="n">
        <x:v>35.635495</x:v>
      </x:c>
      <x:c r="N2067" s="21" t="n">
        <x:v>140.148745</x:v>
      </x:c>
      <x:c r="O2067" s="18" t="str">
        <x:v>004060</x:v>
      </x:c>
      <x:c r="P2067" s="18" t="str">
        <x:v>2号線</x:v>
      </x:c>
      <x:c r="Q2067" s="19" t="str">
        <x:v>S12_061_GE_10000</x:v>
      </x:c>
      <x:c r="R2067" s="19" t="str">
        <x:v>S12_061 usage threshold</x:v>
      </x:c>
      <x:c r="S2067" s="19" t="str">
        <x:v>https://nlftp.mlit.go.jp/ksj/gml/datalist/KsjTmplt-S12-2024.html</x:v>
      </x:c>
      <x:c r="T2067" s="19" t="str">
        <x:v>https://nlftp.mlit.go.jp/ksj/gml/datalist/KsjTmplt-S12-2024.html</x:v>
      </x:c>
      <x:c r="U2067" s="19" t="str">
        <x:v>station-component|都賀|千葉都市モノレール|fixed_guideway|35.6355|140.1487|</x:v>
      </x:c>
      <x:c r="V2067" s="19" t="str">
        <x:v>004057 / 004060 / 2号線</x:v>
      </x:c>
      <x:c r="W2067" s="18" t="str">
        <x:v>否</x:v>
      </x:c>
      <x:c r="X2067" s="18" t="str">
        <x:v>0785e932a32b3ec15e1a1345537ae145eafe1c07bf38d5c16c11ee2b391e7a28</x:v>
      </x:c>
      <x:c r="Y2067" s="20" t="n">
        <x:v>1</x:v>
      </x:c>
      <x:c r="Z2067" s="20" t="n">
        <x:v>1</x:v>
      </x:c>
      <x:c r="AA2067" s="19"/>
      <x:c r="AB2067" s="18"/>
      <x:c r="AC2067" s="19"/>
    </x:row>
    <x:row r="2068" ht="28" customHeight="1">
      <x:c r="A2068" s="18" t="str">
        <x:v>都賀</x:v>
      </x:c>
      <x:c r="B2068" s="18" t="str">
        <x:v>東日本旅客鉄道</x:v>
      </x:c>
      <x:c r="C2068" s="18" t="str">
        <x:v>conventional_rail</x:v>
      </x:c>
      <x:c r="D2068" s="19" t="str">
        <x:v>T2</x:v>
      </x:c>
      <x:c r="E2068" s="20" t="n">
        <x:v>39744</x:v>
      </x:c>
      <x:c r="F2068" s="18" t="str">
        <x:v>persons/day</x:v>
      </x:c>
      <x:c r="G2068" s="18" t="str">
        <x:v>FY2024</x:v>
      </x:c>
      <x:c r="H2068" s="18" t="str">
        <x:v>否</x:v>
      </x:c>
      <x:c r="I2068" s="19" t="str">
        <x:v>DAILY_ENTRIES_EXITS</x:v>
      </x:c>
      <x:c r="J2068" s="19" t="str">
        <x:v>総武線</x:v>
      </x:c>
      <x:c r="K2068" s="18" t="str">
        <x:v>transport-node:3b5859f8-5812-52ae-b2c7-50ae9f43363a</x:v>
      </x:c>
      <x:c r="L2068" s="19" t="str">
        <x:v>组件待审核</x:v>
      </x:c>
      <x:c r="M2068" s="21" t="n">
        <x:v>35.63602</x:v>
      </x:c>
      <x:c r="N2068" s="21" t="n">
        <x:v>140.149185</x:v>
      </x:c>
      <x:c r="O2068" s="18" t="str">
        <x:v>004057</x:v>
      </x:c>
      <x:c r="P2068" s="18" t="str">
        <x:v>総武線</x:v>
      </x:c>
      <x:c r="Q2068" s="19" t="str">
        <x:v>S12_061_GE_10000</x:v>
      </x:c>
      <x:c r="R2068" s="19" t="str">
        <x:v>S12_061 usage threshold</x:v>
      </x:c>
      <x:c r="S2068" s="19" t="str">
        <x:v>https://nlftp.mlit.go.jp/ksj/gml/datalist/KsjTmplt-S12-2024.html</x:v>
      </x:c>
      <x:c r="T2068" s="19" t="str">
        <x:v>https://nlftp.mlit.go.jp/ksj/gml/datalist/KsjTmplt-S12-2024.html</x:v>
      </x:c>
      <x:c r="U2068" s="19" t="str">
        <x:v>station-component|都賀|東日本旅客鉄道|conventional_rail|35.6360|140.1492|</x:v>
      </x:c>
      <x:c r="V2068" s="19" t="str">
        <x:v>004057 / 004057 / 総武線</x:v>
      </x:c>
      <x:c r="W2068" s="18" t="str">
        <x:v>否</x:v>
      </x:c>
      <x:c r="X2068" s="18" t="str">
        <x:v>0785e932a32b3ec15e1a1345537ae145eafe1c07bf38d5c16c11ee2b391e7a28</x:v>
      </x:c>
      <x:c r="Y2068" s="20" t="n">
        <x:v>1</x:v>
      </x:c>
      <x:c r="Z2068" s="20" t="n">
        <x:v>1</x:v>
      </x:c>
      <x:c r="AA2068" s="19"/>
      <x:c r="AB2068" s="18"/>
      <x:c r="AC2068" s="19"/>
    </x:row>
    <x:row r="2069" ht="28" customHeight="1">
      <x:c r="A2069" s="18" t="str">
        <x:v>醍醐</x:v>
      </x:c>
      <x:c r="B2069" s="18" t="str">
        <x:v>京都市</x:v>
      </x:c>
      <x:c r="C2069" s="18" t="str">
        <x:v>metro</x:v>
      </x:c>
      <x:c r="D2069" s="19" t="str">
        <x:v>T2</x:v>
      </x:c>
      <x:c r="E2069" s="20" t="n">
        <x:v>12397</x:v>
      </x:c>
      <x:c r="F2069" s="18" t="str">
        <x:v>persons/day</x:v>
      </x:c>
      <x:c r="G2069" s="18" t="str">
        <x:v>FY2024</x:v>
      </x:c>
      <x:c r="H2069" s="18" t="str">
        <x:v>否</x:v>
      </x:c>
      <x:c r="I2069" s="19" t="str">
        <x:v>DAILY_ENTRIES_EXITS</x:v>
      </x:c>
      <x:c r="J2069" s="19" t="str">
        <x:v>東西線</x:v>
      </x:c>
      <x:c r="K2069" s="18" t="str">
        <x:v>transport-node:e9f7cd6e-de15-57b8-92e2-ebd39e14b592</x:v>
      </x:c>
      <x:c r="L2069" s="19" t="str">
        <x:v>组件待审核</x:v>
      </x:c>
      <x:c r="M2069" s="21" t="n">
        <x:v>34.9503233</x:v>
      </x:c>
      <x:c r="N2069" s="21" t="n">
        <x:v>135.8105567</x:v>
      </x:c>
      <x:c r="O2069" s="18" t="str">
        <x:v>006192</x:v>
      </x:c>
      <x:c r="P2069" s="18" t="str">
        <x:v>東西線</x:v>
      </x:c>
      <x:c r="Q2069" s="19" t="str">
        <x:v>S12_061_GE_10000</x:v>
      </x:c>
      <x:c r="R2069" s="19" t="str">
        <x:v>S12_061 usage threshold</x:v>
      </x:c>
      <x:c r="S2069" s="19" t="str">
        <x:v>https://nlftp.mlit.go.jp/ksj/gml/datalist/KsjTmplt-S12-2024.html</x:v>
      </x:c>
      <x:c r="T2069" s="19" t="str">
        <x:v>https://nlftp.mlit.go.jp/ksj/gml/datalist/KsjTmplt-S12-2024.html</x:v>
      </x:c>
      <x:c r="U2069" s="19" t="str">
        <x:v>station-component|醍醐|京都市|metro|34.9503|135.8106|</x:v>
      </x:c>
      <x:c r="V2069" s="19" t="str">
        <x:v>006192 / 006192 / 東西線</x:v>
      </x:c>
      <x:c r="W2069" s="18" t="str">
        <x:v>否</x:v>
      </x:c>
      <x:c r="X2069" s="18" t="str">
        <x:v>0785e932a32b3ec15e1a1345537ae145eafe1c07bf38d5c16c11ee2b391e7a28</x:v>
      </x:c>
      <x:c r="Y2069" s="20" t="n">
        <x:v>1</x:v>
      </x:c>
      <x:c r="Z2069" s="20" t="n">
        <x:v>1</x:v>
      </x:c>
      <x:c r="AA2069" s="19"/>
      <x:c r="AB2069" s="18"/>
      <x:c r="AC2069" s="19"/>
    </x:row>
    <x:row r="2070" ht="28" customHeight="1">
      <x:c r="A2070" s="18" t="str">
        <x:v>野並</x:v>
      </x:c>
      <x:c r="B2070" s="18" t="str">
        <x:v>名古屋市</x:v>
      </x:c>
      <x:c r="C2070" s="18" t="str">
        <x:v>metro</x:v>
      </x:c>
      <x:c r="D2070" s="19" t="str">
        <x:v>T2</x:v>
      </x:c>
      <x:c r="E2070" s="20" t="n">
        <x:v>12070</x:v>
      </x:c>
      <x:c r="F2070" s="18" t="str">
        <x:v>persons/day</x:v>
      </x:c>
      <x:c r="G2070" s="18" t="str">
        <x:v>FY2024</x:v>
      </x:c>
      <x:c r="H2070" s="18" t="str">
        <x:v>否</x:v>
      </x:c>
      <x:c r="I2070" s="19" t="str">
        <x:v>DAILY_ENTRIES_EXITS</x:v>
      </x:c>
      <x:c r="J2070" s="19" t="str">
        <x:v>6号線桜通線</x:v>
      </x:c>
      <x:c r="K2070" s="18" t="str">
        <x:v>transport-node:f50a2d95-c299-5697-b8b8-c4af65f064d4</x:v>
      </x:c>
      <x:c r="L2070" s="19" t="str">
        <x:v>组件待审核</x:v>
      </x:c>
      <x:c r="M2070" s="21" t="n">
        <x:v>35.102605</x:v>
      </x:c>
      <x:c r="N2070" s="21" t="n">
        <x:v>136.954895</x:v>
      </x:c>
      <x:c r="O2070" s="18" t="str">
        <x:v>005692</x:v>
      </x:c>
      <x:c r="P2070" s="18" t="str">
        <x:v>6号線桜通線</x:v>
      </x:c>
      <x:c r="Q2070" s="19" t="str">
        <x:v>S12_061_GE_10000</x:v>
      </x:c>
      <x:c r="R2070" s="19" t="str">
        <x:v>S12_061 usage threshold</x:v>
      </x:c>
      <x:c r="S2070" s="19" t="str">
        <x:v>https://nlftp.mlit.go.jp/ksj/gml/datalist/KsjTmplt-S12-2024.html</x:v>
      </x:c>
      <x:c r="T2070" s="19" t="str">
        <x:v>https://nlftp.mlit.go.jp/ksj/gml/datalist/KsjTmplt-S12-2024.html</x:v>
      </x:c>
      <x:c r="U2070" s="19" t="str">
        <x:v>station-component|野並|名古屋市|metro|35.1026|136.9549|</x:v>
      </x:c>
      <x:c r="V2070" s="19" t="str">
        <x:v>005692 / 005692 / 6号線桜通線</x:v>
      </x:c>
      <x:c r="W2070" s="18" t="str">
        <x:v>否</x:v>
      </x:c>
      <x:c r="X2070" s="18" t="str">
        <x:v>0785e932a32b3ec15e1a1345537ae145eafe1c07bf38d5c16c11ee2b391e7a28</x:v>
      </x:c>
      <x:c r="Y2070" s="20" t="n">
        <x:v>1</x:v>
      </x:c>
      <x:c r="Z2070" s="20" t="n">
        <x:v>1</x:v>
      </x:c>
      <x:c r="AA2070" s="19"/>
      <x:c r="AB2070" s="18"/>
      <x:c r="AC2070" s="19"/>
    </x:row>
    <x:row r="2071" ht="28" customHeight="1">
      <x:c r="A2071" s="18" t="str">
        <x:v>野崎</x:v>
      </x:c>
      <x:c r="B2071" s="18" t="str">
        <x:v>西日本旅客鉄道</x:v>
      </x:c>
      <x:c r="C2071" s="18" t="str">
        <x:v>conventional_rail</x:v>
      </x:c>
      <x:c r="D2071" s="19" t="str">
        <x:v>T2</x:v>
      </x:c>
      <x:c r="E2071" s="20" t="n">
        <x:v>19368</x:v>
      </x:c>
      <x:c r="F2071" s="18" t="str">
        <x:v>persons/day</x:v>
      </x:c>
      <x:c r="G2071" s="18" t="str">
        <x:v>FY2024</x:v>
      </x:c>
      <x:c r="H2071" s="18" t="str">
        <x:v>否</x:v>
      </x:c>
      <x:c r="I2071" s="19" t="str">
        <x:v>DAILY_ENTRIES_EXITS</x:v>
      </x:c>
      <x:c r="J2071" s="19" t="str">
        <x:v>片町線</x:v>
      </x:c>
      <x:c r="K2071" s="18" t="str">
        <x:v>transport-node:d61cefd0-ba04-5fbc-b4d4-2560b706ade7</x:v>
      </x:c>
      <x:c r="L2071" s="19" t="str">
        <x:v>组件待审核</x:v>
      </x:c>
      <x:c r="M2071" s="21" t="n">
        <x:v>34.718455</x:v>
      </x:c>
      <x:c r="N2071" s="21" t="n">
        <x:v>135.637025</x:v>
      </x:c>
      <x:c r="O2071" s="18" t="str">
        <x:v>006983</x:v>
      </x:c>
      <x:c r="P2071" s="18" t="str">
        <x:v>片町線</x:v>
      </x:c>
      <x:c r="Q2071" s="19" t="str">
        <x:v>S12_061_GE_10000</x:v>
      </x:c>
      <x:c r="R2071" s="19" t="str">
        <x:v>S12_061 usage threshold</x:v>
      </x:c>
      <x:c r="S2071" s="19" t="str">
        <x:v>https://nlftp.mlit.go.jp/ksj/gml/datalist/KsjTmplt-S12-2024.html</x:v>
      </x:c>
      <x:c r="T2071" s="19" t="str">
        <x:v>https://nlftp.mlit.go.jp/ksj/gml/datalist/KsjTmplt-S12-2024.html</x:v>
      </x:c>
      <x:c r="U2071" s="19" t="str">
        <x:v>station-component|野崎|西日本旅客鉄道|conventional_rail|34.7185|135.6370|</x:v>
      </x:c>
      <x:c r="V2071" s="19" t="str">
        <x:v>006983 / 006983 / 片町線</x:v>
      </x:c>
      <x:c r="W2071" s="18" t="str">
        <x:v>否</x:v>
      </x:c>
      <x:c r="X2071" s="18" t="str">
        <x:v>0785e932a32b3ec15e1a1345537ae145eafe1c07bf38d5c16c11ee2b391e7a28</x:v>
      </x:c>
      <x:c r="Y2071" s="20" t="n">
        <x:v>1</x:v>
      </x:c>
      <x:c r="Z2071" s="20" t="n">
        <x:v>1</x:v>
      </x:c>
      <x:c r="AA2071" s="19"/>
      <x:c r="AB2071" s="18"/>
      <x:c r="AC2071" s="19"/>
    </x:row>
    <x:row r="2072" ht="28" customHeight="1">
      <x:c r="A2072" s="18" t="str">
        <x:v>野幌</x:v>
      </x:c>
      <x:c r="B2072" s="18" t="str">
        <x:v>北海道旅客鉄道</x:v>
      </x:c>
      <x:c r="C2072" s="18" t="str">
        <x:v>conventional_rail</x:v>
      </x:c>
      <x:c r="D2072" s="19" t="str">
        <x:v>T2</x:v>
      </x:c>
      <x:c r="E2072" s="20" t="n">
        <x:v>10532</x:v>
      </x:c>
      <x:c r="F2072" s="18" t="str">
        <x:v>persons/day</x:v>
      </x:c>
      <x:c r="G2072" s="18" t="str">
        <x:v>FY2024</x:v>
      </x:c>
      <x:c r="H2072" s="18" t="str">
        <x:v>否</x:v>
      </x:c>
      <x:c r="I2072" s="19" t="str">
        <x:v>DAILY_ENTRIES_EXITS</x:v>
      </x:c>
      <x:c r="J2072" s="19" t="str">
        <x:v>函館線</x:v>
      </x:c>
      <x:c r="K2072" s="18" t="str">
        <x:v>transport-node:dc4a35a2-751e-58e5-a586-8ae0b0716308</x:v>
      </x:c>
      <x:c r="L2072" s="19" t="str">
        <x:v>组件待审核</x:v>
      </x:c>
      <x:c r="M2072" s="21" t="n">
        <x:v>43.09262</x:v>
      </x:c>
      <x:c r="N2072" s="21" t="n">
        <x:v>141.529805</x:v>
      </x:c>
      <x:c r="O2072" s="18" t="str">
        <x:v>000206</x:v>
      </x:c>
      <x:c r="P2072" s="18" t="str">
        <x:v>函館線</x:v>
      </x:c>
      <x:c r="Q2072" s="19" t="str">
        <x:v>S12_061_GE_10000</x:v>
      </x:c>
      <x:c r="R2072" s="19" t="str">
        <x:v>S12_061 usage threshold</x:v>
      </x:c>
      <x:c r="S2072" s="19" t="str">
        <x:v>https://nlftp.mlit.go.jp/ksj/gml/datalist/KsjTmplt-S12-2024.html</x:v>
      </x:c>
      <x:c r="T2072" s="19" t="str">
        <x:v>https://nlftp.mlit.go.jp/ksj/gml/datalist/KsjTmplt-S12-2024.html</x:v>
      </x:c>
      <x:c r="U2072" s="19" t="str">
        <x:v>station-component|野幌|北海道旅客鉄道|conventional_rail|43.0926|141.5298|</x:v>
      </x:c>
      <x:c r="V2072" s="19" t="str">
        <x:v>000206 / 000206 / 函館線</x:v>
      </x:c>
      <x:c r="W2072" s="18" t="str">
        <x:v>否</x:v>
      </x:c>
      <x:c r="X2072" s="18" t="str">
        <x:v>0785e932a32b3ec15e1a1345537ae145eafe1c07bf38d5c16c11ee2b391e7a28</x:v>
      </x:c>
      <x:c r="Y2072" s="20" t="n">
        <x:v>1</x:v>
      </x:c>
      <x:c r="Z2072" s="20" t="n">
        <x:v>1</x:v>
      </x:c>
      <x:c r="AA2072" s="19"/>
      <x:c r="AB2072" s="18"/>
      <x:c r="AC2072" s="19"/>
    </x:row>
    <x:row r="2073" ht="28" customHeight="1">
      <x:c r="A2073" s="18" t="str">
        <x:v>野方</x:v>
      </x:c>
      <x:c r="B2073" s="18" t="str">
        <x:v>西武鉄道</x:v>
      </x:c>
      <x:c r="C2073" s="18" t="str">
        <x:v>private_rail</x:v>
      </x:c>
      <x:c r="D2073" s="19" t="str">
        <x:v>T2</x:v>
      </x:c>
      <x:c r="E2073" s="20" t="n">
        <x:v>23415</x:v>
      </x:c>
      <x:c r="F2073" s="18" t="str">
        <x:v>persons/day</x:v>
      </x:c>
      <x:c r="G2073" s="18" t="str">
        <x:v>FY2024</x:v>
      </x:c>
      <x:c r="H2073" s="18" t="str">
        <x:v>否</x:v>
      </x:c>
      <x:c r="I2073" s="19" t="str">
        <x:v>DAILY_ENTRIES_EXITS</x:v>
      </x:c>
      <x:c r="J2073" s="19" t="str">
        <x:v>新宿線</x:v>
      </x:c>
      <x:c r="K2073" s="18" t="str">
        <x:v>transport-node:ab4bc407-dfbf-5309-add5-be899adcae4c</x:v>
      </x:c>
      <x:c r="L2073" s="19" t="str">
        <x:v>组件待审核</x:v>
      </x:c>
      <x:c r="M2073" s="21" t="n">
        <x:v>35.7195867</x:v>
      </x:c>
      <x:c r="N2073" s="21" t="n">
        <x:v>139.6534933</x:v>
      </x:c>
      <x:c r="O2073" s="18" t="str">
        <x:v>003473</x:v>
      </x:c>
      <x:c r="P2073" s="18" t="str">
        <x:v>新宿線</x:v>
      </x:c>
      <x:c r="Q2073" s="19" t="str">
        <x:v>S12_061_GE_10000</x:v>
      </x:c>
      <x:c r="R2073" s="19" t="str">
        <x:v>S12_061 usage threshold</x:v>
      </x:c>
      <x:c r="S2073" s="19" t="str">
        <x:v>https://nlftp.mlit.go.jp/ksj/gml/datalist/KsjTmplt-S12-2024.html</x:v>
      </x:c>
      <x:c r="T2073" s="19" t="str">
        <x:v>https://nlftp.mlit.go.jp/ksj/gml/datalist/KsjTmplt-S12-2024.html</x:v>
      </x:c>
      <x:c r="U2073" s="19" t="str">
        <x:v>station-component|野方|西武鉄道|private_rail|35.7196|139.6535|</x:v>
      </x:c>
      <x:c r="V2073" s="19" t="str">
        <x:v>003473 / 003473 / 新宿線</x:v>
      </x:c>
      <x:c r="W2073" s="18" t="str">
        <x:v>否</x:v>
      </x:c>
      <x:c r="X2073" s="18" t="str">
        <x:v>0785e932a32b3ec15e1a1345537ae145eafe1c07bf38d5c16c11ee2b391e7a28</x:v>
      </x:c>
      <x:c r="Y2073" s="20" t="n">
        <x:v>1</x:v>
      </x:c>
      <x:c r="Z2073" s="20" t="n">
        <x:v>1</x:v>
      </x:c>
      <x:c r="AA2073" s="19"/>
      <x:c r="AB2073" s="18"/>
      <x:c r="AC2073" s="19"/>
    </x:row>
    <x:row r="2074" ht="28" customHeight="1">
      <x:c r="A2074" s="18" t="str">
        <x:v>野江</x:v>
      </x:c>
      <x:c r="B2074" s="18" t="str">
        <x:v>京阪電気鉄道</x:v>
      </x:c>
      <x:c r="C2074" s="18" t="str">
        <x:v>private_rail</x:v>
      </x:c>
      <x:c r="D2074" s="19" t="str">
        <x:v>T2</x:v>
      </x:c>
      <x:c r="E2074" s="20" t="n">
        <x:v>10710</x:v>
      </x:c>
      <x:c r="F2074" s="18" t="str">
        <x:v>persons/day</x:v>
      </x:c>
      <x:c r="G2074" s="18" t="str">
        <x:v>FY2024</x:v>
      </x:c>
      <x:c r="H2074" s="18" t="str">
        <x:v>否</x:v>
      </x:c>
      <x:c r="I2074" s="19" t="str">
        <x:v>DAILY_ENTRIES_EXITS</x:v>
      </x:c>
      <x:c r="J2074" s="19" t="str">
        <x:v>京阪本線</x:v>
      </x:c>
      <x:c r="K2074" s="18" t="str">
        <x:v>transport-node:e3c4b013-2632-55f8-bd63-53b5f766dbe5</x:v>
      </x:c>
      <x:c r="L2074" s="19" t="str">
        <x:v>组件待审核</x:v>
      </x:c>
      <x:c r="M2074" s="21" t="n">
        <x:v>34.7073</x:v>
      </x:c>
      <x:c r="N2074" s="21" t="n">
        <x:v>135.543335</x:v>
      </x:c>
      <x:c r="O2074" s="18" t="str">
        <x:v>007036</x:v>
      </x:c>
      <x:c r="P2074" s="18" t="str">
        <x:v>京阪本線</x:v>
      </x:c>
      <x:c r="Q2074" s="19" t="str">
        <x:v>S12_061_GE_10000</x:v>
      </x:c>
      <x:c r="R2074" s="19" t="str">
        <x:v>S12_061 usage threshold</x:v>
      </x:c>
      <x:c r="S2074" s="19" t="str">
        <x:v>https://nlftp.mlit.go.jp/ksj/gml/datalist/KsjTmplt-S12-2024.html</x:v>
      </x:c>
      <x:c r="T2074" s="19" t="str">
        <x:v>https://nlftp.mlit.go.jp/ksj/gml/datalist/KsjTmplt-S12-2024.html</x:v>
      </x:c>
      <x:c r="U2074" s="19" t="str">
        <x:v>station-component|野江|京阪電気鉄道|private_rail|34.7073|135.5433|</x:v>
      </x:c>
      <x:c r="V2074" s="19" t="str">
        <x:v>007036 / 007036 / 京阪本線</x:v>
      </x:c>
      <x:c r="W2074" s="18" t="str">
        <x:v>否</x:v>
      </x:c>
      <x:c r="X2074" s="18" t="str">
        <x:v>0785e932a32b3ec15e1a1345537ae145eafe1c07bf38d5c16c11ee2b391e7a28</x:v>
      </x:c>
      <x:c r="Y2074" s="20" t="n">
        <x:v>1</x:v>
      </x:c>
      <x:c r="Z2074" s="20" t="n">
        <x:v>1</x:v>
      </x:c>
      <x:c r="AA2074" s="19"/>
      <x:c r="AB2074" s="18"/>
      <x:c r="AC2074" s="19"/>
    </x:row>
    <x:row r="2075" ht="28" customHeight="1">
      <x:c r="A2075" s="18" t="str">
        <x:v>野江内代</x:v>
      </x:c>
      <x:c r="B2075" s="18" t="str">
        <x:v>大阪市高速電気軌道</x:v>
      </x:c>
      <x:c r="C2075" s="18" t="str">
        <x:v>metro</x:v>
      </x:c>
      <x:c r="D2075" s="19" t="str">
        <x:v>T2</x:v>
      </x:c>
      <x:c r="E2075" s="20" t="n">
        <x:v>11655</x:v>
      </x:c>
      <x:c r="F2075" s="18" t="str">
        <x:v>persons/day</x:v>
      </x:c>
      <x:c r="G2075" s="18" t="str">
        <x:v>FY2024</x:v>
      </x:c>
      <x:c r="H2075" s="18" t="str">
        <x:v>否</x:v>
      </x:c>
      <x:c r="I2075" s="19" t="str">
        <x:v>DAILY_ENTRIES_EXITS</x:v>
      </x:c>
      <x:c r="J2075" s="19" t="str">
        <x:v>2号線(谷町線)</x:v>
      </x:c>
      <x:c r="K2075" s="18" t="str">
        <x:v>transport-node:168b83cb-19c8-530d-b0fc-09dd97dc9cca</x:v>
      </x:c>
      <x:c r="L2075" s="19" t="str">
        <x:v>组件待审核</x:v>
      </x:c>
      <x:c r="M2075" s="21" t="n">
        <x:v>34.7088933</x:v>
      </x:c>
      <x:c r="N2075" s="21" t="n">
        <x:v>135.5379167</x:v>
      </x:c>
      <x:c r="O2075" s="18" t="str">
        <x:v>007030</x:v>
      </x:c>
      <x:c r="P2075" s="18" t="str">
        <x:v>2号線(谷町線)</x:v>
      </x:c>
      <x:c r="Q2075" s="19" t="str">
        <x:v>S12_061_GE_10000</x:v>
      </x:c>
      <x:c r="R2075" s="19" t="str">
        <x:v>S12_061 usage threshold</x:v>
      </x:c>
      <x:c r="S2075" s="19" t="str">
        <x:v>https://nlftp.mlit.go.jp/ksj/gml/datalist/KsjTmplt-S12-2024.html</x:v>
      </x:c>
      <x:c r="T2075" s="19" t="str">
        <x:v>https://nlftp.mlit.go.jp/ksj/gml/datalist/KsjTmplt-S12-2024.html</x:v>
      </x:c>
      <x:c r="U2075" s="19" t="str">
        <x:v>station-component|野江内代|大阪市高速電気軌道|metro|34.7089|135.5379|</x:v>
      </x:c>
      <x:c r="V2075" s="19" t="str">
        <x:v>007030 / 007030 / 2号線(谷町線)</x:v>
      </x:c>
      <x:c r="W2075" s="18" t="str">
        <x:v>否</x:v>
      </x:c>
      <x:c r="X2075" s="18" t="str">
        <x:v>0785e932a32b3ec15e1a1345537ae145eafe1c07bf38d5c16c11ee2b391e7a28</x:v>
      </x:c>
      <x:c r="Y2075" s="20" t="n">
        <x:v>1</x:v>
      </x:c>
      <x:c r="Z2075" s="20" t="n">
        <x:v>1</x:v>
      </x:c>
      <x:c r="AA2075" s="19"/>
      <x:c r="AB2075" s="18"/>
      <x:c r="AC2075" s="19"/>
    </x:row>
    <x:row r="2076" ht="28" customHeight="1">
      <x:c r="A2076" s="18" t="str">
        <x:v>野洲</x:v>
      </x:c>
      <x:c r="B2076" s="18" t="str">
        <x:v>西日本旅客鉄道</x:v>
      </x:c>
      <x:c r="C2076" s="18" t="str">
        <x:v>conventional_rail</x:v>
      </x:c>
      <x:c r="D2076" s="19" t="str">
        <x:v>T2</x:v>
      </x:c>
      <x:c r="E2076" s="20" t="n">
        <x:v>27582</x:v>
      </x:c>
      <x:c r="F2076" s="18" t="str">
        <x:v>persons/day</x:v>
      </x:c>
      <x:c r="G2076" s="18" t="str">
        <x:v>FY2024</x:v>
      </x:c>
      <x:c r="H2076" s="18" t="str">
        <x:v>否</x:v>
      </x:c>
      <x:c r="I2076" s="19" t="str">
        <x:v>DAILY_ENTRIES_EXITS</x:v>
      </x:c>
      <x:c r="J2076" s="19" t="str">
        <x:v>東海道線</x:v>
      </x:c>
      <x:c r="K2076" s="18" t="str">
        <x:v>transport-node:db50958c-0422-5678-be50-24a5a0727e3f</x:v>
      </x:c>
      <x:c r="L2076" s="19" t="str">
        <x:v>组件待审核</x:v>
      </x:c>
      <x:c r="M2076" s="21" t="n">
        <x:v>35.068435</x:v>
      </x:c>
      <x:c r="N2076" s="21" t="n">
        <x:v>136.02239</x:v>
      </x:c>
      <x:c r="O2076" s="18" t="str">
        <x:v>005772</x:v>
      </x:c>
      <x:c r="P2076" s="18" t="str">
        <x:v>東海道線</x:v>
      </x:c>
      <x:c r="Q2076" s="19" t="str">
        <x:v>S12_061_GE_10000</x:v>
      </x:c>
      <x:c r="R2076" s="19" t="str">
        <x:v>S12_061 usage threshold</x:v>
      </x:c>
      <x:c r="S2076" s="19" t="str">
        <x:v>https://nlftp.mlit.go.jp/ksj/gml/datalist/KsjTmplt-S12-2024.html</x:v>
      </x:c>
      <x:c r="T2076" s="19" t="str">
        <x:v>https://nlftp.mlit.go.jp/ksj/gml/datalist/KsjTmplt-S12-2024.html</x:v>
      </x:c>
      <x:c r="U2076" s="19" t="str">
        <x:v>station-component|野洲|西日本旅客鉄道|conventional_rail|35.0684|136.0224|</x:v>
      </x:c>
      <x:c r="V2076" s="19" t="str">
        <x:v>005772 / 005772 / 東海道線</x:v>
      </x:c>
      <x:c r="W2076" s="18" t="str">
        <x:v>否</x:v>
      </x:c>
      <x:c r="X2076" s="18" t="str">
        <x:v>0785e932a32b3ec15e1a1345537ae145eafe1c07bf38d5c16c11ee2b391e7a28</x:v>
      </x:c>
      <x:c r="Y2076" s="20" t="n">
        <x:v>1</x:v>
      </x:c>
      <x:c r="Z2076" s="20" t="n">
        <x:v>1</x:v>
      </x:c>
      <x:c r="AA2076" s="19"/>
      <x:c r="AB2076" s="18"/>
      <x:c r="AC2076" s="19"/>
    </x:row>
    <x:row r="2077" ht="33" customHeight="1">
      <x:c r="A2077" s="18" t="str">
        <x:v>野田</x:v>
      </x:c>
      <x:c r="B2077" s="18" t="str">
        <x:v>西日本旅客鉄道</x:v>
      </x:c>
      <x:c r="C2077" s="18" t="str">
        <x:v>conventional_rail</x:v>
      </x:c>
      <x:c r="D2077" s="19" t="str">
        <x:v>T2</x:v>
      </x:c>
      <x:c r="E2077" s="20" t="n">
        <x:v>23694</x:v>
      </x:c>
      <x:c r="F2077" s="18" t="str">
        <x:v>persons/day</x:v>
      </x:c>
      <x:c r="G2077" s="18" t="str">
        <x:v>FY2024</x:v>
      </x:c>
      <x:c r="H2077" s="18" t="str">
        <x:v>否</x:v>
      </x:c>
      <x:c r="I2077" s="19" t="str">
        <x:v>DAILY_ENTRIES_EXITS</x:v>
      </x:c>
      <x:c r="J2077" s="19" t="str">
        <x:v>大阪環状線</x:v>
      </x:c>
      <x:c r="K2077" s="18" t="str">
        <x:v>transport-node:699bbb83-7fc1-5818-9cd4-da595f834f72</x:v>
      </x:c>
      <x:c r="L2077" s="19" t="str">
        <x:v>组件待审核</x:v>
      </x:c>
      <x:c r="M2077" s="21" t="n">
        <x:v>34.688935</x:v>
      </x:c>
      <x:c r="N2077" s="21" t="n">
        <x:v>135.47493</x:v>
      </x:c>
      <x:c r="O2077" s="18" t="str">
        <x:v>007159</x:v>
      </x:c>
      <x:c r="P2077" s="18" t="str">
        <x:v>大阪環状線</x:v>
      </x:c>
      <x:c r="Q2077" s="19" t="str">
        <x:v>S12_061_GE_10000
OFFICIAL_HUB_COMPONENT_REVIEW</x:v>
      </x:c>
      <x:c r="R2077" s="19" t="str">
        <x:v>S12_061 usage threshold</x:v>
      </x:c>
      <x:c r="S2077" s="19" t="str">
        <x:v>https://nlftp.mlit.go.jp/ksj/gml/datalist/KsjTmplt-S12-2024.html</x:v>
      </x:c>
      <x:c r="T2077" s="19" t="str">
        <x:v>https://nlftp.mlit.go.jp/ksj/gml/datalist/KsjTmplt-S12-2024.html
https://subway.osakametro.co.jp/station_guide/S/s12/index.php</x:v>
      </x:c>
      <x:c r="U2077" s="19" t="str">
        <x:v>station-component|野田|西日本旅客鉄道|conventional_rail|34.6889|135.4749|</x:v>
      </x:c>
      <x:c r="V2077" s="19" t="str">
        <x:v>007159 / 007159 / 大阪環状線</x:v>
      </x:c>
      <x:c r="W2077" s="18" t="str">
        <x:v>否</x:v>
      </x:c>
      <x:c r="X2077" s="18" t="str">
        <x:v>0785e932a32b3ec15e1a1345537ae145eafe1c07bf38d5c16c11ee2b391e7a28</x:v>
      </x:c>
      <x:c r="Y2077" s="20" t="n">
        <x:v>1</x:v>
      </x:c>
      <x:c r="Z2077" s="20" t="n">
        <x:v>1</x:v>
      </x:c>
      <x:c r="AA2077" s="19" t="str">
        <x:v>玉川・JR野田</x:v>
      </x:c>
      <x:c r="AB2077" s="18" t="str">
        <x:v>transport-hub-review:34c4587d-fcec-5757-9439-b931eda54612</x:v>
      </x:c>
      <x:c r="AC2077" s="19"/>
    </x:row>
    <x:row r="2078" ht="33" customHeight="1">
      <x:c r="A2078" s="18" t="str">
        <x:v>野田</x:v>
      </x:c>
      <x:c r="B2078" s="18" t="str">
        <x:v>阪神電気鉄道</x:v>
      </x:c>
      <x:c r="C2078" s="18" t="str">
        <x:v>private_rail</x:v>
      </x:c>
      <x:c r="D2078" s="19" t="str">
        <x:v>T2</x:v>
      </x:c>
      <x:c r="E2078" s="20" t="n">
        <x:v>32906</x:v>
      </x:c>
      <x:c r="F2078" s="18" t="str">
        <x:v>persons/day</x:v>
      </x:c>
      <x:c r="G2078" s="18" t="str">
        <x:v>FY2024</x:v>
      </x:c>
      <x:c r="H2078" s="18" t="str">
        <x:v>否</x:v>
      </x:c>
      <x:c r="I2078" s="19" t="str">
        <x:v>DAILY_ENTRIES_EXITS</x:v>
      </x:c>
      <x:c r="J2078" s="19" t="str">
        <x:v>本線</x:v>
      </x:c>
      <x:c r="K2078" s="18" t="str">
        <x:v>transport-node:f07be1e8-3728-58b7-a7ad-81d193aa64c4</x:v>
      </x:c>
      <x:c r="L2078" s="19" t="str">
        <x:v>组件待审核</x:v>
      </x:c>
      <x:c r="M2078" s="21" t="n">
        <x:v>34.6944</x:v>
      </x:c>
      <x:c r="N2078" s="21" t="n">
        <x:v>135.47606</x:v>
      </x:c>
      <x:c r="O2078" s="18" t="str">
        <x:v>007109</x:v>
      </x:c>
      <x:c r="P2078" s="18" t="str">
        <x:v>本線</x:v>
      </x:c>
      <x:c r="Q2078" s="19" t="str">
        <x:v>S12_061_GE_10000
OFFICIAL_HUB_COMPONENT_REVIEW</x:v>
      </x:c>
      <x:c r="R2078" s="19" t="str">
        <x:v>S12_061 usage threshold</x:v>
      </x:c>
      <x:c r="S2078" s="19" t="str">
        <x:v>https://nlftp.mlit.go.jp/ksj/gml/datalist/KsjTmplt-S12-2024.html</x:v>
      </x:c>
      <x:c r="T2078" s="19" t="str">
        <x:v>https://nlftp.mlit.go.jp/ksj/gml/datalist/KsjTmplt-S12-2024.html
https://subway.osakametro.co.jp/station_guide/S/s11/index.php</x:v>
      </x:c>
      <x:c r="U2078" s="19" t="str">
        <x:v>station-component|野田|阪神電気鉄道|private_rail|34.6944|135.4761|</x:v>
      </x:c>
      <x:c r="V2078" s="19" t="str">
        <x:v>007109 / 007109 / 本線</x:v>
      </x:c>
      <x:c r="W2078" s="18" t="str">
        <x:v>否</x:v>
      </x:c>
      <x:c r="X2078" s="18" t="str">
        <x:v>0785e932a32b3ec15e1a1345537ae145eafe1c07bf38d5c16c11ee2b391e7a28</x:v>
      </x:c>
      <x:c r="Y2078" s="20" t="n">
        <x:v>1</x:v>
      </x:c>
      <x:c r="Z2078" s="20" t="n">
        <x:v>1</x:v>
      </x:c>
      <x:c r="AA2078" s="19" t="str">
        <x:v>野田阪神・海老江</x:v>
      </x:c>
      <x:c r="AB2078" s="18" t="str">
        <x:v>transport-hub-review:6256b4d7-fe6b-501e-a6af-769d527fad18</x:v>
      </x:c>
      <x:c r="AC2078" s="19"/>
    </x:row>
    <x:row r="2079" ht="33" customHeight="1">
      <x:c r="A2079" s="18" t="str">
        <x:v>野田阪神</x:v>
      </x:c>
      <x:c r="B2079" s="18" t="str">
        <x:v>大阪市高速電気軌道</x:v>
      </x:c>
      <x:c r="C2079" s="18" t="str">
        <x:v>metro</x:v>
      </x:c>
      <x:c r="D2079" s="19" t="str">
        <x:v>T2</x:v>
      </x:c>
      <x:c r="E2079" s="20" t="n">
        <x:v>27200</x:v>
      </x:c>
      <x:c r="F2079" s="18" t="str">
        <x:v>persons/day</x:v>
      </x:c>
      <x:c r="G2079" s="18" t="str">
        <x:v>FY2024</x:v>
      </x:c>
      <x:c r="H2079" s="18" t="str">
        <x:v>否</x:v>
      </x:c>
      <x:c r="I2079" s="19" t="str">
        <x:v>DAILY_ENTRIES_EXITS</x:v>
      </x:c>
      <x:c r="J2079" s="19" t="str">
        <x:v>5号線(千日前線)</x:v>
      </x:c>
      <x:c r="K2079" s="18" t="str">
        <x:v>transport-node:20cbf65d-be19-58c6-9d0a-8e9cd3a2d43e</x:v>
      </x:c>
      <x:c r="L2079" s="19" t="str">
        <x:v>组件待审核</x:v>
      </x:c>
      <x:c r="M2079" s="21" t="n">
        <x:v>34.694115</x:v>
      </x:c>
      <x:c r="N2079" s="21" t="n">
        <x:v>135.47487</x:v>
      </x:c>
      <x:c r="O2079" s="18" t="str">
        <x:v>007113</x:v>
      </x:c>
      <x:c r="P2079" s="18" t="str">
        <x:v>5号線(千日前線)</x:v>
      </x:c>
      <x:c r="Q2079" s="19" t="str">
        <x:v>S12_061_GE_10000
OFFICIAL_HUB_COMPONENT_REVIEW</x:v>
      </x:c>
      <x:c r="R2079" s="19" t="str">
        <x:v>S12_061 usage threshold</x:v>
      </x:c>
      <x:c r="S2079" s="19" t="str">
        <x:v>https://nlftp.mlit.go.jp/ksj/gml/datalist/KsjTmplt-S12-2024.html</x:v>
      </x:c>
      <x:c r="T2079" s="19" t="str">
        <x:v>https://nlftp.mlit.go.jp/ksj/gml/datalist/KsjTmplt-S12-2024.html
https://subway.osakametro.co.jp/station_guide/S/s11/index.php</x:v>
      </x:c>
      <x:c r="U2079" s="19" t="str">
        <x:v>station-component|野田阪神|大阪市高速電気軌道|metro|34.6941|135.4749|</x:v>
      </x:c>
      <x:c r="V2079" s="19" t="str">
        <x:v>007113 / 007113 / 5号線(千日前線)</x:v>
      </x:c>
      <x:c r="W2079" s="18" t="str">
        <x:v>否</x:v>
      </x:c>
      <x:c r="X2079" s="18" t="str">
        <x:v>0785e932a32b3ec15e1a1345537ae145eafe1c07bf38d5c16c11ee2b391e7a28</x:v>
      </x:c>
      <x:c r="Y2079" s="20" t="n">
        <x:v>1</x:v>
      </x:c>
      <x:c r="Z2079" s="20" t="n">
        <x:v>1</x:v>
      </x:c>
      <x:c r="AA2079" s="19" t="str">
        <x:v>野田阪神・海老江</x:v>
      </x:c>
      <x:c r="AB2079" s="18" t="str">
        <x:v>transport-hub-review:6256b4d7-fe6b-501e-a6af-769d527fad18</x:v>
      </x:c>
      <x:c r="AC2079" s="19"/>
    </x:row>
    <x:row r="2080" ht="28" customHeight="1">
      <x:c r="A2080" s="18" t="str">
        <x:v>金剛</x:v>
      </x:c>
      <x:c r="B2080" s="18" t="str">
        <x:v>南海電気鉄道</x:v>
      </x:c>
      <x:c r="C2080" s="18" t="str">
        <x:v>private_rail</x:v>
      </x:c>
      <x:c r="D2080" s="19" t="str">
        <x:v>T2</x:v>
      </x:c>
      <x:c r="E2080" s="20" t="n">
        <x:v>27578</x:v>
      </x:c>
      <x:c r="F2080" s="18" t="str">
        <x:v>persons/day</x:v>
      </x:c>
      <x:c r="G2080" s="18" t="str">
        <x:v>FY2024</x:v>
      </x:c>
      <x:c r="H2080" s="18" t="str">
        <x:v>否</x:v>
      </x:c>
      <x:c r="I2080" s="19" t="str">
        <x:v>DAILY_ENTRIES_EXITS</x:v>
      </x:c>
      <x:c r="J2080" s="19" t="str">
        <x:v>高野線</x:v>
      </x:c>
      <x:c r="K2080" s="18" t="str">
        <x:v>transport-node:09cf4f07-0e23-5996-ac33-e494ef6f0b23</x:v>
      </x:c>
      <x:c r="L2080" s="19" t="str">
        <x:v>组件待审核</x:v>
      </x:c>
      <x:c r="M2080" s="21" t="n">
        <x:v>34.495245</x:v>
      </x:c>
      <x:c r="N2080" s="21" t="n">
        <x:v>135.559425</x:v>
      </x:c>
      <x:c r="O2080" s="18" t="str">
        <x:v>007851</x:v>
      </x:c>
      <x:c r="P2080" s="18" t="str">
        <x:v>高野線</x:v>
      </x:c>
      <x:c r="Q2080" s="19" t="str">
        <x:v>S12_061_GE_10000</x:v>
      </x:c>
      <x:c r="R2080" s="19" t="str">
        <x:v>S12_061 usage threshold</x:v>
      </x:c>
      <x:c r="S2080" s="19" t="str">
        <x:v>https://nlftp.mlit.go.jp/ksj/gml/datalist/KsjTmplt-S12-2024.html</x:v>
      </x:c>
      <x:c r="T2080" s="19" t="str">
        <x:v>https://nlftp.mlit.go.jp/ksj/gml/datalist/KsjTmplt-S12-2024.html</x:v>
      </x:c>
      <x:c r="U2080" s="19" t="str">
        <x:v>station-component|金剛|南海電気鉄道|private_rail|34.4952|135.5594|</x:v>
      </x:c>
      <x:c r="V2080" s="19" t="str">
        <x:v>007851 / 007851 / 高野線</x:v>
      </x:c>
      <x:c r="W2080" s="18" t="str">
        <x:v>否</x:v>
      </x:c>
      <x:c r="X2080" s="18" t="str">
        <x:v>0785e932a32b3ec15e1a1345537ae145eafe1c07bf38d5c16c11ee2b391e7a28</x:v>
      </x:c>
      <x:c r="Y2080" s="20" t="n">
        <x:v>1</x:v>
      </x:c>
      <x:c r="Z2080" s="20" t="n">
        <x:v>1</x:v>
      </x:c>
      <x:c r="AA2080" s="19"/>
      <x:c r="AB2080" s="18"/>
      <x:c r="AC2080" s="19"/>
    </x:row>
    <x:row r="2081" ht="47" customHeight="1">
      <x:c r="A2081" s="18" t="str">
        <x:v>金山</x:v>
      </x:c>
      <x:c r="B2081" s="18" t="str">
        <x:v>名古屋市</x:v>
      </x:c>
      <x:c r="C2081" s="18" t="str">
        <x:v>metro</x:v>
      </x:c>
      <x:c r="D2081" s="19" t="str">
        <x:v>T1</x:v>
      </x:c>
      <x:c r="E2081" s="20" t="n">
        <x:v>154052</x:v>
      </x:c>
      <x:c r="F2081" s="18" t="str">
        <x:v>persons/day</x:v>
      </x:c>
      <x:c r="G2081" s="18" t="str">
        <x:v>FY2024</x:v>
      </x:c>
      <x:c r="H2081" s="18" t="str">
        <x:v>否</x:v>
      </x:c>
      <x:c r="I2081" s="19" t="str">
        <x:v>DAILY_ENTRIES_EXITS</x:v>
      </x:c>
      <x:c r="J2081" s="19" t="str">
        <x:v>2号線名城線
2号線名港線
4号線名城線</x:v>
      </x:c>
      <x:c r="K2081" s="18" t="str">
        <x:v>transport-node:c143e2a3-b7c1-5c8a-8d7a-4f50e46fff1f</x:v>
      </x:c>
      <x:c r="L2081" s="19" t="str">
        <x:v>组件待审核</x:v>
      </x:c>
      <x:c r="M2081" s="21" t="n">
        <x:v>35.143875</x:v>
      </x:c>
      <x:c r="N2081" s="21" t="n">
        <x:v>136.901935</x:v>
      </x:c>
      <x:c r="O2081" s="18" t="str">
        <x:v>005546</x:v>
      </x:c>
      <x:c r="P2081" s="18" t="str">
        <x:v>2号線名城線</x:v>
      </x:c>
      <x:c r="Q2081" s="19" t="str">
        <x:v>S12_061_GE_10000
OFFICIAL_HUB_COMPONENT_REVIEW</x:v>
      </x:c>
      <x:c r="R2081" s="19" t="str">
        <x:v>S12_061 usage threshold</x:v>
      </x:c>
      <x:c r="S2081" s="19" t="str">
        <x:v>https://nlftp.mlit.go.jp/ksj/gml/datalist/KsjTmplt-S12-2024.html</x:v>
      </x:c>
      <x:c r="T2081" s="19" t="str">
        <x:v>https://nlftp.mlit.go.jp/ksj/gml/datalist/KsjTmplt-S12-2024.html
https://www.kotsu.city.nagoya.jp/rp/ticket/TRP0001550.htm</x:v>
      </x:c>
      <x:c r="U2081" s="19" t="str">
        <x:v>station-component|金山|名古屋市|metro|35.1439|136.9019|</x:v>
      </x:c>
      <x:c r="V2081" s="19" t="str">
        <x:v>005551 / 005545 / 2号線名港線
005551 / 005546 / 2号線名城線
005551 / 005547 / 4号線名城線</x:v>
      </x:c>
      <x:c r="W2081" s="18" t="str">
        <x:v>否</x:v>
      </x:c>
      <x:c r="X2081" s="18" t="str">
        <x:v>0785e932a32b3ec15e1a1345537ae145eafe1c07bf38d5c16c11ee2b391e7a28</x:v>
      </x:c>
      <x:c r="Y2081" s="20" t="n">
        <x:v>1</x:v>
      </x:c>
      <x:c r="Z2081" s="20" t="n">
        <x:v>1</x:v>
      </x:c>
      <x:c r="AA2081" s="19" t="str">
        <x:v>金山</x:v>
      </x:c>
      <x:c r="AB2081" s="18" t="str">
        <x:v>transport-hub-review:57043f7e-57fa-562f-b9f1-4143caf49e26</x:v>
      </x:c>
      <x:c r="AC2081" s="19"/>
    </x:row>
    <x:row r="2082" ht="33" customHeight="1">
      <x:c r="A2082" s="18" t="str">
        <x:v>金山</x:v>
      </x:c>
      <x:c r="B2082" s="18" t="str">
        <x:v>名古屋鉄道</x:v>
      </x:c>
      <x:c r="C2082" s="18" t="str">
        <x:v>private_rail</x:v>
      </x:c>
      <x:c r="D2082" s="19" t="str">
        <x:v>T1</x:v>
      </x:c>
      <x:c r="E2082" s="20" t="n">
        <x:v>166051</x:v>
      </x:c>
      <x:c r="F2082" s="18" t="str">
        <x:v>persons/day</x:v>
      </x:c>
      <x:c r="G2082" s="18" t="str">
        <x:v>FY2024</x:v>
      </x:c>
      <x:c r="H2082" s="18" t="str">
        <x:v>否</x:v>
      </x:c>
      <x:c r="I2082" s="19" t="str">
        <x:v>DAILY_ENTRIES_EXITS</x:v>
      </x:c>
      <x:c r="J2082" s="19" t="str">
        <x:v>名古屋本線</x:v>
      </x:c>
      <x:c r="K2082" s="18" t="str">
        <x:v>transport-node:5a5761e8-fed6-5c94-924e-de2401b3ef2d</x:v>
      </x:c>
      <x:c r="L2082" s="19" t="str">
        <x:v>组件待审核</x:v>
      </x:c>
      <x:c r="M2082" s="21" t="n">
        <x:v>35.14286</x:v>
      </x:c>
      <x:c r="N2082" s="21" t="n">
        <x:v>136.90133</x:v>
      </x:c>
      <x:c r="O2082" s="18" t="str">
        <x:v>005551</x:v>
      </x:c>
      <x:c r="P2082" s="18" t="str">
        <x:v>名古屋本線</x:v>
      </x:c>
      <x:c r="Q2082" s="19" t="str">
        <x:v>S12_061_GE_10000
OFFICIAL_HUB_COMPONENT_REVIEW</x:v>
      </x:c>
      <x:c r="R2082" s="19" t="str">
        <x:v>S12_061 usage threshold</x:v>
      </x:c>
      <x:c r="S2082" s="19" t="str">
        <x:v>https://nlftp.mlit.go.jp/ksj/gml/datalist/KsjTmplt-S12-2024.html</x:v>
      </x:c>
      <x:c r="T2082" s="19" t="str">
        <x:v>https://nlftp.mlit.go.jp/ksj/gml/datalist/KsjTmplt-S12-2024.html
https://www.kotsu.city.nagoya.jp/rp/ticket/TRP0001550.htm</x:v>
      </x:c>
      <x:c r="U2082" s="19" t="str">
        <x:v>station-component|金山|名古屋鉄道|private_rail|35.1429|136.9013|</x:v>
      </x:c>
      <x:c r="V2082" s="19" t="str">
        <x:v>005551 / 005551 / 名古屋本線</x:v>
      </x:c>
      <x:c r="W2082" s="18" t="str">
        <x:v>否</x:v>
      </x:c>
      <x:c r="X2082" s="18" t="str">
        <x:v>0785e932a32b3ec15e1a1345537ae145eafe1c07bf38d5c16c11ee2b391e7a28</x:v>
      </x:c>
      <x:c r="Y2082" s="20" t="n">
        <x:v>1</x:v>
      </x:c>
      <x:c r="Z2082" s="20" t="n">
        <x:v>1</x:v>
      </x:c>
      <x:c r="AA2082" s="19" t="str">
        <x:v>金山</x:v>
      </x:c>
      <x:c r="AB2082" s="18" t="str">
        <x:v>transport-hub-review:57043f7e-57fa-562f-b9f1-4143caf49e26</x:v>
      </x:c>
      <x:c r="AC2082" s="19"/>
    </x:row>
    <x:row r="2083" ht="33" customHeight="1">
      <x:c r="A2083" s="18" t="str">
        <x:v>金山</x:v>
      </x:c>
      <x:c r="B2083" s="18" t="str">
        <x:v>東海旅客鉄道</x:v>
      </x:c>
      <x:c r="C2083" s="18" t="str">
        <x:v>conventional_rail</x:v>
      </x:c>
      <x:c r="D2083" s="19" t="str">
        <x:v>T1</x:v>
      </x:c>
      <x:c r="E2083" s="20" t="n">
        <x:v>140708</x:v>
      </x:c>
      <x:c r="F2083" s="18" t="str">
        <x:v>persons/day</x:v>
      </x:c>
      <x:c r="G2083" s="18" t="str">
        <x:v>FY2024</x:v>
      </x:c>
      <x:c r="H2083" s="18" t="str">
        <x:v>否</x:v>
      </x:c>
      <x:c r="I2083" s="19" t="str">
        <x:v>DAILY_ENTRIES_EXITS</x:v>
      </x:c>
      <x:c r="J2083" s="19" t="str">
        <x:v>中央線
東海道線</x:v>
      </x:c>
      <x:c r="K2083" s="18" t="str">
        <x:v>transport-node:b64d40e6-715a-5a34-a03d-327db3fa845a</x:v>
      </x:c>
      <x:c r="L2083" s="19" t="str">
        <x:v>组件待审核</x:v>
      </x:c>
      <x:c r="M2083" s="21" t="n">
        <x:v>35.143295</x:v>
      </x:c>
      <x:c r="N2083" s="21" t="n">
        <x:v>136.90085</x:v>
      </x:c>
      <x:c r="O2083" s="18" t="str">
        <x:v>005549</x:v>
      </x:c>
      <x:c r="P2083" s="18" t="str">
        <x:v>中央線</x:v>
      </x:c>
      <x:c r="Q2083" s="19" t="str">
        <x:v>S12_061_GE_10000
OFFICIAL_HUB_COMPONENT_REVIEW</x:v>
      </x:c>
      <x:c r="R2083" s="19" t="str">
        <x:v>S12_061 usage threshold</x:v>
      </x:c>
      <x:c r="S2083" s="19" t="str">
        <x:v>https://nlftp.mlit.go.jp/ksj/gml/datalist/KsjTmplt-S12-2024.html</x:v>
      </x:c>
      <x:c r="T2083" s="19" t="str">
        <x:v>https://nlftp.mlit.go.jp/ksj/gml/datalist/KsjTmplt-S12-2024.html
https://www.kotsu.city.nagoya.jp/rp/ticket/TRP0001550.htm</x:v>
      </x:c>
      <x:c r="U2083" s="19" t="str">
        <x:v>station-component|金山|東海旅客鉄道|conventional_rail|35.1433|136.9008|</x:v>
      </x:c>
      <x:c r="V2083" s="19" t="str">
        <x:v>005551 / 005549 / 中央線
005551 / 005552 / 東海道線</x:v>
      </x:c>
      <x:c r="W2083" s="18" t="str">
        <x:v>否</x:v>
      </x:c>
      <x:c r="X2083" s="18" t="str">
        <x:v>0785e932a32b3ec15e1a1345537ae145eafe1c07bf38d5c16c11ee2b391e7a28</x:v>
      </x:c>
      <x:c r="Y2083" s="20" t="n">
        <x:v>1</x:v>
      </x:c>
      <x:c r="Z2083" s="20" t="n">
        <x:v>1</x:v>
      </x:c>
      <x:c r="AA2083" s="19" t="str">
        <x:v>金山</x:v>
      </x:c>
      <x:c r="AB2083" s="18" t="str">
        <x:v>transport-hub-review:57043f7e-57fa-562f-b9f1-4143caf49e26</x:v>
      </x:c>
      <x:c r="AC2083" s="19"/>
    </x:row>
    <x:row r="2084" ht="33" customHeight="1">
      <x:c r="A2084" s="18" t="str">
        <x:v>金沢</x:v>
      </x:c>
      <x:c r="B2084" s="18" t="str">
        <x:v>IRいしかわ鉄道</x:v>
      </x:c>
      <x:c r="C2084" s="18" t="str">
        <x:v>private_rail</x:v>
      </x:c>
      <x:c r="D2084" s="19" t="str">
        <x:v>T2</x:v>
      </x:c>
      <x:c r="E2084" s="20" t="n">
        <x:v>15725</x:v>
      </x:c>
      <x:c r="F2084" s="18" t="str">
        <x:v>persons/day</x:v>
      </x:c>
      <x:c r="G2084" s="18" t="str">
        <x:v>FY2024</x:v>
      </x:c>
      <x:c r="H2084" s="18" t="str">
        <x:v>否</x:v>
      </x:c>
      <x:c r="I2084" s="19" t="str">
        <x:v>DAILY_ENTRIES_EXITS</x:v>
      </x:c>
      <x:c r="J2084" s="19" t="str">
        <x:v>IRいしかわ鉄道線</x:v>
      </x:c>
      <x:c r="K2084" s="18" t="str">
        <x:v>transport-node:a67b18bf-b56e-5bbb-8fe8-f61a58ac8107</x:v>
      </x:c>
      <x:c r="L2084" s="19" t="str">
        <x:v>组件待审核</x:v>
      </x:c>
      <x:c r="M2084" s="21" t="n">
        <x:v>36.5782633</x:v>
      </x:c>
      <x:c r="N2084" s="21" t="n">
        <x:v>136.64781</x:v>
      </x:c>
      <x:c r="O2084" s="18" t="str">
        <x:v>002093</x:v>
      </x:c>
      <x:c r="P2084" s="18" t="str">
        <x:v>IRいしかわ鉄道線</x:v>
      </x:c>
      <x:c r="Q2084" s="19" t="str">
        <x:v>S12_061_GE_10000
OFFICIAL_HUB_COMPONENT_REVIEW</x:v>
      </x:c>
      <x:c r="R2084" s="19" t="str">
        <x:v>S12_061 usage threshold</x:v>
      </x:c>
      <x:c r="S2084" s="19" t="str">
        <x:v>https://nlftp.mlit.go.jp/ksj/gml/datalist/KsjTmplt-S12-2024.html</x:v>
      </x:c>
      <x:c r="T2084" s="19" t="str">
        <x:v>https://nlftp.mlit.go.jp/ksj/gml/datalist/KsjTmplt-S12-2024.html
https://www.hokutetsu.co.jp/railway/asanogawasen/hokutetsukanazawa/</x:v>
      </x:c>
      <x:c r="U2084" s="19" t="str">
        <x:v>station-component|金沢|IRいしかわ鉄道|private_rail|36.5783|136.6478|</x:v>
      </x:c>
      <x:c r="V2084" s="19" t="str">
        <x:v>002093 / 002093 / IRいしかわ鉄道線</x:v>
      </x:c>
      <x:c r="W2084" s="18" t="str">
        <x:v>否</x:v>
      </x:c>
      <x:c r="X2084" s="18" t="str">
        <x:v>0785e932a32b3ec15e1a1345537ae145eafe1c07bf38d5c16c11ee2b391e7a28</x:v>
      </x:c>
      <x:c r="Y2084" s="20" t="n">
        <x:v>1</x:v>
      </x:c>
      <x:c r="Z2084" s="20" t="n">
        <x:v>1</x:v>
      </x:c>
      <x:c r="AA2084" s="19" t="str">
        <x:v>金沢</x:v>
      </x:c>
      <x:c r="AB2084" s="18" t="str">
        <x:v>transport-hub-review:e94ce799-0b0c-5a46-9525-0896821b6bdc</x:v>
      </x:c>
      <x:c r="AC2084" s="19"/>
    </x:row>
    <x:row r="2085" ht="47" customHeight="1">
      <x:c r="A2085" s="18" t="str">
        <x:v>金沢</x:v>
      </x:c>
      <x:c r="B2085" s="18" t="str">
        <x:v>西日本旅客鉄道</x:v>
      </x:c>
      <x:c r="C2085" s="18" t="str">
        <x:v>shinkansen</x:v>
      </x:c>
      <x:c r="D2085" s="19" t="str">
        <x:v>T2</x:v>
      </x:c>
      <x:c r="E2085" s="20" t="n">
        <x:v>24612</x:v>
      </x:c>
      <x:c r="F2085" s="18" t="str">
        <x:v>persons/day</x:v>
      </x:c>
      <x:c r="G2085" s="18" t="str">
        <x:v>FY2024</x:v>
      </x:c>
      <x:c r="H2085" s="18" t="str">
        <x:v>否</x:v>
      </x:c>
      <x:c r="I2085" s="19" t="str">
        <x:v>DAILY_ENTRIES_EXITS</x:v>
      </x:c>
      <x:c r="J2085" s="19" t="str">
        <x:v>北陸新幹線</x:v>
      </x:c>
      <x:c r="K2085" s="18" t="str">
        <x:v>transport-node:01451e17-3669-5274-bfd1-f4052ab1f16e</x:v>
      </x:c>
      <x:c r="L2085" s="19" t="str">
        <x:v>组件待审核</x:v>
      </x:c>
      <x:c r="M2085" s="21" t="n">
        <x:v>36.5779151</x:v>
      </x:c>
      <x:c r="N2085" s="21" t="n">
        <x:v>136.6480446</x:v>
      </x:c>
      <x:c r="O2085" s="18" t="str">
        <x:v>002094</x:v>
      </x:c>
      <x:c r="P2085" s="18" t="str">
        <x:v>北陸新幹線</x:v>
      </x:c>
      <x:c r="Q2085" s="19" t="str">
        <x:v>S12_061_GE_10000
SHINKANSEN
OFFICIAL_HUB_COMPONENT_REVIEW</x:v>
      </x:c>
      <x:c r="R2085" s="19" t="str">
        <x:v>S12_061 usage threshold</x:v>
      </x:c>
      <x:c r="S2085" s="19" t="str">
        <x:v>https://nlftp.mlit.go.jp/ksj/gml/datalist/KsjTmplt-S12-2024.html</x:v>
      </x:c>
      <x:c r="T2085" s="19" t="str">
        <x:v>https://nlftp.mlit.go.jp/ksj/gml/datalist/KsjTmplt-S12-2024.html
https://www.hokutetsu.co.jp/railway/asanogawasen/hokutetsukanazawa/</x:v>
      </x:c>
      <x:c r="U2085" s="19" t="str">
        <x:v>station-component|金沢|西日本旅客鉄道|shinkansen|36.5779|136.6480|</x:v>
      </x:c>
      <x:c r="V2085" s="19" t="str">
        <x:v>002093 / 002094 / 北陸新幹線</x:v>
      </x:c>
      <x:c r="W2085" s="18" t="str">
        <x:v>否</x:v>
      </x:c>
      <x:c r="X2085" s="18" t="str">
        <x:v>0785e932a32b3ec15e1a1345537ae145eafe1c07bf38d5c16c11ee2b391e7a28</x:v>
      </x:c>
      <x:c r="Y2085" s="20" t="n">
        <x:v>1</x:v>
      </x:c>
      <x:c r="Z2085" s="20" t="n">
        <x:v>1</x:v>
      </x:c>
      <x:c r="AA2085" s="19" t="str">
        <x:v>金沢</x:v>
      </x:c>
      <x:c r="AB2085" s="18" t="str">
        <x:v>transport-hub-review:e94ce799-0b0c-5a46-9525-0896821b6bdc</x:v>
      </x:c>
      <x:c r="AC2085" s="19"/>
    </x:row>
    <x:row r="2086" ht="33" customHeight="1">
      <x:c r="A2086" s="18" t="str">
        <x:v>金沢八景</x:v>
      </x:c>
      <x:c r="B2086" s="18" t="str">
        <x:v>京浜急行電鉄</x:v>
      </x:c>
      <x:c r="C2086" s="18" t="str">
        <x:v>private_rail</x:v>
      </x:c>
      <x:c r="D2086" s="19" t="str">
        <x:v>T1</x:v>
      </x:c>
      <x:c r="E2086" s="20" t="n">
        <x:v>58316</x:v>
      </x:c>
      <x:c r="F2086" s="18" t="str">
        <x:v>persons/day</x:v>
      </x:c>
      <x:c r="G2086" s="18" t="str">
        <x:v>FY2024</x:v>
      </x:c>
      <x:c r="H2086" s="18" t="str">
        <x:v>否</x:v>
      </x:c>
      <x:c r="I2086" s="19" t="str">
        <x:v>DAILY_ENTRIES_EXITS</x:v>
      </x:c>
      <x:c r="J2086" s="19" t="str">
        <x:v>本線
逗子線</x:v>
      </x:c>
      <x:c r="K2086" s="18" t="str">
        <x:v>transport-node:43d1df67-7945-5044-a9ef-fc715a524f6a</x:v>
      </x:c>
      <x:c r="L2086" s="19" t="str">
        <x:v>组件待审核</x:v>
      </x:c>
      <x:c r="M2086" s="21" t="n">
        <x:v>35.33113</x:v>
      </x:c>
      <x:c r="N2086" s="21" t="n">
        <x:v>139.620125</x:v>
      </x:c>
      <x:c r="O2086" s="18" t="str">
        <x:v>005021</x:v>
      </x:c>
      <x:c r="P2086" s="18" t="str">
        <x:v>本線</x:v>
      </x:c>
      <x:c r="Q2086" s="19" t="str">
        <x:v>S12_061_GE_10000
OFFICIAL_HUB_COMPONENT_REVIEW</x:v>
      </x:c>
      <x:c r="R2086" s="19" t="str">
        <x:v>S12_061 usage threshold</x:v>
      </x:c>
      <x:c r="S2086" s="19" t="str">
        <x:v>https://nlftp.mlit.go.jp/ksj/gml/datalist/KsjTmplt-S12-2024.html</x:v>
      </x:c>
      <x:c r="T2086" s="19" t="str">
        <x:v>https://nlftp.mlit.go.jp/ksj/gml/datalist/KsjTmplt-S12-2024.html
https://www.keikyu.co.jp/ride/kakueki/KK50.html</x:v>
      </x:c>
      <x:c r="U2086" s="19" t="str">
        <x:v>station-component|金沢八景|京浜急行電鉄|private_rail|35.3311|139.6201|</x:v>
      </x:c>
      <x:c r="V2086" s="19" t="str">
        <x:v>005020 / 005020 / 逗子線
005020 / 005021 / 本線</x:v>
      </x:c>
      <x:c r="W2086" s="18" t="str">
        <x:v>否</x:v>
      </x:c>
      <x:c r="X2086" s="18" t="str">
        <x:v>0785e932a32b3ec15e1a1345537ae145eafe1c07bf38d5c16c11ee2b391e7a28</x:v>
      </x:c>
      <x:c r="Y2086" s="20" t="n">
        <x:v>1</x:v>
      </x:c>
      <x:c r="Z2086" s="20" t="n">
        <x:v>1</x:v>
      </x:c>
      <x:c r="AA2086" s="19" t="str">
        <x:v>金沢八景</x:v>
      </x:c>
      <x:c r="AB2086" s="18" t="str">
        <x:v>transport-hub-review:b27e6107-1045-5c68-b8eb-9821ac528cb2</x:v>
      </x:c>
      <x:c r="AC2086" s="19"/>
    </x:row>
    <x:row r="2087" ht="33" customHeight="1">
      <x:c r="A2087" s="18" t="str">
        <x:v>金沢八景</x:v>
      </x:c>
      <x:c r="B2087" s="18" t="str">
        <x:v>横浜シーサイドライン</x:v>
      </x:c>
      <x:c r="C2087" s="18" t="str">
        <x:v>fixed_guideway</x:v>
      </x:c>
      <x:c r="D2087" s="19" t="str">
        <x:v>T2</x:v>
      </x:c>
      <x:c r="E2087" s="20" t="n">
        <x:v>20902</x:v>
      </x:c>
      <x:c r="F2087" s="18" t="str">
        <x:v>persons/day</x:v>
      </x:c>
      <x:c r="G2087" s="18" t="str">
        <x:v>FY2024</x:v>
      </x:c>
      <x:c r="H2087" s="18" t="str">
        <x:v>否</x:v>
      </x:c>
      <x:c r="I2087" s="19" t="str">
        <x:v>DAILY_ENTRIES_EXITS</x:v>
      </x:c>
      <x:c r="J2087" s="19" t="str">
        <x:v>金沢シーサイドライン</x:v>
      </x:c>
      <x:c r="K2087" s="18" t="str">
        <x:v>transport-node:39454a0f-4475-5e56-a862-58158d22821e</x:v>
      </x:c>
      <x:c r="L2087" s="19" t="str">
        <x:v>组件待审核</x:v>
      </x:c>
      <x:c r="M2087" s="21" t="n">
        <x:v>35.331606</x:v>
      </x:c>
      <x:c r="N2087" s="21" t="n">
        <x:v>139.6207348</x:v>
      </x:c>
      <x:c r="O2087" s="18" t="str">
        <x:v>005019</x:v>
      </x:c>
      <x:c r="P2087" s="18" t="str">
        <x:v>金沢シーサイドライン</x:v>
      </x:c>
      <x:c r="Q2087" s="19" t="str">
        <x:v>S12_061_GE_10000
OFFICIAL_HUB_COMPONENT_REVIEW</x:v>
      </x:c>
      <x:c r="R2087" s="19" t="str">
        <x:v>S12_061 usage threshold</x:v>
      </x:c>
      <x:c r="S2087" s="19" t="str">
        <x:v>https://nlftp.mlit.go.jp/ksj/gml/datalist/KsjTmplt-S12-2024.html</x:v>
      </x:c>
      <x:c r="T2087" s="19" t="str">
        <x:v>https://nlftp.mlit.go.jp/ksj/gml/datalist/KsjTmplt-S12-2024.html
https://www.keikyu.co.jp/ride/kakueki/KK50.html</x:v>
      </x:c>
      <x:c r="U2087" s="19" t="str">
        <x:v>station-component|金沢八景|横浜シーサイドライン|fixed_guideway|35.3316|139.6207|</x:v>
      </x:c>
      <x:c r="V2087" s="19" t="str">
        <x:v>005020 / 005019 / 金沢シーサイドライン</x:v>
      </x:c>
      <x:c r="W2087" s="18" t="str">
        <x:v>否</x:v>
      </x:c>
      <x:c r="X2087" s="18" t="str">
        <x:v>0785e932a32b3ec15e1a1345537ae145eafe1c07bf38d5c16c11ee2b391e7a28</x:v>
      </x:c>
      <x:c r="Y2087" s="20" t="n">
        <x:v>1</x:v>
      </x:c>
      <x:c r="Z2087" s="20" t="n">
        <x:v>1</x:v>
      </x:c>
      <x:c r="AA2087" s="19" t="str">
        <x:v>金沢八景</x:v>
      </x:c>
      <x:c r="AB2087" s="18" t="str">
        <x:v>transport-hub-review:b27e6107-1045-5c68-b8eb-9821ac528cb2</x:v>
      </x:c>
      <x:c r="AC2087" s="19"/>
    </x:row>
    <x:row r="2088" ht="28" customHeight="1">
      <x:c r="A2088" s="18" t="str">
        <x:v>金沢文庫</x:v>
      </x:c>
      <x:c r="B2088" s="18" t="str">
        <x:v>京浜急行電鉄</x:v>
      </x:c>
      <x:c r="C2088" s="18" t="str">
        <x:v>private_rail</x:v>
      </x:c>
      <x:c r="D2088" s="19" t="str">
        <x:v>T1</x:v>
      </x:c>
      <x:c r="E2088" s="20" t="n">
        <x:v>59752</x:v>
      </x:c>
      <x:c r="F2088" s="18" t="str">
        <x:v>persons/day</x:v>
      </x:c>
      <x:c r="G2088" s="18" t="str">
        <x:v>FY2024</x:v>
      </x:c>
      <x:c r="H2088" s="18" t="str">
        <x:v>否</x:v>
      </x:c>
      <x:c r="I2088" s="19" t="str">
        <x:v>DAILY_ENTRIES_EXITS</x:v>
      </x:c>
      <x:c r="J2088" s="19" t="str">
        <x:v>本線</x:v>
      </x:c>
      <x:c r="K2088" s="18" t="str">
        <x:v>transport-node:473249f2-3b1e-51ed-8f0c-2302ab1c8a25</x:v>
      </x:c>
      <x:c r="L2088" s="19" t="str">
        <x:v>组件待审核</x:v>
      </x:c>
      <x:c r="M2088" s="21" t="n">
        <x:v>35.3432633</x:v>
      </x:c>
      <x:c r="N2088" s="21" t="n">
        <x:v>139.6217767</x:v>
      </x:c>
      <x:c r="O2088" s="18" t="str">
        <x:v>004986</x:v>
      </x:c>
      <x:c r="P2088" s="18" t="str">
        <x:v>本線</x:v>
      </x:c>
      <x:c r="Q2088" s="19" t="str">
        <x:v>S12_061_GE_10000</x:v>
      </x:c>
      <x:c r="R2088" s="19" t="str">
        <x:v>S12_061 usage threshold</x:v>
      </x:c>
      <x:c r="S2088" s="19" t="str">
        <x:v>https://nlftp.mlit.go.jp/ksj/gml/datalist/KsjTmplt-S12-2024.html</x:v>
      </x:c>
      <x:c r="T2088" s="19" t="str">
        <x:v>https://nlftp.mlit.go.jp/ksj/gml/datalist/KsjTmplt-S12-2024.html</x:v>
      </x:c>
      <x:c r="U2088" s="19" t="str">
        <x:v>station-component|金沢文庫|京浜急行電鉄|private_rail|35.3433|139.6218|</x:v>
      </x:c>
      <x:c r="V2088" s="19" t="str">
        <x:v>004986 / 004986 / 本線</x:v>
      </x:c>
      <x:c r="W2088" s="18" t="str">
        <x:v>否</x:v>
      </x:c>
      <x:c r="X2088" s="18" t="str">
        <x:v>0785e932a32b3ec15e1a1345537ae145eafe1c07bf38d5c16c11ee2b391e7a28</x:v>
      </x:c>
      <x:c r="Y2088" s="20" t="n">
        <x:v>1</x:v>
      </x:c>
      <x:c r="Z2088" s="20" t="n">
        <x:v>1</x:v>
      </x:c>
      <x:c r="AA2088" s="19"/>
      <x:c r="AB2088" s="18"/>
      <x:c r="AC2088" s="19"/>
    </x:row>
    <x:row r="2089" ht="28" customHeight="1">
      <x:c r="A2089" s="18" t="str">
        <x:v>金町</x:v>
      </x:c>
      <x:c r="B2089" s="18" t="str">
        <x:v>東日本旅客鉄道</x:v>
      </x:c>
      <x:c r="C2089" s="18" t="str">
        <x:v>conventional_rail</x:v>
      </x:c>
      <x:c r="D2089" s="19" t="str">
        <x:v>T1</x:v>
      </x:c>
      <x:c r="E2089" s="20" t="n">
        <x:v>99396</x:v>
      </x:c>
      <x:c r="F2089" s="18" t="str">
        <x:v>persons/day</x:v>
      </x:c>
      <x:c r="G2089" s="18" t="str">
        <x:v>FY2024</x:v>
      </x:c>
      <x:c r="H2089" s="18" t="str">
        <x:v>否</x:v>
      </x:c>
      <x:c r="I2089" s="19" t="str">
        <x:v>DAILY_ENTRIES_EXITS</x:v>
      </x:c>
      <x:c r="J2089" s="19" t="str">
        <x:v>常磐線</x:v>
      </x:c>
      <x:c r="K2089" s="18" t="str">
        <x:v>transport-node:9a0fef74-6024-546a-a2c5-8677a895b962</x:v>
      </x:c>
      <x:c r="L2089" s="19" t="str">
        <x:v>组件待审核</x:v>
      </x:c>
      <x:c r="M2089" s="21" t="n">
        <x:v>35.76951</x:v>
      </x:c>
      <x:c r="N2089" s="21" t="n">
        <x:v>139.87039</x:v>
      </x:c>
      <x:c r="O2089" s="18" t="str">
        <x:v>003191</x:v>
      </x:c>
      <x:c r="P2089" s="18" t="str">
        <x:v>常磐線</x:v>
      </x:c>
      <x:c r="Q2089" s="19" t="str">
        <x:v>S12_061_GE_10000</x:v>
      </x:c>
      <x:c r="R2089" s="19" t="str">
        <x:v>S12_061 usage threshold</x:v>
      </x:c>
      <x:c r="S2089" s="19" t="str">
        <x:v>https://nlftp.mlit.go.jp/ksj/gml/datalist/KsjTmplt-S12-2024.html</x:v>
      </x:c>
      <x:c r="T2089" s="19" t="str">
        <x:v>https://nlftp.mlit.go.jp/ksj/gml/datalist/KsjTmplt-S12-2024.html</x:v>
      </x:c>
      <x:c r="U2089" s="19" t="str">
        <x:v>station-component|金町|東日本旅客鉄道|conventional_rail|35.7695|139.8704|</x:v>
      </x:c>
      <x:c r="V2089" s="19" t="str">
        <x:v>003191 / 003191 / 常磐線</x:v>
      </x:c>
      <x:c r="W2089" s="18" t="str">
        <x:v>否</x:v>
      </x:c>
      <x:c r="X2089" s="18" t="str">
        <x:v>0785e932a32b3ec15e1a1345537ae145eafe1c07bf38d5c16c11ee2b391e7a28</x:v>
      </x:c>
      <x:c r="Y2089" s="20" t="n">
        <x:v>1</x:v>
      </x:c>
      <x:c r="Z2089" s="20" t="n">
        <x:v>1</x:v>
      </x:c>
      <x:c r="AA2089" s="19"/>
      <x:c r="AB2089" s="18"/>
      <x:c r="AC2089" s="19"/>
    </x:row>
    <x:row r="2090" ht="28" customHeight="1">
      <x:c r="A2090" s="18" t="str">
        <x:v>鈴木町</x:v>
      </x:c>
      <x:c r="B2090" s="18" t="str">
        <x:v>京浜急行電鉄</x:v>
      </x:c>
      <x:c r="C2090" s="18" t="str">
        <x:v>private_rail</x:v>
      </x:c>
      <x:c r="D2090" s="19" t="str">
        <x:v>T2</x:v>
      </x:c>
      <x:c r="E2090" s="20" t="n">
        <x:v>10906</x:v>
      </x:c>
      <x:c r="F2090" s="18" t="str">
        <x:v>persons/day</x:v>
      </x:c>
      <x:c r="G2090" s="18" t="str">
        <x:v>FY2024</x:v>
      </x:c>
      <x:c r="H2090" s="18" t="str">
        <x:v>否</x:v>
      </x:c>
      <x:c r="I2090" s="19" t="str">
        <x:v>DAILY_ENTRIES_EXITS</x:v>
      </x:c>
      <x:c r="J2090" s="19" t="str">
        <x:v>大師線</x:v>
      </x:c>
      <x:c r="K2090" s="18" t="str">
        <x:v>transport-node:5fc899d8-e4de-5210-8dd1-aea7e25997ec</x:v>
      </x:c>
      <x:c r="L2090" s="19" t="str">
        <x:v>组件待审核</x:v>
      </x:c>
      <x:c r="M2090" s="21" t="n">
        <x:v>35.53538</x:v>
      </x:c>
      <x:c r="N2090" s="21" t="n">
        <x:v>139.720655</x:v>
      </x:c>
      <x:c r="O2090" s="18" t="str">
        <x:v>004415</x:v>
      </x:c>
      <x:c r="P2090" s="18" t="str">
        <x:v>大師線</x:v>
      </x:c>
      <x:c r="Q2090" s="19" t="str">
        <x:v>S12_061_GE_10000</x:v>
      </x:c>
      <x:c r="R2090" s="19" t="str">
        <x:v>S12_061 usage threshold</x:v>
      </x:c>
      <x:c r="S2090" s="19" t="str">
        <x:v>https://nlftp.mlit.go.jp/ksj/gml/datalist/KsjTmplt-S12-2024.html</x:v>
      </x:c>
      <x:c r="T2090" s="19" t="str">
        <x:v>https://nlftp.mlit.go.jp/ksj/gml/datalist/KsjTmplt-S12-2024.html</x:v>
      </x:c>
      <x:c r="U2090" s="19" t="str">
        <x:v>station-component|鈴木町|京浜急行電鉄|private_rail|35.5354|139.7207|</x:v>
      </x:c>
      <x:c r="V2090" s="19" t="str">
        <x:v>004415 / 004415 / 大師線</x:v>
      </x:c>
      <x:c r="W2090" s="18" t="str">
        <x:v>否</x:v>
      </x:c>
      <x:c r="X2090" s="18" t="str">
        <x:v>0785e932a32b3ec15e1a1345537ae145eafe1c07bf38d5c16c11ee2b391e7a28</x:v>
      </x:c>
      <x:c r="Y2090" s="20" t="n">
        <x:v>1</x:v>
      </x:c>
      <x:c r="Z2090" s="20" t="n">
        <x:v>1</x:v>
      </x:c>
      <x:c r="AA2090" s="19"/>
      <x:c r="AB2090" s="18"/>
      <x:c r="AC2090" s="19"/>
    </x:row>
    <x:row r="2091" ht="33" customHeight="1">
      <x:c r="A2091" s="18" t="str">
        <x:v>鈴蘭台</x:v>
      </x:c>
      <x:c r="B2091" s="18" t="str">
        <x:v>神戸電鉄</x:v>
      </x:c>
      <x:c r="C2091" s="18" t="str">
        <x:v>private_rail</x:v>
      </x:c>
      <x:c r="D2091" s="19" t="str">
        <x:v>T2</x:v>
      </x:c>
      <x:c r="E2091" s="20" t="n">
        <x:v>13449</x:v>
      </x:c>
      <x:c r="F2091" s="18" t="str">
        <x:v>persons/day</x:v>
      </x:c>
      <x:c r="G2091" s="18" t="str">
        <x:v>FY2024</x:v>
      </x:c>
      <x:c r="H2091" s="18" t="str">
        <x:v>否</x:v>
      </x:c>
      <x:c r="I2091" s="19" t="str">
        <x:v>DAILY_ENTRIES_EXITS</x:v>
      </x:c>
      <x:c r="J2091" s="19" t="str">
        <x:v>有馬線
粟生線</x:v>
      </x:c>
      <x:c r="K2091" s="18" t="str">
        <x:v>transport-node:38cfd579-ef25-55a2-9a3e-ca71816dbd8b</x:v>
      </x:c>
      <x:c r="L2091" s="19" t="str">
        <x:v>组件待审核</x:v>
      </x:c>
      <x:c r="M2091" s="21" t="n">
        <x:v>34.723635</x:v>
      </x:c>
      <x:c r="N2091" s="21" t="n">
        <x:v>135.14588</x:v>
      </x:c>
      <x:c r="O2091" s="18" t="str">
        <x:v>006958</x:v>
      </x:c>
      <x:c r="P2091" s="18" t="str">
        <x:v>有馬線</x:v>
      </x:c>
      <x:c r="Q2091" s="19" t="str">
        <x:v>S12_061_GE_10000</x:v>
      </x:c>
      <x:c r="R2091" s="19" t="str">
        <x:v>S12_061 usage threshold</x:v>
      </x:c>
      <x:c r="S2091" s="19" t="str">
        <x:v>https://nlftp.mlit.go.jp/ksj/gml/datalist/KsjTmplt-S12-2024.html</x:v>
      </x:c>
      <x:c r="T2091" s="19" t="str">
        <x:v>https://nlftp.mlit.go.jp/ksj/gml/datalist/KsjTmplt-S12-2024.html</x:v>
      </x:c>
      <x:c r="U2091" s="19" t="str">
        <x:v>station-component|鈴蘭台|神戸電鉄|private_rail|34.7236|135.1459|</x:v>
      </x:c>
      <x:c r="V2091" s="19" t="str">
        <x:v>006957 / 006957 / 粟生線
006957 / 006958 / 有馬線</x:v>
      </x:c>
      <x:c r="W2091" s="18" t="str">
        <x:v>否</x:v>
      </x:c>
      <x:c r="X2091" s="18" t="str">
        <x:v>0785e932a32b3ec15e1a1345537ae145eafe1c07bf38d5c16c11ee2b391e7a28</x:v>
      </x:c>
      <x:c r="Y2091" s="20" t="n">
        <x:v>1</x:v>
      </x:c>
      <x:c r="Z2091" s="20" t="n">
        <x:v>1</x:v>
      </x:c>
      <x:c r="AA2091" s="19"/>
      <x:c r="AB2091" s="18"/>
      <x:c r="AC2091" s="19"/>
    </x:row>
    <x:row r="2092" ht="28" customHeight="1">
      <x:c r="A2092" s="18" t="str">
        <x:v>鉄道博物館</x:v>
      </x:c>
      <x:c r="B2092" s="18" t="str">
        <x:v>埼玉新都市交通</x:v>
      </x:c>
      <x:c r="C2092" s="18" t="str">
        <x:v>fixed_guideway</x:v>
      </x:c>
      <x:c r="D2092" s="19" t="str">
        <x:v>T2</x:v>
      </x:c>
      <x:c r="E2092" s="20" t="n">
        <x:v>10730</x:v>
      </x:c>
      <x:c r="F2092" s="18" t="str">
        <x:v>persons/day</x:v>
      </x:c>
      <x:c r="G2092" s="18" t="str">
        <x:v>FY2024</x:v>
      </x:c>
      <x:c r="H2092" s="18" t="str">
        <x:v>否</x:v>
      </x:c>
      <x:c r="I2092" s="19" t="str">
        <x:v>DAILY_ENTRIES_EXITS</x:v>
      </x:c>
      <x:c r="J2092" s="19" t="str">
        <x:v>伊奈線</x:v>
      </x:c>
      <x:c r="K2092" s="18" t="str">
        <x:v>transport-node:1770d96d-de77-5e19-ac3b-d8d999e673cc</x:v>
      </x:c>
      <x:c r="L2092" s="19" t="str">
        <x:v>组件待审核</x:v>
      </x:c>
      <x:c r="M2092" s="21" t="n">
        <x:v>35.920265</x:v>
      </x:c>
      <x:c r="N2092" s="21" t="n">
        <x:v>139.617825</x:v>
      </x:c>
      <x:c r="O2092" s="18" t="str">
        <x:v>002881</x:v>
      </x:c>
      <x:c r="P2092" s="18" t="str">
        <x:v>伊奈線</x:v>
      </x:c>
      <x:c r="Q2092" s="19" t="str">
        <x:v>S12_061_GE_10000</x:v>
      </x:c>
      <x:c r="R2092" s="19" t="str">
        <x:v>S12_061 usage threshold</x:v>
      </x:c>
      <x:c r="S2092" s="19" t="str">
        <x:v>https://nlftp.mlit.go.jp/ksj/gml/datalist/KsjTmplt-S12-2024.html</x:v>
      </x:c>
      <x:c r="T2092" s="19" t="str">
        <x:v>https://nlftp.mlit.go.jp/ksj/gml/datalist/KsjTmplt-S12-2024.html</x:v>
      </x:c>
      <x:c r="U2092" s="19" t="str">
        <x:v>station-component|鉄道博物館|埼玉新都市交通|fixed_guideway|35.9203|139.6178|</x:v>
      </x:c>
      <x:c r="V2092" s="19" t="str">
        <x:v>002881 / 002881 / 伊奈線</x:v>
      </x:c>
      <x:c r="W2092" s="18" t="str">
        <x:v>否</x:v>
      </x:c>
      <x:c r="X2092" s="18" t="str">
        <x:v>0785e932a32b3ec15e1a1345537ae145eafe1c07bf38d5c16c11ee2b391e7a28</x:v>
      </x:c>
      <x:c r="Y2092" s="20" t="n">
        <x:v>1</x:v>
      </x:c>
      <x:c r="Z2092" s="20" t="n">
        <x:v>1</x:v>
      </x:c>
      <x:c r="AA2092" s="19"/>
      <x:c r="AB2092" s="18"/>
      <x:c r="AC2092" s="19"/>
    </x:row>
    <x:row r="2093" ht="47" customHeight="1">
      <x:c r="A2093" s="18" t="str">
        <x:v>銀座</x:v>
      </x:c>
      <x:c r="B2093" s="18" t="str">
        <x:v>東京地下鉄</x:v>
      </x:c>
      <x:c r="C2093" s="18" t="str">
        <x:v>metro</x:v>
      </x:c>
      <x:c r="D2093" s="19" t="str">
        <x:v>T0</x:v>
      </x:c>
      <x:c r="E2093" s="20" t="n">
        <x:v>230271</x:v>
      </x:c>
      <x:c r="F2093" s="18" t="str">
        <x:v>persons/day</x:v>
      </x:c>
      <x:c r="G2093" s="18" t="str">
        <x:v>FY2024</x:v>
      </x:c>
      <x:c r="H2093" s="18" t="str">
        <x:v>否</x:v>
      </x:c>
      <x:c r="I2093" s="19" t="str">
        <x:v>DAILY_ENTRIES_EXITS</x:v>
      </x:c>
      <x:c r="J2093" s="19" t="str">
        <x:v>2号線日比谷線
3号線銀座線
4号線丸ノ内線</x:v>
      </x:c>
      <x:c r="K2093" s="18" t="str">
        <x:v>transport-node:586eff29-56a7-59b9-a0bc-d48099d7cca9</x:v>
      </x:c>
      <x:c r="L2093" s="19" t="str">
        <x:v>组件待审核</x:v>
      </x:c>
      <x:c r="M2093" s="21" t="n">
        <x:v>35.672016</x:v>
      </x:c>
      <x:c r="N2093" s="21" t="n">
        <x:v>139.763958</x:v>
      </x:c>
      <x:c r="O2093" s="18" t="str">
        <x:v>003823</x:v>
      </x:c>
      <x:c r="P2093" s="18" t="str">
        <x:v>2号線日比谷線</x:v>
      </x:c>
      <x:c r="Q2093" s="19" t="str">
        <x:v>S12_061_GE_10000
OFFICIAL_HUB_COMPONENT_REVIEW</x:v>
      </x:c>
      <x:c r="R2093" s="19" t="str">
        <x:v>S12_061 usage threshold</x:v>
      </x:c>
      <x:c r="S2093" s="19" t="str">
        <x:v>https://nlftp.mlit.go.jp/ksj/gml/datalist/KsjTmplt-S12-2024.html</x:v>
      </x:c>
      <x:c r="T2093" s="19" t="str">
        <x:v>https://nlftp.mlit.go.jp/ksj/gml/datalist/KsjTmplt-S12-2024.html
https://www.tokyometro.jp/station/ginza/index.html</x:v>
      </x:c>
      <x:c r="U2093" s="19" t="str">
        <x:v>station-component|銀座|東京地下鉄|metro|35.6720|139.7640|</x:v>
      </x:c>
      <x:c r="V2093" s="19" t="str">
        <x:v>003823 / 003809 / 4号線丸ノ内線
003823 / 003823 / 2号線日比谷線
003823 / 003827 / 3号線銀座線</x:v>
      </x:c>
      <x:c r="W2093" s="18" t="str">
        <x:v>否</x:v>
      </x:c>
      <x:c r="X2093" s="18" t="str">
        <x:v>0785e932a32b3ec15e1a1345537ae145eafe1c07bf38d5c16c11ee2b391e7a28</x:v>
      </x:c>
      <x:c r="Y2093" s="20" t="n">
        <x:v>1</x:v>
      </x:c>
      <x:c r="Z2093" s="20" t="n">
        <x:v>1</x:v>
      </x:c>
      <x:c r="AA2093" s="19" t="str">
        <x:v>銀座</x:v>
      </x:c>
      <x:c r="AB2093" s="18" t="str">
        <x:v>transport-hub-review:e8bf0be2-b3b2-5ee7-83cb-d637cf7bb944</x:v>
      </x:c>
      <x:c r="AC2093" s="19"/>
    </x:row>
    <x:row r="2094" ht="28" customHeight="1">
      <x:c r="A2094" s="18" t="str">
        <x:v>銀座一丁目</x:v>
      </x:c>
      <x:c r="B2094" s="18" t="str">
        <x:v>東京地下鉄</x:v>
      </x:c>
      <x:c r="C2094" s="18" t="str">
        <x:v>metro</x:v>
      </x:c>
      <x:c r="D2094" s="19" t="str">
        <x:v>T2</x:v>
      </x:c>
      <x:c r="E2094" s="20" t="n">
        <x:v>33805</x:v>
      </x:c>
      <x:c r="F2094" s="18" t="str">
        <x:v>persons/day</x:v>
      </x:c>
      <x:c r="G2094" s="18" t="str">
        <x:v>FY2024</x:v>
      </x:c>
      <x:c r="H2094" s="18" t="str">
        <x:v>否</x:v>
      </x:c>
      <x:c r="I2094" s="19" t="str">
        <x:v>DAILY_ENTRIES_EXITS</x:v>
      </x:c>
      <x:c r="J2094" s="19" t="str">
        <x:v>8号線有楽町線</x:v>
      </x:c>
      <x:c r="K2094" s="18" t="str">
        <x:v>transport-node:a003fef9-d64e-5139-9e0d-0a51013c6139</x:v>
      </x:c>
      <x:c r="L2094" s="19" t="str">
        <x:v>组件待审核</x:v>
      </x:c>
      <x:c r="M2094" s="21" t="n">
        <x:v>35.6744983</x:v>
      </x:c>
      <x:c r="N2094" s="21" t="n">
        <x:v>139.766815</x:v>
      </x:c>
      <x:c r="O2094" s="18" t="str">
        <x:v>003801</x:v>
      </x:c>
      <x:c r="P2094" s="18" t="str">
        <x:v>8号線有楽町線</x:v>
      </x:c>
      <x:c r="Q2094" s="19" t="str">
        <x:v>S12_061_GE_10000</x:v>
      </x:c>
      <x:c r="R2094" s="19" t="str">
        <x:v>S12_061 usage threshold</x:v>
      </x:c>
      <x:c r="S2094" s="19" t="str">
        <x:v>https://nlftp.mlit.go.jp/ksj/gml/datalist/KsjTmplt-S12-2024.html</x:v>
      </x:c>
      <x:c r="T2094" s="19" t="str">
        <x:v>https://nlftp.mlit.go.jp/ksj/gml/datalist/KsjTmplt-S12-2024.html</x:v>
      </x:c>
      <x:c r="U2094" s="19" t="str">
        <x:v>station-component|銀座一丁目|東京地下鉄|metro|35.6745|139.7668|</x:v>
      </x:c>
      <x:c r="V2094" s="19" t="str">
        <x:v>003801 / 003801 / 8号線有楽町線</x:v>
      </x:c>
      <x:c r="W2094" s="18" t="str">
        <x:v>否</x:v>
      </x:c>
      <x:c r="X2094" s="18" t="str">
        <x:v>0785e932a32b3ec15e1a1345537ae145eafe1c07bf38d5c16c11ee2b391e7a28</x:v>
      </x:c>
      <x:c r="Y2094" s="20" t="n">
        <x:v>1</x:v>
      </x:c>
      <x:c r="Z2094" s="20" t="n">
        <x:v>1</x:v>
      </x:c>
      <x:c r="AA2094" s="19"/>
      <x:c r="AB2094" s="18"/>
      <x:c r="AC2094" s="19"/>
    </x:row>
    <x:row r="2095" ht="33" customHeight="1">
      <x:c r="A2095" s="18" t="str">
        <x:v>錦糸町</x:v>
      </x:c>
      <x:c r="B2095" s="18" t="str">
        <x:v>東京地下鉄</x:v>
      </x:c>
      <x:c r="C2095" s="18" t="str">
        <x:v>metro</x:v>
      </x:c>
      <x:c r="D2095" s="19" t="str">
        <x:v>T1</x:v>
      </x:c>
      <x:c r="E2095" s="20" t="n">
        <x:v>104930</x:v>
      </x:c>
      <x:c r="F2095" s="18" t="str">
        <x:v>persons/day</x:v>
      </x:c>
      <x:c r="G2095" s="18" t="str">
        <x:v>FY2024</x:v>
      </x:c>
      <x:c r="H2095" s="18" t="str">
        <x:v>否</x:v>
      </x:c>
      <x:c r="I2095" s="19" t="str">
        <x:v>DAILY_ENTRIES_EXITS</x:v>
      </x:c>
      <x:c r="J2095" s="19" t="str">
        <x:v>11号線半蔵門線</x:v>
      </x:c>
      <x:c r="K2095" s="18" t="str">
        <x:v>transport-node:0850e8f6-b98b-54e8-9bf7-e8f52a986ad7</x:v>
      </x:c>
      <x:c r="L2095" s="19" t="str">
        <x:v>组件待审核</x:v>
      </x:c>
      <x:c r="M2095" s="21" t="n">
        <x:v>35.6977033</x:v>
      </x:c>
      <x:c r="N2095" s="21" t="n">
        <x:v>139.8149367</x:v>
      </x:c>
      <x:c r="O2095" s="18" t="str">
        <x:v>003639</x:v>
      </x:c>
      <x:c r="P2095" s="18" t="str">
        <x:v>11号線半蔵門線</x:v>
      </x:c>
      <x:c r="Q2095" s="19" t="str">
        <x:v>S12_061_GE_10000
OFFICIAL_HUB_COMPONENT_REVIEW</x:v>
      </x:c>
      <x:c r="R2095" s="19" t="str">
        <x:v>S12_061 usage threshold</x:v>
      </x:c>
      <x:c r="S2095" s="19" t="str">
        <x:v>https://nlftp.mlit.go.jp/ksj/gml/datalist/KsjTmplt-S12-2024.html</x:v>
      </x:c>
      <x:c r="T2095" s="19" t="str">
        <x:v>https://nlftp.mlit.go.jp/ksj/gml/datalist/KsjTmplt-S12-2024.html
https://www.tokyometro.jp/station/kinshicho/index.html</x:v>
      </x:c>
      <x:c r="U2095" s="19" t="str">
        <x:v>station-component|錦糸町|東京地下鉄|metro|35.6977|139.8149|</x:v>
      </x:c>
      <x:c r="V2095" s="19" t="str">
        <x:v>003639 / 003639 / 11号線半蔵門線</x:v>
      </x:c>
      <x:c r="W2095" s="18" t="str">
        <x:v>否</x:v>
      </x:c>
      <x:c r="X2095" s="18" t="str">
        <x:v>0785e932a32b3ec15e1a1345537ae145eafe1c07bf38d5c16c11ee2b391e7a28</x:v>
      </x:c>
      <x:c r="Y2095" s="20" t="n">
        <x:v>1</x:v>
      </x:c>
      <x:c r="Z2095" s="20" t="n">
        <x:v>1</x:v>
      </x:c>
      <x:c r="AA2095" s="19" t="str">
        <x:v>錦糸町</x:v>
      </x:c>
      <x:c r="AB2095" s="18" t="str">
        <x:v>transport-hub-review:fabe1526-9e2b-530a-907e-d9c8e476e763</x:v>
      </x:c>
      <x:c r="AC2095" s="19"/>
    </x:row>
    <x:row r="2096" ht="33" customHeight="1">
      <x:c r="A2096" s="18" t="str">
        <x:v>錦糸町</x:v>
      </x:c>
      <x:c r="B2096" s="18" t="str">
        <x:v>東日本旅客鉄道</x:v>
      </x:c>
      <x:c r="C2096" s="18" t="str">
        <x:v>conventional_rail</x:v>
      </x:c>
      <x:c r="D2096" s="19" t="str">
        <x:v>T1</x:v>
      </x:c>
      <x:c r="E2096" s="20" t="n">
        <x:v>194098</x:v>
      </x:c>
      <x:c r="F2096" s="18" t="str">
        <x:v>persons/day</x:v>
      </x:c>
      <x:c r="G2096" s="18" t="str">
        <x:v>FY2024</x:v>
      </x:c>
      <x:c r="H2096" s="18" t="str">
        <x:v>否</x:v>
      </x:c>
      <x:c r="I2096" s="19" t="str">
        <x:v>DAILY_ENTRIES_EXITS</x:v>
      </x:c>
      <x:c r="J2096" s="19" t="str">
        <x:v>総武線</x:v>
      </x:c>
      <x:c r="K2096" s="18" t="str">
        <x:v>transport-node:1b6ef1f7-7a32-5816-95e8-2b2c86238d5b</x:v>
      </x:c>
      <x:c r="L2096" s="19" t="str">
        <x:v>组件待审核</x:v>
      </x:c>
      <x:c r="M2096" s="21" t="n">
        <x:v>35.6967333</x:v>
      </x:c>
      <x:c r="N2096" s="21" t="n">
        <x:v>139.8146367</x:v>
      </x:c>
      <x:c r="O2096" s="18" t="str">
        <x:v>003647</x:v>
      </x:c>
      <x:c r="P2096" s="18" t="str">
        <x:v>総武線</x:v>
      </x:c>
      <x:c r="Q2096" s="19" t="str">
        <x:v>S12_061_GE_10000
OFFICIAL_HUB_COMPONENT_REVIEW</x:v>
      </x:c>
      <x:c r="R2096" s="19" t="str">
        <x:v>S12_061 usage threshold</x:v>
      </x:c>
      <x:c r="S2096" s="19" t="str">
        <x:v>https://nlftp.mlit.go.jp/ksj/gml/datalist/KsjTmplt-S12-2024.html</x:v>
      </x:c>
      <x:c r="T2096" s="19" t="str">
        <x:v>https://nlftp.mlit.go.jp/ksj/gml/datalist/KsjTmplt-S12-2024.html
https://www.tokyometro.jp/station/kinshicho/index.html</x:v>
      </x:c>
      <x:c r="U2096" s="19" t="str">
        <x:v>station-component|錦糸町|東日本旅客鉄道|conventional_rail|35.6967|139.8146|</x:v>
      </x:c>
      <x:c r="V2096" s="19" t="str">
        <x:v>003639 / 003647 / 総武線</x:v>
      </x:c>
      <x:c r="W2096" s="18" t="str">
        <x:v>否</x:v>
      </x:c>
      <x:c r="X2096" s="18" t="str">
        <x:v>0785e932a32b3ec15e1a1345537ae145eafe1c07bf38d5c16c11ee2b391e7a28</x:v>
      </x:c>
      <x:c r="Y2096" s="20" t="n">
        <x:v>1</x:v>
      </x:c>
      <x:c r="Z2096" s="20" t="n">
        <x:v>1</x:v>
      </x:c>
      <x:c r="AA2096" s="19" t="str">
        <x:v>錦糸町</x:v>
      </x:c>
      <x:c r="AB2096" s="18" t="str">
        <x:v>transport-hub-review:fabe1526-9e2b-530a-907e-d9c8e476e763</x:v>
      </x:c>
      <x:c r="AC2096" s="19"/>
    </x:row>
    <x:row r="2097" ht="28" customHeight="1">
      <x:c r="A2097" s="18" t="str">
        <x:v>鎌ヶ谷</x:v>
      </x:c>
      <x:c r="B2097" s="18" t="str">
        <x:v>東武鉄道</x:v>
      </x:c>
      <x:c r="C2097" s="18" t="str">
        <x:v>private_rail</x:v>
      </x:c>
      <x:c r="D2097" s="19" t="str">
        <x:v>T2</x:v>
      </x:c>
      <x:c r="E2097" s="20" t="n">
        <x:v>21710</x:v>
      </x:c>
      <x:c r="F2097" s="18" t="str">
        <x:v>persons/day</x:v>
      </x:c>
      <x:c r="G2097" s="18" t="str">
        <x:v>FY2024</x:v>
      </x:c>
      <x:c r="H2097" s="18" t="str">
        <x:v>否</x:v>
      </x:c>
      <x:c r="I2097" s="19" t="str">
        <x:v>DAILY_ENTRIES_EXITS</x:v>
      </x:c>
      <x:c r="J2097" s="19" t="str">
        <x:v>野田線</x:v>
      </x:c>
      <x:c r="K2097" s="18" t="str">
        <x:v>transport-node:822ca50c-afec-5b26-b025-ec0d3c46d8ea</x:v>
      </x:c>
      <x:c r="L2097" s="19" t="str">
        <x:v>组件待审核</x:v>
      </x:c>
      <x:c r="M2097" s="21" t="n">
        <x:v>35.763785</x:v>
      </x:c>
      <x:c r="N2097" s="21" t="n">
        <x:v>139.99731</x:v>
      </x:c>
      <x:c r="O2097" s="18" t="str">
        <x:v>003211</x:v>
      </x:c>
      <x:c r="P2097" s="18" t="str">
        <x:v>野田線</x:v>
      </x:c>
      <x:c r="Q2097" s="19" t="str">
        <x:v>S12_061_GE_10000</x:v>
      </x:c>
      <x:c r="R2097" s="19" t="str">
        <x:v>S12_061 usage threshold</x:v>
      </x:c>
      <x:c r="S2097" s="19" t="str">
        <x:v>https://nlftp.mlit.go.jp/ksj/gml/datalist/KsjTmplt-S12-2024.html</x:v>
      </x:c>
      <x:c r="T2097" s="19" t="str">
        <x:v>https://nlftp.mlit.go.jp/ksj/gml/datalist/KsjTmplt-S12-2024.html</x:v>
      </x:c>
      <x:c r="U2097" s="19" t="str">
        <x:v>station-component|鎌ヶ谷|東武鉄道|private_rail|35.7638|139.9973|</x:v>
      </x:c>
      <x:c r="V2097" s="19" t="str">
        <x:v>003211 / 003211 / 野田線</x:v>
      </x:c>
      <x:c r="W2097" s="18" t="str">
        <x:v>否</x:v>
      </x:c>
      <x:c r="X2097" s="18" t="str">
        <x:v>0785e932a32b3ec15e1a1345537ae145eafe1c07bf38d5c16c11ee2b391e7a28</x:v>
      </x:c>
      <x:c r="Y2097" s="20" t="n">
        <x:v>1</x:v>
      </x:c>
      <x:c r="Z2097" s="20" t="n">
        <x:v>1</x:v>
      </x:c>
      <x:c r="AA2097" s="19"/>
      <x:c r="AB2097" s="18"/>
      <x:c r="AC2097" s="19"/>
    </x:row>
    <x:row r="2098" ht="28" customHeight="1">
      <x:c r="A2098" s="18" t="str">
        <x:v>鎌ヶ谷大仏</x:v>
      </x:c>
      <x:c r="B2098" s="18" t="str">
        <x:v>新京成電鉄</x:v>
      </x:c>
      <x:c r="C2098" s="18" t="str">
        <x:v>private_rail</x:v>
      </x:c>
      <x:c r="D2098" s="19" t="str">
        <x:v>T2</x:v>
      </x:c>
      <x:c r="E2098" s="20" t="n">
        <x:v>14000</x:v>
      </x:c>
      <x:c r="F2098" s="18" t="str">
        <x:v>persons/day</x:v>
      </x:c>
      <x:c r="G2098" s="18" t="str">
        <x:v>FY2024</x:v>
      </x:c>
      <x:c r="H2098" s="18" t="str">
        <x:v>否</x:v>
      </x:c>
      <x:c r="I2098" s="19" t="str">
        <x:v>DAILY_ENTRIES_EXITS</x:v>
      </x:c>
      <x:c r="J2098" s="19" t="str">
        <x:v>新京成線</x:v>
      </x:c>
      <x:c r="K2098" s="18" t="str">
        <x:v>transport-node:fcba10a9-6b22-5f85-8bbc-489980af4953</x:v>
      </x:c>
      <x:c r="L2098" s="19" t="str">
        <x:v>组件待审核</x:v>
      </x:c>
      <x:c r="M2098" s="21" t="n">
        <x:v>35.757855</x:v>
      </x:c>
      <x:c r="N2098" s="21" t="n">
        <x:v>140.01394</x:v>
      </x:c>
      <x:c r="O2098" s="18" t="str">
        <x:v>003227</x:v>
      </x:c>
      <x:c r="P2098" s="18" t="str">
        <x:v>新京成線</x:v>
      </x:c>
      <x:c r="Q2098" s="19" t="str">
        <x:v>S12_061_GE_10000</x:v>
      </x:c>
      <x:c r="R2098" s="19" t="str">
        <x:v>S12_061 usage threshold</x:v>
      </x:c>
      <x:c r="S2098" s="19" t="str">
        <x:v>https://nlftp.mlit.go.jp/ksj/gml/datalist/KsjTmplt-S12-2024.html</x:v>
      </x:c>
      <x:c r="T2098" s="19" t="str">
        <x:v>https://nlftp.mlit.go.jp/ksj/gml/datalist/KsjTmplt-S12-2024.html</x:v>
      </x:c>
      <x:c r="U2098" s="19" t="str">
        <x:v>station-component|鎌ヶ谷大仏|新京成電鉄|private_rail|35.7579|140.0139|</x:v>
      </x:c>
      <x:c r="V2098" s="19" t="str">
        <x:v>003227 / 003227 / 新京成線</x:v>
      </x:c>
      <x:c r="W2098" s="18" t="str">
        <x:v>否</x:v>
      </x:c>
      <x:c r="X2098" s="18" t="str">
        <x:v>0785e932a32b3ec15e1a1345537ae145eafe1c07bf38d5c16c11ee2b391e7a28</x:v>
      </x:c>
      <x:c r="Y2098" s="20" t="n">
        <x:v>1</x:v>
      </x:c>
      <x:c r="Z2098" s="20" t="n">
        <x:v>1</x:v>
      </x:c>
      <x:c r="AA2098" s="19"/>
      <x:c r="AB2098" s="18"/>
      <x:c r="AC2098" s="19"/>
    </x:row>
    <x:row r="2099" ht="28" customHeight="1">
      <x:c r="A2099" s="18" t="str">
        <x:v>鎌倉</x:v>
      </x:c>
      <x:c r="B2099" s="18" t="str">
        <x:v>東日本旅客鉄道</x:v>
      </x:c>
      <x:c r="C2099" s="18" t="str">
        <x:v>conventional_rail</x:v>
      </x:c>
      <x:c r="D2099" s="19" t="str">
        <x:v>T1</x:v>
      </x:c>
      <x:c r="E2099" s="20" t="n">
        <x:v>82494</x:v>
      </x:c>
      <x:c r="F2099" s="18" t="str">
        <x:v>persons/day</x:v>
      </x:c>
      <x:c r="G2099" s="18" t="str">
        <x:v>FY2024</x:v>
      </x:c>
      <x:c r="H2099" s="18" t="str">
        <x:v>否</x:v>
      </x:c>
      <x:c r="I2099" s="19" t="str">
        <x:v>DAILY_ENTRIES_EXITS</x:v>
      </x:c>
      <x:c r="J2099" s="19" t="str">
        <x:v>横須賀線</x:v>
      </x:c>
      <x:c r="K2099" s="18" t="str">
        <x:v>transport-node:1180b146-f264-55f9-8ad8-8aaa454bb5fc</x:v>
      </x:c>
      <x:c r="L2099" s="19" t="str">
        <x:v>组件待审核</x:v>
      </x:c>
      <x:c r="M2099" s="21" t="n">
        <x:v>35.3192714</x:v>
      </x:c>
      <x:c r="N2099" s="21" t="n">
        <x:v>139.5504271</x:v>
      </x:c>
      <x:c r="O2099" s="18" t="str">
        <x:v>005055</x:v>
      </x:c>
      <x:c r="P2099" s="18" t="str">
        <x:v>横須賀線</x:v>
      </x:c>
      <x:c r="Q2099" s="19" t="str">
        <x:v>S12_061_GE_10000</x:v>
      </x:c>
      <x:c r="R2099" s="19" t="str">
        <x:v>S12_061 usage threshold</x:v>
      </x:c>
      <x:c r="S2099" s="19" t="str">
        <x:v>https://nlftp.mlit.go.jp/ksj/gml/datalist/KsjTmplt-S12-2024.html</x:v>
      </x:c>
      <x:c r="T2099" s="19" t="str">
        <x:v>https://nlftp.mlit.go.jp/ksj/gml/datalist/KsjTmplt-S12-2024.html</x:v>
      </x:c>
      <x:c r="U2099" s="19" t="str">
        <x:v>station-component|鎌倉|東日本旅客鉄道|conventional_rail|35.3193|139.5504|</x:v>
      </x:c>
      <x:c r="V2099" s="19" t="str">
        <x:v>005055 / 005055 / 横須賀線</x:v>
      </x:c>
      <x:c r="W2099" s="18" t="str">
        <x:v>否</x:v>
      </x:c>
      <x:c r="X2099" s="18" t="str">
        <x:v>0785e932a32b3ec15e1a1345537ae145eafe1c07bf38d5c16c11ee2b391e7a28</x:v>
      </x:c>
      <x:c r="Y2099" s="20" t="n">
        <x:v>1</x:v>
      </x:c>
      <x:c r="Z2099" s="20" t="n">
        <x:v>1</x:v>
      </x:c>
      <x:c r="AA2099" s="19"/>
      <x:c r="AB2099" s="18"/>
      <x:c r="AC2099" s="19"/>
    </x:row>
    <x:row r="2100" ht="28" customHeight="1">
      <x:c r="A2100" s="18" t="str">
        <x:v>鎌倉</x:v>
      </x:c>
      <x:c r="B2100" s="18" t="str">
        <x:v>江ノ島電鉄</x:v>
      </x:c>
      <x:c r="C2100" s="18" t="str">
        <x:v>private_rail</x:v>
      </x:c>
      <x:c r="D2100" s="19" t="str">
        <x:v>T2</x:v>
      </x:c>
      <x:c r="E2100" s="20" t="n">
        <x:v>23487</x:v>
      </x:c>
      <x:c r="F2100" s="18" t="str">
        <x:v>persons/day</x:v>
      </x:c>
      <x:c r="G2100" s="18" t="str">
        <x:v>FY2024</x:v>
      </x:c>
      <x:c r="H2100" s="18" t="str">
        <x:v>否</x:v>
      </x:c>
      <x:c r="I2100" s="19" t="str">
        <x:v>DAILY_ENTRIES_EXITS</x:v>
      </x:c>
      <x:c r="J2100" s="19" t="str">
        <x:v>江ノ島電鉄線</x:v>
      </x:c>
      <x:c r="K2100" s="18" t="str">
        <x:v>transport-node:fd9c853c-d59d-537b-a65b-39afba6dea44</x:v>
      </x:c>
      <x:c r="L2100" s="19" t="str">
        <x:v>组件待审核</x:v>
      </x:c>
      <x:c r="M2100" s="21" t="n">
        <x:v>35.318295</x:v>
      </x:c>
      <x:c r="N2100" s="21" t="n">
        <x:v>139.55009</x:v>
      </x:c>
      <x:c r="O2100" s="18" t="str">
        <x:v>005059</x:v>
      </x:c>
      <x:c r="P2100" s="18" t="str">
        <x:v>江ノ島電鉄線</x:v>
      </x:c>
      <x:c r="Q2100" s="19" t="str">
        <x:v>S12_061_GE_10000</x:v>
      </x:c>
      <x:c r="R2100" s="19" t="str">
        <x:v>S12_061 usage threshold</x:v>
      </x:c>
      <x:c r="S2100" s="19" t="str">
        <x:v>https://nlftp.mlit.go.jp/ksj/gml/datalist/KsjTmplt-S12-2024.html</x:v>
      </x:c>
      <x:c r="T2100" s="19" t="str">
        <x:v>https://nlftp.mlit.go.jp/ksj/gml/datalist/KsjTmplt-S12-2024.html</x:v>
      </x:c>
      <x:c r="U2100" s="19" t="str">
        <x:v>station-component|鎌倉|江ノ島電鉄|private_rail|35.3183|139.5501|</x:v>
      </x:c>
      <x:c r="V2100" s="19" t="str">
        <x:v>005055 / 005059 / 江ノ島電鉄線</x:v>
      </x:c>
      <x:c r="W2100" s="18" t="str">
        <x:v>否</x:v>
      </x:c>
      <x:c r="X2100" s="18" t="str">
        <x:v>0785e932a32b3ec15e1a1345537ae145eafe1c07bf38d5c16c11ee2b391e7a28</x:v>
      </x:c>
      <x:c r="Y2100" s="20" t="n">
        <x:v>1</x:v>
      </x:c>
      <x:c r="Z2100" s="20" t="n">
        <x:v>1</x:v>
      </x:c>
      <x:c r="AA2100" s="19"/>
      <x:c r="AB2100" s="18"/>
      <x:c r="AC2100" s="19"/>
    </x:row>
    <x:row r="2101" ht="28" customHeight="1">
      <x:c r="A2101" s="18" t="str">
        <x:v>鎌取</x:v>
      </x:c>
      <x:c r="B2101" s="18" t="str">
        <x:v>東日本旅客鉄道</x:v>
      </x:c>
      <x:c r="C2101" s="18" t="str">
        <x:v>conventional_rail</x:v>
      </x:c>
      <x:c r="D2101" s="19" t="str">
        <x:v>T2</x:v>
      </x:c>
      <x:c r="E2101" s="20" t="n">
        <x:v>37772</x:v>
      </x:c>
      <x:c r="F2101" s="18" t="str">
        <x:v>persons/day</x:v>
      </x:c>
      <x:c r="G2101" s="18" t="str">
        <x:v>FY2024</x:v>
      </x:c>
      <x:c r="H2101" s="18" t="str">
        <x:v>否</x:v>
      </x:c>
      <x:c r="I2101" s="19" t="str">
        <x:v>DAILY_ENTRIES_EXITS</x:v>
      </x:c>
      <x:c r="J2101" s="19" t="str">
        <x:v>外房線</x:v>
      </x:c>
      <x:c r="K2101" s="18" t="str">
        <x:v>transport-node:8a30617b-990a-5525-81d1-13d110ef2038</x:v>
      </x:c>
      <x:c r="L2101" s="19" t="str">
        <x:v>组件待审核</x:v>
      </x:c>
      <x:c r="M2101" s="21" t="n">
        <x:v>35.5627125</x:v>
      </x:c>
      <x:c r="N2101" s="21" t="n">
        <x:v>140.178675</x:v>
      </x:c>
      <x:c r="O2101" s="18" t="str">
        <x:v>004327</x:v>
      </x:c>
      <x:c r="P2101" s="18" t="str">
        <x:v>外房線</x:v>
      </x:c>
      <x:c r="Q2101" s="19" t="str">
        <x:v>S12_061_GE_10000</x:v>
      </x:c>
      <x:c r="R2101" s="19" t="str">
        <x:v>S12_061 usage threshold</x:v>
      </x:c>
      <x:c r="S2101" s="19" t="str">
        <x:v>https://nlftp.mlit.go.jp/ksj/gml/datalist/KsjTmplt-S12-2024.html</x:v>
      </x:c>
      <x:c r="T2101" s="19" t="str">
        <x:v>https://nlftp.mlit.go.jp/ksj/gml/datalist/KsjTmplt-S12-2024.html</x:v>
      </x:c>
      <x:c r="U2101" s="19" t="str">
        <x:v>station-component|鎌取|東日本旅客鉄道|conventional_rail|35.5627|140.1787|</x:v>
      </x:c>
      <x:c r="V2101" s="19" t="str">
        <x:v>004327 / 004327 / 外房線</x:v>
      </x:c>
      <x:c r="W2101" s="18" t="str">
        <x:v>否</x:v>
      </x:c>
      <x:c r="X2101" s="18" t="str">
        <x:v>0785e932a32b3ec15e1a1345537ae145eafe1c07bf38d5c16c11ee2b391e7a28</x:v>
      </x:c>
      <x:c r="Y2101" s="20" t="n">
        <x:v>1</x:v>
      </x:c>
      <x:c r="Z2101" s="20" t="n">
        <x:v>1</x:v>
      </x:c>
      <x:c r="AA2101" s="19"/>
      <x:c r="AB2101" s="18"/>
      <x:c r="AC2101" s="19"/>
    </x:row>
    <x:row r="2102" ht="28" customHeight="1">
      <x:c r="A2102" s="18" t="str">
        <x:v>鐘ヶ淵</x:v>
      </x:c>
      <x:c r="B2102" s="18" t="str">
        <x:v>東武鉄道</x:v>
      </x:c>
      <x:c r="C2102" s="18" t="str">
        <x:v>private_rail</x:v>
      </x:c>
      <x:c r="D2102" s="19" t="str">
        <x:v>T2</x:v>
      </x:c>
      <x:c r="E2102" s="20" t="n">
        <x:v>12929</x:v>
      </x:c>
      <x:c r="F2102" s="18" t="str">
        <x:v>persons/day</x:v>
      </x:c>
      <x:c r="G2102" s="18" t="str">
        <x:v>FY2024</x:v>
      </x:c>
      <x:c r="H2102" s="18" t="str">
        <x:v>否</x:v>
      </x:c>
      <x:c r="I2102" s="19" t="str">
        <x:v>DAILY_ENTRIES_EXITS</x:v>
      </x:c>
      <x:c r="J2102" s="19" t="str">
        <x:v>伊勢崎線</x:v>
      </x:c>
      <x:c r="K2102" s="18" t="str">
        <x:v>transport-node:621d38d8-527e-5a6c-bb7c-483a6d767c35</x:v>
      </x:c>
      <x:c r="L2102" s="19" t="str">
        <x:v>组件待审核</x:v>
      </x:c>
      <x:c r="M2102" s="21" t="n">
        <x:v>35.73376</x:v>
      </x:c>
      <x:c r="N2102" s="21" t="n">
        <x:v>139.82037</x:v>
      </x:c>
      <x:c r="O2102" s="18" t="str">
        <x:v>003355</x:v>
      </x:c>
      <x:c r="P2102" s="18" t="str">
        <x:v>伊勢崎線</x:v>
      </x:c>
      <x:c r="Q2102" s="19" t="str">
        <x:v>S12_061_GE_10000</x:v>
      </x:c>
      <x:c r="R2102" s="19" t="str">
        <x:v>S12_061 usage threshold</x:v>
      </x:c>
      <x:c r="S2102" s="19" t="str">
        <x:v>https://nlftp.mlit.go.jp/ksj/gml/datalist/KsjTmplt-S12-2024.html</x:v>
      </x:c>
      <x:c r="T2102" s="19" t="str">
        <x:v>https://nlftp.mlit.go.jp/ksj/gml/datalist/KsjTmplt-S12-2024.html</x:v>
      </x:c>
      <x:c r="U2102" s="19" t="str">
        <x:v>station-component|鐘ヶ淵|東武鉄道|private_rail|35.7338|139.8204|</x:v>
      </x:c>
      <x:c r="V2102" s="19" t="str">
        <x:v>003355 / 003355 / 伊勢崎線</x:v>
      </x:c>
      <x:c r="W2102" s="18" t="str">
        <x:v>否</x:v>
      </x:c>
      <x:c r="X2102" s="18" t="str">
        <x:v>0785e932a32b3ec15e1a1345537ae145eafe1c07bf38d5c16c11ee2b391e7a28</x:v>
      </x:c>
      <x:c r="Y2102" s="20" t="n">
        <x:v>1</x:v>
      </x:c>
      <x:c r="Z2102" s="20" t="n">
        <x:v>1</x:v>
      </x:c>
      <x:c r="AA2102" s="19"/>
      <x:c r="AB2102" s="18"/>
      <x:c r="AC2102" s="19"/>
    </x:row>
    <x:row r="2103" ht="28" customHeight="1">
      <x:c r="A2103" s="18" t="str">
        <x:v>長原</x:v>
      </x:c>
      <x:c r="B2103" s="18" t="str">
        <x:v>大阪市高速電気軌道</x:v>
      </x:c>
      <x:c r="C2103" s="18" t="str">
        <x:v>metro</x:v>
      </x:c>
      <x:c r="D2103" s="19" t="str">
        <x:v>T2</x:v>
      </x:c>
      <x:c r="E2103" s="20" t="n">
        <x:v>10211</x:v>
      </x:c>
      <x:c r="F2103" s="18" t="str">
        <x:v>persons/day</x:v>
      </x:c>
      <x:c r="G2103" s="18" t="str">
        <x:v>FY2024</x:v>
      </x:c>
      <x:c r="H2103" s="18" t="str">
        <x:v>否</x:v>
      </x:c>
      <x:c r="I2103" s="19" t="str">
        <x:v>DAILY_ENTRIES_EXITS</x:v>
      </x:c>
      <x:c r="J2103" s="19" t="str">
        <x:v>2号線(谷町線)</x:v>
      </x:c>
      <x:c r="K2103" s="18" t="str">
        <x:v>transport-node:810759ed-07e7-5d41-922d-bb07a3b415a8</x:v>
      </x:c>
      <x:c r="L2103" s="19" t="str">
        <x:v>组件待审核</x:v>
      </x:c>
      <x:c r="M2103" s="21" t="n">
        <x:v>34.602485</x:v>
      </x:c>
      <x:c r="N2103" s="21" t="n">
        <x:v>135.57376</x:v>
      </x:c>
      <x:c r="O2103" s="18" t="str">
        <x:v>007594</x:v>
      </x:c>
      <x:c r="P2103" s="18" t="str">
        <x:v>2号線(谷町線)</x:v>
      </x:c>
      <x:c r="Q2103" s="19" t="str">
        <x:v>S12_061_GE_10000</x:v>
      </x:c>
      <x:c r="R2103" s="19" t="str">
        <x:v>S12_061 usage threshold</x:v>
      </x:c>
      <x:c r="S2103" s="19" t="str">
        <x:v>https://nlftp.mlit.go.jp/ksj/gml/datalist/KsjTmplt-S12-2024.html</x:v>
      </x:c>
      <x:c r="T2103" s="19" t="str">
        <x:v>https://nlftp.mlit.go.jp/ksj/gml/datalist/KsjTmplt-S12-2024.html</x:v>
      </x:c>
      <x:c r="U2103" s="19" t="str">
        <x:v>station-component|長原|大阪市高速電気軌道|metro|34.6025|135.5738|</x:v>
      </x:c>
      <x:c r="V2103" s="19" t="str">
        <x:v>007594 / 007594 / 2号線(谷町線)</x:v>
      </x:c>
      <x:c r="W2103" s="18" t="str">
        <x:v>否</x:v>
      </x:c>
      <x:c r="X2103" s="18" t="str">
        <x:v>0785e932a32b3ec15e1a1345537ae145eafe1c07bf38d5c16c11ee2b391e7a28</x:v>
      </x:c>
      <x:c r="Y2103" s="20" t="n">
        <x:v>1</x:v>
      </x:c>
      <x:c r="Z2103" s="20" t="n">
        <x:v>1</x:v>
      </x:c>
      <x:c r="AA2103" s="19"/>
      <x:c r="AB2103" s="18"/>
      <x:c r="AC2103" s="19"/>
    </x:row>
    <x:row r="2104" ht="28" customHeight="1">
      <x:c r="A2104" s="18" t="str">
        <x:v>長原</x:v>
      </x:c>
      <x:c r="B2104" s="18" t="str">
        <x:v>東急電鉄</x:v>
      </x:c>
      <x:c r="C2104" s="18" t="str">
        <x:v>private_rail</x:v>
      </x:c>
      <x:c r="D2104" s="19" t="str">
        <x:v>T2</x:v>
      </x:c>
      <x:c r="E2104" s="20" t="n">
        <x:v>14880</x:v>
      </x:c>
      <x:c r="F2104" s="18" t="str">
        <x:v>persons/day</x:v>
      </x:c>
      <x:c r="G2104" s="18" t="str">
        <x:v>FY2024</x:v>
      </x:c>
      <x:c r="H2104" s="18" t="str">
        <x:v>否</x:v>
      </x:c>
      <x:c r="I2104" s="19" t="str">
        <x:v>DAILY_ENTRIES_EXITS</x:v>
      </x:c>
      <x:c r="J2104" s="19" t="str">
        <x:v>池上線</x:v>
      </x:c>
      <x:c r="K2104" s="18" t="str">
        <x:v>transport-node:1a54e945-e464-5c6d-870a-c807cb79fc8f</x:v>
      </x:c>
      <x:c r="L2104" s="19" t="str">
        <x:v>组件待审核</x:v>
      </x:c>
      <x:c r="M2104" s="21" t="n">
        <x:v>35.60223</x:v>
      </x:c>
      <x:c r="N2104" s="21" t="n">
        <x:v>139.69797</x:v>
      </x:c>
      <x:c r="O2104" s="18" t="str">
        <x:v>004232</x:v>
      </x:c>
      <x:c r="P2104" s="18" t="str">
        <x:v>池上線</x:v>
      </x:c>
      <x:c r="Q2104" s="19" t="str">
        <x:v>S12_061_GE_10000</x:v>
      </x:c>
      <x:c r="R2104" s="19" t="str">
        <x:v>S12_061 usage threshold</x:v>
      </x:c>
      <x:c r="S2104" s="19" t="str">
        <x:v>https://nlftp.mlit.go.jp/ksj/gml/datalist/KsjTmplt-S12-2024.html</x:v>
      </x:c>
      <x:c r="T2104" s="19" t="str">
        <x:v>https://nlftp.mlit.go.jp/ksj/gml/datalist/KsjTmplt-S12-2024.html</x:v>
      </x:c>
      <x:c r="U2104" s="19" t="str">
        <x:v>station-component|長原|東急電鉄|private_rail|35.6022|139.6980|</x:v>
      </x:c>
      <x:c r="V2104" s="19" t="str">
        <x:v>004232 / 004232 / 池上線</x:v>
      </x:c>
      <x:c r="W2104" s="18" t="str">
        <x:v>否</x:v>
      </x:c>
      <x:c r="X2104" s="18" t="str">
        <x:v>0785e932a32b3ec15e1a1345537ae145eafe1c07bf38d5c16c11ee2b391e7a28</x:v>
      </x:c>
      <x:c r="Y2104" s="20" t="n">
        <x:v>1</x:v>
      </x:c>
      <x:c r="Z2104" s="20" t="n">
        <x:v>1</x:v>
      </x:c>
      <x:c r="AA2104" s="19"/>
      <x:c r="AB2104" s="18"/>
      <x:c r="AC2104" s="19"/>
    </x:row>
    <x:row r="2105" ht="33" customHeight="1">
      <x:c r="A2105" s="18" t="str">
        <x:v>長堀橋</x:v>
      </x:c>
      <x:c r="B2105" s="18" t="str">
        <x:v>大阪市高速電気軌道</x:v>
      </x:c>
      <x:c r="C2105" s="18" t="str">
        <x:v>metro</x:v>
      </x:c>
      <x:c r="D2105" s="19" t="str">
        <x:v>T1</x:v>
      </x:c>
      <x:c r="E2105" s="20" t="n">
        <x:v>54364</x:v>
      </x:c>
      <x:c r="F2105" s="18" t="str">
        <x:v>persons/day</x:v>
      </x:c>
      <x:c r="G2105" s="18" t="str">
        <x:v>FY2024</x:v>
      </x:c>
      <x:c r="H2105" s="18" t="str">
        <x:v>否</x:v>
      </x:c>
      <x:c r="I2105" s="19" t="str">
        <x:v>DAILY_ENTRIES_EXITS</x:v>
      </x:c>
      <x:c r="J2105" s="19" t="str">
        <x:v>6号線(堺筋線)
7号線(長堀鶴見緑地線)</x:v>
      </x:c>
      <x:c r="K2105" s="18" t="str">
        <x:v>transport-node:1176d9b1-0eae-52bf-b584-defcbaea1b47</x:v>
      </x:c>
      <x:c r="L2105" s="19" t="str">
        <x:v>组件待审核</x:v>
      </x:c>
      <x:c r="M2105" s="21" t="n">
        <x:v>34.6748667</x:v>
      </x:c>
      <x:c r="N2105" s="21" t="n">
        <x:v>135.5063233</x:v>
      </x:c>
      <x:c r="O2105" s="18" t="str">
        <x:v>007259</x:v>
      </x:c>
      <x:c r="P2105" s="18" t="str">
        <x:v>6号線(堺筋線)</x:v>
      </x:c>
      <x:c r="Q2105" s="19" t="str">
        <x:v>S12_061_GE_10000
OFFICIAL_HUB_COMPONENT_REVIEW</x:v>
      </x:c>
      <x:c r="R2105" s="19" t="str">
        <x:v>S12_061 usage threshold</x:v>
      </x:c>
      <x:c r="S2105" s="19" t="str">
        <x:v>https://nlftp.mlit.go.jp/ksj/gml/datalist/KsjTmplt-S12-2024.html</x:v>
      </x:c>
      <x:c r="T2105" s="19" t="str">
        <x:v>https://nlftp.mlit.go.jp/ksj/gml/datalist/KsjTmplt-S12-2024.html
https://subway.osakametro.co.jp/station_guide/K/k16/index.php</x:v>
      </x:c>
      <x:c r="U2105" s="19" t="str">
        <x:v>station-component|長堀橋|大阪市高速電気軌道|metro|34.6749|135.5063|</x:v>
      </x:c>
      <x:c r="V2105" s="19" t="str">
        <x:v>007254 / 007254 / 7号線(長堀鶴見緑地線)
007254 / 007259 / 6号線(堺筋線)</x:v>
      </x:c>
      <x:c r="W2105" s="18" t="str">
        <x:v>否</x:v>
      </x:c>
      <x:c r="X2105" s="18" t="str">
        <x:v>0785e932a32b3ec15e1a1345537ae145eafe1c07bf38d5c16c11ee2b391e7a28</x:v>
      </x:c>
      <x:c r="Y2105" s="20" t="n">
        <x:v>1</x:v>
      </x:c>
      <x:c r="Z2105" s="20" t="n">
        <x:v>1</x:v>
      </x:c>
      <x:c r="AA2105" s="19" t="str">
        <x:v>長堀橋</x:v>
      </x:c>
      <x:c r="AB2105" s="18" t="str">
        <x:v>transport-hub-review:093e1803-2ac4-5574-a275-9b6e6e60567f</x:v>
      </x:c>
      <x:c r="AC2105" s="19"/>
    </x:row>
    <x:row r="2106" ht="28" customHeight="1">
      <x:c r="A2106" s="18" t="str">
        <x:v>長尾</x:v>
      </x:c>
      <x:c r="B2106" s="18" t="str">
        <x:v>西日本旅客鉄道</x:v>
      </x:c>
      <x:c r="C2106" s="18" t="str">
        <x:v>conventional_rail</x:v>
      </x:c>
      <x:c r="D2106" s="19" t="str">
        <x:v>T2</x:v>
      </x:c>
      <x:c r="E2106" s="20" t="n">
        <x:v>20350</x:v>
      </x:c>
      <x:c r="F2106" s="18" t="str">
        <x:v>persons/day</x:v>
      </x:c>
      <x:c r="G2106" s="18" t="str">
        <x:v>FY2024</x:v>
      </x:c>
      <x:c r="H2106" s="18" t="str">
        <x:v>否</x:v>
      </x:c>
      <x:c r="I2106" s="19" t="str">
        <x:v>DAILY_ENTRIES_EXITS</x:v>
      </x:c>
      <x:c r="J2106" s="19" t="str">
        <x:v>片町線</x:v>
      </x:c>
      <x:c r="K2106" s="18" t="str">
        <x:v>transport-node:7504f9a4-74c7-55ee-b59a-acdf582dce46</x:v>
      </x:c>
      <x:c r="L2106" s="19" t="str">
        <x:v>组件待审核</x:v>
      </x:c>
      <x:c r="M2106" s="21" t="n">
        <x:v>34.8259467</x:v>
      </x:c>
      <x:c r="N2106" s="21" t="n">
        <x:v>135.7130333</x:v>
      </x:c>
      <x:c r="O2106" s="18" t="str">
        <x:v>006516</x:v>
      </x:c>
      <x:c r="P2106" s="18" t="str">
        <x:v>片町線</x:v>
      </x:c>
      <x:c r="Q2106" s="19" t="str">
        <x:v>S12_061_GE_10000</x:v>
      </x:c>
      <x:c r="R2106" s="19" t="str">
        <x:v>S12_061 usage threshold</x:v>
      </x:c>
      <x:c r="S2106" s="19" t="str">
        <x:v>https://nlftp.mlit.go.jp/ksj/gml/datalist/KsjTmplt-S12-2024.html</x:v>
      </x:c>
      <x:c r="T2106" s="19" t="str">
        <x:v>https://nlftp.mlit.go.jp/ksj/gml/datalist/KsjTmplt-S12-2024.html</x:v>
      </x:c>
      <x:c r="U2106" s="19" t="str">
        <x:v>station-component|長尾|西日本旅客鉄道|conventional_rail|34.8259|135.7130|</x:v>
      </x:c>
      <x:c r="V2106" s="19" t="str">
        <x:v>006516 / 006516 / 片町線</x:v>
      </x:c>
      <x:c r="W2106" s="18" t="str">
        <x:v>否</x:v>
      </x:c>
      <x:c r="X2106" s="18" t="str">
        <x:v>0785e932a32b3ec15e1a1345537ae145eafe1c07bf38d5c16c11ee2b391e7a28</x:v>
      </x:c>
      <x:c r="Y2106" s="20" t="n">
        <x:v>1</x:v>
      </x:c>
      <x:c r="Z2106" s="20" t="n">
        <x:v>1</x:v>
      </x:c>
      <x:c r="AA2106" s="19"/>
      <x:c r="AB2106" s="18"/>
      <x:c r="AC2106" s="19"/>
    </x:row>
    <x:row r="2107" ht="33" customHeight="1">
      <x:c r="A2107" s="18" t="str">
        <x:v>長居</x:v>
      </x:c>
      <x:c r="B2107" s="18" t="str">
        <x:v>大阪市高速電気軌道</x:v>
      </x:c>
      <x:c r="C2107" s="18" t="str">
        <x:v>metro</x:v>
      </x:c>
      <x:c r="D2107" s="19" t="str">
        <x:v>T2</x:v>
      </x:c>
      <x:c r="E2107" s="20" t="n">
        <x:v>34594</x:v>
      </x:c>
      <x:c r="F2107" s="18" t="str">
        <x:v>persons/day</x:v>
      </x:c>
      <x:c r="G2107" s="18" t="str">
        <x:v>FY2024</x:v>
      </x:c>
      <x:c r="H2107" s="18" t="str">
        <x:v>否</x:v>
      </x:c>
      <x:c r="I2107" s="19" t="str">
        <x:v>DAILY_ENTRIES_EXITS</x:v>
      </x:c>
      <x:c r="J2107" s="19" t="str">
        <x:v>1号線(御堂筋線)</x:v>
      </x:c>
      <x:c r="K2107" s="18" t="str">
        <x:v>transport-node:52fab296-8a4d-5468-b5d7-7835d7a99939</x:v>
      </x:c>
      <x:c r="L2107" s="19" t="str">
        <x:v>组件待审核</x:v>
      </x:c>
      <x:c r="M2107" s="21" t="n">
        <x:v>34.609995</x:v>
      </x:c>
      <x:c r="N2107" s="21" t="n">
        <x:v>135.513805</x:v>
      </x:c>
      <x:c r="O2107" s="18" t="str">
        <x:v>007577</x:v>
      </x:c>
      <x:c r="P2107" s="18" t="str">
        <x:v>1号線(御堂筋線)</x:v>
      </x:c>
      <x:c r="Q2107" s="19" t="str">
        <x:v>S12_061_GE_10000
OFFICIAL_HUB_COMPONENT_REVIEW</x:v>
      </x:c>
      <x:c r="R2107" s="19" t="str">
        <x:v>S12_061 usage threshold</x:v>
      </x:c>
      <x:c r="S2107" s="19" t="str">
        <x:v>https://nlftp.mlit.go.jp/ksj/gml/datalist/KsjTmplt-S12-2024.html</x:v>
      </x:c>
      <x:c r="T2107" s="19" t="str">
        <x:v>https://nlftp.mlit.go.jp/ksj/gml/datalist/KsjTmplt-S12-2024.html
https://subway.osakametro.co.jp/station_guide/M/m26/index.php</x:v>
      </x:c>
      <x:c r="U2107" s="19" t="str">
        <x:v>station-component|長居|大阪市高速電気軌道|metro|34.6100|135.5138|</x:v>
      </x:c>
      <x:c r="V2107" s="19" t="str">
        <x:v>007576 / 007577 / 1号線(御堂筋線)</x:v>
      </x:c>
      <x:c r="W2107" s="18" t="str">
        <x:v>否</x:v>
      </x:c>
      <x:c r="X2107" s="18" t="str">
        <x:v>0785e932a32b3ec15e1a1345537ae145eafe1c07bf38d5c16c11ee2b391e7a28</x:v>
      </x:c>
      <x:c r="Y2107" s="20" t="n">
        <x:v>1</x:v>
      </x:c>
      <x:c r="Z2107" s="20" t="n">
        <x:v>1</x:v>
      </x:c>
      <x:c r="AA2107" s="19" t="str">
        <x:v>長居</x:v>
      </x:c>
      <x:c r="AB2107" s="18" t="str">
        <x:v>transport-hub-review:ec426ab1-8287-5338-94cc-3bcf87d62220</x:v>
      </x:c>
      <x:c r="AC2107" s="19"/>
    </x:row>
    <x:row r="2108" ht="33" customHeight="1">
      <x:c r="A2108" s="18" t="str">
        <x:v>長居</x:v>
      </x:c>
      <x:c r="B2108" s="18" t="str">
        <x:v>西日本旅客鉄道</x:v>
      </x:c>
      <x:c r="C2108" s="18" t="str">
        <x:v>conventional_rail</x:v>
      </x:c>
      <x:c r="D2108" s="19" t="str">
        <x:v>T3</x:v>
      </x:c>
      <x:c r="E2108" s="20" t="n">
        <x:v>9216</x:v>
      </x:c>
      <x:c r="F2108" s="18" t="str">
        <x:v>persons/day</x:v>
      </x:c>
      <x:c r="G2108" s="18" t="str">
        <x:v>FY2024</x:v>
      </x:c>
      <x:c r="H2108" s="18" t="str">
        <x:v>否</x:v>
      </x:c>
      <x:c r="I2108" s="19" t="str">
        <x:v>DAILY_ENTRIES_EXITS</x:v>
      </x:c>
      <x:c r="J2108" s="19" t="str">
        <x:v>阪和線</x:v>
      </x:c>
      <x:c r="K2108" s="18" t="str">
        <x:v>transport-node:f3ed039f-d90c-5804-a500-a817ccfbae56</x:v>
      </x:c>
      <x:c r="L2108" s="19" t="str">
        <x:v>组件待审核</x:v>
      </x:c>
      <x:c r="M2108" s="21" t="n">
        <x:v>34.61052</x:v>
      </x:c>
      <x:c r="N2108" s="21" t="n">
        <x:v>135.512515</x:v>
      </x:c>
      <x:c r="O2108" s="18" t="str">
        <x:v>007576</x:v>
      </x:c>
      <x:c r="P2108" s="18" t="str">
        <x:v>阪和線</x:v>
      </x:c>
      <x:c r="Q2108" s="19" t="str">
        <x:v>OFFICIAL_HUB_COMPONENT_REVIEW</x:v>
      </x:c>
      <x:c r="R2108" s="19" t="str">
        <x:v>S12_061 usage threshold; low-flow inclusion justified by official Hub component review</x:v>
      </x:c>
      <x:c r="S2108" s="19" t="str">
        <x:v>https://nlftp.mlit.go.jp/ksj/gml/datalist/KsjTmplt-S12-2024.html</x:v>
      </x:c>
      <x:c r="T2108" s="19" t="str">
        <x:v>https://nlftp.mlit.go.jp/ksj/gml/datalist/KsjTmplt-S12-2024.html
https://subway.osakametro.co.jp/station_guide/M/m26/index.php</x:v>
      </x:c>
      <x:c r="U2108" s="19" t="str">
        <x:v>station-component|長居|西日本旅客鉄道|conventional_rail|34.6105|135.5125|</x:v>
      </x:c>
      <x:c r="V2108" s="19" t="str">
        <x:v>007576 / 007576 / 阪和線</x:v>
      </x:c>
      <x:c r="W2108" s="18" t="str">
        <x:v>否</x:v>
      </x:c>
      <x:c r="X2108" s="18" t="str">
        <x:v>0785e932a32b3ec15e1a1345537ae145eafe1c07bf38d5c16c11ee2b391e7a28</x:v>
      </x:c>
      <x:c r="Y2108" s="20" t="n">
        <x:v>1</x:v>
      </x:c>
      <x:c r="Z2108" s="20" t="n">
        <x:v>1</x:v>
      </x:c>
      <x:c r="AA2108" s="19" t="str">
        <x:v>長居</x:v>
      </x:c>
      <x:c r="AB2108" s="18" t="str">
        <x:v>transport-hub-review:ec426ab1-8287-5338-94cc-3bcf87d62220</x:v>
      </x:c>
      <x:c r="AC2108" s="19"/>
    </x:row>
    <x:row r="2109" ht="28" customHeight="1">
      <x:c r="A2109" s="18" t="str">
        <x:v>長岡</x:v>
      </x:c>
      <x:c r="B2109" s="18" t="str">
        <x:v>東日本旅客鉄道</x:v>
      </x:c>
      <x:c r="C2109" s="18" t="str">
        <x:v>conventional_rail</x:v>
      </x:c>
      <x:c r="D2109" s="19" t="str">
        <x:v>T2</x:v>
      </x:c>
      <x:c r="E2109" s="20" t="n">
        <x:v>22298</x:v>
      </x:c>
      <x:c r="F2109" s="18" t="str">
        <x:v>persons/day</x:v>
      </x:c>
      <x:c r="G2109" s="18" t="str">
        <x:v>FY2024</x:v>
      </x:c>
      <x:c r="H2109" s="18" t="str">
        <x:v>否</x:v>
      </x:c>
      <x:c r="I2109" s="19" t="str">
        <x:v>DAILY_ENTRIES_EXITS</x:v>
      </x:c>
      <x:c r="J2109" s="19" t="str">
        <x:v>信越線</x:v>
      </x:c>
      <x:c r="K2109" s="18" t="str">
        <x:v>transport-node:5ca34bb1-745a-5428-828c-b81f5ba152c9</x:v>
      </x:c>
      <x:c r="L2109" s="19" t="str">
        <x:v>组件待审核</x:v>
      </x:c>
      <x:c r="M2109" s="21" t="n">
        <x:v>37.447765</x:v>
      </x:c>
      <x:c r="N2109" s="21" t="n">
        <x:v>138.853975</x:v>
      </x:c>
      <x:c r="O2109" s="18" t="str">
        <x:v>001490</x:v>
      </x:c>
      <x:c r="P2109" s="18" t="str">
        <x:v>信越線</x:v>
      </x:c>
      <x:c r="Q2109" s="19" t="str">
        <x:v>S12_061_GE_10000</x:v>
      </x:c>
      <x:c r="R2109" s="19" t="str">
        <x:v>S12_061 usage threshold</x:v>
      </x:c>
      <x:c r="S2109" s="19" t="str">
        <x:v>https://nlftp.mlit.go.jp/ksj/gml/datalist/KsjTmplt-S12-2024.html</x:v>
      </x:c>
      <x:c r="T2109" s="19" t="str">
        <x:v>https://nlftp.mlit.go.jp/ksj/gml/datalist/KsjTmplt-S12-2024.html</x:v>
      </x:c>
      <x:c r="U2109" s="19" t="str">
        <x:v>station-component|長岡|東日本旅客鉄道|conventional_rail|37.4478|138.8540|</x:v>
      </x:c>
      <x:c r="V2109" s="19" t="str">
        <x:v>001489 / 001490 / 信越線</x:v>
      </x:c>
      <x:c r="W2109" s="18" t="str">
        <x:v>否</x:v>
      </x:c>
      <x:c r="X2109" s="18" t="str">
        <x:v>0785e932a32b3ec15e1a1345537ae145eafe1c07bf38d5c16c11ee2b391e7a28</x:v>
      </x:c>
      <x:c r="Y2109" s="20" t="n">
        <x:v>1</x:v>
      </x:c>
      <x:c r="Z2109" s="20" t="n">
        <x:v>1</x:v>
      </x:c>
      <x:c r="AA2109" s="19"/>
      <x:c r="AB2109" s="18"/>
      <x:c r="AC2109" s="19"/>
    </x:row>
    <x:row r="2110" ht="33" customHeight="1">
      <x:c r="A2110" s="18" t="str">
        <x:v>長岡</x:v>
      </x:c>
      <x:c r="B2110" s="18" t="str">
        <x:v>東日本旅客鉄道</x:v>
      </x:c>
      <x:c r="C2110" s="18" t="str">
        <x:v>shinkansen</x:v>
      </x:c>
      <x:c r="D2110" s="19"/>
      <x:c r="E2110" s="20" t="n">
        <x:v>4449</x:v>
      </x:c>
      <x:c r="F2110" s="18" t="str">
        <x:v>boardings/day</x:v>
      </x:c>
      <x:c r="G2110" s="18" t="str">
        <x:v>FY2024</x:v>
      </x:c>
      <x:c r="H2110" s="18" t="str">
        <x:v>是</x:v>
      </x:c>
      <x:c r="I2110" s="19" t="str">
        <x:v>DAILY_SHINKANSEN_BOARDINGS</x:v>
      </x:c>
      <x:c r="J2110" s="19" t="str">
        <x:v>上越新幹線</x:v>
      </x:c>
      <x:c r="K2110" s="18" t="str">
        <x:v>transport-node:21e66efb-b260-5c9d-b83e-5d1704e5657f</x:v>
      </x:c>
      <x:c r="L2110" s="19" t="str">
        <x:v>组件待审核</x:v>
      </x:c>
      <x:c r="M2110" s="21" t="n">
        <x:v>37.447765</x:v>
      </x:c>
      <x:c r="N2110" s="21" t="n">
        <x:v>138.85397</x:v>
      </x:c>
      <x:c r="O2110" s="18" t="str">
        <x:v>001489</x:v>
      </x:c>
      <x:c r="P2110" s="18" t="str">
        <x:v>上越新幹線</x:v>
      </x:c>
      <x:c r="Q2110" s="19" t="str">
        <x:v>SHINKANSEN</x:v>
      </x:c>
      <x:c r="R2110" s="19" t="str">
        <x:v>Official fallback retained in published scope/unit; tier remains null pending metric/manual review.</x:v>
      </x:c>
      <x:c r="S2110" s="19" t="str">
        <x:v>https://www.jreast.co.jp/company/data/passenger/2024_shinkansen.html/</x:v>
      </x:c>
      <x:c r="T2110" s="19" t="str">
        <x:v>https://nlftp.mlit.go.jp/ksj/gml/datalist/KsjTmplt-S12-2024.html
https://www.jreast.co.jp/company/data/passenger/2024_shinkansen.html/</x:v>
      </x:c>
      <x:c r="U2110" s="19" t="str">
        <x:v>station-component|長岡|東日本旅客鉄道|shinkansen|37.4478|138.8540|</x:v>
      </x:c>
      <x:c r="V2110" s="19" t="str">
        <x:v>001489 / 001489 / 上越新幹線</x:v>
      </x:c>
      <x:c r="W2110" s="18" t="str">
        <x:v>否</x:v>
      </x:c>
      <x:c r="X2110" s="18" t="str">
        <x:v>0785e932a32b3ec15e1a1345537ae145eafe1c07bf38d5c16c11ee2b391e7a28</x:v>
      </x:c>
      <x:c r="Y2110" s="20" t="n">
        <x:v>1</x:v>
      </x:c>
      <x:c r="Z2110" s="20" t="n">
        <x:v>2</x:v>
      </x:c>
      <x:c r="AA2110" s="19"/>
      <x:c r="AB2110" s="18"/>
      <x:c r="AC2110" s="19"/>
    </x:row>
    <x:row r="2111" ht="28" customHeight="1">
      <x:c r="A2111" s="18" t="str">
        <x:v>長岡京</x:v>
      </x:c>
      <x:c r="B2111" s="18" t="str">
        <x:v>西日本旅客鉄道</x:v>
      </x:c>
      <x:c r="C2111" s="18" t="str">
        <x:v>conventional_rail</x:v>
      </x:c>
      <x:c r="D2111" s="19" t="str">
        <x:v>T2</x:v>
      </x:c>
      <x:c r="E2111" s="20" t="n">
        <x:v>37492</x:v>
      </x:c>
      <x:c r="F2111" s="18" t="str">
        <x:v>persons/day</x:v>
      </x:c>
      <x:c r="G2111" s="18" t="str">
        <x:v>FY2024</x:v>
      </x:c>
      <x:c r="H2111" s="18" t="str">
        <x:v>否</x:v>
      </x:c>
      <x:c r="I2111" s="19" t="str">
        <x:v>DAILY_ENTRIES_EXITS</x:v>
      </x:c>
      <x:c r="J2111" s="19" t="str">
        <x:v>東海道線</x:v>
      </x:c>
      <x:c r="K2111" s="18" t="str">
        <x:v>transport-node:0d78cb63-6af5-565e-a2f2-bfafda4362b1</x:v>
      </x:c>
      <x:c r="L2111" s="19" t="str">
        <x:v>组件待审核</x:v>
      </x:c>
      <x:c r="M2111" s="21" t="n">
        <x:v>34.9235</x:v>
      </x:c>
      <x:c r="N2111" s="21" t="n">
        <x:v>135.7009</x:v>
      </x:c>
      <x:c r="O2111" s="18" t="str">
        <x:v>006258</x:v>
      </x:c>
      <x:c r="P2111" s="18" t="str">
        <x:v>東海道線</x:v>
      </x:c>
      <x:c r="Q2111" s="19" t="str">
        <x:v>S12_061_GE_10000</x:v>
      </x:c>
      <x:c r="R2111" s="19" t="str">
        <x:v>S12_061 usage threshold</x:v>
      </x:c>
      <x:c r="S2111" s="19" t="str">
        <x:v>https://nlftp.mlit.go.jp/ksj/gml/datalist/KsjTmplt-S12-2024.html</x:v>
      </x:c>
      <x:c r="T2111" s="19" t="str">
        <x:v>https://nlftp.mlit.go.jp/ksj/gml/datalist/KsjTmplt-S12-2024.html</x:v>
      </x:c>
      <x:c r="U2111" s="19" t="str">
        <x:v>station-component|長岡京|西日本旅客鉄道|conventional_rail|34.9235|135.7009|</x:v>
      </x:c>
      <x:c r="V2111" s="19" t="str">
        <x:v>006258 / 006258 / 東海道線</x:v>
      </x:c>
      <x:c r="W2111" s="18" t="str">
        <x:v>否</x:v>
      </x:c>
      <x:c r="X2111" s="18" t="str">
        <x:v>0785e932a32b3ec15e1a1345537ae145eafe1c07bf38d5c16c11ee2b391e7a28</x:v>
      </x:c>
      <x:c r="Y2111" s="20" t="n">
        <x:v>1</x:v>
      </x:c>
      <x:c r="Z2111" s="20" t="n">
        <x:v>1</x:v>
      </x:c>
      <x:c r="AA2111" s="19"/>
      <x:c r="AB2111" s="18"/>
      <x:c r="AC2111" s="19"/>
    </x:row>
    <x:row r="2112" ht="28" customHeight="1">
      <x:c r="A2112" s="18" t="str">
        <x:v>長岡天神</x:v>
      </x:c>
      <x:c r="B2112" s="18" t="str">
        <x:v>阪急電鉄</x:v>
      </x:c>
      <x:c r="C2112" s="18" t="str">
        <x:v>private_rail</x:v>
      </x:c>
      <x:c r="D2112" s="19" t="str">
        <x:v>T2</x:v>
      </x:c>
      <x:c r="E2112" s="20" t="n">
        <x:v>22224</x:v>
      </x:c>
      <x:c r="F2112" s="18" t="str">
        <x:v>persons/day</x:v>
      </x:c>
      <x:c r="G2112" s="18" t="str">
        <x:v>FY2024</x:v>
      </x:c>
      <x:c r="H2112" s="18" t="str">
        <x:v>否</x:v>
      </x:c>
      <x:c r="I2112" s="19" t="str">
        <x:v>DAILY_ENTRIES_EXITS</x:v>
      </x:c>
      <x:c r="J2112" s="19" t="str">
        <x:v>京都線</x:v>
      </x:c>
      <x:c r="K2112" s="18" t="str">
        <x:v>transport-node:f5f93491-aa50-5f19-a5f2-1f5cfa8e2b7d</x:v>
      </x:c>
      <x:c r="L2112" s="19" t="str">
        <x:v>组件待审核</x:v>
      </x:c>
      <x:c r="M2112" s="21" t="n">
        <x:v>34.92488</x:v>
      </x:c>
      <x:c r="N2112" s="21" t="n">
        <x:v>135.69246</x:v>
      </x:c>
      <x:c r="O2112" s="18" t="str">
        <x:v>006253</x:v>
      </x:c>
      <x:c r="P2112" s="18" t="str">
        <x:v>京都線</x:v>
      </x:c>
      <x:c r="Q2112" s="19" t="str">
        <x:v>S12_061_GE_10000</x:v>
      </x:c>
      <x:c r="R2112" s="19" t="str">
        <x:v>S12_061 usage threshold</x:v>
      </x:c>
      <x:c r="S2112" s="19" t="str">
        <x:v>https://nlftp.mlit.go.jp/ksj/gml/datalist/KsjTmplt-S12-2024.html</x:v>
      </x:c>
      <x:c r="T2112" s="19" t="str">
        <x:v>https://nlftp.mlit.go.jp/ksj/gml/datalist/KsjTmplt-S12-2024.html</x:v>
      </x:c>
      <x:c r="U2112" s="19" t="str">
        <x:v>station-component|長岡天神|阪急電鉄|private_rail|34.9249|135.6925|</x:v>
      </x:c>
      <x:c r="V2112" s="19" t="str">
        <x:v>006253 / 006253 / 京都線</x:v>
      </x:c>
      <x:c r="W2112" s="18" t="str">
        <x:v>否</x:v>
      </x:c>
      <x:c r="X2112" s="18" t="str">
        <x:v>0785e932a32b3ec15e1a1345537ae145eafe1c07bf38d5c16c11ee2b391e7a28</x:v>
      </x:c>
      <x:c r="Y2112" s="20" t="n">
        <x:v>1</x:v>
      </x:c>
      <x:c r="Z2112" s="20" t="n">
        <x:v>1</x:v>
      </x:c>
      <x:c r="AA2112" s="19"/>
      <x:c r="AB2112" s="18"/>
      <x:c r="AC2112" s="19"/>
    </x:row>
    <x:row r="2113" ht="28" customHeight="1">
      <x:c r="A2113" s="18" t="str">
        <x:v>長崎</x:v>
      </x:c>
      <x:c r="B2113" s="18" t="str">
        <x:v>九州旅客鉄道</x:v>
      </x:c>
      <x:c r="C2113" s="18" t="str">
        <x:v>conventional_rail</x:v>
      </x:c>
      <x:c r="D2113" s="19" t="str">
        <x:v>T2</x:v>
      </x:c>
      <x:c r="E2113" s="20" t="n">
        <x:v>18982</x:v>
      </x:c>
      <x:c r="F2113" s="18" t="str">
        <x:v>persons/day</x:v>
      </x:c>
      <x:c r="G2113" s="18" t="str">
        <x:v>FY2024</x:v>
      </x:c>
      <x:c r="H2113" s="18" t="str">
        <x:v>否</x:v>
      </x:c>
      <x:c r="I2113" s="19" t="str">
        <x:v>DAILY_ENTRIES_EXITS</x:v>
      </x:c>
      <x:c r="J2113" s="19" t="str">
        <x:v>長崎線</x:v>
      </x:c>
      <x:c r="K2113" s="18" t="str">
        <x:v>transport-node:b98b3fc8-e54f-5e63-8b31-bb9ef6089add</x:v>
      </x:c>
      <x:c r="L2113" s="19" t="str">
        <x:v>组件待审核</x:v>
      </x:c>
      <x:c r="M2113" s="21" t="n">
        <x:v>32.7524238</x:v>
      </x:c>
      <x:c r="N2113" s="21" t="n">
        <x:v>129.8686938</x:v>
      </x:c>
      <x:c r="O2113" s="18" t="str">
        <x:v>009823</x:v>
      </x:c>
      <x:c r="P2113" s="18" t="str">
        <x:v>長崎線</x:v>
      </x:c>
      <x:c r="Q2113" s="19" t="str">
        <x:v>S12_061_GE_10000</x:v>
      </x:c>
      <x:c r="R2113" s="19" t="str">
        <x:v>S12_061 usage threshold</x:v>
      </x:c>
      <x:c r="S2113" s="19" t="str">
        <x:v>https://nlftp.mlit.go.jp/ksj/gml/datalist/KsjTmplt-S12-2024.html</x:v>
      </x:c>
      <x:c r="T2113" s="19" t="str">
        <x:v>https://nlftp.mlit.go.jp/ksj/gml/datalist/KsjTmplt-S12-2024.html</x:v>
      </x:c>
      <x:c r="U2113" s="19" t="str">
        <x:v>station-component|長崎|九州旅客鉄道|conventional_rail|32.7524|129.8687|</x:v>
      </x:c>
      <x:c r="V2113" s="19" t="str">
        <x:v>009822 / 009823 / 長崎線</x:v>
      </x:c>
      <x:c r="W2113" s="18" t="str">
        <x:v>否</x:v>
      </x:c>
      <x:c r="X2113" s="18" t="str">
        <x:v>0785e932a32b3ec15e1a1345537ae145eafe1c07bf38d5c16c11ee2b391e7a28</x:v>
      </x:c>
      <x:c r="Y2113" s="20" t="n">
        <x:v>1</x:v>
      </x:c>
      <x:c r="Z2113" s="20" t="n">
        <x:v>1</x:v>
      </x:c>
      <x:c r="AA2113" s="19"/>
      <x:c r="AB2113" s="18"/>
      <x:c r="AC2113" s="19"/>
    </x:row>
    <x:row r="2114" ht="33" customHeight="1">
      <x:c r="A2114" s="18" t="str">
        <x:v>長崎</x:v>
      </x:c>
      <x:c r="B2114" s="18" t="str">
        <x:v>九州旅客鉄道</x:v>
      </x:c>
      <x:c r="C2114" s="18" t="str">
        <x:v>shinkansen</x:v>
      </x:c>
      <x:c r="D2114" s="19"/>
      <x:c r="E2114" s="20" t="n">
        <x:v>9492</x:v>
      </x:c>
      <x:c r="F2114" s="18" t="str">
        <x:v>boardings/day</x:v>
      </x:c>
      <x:c r="G2114" s="18" t="str">
        <x:v>FY2024</x:v>
      </x:c>
      <x:c r="H2114" s="18" t="str">
        <x:v>是</x:v>
      </x:c>
      <x:c r="I2114" s="19" t="str">
        <x:v>STATION_COMPLEX_PROXY</x:v>
      </x:c>
      <x:c r="J2114" s="19" t="str">
        <x:v>西九州新幹線</x:v>
      </x:c>
      <x:c r="K2114" s="18" t="str">
        <x:v>transport-node:54598e55-3218-5d17-beb1-39a23a391d91</x:v>
      </x:c>
      <x:c r="L2114" s="19" t="str">
        <x:v>组件待审核</x:v>
      </x:c>
      <x:c r="M2114" s="21" t="n">
        <x:v>32.7524428</x:v>
      </x:c>
      <x:c r="N2114" s="21" t="n">
        <x:v>129.8690786</x:v>
      </x:c>
      <x:c r="O2114" s="18" t="str">
        <x:v>009822</x:v>
      </x:c>
      <x:c r="P2114" s="18" t="str">
        <x:v>西九州新幹線</x:v>
      </x:c>
      <x:c r="Q2114" s="19" t="str">
        <x:v>SHINKANSEN</x:v>
      </x:c>
      <x:c r="R2114" s="19" t="str">
        <x:v>Official fallback retained in published scope/unit; tier remains null pending metric/manual review.</x:v>
      </x:c>
      <x:c r="S2114" s="19" t="str">
        <x:v>https://www.jrkyushu.co.jp/company/info/data/pdf/2024ekibetsu.pdf</x:v>
      </x:c>
      <x:c r="T2114" s="19" t="str">
        <x:v>https://nlftp.mlit.go.jp/ksj/gml/datalist/KsjTmplt-S12-2024.html
https://www.jrkyushu.co.jp/company/info/data/pdf/2024ekibetsu.pdf</x:v>
      </x:c>
      <x:c r="U2114" s="19" t="str">
        <x:v>station-component|長崎|九州旅客鉄道|shinkansen|32.7524|129.8691|</x:v>
      </x:c>
      <x:c r="V2114" s="19" t="str">
        <x:v>009822 / 009822 / 西九州新幹線</x:v>
      </x:c>
      <x:c r="W2114" s="18" t="str">
        <x:v>否</x:v>
      </x:c>
      <x:c r="X2114" s="18" t="str">
        <x:v>0785e932a32b3ec15e1a1345537ae145eafe1c07bf38d5c16c11ee2b391e7a28</x:v>
      </x:c>
      <x:c r="Y2114" s="20" t="n">
        <x:v>1</x:v>
      </x:c>
      <x:c r="Z2114" s="20" t="n">
        <x:v>2</x:v>
      </x:c>
      <x:c r="AA2114" s="19"/>
      <x:c r="AB2114" s="18"/>
      <x:c r="AC2114" s="19"/>
    </x:row>
    <x:row r="2115" ht="28" customHeight="1">
      <x:c r="A2115" s="18" t="str">
        <x:v>長後</x:v>
      </x:c>
      <x:c r="B2115" s="18" t="str">
        <x:v>小田急電鉄</x:v>
      </x:c>
      <x:c r="C2115" s="18" t="str">
        <x:v>private_rail</x:v>
      </x:c>
      <x:c r="D2115" s="19" t="str">
        <x:v>T2</x:v>
      </x:c>
      <x:c r="E2115" s="20" t="n">
        <x:v>31840</x:v>
      </x:c>
      <x:c r="F2115" s="18" t="str">
        <x:v>persons/day</x:v>
      </x:c>
      <x:c r="G2115" s="18" t="str">
        <x:v>FY2024</x:v>
      </x:c>
      <x:c r="H2115" s="18" t="str">
        <x:v>否</x:v>
      </x:c>
      <x:c r="I2115" s="19" t="str">
        <x:v>DAILY_ENTRIES_EXITS</x:v>
      </x:c>
      <x:c r="J2115" s="19" t="str">
        <x:v>江ノ島線</x:v>
      </x:c>
      <x:c r="K2115" s="18" t="str">
        <x:v>transport-node:cef5643c-b0f6-542f-a557-f197f3a5b99d</x:v>
      </x:c>
      <x:c r="L2115" s="19" t="str">
        <x:v>组件待审核</x:v>
      </x:c>
      <x:c r="M2115" s="21" t="n">
        <x:v>35.41225</x:v>
      </x:c>
      <x:c r="N2115" s="21" t="n">
        <x:v>139.465325</x:v>
      </x:c>
      <x:c r="O2115" s="18" t="str">
        <x:v>004782</x:v>
      </x:c>
      <x:c r="P2115" s="18" t="str">
        <x:v>江ノ島線</x:v>
      </x:c>
      <x:c r="Q2115" s="19" t="str">
        <x:v>S12_061_GE_10000</x:v>
      </x:c>
      <x:c r="R2115" s="19" t="str">
        <x:v>S12_061 usage threshold</x:v>
      </x:c>
      <x:c r="S2115" s="19" t="str">
        <x:v>https://nlftp.mlit.go.jp/ksj/gml/datalist/KsjTmplt-S12-2024.html</x:v>
      </x:c>
      <x:c r="T2115" s="19" t="str">
        <x:v>https://nlftp.mlit.go.jp/ksj/gml/datalist/KsjTmplt-S12-2024.html</x:v>
      </x:c>
      <x:c r="U2115" s="19" t="str">
        <x:v>station-component|長後|小田急電鉄|private_rail|35.4123|139.4653|</x:v>
      </x:c>
      <x:c r="V2115" s="19" t="str">
        <x:v>004782 / 004782 / 江ノ島線</x:v>
      </x:c>
      <x:c r="W2115" s="18" t="str">
        <x:v>否</x:v>
      </x:c>
      <x:c r="X2115" s="18" t="str">
        <x:v>0785e932a32b3ec15e1a1345537ae145eafe1c07bf38d5c16c11ee2b391e7a28</x:v>
      </x:c>
      <x:c r="Y2115" s="20" t="n">
        <x:v>1</x:v>
      </x:c>
      <x:c r="Z2115" s="20" t="n">
        <x:v>1</x:v>
      </x:c>
      <x:c r="AA2115" s="19"/>
      <x:c r="AB2115" s="18"/>
      <x:c r="AC2115" s="19"/>
    </x:row>
    <x:row r="2116" ht="33" customHeight="1">
      <x:c r="A2116" s="18" t="str">
        <x:v>長津田</x:v>
      </x:c>
      <x:c r="B2116" s="18" t="str">
        <x:v>東急電鉄</x:v>
      </x:c>
      <x:c r="C2116" s="18" t="str">
        <x:v>private_rail</x:v>
      </x:c>
      <x:c r="D2116" s="19" t="str">
        <x:v>T1</x:v>
      </x:c>
      <x:c r="E2116" s="20" t="n">
        <x:v>128315</x:v>
      </x:c>
      <x:c r="F2116" s="18" t="str">
        <x:v>persons/day</x:v>
      </x:c>
      <x:c r="G2116" s="18" t="str">
        <x:v>FY2024</x:v>
      </x:c>
      <x:c r="H2116" s="18" t="str">
        <x:v>否</x:v>
      </x:c>
      <x:c r="I2116" s="19" t="str">
        <x:v>DAILY_ENTRIES_EXITS</x:v>
      </x:c>
      <x:c r="J2116" s="19" t="str">
        <x:v>こどもの国線
田園都市線</x:v>
      </x:c>
      <x:c r="K2116" s="18" t="str">
        <x:v>transport-node:ae6628d1-8aff-53fc-98b7-0b0a41265aa1</x:v>
      </x:c>
      <x:c r="L2116" s="19" t="str">
        <x:v>组件待审核</x:v>
      </x:c>
      <x:c r="M2116" s="21" t="n">
        <x:v>35.53183</x:v>
      </x:c>
      <x:c r="N2116" s="21" t="n">
        <x:v>139.494245</x:v>
      </x:c>
      <x:c r="O2116" s="18" t="str">
        <x:v>004430</x:v>
      </x:c>
      <x:c r="P2116" s="18" t="str">
        <x:v>田園都市線</x:v>
      </x:c>
      <x:c r="Q2116" s="19" t="str">
        <x:v>S12_061_GE_10000</x:v>
      </x:c>
      <x:c r="R2116" s="19" t="str">
        <x:v>S12_061 usage threshold</x:v>
      </x:c>
      <x:c r="S2116" s="19" t="str">
        <x:v>https://nlftp.mlit.go.jp/ksj/gml/datalist/KsjTmplt-S12-2024.html</x:v>
      </x:c>
      <x:c r="T2116" s="19" t="str">
        <x:v>https://nlftp.mlit.go.jp/ksj/gml/datalist/KsjTmplt-S12-2024.html</x:v>
      </x:c>
      <x:c r="U2116" s="19" t="str">
        <x:v>station-component|長津田|東急電鉄|private_rail|35.5318|139.4942|</x:v>
      </x:c>
      <x:c r="V2116" s="19" t="str">
        <x:v>004430 / 004429 / こどもの国線
004430 / 004430 / 田園都市線</x:v>
      </x:c>
      <x:c r="W2116" s="18" t="str">
        <x:v>否</x:v>
      </x:c>
      <x:c r="X2116" s="18" t="str">
        <x:v>0785e932a32b3ec15e1a1345537ae145eafe1c07bf38d5c16c11ee2b391e7a28</x:v>
      </x:c>
      <x:c r="Y2116" s="20" t="n">
        <x:v>1</x:v>
      </x:c>
      <x:c r="Z2116" s="20" t="n">
        <x:v>1</x:v>
      </x:c>
      <x:c r="AA2116" s="19"/>
      <x:c r="AB2116" s="18"/>
      <x:c r="AC2116" s="19"/>
    </x:row>
    <x:row r="2117" ht="28" customHeight="1">
      <x:c r="A2117" s="18" t="str">
        <x:v>長津田</x:v>
      </x:c>
      <x:c r="B2117" s="18" t="str">
        <x:v>東日本旅客鉄道</x:v>
      </x:c>
      <x:c r="C2117" s="18" t="str">
        <x:v>conventional_rail</x:v>
      </x:c>
      <x:c r="D2117" s="19" t="str">
        <x:v>T1</x:v>
      </x:c>
      <x:c r="E2117" s="20" t="n">
        <x:v>112422</x:v>
      </x:c>
      <x:c r="F2117" s="18" t="str">
        <x:v>persons/day</x:v>
      </x:c>
      <x:c r="G2117" s="18" t="str">
        <x:v>FY2024</x:v>
      </x:c>
      <x:c r="H2117" s="18" t="str">
        <x:v>否</x:v>
      </x:c>
      <x:c r="I2117" s="19" t="str">
        <x:v>DAILY_ENTRIES_EXITS</x:v>
      </x:c>
      <x:c r="J2117" s="19" t="str">
        <x:v>横浜線</x:v>
      </x:c>
      <x:c r="K2117" s="18" t="str">
        <x:v>transport-node:3ae4954f-d99b-5e4b-a83f-b388c8cd38d6</x:v>
      </x:c>
      <x:c r="L2117" s="19" t="str">
        <x:v>组件待审核</x:v>
      </x:c>
      <x:c r="M2117" s="21" t="n">
        <x:v>35.5316325</x:v>
      </x:c>
      <x:c r="N2117" s="21" t="n">
        <x:v>139.4952575</x:v>
      </x:c>
      <x:c r="O2117" s="18" t="str">
        <x:v>004431</x:v>
      </x:c>
      <x:c r="P2117" s="18" t="str">
        <x:v>横浜線</x:v>
      </x:c>
      <x:c r="Q2117" s="19" t="str">
        <x:v>S12_061_GE_10000</x:v>
      </x:c>
      <x:c r="R2117" s="19" t="str">
        <x:v>S12_061 usage threshold</x:v>
      </x:c>
      <x:c r="S2117" s="19" t="str">
        <x:v>https://nlftp.mlit.go.jp/ksj/gml/datalist/KsjTmplt-S12-2024.html</x:v>
      </x:c>
      <x:c r="T2117" s="19" t="str">
        <x:v>https://nlftp.mlit.go.jp/ksj/gml/datalist/KsjTmplt-S12-2024.html</x:v>
      </x:c>
      <x:c r="U2117" s="19" t="str">
        <x:v>station-component|長津田|東日本旅客鉄道|conventional_rail|35.5316|139.4953|</x:v>
      </x:c>
      <x:c r="V2117" s="19" t="str">
        <x:v>004430 / 004431 / 横浜線</x:v>
      </x:c>
      <x:c r="W2117" s="18" t="str">
        <x:v>否</x:v>
      </x:c>
      <x:c r="X2117" s="18" t="str">
        <x:v>0785e932a32b3ec15e1a1345537ae145eafe1c07bf38d5c16c11ee2b391e7a28</x:v>
      </x:c>
      <x:c r="Y2117" s="20" t="n">
        <x:v>1</x:v>
      </x:c>
      <x:c r="Z2117" s="20" t="n">
        <x:v>1</x:v>
      </x:c>
      <x:c r="AA2117" s="19"/>
      <x:c r="AB2117" s="18"/>
      <x:c r="AC2117" s="19"/>
    </x:row>
    <x:row r="2118" ht="28" customHeight="1">
      <x:c r="A2118" s="18" t="str">
        <x:v>長浦</x:v>
      </x:c>
      <x:c r="B2118" s="18" t="str">
        <x:v>東日本旅客鉄道</x:v>
      </x:c>
      <x:c r="C2118" s="18" t="str">
        <x:v>conventional_rail</x:v>
      </x:c>
      <x:c r="D2118" s="19" t="str">
        <x:v>T2</x:v>
      </x:c>
      <x:c r="E2118" s="20" t="n">
        <x:v>11440</x:v>
      </x:c>
      <x:c r="F2118" s="18" t="str">
        <x:v>persons/day</x:v>
      </x:c>
      <x:c r="G2118" s="18" t="str">
        <x:v>FY2024</x:v>
      </x:c>
      <x:c r="H2118" s="18" t="str">
        <x:v>否</x:v>
      </x:c>
      <x:c r="I2118" s="19" t="str">
        <x:v>DAILY_ENTRIES_EXITS</x:v>
      </x:c>
      <x:c r="J2118" s="19" t="str">
        <x:v>内房線</x:v>
      </x:c>
      <x:c r="K2118" s="18" t="str">
        <x:v>transport-node:f151b87d-84ac-5a6f-9757-6c1c2eb14aaa</x:v>
      </x:c>
      <x:c r="L2118" s="19" t="str">
        <x:v>组件待审核</x:v>
      </x:c>
      <x:c r="M2118" s="21" t="n">
        <x:v>35.450285</x:v>
      </x:c>
      <x:c r="N2118" s="21" t="n">
        <x:v>139.995425</x:v>
      </x:c>
      <x:c r="O2118" s="18" t="str">
        <x:v>004677</x:v>
      </x:c>
      <x:c r="P2118" s="18" t="str">
        <x:v>内房線</x:v>
      </x:c>
      <x:c r="Q2118" s="19" t="str">
        <x:v>S12_061_GE_10000</x:v>
      </x:c>
      <x:c r="R2118" s="19" t="str">
        <x:v>S12_061 usage threshold</x:v>
      </x:c>
      <x:c r="S2118" s="19" t="str">
        <x:v>https://nlftp.mlit.go.jp/ksj/gml/datalist/KsjTmplt-S12-2024.html</x:v>
      </x:c>
      <x:c r="T2118" s="19" t="str">
        <x:v>https://nlftp.mlit.go.jp/ksj/gml/datalist/KsjTmplt-S12-2024.html</x:v>
      </x:c>
      <x:c r="U2118" s="19" t="str">
        <x:v>station-component|長浦|東日本旅客鉄道|conventional_rail|35.4503|139.9954|</x:v>
      </x:c>
      <x:c r="V2118" s="19" t="str">
        <x:v>004677 / 004677 / 内房線</x:v>
      </x:c>
      <x:c r="W2118" s="18" t="str">
        <x:v>否</x:v>
      </x:c>
      <x:c r="X2118" s="18" t="str">
        <x:v>0785e932a32b3ec15e1a1345537ae145eafe1c07bf38d5c16c11ee2b391e7a28</x:v>
      </x:c>
      <x:c r="Y2118" s="20" t="n">
        <x:v>1</x:v>
      </x:c>
      <x:c r="Z2118" s="20" t="n">
        <x:v>1</x:v>
      </x:c>
      <x:c r="AA2118" s="19"/>
      <x:c r="AB2118" s="18"/>
      <x:c r="AC2118" s="19"/>
    </x:row>
    <x:row r="2119" ht="28" customHeight="1">
      <x:c r="A2119" s="18" t="str">
        <x:v>長瀬</x:v>
      </x:c>
      <x:c r="B2119" s="18" t="str">
        <x:v>近畿日本鉄道</x:v>
      </x:c>
      <x:c r="C2119" s="18" t="str">
        <x:v>private_rail</x:v>
      </x:c>
      <x:c r="D2119" s="19" t="str">
        <x:v>T2</x:v>
      </x:c>
      <x:c r="E2119" s="20" t="n">
        <x:v>27692</x:v>
      </x:c>
      <x:c r="F2119" s="18" t="str">
        <x:v>persons/day</x:v>
      </x:c>
      <x:c r="G2119" s="18" t="str">
        <x:v>FY2024</x:v>
      </x:c>
      <x:c r="H2119" s="18" t="str">
        <x:v>否</x:v>
      </x:c>
      <x:c r="I2119" s="19" t="str">
        <x:v>DAILY_ENTRIES_EXITS</x:v>
      </x:c>
      <x:c r="J2119" s="19" t="str">
        <x:v>大阪線</x:v>
      </x:c>
      <x:c r="K2119" s="18" t="str">
        <x:v>transport-node:bc65099e-18ad-52c7-95db-60aa32606f2c</x:v>
      </x:c>
      <x:c r="L2119" s="19" t="str">
        <x:v>组件待审核</x:v>
      </x:c>
      <x:c r="M2119" s="21" t="n">
        <x:v>34.649855</x:v>
      </x:c>
      <x:c r="N2119" s="21" t="n">
        <x:v>135.57761</x:v>
      </x:c>
      <x:c r="O2119" s="18" t="str">
        <x:v>007425</x:v>
      </x:c>
      <x:c r="P2119" s="18" t="str">
        <x:v>大阪線</x:v>
      </x:c>
      <x:c r="Q2119" s="19" t="str">
        <x:v>S12_061_GE_10000</x:v>
      </x:c>
      <x:c r="R2119" s="19" t="str">
        <x:v>S12_061 usage threshold</x:v>
      </x:c>
      <x:c r="S2119" s="19" t="str">
        <x:v>https://nlftp.mlit.go.jp/ksj/gml/datalist/KsjTmplt-S12-2024.html</x:v>
      </x:c>
      <x:c r="T2119" s="19" t="str">
        <x:v>https://nlftp.mlit.go.jp/ksj/gml/datalist/KsjTmplt-S12-2024.html</x:v>
      </x:c>
      <x:c r="U2119" s="19" t="str">
        <x:v>station-component|長瀬|近畿日本鉄道|private_rail|34.6499|135.5776|</x:v>
      </x:c>
      <x:c r="V2119" s="19" t="str">
        <x:v>007425 / 007425 / 大阪線</x:v>
      </x:c>
      <x:c r="W2119" s="18" t="str">
        <x:v>否</x:v>
      </x:c>
      <x:c r="X2119" s="18" t="str">
        <x:v>0785e932a32b3ec15e1a1345537ae145eafe1c07bf38d5c16c11ee2b391e7a28</x:v>
      </x:c>
      <x:c r="Y2119" s="20" t="n">
        <x:v>1</x:v>
      </x:c>
      <x:c r="Z2119" s="20" t="n">
        <x:v>1</x:v>
      </x:c>
      <x:c r="AA2119" s="19"/>
      <x:c r="AB2119" s="18"/>
      <x:c r="AC2119" s="19"/>
    </x:row>
    <x:row r="2120" ht="33" customHeight="1">
      <x:c r="A2120" s="18" t="str">
        <x:v>長田</x:v>
      </x:c>
      <x:c r="B2120" s="18" t="str">
        <x:v>大阪市高速電気軌道</x:v>
      </x:c>
      <x:c r="C2120" s="18" t="str">
        <x:v>metro</x:v>
      </x:c>
      <x:c r="D2120" s="19" t="str">
        <x:v>T2</x:v>
      </x:c>
      <x:c r="E2120" s="20" t="n">
        <x:v>18887</x:v>
      </x:c>
      <x:c r="F2120" s="18" t="str">
        <x:v>persons/day</x:v>
      </x:c>
      <x:c r="G2120" s="18" t="str">
        <x:v>FY2024</x:v>
      </x:c>
      <x:c r="H2120" s="18" t="str">
        <x:v>否</x:v>
      </x:c>
      <x:c r="I2120" s="19" t="str">
        <x:v>DAILY_ENTRIES_EXITS</x:v>
      </x:c>
      <x:c r="J2120" s="19" t="str">
        <x:v>4号線(中央線)</x:v>
      </x:c>
      <x:c r="K2120" s="18" t="str">
        <x:v>transport-node:d60f1ade-c851-51c8-b6eb-0135539477ee</x:v>
      </x:c>
      <x:c r="L2120" s="19" t="str">
        <x:v>组件待审核</x:v>
      </x:c>
      <x:c r="M2120" s="21" t="n">
        <x:v>34.678755</x:v>
      </x:c>
      <x:c r="N2120" s="21" t="n">
        <x:v>135.591965</x:v>
      </x:c>
      <x:c r="O2120" s="18" t="str">
        <x:v>007232</x:v>
      </x:c>
      <x:c r="P2120" s="18" t="str">
        <x:v>4号線(中央線)</x:v>
      </x:c>
      <x:c r="Q2120" s="19" t="str">
        <x:v>S12_061_GE_10000
OFFICIAL_HUB_COMPONENT_REVIEW</x:v>
      </x:c>
      <x:c r="R2120" s="19" t="str">
        <x:v>S12_061 usage threshold</x:v>
      </x:c>
      <x:c r="S2120" s="19" t="str">
        <x:v>https://nlftp.mlit.go.jp/ksj/gml/datalist/KsjTmplt-S12-2024.html</x:v>
      </x:c>
      <x:c r="T2120" s="19" t="str">
        <x:v>https://nlftp.mlit.go.jp/ksj/gml/datalist/KsjTmplt-S12-2024.html
https://subway.osakametro.co.jp/station_guide/C/c23/index.php</x:v>
      </x:c>
      <x:c r="U2120" s="19" t="str">
        <x:v>station-component|長田|大阪市高速電気軌道|metro|34.6788|135.5920|</x:v>
      </x:c>
      <x:c r="V2120" s="19" t="str">
        <x:v>007232 / 007232 / 4号線(中央線)</x:v>
      </x:c>
      <x:c r="W2120" s="18" t="str">
        <x:v>否</x:v>
      </x:c>
      <x:c r="X2120" s="18" t="str">
        <x:v>0785e932a32b3ec15e1a1345537ae145eafe1c07bf38d5c16c11ee2b391e7a28</x:v>
      </x:c>
      <x:c r="Y2120" s="20" t="n">
        <x:v>1</x:v>
      </x:c>
      <x:c r="Z2120" s="20" t="n">
        <x:v>1</x:v>
      </x:c>
      <x:c r="AA2120" s="19" t="str">
        <x:v>長田</x:v>
      </x:c>
      <x:c r="AB2120" s="18" t="str">
        <x:v>transport-hub-review:18275a82-4224-5246-ba22-169c73dcf464</x:v>
      </x:c>
      <x:c r="AC2120" s="19"/>
    </x:row>
    <x:row r="2121" ht="33" customHeight="1">
      <x:c r="A2121" s="18" t="str">
        <x:v>長田</x:v>
      </x:c>
      <x:c r="B2121" s="18" t="str">
        <x:v>近畿日本鉄道</x:v>
      </x:c>
      <x:c r="C2121" s="18" t="str">
        <x:v>private_rail</x:v>
      </x:c>
      <x:c r="D2121" s="19"/>
      <x:c r="E2121" s="20"/>
      <x:c r="F2121" s="18"/>
      <x:c r="G2121" s="18" t="str">
        <x:v>FY2024</x:v>
      </x:c>
      <x:c r="H2121" s="18" t="str">
        <x:v>是</x:v>
      </x:c>
      <x:c r="I2121" s="19" t="str">
        <x:v>USAGE_DATA_UNAVAILABLE</x:v>
      </x:c>
      <x:c r="J2121" s="19" t="str">
        <x:v>けいはんな線</x:v>
      </x:c>
      <x:c r="K2121" s="18" t="str">
        <x:v>transport-node:f960791b-775a-5e3f-8632-a9d2fbe924ef</x:v>
      </x:c>
      <x:c r="L2121" s="19" t="str">
        <x:v>组件待审核</x:v>
      </x:c>
      <x:c r="M2121" s="21" t="n">
        <x:v>34.678755</x:v>
      </x:c>
      <x:c r="N2121" s="21" t="n">
        <x:v>135.591965</x:v>
      </x:c>
      <x:c r="O2121" s="18" t="str">
        <x:v>007233</x:v>
      </x:c>
      <x:c r="P2121" s="18" t="str">
        <x:v>けいはんな線</x:v>
      </x:c>
      <x:c r="Q2121" s="19" t="str">
        <x:v>OFFICIAL_HUB_COMPONENT_REVIEW</x:v>
      </x:c>
      <x:c r="R2121" s="19" t="str">
        <x:v>Official S12 usage unavailable; manual tier review required</x:v>
      </x:c>
      <x:c r="S2121" s="19" t="str">
        <x:v>https://nlftp.mlit.go.jp/ksj/gml/datalist/KsjTmplt-S12-2024.html</x:v>
      </x:c>
      <x:c r="T2121" s="19" t="str">
        <x:v>https://nlftp.mlit.go.jp/ksj/gml/datalist/KsjTmplt-S12-2024.html
https://subway.osakametro.co.jp/station_guide/C/c23/index.php</x:v>
      </x:c>
      <x:c r="U2121" s="19" t="str">
        <x:v>station-component|長田|近畿日本鉄道|private_rail|34.6788|135.5920|</x:v>
      </x:c>
      <x:c r="V2121" s="19" t="str">
        <x:v>007232 / 007233 / けいはんな線</x:v>
      </x:c>
      <x:c r="W2121" s="18" t="str">
        <x:v>否</x:v>
      </x:c>
      <x:c r="X2121" s="18" t="str">
        <x:v>0785e932a32b3ec15e1a1345537ae145eafe1c07bf38d5c16c11ee2b391e7a28</x:v>
      </x:c>
      <x:c r="Y2121" s="20" t="n">
        <x:v>1</x:v>
      </x:c>
      <x:c r="Z2121" s="20" t="n">
        <x:v>2</x:v>
      </x:c>
      <x:c r="AA2121" s="19" t="str">
        <x:v>長田</x:v>
      </x:c>
      <x:c r="AB2121" s="18" t="str">
        <x:v>transport-hub-review:18275a82-4224-5246-ba22-169c73dcf464</x:v>
      </x:c>
      <x:c r="AC2121" s="19"/>
    </x:row>
    <x:row r="2122" ht="33" customHeight="1">
      <x:c r="A2122" s="18" t="str">
        <x:v>長町</x:v>
      </x:c>
      <x:c r="B2122" s="18" t="str">
        <x:v>仙台市</x:v>
      </x:c>
      <x:c r="C2122" s="18" t="str">
        <x:v>metro</x:v>
      </x:c>
      <x:c r="D2122" s="19" t="str">
        <x:v>T3</x:v>
      </x:c>
      <x:c r="E2122" s="20" t="n">
        <x:v>9107</x:v>
      </x:c>
      <x:c r="F2122" s="18" t="str">
        <x:v>persons/day</x:v>
      </x:c>
      <x:c r="G2122" s="18" t="str">
        <x:v>FY2024</x:v>
      </x:c>
      <x:c r="H2122" s="18" t="str">
        <x:v>否</x:v>
      </x:c>
      <x:c r="I2122" s="19" t="str">
        <x:v>DAILY_ENTRIES_EXITS</x:v>
      </x:c>
      <x:c r="J2122" s="19" t="str">
        <x:v>南北線</x:v>
      </x:c>
      <x:c r="K2122" s="18" t="str">
        <x:v>transport-node:0f68bb86-3185-5df1-b137-4a31e2d18d89</x:v>
      </x:c>
      <x:c r="L2122" s="19" t="str">
        <x:v>组件待审核</x:v>
      </x:c>
      <x:c r="M2122" s="21" t="n">
        <x:v>38.22862</x:v>
      </x:c>
      <x:c r="N2122" s="21" t="n">
        <x:v>140.88478</x:v>
      </x:c>
      <x:c r="O2122" s="18" t="str">
        <x:v>001200</x:v>
      </x:c>
      <x:c r="P2122" s="18" t="str">
        <x:v>南北線</x:v>
      </x:c>
      <x:c r="Q2122" s="19" t="str">
        <x:v>OFFICIAL_HUB_COMPONENT_REVIEW</x:v>
      </x:c>
      <x:c r="R2122" s="19" t="str">
        <x:v>S12_061 usage threshold; low-flow inclusion justified by official Hub component review</x:v>
      </x:c>
      <x:c r="S2122" s="19" t="str">
        <x:v>https://nlftp.mlit.go.jp/ksj/gml/datalist/KsjTmplt-S12-2024.html</x:v>
      </x:c>
      <x:c r="T2122" s="19" t="str">
        <x:v>https://nlftp.mlit.go.jp/ksj/gml/datalist/KsjTmplt-S12-2024.html
https://www.kotsu.city.sendai.jp/subway/station/pdf/N15_%E9%95%B7%E7%94%BA.pdf</x:v>
      </x:c>
      <x:c r="U2122" s="19" t="str">
        <x:v>station-component|長町|仙台市|metro|38.2286|140.8848|</x:v>
      </x:c>
      <x:c r="V2122" s="19" t="str">
        <x:v>001200 / 001200 / 南北線</x:v>
      </x:c>
      <x:c r="W2122" s="18" t="str">
        <x:v>否</x:v>
      </x:c>
      <x:c r="X2122" s="18" t="str">
        <x:v>0785e932a32b3ec15e1a1345537ae145eafe1c07bf38d5c16c11ee2b391e7a28</x:v>
      </x:c>
      <x:c r="Y2122" s="20" t="n">
        <x:v>1</x:v>
      </x:c>
      <x:c r="Z2122" s="20" t="n">
        <x:v>1</x:v>
      </x:c>
      <x:c r="AA2122" s="19" t="str">
        <x:v>長町</x:v>
      </x:c>
      <x:c r="AB2122" s="18" t="str">
        <x:v>transport-hub-review:36acd5b6-ab02-55fa-9f52-b4ee7cfcd33f</x:v>
      </x:c>
      <x:c r="AC2122" s="19"/>
    </x:row>
    <x:row r="2123" ht="33" customHeight="1">
      <x:c r="A2123" s="18" t="str">
        <x:v>長町</x:v>
      </x:c>
      <x:c r="B2123" s="18" t="str">
        <x:v>東日本旅客鉄道</x:v>
      </x:c>
      <x:c r="C2123" s="18" t="str">
        <x:v>conventional_rail</x:v>
      </x:c>
      <x:c r="D2123" s="19" t="str">
        <x:v>T2</x:v>
      </x:c>
      <x:c r="E2123" s="20" t="n">
        <x:v>19140</x:v>
      </x:c>
      <x:c r="F2123" s="18" t="str">
        <x:v>persons/day</x:v>
      </x:c>
      <x:c r="G2123" s="18" t="str">
        <x:v>FY2024</x:v>
      </x:c>
      <x:c r="H2123" s="18" t="str">
        <x:v>否</x:v>
      </x:c>
      <x:c r="I2123" s="19" t="str">
        <x:v>DAILY_ENTRIES_EXITS</x:v>
      </x:c>
      <x:c r="J2123" s="19" t="str">
        <x:v>東北線</x:v>
      </x:c>
      <x:c r="K2123" s="18" t="str">
        <x:v>transport-node:9de3819b-3327-5b79-aadf-ff2774d9317e</x:v>
      </x:c>
      <x:c r="L2123" s="19" t="str">
        <x:v>组件待审核</x:v>
      </x:c>
      <x:c r="M2123" s="21" t="n">
        <x:v>38.22734</x:v>
      </x:c>
      <x:c r="N2123" s="21" t="n">
        <x:v>140.8862567</x:v>
      </x:c>
      <x:c r="O2123" s="18" t="str">
        <x:v>001201</x:v>
      </x:c>
      <x:c r="P2123" s="18" t="str">
        <x:v>東北線</x:v>
      </x:c>
      <x:c r="Q2123" s="19" t="str">
        <x:v>S12_061_GE_10000
OFFICIAL_HUB_COMPONENT_REVIEW</x:v>
      </x:c>
      <x:c r="R2123" s="19" t="str">
        <x:v>S12_061 usage threshold</x:v>
      </x:c>
      <x:c r="S2123" s="19" t="str">
        <x:v>https://nlftp.mlit.go.jp/ksj/gml/datalist/KsjTmplt-S12-2024.html</x:v>
      </x:c>
      <x:c r="T2123" s="19" t="str">
        <x:v>https://nlftp.mlit.go.jp/ksj/gml/datalist/KsjTmplt-S12-2024.html
https://www.kotsu.city.sendai.jp/subway/station/pdf/N15_%E9%95%B7%E7%94%BA.pdf</x:v>
      </x:c>
      <x:c r="U2123" s="19" t="str">
        <x:v>station-component|長町|東日本旅客鉄道|conventional_rail|38.2273|140.8863|</x:v>
      </x:c>
      <x:c r="V2123" s="19" t="str">
        <x:v>001200 / 001201 / 東北線</x:v>
      </x:c>
      <x:c r="W2123" s="18" t="str">
        <x:v>否</x:v>
      </x:c>
      <x:c r="X2123" s="18" t="str">
        <x:v>0785e932a32b3ec15e1a1345537ae145eafe1c07bf38d5c16c11ee2b391e7a28</x:v>
      </x:c>
      <x:c r="Y2123" s="20" t="n">
        <x:v>1</x:v>
      </x:c>
      <x:c r="Z2123" s="20" t="n">
        <x:v>1</x:v>
      </x:c>
      <x:c r="AA2123" s="19" t="str">
        <x:v>長町</x:v>
      </x:c>
      <x:c r="AB2123" s="18" t="str">
        <x:v>transport-hub-review:36acd5b6-ab02-55fa-9f52-b4ee7cfcd33f</x:v>
      </x:c>
      <x:c r="AC2123" s="19"/>
    </x:row>
    <x:row r="2124" ht="28" customHeight="1">
      <x:c r="A2124" s="18" t="str">
        <x:v>長町南</x:v>
      </x:c>
      <x:c r="B2124" s="18" t="str">
        <x:v>仙台市</x:v>
      </x:c>
      <x:c r="C2124" s="18" t="str">
        <x:v>metro</x:v>
      </x:c>
      <x:c r="D2124" s="19" t="str">
        <x:v>T2</x:v>
      </x:c>
      <x:c r="E2124" s="20" t="n">
        <x:v>11226</x:v>
      </x:c>
      <x:c r="F2124" s="18" t="str">
        <x:v>persons/day</x:v>
      </x:c>
      <x:c r="G2124" s="18" t="str">
        <x:v>FY2024</x:v>
      </x:c>
      <x:c r="H2124" s="18" t="str">
        <x:v>否</x:v>
      </x:c>
      <x:c r="I2124" s="19" t="str">
        <x:v>DAILY_ENTRIES_EXITS</x:v>
      </x:c>
      <x:c r="J2124" s="19" t="str">
        <x:v>南北線</x:v>
      </x:c>
      <x:c r="K2124" s="18" t="str">
        <x:v>transport-node:f78978f9-5b1d-54d6-8f1e-5bbaeb807ad9</x:v>
      </x:c>
      <x:c r="L2124" s="19" t="str">
        <x:v>组件待审核</x:v>
      </x:c>
      <x:c r="M2124" s="21" t="n">
        <x:v>38.224715</x:v>
      </x:c>
      <x:c r="N2124" s="21" t="n">
        <x:v>140.87699</x:v>
      </x:c>
      <x:c r="O2124" s="18" t="str">
        <x:v>001202</x:v>
      </x:c>
      <x:c r="P2124" s="18" t="str">
        <x:v>南北線</x:v>
      </x:c>
      <x:c r="Q2124" s="19" t="str">
        <x:v>S12_061_GE_10000</x:v>
      </x:c>
      <x:c r="R2124" s="19" t="str">
        <x:v>S12_061 usage threshold</x:v>
      </x:c>
      <x:c r="S2124" s="19" t="str">
        <x:v>https://nlftp.mlit.go.jp/ksj/gml/datalist/KsjTmplt-S12-2024.html</x:v>
      </x:c>
      <x:c r="T2124" s="19" t="str">
        <x:v>https://nlftp.mlit.go.jp/ksj/gml/datalist/KsjTmplt-S12-2024.html</x:v>
      </x:c>
      <x:c r="U2124" s="19" t="str">
        <x:v>station-component|長町南|仙台市|metro|38.2247|140.8770|</x:v>
      </x:c>
      <x:c r="V2124" s="19" t="str">
        <x:v>001202 / 001202 / 南北線</x:v>
      </x:c>
      <x:c r="W2124" s="18" t="str">
        <x:v>否</x:v>
      </x:c>
      <x:c r="X2124" s="18" t="str">
        <x:v>0785e932a32b3ec15e1a1345537ae145eafe1c07bf38d5c16c11ee2b391e7a28</x:v>
      </x:c>
      <x:c r="Y2124" s="20" t="n">
        <x:v>1</x:v>
      </x:c>
      <x:c r="Z2124" s="20" t="n">
        <x:v>1</x:v>
      </x:c>
      <x:c r="AA2124" s="19"/>
      <x:c r="AB2124" s="18"/>
      <x:c r="AC2124" s="19"/>
    </x:row>
    <x:row r="2125" ht="28" customHeight="1">
      <x:c r="A2125" s="18" t="str">
        <x:v>長谷</x:v>
      </x:c>
      <x:c r="B2125" s="18" t="str">
        <x:v>江ノ島電鉄</x:v>
      </x:c>
      <x:c r="C2125" s="18" t="str">
        <x:v>private_rail</x:v>
      </x:c>
      <x:c r="D2125" s="19" t="str">
        <x:v>T2</x:v>
      </x:c>
      <x:c r="E2125" s="20" t="n">
        <x:v>10238</x:v>
      </x:c>
      <x:c r="F2125" s="18" t="str">
        <x:v>persons/day</x:v>
      </x:c>
      <x:c r="G2125" s="18" t="str">
        <x:v>FY2024</x:v>
      </x:c>
      <x:c r="H2125" s="18" t="str">
        <x:v>否</x:v>
      </x:c>
      <x:c r="I2125" s="19" t="str">
        <x:v>DAILY_ENTRIES_EXITS</x:v>
      </x:c>
      <x:c r="J2125" s="19" t="str">
        <x:v>江ノ島電鉄線</x:v>
      </x:c>
      <x:c r="K2125" s="18" t="str">
        <x:v>transport-node:963b6320-f860-5596-aaa3-99909b1aab5d</x:v>
      </x:c>
      <x:c r="L2125" s="19" t="str">
        <x:v>组件待审核</x:v>
      </x:c>
      <x:c r="M2125" s="21" t="n">
        <x:v>35.311325</x:v>
      </x:c>
      <x:c r="N2125" s="21" t="n">
        <x:v>139.53626</x:v>
      </x:c>
      <x:c r="O2125" s="18" t="str">
        <x:v>005086</x:v>
      </x:c>
      <x:c r="P2125" s="18" t="str">
        <x:v>江ノ島電鉄線</x:v>
      </x:c>
      <x:c r="Q2125" s="19" t="str">
        <x:v>S12_061_GE_10000</x:v>
      </x:c>
      <x:c r="R2125" s="19" t="str">
        <x:v>S12_061 usage threshold</x:v>
      </x:c>
      <x:c r="S2125" s="19" t="str">
        <x:v>https://nlftp.mlit.go.jp/ksj/gml/datalist/KsjTmplt-S12-2024.html</x:v>
      </x:c>
      <x:c r="T2125" s="19" t="str">
        <x:v>https://nlftp.mlit.go.jp/ksj/gml/datalist/KsjTmplt-S12-2024.html</x:v>
      </x:c>
      <x:c r="U2125" s="19" t="str">
        <x:v>station-component|長谷|江ノ島電鉄|private_rail|35.3113|139.5363|</x:v>
      </x:c>
      <x:c r="V2125" s="19" t="str">
        <x:v>005086 / 005086 / 江ノ島電鉄線</x:v>
      </x:c>
      <x:c r="W2125" s="18" t="str">
        <x:v>否</x:v>
      </x:c>
      <x:c r="X2125" s="18" t="str">
        <x:v>0785e932a32b3ec15e1a1345537ae145eafe1c07bf38d5c16c11ee2b391e7a28</x:v>
      </x:c>
      <x:c r="Y2125" s="20" t="n">
        <x:v>1</x:v>
      </x:c>
      <x:c r="Z2125" s="20" t="n">
        <x:v>1</x:v>
      </x:c>
      <x:c r="AA2125" s="19"/>
      <x:c r="AB2125" s="18"/>
      <x:c r="AC2125" s="19"/>
    </x:row>
    <x:row r="2126" ht="28" customHeight="1">
      <x:c r="A2126" s="18" t="str">
        <x:v>長野</x:v>
      </x:c>
      <x:c r="B2126" s="18" t="str">
        <x:v>東日本旅客鉄道</x:v>
      </x:c>
      <x:c r="C2126" s="18" t="str">
        <x:v>conventional_rail</x:v>
      </x:c>
      <x:c r="D2126" s="19" t="str">
        <x:v>T2</x:v>
      </x:c>
      <x:c r="E2126" s="20" t="n">
        <x:v>41524</x:v>
      </x:c>
      <x:c r="F2126" s="18" t="str">
        <x:v>persons/day</x:v>
      </x:c>
      <x:c r="G2126" s="18" t="str">
        <x:v>FY2024</x:v>
      </x:c>
      <x:c r="H2126" s="18" t="str">
        <x:v>否</x:v>
      </x:c>
      <x:c r="I2126" s="19" t="str">
        <x:v>DAILY_ENTRIES_EXITS</x:v>
      </x:c>
      <x:c r="J2126" s="19" t="str">
        <x:v>信越線</x:v>
      </x:c>
      <x:c r="K2126" s="18" t="str">
        <x:v>transport-node:391b0a21-077b-5414-a188-74ce0b72b154</x:v>
      </x:c>
      <x:c r="L2126" s="19" t="str">
        <x:v>组件待审核</x:v>
      </x:c>
      <x:c r="M2126" s="21" t="n">
        <x:v>36.64346</x:v>
      </x:c>
      <x:c r="N2126" s="21" t="n">
        <x:v>138.18885</x:v>
      </x:c>
      <x:c r="O2126" s="18" t="str">
        <x:v>002031</x:v>
      </x:c>
      <x:c r="P2126" s="18" t="str">
        <x:v>信越線</x:v>
      </x:c>
      <x:c r="Q2126" s="19" t="str">
        <x:v>S12_061_GE_10000</x:v>
      </x:c>
      <x:c r="R2126" s="19" t="str">
        <x:v>S12_061 usage threshold</x:v>
      </x:c>
      <x:c r="S2126" s="19" t="str">
        <x:v>https://nlftp.mlit.go.jp/ksj/gml/datalist/KsjTmplt-S12-2024.html</x:v>
      </x:c>
      <x:c r="T2126" s="19" t="str">
        <x:v>https://nlftp.mlit.go.jp/ksj/gml/datalist/KsjTmplt-S12-2024.html</x:v>
      </x:c>
      <x:c r="U2126" s="19" t="str">
        <x:v>station-component|長野|東日本旅客鉄道|conventional_rail|36.6435|138.1889|</x:v>
      </x:c>
      <x:c r="V2126" s="19" t="str">
        <x:v>002031 / 002031 / 信越線</x:v>
      </x:c>
      <x:c r="W2126" s="18" t="str">
        <x:v>否</x:v>
      </x:c>
      <x:c r="X2126" s="18" t="str">
        <x:v>0785e932a32b3ec15e1a1345537ae145eafe1c07bf38d5c16c11ee2b391e7a28</x:v>
      </x:c>
      <x:c r="Y2126" s="20" t="n">
        <x:v>1</x:v>
      </x:c>
      <x:c r="Z2126" s="20" t="n">
        <x:v>1</x:v>
      </x:c>
      <x:c r="AA2126" s="19"/>
      <x:c r="AB2126" s="18"/>
      <x:c r="AC2126" s="19"/>
    </x:row>
    <x:row r="2127" ht="33" customHeight="1">
      <x:c r="A2127" s="18" t="str">
        <x:v>長野</x:v>
      </x:c>
      <x:c r="B2127" s="18" t="str">
        <x:v>東日本旅客鉄道</x:v>
      </x:c>
      <x:c r="C2127" s="18" t="str">
        <x:v>shinkansen</x:v>
      </x:c>
      <x:c r="D2127" s="19"/>
      <x:c r="E2127" s="20" t="n">
        <x:v>8428</x:v>
      </x:c>
      <x:c r="F2127" s="18" t="str">
        <x:v>boardings/day</x:v>
      </x:c>
      <x:c r="G2127" s="18" t="str">
        <x:v>FY2024</x:v>
      </x:c>
      <x:c r="H2127" s="18" t="str">
        <x:v>是</x:v>
      </x:c>
      <x:c r="I2127" s="19" t="str">
        <x:v>DAILY_SHINKANSEN_BOARDINGS</x:v>
      </x:c>
      <x:c r="J2127" s="19" t="str">
        <x:v>北陸新幹線</x:v>
      </x:c>
      <x:c r="K2127" s="18" t="str">
        <x:v>transport-node:fd60ec97-3798-5ef8-b125-2937fe666e73</x:v>
      </x:c>
      <x:c r="L2127" s="19" t="str">
        <x:v>组件待审核</x:v>
      </x:c>
      <x:c r="M2127" s="21" t="n">
        <x:v>36.642815</x:v>
      </x:c>
      <x:c r="N2127" s="21" t="n">
        <x:v>138.18887</x:v>
      </x:c>
      <x:c r="O2127" s="18" t="str">
        <x:v>002034</x:v>
      </x:c>
      <x:c r="P2127" s="18" t="str">
        <x:v>北陸新幹線</x:v>
      </x:c>
      <x:c r="Q2127" s="19" t="str">
        <x:v>SHINKANSEN</x:v>
      </x:c>
      <x:c r="R2127" s="19" t="str">
        <x:v>Official fallback retained in published scope/unit; tier remains null pending metric/manual review.</x:v>
      </x:c>
      <x:c r="S2127" s="19" t="str">
        <x:v>https://www.jreast.co.jp/company/data/passenger/2024_shinkansen.html/</x:v>
      </x:c>
      <x:c r="T2127" s="19" t="str">
        <x:v>https://nlftp.mlit.go.jp/ksj/gml/datalist/KsjTmplt-S12-2024.html
https://www.jreast.co.jp/company/data/passenger/2024_shinkansen.html/</x:v>
      </x:c>
      <x:c r="U2127" s="19" t="str">
        <x:v>station-component|長野|東日本旅客鉄道|shinkansen|36.6428|138.1889|</x:v>
      </x:c>
      <x:c r="V2127" s="19" t="str">
        <x:v>002031 / 002034 / 北陸新幹線</x:v>
      </x:c>
      <x:c r="W2127" s="18" t="str">
        <x:v>否</x:v>
      </x:c>
      <x:c r="X2127" s="18" t="str">
        <x:v>0785e932a32b3ec15e1a1345537ae145eafe1c07bf38d5c16c11ee2b391e7a28</x:v>
      </x:c>
      <x:c r="Y2127" s="20" t="n">
        <x:v>1</x:v>
      </x:c>
      <x:c r="Z2127" s="20" t="n">
        <x:v>2</x:v>
      </x:c>
      <x:c r="AA2127" s="19"/>
      <x:c r="AB2127" s="18"/>
      <x:c r="AC2127" s="19"/>
    </x:row>
    <x:row r="2128" ht="33" customHeight="1">
      <x:c r="A2128" s="18" t="str">
        <x:v>門前仲町</x:v>
      </x:c>
      <x:c r="B2128" s="18" t="str">
        <x:v>東京地下鉄</x:v>
      </x:c>
      <x:c r="C2128" s="18" t="str">
        <x:v>metro</x:v>
      </x:c>
      <x:c r="D2128" s="19" t="str">
        <x:v>T1</x:v>
      </x:c>
      <x:c r="E2128" s="20" t="n">
        <x:v>108733</x:v>
      </x:c>
      <x:c r="F2128" s="18" t="str">
        <x:v>persons/day</x:v>
      </x:c>
      <x:c r="G2128" s="18" t="str">
        <x:v>FY2024</x:v>
      </x:c>
      <x:c r="H2128" s="18" t="str">
        <x:v>否</x:v>
      </x:c>
      <x:c r="I2128" s="19" t="str">
        <x:v>DAILY_ENTRIES_EXITS</x:v>
      </x:c>
      <x:c r="J2128" s="19" t="str">
        <x:v>5号線東西線</x:v>
      </x:c>
      <x:c r="K2128" s="18" t="str">
        <x:v>transport-node:f4334264-9c7e-5cc1-b396-f4e816e64323</x:v>
      </x:c>
      <x:c r="L2128" s="19" t="str">
        <x:v>组件待审核</x:v>
      </x:c>
      <x:c r="M2128" s="21" t="n">
        <x:v>35.671828</x:v>
      </x:c>
      <x:c r="N2128" s="21" t="n">
        <x:v>139.796248</x:v>
      </x:c>
      <x:c r="O2128" s="18" t="str">
        <x:v>003824</x:v>
      </x:c>
      <x:c r="P2128" s="18" t="str">
        <x:v>5号線東西線</x:v>
      </x:c>
      <x:c r="Q2128" s="19" t="str">
        <x:v>S12_061_GE_10000
OFFICIAL_HUB_COMPONENT_REVIEW</x:v>
      </x:c>
      <x:c r="R2128" s="19" t="str">
        <x:v>S12_061 usage threshold</x:v>
      </x:c>
      <x:c r="S2128" s="19" t="str">
        <x:v>https://nlftp.mlit.go.jp/ksj/gml/datalist/KsjTmplt-S12-2024.html</x:v>
      </x:c>
      <x:c r="T2128" s="19" t="str">
        <x:v>https://nlftp.mlit.go.jp/ksj/gml/datalist/KsjTmplt-S12-2024.html
https://www.tokyometro.jp/station/monzen-nakacho/index.html</x:v>
      </x:c>
      <x:c r="U2128" s="19" t="str">
        <x:v>station-component|門前仲町|東京地下鉄|metro|35.6718|139.7962|</x:v>
      </x:c>
      <x:c r="V2128" s="19" t="str">
        <x:v>003818 / 003824 / 5号線東西線</x:v>
      </x:c>
      <x:c r="W2128" s="18" t="str">
        <x:v>否</x:v>
      </x:c>
      <x:c r="X2128" s="18" t="str">
        <x:v>0785e932a32b3ec15e1a1345537ae145eafe1c07bf38d5c16c11ee2b391e7a28</x:v>
      </x:c>
      <x:c r="Y2128" s="20" t="n">
        <x:v>1</x:v>
      </x:c>
      <x:c r="Z2128" s="20" t="n">
        <x:v>1</x:v>
      </x:c>
      <x:c r="AA2128" s="19" t="str">
        <x:v>門前仲町</x:v>
      </x:c>
      <x:c r="AB2128" s="18" t="str">
        <x:v>transport-hub-review:b0aa2835-4759-5524-8622-1aae0a54b910</x:v>
      </x:c>
      <x:c r="AC2128" s="19"/>
    </x:row>
    <x:row r="2129" ht="33" customHeight="1">
      <x:c r="A2129" s="18" t="str">
        <x:v>門前仲町</x:v>
      </x:c>
      <x:c r="B2129" s="18" t="str">
        <x:v>東京都</x:v>
      </x:c>
      <x:c r="C2129" s="18" t="str">
        <x:v>metro</x:v>
      </x:c>
      <x:c r="D2129" s="19" t="str">
        <x:v>T2</x:v>
      </x:c>
      <x:c r="E2129" s="20" t="n">
        <x:v>34676</x:v>
      </x:c>
      <x:c r="F2129" s="18" t="str">
        <x:v>persons/day</x:v>
      </x:c>
      <x:c r="G2129" s="18" t="str">
        <x:v>FY2024</x:v>
      </x:c>
      <x:c r="H2129" s="18" t="str">
        <x:v>否</x:v>
      </x:c>
      <x:c r="I2129" s="19" t="str">
        <x:v>DAILY_ENTRIES_EXITS</x:v>
      </x:c>
      <x:c r="J2129" s="19" t="str">
        <x:v>12号線大江戸線</x:v>
      </x:c>
      <x:c r="K2129" s="18" t="str">
        <x:v>transport-node:56cd82e5-1dbd-5b34-9512-7cd51a8c2737</x:v>
      </x:c>
      <x:c r="L2129" s="19" t="str">
        <x:v>组件待审核</x:v>
      </x:c>
      <x:c r="M2129" s="21" t="n">
        <x:v>35.672752</x:v>
      </x:c>
      <x:c r="N2129" s="21" t="n">
        <x:v>139.795106</x:v>
      </x:c>
      <x:c r="O2129" s="18" t="str">
        <x:v>003818</x:v>
      </x:c>
      <x:c r="P2129" s="18" t="str">
        <x:v>12号線大江戸線</x:v>
      </x:c>
      <x:c r="Q2129" s="19" t="str">
        <x:v>S12_061_GE_10000
OFFICIAL_HUB_COMPONENT_REVIEW</x:v>
      </x:c>
      <x:c r="R2129" s="19" t="str">
        <x:v>S12_061 usage threshold</x:v>
      </x:c>
      <x:c r="S2129" s="19" t="str">
        <x:v>https://nlftp.mlit.go.jp/ksj/gml/datalist/KsjTmplt-S12-2024.html</x:v>
      </x:c>
      <x:c r="T2129" s="19" t="str">
        <x:v>https://nlftp.mlit.go.jp/ksj/gml/datalist/KsjTmplt-S12-2024.html
https://www.tokyometro.jp/station/monzen-nakacho/index.html</x:v>
      </x:c>
      <x:c r="U2129" s="19" t="str">
        <x:v>station-component|門前仲町|東京都|metro|35.6728|139.7951|</x:v>
      </x:c>
      <x:c r="V2129" s="19" t="str">
        <x:v>003818 / 003818 / 12号線大江戸線</x:v>
      </x:c>
      <x:c r="W2129" s="18" t="str">
        <x:v>否</x:v>
      </x:c>
      <x:c r="X2129" s="18" t="str">
        <x:v>0785e932a32b3ec15e1a1345537ae145eafe1c07bf38d5c16c11ee2b391e7a28</x:v>
      </x:c>
      <x:c r="Y2129" s="20" t="n">
        <x:v>1</x:v>
      </x:c>
      <x:c r="Z2129" s="20" t="n">
        <x:v>1</x:v>
      </x:c>
      <x:c r="AA2129" s="19" t="str">
        <x:v>門前仲町</x:v>
      </x:c>
      <x:c r="AB2129" s="18" t="str">
        <x:v>transport-hub-review:b0aa2835-4759-5524-8622-1aae0a54b910</x:v>
      </x:c>
      <x:c r="AC2129" s="19"/>
    </x:row>
    <x:row r="2130" ht="33" customHeight="1">
      <x:c r="A2130" s="18" t="str">
        <x:v>門司</x:v>
      </x:c>
      <x:c r="B2130" s="18" t="str">
        <x:v>九州旅客鉄道</x:v>
      </x:c>
      <x:c r="C2130" s="18" t="str">
        <x:v>conventional_rail</x:v>
      </x:c>
      <x:c r="D2130" s="19" t="str">
        <x:v>T2</x:v>
      </x:c>
      <x:c r="E2130" s="20" t="n">
        <x:v>11396</x:v>
      </x:c>
      <x:c r="F2130" s="18" t="str">
        <x:v>persons/day</x:v>
      </x:c>
      <x:c r="G2130" s="18" t="str">
        <x:v>FY2024</x:v>
      </x:c>
      <x:c r="H2130" s="18" t="str">
        <x:v>否</x:v>
      </x:c>
      <x:c r="I2130" s="19" t="str">
        <x:v>DAILY_ENTRIES_EXITS</x:v>
      </x:c>
      <x:c r="J2130" s="19" t="str">
        <x:v>山陽線
鹿児島線</x:v>
      </x:c>
      <x:c r="K2130" s="18" t="str">
        <x:v>transport-node:a1169c70-e3a1-5e05-b34b-88d329ac2f94</x:v>
      </x:c>
      <x:c r="L2130" s="19" t="str">
        <x:v>组件待审核</x:v>
      </x:c>
      <x:c r="M2130" s="21" t="n">
        <x:v>33.9042567</x:v>
      </x:c>
      <x:c r="N2130" s="21" t="n">
        <x:v>130.9327667</x:v>
      </x:c>
      <x:c r="O2130" s="18" t="str">
        <x:v>008661</x:v>
      </x:c>
      <x:c r="P2130" s="18" t="str">
        <x:v>鹿児島線</x:v>
      </x:c>
      <x:c r="Q2130" s="19" t="str">
        <x:v>S12_061_GE_10000</x:v>
      </x:c>
      <x:c r="R2130" s="19" t="str">
        <x:v>S12_061 usage threshold</x:v>
      </x:c>
      <x:c r="S2130" s="19" t="str">
        <x:v>https://nlftp.mlit.go.jp/ksj/gml/datalist/KsjTmplt-S12-2024.html</x:v>
      </x:c>
      <x:c r="T2130" s="19" t="str">
        <x:v>https://nlftp.mlit.go.jp/ksj/gml/datalist/KsjTmplt-S12-2024.html</x:v>
      </x:c>
      <x:c r="U2130" s="19" t="str">
        <x:v>station-component|門司|九州旅客鉄道|conventional_rail|33.9043|130.9328|</x:v>
      </x:c>
      <x:c r="V2130" s="19" t="str">
        <x:v>008660 / 008660 / 山陽線
008660 / 008661 / 鹿児島線</x:v>
      </x:c>
      <x:c r="W2130" s="18" t="str">
        <x:v>否</x:v>
      </x:c>
      <x:c r="X2130" s="18" t="str">
        <x:v>0785e932a32b3ec15e1a1345537ae145eafe1c07bf38d5c16c11ee2b391e7a28</x:v>
      </x:c>
      <x:c r="Y2130" s="20" t="n">
        <x:v>1</x:v>
      </x:c>
      <x:c r="Z2130" s="20" t="n">
        <x:v>1</x:v>
      </x:c>
      <x:c r="AA2130" s="19"/>
      <x:c r="AB2130" s="18"/>
      <x:c r="AC2130" s="19"/>
    </x:row>
    <x:row r="2131" ht="28" customHeight="1">
      <x:c r="A2131" s="18" t="str">
        <x:v>門戸厄神</x:v>
      </x:c>
      <x:c r="B2131" s="18" t="str">
        <x:v>阪急電鉄</x:v>
      </x:c>
      <x:c r="C2131" s="18" t="str">
        <x:v>private_rail</x:v>
      </x:c>
      <x:c r="D2131" s="19" t="str">
        <x:v>T2</x:v>
      </x:c>
      <x:c r="E2131" s="20" t="n">
        <x:v>18705</x:v>
      </x:c>
      <x:c r="F2131" s="18" t="str">
        <x:v>persons/day</x:v>
      </x:c>
      <x:c r="G2131" s="18" t="str">
        <x:v>FY2024</x:v>
      </x:c>
      <x:c r="H2131" s="18" t="str">
        <x:v>否</x:v>
      </x:c>
      <x:c r="I2131" s="19" t="str">
        <x:v>DAILY_ENTRIES_EXITS</x:v>
      </x:c>
      <x:c r="J2131" s="19" t="str">
        <x:v>今津線</x:v>
      </x:c>
      <x:c r="K2131" s="18" t="str">
        <x:v>transport-node:5ae1e2cf-4565-545a-bc2f-44dea44f870d</x:v>
      </x:c>
      <x:c r="L2131" s="19" t="str">
        <x:v>组件待审核</x:v>
      </x:c>
      <x:c r="M2131" s="21" t="n">
        <x:v>34.757045</x:v>
      </x:c>
      <x:c r="N2131" s="21" t="n">
        <x:v>135.35824</x:v>
      </x:c>
      <x:c r="O2131" s="18" t="str">
        <x:v>006809</x:v>
      </x:c>
      <x:c r="P2131" s="18" t="str">
        <x:v>今津線</x:v>
      </x:c>
      <x:c r="Q2131" s="19" t="str">
        <x:v>S12_061_GE_10000</x:v>
      </x:c>
      <x:c r="R2131" s="19" t="str">
        <x:v>S12_061 usage threshold</x:v>
      </x:c>
      <x:c r="S2131" s="19" t="str">
        <x:v>https://nlftp.mlit.go.jp/ksj/gml/datalist/KsjTmplt-S12-2024.html</x:v>
      </x:c>
      <x:c r="T2131" s="19" t="str">
        <x:v>https://nlftp.mlit.go.jp/ksj/gml/datalist/KsjTmplt-S12-2024.html</x:v>
      </x:c>
      <x:c r="U2131" s="19" t="str">
        <x:v>station-component|門戸厄神|阪急電鉄|private_rail|34.7570|135.3582|</x:v>
      </x:c>
      <x:c r="V2131" s="19" t="str">
        <x:v>006809 / 006809 / 今津線</x:v>
      </x:c>
      <x:c r="W2131" s="18" t="str">
        <x:v>否</x:v>
      </x:c>
      <x:c r="X2131" s="18" t="str">
        <x:v>0785e932a32b3ec15e1a1345537ae145eafe1c07bf38d5c16c11ee2b391e7a28</x:v>
      </x:c>
      <x:c r="Y2131" s="20" t="n">
        <x:v>1</x:v>
      </x:c>
      <x:c r="Z2131" s="20" t="n">
        <x:v>1</x:v>
      </x:c>
      <x:c r="AA2131" s="19"/>
      <x:c r="AB2131" s="18"/>
      <x:c r="AC2131" s="19"/>
    </x:row>
    <x:row r="2132" ht="28" customHeight="1">
      <x:c r="A2132" s="18" t="str">
        <x:v>門真南</x:v>
      </x:c>
      <x:c r="B2132" s="18" t="str">
        <x:v>大阪市高速電気軌道</x:v>
      </x:c>
      <x:c r="C2132" s="18" t="str">
        <x:v>metro</x:v>
      </x:c>
      <x:c r="D2132" s="19" t="str">
        <x:v>T2</x:v>
      </x:c>
      <x:c r="E2132" s="20" t="n">
        <x:v>10280</x:v>
      </x:c>
      <x:c r="F2132" s="18" t="str">
        <x:v>persons/day</x:v>
      </x:c>
      <x:c r="G2132" s="18" t="str">
        <x:v>FY2024</x:v>
      </x:c>
      <x:c r="H2132" s="18" t="str">
        <x:v>否</x:v>
      </x:c>
      <x:c r="I2132" s="19" t="str">
        <x:v>DAILY_ENTRIES_EXITS</x:v>
      </x:c>
      <x:c r="J2132" s="19" t="str">
        <x:v>7号線(長堀鶴見緑地線)</x:v>
      </x:c>
      <x:c r="K2132" s="18" t="str">
        <x:v>transport-node:d7fe90a8-b0c2-5061-a85a-bdeb9b2f2ca8</x:v>
      </x:c>
      <x:c r="L2132" s="19" t="str">
        <x:v>组件待审核</x:v>
      </x:c>
      <x:c r="M2132" s="21" t="n">
        <x:v>34.716745</x:v>
      </x:c>
      <x:c r="N2132" s="21" t="n">
        <x:v>135.592475</x:v>
      </x:c>
      <x:c r="O2132" s="18" t="str">
        <x:v>006994</x:v>
      </x:c>
      <x:c r="P2132" s="18" t="str">
        <x:v>7号線(長堀鶴見緑地線)</x:v>
      </x:c>
      <x:c r="Q2132" s="19" t="str">
        <x:v>S12_061_GE_10000</x:v>
      </x:c>
      <x:c r="R2132" s="19" t="str">
        <x:v>S12_061 usage threshold</x:v>
      </x:c>
      <x:c r="S2132" s="19" t="str">
        <x:v>https://nlftp.mlit.go.jp/ksj/gml/datalist/KsjTmplt-S12-2024.html</x:v>
      </x:c>
      <x:c r="T2132" s="19" t="str">
        <x:v>https://nlftp.mlit.go.jp/ksj/gml/datalist/KsjTmplt-S12-2024.html</x:v>
      </x:c>
      <x:c r="U2132" s="19" t="str">
        <x:v>station-component|門真南|大阪市高速電気軌道|metro|34.7167|135.5925|</x:v>
      </x:c>
      <x:c r="V2132" s="19" t="str">
        <x:v>006994 / 006994 / 7号線(長堀鶴見緑地線)</x:v>
      </x:c>
      <x:c r="W2132" s="18" t="str">
        <x:v>否</x:v>
      </x:c>
      <x:c r="X2132" s="18" t="str">
        <x:v>0785e932a32b3ec15e1a1345537ae145eafe1c07bf38d5c16c11ee2b391e7a28</x:v>
      </x:c>
      <x:c r="Y2132" s="20" t="n">
        <x:v>1</x:v>
      </x:c>
      <x:c r="Z2132" s="20" t="n">
        <x:v>1</x:v>
      </x:c>
      <x:c r="AA2132" s="19"/>
      <x:c r="AB2132" s="18"/>
      <x:c r="AC2132" s="19"/>
    </x:row>
    <x:row r="2133" ht="28" customHeight="1">
      <x:c r="A2133" s="18" t="str">
        <x:v>門真市</x:v>
      </x:c>
      <x:c r="B2133" s="18" t="str">
        <x:v>京阪電気鉄道</x:v>
      </x:c>
      <x:c r="C2133" s="18" t="str">
        <x:v>private_rail</x:v>
      </x:c>
      <x:c r="D2133" s="19" t="str">
        <x:v>T2</x:v>
      </x:c>
      <x:c r="E2133" s="20" t="n">
        <x:v>23900</x:v>
      </x:c>
      <x:c r="F2133" s="18" t="str">
        <x:v>persons/day</x:v>
      </x:c>
      <x:c r="G2133" s="18" t="str">
        <x:v>FY2024</x:v>
      </x:c>
      <x:c r="H2133" s="18" t="str">
        <x:v>否</x:v>
      </x:c>
      <x:c r="I2133" s="19" t="str">
        <x:v>DAILY_ENTRIES_EXITS</x:v>
      </x:c>
      <x:c r="J2133" s="19" t="str">
        <x:v>京阪本線</x:v>
      </x:c>
      <x:c r="K2133" s="18" t="str">
        <x:v>transport-node:b71d41a8-99da-50d4-b510-27bd54ee3711</x:v>
      </x:c>
      <x:c r="L2133" s="19" t="str">
        <x:v>组件待审核</x:v>
      </x:c>
      <x:c r="M2133" s="21" t="n">
        <x:v>34.7381</x:v>
      </x:c>
      <x:c r="N2133" s="21" t="n">
        <x:v>135.583</x:v>
      </x:c>
      <x:c r="O2133" s="18" t="str">
        <x:v>006885</x:v>
      </x:c>
      <x:c r="P2133" s="18" t="str">
        <x:v>京阪本線</x:v>
      </x:c>
      <x:c r="Q2133" s="19" t="str">
        <x:v>S12_061_GE_10000</x:v>
      </x:c>
      <x:c r="R2133" s="19" t="str">
        <x:v>S12_061 usage threshold</x:v>
      </x:c>
      <x:c r="S2133" s="19" t="str">
        <x:v>https://nlftp.mlit.go.jp/ksj/gml/datalist/KsjTmplt-S12-2024.html</x:v>
      </x:c>
      <x:c r="T2133" s="19" t="str">
        <x:v>https://nlftp.mlit.go.jp/ksj/gml/datalist/KsjTmplt-S12-2024.html</x:v>
      </x:c>
      <x:c r="U2133" s="19" t="str">
        <x:v>station-component|門真市|京阪電気鉄道|private_rail|34.7381|135.5830|</x:v>
      </x:c>
      <x:c r="V2133" s="19" t="str">
        <x:v>006885 / 006885 / 京阪本線</x:v>
      </x:c>
      <x:c r="W2133" s="18" t="str">
        <x:v>否</x:v>
      </x:c>
      <x:c r="X2133" s="18" t="str">
        <x:v>0785e932a32b3ec15e1a1345537ae145eafe1c07bf38d5c16c11ee2b391e7a28</x:v>
      </x:c>
      <x:c r="Y2133" s="20" t="n">
        <x:v>1</x:v>
      </x:c>
      <x:c r="Z2133" s="20" t="n">
        <x:v>1</x:v>
      </x:c>
      <x:c r="AA2133" s="19"/>
      <x:c r="AB2133" s="18"/>
      <x:c r="AC2133" s="19"/>
    </x:row>
    <x:row r="2134" ht="28" customHeight="1">
      <x:c r="A2134" s="18" t="str">
        <x:v>門真市</x:v>
      </x:c>
      <x:c r="B2134" s="18" t="str">
        <x:v>大阪モノレール</x:v>
      </x:c>
      <x:c r="C2134" s="18" t="str">
        <x:v>fixed_guideway</x:v>
      </x:c>
      <x:c r="D2134" s="19" t="str">
        <x:v>T2</x:v>
      </x:c>
      <x:c r="E2134" s="20" t="n">
        <x:v>21356</x:v>
      </x:c>
      <x:c r="F2134" s="18" t="str">
        <x:v>persons/day</x:v>
      </x:c>
      <x:c r="G2134" s="18" t="str">
        <x:v>FY2024</x:v>
      </x:c>
      <x:c r="H2134" s="18" t="str">
        <x:v>否</x:v>
      </x:c>
      <x:c r="I2134" s="19" t="str">
        <x:v>DAILY_ENTRIES_EXITS</x:v>
      </x:c>
      <x:c r="J2134" s="19" t="str">
        <x:v>大阪モノレール線</x:v>
      </x:c>
      <x:c r="K2134" s="18" t="str">
        <x:v>transport-node:8ebc5274-20cd-5f63-86be-a8da0b3a2d45</x:v>
      </x:c>
      <x:c r="L2134" s="19" t="str">
        <x:v>组件待审核</x:v>
      </x:c>
      <x:c r="M2134" s="21" t="n">
        <x:v>34.73731</x:v>
      </x:c>
      <x:c r="N2134" s="21" t="n">
        <x:v>135.582615</x:v>
      </x:c>
      <x:c r="O2134" s="18" t="str">
        <x:v>006893</x:v>
      </x:c>
      <x:c r="P2134" s="18" t="str">
        <x:v>大阪モノレール線</x:v>
      </x:c>
      <x:c r="Q2134" s="19" t="str">
        <x:v>S12_061_GE_10000</x:v>
      </x:c>
      <x:c r="R2134" s="19" t="str">
        <x:v>S12_061 usage threshold</x:v>
      </x:c>
      <x:c r="S2134" s="19" t="str">
        <x:v>https://nlftp.mlit.go.jp/ksj/gml/datalist/KsjTmplt-S12-2024.html</x:v>
      </x:c>
      <x:c r="T2134" s="19" t="str">
        <x:v>https://nlftp.mlit.go.jp/ksj/gml/datalist/KsjTmplt-S12-2024.html</x:v>
      </x:c>
      <x:c r="U2134" s="19" t="str">
        <x:v>station-component|門真市|大阪モノレール|fixed_guideway|34.7373|135.5826|</x:v>
      </x:c>
      <x:c r="V2134" s="19" t="str">
        <x:v>006885 / 006893 / 大阪モノレール線</x:v>
      </x:c>
      <x:c r="W2134" s="18" t="str">
        <x:v>否</x:v>
      </x:c>
      <x:c r="X2134" s="18" t="str">
        <x:v>0785e932a32b3ec15e1a1345537ae145eafe1c07bf38d5c16c11ee2b391e7a28</x:v>
      </x:c>
      <x:c r="Y2134" s="20" t="n">
        <x:v>1</x:v>
      </x:c>
      <x:c r="Z2134" s="20" t="n">
        <x:v>1</x:v>
      </x:c>
      <x:c r="AA2134" s="19"/>
      <x:c r="AB2134" s="18"/>
      <x:c r="AC2134" s="19"/>
    </x:row>
    <x:row r="2135" ht="28" customHeight="1">
      <x:c r="A2135" s="18" t="str">
        <x:v>開成</x:v>
      </x:c>
      <x:c r="B2135" s="18" t="str">
        <x:v>小田急電鉄</x:v>
      </x:c>
      <x:c r="C2135" s="18" t="str">
        <x:v>private_rail</x:v>
      </x:c>
      <x:c r="D2135" s="19" t="str">
        <x:v>T2</x:v>
      </x:c>
      <x:c r="E2135" s="20" t="n">
        <x:v>12818</x:v>
      </x:c>
      <x:c r="F2135" s="18" t="str">
        <x:v>persons/day</x:v>
      </x:c>
      <x:c r="G2135" s="18" t="str">
        <x:v>FY2024</x:v>
      </x:c>
      <x:c r="H2135" s="18" t="str">
        <x:v>否</x:v>
      </x:c>
      <x:c r="I2135" s="19" t="str">
        <x:v>DAILY_ENTRIES_EXITS</x:v>
      </x:c>
      <x:c r="J2135" s="19" t="str">
        <x:v>小田原線</x:v>
      </x:c>
      <x:c r="K2135" s="18" t="str">
        <x:v>transport-node:e16af006-738b-570f-bcfd-da4fd7e7130c</x:v>
      </x:c>
      <x:c r="L2135" s="19" t="str">
        <x:v>组件待审核</x:v>
      </x:c>
      <x:c r="M2135" s="21" t="n">
        <x:v>35.326495</x:v>
      </x:c>
      <x:c r="N2135" s="21" t="n">
        <x:v>139.13581</x:v>
      </x:c>
      <x:c r="O2135" s="18" t="str">
        <x:v>005037</x:v>
      </x:c>
      <x:c r="P2135" s="18" t="str">
        <x:v>小田原線</x:v>
      </x:c>
      <x:c r="Q2135" s="19" t="str">
        <x:v>S12_061_GE_10000</x:v>
      </x:c>
      <x:c r="R2135" s="19" t="str">
        <x:v>S12_061 usage threshold</x:v>
      </x:c>
      <x:c r="S2135" s="19" t="str">
        <x:v>https://nlftp.mlit.go.jp/ksj/gml/datalist/KsjTmplt-S12-2024.html</x:v>
      </x:c>
      <x:c r="T2135" s="19" t="str">
        <x:v>https://nlftp.mlit.go.jp/ksj/gml/datalist/KsjTmplt-S12-2024.html</x:v>
      </x:c>
      <x:c r="U2135" s="19" t="str">
        <x:v>station-component|開成|小田急電鉄|private_rail|35.3265|139.1358|</x:v>
      </x:c>
      <x:c r="V2135" s="19" t="str">
        <x:v>005037 / 005037 / 小田原線</x:v>
      </x:c>
      <x:c r="W2135" s="18" t="str">
        <x:v>否</x:v>
      </x:c>
      <x:c r="X2135" s="18" t="str">
        <x:v>0785e932a32b3ec15e1a1345537ae145eafe1c07bf38d5c16c11ee2b391e7a28</x:v>
      </x:c>
      <x:c r="Y2135" s="20" t="n">
        <x:v>1</x:v>
      </x:c>
      <x:c r="Z2135" s="20" t="n">
        <x:v>1</x:v>
      </x:c>
      <x:c r="AA2135" s="19"/>
      <x:c r="AB2135" s="18"/>
      <x:c r="AC2135" s="19"/>
    </x:row>
    <x:row r="2136" ht="28" customHeight="1">
      <x:c r="A2136" s="18" t="str">
        <x:v>関内</x:v>
      </x:c>
      <x:c r="B2136" s="18" t="str">
        <x:v>東日本旅客鉄道</x:v>
      </x:c>
      <x:c r="C2136" s="18" t="str">
        <x:v>conventional_rail</x:v>
      </x:c>
      <x:c r="D2136" s="19" t="str">
        <x:v>T1</x:v>
      </x:c>
      <x:c r="E2136" s="20" t="n">
        <x:v>106022</x:v>
      </x:c>
      <x:c r="F2136" s="18" t="str">
        <x:v>persons/day</x:v>
      </x:c>
      <x:c r="G2136" s="18" t="str">
        <x:v>FY2024</x:v>
      </x:c>
      <x:c r="H2136" s="18" t="str">
        <x:v>否</x:v>
      </x:c>
      <x:c r="I2136" s="19" t="str">
        <x:v>DAILY_ENTRIES_EXITS</x:v>
      </x:c>
      <x:c r="J2136" s="19" t="str">
        <x:v>根岸線</x:v>
      </x:c>
      <x:c r="K2136" s="18" t="str">
        <x:v>transport-node:74bc158f-7748-583c-b40b-0a6117c91751</x:v>
      </x:c>
      <x:c r="L2136" s="19" t="str">
        <x:v>组件待审核</x:v>
      </x:c>
      <x:c r="M2136" s="21" t="n">
        <x:v>35.44422</x:v>
      </x:c>
      <x:c r="N2136" s="21" t="n">
        <x:v>139.6359875</x:v>
      </x:c>
      <x:c r="O2136" s="18" t="str">
        <x:v>004699</x:v>
      </x:c>
      <x:c r="P2136" s="18" t="str">
        <x:v>根岸線</x:v>
      </x:c>
      <x:c r="Q2136" s="19" t="str">
        <x:v>S12_061_GE_10000</x:v>
      </x:c>
      <x:c r="R2136" s="19" t="str">
        <x:v>S12_061 usage threshold</x:v>
      </x:c>
      <x:c r="S2136" s="19" t="str">
        <x:v>https://nlftp.mlit.go.jp/ksj/gml/datalist/KsjTmplt-S12-2024.html</x:v>
      </x:c>
      <x:c r="T2136" s="19" t="str">
        <x:v>https://nlftp.mlit.go.jp/ksj/gml/datalist/KsjTmplt-S12-2024.html</x:v>
      </x:c>
      <x:c r="U2136" s="19" t="str">
        <x:v>station-component|関内|東日本旅客鉄道|conventional_rail|35.4442|139.6360|</x:v>
      </x:c>
      <x:c r="V2136" s="19" t="str">
        <x:v>004691 / 004699 / 根岸線</x:v>
      </x:c>
      <x:c r="W2136" s="18" t="str">
        <x:v>否</x:v>
      </x:c>
      <x:c r="X2136" s="18" t="str">
        <x:v>0785e932a32b3ec15e1a1345537ae145eafe1c07bf38d5c16c11ee2b391e7a28</x:v>
      </x:c>
      <x:c r="Y2136" s="20" t="n">
        <x:v>1</x:v>
      </x:c>
      <x:c r="Z2136" s="20" t="n">
        <x:v>1</x:v>
      </x:c>
      <x:c r="AA2136" s="19"/>
      <x:c r="AB2136" s="18"/>
      <x:c r="AC2136" s="19"/>
    </x:row>
    <x:row r="2137" ht="33" customHeight="1">
      <x:c r="A2137" s="18" t="str">
        <x:v>関内</x:v>
      </x:c>
      <x:c r="B2137" s="18" t="str">
        <x:v>横浜市</x:v>
      </x:c>
      <x:c r="C2137" s="18" t="str">
        <x:v>metro</x:v>
      </x:c>
      <x:c r="D2137" s="19" t="str">
        <x:v>T2</x:v>
      </x:c>
      <x:c r="E2137" s="20" t="n">
        <x:v>20271</x:v>
      </x:c>
      <x:c r="F2137" s="18" t="str">
        <x:v>persons/day</x:v>
      </x:c>
      <x:c r="G2137" s="18" t="str">
        <x:v>FY2024</x:v>
      </x:c>
      <x:c r="H2137" s="18" t="str">
        <x:v>否</x:v>
      </x:c>
      <x:c r="I2137" s="19" t="str">
        <x:v>DAILY_ENTRIES_EXITS</x:v>
      </x:c>
      <x:c r="J2137" s="19" t="str">
        <x:v>1号線
3号線</x:v>
      </x:c>
      <x:c r="K2137" s="18" t="str">
        <x:v>transport-node:55521610-7ba6-5725-856c-4922587ad045</x:v>
      </x:c>
      <x:c r="L2137" s="19" t="str">
        <x:v>组件待审核</x:v>
      </x:c>
      <x:c r="M2137" s="21" t="n">
        <x:v>35.44577</x:v>
      </x:c>
      <x:c r="N2137" s="21" t="n">
        <x:v>139.63602</x:v>
      </x:c>
      <x:c r="O2137" s="18" t="str">
        <x:v>004692</x:v>
      </x:c>
      <x:c r="P2137" s="18" t="str">
        <x:v>3号線</x:v>
      </x:c>
      <x:c r="Q2137" s="19" t="str">
        <x:v>S12_061_GE_10000</x:v>
      </x:c>
      <x:c r="R2137" s="19" t="str">
        <x:v>S12_061 usage threshold</x:v>
      </x:c>
      <x:c r="S2137" s="19" t="str">
        <x:v>https://nlftp.mlit.go.jp/ksj/gml/datalist/KsjTmplt-S12-2024.html</x:v>
      </x:c>
      <x:c r="T2137" s="19" t="str">
        <x:v>https://nlftp.mlit.go.jp/ksj/gml/datalist/KsjTmplt-S12-2024.html</x:v>
      </x:c>
      <x:c r="U2137" s="19" t="str">
        <x:v>station-component|関内|横浜市|metro|35.4458|139.6360|</x:v>
      </x:c>
      <x:c r="V2137" s="19" t="str">
        <x:v>004691 / 004691 / 1号線
004691 / 004692 / 3号線</x:v>
      </x:c>
      <x:c r="W2137" s="18" t="str">
        <x:v>否</x:v>
      </x:c>
      <x:c r="X2137" s="18" t="str">
        <x:v>0785e932a32b3ec15e1a1345537ae145eafe1c07bf38d5c16c11ee2b391e7a28</x:v>
      </x:c>
      <x:c r="Y2137" s="20" t="n">
        <x:v>1</x:v>
      </x:c>
      <x:c r="Z2137" s="20" t="n">
        <x:v>1</x:v>
      </x:c>
      <x:c r="AA2137" s="19"/>
      <x:c r="AB2137" s="18"/>
      <x:c r="AC2137" s="19"/>
    </x:row>
    <x:row r="2138" ht="28" customHeight="1">
      <x:c r="A2138" s="18" t="str">
        <x:v>関大前</x:v>
      </x:c>
      <x:c r="B2138" s="18" t="str">
        <x:v>阪急電鉄</x:v>
      </x:c>
      <x:c r="C2138" s="18" t="str">
        <x:v>private_rail</x:v>
      </x:c>
      <x:c r="D2138" s="19" t="str">
        <x:v>T2</x:v>
      </x:c>
      <x:c r="E2138" s="20" t="n">
        <x:v>23665</x:v>
      </x:c>
      <x:c r="F2138" s="18" t="str">
        <x:v>persons/day</x:v>
      </x:c>
      <x:c r="G2138" s="18" t="str">
        <x:v>FY2024</x:v>
      </x:c>
      <x:c r="H2138" s="18" t="str">
        <x:v>否</x:v>
      </x:c>
      <x:c r="I2138" s="19" t="str">
        <x:v>DAILY_ENTRIES_EXITS</x:v>
      </x:c>
      <x:c r="J2138" s="19" t="str">
        <x:v>千里線</x:v>
      </x:c>
      <x:c r="K2138" s="18" t="str">
        <x:v>transport-node:135ca06f-6571-5668-b120-2be44a230793</x:v>
      </x:c>
      <x:c r="L2138" s="19" t="str">
        <x:v>组件待审核</x:v>
      </x:c>
      <x:c r="M2138" s="21" t="n">
        <x:v>34.77091</x:v>
      </x:c>
      <x:c r="N2138" s="21" t="n">
        <x:v>135.506065</x:v>
      </x:c>
      <x:c r="O2138" s="18" t="str">
        <x:v>006740</x:v>
      </x:c>
      <x:c r="P2138" s="18" t="str">
        <x:v>千里線</x:v>
      </x:c>
      <x:c r="Q2138" s="19" t="str">
        <x:v>S12_061_GE_10000</x:v>
      </x:c>
      <x:c r="R2138" s="19" t="str">
        <x:v>S12_061 usage threshold</x:v>
      </x:c>
      <x:c r="S2138" s="19" t="str">
        <x:v>https://nlftp.mlit.go.jp/ksj/gml/datalist/KsjTmplt-S12-2024.html</x:v>
      </x:c>
      <x:c r="T2138" s="19" t="str">
        <x:v>https://nlftp.mlit.go.jp/ksj/gml/datalist/KsjTmplt-S12-2024.html</x:v>
      </x:c>
      <x:c r="U2138" s="19" t="str">
        <x:v>station-component|関大前|阪急電鉄|private_rail|34.7709|135.5061|</x:v>
      </x:c>
      <x:c r="V2138" s="19" t="str">
        <x:v>006740 / 006740 / 千里線</x:v>
      </x:c>
      <x:c r="W2138" s="18" t="str">
        <x:v>否</x:v>
      </x:c>
      <x:c r="X2138" s="18" t="str">
        <x:v>0785e932a32b3ec15e1a1345537ae145eafe1c07bf38d5c16c11ee2b391e7a28</x:v>
      </x:c>
      <x:c r="Y2138" s="20" t="n">
        <x:v>1</x:v>
      </x:c>
      <x:c r="Z2138" s="20" t="n">
        <x:v>1</x:v>
      </x:c>
      <x:c r="AA2138" s="19"/>
      <x:c r="AB2138" s="18"/>
      <x:c r="AC2138" s="19"/>
    </x:row>
    <x:row r="2139" ht="33" customHeight="1">
      <x:c r="A2139" s="18" t="str">
        <x:v>関目</x:v>
      </x:c>
      <x:c r="B2139" s="18" t="str">
        <x:v>京阪電気鉄道</x:v>
      </x:c>
      <x:c r="C2139" s="18" t="str">
        <x:v>private_rail</x:v>
      </x:c>
      <x:c r="D2139" s="19" t="str">
        <x:v>T2</x:v>
      </x:c>
      <x:c r="E2139" s="20" t="n">
        <x:v>10045</x:v>
      </x:c>
      <x:c r="F2139" s="18" t="str">
        <x:v>persons/day</x:v>
      </x:c>
      <x:c r="G2139" s="18" t="str">
        <x:v>FY2024</x:v>
      </x:c>
      <x:c r="H2139" s="18" t="str">
        <x:v>否</x:v>
      </x:c>
      <x:c r="I2139" s="19" t="str">
        <x:v>DAILY_ENTRIES_EXITS</x:v>
      </x:c>
      <x:c r="J2139" s="19" t="str">
        <x:v>京阪本線</x:v>
      </x:c>
      <x:c r="K2139" s="18" t="str">
        <x:v>transport-node:6b0e07ef-22fd-564c-bd5e-49cc11f12733</x:v>
      </x:c>
      <x:c r="L2139" s="19" t="str">
        <x:v>组件待审核</x:v>
      </x:c>
      <x:c r="M2139" s="21" t="n">
        <x:v>34.712625</x:v>
      </x:c>
      <x:c r="N2139" s="21" t="n">
        <x:v>135.546985</x:v>
      </x:c>
      <x:c r="O2139" s="18" t="str">
        <x:v>007013</x:v>
      </x:c>
      <x:c r="P2139" s="18" t="str">
        <x:v>京阪本線</x:v>
      </x:c>
      <x:c r="Q2139" s="19" t="str">
        <x:v>S12_061_GE_10000
OFFICIAL_HUB_COMPONENT_REVIEW</x:v>
      </x:c>
      <x:c r="R2139" s="19" t="str">
        <x:v>S12_061 usage threshold</x:v>
      </x:c>
      <x:c r="S2139" s="19" t="str">
        <x:v>https://nlftp.mlit.go.jp/ksj/gml/datalist/KsjTmplt-S12-2024.html</x:v>
      </x:c>
      <x:c r="T2139" s="19" t="str">
        <x:v>https://nlftp.mlit.go.jp/ksj/gml/datalist/KsjTmplt-S12-2024.html
https://subway.osakametro.co.jp/station_guide/I/i17/index.php</x:v>
      </x:c>
      <x:c r="U2139" s="19" t="str">
        <x:v>station-component|関目|京阪電気鉄道|private_rail|34.7126|135.5470|</x:v>
      </x:c>
      <x:c r="V2139" s="19" t="str">
        <x:v>007013 / 007013 / 京阪本線</x:v>
      </x:c>
      <x:c r="W2139" s="18" t="str">
        <x:v>否</x:v>
      </x:c>
      <x:c r="X2139" s="18" t="str">
        <x:v>0785e932a32b3ec15e1a1345537ae145eafe1c07bf38d5c16c11ee2b391e7a28</x:v>
      </x:c>
      <x:c r="Y2139" s="20" t="n">
        <x:v>1</x:v>
      </x:c>
      <x:c r="Z2139" s="20" t="n">
        <x:v>1</x:v>
      </x:c>
      <x:c r="AA2139" s="19" t="str">
        <x:v>関目成育・関目</x:v>
      </x:c>
      <x:c r="AB2139" s="18" t="str">
        <x:v>transport-hub-review:65d11cc0-869c-548f-94cc-ac3987a34b34</x:v>
      </x:c>
      <x:c r="AC2139" s="19"/>
    </x:row>
    <x:row r="2140" ht="33" customHeight="1">
      <x:c r="A2140" s="18" t="str">
        <x:v>関目成育</x:v>
      </x:c>
      <x:c r="B2140" s="18" t="str">
        <x:v>大阪市高速電気軌道</x:v>
      </x:c>
      <x:c r="C2140" s="18" t="str">
        <x:v>metro</x:v>
      </x:c>
      <x:c r="D2140" s="19" t="str">
        <x:v>T3</x:v>
      </x:c>
      <x:c r="E2140" s="20" t="n">
        <x:v>6026</x:v>
      </x:c>
      <x:c r="F2140" s="18" t="str">
        <x:v>persons/day</x:v>
      </x:c>
      <x:c r="G2140" s="18" t="str">
        <x:v>FY2024</x:v>
      </x:c>
      <x:c r="H2140" s="18" t="str">
        <x:v>否</x:v>
      </x:c>
      <x:c r="I2140" s="19" t="str">
        <x:v>DAILY_ENTRIES_EXITS</x:v>
      </x:c>
      <x:c r="J2140" s="19" t="str">
        <x:v>8号線(今里筋線)</x:v>
      </x:c>
      <x:c r="K2140" s="18" t="str">
        <x:v>transport-node:0357737e-485f-5bd1-8069-be7289c68729</x:v>
      </x:c>
      <x:c r="L2140" s="19" t="str">
        <x:v>组件待审核</x:v>
      </x:c>
      <x:c r="M2140" s="21" t="n">
        <x:v>34.713025</x:v>
      </x:c>
      <x:c r="N2140" s="21" t="n">
        <x:v>135.54644</x:v>
      </x:c>
      <x:c r="O2140" s="18" t="str">
        <x:v>007008</x:v>
      </x:c>
      <x:c r="P2140" s="18" t="str">
        <x:v>8号線(今里筋線)</x:v>
      </x:c>
      <x:c r="Q2140" s="19" t="str">
        <x:v>OFFICIAL_HUB_COMPONENT_REVIEW</x:v>
      </x:c>
      <x:c r="R2140" s="19" t="str">
        <x:v>S12_061 usage threshold; low-flow inclusion justified by official Hub component review</x:v>
      </x:c>
      <x:c r="S2140" s="19" t="str">
        <x:v>https://nlftp.mlit.go.jp/ksj/gml/datalist/KsjTmplt-S12-2024.html</x:v>
      </x:c>
      <x:c r="T2140" s="19" t="str">
        <x:v>https://nlftp.mlit.go.jp/ksj/gml/datalist/KsjTmplt-S12-2024.html
https://subway.osakametro.co.jp/station_guide/I/i17/index.php</x:v>
      </x:c>
      <x:c r="U2140" s="19" t="str">
        <x:v>station-component|関目成育|大阪市高速電気軌道|metro|34.7130|135.5464|</x:v>
      </x:c>
      <x:c r="V2140" s="19" t="str">
        <x:v>007008 / 007008 / 8号線(今里筋線)</x:v>
      </x:c>
      <x:c r="W2140" s="18" t="str">
        <x:v>否</x:v>
      </x:c>
      <x:c r="X2140" s="18" t="str">
        <x:v>0785e932a32b3ec15e1a1345537ae145eafe1c07bf38d5c16c11ee2b391e7a28</x:v>
      </x:c>
      <x:c r="Y2140" s="20" t="n">
        <x:v>1</x:v>
      </x:c>
      <x:c r="Z2140" s="20" t="n">
        <x:v>1</x:v>
      </x:c>
      <x:c r="AA2140" s="19" t="str">
        <x:v>関目成育・関目</x:v>
      </x:c>
      <x:c r="AB2140" s="18" t="str">
        <x:v>transport-hub-review:65d11cc0-869c-548f-94cc-ac3987a34b34</x:v>
      </x:c>
      <x:c r="AC2140" s="19"/>
    </x:row>
    <x:row r="2141" ht="28" customHeight="1">
      <x:c r="A2141" s="18" t="str">
        <x:v>関目高殿</x:v>
      </x:c>
      <x:c r="B2141" s="18" t="str">
        <x:v>大阪市高速電気軌道</x:v>
      </x:c>
      <x:c r="C2141" s="18" t="str">
        <x:v>metro</x:v>
      </x:c>
      <x:c r="D2141" s="19" t="str">
        <x:v>T2</x:v>
      </x:c>
      <x:c r="E2141" s="20" t="n">
        <x:v>14988</x:v>
      </x:c>
      <x:c r="F2141" s="18" t="str">
        <x:v>persons/day</x:v>
      </x:c>
      <x:c r="G2141" s="18" t="str">
        <x:v>FY2024</x:v>
      </x:c>
      <x:c r="H2141" s="18" t="str">
        <x:v>否</x:v>
      </x:c>
      <x:c r="I2141" s="19" t="str">
        <x:v>DAILY_ENTRIES_EXITS</x:v>
      </x:c>
      <x:c r="J2141" s="19" t="str">
        <x:v>2号線(谷町線)</x:v>
      </x:c>
      <x:c r="K2141" s="18" t="str">
        <x:v>transport-node:4e9d706b-de16-5710-b9af-215829ffc5af</x:v>
      </x:c>
      <x:c r="L2141" s="19" t="str">
        <x:v>组件待审核</x:v>
      </x:c>
      <x:c r="M2141" s="21" t="n">
        <x:v>34.7152733</x:v>
      </x:c>
      <x:c r="N2141" s="21" t="n">
        <x:v>135.5456533</x:v>
      </x:c>
      <x:c r="O2141" s="18" t="str">
        <x:v>007002</x:v>
      </x:c>
      <x:c r="P2141" s="18" t="str">
        <x:v>2号線(谷町線)</x:v>
      </x:c>
      <x:c r="Q2141" s="19" t="str">
        <x:v>S12_061_GE_10000</x:v>
      </x:c>
      <x:c r="R2141" s="19" t="str">
        <x:v>S12_061 usage threshold</x:v>
      </x:c>
      <x:c r="S2141" s="19" t="str">
        <x:v>https://nlftp.mlit.go.jp/ksj/gml/datalist/KsjTmplt-S12-2024.html</x:v>
      </x:c>
      <x:c r="T2141" s="19" t="str">
        <x:v>https://nlftp.mlit.go.jp/ksj/gml/datalist/KsjTmplt-S12-2024.html</x:v>
      </x:c>
      <x:c r="U2141" s="19" t="str">
        <x:v>station-component|関目高殿|大阪市高速電気軌道|metro|34.7153|135.5457|</x:v>
      </x:c>
      <x:c r="V2141" s="19" t="str">
        <x:v>007002 / 007002 / 2号線(谷町線)</x:v>
      </x:c>
      <x:c r="W2141" s="18" t="str">
        <x:v>否</x:v>
      </x:c>
      <x:c r="X2141" s="18" t="str">
        <x:v>0785e932a32b3ec15e1a1345537ae145eafe1c07bf38d5c16c11ee2b391e7a28</x:v>
      </x:c>
      <x:c r="Y2141" s="20" t="n">
        <x:v>1</x:v>
      </x:c>
      <x:c r="Z2141" s="20" t="n">
        <x:v>1</x:v>
      </x:c>
      <x:c r="AA2141" s="19"/>
      <x:c r="AB2141" s="18"/>
      <x:c r="AC2141" s="19"/>
    </x:row>
    <x:row r="2142" ht="33" customHeight="1">
      <x:c r="A2142" s="18" t="str">
        <x:v>関西空港</x:v>
      </x:c>
      <x:c r="B2142" s="18" t="str">
        <x:v>南海電気鉄道</x:v>
      </x:c>
      <x:c r="C2142" s="18" t="str">
        <x:v>private_rail</x:v>
      </x:c>
      <x:c r="D2142" s="19" t="str">
        <x:v>T2</x:v>
      </x:c>
      <x:c r="E2142" s="20" t="n">
        <x:v>43202</x:v>
      </x:c>
      <x:c r="F2142" s="18" t="str">
        <x:v>persons/day</x:v>
      </x:c>
      <x:c r="G2142" s="18" t="str">
        <x:v>FY2024</x:v>
      </x:c>
      <x:c r="H2142" s="18" t="str">
        <x:v>否</x:v>
      </x:c>
      <x:c r="I2142" s="19" t="str">
        <x:v>DAILY_ENTRIES_EXITS</x:v>
      </x:c>
      <x:c r="J2142" s="19" t="str">
        <x:v>空港線</x:v>
      </x:c>
      <x:c r="K2142" s="18" t="str">
        <x:v>transport-node:088af349-4456-5975-af8d-94b310a9b6dd</x:v>
      </x:c>
      <x:c r="L2142" s="19" t="str">
        <x:v>组件待审核</x:v>
      </x:c>
      <x:c r="M2142" s="21" t="n">
        <x:v>34.4358973</x:v>
      </x:c>
      <x:c r="N2142" s="21" t="n">
        <x:v>135.2431991</x:v>
      </x:c>
      <x:c r="O2142" s="18" t="str">
        <x:v>007959</x:v>
      </x:c>
      <x:c r="P2142" s="18" t="str">
        <x:v>空港線</x:v>
      </x:c>
      <x:c r="Q2142" s="19" t="str">
        <x:v>S12_061_GE_10000
AIRPORT_ACCESS_AUDIT</x:v>
      </x:c>
      <x:c r="R2142" s="19" t="str">
        <x:v>S12_061 usage threshold</x:v>
      </x:c>
      <x:c r="S2142" s="19" t="str">
        <x:v>https://nlftp.mlit.go.jp/ksj/gml/datalist/KsjTmplt-S12-2024.html</x:v>
      </x:c>
      <x:c r="T2142" s="19" t="str">
        <x:v>https://nlftp.mlit.go.jp/ksj/gml/datalist/KsjTmplt-S12-2024.html</x:v>
      </x:c>
      <x:c r="U2142" s="19" t="str">
        <x:v>station-component|関西空港|南海電気鉄道|private_rail|34.4359|135.2432|</x:v>
      </x:c>
      <x:c r="V2142" s="19" t="str">
        <x:v>007958 / 007959 / 空港線</x:v>
      </x:c>
      <x:c r="W2142" s="18" t="str">
        <x:v>否</x:v>
      </x:c>
      <x:c r="X2142" s="18" t="str">
        <x:v>0785e932a32b3ec15e1a1345537ae145eafe1c07bf38d5c16c11ee2b391e7a28</x:v>
      </x:c>
      <x:c r="Y2142" s="20" t="n">
        <x:v>1</x:v>
      </x:c>
      <x:c r="Z2142" s="20" t="n">
        <x:v>1</x:v>
      </x:c>
      <x:c r="AA2142" s="19"/>
      <x:c r="AB2142" s="18"/>
      <x:c r="AC2142" s="19"/>
    </x:row>
    <x:row r="2143" ht="33" customHeight="1">
      <x:c r="A2143" s="18" t="str">
        <x:v>関西空港</x:v>
      </x:c>
      <x:c r="B2143" s="18" t="str">
        <x:v>西日本旅客鉄道</x:v>
      </x:c>
      <x:c r="C2143" s="18" t="str">
        <x:v>conventional_rail</x:v>
      </x:c>
      <x:c r="D2143" s="19" t="str">
        <x:v>T2</x:v>
      </x:c>
      <x:c r="E2143" s="20" t="n">
        <x:v>30810</x:v>
      </x:c>
      <x:c r="F2143" s="18" t="str">
        <x:v>persons/day</x:v>
      </x:c>
      <x:c r="G2143" s="18" t="str">
        <x:v>FY2024</x:v>
      </x:c>
      <x:c r="H2143" s="18" t="str">
        <x:v>否</x:v>
      </x:c>
      <x:c r="I2143" s="19" t="str">
        <x:v>DAILY_ENTRIES_EXITS</x:v>
      </x:c>
      <x:c r="J2143" s="19" t="str">
        <x:v>関西空港線</x:v>
      </x:c>
      <x:c r="K2143" s="18" t="str">
        <x:v>transport-node:9e804da4-7860-57b6-8767-f1df32826b17</x:v>
      </x:c>
      <x:c r="L2143" s="19" t="str">
        <x:v>组件待审核</x:v>
      </x:c>
      <x:c r="M2143" s="21" t="n">
        <x:v>34.4358973</x:v>
      </x:c>
      <x:c r="N2143" s="21" t="n">
        <x:v>135.2431991</x:v>
      </x:c>
      <x:c r="O2143" s="18" t="str">
        <x:v>007958</x:v>
      </x:c>
      <x:c r="P2143" s="18" t="str">
        <x:v>関西空港線</x:v>
      </x:c>
      <x:c r="Q2143" s="19" t="str">
        <x:v>S12_061_GE_10000
AIRPORT_ACCESS_AUDIT</x:v>
      </x:c>
      <x:c r="R2143" s="19" t="str">
        <x:v>S12_061 usage threshold</x:v>
      </x:c>
      <x:c r="S2143" s="19" t="str">
        <x:v>https://nlftp.mlit.go.jp/ksj/gml/datalist/KsjTmplt-S12-2024.html</x:v>
      </x:c>
      <x:c r="T2143" s="19" t="str">
        <x:v>https://nlftp.mlit.go.jp/ksj/gml/datalist/KsjTmplt-S12-2024.html</x:v>
      </x:c>
      <x:c r="U2143" s="19" t="str">
        <x:v>station-component|関西空港|西日本旅客鉄道|conventional_rail|34.4359|135.2432|</x:v>
      </x:c>
      <x:c r="V2143" s="19" t="str">
        <x:v>007958 / 007958 / 関西空港線</x:v>
      </x:c>
      <x:c r="W2143" s="18" t="str">
        <x:v>否</x:v>
      </x:c>
      <x:c r="X2143" s="18" t="str">
        <x:v>0785e932a32b3ec15e1a1345537ae145eafe1c07bf38d5c16c11ee2b391e7a28</x:v>
      </x:c>
      <x:c r="Y2143" s="20" t="n">
        <x:v>1</x:v>
      </x:c>
      <x:c r="Z2143" s="20" t="n">
        <x:v>1</x:v>
      </x:c>
      <x:c r="AA2143" s="19"/>
      <x:c r="AB2143" s="18"/>
      <x:c r="AC2143" s="19"/>
    </x:row>
    <x:row r="2144" ht="28" customHeight="1">
      <x:c r="A2144" s="18" t="str">
        <x:v>阪東橋</x:v>
      </x:c>
      <x:c r="B2144" s="18" t="str">
        <x:v>横浜市</x:v>
      </x:c>
      <x:c r="C2144" s="18" t="str">
        <x:v>metro</x:v>
      </x:c>
      <x:c r="D2144" s="19" t="str">
        <x:v>T2</x:v>
      </x:c>
      <x:c r="E2144" s="20" t="n">
        <x:v>11726</x:v>
      </x:c>
      <x:c r="F2144" s="18" t="str">
        <x:v>persons/day</x:v>
      </x:c>
      <x:c r="G2144" s="18" t="str">
        <x:v>FY2024</x:v>
      </x:c>
      <x:c r="H2144" s="18" t="str">
        <x:v>否</x:v>
      </x:c>
      <x:c r="I2144" s="19" t="str">
        <x:v>DAILY_ENTRIES_EXITS</x:v>
      </x:c>
      <x:c r="J2144" s="19" t="str">
        <x:v>1号線</x:v>
      </x:c>
      <x:c r="K2144" s="18" t="str">
        <x:v>transport-node:6b5fb794-eb17-54ef-8879-cadaf504dcbb</x:v>
      </x:c>
      <x:c r="L2144" s="19" t="str">
        <x:v>组件待审核</x:v>
      </x:c>
      <x:c r="M2144" s="21" t="n">
        <x:v>35.43754</x:v>
      </x:c>
      <x:c r="N2144" s="21" t="n">
        <x:v>139.62497</x:v>
      </x:c>
      <x:c r="O2144" s="18" t="str">
        <x:v>004718</x:v>
      </x:c>
      <x:c r="P2144" s="18" t="str">
        <x:v>1号線</x:v>
      </x:c>
      <x:c r="Q2144" s="19" t="str">
        <x:v>S12_061_GE_10000</x:v>
      </x:c>
      <x:c r="R2144" s="19" t="str">
        <x:v>S12_061 usage threshold</x:v>
      </x:c>
      <x:c r="S2144" s="19" t="str">
        <x:v>https://nlftp.mlit.go.jp/ksj/gml/datalist/KsjTmplt-S12-2024.html</x:v>
      </x:c>
      <x:c r="T2144" s="19" t="str">
        <x:v>https://nlftp.mlit.go.jp/ksj/gml/datalist/KsjTmplt-S12-2024.html</x:v>
      </x:c>
      <x:c r="U2144" s="19" t="str">
        <x:v>station-component|阪東橋|横浜市|metro|35.4375|139.6250|</x:v>
      </x:c>
      <x:c r="V2144" s="19" t="str">
        <x:v>004718 / 004718 / 1号線</x:v>
      </x:c>
      <x:c r="W2144" s="18" t="str">
        <x:v>否</x:v>
      </x:c>
      <x:c r="X2144" s="18" t="str">
        <x:v>0785e932a32b3ec15e1a1345537ae145eafe1c07bf38d5c16c11ee2b391e7a28</x:v>
      </x:c>
      <x:c r="Y2144" s="20" t="n">
        <x:v>1</x:v>
      </x:c>
      <x:c r="Z2144" s="20" t="n">
        <x:v>1</x:v>
      </x:c>
      <x:c r="AA2144" s="19"/>
      <x:c r="AB2144" s="18"/>
      <x:c r="AC2144" s="19"/>
    </x:row>
    <x:row r="2145" ht="28" customHeight="1">
      <x:c r="A2145" s="18" t="str">
        <x:v>阿佐ヶ谷</x:v>
      </x:c>
      <x:c r="B2145" s="18" t="str">
        <x:v>東日本旅客鉄道</x:v>
      </x:c>
      <x:c r="C2145" s="18" t="str">
        <x:v>conventional_rail</x:v>
      </x:c>
      <x:c r="D2145" s="19" t="str">
        <x:v>T1</x:v>
      </x:c>
      <x:c r="E2145" s="20" t="n">
        <x:v>84048</x:v>
      </x:c>
      <x:c r="F2145" s="18" t="str">
        <x:v>persons/day</x:v>
      </x:c>
      <x:c r="G2145" s="18" t="str">
        <x:v>FY2024</x:v>
      </x:c>
      <x:c r="H2145" s="18" t="str">
        <x:v>否</x:v>
      </x:c>
      <x:c r="I2145" s="19" t="str">
        <x:v>DAILY_ENTRIES_EXITS</x:v>
      </x:c>
      <x:c r="J2145" s="19" t="str">
        <x:v>中央線</x:v>
      </x:c>
      <x:c r="K2145" s="18" t="str">
        <x:v>transport-node:9e315ee4-e642-5411-871e-80baca570774</x:v>
      </x:c>
      <x:c r="L2145" s="19" t="str">
        <x:v>组件待审核</x:v>
      </x:c>
      <x:c r="M2145" s="21" t="n">
        <x:v>35.7048875</x:v>
      </x:c>
      <x:c r="N2145" s="21" t="n">
        <x:v>139.6362575</x:v>
      </x:c>
      <x:c r="O2145" s="18" t="str">
        <x:v>003574</x:v>
      </x:c>
      <x:c r="P2145" s="18" t="str">
        <x:v>中央線</x:v>
      </x:c>
      <x:c r="Q2145" s="19" t="str">
        <x:v>S12_061_GE_10000</x:v>
      </x:c>
      <x:c r="R2145" s="19" t="str">
        <x:v>S12_061 usage threshold</x:v>
      </x:c>
      <x:c r="S2145" s="19" t="str">
        <x:v>https://nlftp.mlit.go.jp/ksj/gml/datalist/KsjTmplt-S12-2024.html</x:v>
      </x:c>
      <x:c r="T2145" s="19" t="str">
        <x:v>https://nlftp.mlit.go.jp/ksj/gml/datalist/KsjTmplt-S12-2024.html</x:v>
      </x:c>
      <x:c r="U2145" s="19" t="str">
        <x:v>station-component|阿佐ヶ谷|東日本旅客鉄道|conventional_rail|35.7049|139.6363|</x:v>
      </x:c>
      <x:c r="V2145" s="19" t="str">
        <x:v>003574 / 003574 / 中央線</x:v>
      </x:c>
      <x:c r="W2145" s="18" t="str">
        <x:v>否</x:v>
      </x:c>
      <x:c r="X2145" s="18" t="str">
        <x:v>0785e932a32b3ec15e1a1345537ae145eafe1c07bf38d5c16c11ee2b391e7a28</x:v>
      </x:c>
      <x:c r="Y2145" s="20" t="n">
        <x:v>1</x:v>
      </x:c>
      <x:c r="Z2145" s="20" t="n">
        <x:v>1</x:v>
      </x:c>
      <x:c r="AA2145" s="19"/>
      <x:c r="AB2145" s="18"/>
      <x:c r="AC2145" s="19"/>
    </x:row>
    <x:row r="2146" ht="28" customHeight="1">
      <x:c r="A2146" s="18" t="str">
        <x:v>阿倍野</x:v>
      </x:c>
      <x:c r="B2146" s="18" t="str">
        <x:v>大阪市高速電気軌道</x:v>
      </x:c>
      <x:c r="C2146" s="18" t="str">
        <x:v>metro</x:v>
      </x:c>
      <x:c r="D2146" s="19" t="str">
        <x:v>T2</x:v>
      </x:c>
      <x:c r="E2146" s="20" t="n">
        <x:v>18706</x:v>
      </x:c>
      <x:c r="F2146" s="18" t="str">
        <x:v>persons/day</x:v>
      </x:c>
      <x:c r="G2146" s="18" t="str">
        <x:v>FY2024</x:v>
      </x:c>
      <x:c r="H2146" s="18" t="str">
        <x:v>否</x:v>
      </x:c>
      <x:c r="I2146" s="19" t="str">
        <x:v>DAILY_ENTRIES_EXITS</x:v>
      </x:c>
      <x:c r="J2146" s="19" t="str">
        <x:v>2号線(谷町線)</x:v>
      </x:c>
      <x:c r="K2146" s="18" t="str">
        <x:v>transport-node:575dbd37-addf-5577-b74c-e8d05631347e</x:v>
      </x:c>
      <x:c r="L2146" s="19" t="str">
        <x:v>组件待审核</x:v>
      </x:c>
      <x:c r="M2146" s="21" t="n">
        <x:v>34.6427733</x:v>
      </x:c>
      <x:c r="N2146" s="21" t="n">
        <x:v>135.5121</x:v>
      </x:c>
      <x:c r="O2146" s="18" t="str">
        <x:v>007460</x:v>
      </x:c>
      <x:c r="P2146" s="18" t="str">
        <x:v>2号線(谷町線)</x:v>
      </x:c>
      <x:c r="Q2146" s="19" t="str">
        <x:v>S12_061_GE_10000</x:v>
      </x:c>
      <x:c r="R2146" s="19" t="str">
        <x:v>S12_061 usage threshold</x:v>
      </x:c>
      <x:c r="S2146" s="19" t="str">
        <x:v>https://nlftp.mlit.go.jp/ksj/gml/datalist/KsjTmplt-S12-2024.html</x:v>
      </x:c>
      <x:c r="T2146" s="19" t="str">
        <x:v>https://nlftp.mlit.go.jp/ksj/gml/datalist/KsjTmplt-S12-2024.html</x:v>
      </x:c>
      <x:c r="U2146" s="19" t="str">
        <x:v>station-component|阿倍野|大阪市高速電気軌道|metro|34.6428|135.5121|</x:v>
      </x:c>
      <x:c r="V2146" s="19" t="str">
        <x:v>007460 / 007460 / 2号線(谷町線)</x:v>
      </x:c>
      <x:c r="W2146" s="18" t="str">
        <x:v>否</x:v>
      </x:c>
      <x:c r="X2146" s="18" t="str">
        <x:v>0785e932a32b3ec15e1a1345537ae145eafe1c07bf38d5c16c11ee2b391e7a28</x:v>
      </x:c>
      <x:c r="Y2146" s="20" t="n">
        <x:v>1</x:v>
      </x:c>
      <x:c r="Z2146" s="20" t="n">
        <x:v>1</x:v>
      </x:c>
      <x:c r="AA2146" s="19"/>
      <x:c r="AB2146" s="18"/>
      <x:c r="AC2146" s="19"/>
    </x:row>
    <x:row r="2147" ht="33" customHeight="1">
      <x:c r="A2147" s="18" t="str">
        <x:v>阿波座</x:v>
      </x:c>
      <x:c r="B2147" s="18" t="str">
        <x:v>大阪市高速電気軌道</x:v>
      </x:c>
      <x:c r="C2147" s="18" t="str">
        <x:v>metro</x:v>
      </x:c>
      <x:c r="D2147" s="19" t="str">
        <x:v>T2</x:v>
      </x:c>
      <x:c r="E2147" s="20" t="n">
        <x:v>47704</x:v>
      </x:c>
      <x:c r="F2147" s="18" t="str">
        <x:v>persons/day</x:v>
      </x:c>
      <x:c r="G2147" s="18" t="str">
        <x:v>FY2024</x:v>
      </x:c>
      <x:c r="H2147" s="18" t="str">
        <x:v>否</x:v>
      </x:c>
      <x:c r="I2147" s="19" t="str">
        <x:v>DAILY_ENTRIES_EXITS</x:v>
      </x:c>
      <x:c r="J2147" s="19" t="str">
        <x:v>4号線(中央線)
5号線(千日前線)</x:v>
      </x:c>
      <x:c r="K2147" s="18" t="str">
        <x:v>transport-node:27650172-3358-525d-b588-733354a058ac</x:v>
      </x:c>
      <x:c r="L2147" s="19" t="str">
        <x:v>组件待审核</x:v>
      </x:c>
      <x:c r="M2147" s="21" t="n">
        <x:v>34.681345</x:v>
      </x:c>
      <x:c r="N2147" s="21" t="n">
        <x:v>135.487925</x:v>
      </x:c>
      <x:c r="O2147" s="18" t="str">
        <x:v>007206</x:v>
      </x:c>
      <x:c r="P2147" s="18" t="str">
        <x:v>4号線(中央線)</x:v>
      </x:c>
      <x:c r="Q2147" s="19" t="str">
        <x:v>S12_061_GE_10000
OFFICIAL_HUB_COMPONENT_REVIEW</x:v>
      </x:c>
      <x:c r="R2147" s="19" t="str">
        <x:v>S12_061 usage threshold</x:v>
      </x:c>
      <x:c r="S2147" s="19" t="str">
        <x:v>https://nlftp.mlit.go.jp/ksj/gml/datalist/KsjTmplt-S12-2024.html</x:v>
      </x:c>
      <x:c r="T2147" s="19" t="str">
        <x:v>https://nlftp.mlit.go.jp/ksj/gml/datalist/KsjTmplt-S12-2024.html
https://subway.osakametro.co.jp/station_guide/C/c15/index.php</x:v>
      </x:c>
      <x:c r="U2147" s="19" t="str">
        <x:v>station-component|阿波座|大阪市高速電気軌道|metro|34.6813|135.4879|</x:v>
      </x:c>
      <x:c r="V2147" s="19" t="str">
        <x:v>007198 / 007198 / 5号線(千日前線)
007198 / 007206 / 4号線(中央線)</x:v>
      </x:c>
      <x:c r="W2147" s="18" t="str">
        <x:v>否</x:v>
      </x:c>
      <x:c r="X2147" s="18" t="str">
        <x:v>0785e932a32b3ec15e1a1345537ae145eafe1c07bf38d5c16c11ee2b391e7a28</x:v>
      </x:c>
      <x:c r="Y2147" s="20" t="n">
        <x:v>1</x:v>
      </x:c>
      <x:c r="Z2147" s="20" t="n">
        <x:v>1</x:v>
      </x:c>
      <x:c r="AA2147" s="19" t="str">
        <x:v>阿波座</x:v>
      </x:c>
      <x:c r="AB2147" s="18" t="str">
        <x:v>transport-hub-review:e23736d8-ea90-5968-83ad-a01aa8096b1d</x:v>
      </x:c>
      <x:c r="AC2147" s="19"/>
    </x:row>
    <x:row r="2148" ht="28" customHeight="1">
      <x:c r="A2148" s="18" t="str">
        <x:v>雑司が谷</x:v>
      </x:c>
      <x:c r="B2148" s="18" t="str">
        <x:v>東京地下鉄</x:v>
      </x:c>
      <x:c r="C2148" s="18" t="str">
        <x:v>metro</x:v>
      </x:c>
      <x:c r="D2148" s="19" t="str">
        <x:v>T2</x:v>
      </x:c>
      <x:c r="E2148" s="20" t="n">
        <x:v>19401</x:v>
      </x:c>
      <x:c r="F2148" s="18" t="str">
        <x:v>persons/day</x:v>
      </x:c>
      <x:c r="G2148" s="18" t="str">
        <x:v>FY2024</x:v>
      </x:c>
      <x:c r="H2148" s="18" t="str">
        <x:v>否</x:v>
      </x:c>
      <x:c r="I2148" s="19" t="str">
        <x:v>DAILY_ENTRIES_EXITS</x:v>
      </x:c>
      <x:c r="J2148" s="19" t="str">
        <x:v>13号線副都心線</x:v>
      </x:c>
      <x:c r="K2148" s="18" t="str">
        <x:v>transport-node:95d4f1ba-9113-50b7-baf6-e9f4f3f966ce</x:v>
      </x:c>
      <x:c r="L2148" s="19" t="str">
        <x:v>组件待审核</x:v>
      </x:c>
      <x:c r="M2148" s="21" t="n">
        <x:v>35.7202</x:v>
      </x:c>
      <x:c r="N2148" s="21" t="n">
        <x:v>139.714715</x:v>
      </x:c>
      <x:c r="O2148" s="18" t="str">
        <x:v>003471</x:v>
      </x:c>
      <x:c r="P2148" s="18" t="str">
        <x:v>13号線副都心線</x:v>
      </x:c>
      <x:c r="Q2148" s="19" t="str">
        <x:v>S12_061_GE_10000</x:v>
      </x:c>
      <x:c r="R2148" s="19" t="str">
        <x:v>S12_061 usage threshold</x:v>
      </x:c>
      <x:c r="S2148" s="19" t="str">
        <x:v>https://nlftp.mlit.go.jp/ksj/gml/datalist/KsjTmplt-S12-2024.html</x:v>
      </x:c>
      <x:c r="T2148" s="19" t="str">
        <x:v>https://nlftp.mlit.go.jp/ksj/gml/datalist/KsjTmplt-S12-2024.html</x:v>
      </x:c>
      <x:c r="U2148" s="19" t="str">
        <x:v>station-component|雑司が谷|東京地下鉄|metro|35.7202|139.7147|</x:v>
      </x:c>
      <x:c r="V2148" s="19" t="str">
        <x:v>003471 / 003471 / 13号線副都心線</x:v>
      </x:c>
      <x:c r="W2148" s="18" t="str">
        <x:v>否</x:v>
      </x:c>
      <x:c r="X2148" s="18" t="str">
        <x:v>0785e932a32b3ec15e1a1345537ae145eafe1c07bf38d5c16c11ee2b391e7a28</x:v>
      </x:c>
      <x:c r="Y2148" s="20" t="n">
        <x:v>1</x:v>
      </x:c>
      <x:c r="Z2148" s="20" t="n">
        <x:v>1</x:v>
      </x:c>
      <x:c r="AA2148" s="19"/>
      <x:c r="AB2148" s="18"/>
      <x:c r="AC2148" s="19"/>
    </x:row>
    <x:row r="2149" ht="28" customHeight="1">
      <x:c r="A2149" s="18" t="str">
        <x:v>雑色</x:v>
      </x:c>
      <x:c r="B2149" s="18" t="str">
        <x:v>京浜急行電鉄</x:v>
      </x:c>
      <x:c r="C2149" s="18" t="str">
        <x:v>private_rail</x:v>
      </x:c>
      <x:c r="D2149" s="19" t="str">
        <x:v>T2</x:v>
      </x:c>
      <x:c r="E2149" s="20" t="n">
        <x:v>30842</x:v>
      </x:c>
      <x:c r="F2149" s="18" t="str">
        <x:v>persons/day</x:v>
      </x:c>
      <x:c r="G2149" s="18" t="str">
        <x:v>FY2024</x:v>
      </x:c>
      <x:c r="H2149" s="18" t="str">
        <x:v>否</x:v>
      </x:c>
      <x:c r="I2149" s="19" t="str">
        <x:v>DAILY_ENTRIES_EXITS</x:v>
      </x:c>
      <x:c r="J2149" s="19" t="str">
        <x:v>本線</x:v>
      </x:c>
      <x:c r="K2149" s="18" t="str">
        <x:v>transport-node:4f281017-7b85-5cfd-873e-3a63f26274d8</x:v>
      </x:c>
      <x:c r="L2149" s="19" t="str">
        <x:v>组件待审核</x:v>
      </x:c>
      <x:c r="M2149" s="21" t="n">
        <x:v>35.549775</x:v>
      </x:c>
      <x:c r="N2149" s="21" t="n">
        <x:v>139.715035</x:v>
      </x:c>
      <x:c r="O2149" s="18" t="str">
        <x:v>004367</x:v>
      </x:c>
      <x:c r="P2149" s="18" t="str">
        <x:v>本線</x:v>
      </x:c>
      <x:c r="Q2149" s="19" t="str">
        <x:v>S12_061_GE_10000</x:v>
      </x:c>
      <x:c r="R2149" s="19" t="str">
        <x:v>S12_061 usage threshold</x:v>
      </x:c>
      <x:c r="S2149" s="19" t="str">
        <x:v>https://nlftp.mlit.go.jp/ksj/gml/datalist/KsjTmplt-S12-2024.html</x:v>
      </x:c>
      <x:c r="T2149" s="19" t="str">
        <x:v>https://nlftp.mlit.go.jp/ksj/gml/datalist/KsjTmplt-S12-2024.html</x:v>
      </x:c>
      <x:c r="U2149" s="19" t="str">
        <x:v>station-component|雑色|京浜急行電鉄|private_rail|35.5498|139.7150|</x:v>
      </x:c>
      <x:c r="V2149" s="19" t="str">
        <x:v>004367 / 004367 / 本線</x:v>
      </x:c>
      <x:c r="W2149" s="18" t="str">
        <x:v>否</x:v>
      </x:c>
      <x:c r="X2149" s="18" t="str">
        <x:v>0785e932a32b3ec15e1a1345537ae145eafe1c07bf38d5c16c11ee2b391e7a28</x:v>
      </x:c>
      <x:c r="Y2149" s="20" t="n">
        <x:v>1</x:v>
      </x:c>
      <x:c r="Z2149" s="20" t="n">
        <x:v>1</x:v>
      </x:c>
      <x:c r="AA2149" s="19"/>
      <x:c r="AB2149" s="18"/>
      <x:c r="AC2149" s="19"/>
    </x:row>
    <x:row r="2150" ht="28" customHeight="1">
      <x:c r="A2150" s="18" t="str">
        <x:v>雑餉隈</x:v>
      </x:c>
      <x:c r="B2150" s="18" t="str">
        <x:v>西日本鉄道</x:v>
      </x:c>
      <x:c r="C2150" s="18" t="str">
        <x:v>private_rail</x:v>
      </x:c>
      <x:c r="D2150" s="19" t="str">
        <x:v>T2</x:v>
      </x:c>
      <x:c r="E2150" s="20" t="n">
        <x:v>12375</x:v>
      </x:c>
      <x:c r="F2150" s="18" t="str">
        <x:v>persons/day</x:v>
      </x:c>
      <x:c r="G2150" s="18" t="str">
        <x:v>FY2024</x:v>
      </x:c>
      <x:c r="H2150" s="18" t="str">
        <x:v>否</x:v>
      </x:c>
      <x:c r="I2150" s="19" t="str">
        <x:v>DAILY_ENTRIES_EXITS</x:v>
      </x:c>
      <x:c r="J2150" s="19" t="str">
        <x:v>天神大牟田線</x:v>
      </x:c>
      <x:c r="K2150" s="18" t="str">
        <x:v>transport-node:67318826-6a0b-5f13-8c7d-c213dd2ead8f</x:v>
      </x:c>
      <x:c r="L2150" s="19" t="str">
        <x:v>组件待审核</x:v>
      </x:c>
      <x:c r="M2150" s="21" t="n">
        <x:v>33.54727</x:v>
      </x:c>
      <x:c r="N2150" s="21" t="n">
        <x:v>130.46236</x:v>
      </x:c>
      <x:c r="O2150" s="18" t="str">
        <x:v>009189</x:v>
      </x:c>
      <x:c r="P2150" s="18" t="str">
        <x:v>天神大牟田線</x:v>
      </x:c>
      <x:c r="Q2150" s="19" t="str">
        <x:v>S12_061_GE_10000</x:v>
      </x:c>
      <x:c r="R2150" s="19" t="str">
        <x:v>S12_061 usage threshold</x:v>
      </x:c>
      <x:c r="S2150" s="19" t="str">
        <x:v>https://nlftp.mlit.go.jp/ksj/gml/datalist/KsjTmplt-S12-2024.html</x:v>
      </x:c>
      <x:c r="T2150" s="19" t="str">
        <x:v>https://nlftp.mlit.go.jp/ksj/gml/datalist/KsjTmplt-S12-2024.html</x:v>
      </x:c>
      <x:c r="U2150" s="19" t="str">
        <x:v>station-component|雑餉隈|西日本鉄道|private_rail|33.5473|130.4624|</x:v>
      </x:c>
      <x:c r="V2150" s="19" t="str">
        <x:v>009189 / 009189 / 天神大牟田線</x:v>
      </x:c>
      <x:c r="W2150" s="18" t="str">
        <x:v>否</x:v>
      </x:c>
      <x:c r="X2150" s="18" t="str">
        <x:v>0785e932a32b3ec15e1a1345537ae145eafe1c07bf38d5c16c11ee2b391e7a28</x:v>
      </x:c>
      <x:c r="Y2150" s="20" t="n">
        <x:v>1</x:v>
      </x:c>
      <x:c r="Z2150" s="20" t="n">
        <x:v>1</x:v>
      </x:c>
      <x:c r="AA2150" s="19"/>
      <x:c r="AB2150" s="18"/>
      <x:c r="AC2150" s="19"/>
    </x:row>
    <x:row r="2151" ht="33" customHeight="1">
      <x:c r="A2151" s="18" t="str">
        <x:v>難波</x:v>
      </x:c>
      <x:c r="B2151" s="18" t="str">
        <x:v>南海電気鉄道</x:v>
      </x:c>
      <x:c r="C2151" s="18" t="str">
        <x:v>private_rail</x:v>
      </x:c>
      <x:c r="D2151" s="19" t="str">
        <x:v>T0</x:v>
      </x:c>
      <x:c r="E2151" s="20" t="n">
        <x:v>225409</x:v>
      </x:c>
      <x:c r="F2151" s="18" t="str">
        <x:v>persons/day</x:v>
      </x:c>
      <x:c r="G2151" s="18" t="str">
        <x:v>FY2024</x:v>
      </x:c>
      <x:c r="H2151" s="18" t="str">
        <x:v>否</x:v>
      </x:c>
      <x:c r="I2151" s="19" t="str">
        <x:v>DAILY_ENTRIES_EXITS</x:v>
      </x:c>
      <x:c r="J2151" s="19" t="str">
        <x:v>南海本線</x:v>
      </x:c>
      <x:c r="K2151" s="18" t="str">
        <x:v>transport-node:a905f73a-5ae5-5e62-823a-b9607c01a91c</x:v>
      </x:c>
      <x:c r="L2151" s="19" t="str">
        <x:v>组件待审核</x:v>
      </x:c>
      <x:c r="M2151" s="21" t="n">
        <x:v>34.66315</x:v>
      </x:c>
      <x:c r="N2151" s="21" t="n">
        <x:v>135.50225</x:v>
      </x:c>
      <x:c r="O2151" s="18" t="str">
        <x:v>007356</x:v>
      </x:c>
      <x:c r="P2151" s="18" t="str">
        <x:v>南海本線</x:v>
      </x:c>
      <x:c r="Q2151" s="19" t="str">
        <x:v>S12_061_GE_10000
OFFICIAL_HUB_COMPONENT_REVIEW</x:v>
      </x:c>
      <x:c r="R2151" s="19" t="str">
        <x:v>S12_061 usage threshold</x:v>
      </x:c>
      <x:c r="S2151" s="19" t="str">
        <x:v>https://nlftp.mlit.go.jp/ksj/gml/datalist/KsjTmplt-S12-2024.html</x:v>
      </x:c>
      <x:c r="T2151" s="19" t="str">
        <x:v>https://nlftp.mlit.go.jp/ksj/gml/datalist/KsjTmplt-S12-2024.html
https://subway.osakametro.co.jp/station_guide/M/m20/index.php</x:v>
      </x:c>
      <x:c r="U2151" s="19" t="str">
        <x:v>station-component|難波|南海電気鉄道|private_rail|34.6632|135.5023|</x:v>
      </x:c>
      <x:c r="V2151" s="19" t="str">
        <x:v>007356 / 007356 / 南海本線</x:v>
      </x:c>
      <x:c r="W2151" s="18" t="str">
        <x:v>否</x:v>
      </x:c>
      <x:c r="X2151" s="18" t="str">
        <x:v>0785e932a32b3ec15e1a1345537ae145eafe1c07bf38d5c16c11ee2b391e7a28</x:v>
      </x:c>
      <x:c r="Y2151" s="20" t="n">
        <x:v>1</x:v>
      </x:c>
      <x:c r="Z2151" s="20" t="n">
        <x:v>1</x:v>
      </x:c>
      <x:c r="AA2151" s="19" t="str">
        <x:v>なんば・大阪難波</x:v>
      </x:c>
      <x:c r="AB2151" s="18" t="str">
        <x:v>transport-hub-review:58068a40-9f72-57b2-9003-7470fd60b33f</x:v>
      </x:c>
      <x:c r="AC2151" s="19"/>
    </x:row>
    <x:row r="2152" ht="47" customHeight="1">
      <x:c r="A2152" s="18" t="str">
        <x:v>難波</x:v>
      </x:c>
      <x:c r="B2152" s="18" t="str">
        <x:v>大阪市高速電気軌道</x:v>
      </x:c>
      <x:c r="C2152" s="18" t="str">
        <x:v>metro</x:v>
      </x:c>
      <x:c r="D2152" s="19" t="str">
        <x:v>T0</x:v>
      </x:c>
      <x:c r="E2152" s="20" t="n">
        <x:v>346418</x:v>
      </x:c>
      <x:c r="F2152" s="18" t="str">
        <x:v>persons/day</x:v>
      </x:c>
      <x:c r="G2152" s="18" t="str">
        <x:v>FY2024</x:v>
      </x:c>
      <x:c r="H2152" s="18" t="str">
        <x:v>否</x:v>
      </x:c>
      <x:c r="I2152" s="19" t="str">
        <x:v>DAILY_ENTRIES_EXITS</x:v>
      </x:c>
      <x:c r="J2152" s="19" t="str">
        <x:v>1号線(御堂筋線)
3号線(四つ橋線)
5号線(千日前線)</x:v>
      </x:c>
      <x:c r="K2152" s="18" t="str">
        <x:v>transport-node:e41c8208-1590-5ffa-b581-b575412c39dd</x:v>
      </x:c>
      <x:c r="L2152" s="19" t="str">
        <x:v>组件待审核</x:v>
      </x:c>
      <x:c r="M2152" s="21" t="n">
        <x:v>34.6659433</x:v>
      </x:c>
      <x:c r="N2152" s="21" t="n">
        <x:v>135.5002117</x:v>
      </x:c>
      <x:c r="O2152" s="18" t="str">
        <x:v>007322</x:v>
      </x:c>
      <x:c r="P2152" s="18" t="str">
        <x:v>1号線(御堂筋線)</x:v>
      </x:c>
      <x:c r="Q2152" s="19" t="str">
        <x:v>S12_061_GE_10000
OFFICIAL_HUB_COMPONENT_REVIEW</x:v>
      </x:c>
      <x:c r="R2152" s="19" t="str">
        <x:v>S12_061 usage threshold</x:v>
      </x:c>
      <x:c r="S2152" s="19" t="str">
        <x:v>https://nlftp.mlit.go.jp/ksj/gml/datalist/KsjTmplt-S12-2024.html</x:v>
      </x:c>
      <x:c r="T2152" s="19" t="str">
        <x:v>https://nlftp.mlit.go.jp/ksj/gml/datalist/KsjTmplt-S12-2024.html
https://subway.osakametro.co.jp/station_guide/M/m20/index.php</x:v>
      </x:c>
      <x:c r="U2152" s="19" t="str">
        <x:v>station-component|難波|大阪市高速電気軌道|metro|34.6659|135.5002|</x:v>
      </x:c>
      <x:c r="V2152" s="19" t="str">
        <x:v>007305 / 007305 / 5号線(千日前線)
007305 / 007320 / 3号線(四つ橋線)
007305 / 007322 / 1号線(御堂筋線)</x:v>
      </x:c>
      <x:c r="W2152" s="18" t="str">
        <x:v>否</x:v>
      </x:c>
      <x:c r="X2152" s="18" t="str">
        <x:v>0785e932a32b3ec15e1a1345537ae145eafe1c07bf38d5c16c11ee2b391e7a28</x:v>
      </x:c>
      <x:c r="Y2152" s="20" t="n">
        <x:v>1</x:v>
      </x:c>
      <x:c r="Z2152" s="20" t="n">
        <x:v>1</x:v>
      </x:c>
      <x:c r="AA2152" s="19" t="str">
        <x:v>なんば・大阪難波</x:v>
      </x:c>
      <x:c r="AB2152" s="18" t="str">
        <x:v>transport-hub-review:58068a40-9f72-57b2-9003-7470fd60b33f</x:v>
      </x:c>
      <x:c r="AC2152" s="19"/>
    </x:row>
    <x:row r="2153" ht="28" customHeight="1">
      <x:c r="A2153" s="18" t="str">
        <x:v>雪が谷大塚</x:v>
      </x:c>
      <x:c r="B2153" s="18" t="str">
        <x:v>東急電鉄</x:v>
      </x:c>
      <x:c r="C2153" s="18" t="str">
        <x:v>private_rail</x:v>
      </x:c>
      <x:c r="D2153" s="19" t="str">
        <x:v>T2</x:v>
      </x:c>
      <x:c r="E2153" s="20" t="n">
        <x:v>22365</x:v>
      </x:c>
      <x:c r="F2153" s="18" t="str">
        <x:v>persons/day</x:v>
      </x:c>
      <x:c r="G2153" s="18" t="str">
        <x:v>FY2024</x:v>
      </x:c>
      <x:c r="H2153" s="18" t="str">
        <x:v>否</x:v>
      </x:c>
      <x:c r="I2153" s="19" t="str">
        <x:v>DAILY_ENTRIES_EXITS</x:v>
      </x:c>
      <x:c r="J2153" s="19" t="str">
        <x:v>池上線</x:v>
      </x:c>
      <x:c r="K2153" s="18" t="str">
        <x:v>transport-node:99becc88-7e87-5de1-bba2-8c09e660856b</x:v>
      </x:c>
      <x:c r="L2153" s="19" t="str">
        <x:v>组件待审核</x:v>
      </x:c>
      <x:c r="M2153" s="21" t="n">
        <x:v>35.591965</x:v>
      </x:c>
      <x:c r="N2153" s="21" t="n">
        <x:v>139.681125</x:v>
      </x:c>
      <x:c r="O2153" s="18" t="str">
        <x:v>004259</x:v>
      </x:c>
      <x:c r="P2153" s="18" t="str">
        <x:v>池上線</x:v>
      </x:c>
      <x:c r="Q2153" s="19" t="str">
        <x:v>S12_061_GE_10000</x:v>
      </x:c>
      <x:c r="R2153" s="19" t="str">
        <x:v>S12_061 usage threshold</x:v>
      </x:c>
      <x:c r="S2153" s="19" t="str">
        <x:v>https://nlftp.mlit.go.jp/ksj/gml/datalist/KsjTmplt-S12-2024.html</x:v>
      </x:c>
      <x:c r="T2153" s="19" t="str">
        <x:v>https://nlftp.mlit.go.jp/ksj/gml/datalist/KsjTmplt-S12-2024.html</x:v>
      </x:c>
      <x:c r="U2153" s="19" t="str">
        <x:v>station-component|雪が谷大塚|東急電鉄|private_rail|35.5920|139.6811|</x:v>
      </x:c>
      <x:c r="V2153" s="19" t="str">
        <x:v>004259 / 004259 / 池上線</x:v>
      </x:c>
      <x:c r="W2153" s="18" t="str">
        <x:v>否</x:v>
      </x:c>
      <x:c r="X2153" s="18" t="str">
        <x:v>0785e932a32b3ec15e1a1345537ae145eafe1c07bf38d5c16c11ee2b391e7a28</x:v>
      </x:c>
      <x:c r="Y2153" s="20" t="n">
        <x:v>1</x:v>
      </x:c>
      <x:c r="Z2153" s="20" t="n">
        <x:v>1</x:v>
      </x:c>
      <x:c r="AA2153" s="19"/>
      <x:c r="AB2153" s="18"/>
      <x:c r="AC2153" s="19"/>
    </x:row>
    <x:row r="2154" ht="47" customHeight="1">
      <x:c r="A2154" s="18" t="str">
        <x:v>霞ヶ関</x:v>
      </x:c>
      <x:c r="B2154" s="18" t="str">
        <x:v>東京地下鉄</x:v>
      </x:c>
      <x:c r="C2154" s="18" t="str">
        <x:v>metro</x:v>
      </x:c>
      <x:c r="D2154" s="19" t="str">
        <x:v>T1</x:v>
      </x:c>
      <x:c r="E2154" s="20" t="n">
        <x:v>132884</x:v>
      </x:c>
      <x:c r="F2154" s="18" t="str">
        <x:v>persons/day</x:v>
      </x:c>
      <x:c r="G2154" s="18" t="str">
        <x:v>FY2024</x:v>
      </x:c>
      <x:c r="H2154" s="18" t="str">
        <x:v>否</x:v>
      </x:c>
      <x:c r="I2154" s="19" t="str">
        <x:v>DAILY_ENTRIES_EXITS</x:v>
      </x:c>
      <x:c r="J2154" s="19" t="str">
        <x:v>2号線日比谷線
4号線丸ノ内線
9号線千代田線</x:v>
      </x:c>
      <x:c r="K2154" s="18" t="str">
        <x:v>transport-node:351c3502-8e88-525c-b8d9-f88b249ffb9d</x:v>
      </x:c>
      <x:c r="L2154" s="19" t="str">
        <x:v>组件待审核</x:v>
      </x:c>
      <x:c r="M2154" s="21" t="n">
        <x:v>35.673875</x:v>
      </x:c>
      <x:c r="N2154" s="21" t="n">
        <x:v>139.75106</x:v>
      </x:c>
      <x:c r="O2154" s="18" t="str">
        <x:v>003805</x:v>
      </x:c>
      <x:c r="P2154" s="18" t="str">
        <x:v>2号線日比谷線</x:v>
      </x:c>
      <x:c r="Q2154" s="19" t="str">
        <x:v>S12_061_GE_10000
OFFICIAL_HUB_COMPONENT_REVIEW</x:v>
      </x:c>
      <x:c r="R2154" s="19" t="str">
        <x:v>S12_061 usage threshold</x:v>
      </x:c>
      <x:c r="S2154" s="19" t="str">
        <x:v>https://nlftp.mlit.go.jp/ksj/gml/datalist/KsjTmplt-S12-2024.html</x:v>
      </x:c>
      <x:c r="T2154" s="19" t="str">
        <x:v>https://nlftp.mlit.go.jp/ksj/gml/datalist/KsjTmplt-S12-2024.html
https://www.tokyometro.jp/station/kasumigaseki/index.html</x:v>
      </x:c>
      <x:c r="U2154" s="19" t="str">
        <x:v>station-component|霞ヶ関|東京地下鉄|metro|35.6739|139.7511|</x:v>
      </x:c>
      <x:c r="V2154" s="19" t="str">
        <x:v>003805 / 003803 / 4号線丸ノ内線
003805 / 003805 / 2号線日比谷線
003805 / 003820 / 9号線千代田線</x:v>
      </x:c>
      <x:c r="W2154" s="18" t="str">
        <x:v>否</x:v>
      </x:c>
      <x:c r="X2154" s="18" t="str">
        <x:v>0785e932a32b3ec15e1a1345537ae145eafe1c07bf38d5c16c11ee2b391e7a28</x:v>
      </x:c>
      <x:c r="Y2154" s="20" t="n">
        <x:v>1</x:v>
      </x:c>
      <x:c r="Z2154" s="20" t="n">
        <x:v>1</x:v>
      </x:c>
      <x:c r="AA2154" s="19" t="str">
        <x:v>霞ケ関</x:v>
      </x:c>
      <x:c r="AB2154" s="18" t="str">
        <x:v>transport-hub-review:9d6d86b3-0690-59df-8400-ce871ce09cf2</x:v>
      </x:c>
      <x:c r="AC2154" s="19"/>
    </x:row>
    <x:row r="2155" ht="28" customHeight="1">
      <x:c r="A2155" s="18" t="str">
        <x:v>霞ヶ関</x:v>
      </x:c>
      <x:c r="B2155" s="18" t="str">
        <x:v>東武鉄道</x:v>
      </x:c>
      <x:c r="C2155" s="18" t="str">
        <x:v>private_rail</x:v>
      </x:c>
      <x:c r="D2155" s="19" t="str">
        <x:v>T2</x:v>
      </x:c>
      <x:c r="E2155" s="20" t="n">
        <x:v>24277</x:v>
      </x:c>
      <x:c r="F2155" s="18" t="str">
        <x:v>persons/day</x:v>
      </x:c>
      <x:c r="G2155" s="18" t="str">
        <x:v>FY2024</x:v>
      </x:c>
      <x:c r="H2155" s="18" t="str">
        <x:v>否</x:v>
      </x:c>
      <x:c r="I2155" s="19" t="str">
        <x:v>DAILY_ENTRIES_EXITS</x:v>
      </x:c>
      <x:c r="J2155" s="19" t="str">
        <x:v>東上本線</x:v>
      </x:c>
      <x:c r="K2155" s="18" t="str">
        <x:v>transport-node:460b0816-e39a-57d4-a599-34226a04ee0b</x:v>
      </x:c>
      <x:c r="L2155" s="19" t="str">
        <x:v>组件待审核</x:v>
      </x:c>
      <x:c r="M2155" s="21" t="n">
        <x:v>35.9254625</x:v>
      </x:c>
      <x:c r="N2155" s="21" t="n">
        <x:v>139.4438525</x:v>
      </x:c>
      <x:c r="O2155" s="18" t="str">
        <x:v>002874</x:v>
      </x:c>
      <x:c r="P2155" s="18" t="str">
        <x:v>東上本線</x:v>
      </x:c>
      <x:c r="Q2155" s="19" t="str">
        <x:v>S12_061_GE_10000</x:v>
      </x:c>
      <x:c r="R2155" s="19" t="str">
        <x:v>S12_061 usage threshold</x:v>
      </x:c>
      <x:c r="S2155" s="19" t="str">
        <x:v>https://nlftp.mlit.go.jp/ksj/gml/datalist/KsjTmplt-S12-2024.html</x:v>
      </x:c>
      <x:c r="T2155" s="19" t="str">
        <x:v>https://nlftp.mlit.go.jp/ksj/gml/datalist/KsjTmplt-S12-2024.html</x:v>
      </x:c>
      <x:c r="U2155" s="19" t="str">
        <x:v>station-component|霞ヶ関|東武鉄道|private_rail|35.9255|139.4439|</x:v>
      </x:c>
      <x:c r="V2155" s="19" t="str">
        <x:v>002874 / 002874 / 東上本線</x:v>
      </x:c>
      <x:c r="W2155" s="18" t="str">
        <x:v>否</x:v>
      </x:c>
      <x:c r="X2155" s="18" t="str">
        <x:v>0785e932a32b3ec15e1a1345537ae145eafe1c07bf38d5c16c11ee2b391e7a28</x:v>
      </x:c>
      <x:c r="Y2155" s="20" t="n">
        <x:v>1</x:v>
      </x:c>
      <x:c r="Z2155" s="20" t="n">
        <x:v>1</x:v>
      </x:c>
      <x:c r="AA2155" s="19"/>
      <x:c r="AB2155" s="18"/>
      <x:c r="AC2155" s="19"/>
    </x:row>
    <x:row r="2156" ht="28" customHeight="1">
      <x:c r="A2156" s="18" t="str">
        <x:v>青井</x:v>
      </x:c>
      <x:c r="B2156" s="18" t="str">
        <x:v>首都圏新都市鉄道</x:v>
      </x:c>
      <x:c r="C2156" s="18" t="str">
        <x:v>private_rail</x:v>
      </x:c>
      <x:c r="D2156" s="19" t="str">
        <x:v>T2</x:v>
      </x:c>
      <x:c r="E2156" s="20" t="n">
        <x:v>13288</x:v>
      </x:c>
      <x:c r="F2156" s="18" t="str">
        <x:v>persons/day</x:v>
      </x:c>
      <x:c r="G2156" s="18" t="str">
        <x:v>FY2024</x:v>
      </x:c>
      <x:c r="H2156" s="18" t="str">
        <x:v>否</x:v>
      </x:c>
      <x:c r="I2156" s="19" t="str">
        <x:v>DAILY_ENTRIES_EXITS</x:v>
      </x:c>
      <x:c r="J2156" s="19" t="str">
        <x:v>常磐新線</x:v>
      </x:c>
      <x:c r="K2156" s="18" t="str">
        <x:v>transport-node:8076f120-1a17-5dea-97f9-1d050bbe412f</x:v>
      </x:c>
      <x:c r="L2156" s="19" t="str">
        <x:v>组件待审核</x:v>
      </x:c>
      <x:c r="M2156" s="21" t="n">
        <x:v>35.772</x:v>
      </x:c>
      <x:c r="N2156" s="21" t="n">
        <x:v>139.820245</x:v>
      </x:c>
      <x:c r="O2156" s="18" t="str">
        <x:v>003177</x:v>
      </x:c>
      <x:c r="P2156" s="18" t="str">
        <x:v>常磐新線</x:v>
      </x:c>
      <x:c r="Q2156" s="19" t="str">
        <x:v>S12_061_GE_10000</x:v>
      </x:c>
      <x:c r="R2156" s="19" t="str">
        <x:v>S12_061 usage threshold</x:v>
      </x:c>
      <x:c r="S2156" s="19" t="str">
        <x:v>https://nlftp.mlit.go.jp/ksj/gml/datalist/KsjTmplt-S12-2024.html</x:v>
      </x:c>
      <x:c r="T2156" s="19" t="str">
        <x:v>https://nlftp.mlit.go.jp/ksj/gml/datalist/KsjTmplt-S12-2024.html</x:v>
      </x:c>
      <x:c r="U2156" s="19" t="str">
        <x:v>station-component|青井|首都圏新都市鉄道|private_rail|35.7720|139.8202|</x:v>
      </x:c>
      <x:c r="V2156" s="19" t="str">
        <x:v>003177 / 003177 / 常磐新線</x:v>
      </x:c>
      <x:c r="W2156" s="18" t="str">
        <x:v>否</x:v>
      </x:c>
      <x:c r="X2156" s="18" t="str">
        <x:v>0785e932a32b3ec15e1a1345537ae145eafe1c07bf38d5c16c11ee2b391e7a28</x:v>
      </x:c>
      <x:c r="Y2156" s="20" t="n">
        <x:v>1</x:v>
      </x:c>
      <x:c r="Z2156" s="20" t="n">
        <x:v>1</x:v>
      </x:c>
      <x:c r="AA2156" s="19"/>
      <x:c r="AB2156" s="18"/>
      <x:c r="AC2156" s="19"/>
    </x:row>
    <x:row r="2157" ht="33" customHeight="1">
      <x:c r="A2157" s="18" t="str">
        <x:v>青山一丁目</x:v>
      </x:c>
      <x:c r="B2157" s="18" t="str">
        <x:v>東京地下鉄</x:v>
      </x:c>
      <x:c r="C2157" s="18" t="str">
        <x:v>metro</x:v>
      </x:c>
      <x:c r="D2157" s="19" t="str">
        <x:v>T1</x:v>
      </x:c>
      <x:c r="E2157" s="20" t="n">
        <x:v>100057</x:v>
      </x:c>
      <x:c r="F2157" s="18" t="str">
        <x:v>persons/day</x:v>
      </x:c>
      <x:c r="G2157" s="18" t="str">
        <x:v>FY2024</x:v>
      </x:c>
      <x:c r="H2157" s="18" t="str">
        <x:v>否</x:v>
      </x:c>
      <x:c r="I2157" s="19" t="str">
        <x:v>DAILY_ENTRIES_EXITS</x:v>
      </x:c>
      <x:c r="J2157" s="19" t="str">
        <x:v>11号線半蔵門線
3号線銀座線</x:v>
      </x:c>
      <x:c r="K2157" s="18" t="str">
        <x:v>transport-node:23d24b23-5149-5deb-921b-0e68fa9fb11b</x:v>
      </x:c>
      <x:c r="L2157" s="19" t="str">
        <x:v>组件待审核</x:v>
      </x:c>
      <x:c r="M2157" s="21" t="n">
        <x:v>35.67278</x:v>
      </x:c>
      <x:c r="N2157" s="21" t="n">
        <x:v>139.7241167</x:v>
      </x:c>
      <x:c r="O2157" s="18" t="str">
        <x:v>003817</x:v>
      </x:c>
      <x:c r="P2157" s="18" t="str">
        <x:v>3号線銀座線</x:v>
      </x:c>
      <x:c r="Q2157" s="19" t="str">
        <x:v>S12_061_GE_10000
OFFICIAL_HUB_COMPONENT_REVIEW</x:v>
      </x:c>
      <x:c r="R2157" s="19" t="str">
        <x:v>S12_061 usage threshold</x:v>
      </x:c>
      <x:c r="S2157" s="19" t="str">
        <x:v>https://nlftp.mlit.go.jp/ksj/gml/datalist/KsjTmplt-S12-2024.html</x:v>
      </x:c>
      <x:c r="T2157" s="19" t="str">
        <x:v>https://nlftp.mlit.go.jp/ksj/gml/datalist/KsjTmplt-S12-2024.html
https://www.tokyometro.jp/station/aoyama-itchome/index.html</x:v>
      </x:c>
      <x:c r="U2157" s="19" t="str">
        <x:v>station-component|青山一丁目|東京地下鉄|metro|35.6728|139.7241|</x:v>
      </x:c>
      <x:c r="V2157" s="19" t="str">
        <x:v>003812 / 003812 / 11号線半蔵門線
003812 / 003817 / 3号線銀座線</x:v>
      </x:c>
      <x:c r="W2157" s="18" t="str">
        <x:v>否</x:v>
      </x:c>
      <x:c r="X2157" s="18" t="str">
        <x:v>0785e932a32b3ec15e1a1345537ae145eafe1c07bf38d5c16c11ee2b391e7a28</x:v>
      </x:c>
      <x:c r="Y2157" s="20" t="n">
        <x:v>1</x:v>
      </x:c>
      <x:c r="Z2157" s="20" t="n">
        <x:v>1</x:v>
      </x:c>
      <x:c r="AA2157" s="19" t="str">
        <x:v>青山一丁目</x:v>
      </x:c>
      <x:c r="AB2157" s="18" t="str">
        <x:v>transport-hub-review:a7b1f514-2e72-5beb-9fff-5a498fdc0f0d</x:v>
      </x:c>
      <x:c r="AC2157" s="19"/>
    </x:row>
    <x:row r="2158" ht="33" customHeight="1">
      <x:c r="A2158" s="18" t="str">
        <x:v>青山一丁目</x:v>
      </x:c>
      <x:c r="B2158" s="18" t="str">
        <x:v>東京都</x:v>
      </x:c>
      <x:c r="C2158" s="18" t="str">
        <x:v>metro</x:v>
      </x:c>
      <x:c r="D2158" s="19" t="str">
        <x:v>T2</x:v>
      </x:c>
      <x:c r="E2158" s="20" t="n">
        <x:v>24493</x:v>
      </x:c>
      <x:c r="F2158" s="18" t="str">
        <x:v>persons/day</x:v>
      </x:c>
      <x:c r="G2158" s="18" t="str">
        <x:v>FY2024</x:v>
      </x:c>
      <x:c r="H2158" s="18" t="str">
        <x:v>否</x:v>
      </x:c>
      <x:c r="I2158" s="19" t="str">
        <x:v>DAILY_ENTRIES_EXITS</x:v>
      </x:c>
      <x:c r="J2158" s="19" t="str">
        <x:v>12号線大江戸線</x:v>
      </x:c>
      <x:c r="K2158" s="18" t="str">
        <x:v>transport-node:85773f16-5f4b-59d5-b72c-8eb4307d8bad</x:v>
      </x:c>
      <x:c r="L2158" s="19" t="str">
        <x:v>组件待审核</x:v>
      </x:c>
      <x:c r="M2158" s="21" t="n">
        <x:v>35.6728667</x:v>
      </x:c>
      <x:c r="N2158" s="21" t="n">
        <x:v>139.7240067</x:v>
      </x:c>
      <x:c r="O2158" s="18" t="str">
        <x:v>003813</x:v>
      </x:c>
      <x:c r="P2158" s="18" t="str">
        <x:v>12号線大江戸線</x:v>
      </x:c>
      <x:c r="Q2158" s="19" t="str">
        <x:v>S12_061_GE_10000
OFFICIAL_HUB_COMPONENT_REVIEW</x:v>
      </x:c>
      <x:c r="R2158" s="19" t="str">
        <x:v>S12_061 usage threshold</x:v>
      </x:c>
      <x:c r="S2158" s="19" t="str">
        <x:v>https://nlftp.mlit.go.jp/ksj/gml/datalist/KsjTmplt-S12-2024.html</x:v>
      </x:c>
      <x:c r="T2158" s="19" t="str">
        <x:v>https://nlftp.mlit.go.jp/ksj/gml/datalist/KsjTmplt-S12-2024.html
https://www.tokyometro.jp/station/aoyama-itchome/index.html</x:v>
      </x:c>
      <x:c r="U2158" s="19" t="str">
        <x:v>station-component|青山一丁目|東京都|metro|35.6729|139.7240|</x:v>
      </x:c>
      <x:c r="V2158" s="19" t="str">
        <x:v>003812 / 003813 / 12号線大江戸線</x:v>
      </x:c>
      <x:c r="W2158" s="18" t="str">
        <x:v>否</x:v>
      </x:c>
      <x:c r="X2158" s="18" t="str">
        <x:v>0785e932a32b3ec15e1a1345537ae145eafe1c07bf38d5c16c11ee2b391e7a28</x:v>
      </x:c>
      <x:c r="Y2158" s="20" t="n">
        <x:v>1</x:v>
      </x:c>
      <x:c r="Z2158" s="20" t="n">
        <x:v>1</x:v>
      </x:c>
      <x:c r="AA2158" s="19" t="str">
        <x:v>青山一丁目</x:v>
      </x:c>
      <x:c r="AB2158" s="18" t="str">
        <x:v>transport-hub-review:a7b1f514-2e72-5beb-9fff-5a498fdc0f0d</x:v>
      </x:c>
      <x:c r="AC2158" s="19"/>
    </x:row>
    <x:row r="2159" ht="28" customHeight="1">
      <x:c r="A2159" s="18" t="str">
        <x:v>青木</x:v>
      </x:c>
      <x:c r="B2159" s="18" t="str">
        <x:v>阪神電気鉄道</x:v>
      </x:c>
      <x:c r="C2159" s="18" t="str">
        <x:v>private_rail</x:v>
      </x:c>
      <x:c r="D2159" s="19" t="str">
        <x:v>T2</x:v>
      </x:c>
      <x:c r="E2159" s="20" t="n">
        <x:v>14858</x:v>
      </x:c>
      <x:c r="F2159" s="18" t="str">
        <x:v>persons/day</x:v>
      </x:c>
      <x:c r="G2159" s="18" t="str">
        <x:v>FY2024</x:v>
      </x:c>
      <x:c r="H2159" s="18" t="str">
        <x:v>否</x:v>
      </x:c>
      <x:c r="I2159" s="19" t="str">
        <x:v>DAILY_ENTRIES_EXITS</x:v>
      </x:c>
      <x:c r="J2159" s="19" t="str">
        <x:v>本線</x:v>
      </x:c>
      <x:c r="K2159" s="18" t="str">
        <x:v>transport-node:637008d0-5aa2-5e3d-a34d-0025fbe5bbaf</x:v>
      </x:c>
      <x:c r="L2159" s="19" t="str">
        <x:v>组件待审核</x:v>
      </x:c>
      <x:c r="M2159" s="21" t="n">
        <x:v>34.71698</x:v>
      </x:c>
      <x:c r="N2159" s="21" t="n">
        <x:v>135.28065</x:v>
      </x:c>
      <x:c r="O2159" s="18" t="str">
        <x:v>006991</x:v>
      </x:c>
      <x:c r="P2159" s="18" t="str">
        <x:v>本線</x:v>
      </x:c>
      <x:c r="Q2159" s="19" t="str">
        <x:v>S12_061_GE_10000</x:v>
      </x:c>
      <x:c r="R2159" s="19" t="str">
        <x:v>S12_061 usage threshold</x:v>
      </x:c>
      <x:c r="S2159" s="19" t="str">
        <x:v>https://nlftp.mlit.go.jp/ksj/gml/datalist/KsjTmplt-S12-2024.html</x:v>
      </x:c>
      <x:c r="T2159" s="19" t="str">
        <x:v>https://nlftp.mlit.go.jp/ksj/gml/datalist/KsjTmplt-S12-2024.html</x:v>
      </x:c>
      <x:c r="U2159" s="19" t="str">
        <x:v>station-component|青木|阪神電気鉄道|private_rail|34.7170|135.2807|</x:v>
      </x:c>
      <x:c r="V2159" s="19" t="str">
        <x:v>006991 / 006991 / 本線</x:v>
      </x:c>
      <x:c r="W2159" s="18" t="str">
        <x:v>否</x:v>
      </x:c>
      <x:c r="X2159" s="18" t="str">
        <x:v>0785e932a32b3ec15e1a1345537ae145eafe1c07bf38d5c16c11ee2b391e7a28</x:v>
      </x:c>
      <x:c r="Y2159" s="20" t="n">
        <x:v>1</x:v>
      </x:c>
      <x:c r="Z2159" s="20" t="n">
        <x:v>1</x:v>
      </x:c>
      <x:c r="AA2159" s="19"/>
      <x:c r="AB2159" s="18"/>
      <x:c r="AC2159" s="19"/>
    </x:row>
    <x:row r="2160" ht="28" customHeight="1">
      <x:c r="A2160" s="18" t="str">
        <x:v>青梅</x:v>
      </x:c>
      <x:c r="B2160" s="18" t="str">
        <x:v>東日本旅客鉄道</x:v>
      </x:c>
      <x:c r="C2160" s="18" t="str">
        <x:v>conventional_rail</x:v>
      </x:c>
      <x:c r="D2160" s="19" t="str">
        <x:v>T2</x:v>
      </x:c>
      <x:c r="E2160" s="20" t="n">
        <x:v>10962</x:v>
      </x:c>
      <x:c r="F2160" s="18" t="str">
        <x:v>persons/day</x:v>
      </x:c>
      <x:c r="G2160" s="18" t="str">
        <x:v>FY2024</x:v>
      </x:c>
      <x:c r="H2160" s="18" t="str">
        <x:v>否</x:v>
      </x:c>
      <x:c r="I2160" s="19" t="str">
        <x:v>DAILY_ENTRIES_EXITS</x:v>
      </x:c>
      <x:c r="J2160" s="19" t="str">
        <x:v>青梅線</x:v>
      </x:c>
      <x:c r="K2160" s="18" t="str">
        <x:v>transport-node:84789f5e-1246-55bb-96d8-5f278e1d3198</x:v>
      </x:c>
      <x:c r="L2160" s="19" t="str">
        <x:v>组件待审核</x:v>
      </x:c>
      <x:c r="M2160" s="21" t="n">
        <x:v>35.790545</x:v>
      </x:c>
      <x:c r="N2160" s="21" t="n">
        <x:v>139.258125</x:v>
      </x:c>
      <x:c r="O2160" s="18" t="str">
        <x:v>003110</x:v>
      </x:c>
      <x:c r="P2160" s="18" t="str">
        <x:v>青梅線</x:v>
      </x:c>
      <x:c r="Q2160" s="19" t="str">
        <x:v>S12_061_GE_10000</x:v>
      </x:c>
      <x:c r="R2160" s="19" t="str">
        <x:v>S12_061 usage threshold</x:v>
      </x:c>
      <x:c r="S2160" s="19" t="str">
        <x:v>https://nlftp.mlit.go.jp/ksj/gml/datalist/KsjTmplt-S12-2024.html</x:v>
      </x:c>
      <x:c r="T2160" s="19" t="str">
        <x:v>https://nlftp.mlit.go.jp/ksj/gml/datalist/KsjTmplt-S12-2024.html</x:v>
      </x:c>
      <x:c r="U2160" s="19" t="str">
        <x:v>station-component|青梅|東日本旅客鉄道|conventional_rail|35.7905|139.2581|</x:v>
      </x:c>
      <x:c r="V2160" s="19" t="str">
        <x:v>003110 / 003110 / 青梅線</x:v>
      </x:c>
      <x:c r="W2160" s="18" t="str">
        <x:v>否</x:v>
      </x:c>
      <x:c r="X2160" s="18" t="str">
        <x:v>0785e932a32b3ec15e1a1345537ae145eafe1c07bf38d5c16c11ee2b391e7a28</x:v>
      </x:c>
      <x:c r="Y2160" s="20" t="n">
        <x:v>1</x:v>
      </x:c>
      <x:c r="Z2160" s="20" t="n">
        <x:v>1</x:v>
      </x:c>
      <x:c r="AA2160" s="19"/>
      <x:c r="AB2160" s="18"/>
      <x:c r="AC2160" s="19"/>
    </x:row>
    <x:row r="2161" ht="33" customHeight="1">
      <x:c r="A2161" s="18" t="str">
        <x:v>青森</x:v>
      </x:c>
      <x:c r="B2161" s="18" t="str">
        <x:v>東日本旅客鉄道</x:v>
      </x:c>
      <x:c r="C2161" s="18" t="str">
        <x:v>conventional_rail</x:v>
      </x:c>
      <x:c r="D2161" s="19" t="str">
        <x:v>T2</x:v>
      </x:c>
      <x:c r="E2161" s="20" t="n">
        <x:v>15902</x:v>
      </x:c>
      <x:c r="F2161" s="18" t="str">
        <x:v>persons/day</x:v>
      </x:c>
      <x:c r="G2161" s="18" t="str">
        <x:v>FY2024</x:v>
      </x:c>
      <x:c r="H2161" s="18" t="str">
        <x:v>否</x:v>
      </x:c>
      <x:c r="I2161" s="19" t="str">
        <x:v>DAILY_ENTRIES_EXITS</x:v>
      </x:c>
      <x:c r="J2161" s="19" t="str">
        <x:v>奥羽線
津軽線</x:v>
      </x:c>
      <x:c r="K2161" s="18" t="str">
        <x:v>transport-node:3f7bb15d-2a47-581a-a7fc-898500384353</x:v>
      </x:c>
      <x:c r="L2161" s="19" t="str">
        <x:v>组件待审核</x:v>
      </x:c>
      <x:c r="M2161" s="21" t="n">
        <x:v>40.83032</x:v>
      </x:c>
      <x:c r="N2161" s="21" t="n">
        <x:v>140.73465</x:v>
      </x:c>
      <x:c r="O2161" s="18" t="str">
        <x:v>000528</x:v>
      </x:c>
      <x:c r="P2161" s="18" t="str">
        <x:v>津軽線</x:v>
      </x:c>
      <x:c r="Q2161" s="19" t="str">
        <x:v>S12_061_GE_10000</x:v>
      </x:c>
      <x:c r="R2161" s="19" t="str">
        <x:v>S12_061 usage threshold</x:v>
      </x:c>
      <x:c r="S2161" s="19" t="str">
        <x:v>https://nlftp.mlit.go.jp/ksj/gml/datalist/KsjTmplt-S12-2024.html</x:v>
      </x:c>
      <x:c r="T2161" s="19" t="str">
        <x:v>https://nlftp.mlit.go.jp/ksj/gml/datalist/KsjTmplt-S12-2024.html</x:v>
      </x:c>
      <x:c r="U2161" s="19" t="str">
        <x:v>station-component|青森|東日本旅客鉄道|conventional_rail|40.8303|140.7346|</x:v>
      </x:c>
      <x:c r="V2161" s="19" t="str">
        <x:v>000527 / 000527 / 奥羽線
000527 / 000528 / 津軽線</x:v>
      </x:c>
      <x:c r="W2161" s="18" t="str">
        <x:v>否</x:v>
      </x:c>
      <x:c r="X2161" s="18" t="str">
        <x:v>0785e932a32b3ec15e1a1345537ae145eafe1c07bf38d5c16c11ee2b391e7a28</x:v>
      </x:c>
      <x:c r="Y2161" s="20" t="n">
        <x:v>1</x:v>
      </x:c>
      <x:c r="Z2161" s="20" t="n">
        <x:v>1</x:v>
      </x:c>
      <x:c r="AA2161" s="19"/>
      <x:c r="AB2161" s="18"/>
      <x:c r="AC2161" s="19"/>
    </x:row>
    <x:row r="2162" ht="28" customHeight="1">
      <x:c r="A2162" s="18" t="str">
        <x:v>青物横丁</x:v>
      </x:c>
      <x:c r="B2162" s="18" t="str">
        <x:v>京浜急行電鉄</x:v>
      </x:c>
      <x:c r="C2162" s="18" t="str">
        <x:v>private_rail</x:v>
      </x:c>
      <x:c r="D2162" s="19" t="str">
        <x:v>T2</x:v>
      </x:c>
      <x:c r="E2162" s="20" t="n">
        <x:v>35970</x:v>
      </x:c>
      <x:c r="F2162" s="18" t="str">
        <x:v>persons/day</x:v>
      </x:c>
      <x:c r="G2162" s="18" t="str">
        <x:v>FY2024</x:v>
      </x:c>
      <x:c r="H2162" s="18" t="str">
        <x:v>否</x:v>
      </x:c>
      <x:c r="I2162" s="19" t="str">
        <x:v>DAILY_ENTRIES_EXITS</x:v>
      </x:c>
      <x:c r="J2162" s="19" t="str">
        <x:v>本線</x:v>
      </x:c>
      <x:c r="K2162" s="18" t="str">
        <x:v>transport-node:9992345b-b9cd-59ce-992b-c348adacc183</x:v>
      </x:c>
      <x:c r="L2162" s="19" t="str">
        <x:v>组件待审核</x:v>
      </x:c>
      <x:c r="M2162" s="21" t="n">
        <x:v>35.60919</x:v>
      </x:c>
      <x:c r="N2162" s="21" t="n">
        <x:v>139.743135</x:v>
      </x:c>
      <x:c r="O2162" s="18" t="str">
        <x:v>004184</x:v>
      </x:c>
      <x:c r="P2162" s="18" t="str">
        <x:v>本線</x:v>
      </x:c>
      <x:c r="Q2162" s="19" t="str">
        <x:v>S12_061_GE_10000</x:v>
      </x:c>
      <x:c r="R2162" s="19" t="str">
        <x:v>S12_061 usage threshold</x:v>
      </x:c>
      <x:c r="S2162" s="19" t="str">
        <x:v>https://nlftp.mlit.go.jp/ksj/gml/datalist/KsjTmplt-S12-2024.html</x:v>
      </x:c>
      <x:c r="T2162" s="19" t="str">
        <x:v>https://nlftp.mlit.go.jp/ksj/gml/datalist/KsjTmplt-S12-2024.html</x:v>
      </x:c>
      <x:c r="U2162" s="19" t="str">
        <x:v>station-component|青物横丁|京浜急行電鉄|private_rail|35.6092|139.7431|</x:v>
      </x:c>
      <x:c r="V2162" s="19" t="str">
        <x:v>004184 / 004184 / 本線</x:v>
      </x:c>
      <x:c r="W2162" s="18" t="str">
        <x:v>否</x:v>
      </x:c>
      <x:c r="X2162" s="18" t="str">
        <x:v>0785e932a32b3ec15e1a1345537ae145eafe1c07bf38d5c16c11ee2b391e7a28</x:v>
      </x:c>
      <x:c r="Y2162" s="20" t="n">
        <x:v>1</x:v>
      </x:c>
      <x:c r="Z2162" s="20" t="n">
        <x:v>1</x:v>
      </x:c>
      <x:c r="AA2162" s="19"/>
      <x:c r="AB2162" s="18"/>
      <x:c r="AC2162" s="19"/>
    </x:row>
    <x:row r="2163" ht="33" customHeight="1">
      <x:c r="A2163" s="18" t="str">
        <x:v>青砥</x:v>
      </x:c>
      <x:c r="B2163" s="18" t="str">
        <x:v>京成電鉄</x:v>
      </x:c>
      <x:c r="C2163" s="18" t="str">
        <x:v>private_rail</x:v>
      </x:c>
      <x:c r="D2163" s="19" t="str">
        <x:v>T2</x:v>
      </x:c>
      <x:c r="E2163" s="20" t="n">
        <x:v>48727</x:v>
      </x:c>
      <x:c r="F2163" s="18" t="str">
        <x:v>persons/day</x:v>
      </x:c>
      <x:c r="G2163" s="18" t="str">
        <x:v>FY2024</x:v>
      </x:c>
      <x:c r="H2163" s="18" t="str">
        <x:v>否</x:v>
      </x:c>
      <x:c r="I2163" s="19" t="str">
        <x:v>DAILY_ENTRIES_EXITS</x:v>
      </x:c>
      <x:c r="J2163" s="19" t="str">
        <x:v>押上線
本線</x:v>
      </x:c>
      <x:c r="K2163" s="18" t="str">
        <x:v>transport-node:5563d314-c0a9-56a4-8601-d193047e063b</x:v>
      </x:c>
      <x:c r="L2163" s="19" t="str">
        <x:v>组件待审核</x:v>
      </x:c>
      <x:c r="M2163" s="21" t="n">
        <x:v>35.74587</x:v>
      </x:c>
      <x:c r="N2163" s="21" t="n">
        <x:v>139.85627</x:v>
      </x:c>
      <x:c r="O2163" s="18" t="str">
        <x:v>003281</x:v>
      </x:c>
      <x:c r="P2163" s="18" t="str">
        <x:v>本線</x:v>
      </x:c>
      <x:c r="Q2163" s="19" t="str">
        <x:v>S12_061_GE_10000</x:v>
      </x:c>
      <x:c r="R2163" s="19" t="str">
        <x:v>S12_061 usage threshold</x:v>
      </x:c>
      <x:c r="S2163" s="19" t="str">
        <x:v>https://nlftp.mlit.go.jp/ksj/gml/datalist/KsjTmplt-S12-2024.html</x:v>
      </x:c>
      <x:c r="T2163" s="19" t="str">
        <x:v>https://nlftp.mlit.go.jp/ksj/gml/datalist/KsjTmplt-S12-2024.html</x:v>
      </x:c>
      <x:c r="U2163" s="19" t="str">
        <x:v>station-component|青砥|京成電鉄|private_rail|35.7459|139.8563|</x:v>
      </x:c>
      <x:c r="V2163" s="19" t="str">
        <x:v>003280 / 003280 / 押上線
003280 / 003281 / 本線</x:v>
      </x:c>
      <x:c r="W2163" s="18" t="str">
        <x:v>否</x:v>
      </x:c>
      <x:c r="X2163" s="18" t="str">
        <x:v>0785e932a32b3ec15e1a1345537ae145eafe1c07bf38d5c16c11ee2b391e7a28</x:v>
      </x:c>
      <x:c r="Y2163" s="20" t="n">
        <x:v>1</x:v>
      </x:c>
      <x:c r="Z2163" s="20" t="n">
        <x:v>1</x:v>
      </x:c>
      <x:c r="AA2163" s="19"/>
      <x:c r="AB2163" s="18"/>
      <x:c r="AC2163" s="19"/>
    </x:row>
    <x:row r="2164" ht="28" customHeight="1">
      <x:c r="A2164" s="18" t="str">
        <x:v>青葉台</x:v>
      </x:c>
      <x:c r="B2164" s="18" t="str">
        <x:v>東急電鉄</x:v>
      </x:c>
      <x:c r="C2164" s="18" t="str">
        <x:v>private_rail</x:v>
      </x:c>
      <x:c r="D2164" s="19" t="str">
        <x:v>T1</x:v>
      </x:c>
      <x:c r="E2164" s="20" t="n">
        <x:v>98123</x:v>
      </x:c>
      <x:c r="F2164" s="18" t="str">
        <x:v>persons/day</x:v>
      </x:c>
      <x:c r="G2164" s="18" t="str">
        <x:v>FY2024</x:v>
      </x:c>
      <x:c r="H2164" s="18" t="str">
        <x:v>否</x:v>
      </x:c>
      <x:c r="I2164" s="19" t="str">
        <x:v>DAILY_ENTRIES_EXITS</x:v>
      </x:c>
      <x:c r="J2164" s="19" t="str">
        <x:v>田園都市線</x:v>
      </x:c>
      <x:c r="K2164" s="18" t="str">
        <x:v>transport-node:8982789b-3546-546d-a35c-bc8ffbf60b27</x:v>
      </x:c>
      <x:c r="L2164" s="19" t="str">
        <x:v>组件待审核</x:v>
      </x:c>
      <x:c r="M2164" s="21" t="n">
        <x:v>35.542855</x:v>
      </x:c>
      <x:c r="N2164" s="21" t="n">
        <x:v>139.5173</x:v>
      </x:c>
      <x:c r="O2164" s="18" t="str">
        <x:v>004392</x:v>
      </x:c>
      <x:c r="P2164" s="18" t="str">
        <x:v>田園都市線</x:v>
      </x:c>
      <x:c r="Q2164" s="19" t="str">
        <x:v>S12_061_GE_10000</x:v>
      </x:c>
      <x:c r="R2164" s="19" t="str">
        <x:v>S12_061 usage threshold</x:v>
      </x:c>
      <x:c r="S2164" s="19" t="str">
        <x:v>https://nlftp.mlit.go.jp/ksj/gml/datalist/KsjTmplt-S12-2024.html</x:v>
      </x:c>
      <x:c r="T2164" s="19" t="str">
        <x:v>https://nlftp.mlit.go.jp/ksj/gml/datalist/KsjTmplt-S12-2024.html</x:v>
      </x:c>
      <x:c r="U2164" s="19" t="str">
        <x:v>station-component|青葉台|東急電鉄|private_rail|35.5429|139.5173|</x:v>
      </x:c>
      <x:c r="V2164" s="19" t="str">
        <x:v>004392 / 004392 / 田園都市線</x:v>
      </x:c>
      <x:c r="W2164" s="18" t="str">
        <x:v>否</x:v>
      </x:c>
      <x:c r="X2164" s="18" t="str">
        <x:v>0785e932a32b3ec15e1a1345537ae145eafe1c07bf38d5c16c11ee2b391e7a28</x:v>
      </x:c>
      <x:c r="Y2164" s="20" t="n">
        <x:v>1</x:v>
      </x:c>
      <x:c r="Z2164" s="20" t="n">
        <x:v>1</x:v>
      </x:c>
      <x:c r="AA2164" s="19"/>
      <x:c r="AB2164" s="18"/>
      <x:c r="AC2164" s="19"/>
    </x:row>
    <x:row r="2165" ht="33" customHeight="1">
      <x:c r="A2165" s="18" t="str">
        <x:v>静岡</x:v>
      </x:c>
      <x:c r="B2165" s="18" t="str">
        <x:v>東海旅客鉄道</x:v>
      </x:c>
      <x:c r="C2165" s="18" t="str">
        <x:v>conventional_rail</x:v>
      </x:c>
      <x:c r="D2165" s="19" t="str">
        <x:v>T1</x:v>
      </x:c>
      <x:c r="E2165" s="20" t="n">
        <x:v>111863</x:v>
      </x:c>
      <x:c r="F2165" s="18" t="str">
        <x:v>persons/day</x:v>
      </x:c>
      <x:c r="G2165" s="18" t="str">
        <x:v>FY2024</x:v>
      </x:c>
      <x:c r="H2165" s="18" t="str">
        <x:v>否</x:v>
      </x:c>
      <x:c r="I2165" s="19" t="str">
        <x:v>DAILY_ENTRIES_EXITS</x:v>
      </x:c>
      <x:c r="J2165" s="19" t="str">
        <x:v>東海道線</x:v>
      </x:c>
      <x:c r="K2165" s="18" t="str">
        <x:v>transport-node:0512f82e-d175-561c-8574-e1176256a5b2</x:v>
      </x:c>
      <x:c r="L2165" s="19" t="str">
        <x:v>组件待审核</x:v>
      </x:c>
      <x:c r="M2165" s="21" t="n">
        <x:v>34.9717867</x:v>
      </x:c>
      <x:c r="N2165" s="21" t="n">
        <x:v>138.3889167</x:v>
      </x:c>
      <x:c r="O2165" s="18" t="str">
        <x:v>006128</x:v>
      </x:c>
      <x:c r="P2165" s="18" t="str">
        <x:v>東海道線</x:v>
      </x:c>
      <x:c r="Q2165" s="19" t="str">
        <x:v>S12_061_GE_10000
OFFICIAL_HUB_COMPONENT_REVIEW</x:v>
      </x:c>
      <x:c r="R2165" s="19" t="str">
        <x:v>S12_061 usage threshold</x:v>
      </x:c>
      <x:c r="S2165" s="19" t="str">
        <x:v>https://nlftp.mlit.go.jp/ksj/gml/datalist/KsjTmplt-S12-2024.html</x:v>
      </x:c>
      <x:c r="T2165" s="19" t="str">
        <x:v>https://nlftp.mlit.go.jp/ksj/gml/datalist/KsjTmplt-S12-2024.html
https://railway.jr-central.co.jp/station-guide/shinkansen/shizuoka/index.html</x:v>
      </x:c>
      <x:c r="U2165" s="19" t="str">
        <x:v>station-component|静岡|東海旅客鉄道|conventional_rail|34.9718|138.3889|</x:v>
      </x:c>
      <x:c r="V2165" s="19" t="str">
        <x:v>006128 / 006128 / 東海道線</x:v>
      </x:c>
      <x:c r="W2165" s="18" t="str">
        <x:v>否</x:v>
      </x:c>
      <x:c r="X2165" s="18" t="str">
        <x:v>0785e932a32b3ec15e1a1345537ae145eafe1c07bf38d5c16c11ee2b391e7a28</x:v>
      </x:c>
      <x:c r="Y2165" s="20" t="n">
        <x:v>1</x:v>
      </x:c>
      <x:c r="Z2165" s="20" t="n">
        <x:v>1</x:v>
      </x:c>
      <x:c r="AA2165" s="19" t="str">
        <x:v>静岡</x:v>
      </x:c>
      <x:c r="AB2165" s="18" t="str">
        <x:v>transport-hub-review:8fe3126f-9b4c-5c7b-9e51-138bbee94a23</x:v>
      </x:c>
      <x:c r="AC2165" s="19"/>
    </x:row>
    <x:row r="2166" ht="47" customHeight="1">
      <x:c r="A2166" s="18" t="str">
        <x:v>静岡</x:v>
      </x:c>
      <x:c r="B2166" s="18" t="str">
        <x:v>東海旅客鉄道</x:v>
      </x:c>
      <x:c r="C2166" s="18" t="str">
        <x:v>shinkansen</x:v>
      </x:c>
      <x:c r="D2166" s="19"/>
      <x:c r="E2166" s="20" t="n">
        <x:v>21000</x:v>
      </x:c>
      <x:c r="F2166" s="18" t="str">
        <x:v>boardings/day</x:v>
      </x:c>
      <x:c r="G2166" s="18" t="str">
        <x:v>FY2025</x:v>
      </x:c>
      <x:c r="H2166" s="18" t="str">
        <x:v>是</x:v>
      </x:c>
      <x:c r="I2166" s="19" t="str">
        <x:v>DAILY_SHINKANSEN_BOARDINGS</x:v>
      </x:c>
      <x:c r="J2166" s="19" t="str">
        <x:v>東海道新幹線</x:v>
      </x:c>
      <x:c r="K2166" s="18" t="str">
        <x:v>transport-node:b88f02e4-7d1d-5bcf-a3c3-22c92b807027</x:v>
      </x:c>
      <x:c r="L2166" s="19" t="str">
        <x:v>组件待审核</x:v>
      </x:c>
      <x:c r="M2166" s="21" t="n">
        <x:v>34.9717425</x:v>
      </x:c>
      <x:c r="N2166" s="21" t="n">
        <x:v>138.389675</x:v>
      </x:c>
      <x:c r="O2166" s="18" t="str">
        <x:v>006129</x:v>
      </x:c>
      <x:c r="P2166" s="18" t="str">
        <x:v>東海道新幹線</x:v>
      </x:c>
      <x:c r="Q2166" s="19" t="str">
        <x:v>SHINKANSEN
OFFICIAL_HUB_COMPONENT_REVIEW</x:v>
      </x:c>
      <x:c r="R2166" s="19" t="str">
        <x:v>Official fallback retained in published scope/unit; tier remains null pending metric/manual review.</x:v>
      </x:c>
      <x:c r="S2166" s="19" t="str">
        <x:v>https://company.jr-central.co.jp/ir/factsheets/_pdf/factsheets2026-02-03.pdf</x:v>
      </x:c>
      <x:c r="T2166" s="19" t="str">
        <x:v>https://company.jr-central.co.jp/ir/factsheets/_pdf/factsheets2026-02-03.pdf
https://nlftp.mlit.go.jp/ksj/gml/datalist/KsjTmplt-S12-2024.html
https://railway.jr-central.co.jp/station-guide/shinkansen/shizuoka/index.html</x:v>
      </x:c>
      <x:c r="U2166" s="19" t="str">
        <x:v>station-component|静岡|東海旅客鉄道|shinkansen|34.9717|138.3897|</x:v>
      </x:c>
      <x:c r="V2166" s="19" t="str">
        <x:v>006128 / 006129 / 東海道新幹線</x:v>
      </x:c>
      <x:c r="W2166" s="18" t="str">
        <x:v>否</x:v>
      </x:c>
      <x:c r="X2166" s="18" t="str">
        <x:v>0785e932a32b3ec15e1a1345537ae145eafe1c07bf38d5c16c11ee2b391e7a28</x:v>
      </x:c>
      <x:c r="Y2166" s="20" t="n">
        <x:v>1</x:v>
      </x:c>
      <x:c r="Z2166" s="20" t="n">
        <x:v>2</x:v>
      </x:c>
      <x:c r="AA2166" s="19" t="str">
        <x:v>静岡</x:v>
      </x:c>
      <x:c r="AB2166" s="18" t="str">
        <x:v>transport-hub-review:8fe3126f-9b4c-5c7b-9e51-138bbee94a23</x:v>
      </x:c>
      <x:c r="AC2166" s="19"/>
    </x:row>
    <x:row r="2167" ht="28" customHeight="1">
      <x:c r="A2167" s="18" t="str">
        <x:v>須磨</x:v>
      </x:c>
      <x:c r="B2167" s="18" t="str">
        <x:v>西日本旅客鉄道</x:v>
      </x:c>
      <x:c r="C2167" s="18" t="str">
        <x:v>conventional_rail</x:v>
      </x:c>
      <x:c r="D2167" s="19" t="str">
        <x:v>T2</x:v>
      </x:c>
      <x:c r="E2167" s="20" t="n">
        <x:v>19732</x:v>
      </x:c>
      <x:c r="F2167" s="18" t="str">
        <x:v>persons/day</x:v>
      </x:c>
      <x:c r="G2167" s="18" t="str">
        <x:v>FY2024</x:v>
      </x:c>
      <x:c r="H2167" s="18" t="str">
        <x:v>否</x:v>
      </x:c>
      <x:c r="I2167" s="19" t="str">
        <x:v>DAILY_ENTRIES_EXITS</x:v>
      </x:c>
      <x:c r="J2167" s="19" t="str">
        <x:v>山陽線</x:v>
      </x:c>
      <x:c r="K2167" s="18" t="str">
        <x:v>transport-node:45f21df7-de40-5c58-bbeb-16bd907582ce</x:v>
      </x:c>
      <x:c r="L2167" s="19" t="str">
        <x:v>组件待审核</x:v>
      </x:c>
      <x:c r="M2167" s="21" t="n">
        <x:v>34.642265</x:v>
      </x:c>
      <x:c r="N2167" s="21" t="n">
        <x:v>135.112655</x:v>
      </x:c>
      <x:c r="O2167" s="18" t="str">
        <x:v>007466</x:v>
      </x:c>
      <x:c r="P2167" s="18" t="str">
        <x:v>山陽線</x:v>
      </x:c>
      <x:c r="Q2167" s="19" t="str">
        <x:v>S12_061_GE_10000</x:v>
      </x:c>
      <x:c r="R2167" s="19" t="str">
        <x:v>S12_061 usage threshold</x:v>
      </x:c>
      <x:c r="S2167" s="19" t="str">
        <x:v>https://nlftp.mlit.go.jp/ksj/gml/datalist/KsjTmplt-S12-2024.html</x:v>
      </x:c>
      <x:c r="T2167" s="19" t="str">
        <x:v>https://nlftp.mlit.go.jp/ksj/gml/datalist/KsjTmplt-S12-2024.html</x:v>
      </x:c>
      <x:c r="U2167" s="19" t="str">
        <x:v>station-component|須磨|西日本旅客鉄道|conventional_rail|34.6423|135.1127|</x:v>
      </x:c>
      <x:c r="V2167" s="19" t="str">
        <x:v>007466 / 007466 / 山陽線</x:v>
      </x:c>
      <x:c r="W2167" s="18" t="str">
        <x:v>否</x:v>
      </x:c>
      <x:c r="X2167" s="18" t="str">
        <x:v>0785e932a32b3ec15e1a1345537ae145eafe1c07bf38d5c16c11ee2b391e7a28</x:v>
      </x:c>
      <x:c r="Y2167" s="20" t="n">
        <x:v>1</x:v>
      </x:c>
      <x:c r="Z2167" s="20" t="n">
        <x:v>1</x:v>
      </x:c>
      <x:c r="AA2167" s="19"/>
      <x:c r="AB2167" s="18"/>
      <x:c r="AC2167" s="19"/>
    </x:row>
    <x:row r="2168" ht="28" customHeight="1">
      <x:c r="A2168" s="18" t="str">
        <x:v>須磨海浜公園</x:v>
      </x:c>
      <x:c r="B2168" s="18" t="str">
        <x:v>西日本旅客鉄道</x:v>
      </x:c>
      <x:c r="C2168" s="18" t="str">
        <x:v>conventional_rail</x:v>
      </x:c>
      <x:c r="D2168" s="19" t="str">
        <x:v>T2</x:v>
      </x:c>
      <x:c r="E2168" s="20" t="n">
        <x:v>14992</x:v>
      </x:c>
      <x:c r="F2168" s="18" t="str">
        <x:v>persons/day</x:v>
      </x:c>
      <x:c r="G2168" s="18" t="str">
        <x:v>FY2024</x:v>
      </x:c>
      <x:c r="H2168" s="18" t="str">
        <x:v>否</x:v>
      </x:c>
      <x:c r="I2168" s="19" t="str">
        <x:v>DAILY_ENTRIES_EXITS</x:v>
      </x:c>
      <x:c r="J2168" s="19" t="str">
        <x:v>山陽線</x:v>
      </x:c>
      <x:c r="K2168" s="18" t="str">
        <x:v>transport-node:d7ca1fea-d4aa-587c-995a-0aecf762c5fd</x:v>
      </x:c>
      <x:c r="L2168" s="19" t="str">
        <x:v>组件待审核</x:v>
      </x:c>
      <x:c r="M2168" s="21" t="n">
        <x:v>34.64716</x:v>
      </x:c>
      <x:c r="N2168" s="21" t="n">
        <x:v>135.126605</x:v>
      </x:c>
      <x:c r="O2168" s="18" t="str">
        <x:v>007441</x:v>
      </x:c>
      <x:c r="P2168" s="18" t="str">
        <x:v>山陽線</x:v>
      </x:c>
      <x:c r="Q2168" s="19" t="str">
        <x:v>S12_061_GE_10000</x:v>
      </x:c>
      <x:c r="R2168" s="19" t="str">
        <x:v>S12_061 usage threshold</x:v>
      </x:c>
      <x:c r="S2168" s="19" t="str">
        <x:v>https://nlftp.mlit.go.jp/ksj/gml/datalist/KsjTmplt-S12-2024.html</x:v>
      </x:c>
      <x:c r="T2168" s="19" t="str">
        <x:v>https://nlftp.mlit.go.jp/ksj/gml/datalist/KsjTmplt-S12-2024.html</x:v>
      </x:c>
      <x:c r="U2168" s="19" t="str">
        <x:v>station-component|須磨海浜公園|西日本旅客鉄道|conventional_rail|34.6472|135.1266|</x:v>
      </x:c>
      <x:c r="V2168" s="19" t="str">
        <x:v>007441 / 007441 / 山陽線</x:v>
      </x:c>
      <x:c r="W2168" s="18" t="str">
        <x:v>否</x:v>
      </x:c>
      <x:c r="X2168" s="18" t="str">
        <x:v>0785e932a32b3ec15e1a1345537ae145eafe1c07bf38d5c16c11ee2b391e7a28</x:v>
      </x:c>
      <x:c r="Y2168" s="20" t="n">
        <x:v>1</x:v>
      </x:c>
      <x:c r="Z2168" s="20" t="n">
        <x:v>1</x:v>
      </x:c>
      <x:c r="AA2168" s="19"/>
      <x:c r="AB2168" s="18"/>
      <x:c r="AC2168" s="19"/>
    </x:row>
    <x:row r="2169" ht="28" customHeight="1">
      <x:c r="A2169" s="18" t="str">
        <x:v>飛田給</x:v>
      </x:c>
      <x:c r="B2169" s="18" t="str">
        <x:v>京王電鉄</x:v>
      </x:c>
      <x:c r="C2169" s="18" t="str">
        <x:v>private_rail</x:v>
      </x:c>
      <x:c r="D2169" s="19" t="str">
        <x:v>T2</x:v>
      </x:c>
      <x:c r="E2169" s="20" t="n">
        <x:v>26692</x:v>
      </x:c>
      <x:c r="F2169" s="18" t="str">
        <x:v>persons/day</x:v>
      </x:c>
      <x:c r="G2169" s="18" t="str">
        <x:v>FY2024</x:v>
      </x:c>
      <x:c r="H2169" s="18" t="str">
        <x:v>否</x:v>
      </x:c>
      <x:c r="I2169" s="19" t="str">
        <x:v>DAILY_ENTRIES_EXITS</x:v>
      </x:c>
      <x:c r="J2169" s="19" t="str">
        <x:v>京王線</x:v>
      </x:c>
      <x:c r="K2169" s="18" t="str">
        <x:v>transport-node:474c60ad-a591-56ce-a567-a4132181ab0a</x:v>
      </x:c>
      <x:c r="L2169" s="19" t="str">
        <x:v>组件待审核</x:v>
      </x:c>
      <x:c r="M2169" s="21" t="n">
        <x:v>35.659985</x:v>
      </x:c>
      <x:c r="N2169" s="21" t="n">
        <x:v>139.52366</x:v>
      </x:c>
      <x:c r="O2169" s="18" t="str">
        <x:v>003916</x:v>
      </x:c>
      <x:c r="P2169" s="18" t="str">
        <x:v>京王線</x:v>
      </x:c>
      <x:c r="Q2169" s="19" t="str">
        <x:v>S12_061_GE_10000</x:v>
      </x:c>
      <x:c r="R2169" s="19" t="str">
        <x:v>S12_061 usage threshold</x:v>
      </x:c>
      <x:c r="S2169" s="19" t="str">
        <x:v>https://nlftp.mlit.go.jp/ksj/gml/datalist/KsjTmplt-S12-2024.html</x:v>
      </x:c>
      <x:c r="T2169" s="19" t="str">
        <x:v>https://nlftp.mlit.go.jp/ksj/gml/datalist/KsjTmplt-S12-2024.html</x:v>
      </x:c>
      <x:c r="U2169" s="19" t="str">
        <x:v>station-component|飛田給|京王電鉄|private_rail|35.6600|139.5237|</x:v>
      </x:c>
      <x:c r="V2169" s="19" t="str">
        <x:v>003916 / 003916 / 京王線</x:v>
      </x:c>
      <x:c r="W2169" s="18" t="str">
        <x:v>否</x:v>
      </x:c>
      <x:c r="X2169" s="18" t="str">
        <x:v>0785e932a32b3ec15e1a1345537ae145eafe1c07bf38d5c16c11ee2b391e7a28</x:v>
      </x:c>
      <x:c r="Y2169" s="20" t="n">
        <x:v>1</x:v>
      </x:c>
      <x:c r="Z2169" s="20" t="n">
        <x:v>1</x:v>
      </x:c>
      <x:c r="AA2169" s="19"/>
      <x:c r="AB2169" s="18"/>
      <x:c r="AC2169" s="19"/>
    </x:row>
    <x:row r="2170" ht="33" customHeight="1">
      <x:c r="A2170" s="18" t="str">
        <x:v>飯山</x:v>
      </x:c>
      <x:c r="B2170" s="18" t="str">
        <x:v>東日本旅客鉄道</x:v>
      </x:c>
      <x:c r="C2170" s="18" t="str">
        <x:v>shinkansen</x:v>
      </x:c>
      <x:c r="D2170" s="19"/>
      <x:c r="E2170" s="20" t="n">
        <x:v>713</x:v>
      </x:c>
      <x:c r="F2170" s="18" t="str">
        <x:v>boardings/day</x:v>
      </x:c>
      <x:c r="G2170" s="18" t="str">
        <x:v>FY2024</x:v>
      </x:c>
      <x:c r="H2170" s="18" t="str">
        <x:v>是</x:v>
      </x:c>
      <x:c r="I2170" s="19" t="str">
        <x:v>DAILY_SHINKANSEN_BOARDINGS</x:v>
      </x:c>
      <x:c r="J2170" s="19" t="str">
        <x:v>北陸新幹線</x:v>
      </x:c>
      <x:c r="K2170" s="18" t="str">
        <x:v>transport-node:82dbf1ef-7968-56c7-a93d-a6b35448c087</x:v>
      </x:c>
      <x:c r="L2170" s="19" t="str">
        <x:v>组件待审核</x:v>
      </x:c>
      <x:c r="M2170" s="21" t="n">
        <x:v>36.8451432</x:v>
      </x:c>
      <x:c r="N2170" s="21" t="n">
        <x:v>138.3590109</x:v>
      </x:c>
      <x:c r="O2170" s="18" t="str">
        <x:v>001770</x:v>
      </x:c>
      <x:c r="P2170" s="18" t="str">
        <x:v>北陸新幹線</x:v>
      </x:c>
      <x:c r="Q2170" s="19" t="str">
        <x:v>SHINKANSEN</x:v>
      </x:c>
      <x:c r="R2170" s="19" t="str">
        <x:v>Official fallback retained in published scope/unit; tier remains null pending metric/manual review.</x:v>
      </x:c>
      <x:c r="S2170" s="19" t="str">
        <x:v>https://www.jreast.co.jp/company/data/passenger/2024_shinkansen.html/</x:v>
      </x:c>
      <x:c r="T2170" s="19" t="str">
        <x:v>https://nlftp.mlit.go.jp/ksj/gml/datalist/KsjTmplt-S12-2024.html
https://www.jreast.co.jp/company/data/passenger/2024_shinkansen.html/</x:v>
      </x:c>
      <x:c r="U2170" s="19" t="str">
        <x:v>station-component|飯山|東日本旅客鉄道|shinkansen|36.8451|138.3590|</x:v>
      </x:c>
      <x:c r="V2170" s="19" t="str">
        <x:v>001769 / 001770 / 北陸新幹線</x:v>
      </x:c>
      <x:c r="W2170" s="18" t="str">
        <x:v>否</x:v>
      </x:c>
      <x:c r="X2170" s="18" t="str">
        <x:v>0785e932a32b3ec15e1a1345537ae145eafe1c07bf38d5c16c11ee2b391e7a28</x:v>
      </x:c>
      <x:c r="Y2170" s="20" t="n">
        <x:v>1</x:v>
      </x:c>
      <x:c r="Z2170" s="20" t="n">
        <x:v>2</x:v>
      </x:c>
      <x:c r="AA2170" s="19"/>
      <x:c r="AB2170" s="18"/>
      <x:c r="AC2170" s="19"/>
    </x:row>
    <x:row r="2171" ht="28" customHeight="1">
      <x:c r="A2171" s="18" t="str">
        <x:v>飯山満</x:v>
      </x:c>
      <x:c r="B2171" s="18" t="str">
        <x:v>東葉高速鉄道</x:v>
      </x:c>
      <x:c r="C2171" s="18" t="str">
        <x:v>private_rail</x:v>
      </x:c>
      <x:c r="D2171" s="19" t="str">
        <x:v>T2</x:v>
      </x:c>
      <x:c r="E2171" s="20" t="n">
        <x:v>20211</x:v>
      </x:c>
      <x:c r="F2171" s="18" t="str">
        <x:v>persons/day</x:v>
      </x:c>
      <x:c r="G2171" s="18" t="str">
        <x:v>FY2024</x:v>
      </x:c>
      <x:c r="H2171" s="18" t="str">
        <x:v>否</x:v>
      </x:c>
      <x:c r="I2171" s="19" t="str">
        <x:v>DAILY_ENTRIES_EXITS</x:v>
      </x:c>
      <x:c r="J2171" s="19" t="str">
        <x:v>東葉高速線</x:v>
      </x:c>
      <x:c r="K2171" s="18" t="str">
        <x:v>transport-node:5a26914e-a1fe-514c-b69b-3da04b1b0719</x:v>
      </x:c>
      <x:c r="L2171" s="19" t="str">
        <x:v>组件待审核</x:v>
      </x:c>
      <x:c r="M2171" s="21" t="n">
        <x:v>35.714</x:v>
      </x:c>
      <x:c r="N2171" s="21" t="n">
        <x:v>140.0223</x:v>
      </x:c>
      <x:c r="O2171" s="18" t="str">
        <x:v>003501</x:v>
      </x:c>
      <x:c r="P2171" s="18" t="str">
        <x:v>東葉高速線</x:v>
      </x:c>
      <x:c r="Q2171" s="19" t="str">
        <x:v>S12_061_GE_10000</x:v>
      </x:c>
      <x:c r="R2171" s="19" t="str">
        <x:v>S12_061 usage threshold</x:v>
      </x:c>
      <x:c r="S2171" s="19" t="str">
        <x:v>https://nlftp.mlit.go.jp/ksj/gml/datalist/KsjTmplt-S12-2024.html</x:v>
      </x:c>
      <x:c r="T2171" s="19" t="str">
        <x:v>https://nlftp.mlit.go.jp/ksj/gml/datalist/KsjTmplt-S12-2024.html</x:v>
      </x:c>
      <x:c r="U2171" s="19" t="str">
        <x:v>station-component|飯山満|東葉高速鉄道|private_rail|35.7140|140.0223|</x:v>
      </x:c>
      <x:c r="V2171" s="19" t="str">
        <x:v>003501 / 003501 / 東葉高速線</x:v>
      </x:c>
      <x:c r="W2171" s="18" t="str">
        <x:v>否</x:v>
      </x:c>
      <x:c r="X2171" s="18" t="str">
        <x:v>0785e932a32b3ec15e1a1345537ae145eafe1c07bf38d5c16c11ee2b391e7a28</x:v>
      </x:c>
      <x:c r="Y2171" s="20" t="n">
        <x:v>1</x:v>
      </x:c>
      <x:c r="Z2171" s="20" t="n">
        <x:v>1</x:v>
      </x:c>
      <x:c r="AA2171" s="19"/>
      <x:c r="AB2171" s="18"/>
      <x:c r="AC2171" s="19"/>
    </x:row>
    <x:row r="2172" ht="47" customHeight="1">
      <x:c r="A2172" s="18" t="str">
        <x:v>飯田橋</x:v>
      </x:c>
      <x:c r="B2172" s="18" t="str">
        <x:v>東京地下鉄</x:v>
      </x:c>
      <x:c r="C2172" s="18" t="str">
        <x:v>metro</x:v>
      </x:c>
      <x:c r="D2172" s="19" t="str">
        <x:v>T1</x:v>
      </x:c>
      <x:c r="E2172" s="20" t="n">
        <x:v>159807</x:v>
      </x:c>
      <x:c r="F2172" s="18" t="str">
        <x:v>persons/day</x:v>
      </x:c>
      <x:c r="G2172" s="18" t="str">
        <x:v>FY2024</x:v>
      </x:c>
      <x:c r="H2172" s="18" t="str">
        <x:v>否</x:v>
      </x:c>
      <x:c r="I2172" s="19" t="str">
        <x:v>DAILY_ENTRIES_EXITS</x:v>
      </x:c>
      <x:c r="J2172" s="19" t="str">
        <x:v>5号線東西線
7号線南北線
8号線有楽町線</x:v>
      </x:c>
      <x:c r="K2172" s="18" t="str">
        <x:v>transport-node:154a4dd6-48bc-52f0-85ad-349347dbb4bc</x:v>
      </x:c>
      <x:c r="L2172" s="19" t="str">
        <x:v>组件待审核</x:v>
      </x:c>
      <x:c r="M2172" s="21" t="n">
        <x:v>35.7013329</x:v>
      </x:c>
      <x:c r="N2172" s="21" t="n">
        <x:v>139.7466557</x:v>
      </x:c>
      <x:c r="O2172" s="18" t="str">
        <x:v>003596</x:v>
      </x:c>
      <x:c r="P2172" s="18" t="str">
        <x:v>5号線東西線</x:v>
      </x:c>
      <x:c r="Q2172" s="19" t="str">
        <x:v>S12_061_GE_10000
OFFICIAL_HUB_COMPONENT_REVIEW</x:v>
      </x:c>
      <x:c r="R2172" s="19" t="str">
        <x:v>S12_061 usage threshold</x:v>
      </x:c>
      <x:c r="S2172" s="19" t="str">
        <x:v>https://nlftp.mlit.go.jp/ksj/gml/datalist/KsjTmplt-S12-2024.html</x:v>
      </x:c>
      <x:c r="T2172" s="19" t="str">
        <x:v>https://nlftp.mlit.go.jp/ksj/gml/datalist/KsjTmplt-S12-2024.html
https://www.tokyometro.jp/station/iidabashi/index.html</x:v>
      </x:c>
      <x:c r="U2172" s="19" t="str">
        <x:v>station-component|飯田橋|東京地下鉄|metro|35.7013|139.7467|</x:v>
      </x:c>
      <x:c r="V2172" s="19" t="str">
        <x:v>003595 / 003595 / 7号線南北線
003595 / 003596 / 5号線東西線
003595 / 003598 / 8号線有楽町線</x:v>
      </x:c>
      <x:c r="W2172" s="18" t="str">
        <x:v>否</x:v>
      </x:c>
      <x:c r="X2172" s="18" t="str">
        <x:v>0785e932a32b3ec15e1a1345537ae145eafe1c07bf38d5c16c11ee2b391e7a28</x:v>
      </x:c>
      <x:c r="Y2172" s="20" t="n">
        <x:v>1</x:v>
      </x:c>
      <x:c r="Z2172" s="20" t="n">
        <x:v>1</x:v>
      </x:c>
      <x:c r="AA2172" s="19" t="str">
        <x:v>飯田橋</x:v>
      </x:c>
      <x:c r="AB2172" s="18" t="str">
        <x:v>transport-hub-review:69756f5d-baec-55b1-b45f-28b30f410284</x:v>
      </x:c>
      <x:c r="AC2172" s="19"/>
    </x:row>
    <x:row r="2173" ht="33" customHeight="1">
      <x:c r="A2173" s="18" t="str">
        <x:v>飯田橋</x:v>
      </x:c>
      <x:c r="B2173" s="18" t="str">
        <x:v>東京都</x:v>
      </x:c>
      <x:c r="C2173" s="18" t="str">
        <x:v>metro</x:v>
      </x:c>
      <x:c r="D2173" s="19" t="str">
        <x:v>T2</x:v>
      </x:c>
      <x:c r="E2173" s="20" t="n">
        <x:v>18167</x:v>
      </x:c>
      <x:c r="F2173" s="18" t="str">
        <x:v>persons/day</x:v>
      </x:c>
      <x:c r="G2173" s="18" t="str">
        <x:v>FY2024</x:v>
      </x:c>
      <x:c r="H2173" s="18" t="str">
        <x:v>否</x:v>
      </x:c>
      <x:c r="I2173" s="19" t="str">
        <x:v>DAILY_ENTRIES_EXITS</x:v>
      </x:c>
      <x:c r="J2173" s="19" t="str">
        <x:v>12号線大江戸線</x:v>
      </x:c>
      <x:c r="K2173" s="18" t="str">
        <x:v>transport-node:f7adde32-67f6-5bc9-b927-6ef5ebfd2ee9</x:v>
      </x:c>
      <x:c r="L2173" s="19" t="str">
        <x:v>组件待审核</x:v>
      </x:c>
      <x:c r="M2173" s="21" t="n">
        <x:v>35.7030967</x:v>
      </x:c>
      <x:c r="N2173" s="21" t="n">
        <x:v>139.7457333</x:v>
      </x:c>
      <x:c r="O2173" s="18" t="str">
        <x:v>003585</x:v>
      </x:c>
      <x:c r="P2173" s="18" t="str">
        <x:v>12号線大江戸線</x:v>
      </x:c>
      <x:c r="Q2173" s="19" t="str">
        <x:v>S12_061_GE_10000
OFFICIAL_HUB_COMPONENT_REVIEW</x:v>
      </x:c>
      <x:c r="R2173" s="19" t="str">
        <x:v>S12_061 usage threshold</x:v>
      </x:c>
      <x:c r="S2173" s="19" t="str">
        <x:v>https://nlftp.mlit.go.jp/ksj/gml/datalist/KsjTmplt-S12-2024.html</x:v>
      </x:c>
      <x:c r="T2173" s="19" t="str">
        <x:v>https://nlftp.mlit.go.jp/ksj/gml/datalist/KsjTmplt-S12-2024.html
https://www.tokyometro.jp/station/iidabashi/index.html</x:v>
      </x:c>
      <x:c r="U2173" s="19" t="str">
        <x:v>station-component|飯田橋|東京都|metro|35.7031|139.7457|</x:v>
      </x:c>
      <x:c r="V2173" s="19" t="str">
        <x:v>003595 / 003585 / 12号線大江戸線</x:v>
      </x:c>
      <x:c r="W2173" s="18" t="str">
        <x:v>否</x:v>
      </x:c>
      <x:c r="X2173" s="18" t="str">
        <x:v>0785e932a32b3ec15e1a1345537ae145eafe1c07bf38d5c16c11ee2b391e7a28</x:v>
      </x:c>
      <x:c r="Y2173" s="20" t="n">
        <x:v>1</x:v>
      </x:c>
      <x:c r="Z2173" s="20" t="n">
        <x:v>1</x:v>
      </x:c>
      <x:c r="AA2173" s="19" t="str">
        <x:v>飯田橋</x:v>
      </x:c>
      <x:c r="AB2173" s="18" t="str">
        <x:v>transport-hub-review:69756f5d-baec-55b1-b45f-28b30f410284</x:v>
      </x:c>
      <x:c r="AC2173" s="19"/>
    </x:row>
    <x:row r="2174" ht="33" customHeight="1">
      <x:c r="A2174" s="18" t="str">
        <x:v>飯田橋</x:v>
      </x:c>
      <x:c r="B2174" s="18" t="str">
        <x:v>東日本旅客鉄道</x:v>
      </x:c>
      <x:c r="C2174" s="18" t="str">
        <x:v>conventional_rail</x:v>
      </x:c>
      <x:c r="D2174" s="19" t="str">
        <x:v>T1</x:v>
      </x:c>
      <x:c r="E2174" s="20" t="n">
        <x:v>136818</x:v>
      </x:c>
      <x:c r="F2174" s="18" t="str">
        <x:v>persons/day</x:v>
      </x:c>
      <x:c r="G2174" s="18" t="str">
        <x:v>FY2024</x:v>
      </x:c>
      <x:c r="H2174" s="18" t="str">
        <x:v>否</x:v>
      </x:c>
      <x:c r="I2174" s="19" t="str">
        <x:v>DAILY_ENTRIES_EXITS</x:v>
      </x:c>
      <x:c r="J2174" s="19" t="str">
        <x:v>中央線</x:v>
      </x:c>
      <x:c r="K2174" s="18" t="str">
        <x:v>transport-node:584dca41-f90d-55e6-b280-ae96d7d49860</x:v>
      </x:c>
      <x:c r="L2174" s="19" t="str">
        <x:v>组件待审核</x:v>
      </x:c>
      <x:c r="M2174" s="21" t="n">
        <x:v>35.7001667</x:v>
      </x:c>
      <x:c r="N2174" s="21" t="n">
        <x:v>139.7436467</x:v>
      </x:c>
      <x:c r="O2174" s="18" t="str">
        <x:v>003608</x:v>
      </x:c>
      <x:c r="P2174" s="18" t="str">
        <x:v>中央線</x:v>
      </x:c>
      <x:c r="Q2174" s="19" t="str">
        <x:v>S12_061_GE_10000
OFFICIAL_HUB_COMPONENT_REVIEW</x:v>
      </x:c>
      <x:c r="R2174" s="19" t="str">
        <x:v>S12_061 usage threshold</x:v>
      </x:c>
      <x:c r="S2174" s="19" t="str">
        <x:v>https://nlftp.mlit.go.jp/ksj/gml/datalist/KsjTmplt-S12-2024.html</x:v>
      </x:c>
      <x:c r="T2174" s="19" t="str">
        <x:v>https://nlftp.mlit.go.jp/ksj/gml/datalist/KsjTmplt-S12-2024.html
https://www.tokyometro.jp/station/iidabashi/index.html</x:v>
      </x:c>
      <x:c r="U2174" s="19" t="str">
        <x:v>station-component|飯田橋|東日本旅客鉄道|conventional_rail|35.7002|139.7436|</x:v>
      </x:c>
      <x:c r="V2174" s="19" t="str">
        <x:v>003595 / 003608 / 中央線</x:v>
      </x:c>
      <x:c r="W2174" s="18" t="str">
        <x:v>否</x:v>
      </x:c>
      <x:c r="X2174" s="18" t="str">
        <x:v>0785e932a32b3ec15e1a1345537ae145eafe1c07bf38d5c16c11ee2b391e7a28</x:v>
      </x:c>
      <x:c r="Y2174" s="20" t="n">
        <x:v>1</x:v>
      </x:c>
      <x:c r="Z2174" s="20" t="n">
        <x:v>1</x:v>
      </x:c>
      <x:c r="AA2174" s="19" t="str">
        <x:v>飯田橋</x:v>
      </x:c>
      <x:c r="AB2174" s="18" t="str">
        <x:v>transport-hub-review:69756f5d-baec-55b1-b45f-28b30f410284</x:v>
      </x:c>
      <x:c r="AC2174" s="19"/>
    </x:row>
    <x:row r="2175" ht="28" customHeight="1">
      <x:c r="A2175" s="18" t="str">
        <x:v>飯能</x:v>
      </x:c>
      <x:c r="B2175" s="18" t="str">
        <x:v>西武鉄道</x:v>
      </x:c>
      <x:c r="C2175" s="18" t="str">
        <x:v>private_rail</x:v>
      </x:c>
      <x:c r="D2175" s="19" t="str">
        <x:v>T2</x:v>
      </x:c>
      <x:c r="E2175" s="20" t="n">
        <x:v>27920</x:v>
      </x:c>
      <x:c r="F2175" s="18" t="str">
        <x:v>persons/day</x:v>
      </x:c>
      <x:c r="G2175" s="18" t="str">
        <x:v>FY2024</x:v>
      </x:c>
      <x:c r="H2175" s="18" t="str">
        <x:v>否</x:v>
      </x:c>
      <x:c r="I2175" s="19" t="str">
        <x:v>DAILY_ENTRIES_EXITS</x:v>
      </x:c>
      <x:c r="J2175" s="19" t="str">
        <x:v>池袋線</x:v>
      </x:c>
      <x:c r="K2175" s="18" t="str">
        <x:v>transport-node:86ea193b-f678-5463-bcee-866169b16eab</x:v>
      </x:c>
      <x:c r="L2175" s="19" t="str">
        <x:v>组件待审核</x:v>
      </x:c>
      <x:c r="M2175" s="21" t="n">
        <x:v>35.851204</x:v>
      </x:c>
      <x:c r="N2175" s="21" t="n">
        <x:v>139.318842</x:v>
      </x:c>
      <x:c r="O2175" s="18" t="str">
        <x:v>002999</x:v>
      </x:c>
      <x:c r="P2175" s="18" t="str">
        <x:v>池袋線</x:v>
      </x:c>
      <x:c r="Q2175" s="19" t="str">
        <x:v>S12_061_GE_10000</x:v>
      </x:c>
      <x:c r="R2175" s="19" t="str">
        <x:v>S12_061 usage threshold</x:v>
      </x:c>
      <x:c r="S2175" s="19" t="str">
        <x:v>https://nlftp.mlit.go.jp/ksj/gml/datalist/KsjTmplt-S12-2024.html</x:v>
      </x:c>
      <x:c r="T2175" s="19" t="str">
        <x:v>https://nlftp.mlit.go.jp/ksj/gml/datalist/KsjTmplt-S12-2024.html</x:v>
      </x:c>
      <x:c r="U2175" s="19" t="str">
        <x:v>station-component|飯能|西武鉄道|private_rail|35.8512|139.3188|</x:v>
      </x:c>
      <x:c r="V2175" s="19" t="str">
        <x:v>002999 / 002999 / 池袋線</x:v>
      </x:c>
      <x:c r="W2175" s="18" t="str">
        <x:v>否</x:v>
      </x:c>
      <x:c r="X2175" s="18" t="str">
        <x:v>0785e932a32b3ec15e1a1345537ae145eafe1c07bf38d5c16c11ee2b391e7a28</x:v>
      </x:c>
      <x:c r="Y2175" s="20" t="n">
        <x:v>1</x:v>
      </x:c>
      <x:c r="Z2175" s="20" t="n">
        <x:v>1</x:v>
      </x:c>
      <x:c r="AA2175" s="19"/>
      <x:c r="AB2175" s="18"/>
      <x:c r="AC2175" s="19"/>
    </x:row>
    <x:row r="2176" ht="47" customHeight="1">
      <x:c r="A2176" s="18" t="str">
        <x:v>館林</x:v>
      </x:c>
      <x:c r="B2176" s="18" t="str">
        <x:v>東武鉄道</x:v>
      </x:c>
      <x:c r="C2176" s="18" t="str">
        <x:v>private_rail</x:v>
      </x:c>
      <x:c r="D2176" s="19" t="str">
        <x:v>T2</x:v>
      </x:c>
      <x:c r="E2176" s="20" t="n">
        <x:v>10041</x:v>
      </x:c>
      <x:c r="F2176" s="18" t="str">
        <x:v>persons/day</x:v>
      </x:c>
      <x:c r="G2176" s="18" t="str">
        <x:v>FY2024</x:v>
      </x:c>
      <x:c r="H2176" s="18" t="str">
        <x:v>否</x:v>
      </x:c>
      <x:c r="I2176" s="19" t="str">
        <x:v>DAILY_ENTRIES_EXITS</x:v>
      </x:c>
      <x:c r="J2176" s="19" t="str">
        <x:v>伊勢崎線
佐野線
小泉線</x:v>
      </x:c>
      <x:c r="K2176" s="18" t="str">
        <x:v>transport-node:022d375c-be64-5aa8-8acc-f101ae01782d</x:v>
      </x:c>
      <x:c r="L2176" s="19" t="str">
        <x:v>组件待审核</x:v>
      </x:c>
      <x:c r="M2176" s="21" t="n">
        <x:v>36.246615</x:v>
      </x:c>
      <x:c r="N2176" s="21" t="n">
        <x:v>139.527805</x:v>
      </x:c>
      <x:c r="O2176" s="18" t="str">
        <x:v>002493</x:v>
      </x:c>
      <x:c r="P2176" s="18" t="str">
        <x:v>伊勢崎線</x:v>
      </x:c>
      <x:c r="Q2176" s="19" t="str">
        <x:v>S12_061_GE_10000</x:v>
      </x:c>
      <x:c r="R2176" s="19" t="str">
        <x:v>S12_061 usage threshold</x:v>
      </x:c>
      <x:c r="S2176" s="19" t="str">
        <x:v>https://nlftp.mlit.go.jp/ksj/gml/datalist/KsjTmplt-S12-2024.html</x:v>
      </x:c>
      <x:c r="T2176" s="19" t="str">
        <x:v>https://nlftp.mlit.go.jp/ksj/gml/datalist/KsjTmplt-S12-2024.html</x:v>
      </x:c>
      <x:c r="U2176" s="19" t="str">
        <x:v>station-component|館林|東武鉄道|private_rail|36.2466|139.5278|</x:v>
      </x:c>
      <x:c r="V2176" s="19" t="str">
        <x:v>002493 / 002493 / 伊勢崎線
002493 / 002494 / 佐野線
002493 / 002495 / 小泉線</x:v>
      </x:c>
      <x:c r="W2176" s="18" t="str">
        <x:v>否</x:v>
      </x:c>
      <x:c r="X2176" s="18" t="str">
        <x:v>0785e932a32b3ec15e1a1345537ae145eafe1c07bf38d5c16c11ee2b391e7a28</x:v>
      </x:c>
      <x:c r="Y2176" s="20" t="n">
        <x:v>1</x:v>
      </x:c>
      <x:c r="Z2176" s="20" t="n">
        <x:v>1</x:v>
      </x:c>
      <x:c r="AA2176" s="19"/>
      <x:c r="AB2176" s="18"/>
      <x:c r="AC2176" s="19"/>
    </x:row>
    <x:row r="2177" ht="28" customHeight="1">
      <x:c r="A2177" s="18" t="str">
        <x:v>香川</x:v>
      </x:c>
      <x:c r="B2177" s="18" t="str">
        <x:v>東日本旅客鉄道</x:v>
      </x:c>
      <x:c r="C2177" s="18" t="str">
        <x:v>conventional_rail</x:v>
      </x:c>
      <x:c r="D2177" s="19" t="str">
        <x:v>T2</x:v>
      </x:c>
      <x:c r="E2177" s="20" t="n">
        <x:v>11546</x:v>
      </x:c>
      <x:c r="F2177" s="18" t="str">
        <x:v>persons/day</x:v>
      </x:c>
      <x:c r="G2177" s="18" t="str">
        <x:v>FY2024</x:v>
      </x:c>
      <x:c r="H2177" s="18" t="str">
        <x:v>否</x:v>
      </x:c>
      <x:c r="I2177" s="19" t="str">
        <x:v>DAILY_ENTRIES_EXITS</x:v>
      </x:c>
      <x:c r="J2177" s="19" t="str">
        <x:v>相模線</x:v>
      </x:c>
      <x:c r="K2177" s="18" t="str">
        <x:v>transport-node:d957e1d8-3593-5cc6-b1b7-066d471d3201</x:v>
      </x:c>
      <x:c r="L2177" s="19" t="str">
        <x:v>组件待审核</x:v>
      </x:c>
      <x:c r="M2177" s="21" t="n">
        <x:v>35.3566</x:v>
      </x:c>
      <x:c r="N2177" s="21" t="n">
        <x:v>139.39983</x:v>
      </x:c>
      <x:c r="O2177" s="18" t="str">
        <x:v>004953</x:v>
      </x:c>
      <x:c r="P2177" s="18" t="str">
        <x:v>相模線</x:v>
      </x:c>
      <x:c r="Q2177" s="19" t="str">
        <x:v>S12_061_GE_10000</x:v>
      </x:c>
      <x:c r="R2177" s="19" t="str">
        <x:v>S12_061 usage threshold</x:v>
      </x:c>
      <x:c r="S2177" s="19" t="str">
        <x:v>https://nlftp.mlit.go.jp/ksj/gml/datalist/KsjTmplt-S12-2024.html</x:v>
      </x:c>
      <x:c r="T2177" s="19" t="str">
        <x:v>https://nlftp.mlit.go.jp/ksj/gml/datalist/KsjTmplt-S12-2024.html</x:v>
      </x:c>
      <x:c r="U2177" s="19" t="str">
        <x:v>station-component|香川|東日本旅客鉄道|conventional_rail|35.3566|139.3998|</x:v>
      </x:c>
      <x:c r="V2177" s="19" t="str">
        <x:v>004953 / 004953 / 相模線</x:v>
      </x:c>
      <x:c r="W2177" s="18" t="str">
        <x:v>否</x:v>
      </x:c>
      <x:c r="X2177" s="18" t="str">
        <x:v>0785e932a32b3ec15e1a1345537ae145eafe1c07bf38d5c16c11ee2b391e7a28</x:v>
      </x:c>
      <x:c r="Y2177" s="20" t="n">
        <x:v>1</x:v>
      </x:c>
      <x:c r="Z2177" s="20" t="n">
        <x:v>1</x:v>
      </x:c>
      <x:c r="AA2177" s="19"/>
      <x:c r="AB2177" s="18"/>
      <x:c r="AC2177" s="19"/>
    </x:row>
    <x:row r="2178" ht="33" customHeight="1">
      <x:c r="A2178" s="18" t="str">
        <x:v>香椎</x:v>
      </x:c>
      <x:c r="B2178" s="18" t="str">
        <x:v>九州旅客鉄道</x:v>
      </x:c>
      <x:c r="C2178" s="18" t="str">
        <x:v>conventional_rail</x:v>
      </x:c>
      <x:c r="D2178" s="19" t="str">
        <x:v>T2</x:v>
      </x:c>
      <x:c r="E2178" s="20" t="n">
        <x:v>29062</x:v>
      </x:c>
      <x:c r="F2178" s="18" t="str">
        <x:v>persons/day</x:v>
      </x:c>
      <x:c r="G2178" s="18" t="str">
        <x:v>FY2024</x:v>
      </x:c>
      <x:c r="H2178" s="18" t="str">
        <x:v>否</x:v>
      </x:c>
      <x:c r="I2178" s="19" t="str">
        <x:v>DAILY_ENTRIES_EXITS</x:v>
      </x:c>
      <x:c r="J2178" s="19" t="str">
        <x:v>香椎線
鹿児島線</x:v>
      </x:c>
      <x:c r="K2178" s="18" t="str">
        <x:v>transport-node:e35cda15-1c9c-5b06-b9ce-43b32920d357</x:v>
      </x:c>
      <x:c r="L2178" s="19" t="str">
        <x:v>组件待审核</x:v>
      </x:c>
      <x:c r="M2178" s="21" t="n">
        <x:v>33.659735</x:v>
      </x:c>
      <x:c r="N2178" s="21" t="n">
        <x:v>130.44402</x:v>
      </x:c>
      <x:c r="O2178" s="18" t="str">
        <x:v>008931</x:v>
      </x:c>
      <x:c r="P2178" s="18" t="str">
        <x:v>鹿児島線</x:v>
      </x:c>
      <x:c r="Q2178" s="19" t="str">
        <x:v>S12_061_GE_10000</x:v>
      </x:c>
      <x:c r="R2178" s="19" t="str">
        <x:v>S12_061 usage threshold</x:v>
      </x:c>
      <x:c r="S2178" s="19" t="str">
        <x:v>https://nlftp.mlit.go.jp/ksj/gml/datalist/KsjTmplt-S12-2024.html</x:v>
      </x:c>
      <x:c r="T2178" s="19" t="str">
        <x:v>https://nlftp.mlit.go.jp/ksj/gml/datalist/KsjTmplt-S12-2024.html</x:v>
      </x:c>
      <x:c r="U2178" s="19" t="str">
        <x:v>station-component|香椎|九州旅客鉄道|conventional_rail|33.6597|130.4440|</x:v>
      </x:c>
      <x:c r="V2178" s="19" t="str">
        <x:v>008931 / 008931 / 鹿児島線
008931 / 008932 / 香椎線</x:v>
      </x:c>
      <x:c r="W2178" s="18" t="str">
        <x:v>否</x:v>
      </x:c>
      <x:c r="X2178" s="18" t="str">
        <x:v>0785e932a32b3ec15e1a1345537ae145eafe1c07bf38d5c16c11ee2b391e7a28</x:v>
      </x:c>
      <x:c r="Y2178" s="20" t="n">
        <x:v>1</x:v>
      </x:c>
      <x:c r="Z2178" s="20" t="n">
        <x:v>1</x:v>
      </x:c>
      <x:c r="AA2178" s="19"/>
      <x:c r="AB2178" s="18"/>
      <x:c r="AC2178" s="19"/>
    </x:row>
    <x:row r="2179" ht="28" customHeight="1">
      <x:c r="A2179" s="18" t="str">
        <x:v>香櫨園</x:v>
      </x:c>
      <x:c r="B2179" s="18" t="str">
        <x:v>阪神電気鉄道</x:v>
      </x:c>
      <x:c r="C2179" s="18" t="str">
        <x:v>private_rail</x:v>
      </x:c>
      <x:c r="D2179" s="19" t="str">
        <x:v>T2</x:v>
      </x:c>
      <x:c r="E2179" s="20" t="n">
        <x:v>11288</x:v>
      </x:c>
      <x:c r="F2179" s="18" t="str">
        <x:v>persons/day</x:v>
      </x:c>
      <x:c r="G2179" s="18" t="str">
        <x:v>FY2024</x:v>
      </x:c>
      <x:c r="H2179" s="18" t="str">
        <x:v>否</x:v>
      </x:c>
      <x:c r="I2179" s="19" t="str">
        <x:v>DAILY_ENTRIES_EXITS</x:v>
      </x:c>
      <x:c r="J2179" s="19" t="str">
        <x:v>本線</x:v>
      </x:c>
      <x:c r="K2179" s="18" t="str">
        <x:v>transport-node:56f395f1-8c2e-5649-8240-bdc2cf968c57</x:v>
      </x:c>
      <x:c r="L2179" s="19" t="str">
        <x:v>组件待审核</x:v>
      </x:c>
      <x:c r="M2179" s="21" t="n">
        <x:v>34.734315</x:v>
      </x:c>
      <x:c r="N2179" s="21" t="n">
        <x:v>135.32889</x:v>
      </x:c>
      <x:c r="O2179" s="18" t="str">
        <x:v>006907</x:v>
      </x:c>
      <x:c r="P2179" s="18" t="str">
        <x:v>本線</x:v>
      </x:c>
      <x:c r="Q2179" s="19" t="str">
        <x:v>S12_061_GE_10000</x:v>
      </x:c>
      <x:c r="R2179" s="19" t="str">
        <x:v>S12_061 usage threshold</x:v>
      </x:c>
      <x:c r="S2179" s="19" t="str">
        <x:v>https://nlftp.mlit.go.jp/ksj/gml/datalist/KsjTmplt-S12-2024.html</x:v>
      </x:c>
      <x:c r="T2179" s="19" t="str">
        <x:v>https://nlftp.mlit.go.jp/ksj/gml/datalist/KsjTmplt-S12-2024.html</x:v>
      </x:c>
      <x:c r="U2179" s="19" t="str">
        <x:v>station-component|香櫨園|阪神電気鉄道|private_rail|34.7343|135.3289|</x:v>
      </x:c>
      <x:c r="V2179" s="19" t="str">
        <x:v>006907 / 006907 / 本線</x:v>
      </x:c>
      <x:c r="W2179" s="18" t="str">
        <x:v>否</x:v>
      </x:c>
      <x:c r="X2179" s="18" t="str">
        <x:v>0785e932a32b3ec15e1a1345537ae145eafe1c07bf38d5c16c11ee2b391e7a28</x:v>
      </x:c>
      <x:c r="Y2179" s="20" t="n">
        <x:v>1</x:v>
      </x:c>
      <x:c r="Z2179" s="20" t="n">
        <x:v>1</x:v>
      </x:c>
      <x:c r="AA2179" s="19"/>
      <x:c r="AB2179" s="18"/>
      <x:c r="AC2179" s="19"/>
    </x:row>
    <x:row r="2180" ht="28" customHeight="1">
      <x:c r="A2180" s="18" t="str">
        <x:v>香里園</x:v>
      </x:c>
      <x:c r="B2180" s="18" t="str">
        <x:v>京阪電気鉄道</x:v>
      </x:c>
      <x:c r="C2180" s="18" t="str">
        <x:v>private_rail</x:v>
      </x:c>
      <x:c r="D2180" s="19" t="str">
        <x:v>T2</x:v>
      </x:c>
      <x:c r="E2180" s="20" t="n">
        <x:v>44345</x:v>
      </x:c>
      <x:c r="F2180" s="18" t="str">
        <x:v>persons/day</x:v>
      </x:c>
      <x:c r="G2180" s="18" t="str">
        <x:v>FY2024</x:v>
      </x:c>
      <x:c r="H2180" s="18" t="str">
        <x:v>否</x:v>
      </x:c>
      <x:c r="I2180" s="19" t="str">
        <x:v>DAILY_ENTRIES_EXITS</x:v>
      </x:c>
      <x:c r="J2180" s="19" t="str">
        <x:v>京阪本線</x:v>
      </x:c>
      <x:c r="K2180" s="18" t="str">
        <x:v>transport-node:b4a6f8e3-91ae-56aa-9736-5fc09ac3ce8f</x:v>
      </x:c>
      <x:c r="L2180" s="19" t="str">
        <x:v>组件待审核</x:v>
      </x:c>
      <x:c r="M2180" s="21" t="n">
        <x:v>34.78456</x:v>
      </x:c>
      <x:c r="N2180" s="21" t="n">
        <x:v>135.63094</x:v>
      </x:c>
      <x:c r="O2180" s="18" t="str">
        <x:v>006699</x:v>
      </x:c>
      <x:c r="P2180" s="18" t="str">
        <x:v>京阪本線</x:v>
      </x:c>
      <x:c r="Q2180" s="19" t="str">
        <x:v>S12_061_GE_10000</x:v>
      </x:c>
      <x:c r="R2180" s="19" t="str">
        <x:v>S12_061 usage threshold</x:v>
      </x:c>
      <x:c r="S2180" s="19" t="str">
        <x:v>https://nlftp.mlit.go.jp/ksj/gml/datalist/KsjTmplt-S12-2024.html</x:v>
      </x:c>
      <x:c r="T2180" s="19" t="str">
        <x:v>https://nlftp.mlit.go.jp/ksj/gml/datalist/KsjTmplt-S12-2024.html</x:v>
      </x:c>
      <x:c r="U2180" s="19" t="str">
        <x:v>station-component|香里園|京阪電気鉄道|private_rail|34.7846|135.6309|</x:v>
      </x:c>
      <x:c r="V2180" s="19" t="str">
        <x:v>006699 / 006699 / 京阪本線</x:v>
      </x:c>
      <x:c r="W2180" s="18" t="str">
        <x:v>否</x:v>
      </x:c>
      <x:c r="X2180" s="18" t="str">
        <x:v>0785e932a32b3ec15e1a1345537ae145eafe1c07bf38d5c16c11ee2b391e7a28</x:v>
      </x:c>
      <x:c r="Y2180" s="20" t="n">
        <x:v>1</x:v>
      </x:c>
      <x:c r="Z2180" s="20" t="n">
        <x:v>1</x:v>
      </x:c>
      <x:c r="AA2180" s="19"/>
      <x:c r="AB2180" s="18"/>
      <x:c r="AC2180" s="19"/>
    </x:row>
    <x:row r="2181" ht="28" customHeight="1">
      <x:c r="A2181" s="18" t="str">
        <x:v>馬出九大病院前</x:v>
      </x:c>
      <x:c r="B2181" s="18" t="str">
        <x:v>福岡市</x:v>
      </x:c>
      <x:c r="C2181" s="18" t="str">
        <x:v>metro</x:v>
      </x:c>
      <x:c r="D2181" s="19" t="str">
        <x:v>T2</x:v>
      </x:c>
      <x:c r="E2181" s="20" t="n">
        <x:v>12628</x:v>
      </x:c>
      <x:c r="F2181" s="18" t="str">
        <x:v>persons/day</x:v>
      </x:c>
      <x:c r="G2181" s="18" t="str">
        <x:v>FY2024</x:v>
      </x:c>
      <x:c r="H2181" s="18" t="str">
        <x:v>否</x:v>
      </x:c>
      <x:c r="I2181" s="19" t="str">
        <x:v>DAILY_ENTRIES_EXITS</x:v>
      </x:c>
      <x:c r="J2181" s="19" t="str">
        <x:v>2号線(箱崎線)</x:v>
      </x:c>
      <x:c r="K2181" s="18" t="str">
        <x:v>transport-node:808037f2-91b6-5282-bc30-8f890c2bd526</x:v>
      </x:c>
      <x:c r="L2181" s="19" t="str">
        <x:v>组件待审核</x:v>
      </x:c>
      <x:c r="M2181" s="21" t="n">
        <x:v>33.60962</x:v>
      </x:c>
      <x:c r="N2181" s="21" t="n">
        <x:v>130.419645</x:v>
      </x:c>
      <x:c r="O2181" s="18" t="str">
        <x:v>009000</x:v>
      </x:c>
      <x:c r="P2181" s="18" t="str">
        <x:v>2号線(箱崎線)</x:v>
      </x:c>
      <x:c r="Q2181" s="19" t="str">
        <x:v>S12_061_GE_10000</x:v>
      </x:c>
      <x:c r="R2181" s="19" t="str">
        <x:v>S12_061 usage threshold</x:v>
      </x:c>
      <x:c r="S2181" s="19" t="str">
        <x:v>https://nlftp.mlit.go.jp/ksj/gml/datalist/KsjTmplt-S12-2024.html</x:v>
      </x:c>
      <x:c r="T2181" s="19" t="str">
        <x:v>https://nlftp.mlit.go.jp/ksj/gml/datalist/KsjTmplt-S12-2024.html</x:v>
      </x:c>
      <x:c r="U2181" s="19" t="str">
        <x:v>station-component|馬出九大病院前|福岡市|metro|33.6096|130.4196|</x:v>
      </x:c>
      <x:c r="V2181" s="19" t="str">
        <x:v>009000 / 009000 / 2号線(箱崎線)</x:v>
      </x:c>
      <x:c r="W2181" s="18" t="str">
        <x:v>否</x:v>
      </x:c>
      <x:c r="X2181" s="18" t="str">
        <x:v>0785e932a32b3ec15e1a1345537ae145eafe1c07bf38d5c16c11ee2b391e7a28</x:v>
      </x:c>
      <x:c r="Y2181" s="20" t="n">
        <x:v>1</x:v>
      </x:c>
      <x:c r="Z2181" s="20" t="n">
        <x:v>1</x:v>
      </x:c>
      <x:c r="AA2181" s="19"/>
      <x:c r="AB2181" s="18"/>
      <x:c r="AC2181" s="19"/>
    </x:row>
    <x:row r="2182" ht="28" customHeight="1">
      <x:c r="A2182" s="18" t="str">
        <x:v>馬喰横山</x:v>
      </x:c>
      <x:c r="B2182" s="18" t="str">
        <x:v>東京都</x:v>
      </x:c>
      <x:c r="C2182" s="18" t="str">
        <x:v>metro</x:v>
      </x:c>
      <x:c r="D2182" s="19" t="str">
        <x:v>T2</x:v>
      </x:c>
      <x:c r="E2182" s="20" t="n">
        <x:v>46299</x:v>
      </x:c>
      <x:c r="F2182" s="18" t="str">
        <x:v>persons/day</x:v>
      </x:c>
      <x:c r="G2182" s="18" t="str">
        <x:v>FY2024</x:v>
      </x:c>
      <x:c r="H2182" s="18" t="str">
        <x:v>否</x:v>
      </x:c>
      <x:c r="I2182" s="19" t="str">
        <x:v>DAILY_ENTRIES_EXITS</x:v>
      </x:c>
      <x:c r="J2182" s="19" t="str">
        <x:v>10号線新宿線</x:v>
      </x:c>
      <x:c r="K2182" s="18" t="str">
        <x:v>transport-node:9fd420d2-3388-593c-90e0-71c0eae76654</x:v>
      </x:c>
      <x:c r="L2182" s="19" t="str">
        <x:v>组件待审核</x:v>
      </x:c>
      <x:c r="M2182" s="21" t="n">
        <x:v>35.692075</x:v>
      </x:c>
      <x:c r="N2182" s="21" t="n">
        <x:v>139.782845</x:v>
      </x:c>
      <x:c r="O2182" s="18" t="str">
        <x:v>003675</x:v>
      </x:c>
      <x:c r="P2182" s="18" t="str">
        <x:v>10号線新宿線</x:v>
      </x:c>
      <x:c r="Q2182" s="19" t="str">
        <x:v>S12_061_GE_10000</x:v>
      </x:c>
      <x:c r="R2182" s="19" t="str">
        <x:v>S12_061 usage threshold</x:v>
      </x:c>
      <x:c r="S2182" s="19" t="str">
        <x:v>https://nlftp.mlit.go.jp/ksj/gml/datalist/KsjTmplt-S12-2024.html</x:v>
      </x:c>
      <x:c r="T2182" s="19" t="str">
        <x:v>https://nlftp.mlit.go.jp/ksj/gml/datalist/KsjTmplt-S12-2024.html</x:v>
      </x:c>
      <x:c r="U2182" s="19" t="str">
        <x:v>station-component|馬喰横山|東京都|metro|35.6921|139.7828|</x:v>
      </x:c>
      <x:c r="V2182" s="19" t="str">
        <x:v>003675 / 003675 / 10号線新宿線</x:v>
      </x:c>
      <x:c r="W2182" s="18" t="str">
        <x:v>否</x:v>
      </x:c>
      <x:c r="X2182" s="18" t="str">
        <x:v>0785e932a32b3ec15e1a1345537ae145eafe1c07bf38d5c16c11ee2b391e7a28</x:v>
      </x:c>
      <x:c r="Y2182" s="20" t="n">
        <x:v>1</x:v>
      </x:c>
      <x:c r="Z2182" s="20" t="n">
        <x:v>1</x:v>
      </x:c>
      <x:c r="AA2182" s="19"/>
      <x:c r="AB2182" s="18"/>
      <x:c r="AC2182" s="19"/>
    </x:row>
    <x:row r="2183" ht="28" customHeight="1">
      <x:c r="A2183" s="18" t="str">
        <x:v>馬喰町</x:v>
      </x:c>
      <x:c r="B2183" s="18" t="str">
        <x:v>東日本旅客鉄道</x:v>
      </x:c>
      <x:c r="C2183" s="18" t="str">
        <x:v>conventional_rail</x:v>
      </x:c>
      <x:c r="D2183" s="19" t="str">
        <x:v>T1</x:v>
      </x:c>
      <x:c r="E2183" s="20" t="n">
        <x:v>50414</x:v>
      </x:c>
      <x:c r="F2183" s="18" t="str">
        <x:v>persons/day</x:v>
      </x:c>
      <x:c r="G2183" s="18" t="str">
        <x:v>FY2024</x:v>
      </x:c>
      <x:c r="H2183" s="18" t="str">
        <x:v>否</x:v>
      </x:c>
      <x:c r="I2183" s="19" t="str">
        <x:v>DAILY_ENTRIES_EXITS</x:v>
      </x:c>
      <x:c r="J2183" s="19" t="str">
        <x:v>総武線</x:v>
      </x:c>
      <x:c r="K2183" s="18" t="str">
        <x:v>transport-node:1710e86a-b9a7-5b66-beb6-419d07fa1e5d</x:v>
      </x:c>
      <x:c r="L2183" s="19" t="str">
        <x:v>组件待审核</x:v>
      </x:c>
      <x:c r="M2183" s="21" t="n">
        <x:v>35.6933375</x:v>
      </x:c>
      <x:c r="N2183" s="21" t="n">
        <x:v>139.782385</x:v>
      </x:c>
      <x:c r="O2183" s="18" t="str">
        <x:v>003668</x:v>
      </x:c>
      <x:c r="P2183" s="18" t="str">
        <x:v>総武線</x:v>
      </x:c>
      <x:c r="Q2183" s="19" t="str">
        <x:v>S12_061_GE_10000</x:v>
      </x:c>
      <x:c r="R2183" s="19" t="str">
        <x:v>S12_061 usage threshold</x:v>
      </x:c>
      <x:c r="S2183" s="19" t="str">
        <x:v>https://nlftp.mlit.go.jp/ksj/gml/datalist/KsjTmplt-S12-2024.html</x:v>
      </x:c>
      <x:c r="T2183" s="19" t="str">
        <x:v>https://nlftp.mlit.go.jp/ksj/gml/datalist/KsjTmplt-S12-2024.html</x:v>
      </x:c>
      <x:c r="U2183" s="19" t="str">
        <x:v>station-component|馬喰町|東日本旅客鉄道|conventional_rail|35.6933|139.7824|</x:v>
      </x:c>
      <x:c r="V2183" s="19" t="str">
        <x:v>003668 / 003668 / 総武線</x:v>
      </x:c>
      <x:c r="W2183" s="18" t="str">
        <x:v>否</x:v>
      </x:c>
      <x:c r="X2183" s="18" t="str">
        <x:v>0785e932a32b3ec15e1a1345537ae145eafe1c07bf38d5c16c11ee2b391e7a28</x:v>
      </x:c>
      <x:c r="Y2183" s="20" t="n">
        <x:v>1</x:v>
      </x:c>
      <x:c r="Z2183" s="20" t="n">
        <x:v>1</x:v>
      </x:c>
      <x:c r="AA2183" s="19"/>
      <x:c r="AB2183" s="18"/>
      <x:c r="AC2183" s="19"/>
    </x:row>
    <x:row r="2184" ht="28" customHeight="1">
      <x:c r="A2184" s="18" t="str">
        <x:v>馬橋</x:v>
      </x:c>
      <x:c r="B2184" s="18" t="str">
        <x:v>東日本旅客鉄道</x:v>
      </x:c>
      <x:c r="C2184" s="18" t="str">
        <x:v>conventional_rail</x:v>
      </x:c>
      <x:c r="D2184" s="19" t="str">
        <x:v>T2</x:v>
      </x:c>
      <x:c r="E2184" s="20" t="n">
        <x:v>47104</x:v>
      </x:c>
      <x:c r="F2184" s="18" t="str">
        <x:v>persons/day</x:v>
      </x:c>
      <x:c r="G2184" s="18" t="str">
        <x:v>FY2024</x:v>
      </x:c>
      <x:c r="H2184" s="18" t="str">
        <x:v>否</x:v>
      </x:c>
      <x:c r="I2184" s="19" t="str">
        <x:v>DAILY_ENTRIES_EXITS</x:v>
      </x:c>
      <x:c r="J2184" s="19" t="str">
        <x:v>常磐線</x:v>
      </x:c>
      <x:c r="K2184" s="18" t="str">
        <x:v>transport-node:eafd2afd-5906-5433-b3bc-a102f5fc2cd8</x:v>
      </x:c>
      <x:c r="L2184" s="19" t="str">
        <x:v>组件待审核</x:v>
      </x:c>
      <x:c r="M2184" s="21" t="n">
        <x:v>35.811685</x:v>
      </x:c>
      <x:c r="N2184" s="21" t="n">
        <x:v>139.91732</x:v>
      </x:c>
      <x:c r="O2184" s="18" t="str">
        <x:v>003066</x:v>
      </x:c>
      <x:c r="P2184" s="18" t="str">
        <x:v>常磐線</x:v>
      </x:c>
      <x:c r="Q2184" s="19" t="str">
        <x:v>S12_061_GE_10000</x:v>
      </x:c>
      <x:c r="R2184" s="19" t="str">
        <x:v>S12_061 usage threshold</x:v>
      </x:c>
      <x:c r="S2184" s="19" t="str">
        <x:v>https://nlftp.mlit.go.jp/ksj/gml/datalist/KsjTmplt-S12-2024.html</x:v>
      </x:c>
      <x:c r="T2184" s="19" t="str">
        <x:v>https://nlftp.mlit.go.jp/ksj/gml/datalist/KsjTmplt-S12-2024.html</x:v>
      </x:c>
      <x:c r="U2184" s="19" t="str">
        <x:v>station-component|馬橋|東日本旅客鉄道|conventional_rail|35.8117|139.9173|</x:v>
      </x:c>
      <x:c r="V2184" s="19" t="str">
        <x:v>003064 / 003066 / 常磐線</x:v>
      </x:c>
      <x:c r="W2184" s="18" t="str">
        <x:v>否</x:v>
      </x:c>
      <x:c r="X2184" s="18" t="str">
        <x:v>0785e932a32b3ec15e1a1345537ae145eafe1c07bf38d5c16c11ee2b391e7a28</x:v>
      </x:c>
      <x:c r="Y2184" s="20" t="n">
        <x:v>1</x:v>
      </x:c>
      <x:c r="Z2184" s="20" t="n">
        <x:v>1</x:v>
      </x:c>
      <x:c r="AA2184" s="19"/>
      <x:c r="AB2184" s="18"/>
      <x:c r="AC2184" s="19"/>
    </x:row>
    <x:row r="2185" ht="28" customHeight="1">
      <x:c r="A2185" s="18" t="str">
        <x:v>馬車道</x:v>
      </x:c>
      <x:c r="B2185" s="18" t="str">
        <x:v>横浜高速鉄道</x:v>
      </x:c>
      <x:c r="C2185" s="18" t="str">
        <x:v>private_rail</x:v>
      </x:c>
      <x:c r="D2185" s="19" t="str">
        <x:v>T2</x:v>
      </x:c>
      <x:c r="E2185" s="20" t="n">
        <x:v>43530</x:v>
      </x:c>
      <x:c r="F2185" s="18" t="str">
        <x:v>persons/day</x:v>
      </x:c>
      <x:c r="G2185" s="18" t="str">
        <x:v>FY2024</x:v>
      </x:c>
      <x:c r="H2185" s="18" t="str">
        <x:v>否</x:v>
      </x:c>
      <x:c r="I2185" s="19" t="str">
        <x:v>DAILY_ENTRIES_EXITS</x:v>
      </x:c>
      <x:c r="J2185" s="19" t="str">
        <x:v>みなとみらい21線</x:v>
      </x:c>
      <x:c r="K2185" s="18" t="str">
        <x:v>transport-node:2f239a58-8d52-5174-a84f-5cd58ebfa8e7</x:v>
      </x:c>
      <x:c r="L2185" s="19" t="str">
        <x:v>组件待审核</x:v>
      </x:c>
      <x:c r="M2185" s="21" t="n">
        <x:v>35.450075</x:v>
      </x:c>
      <x:c r="N2185" s="21" t="n">
        <x:v>139.6362</x:v>
      </x:c>
      <x:c r="O2185" s="18" t="str">
        <x:v>004679</x:v>
      </x:c>
      <x:c r="P2185" s="18" t="str">
        <x:v>みなとみらい21線</x:v>
      </x:c>
      <x:c r="Q2185" s="19" t="str">
        <x:v>S12_061_GE_10000</x:v>
      </x:c>
      <x:c r="R2185" s="19" t="str">
        <x:v>S12_061 usage threshold</x:v>
      </x:c>
      <x:c r="S2185" s="19" t="str">
        <x:v>https://nlftp.mlit.go.jp/ksj/gml/datalist/KsjTmplt-S12-2024.html</x:v>
      </x:c>
      <x:c r="T2185" s="19" t="str">
        <x:v>https://nlftp.mlit.go.jp/ksj/gml/datalist/KsjTmplt-S12-2024.html</x:v>
      </x:c>
      <x:c r="U2185" s="19" t="str">
        <x:v>station-component|馬車道|横浜高速鉄道|private_rail|35.4501|139.6362|</x:v>
      </x:c>
      <x:c r="V2185" s="19" t="str">
        <x:v>004679 / 004679 / みなとみらい21線</x:v>
      </x:c>
      <x:c r="W2185" s="18" t="str">
        <x:v>否</x:v>
      </x:c>
      <x:c r="X2185" s="18" t="str">
        <x:v>0785e932a32b3ec15e1a1345537ae145eafe1c07bf38d5c16c11ee2b391e7a28</x:v>
      </x:c>
      <x:c r="Y2185" s="20" t="n">
        <x:v>1</x:v>
      </x:c>
      <x:c r="Z2185" s="20" t="n">
        <x:v>1</x:v>
      </x:c>
      <x:c r="AA2185" s="19"/>
      <x:c r="AB2185" s="18"/>
      <x:c r="AC2185" s="19"/>
    </x:row>
    <x:row r="2186" ht="28" customHeight="1">
      <x:c r="A2186" s="18" t="str">
        <x:v>馬込</x:v>
      </x:c>
      <x:c r="B2186" s="18" t="str">
        <x:v>東京都</x:v>
      </x:c>
      <x:c r="C2186" s="18" t="str">
        <x:v>metro</x:v>
      </x:c>
      <x:c r="D2186" s="19" t="str">
        <x:v>T2</x:v>
      </x:c>
      <x:c r="E2186" s="20" t="n">
        <x:v>26346</x:v>
      </x:c>
      <x:c r="F2186" s="18" t="str">
        <x:v>persons/day</x:v>
      </x:c>
      <x:c r="G2186" s="18" t="str">
        <x:v>FY2024</x:v>
      </x:c>
      <x:c r="H2186" s="18" t="str">
        <x:v>否</x:v>
      </x:c>
      <x:c r="I2186" s="19" t="str">
        <x:v>DAILY_ENTRIES_EXITS</x:v>
      </x:c>
      <x:c r="J2186" s="19" t="str">
        <x:v>1号線浅草線</x:v>
      </x:c>
      <x:c r="K2186" s="18" t="str">
        <x:v>transport-node:9a178c76-69ce-5b24-8857-83067a50d249</x:v>
      </x:c>
      <x:c r="L2186" s="19" t="str">
        <x:v>组件待审核</x:v>
      </x:c>
      <x:c r="M2186" s="21" t="n">
        <x:v>35.5963667</x:v>
      </x:c>
      <x:c r="N2186" s="21" t="n">
        <x:v>139.7118367</x:v>
      </x:c>
      <x:c r="O2186" s="18" t="str">
        <x:v>004248</x:v>
      </x:c>
      <x:c r="P2186" s="18" t="str">
        <x:v>1号線浅草線</x:v>
      </x:c>
      <x:c r="Q2186" s="19" t="str">
        <x:v>S12_061_GE_10000</x:v>
      </x:c>
      <x:c r="R2186" s="19" t="str">
        <x:v>S12_061 usage threshold</x:v>
      </x:c>
      <x:c r="S2186" s="19" t="str">
        <x:v>https://nlftp.mlit.go.jp/ksj/gml/datalist/KsjTmplt-S12-2024.html</x:v>
      </x:c>
      <x:c r="T2186" s="19" t="str">
        <x:v>https://nlftp.mlit.go.jp/ksj/gml/datalist/KsjTmplt-S12-2024.html</x:v>
      </x:c>
      <x:c r="U2186" s="19" t="str">
        <x:v>station-component|馬込|東京都|metro|35.5964|139.7118|</x:v>
      </x:c>
      <x:c r="V2186" s="19" t="str">
        <x:v>004248 / 004248 / 1号線浅草線</x:v>
      </x:c>
      <x:c r="W2186" s="18" t="str">
        <x:v>否</x:v>
      </x:c>
      <x:c r="X2186" s="18" t="str">
        <x:v>0785e932a32b3ec15e1a1345537ae145eafe1c07bf38d5c16c11ee2b391e7a28</x:v>
      </x:c>
      <x:c r="Y2186" s="20" t="n">
        <x:v>1</x:v>
      </x:c>
      <x:c r="Z2186" s="20" t="n">
        <x:v>1</x:v>
      </x:c>
      <x:c r="AA2186" s="19"/>
      <x:c r="AB2186" s="18"/>
      <x:c r="AC2186" s="19"/>
    </x:row>
    <x:row r="2187" ht="28" customHeight="1">
      <x:c r="A2187" s="18" t="str">
        <x:v>馬込沢</x:v>
      </x:c>
      <x:c r="B2187" s="18" t="str">
        <x:v>東武鉄道</x:v>
      </x:c>
      <x:c r="C2187" s="18" t="str">
        <x:v>private_rail</x:v>
      </x:c>
      <x:c r="D2187" s="19" t="str">
        <x:v>T2</x:v>
      </x:c>
      <x:c r="E2187" s="20" t="n">
        <x:v>25693</x:v>
      </x:c>
      <x:c r="F2187" s="18" t="str">
        <x:v>persons/day</x:v>
      </x:c>
      <x:c r="G2187" s="18" t="str">
        <x:v>FY2024</x:v>
      </x:c>
      <x:c r="H2187" s="18" t="str">
        <x:v>否</x:v>
      </x:c>
      <x:c r="I2187" s="19" t="str">
        <x:v>DAILY_ENTRIES_EXITS</x:v>
      </x:c>
      <x:c r="J2187" s="19" t="str">
        <x:v>野田線</x:v>
      </x:c>
      <x:c r="K2187" s="18" t="str">
        <x:v>transport-node:f72c2015-ebaa-5420-bf8c-126bb0c8d462</x:v>
      </x:c>
      <x:c r="L2187" s="19" t="str">
        <x:v>组件待审核</x:v>
      </x:c>
      <x:c r="M2187" s="21" t="n">
        <x:v>35.741655</x:v>
      </x:c>
      <x:c r="N2187" s="21" t="n">
        <x:v>139.992205</x:v>
      </x:c>
      <x:c r="O2187" s="18" t="str">
        <x:v>003307</x:v>
      </x:c>
      <x:c r="P2187" s="18" t="str">
        <x:v>野田線</x:v>
      </x:c>
      <x:c r="Q2187" s="19" t="str">
        <x:v>S12_061_GE_10000</x:v>
      </x:c>
      <x:c r="R2187" s="19" t="str">
        <x:v>S12_061 usage threshold</x:v>
      </x:c>
      <x:c r="S2187" s="19" t="str">
        <x:v>https://nlftp.mlit.go.jp/ksj/gml/datalist/KsjTmplt-S12-2024.html</x:v>
      </x:c>
      <x:c r="T2187" s="19" t="str">
        <x:v>https://nlftp.mlit.go.jp/ksj/gml/datalist/KsjTmplt-S12-2024.html</x:v>
      </x:c>
      <x:c r="U2187" s="19" t="str">
        <x:v>station-component|馬込沢|東武鉄道|private_rail|35.7417|139.9922|</x:v>
      </x:c>
      <x:c r="V2187" s="19" t="str">
        <x:v>003307 / 003307 / 野田線</x:v>
      </x:c>
      <x:c r="W2187" s="18" t="str">
        <x:v>否</x:v>
      </x:c>
      <x:c r="X2187" s="18" t="str">
        <x:v>0785e932a32b3ec15e1a1345537ae145eafe1c07bf38d5c16c11ee2b391e7a28</x:v>
      </x:c>
      <x:c r="Y2187" s="20" t="n">
        <x:v>1</x:v>
      </x:c>
      <x:c r="Z2187" s="20" t="n">
        <x:v>1</x:v>
      </x:c>
      <x:c r="AA2187" s="19"/>
      <x:c r="AB2187" s="18"/>
      <x:c r="AC2187" s="19"/>
    </x:row>
    <x:row r="2188" ht="28" customHeight="1">
      <x:c r="A2188" s="18" t="str">
        <x:v>駒場東大前</x:v>
      </x:c>
      <x:c r="B2188" s="18" t="str">
        <x:v>京王電鉄</x:v>
      </x:c>
      <x:c r="C2188" s="18" t="str">
        <x:v>private_rail</x:v>
      </x:c>
      <x:c r="D2188" s="19" t="str">
        <x:v>T2</x:v>
      </x:c>
      <x:c r="E2188" s="20" t="n">
        <x:v>35206</x:v>
      </x:c>
      <x:c r="F2188" s="18" t="str">
        <x:v>persons/day</x:v>
      </x:c>
      <x:c r="G2188" s="18" t="str">
        <x:v>FY2024</x:v>
      </x:c>
      <x:c r="H2188" s="18" t="str">
        <x:v>否</x:v>
      </x:c>
      <x:c r="I2188" s="19" t="str">
        <x:v>DAILY_ENTRIES_EXITS</x:v>
      </x:c>
      <x:c r="J2188" s="19" t="str">
        <x:v>井の頭線</x:v>
      </x:c>
      <x:c r="K2188" s="18" t="str">
        <x:v>transport-node:e60eff3f-d35e-5408-b499-bf1e764ff5e7</x:v>
      </x:c>
      <x:c r="L2188" s="19" t="str">
        <x:v>组件待审核</x:v>
      </x:c>
      <x:c r="M2188" s="21" t="n">
        <x:v>35.65867</x:v>
      </x:c>
      <x:c r="N2188" s="21" t="n">
        <x:v>139.684075</x:v>
      </x:c>
      <x:c r="O2188" s="18" t="str">
        <x:v>003929</x:v>
      </x:c>
      <x:c r="P2188" s="18" t="str">
        <x:v>井の頭線</x:v>
      </x:c>
      <x:c r="Q2188" s="19" t="str">
        <x:v>S12_061_GE_10000</x:v>
      </x:c>
      <x:c r="R2188" s="19" t="str">
        <x:v>S12_061 usage threshold</x:v>
      </x:c>
      <x:c r="S2188" s="19" t="str">
        <x:v>https://nlftp.mlit.go.jp/ksj/gml/datalist/KsjTmplt-S12-2024.html</x:v>
      </x:c>
      <x:c r="T2188" s="19" t="str">
        <x:v>https://nlftp.mlit.go.jp/ksj/gml/datalist/KsjTmplt-S12-2024.html</x:v>
      </x:c>
      <x:c r="U2188" s="19" t="str">
        <x:v>station-component|駒場東大前|京王電鉄|private_rail|35.6587|139.6841|</x:v>
      </x:c>
      <x:c r="V2188" s="19" t="str">
        <x:v>003929 / 003929 / 井の頭線</x:v>
      </x:c>
      <x:c r="W2188" s="18" t="str">
        <x:v>否</x:v>
      </x:c>
      <x:c r="X2188" s="18" t="str">
        <x:v>0785e932a32b3ec15e1a1345537ae145eafe1c07bf38d5c16c11ee2b391e7a28</x:v>
      </x:c>
      <x:c r="Y2188" s="20" t="n">
        <x:v>1</x:v>
      </x:c>
      <x:c r="Z2188" s="20" t="n">
        <x:v>1</x:v>
      </x:c>
      <x:c r="AA2188" s="19"/>
      <x:c r="AB2188" s="18"/>
      <x:c r="AC2188" s="19"/>
    </x:row>
    <x:row r="2189" ht="28" customHeight="1">
      <x:c r="A2189" s="18" t="str">
        <x:v>駒川中野</x:v>
      </x:c>
      <x:c r="B2189" s="18" t="str">
        <x:v>大阪市高速電気軌道</x:v>
      </x:c>
      <x:c r="C2189" s="18" t="str">
        <x:v>metro</x:v>
      </x:c>
      <x:c r="D2189" s="19" t="str">
        <x:v>T2</x:v>
      </x:c>
      <x:c r="E2189" s="20" t="n">
        <x:v>17428</x:v>
      </x:c>
      <x:c r="F2189" s="18" t="str">
        <x:v>persons/day</x:v>
      </x:c>
      <x:c r="G2189" s="18" t="str">
        <x:v>FY2024</x:v>
      </x:c>
      <x:c r="H2189" s="18" t="str">
        <x:v>否</x:v>
      </x:c>
      <x:c r="I2189" s="19" t="str">
        <x:v>DAILY_ENTRIES_EXITS</x:v>
      </x:c>
      <x:c r="J2189" s="19" t="str">
        <x:v>2号線(谷町線)</x:v>
      </x:c>
      <x:c r="K2189" s="18" t="str">
        <x:v>transport-node:8c954833-0c77-5e3c-9d2e-951d4f7f077b</x:v>
      </x:c>
      <x:c r="L2189" s="19" t="str">
        <x:v>组件待审核</x:v>
      </x:c>
      <x:c r="M2189" s="21" t="n">
        <x:v>34.621585</x:v>
      </x:c>
      <x:c r="N2189" s="21" t="n">
        <x:v>135.5327533</x:v>
      </x:c>
      <x:c r="O2189" s="18" t="str">
        <x:v>007543</x:v>
      </x:c>
      <x:c r="P2189" s="18" t="str">
        <x:v>2号線(谷町線)</x:v>
      </x:c>
      <x:c r="Q2189" s="19" t="str">
        <x:v>S12_061_GE_10000</x:v>
      </x:c>
      <x:c r="R2189" s="19" t="str">
        <x:v>S12_061 usage threshold</x:v>
      </x:c>
      <x:c r="S2189" s="19" t="str">
        <x:v>https://nlftp.mlit.go.jp/ksj/gml/datalist/KsjTmplt-S12-2024.html</x:v>
      </x:c>
      <x:c r="T2189" s="19" t="str">
        <x:v>https://nlftp.mlit.go.jp/ksj/gml/datalist/KsjTmplt-S12-2024.html</x:v>
      </x:c>
      <x:c r="U2189" s="19" t="str">
        <x:v>station-component|駒川中野|大阪市高速電気軌道|metro|34.6216|135.5328|</x:v>
      </x:c>
      <x:c r="V2189" s="19" t="str">
        <x:v>007543 / 007543 / 2号線(谷町線)</x:v>
      </x:c>
      <x:c r="W2189" s="18" t="str">
        <x:v>否</x:v>
      </x:c>
      <x:c r="X2189" s="18" t="str">
        <x:v>0785e932a32b3ec15e1a1345537ae145eafe1c07bf38d5c16c11ee2b391e7a28</x:v>
      </x:c>
      <x:c r="Y2189" s="20" t="n">
        <x:v>1</x:v>
      </x:c>
      <x:c r="Z2189" s="20" t="n">
        <x:v>1</x:v>
      </x:c>
      <x:c r="AA2189" s="19"/>
      <x:c r="AB2189" s="18"/>
      <x:c r="AC2189" s="19"/>
    </x:row>
    <x:row r="2190" ht="28" customHeight="1">
      <x:c r="A2190" s="18" t="str">
        <x:v>駒沢大学</x:v>
      </x:c>
      <x:c r="B2190" s="18" t="str">
        <x:v>東急電鉄</x:v>
      </x:c>
      <x:c r="C2190" s="18" t="str">
        <x:v>private_rail</x:v>
      </x:c>
      <x:c r="D2190" s="19" t="str">
        <x:v>T1</x:v>
      </x:c>
      <x:c r="E2190" s="20" t="n">
        <x:v>74266</x:v>
      </x:c>
      <x:c r="F2190" s="18" t="str">
        <x:v>persons/day</x:v>
      </x:c>
      <x:c r="G2190" s="18" t="str">
        <x:v>FY2024</x:v>
      </x:c>
      <x:c r="H2190" s="18" t="str">
        <x:v>否</x:v>
      </x:c>
      <x:c r="I2190" s="19" t="str">
        <x:v>DAILY_ENTRIES_EXITS</x:v>
      </x:c>
      <x:c r="J2190" s="19" t="str">
        <x:v>田園都市線</x:v>
      </x:c>
      <x:c r="K2190" s="18" t="str">
        <x:v>transport-node:b133fba4-8823-5a85-8a74-61025b0a7ac0</x:v>
      </x:c>
      <x:c r="L2190" s="19" t="str">
        <x:v>组件待审核</x:v>
      </x:c>
      <x:c r="M2190" s="21" t="n">
        <x:v>35.633035</x:v>
      </x:c>
      <x:c r="N2190" s="21" t="n">
        <x:v>139.660965</x:v>
      </x:c>
      <x:c r="O2190" s="18" t="str">
        <x:v>004069</x:v>
      </x:c>
      <x:c r="P2190" s="18" t="str">
        <x:v>田園都市線</x:v>
      </x:c>
      <x:c r="Q2190" s="19" t="str">
        <x:v>S12_061_GE_10000</x:v>
      </x:c>
      <x:c r="R2190" s="19" t="str">
        <x:v>S12_061 usage threshold</x:v>
      </x:c>
      <x:c r="S2190" s="19" t="str">
        <x:v>https://nlftp.mlit.go.jp/ksj/gml/datalist/KsjTmplt-S12-2024.html</x:v>
      </x:c>
      <x:c r="T2190" s="19" t="str">
        <x:v>https://nlftp.mlit.go.jp/ksj/gml/datalist/KsjTmplt-S12-2024.html</x:v>
      </x:c>
      <x:c r="U2190" s="19" t="str">
        <x:v>station-component|駒沢大学|東急電鉄|private_rail|35.6330|139.6610|</x:v>
      </x:c>
      <x:c r="V2190" s="19" t="str">
        <x:v>004069 / 004069 / 田園都市線</x:v>
      </x:c>
      <x:c r="W2190" s="18" t="str">
        <x:v>否</x:v>
      </x:c>
      <x:c r="X2190" s="18" t="str">
        <x:v>0785e932a32b3ec15e1a1345537ae145eafe1c07bf38d5c16c11ee2b391e7a28</x:v>
      </x:c>
      <x:c r="Y2190" s="20" t="n">
        <x:v>1</x:v>
      </x:c>
      <x:c r="Z2190" s="20" t="n">
        <x:v>1</x:v>
      </x:c>
      <x:c r="AA2190" s="19"/>
      <x:c r="AB2190" s="18"/>
      <x:c r="AC2190" s="19"/>
    </x:row>
    <x:row r="2191" ht="28" customHeight="1">
      <x:c r="A2191" s="18" t="str">
        <x:v>駒込</x:v>
      </x:c>
      <x:c r="B2191" s="18" t="str">
        <x:v>東京地下鉄</x:v>
      </x:c>
      <x:c r="C2191" s="18" t="str">
        <x:v>metro</x:v>
      </x:c>
      <x:c r="D2191" s="19" t="str">
        <x:v>T2</x:v>
      </x:c>
      <x:c r="E2191" s="20" t="n">
        <x:v>37671</x:v>
      </x:c>
      <x:c r="F2191" s="18" t="str">
        <x:v>persons/day</x:v>
      </x:c>
      <x:c r="G2191" s="18" t="str">
        <x:v>FY2024</x:v>
      </x:c>
      <x:c r="H2191" s="18" t="str">
        <x:v>否</x:v>
      </x:c>
      <x:c r="I2191" s="19" t="str">
        <x:v>DAILY_ENTRIES_EXITS</x:v>
      </x:c>
      <x:c r="J2191" s="19" t="str">
        <x:v>7号線南北線</x:v>
      </x:c>
      <x:c r="K2191" s="18" t="str">
        <x:v>transport-node:f5cdd658-bbe0-5771-9424-0af06b358147</x:v>
      </x:c>
      <x:c r="L2191" s="19" t="str">
        <x:v>组件待审核</x:v>
      </x:c>
      <x:c r="M2191" s="21" t="n">
        <x:v>35.73601</x:v>
      </x:c>
      <x:c r="N2191" s="21" t="n">
        <x:v>139.7468533</x:v>
      </x:c>
      <x:c r="O2191" s="18" t="str">
        <x:v>003348</x:v>
      </x:c>
      <x:c r="P2191" s="18" t="str">
        <x:v>7号線南北線</x:v>
      </x:c>
      <x:c r="Q2191" s="19" t="str">
        <x:v>S12_061_GE_10000</x:v>
      </x:c>
      <x:c r="R2191" s="19" t="str">
        <x:v>S12_061 usage threshold</x:v>
      </x:c>
      <x:c r="S2191" s="19" t="str">
        <x:v>https://nlftp.mlit.go.jp/ksj/gml/datalist/KsjTmplt-S12-2024.html</x:v>
      </x:c>
      <x:c r="T2191" s="19" t="str">
        <x:v>https://nlftp.mlit.go.jp/ksj/gml/datalist/KsjTmplt-S12-2024.html</x:v>
      </x:c>
      <x:c r="U2191" s="19" t="str">
        <x:v>station-component|駒込|東京地下鉄|metro|35.7360|139.7469|</x:v>
      </x:c>
      <x:c r="V2191" s="19" t="str">
        <x:v>003343 / 003348 / 7号線南北線</x:v>
      </x:c>
      <x:c r="W2191" s="18" t="str">
        <x:v>否</x:v>
      </x:c>
      <x:c r="X2191" s="18" t="str">
        <x:v>0785e932a32b3ec15e1a1345537ae145eafe1c07bf38d5c16c11ee2b391e7a28</x:v>
      </x:c>
      <x:c r="Y2191" s="20" t="n">
        <x:v>1</x:v>
      </x:c>
      <x:c r="Z2191" s="20" t="n">
        <x:v>1</x:v>
      </x:c>
      <x:c r="AA2191" s="19"/>
      <x:c r="AB2191" s="18"/>
      <x:c r="AC2191" s="19"/>
    </x:row>
    <x:row r="2192" ht="28" customHeight="1">
      <x:c r="A2192" s="18" t="str">
        <x:v>駒込</x:v>
      </x:c>
      <x:c r="B2192" s="18" t="str">
        <x:v>東日本旅客鉄道</x:v>
      </x:c>
      <x:c r="C2192" s="18" t="str">
        <x:v>conventional_rail</x:v>
      </x:c>
      <x:c r="D2192" s="19" t="str">
        <x:v>T1</x:v>
      </x:c>
      <x:c r="E2192" s="20" t="n">
        <x:v>87080</x:v>
      </x:c>
      <x:c r="F2192" s="18" t="str">
        <x:v>persons/day</x:v>
      </x:c>
      <x:c r="G2192" s="18" t="str">
        <x:v>FY2024</x:v>
      </x:c>
      <x:c r="H2192" s="18" t="str">
        <x:v>否</x:v>
      </x:c>
      <x:c r="I2192" s="19" t="str">
        <x:v>DAILY_ENTRIES_EXITS</x:v>
      </x:c>
      <x:c r="J2192" s="19" t="str">
        <x:v>山手線</x:v>
      </x:c>
      <x:c r="K2192" s="18" t="str">
        <x:v>transport-node:e73f8019-acf0-5c0e-a533-c432b273ca81</x:v>
      </x:c>
      <x:c r="L2192" s="19" t="str">
        <x:v>组件待审核</x:v>
      </x:c>
      <x:c r="M2192" s="21" t="n">
        <x:v>35.7370267</x:v>
      </x:c>
      <x:c r="N2192" s="21" t="n">
        <x:v>139.7484</x:v>
      </x:c>
      <x:c r="O2192" s="18" t="str">
        <x:v>003343</x:v>
      </x:c>
      <x:c r="P2192" s="18" t="str">
        <x:v>山手線</x:v>
      </x:c>
      <x:c r="Q2192" s="19" t="str">
        <x:v>S12_061_GE_10000</x:v>
      </x:c>
      <x:c r="R2192" s="19" t="str">
        <x:v>S12_061 usage threshold</x:v>
      </x:c>
      <x:c r="S2192" s="19" t="str">
        <x:v>https://nlftp.mlit.go.jp/ksj/gml/datalist/KsjTmplt-S12-2024.html</x:v>
      </x:c>
      <x:c r="T2192" s="19" t="str">
        <x:v>https://nlftp.mlit.go.jp/ksj/gml/datalist/KsjTmplt-S12-2024.html</x:v>
      </x:c>
      <x:c r="U2192" s="19" t="str">
        <x:v>station-component|駒込|東日本旅客鉄道|conventional_rail|35.7370|139.7484|</x:v>
      </x:c>
      <x:c r="V2192" s="19" t="str">
        <x:v>003343 / 003343 / 山手線</x:v>
      </x:c>
      <x:c r="W2192" s="18" t="str">
        <x:v>否</x:v>
      </x:c>
      <x:c r="X2192" s="18" t="str">
        <x:v>0785e932a32b3ec15e1a1345537ae145eafe1c07bf38d5c16c11ee2b391e7a28</x:v>
      </x:c>
      <x:c r="Y2192" s="20" t="n">
        <x:v>1</x:v>
      </x:c>
      <x:c r="Z2192" s="20" t="n">
        <x:v>1</x:v>
      </x:c>
      <x:c r="AA2192" s="19"/>
      <x:c r="AB2192" s="18"/>
      <x:c r="AC2192" s="19"/>
    </x:row>
    <x:row r="2193" ht="28" customHeight="1">
      <x:c r="A2193" s="18" t="str">
        <x:v>高の原</x:v>
      </x:c>
      <x:c r="B2193" s="18" t="str">
        <x:v>近畿日本鉄道</x:v>
      </x:c>
      <x:c r="C2193" s="18" t="str">
        <x:v>private_rail</x:v>
      </x:c>
      <x:c r="D2193" s="19" t="str">
        <x:v>T2</x:v>
      </x:c>
      <x:c r="E2193" s="20" t="n">
        <x:v>30366</x:v>
      </x:c>
      <x:c r="F2193" s="18" t="str">
        <x:v>persons/day</x:v>
      </x:c>
      <x:c r="G2193" s="18" t="str">
        <x:v>FY2024</x:v>
      </x:c>
      <x:c r="H2193" s="18" t="str">
        <x:v>否</x:v>
      </x:c>
      <x:c r="I2193" s="19" t="str">
        <x:v>DAILY_ENTRIES_EXITS</x:v>
      </x:c>
      <x:c r="J2193" s="19" t="str">
        <x:v>京都線</x:v>
      </x:c>
      <x:c r="K2193" s="18" t="str">
        <x:v>transport-node:e6f42b5d-4db5-5678-a1af-7da985126f5b</x:v>
      </x:c>
      <x:c r="L2193" s="19" t="str">
        <x:v>组件待审核</x:v>
      </x:c>
      <x:c r="M2193" s="21" t="n">
        <x:v>34.72371</x:v>
      </x:c>
      <x:c r="N2193" s="21" t="n">
        <x:v>135.79186</x:v>
      </x:c>
      <x:c r="O2193" s="18" t="str">
        <x:v>006955</x:v>
      </x:c>
      <x:c r="P2193" s="18" t="str">
        <x:v>京都線</x:v>
      </x:c>
      <x:c r="Q2193" s="19" t="str">
        <x:v>S12_061_GE_10000</x:v>
      </x:c>
      <x:c r="R2193" s="19" t="str">
        <x:v>S12_061 usage threshold</x:v>
      </x:c>
      <x:c r="S2193" s="19" t="str">
        <x:v>https://nlftp.mlit.go.jp/ksj/gml/datalist/KsjTmplt-S12-2024.html</x:v>
      </x:c>
      <x:c r="T2193" s="19" t="str">
        <x:v>https://nlftp.mlit.go.jp/ksj/gml/datalist/KsjTmplt-S12-2024.html</x:v>
      </x:c>
      <x:c r="U2193" s="19" t="str">
        <x:v>station-component|高の原|近畿日本鉄道|private_rail|34.7237|135.7919|</x:v>
      </x:c>
      <x:c r="V2193" s="19" t="str">
        <x:v>006955 / 006955 / 京都線</x:v>
      </x:c>
      <x:c r="W2193" s="18" t="str">
        <x:v>否</x:v>
      </x:c>
      <x:c r="X2193" s="18" t="str">
        <x:v>0785e932a32b3ec15e1a1345537ae145eafe1c07bf38d5c16c11ee2b391e7a28</x:v>
      </x:c>
      <x:c r="Y2193" s="20" t="n">
        <x:v>1</x:v>
      </x:c>
      <x:c r="Z2193" s="20" t="n">
        <x:v>1</x:v>
      </x:c>
      <x:c r="AA2193" s="19"/>
      <x:c r="AB2193" s="18"/>
      <x:c r="AC2193" s="19"/>
    </x:row>
    <x:row r="2194" ht="28" customHeight="1">
      <x:c r="A2194" s="18" t="str">
        <x:v>高井戸</x:v>
      </x:c>
      <x:c r="B2194" s="18" t="str">
        <x:v>京王電鉄</x:v>
      </x:c>
      <x:c r="C2194" s="18" t="str">
        <x:v>private_rail</x:v>
      </x:c>
      <x:c r="D2194" s="19" t="str">
        <x:v>T2</x:v>
      </x:c>
      <x:c r="E2194" s="20" t="n">
        <x:v>37789</x:v>
      </x:c>
      <x:c r="F2194" s="18" t="str">
        <x:v>persons/day</x:v>
      </x:c>
      <x:c r="G2194" s="18" t="str">
        <x:v>FY2024</x:v>
      </x:c>
      <x:c r="H2194" s="18" t="str">
        <x:v>否</x:v>
      </x:c>
      <x:c r="I2194" s="19" t="str">
        <x:v>DAILY_ENTRIES_EXITS</x:v>
      </x:c>
      <x:c r="J2194" s="19" t="str">
        <x:v>井の頭線</x:v>
      </x:c>
      <x:c r="K2194" s="18" t="str">
        <x:v>transport-node:16ad3755-1c52-5ba9-b3d6-ce7ed37dec52</x:v>
      </x:c>
      <x:c r="L2194" s="19" t="str">
        <x:v>组件待审核</x:v>
      </x:c>
      <x:c r="M2194" s="21" t="n">
        <x:v>35.68326</x:v>
      </x:c>
      <x:c r="N2194" s="21" t="n">
        <x:v>139.61523</x:v>
      </x:c>
      <x:c r="O2194" s="18" t="str">
        <x:v>003752</x:v>
      </x:c>
      <x:c r="P2194" s="18" t="str">
        <x:v>井の頭線</x:v>
      </x:c>
      <x:c r="Q2194" s="19" t="str">
        <x:v>S12_061_GE_10000</x:v>
      </x:c>
      <x:c r="R2194" s="19" t="str">
        <x:v>S12_061 usage threshold</x:v>
      </x:c>
      <x:c r="S2194" s="19" t="str">
        <x:v>https://nlftp.mlit.go.jp/ksj/gml/datalist/KsjTmplt-S12-2024.html</x:v>
      </x:c>
      <x:c r="T2194" s="19" t="str">
        <x:v>https://nlftp.mlit.go.jp/ksj/gml/datalist/KsjTmplt-S12-2024.html</x:v>
      </x:c>
      <x:c r="U2194" s="19" t="str">
        <x:v>station-component|高井戸|京王電鉄|private_rail|35.6833|139.6152|</x:v>
      </x:c>
      <x:c r="V2194" s="19" t="str">
        <x:v>003752 / 003752 / 井の頭線</x:v>
      </x:c>
      <x:c r="W2194" s="18" t="str">
        <x:v>否</x:v>
      </x:c>
      <x:c r="X2194" s="18" t="str">
        <x:v>0785e932a32b3ec15e1a1345537ae145eafe1c07bf38d5c16c11ee2b391e7a28</x:v>
      </x:c>
      <x:c r="Y2194" s="20" t="n">
        <x:v>1</x:v>
      </x:c>
      <x:c r="Z2194" s="20" t="n">
        <x:v>1</x:v>
      </x:c>
      <x:c r="AA2194" s="19"/>
      <x:c r="AB2194" s="18"/>
      <x:c r="AC2194" s="19"/>
    </x:row>
    <x:row r="2195" ht="33" customHeight="1">
      <x:c r="A2195" s="18" t="str">
        <x:v>高井田</x:v>
      </x:c>
      <x:c r="B2195" s="18" t="str">
        <x:v>大阪市高速電気軌道</x:v>
      </x:c>
      <x:c r="C2195" s="18" t="str">
        <x:v>metro</x:v>
      </x:c>
      <x:c r="D2195" s="19" t="str">
        <x:v>T2</x:v>
      </x:c>
      <x:c r="E2195" s="20" t="n">
        <x:v>18180</x:v>
      </x:c>
      <x:c r="F2195" s="18" t="str">
        <x:v>persons/day</x:v>
      </x:c>
      <x:c r="G2195" s="18" t="str">
        <x:v>FY2024</x:v>
      </x:c>
      <x:c r="H2195" s="18" t="str">
        <x:v>否</x:v>
      </x:c>
      <x:c r="I2195" s="19" t="str">
        <x:v>DAILY_ENTRIES_EXITS</x:v>
      </x:c>
      <x:c r="J2195" s="19" t="str">
        <x:v>4号線(中央線)</x:v>
      </x:c>
      <x:c r="K2195" s="18" t="str">
        <x:v>transport-node:0e7d68d0-becf-5cff-92ea-dabe918c1d4e</x:v>
      </x:c>
      <x:c r="L2195" s="19" t="str">
        <x:v>组件待审核</x:v>
      </x:c>
      <x:c r="M2195" s="21" t="n">
        <x:v>34.6784375</x:v>
      </x:c>
      <x:c r="N2195" s="21" t="n">
        <x:v>135.5721975</x:v>
      </x:c>
      <x:c r="O2195" s="18" t="str">
        <x:v>007235</x:v>
      </x:c>
      <x:c r="P2195" s="18" t="str">
        <x:v>4号線(中央線)</x:v>
      </x:c>
      <x:c r="Q2195" s="19" t="str">
        <x:v>S12_061_GE_10000
OFFICIAL_HUB_COMPONENT_REVIEW</x:v>
      </x:c>
      <x:c r="R2195" s="19" t="str">
        <x:v>S12_061 usage threshold</x:v>
      </x:c>
      <x:c r="S2195" s="19" t="str">
        <x:v>https://nlftp.mlit.go.jp/ksj/gml/datalist/KsjTmplt-S12-2024.html</x:v>
      </x:c>
      <x:c r="T2195" s="19" t="str">
        <x:v>https://nlftp.mlit.go.jp/ksj/gml/datalist/KsjTmplt-S12-2024.html
https://subway.osakametro.co.jp/station_guide/C/c22/index.php</x:v>
      </x:c>
      <x:c r="U2195" s="19" t="str">
        <x:v>station-component|高井田|大阪市高速電気軌道|metro|34.6784|135.5722|</x:v>
      </x:c>
      <x:c r="V2195" s="19" t="str">
        <x:v>007235 / 007235 / 4号線(中央線)</x:v>
      </x:c>
      <x:c r="W2195" s="18" t="str">
        <x:v>否</x:v>
      </x:c>
      <x:c r="X2195" s="18" t="str">
        <x:v>0785e932a32b3ec15e1a1345537ae145eafe1c07bf38d5c16c11ee2b391e7a28</x:v>
      </x:c>
      <x:c r="Y2195" s="20" t="n">
        <x:v>1</x:v>
      </x:c>
      <x:c r="Z2195" s="20" t="n">
        <x:v>1</x:v>
      </x:c>
      <x:c r="AA2195" s="19" t="str">
        <x:v>高井田・高井田中央</x:v>
      </x:c>
      <x:c r="AB2195" s="18" t="str">
        <x:v>transport-hub-review:7c86288a-df43-543e-9831-b745a750b7a7</x:v>
      </x:c>
      <x:c r="AC2195" s="19"/>
    </x:row>
    <x:row r="2196" ht="33" customHeight="1">
      <x:c r="A2196" s="18" t="str">
        <x:v>高井田中央</x:v>
      </x:c>
      <x:c r="B2196" s="18" t="str">
        <x:v>西日本旅客鉄道</x:v>
      </x:c>
      <x:c r="C2196" s="18" t="str">
        <x:v>conventional_rail</x:v>
      </x:c>
      <x:c r="D2196" s="19" t="str">
        <x:v>T2</x:v>
      </x:c>
      <x:c r="E2196" s="20" t="n">
        <x:v>15426</x:v>
      </x:c>
      <x:c r="F2196" s="18" t="str">
        <x:v>persons/day</x:v>
      </x:c>
      <x:c r="G2196" s="18" t="str">
        <x:v>FY2024</x:v>
      </x:c>
      <x:c r="H2196" s="18" t="str">
        <x:v>否</x:v>
      </x:c>
      <x:c r="I2196" s="19" t="str">
        <x:v>DAILY_ENTRIES_EXITS</x:v>
      </x:c>
      <x:c r="J2196" s="19" t="str">
        <x:v>おおさか東線</x:v>
      </x:c>
      <x:c r="K2196" s="18" t="str">
        <x:v>transport-node:d1614a57-6a6f-5054-b498-7f9367b6152e</x:v>
      </x:c>
      <x:c r="L2196" s="19" t="str">
        <x:v>组件待审核</x:v>
      </x:c>
      <x:c r="M2196" s="21" t="n">
        <x:v>34.6788269</x:v>
      </x:c>
      <x:c r="N2196" s="21" t="n">
        <x:v>135.5723951</x:v>
      </x:c>
      <x:c r="O2196" s="18" t="str">
        <x:v>007229</x:v>
      </x:c>
      <x:c r="P2196" s="18" t="str">
        <x:v>おおさか東線</x:v>
      </x:c>
      <x:c r="Q2196" s="19" t="str">
        <x:v>S12_061_GE_10000
OFFICIAL_HUB_COMPONENT_REVIEW</x:v>
      </x:c>
      <x:c r="R2196" s="19" t="str">
        <x:v>S12_061 usage threshold</x:v>
      </x:c>
      <x:c r="S2196" s="19" t="str">
        <x:v>https://nlftp.mlit.go.jp/ksj/gml/datalist/KsjTmplt-S12-2024.html</x:v>
      </x:c>
      <x:c r="T2196" s="19" t="str">
        <x:v>https://nlftp.mlit.go.jp/ksj/gml/datalist/KsjTmplt-S12-2024.html
https://subway.osakametro.co.jp/station_guide/C/c22/index.php</x:v>
      </x:c>
      <x:c r="U2196" s="19" t="str">
        <x:v>station-component|高井田中央|西日本旅客鉄道|conventional_rail|34.6788|135.5724|</x:v>
      </x:c>
      <x:c r="V2196" s="19" t="str">
        <x:v>007229 / 007229 / おおさか東線</x:v>
      </x:c>
      <x:c r="W2196" s="18" t="str">
        <x:v>否</x:v>
      </x:c>
      <x:c r="X2196" s="18" t="str">
        <x:v>0785e932a32b3ec15e1a1345537ae145eafe1c07bf38d5c16c11ee2b391e7a28</x:v>
      </x:c>
      <x:c r="Y2196" s="20" t="n">
        <x:v>1</x:v>
      </x:c>
      <x:c r="Z2196" s="20" t="n">
        <x:v>1</x:v>
      </x:c>
      <x:c r="AA2196" s="19" t="str">
        <x:v>高井田・高井田中央</x:v>
      </x:c>
      <x:c r="AB2196" s="18" t="str">
        <x:v>transport-hub-review:7c86288a-df43-543e-9831-b745a750b7a7</x:v>
      </x:c>
      <x:c r="AC2196" s="19"/>
    </x:row>
    <x:row r="2197" ht="28" customHeight="1">
      <x:c r="A2197" s="18" t="str">
        <x:v>高円寺</x:v>
      </x:c>
      <x:c r="B2197" s="18" t="str">
        <x:v>東日本旅客鉄道</x:v>
      </x:c>
      <x:c r="C2197" s="18" t="str">
        <x:v>conventional_rail</x:v>
      </x:c>
      <x:c r="D2197" s="19" t="str">
        <x:v>T1</x:v>
      </x:c>
      <x:c r="E2197" s="20" t="n">
        <x:v>95432</x:v>
      </x:c>
      <x:c r="F2197" s="18" t="str">
        <x:v>persons/day</x:v>
      </x:c>
      <x:c r="G2197" s="18" t="str">
        <x:v>FY2024</x:v>
      </x:c>
      <x:c r="H2197" s="18" t="str">
        <x:v>否</x:v>
      </x:c>
      <x:c r="I2197" s="19" t="str">
        <x:v>DAILY_ENTRIES_EXITS</x:v>
      </x:c>
      <x:c r="J2197" s="19" t="str">
        <x:v>中央線</x:v>
      </x:c>
      <x:c r="K2197" s="18" t="str">
        <x:v>transport-node:912fa7f1-8f44-5fae-b7f1-918949f36e51</x:v>
      </x:c>
      <x:c r="L2197" s="19" t="str">
        <x:v>组件待审核</x:v>
      </x:c>
      <x:c r="M2197" s="21" t="n">
        <x:v>35.705325</x:v>
      </x:c>
      <x:c r="N2197" s="21" t="n">
        <x:v>139.6497175</x:v>
      </x:c>
      <x:c r="O2197" s="18" t="str">
        <x:v>003573</x:v>
      </x:c>
      <x:c r="P2197" s="18" t="str">
        <x:v>中央線</x:v>
      </x:c>
      <x:c r="Q2197" s="19" t="str">
        <x:v>S12_061_GE_10000</x:v>
      </x:c>
      <x:c r="R2197" s="19" t="str">
        <x:v>S12_061 usage threshold</x:v>
      </x:c>
      <x:c r="S2197" s="19" t="str">
        <x:v>https://nlftp.mlit.go.jp/ksj/gml/datalist/KsjTmplt-S12-2024.html</x:v>
      </x:c>
      <x:c r="T2197" s="19" t="str">
        <x:v>https://nlftp.mlit.go.jp/ksj/gml/datalist/KsjTmplt-S12-2024.html</x:v>
      </x:c>
      <x:c r="U2197" s="19" t="str">
        <x:v>station-component|高円寺|東日本旅客鉄道|conventional_rail|35.7053|139.6497|</x:v>
      </x:c>
      <x:c r="V2197" s="19" t="str">
        <x:v>003573 / 003573 / 中央線</x:v>
      </x:c>
      <x:c r="W2197" s="18" t="str">
        <x:v>否</x:v>
      </x:c>
      <x:c r="X2197" s="18" t="str">
        <x:v>0785e932a32b3ec15e1a1345537ae145eafe1c07bf38d5c16c11ee2b391e7a28</x:v>
      </x:c>
      <x:c r="Y2197" s="20" t="n">
        <x:v>1</x:v>
      </x:c>
      <x:c r="Z2197" s="20" t="n">
        <x:v>1</x:v>
      </x:c>
      <x:c r="AA2197" s="19"/>
      <x:c r="AB2197" s="18"/>
      <x:c r="AC2197" s="19"/>
    </x:row>
    <x:row r="2198" ht="28" customHeight="1">
      <x:c r="A2198" s="18" t="str">
        <x:v>高坂</x:v>
      </x:c>
      <x:c r="B2198" s="18" t="str">
        <x:v>東武鉄道</x:v>
      </x:c>
      <x:c r="C2198" s="18" t="str">
        <x:v>private_rail</x:v>
      </x:c>
      <x:c r="D2198" s="19" t="str">
        <x:v>T2</x:v>
      </x:c>
      <x:c r="E2198" s="20" t="n">
        <x:v>23674</x:v>
      </x:c>
      <x:c r="F2198" s="18" t="str">
        <x:v>persons/day</x:v>
      </x:c>
      <x:c r="G2198" s="18" t="str">
        <x:v>FY2024</x:v>
      </x:c>
      <x:c r="H2198" s="18" t="str">
        <x:v>否</x:v>
      </x:c>
      <x:c r="I2198" s="19" t="str">
        <x:v>DAILY_ENTRIES_EXITS</x:v>
      </x:c>
      <x:c r="J2198" s="19" t="str">
        <x:v>東上本線</x:v>
      </x:c>
      <x:c r="K2198" s="18" t="str">
        <x:v>transport-node:35c9466d-ca75-53d2-9ebc-6e24c0c2fbdf</x:v>
      </x:c>
      <x:c r="L2198" s="19" t="str">
        <x:v>组件待审核</x:v>
      </x:c>
      <x:c r="M2198" s="21" t="n">
        <x:v>36.002928</x:v>
      </x:c>
      <x:c r="N2198" s="21" t="n">
        <x:v>139.397692</x:v>
      </x:c>
      <x:c r="O2198" s="18" t="str">
        <x:v>002753</x:v>
      </x:c>
      <x:c r="P2198" s="18" t="str">
        <x:v>東上本線</x:v>
      </x:c>
      <x:c r="Q2198" s="19" t="str">
        <x:v>S12_061_GE_10000</x:v>
      </x:c>
      <x:c r="R2198" s="19" t="str">
        <x:v>S12_061 usage threshold</x:v>
      </x:c>
      <x:c r="S2198" s="19" t="str">
        <x:v>https://nlftp.mlit.go.jp/ksj/gml/datalist/KsjTmplt-S12-2024.html</x:v>
      </x:c>
      <x:c r="T2198" s="19" t="str">
        <x:v>https://nlftp.mlit.go.jp/ksj/gml/datalist/KsjTmplt-S12-2024.html</x:v>
      </x:c>
      <x:c r="U2198" s="19" t="str">
        <x:v>station-component|高坂|東武鉄道|private_rail|36.0029|139.3977|</x:v>
      </x:c>
      <x:c r="V2198" s="19" t="str">
        <x:v>002753 / 002753 / 東上本線</x:v>
      </x:c>
      <x:c r="W2198" s="18" t="str">
        <x:v>否</x:v>
      </x:c>
      <x:c r="X2198" s="18" t="str">
        <x:v>0785e932a32b3ec15e1a1345537ae145eafe1c07bf38d5c16c11ee2b391e7a28</x:v>
      </x:c>
      <x:c r="Y2198" s="20" t="n">
        <x:v>1</x:v>
      </x:c>
      <x:c r="Z2198" s="20" t="n">
        <x:v>1</x:v>
      </x:c>
      <x:c r="AA2198" s="19"/>
      <x:c r="AB2198" s="18"/>
      <x:c r="AC2198" s="19"/>
    </x:row>
    <x:row r="2199" ht="28" customHeight="1">
      <x:c r="A2199" s="18" t="str">
        <x:v>高安</x:v>
      </x:c>
      <x:c r="B2199" s="18" t="str">
        <x:v>近畿日本鉄道</x:v>
      </x:c>
      <x:c r="C2199" s="18" t="str">
        <x:v>private_rail</x:v>
      </x:c>
      <x:c r="D2199" s="19" t="str">
        <x:v>T2</x:v>
      </x:c>
      <x:c r="E2199" s="20" t="n">
        <x:v>10685</x:v>
      </x:c>
      <x:c r="F2199" s="18" t="str">
        <x:v>persons/day</x:v>
      </x:c>
      <x:c r="G2199" s="18" t="str">
        <x:v>FY2024</x:v>
      </x:c>
      <x:c r="H2199" s="18" t="str">
        <x:v>否</x:v>
      </x:c>
      <x:c r="I2199" s="19" t="str">
        <x:v>DAILY_ENTRIES_EXITS</x:v>
      </x:c>
      <x:c r="J2199" s="19" t="str">
        <x:v>大阪線</x:v>
      </x:c>
      <x:c r="K2199" s="18" t="str">
        <x:v>transport-node:d2c19336-dd3d-5279-8a2e-94650dfbe45c</x:v>
      </x:c>
      <x:c r="L2199" s="19" t="str">
        <x:v>组件待审核</x:v>
      </x:c>
      <x:c r="M2199" s="21" t="n">
        <x:v>34.61966</x:v>
      </x:c>
      <x:c r="N2199" s="21" t="n">
        <x:v>135.624365</x:v>
      </x:c>
      <x:c r="O2199" s="18" t="str">
        <x:v>007551</x:v>
      </x:c>
      <x:c r="P2199" s="18" t="str">
        <x:v>大阪線</x:v>
      </x:c>
      <x:c r="Q2199" s="19" t="str">
        <x:v>S12_061_GE_10000</x:v>
      </x:c>
      <x:c r="R2199" s="19" t="str">
        <x:v>S12_061 usage threshold</x:v>
      </x:c>
      <x:c r="S2199" s="19" t="str">
        <x:v>https://nlftp.mlit.go.jp/ksj/gml/datalist/KsjTmplt-S12-2024.html</x:v>
      </x:c>
      <x:c r="T2199" s="19" t="str">
        <x:v>https://nlftp.mlit.go.jp/ksj/gml/datalist/KsjTmplt-S12-2024.html</x:v>
      </x:c>
      <x:c r="U2199" s="19" t="str">
        <x:v>station-component|高安|近畿日本鉄道|private_rail|34.6197|135.6244|</x:v>
      </x:c>
      <x:c r="V2199" s="19" t="str">
        <x:v>007551 / 007551 / 大阪線</x:v>
      </x:c>
      <x:c r="W2199" s="18" t="str">
        <x:v>否</x:v>
      </x:c>
      <x:c r="X2199" s="18" t="str">
        <x:v>0785e932a32b3ec15e1a1345537ae145eafe1c07bf38d5c16c11ee2b391e7a28</x:v>
      </x:c>
      <x:c r="Y2199" s="20" t="n">
        <x:v>1</x:v>
      </x:c>
      <x:c r="Z2199" s="20" t="n">
        <x:v>1</x:v>
      </x:c>
      <x:c r="AA2199" s="19"/>
      <x:c r="AB2199" s="18"/>
      <x:c r="AC2199" s="19"/>
    </x:row>
    <x:row r="2200" ht="28" customHeight="1">
      <x:c r="A2200" s="18" t="str">
        <x:v>高宮</x:v>
      </x:c>
      <x:c r="B2200" s="18" t="str">
        <x:v>西日本鉄道</x:v>
      </x:c>
      <x:c r="C2200" s="18" t="str">
        <x:v>private_rail</x:v>
      </x:c>
      <x:c r="D2200" s="19" t="str">
        <x:v>T2</x:v>
      </x:c>
      <x:c r="E2200" s="20" t="n">
        <x:v>21044</x:v>
      </x:c>
      <x:c r="F2200" s="18" t="str">
        <x:v>persons/day</x:v>
      </x:c>
      <x:c r="G2200" s="18" t="str">
        <x:v>FY2024</x:v>
      </x:c>
      <x:c r="H2200" s="18" t="str">
        <x:v>否</x:v>
      </x:c>
      <x:c r="I2200" s="19" t="str">
        <x:v>DAILY_ENTRIES_EXITS</x:v>
      </x:c>
      <x:c r="J2200" s="19" t="str">
        <x:v>天神大牟田線</x:v>
      </x:c>
      <x:c r="K2200" s="18" t="str">
        <x:v>transport-node:01b457ed-de64-5f19-9928-86ad2a03529f</x:v>
      </x:c>
      <x:c r="L2200" s="19" t="str">
        <x:v>组件待审核</x:v>
      </x:c>
      <x:c r="M2200" s="21" t="n">
        <x:v>33.56687</x:v>
      </x:c>
      <x:c r="N2200" s="21" t="n">
        <x:v>130.41501</x:v>
      </x:c>
      <x:c r="O2200" s="18" t="str">
        <x:v>009097</x:v>
      </x:c>
      <x:c r="P2200" s="18" t="str">
        <x:v>天神大牟田線</x:v>
      </x:c>
      <x:c r="Q2200" s="19" t="str">
        <x:v>S12_061_GE_10000</x:v>
      </x:c>
      <x:c r="R2200" s="19" t="str">
        <x:v>S12_061 usage threshold</x:v>
      </x:c>
      <x:c r="S2200" s="19" t="str">
        <x:v>https://nlftp.mlit.go.jp/ksj/gml/datalist/KsjTmplt-S12-2024.html</x:v>
      </x:c>
      <x:c r="T2200" s="19" t="str">
        <x:v>https://nlftp.mlit.go.jp/ksj/gml/datalist/KsjTmplt-S12-2024.html</x:v>
      </x:c>
      <x:c r="U2200" s="19" t="str">
        <x:v>station-component|高宮|西日本鉄道|private_rail|33.5669|130.4150|</x:v>
      </x:c>
      <x:c r="V2200" s="19" t="str">
        <x:v>009097 / 009097 / 天神大牟田線</x:v>
      </x:c>
      <x:c r="W2200" s="18" t="str">
        <x:v>否</x:v>
      </x:c>
      <x:c r="X2200" s="18" t="str">
        <x:v>0785e932a32b3ec15e1a1345537ae145eafe1c07bf38d5c16c11ee2b391e7a28</x:v>
      </x:c>
      <x:c r="Y2200" s="20" t="n">
        <x:v>1</x:v>
      </x:c>
      <x:c r="Z2200" s="20" t="n">
        <x:v>1</x:v>
      </x:c>
      <x:c r="AA2200" s="19"/>
      <x:c r="AB2200" s="18"/>
      <x:c r="AC2200" s="19"/>
    </x:row>
    <x:row r="2201" ht="33" customHeight="1">
      <x:c r="A2201" s="18" t="str">
        <x:v>高尾</x:v>
      </x:c>
      <x:c r="B2201" s="18" t="str">
        <x:v>京王電鉄</x:v>
      </x:c>
      <x:c r="C2201" s="18" t="str">
        <x:v>private_rail</x:v>
      </x:c>
      <x:c r="D2201" s="19" t="str">
        <x:v>T2</x:v>
      </x:c>
      <x:c r="E2201" s="20" t="n">
        <x:v>23252</x:v>
      </x:c>
      <x:c r="F2201" s="18" t="str">
        <x:v>persons/day</x:v>
      </x:c>
      <x:c r="G2201" s="18" t="str">
        <x:v>FY2024</x:v>
      </x:c>
      <x:c r="H2201" s="18" t="str">
        <x:v>否</x:v>
      </x:c>
      <x:c r="I2201" s="19" t="str">
        <x:v>DAILY_ENTRIES_EXITS</x:v>
      </x:c>
      <x:c r="J2201" s="19" t="str">
        <x:v>高尾線</x:v>
      </x:c>
      <x:c r="K2201" s="18" t="str">
        <x:v>transport-node:2abaa486-ddca-5f3d-b1ff-7407599be6fe</x:v>
      </x:c>
      <x:c r="L2201" s="19" t="str">
        <x:v>组件待审核</x:v>
      </x:c>
      <x:c r="M2201" s="21" t="n">
        <x:v>35.641655</x:v>
      </x:c>
      <x:c r="N2201" s="21" t="n">
        <x:v>139.28171</x:v>
      </x:c>
      <x:c r="O2201" s="18" t="str">
        <x:v>004033</x:v>
      </x:c>
      <x:c r="P2201" s="18" t="str">
        <x:v>高尾線</x:v>
      </x:c>
      <x:c r="Q2201" s="19" t="str">
        <x:v>S12_061_GE_10000
OFFICIAL_HUB_COMPONENT_REVIEW</x:v>
      </x:c>
      <x:c r="R2201" s="19" t="str">
        <x:v>S12_061 usage threshold</x:v>
      </x:c>
      <x:c r="S2201" s="19" t="str">
        <x:v>https://nlftp.mlit.go.jp/ksj/gml/datalist/KsjTmplt-S12-2024.html</x:v>
      </x:c>
      <x:c r="T2201" s="19" t="str">
        <x:v>https://nlftp.mlit.go.jp/ksj/gml/datalist/KsjTmplt-S12-2024.html
https://www.keio.co.jp/train/station/</x:v>
      </x:c>
      <x:c r="U2201" s="19" t="str">
        <x:v>station-component|高尾|京王電鉄|private_rail|35.6417|139.2817|</x:v>
      </x:c>
      <x:c r="V2201" s="19" t="str">
        <x:v>004029 / 004033 / 高尾線</x:v>
      </x:c>
      <x:c r="W2201" s="18" t="str">
        <x:v>否</x:v>
      </x:c>
      <x:c r="X2201" s="18" t="str">
        <x:v>0785e932a32b3ec15e1a1345537ae145eafe1c07bf38d5c16c11ee2b391e7a28</x:v>
      </x:c>
      <x:c r="Y2201" s="20" t="n">
        <x:v>1</x:v>
      </x:c>
      <x:c r="Z2201" s="20" t="n">
        <x:v>1</x:v>
      </x:c>
      <x:c r="AA2201" s="19" t="str">
        <x:v>高尾</x:v>
      </x:c>
      <x:c r="AB2201" s="18" t="str">
        <x:v>transport-hub-review:6bc5a8ee-9399-5f19-afb0-bdfa4868fb6c</x:v>
      </x:c>
      <x:c r="AC2201" s="19"/>
    </x:row>
    <x:row r="2202" ht="33" customHeight="1">
      <x:c r="A2202" s="18" t="str">
        <x:v>高尾</x:v>
      </x:c>
      <x:c r="B2202" s="18" t="str">
        <x:v>東日本旅客鉄道</x:v>
      </x:c>
      <x:c r="C2202" s="18" t="str">
        <x:v>conventional_rail</x:v>
      </x:c>
      <x:c r="D2202" s="19" t="str">
        <x:v>T1</x:v>
      </x:c>
      <x:c r="E2202" s="20" t="n">
        <x:v>51084</x:v>
      </x:c>
      <x:c r="F2202" s="18" t="str">
        <x:v>persons/day</x:v>
      </x:c>
      <x:c r="G2202" s="18" t="str">
        <x:v>FY2024</x:v>
      </x:c>
      <x:c r="H2202" s="18" t="str">
        <x:v>否</x:v>
      </x:c>
      <x:c r="I2202" s="19" t="str">
        <x:v>DAILY_ENTRIES_EXITS</x:v>
      </x:c>
      <x:c r="J2202" s="19" t="str">
        <x:v>中央線</x:v>
      </x:c>
      <x:c r="K2202" s="18" t="str">
        <x:v>transport-node:65b68ced-30bf-5f14-9659-defd94576440</x:v>
      </x:c>
      <x:c r="L2202" s="19" t="str">
        <x:v>组件待审核</x:v>
      </x:c>
      <x:c r="M2202" s="21" t="n">
        <x:v>35.642375</x:v>
      </x:c>
      <x:c r="N2202" s="21" t="n">
        <x:v>139.282635</x:v>
      </x:c>
      <x:c r="O2202" s="18" t="str">
        <x:v>004029</x:v>
      </x:c>
      <x:c r="P2202" s="18" t="str">
        <x:v>中央線</x:v>
      </x:c>
      <x:c r="Q2202" s="19" t="str">
        <x:v>S12_061_GE_10000
OFFICIAL_HUB_COMPONENT_REVIEW</x:v>
      </x:c>
      <x:c r="R2202" s="19" t="str">
        <x:v>S12_061 usage threshold</x:v>
      </x:c>
      <x:c r="S2202" s="19" t="str">
        <x:v>https://nlftp.mlit.go.jp/ksj/gml/datalist/KsjTmplt-S12-2024.html</x:v>
      </x:c>
      <x:c r="T2202" s="19" t="str">
        <x:v>https://nlftp.mlit.go.jp/ksj/gml/datalist/KsjTmplt-S12-2024.html
https://www.keio.co.jp/train/station/</x:v>
      </x:c>
      <x:c r="U2202" s="19" t="str">
        <x:v>station-component|高尾|東日本旅客鉄道|conventional_rail|35.6424|139.2826|</x:v>
      </x:c>
      <x:c r="V2202" s="19" t="str">
        <x:v>004029 / 004029 / 中央線</x:v>
      </x:c>
      <x:c r="W2202" s="18" t="str">
        <x:v>否</x:v>
      </x:c>
      <x:c r="X2202" s="18" t="str">
        <x:v>0785e932a32b3ec15e1a1345537ae145eafe1c07bf38d5c16c11ee2b391e7a28</x:v>
      </x:c>
      <x:c r="Y2202" s="20" t="n">
        <x:v>1</x:v>
      </x:c>
      <x:c r="Z2202" s="20" t="n">
        <x:v>1</x:v>
      </x:c>
      <x:c r="AA2202" s="19" t="str">
        <x:v>高尾</x:v>
      </x:c>
      <x:c r="AB2202" s="18" t="str">
        <x:v>transport-hub-review:6bc5a8ee-9399-5f19-afb0-bdfa4868fb6c</x:v>
      </x:c>
      <x:c r="AC2202" s="19"/>
    </x:row>
    <x:row r="2203" ht="28" customHeight="1">
      <x:c r="A2203" s="18" t="str">
        <x:v>高尾山口</x:v>
      </x:c>
      <x:c r="B2203" s="18" t="str">
        <x:v>京王電鉄</x:v>
      </x:c>
      <x:c r="C2203" s="18" t="str">
        <x:v>private_rail</x:v>
      </x:c>
      <x:c r="D2203" s="19" t="str">
        <x:v>T2</x:v>
      </x:c>
      <x:c r="E2203" s="20" t="n">
        <x:v>10690</x:v>
      </x:c>
      <x:c r="F2203" s="18" t="str">
        <x:v>persons/day</x:v>
      </x:c>
      <x:c r="G2203" s="18" t="str">
        <x:v>FY2024</x:v>
      </x:c>
      <x:c r="H2203" s="18" t="str">
        <x:v>否</x:v>
      </x:c>
      <x:c r="I2203" s="19" t="str">
        <x:v>DAILY_ENTRIES_EXITS</x:v>
      </x:c>
      <x:c r="J2203" s="19" t="str">
        <x:v>高尾線</x:v>
      </x:c>
      <x:c r="K2203" s="18" t="str">
        <x:v>transport-node:d3e151ca-8fa1-5b2a-ae6b-2fc71119f7f5</x:v>
      </x:c>
      <x:c r="L2203" s="19" t="str">
        <x:v>组件待审核</x:v>
      </x:c>
      <x:c r="M2203" s="21" t="n">
        <x:v>35.63238</x:v>
      </x:c>
      <x:c r="N2203" s="21" t="n">
        <x:v>139.269815</x:v>
      </x:c>
      <x:c r="O2203" s="18" t="str">
        <x:v>004075</x:v>
      </x:c>
      <x:c r="P2203" s="18" t="str">
        <x:v>高尾線</x:v>
      </x:c>
      <x:c r="Q2203" s="19" t="str">
        <x:v>S12_061_GE_10000</x:v>
      </x:c>
      <x:c r="R2203" s="19" t="str">
        <x:v>S12_061 usage threshold</x:v>
      </x:c>
      <x:c r="S2203" s="19" t="str">
        <x:v>https://nlftp.mlit.go.jp/ksj/gml/datalist/KsjTmplt-S12-2024.html</x:v>
      </x:c>
      <x:c r="T2203" s="19" t="str">
        <x:v>https://nlftp.mlit.go.jp/ksj/gml/datalist/KsjTmplt-S12-2024.html</x:v>
      </x:c>
      <x:c r="U2203" s="19" t="str">
        <x:v>station-component|高尾山口|京王電鉄|private_rail|35.6324|139.2698|</x:v>
      </x:c>
      <x:c r="V2203" s="19" t="str">
        <x:v>004075 / 004075 / 高尾線</x:v>
      </x:c>
      <x:c r="W2203" s="18" t="str">
        <x:v>否</x:v>
      </x:c>
      <x:c r="X2203" s="18" t="str">
        <x:v>0785e932a32b3ec15e1a1345537ae145eafe1c07bf38d5c16c11ee2b391e7a28</x:v>
      </x:c>
      <x:c r="Y2203" s="20" t="n">
        <x:v>1</x:v>
      </x:c>
      <x:c r="Z2203" s="20" t="n">
        <x:v>1</x:v>
      </x:c>
      <x:c r="AA2203" s="19"/>
      <x:c r="AB2203" s="18"/>
      <x:c r="AC2203" s="19"/>
    </x:row>
    <x:row r="2204" ht="28" customHeight="1">
      <x:c r="A2204" s="18" t="str">
        <x:v>高岡</x:v>
      </x:c>
      <x:c r="B2204" s="18" t="str">
        <x:v>あいの風とやま鉄道</x:v>
      </x:c>
      <x:c r="C2204" s="18" t="str">
        <x:v>private_rail</x:v>
      </x:c>
      <x:c r="D2204" s="19" t="str">
        <x:v>T2</x:v>
      </x:c>
      <x:c r="E2204" s="20" t="n">
        <x:v>16253</x:v>
      </x:c>
      <x:c r="F2204" s="18" t="str">
        <x:v>persons/day</x:v>
      </x:c>
      <x:c r="G2204" s="18" t="str">
        <x:v>FY2024</x:v>
      </x:c>
      <x:c r="H2204" s="18" t="str">
        <x:v>否</x:v>
      </x:c>
      <x:c r="I2204" s="19" t="str">
        <x:v>DAILY_ENTRIES_EXITS</x:v>
      </x:c>
      <x:c r="J2204" s="19" t="str">
        <x:v>あいの風とやま鉄道線</x:v>
      </x:c>
      <x:c r="K2204" s="18" t="str">
        <x:v>transport-node:ff1488b5-d159-5c1c-89b4-62ec3381d16a</x:v>
      </x:c>
      <x:c r="L2204" s="19" t="str">
        <x:v>组件待审核</x:v>
      </x:c>
      <x:c r="M2204" s="21" t="n">
        <x:v>36.7412027</x:v>
      </x:c>
      <x:c r="N2204" s="21" t="n">
        <x:v>137.0147355</x:v>
      </x:c>
      <x:c r="O2204" s="18" t="str">
        <x:v>001871</x:v>
      </x:c>
      <x:c r="P2204" s="18" t="str">
        <x:v>あいの風とやま鉄道線</x:v>
      </x:c>
      <x:c r="Q2204" s="19" t="str">
        <x:v>S12_061_GE_10000</x:v>
      </x:c>
      <x:c r="R2204" s="19" t="str">
        <x:v>S12_061 usage threshold</x:v>
      </x:c>
      <x:c r="S2204" s="19" t="str">
        <x:v>https://nlftp.mlit.go.jp/ksj/gml/datalist/KsjTmplt-S12-2024.html</x:v>
      </x:c>
      <x:c r="T2204" s="19" t="str">
        <x:v>https://nlftp.mlit.go.jp/ksj/gml/datalist/KsjTmplt-S12-2024.html</x:v>
      </x:c>
      <x:c r="U2204" s="19" t="str">
        <x:v>station-component|高岡|あいの風とやま鉄道|private_rail|36.7412|137.0147|</x:v>
      </x:c>
      <x:c r="V2204" s="19" t="str">
        <x:v>001873 / 001871 / あいの風とやま鉄道線</x:v>
      </x:c>
      <x:c r="W2204" s="18" t="str">
        <x:v>否</x:v>
      </x:c>
      <x:c r="X2204" s="18" t="str">
        <x:v>0785e932a32b3ec15e1a1345537ae145eafe1c07bf38d5c16c11ee2b391e7a28</x:v>
      </x:c>
      <x:c r="Y2204" s="20" t="n">
        <x:v>1</x:v>
      </x:c>
      <x:c r="Z2204" s="20" t="n">
        <x:v>1</x:v>
      </x:c>
      <x:c r="AA2204" s="19"/>
      <x:c r="AB2204" s="18"/>
      <x:c r="AC2204" s="19"/>
    </x:row>
    <x:row r="2205" ht="28" customHeight="1">
      <x:c r="A2205" s="18" t="str">
        <x:v>高岳</x:v>
      </x:c>
      <x:c r="B2205" s="18" t="str">
        <x:v>名古屋市</x:v>
      </x:c>
      <x:c r="C2205" s="18" t="str">
        <x:v>metro</x:v>
      </x:c>
      <x:c r="D2205" s="19" t="str">
        <x:v>T2</x:v>
      </x:c>
      <x:c r="E2205" s="20" t="n">
        <x:v>18503</x:v>
      </x:c>
      <x:c r="F2205" s="18" t="str">
        <x:v>persons/day</x:v>
      </x:c>
      <x:c r="G2205" s="18" t="str">
        <x:v>FY2024</x:v>
      </x:c>
      <x:c r="H2205" s="18" t="str">
        <x:v>否</x:v>
      </x:c>
      <x:c r="I2205" s="19" t="str">
        <x:v>DAILY_ENTRIES_EXITS</x:v>
      </x:c>
      <x:c r="J2205" s="19" t="str">
        <x:v>6号線桜通線</x:v>
      </x:c>
      <x:c r="K2205" s="18" t="str">
        <x:v>transport-node:30fc900b-74a1-527e-bece-3a36507bbd4f</x:v>
      </x:c>
      <x:c r="L2205" s="19" t="str">
        <x:v>组件待审核</x:v>
      </x:c>
      <x:c r="M2205" s="21" t="n">
        <x:v>35.174165</x:v>
      </x:c>
      <x:c r="N2205" s="21" t="n">
        <x:v>136.916185</x:v>
      </x:c>
      <x:c r="O2205" s="18" t="str">
        <x:v>005434</x:v>
      </x:c>
      <x:c r="P2205" s="18" t="str">
        <x:v>6号線桜通線</x:v>
      </x:c>
      <x:c r="Q2205" s="19" t="str">
        <x:v>S12_061_GE_10000</x:v>
      </x:c>
      <x:c r="R2205" s="19" t="str">
        <x:v>S12_061 usage threshold</x:v>
      </x:c>
      <x:c r="S2205" s="19" t="str">
        <x:v>https://nlftp.mlit.go.jp/ksj/gml/datalist/KsjTmplt-S12-2024.html</x:v>
      </x:c>
      <x:c r="T2205" s="19" t="str">
        <x:v>https://nlftp.mlit.go.jp/ksj/gml/datalist/KsjTmplt-S12-2024.html</x:v>
      </x:c>
      <x:c r="U2205" s="19" t="str">
        <x:v>station-component|高岳|名古屋市|metro|35.1742|136.9162|</x:v>
      </x:c>
      <x:c r="V2205" s="19" t="str">
        <x:v>005434 / 005434 / 6号線桜通線</x:v>
      </x:c>
      <x:c r="W2205" s="18" t="str">
        <x:v>否</x:v>
      </x:c>
      <x:c r="X2205" s="18" t="str">
        <x:v>0785e932a32b3ec15e1a1345537ae145eafe1c07bf38d5c16c11ee2b391e7a28</x:v>
      </x:c>
      <x:c r="Y2205" s="20" t="n">
        <x:v>1</x:v>
      </x:c>
      <x:c r="Z2205" s="20" t="n">
        <x:v>1</x:v>
      </x:c>
      <x:c r="AA2205" s="19"/>
      <x:c r="AB2205" s="18"/>
      <x:c r="AC2205" s="19"/>
    </x:row>
    <x:row r="2206" ht="28" customHeight="1">
      <x:c r="A2206" s="18" t="str">
        <x:v>高島平</x:v>
      </x:c>
      <x:c r="B2206" s="18" t="str">
        <x:v>東京都</x:v>
      </x:c>
      <x:c r="C2206" s="18" t="str">
        <x:v>metro</x:v>
      </x:c>
      <x:c r="D2206" s="19" t="str">
        <x:v>T2</x:v>
      </x:c>
      <x:c r="E2206" s="20" t="n">
        <x:v>27789</x:v>
      </x:c>
      <x:c r="F2206" s="18" t="str">
        <x:v>persons/day</x:v>
      </x:c>
      <x:c r="G2206" s="18" t="str">
        <x:v>FY2024</x:v>
      </x:c>
      <x:c r="H2206" s="18" t="str">
        <x:v>否</x:v>
      </x:c>
      <x:c r="I2206" s="19" t="str">
        <x:v>DAILY_ENTRIES_EXITS</x:v>
      </x:c>
      <x:c r="J2206" s="19" t="str">
        <x:v>6号線三田線</x:v>
      </x:c>
      <x:c r="K2206" s="18" t="str">
        <x:v>transport-node:b72b3aa1-c18e-5f9d-8153-541f2f09c0fe</x:v>
      </x:c>
      <x:c r="L2206" s="19" t="str">
        <x:v>组件待审核</x:v>
      </x:c>
      <x:c r="M2206" s="21" t="n">
        <x:v>35.788935</x:v>
      </x:c>
      <x:c r="N2206" s="21" t="n">
        <x:v>139.661295</x:v>
      </x:c>
      <x:c r="O2206" s="18" t="str">
        <x:v>003117</x:v>
      </x:c>
      <x:c r="P2206" s="18" t="str">
        <x:v>6号線三田線</x:v>
      </x:c>
      <x:c r="Q2206" s="19" t="str">
        <x:v>S12_061_GE_10000</x:v>
      </x:c>
      <x:c r="R2206" s="19" t="str">
        <x:v>S12_061 usage threshold</x:v>
      </x:c>
      <x:c r="S2206" s="19" t="str">
        <x:v>https://nlftp.mlit.go.jp/ksj/gml/datalist/KsjTmplt-S12-2024.html</x:v>
      </x:c>
      <x:c r="T2206" s="19" t="str">
        <x:v>https://nlftp.mlit.go.jp/ksj/gml/datalist/KsjTmplt-S12-2024.html</x:v>
      </x:c>
      <x:c r="U2206" s="19" t="str">
        <x:v>station-component|高島平|東京都|metro|35.7889|139.6613|</x:v>
      </x:c>
      <x:c r="V2206" s="19" t="str">
        <x:v>003117 / 003117 / 6号線三田線</x:v>
      </x:c>
      <x:c r="W2206" s="18" t="str">
        <x:v>否</x:v>
      </x:c>
      <x:c r="X2206" s="18" t="str">
        <x:v>0785e932a32b3ec15e1a1345537ae145eafe1c07bf38d5c16c11ee2b391e7a28</x:v>
      </x:c>
      <x:c r="Y2206" s="20" t="n">
        <x:v>1</x:v>
      </x:c>
      <x:c r="Z2206" s="20" t="n">
        <x:v>1</x:v>
      </x:c>
      <x:c r="AA2206" s="19"/>
      <x:c r="AB2206" s="18"/>
      <x:c r="AC2206" s="19"/>
    </x:row>
    <x:row r="2207" ht="47" customHeight="1">
      <x:c r="A2207" s="18" t="str">
        <x:v>高崎</x:v>
      </x:c>
      <x:c r="B2207" s="18" t="str">
        <x:v>東日本旅客鉄道</x:v>
      </x:c>
      <x:c r="C2207" s="18" t="str">
        <x:v>conventional_rail</x:v>
      </x:c>
      <x:c r="D2207" s="19" t="str">
        <x:v>T1</x:v>
      </x:c>
      <x:c r="E2207" s="20" t="n">
        <x:v>65446</x:v>
      </x:c>
      <x:c r="F2207" s="18" t="str">
        <x:v>persons/day</x:v>
      </x:c>
      <x:c r="G2207" s="18" t="str">
        <x:v>FY2024</x:v>
      </x:c>
      <x:c r="H2207" s="18" t="str">
        <x:v>否</x:v>
      </x:c>
      <x:c r="I2207" s="19" t="str">
        <x:v>DAILY_ENTRIES_EXITS</x:v>
      </x:c>
      <x:c r="J2207" s="19" t="str">
        <x:v>上越線
信越線
高崎線</x:v>
      </x:c>
      <x:c r="K2207" s="18" t="str">
        <x:v>transport-node:8c49fa74-961a-52dd-a105-683fade0b2e3</x:v>
      </x:c>
      <x:c r="L2207" s="19" t="str">
        <x:v>组件待审核</x:v>
      </x:c>
      <x:c r="M2207" s="21" t="n">
        <x:v>36.32234</x:v>
      </x:c>
      <x:c r="N2207" s="21" t="n">
        <x:v>139.0123375</x:v>
      </x:c>
      <x:c r="O2207" s="18" t="str">
        <x:v>002390</x:v>
      </x:c>
      <x:c r="P2207" s="18" t="str">
        <x:v>上越線</x:v>
      </x:c>
      <x:c r="Q2207" s="19" t="str">
        <x:v>S12_061_GE_10000</x:v>
      </x:c>
      <x:c r="R2207" s="19" t="str">
        <x:v>S12_061 usage threshold</x:v>
      </x:c>
      <x:c r="S2207" s="19" t="str">
        <x:v>https://nlftp.mlit.go.jp/ksj/gml/datalist/KsjTmplt-S12-2024.html</x:v>
      </x:c>
      <x:c r="T2207" s="19" t="str">
        <x:v>https://nlftp.mlit.go.jp/ksj/gml/datalist/KsjTmplt-S12-2024.html</x:v>
      </x:c>
      <x:c r="U2207" s="19" t="str">
        <x:v>station-component|高崎|東日本旅客鉄道|conventional_rail|36.3223|139.0123|</x:v>
      </x:c>
      <x:c r="V2207" s="19" t="str">
        <x:v>002389 / 002389 / 高崎線
002389 / 002390 / 上越線
002389 / 002391 / 信越線</x:v>
      </x:c>
      <x:c r="W2207" s="18" t="str">
        <x:v>否</x:v>
      </x:c>
      <x:c r="X2207" s="18" t="str">
        <x:v>0785e932a32b3ec15e1a1345537ae145eafe1c07bf38d5c16c11ee2b391e7a28</x:v>
      </x:c>
      <x:c r="Y2207" s="20" t="n">
        <x:v>1</x:v>
      </x:c>
      <x:c r="Z2207" s="20" t="n">
        <x:v>1</x:v>
      </x:c>
      <x:c r="AA2207" s="19"/>
      <x:c r="AB2207" s="18"/>
      <x:c r="AC2207" s="19"/>
    </x:row>
    <x:row r="2208" ht="33" customHeight="1">
      <x:c r="A2208" s="18" t="str">
        <x:v>高崎</x:v>
      </x:c>
      <x:c r="B2208" s="18" t="str">
        <x:v>東日本旅客鉄道</x:v>
      </x:c>
      <x:c r="C2208" s="18" t="str">
        <x:v>shinkansen</x:v>
      </x:c>
      <x:c r="D2208" s="19"/>
      <x:c r="E2208" s="20" t="n">
        <x:v>13908</x:v>
      </x:c>
      <x:c r="F2208" s="18" t="str">
        <x:v>boardings/day</x:v>
      </x:c>
      <x:c r="G2208" s="18" t="str">
        <x:v>FY2024</x:v>
      </x:c>
      <x:c r="H2208" s="18" t="str">
        <x:v>是</x:v>
      </x:c>
      <x:c r="I2208" s="19" t="str">
        <x:v>DAILY_SHINKANSEN_BOARDINGS</x:v>
      </x:c>
      <x:c r="J2208" s="19" t="str">
        <x:v>上越新幹線
北陸新幹線</x:v>
      </x:c>
      <x:c r="K2208" s="18" t="str">
        <x:v>transport-node:c0f4f0f0-b114-51bd-91cf-0d4914934f45</x:v>
      </x:c>
      <x:c r="L2208" s="19" t="str">
        <x:v>组件待审核</x:v>
      </x:c>
      <x:c r="M2208" s="21" t="n">
        <x:v>36.322644</x:v>
      </x:c>
      <x:c r="N2208" s="21" t="n">
        <x:v>139.013024</x:v>
      </x:c>
      <x:c r="O2208" s="18" t="str">
        <x:v>002386</x:v>
      </x:c>
      <x:c r="P2208" s="18" t="str">
        <x:v>上越新幹線</x:v>
      </x:c>
      <x:c r="Q2208" s="19" t="str">
        <x:v>SHINKANSEN</x:v>
      </x:c>
      <x:c r="R2208" s="19" t="str">
        <x:v>Official fallback retained in published scope/unit; tier remains null pending metric/manual review.</x:v>
      </x:c>
      <x:c r="S2208" s="19" t="str">
        <x:v>https://www.jreast.co.jp/company/data/passenger/2024_shinkansen.html/</x:v>
      </x:c>
      <x:c r="T2208" s="19" t="str">
        <x:v>https://nlftp.mlit.go.jp/ksj/gml/datalist/KsjTmplt-S12-2024.html
https://www.jreast.co.jp/company/data/passenger/2024_shinkansen.html/</x:v>
      </x:c>
      <x:c r="U2208" s="19" t="str">
        <x:v>station-component|高崎|東日本旅客鉄道|shinkansen|36.3226|139.0130|</x:v>
      </x:c>
      <x:c r="V2208" s="19" t="str">
        <x:v>002389 / 002386 / 上越新幹線
002389 / 002387 / 北陸新幹線</x:v>
      </x:c>
      <x:c r="W2208" s="18" t="str">
        <x:v>否</x:v>
      </x:c>
      <x:c r="X2208" s="18" t="str">
        <x:v>0785e932a32b3ec15e1a1345537ae145eafe1c07bf38d5c16c11ee2b391e7a28</x:v>
      </x:c>
      <x:c r="Y2208" s="20" t="n">
        <x:v>1</x:v>
      </x:c>
      <x:c r="Z2208" s="20" t="n">
        <x:v>2</x:v>
      </x:c>
      <x:c r="AA2208" s="19"/>
      <x:c r="AB2208" s="18"/>
      <x:c r="AC2208" s="19"/>
    </x:row>
    <x:row r="2209" ht="33" customHeight="1">
      <x:c r="A2209" s="18" t="str">
        <x:v>高幡不動</x:v>
      </x:c>
      <x:c r="B2209" s="18" t="str">
        <x:v>京王電鉄</x:v>
      </x:c>
      <x:c r="C2209" s="18" t="str">
        <x:v>private_rail</x:v>
      </x:c>
      <x:c r="D2209" s="19" t="str">
        <x:v>T2</x:v>
      </x:c>
      <x:c r="E2209" s="20" t="n">
        <x:v>49872</x:v>
      </x:c>
      <x:c r="F2209" s="18" t="str">
        <x:v>persons/day</x:v>
      </x:c>
      <x:c r="G2209" s="18" t="str">
        <x:v>FY2024</x:v>
      </x:c>
      <x:c r="H2209" s="18" t="str">
        <x:v>否</x:v>
      </x:c>
      <x:c r="I2209" s="19" t="str">
        <x:v>DAILY_ENTRIES_EXITS</x:v>
      </x:c>
      <x:c r="J2209" s="19" t="str">
        <x:v>京王線
動物園線</x:v>
      </x:c>
      <x:c r="K2209" s="18" t="str">
        <x:v>transport-node:feccb1f6-defb-53e5-81ce-6ebbce4f0a10</x:v>
      </x:c>
      <x:c r="L2209" s="19" t="str">
        <x:v>组件待审核</x:v>
      </x:c>
      <x:c r="M2209" s="21" t="n">
        <x:v>35.662275</x:v>
      </x:c>
      <x:c r="N2209" s="21" t="n">
        <x:v>139.4131</x:v>
      </x:c>
      <x:c r="O2209" s="18" t="str">
        <x:v>003904</x:v>
      </x:c>
      <x:c r="P2209" s="18" t="str">
        <x:v>京王線</x:v>
      </x:c>
      <x:c r="Q2209" s="19" t="str">
        <x:v>S12_061_GE_10000
OFFICIAL_HUB_COMPONENT_REVIEW</x:v>
      </x:c>
      <x:c r="R2209" s="19" t="str">
        <x:v>S12_061 usage threshold</x:v>
      </x:c>
      <x:c r="S2209" s="19" t="str">
        <x:v>https://nlftp.mlit.go.jp/ksj/gml/datalist/KsjTmplt-S12-2024.html</x:v>
      </x:c>
      <x:c r="T2209" s="19" t="str">
        <x:v>https://nlftp.mlit.go.jp/ksj/gml/datalist/KsjTmplt-S12-2024.html
https://www.keio.co.jp/train/station/</x:v>
      </x:c>
      <x:c r="U2209" s="19" t="str">
        <x:v>station-component|高幡不動|京王電鉄|private_rail|35.6623|139.4131|</x:v>
      </x:c>
      <x:c r="V2209" s="19" t="str">
        <x:v>003904 / 003904 / 京王線
003904 / 003905 / 動物園線</x:v>
      </x:c>
      <x:c r="W2209" s="18" t="str">
        <x:v>否</x:v>
      </x:c>
      <x:c r="X2209" s="18" t="str">
        <x:v>0785e932a32b3ec15e1a1345537ae145eafe1c07bf38d5c16c11ee2b391e7a28</x:v>
      </x:c>
      <x:c r="Y2209" s="20" t="n">
        <x:v>1</x:v>
      </x:c>
      <x:c r="Z2209" s="20" t="n">
        <x:v>1</x:v>
      </x:c>
      <x:c r="AA2209" s="19" t="str">
        <x:v>高幡不動</x:v>
      </x:c>
      <x:c r="AB2209" s="18" t="str">
        <x:v>transport-hub-review:dba2979c-6ae0-5c4f-8f00-193d0ea5df04</x:v>
      </x:c>
      <x:c r="AC2209" s="19"/>
    </x:row>
    <x:row r="2210" ht="33" customHeight="1">
      <x:c r="A2210" s="18" t="str">
        <x:v>高幡不動</x:v>
      </x:c>
      <x:c r="B2210" s="18" t="str">
        <x:v>多摩都市モノレール</x:v>
      </x:c>
      <x:c r="C2210" s="18" t="str">
        <x:v>fixed_guideway</x:v>
      </x:c>
      <x:c r="D2210" s="19" t="str">
        <x:v>T2</x:v>
      </x:c>
      <x:c r="E2210" s="20" t="n">
        <x:v>23611</x:v>
      </x:c>
      <x:c r="F2210" s="18" t="str">
        <x:v>persons/day</x:v>
      </x:c>
      <x:c r="G2210" s="18" t="str">
        <x:v>FY2024</x:v>
      </x:c>
      <x:c r="H2210" s="18" t="str">
        <x:v>否</x:v>
      </x:c>
      <x:c r="I2210" s="19" t="str">
        <x:v>DAILY_ENTRIES_EXITS</x:v>
      </x:c>
      <x:c r="J2210" s="19" t="str">
        <x:v>多摩都市モノレール線</x:v>
      </x:c>
      <x:c r="K2210" s="18" t="str">
        <x:v>transport-node:ccee2a20-fd6e-5d48-9261-9864abcd900f</x:v>
      </x:c>
      <x:c r="L2210" s="19" t="str">
        <x:v>组件待审核</x:v>
      </x:c>
      <x:c r="M2210" s="21" t="n">
        <x:v>35.66129</x:v>
      </x:c>
      <x:c r="N2210" s="21" t="n">
        <x:v>139.415235</x:v>
      </x:c>
      <x:c r="O2210" s="18" t="str">
        <x:v>003910</x:v>
      </x:c>
      <x:c r="P2210" s="18" t="str">
        <x:v>多摩都市モノレール線</x:v>
      </x:c>
      <x:c r="Q2210" s="19" t="str">
        <x:v>S12_061_GE_10000
OFFICIAL_HUB_COMPONENT_REVIEW</x:v>
      </x:c>
      <x:c r="R2210" s="19" t="str">
        <x:v>S12_061 usage threshold</x:v>
      </x:c>
      <x:c r="S2210" s="19" t="str">
        <x:v>https://nlftp.mlit.go.jp/ksj/gml/datalist/KsjTmplt-S12-2024.html</x:v>
      </x:c>
      <x:c r="T2210" s="19" t="str">
        <x:v>https://nlftp.mlit.go.jp/ksj/gml/datalist/KsjTmplt-S12-2024.html
https://www.keio.co.jp/train/station/</x:v>
      </x:c>
      <x:c r="U2210" s="19" t="str">
        <x:v>station-component|高幡不動|多摩都市モノレール|fixed_guideway|35.6613|139.4152|</x:v>
      </x:c>
      <x:c r="V2210" s="19" t="str">
        <x:v>003904 / 003910 / 多摩都市モノレール線</x:v>
      </x:c>
      <x:c r="W2210" s="18" t="str">
        <x:v>否</x:v>
      </x:c>
      <x:c r="X2210" s="18" t="str">
        <x:v>0785e932a32b3ec15e1a1345537ae145eafe1c07bf38d5c16c11ee2b391e7a28</x:v>
      </x:c>
      <x:c r="Y2210" s="20" t="n">
        <x:v>1</x:v>
      </x:c>
      <x:c r="Z2210" s="20" t="n">
        <x:v>1</x:v>
      </x:c>
      <x:c r="AA2210" s="19" t="str">
        <x:v>高幡不動</x:v>
      </x:c>
      <x:c r="AB2210" s="18" t="str">
        <x:v>transport-hub-review:dba2979c-6ae0-5c4f-8f00-193d0ea5df04</x:v>
      </x:c>
      <x:c r="AC2210" s="19"/>
    </x:row>
    <x:row r="2211" ht="28" customHeight="1">
      <x:c r="A2211" s="18" t="str">
        <x:v>高座渋谷</x:v>
      </x:c>
      <x:c r="B2211" s="18" t="str">
        <x:v>小田急電鉄</x:v>
      </x:c>
      <x:c r="C2211" s="18" t="str">
        <x:v>private_rail</x:v>
      </x:c>
      <x:c r="D2211" s="19" t="str">
        <x:v>T2</x:v>
      </x:c>
      <x:c r="E2211" s="20" t="n">
        <x:v>24705</x:v>
      </x:c>
      <x:c r="F2211" s="18" t="str">
        <x:v>persons/day</x:v>
      </x:c>
      <x:c r="G2211" s="18" t="str">
        <x:v>FY2024</x:v>
      </x:c>
      <x:c r="H2211" s="18" t="str">
        <x:v>否</x:v>
      </x:c>
      <x:c r="I2211" s="19" t="str">
        <x:v>DAILY_ENTRIES_EXITS</x:v>
      </x:c>
      <x:c r="J2211" s="19" t="str">
        <x:v>江ノ島線</x:v>
      </x:c>
      <x:c r="K2211" s="18" t="str">
        <x:v>transport-node:0eca1bcf-6f18-543b-8888-3d396b56d778</x:v>
      </x:c>
      <x:c r="L2211" s="19" t="str">
        <x:v>组件待审核</x:v>
      </x:c>
      <x:c r="M2211" s="21" t="n">
        <x:v>35.432145</x:v>
      </x:c>
      <x:c r="N2211" s="21" t="n">
        <x:v>139.46471</x:v>
      </x:c>
      <x:c r="O2211" s="18" t="str">
        <x:v>004729</x:v>
      </x:c>
      <x:c r="P2211" s="18" t="str">
        <x:v>江ノ島線</x:v>
      </x:c>
      <x:c r="Q2211" s="19" t="str">
        <x:v>S12_061_GE_10000</x:v>
      </x:c>
      <x:c r="R2211" s="19" t="str">
        <x:v>S12_061 usage threshold</x:v>
      </x:c>
      <x:c r="S2211" s="19" t="str">
        <x:v>https://nlftp.mlit.go.jp/ksj/gml/datalist/KsjTmplt-S12-2024.html</x:v>
      </x:c>
      <x:c r="T2211" s="19" t="str">
        <x:v>https://nlftp.mlit.go.jp/ksj/gml/datalist/KsjTmplt-S12-2024.html</x:v>
      </x:c>
      <x:c r="U2211" s="19" t="str">
        <x:v>station-component|高座渋谷|小田急電鉄|private_rail|35.4321|139.4647|</x:v>
      </x:c>
      <x:c r="V2211" s="19" t="str">
        <x:v>004729 / 004729 / 江ノ島線</x:v>
      </x:c>
      <x:c r="W2211" s="18" t="str">
        <x:v>否</x:v>
      </x:c>
      <x:c r="X2211" s="18" t="str">
        <x:v>0785e932a32b3ec15e1a1345537ae145eafe1c07bf38d5c16c11ee2b391e7a28</x:v>
      </x:c>
      <x:c r="Y2211" s="20" t="n">
        <x:v>1</x:v>
      </x:c>
      <x:c r="Z2211" s="20" t="n">
        <x:v>1</x:v>
      </x:c>
      <x:c r="AA2211" s="19"/>
      <x:c r="AB2211" s="18"/>
      <x:c r="AC2211" s="19"/>
    </x:row>
    <x:row r="2212" ht="33" customHeight="1">
      <x:c r="A2212" s="18" t="str">
        <x:v>高松</x:v>
      </x:c>
      <x:c r="B2212" s="18" t="str">
        <x:v>四国旅客鉄道</x:v>
      </x:c>
      <x:c r="C2212" s="18" t="str">
        <x:v>conventional_rail</x:v>
      </x:c>
      <x:c r="D2212" s="19" t="str">
        <x:v>T2</x:v>
      </x:c>
      <x:c r="E2212" s="20" t="n">
        <x:v>25578</x:v>
      </x:c>
      <x:c r="F2212" s="18" t="str">
        <x:v>persons/day</x:v>
      </x:c>
      <x:c r="G2212" s="18" t="str">
        <x:v>FY2024</x:v>
      </x:c>
      <x:c r="H2212" s="18" t="str">
        <x:v>否</x:v>
      </x:c>
      <x:c r="I2212" s="19" t="str">
        <x:v>DAILY_ENTRIES_EXITS</x:v>
      </x:c>
      <x:c r="J2212" s="19" t="str">
        <x:v>予讃線
高徳線</x:v>
      </x:c>
      <x:c r="K2212" s="18" t="str">
        <x:v>transport-node:0b682b09-e3ef-50a8-b622-13ec81f8d024</x:v>
      </x:c>
      <x:c r="L2212" s="19" t="str">
        <x:v>组件待审核</x:v>
      </x:c>
      <x:c r="M2212" s="21" t="n">
        <x:v>34.35056</x:v>
      </x:c>
      <x:c r="N2212" s="21" t="n">
        <x:v>134.045335</x:v>
      </x:c>
      <x:c r="O2212" s="18" t="str">
        <x:v>008164</x:v>
      </x:c>
      <x:c r="P2212" s="18" t="str">
        <x:v>予讃線</x:v>
      </x:c>
      <x:c r="Q2212" s="19" t="str">
        <x:v>S12_061_GE_10000</x:v>
      </x:c>
      <x:c r="R2212" s="19" t="str">
        <x:v>S12_061 usage threshold</x:v>
      </x:c>
      <x:c r="S2212" s="19" t="str">
        <x:v>https://nlftp.mlit.go.jp/ksj/gml/datalist/KsjTmplt-S12-2024.html</x:v>
      </x:c>
      <x:c r="T2212" s="19" t="str">
        <x:v>https://nlftp.mlit.go.jp/ksj/gml/datalist/KsjTmplt-S12-2024.html</x:v>
      </x:c>
      <x:c r="U2212" s="19" t="str">
        <x:v>station-component|高松|四国旅客鉄道|conventional_rail|34.3506|134.0453|</x:v>
      </x:c>
      <x:c r="V2212" s="19" t="str">
        <x:v>008163 / 008163 / 高徳線
008163 / 008164 / 予讃線</x:v>
      </x:c>
      <x:c r="W2212" s="18" t="str">
        <x:v>否</x:v>
      </x:c>
      <x:c r="X2212" s="18" t="str">
        <x:v>0785e932a32b3ec15e1a1345537ae145eafe1c07bf38d5c16c11ee2b391e7a28</x:v>
      </x:c>
      <x:c r="Y2212" s="20" t="n">
        <x:v>1</x:v>
      </x:c>
      <x:c r="Z2212" s="20" t="n">
        <x:v>1</x:v>
      </x:c>
      <x:c r="AA2212" s="19"/>
      <x:c r="AB2212" s="18"/>
      <x:c r="AC2212" s="19"/>
    </x:row>
    <x:row r="2213" ht="28" customHeight="1">
      <x:c r="A2213" s="18" t="str">
        <x:v>高松築港</x:v>
      </x:c>
      <x:c r="B2213" s="18" t="str">
        <x:v>高松琴平電気鉄道</x:v>
      </x:c>
      <x:c r="C2213" s="18" t="str">
        <x:v>private_rail</x:v>
      </x:c>
      <x:c r="D2213" s="19" t="str">
        <x:v>T2</x:v>
      </x:c>
      <x:c r="E2213" s="20" t="n">
        <x:v>12792</x:v>
      </x:c>
      <x:c r="F2213" s="18" t="str">
        <x:v>persons/day</x:v>
      </x:c>
      <x:c r="G2213" s="18" t="str">
        <x:v>FY2024</x:v>
      </x:c>
      <x:c r="H2213" s="18" t="str">
        <x:v>否</x:v>
      </x:c>
      <x:c r="I2213" s="19" t="str">
        <x:v>DAILY_ENTRIES_EXITS</x:v>
      </x:c>
      <x:c r="J2213" s="19" t="str">
        <x:v>琴平線</x:v>
      </x:c>
      <x:c r="K2213" s="18" t="str">
        <x:v>transport-node:63c02e10-ebf0-5d9e-913e-747c8586c8bd</x:v>
      </x:c>
      <x:c r="L2213" s="19" t="str">
        <x:v>组件待审核</x:v>
      </x:c>
      <x:c r="M2213" s="21" t="n">
        <x:v>34.35073</x:v>
      </x:c>
      <x:c r="N2213" s="21" t="n">
        <x:v>134.04936</x:v>
      </x:c>
      <x:c r="O2213" s="18" t="str">
        <x:v>008162</x:v>
      </x:c>
      <x:c r="P2213" s="18" t="str">
        <x:v>琴平線</x:v>
      </x:c>
      <x:c r="Q2213" s="19" t="str">
        <x:v>S12_061_GE_10000</x:v>
      </x:c>
      <x:c r="R2213" s="19" t="str">
        <x:v>S12_061 usage threshold</x:v>
      </x:c>
      <x:c r="S2213" s="19" t="str">
        <x:v>https://nlftp.mlit.go.jp/ksj/gml/datalist/KsjTmplt-S12-2024.html</x:v>
      </x:c>
      <x:c r="T2213" s="19" t="str">
        <x:v>https://nlftp.mlit.go.jp/ksj/gml/datalist/KsjTmplt-S12-2024.html</x:v>
      </x:c>
      <x:c r="U2213" s="19" t="str">
        <x:v>station-component|高松築港|高松琴平電気鉄道|private_rail|34.3507|134.0494|</x:v>
      </x:c>
      <x:c r="V2213" s="19" t="str">
        <x:v>008162 / 008162 / 琴平線</x:v>
      </x:c>
      <x:c r="W2213" s="18" t="str">
        <x:v>否</x:v>
      </x:c>
      <x:c r="X2213" s="18" t="str">
        <x:v>0785e932a32b3ec15e1a1345537ae145eafe1c07bf38d5c16c11ee2b391e7a28</x:v>
      </x:c>
      <x:c r="Y2213" s="20" t="n">
        <x:v>1</x:v>
      </x:c>
      <x:c r="Z2213" s="20" t="n">
        <x:v>1</x:v>
      </x:c>
      <x:c r="AA2213" s="19"/>
      <x:c r="AB2213" s="18"/>
      <x:c r="AC2213" s="19"/>
    </x:row>
    <x:row r="2214" ht="28" customHeight="1">
      <x:c r="A2214" s="18" t="str">
        <x:v>高柳</x:v>
      </x:c>
      <x:c r="B2214" s="18" t="str">
        <x:v>東武鉄道</x:v>
      </x:c>
      <x:c r="C2214" s="18" t="str">
        <x:v>private_rail</x:v>
      </x:c>
      <x:c r="D2214" s="19" t="str">
        <x:v>T2</x:v>
      </x:c>
      <x:c r="E2214" s="20" t="n">
        <x:v>15899</x:v>
      </x:c>
      <x:c r="F2214" s="18" t="str">
        <x:v>persons/day</x:v>
      </x:c>
      <x:c r="G2214" s="18" t="str">
        <x:v>FY2024</x:v>
      </x:c>
      <x:c r="H2214" s="18" t="str">
        <x:v>否</x:v>
      </x:c>
      <x:c r="I2214" s="19" t="str">
        <x:v>DAILY_ENTRIES_EXITS</x:v>
      </x:c>
      <x:c r="J2214" s="19" t="str">
        <x:v>野田線</x:v>
      </x:c>
      <x:c r="K2214" s="18" t="str">
        <x:v>transport-node:4779fef5-2339-532f-8529-765a8c78e8ec</x:v>
      </x:c>
      <x:c r="L2214" s="19" t="str">
        <x:v>组件待审核</x:v>
      </x:c>
      <x:c r="M2214" s="21" t="n">
        <x:v>35.808305</x:v>
      </x:c>
      <x:c r="N2214" s="21" t="n">
        <x:v>139.99898</x:v>
      </x:c>
      <x:c r="O2214" s="18" t="str">
        <x:v>003070</x:v>
      </x:c>
      <x:c r="P2214" s="18" t="str">
        <x:v>野田線</x:v>
      </x:c>
      <x:c r="Q2214" s="19" t="str">
        <x:v>S12_061_GE_10000</x:v>
      </x:c>
      <x:c r="R2214" s="19" t="str">
        <x:v>S12_061 usage threshold</x:v>
      </x:c>
      <x:c r="S2214" s="19" t="str">
        <x:v>https://nlftp.mlit.go.jp/ksj/gml/datalist/KsjTmplt-S12-2024.html</x:v>
      </x:c>
      <x:c r="T2214" s="19" t="str">
        <x:v>https://nlftp.mlit.go.jp/ksj/gml/datalist/KsjTmplt-S12-2024.html</x:v>
      </x:c>
      <x:c r="U2214" s="19" t="str">
        <x:v>station-component|高柳|東武鉄道|private_rail|35.8083|139.9990|</x:v>
      </x:c>
      <x:c r="V2214" s="19" t="str">
        <x:v>003070 / 003070 / 野田線</x:v>
      </x:c>
      <x:c r="W2214" s="18" t="str">
        <x:v>否</x:v>
      </x:c>
      <x:c r="X2214" s="18" t="str">
        <x:v>0785e932a32b3ec15e1a1345537ae145eafe1c07bf38d5c16c11ee2b391e7a28</x:v>
      </x:c>
      <x:c r="Y2214" s="20" t="n">
        <x:v>1</x:v>
      </x:c>
      <x:c r="Z2214" s="20" t="n">
        <x:v>1</x:v>
      </x:c>
      <x:c r="AA2214" s="19"/>
      <x:c r="AB2214" s="18"/>
      <x:c r="AC2214" s="19"/>
    </x:row>
    <x:row r="2215" ht="28" customHeight="1">
      <x:c r="A2215" s="18" t="str">
        <x:v>高根公団</x:v>
      </x:c>
      <x:c r="B2215" s="18" t="str">
        <x:v>新京成電鉄</x:v>
      </x:c>
      <x:c r="C2215" s="18" t="str">
        <x:v>private_rail</x:v>
      </x:c>
      <x:c r="D2215" s="19" t="str">
        <x:v>T2</x:v>
      </x:c>
      <x:c r="E2215" s="20" t="n">
        <x:v>14886</x:v>
      </x:c>
      <x:c r="F2215" s="18" t="str">
        <x:v>persons/day</x:v>
      </x:c>
      <x:c r="G2215" s="18" t="str">
        <x:v>FY2024</x:v>
      </x:c>
      <x:c r="H2215" s="18" t="str">
        <x:v>否</x:v>
      </x:c>
      <x:c r="I2215" s="19" t="str">
        <x:v>DAILY_ENTRIES_EXITS</x:v>
      </x:c>
      <x:c r="J2215" s="19" t="str">
        <x:v>新京成線</x:v>
      </x:c>
      <x:c r="K2215" s="18" t="str">
        <x:v>transport-node:53ecc1c5-0359-572e-b334-c19b714a1a65</x:v>
      </x:c>
      <x:c r="L2215" s="19" t="str">
        <x:v>组件待审核</x:v>
      </x:c>
      <x:c r="M2215" s="21" t="n">
        <x:v>35.73042</x:v>
      </x:c>
      <x:c r="N2215" s="21" t="n">
        <x:v>140.029435</x:v>
      </x:c>
      <x:c r="O2215" s="18" t="str">
        <x:v>003388</x:v>
      </x:c>
      <x:c r="P2215" s="18" t="str">
        <x:v>新京成線</x:v>
      </x:c>
      <x:c r="Q2215" s="19" t="str">
        <x:v>S12_061_GE_10000</x:v>
      </x:c>
      <x:c r="R2215" s="19" t="str">
        <x:v>S12_061 usage threshold</x:v>
      </x:c>
      <x:c r="S2215" s="19" t="str">
        <x:v>https://nlftp.mlit.go.jp/ksj/gml/datalist/KsjTmplt-S12-2024.html</x:v>
      </x:c>
      <x:c r="T2215" s="19" t="str">
        <x:v>https://nlftp.mlit.go.jp/ksj/gml/datalist/KsjTmplt-S12-2024.html</x:v>
      </x:c>
      <x:c r="U2215" s="19" t="str">
        <x:v>station-component|高根公団|新京成電鉄|private_rail|35.7304|140.0294|</x:v>
      </x:c>
      <x:c r="V2215" s="19" t="str">
        <x:v>003388 / 003388 / 新京成線</x:v>
      </x:c>
      <x:c r="W2215" s="18" t="str">
        <x:v>否</x:v>
      </x:c>
      <x:c r="X2215" s="18" t="str">
        <x:v>0785e932a32b3ec15e1a1345537ae145eafe1c07bf38d5c16c11ee2b391e7a28</x:v>
      </x:c>
      <x:c r="Y2215" s="20" t="n">
        <x:v>1</x:v>
      </x:c>
      <x:c r="Z2215" s="20" t="n">
        <x:v>1</x:v>
      </x:c>
      <x:c r="AA2215" s="19"/>
      <x:c r="AB2215" s="18"/>
      <x:c r="AC2215" s="19"/>
    </x:row>
    <x:row r="2216" ht="28" customHeight="1">
      <x:c r="A2216" s="18" t="str">
        <x:v>高槻</x:v>
      </x:c>
      <x:c r="B2216" s="18" t="str">
        <x:v>西日本旅客鉄道</x:v>
      </x:c>
      <x:c r="C2216" s="18" t="str">
        <x:v>conventional_rail</x:v>
      </x:c>
      <x:c r="D2216" s="19" t="str">
        <x:v>T1</x:v>
      </x:c>
      <x:c r="E2216" s="20" t="n">
        <x:v>116852</x:v>
      </x:c>
      <x:c r="F2216" s="18" t="str">
        <x:v>persons/day</x:v>
      </x:c>
      <x:c r="G2216" s="18" t="str">
        <x:v>FY2024</x:v>
      </x:c>
      <x:c r="H2216" s="18" t="str">
        <x:v>否</x:v>
      </x:c>
      <x:c r="I2216" s="19" t="str">
        <x:v>DAILY_ENTRIES_EXITS</x:v>
      </x:c>
      <x:c r="J2216" s="19" t="str">
        <x:v>東海道線</x:v>
      </x:c>
      <x:c r="K2216" s="18" t="str">
        <x:v>transport-node:e2732add-c1d8-56e3-881c-242dc2937150</x:v>
      </x:c>
      <x:c r="L2216" s="19" t="str">
        <x:v>组件待审核</x:v>
      </x:c>
      <x:c r="M2216" s="21" t="n">
        <x:v>34.851245</x:v>
      </x:c>
      <x:c r="N2216" s="21" t="n">
        <x:v>135.61711</x:v>
      </x:c>
      <x:c r="O2216" s="18" t="str">
        <x:v>006432</x:v>
      </x:c>
      <x:c r="P2216" s="18" t="str">
        <x:v>東海道線</x:v>
      </x:c>
      <x:c r="Q2216" s="19" t="str">
        <x:v>S12_061_GE_10000</x:v>
      </x:c>
      <x:c r="R2216" s="19" t="str">
        <x:v>S12_061 usage threshold</x:v>
      </x:c>
      <x:c r="S2216" s="19" t="str">
        <x:v>https://nlftp.mlit.go.jp/ksj/gml/datalist/KsjTmplt-S12-2024.html</x:v>
      </x:c>
      <x:c r="T2216" s="19" t="str">
        <x:v>https://nlftp.mlit.go.jp/ksj/gml/datalist/KsjTmplt-S12-2024.html</x:v>
      </x:c>
      <x:c r="U2216" s="19" t="str">
        <x:v>station-component|高槻|西日本旅客鉄道|conventional_rail|34.8512|135.6171|</x:v>
      </x:c>
      <x:c r="V2216" s="19" t="str">
        <x:v>006432 / 006432 / 東海道線</x:v>
      </x:c>
      <x:c r="W2216" s="18" t="str">
        <x:v>否</x:v>
      </x:c>
      <x:c r="X2216" s="18" t="str">
        <x:v>0785e932a32b3ec15e1a1345537ae145eafe1c07bf38d5c16c11ee2b391e7a28</x:v>
      </x:c>
      <x:c r="Y2216" s="20" t="n">
        <x:v>1</x:v>
      </x:c>
      <x:c r="Z2216" s="20" t="n">
        <x:v>1</x:v>
      </x:c>
      <x:c r="AA2216" s="19"/>
      <x:c r="AB2216" s="18"/>
      <x:c r="AC2216" s="19"/>
    </x:row>
    <x:row r="2217" ht="28" customHeight="1">
      <x:c r="A2217" s="18" t="str">
        <x:v>高槻市</x:v>
      </x:c>
      <x:c r="B2217" s="18" t="str">
        <x:v>阪急電鉄</x:v>
      </x:c>
      <x:c r="C2217" s="18" t="str">
        <x:v>private_rail</x:v>
      </x:c>
      <x:c r="D2217" s="19" t="str">
        <x:v>T1</x:v>
      </x:c>
      <x:c r="E2217" s="20" t="n">
        <x:v>55747</x:v>
      </x:c>
      <x:c r="F2217" s="18" t="str">
        <x:v>persons/day</x:v>
      </x:c>
      <x:c r="G2217" s="18" t="str">
        <x:v>FY2024</x:v>
      </x:c>
      <x:c r="H2217" s="18" t="str">
        <x:v>否</x:v>
      </x:c>
      <x:c r="I2217" s="19" t="str">
        <x:v>DAILY_ENTRIES_EXITS</x:v>
      </x:c>
      <x:c r="J2217" s="19" t="str">
        <x:v>京都線</x:v>
      </x:c>
      <x:c r="K2217" s="18" t="str">
        <x:v>transport-node:d971fc34-979d-56b6-b32e-a4db8926ea69</x:v>
      </x:c>
      <x:c r="L2217" s="19" t="str">
        <x:v>组件待审核</x:v>
      </x:c>
      <x:c r="M2217" s="21" t="n">
        <x:v>34.849825</x:v>
      </x:c>
      <x:c r="N2217" s="21" t="n">
        <x:v>135.623145</x:v>
      </x:c>
      <x:c r="O2217" s="18" t="str">
        <x:v>006440</x:v>
      </x:c>
      <x:c r="P2217" s="18" t="str">
        <x:v>京都線</x:v>
      </x:c>
      <x:c r="Q2217" s="19" t="str">
        <x:v>S12_061_GE_10000</x:v>
      </x:c>
      <x:c r="R2217" s="19" t="str">
        <x:v>S12_061 usage threshold</x:v>
      </x:c>
      <x:c r="S2217" s="19" t="str">
        <x:v>https://nlftp.mlit.go.jp/ksj/gml/datalist/KsjTmplt-S12-2024.html</x:v>
      </x:c>
      <x:c r="T2217" s="19" t="str">
        <x:v>https://nlftp.mlit.go.jp/ksj/gml/datalist/KsjTmplt-S12-2024.html</x:v>
      </x:c>
      <x:c r="U2217" s="19" t="str">
        <x:v>station-component|高槻市|阪急電鉄|private_rail|34.8498|135.6231|</x:v>
      </x:c>
      <x:c r="V2217" s="19" t="str">
        <x:v>006440 / 006440 / 京都線</x:v>
      </x:c>
      <x:c r="W2217" s="18" t="str">
        <x:v>否</x:v>
      </x:c>
      <x:c r="X2217" s="18" t="str">
        <x:v>0785e932a32b3ec15e1a1345537ae145eafe1c07bf38d5c16c11ee2b391e7a28</x:v>
      </x:c>
      <x:c r="Y2217" s="20" t="n">
        <x:v>1</x:v>
      </x:c>
      <x:c r="Z2217" s="20" t="n">
        <x:v>1</x:v>
      </x:c>
      <x:c r="AA2217" s="19"/>
      <x:c r="AB2217" s="18"/>
      <x:c r="AC2217" s="19"/>
    </x:row>
    <x:row r="2218" ht="28" customHeight="1">
      <x:c r="A2218" s="18" t="str">
        <x:v>高津</x:v>
      </x:c>
      <x:c r="B2218" s="18" t="str">
        <x:v>東急電鉄</x:v>
      </x:c>
      <x:c r="C2218" s="18" t="str">
        <x:v>private_rail</x:v>
      </x:c>
      <x:c r="D2218" s="19" t="str">
        <x:v>T2</x:v>
      </x:c>
      <x:c r="E2218" s="20" t="n">
        <x:v>28557</x:v>
      </x:c>
      <x:c r="F2218" s="18" t="str">
        <x:v>persons/day</x:v>
      </x:c>
      <x:c r="G2218" s="18" t="str">
        <x:v>FY2024</x:v>
      </x:c>
      <x:c r="H2218" s="18" t="str">
        <x:v>否</x:v>
      </x:c>
      <x:c r="I2218" s="19" t="str">
        <x:v>DAILY_ENTRIES_EXITS</x:v>
      </x:c>
      <x:c r="J2218" s="19" t="str">
        <x:v>田園都市線</x:v>
      </x:c>
      <x:c r="K2218" s="18" t="str">
        <x:v>transport-node:4766e508-07f7-5aa0-a805-1e96f8c1eb7c</x:v>
      </x:c>
      <x:c r="L2218" s="19" t="str">
        <x:v>组件待审核</x:v>
      </x:c>
      <x:c r="M2218" s="21" t="n">
        <x:v>35.60346</x:v>
      </x:c>
      <x:c r="N2218" s="21" t="n">
        <x:v>139.617665</x:v>
      </x:c>
      <x:c r="O2218" s="18" t="str">
        <x:v>004230</x:v>
      </x:c>
      <x:c r="P2218" s="18" t="str">
        <x:v>田園都市線</x:v>
      </x:c>
      <x:c r="Q2218" s="19" t="str">
        <x:v>S12_061_GE_10000</x:v>
      </x:c>
      <x:c r="R2218" s="19" t="str">
        <x:v>S12_061 usage threshold</x:v>
      </x:c>
      <x:c r="S2218" s="19" t="str">
        <x:v>https://nlftp.mlit.go.jp/ksj/gml/datalist/KsjTmplt-S12-2024.html</x:v>
      </x:c>
      <x:c r="T2218" s="19" t="str">
        <x:v>https://nlftp.mlit.go.jp/ksj/gml/datalist/KsjTmplt-S12-2024.html</x:v>
      </x:c>
      <x:c r="U2218" s="19" t="str">
        <x:v>station-component|高津|東急電鉄|private_rail|35.6035|139.6177|</x:v>
      </x:c>
      <x:c r="V2218" s="19" t="str">
        <x:v>004230 / 004230 / 田園都市線</x:v>
      </x:c>
      <x:c r="W2218" s="18" t="str">
        <x:v>否</x:v>
      </x:c>
      <x:c r="X2218" s="18" t="str">
        <x:v>0785e932a32b3ec15e1a1345537ae145eafe1c07bf38d5c16c11ee2b391e7a28</x:v>
      </x:c>
      <x:c r="Y2218" s="20" t="n">
        <x:v>1</x:v>
      </x:c>
      <x:c r="Z2218" s="20" t="n">
        <x:v>1</x:v>
      </x:c>
      <x:c r="AA2218" s="19"/>
      <x:c r="AB2218" s="18"/>
      <x:c r="AC2218" s="19"/>
    </x:row>
    <x:row r="2219" ht="33" customHeight="1">
      <x:c r="A2219" s="18" t="str">
        <x:v>高田馬場</x:v>
      </x:c>
      <x:c r="B2219" s="18" t="str">
        <x:v>東京地下鉄</x:v>
      </x:c>
      <x:c r="C2219" s="18" t="str">
        <x:v>metro</x:v>
      </x:c>
      <x:c r="D2219" s="19" t="str">
        <x:v>T1</x:v>
      </x:c>
      <x:c r="E2219" s="20" t="n">
        <x:v>175766</x:v>
      </x:c>
      <x:c r="F2219" s="18" t="str">
        <x:v>persons/day</x:v>
      </x:c>
      <x:c r="G2219" s="18" t="str">
        <x:v>FY2024</x:v>
      </x:c>
      <x:c r="H2219" s="18" t="str">
        <x:v>否</x:v>
      </x:c>
      <x:c r="I2219" s="19" t="str">
        <x:v>DAILY_ENTRIES_EXITS</x:v>
      </x:c>
      <x:c r="J2219" s="19" t="str">
        <x:v>5号線東西線</x:v>
      </x:c>
      <x:c r="K2219" s="18" t="str">
        <x:v>transport-node:4830faab-986d-5778-82f1-8416eb14b794</x:v>
      </x:c>
      <x:c r="L2219" s="19" t="str">
        <x:v>组件待审核</x:v>
      </x:c>
      <x:c r="M2219" s="21" t="n">
        <x:v>35.71328</x:v>
      </x:c>
      <x:c r="N2219" s="21" t="n">
        <x:v>139.705045</x:v>
      </x:c>
      <x:c r="O2219" s="18" t="str">
        <x:v>003506</x:v>
      </x:c>
      <x:c r="P2219" s="18" t="str">
        <x:v>5号線東西線</x:v>
      </x:c>
      <x:c r="Q2219" s="19" t="str">
        <x:v>S12_061_GE_10000
OFFICIAL_HUB_COMPONENT_REVIEW</x:v>
      </x:c>
      <x:c r="R2219" s="19" t="str">
        <x:v>S12_061 usage threshold</x:v>
      </x:c>
      <x:c r="S2219" s="19" t="str">
        <x:v>https://nlftp.mlit.go.jp/ksj/gml/datalist/KsjTmplt-S12-2024.html</x:v>
      </x:c>
      <x:c r="T2219" s="19" t="str">
        <x:v>https://nlftp.mlit.go.jp/ksj/gml/datalist/KsjTmplt-S12-2024.html
https://www.tokyometro.jp/station/takadanobaba/index.html</x:v>
      </x:c>
      <x:c r="U2219" s="19" t="str">
        <x:v>station-component|高田馬場|東京地下鉄|metro|35.7133|139.7050|</x:v>
      </x:c>
      <x:c r="V2219" s="19" t="str">
        <x:v>003508 / 003506 / 5号線東西線</x:v>
      </x:c>
      <x:c r="W2219" s="18" t="str">
        <x:v>否</x:v>
      </x:c>
      <x:c r="X2219" s="18" t="str">
        <x:v>0785e932a32b3ec15e1a1345537ae145eafe1c07bf38d5c16c11ee2b391e7a28</x:v>
      </x:c>
      <x:c r="Y2219" s="20" t="n">
        <x:v>1</x:v>
      </x:c>
      <x:c r="Z2219" s="20" t="n">
        <x:v>1</x:v>
      </x:c>
      <x:c r="AA2219" s="19" t="str">
        <x:v>高田馬場</x:v>
      </x:c>
      <x:c r="AB2219" s="18" t="str">
        <x:v>transport-hub-review:74a95430-fdf7-50e8-83e4-12a7c0c0560e</x:v>
      </x:c>
      <x:c r="AC2219" s="19"/>
    </x:row>
    <x:row r="2220" ht="33" customHeight="1">
      <x:c r="A2220" s="18" t="str">
        <x:v>高田馬場</x:v>
      </x:c>
      <x:c r="B2220" s="18" t="str">
        <x:v>東日本旅客鉄道</x:v>
      </x:c>
      <x:c r="C2220" s="18" t="str">
        <x:v>conventional_rail</x:v>
      </x:c>
      <x:c r="D2220" s="19" t="str">
        <x:v>T0</x:v>
      </x:c>
      <x:c r="E2220" s="20" t="n">
        <x:v>359332</x:v>
      </x:c>
      <x:c r="F2220" s="18" t="str">
        <x:v>persons/day</x:v>
      </x:c>
      <x:c r="G2220" s="18" t="str">
        <x:v>FY2024</x:v>
      </x:c>
      <x:c r="H2220" s="18" t="str">
        <x:v>否</x:v>
      </x:c>
      <x:c r="I2220" s="19" t="str">
        <x:v>DAILY_ENTRIES_EXITS</x:v>
      </x:c>
      <x:c r="J2220" s="19" t="str">
        <x:v>山手線</x:v>
      </x:c>
      <x:c r="K2220" s="18" t="str">
        <x:v>transport-node:7424bc97-60b2-5c5c-81b8-011851f52840</x:v>
      </x:c>
      <x:c r="L2220" s="19" t="str">
        <x:v>组件待审核</x:v>
      </x:c>
      <x:c r="M2220" s="21" t="n">
        <x:v>35.7133125</x:v>
      </x:c>
      <x:c r="N2220" s="21" t="n">
        <x:v>139.703965</x:v>
      </x:c>
      <x:c r="O2220" s="18" t="str">
        <x:v>003508</x:v>
      </x:c>
      <x:c r="P2220" s="18" t="str">
        <x:v>山手線</x:v>
      </x:c>
      <x:c r="Q2220" s="19" t="str">
        <x:v>S12_061_GE_10000
OFFICIAL_HUB_COMPONENT_REVIEW</x:v>
      </x:c>
      <x:c r="R2220" s="19" t="str">
        <x:v>S12_061 usage threshold</x:v>
      </x:c>
      <x:c r="S2220" s="19" t="str">
        <x:v>https://nlftp.mlit.go.jp/ksj/gml/datalist/KsjTmplt-S12-2024.html</x:v>
      </x:c>
      <x:c r="T2220" s="19" t="str">
        <x:v>https://nlftp.mlit.go.jp/ksj/gml/datalist/KsjTmplt-S12-2024.html
https://www.tokyometro.jp/station/takadanobaba/index.html</x:v>
      </x:c>
      <x:c r="U2220" s="19" t="str">
        <x:v>station-component|高田馬場|東日本旅客鉄道|conventional_rail|35.7133|139.7040|</x:v>
      </x:c>
      <x:c r="V2220" s="19" t="str">
        <x:v>003508 / 003508 / 山手線</x:v>
      </x:c>
      <x:c r="W2220" s="18" t="str">
        <x:v>否</x:v>
      </x:c>
      <x:c r="X2220" s="18" t="str">
        <x:v>0785e932a32b3ec15e1a1345537ae145eafe1c07bf38d5c16c11ee2b391e7a28</x:v>
      </x:c>
      <x:c r="Y2220" s="20" t="n">
        <x:v>1</x:v>
      </x:c>
      <x:c r="Z2220" s="20" t="n">
        <x:v>1</x:v>
      </x:c>
      <x:c r="AA2220" s="19" t="str">
        <x:v>高田馬場</x:v>
      </x:c>
      <x:c r="AB2220" s="18" t="str">
        <x:v>transport-hub-review:74a95430-fdf7-50e8-83e4-12a7c0c0560e</x:v>
      </x:c>
      <x:c r="AC2220" s="19"/>
    </x:row>
    <x:row r="2221" ht="33" customHeight="1">
      <x:c r="A2221" s="18" t="str">
        <x:v>高田馬場</x:v>
      </x:c>
      <x:c r="B2221" s="18" t="str">
        <x:v>西武鉄道</x:v>
      </x:c>
      <x:c r="C2221" s="18" t="str">
        <x:v>private_rail</x:v>
      </x:c>
      <x:c r="D2221" s="19" t="str">
        <x:v>T0</x:v>
      </x:c>
      <x:c r="E2221" s="20" t="n">
        <x:v>274114</x:v>
      </x:c>
      <x:c r="F2221" s="18" t="str">
        <x:v>persons/day</x:v>
      </x:c>
      <x:c r="G2221" s="18" t="str">
        <x:v>FY2024</x:v>
      </x:c>
      <x:c r="H2221" s="18" t="str">
        <x:v>否</x:v>
      </x:c>
      <x:c r="I2221" s="19" t="str">
        <x:v>DAILY_ENTRIES_EXITS</x:v>
      </x:c>
      <x:c r="J2221" s="19" t="str">
        <x:v>新宿線</x:v>
      </x:c>
      <x:c r="K2221" s="18" t="str">
        <x:v>transport-node:f3b163a7-794a-5b73-8c04-057ba511adc9</x:v>
      </x:c>
      <x:c r="L2221" s="19" t="str">
        <x:v>组件待审核</x:v>
      </x:c>
      <x:c r="M2221" s="21" t="n">
        <x:v>35.7124833</x:v>
      </x:c>
      <x:c r="N2221" s="21" t="n">
        <x:v>139.704</x:v>
      </x:c>
      <x:c r="O2221" s="18" t="str">
        <x:v>003510</x:v>
      </x:c>
      <x:c r="P2221" s="18" t="str">
        <x:v>新宿線</x:v>
      </x:c>
      <x:c r="Q2221" s="19" t="str">
        <x:v>S12_061_GE_10000
OFFICIAL_HUB_COMPONENT_REVIEW</x:v>
      </x:c>
      <x:c r="R2221" s="19" t="str">
        <x:v>S12_061 usage threshold</x:v>
      </x:c>
      <x:c r="S2221" s="19" t="str">
        <x:v>https://nlftp.mlit.go.jp/ksj/gml/datalist/KsjTmplt-S12-2024.html</x:v>
      </x:c>
      <x:c r="T2221" s="19" t="str">
        <x:v>https://nlftp.mlit.go.jp/ksj/gml/datalist/KsjTmplt-S12-2024.html
https://www.tokyometro.jp/station/takadanobaba/index.html</x:v>
      </x:c>
      <x:c r="U2221" s="19" t="str">
        <x:v>station-component|高田馬場|西武鉄道|private_rail|35.7125|139.7040|</x:v>
      </x:c>
      <x:c r="V2221" s="19" t="str">
        <x:v>003508 / 003510 / 新宿線</x:v>
      </x:c>
      <x:c r="W2221" s="18" t="str">
        <x:v>否</x:v>
      </x:c>
      <x:c r="X2221" s="18" t="str">
        <x:v>0785e932a32b3ec15e1a1345537ae145eafe1c07bf38d5c16c11ee2b391e7a28</x:v>
      </x:c>
      <x:c r="Y2221" s="20" t="n">
        <x:v>1</x:v>
      </x:c>
      <x:c r="Z2221" s="20" t="n">
        <x:v>1</x:v>
      </x:c>
      <x:c r="AA2221" s="19" t="str">
        <x:v>高田馬場</x:v>
      </x:c>
      <x:c r="AB2221" s="18" t="str">
        <x:v>transport-hub-review:74a95430-fdf7-50e8-83e4-12a7c0c0560e</x:v>
      </x:c>
      <x:c r="AC2221" s="19"/>
    </x:row>
    <x:row r="2222" ht="28" customHeight="1">
      <x:c r="A2222" s="18" t="str">
        <x:v>高畑</x:v>
      </x:c>
      <x:c r="B2222" s="18" t="str">
        <x:v>名古屋市</x:v>
      </x:c>
      <x:c r="C2222" s="18" t="str">
        <x:v>metro</x:v>
      </x:c>
      <x:c r="D2222" s="19" t="str">
        <x:v>T2</x:v>
      </x:c>
      <x:c r="E2222" s="20" t="n">
        <x:v>20112</x:v>
      </x:c>
      <x:c r="F2222" s="18" t="str">
        <x:v>persons/day</x:v>
      </x:c>
      <x:c r="G2222" s="18" t="str">
        <x:v>FY2024</x:v>
      </x:c>
      <x:c r="H2222" s="18" t="str">
        <x:v>否</x:v>
      </x:c>
      <x:c r="I2222" s="19" t="str">
        <x:v>DAILY_ENTRIES_EXITS</x:v>
      </x:c>
      <x:c r="J2222" s="19" t="str">
        <x:v>1号線東山線</x:v>
      </x:c>
      <x:c r="K2222" s="18" t="str">
        <x:v>transport-node:7ed5c59e-8452-5837-891a-4701c5fb05a2</x:v>
      </x:c>
      <x:c r="L2222" s="19" t="str">
        <x:v>组件待审核</x:v>
      </x:c>
      <x:c r="M2222" s="21" t="n">
        <x:v>35.1391</x:v>
      </x:c>
      <x:c r="N2222" s="21" t="n">
        <x:v>136.8535133</x:v>
      </x:c>
      <x:c r="O2222" s="18" t="str">
        <x:v>005564</x:v>
      </x:c>
      <x:c r="P2222" s="18" t="str">
        <x:v>1号線東山線</x:v>
      </x:c>
      <x:c r="Q2222" s="19" t="str">
        <x:v>S12_061_GE_10000</x:v>
      </x:c>
      <x:c r="R2222" s="19" t="str">
        <x:v>S12_061 usage threshold</x:v>
      </x:c>
      <x:c r="S2222" s="19" t="str">
        <x:v>https://nlftp.mlit.go.jp/ksj/gml/datalist/KsjTmplt-S12-2024.html</x:v>
      </x:c>
      <x:c r="T2222" s="19" t="str">
        <x:v>https://nlftp.mlit.go.jp/ksj/gml/datalist/KsjTmplt-S12-2024.html</x:v>
      </x:c>
      <x:c r="U2222" s="19" t="str">
        <x:v>station-component|高畑|名古屋市|metro|35.1391|136.8535|</x:v>
      </x:c>
      <x:c r="V2222" s="19" t="str">
        <x:v>005564 / 005564 / 1号線東山線</x:v>
      </x:c>
      <x:c r="W2222" s="18" t="str">
        <x:v>否</x:v>
      </x:c>
      <x:c r="X2222" s="18" t="str">
        <x:v>0785e932a32b3ec15e1a1345537ae145eafe1c07bf38d5c16c11ee2b391e7a28</x:v>
      </x:c>
      <x:c r="Y2222" s="20" t="n">
        <x:v>1</x:v>
      </x:c>
      <x:c r="Z2222" s="20" t="n">
        <x:v>1</x:v>
      </x:c>
      <x:c r="AA2222" s="19"/>
      <x:c r="AB2222" s="18"/>
      <x:c r="AC2222" s="19"/>
    </x:row>
    <x:row r="2223" ht="28" customHeight="1">
      <x:c r="A2223" s="18" t="str">
        <x:v>高蔵寺</x:v>
      </x:c>
      <x:c r="B2223" s="18" t="str">
        <x:v>東海旅客鉄道</x:v>
      </x:c>
      <x:c r="C2223" s="18" t="str">
        <x:v>conventional_rail</x:v>
      </x:c>
      <x:c r="D2223" s="19" t="str">
        <x:v>T2</x:v>
      </x:c>
      <x:c r="E2223" s="20" t="n">
        <x:v>48087</x:v>
      </x:c>
      <x:c r="F2223" s="18" t="str">
        <x:v>persons/day</x:v>
      </x:c>
      <x:c r="G2223" s="18" t="str">
        <x:v>FY2024</x:v>
      </x:c>
      <x:c r="H2223" s="18" t="str">
        <x:v>否</x:v>
      </x:c>
      <x:c r="I2223" s="19" t="str">
        <x:v>DAILY_ENTRIES_EXITS</x:v>
      </x:c>
      <x:c r="J2223" s="19" t="str">
        <x:v>中央線</x:v>
      </x:c>
      <x:c r="K2223" s="18" t="str">
        <x:v>transport-node:bd3423dd-9441-5226-9ebf-f4f52d2f2572</x:v>
      </x:c>
      <x:c r="L2223" s="19" t="str">
        <x:v>组件待审核</x:v>
      </x:c>
      <x:c r="M2223" s="21" t="n">
        <x:v>35.2644</x:v>
      </x:c>
      <x:c r="N2223" s="21" t="n">
        <x:v>137.043255</x:v>
      </x:c>
      <x:c r="O2223" s="18" t="str">
        <x:v>005194</x:v>
      </x:c>
      <x:c r="P2223" s="18" t="str">
        <x:v>中央線</x:v>
      </x:c>
      <x:c r="Q2223" s="19" t="str">
        <x:v>S12_061_GE_10000</x:v>
      </x:c>
      <x:c r="R2223" s="19" t="str">
        <x:v>S12_061 usage threshold</x:v>
      </x:c>
      <x:c r="S2223" s="19" t="str">
        <x:v>https://nlftp.mlit.go.jp/ksj/gml/datalist/KsjTmplt-S12-2024.html</x:v>
      </x:c>
      <x:c r="T2223" s="19" t="str">
        <x:v>https://nlftp.mlit.go.jp/ksj/gml/datalist/KsjTmplt-S12-2024.html</x:v>
      </x:c>
      <x:c r="U2223" s="19" t="str">
        <x:v>station-component|高蔵寺|東海旅客鉄道|conventional_rail|35.2644|137.0433|</x:v>
      </x:c>
      <x:c r="V2223" s="19" t="str">
        <x:v>005194 / 005194 / 中央線</x:v>
      </x:c>
      <x:c r="W2223" s="18" t="str">
        <x:v>否</x:v>
      </x:c>
      <x:c r="X2223" s="18" t="str">
        <x:v>0785e932a32b3ec15e1a1345537ae145eafe1c07bf38d5c16c11ee2b391e7a28</x:v>
      </x:c>
      <x:c r="Y2223" s="20" t="n">
        <x:v>1</x:v>
      </x:c>
      <x:c r="Z2223" s="20" t="n">
        <x:v>1</x:v>
      </x:c>
      <x:c r="AA2223" s="19"/>
      <x:c r="AB2223" s="18"/>
      <x:c r="AC2223" s="19"/>
    </x:row>
    <x:row r="2224" ht="28" customHeight="1">
      <x:c r="A2224" s="18" t="str">
        <x:v>高輪ゲートウェイ</x:v>
      </x:c>
      <x:c r="B2224" s="18" t="str">
        <x:v>東日本旅客鉄道</x:v>
      </x:c>
      <x:c r="C2224" s="18" t="str">
        <x:v>conventional_rail</x:v>
      </x:c>
      <x:c r="D2224" s="19" t="str">
        <x:v>T2</x:v>
      </x:c>
      <x:c r="E2224" s="20" t="n">
        <x:v>28418</x:v>
      </x:c>
      <x:c r="F2224" s="18" t="str">
        <x:v>persons/day</x:v>
      </x:c>
      <x:c r="G2224" s="18" t="str">
        <x:v>FY2024</x:v>
      </x:c>
      <x:c r="H2224" s="18" t="str">
        <x:v>否</x:v>
      </x:c>
      <x:c r="I2224" s="19" t="str">
        <x:v>DAILY_ENTRIES_EXITS</x:v>
      </x:c>
      <x:c r="J2224" s="19" t="str">
        <x:v>東海道線</x:v>
      </x:c>
      <x:c r="K2224" s="18" t="str">
        <x:v>transport-node:ea7fee30-1b05-58aa-af77-776602faa980</x:v>
      </x:c>
      <x:c r="L2224" s="19" t="str">
        <x:v>组件待审核</x:v>
      </x:c>
      <x:c r="M2224" s="21" t="n">
        <x:v>35.6353787</x:v>
      </x:c>
      <x:c r="N2224" s="21" t="n">
        <x:v>139.7406445</x:v>
      </x:c>
      <x:c r="O2224" s="18" t="str">
        <x:v>004061</x:v>
      </x:c>
      <x:c r="P2224" s="18" t="str">
        <x:v>東海道線</x:v>
      </x:c>
      <x:c r="Q2224" s="19" t="str">
        <x:v>S12_061_GE_10000</x:v>
      </x:c>
      <x:c r="R2224" s="19" t="str">
        <x:v>S12_061 usage threshold</x:v>
      </x:c>
      <x:c r="S2224" s="19" t="str">
        <x:v>https://nlftp.mlit.go.jp/ksj/gml/datalist/KsjTmplt-S12-2024.html</x:v>
      </x:c>
      <x:c r="T2224" s="19" t="str">
        <x:v>https://nlftp.mlit.go.jp/ksj/gml/datalist/KsjTmplt-S12-2024.html</x:v>
      </x:c>
      <x:c r="U2224" s="19" t="str">
        <x:v>station-component|高輪ゲートウェイ|東日本旅客鉄道|conventional_rail|35.6354|139.7406|</x:v>
      </x:c>
      <x:c r="V2224" s="19" t="str">
        <x:v>004061 / 004061 / 東海道線</x:v>
      </x:c>
      <x:c r="W2224" s="18" t="str">
        <x:v>否</x:v>
      </x:c>
      <x:c r="X2224" s="18" t="str">
        <x:v>0785e932a32b3ec15e1a1345537ae145eafe1c07bf38d5c16c11ee2b391e7a28</x:v>
      </x:c>
      <x:c r="Y2224" s="20" t="n">
        <x:v>1</x:v>
      </x:c>
      <x:c r="Z2224" s="20" t="n">
        <x:v>1</x:v>
      </x:c>
      <x:c r="AA2224" s="19"/>
      <x:c r="AB2224" s="18"/>
      <x:c r="AC2224" s="19"/>
    </x:row>
    <x:row r="2225" ht="28" customHeight="1">
      <x:c r="A2225" s="18" t="str">
        <x:v>高輪台</x:v>
      </x:c>
      <x:c r="B2225" s="18" t="str">
        <x:v>東京都</x:v>
      </x:c>
      <x:c r="C2225" s="18" t="str">
        <x:v>metro</x:v>
      </x:c>
      <x:c r="D2225" s="19" t="str">
        <x:v>T2</x:v>
      </x:c>
      <x:c r="E2225" s="20" t="n">
        <x:v>13969</x:v>
      </x:c>
      <x:c r="F2225" s="18" t="str">
        <x:v>persons/day</x:v>
      </x:c>
      <x:c r="G2225" s="18" t="str">
        <x:v>FY2024</x:v>
      </x:c>
      <x:c r="H2225" s="18" t="str">
        <x:v>否</x:v>
      </x:c>
      <x:c r="I2225" s="19" t="str">
        <x:v>DAILY_ENTRIES_EXITS</x:v>
      </x:c>
      <x:c r="J2225" s="19" t="str">
        <x:v>1号線浅草線</x:v>
      </x:c>
      <x:c r="K2225" s="18" t="str">
        <x:v>transport-node:f280c1ee-5bfb-53ba-957b-feecacabdb96</x:v>
      </x:c>
      <x:c r="L2225" s="19" t="str">
        <x:v>组件待审核</x:v>
      </x:c>
      <x:c r="M2225" s="21" t="n">
        <x:v>35.631545</x:v>
      </x:c>
      <x:c r="N2225" s="21" t="n">
        <x:v>139.7301925</x:v>
      </x:c>
      <x:c r="O2225" s="18" t="str">
        <x:v>004079</x:v>
      </x:c>
      <x:c r="P2225" s="18" t="str">
        <x:v>1号線浅草線</x:v>
      </x:c>
      <x:c r="Q2225" s="19" t="str">
        <x:v>S12_061_GE_10000</x:v>
      </x:c>
      <x:c r="R2225" s="19" t="str">
        <x:v>S12_061 usage threshold</x:v>
      </x:c>
      <x:c r="S2225" s="19" t="str">
        <x:v>https://nlftp.mlit.go.jp/ksj/gml/datalist/KsjTmplt-S12-2024.html</x:v>
      </x:c>
      <x:c r="T2225" s="19" t="str">
        <x:v>https://nlftp.mlit.go.jp/ksj/gml/datalist/KsjTmplt-S12-2024.html</x:v>
      </x:c>
      <x:c r="U2225" s="19" t="str">
        <x:v>station-component|高輪台|東京都|metro|35.6315|139.7302|</x:v>
      </x:c>
      <x:c r="V2225" s="19" t="str">
        <x:v>004079 / 004079 / 1号線浅草線</x:v>
      </x:c>
      <x:c r="W2225" s="18" t="str">
        <x:v>否</x:v>
      </x:c>
      <x:c r="X2225" s="18" t="str">
        <x:v>0785e932a32b3ec15e1a1345537ae145eafe1c07bf38d5c16c11ee2b391e7a28</x:v>
      </x:c>
      <x:c r="Y2225" s="20" t="n">
        <x:v>1</x:v>
      </x:c>
      <x:c r="Z2225" s="20" t="n">
        <x:v>1</x:v>
      </x:c>
      <x:c r="AA2225" s="19"/>
      <x:c r="AB2225" s="18"/>
      <x:c r="AC2225" s="19"/>
    </x:row>
    <x:row r="2226" ht="28" customHeight="1">
      <x:c r="A2226" s="18" t="str">
        <x:v>高速神戸</x:v>
      </x:c>
      <x:c r="B2226" s="18" t="str">
        <x:v>阪神電気鉄道</x:v>
      </x:c>
      <x:c r="C2226" s="18" t="str">
        <x:v>private_rail</x:v>
      </x:c>
      <x:c r="D2226" s="19" t="str">
        <x:v>T2</x:v>
      </x:c>
      <x:c r="E2226" s="20" t="n">
        <x:v>27237</x:v>
      </x:c>
      <x:c r="F2226" s="18" t="str">
        <x:v>persons/day</x:v>
      </x:c>
      <x:c r="G2226" s="18" t="str">
        <x:v>FY2024</x:v>
      </x:c>
      <x:c r="H2226" s="18" t="str">
        <x:v>否</x:v>
      </x:c>
      <x:c r="I2226" s="19" t="str">
        <x:v>DAILY_ENTRIES_EXITS</x:v>
      </x:c>
      <x:c r="J2226" s="19" t="str">
        <x:v>神戸高速線</x:v>
      </x:c>
      <x:c r="K2226" s="18" t="str">
        <x:v>transport-node:2ce0f45b-4f33-57b4-9d71-80006f34528c</x:v>
      </x:c>
      <x:c r="L2226" s="19" t="str">
        <x:v>组件待审核</x:v>
      </x:c>
      <x:c r="M2226" s="21" t="n">
        <x:v>34.6799</x:v>
      </x:c>
      <x:c r="N2226" s="21" t="n">
        <x:v>135.175465</x:v>
      </x:c>
      <x:c r="O2226" s="18" t="str">
        <x:v>007217</x:v>
      </x:c>
      <x:c r="P2226" s="18" t="str">
        <x:v>神戸高速線</x:v>
      </x:c>
      <x:c r="Q2226" s="19" t="str">
        <x:v>S12_061_GE_10000</x:v>
      </x:c>
      <x:c r="R2226" s="19" t="str">
        <x:v>S12_061 usage threshold</x:v>
      </x:c>
      <x:c r="S2226" s="19" t="str">
        <x:v>https://nlftp.mlit.go.jp/ksj/gml/datalist/KsjTmplt-S12-2024.html</x:v>
      </x:c>
      <x:c r="T2226" s="19" t="str">
        <x:v>https://nlftp.mlit.go.jp/ksj/gml/datalist/KsjTmplt-S12-2024.html</x:v>
      </x:c>
      <x:c r="U2226" s="19" t="str">
        <x:v>station-component|高速神戸|阪神電気鉄道|private_rail|34.6799|135.1755|</x:v>
      </x:c>
      <x:c r="V2226" s="19" t="str">
        <x:v>007216 / 007217 / 神戸高速線</x:v>
      </x:c>
      <x:c r="W2226" s="18" t="str">
        <x:v>否</x:v>
      </x:c>
      <x:c r="X2226" s="18" t="str">
        <x:v>0785e932a32b3ec15e1a1345537ae145eafe1c07bf38d5c16c11ee2b391e7a28</x:v>
      </x:c>
      <x:c r="Y2226" s="20" t="n">
        <x:v>1</x:v>
      </x:c>
      <x:c r="Z2226" s="20" t="n">
        <x:v>1</x:v>
      </x:c>
      <x:c r="AA2226" s="19"/>
      <x:c r="AB2226" s="18"/>
      <x:c r="AC2226" s="19"/>
    </x:row>
    <x:row r="2227" ht="28" customHeight="1">
      <x:c r="A2227" s="18" t="str">
        <x:v>高速長田</x:v>
      </x:c>
      <x:c r="B2227" s="18" t="str">
        <x:v>阪神電気鉄道</x:v>
      </x:c>
      <x:c r="C2227" s="18" t="str">
        <x:v>private_rail</x:v>
      </x:c>
      <x:c r="D2227" s="19" t="str">
        <x:v>T2</x:v>
      </x:c>
      <x:c r="E2227" s="20" t="n">
        <x:v>15664</x:v>
      </x:c>
      <x:c r="F2227" s="18" t="str">
        <x:v>persons/day</x:v>
      </x:c>
      <x:c r="G2227" s="18" t="str">
        <x:v>FY2024</x:v>
      </x:c>
      <x:c r="H2227" s="18" t="str">
        <x:v>否</x:v>
      </x:c>
      <x:c r="I2227" s="19" t="str">
        <x:v>DAILY_ENTRIES_EXITS</x:v>
      </x:c>
      <x:c r="J2227" s="19" t="str">
        <x:v>神戸高速線</x:v>
      </x:c>
      <x:c r="K2227" s="18" t="str">
        <x:v>transport-node:137d62a8-900d-518e-b949-531e6e8c0be0</x:v>
      </x:c>
      <x:c r="L2227" s="19" t="str">
        <x:v>组件待审核</x:v>
      </x:c>
      <x:c r="M2227" s="21" t="n">
        <x:v>34.666916</x:v>
      </x:c>
      <x:c r="N2227" s="21" t="n">
        <x:v>135.150866</x:v>
      </x:c>
      <x:c r="O2227" s="18" t="str">
        <x:v>007315</x:v>
      </x:c>
      <x:c r="P2227" s="18" t="str">
        <x:v>神戸高速線</x:v>
      </x:c>
      <x:c r="Q2227" s="19" t="str">
        <x:v>S12_061_GE_10000</x:v>
      </x:c>
      <x:c r="R2227" s="19" t="str">
        <x:v>S12_061 usage threshold</x:v>
      </x:c>
      <x:c r="S2227" s="19" t="str">
        <x:v>https://nlftp.mlit.go.jp/ksj/gml/datalist/KsjTmplt-S12-2024.html</x:v>
      </x:c>
      <x:c r="T2227" s="19" t="str">
        <x:v>https://nlftp.mlit.go.jp/ksj/gml/datalist/KsjTmplt-S12-2024.html</x:v>
      </x:c>
      <x:c r="U2227" s="19" t="str">
        <x:v>station-component|高速長田|阪神電気鉄道|private_rail|34.6669|135.1509|</x:v>
      </x:c>
      <x:c r="V2227" s="19" t="str">
        <x:v>007315 / 007315 / 神戸高速線</x:v>
      </x:c>
      <x:c r="W2227" s="18" t="str">
        <x:v>否</x:v>
      </x:c>
      <x:c r="X2227" s="18" t="str">
        <x:v>0785e932a32b3ec15e1a1345537ae145eafe1c07bf38d5c16c11ee2b391e7a28</x:v>
      </x:c>
      <x:c r="Y2227" s="20" t="n">
        <x:v>1</x:v>
      </x:c>
      <x:c r="Z2227" s="20" t="n">
        <x:v>1</x:v>
      </x:c>
      <x:c r="AA2227" s="19"/>
      <x:c r="AB2227" s="18"/>
      <x:c r="AC2227" s="19"/>
    </x:row>
    <x:row r="2228" ht="28" customHeight="1">
      <x:c r="A2228" s="18" t="str">
        <x:v>魚住</x:v>
      </x:c>
      <x:c r="B2228" s="18" t="str">
        <x:v>西日本旅客鉄道</x:v>
      </x:c>
      <x:c r="C2228" s="18" t="str">
        <x:v>conventional_rail</x:v>
      </x:c>
      <x:c r="D2228" s="19" t="str">
        <x:v>T2</x:v>
      </x:c>
      <x:c r="E2228" s="20" t="n">
        <x:v>20508</x:v>
      </x:c>
      <x:c r="F2228" s="18" t="str">
        <x:v>persons/day</x:v>
      </x:c>
      <x:c r="G2228" s="18" t="str">
        <x:v>FY2024</x:v>
      </x:c>
      <x:c r="H2228" s="18" t="str">
        <x:v>否</x:v>
      </x:c>
      <x:c r="I2228" s="19" t="str">
        <x:v>DAILY_ENTRIES_EXITS</x:v>
      </x:c>
      <x:c r="J2228" s="19" t="str">
        <x:v>山陽線</x:v>
      </x:c>
      <x:c r="K2228" s="18" t="str">
        <x:v>transport-node:13878b82-41ef-54f5-9768-3367af659bb9</x:v>
      </x:c>
      <x:c r="L2228" s="19" t="str">
        <x:v>组件待审核</x:v>
      </x:c>
      <x:c r="M2228" s="21" t="n">
        <x:v>34.69644</x:v>
      </x:c>
      <x:c r="N2228" s="21" t="n">
        <x:v>134.90611</x:v>
      </x:c>
      <x:c r="O2228" s="18" t="str">
        <x:v>007096</x:v>
      </x:c>
      <x:c r="P2228" s="18" t="str">
        <x:v>山陽線</x:v>
      </x:c>
      <x:c r="Q2228" s="19" t="str">
        <x:v>S12_061_GE_10000</x:v>
      </x:c>
      <x:c r="R2228" s="19" t="str">
        <x:v>S12_061 usage threshold</x:v>
      </x:c>
      <x:c r="S2228" s="19" t="str">
        <x:v>https://nlftp.mlit.go.jp/ksj/gml/datalist/KsjTmplt-S12-2024.html</x:v>
      </x:c>
      <x:c r="T2228" s="19" t="str">
        <x:v>https://nlftp.mlit.go.jp/ksj/gml/datalist/KsjTmplt-S12-2024.html</x:v>
      </x:c>
      <x:c r="U2228" s="19" t="str">
        <x:v>station-component|魚住|西日本旅客鉄道|conventional_rail|34.6964|134.9061|</x:v>
      </x:c>
      <x:c r="V2228" s="19" t="str">
        <x:v>007096 / 007096 / 山陽線</x:v>
      </x:c>
      <x:c r="W2228" s="18" t="str">
        <x:v>否</x:v>
      </x:c>
      <x:c r="X2228" s="18" t="str">
        <x:v>0785e932a32b3ec15e1a1345537ae145eafe1c07bf38d5c16c11ee2b391e7a28</x:v>
      </x:c>
      <x:c r="Y2228" s="20" t="n">
        <x:v>1</x:v>
      </x:c>
      <x:c r="Z2228" s="20" t="n">
        <x:v>1</x:v>
      </x:c>
      <x:c r="AA2228" s="19"/>
      <x:c r="AB2228" s="18"/>
      <x:c r="AC2228" s="19"/>
    </x:row>
    <x:row r="2229" ht="28" customHeight="1">
      <x:c r="A2229" s="18" t="str">
        <x:v>魚崎</x:v>
      </x:c>
      <x:c r="B2229" s="18" t="str">
        <x:v>神戸新交通</x:v>
      </x:c>
      <x:c r="C2229" s="18" t="str">
        <x:v>fixed_guideway</x:v>
      </x:c>
      <x:c r="D2229" s="19" t="str">
        <x:v>T2</x:v>
      </x:c>
      <x:c r="E2229" s="20" t="n">
        <x:v>12568</x:v>
      </x:c>
      <x:c r="F2229" s="18" t="str">
        <x:v>persons/day</x:v>
      </x:c>
      <x:c r="G2229" s="18" t="str">
        <x:v>FY2024</x:v>
      </x:c>
      <x:c r="H2229" s="18" t="str">
        <x:v>否</x:v>
      </x:c>
      <x:c r="I2229" s="19" t="str">
        <x:v>DAILY_ENTRIES_EXITS</x:v>
      </x:c>
      <x:c r="J2229" s="19" t="str">
        <x:v>六甲アイランド線</x:v>
      </x:c>
      <x:c r="K2229" s="18" t="str">
        <x:v>transport-node:fb19bc9d-ce9b-518f-87d8-ed0c95a432c1</x:v>
      </x:c>
      <x:c r="L2229" s="19" t="str">
        <x:v>组件待审核</x:v>
      </x:c>
      <x:c r="M2229" s="21" t="n">
        <x:v>34.71365</x:v>
      </x:c>
      <x:c r="N2229" s="21" t="n">
        <x:v>135.26863</x:v>
      </x:c>
      <x:c r="O2229" s="18" t="str">
        <x:v>007005</x:v>
      </x:c>
      <x:c r="P2229" s="18" t="str">
        <x:v>六甲アイランド線</x:v>
      </x:c>
      <x:c r="Q2229" s="19" t="str">
        <x:v>S12_061_GE_10000</x:v>
      </x:c>
      <x:c r="R2229" s="19" t="str">
        <x:v>S12_061 usage threshold</x:v>
      </x:c>
      <x:c r="S2229" s="19" t="str">
        <x:v>https://nlftp.mlit.go.jp/ksj/gml/datalist/KsjTmplt-S12-2024.html</x:v>
      </x:c>
      <x:c r="T2229" s="19" t="str">
        <x:v>https://nlftp.mlit.go.jp/ksj/gml/datalist/KsjTmplt-S12-2024.html</x:v>
      </x:c>
      <x:c r="U2229" s="19" t="str">
        <x:v>station-component|魚崎|神戸新交通|fixed_guideway|34.7137|135.2686|</x:v>
      </x:c>
      <x:c r="V2229" s="19" t="str">
        <x:v>007005 / 007005 / 六甲アイランド線</x:v>
      </x:c>
      <x:c r="W2229" s="18" t="str">
        <x:v>否</x:v>
      </x:c>
      <x:c r="X2229" s="18" t="str">
        <x:v>0785e932a32b3ec15e1a1345537ae145eafe1c07bf38d5c16c11ee2b391e7a28</x:v>
      </x:c>
      <x:c r="Y2229" s="20" t="n">
        <x:v>1</x:v>
      </x:c>
      <x:c r="Z2229" s="20" t="n">
        <x:v>1</x:v>
      </x:c>
      <x:c r="AA2229" s="19"/>
      <x:c r="AB2229" s="18"/>
      <x:c r="AC2229" s="19"/>
    </x:row>
    <x:row r="2230" ht="28" customHeight="1">
      <x:c r="A2230" s="18" t="str">
        <x:v>魚崎</x:v>
      </x:c>
      <x:c r="B2230" s="18" t="str">
        <x:v>阪神電気鉄道</x:v>
      </x:c>
      <x:c r="C2230" s="18" t="str">
        <x:v>private_rail</x:v>
      </x:c>
      <x:c r="D2230" s="19" t="str">
        <x:v>T2</x:v>
      </x:c>
      <x:c r="E2230" s="20" t="n">
        <x:v>31380</x:v>
      </x:c>
      <x:c r="F2230" s="18" t="str">
        <x:v>persons/day</x:v>
      </x:c>
      <x:c r="G2230" s="18" t="str">
        <x:v>FY2024</x:v>
      </x:c>
      <x:c r="H2230" s="18" t="str">
        <x:v>否</x:v>
      </x:c>
      <x:c r="I2230" s="19" t="str">
        <x:v>DAILY_ENTRIES_EXITS</x:v>
      </x:c>
      <x:c r="J2230" s="19" t="str">
        <x:v>本線</x:v>
      </x:c>
      <x:c r="K2230" s="18" t="str">
        <x:v>transport-node:c953d7cf-f8b2-5057-b536-84a93b9891e1</x:v>
      </x:c>
      <x:c r="L2230" s="19" t="str">
        <x:v>组件待审核</x:v>
      </x:c>
      <x:c r="M2230" s="21" t="n">
        <x:v>34.71268</x:v>
      </x:c>
      <x:c r="N2230" s="21" t="n">
        <x:v>135.269685</x:v>
      </x:c>
      <x:c r="O2230" s="18" t="str">
        <x:v>007012</x:v>
      </x:c>
      <x:c r="P2230" s="18" t="str">
        <x:v>本線</x:v>
      </x:c>
      <x:c r="Q2230" s="19" t="str">
        <x:v>S12_061_GE_10000</x:v>
      </x:c>
      <x:c r="R2230" s="19" t="str">
        <x:v>S12_061 usage threshold</x:v>
      </x:c>
      <x:c r="S2230" s="19" t="str">
        <x:v>https://nlftp.mlit.go.jp/ksj/gml/datalist/KsjTmplt-S12-2024.html</x:v>
      </x:c>
      <x:c r="T2230" s="19" t="str">
        <x:v>https://nlftp.mlit.go.jp/ksj/gml/datalist/KsjTmplt-S12-2024.html</x:v>
      </x:c>
      <x:c r="U2230" s="19" t="str">
        <x:v>station-component|魚崎|阪神電気鉄道|private_rail|34.7127|135.2697|</x:v>
      </x:c>
      <x:c r="V2230" s="19" t="str">
        <x:v>007005 / 007012 / 本線</x:v>
      </x:c>
      <x:c r="W2230" s="18" t="str">
        <x:v>否</x:v>
      </x:c>
      <x:c r="X2230" s="18" t="str">
        <x:v>0785e932a32b3ec15e1a1345537ae145eafe1c07bf38d5c16c11ee2b391e7a28</x:v>
      </x:c>
      <x:c r="Y2230" s="20" t="n">
        <x:v>1</x:v>
      </x:c>
      <x:c r="Z2230" s="20" t="n">
        <x:v>1</x:v>
      </x:c>
      <x:c r="AA2230" s="19"/>
      <x:c r="AB2230" s="18"/>
      <x:c r="AC2230" s="19"/>
    </x:row>
    <x:row r="2231" ht="33" customHeight="1">
      <x:c r="A2231" s="18" t="str">
        <x:v>鳥栖</x:v>
      </x:c>
      <x:c r="B2231" s="18" t="str">
        <x:v>九州旅客鉄道</x:v>
      </x:c>
      <x:c r="C2231" s="18" t="str">
        <x:v>conventional_rail</x:v>
      </x:c>
      <x:c r="D2231" s="19" t="str">
        <x:v>T2</x:v>
      </x:c>
      <x:c r="E2231" s="20" t="n">
        <x:v>13184</x:v>
      </x:c>
      <x:c r="F2231" s="18" t="str">
        <x:v>persons/day</x:v>
      </x:c>
      <x:c r="G2231" s="18" t="str">
        <x:v>FY2024</x:v>
      </x:c>
      <x:c r="H2231" s="18" t="str">
        <x:v>否</x:v>
      </x:c>
      <x:c r="I2231" s="19" t="str">
        <x:v>DAILY_ENTRIES_EXITS</x:v>
      </x:c>
      <x:c r="J2231" s="19" t="str">
        <x:v>長崎線
鹿児島線</x:v>
      </x:c>
      <x:c r="K2231" s="18" t="str">
        <x:v>transport-node:5bce9c3d-163e-5494-9cf5-3d6d8eda74c3</x:v>
      </x:c>
      <x:c r="L2231" s="19" t="str">
        <x:v>组件待审核</x:v>
      </x:c>
      <x:c r="M2231" s="21" t="n">
        <x:v>33.3742167</x:v>
      </x:c>
      <x:c r="N2231" s="21" t="n">
        <x:v>130.5198433</x:v>
      </x:c>
      <x:c r="O2231" s="18" t="str">
        <x:v>009327</x:v>
      </x:c>
      <x:c r="P2231" s="18" t="str">
        <x:v>鹿児島線</x:v>
      </x:c>
      <x:c r="Q2231" s="19" t="str">
        <x:v>S12_061_GE_10000</x:v>
      </x:c>
      <x:c r="R2231" s="19" t="str">
        <x:v>S12_061 usage threshold</x:v>
      </x:c>
      <x:c r="S2231" s="19" t="str">
        <x:v>https://nlftp.mlit.go.jp/ksj/gml/datalist/KsjTmplt-S12-2024.html</x:v>
      </x:c>
      <x:c r="T2231" s="19" t="str">
        <x:v>https://nlftp.mlit.go.jp/ksj/gml/datalist/KsjTmplt-S12-2024.html</x:v>
      </x:c>
      <x:c r="U2231" s="19" t="str">
        <x:v>station-component|鳥栖|九州旅客鉄道|conventional_rail|33.3742|130.5198|</x:v>
      </x:c>
      <x:c r="V2231" s="19" t="str">
        <x:v>009327 / 009327 / 鹿児島線
009327 / 009328 / 長崎線</x:v>
      </x:c>
      <x:c r="W2231" s="18" t="str">
        <x:v>否</x:v>
      </x:c>
      <x:c r="X2231" s="18" t="str">
        <x:v>0785e932a32b3ec15e1a1345537ae145eafe1c07bf38d5c16c11ee2b391e7a28</x:v>
      </x:c>
      <x:c r="Y2231" s="20" t="n">
        <x:v>1</x:v>
      </x:c>
      <x:c r="Z2231" s="20" t="n">
        <x:v>1</x:v>
      </x:c>
      <x:c r="AA2231" s="19"/>
      <x:c r="AB2231" s="18"/>
      <x:c r="AC2231" s="19"/>
    </x:row>
    <x:row r="2232" ht="33" customHeight="1">
      <x:c r="A2232" s="18" t="str">
        <x:v>鳥羽</x:v>
      </x:c>
      <x:c r="B2232" s="18" t="str">
        <x:v>東海旅客鉄道</x:v>
      </x:c>
      <x:c r="C2232" s="18" t="str">
        <x:v>conventional_rail</x:v>
      </x:c>
      <x:c r="D2232" s="19" t="str">
        <x:v>T3</x:v>
      </x:c>
      <x:c r="E2232" s="20" t="n">
        <x:v>676</x:v>
      </x:c>
      <x:c r="F2232" s="18" t="str">
        <x:v>persons/day</x:v>
      </x:c>
      <x:c r="G2232" s="18" t="str">
        <x:v>FY2024</x:v>
      </x:c>
      <x:c r="H2232" s="18" t="str">
        <x:v>否</x:v>
      </x:c>
      <x:c r="I2232" s="19" t="str">
        <x:v>DAILY_ENTRIES_EXITS</x:v>
      </x:c>
      <x:c r="J2232" s="19" t="str">
        <x:v>参宮線</x:v>
      </x:c>
      <x:c r="K2232" s="18" t="str">
        <x:v>transport-node:8b296299-cc24-5f4c-b814-347da304c944</x:v>
      </x:c>
      <x:c r="L2232" s="19" t="str">
        <x:v>组件待审核</x:v>
      </x:c>
      <x:c r="M2232" s="21" t="n">
        <x:v>34.48707</x:v>
      </x:c>
      <x:c r="N2232" s="21" t="n">
        <x:v>136.84152</x:v>
      </x:c>
      <x:c r="O2232" s="18" t="str">
        <x:v>007874</x:v>
      </x:c>
      <x:c r="P2232" s="18" t="str">
        <x:v>参宮線</x:v>
      </x:c>
      <x:c r="Q2232" s="19" t="str">
        <x:v>OFFICIAL_HUB_COMPONENT_REVIEW</x:v>
      </x:c>
      <x:c r="R2232" s="19" t="str">
        <x:v>S12_061 usage threshold; low-flow inclusion justified by official Hub component review</x:v>
      </x:c>
      <x:c r="S2232" s="19" t="str">
        <x:v>https://nlftp.mlit.go.jp/ksj/gml/datalist/KsjTmplt-S12-2024.html</x:v>
      </x:c>
      <x:c r="T2232" s="19" t="str">
        <x:v>https://nlftp.mlit.go.jp/ksj/gml/datalist/KsjTmplt-S12-2024.html
https://www.kintetsu.co.jp/station/</x:v>
      </x:c>
      <x:c r="U2232" s="19" t="str">
        <x:v>station-component|鳥羽|東海旅客鉄道|conventional_rail|34.4871|136.8415|</x:v>
      </x:c>
      <x:c r="V2232" s="19" t="str">
        <x:v>007872 / 007874 / 参宮線</x:v>
      </x:c>
      <x:c r="W2232" s="18" t="str">
        <x:v>否</x:v>
      </x:c>
      <x:c r="X2232" s="18" t="str">
        <x:v>0785e932a32b3ec15e1a1345537ae145eafe1c07bf38d5c16c11ee2b391e7a28</x:v>
      </x:c>
      <x:c r="Y2232" s="20" t="n">
        <x:v>1</x:v>
      </x:c>
      <x:c r="Z2232" s="20" t="n">
        <x:v>1</x:v>
      </x:c>
      <x:c r="AA2232" s="19" t="str">
        <x:v>鳥羽</x:v>
      </x:c>
      <x:c r="AB2232" s="18" t="str">
        <x:v>transport-hub-review:6e4f260b-1b31-5187-9957-2c92d6210a5c</x:v>
      </x:c>
      <x:c r="AC2232" s="19"/>
    </x:row>
    <x:row r="2233" ht="33" customHeight="1">
      <x:c r="A2233" s="18" t="str">
        <x:v>鳥羽</x:v>
      </x:c>
      <x:c r="B2233" s="18" t="str">
        <x:v>近畿日本鉄道</x:v>
      </x:c>
      <x:c r="C2233" s="18" t="str">
        <x:v>private_rail</x:v>
      </x:c>
      <x:c r="D2233" s="19" t="str">
        <x:v>T3</x:v>
      </x:c>
      <x:c r="E2233" s="20" t="n">
        <x:v>3275</x:v>
      </x:c>
      <x:c r="F2233" s="18" t="str">
        <x:v>persons/day</x:v>
      </x:c>
      <x:c r="G2233" s="18" t="str">
        <x:v>FY2024</x:v>
      </x:c>
      <x:c r="H2233" s="18" t="str">
        <x:v>否</x:v>
      </x:c>
      <x:c r="I2233" s="19" t="str">
        <x:v>DAILY_ENTRIES_EXITS</x:v>
      </x:c>
      <x:c r="J2233" s="19" t="str">
        <x:v>志摩線
鳥羽線</x:v>
      </x:c>
      <x:c r="K2233" s="18" t="str">
        <x:v>transport-node:9fbe590f-116e-53a5-83d6-94131242f646</x:v>
      </x:c>
      <x:c r="L2233" s="19" t="str">
        <x:v>组件待审核</x:v>
      </x:c>
      <x:c r="M2233" s="21" t="n">
        <x:v>34.48725</x:v>
      </x:c>
      <x:c r="N2233" s="21" t="n">
        <x:v>136.841725</x:v>
      </x:c>
      <x:c r="O2233" s="18" t="str">
        <x:v>007873</x:v>
      </x:c>
      <x:c r="P2233" s="18" t="str">
        <x:v>鳥羽線</x:v>
      </x:c>
      <x:c r="Q2233" s="19" t="str">
        <x:v>OFFICIAL_HUB_COMPONENT_REVIEW</x:v>
      </x:c>
      <x:c r="R2233" s="19" t="str">
        <x:v>S12_061 usage threshold; low-flow inclusion justified by official Hub component review</x:v>
      </x:c>
      <x:c r="S2233" s="19" t="str">
        <x:v>https://nlftp.mlit.go.jp/ksj/gml/datalist/KsjTmplt-S12-2024.html</x:v>
      </x:c>
      <x:c r="T2233" s="19" t="str">
        <x:v>https://nlftp.mlit.go.jp/ksj/gml/datalist/KsjTmplt-S12-2024.html
https://www.kintetsu.co.jp/station/</x:v>
      </x:c>
      <x:c r="U2233" s="19" t="str">
        <x:v>station-component|鳥羽|近畿日本鉄道|private_rail|34.4873|136.8417|</x:v>
      </x:c>
      <x:c r="V2233" s="19" t="str">
        <x:v>007872 / 007872 / 志摩線
007872 / 007873 / 鳥羽線</x:v>
      </x:c>
      <x:c r="W2233" s="18" t="str">
        <x:v>否</x:v>
      </x:c>
      <x:c r="X2233" s="18" t="str">
        <x:v>0785e932a32b3ec15e1a1345537ae145eafe1c07bf38d5c16c11ee2b391e7a28</x:v>
      </x:c>
      <x:c r="Y2233" s="20" t="n">
        <x:v>1</x:v>
      </x:c>
      <x:c r="Z2233" s="20" t="n">
        <x:v>1</x:v>
      </x:c>
      <x:c r="AA2233" s="19" t="str">
        <x:v>鳥羽</x:v>
      </x:c>
      <x:c r="AB2233" s="18" t="str">
        <x:v>transport-hub-review:6e4f260b-1b31-5187-9957-2c92d6210a5c</x:v>
      </x:c>
      <x:c r="AC2233" s="19"/>
    </x:row>
    <x:row r="2234" ht="28" customHeight="1">
      <x:c r="A2234" s="18" t="str">
        <x:v>鳩ヶ谷</x:v>
      </x:c>
      <x:c r="B2234" s="18" t="str">
        <x:v>埼玉高速鉄道</x:v>
      </x:c>
      <x:c r="C2234" s="18" t="str">
        <x:v>private_rail</x:v>
      </x:c>
      <x:c r="D2234" s="19" t="str">
        <x:v>T2</x:v>
      </x:c>
      <x:c r="E2234" s="20" t="n">
        <x:v>23200</x:v>
      </x:c>
      <x:c r="F2234" s="18" t="str">
        <x:v>persons/day</x:v>
      </x:c>
      <x:c r="G2234" s="18" t="str">
        <x:v>FY2024</x:v>
      </x:c>
      <x:c r="H2234" s="18" t="str">
        <x:v>否</x:v>
      </x:c>
      <x:c r="I2234" s="19" t="str">
        <x:v>DAILY_ENTRIES_EXITS</x:v>
      </x:c>
      <x:c r="J2234" s="19" t="str">
        <x:v>埼玉高速鉄道線</x:v>
      </x:c>
      <x:c r="K2234" s="18" t="str">
        <x:v>transport-node:96f6eecf-21ed-5a38-94b7-bfc8e4a7e3ca</x:v>
      </x:c>
      <x:c r="L2234" s="19" t="str">
        <x:v>组件待审核</x:v>
      </x:c>
      <x:c r="M2234" s="21" t="n">
        <x:v>35.8308</x:v>
      </x:c>
      <x:c r="N2234" s="21" t="n">
        <x:v>139.73616</x:v>
      </x:c>
      <x:c r="O2234" s="18" t="str">
        <x:v>003036</x:v>
      </x:c>
      <x:c r="P2234" s="18" t="str">
        <x:v>埼玉高速鉄道線</x:v>
      </x:c>
      <x:c r="Q2234" s="19" t="str">
        <x:v>S12_061_GE_10000</x:v>
      </x:c>
      <x:c r="R2234" s="19" t="str">
        <x:v>S12_061 usage threshold</x:v>
      </x:c>
      <x:c r="S2234" s="19" t="str">
        <x:v>https://nlftp.mlit.go.jp/ksj/gml/datalist/KsjTmplt-S12-2024.html</x:v>
      </x:c>
      <x:c r="T2234" s="19" t="str">
        <x:v>https://nlftp.mlit.go.jp/ksj/gml/datalist/KsjTmplt-S12-2024.html</x:v>
      </x:c>
      <x:c r="U2234" s="19" t="str">
        <x:v>station-component|鳩ヶ谷|埼玉高速鉄道|private_rail|35.8308|139.7362|</x:v>
      </x:c>
      <x:c r="V2234" s="19" t="str">
        <x:v>003036 / 003036 / 埼玉高速鉄道線</x:v>
      </x:c>
      <x:c r="W2234" s="18" t="str">
        <x:v>否</x:v>
      </x:c>
      <x:c r="X2234" s="18" t="str">
        <x:v>0785e932a32b3ec15e1a1345537ae145eafe1c07bf38d5c16c11ee2b391e7a28</x:v>
      </x:c>
      <x:c r="Y2234" s="20" t="n">
        <x:v>1</x:v>
      </x:c>
      <x:c r="Z2234" s="20" t="n">
        <x:v>1</x:v>
      </x:c>
      <x:c r="AA2234" s="19"/>
      <x:c r="AB2234" s="18"/>
      <x:c r="AC2234" s="19"/>
    </x:row>
    <x:row r="2235" ht="28" customHeight="1">
      <x:c r="A2235" s="18" t="str">
        <x:v>鳳</x:v>
      </x:c>
      <x:c r="B2235" s="18" t="str">
        <x:v>西日本旅客鉄道</x:v>
      </x:c>
      <x:c r="C2235" s="18" t="str">
        <x:v>conventional_rail</x:v>
      </x:c>
      <x:c r="D2235" s="19" t="str">
        <x:v>T2</x:v>
      </x:c>
      <x:c r="E2235" s="20" t="n">
        <x:v>37072</x:v>
      </x:c>
      <x:c r="F2235" s="18" t="str">
        <x:v>persons/day</x:v>
      </x:c>
      <x:c r="G2235" s="18" t="str">
        <x:v>FY2024</x:v>
      </x:c>
      <x:c r="H2235" s="18" t="str">
        <x:v>否</x:v>
      </x:c>
      <x:c r="I2235" s="19" t="str">
        <x:v>DAILY_ENTRIES_EXITS</x:v>
      </x:c>
      <x:c r="J2235" s="19" t="str">
        <x:v>阪和線</x:v>
      </x:c>
      <x:c r="K2235" s="18" t="str">
        <x:v>transport-node:c3ebe2b9-7af0-543c-a923-661057b2cdfa</x:v>
      </x:c>
      <x:c r="L2235" s="19" t="str">
        <x:v>组件待审核</x:v>
      </x:c>
      <x:c r="M2235" s="21" t="n">
        <x:v>34.5319933</x:v>
      </x:c>
      <x:c r="N2235" s="21" t="n">
        <x:v>135.4589633</x:v>
      </x:c>
      <x:c r="O2235" s="18" t="str">
        <x:v>007773</x:v>
      </x:c>
      <x:c r="P2235" s="18" t="str">
        <x:v>阪和線</x:v>
      </x:c>
      <x:c r="Q2235" s="19" t="str">
        <x:v>S12_061_GE_10000</x:v>
      </x:c>
      <x:c r="R2235" s="19" t="str">
        <x:v>S12_061 usage threshold</x:v>
      </x:c>
      <x:c r="S2235" s="19" t="str">
        <x:v>https://nlftp.mlit.go.jp/ksj/gml/datalist/KsjTmplt-S12-2024.html</x:v>
      </x:c>
      <x:c r="T2235" s="19" t="str">
        <x:v>https://nlftp.mlit.go.jp/ksj/gml/datalist/KsjTmplt-S12-2024.html</x:v>
      </x:c>
      <x:c r="U2235" s="19" t="str">
        <x:v>station-component|鳳|西日本旅客鉄道|conventional_rail|34.5320|135.4590|</x:v>
      </x:c>
      <x:c r="V2235" s="19" t="str">
        <x:v>007773 / 007773 / 阪和線</x:v>
      </x:c>
      <x:c r="W2235" s="18" t="str">
        <x:v>否</x:v>
      </x:c>
      <x:c r="X2235" s="18" t="str">
        <x:v>0785e932a32b3ec15e1a1345537ae145eafe1c07bf38d5c16c11ee2b391e7a28</x:v>
      </x:c>
      <x:c r="Y2235" s="20" t="n">
        <x:v>1</x:v>
      </x:c>
      <x:c r="Z2235" s="20" t="n">
        <x:v>1</x:v>
      </x:c>
      <x:c r="AA2235" s="19"/>
      <x:c r="AB2235" s="18"/>
      <x:c r="AC2235" s="19"/>
    </x:row>
    <x:row r="2236" ht="28" customHeight="1">
      <x:c r="A2236" s="18" t="str">
        <x:v>鳴尾・武庫川女子大前</x:v>
      </x:c>
      <x:c r="B2236" s="18" t="str">
        <x:v>阪神電気鉄道</x:v>
      </x:c>
      <x:c r="C2236" s="18" t="str">
        <x:v>private_rail</x:v>
      </x:c>
      <x:c r="D2236" s="19" t="str">
        <x:v>T2</x:v>
      </x:c>
      <x:c r="E2236" s="20" t="n">
        <x:v>23886</x:v>
      </x:c>
      <x:c r="F2236" s="18" t="str">
        <x:v>persons/day</x:v>
      </x:c>
      <x:c r="G2236" s="18" t="str">
        <x:v>FY2024</x:v>
      </x:c>
      <x:c r="H2236" s="18" t="str">
        <x:v>否</x:v>
      </x:c>
      <x:c r="I2236" s="19" t="str">
        <x:v>DAILY_ENTRIES_EXITS</x:v>
      </x:c>
      <x:c r="J2236" s="19" t="str">
        <x:v>本線</x:v>
      </x:c>
      <x:c r="K2236" s="18" t="str">
        <x:v>transport-node:197dd03a-d812-5a86-a850-39ef9452a85c</x:v>
      </x:c>
      <x:c r="L2236" s="19" t="str">
        <x:v>组件待审核</x:v>
      </x:c>
      <x:c r="M2236" s="21" t="n">
        <x:v>34.7196833</x:v>
      </x:c>
      <x:c r="N2236" s="21" t="n">
        <x:v>135.3703867</x:v>
      </x:c>
      <x:c r="O2236" s="18" t="str">
        <x:v>006975</x:v>
      </x:c>
      <x:c r="P2236" s="18" t="str">
        <x:v>本線</x:v>
      </x:c>
      <x:c r="Q2236" s="19" t="str">
        <x:v>S12_061_GE_10000</x:v>
      </x:c>
      <x:c r="R2236" s="19" t="str">
        <x:v>S12_061 usage threshold</x:v>
      </x:c>
      <x:c r="S2236" s="19" t="str">
        <x:v>https://nlftp.mlit.go.jp/ksj/gml/datalist/KsjTmplt-S12-2024.html</x:v>
      </x:c>
      <x:c r="T2236" s="19" t="str">
        <x:v>https://nlftp.mlit.go.jp/ksj/gml/datalist/KsjTmplt-S12-2024.html</x:v>
      </x:c>
      <x:c r="U2236" s="19" t="str">
        <x:v>station-component|鳴尾・武庫川女子大前|阪神電気鉄道|private_rail|34.7197|135.3704|</x:v>
      </x:c>
      <x:c r="V2236" s="19" t="str">
        <x:v>006975 / 006975 / 本線</x:v>
      </x:c>
      <x:c r="W2236" s="18" t="str">
        <x:v>否</x:v>
      </x:c>
      <x:c r="X2236" s="18" t="str">
        <x:v>0785e932a32b3ec15e1a1345537ae145eafe1c07bf38d5c16c11ee2b391e7a28</x:v>
      </x:c>
      <x:c r="Y2236" s="20" t="n">
        <x:v>1</x:v>
      </x:c>
      <x:c r="Z2236" s="20" t="n">
        <x:v>1</x:v>
      </x:c>
      <x:c r="AA2236" s="19"/>
      <x:c r="AB2236" s="18"/>
      <x:c r="AC2236" s="19"/>
    </x:row>
    <x:row r="2237" ht="28" customHeight="1">
      <x:c r="A2237" s="18" t="str">
        <x:v>鳴海</x:v>
      </x:c>
      <x:c r="B2237" s="18" t="str">
        <x:v>名古屋鉄道</x:v>
      </x:c>
      <x:c r="C2237" s="18" t="str">
        <x:v>private_rail</x:v>
      </x:c>
      <x:c r="D2237" s="19" t="str">
        <x:v>T2</x:v>
      </x:c>
      <x:c r="E2237" s="20" t="n">
        <x:v>17399</x:v>
      </x:c>
      <x:c r="F2237" s="18" t="str">
        <x:v>persons/day</x:v>
      </x:c>
      <x:c r="G2237" s="18" t="str">
        <x:v>FY2024</x:v>
      </x:c>
      <x:c r="H2237" s="18" t="str">
        <x:v>否</x:v>
      </x:c>
      <x:c r="I2237" s="19" t="str">
        <x:v>DAILY_ENTRIES_EXITS</x:v>
      </x:c>
      <x:c r="J2237" s="19" t="str">
        <x:v>名古屋本線</x:v>
      </x:c>
      <x:c r="K2237" s="18" t="str">
        <x:v>transport-node:8c6a0694-946c-549e-9f12-bc0d61e1449c</x:v>
      </x:c>
      <x:c r="L2237" s="19" t="str">
        <x:v>组件待审核</x:v>
      </x:c>
      <x:c r="M2237" s="21" t="n">
        <x:v>35.07843</x:v>
      </x:c>
      <x:c r="N2237" s="21" t="n">
        <x:v>136.95119</x:v>
      </x:c>
      <x:c r="O2237" s="18" t="str">
        <x:v>005745</x:v>
      </x:c>
      <x:c r="P2237" s="18" t="str">
        <x:v>名古屋本線</x:v>
      </x:c>
      <x:c r="Q2237" s="19" t="str">
        <x:v>S12_061_GE_10000</x:v>
      </x:c>
      <x:c r="R2237" s="19" t="str">
        <x:v>S12_061 usage threshold</x:v>
      </x:c>
      <x:c r="S2237" s="19" t="str">
        <x:v>https://nlftp.mlit.go.jp/ksj/gml/datalist/KsjTmplt-S12-2024.html</x:v>
      </x:c>
      <x:c r="T2237" s="19" t="str">
        <x:v>https://nlftp.mlit.go.jp/ksj/gml/datalist/KsjTmplt-S12-2024.html</x:v>
      </x:c>
      <x:c r="U2237" s="19" t="str">
        <x:v>station-component|鳴海|名古屋鉄道|private_rail|35.0784|136.9512|</x:v>
      </x:c>
      <x:c r="V2237" s="19" t="str">
        <x:v>005745 / 005745 / 名古屋本線</x:v>
      </x:c>
      <x:c r="W2237" s="18" t="str">
        <x:v>否</x:v>
      </x:c>
      <x:c r="X2237" s="18" t="str">
        <x:v>0785e932a32b3ec15e1a1345537ae145eafe1c07bf38d5c16c11ee2b391e7a28</x:v>
      </x:c>
      <x:c r="Y2237" s="20" t="n">
        <x:v>1</x:v>
      </x:c>
      <x:c r="Z2237" s="20" t="n">
        <x:v>1</x:v>
      </x:c>
      <x:c r="AA2237" s="19"/>
      <x:c r="AB2237" s="18"/>
      <x:c r="AC2237" s="19"/>
    </x:row>
    <x:row r="2238" ht="28" customHeight="1">
      <x:c r="A2238" s="18" t="str">
        <x:v>鴨宮</x:v>
      </x:c>
      <x:c r="B2238" s="18" t="str">
        <x:v>東日本旅客鉄道</x:v>
      </x:c>
      <x:c r="C2238" s="18" t="str">
        <x:v>conventional_rail</x:v>
      </x:c>
      <x:c r="D2238" s="19" t="str">
        <x:v>T2</x:v>
      </x:c>
      <x:c r="E2238" s="20" t="n">
        <x:v>22262</x:v>
      </x:c>
      <x:c r="F2238" s="18" t="str">
        <x:v>persons/day</x:v>
      </x:c>
      <x:c r="G2238" s="18" t="str">
        <x:v>FY2024</x:v>
      </x:c>
      <x:c r="H2238" s="18" t="str">
        <x:v>否</x:v>
      </x:c>
      <x:c r="I2238" s="19" t="str">
        <x:v>DAILY_ENTRIES_EXITS</x:v>
      </x:c>
      <x:c r="J2238" s="19" t="str">
        <x:v>東海道線</x:v>
      </x:c>
      <x:c r="K2238" s="18" t="str">
        <x:v>transport-node:0175b0e7-8d49-5f73-a734-d8a195e63863</x:v>
      </x:c>
      <x:c r="L2238" s="19" t="str">
        <x:v>组件待审核</x:v>
      </x:c>
      <x:c r="M2238" s="21" t="n">
        <x:v>35.2756867</x:v>
      </x:c>
      <x:c r="N2238" s="21" t="n">
        <x:v>139.1799133</x:v>
      </x:c>
      <x:c r="O2238" s="18" t="str">
        <x:v>005170</x:v>
      </x:c>
      <x:c r="P2238" s="18" t="str">
        <x:v>東海道線</x:v>
      </x:c>
      <x:c r="Q2238" s="19" t="str">
        <x:v>S12_061_GE_10000</x:v>
      </x:c>
      <x:c r="R2238" s="19" t="str">
        <x:v>S12_061 usage threshold</x:v>
      </x:c>
      <x:c r="S2238" s="19" t="str">
        <x:v>https://nlftp.mlit.go.jp/ksj/gml/datalist/KsjTmplt-S12-2024.html</x:v>
      </x:c>
      <x:c r="T2238" s="19" t="str">
        <x:v>https://nlftp.mlit.go.jp/ksj/gml/datalist/KsjTmplt-S12-2024.html</x:v>
      </x:c>
      <x:c r="U2238" s="19" t="str">
        <x:v>station-component|鴨宮|東日本旅客鉄道|conventional_rail|35.2757|139.1799|</x:v>
      </x:c>
      <x:c r="V2238" s="19" t="str">
        <x:v>005170 / 005170 / 東海道線</x:v>
      </x:c>
      <x:c r="W2238" s="18" t="str">
        <x:v>否</x:v>
      </x:c>
      <x:c r="X2238" s="18" t="str">
        <x:v>0785e932a32b3ec15e1a1345537ae145eafe1c07bf38d5c16c11ee2b391e7a28</x:v>
      </x:c>
      <x:c r="Y2238" s="20" t="n">
        <x:v>1</x:v>
      </x:c>
      <x:c r="Z2238" s="20" t="n">
        <x:v>1</x:v>
      </x:c>
      <x:c r="AA2238" s="19"/>
      <x:c r="AB2238" s="18"/>
      <x:c r="AC2238" s="19"/>
    </x:row>
    <x:row r="2239" ht="28" customHeight="1">
      <x:c r="A2239" s="18" t="str">
        <x:v>鴨居</x:v>
      </x:c>
      <x:c r="B2239" s="18" t="str">
        <x:v>東日本旅客鉄道</x:v>
      </x:c>
      <x:c r="C2239" s="18" t="str">
        <x:v>conventional_rail</x:v>
      </x:c>
      <x:c r="D2239" s="19" t="str">
        <x:v>T1</x:v>
      </x:c>
      <x:c r="E2239" s="20" t="n">
        <x:v>68816</x:v>
      </x:c>
      <x:c r="F2239" s="18" t="str">
        <x:v>persons/day</x:v>
      </x:c>
      <x:c r="G2239" s="18" t="str">
        <x:v>FY2024</x:v>
      </x:c>
      <x:c r="H2239" s="18" t="str">
        <x:v>否</x:v>
      </x:c>
      <x:c r="I2239" s="19" t="str">
        <x:v>DAILY_ENTRIES_EXITS</x:v>
      </x:c>
      <x:c r="J2239" s="19" t="str">
        <x:v>横浜線</x:v>
      </x:c>
      <x:c r="K2239" s="18" t="str">
        <x:v>transport-node:6e0641e5-167f-5c3c-ae98-f51d71633d9a</x:v>
      </x:c>
      <x:c r="L2239" s="19" t="str">
        <x:v>组件待审核</x:v>
      </x:c>
      <x:c r="M2239" s="21" t="n">
        <x:v>35.51085</x:v>
      </x:c>
      <x:c r="N2239" s="21" t="n">
        <x:v>139.56695</x:v>
      </x:c>
      <x:c r="O2239" s="18" t="str">
        <x:v>004485</x:v>
      </x:c>
      <x:c r="P2239" s="18" t="str">
        <x:v>横浜線</x:v>
      </x:c>
      <x:c r="Q2239" s="19" t="str">
        <x:v>S12_061_GE_10000</x:v>
      </x:c>
      <x:c r="R2239" s="19" t="str">
        <x:v>S12_061 usage threshold</x:v>
      </x:c>
      <x:c r="S2239" s="19" t="str">
        <x:v>https://nlftp.mlit.go.jp/ksj/gml/datalist/KsjTmplt-S12-2024.html</x:v>
      </x:c>
      <x:c r="T2239" s="19" t="str">
        <x:v>https://nlftp.mlit.go.jp/ksj/gml/datalist/KsjTmplt-S12-2024.html</x:v>
      </x:c>
      <x:c r="U2239" s="19" t="str">
        <x:v>station-component|鴨居|東日本旅客鉄道|conventional_rail|35.5108|139.5669|</x:v>
      </x:c>
      <x:c r="V2239" s="19" t="str">
        <x:v>004485 / 004485 / 横浜線</x:v>
      </x:c>
      <x:c r="W2239" s="18" t="str">
        <x:v>否</x:v>
      </x:c>
      <x:c r="X2239" s="18" t="str">
        <x:v>0785e932a32b3ec15e1a1345537ae145eafe1c07bf38d5c16c11ee2b391e7a28</x:v>
      </x:c>
      <x:c r="Y2239" s="20" t="n">
        <x:v>1</x:v>
      </x:c>
      <x:c r="Z2239" s="20" t="n">
        <x:v>1</x:v>
      </x:c>
      <x:c r="AA2239" s="19"/>
      <x:c r="AB2239" s="18"/>
      <x:c r="AC2239" s="19"/>
    </x:row>
    <x:row r="2240" ht="33" customHeight="1">
      <x:c r="A2240" s="18" t="str">
        <x:v>鴫野</x:v>
      </x:c>
      <x:c r="B2240" s="18" t="str">
        <x:v>大阪市高速電気軌道</x:v>
      </x:c>
      <x:c r="C2240" s="18" t="str">
        <x:v>metro</x:v>
      </x:c>
      <x:c r="D2240" s="19" t="str">
        <x:v>T2</x:v>
      </x:c>
      <x:c r="E2240" s="20" t="n">
        <x:v>10295</x:v>
      </x:c>
      <x:c r="F2240" s="18" t="str">
        <x:v>persons/day</x:v>
      </x:c>
      <x:c r="G2240" s="18" t="str">
        <x:v>FY2024</x:v>
      </x:c>
      <x:c r="H2240" s="18" t="str">
        <x:v>否</x:v>
      </x:c>
      <x:c r="I2240" s="19" t="str">
        <x:v>DAILY_ENTRIES_EXITS</x:v>
      </x:c>
      <x:c r="J2240" s="19" t="str">
        <x:v>8号線(今里筋線)</x:v>
      </x:c>
      <x:c r="K2240" s="18" t="str">
        <x:v>transport-node:bd79f618-4ba9-5095-86b5-3e7885aeee9c</x:v>
      </x:c>
      <x:c r="L2240" s="19" t="str">
        <x:v>组件待审核</x:v>
      </x:c>
      <x:c r="M2240" s="21" t="n">
        <x:v>34.69301</x:v>
      </x:c>
      <x:c r="N2240" s="21" t="n">
        <x:v>135.54615</x:v>
      </x:c>
      <x:c r="O2240" s="18" t="str">
        <x:v>007125</x:v>
      </x:c>
      <x:c r="P2240" s="18" t="str">
        <x:v>8号線(今里筋線)</x:v>
      </x:c>
      <x:c r="Q2240" s="19" t="str">
        <x:v>S12_061_GE_10000
OFFICIAL_HUB_COMPONENT_REVIEW</x:v>
      </x:c>
      <x:c r="R2240" s="19" t="str">
        <x:v>S12_061 usage threshold</x:v>
      </x:c>
      <x:c r="S2240" s="19" t="str">
        <x:v>https://nlftp.mlit.go.jp/ksj/gml/datalist/KsjTmplt-S12-2024.html</x:v>
      </x:c>
      <x:c r="T2240" s="19" t="str">
        <x:v>https://nlftp.mlit.go.jp/ksj/gml/datalist/KsjTmplt-S12-2024.html
https://subway.osakametro.co.jp/station_guide/I/i19/index.php</x:v>
      </x:c>
      <x:c r="U2240" s="19" t="str">
        <x:v>station-component|鴫野|大阪市高速電気軌道|metro|34.6930|135.5462|</x:v>
      </x:c>
      <x:c r="V2240" s="19" t="str">
        <x:v>007128 / 007125 / 8号線(今里筋線)</x:v>
      </x:c>
      <x:c r="W2240" s="18" t="str">
        <x:v>否</x:v>
      </x:c>
      <x:c r="X2240" s="18" t="str">
        <x:v>0785e932a32b3ec15e1a1345537ae145eafe1c07bf38d5c16c11ee2b391e7a28</x:v>
      </x:c>
      <x:c r="Y2240" s="20" t="n">
        <x:v>1</x:v>
      </x:c>
      <x:c r="Z2240" s="20" t="n">
        <x:v>1</x:v>
      </x:c>
      <x:c r="AA2240" s="19" t="str">
        <x:v>鴫野</x:v>
      </x:c>
      <x:c r="AB2240" s="18" t="str">
        <x:v>transport-hub-review:1b421365-d4a1-5e92-837c-9c366f1765b5</x:v>
      </x:c>
      <x:c r="AC2240" s="19"/>
    </x:row>
    <x:row r="2241" ht="33" customHeight="1">
      <x:c r="A2241" s="18" t="str">
        <x:v>鴫野</x:v>
      </x:c>
      <x:c r="B2241" s="18" t="str">
        <x:v>西日本旅客鉄道</x:v>
      </x:c>
      <x:c r="C2241" s="18" t="str">
        <x:v>conventional_rail</x:v>
      </x:c>
      <x:c r="D2241" s="19" t="str">
        <x:v>T2</x:v>
      </x:c>
      <x:c r="E2241" s="20" t="n">
        <x:v>22898</x:v>
      </x:c>
      <x:c r="F2241" s="18" t="str">
        <x:v>persons/day</x:v>
      </x:c>
      <x:c r="G2241" s="18" t="str">
        <x:v>FY2024</x:v>
      </x:c>
      <x:c r="H2241" s="18" t="str">
        <x:v>否</x:v>
      </x:c>
      <x:c r="I2241" s="19" t="str">
        <x:v>DAILY_ENTRIES_EXITS</x:v>
      </x:c>
      <x:c r="J2241" s="19" t="str">
        <x:v>おおさか東線
片町線</x:v>
      </x:c>
      <x:c r="K2241" s="18" t="str">
        <x:v>transport-node:0f1d06d9-2ca4-566d-bdb3-84407c1b65fb</x:v>
      </x:c>
      <x:c r="L2241" s="19" t="str">
        <x:v>组件待审核</x:v>
      </x:c>
      <x:c r="M2241" s="21" t="n">
        <x:v>34.6928265</x:v>
      </x:c>
      <x:c r="N2241" s="21" t="n">
        <x:v>135.5450016</x:v>
      </x:c>
      <x:c r="O2241" s="18" t="str">
        <x:v>007129</x:v>
      </x:c>
      <x:c r="P2241" s="18" t="str">
        <x:v>片町線</x:v>
      </x:c>
      <x:c r="Q2241" s="19" t="str">
        <x:v>S12_061_GE_10000
OFFICIAL_HUB_COMPONENT_REVIEW</x:v>
      </x:c>
      <x:c r="R2241" s="19" t="str">
        <x:v>S12_061 usage threshold</x:v>
      </x:c>
      <x:c r="S2241" s="19" t="str">
        <x:v>https://nlftp.mlit.go.jp/ksj/gml/datalist/KsjTmplt-S12-2024.html</x:v>
      </x:c>
      <x:c r="T2241" s="19" t="str">
        <x:v>https://nlftp.mlit.go.jp/ksj/gml/datalist/KsjTmplt-S12-2024.html
https://subway.osakametro.co.jp/station_guide/I/i19/index.php</x:v>
      </x:c>
      <x:c r="U2241" s="19" t="str">
        <x:v>station-component|鴫野|西日本旅客鉄道|conventional_rail|34.6928|135.5450|</x:v>
      </x:c>
      <x:c r="V2241" s="19" t="str">
        <x:v>007128 / 007128 / おおさか東線
007128 / 007129 / 片町線</x:v>
      </x:c>
      <x:c r="W2241" s="18" t="str">
        <x:v>否</x:v>
      </x:c>
      <x:c r="X2241" s="18" t="str">
        <x:v>0785e932a32b3ec15e1a1345537ae145eafe1c07bf38d5c16c11ee2b391e7a28</x:v>
      </x:c>
      <x:c r="Y2241" s="20" t="n">
        <x:v>1</x:v>
      </x:c>
      <x:c r="Z2241" s="20" t="n">
        <x:v>1</x:v>
      </x:c>
      <x:c r="AA2241" s="19" t="str">
        <x:v>鴫野</x:v>
      </x:c>
      <x:c r="AB2241" s="18" t="str">
        <x:v>transport-hub-review:1b421365-d4a1-5e92-837c-9c366f1765b5</x:v>
      </x:c>
      <x:c r="AC2241" s="19"/>
    </x:row>
    <x:row r="2242" ht="28" customHeight="1">
      <x:c r="A2242" s="18" t="str">
        <x:v>鴻巣</x:v>
      </x:c>
      <x:c r="B2242" s="18" t="str">
        <x:v>東日本旅客鉄道</x:v>
      </x:c>
      <x:c r="C2242" s="18" t="str">
        <x:v>conventional_rail</x:v>
      </x:c>
      <x:c r="D2242" s="19" t="str">
        <x:v>T2</x:v>
      </x:c>
      <x:c r="E2242" s="20" t="n">
        <x:v>35656</x:v>
      </x:c>
      <x:c r="F2242" s="18" t="str">
        <x:v>persons/day</x:v>
      </x:c>
      <x:c r="G2242" s="18" t="str">
        <x:v>FY2024</x:v>
      </x:c>
      <x:c r="H2242" s="18" t="str">
        <x:v>否</x:v>
      </x:c>
      <x:c r="I2242" s="19" t="str">
        <x:v>DAILY_ENTRIES_EXITS</x:v>
      </x:c>
      <x:c r="J2242" s="19" t="str">
        <x:v>高崎線</x:v>
      </x:c>
      <x:c r="K2242" s="18" t="str">
        <x:v>transport-node:5fea6b55-a0d5-5580-908b-c2b7bae6f3d1</x:v>
      </x:c>
      <x:c r="L2242" s="19" t="str">
        <x:v>组件待审核</x:v>
      </x:c>
      <x:c r="M2242" s="21" t="n">
        <x:v>36.05924</x:v>
      </x:c>
      <x:c r="N2242" s="21" t="n">
        <x:v>139.509585</x:v>
      </x:c>
      <x:c r="O2242" s="18" t="str">
        <x:v>002691</x:v>
      </x:c>
      <x:c r="P2242" s="18" t="str">
        <x:v>高崎線</x:v>
      </x:c>
      <x:c r="Q2242" s="19" t="str">
        <x:v>S12_061_GE_10000</x:v>
      </x:c>
      <x:c r="R2242" s="19" t="str">
        <x:v>S12_061 usage threshold</x:v>
      </x:c>
      <x:c r="S2242" s="19" t="str">
        <x:v>https://nlftp.mlit.go.jp/ksj/gml/datalist/KsjTmplt-S12-2024.html</x:v>
      </x:c>
      <x:c r="T2242" s="19" t="str">
        <x:v>https://nlftp.mlit.go.jp/ksj/gml/datalist/KsjTmplt-S12-2024.html</x:v>
      </x:c>
      <x:c r="U2242" s="19" t="str">
        <x:v>station-component|鴻巣|東日本旅客鉄道|conventional_rail|36.0592|139.5096|</x:v>
      </x:c>
      <x:c r="V2242" s="19" t="str">
        <x:v>002691 / 002691 / 高崎線</x:v>
      </x:c>
      <x:c r="W2242" s="18" t="str">
        <x:v>否</x:v>
      </x:c>
      <x:c r="X2242" s="18" t="str">
        <x:v>0785e932a32b3ec15e1a1345537ae145eafe1c07bf38d5c16c11ee2b391e7a28</x:v>
      </x:c>
      <x:c r="Y2242" s="20" t="n">
        <x:v>1</x:v>
      </x:c>
      <x:c r="Z2242" s="20" t="n">
        <x:v>1</x:v>
      </x:c>
      <x:c r="AA2242" s="19"/>
      <x:c r="AB2242" s="18"/>
      <x:c r="AC2242" s="19"/>
    </x:row>
    <x:row r="2243" ht="28" customHeight="1">
      <x:c r="A2243" s="18" t="str">
        <x:v>鴻池新田</x:v>
      </x:c>
      <x:c r="B2243" s="18" t="str">
        <x:v>西日本旅客鉄道</x:v>
      </x:c>
      <x:c r="C2243" s="18" t="str">
        <x:v>conventional_rail</x:v>
      </x:c>
      <x:c r="D2243" s="19" t="str">
        <x:v>T2</x:v>
      </x:c>
      <x:c r="E2243" s="20" t="n">
        <x:v>24236</x:v>
      </x:c>
      <x:c r="F2243" s="18" t="str">
        <x:v>persons/day</x:v>
      </x:c>
      <x:c r="G2243" s="18" t="str">
        <x:v>FY2024</x:v>
      </x:c>
      <x:c r="H2243" s="18" t="str">
        <x:v>否</x:v>
      </x:c>
      <x:c r="I2243" s="19" t="str">
        <x:v>DAILY_ENTRIES_EXITS</x:v>
      </x:c>
      <x:c r="J2243" s="19" t="str">
        <x:v>片町線</x:v>
      </x:c>
      <x:c r="K2243" s="18" t="str">
        <x:v>transport-node:366fea2c-5a03-5882-9cd3-2b6b4b3b261e</x:v>
      </x:c>
      <x:c r="L2243" s="19" t="str">
        <x:v>组件待审核</x:v>
      </x:c>
      <x:c r="M2243" s="21" t="n">
        <x:v>34.69886</x:v>
      </x:c>
      <x:c r="N2243" s="21" t="n">
        <x:v>135.597645</x:v>
      </x:c>
      <x:c r="O2243" s="18" t="str">
        <x:v>007084</x:v>
      </x:c>
      <x:c r="P2243" s="18" t="str">
        <x:v>片町線</x:v>
      </x:c>
      <x:c r="Q2243" s="19" t="str">
        <x:v>S12_061_GE_10000</x:v>
      </x:c>
      <x:c r="R2243" s="19" t="str">
        <x:v>S12_061 usage threshold</x:v>
      </x:c>
      <x:c r="S2243" s="19" t="str">
        <x:v>https://nlftp.mlit.go.jp/ksj/gml/datalist/KsjTmplt-S12-2024.html</x:v>
      </x:c>
      <x:c r="T2243" s="19" t="str">
        <x:v>https://nlftp.mlit.go.jp/ksj/gml/datalist/KsjTmplt-S12-2024.html</x:v>
      </x:c>
      <x:c r="U2243" s="19" t="str">
        <x:v>station-component|鴻池新田|西日本旅客鉄道|conventional_rail|34.6989|135.5976|</x:v>
      </x:c>
      <x:c r="V2243" s="19" t="str">
        <x:v>007084 / 007084 / 片町線</x:v>
      </x:c>
      <x:c r="W2243" s="18" t="str">
        <x:v>否</x:v>
      </x:c>
      <x:c r="X2243" s="18" t="str">
        <x:v>0785e932a32b3ec15e1a1345537ae145eafe1c07bf38d5c16c11ee2b391e7a28</x:v>
      </x:c>
      <x:c r="Y2243" s="20" t="n">
        <x:v>1</x:v>
      </x:c>
      <x:c r="Z2243" s="20" t="n">
        <x:v>1</x:v>
      </x:c>
      <x:c r="AA2243" s="19"/>
      <x:c r="AB2243" s="18"/>
      <x:c r="AC2243" s="19"/>
    </x:row>
    <x:row r="2244" ht="28" customHeight="1">
      <x:c r="A2244" s="18" t="str">
        <x:v>鵜の木</x:v>
      </x:c>
      <x:c r="B2244" s="18" t="str">
        <x:v>東急電鉄</x:v>
      </x:c>
      <x:c r="C2244" s="18" t="str">
        <x:v>private_rail</x:v>
      </x:c>
      <x:c r="D2244" s="19" t="str">
        <x:v>T2</x:v>
      </x:c>
      <x:c r="E2244" s="20" t="n">
        <x:v>19463</x:v>
      </x:c>
      <x:c r="F2244" s="18" t="str">
        <x:v>persons/day</x:v>
      </x:c>
      <x:c r="G2244" s="18" t="str">
        <x:v>FY2024</x:v>
      </x:c>
      <x:c r="H2244" s="18" t="str">
        <x:v>否</x:v>
      </x:c>
      <x:c r="I2244" s="19" t="str">
        <x:v>DAILY_ENTRIES_EXITS</x:v>
      </x:c>
      <x:c r="J2244" s="19" t="str">
        <x:v>東急多摩川線</x:v>
      </x:c>
      <x:c r="K2244" s="18" t="str">
        <x:v>transport-node:dc289fe6-7930-5815-97a1-aa4d306cfe0a</x:v>
      </x:c>
      <x:c r="L2244" s="19" t="str">
        <x:v>组件待审核</x:v>
      </x:c>
      <x:c r="M2244" s="21" t="n">
        <x:v>35.575385</x:v>
      </x:c>
      <x:c r="N2244" s="21" t="n">
        <x:v>139.68055</x:v>
      </x:c>
      <x:c r="O2244" s="18" t="str">
        <x:v>004299</x:v>
      </x:c>
      <x:c r="P2244" s="18" t="str">
        <x:v>東急多摩川線</x:v>
      </x:c>
      <x:c r="Q2244" s="19" t="str">
        <x:v>S12_061_GE_10000</x:v>
      </x:c>
      <x:c r="R2244" s="19" t="str">
        <x:v>S12_061 usage threshold</x:v>
      </x:c>
      <x:c r="S2244" s="19" t="str">
        <x:v>https://nlftp.mlit.go.jp/ksj/gml/datalist/KsjTmplt-S12-2024.html</x:v>
      </x:c>
      <x:c r="T2244" s="19" t="str">
        <x:v>https://nlftp.mlit.go.jp/ksj/gml/datalist/KsjTmplt-S12-2024.html</x:v>
      </x:c>
      <x:c r="U2244" s="19" t="str">
        <x:v>station-component|鵜の木|東急電鉄|private_rail|35.5754|139.6806|</x:v>
      </x:c>
      <x:c r="V2244" s="19" t="str">
        <x:v>004299 / 004299 / 東急多摩川線</x:v>
      </x:c>
      <x:c r="W2244" s="18" t="str">
        <x:v>否</x:v>
      </x:c>
      <x:c r="X2244" s="18" t="str">
        <x:v>0785e932a32b3ec15e1a1345537ae145eafe1c07bf38d5c16c11ee2b391e7a28</x:v>
      </x:c>
      <x:c r="Y2244" s="20" t="n">
        <x:v>1</x:v>
      </x:c>
      <x:c r="Z2244" s="20" t="n">
        <x:v>1</x:v>
      </x:c>
      <x:c r="AA2244" s="19"/>
      <x:c r="AB2244" s="18"/>
      <x:c r="AC2244" s="19"/>
    </x:row>
    <x:row r="2245" ht="28" customHeight="1">
      <x:c r="A2245" s="18" t="str">
        <x:v>鵠沼海岸</x:v>
      </x:c>
      <x:c r="B2245" s="18" t="str">
        <x:v>小田急電鉄</x:v>
      </x:c>
      <x:c r="C2245" s="18" t="str">
        <x:v>private_rail</x:v>
      </x:c>
      <x:c r="D2245" s="19" t="str">
        <x:v>T2</x:v>
      </x:c>
      <x:c r="E2245" s="20" t="n">
        <x:v>18001</x:v>
      </x:c>
      <x:c r="F2245" s="18" t="str">
        <x:v>persons/day</x:v>
      </x:c>
      <x:c r="G2245" s="18" t="str">
        <x:v>FY2024</x:v>
      </x:c>
      <x:c r="H2245" s="18" t="str">
        <x:v>否</x:v>
      </x:c>
      <x:c r="I2245" s="19" t="str">
        <x:v>DAILY_ENTRIES_EXITS</x:v>
      </x:c>
      <x:c r="J2245" s="19" t="str">
        <x:v>江ノ島線</x:v>
      </x:c>
      <x:c r="K2245" s="18" t="str">
        <x:v>transport-node:58e7f2d6-b4af-5421-aa94-33db73ac3f3f</x:v>
      </x:c>
      <x:c r="L2245" s="19" t="str">
        <x:v>组件待审核</x:v>
      </x:c>
      <x:c r="M2245" s="21" t="n">
        <x:v>35.32075</x:v>
      </x:c>
      <x:c r="N2245" s="21" t="n">
        <x:v>139.47122</x:v>
      </x:c>
      <x:c r="O2245" s="18" t="str">
        <x:v>005049</x:v>
      </x:c>
      <x:c r="P2245" s="18" t="str">
        <x:v>江ノ島線</x:v>
      </x:c>
      <x:c r="Q2245" s="19" t="str">
        <x:v>S12_061_GE_10000</x:v>
      </x:c>
      <x:c r="R2245" s="19" t="str">
        <x:v>S12_061 usage threshold</x:v>
      </x:c>
      <x:c r="S2245" s="19" t="str">
        <x:v>https://nlftp.mlit.go.jp/ksj/gml/datalist/KsjTmplt-S12-2024.html</x:v>
      </x:c>
      <x:c r="T2245" s="19" t="str">
        <x:v>https://nlftp.mlit.go.jp/ksj/gml/datalist/KsjTmplt-S12-2024.html</x:v>
      </x:c>
      <x:c r="U2245" s="19" t="str">
        <x:v>station-component|鵠沼海岸|小田急電鉄|private_rail|35.3207|139.4712|</x:v>
      </x:c>
      <x:c r="V2245" s="19" t="str">
        <x:v>005049 / 005049 / 江ノ島線</x:v>
      </x:c>
      <x:c r="W2245" s="18" t="str">
        <x:v>否</x:v>
      </x:c>
      <x:c r="X2245" s="18" t="str">
        <x:v>0785e932a32b3ec15e1a1345537ae145eafe1c07bf38d5c16c11ee2b391e7a28</x:v>
      </x:c>
      <x:c r="Y2245" s="20" t="n">
        <x:v>1</x:v>
      </x:c>
      <x:c r="Z2245" s="20" t="n">
        <x:v>1</x:v>
      </x:c>
      <x:c r="AA2245" s="19"/>
      <x:c r="AB2245" s="18"/>
      <x:c r="AC2245" s="19"/>
    </x:row>
    <x:row r="2246" ht="28" customHeight="1">
      <x:c r="A2246" s="18" t="str">
        <x:v>鶯谷</x:v>
      </x:c>
      <x:c r="B2246" s="18" t="str">
        <x:v>東日本旅客鉄道</x:v>
      </x:c>
      <x:c r="C2246" s="18" t="str">
        <x:v>conventional_rail</x:v>
      </x:c>
      <x:c r="D2246" s="19" t="str">
        <x:v>T2</x:v>
      </x:c>
      <x:c r="E2246" s="20" t="n">
        <x:v>48920</x:v>
      </x:c>
      <x:c r="F2246" s="18" t="str">
        <x:v>persons/day</x:v>
      </x:c>
      <x:c r="G2246" s="18" t="str">
        <x:v>FY2024</x:v>
      </x:c>
      <x:c r="H2246" s="18" t="str">
        <x:v>否</x:v>
      </x:c>
      <x:c r="I2246" s="19" t="str">
        <x:v>DAILY_ENTRIES_EXITS</x:v>
      </x:c>
      <x:c r="J2246" s="19" t="str">
        <x:v>東北線</x:v>
      </x:c>
      <x:c r="K2246" s="18" t="str">
        <x:v>transport-node:9130112a-3f0a-58c5-881e-2bbe3710ac31</x:v>
      </x:c>
      <x:c r="L2246" s="19" t="str">
        <x:v>组件待审核</x:v>
      </x:c>
      <x:c r="M2246" s="21" t="n">
        <x:v>35.721455</x:v>
      </x:c>
      <x:c r="N2246" s="21" t="n">
        <x:v>139.77803</x:v>
      </x:c>
      <x:c r="O2246" s="18" t="str">
        <x:v>003460</x:v>
      </x:c>
      <x:c r="P2246" s="18" t="str">
        <x:v>東北線</x:v>
      </x:c>
      <x:c r="Q2246" s="19" t="str">
        <x:v>S12_061_GE_10000</x:v>
      </x:c>
      <x:c r="R2246" s="19" t="str">
        <x:v>S12_061 usage threshold</x:v>
      </x:c>
      <x:c r="S2246" s="19" t="str">
        <x:v>https://nlftp.mlit.go.jp/ksj/gml/datalist/KsjTmplt-S12-2024.html</x:v>
      </x:c>
      <x:c r="T2246" s="19" t="str">
        <x:v>https://nlftp.mlit.go.jp/ksj/gml/datalist/KsjTmplt-S12-2024.html</x:v>
      </x:c>
      <x:c r="U2246" s="19" t="str">
        <x:v>station-component|鶯谷|東日本旅客鉄道|conventional_rail|35.7215|139.7780|</x:v>
      </x:c>
      <x:c r="V2246" s="19" t="str">
        <x:v>003460 / 003460 / 東北線</x:v>
      </x:c>
      <x:c r="W2246" s="18" t="str">
        <x:v>否</x:v>
      </x:c>
      <x:c r="X2246" s="18" t="str">
        <x:v>0785e932a32b3ec15e1a1345537ae145eafe1c07bf38d5c16c11ee2b391e7a28</x:v>
      </x:c>
      <x:c r="Y2246" s="20" t="n">
        <x:v>1</x:v>
      </x:c>
      <x:c r="Z2246" s="20" t="n">
        <x:v>1</x:v>
      </x:c>
      <x:c r="AA2246" s="19"/>
      <x:c r="AB2246" s="18"/>
      <x:c r="AC2246" s="19"/>
    </x:row>
    <x:row r="2247" ht="28" customHeight="1">
      <x:c r="A2247" s="18" t="str">
        <x:v>鶴ヶ峰</x:v>
      </x:c>
      <x:c r="B2247" s="18" t="str">
        <x:v>相模鉄道</x:v>
      </x:c>
      <x:c r="C2247" s="18" t="str">
        <x:v>private_rail</x:v>
      </x:c>
      <x:c r="D2247" s="19" t="str">
        <x:v>T1</x:v>
      </x:c>
      <x:c r="E2247" s="20" t="n">
        <x:v>55967</x:v>
      </x:c>
      <x:c r="F2247" s="18" t="str">
        <x:v>persons/day</x:v>
      </x:c>
      <x:c r="G2247" s="18" t="str">
        <x:v>FY2024</x:v>
      </x:c>
      <x:c r="H2247" s="18" t="str">
        <x:v>否</x:v>
      </x:c>
      <x:c r="I2247" s="19" t="str">
        <x:v>DAILY_ENTRIES_EXITS</x:v>
      </x:c>
      <x:c r="J2247" s="19" t="str">
        <x:v>相鉄本線</x:v>
      </x:c>
      <x:c r="K2247" s="18" t="str">
        <x:v>transport-node:b33f9268-a02a-5f62-9231-734e254a65b4</x:v>
      </x:c>
      <x:c r="L2247" s="19" t="str">
        <x:v>组件待审核</x:v>
      </x:c>
      <x:c r="M2247" s="21" t="n">
        <x:v>35.47509</x:v>
      </x:c>
      <x:c r="N2247" s="21" t="n">
        <x:v>139.549985</x:v>
      </x:c>
      <x:c r="O2247" s="18" t="str">
        <x:v>004604</x:v>
      </x:c>
      <x:c r="P2247" s="18" t="str">
        <x:v>相鉄本線</x:v>
      </x:c>
      <x:c r="Q2247" s="19" t="str">
        <x:v>S12_061_GE_10000</x:v>
      </x:c>
      <x:c r="R2247" s="19" t="str">
        <x:v>S12_061 usage threshold</x:v>
      </x:c>
      <x:c r="S2247" s="19" t="str">
        <x:v>https://nlftp.mlit.go.jp/ksj/gml/datalist/KsjTmplt-S12-2024.html</x:v>
      </x:c>
      <x:c r="T2247" s="19" t="str">
        <x:v>https://nlftp.mlit.go.jp/ksj/gml/datalist/KsjTmplt-S12-2024.html</x:v>
      </x:c>
      <x:c r="U2247" s="19" t="str">
        <x:v>station-component|鶴ヶ峰|相模鉄道|private_rail|35.4751|139.5500|</x:v>
      </x:c>
      <x:c r="V2247" s="19" t="str">
        <x:v>004604 / 004604 / 相鉄本線</x:v>
      </x:c>
      <x:c r="W2247" s="18" t="str">
        <x:v>否</x:v>
      </x:c>
      <x:c r="X2247" s="18" t="str">
        <x:v>0785e932a32b3ec15e1a1345537ae145eafe1c07bf38d5c16c11ee2b391e7a28</x:v>
      </x:c>
      <x:c r="Y2247" s="20" t="n">
        <x:v>1</x:v>
      </x:c>
      <x:c r="Z2247" s="20" t="n">
        <x:v>1</x:v>
      </x:c>
      <x:c r="AA2247" s="19"/>
      <x:c r="AB2247" s="18"/>
      <x:c r="AC2247" s="19"/>
    </x:row>
    <x:row r="2248" ht="28" customHeight="1">
      <x:c r="A2248" s="18" t="str">
        <x:v>鶴ヶ島</x:v>
      </x:c>
      <x:c r="B2248" s="18" t="str">
        <x:v>東武鉄道</x:v>
      </x:c>
      <x:c r="C2248" s="18" t="str">
        <x:v>private_rail</x:v>
      </x:c>
      <x:c r="D2248" s="19" t="str">
        <x:v>T2</x:v>
      </x:c>
      <x:c r="E2248" s="20" t="n">
        <x:v>30286</x:v>
      </x:c>
      <x:c r="F2248" s="18" t="str">
        <x:v>persons/day</x:v>
      </x:c>
      <x:c r="G2248" s="18" t="str">
        <x:v>FY2024</x:v>
      </x:c>
      <x:c r="H2248" s="18" t="str">
        <x:v>否</x:v>
      </x:c>
      <x:c r="I2248" s="19" t="str">
        <x:v>DAILY_ENTRIES_EXITS</x:v>
      </x:c>
      <x:c r="J2248" s="19" t="str">
        <x:v>東上本線</x:v>
      </x:c>
      <x:c r="K2248" s="18" t="str">
        <x:v>transport-node:beab7139-1c55-5929-a819-284e383270ea</x:v>
      </x:c>
      <x:c r="L2248" s="19" t="str">
        <x:v>组件待审核</x:v>
      </x:c>
      <x:c r="M2248" s="21" t="n">
        <x:v>35.93679</x:v>
      </x:c>
      <x:c r="N2248" s="21" t="n">
        <x:v>139.42391</x:v>
      </x:c>
      <x:c r="O2248" s="18" t="str">
        <x:v>002852</x:v>
      </x:c>
      <x:c r="P2248" s="18" t="str">
        <x:v>東上本線</x:v>
      </x:c>
      <x:c r="Q2248" s="19" t="str">
        <x:v>S12_061_GE_10000</x:v>
      </x:c>
      <x:c r="R2248" s="19" t="str">
        <x:v>S12_061 usage threshold</x:v>
      </x:c>
      <x:c r="S2248" s="19" t="str">
        <x:v>https://nlftp.mlit.go.jp/ksj/gml/datalist/KsjTmplt-S12-2024.html</x:v>
      </x:c>
      <x:c r="T2248" s="19" t="str">
        <x:v>https://nlftp.mlit.go.jp/ksj/gml/datalist/KsjTmplt-S12-2024.html</x:v>
      </x:c>
      <x:c r="U2248" s="19" t="str">
        <x:v>station-component|鶴ヶ島|東武鉄道|private_rail|35.9368|139.4239|</x:v>
      </x:c>
      <x:c r="V2248" s="19" t="str">
        <x:v>002852 / 002852 / 東上本線</x:v>
      </x:c>
      <x:c r="W2248" s="18" t="str">
        <x:v>否</x:v>
      </x:c>
      <x:c r="X2248" s="18" t="str">
        <x:v>0785e932a32b3ec15e1a1345537ae145eafe1c07bf38d5c16c11ee2b391e7a28</x:v>
      </x:c>
      <x:c r="Y2248" s="20" t="n">
        <x:v>1</x:v>
      </x:c>
      <x:c r="Z2248" s="20" t="n">
        <x:v>1</x:v>
      </x:c>
      <x:c r="AA2248" s="19"/>
      <x:c r="AB2248" s="18"/>
      <x:c r="AC2248" s="19"/>
    </x:row>
    <x:row r="2249" ht="28" customHeight="1">
      <x:c r="A2249" s="18" t="str">
        <x:v>鶴川</x:v>
      </x:c>
      <x:c r="B2249" s="18" t="str">
        <x:v>小田急電鉄</x:v>
      </x:c>
      <x:c r="C2249" s="18" t="str">
        <x:v>private_rail</x:v>
      </x:c>
      <x:c r="D2249" s="19" t="str">
        <x:v>T1</x:v>
      </x:c>
      <x:c r="E2249" s="20" t="n">
        <x:v>60371</x:v>
      </x:c>
      <x:c r="F2249" s="18" t="str">
        <x:v>persons/day</x:v>
      </x:c>
      <x:c r="G2249" s="18" t="str">
        <x:v>FY2024</x:v>
      </x:c>
      <x:c r="H2249" s="18" t="str">
        <x:v>否</x:v>
      </x:c>
      <x:c r="I2249" s="19" t="str">
        <x:v>DAILY_ENTRIES_EXITS</x:v>
      </x:c>
      <x:c r="J2249" s="19" t="str">
        <x:v>小田原線</x:v>
      </x:c>
      <x:c r="K2249" s="18" t="str">
        <x:v>transport-node:2b19ce0b-b466-504a-be9c-44b61fd54671</x:v>
      </x:c>
      <x:c r="L2249" s="19" t="str">
        <x:v>组件待审核</x:v>
      </x:c>
      <x:c r="M2249" s="21" t="n">
        <x:v>35.58311</x:v>
      </x:c>
      <x:c r="N2249" s="21" t="n">
        <x:v>139.481825</x:v>
      </x:c>
      <x:c r="O2249" s="18" t="str">
        <x:v>004278</x:v>
      </x:c>
      <x:c r="P2249" s="18" t="str">
        <x:v>小田原線</x:v>
      </x:c>
      <x:c r="Q2249" s="19" t="str">
        <x:v>S12_061_GE_10000</x:v>
      </x:c>
      <x:c r="R2249" s="19" t="str">
        <x:v>S12_061 usage threshold</x:v>
      </x:c>
      <x:c r="S2249" s="19" t="str">
        <x:v>https://nlftp.mlit.go.jp/ksj/gml/datalist/KsjTmplt-S12-2024.html</x:v>
      </x:c>
      <x:c r="T2249" s="19" t="str">
        <x:v>https://nlftp.mlit.go.jp/ksj/gml/datalist/KsjTmplt-S12-2024.html</x:v>
      </x:c>
      <x:c r="U2249" s="19" t="str">
        <x:v>station-component|鶴川|小田急電鉄|private_rail|35.5831|139.4818|</x:v>
      </x:c>
      <x:c r="V2249" s="19" t="str">
        <x:v>004278 / 004278 / 小田原線</x:v>
      </x:c>
      <x:c r="W2249" s="18" t="str">
        <x:v>否</x:v>
      </x:c>
      <x:c r="X2249" s="18" t="str">
        <x:v>0785e932a32b3ec15e1a1345537ae145eafe1c07bf38d5c16c11ee2b391e7a28</x:v>
      </x:c>
      <x:c r="Y2249" s="20" t="n">
        <x:v>1</x:v>
      </x:c>
      <x:c r="Z2249" s="20" t="n">
        <x:v>1</x:v>
      </x:c>
      <x:c r="AA2249" s="19"/>
      <x:c r="AB2249" s="18"/>
      <x:c r="AC2249" s="19"/>
    </x:row>
    <x:row r="2250" ht="28" customHeight="1">
      <x:c r="A2250" s="18" t="str">
        <x:v>鶴巻温泉</x:v>
      </x:c>
      <x:c r="B2250" s="18" t="str">
        <x:v>小田急電鉄</x:v>
      </x:c>
      <x:c r="C2250" s="18" t="str">
        <x:v>private_rail</x:v>
      </x:c>
      <x:c r="D2250" s="19" t="str">
        <x:v>T2</x:v>
      </x:c>
      <x:c r="E2250" s="20" t="n">
        <x:v>13627</x:v>
      </x:c>
      <x:c r="F2250" s="18" t="str">
        <x:v>persons/day</x:v>
      </x:c>
      <x:c r="G2250" s="18" t="str">
        <x:v>FY2024</x:v>
      </x:c>
      <x:c r="H2250" s="18" t="str">
        <x:v>否</x:v>
      </x:c>
      <x:c r="I2250" s="19" t="str">
        <x:v>DAILY_ENTRIES_EXITS</x:v>
      </x:c>
      <x:c r="J2250" s="19" t="str">
        <x:v>小田原線</x:v>
      </x:c>
      <x:c r="K2250" s="18" t="str">
        <x:v>transport-node:939f22fa-b616-5e2c-ab58-360ab8d6c30c</x:v>
      </x:c>
      <x:c r="L2250" s="19" t="str">
        <x:v>组件待审核</x:v>
      </x:c>
      <x:c r="M2250" s="21" t="n">
        <x:v>35.3805525</x:v>
      </x:c>
      <x:c r="N2250" s="21" t="n">
        <x:v>139.277135</x:v>
      </x:c>
      <x:c r="O2250" s="18" t="str">
        <x:v>004885</x:v>
      </x:c>
      <x:c r="P2250" s="18" t="str">
        <x:v>小田原線</x:v>
      </x:c>
      <x:c r="Q2250" s="19" t="str">
        <x:v>S12_061_GE_10000</x:v>
      </x:c>
      <x:c r="R2250" s="19" t="str">
        <x:v>S12_061 usage threshold</x:v>
      </x:c>
      <x:c r="S2250" s="19" t="str">
        <x:v>https://nlftp.mlit.go.jp/ksj/gml/datalist/KsjTmplt-S12-2024.html</x:v>
      </x:c>
      <x:c r="T2250" s="19" t="str">
        <x:v>https://nlftp.mlit.go.jp/ksj/gml/datalist/KsjTmplt-S12-2024.html</x:v>
      </x:c>
      <x:c r="U2250" s="19" t="str">
        <x:v>station-component|鶴巻温泉|小田急電鉄|private_rail|35.3806|139.2771|</x:v>
      </x:c>
      <x:c r="V2250" s="19" t="str">
        <x:v>004885 / 004885 / 小田原線</x:v>
      </x:c>
      <x:c r="W2250" s="18" t="str">
        <x:v>否</x:v>
      </x:c>
      <x:c r="X2250" s="18" t="str">
        <x:v>0785e932a32b3ec15e1a1345537ae145eafe1c07bf38d5c16c11ee2b391e7a28</x:v>
      </x:c>
      <x:c r="Y2250" s="20" t="n">
        <x:v>1</x:v>
      </x:c>
      <x:c r="Z2250" s="20" t="n">
        <x:v>1</x:v>
      </x:c>
      <x:c r="AA2250" s="19"/>
      <x:c r="AB2250" s="18"/>
      <x:c r="AC2250" s="19"/>
    </x:row>
    <x:row r="2251" ht="33" customHeight="1">
      <x:c r="A2251" s="18" t="str">
        <x:v>鶴橋</x:v>
      </x:c>
      <x:c r="B2251" s="18" t="str">
        <x:v>大阪市高速電気軌道</x:v>
      </x:c>
      <x:c r="C2251" s="18" t="str">
        <x:v>metro</x:v>
      </x:c>
      <x:c r="D2251" s="19" t="str">
        <x:v>T2</x:v>
      </x:c>
      <x:c r="E2251" s="20" t="n">
        <x:v>27743</x:v>
      </x:c>
      <x:c r="F2251" s="18" t="str">
        <x:v>persons/day</x:v>
      </x:c>
      <x:c r="G2251" s="18" t="str">
        <x:v>FY2024</x:v>
      </x:c>
      <x:c r="H2251" s="18" t="str">
        <x:v>否</x:v>
      </x:c>
      <x:c r="I2251" s="19" t="str">
        <x:v>DAILY_ENTRIES_EXITS</x:v>
      </x:c>
      <x:c r="J2251" s="19" t="str">
        <x:v>5号線(千日前線)</x:v>
      </x:c>
      <x:c r="K2251" s="18" t="str">
        <x:v>transport-node:dbdff4ae-0bf2-56fd-b26c-a1429a628e7b</x:v>
      </x:c>
      <x:c r="L2251" s="19" t="str">
        <x:v>组件待审核</x:v>
      </x:c>
      <x:c r="M2251" s="21" t="n">
        <x:v>34.665975</x:v>
      </x:c>
      <x:c r="N2251" s="21" t="n">
        <x:v>135.528895</x:v>
      </x:c>
      <x:c r="O2251" s="18" t="str">
        <x:v>007325</x:v>
      </x:c>
      <x:c r="P2251" s="18" t="str">
        <x:v>5号線(千日前線)</x:v>
      </x:c>
      <x:c r="Q2251" s="19" t="str">
        <x:v>S12_061_GE_10000
OFFICIAL_HUB_COMPONENT_REVIEW</x:v>
      </x:c>
      <x:c r="R2251" s="19" t="str">
        <x:v>S12_061 usage threshold</x:v>
      </x:c>
      <x:c r="S2251" s="19" t="str">
        <x:v>https://nlftp.mlit.go.jp/ksj/gml/datalist/KsjTmplt-S12-2024.html</x:v>
      </x:c>
      <x:c r="T2251" s="19" t="str">
        <x:v>https://nlftp.mlit.go.jp/ksj/gml/datalist/KsjTmplt-S12-2024.html
https://subway.osakametro.co.jp/station_guide/S/s19/index.php</x:v>
      </x:c>
      <x:c r="U2251" s="19" t="str">
        <x:v>station-component|鶴橋|大阪市高速電気軌道|metro|34.6660|135.5289|</x:v>
      </x:c>
      <x:c r="V2251" s="19" t="str">
        <x:v>007330 / 007325 / 5号線(千日前線)</x:v>
      </x:c>
      <x:c r="W2251" s="18" t="str">
        <x:v>否</x:v>
      </x:c>
      <x:c r="X2251" s="18" t="str">
        <x:v>0785e932a32b3ec15e1a1345537ae145eafe1c07bf38d5c16c11ee2b391e7a28</x:v>
      </x:c>
      <x:c r="Y2251" s="20" t="n">
        <x:v>1</x:v>
      </x:c>
      <x:c r="Z2251" s="20" t="n">
        <x:v>1</x:v>
      </x:c>
      <x:c r="AA2251" s="19" t="str">
        <x:v>鶴橋</x:v>
      </x:c>
      <x:c r="AB2251" s="18" t="str">
        <x:v>transport-hub-review:91ba1262-aa39-5e9a-b0a4-59184466a23c</x:v>
      </x:c>
      <x:c r="AC2251" s="19"/>
    </x:row>
    <x:row r="2252" ht="33" customHeight="1">
      <x:c r="A2252" s="18" t="str">
        <x:v>鶴橋</x:v>
      </x:c>
      <x:c r="B2252" s="18" t="str">
        <x:v>西日本旅客鉄道</x:v>
      </x:c>
      <x:c r="C2252" s="18" t="str">
        <x:v>conventional_rail</x:v>
      </x:c>
      <x:c r="D2252" s="19" t="str">
        <x:v>T1</x:v>
      </x:c>
      <x:c r="E2252" s="20" t="n">
        <x:v>175648</x:v>
      </x:c>
      <x:c r="F2252" s="18" t="str">
        <x:v>persons/day</x:v>
      </x:c>
      <x:c r="G2252" s="18" t="str">
        <x:v>FY2024</x:v>
      </x:c>
      <x:c r="H2252" s="18" t="str">
        <x:v>否</x:v>
      </x:c>
      <x:c r="I2252" s="19" t="str">
        <x:v>DAILY_ENTRIES_EXITS</x:v>
      </x:c>
      <x:c r="J2252" s="19" t="str">
        <x:v>大阪環状線</x:v>
      </x:c>
      <x:c r="K2252" s="18" t="str">
        <x:v>transport-node:5425843b-cc66-540b-8141-6a3d4aa916fa</x:v>
      </x:c>
      <x:c r="L2252" s="19" t="str">
        <x:v>组件待审核</x:v>
      </x:c>
      <x:c r="M2252" s="21" t="n">
        <x:v>34.6654625</x:v>
      </x:c>
      <x:c r="N2252" s="21" t="n">
        <x:v>135.5302775</x:v>
      </x:c>
      <x:c r="O2252" s="18" t="str">
        <x:v>007330</x:v>
      </x:c>
      <x:c r="P2252" s="18" t="str">
        <x:v>大阪環状線</x:v>
      </x:c>
      <x:c r="Q2252" s="19" t="str">
        <x:v>S12_061_GE_10000
OFFICIAL_HUB_COMPONENT_REVIEW</x:v>
      </x:c>
      <x:c r="R2252" s="19" t="str">
        <x:v>S12_061 usage threshold</x:v>
      </x:c>
      <x:c r="S2252" s="19" t="str">
        <x:v>https://nlftp.mlit.go.jp/ksj/gml/datalist/KsjTmplt-S12-2024.html</x:v>
      </x:c>
      <x:c r="T2252" s="19" t="str">
        <x:v>https://nlftp.mlit.go.jp/ksj/gml/datalist/KsjTmplt-S12-2024.html
https://subway.osakametro.co.jp/station_guide/S/s19/index.php</x:v>
      </x:c>
      <x:c r="U2252" s="19" t="str">
        <x:v>station-component|鶴橋|西日本旅客鉄道|conventional_rail|34.6655|135.5303|</x:v>
      </x:c>
      <x:c r="V2252" s="19" t="str">
        <x:v>007330 / 007330 / 大阪環状線</x:v>
      </x:c>
      <x:c r="W2252" s="18" t="str">
        <x:v>否</x:v>
      </x:c>
      <x:c r="X2252" s="18" t="str">
        <x:v>0785e932a32b3ec15e1a1345537ae145eafe1c07bf38d5c16c11ee2b391e7a28</x:v>
      </x:c>
      <x:c r="Y2252" s="20" t="n">
        <x:v>1</x:v>
      </x:c>
      <x:c r="Z2252" s="20" t="n">
        <x:v>1</x:v>
      </x:c>
      <x:c r="AA2252" s="19" t="str">
        <x:v>鶴橋</x:v>
      </x:c>
      <x:c r="AB2252" s="18" t="str">
        <x:v>transport-hub-review:91ba1262-aa39-5e9a-b0a4-59184466a23c</x:v>
      </x:c>
      <x:c r="AC2252" s="19"/>
    </x:row>
    <x:row r="2253" ht="33" customHeight="1">
      <x:c r="A2253" s="18" t="str">
        <x:v>鶴橋</x:v>
      </x:c>
      <x:c r="B2253" s="18" t="str">
        <x:v>近畿日本鉄道</x:v>
      </x:c>
      <x:c r="C2253" s="18" t="str">
        <x:v>private_rail</x:v>
      </x:c>
      <x:c r="D2253" s="19" t="str">
        <x:v>T1</x:v>
      </x:c>
      <x:c r="E2253" s="20" t="n">
        <x:v>138633</x:v>
      </x:c>
      <x:c r="F2253" s="18" t="str">
        <x:v>persons/day</x:v>
      </x:c>
      <x:c r="G2253" s="18" t="str">
        <x:v>FY2024</x:v>
      </x:c>
      <x:c r="H2253" s="18" t="str">
        <x:v>否</x:v>
      </x:c>
      <x:c r="I2253" s="19" t="str">
        <x:v>DAILY_ENTRIES_EXITS</x:v>
      </x:c>
      <x:c r="J2253" s="19" t="str">
        <x:v>大阪線</x:v>
      </x:c>
      <x:c r="K2253" s="18" t="str">
        <x:v>transport-node:eb3c461f-40c1-58a8-b489-21c14b5119ff</x:v>
      </x:c>
      <x:c r="L2253" s="19" t="str">
        <x:v>组件待审核</x:v>
      </x:c>
      <x:c r="M2253" s="21" t="n">
        <x:v>34.6651975</x:v>
      </x:c>
      <x:c r="N2253" s="21" t="n">
        <x:v>135.530835</x:v>
      </x:c>
      <x:c r="O2253" s="18" t="str">
        <x:v>007339</x:v>
      </x:c>
      <x:c r="P2253" s="18" t="str">
        <x:v>大阪線</x:v>
      </x:c>
      <x:c r="Q2253" s="19" t="str">
        <x:v>S12_061_GE_10000
OFFICIAL_HUB_COMPONENT_REVIEW</x:v>
      </x:c>
      <x:c r="R2253" s="19" t="str">
        <x:v>S12_061 usage threshold</x:v>
      </x:c>
      <x:c r="S2253" s="19" t="str">
        <x:v>https://nlftp.mlit.go.jp/ksj/gml/datalist/KsjTmplt-S12-2024.html</x:v>
      </x:c>
      <x:c r="T2253" s="19" t="str">
        <x:v>https://nlftp.mlit.go.jp/ksj/gml/datalist/KsjTmplt-S12-2024.html
https://subway.osakametro.co.jp/station_guide/S/s19/index.php</x:v>
      </x:c>
      <x:c r="U2253" s="19" t="str">
        <x:v>station-component|鶴橋|近畿日本鉄道|private_rail|34.6652|135.5308|</x:v>
      </x:c>
      <x:c r="V2253" s="19" t="str">
        <x:v>007330 / 007339 / 大阪線</x:v>
      </x:c>
      <x:c r="W2253" s="18" t="str">
        <x:v>否</x:v>
      </x:c>
      <x:c r="X2253" s="18" t="str">
        <x:v>0785e932a32b3ec15e1a1345537ae145eafe1c07bf38d5c16c11ee2b391e7a28</x:v>
      </x:c>
      <x:c r="Y2253" s="20" t="n">
        <x:v>1</x:v>
      </x:c>
      <x:c r="Z2253" s="20" t="n">
        <x:v>1</x:v>
      </x:c>
      <x:c r="AA2253" s="19" t="str">
        <x:v>鶴橋</x:v>
      </x:c>
      <x:c r="AB2253" s="18" t="str">
        <x:v>transport-hub-review:91ba1262-aa39-5e9a-b0a4-59184466a23c</x:v>
      </x:c>
      <x:c r="AC2253" s="19"/>
    </x:row>
    <x:row r="2254" ht="28" customHeight="1">
      <x:c r="A2254" s="18" t="str">
        <x:v>鶴瀬</x:v>
      </x:c>
      <x:c r="B2254" s="18" t="str">
        <x:v>東武鉄道</x:v>
      </x:c>
      <x:c r="C2254" s="18" t="str">
        <x:v>private_rail</x:v>
      </x:c>
      <x:c r="D2254" s="19" t="str">
        <x:v>T2</x:v>
      </x:c>
      <x:c r="E2254" s="20" t="n">
        <x:v>47220</x:v>
      </x:c>
      <x:c r="F2254" s="18" t="str">
        <x:v>persons/day</x:v>
      </x:c>
      <x:c r="G2254" s="18" t="str">
        <x:v>FY2024</x:v>
      </x:c>
      <x:c r="H2254" s="18" t="str">
        <x:v>否</x:v>
      </x:c>
      <x:c r="I2254" s="19" t="str">
        <x:v>DAILY_ENTRIES_EXITS</x:v>
      </x:c>
      <x:c r="J2254" s="19" t="str">
        <x:v>東上本線</x:v>
      </x:c>
      <x:c r="K2254" s="18" t="str">
        <x:v>transport-node:2fef97fa-5cca-5e18-9955-66448a3728da</x:v>
      </x:c>
      <x:c r="L2254" s="19" t="str">
        <x:v>组件待审核</x:v>
      </x:c>
      <x:c r="M2254" s="21" t="n">
        <x:v>35.8457033</x:v>
      </x:c>
      <x:c r="N2254" s="21" t="n">
        <x:v>139.5393067</x:v>
      </x:c>
      <x:c r="O2254" s="18" t="str">
        <x:v>003007</x:v>
      </x:c>
      <x:c r="P2254" s="18" t="str">
        <x:v>東上本線</x:v>
      </x:c>
      <x:c r="Q2254" s="19" t="str">
        <x:v>S12_061_GE_10000</x:v>
      </x:c>
      <x:c r="R2254" s="19" t="str">
        <x:v>S12_061 usage threshold</x:v>
      </x:c>
      <x:c r="S2254" s="19" t="str">
        <x:v>https://nlftp.mlit.go.jp/ksj/gml/datalist/KsjTmplt-S12-2024.html</x:v>
      </x:c>
      <x:c r="T2254" s="19" t="str">
        <x:v>https://nlftp.mlit.go.jp/ksj/gml/datalist/KsjTmplt-S12-2024.html</x:v>
      </x:c>
      <x:c r="U2254" s="19" t="str">
        <x:v>station-component|鶴瀬|東武鉄道|private_rail|35.8457|139.5393|</x:v>
      </x:c>
      <x:c r="V2254" s="19" t="str">
        <x:v>003007 / 003007 / 東上本線</x:v>
      </x:c>
      <x:c r="W2254" s="18" t="str">
        <x:v>否</x:v>
      </x:c>
      <x:c r="X2254" s="18" t="str">
        <x:v>0785e932a32b3ec15e1a1345537ae145eafe1c07bf38d5c16c11ee2b391e7a28</x:v>
      </x:c>
      <x:c r="Y2254" s="20" t="n">
        <x:v>1</x:v>
      </x:c>
      <x:c r="Z2254" s="20" t="n">
        <x:v>1</x:v>
      </x:c>
      <x:c r="AA2254" s="19"/>
      <x:c r="AB2254" s="18"/>
      <x:c r="AC2254" s="19"/>
    </x:row>
    <x:row r="2255" ht="33" customHeight="1">
      <x:c r="A2255" s="18" t="str">
        <x:v>鶴舞</x:v>
      </x:c>
      <x:c r="B2255" s="18" t="str">
        <x:v>名古屋市</x:v>
      </x:c>
      <x:c r="C2255" s="18" t="str">
        <x:v>metro</x:v>
      </x:c>
      <x:c r="D2255" s="19" t="str">
        <x:v>T2</x:v>
      </x:c>
      <x:c r="E2255" s="20" t="n">
        <x:v>28400</x:v>
      </x:c>
      <x:c r="F2255" s="18" t="str">
        <x:v>persons/day</x:v>
      </x:c>
      <x:c r="G2255" s="18" t="str">
        <x:v>FY2024</x:v>
      </x:c>
      <x:c r="H2255" s="18" t="str">
        <x:v>否</x:v>
      </x:c>
      <x:c r="I2255" s="19" t="str">
        <x:v>DAILY_ENTRIES_EXITS</x:v>
      </x:c>
      <x:c r="J2255" s="19" t="str">
        <x:v>3号線鶴舞線</x:v>
      </x:c>
      <x:c r="K2255" s="18" t="str">
        <x:v>transport-node:9c2a6390-b7c1-5f5c-be0b-0bacec06df60</x:v>
      </x:c>
      <x:c r="L2255" s="19" t="str">
        <x:v>组件待审核</x:v>
      </x:c>
      <x:c r="M2255" s="21" t="n">
        <x:v>35.156155</x:v>
      </x:c>
      <x:c r="N2255" s="21" t="n">
        <x:v>136.91525</x:v>
      </x:c>
      <x:c r="O2255" s="18" t="str">
        <x:v>005512</x:v>
      </x:c>
      <x:c r="P2255" s="18" t="str">
        <x:v>3号線鶴舞線</x:v>
      </x:c>
      <x:c r="Q2255" s="19" t="str">
        <x:v>S12_061_GE_10000
OFFICIAL_HUB_COMPONENT_REVIEW</x:v>
      </x:c>
      <x:c r="R2255" s="19" t="str">
        <x:v>S12_061 usage threshold</x:v>
      </x:c>
      <x:c r="S2255" s="19" t="str">
        <x:v>https://nlftp.mlit.go.jp/ksj/gml/datalist/KsjTmplt-S12-2024.html</x:v>
      </x:c>
      <x:c r="T2255" s="19" t="str">
        <x:v>https://nlftp.mlit.go.jp/ksj/gml/datalist/KsjTmplt-S12-2024.html
https://www.kotsu.city.nagoya.jp/rp/ticket/TRP0001550.htm</x:v>
      </x:c>
      <x:c r="U2255" s="19" t="str">
        <x:v>station-component|鶴舞|名古屋市|metro|35.1562|136.9152|</x:v>
      </x:c>
      <x:c r="V2255" s="19" t="str">
        <x:v>005509 / 005512 / 3号線鶴舞線</x:v>
      </x:c>
      <x:c r="W2255" s="18" t="str">
        <x:v>否</x:v>
      </x:c>
      <x:c r="X2255" s="18" t="str">
        <x:v>0785e932a32b3ec15e1a1345537ae145eafe1c07bf38d5c16c11ee2b391e7a28</x:v>
      </x:c>
      <x:c r="Y2255" s="20" t="n">
        <x:v>1</x:v>
      </x:c>
      <x:c r="Z2255" s="20" t="n">
        <x:v>1</x:v>
      </x:c>
      <x:c r="AA2255" s="19" t="str">
        <x:v>鶴舞</x:v>
      </x:c>
      <x:c r="AB2255" s="18" t="str">
        <x:v>transport-hub-review:753bfae8-a006-50a8-b8a5-b2113b182843</x:v>
      </x:c>
      <x:c r="AC2255" s="19"/>
    </x:row>
    <x:row r="2256" ht="33" customHeight="1">
      <x:c r="A2256" s="18" t="str">
        <x:v>鶴舞</x:v>
      </x:c>
      <x:c r="B2256" s="18" t="str">
        <x:v>東海旅客鉄道</x:v>
      </x:c>
      <x:c r="C2256" s="18" t="str">
        <x:v>conventional_rail</x:v>
      </x:c>
      <x:c r="D2256" s="19" t="str">
        <x:v>T2</x:v>
      </x:c>
      <x:c r="E2256" s="20" t="n">
        <x:v>40671</x:v>
      </x:c>
      <x:c r="F2256" s="18" t="str">
        <x:v>persons/day</x:v>
      </x:c>
      <x:c r="G2256" s="18" t="str">
        <x:v>FY2024</x:v>
      </x:c>
      <x:c r="H2256" s="18" t="str">
        <x:v>否</x:v>
      </x:c>
      <x:c r="I2256" s="19" t="str">
        <x:v>DAILY_ENTRIES_EXITS</x:v>
      </x:c>
      <x:c r="J2256" s="19" t="str">
        <x:v>中央線</x:v>
      </x:c>
      <x:c r="K2256" s="18" t="str">
        <x:v>transport-node:0552de9a-436d-5f6e-8154-787218c711ef</x:v>
      </x:c>
      <x:c r="L2256" s="19" t="str">
        <x:v>组件待审核</x:v>
      </x:c>
      <x:c r="M2256" s="21" t="n">
        <x:v>35.156995</x:v>
      </x:c>
      <x:c r="N2256" s="21" t="n">
        <x:v>136.918175</x:v>
      </x:c>
      <x:c r="O2256" s="18" t="str">
        <x:v>005509</x:v>
      </x:c>
      <x:c r="P2256" s="18" t="str">
        <x:v>中央線</x:v>
      </x:c>
      <x:c r="Q2256" s="19" t="str">
        <x:v>S12_061_GE_10000
OFFICIAL_HUB_COMPONENT_REVIEW</x:v>
      </x:c>
      <x:c r="R2256" s="19" t="str">
        <x:v>S12_061 usage threshold</x:v>
      </x:c>
      <x:c r="S2256" s="19" t="str">
        <x:v>https://nlftp.mlit.go.jp/ksj/gml/datalist/KsjTmplt-S12-2024.html</x:v>
      </x:c>
      <x:c r="T2256" s="19" t="str">
        <x:v>https://nlftp.mlit.go.jp/ksj/gml/datalist/KsjTmplt-S12-2024.html
https://www.kotsu.city.nagoya.jp/rp/ticket/TRP0001550.htm</x:v>
      </x:c>
      <x:c r="U2256" s="19" t="str">
        <x:v>station-component|鶴舞|東海旅客鉄道|conventional_rail|35.1570|136.9182|</x:v>
      </x:c>
      <x:c r="V2256" s="19" t="str">
        <x:v>005509 / 005509 / 中央線</x:v>
      </x:c>
      <x:c r="W2256" s="18" t="str">
        <x:v>否</x:v>
      </x:c>
      <x:c r="X2256" s="18" t="str">
        <x:v>0785e932a32b3ec15e1a1345537ae145eafe1c07bf38d5c16c11ee2b391e7a28</x:v>
      </x:c>
      <x:c r="Y2256" s="20" t="n">
        <x:v>1</x:v>
      </x:c>
      <x:c r="Z2256" s="20" t="n">
        <x:v>1</x:v>
      </x:c>
      <x:c r="AA2256" s="19" t="str">
        <x:v>鶴舞</x:v>
      </x:c>
      <x:c r="AB2256" s="18" t="str">
        <x:v>transport-hub-review:753bfae8-a006-50a8-b8a5-b2113b182843</x:v>
      </x:c>
      <x:c r="AC2256" s="19"/>
    </x:row>
    <x:row r="2257" ht="33" customHeight="1">
      <x:c r="A2257" s="18" t="str">
        <x:v>鶴見</x:v>
      </x:c>
      <x:c r="B2257" s="18" t="str">
        <x:v>東日本旅客鉄道</x:v>
      </x:c>
      <x:c r="C2257" s="18" t="str">
        <x:v>conventional_rail</x:v>
      </x:c>
      <x:c r="D2257" s="19" t="str">
        <x:v>T1</x:v>
      </x:c>
      <x:c r="E2257" s="20" t="n">
        <x:v>143930</x:v>
      </x:c>
      <x:c r="F2257" s="18" t="str">
        <x:v>persons/day</x:v>
      </x:c>
      <x:c r="G2257" s="18" t="str">
        <x:v>FY2024</x:v>
      </x:c>
      <x:c r="H2257" s="18" t="str">
        <x:v>否</x:v>
      </x:c>
      <x:c r="I2257" s="19" t="str">
        <x:v>DAILY_ENTRIES_EXITS</x:v>
      </x:c>
      <x:c r="J2257" s="19" t="str">
        <x:v>東海道線
鶴見線</x:v>
      </x:c>
      <x:c r="K2257" s="18" t="str">
        <x:v>transport-node:cc3ca3d6-7c28-5a59-ae98-d6ebd3e21013</x:v>
      </x:c>
      <x:c r="L2257" s="19" t="str">
        <x:v>组件待审核</x:v>
      </x:c>
      <x:c r="M2257" s="21" t="n">
        <x:v>35.50794</x:v>
      </x:c>
      <x:c r="N2257" s="21" t="n">
        <x:v>139.67579</x:v>
      </x:c>
      <x:c r="O2257" s="18" t="str">
        <x:v>004499</x:v>
      </x:c>
      <x:c r="P2257" s="18" t="str">
        <x:v>鶴見線</x:v>
      </x:c>
      <x:c r="Q2257" s="19" t="str">
        <x:v>S12_061_GE_10000</x:v>
      </x:c>
      <x:c r="R2257" s="19" t="str">
        <x:v>S12_061 usage threshold</x:v>
      </x:c>
      <x:c r="S2257" s="19" t="str">
        <x:v>https://nlftp.mlit.go.jp/ksj/gml/datalist/KsjTmplt-S12-2024.html</x:v>
      </x:c>
      <x:c r="T2257" s="19" t="str">
        <x:v>https://nlftp.mlit.go.jp/ksj/gml/datalist/KsjTmplt-S12-2024.html</x:v>
      </x:c>
      <x:c r="U2257" s="19" t="str">
        <x:v>station-component|鶴見|東日本旅客鉄道|conventional_rail|35.5079|139.6758|</x:v>
      </x:c>
      <x:c r="V2257" s="19" t="str">
        <x:v>004496 / 004496 / 東海道線
004496 / 004499 / 鶴見線</x:v>
      </x:c>
      <x:c r="W2257" s="18" t="str">
        <x:v>否</x:v>
      </x:c>
      <x:c r="X2257" s="18" t="str">
        <x:v>0785e932a32b3ec15e1a1345537ae145eafe1c07bf38d5c16c11ee2b391e7a28</x:v>
      </x:c>
      <x:c r="Y2257" s="20" t="n">
        <x:v>1</x:v>
      </x:c>
      <x:c r="Z2257" s="20" t="n">
        <x:v>1</x:v>
      </x:c>
      <x:c r="AA2257" s="19"/>
      <x:c r="AB2257" s="18"/>
      <x:c r="AC2257" s="19"/>
    </x:row>
    <x:row r="2258" ht="28" customHeight="1">
      <x:c r="A2258" s="18" t="str">
        <x:v>鶴見市場</x:v>
      </x:c>
      <x:c r="B2258" s="18" t="str">
        <x:v>京浜急行電鉄</x:v>
      </x:c>
      <x:c r="C2258" s="18" t="str">
        <x:v>private_rail</x:v>
      </x:c>
      <x:c r="D2258" s="19" t="str">
        <x:v>T2</x:v>
      </x:c>
      <x:c r="E2258" s="20" t="n">
        <x:v>20431</x:v>
      </x:c>
      <x:c r="F2258" s="18" t="str">
        <x:v>persons/day</x:v>
      </x:c>
      <x:c r="G2258" s="18" t="str">
        <x:v>FY2024</x:v>
      </x:c>
      <x:c r="H2258" s="18" t="str">
        <x:v>否</x:v>
      </x:c>
      <x:c r="I2258" s="19" t="str">
        <x:v>DAILY_ENTRIES_EXITS</x:v>
      </x:c>
      <x:c r="J2258" s="19" t="str">
        <x:v>本線</x:v>
      </x:c>
      <x:c r="K2258" s="18" t="str">
        <x:v>transport-node:7e776e66-f686-541e-acd4-136aa00c61b3</x:v>
      </x:c>
      <x:c r="L2258" s="19" t="str">
        <x:v>组件待审核</x:v>
      </x:c>
      <x:c r="M2258" s="21" t="n">
        <x:v>35.51759</x:v>
      </x:c>
      <x:c r="N2258" s="21" t="n">
        <x:v>139.68649</x:v>
      </x:c>
      <x:c r="O2258" s="18" t="str">
        <x:v>004465</x:v>
      </x:c>
      <x:c r="P2258" s="18" t="str">
        <x:v>本線</x:v>
      </x:c>
      <x:c r="Q2258" s="19" t="str">
        <x:v>S12_061_GE_10000</x:v>
      </x:c>
      <x:c r="R2258" s="19" t="str">
        <x:v>S12_061 usage threshold</x:v>
      </x:c>
      <x:c r="S2258" s="19" t="str">
        <x:v>https://nlftp.mlit.go.jp/ksj/gml/datalist/KsjTmplt-S12-2024.html</x:v>
      </x:c>
      <x:c r="T2258" s="19" t="str">
        <x:v>https://nlftp.mlit.go.jp/ksj/gml/datalist/KsjTmplt-S12-2024.html</x:v>
      </x:c>
      <x:c r="U2258" s="19" t="str">
        <x:v>station-component|鶴見市場|京浜急行電鉄|private_rail|35.5176|139.6865|</x:v>
      </x:c>
      <x:c r="V2258" s="19" t="str">
        <x:v>004465 / 004465 / 本線</x:v>
      </x:c>
      <x:c r="W2258" s="18" t="str">
        <x:v>否</x:v>
      </x:c>
      <x:c r="X2258" s="18" t="str">
        <x:v>0785e932a32b3ec15e1a1345537ae145eafe1c07bf38d5c16c11ee2b391e7a28</x:v>
      </x:c>
      <x:c r="Y2258" s="20" t="n">
        <x:v>1</x:v>
      </x:c>
      <x:c r="Z2258" s="20" t="n">
        <x:v>1</x:v>
      </x:c>
      <x:c r="AA2258" s="19"/>
      <x:c r="AB2258" s="18"/>
      <x:c r="AC2258" s="19"/>
    </x:row>
    <x:row r="2259" ht="28" customHeight="1">
      <x:c r="A2259" s="18" t="str">
        <x:v>鶴見緑地</x:v>
      </x:c>
      <x:c r="B2259" s="18" t="str">
        <x:v>大阪市高速電気軌道</x:v>
      </x:c>
      <x:c r="C2259" s="18" t="str">
        <x:v>metro</x:v>
      </x:c>
      <x:c r="D2259" s="19" t="str">
        <x:v>T2</x:v>
      </x:c>
      <x:c r="E2259" s="20" t="n">
        <x:v>10695</x:v>
      </x:c>
      <x:c r="F2259" s="18" t="str">
        <x:v>persons/day</x:v>
      </x:c>
      <x:c r="G2259" s="18" t="str">
        <x:v>FY2024</x:v>
      </x:c>
      <x:c r="H2259" s="18" t="str">
        <x:v>否</x:v>
      </x:c>
      <x:c r="I2259" s="19" t="str">
        <x:v>DAILY_ENTRIES_EXITS</x:v>
      </x:c>
      <x:c r="J2259" s="19" t="str">
        <x:v>7号線(長堀鶴見緑地線)</x:v>
      </x:c>
      <x:c r="K2259" s="18" t="str">
        <x:v>transport-node:abf4d4bd-06a6-5d71-af56-b6ffbaaa8e63</x:v>
      </x:c>
      <x:c r="L2259" s="19" t="str">
        <x:v>组件待审核</x:v>
      </x:c>
      <x:c r="M2259" s="21" t="n">
        <x:v>34.71097</x:v>
      </x:c>
      <x:c r="N2259" s="21" t="n">
        <x:v>135.58071</x:v>
      </x:c>
      <x:c r="O2259" s="18" t="str">
        <x:v>007018</x:v>
      </x:c>
      <x:c r="P2259" s="18" t="str">
        <x:v>7号線(長堀鶴見緑地線)</x:v>
      </x:c>
      <x:c r="Q2259" s="19" t="str">
        <x:v>S12_061_GE_10000</x:v>
      </x:c>
      <x:c r="R2259" s="19" t="str">
        <x:v>S12_061 usage threshold</x:v>
      </x:c>
      <x:c r="S2259" s="19" t="str">
        <x:v>https://nlftp.mlit.go.jp/ksj/gml/datalist/KsjTmplt-S12-2024.html</x:v>
      </x:c>
      <x:c r="T2259" s="19" t="str">
        <x:v>https://nlftp.mlit.go.jp/ksj/gml/datalist/KsjTmplt-S12-2024.html</x:v>
      </x:c>
      <x:c r="U2259" s="19" t="str">
        <x:v>station-component|鶴見緑地|大阪市高速電気軌道|metro|34.7110|135.5807|</x:v>
      </x:c>
      <x:c r="V2259" s="19" t="str">
        <x:v>007018 / 007018 / 7号線(長堀鶴見緑地線)</x:v>
      </x:c>
      <x:c r="W2259" s="18" t="str">
        <x:v>否</x:v>
      </x:c>
      <x:c r="X2259" s="18" t="str">
        <x:v>0785e932a32b3ec15e1a1345537ae145eafe1c07bf38d5c16c11ee2b391e7a28</x:v>
      </x:c>
      <x:c r="Y2259" s="20" t="n">
        <x:v>1</x:v>
      </x:c>
      <x:c r="Z2259" s="20" t="n">
        <x:v>1</x:v>
      </x:c>
      <x:c r="AA2259" s="19"/>
      <x:c r="AB2259" s="18"/>
      <x:c r="AC2259" s="19"/>
    </x:row>
    <x:row r="2260" ht="28" customHeight="1">
      <x:c r="A2260" s="18" t="str">
        <x:v>鶴間</x:v>
      </x:c>
      <x:c r="B2260" s="18" t="str">
        <x:v>小田急電鉄</x:v>
      </x:c>
      <x:c r="C2260" s="18" t="str">
        <x:v>private_rail</x:v>
      </x:c>
      <x:c r="D2260" s="19" t="str">
        <x:v>T2</x:v>
      </x:c>
      <x:c r="E2260" s="20" t="n">
        <x:v>29046</x:v>
      </x:c>
      <x:c r="F2260" s="18" t="str">
        <x:v>persons/day</x:v>
      </x:c>
      <x:c r="G2260" s="18" t="str">
        <x:v>FY2024</x:v>
      </x:c>
      <x:c r="H2260" s="18" t="str">
        <x:v>否</x:v>
      </x:c>
      <x:c r="I2260" s="19" t="str">
        <x:v>DAILY_ENTRIES_EXITS</x:v>
      </x:c>
      <x:c r="J2260" s="19" t="str">
        <x:v>江ノ島線</x:v>
      </x:c>
      <x:c r="K2260" s="18" t="str">
        <x:v>transport-node:987812a7-5fdd-5c11-8217-3c60d4cfc883</x:v>
      </x:c>
      <x:c r="L2260" s="19" t="str">
        <x:v>组件待审核</x:v>
      </x:c>
      <x:c r="M2260" s="21" t="n">
        <x:v>35.49057</x:v>
      </x:c>
      <x:c r="N2260" s="21" t="n">
        <x:v>139.45064</x:v>
      </x:c>
      <x:c r="O2260" s="18" t="str">
        <x:v>004549</x:v>
      </x:c>
      <x:c r="P2260" s="18" t="str">
        <x:v>江ノ島線</x:v>
      </x:c>
      <x:c r="Q2260" s="19" t="str">
        <x:v>S12_061_GE_10000</x:v>
      </x:c>
      <x:c r="R2260" s="19" t="str">
        <x:v>S12_061 usage threshold</x:v>
      </x:c>
      <x:c r="S2260" s="19" t="str">
        <x:v>https://nlftp.mlit.go.jp/ksj/gml/datalist/KsjTmplt-S12-2024.html</x:v>
      </x:c>
      <x:c r="T2260" s="19" t="str">
        <x:v>https://nlftp.mlit.go.jp/ksj/gml/datalist/KsjTmplt-S12-2024.html</x:v>
      </x:c>
      <x:c r="U2260" s="19" t="str">
        <x:v>station-component|鶴間|小田急電鉄|private_rail|35.4906|139.4506|</x:v>
      </x:c>
      <x:c r="V2260" s="19" t="str">
        <x:v>004549 / 004549 / 江ノ島線</x:v>
      </x:c>
      <x:c r="W2260" s="18" t="str">
        <x:v>否</x:v>
      </x:c>
      <x:c r="X2260" s="18" t="str">
        <x:v>0785e932a32b3ec15e1a1345537ae145eafe1c07bf38d5c16c11ee2b391e7a28</x:v>
      </x:c>
      <x:c r="Y2260" s="20" t="n">
        <x:v>1</x:v>
      </x:c>
      <x:c r="Z2260" s="20" t="n">
        <x:v>1</x:v>
      </x:c>
      <x:c r="AA2260" s="19"/>
      <x:c r="AB2260" s="18"/>
      <x:c r="AC2260" s="19"/>
    </x:row>
    <x:row r="2261" ht="28" customHeight="1">
      <x:c r="A2261" s="18" t="str">
        <x:v>鷹の台</x:v>
      </x:c>
      <x:c r="B2261" s="18" t="str">
        <x:v>西武鉄道</x:v>
      </x:c>
      <x:c r="C2261" s="18" t="str">
        <x:v>private_rail</x:v>
      </x:c>
      <x:c r="D2261" s="19" t="str">
        <x:v>T2</x:v>
      </x:c>
      <x:c r="E2261" s="20" t="n">
        <x:v>24283</x:v>
      </x:c>
      <x:c r="F2261" s="18" t="str">
        <x:v>persons/day</x:v>
      </x:c>
      <x:c r="G2261" s="18" t="str">
        <x:v>FY2024</x:v>
      </x:c>
      <x:c r="H2261" s="18" t="str">
        <x:v>否</x:v>
      </x:c>
      <x:c r="I2261" s="19" t="str">
        <x:v>DAILY_ENTRIES_EXITS</x:v>
      </x:c>
      <x:c r="J2261" s="19" t="str">
        <x:v>国分寺線</x:v>
      </x:c>
      <x:c r="K2261" s="18" t="str">
        <x:v>transport-node:827a93ba-e503-582c-baaf-fa8de019fc0d</x:v>
      </x:c>
      <x:c r="L2261" s="19" t="str">
        <x:v>组件待审核</x:v>
      </x:c>
      <x:c r="M2261" s="21" t="n">
        <x:v>35.72301</x:v>
      </x:c>
      <x:c r="N2261" s="21" t="n">
        <x:v>139.46106</x:v>
      </x:c>
      <x:c r="O2261" s="18" t="str">
        <x:v>003450</x:v>
      </x:c>
      <x:c r="P2261" s="18" t="str">
        <x:v>国分寺線</x:v>
      </x:c>
      <x:c r="Q2261" s="19" t="str">
        <x:v>S12_061_GE_10000</x:v>
      </x:c>
      <x:c r="R2261" s="19" t="str">
        <x:v>S12_061 usage threshold</x:v>
      </x:c>
      <x:c r="S2261" s="19" t="str">
        <x:v>https://nlftp.mlit.go.jp/ksj/gml/datalist/KsjTmplt-S12-2024.html</x:v>
      </x:c>
      <x:c r="T2261" s="19" t="str">
        <x:v>https://nlftp.mlit.go.jp/ksj/gml/datalist/KsjTmplt-S12-2024.html</x:v>
      </x:c>
      <x:c r="U2261" s="19" t="str">
        <x:v>station-component|鷹の台|西武鉄道|private_rail|35.7230|139.4611|</x:v>
      </x:c>
      <x:c r="V2261" s="19" t="str">
        <x:v>003450 / 003450 / 国分寺線</x:v>
      </x:c>
      <x:c r="W2261" s="18" t="str">
        <x:v>否</x:v>
      </x:c>
      <x:c r="X2261" s="18" t="str">
        <x:v>0785e932a32b3ec15e1a1345537ae145eafe1c07bf38d5c16c11ee2b391e7a28</x:v>
      </x:c>
      <x:c r="Y2261" s="20" t="n">
        <x:v>1</x:v>
      </x:c>
      <x:c r="Z2261" s="20" t="n">
        <x:v>1</x:v>
      </x:c>
      <x:c r="AA2261" s="19"/>
      <x:c r="AB2261" s="18"/>
      <x:c r="AC2261" s="19"/>
    </x:row>
    <x:row r="2262" ht="28" customHeight="1">
      <x:c r="A2262" s="18" t="str">
        <x:v>鷹取</x:v>
      </x:c>
      <x:c r="B2262" s="18" t="str">
        <x:v>西日本旅客鉄道</x:v>
      </x:c>
      <x:c r="C2262" s="18" t="str">
        <x:v>conventional_rail</x:v>
      </x:c>
      <x:c r="D2262" s="19" t="str">
        <x:v>T2</x:v>
      </x:c>
      <x:c r="E2262" s="20" t="n">
        <x:v>15618</x:v>
      </x:c>
      <x:c r="F2262" s="18" t="str">
        <x:v>persons/day</x:v>
      </x:c>
      <x:c r="G2262" s="18" t="str">
        <x:v>FY2024</x:v>
      </x:c>
      <x:c r="H2262" s="18" t="str">
        <x:v>否</x:v>
      </x:c>
      <x:c r="I2262" s="19" t="str">
        <x:v>DAILY_ENTRIES_EXITS</x:v>
      </x:c>
      <x:c r="J2262" s="19" t="str">
        <x:v>山陽線</x:v>
      </x:c>
      <x:c r="K2262" s="18" t="str">
        <x:v>transport-node:92c66d0e-8eaf-5f10-b6dc-6110b06b19c0</x:v>
      </x:c>
      <x:c r="L2262" s="19" t="str">
        <x:v>组件待审核</x:v>
      </x:c>
      <x:c r="M2262" s="21" t="n">
        <x:v>34.6517275</x:v>
      </x:c>
      <x:c r="N2262" s="21" t="n">
        <x:v>135.1353525</x:v>
      </x:c>
      <x:c r="O2262" s="18" t="str">
        <x:v>007417</x:v>
      </x:c>
      <x:c r="P2262" s="18" t="str">
        <x:v>山陽線</x:v>
      </x:c>
      <x:c r="Q2262" s="19" t="str">
        <x:v>S12_061_GE_10000</x:v>
      </x:c>
      <x:c r="R2262" s="19" t="str">
        <x:v>S12_061 usage threshold</x:v>
      </x:c>
      <x:c r="S2262" s="19" t="str">
        <x:v>https://nlftp.mlit.go.jp/ksj/gml/datalist/KsjTmplt-S12-2024.html</x:v>
      </x:c>
      <x:c r="T2262" s="19" t="str">
        <x:v>https://nlftp.mlit.go.jp/ksj/gml/datalist/KsjTmplt-S12-2024.html</x:v>
      </x:c>
      <x:c r="U2262" s="19" t="str">
        <x:v>station-component|鷹取|西日本旅客鉄道|conventional_rail|34.6517|135.1354|</x:v>
      </x:c>
      <x:c r="V2262" s="19" t="str">
        <x:v>007417 / 007417 / 山陽線</x:v>
      </x:c>
      <x:c r="W2262" s="18" t="str">
        <x:v>否</x:v>
      </x:c>
      <x:c r="X2262" s="18" t="str">
        <x:v>0785e932a32b3ec15e1a1345537ae145eafe1c07bf38d5c16c11ee2b391e7a28</x:v>
      </x:c>
      <x:c r="Y2262" s="20" t="n">
        <x:v>1</x:v>
      </x:c>
      <x:c r="Z2262" s="20" t="n">
        <x:v>1</x:v>
      </x:c>
      <x:c r="AA2262" s="19"/>
      <x:c r="AB2262" s="18"/>
      <x:c r="AC2262" s="19"/>
    </x:row>
    <x:row r="2263" ht="28" customHeight="1">
      <x:c r="A2263" s="18" t="str">
        <x:v>鷺ノ宮</x:v>
      </x:c>
      <x:c r="B2263" s="18" t="str">
        <x:v>西武鉄道</x:v>
      </x:c>
      <x:c r="C2263" s="18" t="str">
        <x:v>private_rail</x:v>
      </x:c>
      <x:c r="D2263" s="19" t="str">
        <x:v>T2</x:v>
      </x:c>
      <x:c r="E2263" s="20" t="n">
        <x:v>30388</x:v>
      </x:c>
      <x:c r="F2263" s="18" t="str">
        <x:v>persons/day</x:v>
      </x:c>
      <x:c r="G2263" s="18" t="str">
        <x:v>FY2024</x:v>
      </x:c>
      <x:c r="H2263" s="18" t="str">
        <x:v>否</x:v>
      </x:c>
      <x:c r="I2263" s="19" t="str">
        <x:v>DAILY_ENTRIES_EXITS</x:v>
      </x:c>
      <x:c r="J2263" s="19" t="str">
        <x:v>新宿線</x:v>
      </x:c>
      <x:c r="K2263" s="18" t="str">
        <x:v>transport-node:8fb13707-d81d-59d8-b89c-8474785428e6</x:v>
      </x:c>
      <x:c r="L2263" s="19" t="str">
        <x:v>组件待审核</x:v>
      </x:c>
      <x:c r="M2263" s="21" t="n">
        <x:v>35.72262</x:v>
      </x:c>
      <x:c r="N2263" s="21" t="n">
        <x:v>139.639845</x:v>
      </x:c>
      <x:c r="O2263" s="18" t="str">
        <x:v>003451</x:v>
      </x:c>
      <x:c r="P2263" s="18" t="str">
        <x:v>新宿線</x:v>
      </x:c>
      <x:c r="Q2263" s="19" t="str">
        <x:v>S12_061_GE_10000</x:v>
      </x:c>
      <x:c r="R2263" s="19" t="str">
        <x:v>S12_061 usage threshold</x:v>
      </x:c>
      <x:c r="S2263" s="19" t="str">
        <x:v>https://nlftp.mlit.go.jp/ksj/gml/datalist/KsjTmplt-S12-2024.html</x:v>
      </x:c>
      <x:c r="T2263" s="19" t="str">
        <x:v>https://nlftp.mlit.go.jp/ksj/gml/datalist/KsjTmplt-S12-2024.html</x:v>
      </x:c>
      <x:c r="U2263" s="19" t="str">
        <x:v>station-component|鷺ノ宮|西武鉄道|private_rail|35.7226|139.6398|</x:v>
      </x:c>
      <x:c r="V2263" s="19" t="str">
        <x:v>003451 / 003451 / 新宿線</x:v>
      </x:c>
      <x:c r="W2263" s="18" t="str">
        <x:v>否</x:v>
      </x:c>
      <x:c r="X2263" s="18" t="str">
        <x:v>0785e932a32b3ec15e1a1345537ae145eafe1c07bf38d5c16c11ee2b391e7a28</x:v>
      </x:c>
      <x:c r="Y2263" s="20" t="n">
        <x:v>1</x:v>
      </x:c>
      <x:c r="Z2263" s="20" t="n">
        <x:v>1</x:v>
      </x:c>
      <x:c r="AA2263" s="19"/>
      <x:c r="AB2263" s="18"/>
      <x:c r="AC2263" s="19"/>
    </x:row>
    <x:row r="2264" ht="28" customHeight="1">
      <x:c r="A2264" s="18" t="str">
        <x:v>鷺沼</x:v>
      </x:c>
      <x:c r="B2264" s="18" t="str">
        <x:v>東急電鉄</x:v>
      </x:c>
      <x:c r="C2264" s="18" t="str">
        <x:v>private_rail</x:v>
      </x:c>
      <x:c r="D2264" s="19" t="str">
        <x:v>T1</x:v>
      </x:c>
      <x:c r="E2264" s="20" t="n">
        <x:v>59568</x:v>
      </x:c>
      <x:c r="F2264" s="18" t="str">
        <x:v>persons/day</x:v>
      </x:c>
      <x:c r="G2264" s="18" t="str">
        <x:v>FY2024</x:v>
      </x:c>
      <x:c r="H2264" s="18" t="str">
        <x:v>否</x:v>
      </x:c>
      <x:c r="I2264" s="19" t="str">
        <x:v>DAILY_ENTRIES_EXITS</x:v>
      </x:c>
      <x:c r="J2264" s="19" t="str">
        <x:v>田園都市線</x:v>
      </x:c>
      <x:c r="K2264" s="18" t="str">
        <x:v>transport-node:7dfdedec-c628-5b96-ab8e-98e06bc83db7</x:v>
      </x:c>
      <x:c r="L2264" s="19" t="str">
        <x:v>组件待审核</x:v>
      </x:c>
      <x:c r="M2264" s="21" t="n">
        <x:v>35.5796125</x:v>
      </x:c>
      <x:c r="N2264" s="21" t="n">
        <x:v>139.573025</x:v>
      </x:c>
      <x:c r="O2264" s="18" t="str">
        <x:v>004290</x:v>
      </x:c>
      <x:c r="P2264" s="18" t="str">
        <x:v>田園都市線</x:v>
      </x:c>
      <x:c r="Q2264" s="19" t="str">
        <x:v>S12_061_GE_10000</x:v>
      </x:c>
      <x:c r="R2264" s="19" t="str">
        <x:v>S12_061 usage threshold</x:v>
      </x:c>
      <x:c r="S2264" s="19" t="str">
        <x:v>https://nlftp.mlit.go.jp/ksj/gml/datalist/KsjTmplt-S12-2024.html</x:v>
      </x:c>
      <x:c r="T2264" s="19" t="str">
        <x:v>https://nlftp.mlit.go.jp/ksj/gml/datalist/KsjTmplt-S12-2024.html</x:v>
      </x:c>
      <x:c r="U2264" s="19" t="str">
        <x:v>station-component|鷺沼|東急電鉄|private_rail|35.5796|139.5730|</x:v>
      </x:c>
      <x:c r="V2264" s="19" t="str">
        <x:v>004290 / 004290 / 田園都市線</x:v>
      </x:c>
      <x:c r="W2264" s="18" t="str">
        <x:v>否</x:v>
      </x:c>
      <x:c r="X2264" s="18" t="str">
        <x:v>0785e932a32b3ec15e1a1345537ae145eafe1c07bf38d5c16c11ee2b391e7a28</x:v>
      </x:c>
      <x:c r="Y2264" s="20" t="n">
        <x:v>1</x:v>
      </x:c>
      <x:c r="Z2264" s="20" t="n">
        <x:v>1</x:v>
      </x:c>
      <x:c r="AA2264" s="19"/>
      <x:c r="AB2264" s="18"/>
      <x:c r="AC2264" s="19"/>
    </x:row>
    <x:row r="2265" ht="33" customHeight="1">
      <x:c r="A2265" s="18" t="str">
        <x:v>鹿児島中央</x:v>
      </x:c>
      <x:c r="B2265" s="18" t="str">
        <x:v>九州旅客鉄道</x:v>
      </x:c>
      <x:c r="C2265" s="18" t="str">
        <x:v>conventional_rail</x:v>
      </x:c>
      <x:c r="D2265" s="19" t="str">
        <x:v>T2</x:v>
      </x:c>
      <x:c r="E2265" s="20" t="n">
        <x:v>40164</x:v>
      </x:c>
      <x:c r="F2265" s="18" t="str">
        <x:v>persons/day</x:v>
      </x:c>
      <x:c r="G2265" s="18" t="str">
        <x:v>FY2024</x:v>
      </x:c>
      <x:c r="H2265" s="18" t="str">
        <x:v>否</x:v>
      </x:c>
      <x:c r="I2265" s="19" t="str">
        <x:v>DAILY_ENTRIES_EXITS</x:v>
      </x:c>
      <x:c r="J2265" s="19" t="str">
        <x:v>指宿枕崎線
鹿児島線</x:v>
      </x:c>
      <x:c r="K2265" s="18" t="str">
        <x:v>transport-node:8e212416-f401-52e3-b76c-ede3ea8408f6</x:v>
      </x:c>
      <x:c r="L2265" s="19" t="str">
        <x:v>组件待审核</x:v>
      </x:c>
      <x:c r="M2265" s="21" t="n">
        <x:v>31.5842833</x:v>
      </x:c>
      <x:c r="N2265" s="21" t="n">
        <x:v>130.54206</x:v>
      </x:c>
      <x:c r="O2265" s="18" t="str">
        <x:v>010048</x:v>
      </x:c>
      <x:c r="P2265" s="18" t="str">
        <x:v>鹿児島線</x:v>
      </x:c>
      <x:c r="Q2265" s="19" t="str">
        <x:v>S12_061_GE_10000
OFFICIAL_HUB_COMPONENT_REVIEW</x:v>
      </x:c>
      <x:c r="R2265" s="19" t="str">
        <x:v>S12_061 usage threshold</x:v>
      </x:c>
      <x:c r="S2265" s="19" t="str">
        <x:v>https://nlftp.mlit.go.jp/ksj/gml/datalist/KsjTmplt-S12-2024.html</x:v>
      </x:c>
      <x:c r="T2265" s="19" t="str">
        <x:v>https://nlftp.mlit.go.jp/ksj/gml/datalist/KsjTmplt-S12-2024.html
https://www.kagoshima-yokanavi.jp/article/to-sakurajima</x:v>
      </x:c>
      <x:c r="U2265" s="19" t="str">
        <x:v>station-component|鹿児島中央|九州旅客鉄道|conventional_rail|31.5843|130.5421|</x:v>
      </x:c>
      <x:c r="V2265" s="19" t="str">
        <x:v>010047 / 010047 / 指宿枕崎線
010047 / 010048 / 鹿児島線</x:v>
      </x:c>
      <x:c r="W2265" s="18" t="str">
        <x:v>否</x:v>
      </x:c>
      <x:c r="X2265" s="18" t="str">
        <x:v>0785e932a32b3ec15e1a1345537ae145eafe1c07bf38d5c16c11ee2b391e7a28</x:v>
      </x:c>
      <x:c r="Y2265" s="20" t="n">
        <x:v>1</x:v>
      </x:c>
      <x:c r="Z2265" s="20" t="n">
        <x:v>1</x:v>
      </x:c>
      <x:c r="AA2265" s="19" t="str">
        <x:v>鹿児島中央</x:v>
      </x:c>
      <x:c r="AB2265" s="18" t="str">
        <x:v>transport-hub-review:f2d1266d-1ec6-5e80-a016-f1b750050330</x:v>
      </x:c>
      <x:c r="AC2265" s="19"/>
    </x:row>
    <x:row r="2266" ht="47" customHeight="1">
      <x:c r="A2266" s="18" t="str">
        <x:v>鹿児島中央</x:v>
      </x:c>
      <x:c r="B2266" s="18" t="str">
        <x:v>九州旅客鉄道</x:v>
      </x:c>
      <x:c r="C2266" s="18" t="str">
        <x:v>shinkansen</x:v>
      </x:c>
      <x:c r="D2266" s="19"/>
      <x:c r="E2266" s="20" t="n">
        <x:v>20083</x:v>
      </x:c>
      <x:c r="F2266" s="18" t="str">
        <x:v>boardings/day</x:v>
      </x:c>
      <x:c r="G2266" s="18" t="str">
        <x:v>FY2024</x:v>
      </x:c>
      <x:c r="H2266" s="18" t="str">
        <x:v>是</x:v>
      </x:c>
      <x:c r="I2266" s="19" t="str">
        <x:v>STATION_COMPLEX_PROXY</x:v>
      </x:c>
      <x:c r="J2266" s="19" t="str">
        <x:v>九州新幹線</x:v>
      </x:c>
      <x:c r="K2266" s="18" t="str">
        <x:v>transport-node:7f64001c-b0c3-5022-9bf7-090aa8e9b6b1</x:v>
      </x:c>
      <x:c r="L2266" s="19" t="str">
        <x:v>组件待审核</x:v>
      </x:c>
      <x:c r="M2266" s="21" t="n">
        <x:v>31.583775</x:v>
      </x:c>
      <x:c r="N2266" s="21" t="n">
        <x:v>130.54103</x:v>
      </x:c>
      <x:c r="O2266" s="18" t="str">
        <x:v>010049</x:v>
      </x:c>
      <x:c r="P2266" s="18" t="str">
        <x:v>九州新幹線</x:v>
      </x:c>
      <x:c r="Q2266" s="19" t="str">
        <x:v>SHINKANSEN
OFFICIAL_HUB_COMPONENT_REVIEW</x:v>
      </x:c>
      <x:c r="R2266" s="19" t="str">
        <x:v>Official fallback retained in published scope/unit; tier remains null pending metric/manual review.</x:v>
      </x:c>
      <x:c r="S2266" s="19" t="str">
        <x:v>https://www.jrkyushu.co.jp/company/info/data/pdf/2024ekibetsu.pdf</x:v>
      </x:c>
      <x:c r="T2266" s="19" t="str">
        <x:v>https://nlftp.mlit.go.jp/ksj/gml/datalist/KsjTmplt-S12-2024.html
https://www.jrkyushu.co.jp/company/info/data/pdf/2024ekibetsu.pdf
https://www.kagoshima-yokanavi.jp/article/to-sakurajima</x:v>
      </x:c>
      <x:c r="U2266" s="19" t="str">
        <x:v>station-component|鹿児島中央|九州旅客鉄道|shinkansen|31.5838|130.5410|</x:v>
      </x:c>
      <x:c r="V2266" s="19" t="str">
        <x:v>010047 / 010049 / 九州新幹線</x:v>
      </x:c>
      <x:c r="W2266" s="18" t="str">
        <x:v>否</x:v>
      </x:c>
      <x:c r="X2266" s="18" t="str">
        <x:v>0785e932a32b3ec15e1a1345537ae145eafe1c07bf38d5c16c11ee2b391e7a28</x:v>
      </x:c>
      <x:c r="Y2266" s="20" t="n">
        <x:v>1</x:v>
      </x:c>
      <x:c r="Z2266" s="20" t="n">
        <x:v>2</x:v>
      </x:c>
      <x:c r="AA2266" s="19" t="str">
        <x:v>鹿児島中央</x:v>
      </x:c>
      <x:c r="AB2266" s="18" t="str">
        <x:v>transport-hub-review:f2d1266d-1ec6-5e80-a016-f1b750050330</x:v>
      </x:c>
      <x:c r="AC2266" s="19"/>
    </x:row>
    <x:row r="2267" ht="33" customHeight="1">
      <x:c r="A2267" s="18" t="str">
        <x:v>鹿児島中央駅前</x:v>
      </x:c>
      <x:c r="B2267" s="18" t="str">
        <x:v>鹿児島市</x:v>
      </x:c>
      <x:c r="C2267" s="18" t="str">
        <x:v>tram</x:v>
      </x:c>
      <x:c r="D2267" s="19" t="str">
        <x:v>T3</x:v>
      </x:c>
      <x:c r="E2267" s="20" t="n">
        <x:v>6517</x:v>
      </x:c>
      <x:c r="F2267" s="18" t="str">
        <x:v>persons/day</x:v>
      </x:c>
      <x:c r="G2267" s="18" t="str">
        <x:v>FY2024</x:v>
      </x:c>
      <x:c r="H2267" s="18" t="str">
        <x:v>否</x:v>
      </x:c>
      <x:c r="I2267" s="19" t="str">
        <x:v>DAILY_ENTRIES_EXITS</x:v>
      </x:c>
      <x:c r="J2267" s="19" t="str">
        <x:v>唐湊線
第二期線</x:v>
      </x:c>
      <x:c r="K2267" s="18" t="str">
        <x:v>transport-node:722bd6d1-d279-542b-9ee5-dea888b1e132</x:v>
      </x:c>
      <x:c r="L2267" s="19" t="str">
        <x:v>组件待审核</x:v>
      </x:c>
      <x:c r="M2267" s="21" t="n">
        <x:v>31.583645</x:v>
      </x:c>
      <x:c r="N2267" s="21" t="n">
        <x:v>130.54352</x:v>
      </x:c>
      <x:c r="O2267" s="18" t="str">
        <x:v>010050</x:v>
      </x:c>
      <x:c r="P2267" s="18" t="str">
        <x:v>第二期線</x:v>
      </x:c>
      <x:c r="Q2267" s="19" t="str">
        <x:v>OFFICIAL_HUB_COMPONENT_REVIEW</x:v>
      </x:c>
      <x:c r="R2267" s="19" t="str">
        <x:v>S12_061 usage threshold; low-flow inclusion justified by official Hub component review</x:v>
      </x:c>
      <x:c r="S2267" s="19" t="str">
        <x:v>https://nlftp.mlit.go.jp/ksj/gml/datalist/KsjTmplt-S12-2024.html</x:v>
      </x:c>
      <x:c r="T2267" s="19" t="str">
        <x:v>https://nlftp.mlit.go.jp/ksj/gml/datalist/KsjTmplt-S12-2024.html
https://www.kagoshima-yokanavi.jp/article/to-sakurajima</x:v>
      </x:c>
      <x:c r="U2267" s="19" t="str">
        <x:v>station-component|鹿児島中央駅前|鹿児島市|tram|31.5836|130.5435|</x:v>
      </x:c>
      <x:c r="V2267" s="19" t="str">
        <x:v>010050 / 010050 / 第二期線
010050 / 010051 / 唐湊線</x:v>
      </x:c>
      <x:c r="W2267" s="18" t="str">
        <x:v>否</x:v>
      </x:c>
      <x:c r="X2267" s="18" t="str">
        <x:v>0785e932a32b3ec15e1a1345537ae145eafe1c07bf38d5c16c11ee2b391e7a28</x:v>
      </x:c>
      <x:c r="Y2267" s="20" t="n">
        <x:v>1</x:v>
      </x:c>
      <x:c r="Z2267" s="20" t="n">
        <x:v>1</x:v>
      </x:c>
      <x:c r="AA2267" s="19" t="str">
        <x:v>鹿児島中央</x:v>
      </x:c>
      <x:c r="AB2267" s="18" t="str">
        <x:v>transport-hub-review:f2d1266d-1ec6-5e80-a016-f1b750050330</x:v>
      </x:c>
      <x:c r="AC2267" s="19"/>
    </x:row>
    <x:row r="2268" ht="28" customHeight="1">
      <x:c r="A2268" s="18" t="str">
        <x:v>鹿島田</x:v>
      </x:c>
      <x:c r="B2268" s="18" t="str">
        <x:v>東日本旅客鉄道</x:v>
      </x:c>
      <x:c r="C2268" s="18" t="str">
        <x:v>conventional_rail</x:v>
      </x:c>
      <x:c r="D2268" s="19" t="str">
        <x:v>T2</x:v>
      </x:c>
      <x:c r="E2268" s="20" t="n">
        <x:v>33178</x:v>
      </x:c>
      <x:c r="F2268" s="18" t="str">
        <x:v>persons/day</x:v>
      </x:c>
      <x:c r="G2268" s="18" t="str">
        <x:v>FY2024</x:v>
      </x:c>
      <x:c r="H2268" s="18" t="str">
        <x:v>否</x:v>
      </x:c>
      <x:c r="I2268" s="19" t="str">
        <x:v>DAILY_ENTRIES_EXITS</x:v>
      </x:c>
      <x:c r="J2268" s="19" t="str">
        <x:v>南武線</x:v>
      </x:c>
      <x:c r="K2268" s="18" t="str">
        <x:v>transport-node:0da3a8ef-1e9c-5651-893e-fcccd0ae5d76</x:v>
      </x:c>
      <x:c r="L2268" s="19" t="str">
        <x:v>组件待审核</x:v>
      </x:c>
      <x:c r="M2268" s="21" t="n">
        <x:v>35.551455</x:v>
      </x:c>
      <x:c r="N2268" s="21" t="n">
        <x:v>139.67498</x:v>
      </x:c>
      <x:c r="O2268" s="18" t="str">
        <x:v>004359</x:v>
      </x:c>
      <x:c r="P2268" s="18" t="str">
        <x:v>南武線</x:v>
      </x:c>
      <x:c r="Q2268" s="19" t="str">
        <x:v>S12_061_GE_10000</x:v>
      </x:c>
      <x:c r="R2268" s="19" t="str">
        <x:v>S12_061 usage threshold</x:v>
      </x:c>
      <x:c r="S2268" s="19" t="str">
        <x:v>https://nlftp.mlit.go.jp/ksj/gml/datalist/KsjTmplt-S12-2024.html</x:v>
      </x:c>
      <x:c r="T2268" s="19" t="str">
        <x:v>https://nlftp.mlit.go.jp/ksj/gml/datalist/KsjTmplt-S12-2024.html</x:v>
      </x:c>
      <x:c r="U2268" s="19" t="str">
        <x:v>station-component|鹿島田|東日本旅客鉄道|conventional_rail|35.5515|139.6750|</x:v>
      </x:c>
      <x:c r="V2268" s="19" t="str">
        <x:v>004359 / 004359 / 南武線</x:v>
      </x:c>
      <x:c r="W2268" s="18" t="str">
        <x:v>否</x:v>
      </x:c>
      <x:c r="X2268" s="18" t="str">
        <x:v>0785e932a32b3ec15e1a1345537ae145eafe1c07bf38d5c16c11ee2b391e7a28</x:v>
      </x:c>
      <x:c r="Y2268" s="20" t="n">
        <x:v>1</x:v>
      </x:c>
      <x:c r="Z2268" s="20" t="n">
        <x:v>1</x:v>
      </x:c>
      <x:c r="AA2268" s="19"/>
      <x:c r="AB2268" s="18"/>
      <x:c r="AC2268" s="19"/>
    </x:row>
    <x:row r="2269" ht="28" customHeight="1">
      <x:c r="A2269" s="18" t="str">
        <x:v>麹町</x:v>
      </x:c>
      <x:c r="B2269" s="18" t="str">
        <x:v>東京地下鉄</x:v>
      </x:c>
      <x:c r="C2269" s="18" t="str">
        <x:v>metro</x:v>
      </x:c>
      <x:c r="D2269" s="19" t="str">
        <x:v>T1</x:v>
      </x:c>
      <x:c r="E2269" s="20" t="n">
        <x:v>56238</x:v>
      </x:c>
      <x:c r="F2269" s="18" t="str">
        <x:v>persons/day</x:v>
      </x:c>
      <x:c r="G2269" s="18" t="str">
        <x:v>FY2024</x:v>
      </x:c>
      <x:c r="H2269" s="18" t="str">
        <x:v>否</x:v>
      </x:c>
      <x:c r="I2269" s="19" t="str">
        <x:v>DAILY_ENTRIES_EXITS</x:v>
      </x:c>
      <x:c r="J2269" s="19" t="str">
        <x:v>8号線有楽町線</x:v>
      </x:c>
      <x:c r="K2269" s="18" t="str">
        <x:v>transport-node:a545198a-76c9-5586-8ab2-854b89630bc5</x:v>
      </x:c>
      <x:c r="L2269" s="19" t="str">
        <x:v>组件待审核</x:v>
      </x:c>
      <x:c r="M2269" s="21" t="n">
        <x:v>35.684785</x:v>
      </x:c>
      <x:c r="N2269" s="21" t="n">
        <x:v>139.73735</x:v>
      </x:c>
      <x:c r="O2269" s="18" t="str">
        <x:v>003737</x:v>
      </x:c>
      <x:c r="P2269" s="18" t="str">
        <x:v>8号線有楽町線</x:v>
      </x:c>
      <x:c r="Q2269" s="19" t="str">
        <x:v>S12_061_GE_10000</x:v>
      </x:c>
      <x:c r="R2269" s="19" t="str">
        <x:v>S12_061 usage threshold</x:v>
      </x:c>
      <x:c r="S2269" s="19" t="str">
        <x:v>https://nlftp.mlit.go.jp/ksj/gml/datalist/KsjTmplt-S12-2024.html</x:v>
      </x:c>
      <x:c r="T2269" s="19" t="str">
        <x:v>https://nlftp.mlit.go.jp/ksj/gml/datalist/KsjTmplt-S12-2024.html</x:v>
      </x:c>
      <x:c r="U2269" s="19" t="str">
        <x:v>station-component|麹町|東京地下鉄|metro|35.6848|139.7373|</x:v>
      </x:c>
      <x:c r="V2269" s="19" t="str">
        <x:v>003737 / 003737 / 8号線有楽町線</x:v>
      </x:c>
      <x:c r="W2269" s="18" t="str">
        <x:v>否</x:v>
      </x:c>
      <x:c r="X2269" s="18" t="str">
        <x:v>0785e932a32b3ec15e1a1345537ae145eafe1c07bf38d5c16c11ee2b391e7a28</x:v>
      </x:c>
      <x:c r="Y2269" s="20" t="n">
        <x:v>1</x:v>
      </x:c>
      <x:c r="Z2269" s="20" t="n">
        <x:v>1</x:v>
      </x:c>
      <x:c r="AA2269" s="19"/>
      <x:c r="AB2269" s="18"/>
      <x:c r="AC2269" s="19"/>
    </x:row>
    <x:row r="2270" ht="28" customHeight="1">
      <x:c r="A2270" s="18" t="str">
        <x:v>麻布十番</x:v>
      </x:c>
      <x:c r="B2270" s="18" t="str">
        <x:v>東京地下鉄</x:v>
      </x:c>
      <x:c r="C2270" s="18" t="str">
        <x:v>metro</x:v>
      </x:c>
      <x:c r="D2270" s="19" t="str">
        <x:v>T2</x:v>
      </x:c>
      <x:c r="E2270" s="20" t="n">
        <x:v>43260</x:v>
      </x:c>
      <x:c r="F2270" s="18" t="str">
        <x:v>persons/day</x:v>
      </x:c>
      <x:c r="G2270" s="18" t="str">
        <x:v>FY2024</x:v>
      </x:c>
      <x:c r="H2270" s="18" t="str">
        <x:v>否</x:v>
      </x:c>
      <x:c r="I2270" s="19" t="str">
        <x:v>DAILY_ENTRIES_EXITS</x:v>
      </x:c>
      <x:c r="J2270" s="19" t="str">
        <x:v>7号線南北線</x:v>
      </x:c>
      <x:c r="K2270" s="18" t="str">
        <x:v>transport-node:96497595-5ece-5923-95e4-89c653f658e0</x:v>
      </x:c>
      <x:c r="L2270" s="19" t="str">
        <x:v>组件待审核</x:v>
      </x:c>
      <x:c r="M2270" s="21" t="n">
        <x:v>35.65481</x:v>
      </x:c>
      <x:c r="N2270" s="21" t="n">
        <x:v>139.737045</x:v>
      </x:c>
      <x:c r="O2270" s="18" t="str">
        <x:v>003955</x:v>
      </x:c>
      <x:c r="P2270" s="18" t="str">
        <x:v>7号線南北線</x:v>
      </x:c>
      <x:c r="Q2270" s="19" t="str">
        <x:v>S12_061_GE_10000</x:v>
      </x:c>
      <x:c r="R2270" s="19" t="str">
        <x:v>S12_061 usage threshold</x:v>
      </x:c>
      <x:c r="S2270" s="19" t="str">
        <x:v>https://nlftp.mlit.go.jp/ksj/gml/datalist/KsjTmplt-S12-2024.html</x:v>
      </x:c>
      <x:c r="T2270" s="19" t="str">
        <x:v>https://nlftp.mlit.go.jp/ksj/gml/datalist/KsjTmplt-S12-2024.html</x:v>
      </x:c>
      <x:c r="U2270" s="19" t="str">
        <x:v>station-component|麻布十番|東京地下鉄|metro|35.6548|139.7370|</x:v>
      </x:c>
      <x:c r="V2270" s="19" t="str">
        <x:v>003941 / 003955 / 7号線南北線</x:v>
      </x:c>
      <x:c r="W2270" s="18" t="str">
        <x:v>否</x:v>
      </x:c>
      <x:c r="X2270" s="18" t="str">
        <x:v>0785e932a32b3ec15e1a1345537ae145eafe1c07bf38d5c16c11ee2b391e7a28</x:v>
      </x:c>
      <x:c r="Y2270" s="20" t="n">
        <x:v>1</x:v>
      </x:c>
      <x:c r="Z2270" s="20" t="n">
        <x:v>1</x:v>
      </x:c>
      <x:c r="AA2270" s="19"/>
      <x:c r="AB2270" s="18"/>
      <x:c r="AC2270" s="19"/>
    </x:row>
    <x:row r="2271" ht="28" customHeight="1">
      <x:c r="A2271" s="18" t="str">
        <x:v>麻布十番</x:v>
      </x:c>
      <x:c r="B2271" s="18" t="str">
        <x:v>東京都</x:v>
      </x:c>
      <x:c r="C2271" s="18" t="str">
        <x:v>metro</x:v>
      </x:c>
      <x:c r="D2271" s="19" t="str">
        <x:v>T2</x:v>
      </x:c>
      <x:c r="E2271" s="20" t="n">
        <x:v>27691</x:v>
      </x:c>
      <x:c r="F2271" s="18" t="str">
        <x:v>persons/day</x:v>
      </x:c>
      <x:c r="G2271" s="18" t="str">
        <x:v>FY2024</x:v>
      </x:c>
      <x:c r="H2271" s="18" t="str">
        <x:v>否</x:v>
      </x:c>
      <x:c r="I2271" s="19" t="str">
        <x:v>DAILY_ENTRIES_EXITS</x:v>
      </x:c>
      <x:c r="J2271" s="19" t="str">
        <x:v>12号線大江戸線</x:v>
      </x:c>
      <x:c r="K2271" s="18" t="str">
        <x:v>transport-node:59ef6f1a-5004-5c1e-9000-244b5c147d72</x:v>
      </x:c>
      <x:c r="L2271" s="19" t="str">
        <x:v>组件待审核</x:v>
      </x:c>
      <x:c r="M2271" s="21" t="n">
        <x:v>35.65649</x:v>
      </x:c>
      <x:c r="N2271" s="21" t="n">
        <x:v>139.736105</x:v>
      </x:c>
      <x:c r="O2271" s="18" t="str">
        <x:v>003941</x:v>
      </x:c>
      <x:c r="P2271" s="18" t="str">
        <x:v>12号線大江戸線</x:v>
      </x:c>
      <x:c r="Q2271" s="19" t="str">
        <x:v>S12_061_GE_10000</x:v>
      </x:c>
      <x:c r="R2271" s="19" t="str">
        <x:v>S12_061 usage threshold</x:v>
      </x:c>
      <x:c r="S2271" s="19" t="str">
        <x:v>https://nlftp.mlit.go.jp/ksj/gml/datalist/KsjTmplt-S12-2024.html</x:v>
      </x:c>
      <x:c r="T2271" s="19" t="str">
        <x:v>https://nlftp.mlit.go.jp/ksj/gml/datalist/KsjTmplt-S12-2024.html</x:v>
      </x:c>
      <x:c r="U2271" s="19" t="str">
        <x:v>station-component|麻布十番|東京都|metro|35.6565|139.7361|</x:v>
      </x:c>
      <x:c r="V2271" s="19" t="str">
        <x:v>003941 / 003941 / 12号線大江戸線</x:v>
      </x:c>
      <x:c r="W2271" s="18" t="str">
        <x:v>否</x:v>
      </x:c>
      <x:c r="X2271" s="18" t="str">
        <x:v>0785e932a32b3ec15e1a1345537ae145eafe1c07bf38d5c16c11ee2b391e7a28</x:v>
      </x:c>
      <x:c r="Y2271" s="20" t="n">
        <x:v>1</x:v>
      </x:c>
      <x:c r="Z2271" s="20" t="n">
        <x:v>1</x:v>
      </x:c>
      <x:c r="AA2271" s="19"/>
      <x:c r="AB2271" s="18"/>
      <x:c r="AC2271" s="19"/>
    </x:row>
    <x:row r="2272" ht="28" customHeight="1">
      <x:c r="A2272" s="18" t="str">
        <x:v>麻生</x:v>
      </x:c>
      <x:c r="B2272" s="18" t="str">
        <x:v>札幌市</x:v>
      </x:c>
      <x:c r="C2272" s="18" t="str">
        <x:v>metro</x:v>
      </x:c>
      <x:c r="D2272" s="19" t="str">
        <x:v>T2</x:v>
      </x:c>
      <x:c r="E2272" s="20" t="n">
        <x:v>38970</x:v>
      </x:c>
      <x:c r="F2272" s="18" t="str">
        <x:v>persons/day</x:v>
      </x:c>
      <x:c r="G2272" s="18" t="str">
        <x:v>FY2024</x:v>
      </x:c>
      <x:c r="H2272" s="18" t="str">
        <x:v>否</x:v>
      </x:c>
      <x:c r="I2272" s="19" t="str">
        <x:v>DAILY_ENTRIES_EXITS</x:v>
      </x:c>
      <x:c r="J2272" s="19" t="str">
        <x:v>南北線</x:v>
      </x:c>
      <x:c r="K2272" s="18" t="str">
        <x:v>transport-node:d7445b07-8b33-5172-973e-f6a9e42f1191</x:v>
      </x:c>
      <x:c r="L2272" s="19" t="str">
        <x:v>组件待审核</x:v>
      </x:c>
      <x:c r="M2272" s="21" t="n">
        <x:v>43.10834</x:v>
      </x:c>
      <x:c r="N2272" s="21" t="n">
        <x:v>141.33848</x:v>
      </x:c>
      <x:c r="O2272" s="18" t="str">
        <x:v>000197</x:v>
      </x:c>
      <x:c r="P2272" s="18" t="str">
        <x:v>南北線</x:v>
      </x:c>
      <x:c r="Q2272" s="19" t="str">
        <x:v>S12_061_GE_10000</x:v>
      </x:c>
      <x:c r="R2272" s="19" t="str">
        <x:v>S12_061 usage threshold</x:v>
      </x:c>
      <x:c r="S2272" s="19" t="str">
        <x:v>https://nlftp.mlit.go.jp/ksj/gml/datalist/KsjTmplt-S12-2024.html</x:v>
      </x:c>
      <x:c r="T2272" s="19" t="str">
        <x:v>https://nlftp.mlit.go.jp/ksj/gml/datalist/KsjTmplt-S12-2024.html</x:v>
      </x:c>
      <x:c r="U2272" s="19" t="str">
        <x:v>station-component|麻生|札幌市|metro|43.1083|141.3385|</x:v>
      </x:c>
      <x:c r="V2272" s="19" t="str">
        <x:v>000197 / 000197 / 南北線</x:v>
      </x:c>
      <x:c r="W2272" s="18" t="str">
        <x:v>否</x:v>
      </x:c>
      <x:c r="X2272" s="18" t="str">
        <x:v>0785e932a32b3ec15e1a1345537ae145eafe1c07bf38d5c16c11ee2b391e7a28</x:v>
      </x:c>
      <x:c r="Y2272" s="20" t="n">
        <x:v>1</x:v>
      </x:c>
      <x:c r="Z2272" s="20" t="n">
        <x:v>1</x:v>
      </x:c>
      <x:c r="AA2272" s="19"/>
      <x:c r="AB2272" s="18"/>
      <x:c r="AC2272" s="19"/>
    </x:row>
    <x:row r="2273" ht="28" customHeight="1">
      <x:c r="A2273" s="18" t="str">
        <x:v>黄金町</x:v>
      </x:c>
      <x:c r="B2273" s="18" t="str">
        <x:v>京浜急行電鉄</x:v>
      </x:c>
      <x:c r="C2273" s="18" t="str">
        <x:v>private_rail</x:v>
      </x:c>
      <x:c r="D2273" s="19" t="str">
        <x:v>T2</x:v>
      </x:c>
      <x:c r="E2273" s="20" t="n">
        <x:v>21804</x:v>
      </x:c>
      <x:c r="F2273" s="18" t="str">
        <x:v>persons/day</x:v>
      </x:c>
      <x:c r="G2273" s="18" t="str">
        <x:v>FY2024</x:v>
      </x:c>
      <x:c r="H2273" s="18" t="str">
        <x:v>否</x:v>
      </x:c>
      <x:c r="I2273" s="19" t="str">
        <x:v>DAILY_ENTRIES_EXITS</x:v>
      </x:c>
      <x:c r="J2273" s="19" t="str">
        <x:v>本線</x:v>
      </x:c>
      <x:c r="K2273" s="18" t="str">
        <x:v>transport-node:c07da801-6754-580a-8f1a-d30ffde00fae</x:v>
      </x:c>
      <x:c r="L2273" s="19" t="str">
        <x:v>组件待审核</x:v>
      </x:c>
      <x:c r="M2273" s="21" t="n">
        <x:v>35.439705</x:v>
      </x:c>
      <x:c r="N2273" s="21" t="n">
        <x:v>139.62256</x:v>
      </x:c>
      <x:c r="O2273" s="18" t="str">
        <x:v>004712</x:v>
      </x:c>
      <x:c r="P2273" s="18" t="str">
        <x:v>本線</x:v>
      </x:c>
      <x:c r="Q2273" s="19" t="str">
        <x:v>S12_061_GE_10000</x:v>
      </x:c>
      <x:c r="R2273" s="19" t="str">
        <x:v>S12_061 usage threshold</x:v>
      </x:c>
      <x:c r="S2273" s="19" t="str">
        <x:v>https://nlftp.mlit.go.jp/ksj/gml/datalist/KsjTmplt-S12-2024.html</x:v>
      </x:c>
      <x:c r="T2273" s="19" t="str">
        <x:v>https://nlftp.mlit.go.jp/ksj/gml/datalist/KsjTmplt-S12-2024.html</x:v>
      </x:c>
      <x:c r="U2273" s="19" t="str">
        <x:v>station-component|黄金町|京浜急行電鉄|private_rail|35.4397|139.6226|</x:v>
      </x:c>
      <x:c r="V2273" s="19" t="str">
        <x:v>004712 / 004712 / 本線</x:v>
      </x:c>
      <x:c r="W2273" s="18" t="str">
        <x:v>否</x:v>
      </x:c>
      <x:c r="X2273" s="18" t="str">
        <x:v>0785e932a32b3ec15e1a1345537ae145eafe1c07bf38d5c16c11ee2b391e7a28</x:v>
      </x:c>
      <x:c r="Y2273" s="20" t="n">
        <x:v>1</x:v>
      </x:c>
      <x:c r="Z2273" s="20" t="n">
        <x:v>1</x:v>
      </x:c>
      <x:c r="AA2273" s="19"/>
      <x:c r="AB2273" s="18"/>
      <x:c r="AC2273" s="19"/>
    </x:row>
    <x:row r="2274" ht="28" customHeight="1">
      <x:c r="A2274" s="18" t="str">
        <x:v>黒崎</x:v>
      </x:c>
      <x:c r="B2274" s="18" t="str">
        <x:v>九州旅客鉄道</x:v>
      </x:c>
      <x:c r="C2274" s="18" t="str">
        <x:v>conventional_rail</x:v>
      </x:c>
      <x:c r="D2274" s="19" t="str">
        <x:v>T2</x:v>
      </x:c>
      <x:c r="E2274" s="20" t="n">
        <x:v>27282</x:v>
      </x:c>
      <x:c r="F2274" s="18" t="str">
        <x:v>persons/day</x:v>
      </x:c>
      <x:c r="G2274" s="18" t="str">
        <x:v>FY2024</x:v>
      </x:c>
      <x:c r="H2274" s="18" t="str">
        <x:v>否</x:v>
      </x:c>
      <x:c r="I2274" s="19" t="str">
        <x:v>DAILY_ENTRIES_EXITS</x:v>
      </x:c>
      <x:c r="J2274" s="19" t="str">
        <x:v>鹿児島線</x:v>
      </x:c>
      <x:c r="K2274" s="18" t="str">
        <x:v>transport-node:4b69de1a-178f-5cbe-80d5-74aac0c7d02f</x:v>
      </x:c>
      <x:c r="L2274" s="19" t="str">
        <x:v>组件待审核</x:v>
      </x:c>
      <x:c r="M2274" s="21" t="n">
        <x:v>33.866915</x:v>
      </x:c>
      <x:c r="N2274" s="21" t="n">
        <x:v>130.76656</x:v>
      </x:c>
      <x:c r="O2274" s="18" t="str">
        <x:v>008702</x:v>
      </x:c>
      <x:c r="P2274" s="18" t="str">
        <x:v>鹿児島線</x:v>
      </x:c>
      <x:c r="Q2274" s="19" t="str">
        <x:v>S12_061_GE_10000</x:v>
      </x:c>
      <x:c r="R2274" s="19" t="str">
        <x:v>S12_061 usage threshold</x:v>
      </x:c>
      <x:c r="S2274" s="19" t="str">
        <x:v>https://nlftp.mlit.go.jp/ksj/gml/datalist/KsjTmplt-S12-2024.html</x:v>
      </x:c>
      <x:c r="T2274" s="19" t="str">
        <x:v>https://nlftp.mlit.go.jp/ksj/gml/datalist/KsjTmplt-S12-2024.html</x:v>
      </x:c>
      <x:c r="U2274" s="19" t="str">
        <x:v>station-component|黒崎|九州旅客鉄道|conventional_rail|33.8669|130.7666|</x:v>
      </x:c>
      <x:c r="V2274" s="19" t="str">
        <x:v>008702 / 008702 / 鹿児島線</x:v>
      </x:c>
      <x:c r="W2274" s="18" t="str">
        <x:v>否</x:v>
      </x:c>
      <x:c r="X2274" s="18" t="str">
        <x:v>0785e932a32b3ec15e1a1345537ae145eafe1c07bf38d5c16c11ee2b391e7a28</x:v>
      </x:c>
      <x:c r="Y2274" s="20" t="n">
        <x:v>1</x:v>
      </x:c>
      <x:c r="Z2274" s="20" t="n">
        <x:v>1</x:v>
      </x:c>
      <x:c r="AA2274" s="19"/>
      <x:c r="AB2274" s="18"/>
      <x:c r="AC2274" s="19"/>
    </x:row>
    <x:row r="2275" ht="28" customHeight="1">
      <x:c r="A2275" s="18" t="str">
        <x:v>黒川</x:v>
      </x:c>
      <x:c r="B2275" s="18" t="str">
        <x:v>名古屋市</x:v>
      </x:c>
      <x:c r="C2275" s="18" t="str">
        <x:v>metro</x:v>
      </x:c>
      <x:c r="D2275" s="19" t="str">
        <x:v>T2</x:v>
      </x:c>
      <x:c r="E2275" s="20" t="n">
        <x:v>27137</x:v>
      </x:c>
      <x:c r="F2275" s="18" t="str">
        <x:v>persons/day</x:v>
      </x:c>
      <x:c r="G2275" s="18" t="str">
        <x:v>FY2024</x:v>
      </x:c>
      <x:c r="H2275" s="18" t="str">
        <x:v>否</x:v>
      </x:c>
      <x:c r="I2275" s="19" t="str">
        <x:v>DAILY_ENTRIES_EXITS</x:v>
      </x:c>
      <x:c r="J2275" s="19" t="str">
        <x:v>2号線名城線</x:v>
      </x:c>
      <x:c r="K2275" s="18" t="str">
        <x:v>transport-node:221ff59f-1d2a-5f68-8dc1-f4661b122109</x:v>
      </x:c>
      <x:c r="L2275" s="19" t="str">
        <x:v>组件待审核</x:v>
      </x:c>
      <x:c r="M2275" s="21" t="n">
        <x:v>35.19716</x:v>
      </x:c>
      <x:c r="N2275" s="21" t="n">
        <x:v>136.910155</x:v>
      </x:c>
      <x:c r="O2275" s="18" t="str">
        <x:v>005362</x:v>
      </x:c>
      <x:c r="P2275" s="18" t="str">
        <x:v>2号線名城線</x:v>
      </x:c>
      <x:c r="Q2275" s="19" t="str">
        <x:v>S12_061_GE_10000</x:v>
      </x:c>
      <x:c r="R2275" s="19" t="str">
        <x:v>S12_061 usage threshold</x:v>
      </x:c>
      <x:c r="S2275" s="19" t="str">
        <x:v>https://nlftp.mlit.go.jp/ksj/gml/datalist/KsjTmplt-S12-2024.html</x:v>
      </x:c>
      <x:c r="T2275" s="19" t="str">
        <x:v>https://nlftp.mlit.go.jp/ksj/gml/datalist/KsjTmplt-S12-2024.html</x:v>
      </x:c>
      <x:c r="U2275" s="19" t="str">
        <x:v>station-component|黒川|名古屋市|metro|35.1972|136.9102|</x:v>
      </x:c>
      <x:c r="V2275" s="19" t="str">
        <x:v>005362 / 005362 / 2号線名城線</x:v>
      </x:c>
      <x:c r="W2275" s="18" t="str">
        <x:v>否</x:v>
      </x:c>
      <x:c r="X2275" s="18" t="str">
        <x:v>0785e932a32b3ec15e1a1345537ae145eafe1c07bf38d5c16c11ee2b391e7a28</x:v>
      </x:c>
      <x:c r="Y2275" s="20" t="n">
        <x:v>1</x:v>
      </x:c>
      <x:c r="Z2275" s="20" t="n">
        <x:v>1</x:v>
      </x:c>
      <x:c r="AA2275" s="19"/>
      <x:c r="AB2275" s="18"/>
      <x:c r="AC2275" s="19"/>
    </x:row>
    <x:row r="2276" ht="33" customHeight="1">
      <x:c r="A2276" s="18" t="str">
        <x:v>黒部宇奈月温泉</x:v>
      </x:c>
      <x:c r="B2276" s="18" t="str">
        <x:v>西日本旅客鉄道</x:v>
      </x:c>
      <x:c r="C2276" s="18" t="str">
        <x:v>shinkansen</x:v>
      </x:c>
      <x:c r="D2276" s="19" t="str">
        <x:v>T3</x:v>
      </x:c>
      <x:c r="E2276" s="20" t="n">
        <x:v>1626</x:v>
      </x:c>
      <x:c r="F2276" s="18" t="str">
        <x:v>persons/day</x:v>
      </x:c>
      <x:c r="G2276" s="18" t="str">
        <x:v>FY2024</x:v>
      </x:c>
      <x:c r="H2276" s="18" t="str">
        <x:v>否</x:v>
      </x:c>
      <x:c r="I2276" s="19" t="str">
        <x:v>DAILY_ENTRIES_EXITS</x:v>
      </x:c>
      <x:c r="J2276" s="19" t="str">
        <x:v>北陸新幹線</x:v>
      </x:c>
      <x:c r="K2276" s="18" t="str">
        <x:v>transport-node:66b7e851-df25-5b73-a188-77870efc7f4d</x:v>
      </x:c>
      <x:c r="L2276" s="19" t="str">
        <x:v>组件待审核</x:v>
      </x:c>
      <x:c r="M2276" s="21" t="n">
        <x:v>36.8740645</x:v>
      </x:c>
      <x:c r="N2276" s="21" t="n">
        <x:v>137.4811258</x:v>
      </x:c>
      <x:c r="O2276" s="18" t="str">
        <x:v>001742</x:v>
      </x:c>
      <x:c r="P2276" s="18" t="str">
        <x:v>北陸新幹線</x:v>
      </x:c>
      <x:c r="Q2276" s="19" t="str">
        <x:v>SHINKANSEN</x:v>
      </x:c>
      <x:c r="R2276" s="19" t="str">
        <x:v>S12_061 usage threshold; low-flow inclusion justified by Shinkansen inventory</x:v>
      </x:c>
      <x:c r="S2276" s="19" t="str">
        <x:v>https://nlftp.mlit.go.jp/ksj/gml/datalist/KsjTmplt-S12-2024.html</x:v>
      </x:c>
      <x:c r="T2276" s="19" t="str">
        <x:v>https://nlftp.mlit.go.jp/ksj/gml/datalist/KsjTmplt-S12-2024.html</x:v>
      </x:c>
      <x:c r="U2276" s="19" t="str">
        <x:v>station-component|黒部宇奈月温泉|西日本旅客鉄道|shinkansen|36.8741|137.4811|</x:v>
      </x:c>
      <x:c r="V2276" s="19" t="str">
        <x:v>001742 / 001742 / 北陸新幹線</x:v>
      </x:c>
      <x:c r="W2276" s="18" t="str">
        <x:v>否</x:v>
      </x:c>
      <x:c r="X2276" s="18" t="str">
        <x:v>0785e932a32b3ec15e1a1345537ae145eafe1c07bf38d5c16c11ee2b391e7a28</x:v>
      </x:c>
      <x:c r="Y2276" s="20" t="n">
        <x:v>1</x:v>
      </x:c>
      <x:c r="Z2276" s="20" t="n">
        <x:v>1</x:v>
      </x:c>
      <x:c r="AA2276" s="19"/>
      <x:c r="AB2276" s="18"/>
      <x:c r="AC2276" s="19"/>
    </x:row>
  </x:sheetData>
  <x:conditionalFormatting sqref="D6:D2276">
    <x:cfRule type="containsText" dxfId="2" priority="1" operator="containsText" text="待"/>
  </x:conditionalFormatting>
  <x:conditionalFormatting sqref="L6:L2276">
    <x:cfRule type="containsText" dxfId="3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bd583be20da6468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30" hidden="0" customWidth="1"/>
    <x:col min="4" max="4" width="14" hidden="0" customWidth="1"/>
    <x:col min="5" max="5" width="19" hidden="0" customWidth="1"/>
    <x:col min="6" max="6" width="14" hidden="0" customWidth="1"/>
    <x:col min="7" max="7" width="21" hidden="0" customWidth="1"/>
    <x:col min="8" max="8" width="17" hidden="0" customWidth="1"/>
    <x:col min="9" max="9" width="19" hidden="0" customWidth="1"/>
    <x:col min="10" max="10" width="50" hidden="0" customWidth="1"/>
    <x:col min="11" max="11" width="60" hidden="0" customWidth="1"/>
    <x:col min="12" max="12" width="36" hidden="0" customWidth="1"/>
    <x:col min="13" max="13" width="65" hidden="0" customWidth="1"/>
    <x:col min="14" max="14" width="35" hidden="0" customWidth="1"/>
    <x:col min="15" max="15" width="54" hidden="0" customWidth="1"/>
    <x:col min="16" max="16" width="95" hidden="0" customWidth="1"/>
    <x:col min="17" max="17" width="95" hidden="0" customWidth="1"/>
    <x:col min="18" max="18" width="85" hidden="0" customWidth="1"/>
    <x:col min="19" max="19" width="85" hidden="0" customWidth="1"/>
    <x:col min="20" max="20" width="12" hidden="0" customWidth="1"/>
    <x:col min="21" max="21" width="85" hidden="0" customWidth="1"/>
    <x:col min="22" max="22" width="46" hidden="0" customWidth="1"/>
    <x:col min="23" max="23" width="85" hidden="0" customWidth="1"/>
    <x:col min="24" max="24" width="58" hidden="0" customWidth="1"/>
    <x:col min="25" max="25" width="15" hidden="0" customWidth="1"/>
    <x:col min="26" max="26" width="43" hidden="0" customWidth="1"/>
    <x:col min="27" max="2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7" customHeight="1">
      <x:c r="A2" s="4" t="str">
        <x:v>官方机场 97 身份逐项审核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6" t="str">
        <x:v>97 个身份全保留；10 个年旅客 &lt;1,000 排除（含礼文停用），千岁年度值未知。规划候选见专页。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6" t="str">
        <x:v>来源：data/transport/nodes/task-084-b-v2-amendment-review/airport-97-audit.jsonl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4" customHeight="1">
      <x:c r="A5" s="15" t="str">
        <x:v>官方机场名</x:v>
      </x:c>
      <x:c r="B5" s="16" t="str">
        <x:v>分类</x:v>
      </x:c>
      <x:c r="C5" s="16" t="str">
        <x:v>本轮决定</x:v>
      </x:c>
      <x:c r="D5" s="16" t="str">
        <x:v>拟等级</x:v>
      </x:c>
      <x:c r="E5" s="16" t="str">
        <x:v>年度旅客量</x:v>
      </x:c>
      <x:c r="F5" s="16" t="str">
        <x:v>统计期间</x:v>
      </x:c>
      <x:c r="G5" s="16" t="str">
        <x:v>单位</x:v>
      </x:c>
      <x:c r="H5" s="16" t="str">
        <x:v>官方接入已核</x:v>
      </x:c>
      <x:c r="I5" s="16" t="str">
        <x:v>已知轨道组件数</x:v>
      </x:c>
      <x:c r="J5" s="16" t="str">
        <x:v>接入审核状态</x:v>
      </x:c>
      <x:c r="K5" s="16" t="str">
        <x:v>运营生命周期观察</x:v>
      </x:c>
      <x:c r="L5" s="16" t="str">
        <x:v>管理者</x:v>
      </x:c>
      <x:c r="M5" s="16" t="str">
        <x:v>官方位置文字</x:v>
      </x:c>
      <x:c r="N5" s="16" t="str">
        <x:v>运营时间</x:v>
      </x:c>
      <x:c r="O5" s="16" t="str">
        <x:v>当前服务审核</x:v>
      </x:c>
      <x:c r="P5" s="16" t="str">
        <x:v>决定理由</x:v>
      </x:c>
      <x:c r="Q5" s="16" t="str">
        <x:v>决定证据</x:v>
      </x:c>
      <x:c r="R5" s="16" t="str">
        <x:v>官方身份来源</x:v>
      </x:c>
      <x:c r="S5" s="16" t="str">
        <x:v>官方概况来源</x:v>
      </x:c>
      <x:c r="T5" s="16" t="str">
        <x:v>概况页</x:v>
      </x:c>
      <x:c r="U5" s="16" t="str">
        <x:v>客流来源</x:v>
      </x:c>
      <x:c r="V5" s="16" t="str">
        <x:v>客流表定位</x:v>
      </x:c>
      <x:c r="W5" s="16" t="str">
        <x:v>官方接入指南</x:v>
      </x:c>
      <x:c r="X5" s="16" t="str">
        <x:v>原候选 ID</x:v>
      </x:c>
      <x:c r="Y5" s="16" t="str">
        <x:v>runtime 授权</x:v>
      </x:c>
      <x:c r="Z5" s="16" t="str">
        <x:v>规划纳入状态</x:v>
      </x:c>
      <x:c r="AA5" s="17" t="str">
        <x:v>年度门槛</x:v>
      </x:c>
    </x:row>
    <x:row r="6" ht="33" customHeight="1">
      <x:c r="A6" s="18" t="str">
        <x:v>成田国際</x:v>
      </x:c>
      <x:c r="B6" s="18" t="str">
        <x:v>A</x:v>
      </x:c>
      <x:c r="C6" s="19" t="str">
        <x:v>待审核</x:v>
      </x:c>
      <x:c r="D6" s="19" t="str">
        <x:v>T0</x:v>
      </x:c>
      <x:c r="E6" s="20" t="n">
        <x:v>41474817</x:v>
      </x:c>
      <x:c r="F6" s="18" t="str">
        <x:v>FY2025</x:v>
      </x:c>
      <x:c r="G6" s="18" t="str">
        <x:v>passengers/year</x:v>
      </x:c>
      <x:c r="H6" s="18" t="str">
        <x:v>已核指南</x:v>
      </x:c>
      <x:c r="I6" s="20" t="n">
        <x:v>4</x:v>
      </x:c>
      <x:c r="J6" s="19" t="str">
        <x:v>CANDIDATES_PRESENT_FORMAL_ACCEPTANCE_PENDING</x:v>
      </x:c>
      <x:c r="K6" s="19" t="str">
        <x:v>LISTED_CURRENT_OPERATION_NOT_INDEPENDENTLY_CONFIRMED</x:v>
      </x:c>
      <x:c r="L6" s="19"/>
      <x:c r="M6" s="19"/>
      <x:c r="N6" s="19"/>
      <x:c r="O6" s="19" t="str">
        <x:v>CURRENT_OPERATOR_TIMETABLE_REVIEW_REQUIRED</x:v>
      </x:c>
      <x:c r="P6" s="19" t="str">
        <x:v>Identity and annual usage audited; current service, v2 identity/lineage and inclusion acceptance remain open.</x:v>
      </x:c>
      <x:c r="Q6" s="19" t="str"/>
      <x:c r="R6" s="19" t="str">
        <x:v>https://www.mlit.go.jp/koku/15_bf_000310.html</x:v>
      </x:c>
      <x:c r="S6" s="19"/>
      <x:c r="T6" s="20"/>
      <x:c r="U6" s="19" t="str">
        <x:v>https://www.mlit.go.jp/koku/content/002016480.xlsx</x:v>
      </x:c>
      <x:c r="V6" s="18" t="str">
        <x:v>空港管理状況調書 N26</x:v>
      </x:c>
      <x:c r="W6" s="19" t="str">
        <x:v>https://www.narita-airport.jp/ja/access/train/</x:v>
      </x:c>
      <x:c r="X6" s="18" t="str">
        <x:v>transport-node:cba82b32-9253-5631-95ae-5f2020772d9b</x:v>
      </x:c>
      <x:c r="Y6" s="18" t="str">
        <x:v>否</x:v>
      </x:c>
      <x:c r="Z6" s="19" t="str">
        <x:v>达到年度门槛，待验收</x:v>
      </x:c>
      <x:c r="AA6" s="20" t="n">
        <x:v>1000</x:v>
      </x:c>
    </x:row>
    <x:row r="7" ht="33" customHeight="1">
      <x:c r="A7" s="18" t="str">
        <x:v>中部国際</x:v>
      </x:c>
      <x:c r="B7" s="18" t="str">
        <x:v>A</x:v>
      </x:c>
      <x:c r="C7" s="19" t="str">
        <x:v>待审核</x:v>
      </x:c>
      <x:c r="D7" s="19" t="str">
        <x:v>T0</x:v>
      </x:c>
      <x:c r="E7" s="20" t="n">
        <x:v>11583658</x:v>
      </x:c>
      <x:c r="F7" s="18" t="str">
        <x:v>FY2025</x:v>
      </x:c>
      <x:c r="G7" s="18" t="str">
        <x:v>passengers/year</x:v>
      </x:c>
      <x:c r="H7" s="18" t="str">
        <x:v>已核指南</x:v>
      </x:c>
      <x:c r="I7" s="20" t="n">
        <x:v>1</x:v>
      </x:c>
      <x:c r="J7" s="19" t="str">
        <x:v>CANDIDATES_PRESENT_FORMAL_ACCEPTANCE_PENDING</x:v>
      </x:c>
      <x:c r="K7" s="19" t="str">
        <x:v>LISTED_CURRENT_OPERATION_NOT_INDEPENDENTLY_CONFIRMED</x:v>
      </x:c>
      <x:c r="L7" s="19"/>
      <x:c r="M7" s="19"/>
      <x:c r="N7" s="19"/>
      <x:c r="O7" s="19" t="str">
        <x:v>CURRENT_OPERATOR_TIMETABLE_REVIEW_REQUIRED</x:v>
      </x:c>
      <x:c r="P7" s="19" t="str">
        <x:v>Identity and annual usage audited; current service, v2 identity/lineage and inclusion acceptance remain open.</x:v>
      </x:c>
      <x:c r="Q7" s="19" t="str"/>
      <x:c r="R7" s="19" t="str">
        <x:v>https://www.mlit.go.jp/koku/15_bf_000310.html</x:v>
      </x:c>
      <x:c r="S7" s="19"/>
      <x:c r="T7" s="20"/>
      <x:c r="U7" s="19" t="str">
        <x:v>https://www.mlit.go.jp/koku/content/002016480.xlsx</x:v>
      </x:c>
      <x:c r="V7" s="18" t="str">
        <x:v>空港管理状況調書 N80</x:v>
      </x:c>
      <x:c r="W7" s="19" t="str">
        <x:v>https://www.centrair.jp/access/train.html</x:v>
      </x:c>
      <x:c r="X7" s="18" t="str">
        <x:v>transport-node:1c76f8ae-8313-5c29-9fb7-9a7acca1efd1</x:v>
      </x:c>
      <x:c r="Y7" s="18" t="str">
        <x:v>否</x:v>
      </x:c>
      <x:c r="Z7" s="19" t="str">
        <x:v>达到年度门槛，待验收</x:v>
      </x:c>
      <x:c r="AA7" s="20" t="n">
        <x:v>1000</x:v>
      </x:c>
    </x:row>
    <x:row r="8" ht="33" customHeight="1">
      <x:c r="A8" s="18" t="str">
        <x:v>関西国際</x:v>
      </x:c>
      <x:c r="B8" s="18" t="str">
        <x:v>A</x:v>
      </x:c>
      <x:c r="C8" s="19" t="str">
        <x:v>待审核</x:v>
      </x:c>
      <x:c r="D8" s="19" t="str">
        <x:v>T0</x:v>
      </x:c>
      <x:c r="E8" s="20" t="n">
        <x:v>33513674</x:v>
      </x:c>
      <x:c r="F8" s="18" t="str">
        <x:v>FY2025</x:v>
      </x:c>
      <x:c r="G8" s="18" t="str">
        <x:v>passengers/year</x:v>
      </x:c>
      <x:c r="H8" s="18" t="str">
        <x:v>已核指南</x:v>
      </x:c>
      <x:c r="I8" s="20" t="n">
        <x:v>2</x:v>
      </x:c>
      <x:c r="J8" s="19" t="str">
        <x:v>CANDIDATES_PRESENT_FORMAL_ACCEPTANCE_PENDING</x:v>
      </x:c>
      <x:c r="K8" s="19" t="str">
        <x:v>LISTED_CURRENT_OPERATION_NOT_INDEPENDENTLY_CONFIRMED</x:v>
      </x:c>
      <x:c r="L8" s="19"/>
      <x:c r="M8" s="19"/>
      <x:c r="N8" s="19"/>
      <x:c r="O8" s="19" t="str">
        <x:v>CURRENT_OPERATOR_TIMETABLE_REVIEW_REQUIRED</x:v>
      </x:c>
      <x:c r="P8" s="19" t="str">
        <x:v>Identity and annual usage audited; current service, v2 identity/lineage and inclusion acceptance remain open.</x:v>
      </x:c>
      <x:c r="Q8" s="19" t="str"/>
      <x:c r="R8" s="19" t="str">
        <x:v>https://www.mlit.go.jp/koku/15_bf_000310.html</x:v>
      </x:c>
      <x:c r="S8" s="19"/>
      <x:c r="T8" s="20"/>
      <x:c r="U8" s="19" t="str">
        <x:v>https://www.mlit.go.jp/koku/content/002016480.xlsx</x:v>
      </x:c>
      <x:c r="V8" s="18" t="str">
        <x:v>空港管理状況調書 N134</x:v>
      </x:c>
      <x:c r="W8" s="19" t="str">
        <x:v>https://www.kansai-airport.or.jp/access/from-airport/train</x:v>
      </x:c>
      <x:c r="X8" s="18" t="str">
        <x:v>transport-node:2c900a60-217b-55cc-8279-99709df32a8d</x:v>
      </x:c>
      <x:c r="Y8" s="18" t="str">
        <x:v>否</x:v>
      </x:c>
      <x:c r="Z8" s="19" t="str">
        <x:v>达到年度门槛，待验收</x:v>
      </x:c>
      <x:c r="AA8" s="20" t="n">
        <x:v>1000</x:v>
      </x:c>
    </x:row>
    <x:row r="9" ht="33" customHeight="1">
      <x:c r="A9" s="18" t="str">
        <x:v>大阪国際</x:v>
      </x:c>
      <x:c r="B9" s="18" t="str">
        <x:v>A</x:v>
      </x:c>
      <x:c r="C9" s="19" t="str">
        <x:v>待审核</x:v>
      </x:c>
      <x:c r="D9" s="19" t="str">
        <x:v>T0</x:v>
      </x:c>
      <x:c r="E9" s="20" t="n">
        <x:v>16286735</x:v>
      </x:c>
      <x:c r="F9" s="18" t="str">
        <x:v>FY2025</x:v>
      </x:c>
      <x:c r="G9" s="18" t="str">
        <x:v>passengers/year</x:v>
      </x:c>
      <x:c r="H9" s="18" t="str">
        <x:v>已核指南</x:v>
      </x:c>
      <x:c r="I9" s="20" t="n">
        <x:v>1</x:v>
      </x:c>
      <x:c r="J9" s="19" t="str">
        <x:v>CANDIDATES_PRESENT_FORMAL_ACCEPTANCE_PENDING</x:v>
      </x:c>
      <x:c r="K9" s="19" t="str">
        <x:v>LISTED_CURRENT_OPERATION_NOT_INDEPENDENTLY_CONFIRMED</x:v>
      </x:c>
      <x:c r="L9" s="19"/>
      <x:c r="M9" s="19"/>
      <x:c r="N9" s="19"/>
      <x:c r="O9" s="19" t="str">
        <x:v>CURRENT_OPERATOR_TIMETABLE_REVIEW_REQUIRED</x:v>
      </x:c>
      <x:c r="P9" s="19" t="str">
        <x:v>Identity and annual usage audited; current service, v2 identity/lineage and inclusion acceptance remain open.</x:v>
      </x:c>
      <x:c r="Q9" s="19" t="str"/>
      <x:c r="R9" s="19" t="str">
        <x:v>https://www.mlit.go.jp/koku/15_bf_000310.html</x:v>
      </x:c>
      <x:c r="S9" s="19"/>
      <x:c r="T9" s="20"/>
      <x:c r="U9" s="19" t="str">
        <x:v>https://www.mlit.go.jp/koku/content/002016480.xlsx</x:v>
      </x:c>
      <x:c r="V9" s="18" t="str">
        <x:v>空港管理状況調書 N188</x:v>
      </x:c>
      <x:c r="W9" s="19" t="str">
        <x:v>https://www.osaka-airport.co.jp/access/from-airport</x:v>
      </x:c>
      <x:c r="X9" s="18" t="str">
        <x:v>transport-node:7115be0a-ae95-5112-9ab6-9737311708e4</x:v>
      </x:c>
      <x:c r="Y9" s="18" t="str">
        <x:v>否</x:v>
      </x:c>
      <x:c r="Z9" s="19" t="str">
        <x:v>达到年度门槛，待验收</x:v>
      </x:c>
      <x:c r="AA9" s="20" t="n">
        <x:v>1000</x:v>
      </x:c>
    </x:row>
    <x:row r="10" ht="33" customHeight="1">
      <x:c r="A10" s="18" t="str">
        <x:v>東京国際</x:v>
      </x:c>
      <x:c r="B10" s="18" t="str">
        <x:v>A</x:v>
      </x:c>
      <x:c r="C10" s="19" t="str">
        <x:v>待审核</x:v>
      </x:c>
      <x:c r="D10" s="19" t="str">
        <x:v>T0</x:v>
      </x:c>
      <x:c r="E10" s="20" t="n">
        <x:v>92327013</x:v>
      </x:c>
      <x:c r="F10" s="18" t="str">
        <x:v>FY2025</x:v>
      </x:c>
      <x:c r="G10" s="18" t="str">
        <x:v>passengers/year</x:v>
      </x:c>
      <x:c r="H10" s="18" t="str">
        <x:v>已核指南</x:v>
      </x:c>
      <x:c r="I10" s="20" t="n">
        <x:v>5</x:v>
      </x:c>
      <x:c r="J10" s="19" t="str">
        <x:v>CANDIDATES_PRESENT_FORMAL_ACCEPTANCE_PENDING</x:v>
      </x:c>
      <x:c r="K10" s="19" t="str">
        <x:v>LISTED_CURRENT_OPERATION_NOT_INDEPENDENTLY_CONFIRMED</x:v>
      </x:c>
      <x:c r="L10" s="19" t="str">
        <x:v>国土交通大臣</x:v>
      </x:c>
      <x:c r="M10" s="19" t="str">
        <x:v>東京都大田区</x:v>
      </x:c>
      <x:c r="N10" s="19" t="str">
        <x:v>24時間（24時間）</x:v>
      </x:c>
      <x:c r="O10" s="19" t="str">
        <x:v>CURRENT_OPERATOR_TIMETABLE_REVIEW_REQUIRED</x:v>
      </x:c>
      <x:c r="P10" s="19" t="str">
        <x:v>Identity and annual usage audited; current service, v2 identity/lineage and inclusion acceptance remain open.</x:v>
      </x:c>
      <x:c r="Q10" s="19" t="str"/>
      <x:c r="R10" s="19" t="str">
        <x:v>https://www.mlit.go.jp/koku/15_bf_000310.html</x:v>
      </x:c>
      <x:c r="S10" s="19" t="str">
        <x:v>https://www.mlit.go.jp/koku/content/002021263.pdf</x:v>
      </x:c>
      <x:c r="T10" s="20" t="n">
        <x:v>1</x:v>
      </x:c>
      <x:c r="U10" s="19" t="str">
        <x:v>https://www.mlit.go.jp/koku/content/002016480.xlsx</x:v>
      </x:c>
      <x:c r="V10" s="18" t="str">
        <x:v>空港管理状況調書 N296</x:v>
      </x:c>
      <x:c r="W10" s="19" t="str">
        <x:v>https://www.tokyo-haneda.com/access/train/index.html</x:v>
      </x:c>
      <x:c r="X10" s="18" t="str">
        <x:v>transport-node:d6306795-4a39-5875-968e-838efb6f5f73</x:v>
      </x:c>
      <x:c r="Y10" s="18" t="str">
        <x:v>否</x:v>
      </x:c>
      <x:c r="Z10" s="19" t="str">
        <x:v>达到年度门槛，待验收</x:v>
      </x:c>
      <x:c r="AA10" s="20" t="n">
        <x:v>1000</x:v>
      </x:c>
    </x:row>
    <x:row r="11" ht="33" customHeight="1">
      <x:c r="A11" s="18" t="str">
        <x:v>新千歳</x:v>
      </x:c>
      <x:c r="B11" s="18" t="str">
        <x:v>A</x:v>
      </x:c>
      <x:c r="C11" s="19" t="str">
        <x:v>待审核</x:v>
      </x:c>
      <x:c r="D11" s="19" t="str">
        <x:v>T0</x:v>
      </x:c>
      <x:c r="E11" s="20" t="n">
        <x:v>26023467</x:v>
      </x:c>
      <x:c r="F11" s="18" t="str">
        <x:v>FY2025</x:v>
      </x:c>
      <x:c r="G11" s="18" t="str">
        <x:v>passengers/year</x:v>
      </x:c>
      <x:c r="H11" s="18" t="str">
        <x:v>已核指南</x:v>
      </x:c>
      <x:c r="I11" s="20" t="n">
        <x:v>1</x:v>
      </x:c>
      <x:c r="J11" s="19" t="str">
        <x:v>CANDIDATES_PRESENT_FORMAL_ACCEPTANCE_PENDING</x:v>
      </x:c>
      <x:c r="K11" s="19" t="str">
        <x:v>LISTED_CURRENT_OPERATION_NOT_INDEPENDENTLY_CONFIRMED</x:v>
      </x:c>
      <x:c r="L11" s="19" t="str">
        <x:v>国土交通大臣</x:v>
      </x:c>
      <x:c r="M11" s="19" t="str">
        <x:v>北海道千歳市</x:v>
      </x:c>
      <x:c r="N11" s="19" t="str">
        <x:v>24時間（24時間）</x:v>
      </x:c>
      <x:c r="O11" s="19" t="str">
        <x:v>CURRENT_OPERATOR_TIMETABLE_REVIEW_REQUIRED</x:v>
      </x:c>
      <x:c r="P11" s="19" t="str">
        <x:v>Identity and annual usage audited; current service, v2 identity/lineage and inclusion acceptance remain open.</x:v>
      </x:c>
      <x:c r="Q11" s="19" t="str"/>
      <x:c r="R11" s="19" t="str">
        <x:v>https://www.mlit.go.jp/koku/15_bf_000310.html</x:v>
      </x:c>
      <x:c r="S11" s="19" t="str">
        <x:v>https://www.mlit.go.jp/koku/content/002021263.pdf</x:v>
      </x:c>
      <x:c r="T11" s="20" t="n">
        <x:v>2</x:v>
      </x:c>
      <x:c r="U11" s="19" t="str">
        <x:v>https://www.mlit.go.jp/koku/content/002016480.xlsx</x:v>
      </x:c>
      <x:c r="V11" s="18" t="str">
        <x:v>空港管理状況調書 N350</x:v>
      </x:c>
      <x:c r="W11" s="19" t="str">
        <x:v>https://www.hokkaido-airports.com/ja/new-chitose/access/jr/</x:v>
      </x:c>
      <x:c r="X11" s="18" t="str">
        <x:v>transport-node:25482cb1-a14e-575b-a551-bb475842ea29</x:v>
      </x:c>
      <x:c r="Y11" s="18" t="str">
        <x:v>否</x:v>
      </x:c>
      <x:c r="Z11" s="19" t="str">
        <x:v>达到年度门槛，待验收</x:v>
      </x:c>
      <x:c r="AA11" s="20" t="n">
        <x:v>1000</x:v>
      </x:c>
    </x:row>
    <x:row r="12" ht="33" customHeight="1">
      <x:c r="A12" s="18" t="str">
        <x:v>稚内</x:v>
      </x:c>
      <x:c r="B12" s="18" t="str">
        <x:v>A</x:v>
      </x:c>
      <x:c r="C12" s="19" t="str">
        <x:v>待审核</x:v>
      </x:c>
      <x:c r="D12" s="19" t="str">
        <x:v>T2</x:v>
      </x:c>
      <x:c r="E12" s="20" t="n">
        <x:v>187910</x:v>
      </x:c>
      <x:c r="F12" s="18" t="str">
        <x:v>FY2025</x:v>
      </x:c>
      <x:c r="G12" s="18" t="str">
        <x:v>passengers/year</x:v>
      </x:c>
      <x:c r="H12" s="18" t="str">
        <x:v>已核指南</x:v>
      </x:c>
      <x:c r="I12" s="20" t="n">
        <x:v>0</x:v>
      </x:c>
      <x:c r="J12" s="19" t="str">
        <x:v>OFF_AIRPORT_RAIL_TRANSFER_DOCUMENTED</x:v>
      </x:c>
      <x:c r="K12" s="19" t="str">
        <x:v>LISTED_CURRENT_OPERATION_NOT_INDEPENDENTLY_CONFIRMED</x:v>
      </x:c>
      <x:c r="L12" s="19" t="str">
        <x:v>国土交通大臣</x:v>
      </x:c>
      <x:c r="M12" s="19" t="str">
        <x:v>北海道稚内市</x:v>
      </x:c>
      <x:c r="N12" s="19" t="str">
        <x:v>10時間（8:30～18:30）</x:v>
      </x:c>
      <x:c r="O12" s="19" t="str">
        <x:v>CURRENT_OPERATOR_TIMETABLE_REVIEW_REQUIRED</x:v>
      </x:c>
      <x:c r="P12" s="19" t="str">
        <x:v>Identity and annual usage audited; current service, v2 identity/lineage and inclusion acceptance remain open.</x:v>
      </x:c>
      <x:c r="Q12" s="19" t="str"/>
      <x:c r="R12" s="19" t="str">
        <x:v>https://www.mlit.go.jp/koku/15_bf_000310.html</x:v>
      </x:c>
      <x:c r="S12" s="19" t="str">
        <x:v>https://www.mlit.go.jp/koku/content/002021263.pdf</x:v>
      </x:c>
      <x:c r="T12" s="20" t="n">
        <x:v>3</x:v>
      </x:c>
      <x:c r="U12" s="19" t="str">
        <x:v>https://www.mlit.go.jp/koku/content/002016480.xlsx</x:v>
      </x:c>
      <x:c r="V12" s="18" t="str">
        <x:v>空港管理状況調書 N404</x:v>
      </x:c>
      <x:c r="W12" s="19" t="str">
        <x:v>https://www.hokkaido-airports.com/ja/wakkanai/access/</x:v>
      </x:c>
      <x:c r="X12" s="18" t="str">
        <x:v>transport-node:7e100c00-e725-56ff-a1db-21630312ecfd</x:v>
      </x:c>
      <x:c r="Y12" s="18" t="str">
        <x:v>否</x:v>
      </x:c>
      <x:c r="Z12" s="19" t="str">
        <x:v>达到年度门槛，待验收</x:v>
      </x:c>
      <x:c r="AA12" s="20" t="n">
        <x:v>1000</x:v>
      </x:c>
    </x:row>
    <x:row r="13" ht="33" customHeight="1">
      <x:c r="A13" s="18" t="str">
        <x:v>釧路</x:v>
      </x:c>
      <x:c r="B13" s="18" t="str">
        <x:v>A</x:v>
      </x:c>
      <x:c r="C13" s="19" t="str">
        <x:v>待审核</x:v>
      </x:c>
      <x:c r="D13" s="19" t="str">
        <x:v>T2</x:v>
      </x:c>
      <x:c r="E13" s="20" t="n">
        <x:v>793534</x:v>
      </x:c>
      <x:c r="F13" s="18" t="str">
        <x:v>FY2025</x:v>
      </x:c>
      <x:c r="G13" s="18" t="str">
        <x:v>passengers/year</x:v>
      </x:c>
      <x:c r="H13" s="18" t="str">
        <x:v>已核指南</x:v>
      </x:c>
      <x:c r="I13" s="20" t="n">
        <x:v>0</x:v>
      </x:c>
      <x:c r="J13" s="19" t="str">
        <x:v>OFF_AIRPORT_RAIL_TRANSFER_DOCUMENTED</x:v>
      </x:c>
      <x:c r="K13" s="19" t="str">
        <x:v>LISTED_CURRENT_OPERATION_NOT_INDEPENDENTLY_CONFIRMED</x:v>
      </x:c>
      <x:c r="L13" s="19" t="str">
        <x:v>国土交通大臣</x:v>
      </x:c>
      <x:c r="M13" s="19" t="str">
        <x:v>北海道釧路市</x:v>
      </x:c>
      <x:c r="N13" s="19" t="str">
        <x:v>13時間（8:00～21:00）</x:v>
      </x:c>
      <x:c r="O13" s="19" t="str">
        <x:v>CURRENT_OPERATOR_TIMETABLE_REVIEW_REQUIRED</x:v>
      </x:c>
      <x:c r="P13" s="19" t="str">
        <x:v>Identity and annual usage audited; current service, v2 identity/lineage and inclusion acceptance remain open.</x:v>
      </x:c>
      <x:c r="Q13" s="19" t="str"/>
      <x:c r="R13" s="19" t="str">
        <x:v>https://www.mlit.go.jp/koku/15_bf_000310.html</x:v>
      </x:c>
      <x:c r="S13" s="19" t="str">
        <x:v>https://www.mlit.go.jp/koku/content/002021263.pdf</x:v>
      </x:c>
      <x:c r="T13" s="20" t="n">
        <x:v>4</x:v>
      </x:c>
      <x:c r="U13" s="19" t="str">
        <x:v>https://www.mlit.go.jp/koku/content/002016480.xlsx</x:v>
      </x:c>
      <x:c r="V13" s="18" t="str">
        <x:v>空港管理状況調書 N458</x:v>
      </x:c>
      <x:c r="W13" s="19" t="str">
        <x:v>https://www.hokkaido-airports.com/ja/kushiro/access/</x:v>
      </x:c>
      <x:c r="X13" s="18" t="str">
        <x:v>transport-node:e6eae785-7458-5845-994d-1a67b949b0e5</x:v>
      </x:c>
      <x:c r="Y13" s="18" t="str">
        <x:v>否</x:v>
      </x:c>
      <x:c r="Z13" s="19" t="str">
        <x:v>达到年度门槛，待验收</x:v>
      </x:c>
      <x:c r="AA13" s="20" t="n">
        <x:v>1000</x:v>
      </x:c>
    </x:row>
    <x:row r="14" ht="33" customHeight="1">
      <x:c r="A14" s="18" t="str">
        <x:v>函館</x:v>
      </x:c>
      <x:c r="B14" s="18" t="str">
        <x:v>A</x:v>
      </x:c>
      <x:c r="C14" s="19" t="str">
        <x:v>待审核</x:v>
      </x:c>
      <x:c r="D14" s="19" t="str">
        <x:v>T1</x:v>
      </x:c>
      <x:c r="E14" s="20" t="n">
        <x:v>2069076</x:v>
      </x:c>
      <x:c r="F14" s="18" t="str">
        <x:v>FY2025</x:v>
      </x:c>
      <x:c r="G14" s="18" t="str">
        <x:v>passengers/year</x:v>
      </x:c>
      <x:c r="H14" s="18" t="str">
        <x:v>已核指南</x:v>
      </x:c>
      <x:c r="I14" s="20" t="n">
        <x:v>0</x:v>
      </x:c>
      <x:c r="J14" s="19" t="str">
        <x:v>OFF_AIRPORT_RAIL_TRANSFER_DOCUMENTED</x:v>
      </x:c>
      <x:c r="K14" s="19" t="str">
        <x:v>LISTED_CURRENT_OPERATION_NOT_INDEPENDENTLY_CONFIRMED</x:v>
      </x:c>
      <x:c r="L14" s="19" t="str">
        <x:v>国土交通大臣</x:v>
      </x:c>
      <x:c r="M14" s="19" t="str">
        <x:v>北海道函館市</x:v>
      </x:c>
      <x:c r="N14" s="19" t="str">
        <x:v>13時間（7:30～20:30）</x:v>
      </x:c>
      <x:c r="O14" s="19" t="str">
        <x:v>CURRENT_OPERATOR_TIMETABLE_REVIEW_REQUIRED</x:v>
      </x:c>
      <x:c r="P14" s="19" t="str">
        <x:v>Identity and annual usage audited; current service, v2 identity/lineage and inclusion acceptance remain open.</x:v>
      </x:c>
      <x:c r="Q14" s="19" t="str"/>
      <x:c r="R14" s="19" t="str">
        <x:v>https://www.mlit.go.jp/koku/15_bf_000310.html</x:v>
      </x:c>
      <x:c r="S14" s="19" t="str">
        <x:v>https://www.mlit.go.jp/koku/content/002021263.pdf</x:v>
      </x:c>
      <x:c r="T14" s="20" t="n">
        <x:v>5</x:v>
      </x:c>
      <x:c r="U14" s="19" t="str">
        <x:v>https://www.mlit.go.jp/koku/content/002016480.xlsx</x:v>
      </x:c>
      <x:c r="V14" s="18" t="str">
        <x:v>空港管理状況調書 N512</x:v>
      </x:c>
      <x:c r="W14" s="19" t="str">
        <x:v>https://www.hokkaido-airports.com/ja/hakodate/access/bus/</x:v>
      </x:c>
      <x:c r="X14" s="18" t="str">
        <x:v>transport-node:2482a5e0-59df-5592-974f-4cbde73bbf05</x:v>
      </x:c>
      <x:c r="Y14" s="18" t="str">
        <x:v>否</x:v>
      </x:c>
      <x:c r="Z14" s="19" t="str">
        <x:v>达到年度门槛，待验收</x:v>
      </x:c>
      <x:c r="AA14" s="20" t="n">
        <x:v>1000</x:v>
      </x:c>
    </x:row>
    <x:row r="15" ht="33" customHeight="1">
      <x:c r="A15" s="18" t="str">
        <x:v>仙台</x:v>
      </x:c>
      <x:c r="B15" s="18" t="str">
        <x:v>A</x:v>
      </x:c>
      <x:c r="C15" s="19" t="str">
        <x:v>待审核</x:v>
      </x:c>
      <x:c r="D15" s="19" t="str">
        <x:v>T1</x:v>
      </x:c>
      <x:c r="E15" s="20" t="n">
        <x:v>4031331</x:v>
      </x:c>
      <x:c r="F15" s="18" t="str">
        <x:v>FY2025</x:v>
      </x:c>
      <x:c r="G15" s="18" t="str">
        <x:v>passengers/year</x:v>
      </x:c>
      <x:c r="H15" s="18" t="str">
        <x:v>已核指南</x:v>
      </x:c>
      <x:c r="I15" s="20" t="n">
        <x:v>1</x:v>
      </x:c>
      <x:c r="J15" s="19" t="str">
        <x:v>CANDIDATES_PRESENT_FORMAL_ACCEPTANCE_PENDING</x:v>
      </x:c>
      <x:c r="K15" s="19" t="str">
        <x:v>LISTED_CURRENT_OPERATION_NOT_INDEPENDENTLY_CONFIRMED</x:v>
      </x:c>
      <x:c r="L15" s="19" t="str">
        <x:v>国土交通大臣</x:v>
      </x:c>
      <x:c r="M15" s="19" t="str">
        <x:v>宮城県名取市</x:v>
      </x:c>
      <x:c r="N15" s="19" t="str">
        <x:v>14.5時間（7:30～22:00）</x:v>
      </x:c>
      <x:c r="O15" s="19" t="str">
        <x:v>CURRENT_OPERATOR_TIMETABLE_REVIEW_REQUIRED</x:v>
      </x:c>
      <x:c r="P15" s="19" t="str">
        <x:v>Identity and annual usage audited; current service, v2 identity/lineage and inclusion acceptance remain open.</x:v>
      </x:c>
      <x:c r="Q15" s="19" t="str"/>
      <x:c r="R15" s="19" t="str">
        <x:v>https://www.mlit.go.jp/koku/15_bf_000310.html</x:v>
      </x:c>
      <x:c r="S15" s="19" t="str">
        <x:v>https://www.mlit.go.jp/koku/content/002021263.pdf</x:v>
      </x:c>
      <x:c r="T15" s="20" t="n">
        <x:v>6</x:v>
      </x:c>
      <x:c r="U15" s="19" t="str">
        <x:v>https://www.mlit.go.jp/koku/content/002016480.xlsx</x:v>
      </x:c>
      <x:c r="V15" s="18" t="str">
        <x:v>空港管理状況調書 N566</x:v>
      </x:c>
      <x:c r="W15" s="19" t="str">
        <x:v>https://www.sendai-airport.co.jp/access/</x:v>
      </x:c>
      <x:c r="X15" s="18" t="str">
        <x:v>transport-node:60e3a602-ac0f-52f6-a4b7-4c7323a5815f</x:v>
      </x:c>
      <x:c r="Y15" s="18" t="str">
        <x:v>否</x:v>
      </x:c>
      <x:c r="Z15" s="19" t="str">
        <x:v>达到年度门槛，待验收</x:v>
      </x:c>
      <x:c r="AA15" s="20" t="n">
        <x:v>1000</x:v>
      </x:c>
    </x:row>
    <x:row r="16" ht="33" customHeight="1">
      <x:c r="A16" s="18" t="str">
        <x:v>新潟</x:v>
      </x:c>
      <x:c r="B16" s="18" t="str">
        <x:v>A</x:v>
      </x:c>
      <x:c r="C16" s="19" t="str">
        <x:v>待审核</x:v>
      </x:c>
      <x:c r="D16" s="19" t="str">
        <x:v>T1</x:v>
      </x:c>
      <x:c r="E16" s="20" t="n">
        <x:v>1150662</x:v>
      </x:c>
      <x:c r="F16" s="18" t="str">
        <x:v>FY2025</x:v>
      </x:c>
      <x:c r="G16" s="18" t="str">
        <x:v>passengers/year</x:v>
      </x:c>
      <x:c r="H16" s="18" t="str">
        <x:v>已核指南</x:v>
      </x:c>
      <x:c r="I16" s="20" t="n">
        <x:v>0</x:v>
      </x:c>
      <x:c r="J16" s="19" t="str">
        <x:v>OFF_AIRPORT_RAIL_TRANSFER_DOCUMENTED</x:v>
      </x:c>
      <x:c r="K16" s="19" t="str">
        <x:v>LISTED_CURRENT_OPERATION_NOT_INDEPENDENTLY_CONFIRMED</x:v>
      </x:c>
      <x:c r="L16" s="19" t="str">
        <x:v>国土交通大臣</x:v>
      </x:c>
      <x:c r="M16" s="19" t="str">
        <x:v>新潟県新潟市</x:v>
      </x:c>
      <x:c r="N16" s="19" t="str">
        <x:v>14時間（7:30～21:30）</x:v>
      </x:c>
      <x:c r="O16" s="19" t="str">
        <x:v>CURRENT_OPERATOR_TIMETABLE_REVIEW_REQUIRED</x:v>
      </x:c>
      <x:c r="P16" s="19" t="str">
        <x:v>Identity and annual usage audited; current service, v2 identity/lineage and inclusion acceptance remain open.</x:v>
      </x:c>
      <x:c r="Q16" s="19" t="str"/>
      <x:c r="R16" s="19" t="str">
        <x:v>https://www.mlit.go.jp/koku/15_bf_000310.html</x:v>
      </x:c>
      <x:c r="S16" s="19" t="str">
        <x:v>https://www.mlit.go.jp/koku/content/002021263.pdf</x:v>
      </x:c>
      <x:c r="T16" s="20" t="n">
        <x:v>7</x:v>
      </x:c>
      <x:c r="U16" s="19" t="str">
        <x:v>https://www.mlit.go.jp/koku/content/002016480.xlsx</x:v>
      </x:c>
      <x:c r="V16" s="18" t="str">
        <x:v>空港管理状況調書 N620</x:v>
      </x:c>
      <x:c r="W16" s="19" t="str">
        <x:v>https://www.niigata-airport.gr.jp/access/bus/</x:v>
      </x:c>
      <x:c r="X16" s="18" t="str">
        <x:v>transport-node:e4b4b76b-478a-56ae-b982-e4ddaf7d05af</x:v>
      </x:c>
      <x:c r="Y16" s="18" t="str">
        <x:v>否</x:v>
      </x:c>
      <x:c r="Z16" s="19" t="str">
        <x:v>达到年度门槛，待验收</x:v>
      </x:c>
      <x:c r="AA16" s="20" t="n">
        <x:v>1000</x:v>
      </x:c>
    </x:row>
    <x:row r="17" ht="33" customHeight="1">
      <x:c r="A17" s="18" t="str">
        <x:v>広島</x:v>
      </x:c>
      <x:c r="B17" s="18" t="str">
        <x:v>A</x:v>
      </x:c>
      <x:c r="C17" s="19" t="str">
        <x:v>待审核</x:v>
      </x:c>
      <x:c r="D17" s="19" t="str">
        <x:v>T1</x:v>
      </x:c>
      <x:c r="E17" s="20" t="n">
        <x:v>2954942</x:v>
      </x:c>
      <x:c r="F17" s="18" t="str">
        <x:v>FY2025</x:v>
      </x:c>
      <x:c r="G17" s="18" t="str">
        <x:v>passengers/year</x:v>
      </x:c>
      <x:c r="H17" s="18" t="str">
        <x:v>已核指南</x:v>
      </x:c>
      <x:c r="I17" s="20" t="n">
        <x:v>0</x:v>
      </x:c>
      <x:c r="J17" s="19" t="str">
        <x:v>OFF_AIRPORT_RAIL_TRANSFER_DOCUMENTED</x:v>
      </x:c>
      <x:c r="K17" s="19" t="str">
        <x:v>LISTED_CURRENT_OPERATION_NOT_INDEPENDENTLY_CONFIRMED</x:v>
      </x:c>
      <x:c r="L17" s="19" t="str">
        <x:v>国土交通大臣</x:v>
      </x:c>
      <x:c r="M17" s="19" t="str">
        <x:v>広島県三原市</x:v>
      </x:c>
      <x:c r="N17" s="19" t="str">
        <x:v>15時間（7:30～22:30）</x:v>
      </x:c>
      <x:c r="O17" s="19" t="str">
        <x:v>CURRENT_OPERATOR_TIMETABLE_REVIEW_REQUIRED</x:v>
      </x:c>
      <x:c r="P17" s="19" t="str">
        <x:v>Identity and annual usage audited; current service, v2 identity/lineage and inclusion acceptance remain open.</x:v>
      </x:c>
      <x:c r="Q17" s="19" t="str"/>
      <x:c r="R17" s="19" t="str">
        <x:v>https://www.mlit.go.jp/koku/15_bf_000310.html</x:v>
      </x:c>
      <x:c r="S17" s="19" t="str">
        <x:v>https://www.mlit.go.jp/koku/content/002021263.pdf</x:v>
      </x:c>
      <x:c r="T17" s="20" t="n">
        <x:v>8</x:v>
      </x:c>
      <x:c r="U17" s="19" t="str">
        <x:v>https://www.mlit.go.jp/koku/content/002016480.xlsx</x:v>
      </x:c>
      <x:c r="V17" s="18" t="str">
        <x:v>空港管理状況調書 N674</x:v>
      </x:c>
      <x:c r="W17" s="19" t="str">
        <x:v>https://www.hij.airport.jp/access/index.html</x:v>
      </x:c>
      <x:c r="X17" s="18" t="str">
        <x:v>transport-node:83bafe38-0a4d-54b8-9c80-c2914352f134</x:v>
      </x:c>
      <x:c r="Y17" s="18" t="str">
        <x:v>否</x:v>
      </x:c>
      <x:c r="Z17" s="19" t="str">
        <x:v>达到年度门槛，待验收</x:v>
      </x:c>
      <x:c r="AA17" s="20" t="n">
        <x:v>1000</x:v>
      </x:c>
    </x:row>
    <x:row r="18" ht="33" customHeight="1">
      <x:c r="A18" s="18" t="str">
        <x:v>高松</x:v>
      </x:c>
      <x:c r="B18" s="18" t="str">
        <x:v>A</x:v>
      </x:c>
      <x:c r="C18" s="19" t="str">
        <x:v>待审核</x:v>
      </x:c>
      <x:c r="D18" s="19" t="str">
        <x:v>T1</x:v>
      </x:c>
      <x:c r="E18" s="20" t="n">
        <x:v>2253027</x:v>
      </x:c>
      <x:c r="F18" s="18" t="str">
        <x:v>FY2025</x:v>
      </x:c>
      <x:c r="G18" s="18" t="str">
        <x:v>passengers/year</x:v>
      </x:c>
      <x:c r="H18" s="18" t="str">
        <x:v>已核指南</x:v>
      </x:c>
      <x:c r="I18" s="20" t="n">
        <x:v>0</x:v>
      </x:c>
      <x:c r="J18" s="19" t="str">
        <x:v>OFF_AIRPORT_RAIL_TRANSFER_DOCUMENTED</x:v>
      </x:c>
      <x:c r="K18" s="19" t="str">
        <x:v>LISTED_CURRENT_OPERATION_NOT_INDEPENDENTLY_CONFIRMED</x:v>
      </x:c>
      <x:c r="L18" s="19" t="str">
        <x:v>国土交通大臣</x:v>
      </x:c>
      <x:c r="M18" s="19" t="str">
        <x:v>香川県高松市</x:v>
      </x:c>
      <x:c r="N18" s="19" t="str">
        <x:v>15時間（7:00～22:00）</x:v>
      </x:c>
      <x:c r="O18" s="19" t="str">
        <x:v>CURRENT_OPERATOR_TIMETABLE_REVIEW_REQUIRED</x:v>
      </x:c>
      <x:c r="P18" s="19" t="str">
        <x:v>Identity and annual usage audited; current service, v2 identity/lineage and inclusion acceptance remain open.</x:v>
      </x:c>
      <x:c r="Q18" s="19" t="str"/>
      <x:c r="R18" s="19" t="str">
        <x:v>https://www.mlit.go.jp/koku/15_bf_000310.html</x:v>
      </x:c>
      <x:c r="S18" s="19" t="str">
        <x:v>https://www.mlit.go.jp/koku/content/002021263.pdf</x:v>
      </x:c>
      <x:c r="T18" s="20" t="n">
        <x:v>9</x:v>
      </x:c>
      <x:c r="U18" s="19" t="str">
        <x:v>https://www.mlit.go.jp/koku/content/002016480.xlsx</x:v>
      </x:c>
      <x:c r="V18" s="18" t="str">
        <x:v>空港管理状況調書 N728</x:v>
      </x:c>
      <x:c r="W18" s="19" t="str">
        <x:v>https://www.takamatsu-airport.com/access/bus/</x:v>
      </x:c>
      <x:c r="X18" s="18" t="str">
        <x:v>transport-node:67ba26ec-c598-51d8-ac9a-9b1a86bb5c51</x:v>
      </x:c>
      <x:c r="Y18" s="18" t="str">
        <x:v>否</x:v>
      </x:c>
      <x:c r="Z18" s="19" t="str">
        <x:v>达到年度门槛，待验收</x:v>
      </x:c>
      <x:c r="AA18" s="20" t="n">
        <x:v>1000</x:v>
      </x:c>
    </x:row>
    <x:row r="19" ht="33" customHeight="1">
      <x:c r="A19" s="18" t="str">
        <x:v>松山</x:v>
      </x:c>
      <x:c r="B19" s="18" t="str">
        <x:v>A</x:v>
      </x:c>
      <x:c r="C19" s="19" t="str">
        <x:v>待审核</x:v>
      </x:c>
      <x:c r="D19" s="19" t="str">
        <x:v>T1</x:v>
      </x:c>
      <x:c r="E19" s="20" t="n">
        <x:v>3329527</x:v>
      </x:c>
      <x:c r="F19" s="18" t="str">
        <x:v>FY2025</x:v>
      </x:c>
      <x:c r="G19" s="18" t="str">
        <x:v>passengers/year</x:v>
      </x:c>
      <x:c r="H19" s="18" t="str">
        <x:v>已核指南</x:v>
      </x:c>
      <x:c r="I19" s="20" t="n">
        <x:v>0</x:v>
      </x:c>
      <x:c r="J19" s="19" t="str">
        <x:v>OFF_AIRPORT_RAIL_TRANSFER_DOCUMENTED</x:v>
      </x:c>
      <x:c r="K19" s="19" t="str">
        <x:v>LISTED_CURRENT_OPERATION_NOT_INDEPENDENTLY_CONFIRMED</x:v>
      </x:c>
      <x:c r="L19" s="19" t="str">
        <x:v>国土交通大臣</x:v>
      </x:c>
      <x:c r="M19" s="19" t="str">
        <x:v>愛媛県松山市</x:v>
      </x:c>
      <x:c r="N19" s="19" t="str">
        <x:v>15時間（7:00～22:00）</x:v>
      </x:c>
      <x:c r="O19" s="19" t="str">
        <x:v>CURRENT_OPERATOR_TIMETABLE_REVIEW_REQUIRED</x:v>
      </x:c>
      <x:c r="P19" s="19" t="str">
        <x:v>Identity and annual usage audited; current service, v2 identity/lineage and inclusion acceptance remain open.</x:v>
      </x:c>
      <x:c r="Q19" s="19" t="str"/>
      <x:c r="R19" s="19" t="str">
        <x:v>https://www.mlit.go.jp/koku/15_bf_000310.html</x:v>
      </x:c>
      <x:c r="S19" s="19" t="str">
        <x:v>https://www.mlit.go.jp/koku/content/002021263.pdf</x:v>
      </x:c>
      <x:c r="T19" s="20" t="n">
        <x:v>10</x:v>
      </x:c>
      <x:c r="U19" s="19" t="str">
        <x:v>https://www.mlit.go.jp/koku/content/002016480.xlsx</x:v>
      </x:c>
      <x:c r="V19" s="18" t="str">
        <x:v>空港管理状況調書 N782</x:v>
      </x:c>
      <x:c r="W19" s="19" t="str">
        <x:v>https://www.matsuyama-airport.co.jp/access/</x:v>
      </x:c>
      <x:c r="X19" s="18" t="str">
        <x:v>transport-node:9df3dd1d-5a8e-5a68-b6bc-407d8bf070dc</x:v>
      </x:c>
      <x:c r="Y19" s="18" t="str">
        <x:v>否</x:v>
      </x:c>
      <x:c r="Z19" s="19" t="str">
        <x:v>达到年度门槛，待验收</x:v>
      </x:c>
      <x:c r="AA19" s="20" t="n">
        <x:v>1000</x:v>
      </x:c>
    </x:row>
    <x:row r="20" ht="33" customHeight="1">
      <x:c r="A20" s="18" t="str">
        <x:v>高知</x:v>
      </x:c>
      <x:c r="B20" s="18" t="str">
        <x:v>A</x:v>
      </x:c>
      <x:c r="C20" s="19" t="str">
        <x:v>待审核</x:v>
      </x:c>
      <x:c r="D20" s="19" t="str">
        <x:v>T1</x:v>
      </x:c>
      <x:c r="E20" s="20" t="n">
        <x:v>1649496</x:v>
      </x:c>
      <x:c r="F20" s="18" t="str">
        <x:v>FY2025</x:v>
      </x:c>
      <x:c r="G20" s="18" t="str">
        <x:v>passengers/year</x:v>
      </x:c>
      <x:c r="H20" s="18" t="str">
        <x:v>已核指南</x:v>
      </x:c>
      <x:c r="I20" s="20" t="n">
        <x:v>0</x:v>
      </x:c>
      <x:c r="J20" s="19" t="str">
        <x:v>OFF_AIRPORT_RAIL_TRANSFER_DOCUMENTED</x:v>
      </x:c>
      <x:c r="K20" s="19" t="str">
        <x:v>LISTED_CURRENT_OPERATION_NOT_INDEPENDENTLY_CONFIRMED</x:v>
      </x:c>
      <x:c r="L20" s="19" t="str">
        <x:v>国土交通大臣</x:v>
      </x:c>
      <x:c r="M20" s="19" t="str">
        <x:v>高知県南国市</x:v>
      </x:c>
      <x:c r="N20" s="19" t="str">
        <x:v>14時間（7:00～21:00）</x:v>
      </x:c>
      <x:c r="O20" s="19" t="str">
        <x:v>CURRENT_OPERATOR_TIMETABLE_REVIEW_REQUIRED</x:v>
      </x:c>
      <x:c r="P20" s="19" t="str">
        <x:v>Identity and annual usage audited; current service, v2 identity/lineage and inclusion acceptance remain open.</x:v>
      </x:c>
      <x:c r="Q20" s="19" t="str"/>
      <x:c r="R20" s="19" t="str">
        <x:v>https://www.mlit.go.jp/koku/15_bf_000310.html</x:v>
      </x:c>
      <x:c r="S20" s="19" t="str">
        <x:v>https://www.mlit.go.jp/koku/content/002021263.pdf</x:v>
      </x:c>
      <x:c r="T20" s="20" t="n">
        <x:v>11</x:v>
      </x:c>
      <x:c r="U20" s="19" t="str">
        <x:v>https://www.mlit.go.jp/koku/content/002016480.xlsx</x:v>
      </x:c>
      <x:c r="V20" s="18" t="str">
        <x:v>空港管理状況調書 N836</x:v>
      </x:c>
      <x:c r="W20" s="19" t="str">
        <x:v>https://www.pref.kochi.lg.jp/doc/2018042700206/</x:v>
      </x:c>
      <x:c r="X20" s="18" t="str">
        <x:v>transport-node:0eb57e02-cd64-5fe0-8977-7586a0614d36</x:v>
      </x:c>
      <x:c r="Y20" s="18" t="str">
        <x:v>否</x:v>
      </x:c>
      <x:c r="Z20" s="19" t="str">
        <x:v>达到年度门槛，待验收</x:v>
      </x:c>
      <x:c r="AA20" s="20" t="n">
        <x:v>1000</x:v>
      </x:c>
    </x:row>
    <x:row r="21" ht="33" customHeight="1">
      <x:c r="A21" s="18" t="str">
        <x:v>福岡</x:v>
      </x:c>
      <x:c r="B21" s="18" t="str">
        <x:v>A</x:v>
      </x:c>
      <x:c r="C21" s="19" t="str">
        <x:v>待审核</x:v>
      </x:c>
      <x:c r="D21" s="19" t="str">
        <x:v>T0</x:v>
      </x:c>
      <x:c r="E21" s="20" t="n">
        <x:v>28837292</x:v>
      </x:c>
      <x:c r="F21" s="18" t="str">
        <x:v>FY2025</x:v>
      </x:c>
      <x:c r="G21" s="18" t="str">
        <x:v>passengers/year</x:v>
      </x:c>
      <x:c r="H21" s="18" t="str">
        <x:v>已核指南</x:v>
      </x:c>
      <x:c r="I21" s="20" t="n">
        <x:v>1</x:v>
      </x:c>
      <x:c r="J21" s="19" t="str">
        <x:v>CANDIDATES_PRESENT_FORMAL_ACCEPTANCE_PENDING</x:v>
      </x:c>
      <x:c r="K21" s="19" t="str">
        <x:v>LISTED_CURRENT_OPERATION_NOT_INDEPENDENTLY_CONFIRMED</x:v>
      </x:c>
      <x:c r="L21" s="19" t="str">
        <x:v>国土交通大臣</x:v>
      </x:c>
      <x:c r="M21" s="19" t="str">
        <x:v>福岡県福岡市</x:v>
      </x:c>
      <x:c r="N21" s="19" t="str">
        <x:v>24時間（7:00～22:00）</x:v>
      </x:c>
      <x:c r="O21" s="19" t="str">
        <x:v>CURRENT_OPERATOR_TIMETABLE_REVIEW_REQUIRED</x:v>
      </x:c>
      <x:c r="P21" s="19" t="str">
        <x:v>Identity and annual usage audited; current service, v2 identity/lineage and inclusion acceptance remain open.</x:v>
      </x:c>
      <x:c r="Q21" s="19" t="str"/>
      <x:c r="R21" s="19" t="str">
        <x:v>https://www.mlit.go.jp/koku/15_bf_000310.html</x:v>
      </x:c>
      <x:c r="S21" s="19" t="str">
        <x:v>https://www.mlit.go.jp/koku/content/002021263.pdf</x:v>
      </x:c>
      <x:c r="T21" s="20" t="n">
        <x:v>12</x:v>
      </x:c>
      <x:c r="U21" s="19" t="str">
        <x:v>https://www.mlit.go.jp/koku/content/002016480.xlsx</x:v>
      </x:c>
      <x:c r="V21" s="18" t="str">
        <x:v>空港管理状況調書 N890</x:v>
      </x:c>
      <x:c r="W21" s="19" t="str">
        <x:v>https://www.fukuoka-airport.jp/access/subway.html</x:v>
      </x:c>
      <x:c r="X21" s="18" t="str">
        <x:v>transport-node:f09225e8-a5e2-5fef-82a5-69aa13156cdd</x:v>
      </x:c>
      <x:c r="Y21" s="18" t="str">
        <x:v>否</x:v>
      </x:c>
      <x:c r="Z21" s="19" t="str">
        <x:v>达到年度门槛，待验收</x:v>
      </x:c>
      <x:c r="AA21" s="20" t="n">
        <x:v>1000</x:v>
      </x:c>
    </x:row>
    <x:row r="22" ht="33" customHeight="1">
      <x:c r="A22" s="18" t="str">
        <x:v>北九州</x:v>
      </x:c>
      <x:c r="B22" s="18" t="str">
        <x:v>A</x:v>
      </x:c>
      <x:c r="C22" s="19" t="str">
        <x:v>待审核</x:v>
      </x:c>
      <x:c r="D22" s="19" t="str">
        <x:v>T1</x:v>
      </x:c>
      <x:c r="E22" s="20" t="n">
        <x:v>1265580</x:v>
      </x:c>
      <x:c r="F22" s="18" t="str">
        <x:v>FY2025</x:v>
      </x:c>
      <x:c r="G22" s="18" t="str">
        <x:v>passengers/year</x:v>
      </x:c>
      <x:c r="H22" s="18" t="str">
        <x:v>已核指南</x:v>
      </x:c>
      <x:c r="I22" s="20" t="n">
        <x:v>0</x:v>
      </x:c>
      <x:c r="J22" s="19" t="str">
        <x:v>OFF_AIRPORT_RAIL_TRANSFER_DOCUMENTED</x:v>
      </x:c>
      <x:c r="K22" s="19" t="str">
        <x:v>LISTED_CURRENT_OPERATION_NOT_INDEPENDENTLY_CONFIRMED</x:v>
      </x:c>
      <x:c r="L22" s="19" t="str">
        <x:v>国土交通大臣</x:v>
      </x:c>
      <x:c r="M22" s="19" t="str">
        <x:v>福岡県北九州市</x:v>
      </x:c>
      <x:c r="N22" s="19" t="str">
        <x:v>24時間（24時間）</x:v>
      </x:c>
      <x:c r="O22" s="19" t="str">
        <x:v>CURRENT_OPERATOR_TIMETABLE_REVIEW_REQUIRED</x:v>
      </x:c>
      <x:c r="P22" s="19" t="str">
        <x:v>Identity and annual usage audited; current service, v2 identity/lineage and inclusion acceptance remain open.</x:v>
      </x:c>
      <x:c r="Q22" s="19" t="str"/>
      <x:c r="R22" s="19" t="str">
        <x:v>https://www.mlit.go.jp/koku/15_bf_000310.html</x:v>
      </x:c>
      <x:c r="S22" s="19" t="str">
        <x:v>https://www.mlit.go.jp/koku/content/002021263.pdf</x:v>
      </x:c>
      <x:c r="T22" s="20" t="n">
        <x:v>13</x:v>
      </x:c>
      <x:c r="U22" s="19" t="str">
        <x:v>https://www.mlit.go.jp/koku/content/002016480.xlsx</x:v>
      </x:c>
      <x:c r="V22" s="18" t="str">
        <x:v>空港管理状況調書 N944</x:v>
      </x:c>
      <x:c r="W22" s="19" t="str">
        <x:v>https://www.kitakyu-air.jp/rev-access/rev-access.php</x:v>
      </x:c>
      <x:c r="X22" s="18" t="str">
        <x:v>transport-node:fbaf00c2-a946-52b8-9920-9a493ad20d20</x:v>
      </x:c>
      <x:c r="Y22" s="18" t="str">
        <x:v>否</x:v>
      </x:c>
      <x:c r="Z22" s="19" t="str">
        <x:v>达到年度门槛，待验收</x:v>
      </x:c>
      <x:c r="AA22" s="20" t="n">
        <x:v>1000</x:v>
      </x:c>
    </x:row>
    <x:row r="23" ht="33" customHeight="1">
      <x:c r="A23" s="18" t="str">
        <x:v>長崎</x:v>
      </x:c>
      <x:c r="B23" s="18" t="str">
        <x:v>A</x:v>
      </x:c>
      <x:c r="C23" s="19" t="str">
        <x:v>待审核</x:v>
      </x:c>
      <x:c r="D23" s="19" t="str">
        <x:v>T1</x:v>
      </x:c>
      <x:c r="E23" s="20" t="n">
        <x:v>3265633</x:v>
      </x:c>
      <x:c r="F23" s="18" t="str">
        <x:v>FY2025</x:v>
      </x:c>
      <x:c r="G23" s="18" t="str">
        <x:v>passengers/year</x:v>
      </x:c>
      <x:c r="H23" s="18" t="str">
        <x:v>已核指南</x:v>
      </x:c>
      <x:c r="I23" s="20" t="n">
        <x:v>0</x:v>
      </x:c>
      <x:c r="J23" s="19" t="str">
        <x:v>OFF_AIRPORT_RAIL_TRANSFER_DOCUMENTED</x:v>
      </x:c>
      <x:c r="K23" s="19" t="str">
        <x:v>LISTED_CURRENT_OPERATION_NOT_INDEPENDENTLY_CONFIRMED</x:v>
      </x:c>
      <x:c r="L23" s="19" t="str">
        <x:v>国土交通大臣</x:v>
      </x:c>
      <x:c r="M23" s="19" t="str">
        <x:v>長崎県大村市</x:v>
      </x:c>
      <x:c r="N23" s="19" t="str">
        <x:v>15時間（7:00～22:00）</x:v>
      </x:c>
      <x:c r="O23" s="19" t="str">
        <x:v>CURRENT_OPERATOR_TIMETABLE_REVIEW_REQUIRED</x:v>
      </x:c>
      <x:c r="P23" s="19" t="str">
        <x:v>Identity and annual usage audited; current service, v2 identity/lineage and inclusion acceptance remain open.</x:v>
      </x:c>
      <x:c r="Q23" s="19" t="str"/>
      <x:c r="R23" s="19" t="str">
        <x:v>https://www.mlit.go.jp/koku/15_bf_000310.html</x:v>
      </x:c>
      <x:c r="S23" s="19" t="str">
        <x:v>https://www.mlit.go.jp/koku/content/002021263.pdf</x:v>
      </x:c>
      <x:c r="T23" s="20" t="n">
        <x:v>14</x:v>
      </x:c>
      <x:c r="U23" s="19" t="str">
        <x:v>https://www.mlit.go.jp/koku/content/002016480.xlsx</x:v>
      </x:c>
      <x:c r="V23" s="18" t="str">
        <x:v>空港管理状況調書 N998</x:v>
      </x:c>
      <x:c r="W23" s="19" t="str">
        <x:v>https://www.nagasaki-airport.jp/question/</x:v>
      </x:c>
      <x:c r="X23" s="18" t="str">
        <x:v>transport-node:948a4f5d-b386-5d98-84ab-af69c9818a84</x:v>
      </x:c>
      <x:c r="Y23" s="18" t="str">
        <x:v>否</x:v>
      </x:c>
      <x:c r="Z23" s="19" t="str">
        <x:v>达到年度门槛，待验收</x:v>
      </x:c>
      <x:c r="AA23" s="20" t="n">
        <x:v>1000</x:v>
      </x:c>
    </x:row>
    <x:row r="24" ht="33" customHeight="1">
      <x:c r="A24" s="18" t="str">
        <x:v>熊本</x:v>
      </x:c>
      <x:c r="B24" s="18" t="str">
        <x:v>A</x:v>
      </x:c>
      <x:c r="C24" s="19" t="str">
        <x:v>待审核</x:v>
      </x:c>
      <x:c r="D24" s="19" t="str">
        <x:v>T1</x:v>
      </x:c>
      <x:c r="E24" s="20" t="n">
        <x:v>3851661</x:v>
      </x:c>
      <x:c r="F24" s="18" t="str">
        <x:v>FY2025</x:v>
      </x:c>
      <x:c r="G24" s="18" t="str">
        <x:v>passengers/year</x:v>
      </x:c>
      <x:c r="H24" s="18" t="str">
        <x:v>已核指南</x:v>
      </x:c>
      <x:c r="I24" s="20" t="n">
        <x:v>0</x:v>
      </x:c>
      <x:c r="J24" s="19" t="str">
        <x:v>OFF_AIRPORT_RAIL_TRANSFER_DOCUMENTED</x:v>
      </x:c>
      <x:c r="K24" s="19" t="str">
        <x:v>LISTED_CURRENT_OPERATION_NOT_INDEPENDENTLY_CONFIRMED</x:v>
      </x:c>
      <x:c r="L24" s="19" t="str">
        <x:v>国土交通大臣</x:v>
      </x:c>
      <x:c r="M24" s="19" t="str">
        <x:v>熊本県菊池郡菊陽町</x:v>
      </x:c>
      <x:c r="N24" s="19" t="str">
        <x:v>14時間（7:30～21:30）</x:v>
      </x:c>
      <x:c r="O24" s="19" t="str">
        <x:v>CURRENT_OPERATOR_TIMETABLE_REVIEW_REQUIRED</x:v>
      </x:c>
      <x:c r="P24" s="19" t="str">
        <x:v>Identity and annual usage audited; current service, v2 identity/lineage and inclusion acceptance remain open.</x:v>
      </x:c>
      <x:c r="Q24" s="19" t="str"/>
      <x:c r="R24" s="19" t="str">
        <x:v>https://www.mlit.go.jp/koku/15_bf_000310.html</x:v>
      </x:c>
      <x:c r="S24" s="19" t="str">
        <x:v>https://www.mlit.go.jp/koku/content/002021263.pdf</x:v>
      </x:c>
      <x:c r="T24" s="20" t="n">
        <x:v>15</x:v>
      </x:c>
      <x:c r="U24" s="19" t="str">
        <x:v>https://www.mlit.go.jp/koku/content/002016480.xlsx</x:v>
      </x:c>
      <x:c r="V24" s="18" t="str">
        <x:v>空港管理状況調書 N1052</x:v>
      </x:c>
      <x:c r="W24" s="19" t="str">
        <x:v>https://www.kumamoto-airport.co.jp/ACCESS/</x:v>
      </x:c>
      <x:c r="X24" s="18" t="str">
        <x:v>transport-node:4a6c26c4-92b7-552b-b523-c36de73a274c</x:v>
      </x:c>
      <x:c r="Y24" s="18" t="str">
        <x:v>否</x:v>
      </x:c>
      <x:c r="Z24" s="19" t="str">
        <x:v>达到年度门槛，待验收</x:v>
      </x:c>
      <x:c r="AA24" s="20" t="n">
        <x:v>1000</x:v>
      </x:c>
    </x:row>
    <x:row r="25" ht="33" customHeight="1">
      <x:c r="A25" s="18" t="str">
        <x:v>大分</x:v>
      </x:c>
      <x:c r="B25" s="18" t="str">
        <x:v>A</x:v>
      </x:c>
      <x:c r="C25" s="19" t="str">
        <x:v>待审核</x:v>
      </x:c>
      <x:c r="D25" s="19" t="str">
        <x:v>T1</x:v>
      </x:c>
      <x:c r="E25" s="20" t="n">
        <x:v>1972872</x:v>
      </x:c>
      <x:c r="F25" s="18" t="str">
        <x:v>FY2025</x:v>
      </x:c>
      <x:c r="G25" s="18" t="str">
        <x:v>passengers/year</x:v>
      </x:c>
      <x:c r="H25" s="18" t="str">
        <x:v>已核指南</x:v>
      </x:c>
      <x:c r="I25" s="20" t="n">
        <x:v>0</x:v>
      </x:c>
      <x:c r="J25" s="19" t="str">
        <x:v>OFF_AIRPORT_RAIL_TRANSFER_DOCUMENTED</x:v>
      </x:c>
      <x:c r="K25" s="19" t="str">
        <x:v>LISTED_CURRENT_OPERATION_NOT_INDEPENDENTLY_CONFIRMED</x:v>
      </x:c>
      <x:c r="L25" s="19" t="str">
        <x:v>国土交通大臣</x:v>
      </x:c>
      <x:c r="M25" s="19" t="str">
        <x:v>大分県国東市</x:v>
      </x:c>
      <x:c r="N25" s="19" t="str">
        <x:v>15時間（7:30～22:30）</x:v>
      </x:c>
      <x:c r="O25" s="19" t="str">
        <x:v>CURRENT_OPERATOR_TIMETABLE_REVIEW_REQUIRED</x:v>
      </x:c>
      <x:c r="P25" s="19" t="str">
        <x:v>Identity and annual usage audited; current service, v2 identity/lineage and inclusion acceptance remain open.</x:v>
      </x:c>
      <x:c r="Q25" s="19" t="str"/>
      <x:c r="R25" s="19" t="str">
        <x:v>https://www.mlit.go.jp/koku/15_bf_000310.html</x:v>
      </x:c>
      <x:c r="S25" s="19" t="str">
        <x:v>https://www.mlit.go.jp/koku/content/002021263.pdf</x:v>
      </x:c>
      <x:c r="T25" s="20" t="n">
        <x:v>16</x:v>
      </x:c>
      <x:c r="U25" s="19" t="str">
        <x:v>https://www.mlit.go.jp/koku/content/002016480.xlsx</x:v>
      </x:c>
      <x:c r="V25" s="18" t="str">
        <x:v>空港管理状況調書 N1106</x:v>
      </x:c>
      <x:c r="W25" s="19" t="str">
        <x:v>https://www.oita-airport.jp/access/jr.html</x:v>
      </x:c>
      <x:c r="X25" s="18" t="str">
        <x:v>transport-node:130b5876-1b9d-51e8-b8ac-715cfb04d935</x:v>
      </x:c>
      <x:c r="Y25" s="18" t="str">
        <x:v>否</x:v>
      </x:c>
      <x:c r="Z25" s="19" t="str">
        <x:v>达到年度门槛，待验收</x:v>
      </x:c>
      <x:c r="AA25" s="20" t="n">
        <x:v>1000</x:v>
      </x:c>
    </x:row>
    <x:row r="26" ht="33" customHeight="1">
      <x:c r="A26" s="18" t="str">
        <x:v>宮崎</x:v>
      </x:c>
      <x:c r="B26" s="18" t="str">
        <x:v>A</x:v>
      </x:c>
      <x:c r="C26" s="19" t="str">
        <x:v>待审核</x:v>
      </x:c>
      <x:c r="D26" s="19" t="str">
        <x:v>T1</x:v>
      </x:c>
      <x:c r="E26" s="20" t="n">
        <x:v>3402621</x:v>
      </x:c>
      <x:c r="F26" s="18" t="str">
        <x:v>FY2025</x:v>
      </x:c>
      <x:c r="G26" s="18" t="str">
        <x:v>passengers/year</x:v>
      </x:c>
      <x:c r="H26" s="18" t="str">
        <x:v>已核指南</x:v>
      </x:c>
      <x:c r="I26" s="20" t="n">
        <x:v>1</x:v>
      </x:c>
      <x:c r="J26" s="19" t="str">
        <x:v>CANDIDATES_PRESENT_FORMAL_ACCEPTANCE_PENDING</x:v>
      </x:c>
      <x:c r="K26" s="19" t="str">
        <x:v>LISTED_CURRENT_OPERATION_NOT_INDEPENDENTLY_CONFIRMED</x:v>
      </x:c>
      <x:c r="L26" s="19" t="str">
        <x:v>国土交通大臣</x:v>
      </x:c>
      <x:c r="M26" s="19" t="str">
        <x:v>宮崎県宮崎市</x:v>
      </x:c>
      <x:c r="N26" s="19" t="str">
        <x:v>14時間（7:30～21:30）</x:v>
      </x:c>
      <x:c r="O26" s="19" t="str">
        <x:v>CURRENT_OPERATOR_TIMETABLE_REVIEW_REQUIRED</x:v>
      </x:c>
      <x:c r="P26" s="19" t="str">
        <x:v>Identity and annual usage audited; current service, v2 identity/lineage and inclusion acceptance remain open.</x:v>
      </x:c>
      <x:c r="Q26" s="19" t="str"/>
      <x:c r="R26" s="19" t="str">
        <x:v>https://www.mlit.go.jp/koku/15_bf_000310.html</x:v>
      </x:c>
      <x:c r="S26" s="19" t="str">
        <x:v>https://www.mlit.go.jp/koku/content/002021263.pdf</x:v>
      </x:c>
      <x:c r="T26" s="20" t="n">
        <x:v>17</x:v>
      </x:c>
      <x:c r="U26" s="19" t="str">
        <x:v>https://www.mlit.go.jp/koku/content/002016480.xlsx</x:v>
      </x:c>
      <x:c r="V26" s="18" t="str">
        <x:v>空港管理状況調書 N1160</x:v>
      </x:c>
      <x:c r="W26" s="19" t="str">
        <x:v>https://www.miyazaki-airport.co.jp/access/train</x:v>
      </x:c>
      <x:c r="X26" s="18" t="str">
        <x:v>transport-node:85c76722-acf0-5328-a2aa-c59e275df490</x:v>
      </x:c>
      <x:c r="Y26" s="18" t="str">
        <x:v>否</x:v>
      </x:c>
      <x:c r="Z26" s="19" t="str">
        <x:v>达到年度门槛，待验收</x:v>
      </x:c>
      <x:c r="AA26" s="20" t="n">
        <x:v>1000</x:v>
      </x:c>
    </x:row>
    <x:row r="27" ht="33" customHeight="1">
      <x:c r="A27" s="18" t="str">
        <x:v>鹿児島</x:v>
      </x:c>
      <x:c r="B27" s="18" t="str">
        <x:v>A</x:v>
      </x:c>
      <x:c r="C27" s="19" t="str">
        <x:v>待审核</x:v>
      </x:c>
      <x:c r="D27" s="19" t="str">
        <x:v>T1</x:v>
      </x:c>
      <x:c r="E27" s="20" t="n">
        <x:v>5926530</x:v>
      </x:c>
      <x:c r="F27" s="18" t="str">
        <x:v>FY2025</x:v>
      </x:c>
      <x:c r="G27" s="18" t="str">
        <x:v>passengers/year</x:v>
      </x:c>
      <x:c r="H27" s="18" t="str">
        <x:v>已核指南</x:v>
      </x:c>
      <x:c r="I27" s="20" t="n">
        <x:v>0</x:v>
      </x:c>
      <x:c r="J27" s="19" t="str">
        <x:v>OFF_AIRPORT_RAIL_TRANSFER_DOCUMENTED</x:v>
      </x:c>
      <x:c r="K27" s="19" t="str">
        <x:v>LISTED_CURRENT_OPERATION_NOT_INDEPENDENTLY_CONFIRMED</x:v>
      </x:c>
      <x:c r="L27" s="19" t="str">
        <x:v>国土交通大臣</x:v>
      </x:c>
      <x:c r="M27" s="19" t="str">
        <x:v>鹿児島県霧島市</x:v>
      </x:c>
      <x:c r="N27" s="19" t="str">
        <x:v>15時間 （7:00～22:00）</x:v>
      </x:c>
      <x:c r="O27" s="19" t="str">
        <x:v>CURRENT_OPERATOR_TIMETABLE_REVIEW_REQUIRED</x:v>
      </x:c>
      <x:c r="P27" s="19" t="str">
        <x:v>Identity and annual usage audited; current service, v2 identity/lineage and inclusion acceptance remain open.</x:v>
      </x:c>
      <x:c r="Q27" s="19" t="str"/>
      <x:c r="R27" s="19" t="str">
        <x:v>https://www.mlit.go.jp/koku/15_bf_000310.html</x:v>
      </x:c>
      <x:c r="S27" s="19" t="str">
        <x:v>https://www.mlit.go.jp/koku/content/002021263.pdf</x:v>
      </x:c>
      <x:c r="T27" s="20" t="n">
        <x:v>18</x:v>
      </x:c>
      <x:c r="U27" s="19" t="str">
        <x:v>https://www.mlit.go.jp/koku/content/002016480.xlsx</x:v>
      </x:c>
      <x:c r="V27" s="18" t="str">
        <x:v>空港管理状況調書 N1214</x:v>
      </x:c>
      <x:c r="W27" s="19" t="str">
        <x:v>https://www.koj-ab.co.jp/ground-transportation/public-transportation-bus.html</x:v>
      </x:c>
      <x:c r="X27" s="18" t="str">
        <x:v>transport-node:5e6bcff1-037a-5e81-804a-88ef3eba96c4</x:v>
      </x:c>
      <x:c r="Y27" s="18" t="str">
        <x:v>否</x:v>
      </x:c>
      <x:c r="Z27" s="19" t="str">
        <x:v>达到年度门槛，待验收</x:v>
      </x:c>
      <x:c r="AA27" s="20" t="n">
        <x:v>1000</x:v>
      </x:c>
    </x:row>
    <x:row r="28" ht="33" customHeight="1">
      <x:c r="A28" s="18" t="str">
        <x:v>那覇</x:v>
      </x:c>
      <x:c r="B28" s="18" t="str">
        <x:v>A</x:v>
      </x:c>
      <x:c r="C28" s="19" t="str">
        <x:v>待审核</x:v>
      </x:c>
      <x:c r="D28" s="19" t="str">
        <x:v>T0</x:v>
      </x:c>
      <x:c r="E28" s="20" t="n">
        <x:v>23524878</x:v>
      </x:c>
      <x:c r="F28" s="18" t="str">
        <x:v>FY2025</x:v>
      </x:c>
      <x:c r="G28" s="18" t="str">
        <x:v>passengers/year</x:v>
      </x:c>
      <x:c r="H28" s="18" t="str">
        <x:v>已核指南</x:v>
      </x:c>
      <x:c r="I28" s="20" t="n">
        <x:v>1</x:v>
      </x:c>
      <x:c r="J28" s="19" t="str">
        <x:v>CANDIDATES_PRESENT_FORMAL_ACCEPTANCE_PENDING</x:v>
      </x:c>
      <x:c r="K28" s="19" t="str">
        <x:v>LISTED_CURRENT_OPERATION_NOT_INDEPENDENTLY_CONFIRMED</x:v>
      </x:c>
      <x:c r="L28" s="19" t="str">
        <x:v>国土交通大臣</x:v>
      </x:c>
      <x:c r="M28" s="19" t="str">
        <x:v>沖縄県那覇市</x:v>
      </x:c>
      <x:c r="N28" s="19" t="str">
        <x:v>24時間（24時間）</x:v>
      </x:c>
      <x:c r="O28" s="19" t="str">
        <x:v>CURRENT_OPERATOR_TIMETABLE_REVIEW_REQUIRED</x:v>
      </x:c>
      <x:c r="P28" s="19" t="str">
        <x:v>Identity and annual usage audited; current service, v2 identity/lineage and inclusion acceptance remain open.</x:v>
      </x:c>
      <x:c r="Q28" s="19" t="str"/>
      <x:c r="R28" s="19" t="str">
        <x:v>https://www.mlit.go.jp/koku/15_bf_000310.html</x:v>
      </x:c>
      <x:c r="S28" s="19" t="str">
        <x:v>https://www.mlit.go.jp/koku/content/002021263.pdf</x:v>
      </x:c>
      <x:c r="T28" s="20" t="n">
        <x:v>19</x:v>
      </x:c>
      <x:c r="U28" s="19" t="str">
        <x:v>https://www.mlit.go.jp/koku/content/002016480.xlsx</x:v>
      </x:c>
      <x:c r="V28" s="18" t="str">
        <x:v>空港管理状況調書 N1268</x:v>
      </x:c>
      <x:c r="W28" s="19" t="str">
        <x:v>https://www.naha-airport.co.jp/access/monorail/</x:v>
      </x:c>
      <x:c r="X28" s="18" t="str">
        <x:v>transport-node:506992d3-3d82-5e3a-9572-c3ab0c5269c4</x:v>
      </x:c>
      <x:c r="Y28" s="18" t="str">
        <x:v>否</x:v>
      </x:c>
      <x:c r="Z28" s="19" t="str">
        <x:v>达到年度门槛，待验收</x:v>
      </x:c>
      <x:c r="AA28" s="20" t="n">
        <x:v>1000</x:v>
      </x:c>
    </x:row>
    <x:row r="29" ht="33" customHeight="1">
      <x:c r="A29" s="18" t="str">
        <x:v>旭川</x:v>
      </x:c>
      <x:c r="B29" s="18" t="str">
        <x:v>A</x:v>
      </x:c>
      <x:c r="C29" s="19" t="str">
        <x:v>待审核</x:v>
      </x:c>
      <x:c r="D29" s="19" t="str">
        <x:v>T1</x:v>
      </x:c>
      <x:c r="E29" s="20" t="n">
        <x:v>1207025</x:v>
      </x:c>
      <x:c r="F29" s="18" t="str">
        <x:v>FY2025</x:v>
      </x:c>
      <x:c r="G29" s="18" t="str">
        <x:v>passengers/year</x:v>
      </x:c>
      <x:c r="H29" s="18" t="str">
        <x:v>已核指南</x:v>
      </x:c>
      <x:c r="I29" s="20" t="n">
        <x:v>0</x:v>
      </x:c>
      <x:c r="J29" s="19" t="str">
        <x:v>OFF_AIRPORT_RAIL_TRANSFER_DOCUMENTED</x:v>
      </x:c>
      <x:c r="K29" s="19" t="str">
        <x:v>LISTED_CURRENT_OPERATION_NOT_INDEPENDENTLY_CONFIRMED</x:v>
      </x:c>
      <x:c r="L29" s="19" t="str">
        <x:v>（設置者）国土交通大臣、（管理者）旭川市</x:v>
      </x:c>
      <x:c r="M29" s="19" t="str">
        <x:v>北海道上川郡東神楽町</x:v>
      </x:c>
      <x:c r="N29" s="19" t="str">
        <x:v>13時間（8:00～21:00）</x:v>
      </x:c>
      <x:c r="O29" s="19" t="str">
        <x:v>CURRENT_OPERATOR_TIMETABLE_REVIEW_REQUIRED</x:v>
      </x:c>
      <x:c r="P29" s="19" t="str">
        <x:v>Identity and annual usage audited; current service, v2 identity/lineage and inclusion acceptance remain open.</x:v>
      </x:c>
      <x:c r="Q29" s="19" t="str"/>
      <x:c r="R29" s="19" t="str">
        <x:v>https://www.mlit.go.jp/koku/15_bf_000310.html</x:v>
      </x:c>
      <x:c r="S29" s="19" t="str">
        <x:v>https://www.mlit.go.jp/koku/content/002021264.pdf</x:v>
      </x:c>
      <x:c r="T29" s="20" t="n">
        <x:v>1</x:v>
      </x:c>
      <x:c r="U29" s="19" t="str">
        <x:v>https://www.mlit.go.jp/koku/content/002016480.xlsx</x:v>
      </x:c>
      <x:c r="V29" s="18" t="str">
        <x:v>空港管理状況調書 N1376</x:v>
      </x:c>
      <x:c r="W29" s="19" t="str">
        <x:v>https://www.hokkaido-airports.com/ja/asahikawa/access/bus/</x:v>
      </x:c>
      <x:c r="X29" s="18" t="str">
        <x:v>transport-node:58140a28-f4d8-5524-8e01-ee6d07e35304</x:v>
      </x:c>
      <x:c r="Y29" s="18" t="str">
        <x:v>否</x:v>
      </x:c>
      <x:c r="Z29" s="19" t="str">
        <x:v>达到年度门槛，待验收</x:v>
      </x:c>
      <x:c r="AA29" s="20" t="n">
        <x:v>1000</x:v>
      </x:c>
    </x:row>
    <x:row r="30" ht="33" customHeight="1">
      <x:c r="A30" s="18" t="str">
        <x:v>帯広</x:v>
      </x:c>
      <x:c r="B30" s="18" t="str">
        <x:v>A</x:v>
      </x:c>
      <x:c r="C30" s="19" t="str">
        <x:v>待审核</x:v>
      </x:c>
      <x:c r="D30" s="19" t="str">
        <x:v>T2</x:v>
      </x:c>
      <x:c r="E30" s="20" t="n">
        <x:v>715872</x:v>
      </x:c>
      <x:c r="F30" s="18" t="str">
        <x:v>FY2025</x:v>
      </x:c>
      <x:c r="G30" s="18" t="str">
        <x:v>passengers/year</x:v>
      </x:c>
      <x:c r="H30" s="18" t="str">
        <x:v>已核指南</x:v>
      </x:c>
      <x:c r="I30" s="20" t="n">
        <x:v>0</x:v>
      </x:c>
      <x:c r="J30" s="19" t="str">
        <x:v>OFF_AIRPORT_RAIL_TRANSFER_DOCUMENTED</x:v>
      </x:c>
      <x:c r="K30" s="19" t="str">
        <x:v>LISTED_CURRENT_OPERATION_NOT_INDEPENDENTLY_CONFIRMED</x:v>
      </x:c>
      <x:c r="L30" s="19" t="str">
        <x:v>（設置者）国土交通大臣、（管理者）帯広市</x:v>
      </x:c>
      <x:c r="M30" s="19" t="str">
        <x:v>北海道帯広市</x:v>
      </x:c>
      <x:c r="N30" s="19" t="str">
        <x:v>13時間（8:00～21:00）</x:v>
      </x:c>
      <x:c r="O30" s="19" t="str">
        <x:v>CURRENT_OPERATOR_TIMETABLE_REVIEW_REQUIRED</x:v>
      </x:c>
      <x:c r="P30" s="19" t="str">
        <x:v>Identity and annual usage audited; current service, v2 identity/lineage and inclusion acceptance remain open.</x:v>
      </x:c>
      <x:c r="Q30" s="19" t="str"/>
      <x:c r="R30" s="19" t="str">
        <x:v>https://www.mlit.go.jp/koku/15_bf_000310.html</x:v>
      </x:c>
      <x:c r="S30" s="19" t="str">
        <x:v>https://www.mlit.go.jp/koku/content/002021264.pdf</x:v>
      </x:c>
      <x:c r="T30" s="20" t="n">
        <x:v>2</x:v>
      </x:c>
      <x:c r="U30" s="19" t="str">
        <x:v>https://www.mlit.go.jp/koku/content/002016480.xlsx</x:v>
      </x:c>
      <x:c r="V30" s="18" t="str">
        <x:v>空港管理状況調書 N1430</x:v>
      </x:c>
      <x:c r="W30" s="19" t="str">
        <x:v>https://www.hokkaido-airports.com/ja/obihiro/access/bus/</x:v>
      </x:c>
      <x:c r="X30" s="18" t="str">
        <x:v>transport-node:69798f02-fe68-5045-b796-c5623216284e</x:v>
      </x:c>
      <x:c r="Y30" s="18" t="str">
        <x:v>否</x:v>
      </x:c>
      <x:c r="Z30" s="19" t="str">
        <x:v>达到年度门槛，待验收</x:v>
      </x:c>
      <x:c r="AA30" s="20" t="n">
        <x:v>1000</x:v>
      </x:c>
    </x:row>
    <x:row r="31" ht="33" customHeight="1">
      <x:c r="A31" s="18" t="str">
        <x:v>秋田</x:v>
      </x:c>
      <x:c r="B31" s="18" t="str">
        <x:v>A</x:v>
      </x:c>
      <x:c r="C31" s="19" t="str">
        <x:v>待审核</x:v>
      </x:c>
      <x:c r="D31" s="19" t="str">
        <x:v>T1</x:v>
      </x:c>
      <x:c r="E31" s="20" t="n">
        <x:v>1284358</x:v>
      </x:c>
      <x:c r="F31" s="18" t="str">
        <x:v>FY2025</x:v>
      </x:c>
      <x:c r="G31" s="18" t="str">
        <x:v>passengers/year</x:v>
      </x:c>
      <x:c r="H31" s="18" t="str">
        <x:v>已核指南</x:v>
      </x:c>
      <x:c r="I31" s="20" t="n">
        <x:v>0</x:v>
      </x:c>
      <x:c r="J31" s="19" t="str">
        <x:v>OFF_AIRPORT_RAIL_TRANSFER_DOCUMENTED</x:v>
      </x:c>
      <x:c r="K31" s="19" t="str">
        <x:v>LISTED_CURRENT_OPERATION_NOT_INDEPENDENTLY_CONFIRMED</x:v>
      </x:c>
      <x:c r="L31" s="19" t="str">
        <x:v>（設置者）国土交通大臣、（管理者）秋田県</x:v>
      </x:c>
      <x:c r="M31" s="19" t="str">
        <x:v>秋田県秋田市</x:v>
      </x:c>
      <x:c r="N31" s="19" t="str">
        <x:v>15時間（7:00～22:00）</x:v>
      </x:c>
      <x:c r="O31" s="19" t="str">
        <x:v>CURRENT_OPERATOR_TIMETABLE_REVIEW_REQUIRED</x:v>
      </x:c>
      <x:c r="P31" s="19" t="str">
        <x:v>Identity and annual usage audited; current service, v2 identity/lineage and inclusion acceptance remain open.</x:v>
      </x:c>
      <x:c r="Q31" s="19" t="str"/>
      <x:c r="R31" s="19" t="str">
        <x:v>https://www.mlit.go.jp/koku/15_bf_000310.html</x:v>
      </x:c>
      <x:c r="S31" s="19" t="str">
        <x:v>https://www.mlit.go.jp/koku/content/002021264.pdf</x:v>
      </x:c>
      <x:c r="T31" s="20" t="n">
        <x:v>3</x:v>
      </x:c>
      <x:c r="U31" s="19" t="str">
        <x:v>https://www.mlit.go.jp/koku/content/002016480.xlsx</x:v>
      </x:c>
      <x:c r="V31" s="18" t="str">
        <x:v>空港管理状況調書 N1484</x:v>
      </x:c>
      <x:c r="W31" s="19" t="str">
        <x:v>https://www.akita-airport.com/pages/access</x:v>
      </x:c>
      <x:c r="X31" s="18" t="str">
        <x:v>transport-node:8d87ee3a-7f0b-541e-b717-9cd0baf1844c</x:v>
      </x:c>
      <x:c r="Y31" s="18" t="str">
        <x:v>否</x:v>
      </x:c>
      <x:c r="Z31" s="19" t="str">
        <x:v>达到年度门槛，待验收</x:v>
      </x:c>
      <x:c r="AA31" s="20" t="n">
        <x:v>1000</x:v>
      </x:c>
    </x:row>
    <x:row r="32" ht="33" customHeight="1">
      <x:c r="A32" s="18" t="str">
        <x:v>山形</x:v>
      </x:c>
      <x:c r="B32" s="18" t="str">
        <x:v>A</x:v>
      </x:c>
      <x:c r="C32" s="19" t="str">
        <x:v>待审核</x:v>
      </x:c>
      <x:c r="D32" s="19" t="str">
        <x:v>T2</x:v>
      </x:c>
      <x:c r="E32" s="20" t="n">
        <x:v>365949</x:v>
      </x:c>
      <x:c r="F32" s="18" t="str">
        <x:v>FY2025</x:v>
      </x:c>
      <x:c r="G32" s="18" t="str">
        <x:v>passengers/year</x:v>
      </x:c>
      <x:c r="H32" s="18" t="str">
        <x:v>已核指南</x:v>
      </x:c>
      <x:c r="I32" s="20" t="n">
        <x:v>0</x:v>
      </x:c>
      <x:c r="J32" s="19" t="str">
        <x:v>OFF_AIRPORT_RAIL_TRANSFER_DOCUMENTED</x:v>
      </x:c>
      <x:c r="K32" s="19" t="str">
        <x:v>LISTED_CURRENT_OPERATION_NOT_INDEPENDENTLY_CONFIRMED</x:v>
      </x:c>
      <x:c r="L32" s="19" t="str">
        <x:v>（設置者）国土交通大臣、（管理者）山形県</x:v>
      </x:c>
      <x:c r="M32" s="19" t="str">
        <x:v>山形県東根市</x:v>
      </x:c>
      <x:c r="N32" s="19" t="str">
        <x:v>12時間（8:00～20:00）</x:v>
      </x:c>
      <x:c r="O32" s="19" t="str">
        <x:v>CURRENT_OPERATOR_TIMETABLE_REVIEW_REQUIRED</x:v>
      </x:c>
      <x:c r="P32" s="19" t="str">
        <x:v>Identity and annual usage audited; current service, v2 identity/lineage and inclusion acceptance remain open.</x:v>
      </x:c>
      <x:c r="Q32" s="19" t="str"/>
      <x:c r="R32" s="19" t="str">
        <x:v>https://www.mlit.go.jp/koku/15_bf_000310.html</x:v>
      </x:c>
      <x:c r="S32" s="19" t="str">
        <x:v>https://www.mlit.go.jp/koku/content/002021264.pdf</x:v>
      </x:c>
      <x:c r="T32" s="20" t="n">
        <x:v>4</x:v>
      </x:c>
      <x:c r="U32" s="19" t="str">
        <x:v>https://www.mlit.go.jp/koku/content/002016480.xlsx</x:v>
      </x:c>
      <x:c r="V32" s="18" t="str">
        <x:v>空港管理状況調書 N1538</x:v>
      </x:c>
      <x:c r="W32" s="19" t="str">
        <x:v>https://www.yamagata-airport.co.jp/access/train.html</x:v>
      </x:c>
      <x:c r="X32" s="18" t="str">
        <x:v>transport-node:717612ec-e655-5ac0-855a-d2afaf8ab1c0</x:v>
      </x:c>
      <x:c r="Y32" s="18" t="str">
        <x:v>否</x:v>
      </x:c>
      <x:c r="Z32" s="19" t="str">
        <x:v>达到年度门槛，待验收</x:v>
      </x:c>
      <x:c r="AA32" s="20" t="n">
        <x:v>1000</x:v>
      </x:c>
    </x:row>
    <x:row r="33" ht="33" customHeight="1">
      <x:c r="A33" s="18" t="str">
        <x:v>山口宇部</x:v>
      </x:c>
      <x:c r="B33" s="18" t="str">
        <x:v>A</x:v>
      </x:c>
      <x:c r="C33" s="19" t="str">
        <x:v>待审核</x:v>
      </x:c>
      <x:c r="D33" s="19" t="str">
        <x:v>T2</x:v>
      </x:c>
      <x:c r="E33" s="20" t="n">
        <x:v>876017</x:v>
      </x:c>
      <x:c r="F33" s="18" t="str">
        <x:v>FY2025</x:v>
      </x:c>
      <x:c r="G33" s="18" t="str">
        <x:v>passengers/year</x:v>
      </x:c>
      <x:c r="H33" s="18" t="str">
        <x:v>已核指南</x:v>
      </x:c>
      <x:c r="I33" s="20" t="n">
        <x:v>1</x:v>
      </x:c>
      <x:c r="J33" s="19" t="str">
        <x:v>CANDIDATES_PRESENT_FORMAL_ACCEPTANCE_PENDING</x:v>
      </x:c>
      <x:c r="K33" s="19" t="str">
        <x:v>LISTED_CURRENT_OPERATION_NOT_INDEPENDENTLY_CONFIRMED</x:v>
      </x:c>
      <x:c r="L33" s="19" t="str">
        <x:v>（設置者）国土交通大臣、（管理者）山口県</x:v>
      </x:c>
      <x:c r="M33" s="19" t="str">
        <x:v>山口県宇部市</x:v>
      </x:c>
      <x:c r="N33" s="19" t="str">
        <x:v>14時間（7:30～21:30）</x:v>
      </x:c>
      <x:c r="O33" s="19" t="str">
        <x:v>CURRENT_OPERATOR_TIMETABLE_REVIEW_REQUIRED</x:v>
      </x:c>
      <x:c r="P33" s="19" t="str">
        <x:v>Identity and annual usage audited; current service, v2 identity/lineage and inclusion acceptance remain open.</x:v>
      </x:c>
      <x:c r="Q33" s="19" t="str"/>
      <x:c r="R33" s="19" t="str">
        <x:v>https://www.mlit.go.jp/koku/15_bf_000310.html</x:v>
      </x:c>
      <x:c r="S33" s="19" t="str">
        <x:v>https://www.mlit.go.jp/koku/content/002021264.pdf</x:v>
      </x:c>
      <x:c r="T33" s="20" t="n">
        <x:v>5</x:v>
      </x:c>
      <x:c r="U33" s="19" t="str">
        <x:v>https://www.mlit.go.jp/koku/content/002016480.xlsx</x:v>
      </x:c>
      <x:c r="V33" s="18" t="str">
        <x:v>空港管理状況調書 N1592</x:v>
      </x:c>
      <x:c r="W33" s="19" t="str">
        <x:v>https://www.yamaguchiube-airport.jp/mapaccess/train/</x:v>
      </x:c>
      <x:c r="X33" s="18" t="str">
        <x:v>transport-node:bbbf31f1-fddf-5ada-9334-259ee13fce66</x:v>
      </x:c>
      <x:c r="Y33" s="18" t="str">
        <x:v>否</x:v>
      </x:c>
      <x:c r="Z33" s="19" t="str">
        <x:v>达到年度门槛，待验收</x:v>
      </x:c>
      <x:c r="AA33" s="20" t="n">
        <x:v>1000</x:v>
      </x:c>
    </x:row>
    <x:row r="34" ht="33" customHeight="1">
      <x:c r="A34" s="18" t="str">
        <x:v>利尻</x:v>
      </x:c>
      <x:c r="B34" s="18" t="str">
        <x:v>B</x:v>
      </x:c>
      <x:c r="C34" s="19" t="str">
        <x:v>待审核</x:v>
      </x:c>
      <x:c r="D34" s="19" t="str">
        <x:v>T3</x:v>
      </x:c>
      <x:c r="E34" s="20" t="n">
        <x:v>59444</x:v>
      </x:c>
      <x:c r="F34" s="18" t="str">
        <x:v>FY2025</x:v>
      </x:c>
      <x:c r="G34" s="18" t="str">
        <x:v>passengers/year</x:v>
      </x:c>
      <x:c r="H34" s="18" t="str">
        <x:v>待核</x:v>
      </x:c>
      <x:c r="I34" s="20"/>
      <x:c r="J34" s="19" t="str">
        <x:v>ACCESS_REVIEW_REQUIRED</x:v>
      </x:c>
      <x:c r="K34" s="19" t="str">
        <x:v>LISTED_CURRENT_OPERATION_NOT_INDEPENDENTLY_CONFIRMED</x:v>
      </x:c>
      <x:c r="L34" s="19" t="str">
        <x:v>北海道</x:v>
      </x:c>
      <x:c r="M34" s="19" t="str">
        <x:v>北海道利尻郡利尻富士町</x:v>
      </x:c>
      <x:c r="N34" s="19" t="str">
        <x:v>8時間（9:00～17:00）</x:v>
      </x:c>
      <x:c r="O34" s="19" t="str">
        <x:v>CURRENT_OPERATOR_TIMETABLE_REVIEW_REQUIRED</x:v>
      </x:c>
      <x:c r="P34" s="19" t="str">
        <x:v>Identity and annual usage audited; current service, v2 identity/lineage and inclusion acceptance remain open.</x:v>
      </x:c>
      <x:c r="Q34" s="19" t="str"/>
      <x:c r="R34" s="19" t="str">
        <x:v>https://www.mlit.go.jp/koku/15_bf_000310.html</x:v>
      </x:c>
      <x:c r="S34" s="19" t="str">
        <x:v>https://www.mlit.go.jp/koku/content/002021265.pdf</x:v>
      </x:c>
      <x:c r="T34" s="20" t="n">
        <x:v>1</x:v>
      </x:c>
      <x:c r="U34" s="19" t="str">
        <x:v>https://www.mlit.go.jp/koku/content/002016480.xlsx</x:v>
      </x:c>
      <x:c r="V34" s="18" t="str">
        <x:v>空港管理状況調書 N1754</x:v>
      </x:c>
      <x:c r="W34" s="19"/>
      <x:c r="X34" s="18"/>
      <x:c r="Y34" s="18" t="str">
        <x:v>否</x:v>
      </x:c>
      <x:c r="Z34" s="19" t="str">
        <x:v>达到年度门槛，待验收</x:v>
      </x:c>
      <x:c r="AA34" s="20" t="n">
        <x:v>1000</x:v>
      </x:c>
    </x:row>
    <x:row r="35" ht="33" customHeight="1">
      <x:c r="A35" s="18" t="str">
        <x:v>礼文</x:v>
      </x:c>
      <x:c r="B35" s="18" t="str">
        <x:v>B</x:v>
      </x:c>
      <x:c r="C35" s="19" t="str">
        <x:v>停用/非活跃</x:v>
      </x:c>
      <x:c r="D35" s="19"/>
      <x:c r="E35" s="20" t="n">
        <x:v>0</x:v>
      </x:c>
      <x:c r="F35" s="18" t="str">
        <x:v>FY2025</x:v>
      </x:c>
      <x:c r="G35" s="18" t="str">
        <x:v>passengers/year</x:v>
      </x:c>
      <x:c r="H35" s="18" t="str">
        <x:v>待核</x:v>
      </x:c>
      <x:c r="I35" s="20"/>
      <x:c r="J35" s="19" t="str">
        <x:v>ACCESS_REVIEW_REQUIRED</x:v>
      </x:c>
      <x:c r="K35" s="19" t="str">
        <x:v>OFFICIALLY_SUSPENDED</x:v>
      </x:c>
      <x:c r="L35" s="19" t="str">
        <x:v>北海道</x:v>
      </x:c>
      <x:c r="M35" s="19" t="str">
        <x:v>北海道礼文郡礼文町</x:v>
      </x:c>
      <x:c r="N35" s="19" t="str">
        <x:v>供用休止中</x:v>
      </x:c>
      <x:c r="O35" s="19" t="str">
        <x:v>CURRENT_OPERATOR_TIMETABLE_REVIEW_REQUIRED</x:v>
      </x:c>
      <x:c r="P35" s="19" t="str">
        <x:v>MLIT current airport profile explicitly suspends operation through 2031-03-31.</x:v>
      </x:c>
      <x:c r="Q35" s="19" t="str">
        <x:v>{"page":2,"sha256":"6501bb23f80db462e58d6fd515304d1a0dd8456433eab65ea219297913c2d47a","url":"https://www.mlit.go.jp/koku/content/002021265.pdf"}</x:v>
      </x:c>
      <x:c r="R35" s="19" t="str">
        <x:v>https://www.mlit.go.jp/koku/15_bf_000310.html</x:v>
      </x:c>
      <x:c r="S35" s="19" t="str">
        <x:v>https://www.mlit.go.jp/koku/content/002021265.pdf</x:v>
      </x:c>
      <x:c r="T35" s="20" t="n">
        <x:v>2</x:v>
      </x:c>
      <x:c r="U35" s="19" t="str">
        <x:v>https://www.mlit.go.jp/koku/content/002016480.xlsx</x:v>
      </x:c>
      <x:c r="V35" s="18" t="str">
        <x:v>空港管理状況調書 N1808</x:v>
      </x:c>
      <x:c r="W35" s="19"/>
      <x:c r="X35" s="18"/>
      <x:c r="Y35" s="18" t="str">
        <x:v>否</x:v>
      </x:c>
      <x:c r="Z35" s="19" t="str">
        <x:v>排除：停用</x:v>
      </x:c>
      <x:c r="AA35" s="20" t="n">
        <x:v>1000</x:v>
      </x:c>
    </x:row>
    <x:row r="36" ht="33" customHeight="1">
      <x:c r="A36" s="18" t="str">
        <x:v>奥尻</x:v>
      </x:c>
      <x:c r="B36" s="18" t="str">
        <x:v>B</x:v>
      </x:c>
      <x:c r="C36" s="19" t="str">
        <x:v>待审核</x:v>
      </x:c>
      <x:c r="D36" s="19" t="str">
        <x:v>T3</x:v>
      </x:c>
      <x:c r="E36" s="20" t="n">
        <x:v>15785</x:v>
      </x:c>
      <x:c r="F36" s="18" t="str">
        <x:v>FY2025</x:v>
      </x:c>
      <x:c r="G36" s="18" t="str">
        <x:v>passengers/year</x:v>
      </x:c>
      <x:c r="H36" s="18" t="str">
        <x:v>待核</x:v>
      </x:c>
      <x:c r="I36" s="20"/>
      <x:c r="J36" s="19" t="str">
        <x:v>ACCESS_REVIEW_REQUIRED</x:v>
      </x:c>
      <x:c r="K36" s="19" t="str">
        <x:v>LISTED_CURRENT_OPERATION_NOT_INDEPENDENTLY_CONFIRMED</x:v>
      </x:c>
      <x:c r="L36" s="19" t="str">
        <x:v>北海道</x:v>
      </x:c>
      <x:c r="M36" s="19" t="str">
        <x:v>北海道奥尻郡奥尻町</x:v>
      </x:c>
      <x:c r="N36" s="19" t="str">
        <x:v>8時間（9:00～17:00）</x:v>
      </x:c>
      <x:c r="O36" s="19" t="str">
        <x:v>CURRENT_OPERATOR_TIMETABLE_REVIEW_REQUIRED</x:v>
      </x:c>
      <x:c r="P36" s="19" t="str">
        <x:v>Identity and annual usage audited; current service, v2 identity/lineage and inclusion acceptance remain open.</x:v>
      </x:c>
      <x:c r="Q36" s="19" t="str"/>
      <x:c r="R36" s="19" t="str">
        <x:v>https://www.mlit.go.jp/koku/15_bf_000310.html</x:v>
      </x:c>
      <x:c r="S36" s="19" t="str">
        <x:v>https://www.mlit.go.jp/koku/content/002021265.pdf</x:v>
      </x:c>
      <x:c r="T36" s="20" t="n">
        <x:v>3</x:v>
      </x:c>
      <x:c r="U36" s="19" t="str">
        <x:v>https://www.mlit.go.jp/koku/content/002016480.xlsx</x:v>
      </x:c>
      <x:c r="V36" s="18" t="str">
        <x:v>空港管理状況調書 N1862</x:v>
      </x:c>
      <x:c r="W36" s="19"/>
      <x:c r="X36" s="18"/>
      <x:c r="Y36" s="18" t="str">
        <x:v>否</x:v>
      </x:c>
      <x:c r="Z36" s="19" t="str">
        <x:v>达到年度门槛，待验收</x:v>
      </x:c>
      <x:c r="AA36" s="20" t="n">
        <x:v>1000</x:v>
      </x:c>
    </x:row>
    <x:row r="37" ht="33" customHeight="1">
      <x:c r="A37" s="18" t="str">
        <x:v>中標津</x:v>
      </x:c>
      <x:c r="B37" s="18" t="str">
        <x:v>B</x:v>
      </x:c>
      <x:c r="C37" s="19" t="str">
        <x:v>待审核</x:v>
      </x:c>
      <x:c r="D37" s="19" t="str">
        <x:v>T2</x:v>
      </x:c>
      <x:c r="E37" s="20" t="n">
        <x:v>244012</x:v>
      </x:c>
      <x:c r="F37" s="18" t="str">
        <x:v>FY2025</x:v>
      </x:c>
      <x:c r="G37" s="18" t="str">
        <x:v>passengers/year</x:v>
      </x:c>
      <x:c r="H37" s="18" t="str">
        <x:v>已核指南</x:v>
      </x:c>
      <x:c r="I37" s="20" t="n">
        <x:v>0</x:v>
      </x:c>
      <x:c r="J37" s="19" t="str">
        <x:v>GROUND_ACCESS_GUIDE_NO_RAIL_COMPONENT_LISTED</x:v>
      </x:c>
      <x:c r="K37" s="19" t="str">
        <x:v>LISTED_CURRENT_OPERATION_NOT_INDEPENDENTLY_CONFIRMED</x:v>
      </x:c>
      <x:c r="L37" s="19" t="str">
        <x:v>北海道</x:v>
      </x:c>
      <x:c r="M37" s="19" t="str">
        <x:v>北海道標津郡中標津町</x:v>
      </x:c>
      <x:c r="N37" s="19" t="str">
        <x:v>10時間 （8:30～18:30）</x:v>
      </x:c>
      <x:c r="O37" s="19" t="str">
        <x:v>CURRENT_OPERATOR_TIMETABLE_REVIEW_REQUIRED</x:v>
      </x:c>
      <x:c r="P37" s="19" t="str">
        <x:v>Identity and annual usage audited; current service, v2 identity/lineage and inclusion acceptance remain open.</x:v>
      </x:c>
      <x:c r="Q37" s="19" t="str"/>
      <x:c r="R37" s="19" t="str">
        <x:v>https://www.mlit.go.jp/koku/15_bf_000310.html</x:v>
      </x:c>
      <x:c r="S37" s="19" t="str">
        <x:v>https://www.mlit.go.jp/koku/content/002021265.pdf</x:v>
      </x:c>
      <x:c r="T37" s="20" t="n">
        <x:v>4</x:v>
      </x:c>
      <x:c r="U37" s="19" t="str">
        <x:v>https://www.mlit.go.jp/koku/content/002016480.xlsx</x:v>
      </x:c>
      <x:c r="V37" s="18" t="str">
        <x:v>空港管理状況調書 N1916</x:v>
      </x:c>
      <x:c r="W37" s="19" t="str">
        <x:v>https://www.nakashibetsu-airport.jp/faq.php</x:v>
      </x:c>
      <x:c r="X37" s="18" t="str">
        <x:v>transport-node:9f23c804-7fb9-508d-ace2-a1b4824cf3ab</x:v>
      </x:c>
      <x:c r="Y37" s="18" t="str">
        <x:v>否</x:v>
      </x:c>
      <x:c r="Z37" s="19" t="str">
        <x:v>达到年度门槛，待验收</x:v>
      </x:c>
      <x:c r="AA37" s="20" t="n">
        <x:v>1000</x:v>
      </x:c>
    </x:row>
    <x:row r="38" ht="33" customHeight="1">
      <x:c r="A38" s="18" t="str">
        <x:v>紋別</x:v>
      </x:c>
      <x:c r="B38" s="18" t="str">
        <x:v>B</x:v>
      </x:c>
      <x:c r="C38" s="19" t="str">
        <x:v>待审核</x:v>
      </x:c>
      <x:c r="D38" s="19" t="str">
        <x:v>T3</x:v>
      </x:c>
      <x:c r="E38" s="20" t="n">
        <x:v>75596</x:v>
      </x:c>
      <x:c r="F38" s="18" t="str">
        <x:v>FY2025</x:v>
      </x:c>
      <x:c r="G38" s="18" t="str">
        <x:v>passengers/year</x:v>
      </x:c>
      <x:c r="H38" s="18" t="str">
        <x:v>待核</x:v>
      </x:c>
      <x:c r="I38" s="20"/>
      <x:c r="J38" s="19" t="str">
        <x:v>ACCESS_REVIEW_REQUIRED</x:v>
      </x:c>
      <x:c r="K38" s="19" t="str">
        <x:v>LISTED_CURRENT_OPERATION_NOT_INDEPENDENTLY_CONFIRMED</x:v>
      </x:c>
      <x:c r="L38" s="19" t="str">
        <x:v>北海道</x:v>
      </x:c>
      <x:c r="M38" s="19" t="str">
        <x:v>北海道紋別市</x:v>
      </x:c>
      <x:c r="N38" s="19" t="str">
        <x:v>8時間（9:00～17:00）</x:v>
      </x:c>
      <x:c r="O38" s="19" t="str">
        <x:v>CURRENT_OPERATOR_TIMETABLE_REVIEW_REQUIRED</x:v>
      </x:c>
      <x:c r="P38" s="19" t="str">
        <x:v>Identity and annual usage audited; current service, v2 identity/lineage and inclusion acceptance remain open.</x:v>
      </x:c>
      <x:c r="Q38" s="19" t="str"/>
      <x:c r="R38" s="19" t="str">
        <x:v>https://www.mlit.go.jp/koku/15_bf_000310.html</x:v>
      </x:c>
      <x:c r="S38" s="19" t="str">
        <x:v>https://www.mlit.go.jp/koku/content/002021265.pdf</x:v>
      </x:c>
      <x:c r="T38" s="20" t="n">
        <x:v>5</x:v>
      </x:c>
      <x:c r="U38" s="19" t="str">
        <x:v>https://www.mlit.go.jp/koku/content/002016480.xlsx</x:v>
      </x:c>
      <x:c r="V38" s="18" t="str">
        <x:v>空港管理状況調書 N1970</x:v>
      </x:c>
      <x:c r="W38" s="19"/>
      <x:c r="X38" s="18"/>
      <x:c r="Y38" s="18" t="str">
        <x:v>否</x:v>
      </x:c>
      <x:c r="Z38" s="19" t="str">
        <x:v>达到年度门槛，待验收</x:v>
      </x:c>
      <x:c r="AA38" s="20" t="n">
        <x:v>1000</x:v>
      </x:c>
    </x:row>
    <x:row r="39" ht="33" customHeight="1">
      <x:c r="A39" s="18" t="str">
        <x:v>女満別</x:v>
      </x:c>
      <x:c r="B39" s="18" t="str">
        <x:v>B</x:v>
      </x:c>
      <x:c r="C39" s="19" t="str">
        <x:v>待审核</x:v>
      </x:c>
      <x:c r="D39" s="19" t="str">
        <x:v>T2</x:v>
      </x:c>
      <x:c r="E39" s="20" t="n">
        <x:v>845099</x:v>
      </x:c>
      <x:c r="F39" s="18" t="str">
        <x:v>FY2025</x:v>
      </x:c>
      <x:c r="G39" s="18" t="str">
        <x:v>passengers/year</x:v>
      </x:c>
      <x:c r="H39" s="18" t="str">
        <x:v>已核指南</x:v>
      </x:c>
      <x:c r="I39" s="20" t="n">
        <x:v>0</x:v>
      </x:c>
      <x:c r="J39" s="19" t="str">
        <x:v>OFF_AIRPORT_RAIL_TRANSFER_DOCUMENTED</x:v>
      </x:c>
      <x:c r="K39" s="19" t="str">
        <x:v>LISTED_CURRENT_OPERATION_NOT_INDEPENDENTLY_CONFIRMED</x:v>
      </x:c>
      <x:c r="L39" s="19" t="str">
        <x:v>北海道</x:v>
      </x:c>
      <x:c r="M39" s="19" t="str">
        <x:v>北海道網走郡大空町</x:v>
      </x:c>
      <x:c r="N39" s="19" t="str">
        <x:v>13時間（8:00～21:00）</x:v>
      </x:c>
      <x:c r="O39" s="19" t="str">
        <x:v>CURRENT_OPERATOR_TIMETABLE_REVIEW_REQUIRED</x:v>
      </x:c>
      <x:c r="P39" s="19" t="str">
        <x:v>Identity and annual usage audited; current service, v2 identity/lineage and inclusion acceptance remain open.</x:v>
      </x:c>
      <x:c r="Q39" s="19" t="str"/>
      <x:c r="R39" s="19" t="str">
        <x:v>https://www.mlit.go.jp/koku/15_bf_000310.html</x:v>
      </x:c>
      <x:c r="S39" s="19" t="str">
        <x:v>https://www.mlit.go.jp/koku/content/002021265.pdf</x:v>
      </x:c>
      <x:c r="T39" s="20" t="n">
        <x:v>6</x:v>
      </x:c>
      <x:c r="U39" s="19" t="str">
        <x:v>https://www.mlit.go.jp/koku/content/002016480.xlsx</x:v>
      </x:c>
      <x:c r="V39" s="18" t="str">
        <x:v>空港管理状況調書 N2024</x:v>
      </x:c>
      <x:c r="W39" s="19" t="str">
        <x:v>https://www.hokkaido-airports.com/ja/memanbetsu/access/</x:v>
      </x:c>
      <x:c r="X39" s="18" t="str">
        <x:v>transport-node:eaecd1fe-280d-59c0-b4f2-b60319ca2374</x:v>
      </x:c>
      <x:c r="Y39" s="18" t="str">
        <x:v>否</x:v>
      </x:c>
      <x:c r="Z39" s="19" t="str">
        <x:v>达到年度门槛，待验收</x:v>
      </x:c>
      <x:c r="AA39" s="20" t="n">
        <x:v>1000</x:v>
      </x:c>
    </x:row>
    <x:row r="40" ht="33" customHeight="1">
      <x:c r="A40" s="18" t="str">
        <x:v>青森</x:v>
      </x:c>
      <x:c r="B40" s="18" t="str">
        <x:v>B</x:v>
      </x:c>
      <x:c r="C40" s="19" t="str">
        <x:v>待审核</x:v>
      </x:c>
      <x:c r="D40" s="19" t="str">
        <x:v>T1</x:v>
      </x:c>
      <x:c r="E40" s="20" t="n">
        <x:v>1327111</x:v>
      </x:c>
      <x:c r="F40" s="18" t="str">
        <x:v>FY2025</x:v>
      </x:c>
      <x:c r="G40" s="18" t="str">
        <x:v>passengers/year</x:v>
      </x:c>
      <x:c r="H40" s="18" t="str">
        <x:v>已核指南</x:v>
      </x:c>
      <x:c r="I40" s="20" t="n">
        <x:v>0</x:v>
      </x:c>
      <x:c r="J40" s="19" t="str">
        <x:v>OFF_AIRPORT_RAIL_TRANSFER_DOCUMENTED</x:v>
      </x:c>
      <x:c r="K40" s="19" t="str">
        <x:v>LISTED_CURRENT_OPERATION_NOT_INDEPENDENTLY_CONFIRMED</x:v>
      </x:c>
      <x:c r="L40" s="19" t="str">
        <x:v>青森県</x:v>
      </x:c>
      <x:c r="M40" s="19" t="str">
        <x:v>青森県青森市</x:v>
      </x:c>
      <x:c r="N40" s="19" t="str">
        <x:v>14.5時間（7:30～22:00）</x:v>
      </x:c>
      <x:c r="O40" s="19" t="str">
        <x:v>CURRENT_OPERATOR_TIMETABLE_REVIEW_REQUIRED</x:v>
      </x:c>
      <x:c r="P40" s="19" t="str">
        <x:v>Identity and annual usage audited; current service, v2 identity/lineage and inclusion acceptance remain open.</x:v>
      </x:c>
      <x:c r="Q40" s="19" t="str"/>
      <x:c r="R40" s="19" t="str">
        <x:v>https://www.mlit.go.jp/koku/15_bf_000310.html</x:v>
      </x:c>
      <x:c r="S40" s="19" t="str">
        <x:v>https://www.mlit.go.jp/koku/content/002021265.pdf</x:v>
      </x:c>
      <x:c r="T40" s="20" t="n">
        <x:v>7</x:v>
      </x:c>
      <x:c r="U40" s="19" t="str">
        <x:v>https://www.mlit.go.jp/koku/content/002016480.xlsx</x:v>
      </x:c>
      <x:c r="V40" s="18" t="str">
        <x:v>空港管理状況調書 N2078</x:v>
      </x:c>
      <x:c r="W40" s="19" t="str">
        <x:v>https://www.aomori-airport.co.jp/access/timetable_bus</x:v>
      </x:c>
      <x:c r="X40" s="18" t="str">
        <x:v>transport-node:45ab138f-704f-51c1-a4f7-db3a5f19b9b8</x:v>
      </x:c>
      <x:c r="Y40" s="18" t="str">
        <x:v>否</x:v>
      </x:c>
      <x:c r="Z40" s="19" t="str">
        <x:v>达到年度门槛，待验收</x:v>
      </x:c>
      <x:c r="AA40" s="20" t="n">
        <x:v>1000</x:v>
      </x:c>
    </x:row>
    <x:row r="41" ht="33" customHeight="1">
      <x:c r="A41" s="18" t="str">
        <x:v>花巻</x:v>
      </x:c>
      <x:c r="B41" s="18" t="str">
        <x:v>B</x:v>
      </x:c>
      <x:c r="C41" s="19" t="str">
        <x:v>待审核</x:v>
      </x:c>
      <x:c r="D41" s="19" t="str">
        <x:v>T2</x:v>
      </x:c>
      <x:c r="E41" s="20" t="n">
        <x:v>490317</x:v>
      </x:c>
      <x:c r="F41" s="18" t="str">
        <x:v>FY2025</x:v>
      </x:c>
      <x:c r="G41" s="18" t="str">
        <x:v>passengers/year</x:v>
      </x:c>
      <x:c r="H41" s="18" t="str">
        <x:v>待核</x:v>
      </x:c>
      <x:c r="I41" s="20"/>
      <x:c r="J41" s="19" t="str">
        <x:v>ACCESS_REVIEW_REQUIRED</x:v>
      </x:c>
      <x:c r="K41" s="19" t="str">
        <x:v>LISTED_CURRENT_OPERATION_NOT_INDEPENDENTLY_CONFIRMED</x:v>
      </x:c>
      <x:c r="L41" s="19" t="str">
        <x:v>岩手県</x:v>
      </x:c>
      <x:c r="M41" s="19" t="str">
        <x:v>岩手県花巻市</x:v>
      </x:c>
      <x:c r="N41" s="19" t="str">
        <x:v>11.5時間（8:00～19:30）</x:v>
      </x:c>
      <x:c r="O41" s="19" t="str">
        <x:v>CURRENT_OPERATOR_TIMETABLE_REVIEW_REQUIRED</x:v>
      </x:c>
      <x:c r="P41" s="19" t="str">
        <x:v>Identity and annual usage audited; current service, v2 identity/lineage and inclusion acceptance remain open.</x:v>
      </x:c>
      <x:c r="Q41" s="19" t="str"/>
      <x:c r="R41" s="19" t="str">
        <x:v>https://www.mlit.go.jp/koku/15_bf_000310.html</x:v>
      </x:c>
      <x:c r="S41" s="19" t="str">
        <x:v>https://www.mlit.go.jp/koku/content/002021265.pdf</x:v>
      </x:c>
      <x:c r="T41" s="20" t="n">
        <x:v>8</x:v>
      </x:c>
      <x:c r="U41" s="19" t="str">
        <x:v>https://www.mlit.go.jp/koku/content/002016480.xlsx</x:v>
      </x:c>
      <x:c r="V41" s="18" t="str">
        <x:v>空港管理状況調書 N2132</x:v>
      </x:c>
      <x:c r="W41" s="19"/>
      <x:c r="X41" s="18"/>
      <x:c r="Y41" s="18" t="str">
        <x:v>否</x:v>
      </x:c>
      <x:c r="Z41" s="19" t="str">
        <x:v>达到年度门槛，待验收</x:v>
      </x:c>
      <x:c r="AA41" s="20" t="n">
        <x:v>1000</x:v>
      </x:c>
    </x:row>
    <x:row r="42" ht="33" customHeight="1">
      <x:c r="A42" s="18" t="str">
        <x:v>大館能代</x:v>
      </x:c>
      <x:c r="B42" s="18" t="str">
        <x:v>B</x:v>
      </x:c>
      <x:c r="C42" s="19" t="str">
        <x:v>待审核</x:v>
      </x:c>
      <x:c r="D42" s="19" t="str">
        <x:v>T2</x:v>
      </x:c>
      <x:c r="E42" s="20" t="n">
        <x:v>201844</x:v>
      </x:c>
      <x:c r="F42" s="18" t="str">
        <x:v>FY2025</x:v>
      </x:c>
      <x:c r="G42" s="18" t="str">
        <x:v>passengers/year</x:v>
      </x:c>
      <x:c r="H42" s="18" t="str">
        <x:v>待核</x:v>
      </x:c>
      <x:c r="I42" s="20"/>
      <x:c r="J42" s="19" t="str">
        <x:v>ACCESS_REVIEW_REQUIRED</x:v>
      </x:c>
      <x:c r="K42" s="19" t="str">
        <x:v>LISTED_CURRENT_OPERATION_NOT_INDEPENDENTLY_CONFIRMED</x:v>
      </x:c>
      <x:c r="L42" s="19" t="str">
        <x:v>秋田県</x:v>
      </x:c>
      <x:c r="M42" s="19" t="str">
        <x:v>秋田県北秋田市</x:v>
      </x:c>
      <x:c r="N42" s="19" t="str">
        <x:v>11.5時間（8:00～19:30）</x:v>
      </x:c>
      <x:c r="O42" s="19" t="str">
        <x:v>CURRENT_OPERATOR_TIMETABLE_REVIEW_REQUIRED</x:v>
      </x:c>
      <x:c r="P42" s="19" t="str">
        <x:v>Identity and annual usage audited; current service, v2 identity/lineage and inclusion acceptance remain open.</x:v>
      </x:c>
      <x:c r="Q42" s="19" t="str"/>
      <x:c r="R42" s="19" t="str">
        <x:v>https://www.mlit.go.jp/koku/15_bf_000310.html</x:v>
      </x:c>
      <x:c r="S42" s="19" t="str">
        <x:v>https://www.mlit.go.jp/koku/content/002021265.pdf</x:v>
      </x:c>
      <x:c r="T42" s="20" t="n">
        <x:v>9</x:v>
      </x:c>
      <x:c r="U42" s="19" t="str">
        <x:v>https://www.mlit.go.jp/koku/content/002016480.xlsx</x:v>
      </x:c>
      <x:c r="V42" s="18" t="str">
        <x:v>空港管理状況調書 N2186</x:v>
      </x:c>
      <x:c r="W42" s="19"/>
      <x:c r="X42" s="18"/>
      <x:c r="Y42" s="18" t="str">
        <x:v>否</x:v>
      </x:c>
      <x:c r="Z42" s="19" t="str">
        <x:v>达到年度门槛，待验收</x:v>
      </x:c>
      <x:c r="AA42" s="20" t="n">
        <x:v>1000</x:v>
      </x:c>
    </x:row>
    <x:row r="43" ht="33" customHeight="1">
      <x:c r="A43" s="18" t="str">
        <x:v>庄内</x:v>
      </x:c>
      <x:c r="B43" s="18" t="str">
        <x:v>B</x:v>
      </x:c>
      <x:c r="C43" s="19" t="str">
        <x:v>待审核</x:v>
      </x:c>
      <x:c r="D43" s="19" t="str">
        <x:v>T2</x:v>
      </x:c>
      <x:c r="E43" s="20" t="n">
        <x:v>377635</x:v>
      </x:c>
      <x:c r="F43" s="18" t="str">
        <x:v>FY2025</x:v>
      </x:c>
      <x:c r="G43" s="18" t="str">
        <x:v>passengers/year</x:v>
      </x:c>
      <x:c r="H43" s="18" t="str">
        <x:v>待核</x:v>
      </x:c>
      <x:c r="I43" s="20"/>
      <x:c r="J43" s="19" t="str">
        <x:v>ACCESS_REVIEW_REQUIRED</x:v>
      </x:c>
      <x:c r="K43" s="19" t="str">
        <x:v>LISTED_CURRENT_OPERATION_NOT_INDEPENDENTLY_CONFIRMED</x:v>
      </x:c>
      <x:c r="L43" s="19" t="str">
        <x:v>山形県</x:v>
      </x:c>
      <x:c r="M43" s="19" t="str">
        <x:v>山形県酒田市</x:v>
      </x:c>
      <x:c r="N43" s="19" t="str">
        <x:v>15時間（7:00～22:00）</x:v>
      </x:c>
      <x:c r="O43" s="19" t="str">
        <x:v>CURRENT_OPERATOR_TIMETABLE_REVIEW_REQUIRED</x:v>
      </x:c>
      <x:c r="P43" s="19" t="str">
        <x:v>Identity and annual usage audited; current service, v2 identity/lineage and inclusion acceptance remain open.</x:v>
      </x:c>
      <x:c r="Q43" s="19" t="str"/>
      <x:c r="R43" s="19" t="str">
        <x:v>https://www.mlit.go.jp/koku/15_bf_000310.html</x:v>
      </x:c>
      <x:c r="S43" s="19" t="str">
        <x:v>https://www.mlit.go.jp/koku/content/002021265.pdf</x:v>
      </x:c>
      <x:c r="T43" s="20" t="n">
        <x:v>10</x:v>
      </x:c>
      <x:c r="U43" s="19" t="str">
        <x:v>https://www.mlit.go.jp/koku/content/002016480.xlsx</x:v>
      </x:c>
      <x:c r="V43" s="18" t="str">
        <x:v>空港管理状況調書 N2240</x:v>
      </x:c>
      <x:c r="W43" s="19"/>
      <x:c r="X43" s="18"/>
      <x:c r="Y43" s="18" t="str">
        <x:v>否</x:v>
      </x:c>
      <x:c r="Z43" s="19" t="str">
        <x:v>达到年度门槛，待验收</x:v>
      </x:c>
      <x:c r="AA43" s="20" t="n">
        <x:v>1000</x:v>
      </x:c>
    </x:row>
    <x:row r="44" ht="33" customHeight="1">
      <x:c r="A44" s="18" t="str">
        <x:v>福島</x:v>
      </x:c>
      <x:c r="B44" s="18" t="str">
        <x:v>B</x:v>
      </x:c>
      <x:c r="C44" s="19" t="str">
        <x:v>待审核</x:v>
      </x:c>
      <x:c r="D44" s="19" t="str">
        <x:v>T2</x:v>
      </x:c>
      <x:c r="E44" s="20" t="n">
        <x:v>284296</x:v>
      </x:c>
      <x:c r="F44" s="18" t="str">
        <x:v>FY2025</x:v>
      </x:c>
      <x:c r="G44" s="18" t="str">
        <x:v>passengers/year</x:v>
      </x:c>
      <x:c r="H44" s="18" t="str">
        <x:v>待核</x:v>
      </x:c>
      <x:c r="I44" s="20"/>
      <x:c r="J44" s="19" t="str">
        <x:v>ACCESS_REVIEW_REQUIRED</x:v>
      </x:c>
      <x:c r="K44" s="19" t="str">
        <x:v>LISTED_CURRENT_OPERATION_NOT_INDEPENDENTLY_CONFIRMED</x:v>
      </x:c>
      <x:c r="L44" s="19" t="str">
        <x:v>福島県</x:v>
      </x:c>
      <x:c r="M44" s="19" t="str">
        <x:v>福島県石川郡玉川村</x:v>
      </x:c>
      <x:c r="N44" s="19" t="str">
        <x:v>13時間（8:00～21:00）</x:v>
      </x:c>
      <x:c r="O44" s="19" t="str">
        <x:v>CURRENT_OPERATOR_TIMETABLE_REVIEW_REQUIRED</x:v>
      </x:c>
      <x:c r="P44" s="19" t="str">
        <x:v>Identity and annual usage audited; current service, v2 identity/lineage and inclusion acceptance remain open.</x:v>
      </x:c>
      <x:c r="Q44" s="19" t="str"/>
      <x:c r="R44" s="19" t="str">
        <x:v>https://www.mlit.go.jp/koku/15_bf_000310.html</x:v>
      </x:c>
      <x:c r="S44" s="19" t="str">
        <x:v>https://www.mlit.go.jp/koku/content/002021265.pdf</x:v>
      </x:c>
      <x:c r="T44" s="20" t="n">
        <x:v>11</x:v>
      </x:c>
      <x:c r="U44" s="19" t="str">
        <x:v>https://www.mlit.go.jp/koku/content/002016480.xlsx</x:v>
      </x:c>
      <x:c r="V44" s="18" t="str">
        <x:v>空港管理状況調書 N2294</x:v>
      </x:c>
      <x:c r="W44" s="19"/>
      <x:c r="X44" s="18"/>
      <x:c r="Y44" s="18" t="str">
        <x:v>否</x:v>
      </x:c>
      <x:c r="Z44" s="19" t="str">
        <x:v>达到年度门槛，待验收</x:v>
      </x:c>
      <x:c r="AA44" s="20" t="n">
        <x:v>1000</x:v>
      </x:c>
    </x:row>
    <x:row r="45" ht="33" customHeight="1">
      <x:c r="A45" s="18" t="str">
        <x:v>大島</x:v>
      </x:c>
      <x:c r="B45" s="18" t="str">
        <x:v>B</x:v>
      </x:c>
      <x:c r="C45" s="19" t="str">
        <x:v>待审核</x:v>
      </x:c>
      <x:c r="D45" s="19" t="str">
        <x:v>T3</x:v>
      </x:c>
      <x:c r="E45" s="20" t="n">
        <x:v>24788</x:v>
      </x:c>
      <x:c r="F45" s="18" t="str">
        <x:v>FY2025</x:v>
      </x:c>
      <x:c r="G45" s="18" t="str">
        <x:v>passengers/year</x:v>
      </x:c>
      <x:c r="H45" s="18" t="str">
        <x:v>待核</x:v>
      </x:c>
      <x:c r="I45" s="20"/>
      <x:c r="J45" s="19" t="str">
        <x:v>ACCESS_REVIEW_REQUIRED</x:v>
      </x:c>
      <x:c r="K45" s="19" t="str">
        <x:v>LISTED_CURRENT_OPERATION_NOT_INDEPENDENTLY_CONFIRMED</x:v>
      </x:c>
      <x:c r="L45" s="19" t="str">
        <x:v>東京都</x:v>
      </x:c>
      <x:c r="M45" s="19" t="str">
        <x:v>東京都大島支庁管内大島町</x:v>
      </x:c>
      <x:c r="N45" s="19" t="str">
        <x:v>8時間（8:30～16:30）</x:v>
      </x:c>
      <x:c r="O45" s="19" t="str">
        <x:v>CURRENT_OPERATOR_TIMETABLE_REVIEW_REQUIRED</x:v>
      </x:c>
      <x:c r="P45" s="19" t="str">
        <x:v>Identity and annual usage audited; current service, v2 identity/lineage and inclusion acceptance remain open.</x:v>
      </x:c>
      <x:c r="Q45" s="19" t="str"/>
      <x:c r="R45" s="19" t="str">
        <x:v>https://www.mlit.go.jp/koku/15_bf_000310.html</x:v>
      </x:c>
      <x:c r="S45" s="19" t="str">
        <x:v>https://www.mlit.go.jp/koku/content/002021265.pdf</x:v>
      </x:c>
      <x:c r="T45" s="20" t="n">
        <x:v>12</x:v>
      </x:c>
      <x:c r="U45" s="19" t="str">
        <x:v>https://www.mlit.go.jp/koku/content/002016480.xlsx</x:v>
      </x:c>
      <x:c r="V45" s="18" t="str">
        <x:v>空港管理状況調書 N2348</x:v>
      </x:c>
      <x:c r="W45" s="19"/>
      <x:c r="X45" s="18"/>
      <x:c r="Y45" s="18" t="str">
        <x:v>否</x:v>
      </x:c>
      <x:c r="Z45" s="19" t="str">
        <x:v>达到年度门槛，待验收</x:v>
      </x:c>
      <x:c r="AA45" s="20" t="n">
        <x:v>1000</x:v>
      </x:c>
    </x:row>
    <x:row r="46" ht="33" customHeight="1">
      <x:c r="A46" s="18" t="str">
        <x:v>新島</x:v>
      </x:c>
      <x:c r="B46" s="18" t="str">
        <x:v>B</x:v>
      </x:c>
      <x:c r="C46" s="19" t="str">
        <x:v>待审核</x:v>
      </x:c>
      <x:c r="D46" s="19" t="str">
        <x:v>T3</x:v>
      </x:c>
      <x:c r="E46" s="20" t="n">
        <x:v>34004</x:v>
      </x:c>
      <x:c r="F46" s="18" t="str">
        <x:v>FY2025</x:v>
      </x:c>
      <x:c r="G46" s="18" t="str">
        <x:v>passengers/year</x:v>
      </x:c>
      <x:c r="H46" s="18" t="str">
        <x:v>待核</x:v>
      </x:c>
      <x:c r="I46" s="20"/>
      <x:c r="J46" s="19" t="str">
        <x:v>ACCESS_REVIEW_REQUIRED</x:v>
      </x:c>
      <x:c r="K46" s="19" t="str">
        <x:v>LISTED_CURRENT_OPERATION_NOT_INDEPENDENTLY_CONFIRMED</x:v>
      </x:c>
      <x:c r="L46" s="19" t="str">
        <x:v>東京都</x:v>
      </x:c>
      <x:c r="M46" s="19" t="str">
        <x:v>東京都大島支庁管内新島村</x:v>
      </x:c>
      <x:c r="N46" s="19" t="str">
        <x:v>8時間（8:30～16:30）</x:v>
      </x:c>
      <x:c r="O46" s="19" t="str">
        <x:v>CURRENT_OPERATOR_TIMETABLE_REVIEW_REQUIRED</x:v>
      </x:c>
      <x:c r="P46" s="19" t="str">
        <x:v>Identity and annual usage audited; current service, v2 identity/lineage and inclusion acceptance remain open.</x:v>
      </x:c>
      <x:c r="Q46" s="19" t="str"/>
      <x:c r="R46" s="19" t="str">
        <x:v>https://www.mlit.go.jp/koku/15_bf_000310.html</x:v>
      </x:c>
      <x:c r="S46" s="19" t="str">
        <x:v>https://www.mlit.go.jp/koku/content/002021265.pdf</x:v>
      </x:c>
      <x:c r="T46" s="20" t="n">
        <x:v>13</x:v>
      </x:c>
      <x:c r="U46" s="19" t="str">
        <x:v>https://www.mlit.go.jp/koku/content/002016480.xlsx</x:v>
      </x:c>
      <x:c r="V46" s="18" t="str">
        <x:v>空港管理状況調書 N2402</x:v>
      </x:c>
      <x:c r="W46" s="19"/>
      <x:c r="X46" s="18"/>
      <x:c r="Y46" s="18" t="str">
        <x:v>否</x:v>
      </x:c>
      <x:c r="Z46" s="19" t="str">
        <x:v>达到年度门槛，待验收</x:v>
      </x:c>
      <x:c r="AA46" s="20" t="n">
        <x:v>1000</x:v>
      </x:c>
    </x:row>
    <x:row r="47" ht="33" customHeight="1">
      <x:c r="A47" s="18" t="str">
        <x:v>神津島</x:v>
      </x:c>
      <x:c r="B47" s="18" t="str">
        <x:v>B</x:v>
      </x:c>
      <x:c r="C47" s="19" t="str">
        <x:v>待审核</x:v>
      </x:c>
      <x:c r="D47" s="19" t="str">
        <x:v>T3</x:v>
      </x:c>
      <x:c r="E47" s="20" t="n">
        <x:v>25431</x:v>
      </x:c>
      <x:c r="F47" s="18" t="str">
        <x:v>FY2025</x:v>
      </x:c>
      <x:c r="G47" s="18" t="str">
        <x:v>passengers/year</x:v>
      </x:c>
      <x:c r="H47" s="18" t="str">
        <x:v>待核</x:v>
      </x:c>
      <x:c r="I47" s="20"/>
      <x:c r="J47" s="19" t="str">
        <x:v>ACCESS_REVIEW_REQUIRED</x:v>
      </x:c>
      <x:c r="K47" s="19" t="str">
        <x:v>LISTED_CURRENT_OPERATION_NOT_INDEPENDENTLY_CONFIRMED</x:v>
      </x:c>
      <x:c r="L47" s="19" t="str">
        <x:v>東京都</x:v>
      </x:c>
      <x:c r="M47" s="19" t="str">
        <x:v>東京都大島支庁管内神津島村</x:v>
      </x:c>
      <x:c r="N47" s="19" t="str">
        <x:v>8時間（8:30～16:30）</x:v>
      </x:c>
      <x:c r="O47" s="19" t="str">
        <x:v>CURRENT_OPERATOR_TIMETABLE_REVIEW_REQUIRED</x:v>
      </x:c>
      <x:c r="P47" s="19" t="str">
        <x:v>Identity and annual usage audited; current service, v2 identity/lineage and inclusion acceptance remain open.</x:v>
      </x:c>
      <x:c r="Q47" s="19" t="str"/>
      <x:c r="R47" s="19" t="str">
        <x:v>https://www.mlit.go.jp/koku/15_bf_000310.html</x:v>
      </x:c>
      <x:c r="S47" s="19" t="str">
        <x:v>https://www.mlit.go.jp/koku/content/002021265.pdf</x:v>
      </x:c>
      <x:c r="T47" s="20" t="n">
        <x:v>14</x:v>
      </x:c>
      <x:c r="U47" s="19" t="str">
        <x:v>https://www.mlit.go.jp/koku/content/002016480.xlsx</x:v>
      </x:c>
      <x:c r="V47" s="18" t="str">
        <x:v>空港管理状況調書 N2456</x:v>
      </x:c>
      <x:c r="W47" s="19"/>
      <x:c r="X47" s="18"/>
      <x:c r="Y47" s="18" t="str">
        <x:v>否</x:v>
      </x:c>
      <x:c r="Z47" s="19" t="str">
        <x:v>达到年度门槛，待验收</x:v>
      </x:c>
      <x:c r="AA47" s="20" t="n">
        <x:v>1000</x:v>
      </x:c>
    </x:row>
    <x:row r="48" ht="33" customHeight="1">
      <x:c r="A48" s="18" t="str">
        <x:v>三宅島</x:v>
      </x:c>
      <x:c r="B48" s="18" t="str">
        <x:v>B</x:v>
      </x:c>
      <x:c r="C48" s="19" t="str">
        <x:v>待审核</x:v>
      </x:c>
      <x:c r="D48" s="19" t="str">
        <x:v>T3</x:v>
      </x:c>
      <x:c r="E48" s="20" t="n">
        <x:v>28040</x:v>
      </x:c>
      <x:c r="F48" s="18" t="str">
        <x:v>FY2025</x:v>
      </x:c>
      <x:c r="G48" s="18" t="str">
        <x:v>passengers/year</x:v>
      </x:c>
      <x:c r="H48" s="18" t="str">
        <x:v>待核</x:v>
      </x:c>
      <x:c r="I48" s="20"/>
      <x:c r="J48" s="19" t="str">
        <x:v>ACCESS_REVIEW_REQUIRED</x:v>
      </x:c>
      <x:c r="K48" s="19" t="str">
        <x:v>LISTED_CURRENT_OPERATION_NOT_INDEPENDENTLY_CONFIRMED</x:v>
      </x:c>
      <x:c r="L48" s="19" t="str">
        <x:v>東京都</x:v>
      </x:c>
      <x:c r="M48" s="19" t="str">
        <x:v>東京都三宅支庁管内三宅村</x:v>
      </x:c>
      <x:c r="N48" s="19" t="str">
        <x:v>8時間（9:00～17:00）</x:v>
      </x:c>
      <x:c r="O48" s="19" t="str">
        <x:v>CURRENT_OPERATOR_TIMETABLE_REVIEW_REQUIRED</x:v>
      </x:c>
      <x:c r="P48" s="19" t="str">
        <x:v>Identity and annual usage audited; current service, v2 identity/lineage and inclusion acceptance remain open.</x:v>
      </x:c>
      <x:c r="Q48" s="19" t="str"/>
      <x:c r="R48" s="19" t="str">
        <x:v>https://www.mlit.go.jp/koku/15_bf_000310.html</x:v>
      </x:c>
      <x:c r="S48" s="19" t="str">
        <x:v>https://www.mlit.go.jp/koku/content/002021265.pdf</x:v>
      </x:c>
      <x:c r="T48" s="20" t="n">
        <x:v>15</x:v>
      </x:c>
      <x:c r="U48" s="19" t="str">
        <x:v>https://www.mlit.go.jp/koku/content/002016480.xlsx</x:v>
      </x:c>
      <x:c r="V48" s="18" t="str">
        <x:v>空港管理状況調書 N2510</x:v>
      </x:c>
      <x:c r="W48" s="19"/>
      <x:c r="X48" s="18"/>
      <x:c r="Y48" s="18" t="str">
        <x:v>否</x:v>
      </x:c>
      <x:c r="Z48" s="19" t="str">
        <x:v>达到年度门槛，待验收</x:v>
      </x:c>
      <x:c r="AA48" s="20" t="n">
        <x:v>1000</x:v>
      </x:c>
    </x:row>
    <x:row r="49" ht="33" customHeight="1">
      <x:c r="A49" s="18" t="str">
        <x:v>八丈島</x:v>
      </x:c>
      <x:c r="B49" s="18" t="str">
        <x:v>B</x:v>
      </x:c>
      <x:c r="C49" s="19" t="str">
        <x:v>待审核</x:v>
      </x:c>
      <x:c r="D49" s="19" t="str">
        <x:v>T2</x:v>
      </x:c>
      <x:c r="E49" s="20" t="n">
        <x:v>211412</x:v>
      </x:c>
      <x:c r="F49" s="18" t="str">
        <x:v>FY2025</x:v>
      </x:c>
      <x:c r="G49" s="18" t="str">
        <x:v>passengers/year</x:v>
      </x:c>
      <x:c r="H49" s="18" t="str">
        <x:v>已核指南</x:v>
      </x:c>
      <x:c r="I49" s="20" t="n">
        <x:v>0</x:v>
      </x:c>
      <x:c r="J49" s="19" t="str">
        <x:v>GROUND_ACCESS_GUIDE_NO_RAIL_COMPONENT_LISTED</x:v>
      </x:c>
      <x:c r="K49" s="19" t="str">
        <x:v>LISTED_CURRENT_OPERATION_NOT_INDEPENDENTLY_CONFIRMED</x:v>
      </x:c>
      <x:c r="L49" s="19" t="str">
        <x:v>東京都</x:v>
      </x:c>
      <x:c r="M49" s="19" t="str">
        <x:v>東京都八丈支庁管内八丈町</x:v>
      </x:c>
      <x:c r="N49" s="19" t="str">
        <x:v>10時間（8:00～18:00）</x:v>
      </x:c>
      <x:c r="O49" s="19" t="str">
        <x:v>CURRENT_OPERATOR_TIMETABLE_REVIEW_REQUIRED</x:v>
      </x:c>
      <x:c r="P49" s="19" t="str">
        <x:v>Identity and annual usage audited; current service, v2 identity/lineage and inclusion acceptance remain open.</x:v>
      </x:c>
      <x:c r="Q49" s="19" t="str"/>
      <x:c r="R49" s="19" t="str">
        <x:v>https://www.mlit.go.jp/koku/15_bf_000310.html</x:v>
      </x:c>
      <x:c r="S49" s="19" t="str">
        <x:v>https://www.mlit.go.jp/koku/content/002021265.pdf</x:v>
      </x:c>
      <x:c r="T49" s="20" t="n">
        <x:v>16</x:v>
      </x:c>
      <x:c r="U49" s="19" t="str">
        <x:v>https://www.mlit.go.jp/koku/content/002016480.xlsx</x:v>
      </x:c>
      <x:c r="V49" s="18" t="str">
        <x:v>空港管理状況調書 N2564</x:v>
      </x:c>
      <x:c r="W49" s="19" t="str">
        <x:v>https://hachijoapo.net/access</x:v>
      </x:c>
      <x:c r="X49" s="18" t="str">
        <x:v>transport-node:9a55f8a8-6e00-5c21-8cdb-eb11825997dc</x:v>
      </x:c>
      <x:c r="Y49" s="18" t="str">
        <x:v>否</x:v>
      </x:c>
      <x:c r="Z49" s="19" t="str">
        <x:v>达到年度门槛，待验收</x:v>
      </x:c>
      <x:c r="AA49" s="20" t="n">
        <x:v>1000</x:v>
      </x:c>
    </x:row>
    <x:row r="50" ht="61" customHeight="1">
      <x:c r="A50" s="18" t="str">
        <x:v>佐渡</x:v>
      </x:c>
      <x:c r="B50" s="18" t="str">
        <x:v>B</x:v>
      </x:c>
      <x:c r="C50" s="19" t="str">
        <x:v>暂缓：规划相关性不足</x:v>
      </x:c>
      <x:c r="D50" s="19"/>
      <x:c r="E50" s="20" t="n">
        <x:v>0</x:v>
      </x:c>
      <x:c r="F50" s="18" t="str">
        <x:v>FY2025</x:v>
      </x:c>
      <x:c r="G50" s="18" t="str">
        <x:v>passengers/year</x:v>
      </x:c>
      <x:c r="H50" s="18" t="str">
        <x:v>待核</x:v>
      </x:c>
      <x:c r="I50" s="20"/>
      <x:c r="J50" s="19" t="str">
        <x:v>ACCESS_REVIEW_REQUIRED</x:v>
      </x:c>
      <x:c r="K50" s="19" t="str">
        <x:v>LISTED_CURRENT_OPERATION_NOT_INDEPENDENTLY_CONFIRMED</x:v>
      </x:c>
      <x:c r="L50" s="19" t="str">
        <x:v>新潟県</x:v>
      </x:c>
      <x:c r="M50" s="19" t="str">
        <x:v>新潟県佐渡市</x:v>
      </x:c>
      <x:c r="N50" s="19" t="str">
        <x:v>8.5時間（8:45～17:15）</x:v>
      </x:c>
      <x:c r="O50" s="19" t="str">
        <x:v>CURRENT_OPERATOR_TIMETABLE_REVIEW_REQUIRED</x:v>
      </x:c>
      <x:c r="P50" s="19" t="str">
        <x:v>Excluded from planning candidates by confirmed annual-passenger threshold (&lt;1000); this is not a closure finding.</x:v>
      </x:c>
      <x:c r="Q50" s="19" t="str">
        <x:v>{"sourceColumn":"N","sourceRow":2618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0}</x:v>
      </x:c>
      <x:c r="R50" s="19" t="str">
        <x:v>https://www.mlit.go.jp/koku/15_bf_000310.html</x:v>
      </x:c>
      <x:c r="S50" s="19" t="str">
        <x:v>https://www.mlit.go.jp/koku/content/002021265.pdf</x:v>
      </x:c>
      <x:c r="T50" s="20" t="n">
        <x:v>17</x:v>
      </x:c>
      <x:c r="U50" s="19" t="str">
        <x:v>https://www.mlit.go.jp/koku/content/002016480.xlsx</x:v>
      </x:c>
      <x:c r="V50" s="18" t="str">
        <x:v>空港管理状況調書 N2618</x:v>
      </x:c>
      <x:c r="W50" s="19"/>
      <x:c r="X50" s="18"/>
      <x:c r="Y50" s="18" t="str">
        <x:v>否</x:v>
      </x:c>
      <x:c r="Z50" s="19" t="str">
        <x:v>排除：年旅客少于1,000</x:v>
      </x:c>
      <x:c r="AA50" s="20" t="n">
        <x:v>1000</x:v>
      </x:c>
    </x:row>
    <x:row r="51" ht="33" customHeight="1">
      <x:c r="A51" s="18" t="str">
        <x:v>富山</x:v>
      </x:c>
      <x:c r="B51" s="18" t="str">
        <x:v>B</x:v>
      </x:c>
      <x:c r="C51" s="19" t="str">
        <x:v>待审核</x:v>
      </x:c>
      <x:c r="D51" s="19" t="str">
        <x:v>T2</x:v>
      </x:c>
      <x:c r="E51" s="20" t="n">
        <x:v>379306</x:v>
      </x:c>
      <x:c r="F51" s="18" t="str">
        <x:v>FY2025</x:v>
      </x:c>
      <x:c r="G51" s="18" t="str">
        <x:v>passengers/year</x:v>
      </x:c>
      <x:c r="H51" s="18" t="str">
        <x:v>已核指南</x:v>
      </x:c>
      <x:c r="I51" s="20" t="n">
        <x:v>0</x:v>
      </x:c>
      <x:c r="J51" s="19" t="str">
        <x:v>OFF_AIRPORT_RAIL_TRANSFER_DOCUMENTED</x:v>
      </x:c>
      <x:c r="K51" s="19" t="str">
        <x:v>LISTED_CURRENT_OPERATION_NOT_INDEPENDENTLY_CONFIRMED</x:v>
      </x:c>
      <x:c r="L51" s="19" t="str">
        <x:v>富山県</x:v>
      </x:c>
      <x:c r="M51" s="19" t="str">
        <x:v>富山県富山市</x:v>
      </x:c>
      <x:c r="N51" s="19" t="str">
        <x:v>14.5時間 （7:00～21:30）</x:v>
      </x:c>
      <x:c r="O51" s="19" t="str">
        <x:v>CURRENT_OPERATOR_TIMETABLE_REVIEW_REQUIRED</x:v>
      </x:c>
      <x:c r="P51" s="19" t="str">
        <x:v>Identity and annual usage audited; current service, v2 identity/lineage and inclusion acceptance remain open.</x:v>
      </x:c>
      <x:c r="Q51" s="19" t="str"/>
      <x:c r="R51" s="19" t="str">
        <x:v>https://www.mlit.go.jp/koku/15_bf_000310.html</x:v>
      </x:c>
      <x:c r="S51" s="19" t="str">
        <x:v>https://www.mlit.go.jp/koku/content/002021265.pdf</x:v>
      </x:c>
      <x:c r="T51" s="20" t="n">
        <x:v>18</x:v>
      </x:c>
      <x:c r="U51" s="19" t="str">
        <x:v>https://www.mlit.go.jp/koku/content/002016480.xlsx</x:v>
      </x:c>
      <x:c r="V51" s="18" t="str">
        <x:v>空港管理状況調書 N2672</x:v>
      </x:c>
      <x:c r="W51" s="19" t="str">
        <x:v>https://www.toyama-airport.co.jp/access</x:v>
      </x:c>
      <x:c r="X51" s="18" t="str">
        <x:v>transport-node:f948ed3d-6230-5390-ad73-0142348174e1</x:v>
      </x:c>
      <x:c r="Y51" s="18" t="str">
        <x:v>否</x:v>
      </x:c>
      <x:c r="Z51" s="19" t="str">
        <x:v>达到年度门槛，待验收</x:v>
      </x:c>
      <x:c r="AA51" s="20" t="n">
        <x:v>1000</x:v>
      </x:c>
    </x:row>
    <x:row r="52" ht="33" customHeight="1">
      <x:c r="A52" s="18" t="str">
        <x:v>能登</x:v>
      </x:c>
      <x:c r="B52" s="18" t="str">
        <x:v>B</x:v>
      </x:c>
      <x:c r="C52" s="19" t="str">
        <x:v>待审核</x:v>
      </x:c>
      <x:c r="D52" s="19" t="str">
        <x:v>T2</x:v>
      </x:c>
      <x:c r="E52" s="20" t="n">
        <x:v>131399</x:v>
      </x:c>
      <x:c r="F52" s="18" t="str">
        <x:v>FY2025</x:v>
      </x:c>
      <x:c r="G52" s="18" t="str">
        <x:v>passengers/year</x:v>
      </x:c>
      <x:c r="H52" s="18" t="str">
        <x:v>待核</x:v>
      </x:c>
      <x:c r="I52" s="20"/>
      <x:c r="J52" s="19" t="str">
        <x:v>ACCESS_REVIEW_REQUIRED</x:v>
      </x:c>
      <x:c r="K52" s="19" t="str">
        <x:v>LISTED_CURRENT_OPERATION_NOT_INDEPENDENTLY_CONFIRMED</x:v>
      </x:c>
      <x:c r="L52" s="19" t="str">
        <x:v>石川県</x:v>
      </x:c>
      <x:c r="M52" s="19" t="str">
        <x:v>石川県鳳珠郡穴水町</x:v>
      </x:c>
      <x:c r="N52" s="19" t="str">
        <x:v>11.5時間 （8:00～19:30）</x:v>
      </x:c>
      <x:c r="O52" s="19" t="str">
        <x:v>CURRENT_OPERATOR_TIMETABLE_REVIEW_REQUIRED</x:v>
      </x:c>
      <x:c r="P52" s="19" t="str">
        <x:v>Identity and annual usage audited; current service, v2 identity/lineage and inclusion acceptance remain open.</x:v>
      </x:c>
      <x:c r="Q52" s="19" t="str"/>
      <x:c r="R52" s="19" t="str">
        <x:v>https://www.mlit.go.jp/koku/15_bf_000310.html</x:v>
      </x:c>
      <x:c r="S52" s="19" t="str">
        <x:v>https://www.mlit.go.jp/koku/content/002021265.pdf</x:v>
      </x:c>
      <x:c r="T52" s="20" t="n">
        <x:v>19</x:v>
      </x:c>
      <x:c r="U52" s="19" t="str">
        <x:v>https://www.mlit.go.jp/koku/content/002016480.xlsx</x:v>
      </x:c>
      <x:c r="V52" s="18" t="str">
        <x:v>空港管理状況調書 N2726</x:v>
      </x:c>
      <x:c r="W52" s="19"/>
      <x:c r="X52" s="18"/>
      <x:c r="Y52" s="18" t="str">
        <x:v>否</x:v>
      </x:c>
      <x:c r="Z52" s="19" t="str">
        <x:v>达到年度门槛，待验收</x:v>
      </x:c>
      <x:c r="AA52" s="20" t="n">
        <x:v>1000</x:v>
      </x:c>
    </x:row>
    <x:row r="53" ht="75" customHeight="1">
      <x:c r="A53" s="18" t="str">
        <x:v>福井</x:v>
      </x:c>
      <x:c r="B53" s="18" t="str">
        <x:v>B</x:v>
      </x:c>
      <x:c r="C53" s="19" t="str">
        <x:v>暂缓：规划相关性不足</x:v>
      </x:c>
      <x:c r="D53" s="19"/>
      <x:c r="E53" s="20" t="n">
        <x:v>53</x:v>
      </x:c>
      <x:c r="F53" s="18" t="str">
        <x:v>FY2025</x:v>
      </x:c>
      <x:c r="G53" s="18" t="str">
        <x:v>passengers/year</x:v>
      </x:c>
      <x:c r="H53" s="18" t="str">
        <x:v>待核</x:v>
      </x:c>
      <x:c r="I53" s="20"/>
      <x:c r="J53" s="19" t="str">
        <x:v>ACCESS_REVIEW_REQUIRED</x:v>
      </x:c>
      <x:c r="K53" s="19" t="str">
        <x:v>LISTED_CURRENT_OPERATION_NOT_INDEPENDENTLY_CONFIRMED</x:v>
      </x:c>
      <x:c r="L53" s="19" t="str">
        <x:v>福井県</x:v>
      </x:c>
      <x:c r="M53" s="19" t="str">
        <x:v>福井県坂井市</x:v>
      </x:c>
      <x:c r="N53" s="19" t="str">
        <x:v>8時間 （9:00～17:00）</x:v>
      </x:c>
      <x:c r="O53" s="19" t="str">
        <x:v>CURRENT_OPERATOR_TIMETABLE_REVIEW_REQUIRED</x:v>
      </x:c>
      <x:c r="P53" s="19" t="str">
        <x:v>Excluded from planning candidates by confirmed annual-passenger threshold (&lt;1000); this is not a closure finding.</x:v>
      </x:c>
      <x:c r="Q53" s="19" t="str">
        <x:v>{"url":"https://www.pref.fukui.lg.jp/doc/fukui-airport/index.html"}
{"sourceColumn":"N","sourceRow":2780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53}</x:v>
      </x:c>
      <x:c r="R53" s="19" t="str">
        <x:v>https://www.mlit.go.jp/koku/15_bf_000310.html</x:v>
      </x:c>
      <x:c r="S53" s="19" t="str">
        <x:v>https://www.mlit.go.jp/koku/content/002021265.pdf</x:v>
      </x:c>
      <x:c r="T53" s="20" t="n">
        <x:v>20</x:v>
      </x:c>
      <x:c r="U53" s="19" t="str">
        <x:v>https://www.mlit.go.jp/koku/content/002016480.xlsx</x:v>
      </x:c>
      <x:c r="V53" s="18" t="str">
        <x:v>空港管理状況調書 N2780</x:v>
      </x:c>
      <x:c r="W53" s="19"/>
      <x:c r="X53" s="18"/>
      <x:c r="Y53" s="18" t="str">
        <x:v>否</x:v>
      </x:c>
      <x:c r="Z53" s="19" t="str">
        <x:v>排除：年旅客少于1,000</x:v>
      </x:c>
      <x:c r="AA53" s="20" t="n">
        <x:v>1000</x:v>
      </x:c>
    </x:row>
    <x:row r="54" ht="33" customHeight="1">
      <x:c r="A54" s="18" t="str">
        <x:v>松本</x:v>
      </x:c>
      <x:c r="B54" s="18" t="str">
        <x:v>B</x:v>
      </x:c>
      <x:c r="C54" s="19" t="str">
        <x:v>待审核</x:v>
      </x:c>
      <x:c r="D54" s="19" t="str">
        <x:v>T2</x:v>
      </x:c>
      <x:c r="E54" s="20" t="n">
        <x:v>248963</x:v>
      </x:c>
      <x:c r="F54" s="18" t="str">
        <x:v>FY2025</x:v>
      </x:c>
      <x:c r="G54" s="18" t="str">
        <x:v>passengers/year</x:v>
      </x:c>
      <x:c r="H54" s="18" t="str">
        <x:v>已核指南</x:v>
      </x:c>
      <x:c r="I54" s="20" t="n">
        <x:v>0</x:v>
      </x:c>
      <x:c r="J54" s="19" t="str">
        <x:v>OFF_AIRPORT_RAIL_TRANSFER_DOCUMENTED</x:v>
      </x:c>
      <x:c r="K54" s="19" t="str">
        <x:v>LISTED_CURRENT_OPERATION_NOT_INDEPENDENTLY_CONFIRMED</x:v>
      </x:c>
      <x:c r="L54" s="19" t="str">
        <x:v>長野県</x:v>
      </x:c>
      <x:c r="M54" s="19" t="str">
        <x:v>長野県松本市</x:v>
      </x:c>
      <x:c r="N54" s="19" t="str">
        <x:v>10.5時間 （8:30～19:00）</x:v>
      </x:c>
      <x:c r="O54" s="19" t="str">
        <x:v>CURRENT_OPERATOR_TIMETABLE_REVIEW_REQUIRED</x:v>
      </x:c>
      <x:c r="P54" s="19" t="str">
        <x:v>Identity and annual usage audited; current service, v2 identity/lineage and inclusion acceptance remain open.</x:v>
      </x:c>
      <x:c r="Q54" s="19" t="str"/>
      <x:c r="R54" s="19" t="str">
        <x:v>https://www.mlit.go.jp/koku/15_bf_000310.html</x:v>
      </x:c>
      <x:c r="S54" s="19" t="str">
        <x:v>https://www.mlit.go.jp/koku/content/002021265.pdf</x:v>
      </x:c>
      <x:c r="T54" s="20" t="n">
        <x:v>21</x:v>
      </x:c>
      <x:c r="U54" s="19" t="str">
        <x:v>https://www.mlit.go.jp/koku/content/002016480.xlsx</x:v>
      </x:c>
      <x:c r="V54" s="18" t="str">
        <x:v>空港管理状況調書 N2834</x:v>
      </x:c>
      <x:c r="W54" s="19" t="str">
        <x:v>https://www.matsumoto-airport.co.jp/access/bus</x:v>
      </x:c>
      <x:c r="X54" s="18" t="str">
        <x:v>transport-node:15b146de-08df-5dd9-ace7-877cc110be9d</x:v>
      </x:c>
      <x:c r="Y54" s="18" t="str">
        <x:v>否</x:v>
      </x:c>
      <x:c r="Z54" s="19" t="str">
        <x:v>达到年度门槛，待验收</x:v>
      </x:c>
      <x:c r="AA54" s="20" t="n">
        <x:v>1000</x:v>
      </x:c>
    </x:row>
    <x:row r="55" ht="33" customHeight="1">
      <x:c r="A55" s="18" t="str">
        <x:v>静岡</x:v>
      </x:c>
      <x:c r="B55" s="18" t="str">
        <x:v>B</x:v>
      </x:c>
      <x:c r="C55" s="19" t="str">
        <x:v>待审核</x:v>
      </x:c>
      <x:c r="D55" s="19" t="str">
        <x:v>T2</x:v>
      </x:c>
      <x:c r="E55" s="20" t="n">
        <x:v>722688</x:v>
      </x:c>
      <x:c r="F55" s="18" t="str">
        <x:v>FY2025</x:v>
      </x:c>
      <x:c r="G55" s="18" t="str">
        <x:v>passengers/year</x:v>
      </x:c>
      <x:c r="H55" s="18" t="str">
        <x:v>已核指南</x:v>
      </x:c>
      <x:c r="I55" s="20" t="n">
        <x:v>0</x:v>
      </x:c>
      <x:c r="J55" s="19" t="str">
        <x:v>OFF_AIRPORT_RAIL_TRANSFER_DOCUMENTED</x:v>
      </x:c>
      <x:c r="K55" s="19" t="str">
        <x:v>LISTED_CURRENT_OPERATION_NOT_INDEPENDENTLY_CONFIRMED</x:v>
      </x:c>
      <x:c r="L55" s="19" t="str">
        <x:v>静岡県</x:v>
      </x:c>
      <x:c r="M55" s="19" t="str">
        <x:v>静岡県牧之原市</x:v>
      </x:c>
      <x:c r="N55" s="19" t="str">
        <x:v>14.5時間（7:30～22:00）</x:v>
      </x:c>
      <x:c r="O55" s="19" t="str">
        <x:v>CURRENT_OPERATOR_TIMETABLE_REVIEW_REQUIRED</x:v>
      </x:c>
      <x:c r="P55" s="19" t="str">
        <x:v>Identity and annual usage audited; current service, v2 identity/lineage and inclusion acceptance remain open.</x:v>
      </x:c>
      <x:c r="Q55" s="19" t="str"/>
      <x:c r="R55" s="19" t="str">
        <x:v>https://www.mlit.go.jp/koku/15_bf_000310.html</x:v>
      </x:c>
      <x:c r="S55" s="19" t="str">
        <x:v>https://www.mlit.go.jp/koku/content/002021265.pdf</x:v>
      </x:c>
      <x:c r="T55" s="20" t="n">
        <x:v>22</x:v>
      </x:c>
      <x:c r="U55" s="19" t="str">
        <x:v>https://www.mlit.go.jp/koku/content/002016480.xlsx</x:v>
      </x:c>
      <x:c r="V55" s="18" t="str">
        <x:v>空港管理状況調書 N2888</x:v>
      </x:c>
      <x:c r="W55" s="19" t="str">
        <x:v>https://www.mtfuji-shizuokaairport.jp/support/contact/access/</x:v>
      </x:c>
      <x:c r="X55" s="18" t="str">
        <x:v>transport-node:6e4a29e1-46af-5d04-926f-d248759e7203</x:v>
      </x:c>
      <x:c r="Y55" s="18" t="str">
        <x:v>否</x:v>
      </x:c>
      <x:c r="Z55" s="19" t="str">
        <x:v>达到年度门槛，待验收</x:v>
      </x:c>
      <x:c r="AA55" s="20" t="n">
        <x:v>1000</x:v>
      </x:c>
    </x:row>
    <x:row r="56" ht="33" customHeight="1">
      <x:c r="A56" s="18" t="str">
        <x:v>神戸</x:v>
      </x:c>
      <x:c r="B56" s="18" t="str">
        <x:v>B</x:v>
      </x:c>
      <x:c r="C56" s="19" t="str">
        <x:v>待审核</x:v>
      </x:c>
      <x:c r="D56" s="19" t="str">
        <x:v>T1</x:v>
      </x:c>
      <x:c r="E56" s="20" t="n">
        <x:v>4172783</x:v>
      </x:c>
      <x:c r="F56" s="18" t="str">
        <x:v>FY2025</x:v>
      </x:c>
      <x:c r="G56" s="18" t="str">
        <x:v>passengers/year</x:v>
      </x:c>
      <x:c r="H56" s="18" t="str">
        <x:v>已核指南</x:v>
      </x:c>
      <x:c r="I56" s="20" t="n">
        <x:v>1</x:v>
      </x:c>
      <x:c r="J56" s="19" t="str">
        <x:v>CANDIDATES_PRESENT_FORMAL_ACCEPTANCE_PENDING</x:v>
      </x:c>
      <x:c r="K56" s="19" t="str">
        <x:v>LISTED_CURRENT_OPERATION_NOT_INDEPENDENTLY_CONFIRMED</x:v>
      </x:c>
      <x:c r="L56" s="19" t="str">
        <x:v>神戸市</x:v>
      </x:c>
      <x:c r="M56" s="19" t="str">
        <x:v>兵庫県神戸市</x:v>
      </x:c>
      <x:c r="N56" s="19" t="str">
        <x:v>16時間 （7:00～23:00）</x:v>
      </x:c>
      <x:c r="O56" s="19" t="str">
        <x:v>CURRENT_OPERATOR_TIMETABLE_REVIEW_REQUIRED</x:v>
      </x:c>
      <x:c r="P56" s="19" t="str">
        <x:v>Identity and annual usage audited; current service, v2 identity/lineage and inclusion acceptance remain open.</x:v>
      </x:c>
      <x:c r="Q56" s="19" t="str"/>
      <x:c r="R56" s="19" t="str">
        <x:v>https://www.mlit.go.jp/koku/15_bf_000310.html</x:v>
      </x:c>
      <x:c r="S56" s="19" t="str">
        <x:v>https://www.mlit.go.jp/koku/content/002021265.pdf</x:v>
      </x:c>
      <x:c r="T56" s="20" t="n">
        <x:v>23</x:v>
      </x:c>
      <x:c r="U56" s="19" t="str">
        <x:v>https://www.mlit.go.jp/koku/content/002016480.xlsx</x:v>
      </x:c>
      <x:c r="V56" s="18" t="str">
        <x:v>空港管理状況調書 N2942</x:v>
      </x:c>
      <x:c r="W56" s="19" t="str">
        <x:v>https://www.kairport.co.jp/access/portliner</x:v>
      </x:c>
      <x:c r="X56" s="18" t="str">
        <x:v>transport-node:e17c8349-3dd0-597e-a269-29b6930f414c</x:v>
      </x:c>
      <x:c r="Y56" s="18" t="str">
        <x:v>否</x:v>
      </x:c>
      <x:c r="Z56" s="19" t="str">
        <x:v>达到年度门槛，待验收</x:v>
      </x:c>
      <x:c r="AA56" s="20" t="n">
        <x:v>1000</x:v>
      </x:c>
    </x:row>
    <x:row r="57" ht="33" customHeight="1">
      <x:c r="A57" s="18" t="str">
        <x:v>南紀白浜</x:v>
      </x:c>
      <x:c r="B57" s="18" t="str">
        <x:v>B</x:v>
      </x:c>
      <x:c r="C57" s="19" t="str">
        <x:v>待审核</x:v>
      </x:c>
      <x:c r="D57" s="19" t="str">
        <x:v>T2</x:v>
      </x:c>
      <x:c r="E57" s="20" t="n">
        <x:v>243625</x:v>
      </x:c>
      <x:c r="F57" s="18" t="str">
        <x:v>FY2025</x:v>
      </x:c>
      <x:c r="G57" s="18" t="str">
        <x:v>passengers/year</x:v>
      </x:c>
      <x:c r="H57" s="18" t="str">
        <x:v>待核</x:v>
      </x:c>
      <x:c r="I57" s="20"/>
      <x:c r="J57" s="19" t="str">
        <x:v>ACCESS_REVIEW_REQUIRED</x:v>
      </x:c>
      <x:c r="K57" s="19" t="str">
        <x:v>LISTED_CURRENT_OPERATION_NOT_INDEPENDENTLY_CONFIRMED</x:v>
      </x:c>
      <x:c r="L57" s="19" t="str">
        <x:v>和歌山県</x:v>
      </x:c>
      <x:c r="M57" s="19" t="str">
        <x:v>和歌山県西牟婁郡白浜町</x:v>
      </x:c>
      <x:c r="N57" s="19" t="str">
        <x:v>11.5時間 （8:30～20:00）</x:v>
      </x:c>
      <x:c r="O57" s="19" t="str">
        <x:v>CURRENT_OPERATOR_TIMETABLE_REVIEW_REQUIRED</x:v>
      </x:c>
      <x:c r="P57" s="19" t="str">
        <x:v>Identity and annual usage audited; current service, v2 identity/lineage and inclusion acceptance remain open.</x:v>
      </x:c>
      <x:c r="Q57" s="19" t="str"/>
      <x:c r="R57" s="19" t="str">
        <x:v>https://www.mlit.go.jp/koku/15_bf_000310.html</x:v>
      </x:c>
      <x:c r="S57" s="19" t="str">
        <x:v>https://www.mlit.go.jp/koku/content/002021265.pdf</x:v>
      </x:c>
      <x:c r="T57" s="20" t="n">
        <x:v>24</x:v>
      </x:c>
      <x:c r="U57" s="19" t="str">
        <x:v>https://www.mlit.go.jp/koku/content/002016480.xlsx</x:v>
      </x:c>
      <x:c r="V57" s="18" t="str">
        <x:v>空港管理状況調書 N2996</x:v>
      </x:c>
      <x:c r="W57" s="19"/>
      <x:c r="X57" s="18"/>
      <x:c r="Y57" s="18" t="str">
        <x:v>否</x:v>
      </x:c>
      <x:c r="Z57" s="19" t="str">
        <x:v>达到年度门槛，待验收</x:v>
      </x:c>
      <x:c r="AA57" s="20" t="n">
        <x:v>1000</x:v>
      </x:c>
    </x:row>
    <x:row r="58" ht="33" customHeight="1">
      <x:c r="A58" s="18" t="str">
        <x:v>鳥取</x:v>
      </x:c>
      <x:c r="B58" s="18" t="str">
        <x:v>B</x:v>
      </x:c>
      <x:c r="C58" s="19" t="str">
        <x:v>待审核</x:v>
      </x:c>
      <x:c r="D58" s="19" t="str">
        <x:v>T2</x:v>
      </x:c>
      <x:c r="E58" s="20" t="n">
        <x:v>423699</x:v>
      </x:c>
      <x:c r="F58" s="18" t="str">
        <x:v>FY2025</x:v>
      </x:c>
      <x:c r="G58" s="18" t="str">
        <x:v>passengers/year</x:v>
      </x:c>
      <x:c r="H58" s="18" t="str">
        <x:v>待核</x:v>
      </x:c>
      <x:c r="I58" s="20"/>
      <x:c r="J58" s="19" t="str">
        <x:v>ACCESS_REVIEW_REQUIRED</x:v>
      </x:c>
      <x:c r="K58" s="19" t="str">
        <x:v>LISTED_CURRENT_OPERATION_NOT_INDEPENDENTLY_CONFIRMED</x:v>
      </x:c>
      <x:c r="L58" s="19" t="str">
        <x:v>鳥取県</x:v>
      </x:c>
      <x:c r="M58" s="19" t="str">
        <x:v>鳥取県鳥取市</x:v>
      </x:c>
      <x:c r="N58" s="19" t="str">
        <x:v>14.5時間 （7:00～21:30）</x:v>
      </x:c>
      <x:c r="O58" s="19" t="str">
        <x:v>CURRENT_OPERATOR_TIMETABLE_REVIEW_REQUIRED</x:v>
      </x:c>
      <x:c r="P58" s="19" t="str">
        <x:v>Identity and annual usage audited; current service, v2 identity/lineage and inclusion acceptance remain open.</x:v>
      </x:c>
      <x:c r="Q58" s="19" t="str"/>
      <x:c r="R58" s="19" t="str">
        <x:v>https://www.mlit.go.jp/koku/15_bf_000310.html</x:v>
      </x:c>
      <x:c r="S58" s="19" t="str">
        <x:v>https://www.mlit.go.jp/koku/content/002021265.pdf</x:v>
      </x:c>
      <x:c r="T58" s="20" t="n">
        <x:v>25</x:v>
      </x:c>
      <x:c r="U58" s="19" t="str">
        <x:v>https://www.mlit.go.jp/koku/content/002016480.xlsx</x:v>
      </x:c>
      <x:c r="V58" s="18" t="str">
        <x:v>空港管理状況調書 N3050</x:v>
      </x:c>
      <x:c r="W58" s="19"/>
      <x:c r="X58" s="18"/>
      <x:c r="Y58" s="18" t="str">
        <x:v>否</x:v>
      </x:c>
      <x:c r="Z58" s="19" t="str">
        <x:v>达到年度门槛，待验收</x:v>
      </x:c>
      <x:c r="AA58" s="20" t="n">
        <x:v>1000</x:v>
      </x:c>
    </x:row>
    <x:row r="59" ht="33" customHeight="1">
      <x:c r="A59" s="18" t="str">
        <x:v>隠岐</x:v>
      </x:c>
      <x:c r="B59" s="18" t="str">
        <x:v>B</x:v>
      </x:c>
      <x:c r="C59" s="19" t="str">
        <x:v>待审核</x:v>
      </x:c>
      <x:c r="D59" s="19" t="str">
        <x:v>T3</x:v>
      </x:c>
      <x:c r="E59" s="20" t="n">
        <x:v>76123</x:v>
      </x:c>
      <x:c r="F59" s="18" t="str">
        <x:v>FY2025</x:v>
      </x:c>
      <x:c r="G59" s="18" t="str">
        <x:v>passengers/year</x:v>
      </x:c>
      <x:c r="H59" s="18" t="str">
        <x:v>已核指南</x:v>
      </x:c>
      <x:c r="I59" s="20" t="n">
        <x:v>0</x:v>
      </x:c>
      <x:c r="J59" s="19" t="str">
        <x:v>GROUND_ACCESS_GUIDE_NO_RAIL_COMPONENT_LISTED</x:v>
      </x:c>
      <x:c r="K59" s="19" t="str">
        <x:v>LISTED_CURRENT_OPERATION_NOT_INDEPENDENTLY_CONFIRMED</x:v>
      </x:c>
      <x:c r="L59" s="19" t="str">
        <x:v>島根県</x:v>
      </x:c>
      <x:c r="M59" s="19" t="str">
        <x:v>島根県隠岐郡隠岐の島町</x:v>
      </x:c>
      <x:c r="N59" s="19" t="str">
        <x:v>8時間（9:00～17:00）</x:v>
      </x:c>
      <x:c r="O59" s="19" t="str">
        <x:v>CURRENT_OPERATOR_TIMETABLE_REVIEW_REQUIRED</x:v>
      </x:c>
      <x:c r="P59" s="19" t="str">
        <x:v>Identity and annual usage audited; current service, v2 identity/lineage and inclusion acceptance remain open.</x:v>
      </x:c>
      <x:c r="Q59" s="19" t="str"/>
      <x:c r="R59" s="19" t="str">
        <x:v>https://www.mlit.go.jp/koku/15_bf_000310.html</x:v>
      </x:c>
      <x:c r="S59" s="19" t="str">
        <x:v>https://www.mlit.go.jp/koku/content/002021265.pdf</x:v>
      </x:c>
      <x:c r="T59" s="20" t="n">
        <x:v>26</x:v>
      </x:c>
      <x:c r="U59" s="19" t="str">
        <x:v>https://www.mlit.go.jp/koku/content/002016480.xlsx</x:v>
      </x:c>
      <x:c r="V59" s="18" t="str">
        <x:v>空港管理状況調書 N3104</x:v>
      </x:c>
      <x:c r="W59" s="19" t="str">
        <x:v>https://www.oki-airport.jp/access</x:v>
      </x:c>
      <x:c r="X59" s="18" t="str">
        <x:v>transport-node:ac448d92-cf2b-57d7-b48b-7350b6129461</x:v>
      </x:c>
      <x:c r="Y59" s="18" t="str">
        <x:v>否</x:v>
      </x:c>
      <x:c r="Z59" s="19" t="str">
        <x:v>达到年度门槛，待验收</x:v>
      </x:c>
      <x:c r="AA59" s="20" t="n">
        <x:v>1000</x:v>
      </x:c>
    </x:row>
    <x:row r="60" ht="33" customHeight="1">
      <x:c r="A60" s="18" t="str">
        <x:v>出雲</x:v>
      </x:c>
      <x:c r="B60" s="18" t="str">
        <x:v>B</x:v>
      </x:c>
      <x:c r="C60" s="19" t="str">
        <x:v>待审核</x:v>
      </x:c>
      <x:c r="D60" s="19" t="str">
        <x:v>T1</x:v>
      </x:c>
      <x:c r="E60" s="20" t="n">
        <x:v>1153415</x:v>
      </x:c>
      <x:c r="F60" s="18" t="str">
        <x:v>FY2025</x:v>
      </x:c>
      <x:c r="G60" s="18" t="str">
        <x:v>passengers/year</x:v>
      </x:c>
      <x:c r="H60" s="18" t="str">
        <x:v>待核</x:v>
      </x:c>
      <x:c r="I60" s="20"/>
      <x:c r="J60" s="19" t="str">
        <x:v>ACCESS_REVIEW_REQUIRED</x:v>
      </x:c>
      <x:c r="K60" s="19" t="str">
        <x:v>LISTED_CURRENT_OPERATION_NOT_INDEPENDENTLY_CONFIRMED</x:v>
      </x:c>
      <x:c r="L60" s="19" t="str">
        <x:v>島根県</x:v>
      </x:c>
      <x:c r="M60" s="19" t="str">
        <x:v>島根県簸川郡斐川町</x:v>
      </x:c>
      <x:c r="N60" s="19" t="str">
        <x:v>13時間（7:30～20:30）</x:v>
      </x:c>
      <x:c r="O60" s="19" t="str">
        <x:v>CURRENT_OPERATOR_TIMETABLE_REVIEW_REQUIRED</x:v>
      </x:c>
      <x:c r="P60" s="19" t="str">
        <x:v>Identity and annual usage audited; current service, v2 identity/lineage and inclusion acceptance remain open.</x:v>
      </x:c>
      <x:c r="Q60" s="19" t="str"/>
      <x:c r="R60" s="19" t="str">
        <x:v>https://www.mlit.go.jp/koku/15_bf_000310.html</x:v>
      </x:c>
      <x:c r="S60" s="19" t="str">
        <x:v>https://www.mlit.go.jp/koku/content/002021265.pdf</x:v>
      </x:c>
      <x:c r="T60" s="20" t="n">
        <x:v>27</x:v>
      </x:c>
      <x:c r="U60" s="19" t="str">
        <x:v>https://www.mlit.go.jp/koku/content/002016480.xlsx</x:v>
      </x:c>
      <x:c r="V60" s="18" t="str">
        <x:v>空港管理状況調書 N3158</x:v>
      </x:c>
      <x:c r="W60" s="19"/>
      <x:c r="X60" s="18"/>
      <x:c r="Y60" s="18" t="str">
        <x:v>否</x:v>
      </x:c>
      <x:c r="Z60" s="19" t="str">
        <x:v>达到年度门槛，待验收</x:v>
      </x:c>
      <x:c r="AA60" s="20" t="n">
        <x:v>1000</x:v>
      </x:c>
    </x:row>
    <x:row r="61" ht="33" customHeight="1">
      <x:c r="A61" s="18" t="str">
        <x:v>石見</x:v>
      </x:c>
      <x:c r="B61" s="18" t="str">
        <x:v>B</x:v>
      </x:c>
      <x:c r="C61" s="19" t="str">
        <x:v>待审核</x:v>
      </x:c>
      <x:c r="D61" s="19" t="str">
        <x:v>T2</x:v>
      </x:c>
      <x:c r="E61" s="20" t="n">
        <x:v>150829</x:v>
      </x:c>
      <x:c r="F61" s="18" t="str">
        <x:v>FY2025</x:v>
      </x:c>
      <x:c r="G61" s="18" t="str">
        <x:v>passengers/year</x:v>
      </x:c>
      <x:c r="H61" s="18" t="str">
        <x:v>待核</x:v>
      </x:c>
      <x:c r="I61" s="20"/>
      <x:c r="J61" s="19" t="str">
        <x:v>ACCESS_REVIEW_REQUIRED</x:v>
      </x:c>
      <x:c r="K61" s="19" t="str">
        <x:v>LISTED_CURRENT_OPERATION_NOT_INDEPENDENTLY_CONFIRMED</x:v>
      </x:c>
      <x:c r="L61" s="19" t="str">
        <x:v>島根県</x:v>
      </x:c>
      <x:c r="M61" s="19" t="str">
        <x:v>島根県益田市</x:v>
      </x:c>
      <x:c r="N61" s="19" t="str">
        <x:v>11.5時間（8:00～19:30）</x:v>
      </x:c>
      <x:c r="O61" s="19" t="str">
        <x:v>CURRENT_OPERATOR_TIMETABLE_REVIEW_REQUIRED</x:v>
      </x:c>
      <x:c r="P61" s="19" t="str">
        <x:v>Identity and annual usage audited; current service, v2 identity/lineage and inclusion acceptance remain open.</x:v>
      </x:c>
      <x:c r="Q61" s="19" t="str"/>
      <x:c r="R61" s="19" t="str">
        <x:v>https://www.mlit.go.jp/koku/15_bf_000310.html</x:v>
      </x:c>
      <x:c r="S61" s="19" t="str">
        <x:v>https://www.mlit.go.jp/koku/content/002021265.pdf</x:v>
      </x:c>
      <x:c r="T61" s="20" t="n">
        <x:v>28</x:v>
      </x:c>
      <x:c r="U61" s="19" t="str">
        <x:v>https://www.mlit.go.jp/koku/content/002016480.xlsx</x:v>
      </x:c>
      <x:c r="V61" s="18" t="str">
        <x:v>空港管理状況調書 N3212</x:v>
      </x:c>
      <x:c r="W61" s="19"/>
      <x:c r="X61" s="18"/>
      <x:c r="Y61" s="18" t="str">
        <x:v>否</x:v>
      </x:c>
      <x:c r="Z61" s="19" t="str">
        <x:v>达到年度门槛，待验收</x:v>
      </x:c>
      <x:c r="AA61" s="20" t="n">
        <x:v>1000</x:v>
      </x:c>
    </x:row>
    <x:row r="62" ht="33" customHeight="1">
      <x:c r="A62" s="18" t="str">
        <x:v>岡山</x:v>
      </x:c>
      <x:c r="B62" s="18" t="str">
        <x:v>B</x:v>
      </x:c>
      <x:c r="C62" s="19" t="str">
        <x:v>待审核</x:v>
      </x:c>
      <x:c r="D62" s="19" t="str">
        <x:v>T1</x:v>
      </x:c>
      <x:c r="E62" s="20" t="n">
        <x:v>1472533</x:v>
      </x:c>
      <x:c r="F62" s="18" t="str">
        <x:v>FY2025</x:v>
      </x:c>
      <x:c r="G62" s="18" t="str">
        <x:v>passengers/year</x:v>
      </x:c>
      <x:c r="H62" s="18" t="str">
        <x:v>已核指南</x:v>
      </x:c>
      <x:c r="I62" s="20" t="n">
        <x:v>0</x:v>
      </x:c>
      <x:c r="J62" s="19" t="str">
        <x:v>OFF_AIRPORT_RAIL_TRANSFER_DOCUMENTED</x:v>
      </x:c>
      <x:c r="K62" s="19" t="str">
        <x:v>LISTED_CURRENT_OPERATION_NOT_INDEPENDENTLY_CONFIRMED</x:v>
      </x:c>
      <x:c r="L62" s="19" t="str">
        <x:v>岡山県</x:v>
      </x:c>
      <x:c r="M62" s="19" t="str">
        <x:v>岡山県岡山市</x:v>
      </x:c>
      <x:c r="N62" s="19" t="str">
        <x:v>15時間（7:00～22:00）</x:v>
      </x:c>
      <x:c r="O62" s="19" t="str">
        <x:v>CURRENT_OPERATOR_TIMETABLE_REVIEW_REQUIRED</x:v>
      </x:c>
      <x:c r="P62" s="19" t="str">
        <x:v>Identity and annual usage audited; current service, v2 identity/lineage and inclusion acceptance remain open.</x:v>
      </x:c>
      <x:c r="Q62" s="19" t="str"/>
      <x:c r="R62" s="19" t="str">
        <x:v>https://www.mlit.go.jp/koku/15_bf_000310.html</x:v>
      </x:c>
      <x:c r="S62" s="19" t="str">
        <x:v>https://www.mlit.go.jp/koku/content/002021265.pdf</x:v>
      </x:c>
      <x:c r="T62" s="20" t="n">
        <x:v>29</x:v>
      </x:c>
      <x:c r="U62" s="19" t="str">
        <x:v>https://www.mlit.go.jp/koku/content/002016480.xlsx</x:v>
      </x:c>
      <x:c r="V62" s="18" t="str">
        <x:v>空港管理状況調書 N3266</x:v>
      </x:c>
      <x:c r="W62" s="19" t="str">
        <x:v>https://www.okayama-airport.org/faq/access</x:v>
      </x:c>
      <x:c r="X62" s="18" t="str">
        <x:v>transport-node:24748886-6f8a-54a1-a3a9-2120cb37c7f5</x:v>
      </x:c>
      <x:c r="Y62" s="18" t="str">
        <x:v>否</x:v>
      </x:c>
      <x:c r="Z62" s="19" t="str">
        <x:v>达到年度门槛，待验收</x:v>
      </x:c>
      <x:c r="AA62" s="20" t="n">
        <x:v>1000</x:v>
      </x:c>
    </x:row>
    <x:row r="63" ht="33" customHeight="1">
      <x:c r="A63" s="18" t="str">
        <x:v>佐賀</x:v>
      </x:c>
      <x:c r="B63" s="18" t="str">
        <x:v>B</x:v>
      </x:c>
      <x:c r="C63" s="19" t="str">
        <x:v>待审核</x:v>
      </x:c>
      <x:c r="D63" s="19" t="str">
        <x:v>T2</x:v>
      </x:c>
      <x:c r="E63" s="20" t="n">
        <x:v>640814</x:v>
      </x:c>
      <x:c r="F63" s="18" t="str">
        <x:v>FY2025</x:v>
      </x:c>
      <x:c r="G63" s="18" t="str">
        <x:v>passengers/year</x:v>
      </x:c>
      <x:c r="H63" s="18" t="str">
        <x:v>待核</x:v>
      </x:c>
      <x:c r="I63" s="20"/>
      <x:c r="J63" s="19" t="str">
        <x:v>ACCESS_REVIEW_REQUIRED</x:v>
      </x:c>
      <x:c r="K63" s="19" t="str">
        <x:v>LISTED_CURRENT_OPERATION_NOT_INDEPENDENTLY_CONFIRMED</x:v>
      </x:c>
      <x:c r="L63" s="19" t="str">
        <x:v>佐賀県</x:v>
      </x:c>
      <x:c r="M63" s="19" t="str">
        <x:v>佐賀県佐賀市</x:v>
      </x:c>
      <x:c r="N63" s="19" t="str">
        <x:v>17.5時間 （6:30～24:00）</x:v>
      </x:c>
      <x:c r="O63" s="19" t="str">
        <x:v>CURRENT_OPERATOR_TIMETABLE_REVIEW_REQUIRED</x:v>
      </x:c>
      <x:c r="P63" s="19" t="str">
        <x:v>Identity and annual usage audited; current service, v2 identity/lineage and inclusion acceptance remain open.</x:v>
      </x:c>
      <x:c r="Q63" s="19" t="str"/>
      <x:c r="R63" s="19" t="str">
        <x:v>https://www.mlit.go.jp/koku/15_bf_000310.html</x:v>
      </x:c>
      <x:c r="S63" s="19" t="str">
        <x:v>https://www.mlit.go.jp/koku/content/002021265.pdf</x:v>
      </x:c>
      <x:c r="T63" s="20" t="n">
        <x:v>30</x:v>
      </x:c>
      <x:c r="U63" s="19" t="str">
        <x:v>https://www.mlit.go.jp/koku/content/002016480.xlsx</x:v>
      </x:c>
      <x:c r="V63" s="18" t="str">
        <x:v>空港管理状況調書 N3320</x:v>
      </x:c>
      <x:c r="W63" s="19"/>
      <x:c r="X63" s="18"/>
      <x:c r="Y63" s="18" t="str">
        <x:v>否</x:v>
      </x:c>
      <x:c r="Z63" s="19" t="str">
        <x:v>达到年度门槛，待验收</x:v>
      </x:c>
      <x:c r="AA63" s="20" t="n">
        <x:v>1000</x:v>
      </x:c>
    </x:row>
    <x:row r="64" ht="33" customHeight="1">
      <x:c r="A64" s="18" t="str">
        <x:v>対馬</x:v>
      </x:c>
      <x:c r="B64" s="18" t="str">
        <x:v>B</x:v>
      </x:c>
      <x:c r="C64" s="19" t="str">
        <x:v>待审核</x:v>
      </x:c>
      <x:c r="D64" s="19" t="str">
        <x:v>T2</x:v>
      </x:c>
      <x:c r="E64" s="20" t="n">
        <x:v>245997</x:v>
      </x:c>
      <x:c r="F64" s="18" t="str">
        <x:v>FY2025</x:v>
      </x:c>
      <x:c r="G64" s="18" t="str">
        <x:v>passengers/year</x:v>
      </x:c>
      <x:c r="H64" s="18" t="str">
        <x:v>已核指南</x:v>
      </x:c>
      <x:c r="I64" s="20" t="n">
        <x:v>0</x:v>
      </x:c>
      <x:c r="J64" s="19" t="str">
        <x:v>GROUND_ACCESS_GUIDE_NO_RAIL_COMPONENT_LISTED</x:v>
      </x:c>
      <x:c r="K64" s="19" t="str">
        <x:v>LISTED_CURRENT_OPERATION_NOT_INDEPENDENTLY_CONFIRMED</x:v>
      </x:c>
      <x:c r="L64" s="19" t="str">
        <x:v>長崎県</x:v>
      </x:c>
      <x:c r="M64" s="19" t="str">
        <x:v>長崎県対馬市</x:v>
      </x:c>
      <x:c r="N64" s="19" t="str">
        <x:v>13.5時間（7:30～21:00）</x:v>
      </x:c>
      <x:c r="O64" s="19" t="str">
        <x:v>CURRENT_OPERATOR_TIMETABLE_REVIEW_REQUIRED</x:v>
      </x:c>
      <x:c r="P64" s="19" t="str">
        <x:v>Identity and annual usage audited; current service, v2 identity/lineage and inclusion acceptance remain open.</x:v>
      </x:c>
      <x:c r="Q64" s="19" t="str"/>
      <x:c r="R64" s="19" t="str">
        <x:v>https://www.mlit.go.jp/koku/15_bf_000310.html</x:v>
      </x:c>
      <x:c r="S64" s="19" t="str">
        <x:v>https://www.mlit.go.jp/koku/content/002021265.pdf</x:v>
      </x:c>
      <x:c r="T64" s="20" t="n">
        <x:v>31</x:v>
      </x:c>
      <x:c r="U64" s="19" t="str">
        <x:v>https://www.mlit.go.jp/koku/content/002016480.xlsx</x:v>
      </x:c>
      <x:c r="V64" s="18" t="str">
        <x:v>空港管理状況調書 N3374</x:v>
      </x:c>
      <x:c r="W64" s="19" t="str">
        <x:v>https://tsushima-airport.co.jp/transportration</x:v>
      </x:c>
      <x:c r="X64" s="18" t="str">
        <x:v>transport-node:39e6b0c8-2983-5164-8f62-1c99a5441665</x:v>
      </x:c>
      <x:c r="Y64" s="18" t="str">
        <x:v>否</x:v>
      </x:c>
      <x:c r="Z64" s="19" t="str">
        <x:v>达到年度门槛，待验收</x:v>
      </x:c>
      <x:c r="AA64" s="20" t="n">
        <x:v>1000</x:v>
      </x:c>
    </x:row>
    <x:row r="65" ht="61" customHeight="1">
      <x:c r="A65" s="18" t="str">
        <x:v>小値賀</x:v>
      </x:c>
      <x:c r="B65" s="18" t="str">
        <x:v>B</x:v>
      </x:c>
      <x:c r="C65" s="19" t="str">
        <x:v>暂缓：规划相关性不足</x:v>
      </x:c>
      <x:c r="D65" s="19"/>
      <x:c r="E65" s="20" t="n">
        <x:v>0</x:v>
      </x:c>
      <x:c r="F65" s="18" t="str">
        <x:v>FY2025</x:v>
      </x:c>
      <x:c r="G65" s="18" t="str">
        <x:v>passengers/year</x:v>
      </x:c>
      <x:c r="H65" s="18" t="str">
        <x:v>待核</x:v>
      </x:c>
      <x:c r="I65" s="20"/>
      <x:c r="J65" s="19" t="str">
        <x:v>ACCESS_REVIEW_REQUIRED</x:v>
      </x:c>
      <x:c r="K65" s="19" t="str">
        <x:v>LISTED_CURRENT_OPERATION_NOT_INDEPENDENTLY_CONFIRMED</x:v>
      </x:c>
      <x:c r="L65" s="19" t="str">
        <x:v>長崎県</x:v>
      </x:c>
      <x:c r="M65" s="19" t="str">
        <x:v>長崎県北松浦郡小値賀町</x:v>
      </x:c>
      <x:c r="N65" s="19" t="str">
        <x:v>6時間 （10:00～16:00）</x:v>
      </x:c>
      <x:c r="O65" s="19" t="str">
        <x:v>CURRENT_OPERATOR_TIMETABLE_REVIEW_REQUIRED</x:v>
      </x:c>
      <x:c r="P65" s="19" t="str">
        <x:v>Excluded from planning candidates by confirmed annual-passenger threshold (&lt;1000); this is not a closure finding.</x:v>
      </x:c>
      <x:c r="Q65" s="19" t="str">
        <x:v>{"sourceColumn":"N","sourceRow":3428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0}</x:v>
      </x:c>
      <x:c r="R65" s="19" t="str">
        <x:v>https://www.mlit.go.jp/koku/15_bf_000310.html</x:v>
      </x:c>
      <x:c r="S65" s="19" t="str">
        <x:v>https://www.mlit.go.jp/koku/content/002021265.pdf</x:v>
      </x:c>
      <x:c r="T65" s="20" t="n">
        <x:v>32</x:v>
      </x:c>
      <x:c r="U65" s="19" t="str">
        <x:v>https://www.mlit.go.jp/koku/content/002016480.xlsx</x:v>
      </x:c>
      <x:c r="V65" s="18" t="str">
        <x:v>空港管理状況調書 N3428</x:v>
      </x:c>
      <x:c r="W65" s="19"/>
      <x:c r="X65" s="18"/>
      <x:c r="Y65" s="18" t="str">
        <x:v>否</x:v>
      </x:c>
      <x:c r="Z65" s="19" t="str">
        <x:v>排除：年旅客少于1,000</x:v>
      </x:c>
      <x:c r="AA65" s="20" t="n">
        <x:v>1000</x:v>
      </x:c>
    </x:row>
    <x:row r="66" ht="33" customHeight="1">
      <x:c r="A66" s="18" t="str">
        <x:v>福江</x:v>
      </x:c>
      <x:c r="B66" s="18" t="str">
        <x:v>B</x:v>
      </x:c>
      <x:c r="C66" s="19" t="str">
        <x:v>待审核</x:v>
      </x:c>
      <x:c r="D66" s="19" t="str">
        <x:v>T2</x:v>
      </x:c>
      <x:c r="E66" s="20" t="n">
        <x:v>174889</x:v>
      </x:c>
      <x:c r="F66" s="18" t="str">
        <x:v>FY2025</x:v>
      </x:c>
      <x:c r="G66" s="18" t="str">
        <x:v>passengers/year</x:v>
      </x:c>
      <x:c r="H66" s="18" t="str">
        <x:v>已核指南</x:v>
      </x:c>
      <x:c r="I66" s="20" t="n">
        <x:v>0</x:v>
      </x:c>
      <x:c r="J66" s="19" t="str">
        <x:v>GROUND_ACCESS_GUIDE_NO_RAIL_COMPONENT_LISTED</x:v>
      </x:c>
      <x:c r="K66" s="19" t="str">
        <x:v>LISTED_CURRENT_OPERATION_NOT_INDEPENDENTLY_CONFIRMED</x:v>
      </x:c>
      <x:c r="L66" s="19" t="str">
        <x:v>長崎県</x:v>
      </x:c>
      <x:c r="M66" s="19" t="str">
        <x:v>長崎県五島市</x:v>
      </x:c>
      <x:c r="N66" s="19" t="str">
        <x:v>11.5時間（8:00～19:30）</x:v>
      </x:c>
      <x:c r="O66" s="19" t="str">
        <x:v>CURRENT_OPERATOR_TIMETABLE_REVIEW_REQUIRED</x:v>
      </x:c>
      <x:c r="P66" s="19" t="str">
        <x:v>Identity and annual usage audited; current service, v2 identity/lineage and inclusion acceptance remain open.</x:v>
      </x:c>
      <x:c r="Q66" s="19" t="str"/>
      <x:c r="R66" s="19" t="str">
        <x:v>https://www.mlit.go.jp/koku/15_bf_000310.html</x:v>
      </x:c>
      <x:c r="S66" s="19" t="str">
        <x:v>https://www.mlit.go.jp/koku/content/002021265.pdf</x:v>
      </x:c>
      <x:c r="T66" s="20" t="n">
        <x:v>33</x:v>
      </x:c>
      <x:c r="U66" s="19" t="str">
        <x:v>https://www.mlit.go.jp/koku/content/002016480.xlsx</x:v>
      </x:c>
      <x:c r="V66" s="18" t="str">
        <x:v>空港管理状況調書 N3482</x:v>
      </x:c>
      <x:c r="W66" s="19" t="str">
        <x:v>https://www.pref.nagasaki.jp/shared/uploads/2024/06/1718342270-1.pdf</x:v>
      </x:c>
      <x:c r="X66" s="18" t="str">
        <x:v>transport-node:cd521eca-00cc-55da-b9ea-b0092ee28574</x:v>
      </x:c>
      <x:c r="Y66" s="18" t="str">
        <x:v>否</x:v>
      </x:c>
      <x:c r="Z66" s="19" t="str">
        <x:v>达到年度门槛，待验收</x:v>
      </x:c>
      <x:c r="AA66" s="20" t="n">
        <x:v>1000</x:v>
      </x:c>
    </x:row>
    <x:row r="67" ht="61" customHeight="1">
      <x:c r="A67" s="18" t="str">
        <x:v>上五島</x:v>
      </x:c>
      <x:c r="B67" s="18" t="str">
        <x:v>B</x:v>
      </x:c>
      <x:c r="C67" s="19" t="str">
        <x:v>暂缓：规划相关性不足</x:v>
      </x:c>
      <x:c r="D67" s="19"/>
      <x:c r="E67" s="20" t="n">
        <x:v>0</x:v>
      </x:c>
      <x:c r="F67" s="18" t="str">
        <x:v>FY2025</x:v>
      </x:c>
      <x:c r="G67" s="18" t="str">
        <x:v>passengers/year</x:v>
      </x:c>
      <x:c r="H67" s="18" t="str">
        <x:v>待核</x:v>
      </x:c>
      <x:c r="I67" s="20"/>
      <x:c r="J67" s="19" t="str">
        <x:v>ACCESS_REVIEW_REQUIRED</x:v>
      </x:c>
      <x:c r="K67" s="19" t="str">
        <x:v>LISTED_CURRENT_OPERATION_NOT_INDEPENDENTLY_CONFIRMED</x:v>
      </x:c>
      <x:c r="L67" s="19" t="str">
        <x:v>長崎県</x:v>
      </x:c>
      <x:c r="M67" s="19" t="str">
        <x:v>長崎県南松浦郡新上五島町</x:v>
      </x:c>
      <x:c r="N67" s="19" t="str">
        <x:v>6時間（10:00～16:00）</x:v>
      </x:c>
      <x:c r="O67" s="19" t="str">
        <x:v>CURRENT_OPERATOR_TIMETABLE_REVIEW_REQUIRED</x:v>
      </x:c>
      <x:c r="P67" s="19" t="str">
        <x:v>Excluded from planning candidates by confirmed annual-passenger threshold (&lt;1000); this is not a closure finding.</x:v>
      </x:c>
      <x:c r="Q67" s="19" t="str">
        <x:v>{"sourceColumn":"N","sourceRow":3536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0}</x:v>
      </x:c>
      <x:c r="R67" s="19" t="str">
        <x:v>https://www.mlit.go.jp/koku/15_bf_000310.html</x:v>
      </x:c>
      <x:c r="S67" s="19" t="str">
        <x:v>https://www.mlit.go.jp/koku/content/002021265.pdf</x:v>
      </x:c>
      <x:c r="T67" s="20" t="n">
        <x:v>34</x:v>
      </x:c>
      <x:c r="U67" s="19" t="str">
        <x:v>https://www.mlit.go.jp/koku/content/002016480.xlsx</x:v>
      </x:c>
      <x:c r="V67" s="18" t="str">
        <x:v>空港管理状況調書 N3536</x:v>
      </x:c>
      <x:c r="W67" s="19"/>
      <x:c r="X67" s="18"/>
      <x:c r="Y67" s="18" t="str">
        <x:v>否</x:v>
      </x:c>
      <x:c r="Z67" s="19" t="str">
        <x:v>排除：年旅客少于1,000</x:v>
      </x:c>
      <x:c r="AA67" s="20" t="n">
        <x:v>1000</x:v>
      </x:c>
    </x:row>
    <x:row r="68" ht="33" customHeight="1">
      <x:c r="A68" s="18" t="str">
        <x:v>壱岐</x:v>
      </x:c>
      <x:c r="B68" s="18" t="str">
        <x:v>B</x:v>
      </x:c>
      <x:c r="C68" s="19" t="str">
        <x:v>待审核</x:v>
      </x:c>
      <x:c r="D68" s="19" t="str">
        <x:v>T3</x:v>
      </x:c>
      <x:c r="E68" s="20" t="n">
        <x:v>30291</x:v>
      </x:c>
      <x:c r="F68" s="18" t="str">
        <x:v>FY2025</x:v>
      </x:c>
      <x:c r="G68" s="18" t="str">
        <x:v>passengers/year</x:v>
      </x:c>
      <x:c r="H68" s="18" t="str">
        <x:v>待核</x:v>
      </x:c>
      <x:c r="I68" s="20"/>
      <x:c r="J68" s="19" t="str">
        <x:v>ACCESS_REVIEW_REQUIRED</x:v>
      </x:c>
      <x:c r="K68" s="19" t="str">
        <x:v>LISTED_CURRENT_OPERATION_NOT_INDEPENDENTLY_CONFIRMED</x:v>
      </x:c>
      <x:c r="L68" s="19" t="str">
        <x:v>長崎県</x:v>
      </x:c>
      <x:c r="M68" s="19" t="str">
        <x:v>長崎県壱岐市</x:v>
      </x:c>
      <x:c r="N68" s="19" t="str">
        <x:v>11時間（8:00～19:00）</x:v>
      </x:c>
      <x:c r="O68" s="19" t="str">
        <x:v>CURRENT_OPERATOR_TIMETABLE_REVIEW_REQUIRED</x:v>
      </x:c>
      <x:c r="P68" s="19" t="str">
        <x:v>Identity and annual usage audited; current service, v2 identity/lineage and inclusion acceptance remain open.</x:v>
      </x:c>
      <x:c r="Q68" s="19" t="str"/>
      <x:c r="R68" s="19" t="str">
        <x:v>https://www.mlit.go.jp/koku/15_bf_000310.html</x:v>
      </x:c>
      <x:c r="S68" s="19" t="str">
        <x:v>https://www.mlit.go.jp/koku/content/002021265.pdf</x:v>
      </x:c>
      <x:c r="T68" s="20" t="n">
        <x:v>35</x:v>
      </x:c>
      <x:c r="U68" s="19" t="str">
        <x:v>https://www.mlit.go.jp/koku/content/002016480.xlsx</x:v>
      </x:c>
      <x:c r="V68" s="18" t="str">
        <x:v>空港管理状況調書 N3590</x:v>
      </x:c>
      <x:c r="W68" s="19"/>
      <x:c r="X68" s="18"/>
      <x:c r="Y68" s="18" t="str">
        <x:v>否</x:v>
      </x:c>
      <x:c r="Z68" s="19" t="str">
        <x:v>达到年度门槛，待验收</x:v>
      </x:c>
      <x:c r="AA68" s="20" t="n">
        <x:v>1000</x:v>
      </x:c>
    </x:row>
    <x:row r="69" ht="33" customHeight="1">
      <x:c r="A69" s="18" t="str">
        <x:v>種子島</x:v>
      </x:c>
      <x:c r="B69" s="18" t="str">
        <x:v>B</x:v>
      </x:c>
      <x:c r="C69" s="19" t="str">
        <x:v>待审核</x:v>
      </x:c>
      <x:c r="D69" s="19" t="str">
        <x:v>T2</x:v>
      </x:c>
      <x:c r="E69" s="20" t="n">
        <x:v>115658</x:v>
      </x:c>
      <x:c r="F69" s="18" t="str">
        <x:v>FY2025</x:v>
      </x:c>
      <x:c r="G69" s="18" t="str">
        <x:v>passengers/year</x:v>
      </x:c>
      <x:c r="H69" s="18" t="str">
        <x:v>已核指南</x:v>
      </x:c>
      <x:c r="I69" s="20" t="n">
        <x:v>0</x:v>
      </x:c>
      <x:c r="J69" s="19" t="str">
        <x:v>GROUND_ACCESS_GUIDE_NO_RAIL_COMPONENT_LISTED</x:v>
      </x:c>
      <x:c r="K69" s="19" t="str">
        <x:v>LISTED_CURRENT_OPERATION_NOT_INDEPENDENTLY_CONFIRMED</x:v>
      </x:c>
      <x:c r="L69" s="19" t="str">
        <x:v>鹿児島県</x:v>
      </x:c>
      <x:c r="M69" s="19" t="str">
        <x:v>鹿児島県熊毛郡中種子町</x:v>
      </x:c>
      <x:c r="N69" s="19" t="str">
        <x:v>10時間（8:30～18:30）</x:v>
      </x:c>
      <x:c r="O69" s="19" t="str">
        <x:v>CURRENT_OPERATOR_TIMETABLE_REVIEW_REQUIRED</x:v>
      </x:c>
      <x:c r="P69" s="19" t="str">
        <x:v>Identity and annual usage audited; current service, v2 identity/lineage and inclusion acceptance remain open.</x:v>
      </x:c>
      <x:c r="Q69" s="19" t="str"/>
      <x:c r="R69" s="19" t="str">
        <x:v>https://www.mlit.go.jp/koku/15_bf_000310.html</x:v>
      </x:c>
      <x:c r="S69" s="19" t="str">
        <x:v>https://www.mlit.go.jp/koku/content/002021265.pdf</x:v>
      </x:c>
      <x:c r="T69" s="20" t="n">
        <x:v>36</x:v>
      </x:c>
      <x:c r="U69" s="19" t="str">
        <x:v>https://www.mlit.go.jp/koku/content/002016480.xlsx</x:v>
      </x:c>
      <x:c r="V69" s="18" t="str">
        <x:v>空港管理状況調書 N3644</x:v>
      </x:c>
      <x:c r="W69" s="19" t="str">
        <x:v>https://town.nakatane.kagoshima.jp/kikaku/kurashi/kotsu/kuko-noriai-taxi_nakatane.html</x:v>
      </x:c>
      <x:c r="X69" s="18" t="str">
        <x:v>transport-node:ad51382d-7bfc-54da-9496-9d5d86a7bbfe</x:v>
      </x:c>
      <x:c r="Y69" s="18" t="str">
        <x:v>否</x:v>
      </x:c>
      <x:c r="Z69" s="19" t="str">
        <x:v>达到年度门槛，待验收</x:v>
      </x:c>
      <x:c r="AA69" s="20" t="n">
        <x:v>1000</x:v>
      </x:c>
    </x:row>
    <x:row r="70" ht="33" customHeight="1">
      <x:c r="A70" s="18" t="str">
        <x:v>屋久島</x:v>
      </x:c>
      <x:c r="B70" s="18" t="str">
        <x:v>B</x:v>
      </x:c>
      <x:c r="C70" s="19" t="str">
        <x:v>待审核</x:v>
      </x:c>
      <x:c r="D70" s="19" t="str">
        <x:v>T2</x:v>
      </x:c>
      <x:c r="E70" s="20" t="n">
        <x:v>203632</x:v>
      </x:c>
      <x:c r="F70" s="18" t="str">
        <x:v>FY2025</x:v>
      </x:c>
      <x:c r="G70" s="18" t="str">
        <x:v>passengers/year</x:v>
      </x:c>
      <x:c r="H70" s="18" t="str">
        <x:v>已核指南</x:v>
      </x:c>
      <x:c r="I70" s="20" t="n">
        <x:v>0</x:v>
      </x:c>
      <x:c r="J70" s="19" t="str">
        <x:v>GROUND_ACCESS_GUIDE_NO_RAIL_COMPONENT_LISTED</x:v>
      </x:c>
      <x:c r="K70" s="19" t="str">
        <x:v>LISTED_CURRENT_OPERATION_NOT_INDEPENDENTLY_CONFIRMED</x:v>
      </x:c>
      <x:c r="L70" s="19" t="str">
        <x:v>鹿児島県</x:v>
      </x:c>
      <x:c r="M70" s="19" t="str">
        <x:v>鹿児島県熊毛郡屋久島町</x:v>
      </x:c>
      <x:c r="N70" s="19" t="str">
        <x:v>11時間（8:30～19:30）</x:v>
      </x:c>
      <x:c r="O70" s="19" t="str">
        <x:v>CURRENT_OPERATOR_TIMETABLE_REVIEW_REQUIRED</x:v>
      </x:c>
      <x:c r="P70" s="19" t="str">
        <x:v>Identity and annual usage audited; current service, v2 identity/lineage and inclusion acceptance remain open.</x:v>
      </x:c>
      <x:c r="Q70" s="19" t="str"/>
      <x:c r="R70" s="19" t="str">
        <x:v>https://www.mlit.go.jp/koku/15_bf_000310.html</x:v>
      </x:c>
      <x:c r="S70" s="19" t="str">
        <x:v>https://www.mlit.go.jp/koku/content/002021265.pdf</x:v>
      </x:c>
      <x:c r="T70" s="20" t="n">
        <x:v>37</x:v>
      </x:c>
      <x:c r="U70" s="19" t="str">
        <x:v>https://www.mlit.go.jp/koku/content/002016480.xlsx</x:v>
      </x:c>
      <x:c r="V70" s="18" t="str">
        <x:v>空港管理状況調書 N3698</x:v>
      </x:c>
      <x:c r="W70" s="19" t="str">
        <x:v>https://yakukan.jp/on-island.html</x:v>
      </x:c>
      <x:c r="X70" s="18" t="str">
        <x:v>transport-node:e498a8df-df5a-5533-8cc0-7289ef679061</x:v>
      </x:c>
      <x:c r="Y70" s="18" t="str">
        <x:v>否</x:v>
      </x:c>
      <x:c r="Z70" s="19" t="str">
        <x:v>达到年度门槛，待验收</x:v>
      </x:c>
      <x:c r="AA70" s="20" t="n">
        <x:v>1000</x:v>
      </x:c>
    </x:row>
    <x:row r="71" ht="33" customHeight="1">
      <x:c r="A71" s="18" t="str">
        <x:v>奄美</x:v>
      </x:c>
      <x:c r="B71" s="18" t="str">
        <x:v>B</x:v>
      </x:c>
      <x:c r="C71" s="19" t="str">
        <x:v>待审核</x:v>
      </x:c>
      <x:c r="D71" s="19" t="str">
        <x:v>T2</x:v>
      </x:c>
      <x:c r="E71" s="20" t="n">
        <x:v>886293</x:v>
      </x:c>
      <x:c r="F71" s="18" t="str">
        <x:v>FY2025</x:v>
      </x:c>
      <x:c r="G71" s="18" t="str">
        <x:v>passengers/year</x:v>
      </x:c>
      <x:c r="H71" s="18" t="str">
        <x:v>已核指南</x:v>
      </x:c>
      <x:c r="I71" s="20" t="n">
        <x:v>0</x:v>
      </x:c>
      <x:c r="J71" s="19" t="str">
        <x:v>GROUND_ACCESS_GUIDE_NO_RAIL_COMPONENT_LISTED</x:v>
      </x:c>
      <x:c r="K71" s="19" t="str">
        <x:v>LISTED_CURRENT_OPERATION_NOT_INDEPENDENTLY_CONFIRMED</x:v>
      </x:c>
      <x:c r="L71" s="19" t="str">
        <x:v>鹿児島県</x:v>
      </x:c>
      <x:c r="M71" s="19" t="str">
        <x:v>鹿児島奄美市</x:v>
      </x:c>
      <x:c r="N71" s="19" t="str">
        <x:v>11.5時間（8:00～19:30）</x:v>
      </x:c>
      <x:c r="O71" s="19" t="str">
        <x:v>CURRENT_OPERATOR_TIMETABLE_REVIEW_REQUIRED</x:v>
      </x:c>
      <x:c r="P71" s="19" t="str">
        <x:v>Identity and annual usage audited; current service, v2 identity/lineage and inclusion acceptance remain open.</x:v>
      </x:c>
      <x:c r="Q71" s="19" t="str"/>
      <x:c r="R71" s="19" t="str">
        <x:v>https://www.mlit.go.jp/koku/15_bf_000310.html</x:v>
      </x:c>
      <x:c r="S71" s="19" t="str">
        <x:v>https://www.mlit.go.jp/koku/content/002021265.pdf</x:v>
      </x:c>
      <x:c r="T71" s="20" t="n">
        <x:v>38</x:v>
      </x:c>
      <x:c r="U71" s="19" t="str">
        <x:v>https://www.mlit.go.jp/koku/content/002016480.xlsx</x:v>
      </x:c>
      <x:c r="V71" s="18" t="str">
        <x:v>空港管理状況調書 N3752</x:v>
      </x:c>
      <x:c r="W71" s="19" t="str">
        <x:v>https://amami-airport.co.jp/access</x:v>
      </x:c>
      <x:c r="X71" s="18" t="str">
        <x:v>transport-node:32b1a4f3-8e41-5a10-9ac5-ce2d7ab08e03</x:v>
      </x:c>
      <x:c r="Y71" s="18" t="str">
        <x:v>否</x:v>
      </x:c>
      <x:c r="Z71" s="19" t="str">
        <x:v>达到年度门槛，待验收</x:v>
      </x:c>
      <x:c r="AA71" s="20" t="n">
        <x:v>1000</x:v>
      </x:c>
    </x:row>
    <x:row r="72" ht="33" customHeight="1">
      <x:c r="A72" s="18" t="str">
        <x:v>喜界</x:v>
      </x:c>
      <x:c r="B72" s="18" t="str">
        <x:v>B</x:v>
      </x:c>
      <x:c r="C72" s="19" t="str">
        <x:v>待审核</x:v>
      </x:c>
      <x:c r="D72" s="19" t="str">
        <x:v>T3</x:v>
      </x:c>
      <x:c r="E72" s="20" t="n">
        <x:v>83903</x:v>
      </x:c>
      <x:c r="F72" s="18" t="str">
        <x:v>FY2025</x:v>
      </x:c>
      <x:c r="G72" s="18" t="str">
        <x:v>passengers/year</x:v>
      </x:c>
      <x:c r="H72" s="18" t="str">
        <x:v>待核</x:v>
      </x:c>
      <x:c r="I72" s="20"/>
      <x:c r="J72" s="19" t="str">
        <x:v>ACCESS_REVIEW_REQUIRED</x:v>
      </x:c>
      <x:c r="K72" s="19" t="str">
        <x:v>LISTED_CURRENT_OPERATION_NOT_INDEPENDENTLY_CONFIRMED</x:v>
      </x:c>
      <x:c r="L72" s="19" t="str">
        <x:v>鹿児島県</x:v>
      </x:c>
      <x:c r="M72" s="19" t="str">
        <x:v>鹿児島県大島郡喜界町</x:v>
      </x:c>
      <x:c r="N72" s="19" t="str">
        <x:v>4/1～9/30 10時間（8:30～18:30）</x:v>
      </x:c>
      <x:c r="O72" s="19" t="str">
        <x:v>CURRENT_OPERATOR_TIMETABLE_REVIEW_REQUIRED</x:v>
      </x:c>
      <x:c r="P72" s="19" t="str">
        <x:v>Identity and annual usage audited; current service, v2 identity/lineage and inclusion acceptance remain open.</x:v>
      </x:c>
      <x:c r="Q72" s="19" t="str"/>
      <x:c r="R72" s="19" t="str">
        <x:v>https://www.mlit.go.jp/koku/15_bf_000310.html</x:v>
      </x:c>
      <x:c r="S72" s="19" t="str">
        <x:v>https://www.mlit.go.jp/koku/content/002021265.pdf</x:v>
      </x:c>
      <x:c r="T72" s="20" t="n">
        <x:v>39</x:v>
      </x:c>
      <x:c r="U72" s="19" t="str">
        <x:v>https://www.mlit.go.jp/koku/content/002016480.xlsx</x:v>
      </x:c>
      <x:c r="V72" s="18" t="str">
        <x:v>空港管理状況調書 N3806</x:v>
      </x:c>
      <x:c r="W72" s="19"/>
      <x:c r="X72" s="18"/>
      <x:c r="Y72" s="18" t="str">
        <x:v>否</x:v>
      </x:c>
      <x:c r="Z72" s="19" t="str">
        <x:v>达到年度门槛，待验收</x:v>
      </x:c>
      <x:c r="AA72" s="20" t="n">
        <x:v>1000</x:v>
      </x:c>
    </x:row>
    <x:row r="73" ht="33" customHeight="1">
      <x:c r="A73" s="18" t="str">
        <x:v>徳之島</x:v>
      </x:c>
      <x:c r="B73" s="18" t="str">
        <x:v>B</x:v>
      </x:c>
      <x:c r="C73" s="19" t="str">
        <x:v>待审核</x:v>
      </x:c>
      <x:c r="D73" s="19" t="str">
        <x:v>T2</x:v>
      </x:c>
      <x:c r="E73" s="20" t="n">
        <x:v>198629</x:v>
      </x:c>
      <x:c r="F73" s="18" t="str">
        <x:v>FY2025</x:v>
      </x:c>
      <x:c r="G73" s="18" t="str">
        <x:v>passengers/year</x:v>
      </x:c>
      <x:c r="H73" s="18" t="str">
        <x:v>待核</x:v>
      </x:c>
      <x:c r="I73" s="20"/>
      <x:c r="J73" s="19" t="str">
        <x:v>ACCESS_REVIEW_REQUIRED</x:v>
      </x:c>
      <x:c r="K73" s="19" t="str">
        <x:v>LISTED_CURRENT_OPERATION_NOT_INDEPENDENTLY_CONFIRMED</x:v>
      </x:c>
      <x:c r="L73" s="19" t="str">
        <x:v>鹿児島県</x:v>
      </x:c>
      <x:c r="M73" s="19" t="str">
        <x:v>鹿児島県大島郡天城町</x:v>
      </x:c>
      <x:c r="N73" s="19" t="str">
        <x:v>11時間（8:30～19:30）</x:v>
      </x:c>
      <x:c r="O73" s="19" t="str">
        <x:v>CURRENT_OPERATOR_TIMETABLE_REVIEW_REQUIRED</x:v>
      </x:c>
      <x:c r="P73" s="19" t="str">
        <x:v>Identity and annual usage audited; current service, v2 identity/lineage and inclusion acceptance remain open.</x:v>
      </x:c>
      <x:c r="Q73" s="19" t="str"/>
      <x:c r="R73" s="19" t="str">
        <x:v>https://www.mlit.go.jp/koku/15_bf_000310.html</x:v>
      </x:c>
      <x:c r="S73" s="19" t="str">
        <x:v>https://www.mlit.go.jp/koku/content/002021265.pdf</x:v>
      </x:c>
      <x:c r="T73" s="20" t="n">
        <x:v>40</x:v>
      </x:c>
      <x:c r="U73" s="19" t="str">
        <x:v>https://www.mlit.go.jp/koku/content/002016480.xlsx</x:v>
      </x:c>
      <x:c r="V73" s="18" t="str">
        <x:v>空港管理状況調書 N3860</x:v>
      </x:c>
      <x:c r="W73" s="19"/>
      <x:c r="X73" s="18"/>
      <x:c r="Y73" s="18" t="str">
        <x:v>否</x:v>
      </x:c>
      <x:c r="Z73" s="19" t="str">
        <x:v>达到年度门槛，待验收</x:v>
      </x:c>
      <x:c r="AA73" s="20" t="n">
        <x:v>1000</x:v>
      </x:c>
    </x:row>
    <x:row r="74" ht="33" customHeight="1">
      <x:c r="A74" s="18" t="str">
        <x:v>沖永良部</x:v>
      </x:c>
      <x:c r="B74" s="18" t="str">
        <x:v>B</x:v>
      </x:c>
      <x:c r="C74" s="19" t="str">
        <x:v>待审核</x:v>
      </x:c>
      <x:c r="D74" s="19" t="str">
        <x:v>T2</x:v>
      </x:c>
      <x:c r="E74" s="20" t="n">
        <x:v>110755</x:v>
      </x:c>
      <x:c r="F74" s="18" t="str">
        <x:v>FY2025</x:v>
      </x:c>
      <x:c r="G74" s="18" t="str">
        <x:v>passengers/year</x:v>
      </x:c>
      <x:c r="H74" s="18" t="str">
        <x:v>待核</x:v>
      </x:c>
      <x:c r="I74" s="20"/>
      <x:c r="J74" s="19" t="str">
        <x:v>ACCESS_REVIEW_REQUIRED</x:v>
      </x:c>
      <x:c r="K74" s="19" t="str">
        <x:v>LISTED_CURRENT_OPERATION_NOT_INDEPENDENTLY_CONFIRMED</x:v>
      </x:c>
      <x:c r="L74" s="19" t="str">
        <x:v>鹿児島県</x:v>
      </x:c>
      <x:c r="M74" s="19" t="str">
        <x:v>鹿児島県大島郡和泊町</x:v>
      </x:c>
      <x:c r="N74" s="19" t="str">
        <x:v>4/1～9/30 10時間（8:30～18:30）</x:v>
      </x:c>
      <x:c r="O74" s="19" t="str">
        <x:v>CURRENT_OPERATOR_TIMETABLE_REVIEW_REQUIRED</x:v>
      </x:c>
      <x:c r="P74" s="19" t="str">
        <x:v>Identity and annual usage audited; current service, v2 identity/lineage and inclusion acceptance remain open.</x:v>
      </x:c>
      <x:c r="Q74" s="19" t="str"/>
      <x:c r="R74" s="19" t="str">
        <x:v>https://www.mlit.go.jp/koku/15_bf_000310.html</x:v>
      </x:c>
      <x:c r="S74" s="19" t="str">
        <x:v>https://www.mlit.go.jp/koku/content/002021265.pdf</x:v>
      </x:c>
      <x:c r="T74" s="20" t="n">
        <x:v>41</x:v>
      </x:c>
      <x:c r="U74" s="19" t="str">
        <x:v>https://www.mlit.go.jp/koku/content/002016480.xlsx</x:v>
      </x:c>
      <x:c r="V74" s="18" t="str">
        <x:v>空港管理状況調書 N3914</x:v>
      </x:c>
      <x:c r="W74" s="19"/>
      <x:c r="X74" s="18"/>
      <x:c r="Y74" s="18" t="str">
        <x:v>否</x:v>
      </x:c>
      <x:c r="Z74" s="19" t="str">
        <x:v>达到年度门槛，待验收</x:v>
      </x:c>
      <x:c r="AA74" s="20" t="n">
        <x:v>1000</x:v>
      </x:c>
    </x:row>
    <x:row r="75" ht="33" customHeight="1">
      <x:c r="A75" s="18" t="str">
        <x:v>与論</x:v>
      </x:c>
      <x:c r="B75" s="18" t="str">
        <x:v>B</x:v>
      </x:c>
      <x:c r="C75" s="19" t="str">
        <x:v>待审核</x:v>
      </x:c>
      <x:c r="D75" s="19" t="str">
        <x:v>T3</x:v>
      </x:c>
      <x:c r="E75" s="20" t="n">
        <x:v>92850</x:v>
      </x:c>
      <x:c r="F75" s="18" t="str">
        <x:v>FY2025</x:v>
      </x:c>
      <x:c r="G75" s="18" t="str">
        <x:v>passengers/year</x:v>
      </x:c>
      <x:c r="H75" s="18" t="str">
        <x:v>待核</x:v>
      </x:c>
      <x:c r="I75" s="20"/>
      <x:c r="J75" s="19" t="str">
        <x:v>ACCESS_REVIEW_REQUIRED</x:v>
      </x:c>
      <x:c r="K75" s="19" t="str">
        <x:v>LISTED_CURRENT_OPERATION_NOT_INDEPENDENTLY_CONFIRMED</x:v>
      </x:c>
      <x:c r="L75" s="19" t="str">
        <x:v>鹿児島県</x:v>
      </x:c>
      <x:c r="M75" s="19" t="str">
        <x:v>鹿児島県大島郡与論町</x:v>
      </x:c>
      <x:c r="N75" s="19" t="str">
        <x:v>4/1～9/30 10時間（8:30～18:30）</x:v>
      </x:c>
      <x:c r="O75" s="19" t="str">
        <x:v>CURRENT_OPERATOR_TIMETABLE_REVIEW_REQUIRED</x:v>
      </x:c>
      <x:c r="P75" s="19" t="str">
        <x:v>Identity and annual usage audited; current service, v2 identity/lineage and inclusion acceptance remain open.</x:v>
      </x:c>
      <x:c r="Q75" s="19" t="str"/>
      <x:c r="R75" s="19" t="str">
        <x:v>https://www.mlit.go.jp/koku/15_bf_000310.html</x:v>
      </x:c>
      <x:c r="S75" s="19" t="str">
        <x:v>https://www.mlit.go.jp/koku/content/002021265.pdf</x:v>
      </x:c>
      <x:c r="T75" s="20" t="n">
        <x:v>42</x:v>
      </x:c>
      <x:c r="U75" s="19" t="str">
        <x:v>https://www.mlit.go.jp/koku/content/002016480.xlsx</x:v>
      </x:c>
      <x:c r="V75" s="18" t="str">
        <x:v>空港管理状況調書 N3968</x:v>
      </x:c>
      <x:c r="W75" s="19"/>
      <x:c r="X75" s="18"/>
      <x:c r="Y75" s="18" t="str">
        <x:v>否</x:v>
      </x:c>
      <x:c r="Z75" s="19" t="str">
        <x:v>达到年度门槛，待验收</x:v>
      </x:c>
      <x:c r="AA75" s="20" t="n">
        <x:v>1000</x:v>
      </x:c>
    </x:row>
    <x:row r="76" ht="33" customHeight="1">
      <x:c r="A76" s="18" t="str">
        <x:v>粟国</x:v>
      </x:c>
      <x:c r="B76" s="18" t="str">
        <x:v>B</x:v>
      </x:c>
      <x:c r="C76" s="19" t="str">
        <x:v>待审核</x:v>
      </x:c>
      <x:c r="D76" s="19" t="str">
        <x:v>T3</x:v>
      </x:c>
      <x:c r="E76" s="20" t="n">
        <x:v>1347</x:v>
      </x:c>
      <x:c r="F76" s="18" t="str">
        <x:v>FY2025</x:v>
      </x:c>
      <x:c r="G76" s="18" t="str">
        <x:v>passengers/year</x:v>
      </x:c>
      <x:c r="H76" s="18" t="str">
        <x:v>待核</x:v>
      </x:c>
      <x:c r="I76" s="20"/>
      <x:c r="J76" s="19" t="str">
        <x:v>ACCESS_REVIEW_REQUIRED</x:v>
      </x:c>
      <x:c r="K76" s="19" t="str">
        <x:v>LISTED_CURRENT_OPERATION_NOT_INDEPENDENTLY_CONFIRMED</x:v>
      </x:c>
      <x:c r="L76" s="19" t="str">
        <x:v>沖縄県</x:v>
      </x:c>
      <x:c r="M76" s="19" t="str">
        <x:v>沖縄県島尻郡粟国村</x:v>
      </x:c>
      <x:c r="N76" s="19" t="str">
        <x:v>10時間（8:00～18:00）</x:v>
      </x:c>
      <x:c r="O76" s="19" t="str">
        <x:v>CURRENT_OPERATOR_TIMETABLE_REVIEW_REQUIRED</x:v>
      </x:c>
      <x:c r="P76" s="19" t="str">
        <x:v>Identity and annual usage audited; current service, v2 identity/lineage and inclusion acceptance remain open.</x:v>
      </x:c>
      <x:c r="Q76" s="19" t="str"/>
      <x:c r="R76" s="19" t="str">
        <x:v>https://www.mlit.go.jp/koku/15_bf_000310.html</x:v>
      </x:c>
      <x:c r="S76" s="19" t="str">
        <x:v>https://www.mlit.go.jp/koku/content/002021265.pdf</x:v>
      </x:c>
      <x:c r="T76" s="20" t="n">
        <x:v>43</x:v>
      </x:c>
      <x:c r="U76" s="19" t="str">
        <x:v>https://www.mlit.go.jp/koku/content/002016480.xlsx</x:v>
      </x:c>
      <x:c r="V76" s="18" t="str">
        <x:v>空港管理状況調書 N4022</x:v>
      </x:c>
      <x:c r="W76" s="19"/>
      <x:c r="X76" s="18"/>
      <x:c r="Y76" s="18" t="str">
        <x:v>否</x:v>
      </x:c>
      <x:c r="Z76" s="19" t="str">
        <x:v>达到年度门槛，待验收</x:v>
      </x:c>
      <x:c r="AA76" s="20" t="n">
        <x:v>1000</x:v>
      </x:c>
    </x:row>
    <x:row r="77" ht="33" customHeight="1">
      <x:c r="A77" s="18" t="str">
        <x:v>久米島</x:v>
      </x:c>
      <x:c r="B77" s="18" t="str">
        <x:v>B</x:v>
      </x:c>
      <x:c r="C77" s="19" t="str">
        <x:v>待审核</x:v>
      </x:c>
      <x:c r="D77" s="19" t="str">
        <x:v>T2</x:v>
      </x:c>
      <x:c r="E77" s="20" t="n">
        <x:v>221744</x:v>
      </x:c>
      <x:c r="F77" s="18" t="str">
        <x:v>FY2025</x:v>
      </x:c>
      <x:c r="G77" s="18" t="str">
        <x:v>passengers/year</x:v>
      </x:c>
      <x:c r="H77" s="18" t="str">
        <x:v>待核</x:v>
      </x:c>
      <x:c r="I77" s="20"/>
      <x:c r="J77" s="19" t="str">
        <x:v>ACCESS_REVIEW_REQUIRED</x:v>
      </x:c>
      <x:c r="K77" s="19" t="str">
        <x:v>LISTED_CURRENT_OPERATION_NOT_INDEPENDENTLY_CONFIRMED</x:v>
      </x:c>
      <x:c r="L77" s="19" t="str">
        <x:v>沖縄県</x:v>
      </x:c>
      <x:c r="M77" s="19" t="str">
        <x:v>沖縄県島尻郡久米島町</x:v>
      </x:c>
      <x:c r="N77" s="19" t="str">
        <x:v>11.5時間（8:00～19:30）</x:v>
      </x:c>
      <x:c r="O77" s="19" t="str">
        <x:v>CURRENT_OPERATOR_TIMETABLE_REVIEW_REQUIRED</x:v>
      </x:c>
      <x:c r="P77" s="19" t="str">
        <x:v>Identity and annual usage audited; current service, v2 identity/lineage and inclusion acceptance remain open.</x:v>
      </x:c>
      <x:c r="Q77" s="19" t="str"/>
      <x:c r="R77" s="19" t="str">
        <x:v>https://www.mlit.go.jp/koku/15_bf_000310.html</x:v>
      </x:c>
      <x:c r="S77" s="19" t="str">
        <x:v>https://www.mlit.go.jp/koku/content/002021265.pdf</x:v>
      </x:c>
      <x:c r="T77" s="20" t="n">
        <x:v>44</x:v>
      </x:c>
      <x:c r="U77" s="19" t="str">
        <x:v>https://www.mlit.go.jp/koku/content/002016480.xlsx</x:v>
      </x:c>
      <x:c r="V77" s="18" t="str">
        <x:v>空港管理状況調書 N4076</x:v>
      </x:c>
      <x:c r="W77" s="19"/>
      <x:c r="X77" s="18"/>
      <x:c r="Y77" s="18" t="str">
        <x:v>否</x:v>
      </x:c>
      <x:c r="Z77" s="19" t="str">
        <x:v>达到年度门槛，待验收</x:v>
      </x:c>
      <x:c r="AA77" s="20" t="n">
        <x:v>1000</x:v>
      </x:c>
    </x:row>
    <x:row r="78" ht="61" customHeight="1">
      <x:c r="A78" s="18" t="str">
        <x:v>慶良間</x:v>
      </x:c>
      <x:c r="B78" s="18" t="str">
        <x:v>B</x:v>
      </x:c>
      <x:c r="C78" s="19" t="str">
        <x:v>暂缓：规划相关性不足</x:v>
      </x:c>
      <x:c r="D78" s="19"/>
      <x:c r="E78" s="20" t="n">
        <x:v>155</x:v>
      </x:c>
      <x:c r="F78" s="18" t="str">
        <x:v>FY2025</x:v>
      </x:c>
      <x:c r="G78" s="18" t="str">
        <x:v>passengers/year</x:v>
      </x:c>
      <x:c r="H78" s="18" t="str">
        <x:v>待核</x:v>
      </x:c>
      <x:c r="I78" s="20"/>
      <x:c r="J78" s="19" t="str">
        <x:v>ACCESS_REVIEW_REQUIRED</x:v>
      </x:c>
      <x:c r="K78" s="19" t="str">
        <x:v>LISTED_CURRENT_OPERATION_NOT_INDEPENDENTLY_CONFIRMED</x:v>
      </x:c>
      <x:c r="L78" s="19" t="str">
        <x:v>沖縄県</x:v>
      </x:c>
      <x:c r="M78" s="19" t="str">
        <x:v>沖縄県島尻郡座間味村</x:v>
      </x:c>
      <x:c r="N78" s="19" t="str">
        <x:v>8時間（9:00～17:00）</x:v>
      </x:c>
      <x:c r="O78" s="19" t="str">
        <x:v>CURRENT_OPERATOR_TIMETABLE_REVIEW_REQUIRED</x:v>
      </x:c>
      <x:c r="P78" s="19" t="str">
        <x:v>Excluded from planning candidates by confirmed annual-passenger threshold (&lt;1000); this is not a closure finding.</x:v>
      </x:c>
      <x:c r="Q78" s="19" t="str">
        <x:v>{"sourceColumn":"N","sourceRow":4130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155}</x:v>
      </x:c>
      <x:c r="R78" s="19" t="str">
        <x:v>https://www.mlit.go.jp/koku/15_bf_000310.html</x:v>
      </x:c>
      <x:c r="S78" s="19" t="str">
        <x:v>https://www.mlit.go.jp/koku/content/002021265.pdf</x:v>
      </x:c>
      <x:c r="T78" s="20" t="n">
        <x:v>45</x:v>
      </x:c>
      <x:c r="U78" s="19" t="str">
        <x:v>https://www.mlit.go.jp/koku/content/002016480.xlsx</x:v>
      </x:c>
      <x:c r="V78" s="18" t="str">
        <x:v>空港管理状況調書 N4130</x:v>
      </x:c>
      <x:c r="W78" s="19"/>
      <x:c r="X78" s="18"/>
      <x:c r="Y78" s="18" t="str">
        <x:v>否</x:v>
      </x:c>
      <x:c r="Z78" s="19" t="str">
        <x:v>排除：年旅客少于1,000</x:v>
      </x:c>
      <x:c r="AA78" s="20" t="n">
        <x:v>1000</x:v>
      </x:c>
    </x:row>
    <x:row r="79" ht="33" customHeight="1">
      <x:c r="A79" s="18" t="str">
        <x:v>南大東</x:v>
      </x:c>
      <x:c r="B79" s="18" t="str">
        <x:v>B</x:v>
      </x:c>
      <x:c r="C79" s="19" t="str">
        <x:v>待审核</x:v>
      </x:c>
      <x:c r="D79" s="19" t="str">
        <x:v>T3</x:v>
      </x:c>
      <x:c r="E79" s="20" t="n">
        <x:v>39401</x:v>
      </x:c>
      <x:c r="F79" s="18" t="str">
        <x:v>FY2025</x:v>
      </x:c>
      <x:c r="G79" s="18" t="str">
        <x:v>passengers/year</x:v>
      </x:c>
      <x:c r="H79" s="18" t="str">
        <x:v>待核</x:v>
      </x:c>
      <x:c r="I79" s="20"/>
      <x:c r="J79" s="19" t="str">
        <x:v>ACCESS_REVIEW_REQUIRED</x:v>
      </x:c>
      <x:c r="K79" s="19" t="str">
        <x:v>LISTED_CURRENT_OPERATION_NOT_INDEPENDENTLY_CONFIRMED</x:v>
      </x:c>
      <x:c r="L79" s="19" t="str">
        <x:v>沖縄県</x:v>
      </x:c>
      <x:c r="M79" s="19" t="str">
        <x:v>沖縄県島尻郡南大東村</x:v>
      </x:c>
      <x:c r="N79" s="19" t="str">
        <x:v>10時間（8:00～18:00）</x:v>
      </x:c>
      <x:c r="O79" s="19" t="str">
        <x:v>CURRENT_OPERATOR_TIMETABLE_REVIEW_REQUIRED</x:v>
      </x:c>
      <x:c r="P79" s="19" t="str">
        <x:v>Identity and annual usage audited; current service, v2 identity/lineage and inclusion acceptance remain open.</x:v>
      </x:c>
      <x:c r="Q79" s="19" t="str"/>
      <x:c r="R79" s="19" t="str">
        <x:v>https://www.mlit.go.jp/koku/15_bf_000310.html</x:v>
      </x:c>
      <x:c r="S79" s="19" t="str">
        <x:v>https://www.mlit.go.jp/koku/content/002021265.pdf</x:v>
      </x:c>
      <x:c r="T79" s="20" t="n">
        <x:v>46</x:v>
      </x:c>
      <x:c r="U79" s="19" t="str">
        <x:v>https://www.mlit.go.jp/koku/content/002016480.xlsx</x:v>
      </x:c>
      <x:c r="V79" s="18" t="str">
        <x:v>空港管理状況調書 N4184</x:v>
      </x:c>
      <x:c r="W79" s="19"/>
      <x:c r="X79" s="18"/>
      <x:c r="Y79" s="18" t="str">
        <x:v>否</x:v>
      </x:c>
      <x:c r="Z79" s="19" t="str">
        <x:v>达到年度门槛，待验收</x:v>
      </x:c>
      <x:c r="AA79" s="20" t="n">
        <x:v>1000</x:v>
      </x:c>
    </x:row>
    <x:row r="80" ht="33" customHeight="1">
      <x:c r="A80" s="18" t="str">
        <x:v>北大東</x:v>
      </x:c>
      <x:c r="B80" s="18" t="str">
        <x:v>B</x:v>
      </x:c>
      <x:c r="C80" s="19" t="str">
        <x:v>待审核</x:v>
      </x:c>
      <x:c r="D80" s="19" t="str">
        <x:v>T3</x:v>
      </x:c>
      <x:c r="E80" s="20" t="n">
        <x:v>21333</x:v>
      </x:c>
      <x:c r="F80" s="18" t="str">
        <x:v>FY2025</x:v>
      </x:c>
      <x:c r="G80" s="18" t="str">
        <x:v>passengers/year</x:v>
      </x:c>
      <x:c r="H80" s="18" t="str">
        <x:v>待核</x:v>
      </x:c>
      <x:c r="I80" s="20"/>
      <x:c r="J80" s="19" t="str">
        <x:v>ACCESS_REVIEW_REQUIRED</x:v>
      </x:c>
      <x:c r="K80" s="19" t="str">
        <x:v>LISTED_CURRENT_OPERATION_NOT_INDEPENDENTLY_CONFIRMED</x:v>
      </x:c>
      <x:c r="L80" s="19" t="str">
        <x:v>沖縄県</x:v>
      </x:c>
      <x:c r="M80" s="19" t="str">
        <x:v>沖縄県島尻郡北大東村</x:v>
      </x:c>
      <x:c r="N80" s="19" t="str">
        <x:v>10時間（8:00～18:00）</x:v>
      </x:c>
      <x:c r="O80" s="19" t="str">
        <x:v>CURRENT_OPERATOR_TIMETABLE_REVIEW_REQUIRED</x:v>
      </x:c>
      <x:c r="P80" s="19" t="str">
        <x:v>Identity and annual usage audited; current service, v2 identity/lineage and inclusion acceptance remain open.</x:v>
      </x:c>
      <x:c r="Q80" s="19" t="str"/>
      <x:c r="R80" s="19" t="str">
        <x:v>https://www.mlit.go.jp/koku/15_bf_000310.html</x:v>
      </x:c>
      <x:c r="S80" s="19" t="str">
        <x:v>https://www.mlit.go.jp/koku/content/002021265.pdf</x:v>
      </x:c>
      <x:c r="T80" s="20" t="n">
        <x:v>47</x:v>
      </x:c>
      <x:c r="U80" s="19" t="str">
        <x:v>https://www.mlit.go.jp/koku/content/002016480.xlsx</x:v>
      </x:c>
      <x:c r="V80" s="18" t="str">
        <x:v>空港管理状況調書 N4238</x:v>
      </x:c>
      <x:c r="W80" s="19"/>
      <x:c r="X80" s="18"/>
      <x:c r="Y80" s="18" t="str">
        <x:v>否</x:v>
      </x:c>
      <x:c r="Z80" s="19" t="str">
        <x:v>达到年度门槛，待验收</x:v>
      </x:c>
      <x:c r="AA80" s="20" t="n">
        <x:v>1000</x:v>
      </x:c>
    </x:row>
    <x:row r="81" ht="61" customHeight="1">
      <x:c r="A81" s="18" t="str">
        <x:v>伊江島</x:v>
      </x:c>
      <x:c r="B81" s="18" t="str">
        <x:v>B</x:v>
      </x:c>
      <x:c r="C81" s="19" t="str">
        <x:v>暂缓：规划相关性不足</x:v>
      </x:c>
      <x:c r="D81" s="19"/>
      <x:c r="E81" s="20" t="n">
        <x:v>380</x:v>
      </x:c>
      <x:c r="F81" s="18" t="str">
        <x:v>FY2025</x:v>
      </x:c>
      <x:c r="G81" s="18" t="str">
        <x:v>passengers/year</x:v>
      </x:c>
      <x:c r="H81" s="18" t="str">
        <x:v>待核</x:v>
      </x:c>
      <x:c r="I81" s="20"/>
      <x:c r="J81" s="19" t="str">
        <x:v>ACCESS_REVIEW_REQUIRED</x:v>
      </x:c>
      <x:c r="K81" s="19" t="str">
        <x:v>LISTED_CURRENT_OPERATION_NOT_INDEPENDENTLY_CONFIRMED</x:v>
      </x:c>
      <x:c r="L81" s="19" t="str">
        <x:v>沖縄県</x:v>
      </x:c>
      <x:c r="M81" s="19" t="str">
        <x:v>沖縄県国頭郡伊江村</x:v>
      </x:c>
      <x:c r="N81" s="19" t="str">
        <x:v>土曜日　4.5時間（12:15～16:45）</x:v>
      </x:c>
      <x:c r="O81" s="19" t="str">
        <x:v>CURRENT_OPERATOR_TIMETABLE_REVIEW_REQUIRED</x:v>
      </x:c>
      <x:c r="P81" s="19" t="str">
        <x:v>Excluded from planning candidates by confirmed annual-passenger threshold (&lt;1000); this is not a closure finding.</x:v>
      </x:c>
      <x:c r="Q81" s="19" t="str">
        <x:v>{"sourceColumn":"N","sourceRow":4292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380}</x:v>
      </x:c>
      <x:c r="R81" s="19" t="str">
        <x:v>https://www.mlit.go.jp/koku/15_bf_000310.html</x:v>
      </x:c>
      <x:c r="S81" s="19" t="str">
        <x:v>https://www.mlit.go.jp/koku/content/002021265.pdf</x:v>
      </x:c>
      <x:c r="T81" s="20" t="n">
        <x:v>48</x:v>
      </x:c>
      <x:c r="U81" s="19" t="str">
        <x:v>https://www.mlit.go.jp/koku/content/002016480.xlsx</x:v>
      </x:c>
      <x:c r="V81" s="18" t="str">
        <x:v>空港管理状況調書 N4292</x:v>
      </x:c>
      <x:c r="W81" s="19"/>
      <x:c r="X81" s="18"/>
      <x:c r="Y81" s="18" t="str">
        <x:v>否</x:v>
      </x:c>
      <x:c r="Z81" s="19" t="str">
        <x:v>排除：年旅客少于1,000</x:v>
      </x:c>
      <x:c r="AA81" s="20" t="n">
        <x:v>1000</x:v>
      </x:c>
    </x:row>
    <x:row r="82" ht="33" customHeight="1">
      <x:c r="A82" s="18" t="str">
        <x:v>宮古</x:v>
      </x:c>
      <x:c r="B82" s="18" t="str">
        <x:v>B</x:v>
      </x:c>
      <x:c r="C82" s="19" t="str">
        <x:v>待审核</x:v>
      </x:c>
      <x:c r="D82" s="19" t="str">
        <x:v>T1</x:v>
      </x:c>
      <x:c r="E82" s="20" t="n">
        <x:v>2053502</x:v>
      </x:c>
      <x:c r="F82" s="18" t="str">
        <x:v>FY2025</x:v>
      </x:c>
      <x:c r="G82" s="18" t="str">
        <x:v>passengers/year</x:v>
      </x:c>
      <x:c r="H82" s="18" t="str">
        <x:v>已核指南</x:v>
      </x:c>
      <x:c r="I82" s="20" t="n">
        <x:v>0</x:v>
      </x:c>
      <x:c r="J82" s="19" t="str">
        <x:v>GROUND_ACCESS_GUIDE_NO_RAIL_COMPONENT_LISTED</x:v>
      </x:c>
      <x:c r="K82" s="19" t="str">
        <x:v>LISTED_CURRENT_OPERATION_NOT_INDEPENDENTLY_CONFIRMED</x:v>
      </x:c>
      <x:c r="L82" s="19" t="str">
        <x:v>沖縄県</x:v>
      </x:c>
      <x:c r="M82" s="19" t="str">
        <x:v>沖縄県宮古島市</x:v>
      </x:c>
      <x:c r="N82" s="19" t="str">
        <x:v>13時間（8:00～21:00）</x:v>
      </x:c>
      <x:c r="O82" s="19" t="str">
        <x:v>CURRENT_OPERATOR_TIMETABLE_REVIEW_REQUIRED</x:v>
      </x:c>
      <x:c r="P82" s="19" t="str">
        <x:v>Identity and annual usage audited; current service, v2 identity/lineage and inclusion acceptance remain open.</x:v>
      </x:c>
      <x:c r="Q82" s="19" t="str"/>
      <x:c r="R82" s="19" t="str">
        <x:v>https://www.mlit.go.jp/koku/15_bf_000310.html</x:v>
      </x:c>
      <x:c r="S82" s="19" t="str">
        <x:v>https://www.mlit.go.jp/koku/content/002021265.pdf</x:v>
      </x:c>
      <x:c r="T82" s="20" t="n">
        <x:v>49</x:v>
      </x:c>
      <x:c r="U82" s="19" t="str">
        <x:v>https://www.mlit.go.jp/koku/content/002016480.xlsx</x:v>
      </x:c>
      <x:c r="V82" s="18" t="str">
        <x:v>空港管理状況調書 N4346</x:v>
      </x:c>
      <x:c r="W82" s="19" t="str">
        <x:v>https://miyakoap.co.jp/bus-taxi/</x:v>
      </x:c>
      <x:c r="X82" s="18" t="str">
        <x:v>transport-node:0dcd77e4-39ae-5d32-8802-decc25c29434</x:v>
      </x:c>
      <x:c r="Y82" s="18" t="str">
        <x:v>否</x:v>
      </x:c>
      <x:c r="Z82" s="19" t="str">
        <x:v>达到年度门槛，待验收</x:v>
      </x:c>
      <x:c r="AA82" s="20" t="n">
        <x:v>1000</x:v>
      </x:c>
    </x:row>
    <x:row r="83" ht="33" customHeight="1">
      <x:c r="A83" s="18" t="str">
        <x:v>下地島</x:v>
      </x:c>
      <x:c r="B83" s="18" t="str">
        <x:v>B</x:v>
      </x:c>
      <x:c r="C83" s="19" t="str">
        <x:v>待审核</x:v>
      </x:c>
      <x:c r="D83" s="19" t="str">
        <x:v>T2</x:v>
      </x:c>
      <x:c r="E83" s="20" t="n">
        <x:v>512486</x:v>
      </x:c>
      <x:c r="F83" s="18" t="str">
        <x:v>FY2025</x:v>
      </x:c>
      <x:c r="G83" s="18" t="str">
        <x:v>passengers/year</x:v>
      </x:c>
      <x:c r="H83" s="18" t="str">
        <x:v>已核指南</x:v>
      </x:c>
      <x:c r="I83" s="20" t="n">
        <x:v>0</x:v>
      </x:c>
      <x:c r="J83" s="19" t="str">
        <x:v>GROUND_ACCESS_GUIDE_NO_RAIL_COMPONENT_LISTED</x:v>
      </x:c>
      <x:c r="K83" s="19" t="str">
        <x:v>LISTED_CURRENT_OPERATION_NOT_INDEPENDENTLY_CONFIRMED</x:v>
      </x:c>
      <x:c r="L83" s="19" t="str">
        <x:v>沖縄県</x:v>
      </x:c>
      <x:c r="M83" s="19" t="str">
        <x:v>沖縄県宮古島市</x:v>
      </x:c>
      <x:c r="N83" s="19" t="str">
        <x:v>11.5時間（8:00～19:30）</x:v>
      </x:c>
      <x:c r="O83" s="19" t="str">
        <x:v>CURRENT_OPERATOR_TIMETABLE_REVIEW_REQUIRED</x:v>
      </x:c>
      <x:c r="P83" s="19" t="str">
        <x:v>Identity and annual usage audited; current service, v2 identity/lineage and inclusion acceptance remain open.</x:v>
      </x:c>
      <x:c r="Q83" s="19" t="str"/>
      <x:c r="R83" s="19" t="str">
        <x:v>https://www.mlit.go.jp/koku/15_bf_000310.html</x:v>
      </x:c>
      <x:c r="S83" s="19" t="str">
        <x:v>https://www.mlit.go.jp/koku/content/002021265.pdf</x:v>
      </x:c>
      <x:c r="T83" s="20" t="n">
        <x:v>50</x:v>
      </x:c>
      <x:c r="U83" s="19" t="str">
        <x:v>https://www.mlit.go.jp/koku/content/002016480.xlsx</x:v>
      </x:c>
      <x:c r="V83" s="18" t="str">
        <x:v>空港管理状況調書 N4400</x:v>
      </x:c>
      <x:c r="W83" s="19" t="str">
        <x:v>https://www.pref.okinawa.lg.jp/machizukuri/kowankuko/1012617/1012639/1012642/1024031/1012649.html</x:v>
      </x:c>
      <x:c r="X83" s="18" t="str">
        <x:v>transport-node:fbdd6a31-4339-583b-bed2-7895472da7ed</x:v>
      </x:c>
      <x:c r="Y83" s="18" t="str">
        <x:v>否</x:v>
      </x:c>
      <x:c r="Z83" s="19" t="str">
        <x:v>达到年度门槛，待验收</x:v>
      </x:c>
      <x:c r="AA83" s="20" t="n">
        <x:v>1000</x:v>
      </x:c>
    </x:row>
    <x:row r="84" ht="33" customHeight="1">
      <x:c r="A84" s="18" t="str">
        <x:v>多良間</x:v>
      </x:c>
      <x:c r="B84" s="18" t="str">
        <x:v>B</x:v>
      </x:c>
      <x:c r="C84" s="19" t="str">
        <x:v>待审核</x:v>
      </x:c>
      <x:c r="D84" s="19" t="str">
        <x:v>T3</x:v>
      </x:c>
      <x:c r="E84" s="20" t="n">
        <x:v>54400</x:v>
      </x:c>
      <x:c r="F84" s="18" t="str">
        <x:v>FY2025</x:v>
      </x:c>
      <x:c r="G84" s="18" t="str">
        <x:v>passengers/year</x:v>
      </x:c>
      <x:c r="H84" s="18" t="str">
        <x:v>待核</x:v>
      </x:c>
      <x:c r="I84" s="20"/>
      <x:c r="J84" s="19" t="str">
        <x:v>ACCESS_REVIEW_REQUIRED</x:v>
      </x:c>
      <x:c r="K84" s="19" t="str">
        <x:v>LISTED_CURRENT_OPERATION_NOT_INDEPENDENTLY_CONFIRMED</x:v>
      </x:c>
      <x:c r="L84" s="19" t="str">
        <x:v>沖縄県</x:v>
      </x:c>
      <x:c r="M84" s="19" t="str">
        <x:v>沖縄県宮古郡多良間村</x:v>
      </x:c>
      <x:c r="N84" s="19" t="str">
        <x:v>10時間（8:00～18:00）</x:v>
      </x:c>
      <x:c r="O84" s="19" t="str">
        <x:v>CURRENT_OPERATOR_TIMETABLE_REVIEW_REQUIRED</x:v>
      </x:c>
      <x:c r="P84" s="19" t="str">
        <x:v>Identity and annual usage audited; current service, v2 identity/lineage and inclusion acceptance remain open.</x:v>
      </x:c>
      <x:c r="Q84" s="19" t="str"/>
      <x:c r="R84" s="19" t="str">
        <x:v>https://www.mlit.go.jp/koku/15_bf_000310.html</x:v>
      </x:c>
      <x:c r="S84" s="19" t="str">
        <x:v>https://www.mlit.go.jp/koku/content/002021265.pdf</x:v>
      </x:c>
      <x:c r="T84" s="20" t="n">
        <x:v>51</x:v>
      </x:c>
      <x:c r="U84" s="19" t="str">
        <x:v>https://www.mlit.go.jp/koku/content/002016480.xlsx</x:v>
      </x:c>
      <x:c r="V84" s="18" t="str">
        <x:v>空港管理状況調書 N4454</x:v>
      </x:c>
      <x:c r="W84" s="19"/>
      <x:c r="X84" s="18"/>
      <x:c r="Y84" s="18" t="str">
        <x:v>否</x:v>
      </x:c>
      <x:c r="Z84" s="19" t="str">
        <x:v>达到年度门槛，待验收</x:v>
      </x:c>
      <x:c r="AA84" s="20" t="n">
        <x:v>1000</x:v>
      </x:c>
    </x:row>
    <x:row r="85" ht="33" customHeight="1">
      <x:c r="A85" s="18" t="str">
        <x:v>石垣</x:v>
      </x:c>
      <x:c r="B85" s="18" t="str">
        <x:v>B</x:v>
      </x:c>
      <x:c r="C85" s="19" t="str">
        <x:v>待审核</x:v>
      </x:c>
      <x:c r="D85" s="19" t="str">
        <x:v>T1</x:v>
      </x:c>
      <x:c r="E85" s="20" t="n">
        <x:v>2926581</x:v>
      </x:c>
      <x:c r="F85" s="18" t="str">
        <x:v>FY2025</x:v>
      </x:c>
      <x:c r="G85" s="18" t="str">
        <x:v>passengers/year</x:v>
      </x:c>
      <x:c r="H85" s="18" t="str">
        <x:v>已核指南</x:v>
      </x:c>
      <x:c r="I85" s="20" t="n">
        <x:v>0</x:v>
      </x:c>
      <x:c r="J85" s="19" t="str">
        <x:v>GROUND_ACCESS_GUIDE_NO_RAIL_COMPONENT_LISTED</x:v>
      </x:c>
      <x:c r="K85" s="19" t="str">
        <x:v>LISTED_CURRENT_OPERATION_NOT_INDEPENDENTLY_CONFIRMED</x:v>
      </x:c>
      <x:c r="L85" s="19" t="str">
        <x:v>沖縄県</x:v>
      </x:c>
      <x:c r="M85" s="19" t="str">
        <x:v>沖縄県石垣市</x:v>
      </x:c>
      <x:c r="N85" s="19" t="str">
        <x:v>13時間（8:00～21:00）</x:v>
      </x:c>
      <x:c r="O85" s="19" t="str">
        <x:v>CURRENT_OPERATOR_TIMETABLE_REVIEW_REQUIRED</x:v>
      </x:c>
      <x:c r="P85" s="19" t="str">
        <x:v>Identity and annual usage audited; current service, v2 identity/lineage and inclusion acceptance remain open.</x:v>
      </x:c>
      <x:c r="Q85" s="19" t="str"/>
      <x:c r="R85" s="19" t="str">
        <x:v>https://www.mlit.go.jp/koku/15_bf_000310.html</x:v>
      </x:c>
      <x:c r="S85" s="19" t="str">
        <x:v>https://www.mlit.go.jp/koku/content/002021265.pdf</x:v>
      </x:c>
      <x:c r="T85" s="20" t="n">
        <x:v>52</x:v>
      </x:c>
      <x:c r="U85" s="19" t="str">
        <x:v>https://www.mlit.go.jp/koku/content/002016480.xlsx</x:v>
      </x:c>
      <x:c r="V85" s="18" t="str">
        <x:v>空港管理状況調書 N4508</x:v>
      </x:c>
      <x:c r="W85" s="19" t="str">
        <x:v>https://www.ishigaki-airport.co.jp/access/bus-taxi/index.html</x:v>
      </x:c>
      <x:c r="X85" s="18" t="str">
        <x:v>transport-node:95363cc3-5ee1-588c-b00a-555abd5bb8c7</x:v>
      </x:c>
      <x:c r="Y85" s="18" t="str">
        <x:v>否</x:v>
      </x:c>
      <x:c r="Z85" s="19" t="str">
        <x:v>达到年度门槛，待验收</x:v>
      </x:c>
      <x:c r="AA85" s="20" t="n">
        <x:v>1000</x:v>
      </x:c>
    </x:row>
    <x:row r="86" ht="33" customHeight="1">
      <x:c r="A86" s="18" t="str">
        <x:v>波照間</x:v>
      </x:c>
      <x:c r="B86" s="18" t="str">
        <x:v>B</x:v>
      </x:c>
      <x:c r="C86" s="19" t="str">
        <x:v>待审核</x:v>
      </x:c>
      <x:c r="D86" s="19" t="str">
        <x:v>T3</x:v>
      </x:c>
      <x:c r="E86" s="20" t="n">
        <x:v>1017</x:v>
      </x:c>
      <x:c r="F86" s="18" t="str">
        <x:v>FY2025</x:v>
      </x:c>
      <x:c r="G86" s="18" t="str">
        <x:v>passengers/year</x:v>
      </x:c>
      <x:c r="H86" s="18" t="str">
        <x:v>待核</x:v>
      </x:c>
      <x:c r="I86" s="20"/>
      <x:c r="J86" s="19" t="str">
        <x:v>ACCESS_REVIEW_REQUIRED</x:v>
      </x:c>
      <x:c r="K86" s="19" t="str">
        <x:v>LISTED_CURRENT_OPERATION_NOT_INDEPENDENTLY_CONFIRMED</x:v>
      </x:c>
      <x:c r="L86" s="19" t="str">
        <x:v>沖縄県</x:v>
      </x:c>
      <x:c r="M86" s="19" t="str">
        <x:v>沖縄県八重山郡竹富町</x:v>
      </x:c>
      <x:c r="N86" s="19" t="str">
        <x:v>10時間（8:00～18:00）</x:v>
      </x:c>
      <x:c r="O86" s="19" t="str">
        <x:v>CURRENT_OPERATOR_TIMETABLE_REVIEW_REQUIRED</x:v>
      </x:c>
      <x:c r="P86" s="19" t="str">
        <x:v>Identity and annual usage audited; current service, v2 identity/lineage and inclusion acceptance remain open.</x:v>
      </x:c>
      <x:c r="Q86" s="19" t="str"/>
      <x:c r="R86" s="19" t="str">
        <x:v>https://www.mlit.go.jp/koku/15_bf_000310.html</x:v>
      </x:c>
      <x:c r="S86" s="19" t="str">
        <x:v>https://www.mlit.go.jp/koku/content/002021265.pdf</x:v>
      </x:c>
      <x:c r="T86" s="20" t="n">
        <x:v>53</x:v>
      </x:c>
      <x:c r="U86" s="19" t="str">
        <x:v>https://www.mlit.go.jp/koku/content/002016480.xlsx</x:v>
      </x:c>
      <x:c r="V86" s="18" t="str">
        <x:v>空港管理状況調書 N4562</x:v>
      </x:c>
      <x:c r="W86" s="19"/>
      <x:c r="X86" s="18"/>
      <x:c r="Y86" s="18" t="str">
        <x:v>否</x:v>
      </x:c>
      <x:c r="Z86" s="19" t="str">
        <x:v>达到年度门槛，待验收</x:v>
      </x:c>
      <x:c r="AA86" s="20" t="n">
        <x:v>1000</x:v>
      </x:c>
    </x:row>
    <x:row r="87" ht="33" customHeight="1">
      <x:c r="A87" s="18" t="str">
        <x:v>与那国</x:v>
      </x:c>
      <x:c r="B87" s="18" t="str">
        <x:v>B</x:v>
      </x:c>
      <x:c r="C87" s="19" t="str">
        <x:v>待审核</x:v>
      </x:c>
      <x:c r="D87" s="19" t="str">
        <x:v>T2</x:v>
      </x:c>
      <x:c r="E87" s="20" t="n">
        <x:v>122203</x:v>
      </x:c>
      <x:c r="F87" s="18" t="str">
        <x:v>FY2025</x:v>
      </x:c>
      <x:c r="G87" s="18" t="str">
        <x:v>passengers/year</x:v>
      </x:c>
      <x:c r="H87" s="18" t="str">
        <x:v>已核指南</x:v>
      </x:c>
      <x:c r="I87" s="20" t="n">
        <x:v>0</x:v>
      </x:c>
      <x:c r="J87" s="19" t="str">
        <x:v>GROUND_ACCESS_GUIDE_NO_RAIL_COMPONENT_LISTED</x:v>
      </x:c>
      <x:c r="K87" s="19" t="str">
        <x:v>LISTED_CURRENT_OPERATION_NOT_INDEPENDENTLY_CONFIRMED</x:v>
      </x:c>
      <x:c r="L87" s="19" t="str">
        <x:v>沖縄県</x:v>
      </x:c>
      <x:c r="M87" s="19" t="str">
        <x:v>沖縄県八重山郡与那国町</x:v>
      </x:c>
      <x:c r="N87" s="19" t="str">
        <x:v>11.5時間（8:00～19:30）</x:v>
      </x:c>
      <x:c r="O87" s="19" t="str">
        <x:v>CURRENT_OPERATOR_TIMETABLE_REVIEW_REQUIRED</x:v>
      </x:c>
      <x:c r="P87" s="19" t="str">
        <x:v>Identity and annual usage audited; current service, v2 identity/lineage and inclusion acceptance remain open.</x:v>
      </x:c>
      <x:c r="Q87" s="19" t="str"/>
      <x:c r="R87" s="19" t="str">
        <x:v>https://www.mlit.go.jp/koku/15_bf_000310.html</x:v>
      </x:c>
      <x:c r="S87" s="19" t="str">
        <x:v>https://www.mlit.go.jp/koku/content/002021265.pdf</x:v>
      </x:c>
      <x:c r="T87" s="20" t="n">
        <x:v>54</x:v>
      </x:c>
      <x:c r="U87" s="19" t="str">
        <x:v>https://www.mlit.go.jp/koku/content/002016480.xlsx</x:v>
      </x:c>
      <x:c r="V87" s="18" t="str">
        <x:v>空港管理状況調書 N4616</x:v>
      </x:c>
      <x:c r="W87" s="19" t="str">
        <x:v>https://welcome-yonaguni.jp/access/</x:v>
      </x:c>
      <x:c r="X87" s="18" t="str">
        <x:v>transport-node:ca0d622e-7e31-5927-b5f7-b0350e8ee661</x:v>
      </x:c>
      <x:c r="Y87" s="18" t="str">
        <x:v>否</x:v>
      </x:c>
      <x:c r="Z87" s="19" t="str">
        <x:v>达到年度门槛，待验收</x:v>
      </x:c>
      <x:c r="AA87" s="20" t="n">
        <x:v>1000</x:v>
      </x:c>
    </x:row>
    <x:row r="88" ht="33" customHeight="1">
      <x:c r="A88" s="18" t="str">
        <x:v>調布</x:v>
      </x:c>
      <x:c r="B88" s="18" t="str">
        <x:v>C</x:v>
      </x:c>
      <x:c r="C88" s="19" t="str">
        <x:v>待审核</x:v>
      </x:c>
      <x:c r="D88" s="19" t="str">
        <x:v>T2</x:v>
      </x:c>
      <x:c r="E88" s="20" t="n">
        <x:v>101487</x:v>
      </x:c>
      <x:c r="F88" s="18" t="str">
        <x:v>FY2025</x:v>
      </x:c>
      <x:c r="G88" s="18" t="str">
        <x:v>passengers/year</x:v>
      </x:c>
      <x:c r="H88" s="18" t="str">
        <x:v>待核</x:v>
      </x:c>
      <x:c r="I88" s="20"/>
      <x:c r="J88" s="19" t="str">
        <x:v>ACCESS_REVIEW_REQUIRED</x:v>
      </x:c>
      <x:c r="K88" s="19" t="str">
        <x:v>LISTED_CURRENT_OPERATION_NOT_INDEPENDENTLY_CONFIRMED</x:v>
      </x:c>
      <x:c r="L88" s="19"/>
      <x:c r="M88" s="19"/>
      <x:c r="N88" s="19"/>
      <x:c r="O88" s="19" t="str">
        <x:v>CURRENT_OPERATOR_TIMETABLE_REVIEW_REQUIRED</x:v>
      </x:c>
      <x:c r="P88" s="19" t="str">
        <x:v>Identity and annual usage audited; current service, v2 identity/lineage and inclusion acceptance remain open.</x:v>
      </x:c>
      <x:c r="Q88" s="19" t="str"/>
      <x:c r="R88" s="19" t="str">
        <x:v>https://www.mlit.go.jp/koku/15_bf_000310.html</x:v>
      </x:c>
      <x:c r="S88" s="19"/>
      <x:c r="T88" s="20"/>
      <x:c r="U88" s="19" t="str">
        <x:v>https://www.mlit.go.jp/koku/content/002016480.xlsx</x:v>
      </x:c>
      <x:c r="V88" s="18" t="str">
        <x:v>空港管理状況調書 N5156</x:v>
      </x:c>
      <x:c r="W88" s="19"/>
      <x:c r="X88" s="18"/>
      <x:c r="Y88" s="18" t="str">
        <x:v>否</x:v>
      </x:c>
      <x:c r="Z88" s="19" t="str">
        <x:v>达到年度门槛，待验收</x:v>
      </x:c>
      <x:c r="AA88" s="20" t="n">
        <x:v>1000</x:v>
      </x:c>
    </x:row>
    <x:row r="89" ht="33" customHeight="1">
      <x:c r="A89" s="18" t="str">
        <x:v>名古屋</x:v>
      </x:c>
      <x:c r="B89" s="18" t="str">
        <x:v>C</x:v>
      </x:c>
      <x:c r="C89" s="19" t="str">
        <x:v>待审核</x:v>
      </x:c>
      <x:c r="D89" s="19" t="str">
        <x:v>T2</x:v>
      </x:c>
      <x:c r="E89" s="20" t="n">
        <x:v>902080</x:v>
      </x:c>
      <x:c r="F89" s="18" t="str">
        <x:v>FY2025</x:v>
      </x:c>
      <x:c r="G89" s="18" t="str">
        <x:v>passengers/year</x:v>
      </x:c>
      <x:c r="H89" s="18" t="str">
        <x:v>待核</x:v>
      </x:c>
      <x:c r="I89" s="20"/>
      <x:c r="J89" s="19" t="str">
        <x:v>ACCESS_REVIEW_REQUIRED</x:v>
      </x:c>
      <x:c r="K89" s="19" t="str">
        <x:v>LISTED_CURRENT_OPERATION_NOT_INDEPENDENTLY_CONFIRMED</x:v>
      </x:c>
      <x:c r="L89" s="19"/>
      <x:c r="M89" s="19"/>
      <x:c r="N89" s="19"/>
      <x:c r="O89" s="19" t="str">
        <x:v>CURRENT_OPERATOR_TIMETABLE_REVIEW_REQUIRED</x:v>
      </x:c>
      <x:c r="P89" s="19" t="str">
        <x:v>Identity and annual usage audited; current service, v2 identity/lineage and inclusion acceptance remain open.</x:v>
      </x:c>
      <x:c r="Q89" s="19" t="str"/>
      <x:c r="R89" s="19" t="str">
        <x:v>https://www.mlit.go.jp/koku/15_bf_000310.html</x:v>
      </x:c>
      <x:c r="S89" s="19"/>
      <x:c r="T89" s="20"/>
      <x:c r="U89" s="19" t="str">
        <x:v>https://www.mlit.go.jp/koku/content/002016480.xlsx</x:v>
      </x:c>
      <x:c r="V89" s="18" t="str">
        <x:v>空港管理状況調書 N5210</x:v>
      </x:c>
      <x:c r="W89" s="19"/>
      <x:c r="X89" s="18"/>
      <x:c r="Y89" s="18" t="str">
        <x:v>否</x:v>
      </x:c>
      <x:c r="Z89" s="19" t="str">
        <x:v>达到年度门槛，待验收</x:v>
      </x:c>
      <x:c r="AA89" s="20" t="n">
        <x:v>1000</x:v>
      </x:c>
    </x:row>
    <x:row r="90" ht="33" customHeight="1">
      <x:c r="A90" s="18" t="str">
        <x:v>但馬</x:v>
      </x:c>
      <x:c r="B90" s="18" t="str">
        <x:v>C</x:v>
      </x:c>
      <x:c r="C90" s="19" t="str">
        <x:v>待审核</x:v>
      </x:c>
      <x:c r="D90" s="19" t="str">
        <x:v>T3</x:v>
      </x:c>
      <x:c r="E90" s="20" t="n">
        <x:v>40021</x:v>
      </x:c>
      <x:c r="F90" s="18" t="str">
        <x:v>FY2025</x:v>
      </x:c>
      <x:c r="G90" s="18" t="str">
        <x:v>passengers/year</x:v>
      </x:c>
      <x:c r="H90" s="18" t="str">
        <x:v>待核</x:v>
      </x:c>
      <x:c r="I90" s="20"/>
      <x:c r="J90" s="19" t="str">
        <x:v>ACCESS_REVIEW_REQUIRED</x:v>
      </x:c>
      <x:c r="K90" s="19" t="str">
        <x:v>LISTED_CURRENT_OPERATION_NOT_INDEPENDENTLY_CONFIRMED</x:v>
      </x:c>
      <x:c r="L90" s="19"/>
      <x:c r="M90" s="19"/>
      <x:c r="N90" s="19"/>
      <x:c r="O90" s="19" t="str">
        <x:v>CURRENT_OPERATOR_TIMETABLE_REVIEW_REQUIRED</x:v>
      </x:c>
      <x:c r="P90" s="19" t="str">
        <x:v>Identity and annual usage audited; current service, v2 identity/lineage and inclusion acceptance remain open.</x:v>
      </x:c>
      <x:c r="Q90" s="19" t="str"/>
      <x:c r="R90" s="19" t="str">
        <x:v>https://www.mlit.go.jp/koku/15_bf_000310.html</x:v>
      </x:c>
      <x:c r="S90" s="19"/>
      <x:c r="T90" s="20"/>
      <x:c r="U90" s="19" t="str">
        <x:v>https://www.mlit.go.jp/koku/content/002016480.xlsx</x:v>
      </x:c>
      <x:c r="V90" s="18" t="str">
        <x:v>空港管理状況調書 N5264</x:v>
      </x:c>
      <x:c r="W90" s="19"/>
      <x:c r="X90" s="18"/>
      <x:c r="Y90" s="18" t="str">
        <x:v>否</x:v>
      </x:c>
      <x:c r="Z90" s="19" t="str">
        <x:v>达到年度门槛，待验收</x:v>
      </x:c>
      <x:c r="AA90" s="20" t="n">
        <x:v>1000</x:v>
      </x:c>
    </x:row>
    <x:row r="91" ht="75" customHeight="1">
      <x:c r="A91" s="18" t="str">
        <x:v>岡南</x:v>
      </x:c>
      <x:c r="B91" s="18" t="str">
        <x:v>C</x:v>
      </x:c>
      <x:c r="C91" s="19" t="str">
        <x:v>暂缓：规划相关性不足</x:v>
      </x:c>
      <x:c r="D91" s="19"/>
      <x:c r="E91" s="20" t="n">
        <x:v>69</x:v>
      </x:c>
      <x:c r="F91" s="18" t="str">
        <x:v>FY2025</x:v>
      </x:c>
      <x:c r="G91" s="18" t="str">
        <x:v>passengers/year</x:v>
      </x:c>
      <x:c r="H91" s="18" t="str">
        <x:v>待核</x:v>
      </x:c>
      <x:c r="I91" s="20"/>
      <x:c r="J91" s="19" t="str">
        <x:v>ACCESS_REVIEW_REQUIRED</x:v>
      </x:c>
      <x:c r="K91" s="19" t="str">
        <x:v>LISTED_CURRENT_OPERATION_NOT_INDEPENDENTLY_CONFIRMED</x:v>
      </x:c>
      <x:c r="L91" s="19"/>
      <x:c r="M91" s="19"/>
      <x:c r="N91" s="19"/>
      <x:c r="O91" s="19" t="str">
        <x:v>CURRENT_OPERATOR_TIMETABLE_REVIEW_REQUIRED</x:v>
      </x:c>
      <x:c r="P91" s="19" t="str">
        <x:v>Excluded from planning candidates by confirmed annual-passenger threshold (&lt;1000); this is not a closure finding.</x:v>
      </x:c>
      <x:c r="Q91" s="19" t="str">
        <x:v>{"url":"https://www.pref.okayama.jp/page/879734.html"}
{"sourceColumn":"N","sourceRow":5318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69}</x:v>
      </x:c>
      <x:c r="R91" s="19" t="str">
        <x:v>https://www.mlit.go.jp/koku/15_bf_000310.html</x:v>
      </x:c>
      <x:c r="S91" s="19"/>
      <x:c r="T91" s="20"/>
      <x:c r="U91" s="19" t="str">
        <x:v>https://www.mlit.go.jp/koku/content/002016480.xlsx</x:v>
      </x:c>
      <x:c r="V91" s="18" t="str">
        <x:v>空港管理状況調書 N5318</x:v>
      </x:c>
      <x:c r="W91" s="19"/>
      <x:c r="X91" s="18"/>
      <x:c r="Y91" s="18" t="str">
        <x:v>否</x:v>
      </x:c>
      <x:c r="Z91" s="19" t="str">
        <x:v>排除：年旅客少于1,000</x:v>
      </x:c>
      <x:c r="AA91" s="20" t="n">
        <x:v>1000</x:v>
      </x:c>
    </x:row>
    <x:row r="92" ht="33" customHeight="1">
      <x:c r="A92" s="18" t="str">
        <x:v>天草</x:v>
      </x:c>
      <x:c r="B92" s="18" t="str">
        <x:v>C</x:v>
      </x:c>
      <x:c r="C92" s="19" t="str">
        <x:v>待审核</x:v>
      </x:c>
      <x:c r="D92" s="19" t="str">
        <x:v>T3</x:v>
      </x:c>
      <x:c r="E92" s="20" t="n">
        <x:v>35483</x:v>
      </x:c>
      <x:c r="F92" s="18" t="str">
        <x:v>FY2025</x:v>
      </x:c>
      <x:c r="G92" s="18" t="str">
        <x:v>passengers/year</x:v>
      </x:c>
      <x:c r="H92" s="18" t="str">
        <x:v>待核</x:v>
      </x:c>
      <x:c r="I92" s="20"/>
      <x:c r="J92" s="19" t="str">
        <x:v>ACCESS_REVIEW_REQUIRED</x:v>
      </x:c>
      <x:c r="K92" s="19" t="str">
        <x:v>LISTED_CURRENT_OPERATION_NOT_INDEPENDENTLY_CONFIRMED</x:v>
      </x:c>
      <x:c r="L92" s="19"/>
      <x:c r="M92" s="19"/>
      <x:c r="N92" s="19"/>
      <x:c r="O92" s="19" t="str">
        <x:v>CURRENT_OPERATOR_TIMETABLE_REVIEW_REQUIRED</x:v>
      </x:c>
      <x:c r="P92" s="19" t="str">
        <x:v>Identity and annual usage audited; current service, v2 identity/lineage and inclusion acceptance remain open.</x:v>
      </x:c>
      <x:c r="Q92" s="19" t="str"/>
      <x:c r="R92" s="19" t="str">
        <x:v>https://www.mlit.go.jp/koku/15_bf_000310.html</x:v>
      </x:c>
      <x:c r="S92" s="19"/>
      <x:c r="T92" s="20"/>
      <x:c r="U92" s="19" t="str">
        <x:v>https://www.mlit.go.jp/koku/content/002016480.xlsx</x:v>
      </x:c>
      <x:c r="V92" s="18" t="str">
        <x:v>空港管理状況調書 N5372</x:v>
      </x:c>
      <x:c r="W92" s="19"/>
      <x:c r="X92" s="18"/>
      <x:c r="Y92" s="18" t="str">
        <x:v>否</x:v>
      </x:c>
      <x:c r="Z92" s="19" t="str">
        <x:v>达到年度门槛，待验收</x:v>
      </x:c>
      <x:c r="AA92" s="20" t="n">
        <x:v>1000</x:v>
      </x:c>
    </x:row>
    <x:row r="93" ht="61" customHeight="1">
      <x:c r="A93" s="18" t="str">
        <x:v>大分県央</x:v>
      </x:c>
      <x:c r="B93" s="18" t="str">
        <x:v>C</x:v>
      </x:c>
      <x:c r="C93" s="19" t="str">
        <x:v>暂缓：规划相关性不足</x:v>
      </x:c>
      <x:c r="D93" s="19"/>
      <x:c r="E93" s="20" t="n">
        <x:v>0</x:v>
      </x:c>
      <x:c r="F93" s="18" t="str">
        <x:v>FY2025</x:v>
      </x:c>
      <x:c r="G93" s="18" t="str">
        <x:v>passengers/year</x:v>
      </x:c>
      <x:c r="H93" s="18" t="str">
        <x:v>待核</x:v>
      </x:c>
      <x:c r="I93" s="20"/>
      <x:c r="J93" s="19" t="str">
        <x:v>ACCESS_REVIEW_REQUIRED</x:v>
      </x:c>
      <x:c r="K93" s="19" t="str">
        <x:v>LISTED_CURRENT_OPERATION_NOT_INDEPENDENTLY_CONFIRMED</x:v>
      </x:c>
      <x:c r="L93" s="19"/>
      <x:c r="M93" s="19"/>
      <x:c r="N93" s="19"/>
      <x:c r="O93" s="19" t="str">
        <x:v>CURRENT_OPERATOR_TIMETABLE_REVIEW_REQUIRED</x:v>
      </x:c>
      <x:c r="P93" s="19" t="str">
        <x:v>Excluded from planning candidates by confirmed annual-passenger threshold (&lt;1000); this is not a closure finding.</x:v>
      </x:c>
      <x:c r="Q93" s="19" t="str">
        <x:v>{"sourceColumn":"N","sourceRow":5426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0}</x:v>
      </x:c>
      <x:c r="R93" s="19" t="str">
        <x:v>https://www.mlit.go.jp/koku/15_bf_000310.html</x:v>
      </x:c>
      <x:c r="S93" s="19"/>
      <x:c r="T93" s="20"/>
      <x:c r="U93" s="19" t="str">
        <x:v>https://www.mlit.go.jp/koku/content/002016480.xlsx</x:v>
      </x:c>
      <x:c r="V93" s="18" t="str">
        <x:v>空港管理状況調書 N5426</x:v>
      </x:c>
      <x:c r="W93" s="19"/>
      <x:c r="X93" s="18"/>
      <x:c r="Y93" s="18" t="str">
        <x:v>否</x:v>
      </x:c>
      <x:c r="Z93" s="19" t="str">
        <x:v>排除：年旅客少于1,000</x:v>
      </x:c>
      <x:c r="AA93" s="20" t="n">
        <x:v>1000</x:v>
      </x:c>
    </x:row>
    <x:row r="94" ht="61" customHeight="1">
      <x:c r="A94" s="18" t="str">
        <x:v>八尾</x:v>
      </x:c>
      <x:c r="B94" s="18" t="str">
        <x:v>C</x:v>
      </x:c>
      <x:c r="C94" s="19" t="str">
        <x:v>暂缓：规划相关性不足</x:v>
      </x:c>
      <x:c r="D94" s="19"/>
      <x:c r="E94" s="20" t="n">
        <x:v>0</x:v>
      </x:c>
      <x:c r="F94" s="18" t="str">
        <x:v>FY2025</x:v>
      </x:c>
      <x:c r="G94" s="18" t="str">
        <x:v>passengers/year</x:v>
      </x:c>
      <x:c r="H94" s="18" t="str">
        <x:v>待核</x:v>
      </x:c>
      <x:c r="I94" s="20"/>
      <x:c r="J94" s="19" t="str">
        <x:v>ACCESS_REVIEW_REQUIRED</x:v>
      </x:c>
      <x:c r="K94" s="19" t="str">
        <x:v>LISTED_CURRENT_OPERATION_NOT_INDEPENDENTLY_CONFIRMED</x:v>
      </x:c>
      <x:c r="L94" s="19" t="str">
        <x:v>国土交通大臣</x:v>
      </x:c>
      <x:c r="M94" s="19" t="str">
        <x:v>大阪府八尾市</x:v>
      </x:c>
      <x:c r="N94" s="19" t="str">
        <x:v>11.5時間（8:00～19:30）</x:v>
      </x:c>
      <x:c r="O94" s="19" t="str">
        <x:v>CURRENT_OPERATOR_TIMETABLE_REVIEW_REQUIRED</x:v>
      </x:c>
      <x:c r="P94" s="19" t="str">
        <x:v>Excluded from planning candidates by confirmed annual-passenger threshold (&lt;1000); this is not a closure finding.</x:v>
      </x:c>
      <x:c r="Q94" s="19" t="str">
        <x:v>{"sourceColumn":"N","sourceRow":5480,"sourceSheet":"空港管理状況調書","sourceWorkbookSha256":"0cd693d9b7dcc8b4c279608f6bb21468ededc8013a62754a3530b46bd34e988e","usageMetricType":"ANNUAL_AIRPORT_PASSENGER_ENTRIES_EXITS","usagePeriod":"FY2025","usageSource":"https://www.mlit.go.jp/koku/content/002016480.xlsx","usageUnit":"passengers/year","usageValue":0}</x:v>
      </x:c>
      <x:c r="R94" s="19" t="str">
        <x:v>https://www.mlit.go.jp/koku/15_bf_000310.html</x:v>
      </x:c>
      <x:c r="S94" s="19" t="str">
        <x:v>https://www.mlit.go.jp/koku/content/002021266.pdf</x:v>
      </x:c>
      <x:c r="T94" s="20" t="n">
        <x:v>7</x:v>
      </x:c>
      <x:c r="U94" s="19" t="str">
        <x:v>https://www.mlit.go.jp/koku/content/002016480.xlsx</x:v>
      </x:c>
      <x:c r="V94" s="18" t="str">
        <x:v>空港管理状況調書 N5480</x:v>
      </x:c>
      <x:c r="W94" s="19"/>
      <x:c r="X94" s="18"/>
      <x:c r="Y94" s="18" t="str">
        <x:v>否</x:v>
      </x:c>
      <x:c r="Z94" s="19" t="str">
        <x:v>排除：年旅客少于1,000</x:v>
      </x:c>
      <x:c r="AA94" s="20" t="n">
        <x:v>1000</x:v>
      </x:c>
    </x:row>
    <x:row r="95" ht="33" customHeight="1">
      <x:c r="A95" s="18" t="str">
        <x:v>札幌</x:v>
      </x:c>
      <x:c r="B95" s="18" t="str">
        <x:v>D</x:v>
      </x:c>
      <x:c r="C95" s="19" t="str">
        <x:v>待审核</x:v>
      </x:c>
      <x:c r="D95" s="19" t="str">
        <x:v>T2</x:v>
      </x:c>
      <x:c r="E95" s="20" t="n">
        <x:v>576410</x:v>
      </x:c>
      <x:c r="F95" s="18" t="str">
        <x:v>FY2025</x:v>
      </x:c>
      <x:c r="G95" s="18" t="str">
        <x:v>passengers/year</x:v>
      </x:c>
      <x:c r="H95" s="18" t="str">
        <x:v>已核指南</x:v>
      </x:c>
      <x:c r="I95" s="20" t="n">
        <x:v>0</x:v>
      </x:c>
      <x:c r="J95" s="19" t="str">
        <x:v>OFF_AIRPORT_RAIL_TRANSFER_DOCUMENTED</x:v>
      </x:c>
      <x:c r="K95" s="19" t="str">
        <x:v>LISTED_CURRENT_OPERATION_NOT_INDEPENDENTLY_CONFIRMED</x:v>
      </x:c>
      <x:c r="L95" s="19"/>
      <x:c r="M95" s="19"/>
      <x:c r="N95" s="19"/>
      <x:c r="O95" s="19" t="str">
        <x:v>CURRENT_OPERATOR_TIMETABLE_REVIEW_REQUIRED</x:v>
      </x:c>
      <x:c r="P95" s="19" t="str">
        <x:v>Identity and annual usage audited; current service, v2 identity/lineage and inclusion acceptance remain open.</x:v>
      </x:c>
      <x:c r="Q95" s="19" t="str"/>
      <x:c r="R95" s="19" t="str">
        <x:v>https://www.mlit.go.jp/koku/15_bf_000310.html</x:v>
      </x:c>
      <x:c r="S95" s="19"/>
      <x:c r="T95" s="20"/>
      <x:c r="U95" s="19" t="str">
        <x:v>https://www.mlit.go.jp/koku/content/002016480.xlsx</x:v>
      </x:c>
      <x:c r="V95" s="18" t="str">
        <x:v>空港管理状況調書 N4724</x:v>
      </x:c>
      <x:c r="W95" s="19" t="str">
        <x:v>https://okadama-airport.co.jp/access/</x:v>
      </x:c>
      <x:c r="X95" s="18"/>
      <x:c r="Y95" s="18" t="str">
        <x:v>否</x:v>
      </x:c>
      <x:c r="Z95" s="19" t="str">
        <x:v>达到年度门槛，待验收</x:v>
      </x:c>
      <x:c r="AA95" s="20" t="n">
        <x:v>1000</x:v>
      </x:c>
    </x:row>
    <x:row r="96" ht="33" customHeight="1">
      <x:c r="A96" s="18" t="str">
        <x:v>千歳</x:v>
      </x:c>
      <x:c r="B96" s="18" t="str">
        <x:v>D</x:v>
      </x:c>
      <x:c r="C96" s="19" t="str">
        <x:v>待审核</x:v>
      </x:c>
      <x:c r="D96" s="19"/>
      <x:c r="E96" s="20"/>
      <x:c r="F96" s="18"/>
      <x:c r="G96" s="18"/>
      <x:c r="H96" s="18" t="str">
        <x:v>待核</x:v>
      </x:c>
      <x:c r="I96" s="20"/>
      <x:c r="J96" s="19" t="str">
        <x:v>ACCESS_REVIEW_REQUIRED</x:v>
      </x:c>
      <x:c r="K96" s="19" t="str">
        <x:v>LISTED_CURRENT_OPERATION_NOT_INDEPENDENTLY_CONFIRMED</x:v>
      </x:c>
      <x:c r="L96" s="19"/>
      <x:c r="M96" s="19"/>
      <x:c r="N96" s="19"/>
      <x:c r="O96" s="19" t="str">
        <x:v>CURRENT_OPERATOR_TIMETABLE_REVIEW_REQUIRED</x:v>
      </x:c>
      <x:c r="P96" s="19" t="str">
        <x:v>Identity and annual usage audited; current service, v2 identity/lineage and inclusion acceptance remain open.</x:v>
      </x:c>
      <x:c r="Q96" s="19" t="str"/>
      <x:c r="R96" s="19" t="str">
        <x:v>https://www.mlit.go.jp/koku/15_bf_000310.html</x:v>
      </x:c>
      <x:c r="S96" s="19"/>
      <x:c r="T96" s="20"/>
      <x:c r="U96" s="19"/>
      <x:c r="V96" s="18"/>
      <x:c r="W96" s="19"/>
      <x:c r="X96" s="18"/>
      <x:c r="Y96" s="18" t="str">
        <x:v>否</x:v>
      </x:c>
      <x:c r="Z96" s="19" t="str">
        <x:v>年旅客量未知，待核</x:v>
      </x:c>
      <x:c r="AA96" s="20" t="n">
        <x:v>1000</x:v>
      </x:c>
    </x:row>
    <x:row r="97" ht="33" customHeight="1">
      <x:c r="A97" s="18" t="str">
        <x:v>三沢</x:v>
      </x:c>
      <x:c r="B97" s="18" t="str">
        <x:v>D</x:v>
      </x:c>
      <x:c r="C97" s="19" t="str">
        <x:v>待审核</x:v>
      </x:c>
      <x:c r="D97" s="19" t="str">
        <x:v>T2</x:v>
      </x:c>
      <x:c r="E97" s="20" t="n">
        <x:v>387748</x:v>
      </x:c>
      <x:c r="F97" s="18" t="str">
        <x:v>FY2025</x:v>
      </x:c>
      <x:c r="G97" s="18" t="str">
        <x:v>passengers/year</x:v>
      </x:c>
      <x:c r="H97" s="18" t="str">
        <x:v>待核</x:v>
      </x:c>
      <x:c r="I97" s="20"/>
      <x:c r="J97" s="19" t="str">
        <x:v>ACCESS_REVIEW_REQUIRED</x:v>
      </x:c>
      <x:c r="K97" s="19" t="str">
        <x:v>LISTED_CURRENT_OPERATION_NOT_INDEPENDENTLY_CONFIRMED</x:v>
      </x:c>
      <x:c r="L97" s="19"/>
      <x:c r="M97" s="19"/>
      <x:c r="N97" s="19"/>
      <x:c r="O97" s="19" t="str">
        <x:v>CURRENT_OPERATOR_TIMETABLE_REVIEW_REQUIRED</x:v>
      </x:c>
      <x:c r="P97" s="19" t="str">
        <x:v>Identity and annual usage audited; current service, v2 identity/lineage and inclusion acceptance remain open.</x:v>
      </x:c>
      <x:c r="Q97" s="19" t="str"/>
      <x:c r="R97" s="19" t="str">
        <x:v>https://www.mlit.go.jp/koku/15_bf_000310.html</x:v>
      </x:c>
      <x:c r="S97" s="19"/>
      <x:c r="T97" s="20"/>
      <x:c r="U97" s="19" t="str">
        <x:v>https://www.mlit.go.jp/koku/content/002016480.xlsx</x:v>
      </x:c>
      <x:c r="V97" s="18" t="str">
        <x:v>空港管理状況調書 N4778</x:v>
      </x:c>
      <x:c r="W97" s="19"/>
      <x:c r="X97" s="18"/>
      <x:c r="Y97" s="18" t="str">
        <x:v>否</x:v>
      </x:c>
      <x:c r="Z97" s="19" t="str">
        <x:v>达到年度门槛，待验收</x:v>
      </x:c>
      <x:c r="AA97" s="20" t="n">
        <x:v>1000</x:v>
      </x:c>
    </x:row>
    <x:row r="98" ht="33" customHeight="1">
      <x:c r="A98" s="18" t="str">
        <x:v>百里</x:v>
      </x:c>
      <x:c r="B98" s="18" t="str">
        <x:v>D</x:v>
      </x:c>
      <x:c r="C98" s="19" t="str">
        <x:v>待审核</x:v>
      </x:c>
      <x:c r="D98" s="19" t="str">
        <x:v>T2</x:v>
      </x:c>
      <x:c r="E98" s="20" t="n">
        <x:v>834265</x:v>
      </x:c>
      <x:c r="F98" s="18" t="str">
        <x:v>FY2025</x:v>
      </x:c>
      <x:c r="G98" s="18" t="str">
        <x:v>passengers/year</x:v>
      </x:c>
      <x:c r="H98" s="18" t="str">
        <x:v>待核</x:v>
      </x:c>
      <x:c r="I98" s="20"/>
      <x:c r="J98" s="19" t="str">
        <x:v>ACCESS_REVIEW_REQUIRED</x:v>
      </x:c>
      <x:c r="K98" s="19" t="str">
        <x:v>LISTED_CURRENT_OPERATION_NOT_INDEPENDENTLY_CONFIRMED</x:v>
      </x:c>
      <x:c r="L98" s="19"/>
      <x:c r="M98" s="19"/>
      <x:c r="N98" s="19"/>
      <x:c r="O98" s="19" t="str">
        <x:v>CURRENT_OPERATOR_TIMETABLE_REVIEW_REQUIRED</x:v>
      </x:c>
      <x:c r="P98" s="19" t="str">
        <x:v>Identity and annual usage audited; current service, v2 identity/lineage and inclusion acceptance remain open.</x:v>
      </x:c>
      <x:c r="Q98" s="19" t="str"/>
      <x:c r="R98" s="19" t="str">
        <x:v>https://www.mlit.go.jp/koku/15_bf_000310.html</x:v>
      </x:c>
      <x:c r="S98" s="19"/>
      <x:c r="T98" s="20"/>
      <x:c r="U98" s="19" t="str">
        <x:v>https://www.mlit.go.jp/koku/content/002016480.xlsx</x:v>
      </x:c>
      <x:c r="V98" s="18" t="str">
        <x:v>空港管理状況調書 N4832</x:v>
      </x:c>
      <x:c r="W98" s="19"/>
      <x:c r="X98" s="18"/>
      <x:c r="Y98" s="18" t="str">
        <x:v>否</x:v>
      </x:c>
      <x:c r="Z98" s="19" t="str">
        <x:v>达到年度门槛，待验收</x:v>
      </x:c>
      <x:c r="AA98" s="20" t="n">
        <x:v>1000</x:v>
      </x:c>
    </x:row>
    <x:row r="99" ht="33" customHeight="1">
      <x:c r="A99" s="18" t="str">
        <x:v>小松</x:v>
      </x:c>
      <x:c r="B99" s="18" t="str">
        <x:v>D</x:v>
      </x:c>
      <x:c r="C99" s="19" t="str">
        <x:v>待审核</x:v>
      </x:c>
      <x:c r="D99" s="19" t="str">
        <x:v>T1</x:v>
      </x:c>
      <x:c r="E99" s="20" t="n">
        <x:v>1491422</x:v>
      </x:c>
      <x:c r="F99" s="18" t="str">
        <x:v>FY2025</x:v>
      </x:c>
      <x:c r="G99" s="18" t="str">
        <x:v>passengers/year</x:v>
      </x:c>
      <x:c r="H99" s="18" t="str">
        <x:v>待核</x:v>
      </x:c>
      <x:c r="I99" s="20"/>
      <x:c r="J99" s="19" t="str">
        <x:v>ACCESS_REVIEW_REQUIRED</x:v>
      </x:c>
      <x:c r="K99" s="19" t="str">
        <x:v>LISTED_CURRENT_OPERATION_NOT_INDEPENDENTLY_CONFIRMED</x:v>
      </x:c>
      <x:c r="L99" s="19"/>
      <x:c r="M99" s="19"/>
      <x:c r="N99" s="19"/>
      <x:c r="O99" s="19" t="str">
        <x:v>CURRENT_OPERATOR_TIMETABLE_REVIEW_REQUIRED</x:v>
      </x:c>
      <x:c r="P99" s="19" t="str">
        <x:v>Identity and annual usage audited; current service, v2 identity/lineage and inclusion acceptance remain open.</x:v>
      </x:c>
      <x:c r="Q99" s="19" t="str"/>
      <x:c r="R99" s="19" t="str">
        <x:v>https://www.mlit.go.jp/koku/15_bf_000310.html</x:v>
      </x:c>
      <x:c r="S99" s="19"/>
      <x:c r="T99" s="20"/>
      <x:c r="U99" s="19" t="str">
        <x:v>https://www.mlit.go.jp/koku/content/002016480.xlsx</x:v>
      </x:c>
      <x:c r="V99" s="18" t="str">
        <x:v>空港管理状況調書 N4886</x:v>
      </x:c>
      <x:c r="W99" s="19"/>
      <x:c r="X99" s="18"/>
      <x:c r="Y99" s="18" t="str">
        <x:v>否</x:v>
      </x:c>
      <x:c r="Z99" s="19" t="str">
        <x:v>达到年度门槛，待验收</x:v>
      </x:c>
      <x:c r="AA99" s="20" t="n">
        <x:v>1000</x:v>
      </x:c>
    </x:row>
    <x:row r="100" ht="33" customHeight="1">
      <x:c r="A100" s="18" t="str">
        <x:v>美保</x:v>
      </x:c>
      <x:c r="B100" s="18" t="str">
        <x:v>D</x:v>
      </x:c>
      <x:c r="C100" s="19" t="str">
        <x:v>待审核</x:v>
      </x:c>
      <x:c r="D100" s="19" t="str">
        <x:v>T2</x:v>
      </x:c>
      <x:c r="E100" s="20" t="n">
        <x:v>775126</x:v>
      </x:c>
      <x:c r="F100" s="18" t="str">
        <x:v>FY2025</x:v>
      </x:c>
      <x:c r="G100" s="18" t="str">
        <x:v>passengers/year</x:v>
      </x:c>
      <x:c r="H100" s="18" t="str">
        <x:v>已核指南</x:v>
      </x:c>
      <x:c r="I100" s="20" t="n">
        <x:v>1</x:v>
      </x:c>
      <x:c r="J100" s="19" t="str">
        <x:v>CANDIDATES_PRESENT_FORMAL_ACCEPTANCE_PENDING</x:v>
      </x:c>
      <x:c r="K100" s="19" t="str">
        <x:v>LISTED_CURRENT_OPERATION_NOT_INDEPENDENTLY_CONFIRMED</x:v>
      </x:c>
      <x:c r="L100" s="19"/>
      <x:c r="M100" s="19"/>
      <x:c r="N100" s="19"/>
      <x:c r="O100" s="19" t="str">
        <x:v>CURRENT_OPERATOR_TIMETABLE_REVIEW_REQUIRED</x:v>
      </x:c>
      <x:c r="P100" s="19" t="str">
        <x:v>Identity and annual usage audited; current service, v2 identity/lineage and inclusion acceptance remain open.</x:v>
      </x:c>
      <x:c r="Q100" s="19" t="str"/>
      <x:c r="R100" s="19" t="str">
        <x:v>https://www.mlit.go.jp/koku/15_bf_000310.html</x:v>
      </x:c>
      <x:c r="S100" s="19"/>
      <x:c r="T100" s="20"/>
      <x:c r="U100" s="19" t="str">
        <x:v>https://www.mlit.go.jp/koku/content/002016480.xlsx</x:v>
      </x:c>
      <x:c r="V100" s="18" t="str">
        <x:v>空港管理状況調書 N4940</x:v>
      </x:c>
      <x:c r="W100" s="19" t="str">
        <x:v>https://www.yonago-air.com/access/train</x:v>
      </x:c>
      <x:c r="X100" s="18"/>
      <x:c r="Y100" s="18" t="str">
        <x:v>否</x:v>
      </x:c>
      <x:c r="Z100" s="19" t="str">
        <x:v>达到年度门槛，待验收</x:v>
      </x:c>
      <x:c r="AA100" s="20" t="n">
        <x:v>1000</x:v>
      </x:c>
    </x:row>
    <x:row r="101" ht="33" customHeight="1">
      <x:c r="A101" s="18" t="str">
        <x:v>岩国</x:v>
      </x:c>
      <x:c r="B101" s="18" t="str">
        <x:v>D</x:v>
      </x:c>
      <x:c r="C101" s="19" t="str">
        <x:v>待审核</x:v>
      </x:c>
      <x:c r="D101" s="19" t="str">
        <x:v>T2</x:v>
      </x:c>
      <x:c r="E101" s="20" t="n">
        <x:v>550725</x:v>
      </x:c>
      <x:c r="F101" s="18" t="str">
        <x:v>FY2025</x:v>
      </x:c>
      <x:c r="G101" s="18" t="str">
        <x:v>passengers/year</x:v>
      </x:c>
      <x:c r="H101" s="18" t="str">
        <x:v>待核</x:v>
      </x:c>
      <x:c r="I101" s="20"/>
      <x:c r="J101" s="19" t="str">
        <x:v>ACCESS_REVIEW_REQUIRED</x:v>
      </x:c>
      <x:c r="K101" s="19" t="str">
        <x:v>LISTED_CURRENT_OPERATION_NOT_INDEPENDENTLY_CONFIRMED</x:v>
      </x:c>
      <x:c r="L101" s="19"/>
      <x:c r="M101" s="19"/>
      <x:c r="N101" s="19"/>
      <x:c r="O101" s="19" t="str">
        <x:v>CURRENT_OPERATOR_TIMETABLE_REVIEW_REQUIRED</x:v>
      </x:c>
      <x:c r="P101" s="19" t="str">
        <x:v>Identity and annual usage audited; current service, v2 identity/lineage and inclusion acceptance remain open.</x:v>
      </x:c>
      <x:c r="Q101" s="19" t="str"/>
      <x:c r="R101" s="19" t="str">
        <x:v>https://www.mlit.go.jp/koku/15_bf_000310.html</x:v>
      </x:c>
      <x:c r="S101" s="19"/>
      <x:c r="T101" s="20"/>
      <x:c r="U101" s="19" t="str">
        <x:v>https://www.mlit.go.jp/koku/content/002016480.xlsx</x:v>
      </x:c>
      <x:c r="V101" s="18" t="str">
        <x:v>空港管理状況調書 N4994</x:v>
      </x:c>
      <x:c r="W101" s="19"/>
      <x:c r="X101" s="18"/>
      <x:c r="Y101" s="18" t="str">
        <x:v>否</x:v>
      </x:c>
      <x:c r="Z101" s="19" t="str">
        <x:v>达到年度门槛，待验收</x:v>
      </x:c>
      <x:c r="AA101" s="20" t="n">
        <x:v>1000</x:v>
      </x:c>
    </x:row>
    <x:row r="102" ht="33" customHeight="1">
      <x:c r="A102" s="18" t="str">
        <x:v>徳島</x:v>
      </x:c>
      <x:c r="B102" s="18" t="str">
        <x:v>D</x:v>
      </x:c>
      <x:c r="C102" s="19" t="str">
        <x:v>待审核</x:v>
      </x:c>
      <x:c r="D102" s="19" t="str">
        <x:v>T1</x:v>
      </x:c>
      <x:c r="E102" s="20" t="n">
        <x:v>1118499</x:v>
      </x:c>
      <x:c r="F102" s="18" t="str">
        <x:v>FY2025</x:v>
      </x:c>
      <x:c r="G102" s="18" t="str">
        <x:v>passengers/year</x:v>
      </x:c>
      <x:c r="H102" s="18" t="str">
        <x:v>待核</x:v>
      </x:c>
      <x:c r="I102" s="20"/>
      <x:c r="J102" s="19" t="str">
        <x:v>ACCESS_REVIEW_REQUIRED</x:v>
      </x:c>
      <x:c r="K102" s="19" t="str">
        <x:v>LISTED_CURRENT_OPERATION_NOT_INDEPENDENTLY_CONFIRMED</x:v>
      </x:c>
      <x:c r="L102" s="19"/>
      <x:c r="M102" s="19"/>
      <x:c r="N102" s="19"/>
      <x:c r="O102" s="19" t="str">
        <x:v>CURRENT_OPERATOR_TIMETABLE_REVIEW_REQUIRED</x:v>
      </x:c>
      <x:c r="P102" s="19" t="str">
        <x:v>Identity and annual usage audited; current service, v2 identity/lineage and inclusion acceptance remain open.</x:v>
      </x:c>
      <x:c r="Q102" s="19" t="str"/>
      <x:c r="R102" s="19" t="str">
        <x:v>https://www.mlit.go.jp/koku/15_bf_000310.html</x:v>
      </x:c>
      <x:c r="S102" s="19"/>
      <x:c r="T102" s="20"/>
      <x:c r="U102" s="19" t="str">
        <x:v>https://www.mlit.go.jp/koku/content/002016480.xlsx</x:v>
      </x:c>
      <x:c r="V102" s="18" t="str">
        <x:v>空港管理状況調書 N5048</x:v>
      </x:c>
      <x:c r="W102" s="19"/>
      <x:c r="X102" s="18"/>
      <x:c r="Y102" s="18" t="str">
        <x:v>否</x:v>
      </x:c>
      <x:c r="Z102" s="19" t="str">
        <x:v>达到年度门槛，待验收</x:v>
      </x:c>
      <x:c r="AA102" s="20" t="n">
        <x:v>1000</x:v>
      </x:c>
    </x:row>
  </x:sheetData>
  <x:conditionalFormatting sqref="C6:C102">
    <x:cfRule type="containsText" dxfId="4" priority="1" operator="containsText" text="待"/>
  </x:conditionalFormatting>
  <x:conditionalFormatting sqref="D6:D102">
    <x:cfRule type="containsText" dxfId="5" priority="2" operator="containsText" text="待"/>
  </x:conditionalFormatting>
  <x:conditionalFormatting sqref="J6:J102">
    <x:cfRule type="containsText" dxfId="6" priority="3" operator="containsText" text="待"/>
  </x:conditionalFormatting>
  <x:conditionalFormatting sqref="Z6:Z102">
    <x:cfRule type="containsText" dxfId="7" priority="4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c40d695e614c4b8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16" hidden="0" customWidth="1"/>
    <x:col min="4" max="4" width="16" hidden="0" customWidth="1"/>
    <x:col min="5" max="5" width="26" hidden="0" customWidth="1"/>
    <x:col min="6" max="6" width="18" hidden="0" customWidth="1"/>
    <x:col min="7" max="7" width="35" hidden="0" customWidth="1"/>
    <x:col min="8" max="8" width="100" hidden="0" customWidth="1"/>
    <x:col min="9" max="9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通过年度旅客量门槛的机场候选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86 个候选，年旅客量 ≥1,000。10 个低于门槛、1 个未知年度值留在机场97台账；完整接收仍待审核。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来源：data/transport/nodes/task-084-b-v2-amendment-review/airport-planning-candidates.jsonl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机场名</x:v>
      </x:c>
      <x:c r="B5" s="16" t="str">
        <x:v>年度旅客量</x:v>
      </x:c>
      <x:c r="C5" s="16" t="str">
        <x:v>统计期间</x:v>
      </x:c>
      <x:c r="D5" s="16" t="str">
        <x:v>拟等级</x:v>
      </x:c>
      <x:c r="E5" s="16" t="str">
        <x:v>当前决定</x:v>
      </x:c>
      <x:c r="F5" s="16" t="str">
        <x:v>年旅客门槛</x:v>
      </x:c>
      <x:c r="G5" s="16" t="str">
        <x:v>规划纳入状态</x:v>
      </x:c>
      <x:c r="H5" s="16" t="str">
        <x:v>官方客流来源</x:v>
      </x:c>
      <x:c r="I5" s="17" t="str">
        <x:v>原表定位</x:v>
      </x:c>
    </x:row>
    <x:row r="6" ht="28" customHeight="1">
      <x:c r="A6" s="18" t="str">
        <x:v>成田国際</x:v>
      </x:c>
      <x:c r="B6" s="20" t="n">
        <x:v>41474817</x:v>
      </x:c>
      <x:c r="C6" s="18" t="str">
        <x:v>FY2025</x:v>
      </x:c>
      <x:c r="D6" s="18" t="str">
        <x:v>T0</x:v>
      </x:c>
      <x:c r="E6" s="19" t="str">
        <x:v>待审核</x:v>
      </x:c>
      <x:c r="F6" s="20" t="n">
        <x:v>1000</x:v>
      </x:c>
      <x:c r="G6" s="19" t="str">
        <x:v>达到年度门槛，待验收</x:v>
      </x:c>
      <x:c r="H6" s="19" t="str">
        <x:v>https://www.mlit.go.jp/koku/content/002016480.xlsx</x:v>
      </x:c>
      <x:c r="I6" s="19" t="str">
        <x:v>空港管理状況調書 N26</x:v>
      </x:c>
    </x:row>
    <x:row r="7" ht="28" customHeight="1">
      <x:c r="A7" s="18" t="str">
        <x:v>中部国際</x:v>
      </x:c>
      <x:c r="B7" s="20" t="n">
        <x:v>11583658</x:v>
      </x:c>
      <x:c r="C7" s="18" t="str">
        <x:v>FY2025</x:v>
      </x:c>
      <x:c r="D7" s="18" t="str">
        <x:v>T0</x:v>
      </x:c>
      <x:c r="E7" s="19" t="str">
        <x:v>待审核</x:v>
      </x:c>
      <x:c r="F7" s="20" t="n">
        <x:v>1000</x:v>
      </x:c>
      <x:c r="G7" s="19" t="str">
        <x:v>达到年度门槛，待验收</x:v>
      </x:c>
      <x:c r="H7" s="19" t="str">
        <x:v>https://www.mlit.go.jp/koku/content/002016480.xlsx</x:v>
      </x:c>
      <x:c r="I7" s="19" t="str">
        <x:v>空港管理状況調書 N80</x:v>
      </x:c>
    </x:row>
    <x:row r="8" ht="28" customHeight="1">
      <x:c r="A8" s="18" t="str">
        <x:v>関西国際</x:v>
      </x:c>
      <x:c r="B8" s="20" t="n">
        <x:v>33513674</x:v>
      </x:c>
      <x:c r="C8" s="18" t="str">
        <x:v>FY2025</x:v>
      </x:c>
      <x:c r="D8" s="18" t="str">
        <x:v>T0</x:v>
      </x:c>
      <x:c r="E8" s="19" t="str">
        <x:v>待审核</x:v>
      </x:c>
      <x:c r="F8" s="20" t="n">
        <x:v>1000</x:v>
      </x:c>
      <x:c r="G8" s="19" t="str">
        <x:v>达到年度门槛，待验收</x:v>
      </x:c>
      <x:c r="H8" s="19" t="str">
        <x:v>https://www.mlit.go.jp/koku/content/002016480.xlsx</x:v>
      </x:c>
      <x:c r="I8" s="19" t="str">
        <x:v>空港管理状況調書 N134</x:v>
      </x:c>
    </x:row>
    <x:row r="9" ht="28" customHeight="1">
      <x:c r="A9" s="18" t="str">
        <x:v>大阪国際</x:v>
      </x:c>
      <x:c r="B9" s="20" t="n">
        <x:v>16286735</x:v>
      </x:c>
      <x:c r="C9" s="18" t="str">
        <x:v>FY2025</x:v>
      </x:c>
      <x:c r="D9" s="18" t="str">
        <x:v>T0</x:v>
      </x:c>
      <x:c r="E9" s="19" t="str">
        <x:v>待审核</x:v>
      </x:c>
      <x:c r="F9" s="20" t="n">
        <x:v>1000</x:v>
      </x:c>
      <x:c r="G9" s="19" t="str">
        <x:v>达到年度门槛，待验收</x:v>
      </x:c>
      <x:c r="H9" s="19" t="str">
        <x:v>https://www.mlit.go.jp/koku/content/002016480.xlsx</x:v>
      </x:c>
      <x:c r="I9" s="19" t="str">
        <x:v>空港管理状況調書 N188</x:v>
      </x:c>
    </x:row>
    <x:row r="10" ht="28" customHeight="1">
      <x:c r="A10" s="18" t="str">
        <x:v>東京国際</x:v>
      </x:c>
      <x:c r="B10" s="20" t="n">
        <x:v>92327013</x:v>
      </x:c>
      <x:c r="C10" s="18" t="str">
        <x:v>FY2025</x:v>
      </x:c>
      <x:c r="D10" s="18" t="str">
        <x:v>T0</x:v>
      </x:c>
      <x:c r="E10" s="19" t="str">
        <x:v>待审核</x:v>
      </x:c>
      <x:c r="F10" s="20" t="n">
        <x:v>1000</x:v>
      </x:c>
      <x:c r="G10" s="19" t="str">
        <x:v>达到年度门槛，待验收</x:v>
      </x:c>
      <x:c r="H10" s="19" t="str">
        <x:v>https://www.mlit.go.jp/koku/content/002016480.xlsx</x:v>
      </x:c>
      <x:c r="I10" s="19" t="str">
        <x:v>空港管理状況調書 N296</x:v>
      </x:c>
    </x:row>
    <x:row r="11" ht="28" customHeight="1">
      <x:c r="A11" s="18" t="str">
        <x:v>新千歳</x:v>
      </x:c>
      <x:c r="B11" s="20" t="n">
        <x:v>26023467</x:v>
      </x:c>
      <x:c r="C11" s="18" t="str">
        <x:v>FY2025</x:v>
      </x:c>
      <x:c r="D11" s="18" t="str">
        <x:v>T0</x:v>
      </x:c>
      <x:c r="E11" s="19" t="str">
        <x:v>待审核</x:v>
      </x:c>
      <x:c r="F11" s="20" t="n">
        <x:v>1000</x:v>
      </x:c>
      <x:c r="G11" s="19" t="str">
        <x:v>达到年度门槛，待验收</x:v>
      </x:c>
      <x:c r="H11" s="19" t="str">
        <x:v>https://www.mlit.go.jp/koku/content/002016480.xlsx</x:v>
      </x:c>
      <x:c r="I11" s="19" t="str">
        <x:v>空港管理状況調書 N350</x:v>
      </x:c>
    </x:row>
    <x:row r="12" ht="28" customHeight="1">
      <x:c r="A12" s="18" t="str">
        <x:v>稚内</x:v>
      </x:c>
      <x:c r="B12" s="20" t="n">
        <x:v>187910</x:v>
      </x:c>
      <x:c r="C12" s="18" t="str">
        <x:v>FY2025</x:v>
      </x:c>
      <x:c r="D12" s="18" t="str">
        <x:v>T2</x:v>
      </x:c>
      <x:c r="E12" s="19" t="str">
        <x:v>待审核</x:v>
      </x:c>
      <x:c r="F12" s="20" t="n">
        <x:v>1000</x:v>
      </x:c>
      <x:c r="G12" s="19" t="str">
        <x:v>达到年度门槛，待验收</x:v>
      </x:c>
      <x:c r="H12" s="19" t="str">
        <x:v>https://www.mlit.go.jp/koku/content/002016480.xlsx</x:v>
      </x:c>
      <x:c r="I12" s="19" t="str">
        <x:v>空港管理状況調書 N404</x:v>
      </x:c>
    </x:row>
    <x:row r="13" ht="28" customHeight="1">
      <x:c r="A13" s="18" t="str">
        <x:v>釧路</x:v>
      </x:c>
      <x:c r="B13" s="20" t="n">
        <x:v>793534</x:v>
      </x:c>
      <x:c r="C13" s="18" t="str">
        <x:v>FY2025</x:v>
      </x:c>
      <x:c r="D13" s="18" t="str">
        <x:v>T2</x:v>
      </x:c>
      <x:c r="E13" s="19" t="str">
        <x:v>待审核</x:v>
      </x:c>
      <x:c r="F13" s="20" t="n">
        <x:v>1000</x:v>
      </x:c>
      <x:c r="G13" s="19" t="str">
        <x:v>达到年度门槛，待验收</x:v>
      </x:c>
      <x:c r="H13" s="19" t="str">
        <x:v>https://www.mlit.go.jp/koku/content/002016480.xlsx</x:v>
      </x:c>
      <x:c r="I13" s="19" t="str">
        <x:v>空港管理状況調書 N458</x:v>
      </x:c>
    </x:row>
    <x:row r="14" ht="28" customHeight="1">
      <x:c r="A14" s="18" t="str">
        <x:v>函館</x:v>
      </x:c>
      <x:c r="B14" s="20" t="n">
        <x:v>2069076</x:v>
      </x:c>
      <x:c r="C14" s="18" t="str">
        <x:v>FY2025</x:v>
      </x:c>
      <x:c r="D14" s="18" t="str">
        <x:v>T1</x:v>
      </x:c>
      <x:c r="E14" s="19" t="str">
        <x:v>待审核</x:v>
      </x:c>
      <x:c r="F14" s="20" t="n">
        <x:v>1000</x:v>
      </x:c>
      <x:c r="G14" s="19" t="str">
        <x:v>达到年度门槛，待验收</x:v>
      </x:c>
      <x:c r="H14" s="19" t="str">
        <x:v>https://www.mlit.go.jp/koku/content/002016480.xlsx</x:v>
      </x:c>
      <x:c r="I14" s="19" t="str">
        <x:v>空港管理状況調書 N512</x:v>
      </x:c>
    </x:row>
    <x:row r="15" ht="28" customHeight="1">
      <x:c r="A15" s="18" t="str">
        <x:v>仙台</x:v>
      </x:c>
      <x:c r="B15" s="20" t="n">
        <x:v>4031331</x:v>
      </x:c>
      <x:c r="C15" s="18" t="str">
        <x:v>FY2025</x:v>
      </x:c>
      <x:c r="D15" s="18" t="str">
        <x:v>T1</x:v>
      </x:c>
      <x:c r="E15" s="19" t="str">
        <x:v>待审核</x:v>
      </x:c>
      <x:c r="F15" s="20" t="n">
        <x:v>1000</x:v>
      </x:c>
      <x:c r="G15" s="19" t="str">
        <x:v>达到年度门槛，待验收</x:v>
      </x:c>
      <x:c r="H15" s="19" t="str">
        <x:v>https://www.mlit.go.jp/koku/content/002016480.xlsx</x:v>
      </x:c>
      <x:c r="I15" s="19" t="str">
        <x:v>空港管理状況調書 N566</x:v>
      </x:c>
    </x:row>
    <x:row r="16" ht="28" customHeight="1">
      <x:c r="A16" s="18" t="str">
        <x:v>新潟</x:v>
      </x:c>
      <x:c r="B16" s="20" t="n">
        <x:v>1150662</x:v>
      </x:c>
      <x:c r="C16" s="18" t="str">
        <x:v>FY2025</x:v>
      </x:c>
      <x:c r="D16" s="18" t="str">
        <x:v>T1</x:v>
      </x:c>
      <x:c r="E16" s="19" t="str">
        <x:v>待审核</x:v>
      </x:c>
      <x:c r="F16" s="20" t="n">
        <x:v>1000</x:v>
      </x:c>
      <x:c r="G16" s="19" t="str">
        <x:v>达到年度门槛，待验收</x:v>
      </x:c>
      <x:c r="H16" s="19" t="str">
        <x:v>https://www.mlit.go.jp/koku/content/002016480.xlsx</x:v>
      </x:c>
      <x:c r="I16" s="19" t="str">
        <x:v>空港管理状況調書 N620</x:v>
      </x:c>
    </x:row>
    <x:row r="17" ht="28" customHeight="1">
      <x:c r="A17" s="18" t="str">
        <x:v>広島</x:v>
      </x:c>
      <x:c r="B17" s="20" t="n">
        <x:v>2954942</x:v>
      </x:c>
      <x:c r="C17" s="18" t="str">
        <x:v>FY2025</x:v>
      </x:c>
      <x:c r="D17" s="18" t="str">
        <x:v>T1</x:v>
      </x:c>
      <x:c r="E17" s="19" t="str">
        <x:v>待审核</x:v>
      </x:c>
      <x:c r="F17" s="20" t="n">
        <x:v>1000</x:v>
      </x:c>
      <x:c r="G17" s="19" t="str">
        <x:v>达到年度门槛，待验收</x:v>
      </x:c>
      <x:c r="H17" s="19" t="str">
        <x:v>https://www.mlit.go.jp/koku/content/002016480.xlsx</x:v>
      </x:c>
      <x:c r="I17" s="19" t="str">
        <x:v>空港管理状況調書 N674</x:v>
      </x:c>
    </x:row>
    <x:row r="18" ht="28" customHeight="1">
      <x:c r="A18" s="18" t="str">
        <x:v>高松</x:v>
      </x:c>
      <x:c r="B18" s="20" t="n">
        <x:v>2253027</x:v>
      </x:c>
      <x:c r="C18" s="18" t="str">
        <x:v>FY2025</x:v>
      </x:c>
      <x:c r="D18" s="18" t="str">
        <x:v>T1</x:v>
      </x:c>
      <x:c r="E18" s="19" t="str">
        <x:v>待审核</x:v>
      </x:c>
      <x:c r="F18" s="20" t="n">
        <x:v>1000</x:v>
      </x:c>
      <x:c r="G18" s="19" t="str">
        <x:v>达到年度门槛，待验收</x:v>
      </x:c>
      <x:c r="H18" s="19" t="str">
        <x:v>https://www.mlit.go.jp/koku/content/002016480.xlsx</x:v>
      </x:c>
      <x:c r="I18" s="19" t="str">
        <x:v>空港管理状況調書 N728</x:v>
      </x:c>
    </x:row>
    <x:row r="19" ht="28" customHeight="1">
      <x:c r="A19" s="18" t="str">
        <x:v>松山</x:v>
      </x:c>
      <x:c r="B19" s="20" t="n">
        <x:v>3329527</x:v>
      </x:c>
      <x:c r="C19" s="18" t="str">
        <x:v>FY2025</x:v>
      </x:c>
      <x:c r="D19" s="18" t="str">
        <x:v>T1</x:v>
      </x:c>
      <x:c r="E19" s="19" t="str">
        <x:v>待审核</x:v>
      </x:c>
      <x:c r="F19" s="20" t="n">
        <x:v>1000</x:v>
      </x:c>
      <x:c r="G19" s="19" t="str">
        <x:v>达到年度门槛，待验收</x:v>
      </x:c>
      <x:c r="H19" s="19" t="str">
        <x:v>https://www.mlit.go.jp/koku/content/002016480.xlsx</x:v>
      </x:c>
      <x:c r="I19" s="19" t="str">
        <x:v>空港管理状況調書 N782</x:v>
      </x:c>
    </x:row>
    <x:row r="20" ht="28" customHeight="1">
      <x:c r="A20" s="18" t="str">
        <x:v>高知</x:v>
      </x:c>
      <x:c r="B20" s="20" t="n">
        <x:v>1649496</x:v>
      </x:c>
      <x:c r="C20" s="18" t="str">
        <x:v>FY2025</x:v>
      </x:c>
      <x:c r="D20" s="18" t="str">
        <x:v>T1</x:v>
      </x:c>
      <x:c r="E20" s="19" t="str">
        <x:v>待审核</x:v>
      </x:c>
      <x:c r="F20" s="20" t="n">
        <x:v>1000</x:v>
      </x:c>
      <x:c r="G20" s="19" t="str">
        <x:v>达到年度门槛，待验收</x:v>
      </x:c>
      <x:c r="H20" s="19" t="str">
        <x:v>https://www.mlit.go.jp/koku/content/002016480.xlsx</x:v>
      </x:c>
      <x:c r="I20" s="19" t="str">
        <x:v>空港管理状況調書 N836</x:v>
      </x:c>
    </x:row>
    <x:row r="21" ht="28" customHeight="1">
      <x:c r="A21" s="18" t="str">
        <x:v>福岡</x:v>
      </x:c>
      <x:c r="B21" s="20" t="n">
        <x:v>28837292</x:v>
      </x:c>
      <x:c r="C21" s="18" t="str">
        <x:v>FY2025</x:v>
      </x:c>
      <x:c r="D21" s="18" t="str">
        <x:v>T0</x:v>
      </x:c>
      <x:c r="E21" s="19" t="str">
        <x:v>待审核</x:v>
      </x:c>
      <x:c r="F21" s="20" t="n">
        <x:v>1000</x:v>
      </x:c>
      <x:c r="G21" s="19" t="str">
        <x:v>达到年度门槛，待验收</x:v>
      </x:c>
      <x:c r="H21" s="19" t="str">
        <x:v>https://www.mlit.go.jp/koku/content/002016480.xlsx</x:v>
      </x:c>
      <x:c r="I21" s="19" t="str">
        <x:v>空港管理状況調書 N890</x:v>
      </x:c>
    </x:row>
    <x:row r="22" ht="28" customHeight="1">
      <x:c r="A22" s="18" t="str">
        <x:v>北九州</x:v>
      </x:c>
      <x:c r="B22" s="20" t="n">
        <x:v>1265580</x:v>
      </x:c>
      <x:c r="C22" s="18" t="str">
        <x:v>FY2025</x:v>
      </x:c>
      <x:c r="D22" s="18" t="str">
        <x:v>T1</x:v>
      </x:c>
      <x:c r="E22" s="19" t="str">
        <x:v>待审核</x:v>
      </x:c>
      <x:c r="F22" s="20" t="n">
        <x:v>1000</x:v>
      </x:c>
      <x:c r="G22" s="19" t="str">
        <x:v>达到年度门槛，待验收</x:v>
      </x:c>
      <x:c r="H22" s="19" t="str">
        <x:v>https://www.mlit.go.jp/koku/content/002016480.xlsx</x:v>
      </x:c>
      <x:c r="I22" s="19" t="str">
        <x:v>空港管理状況調書 N944</x:v>
      </x:c>
    </x:row>
    <x:row r="23" ht="28" customHeight="1">
      <x:c r="A23" s="18" t="str">
        <x:v>長崎</x:v>
      </x:c>
      <x:c r="B23" s="20" t="n">
        <x:v>3265633</x:v>
      </x:c>
      <x:c r="C23" s="18" t="str">
        <x:v>FY2025</x:v>
      </x:c>
      <x:c r="D23" s="18" t="str">
        <x:v>T1</x:v>
      </x:c>
      <x:c r="E23" s="19" t="str">
        <x:v>待审核</x:v>
      </x:c>
      <x:c r="F23" s="20" t="n">
        <x:v>1000</x:v>
      </x:c>
      <x:c r="G23" s="19" t="str">
        <x:v>达到年度门槛，待验收</x:v>
      </x:c>
      <x:c r="H23" s="19" t="str">
        <x:v>https://www.mlit.go.jp/koku/content/002016480.xlsx</x:v>
      </x:c>
      <x:c r="I23" s="19" t="str">
        <x:v>空港管理状況調書 N998</x:v>
      </x:c>
    </x:row>
    <x:row r="24" ht="28" customHeight="1">
      <x:c r="A24" s="18" t="str">
        <x:v>熊本</x:v>
      </x:c>
      <x:c r="B24" s="20" t="n">
        <x:v>3851661</x:v>
      </x:c>
      <x:c r="C24" s="18" t="str">
        <x:v>FY2025</x:v>
      </x:c>
      <x:c r="D24" s="18" t="str">
        <x:v>T1</x:v>
      </x:c>
      <x:c r="E24" s="19" t="str">
        <x:v>待审核</x:v>
      </x:c>
      <x:c r="F24" s="20" t="n">
        <x:v>1000</x:v>
      </x:c>
      <x:c r="G24" s="19" t="str">
        <x:v>达到年度门槛，待验收</x:v>
      </x:c>
      <x:c r="H24" s="19" t="str">
        <x:v>https://www.mlit.go.jp/koku/content/002016480.xlsx</x:v>
      </x:c>
      <x:c r="I24" s="19" t="str">
        <x:v>空港管理状況調書 N1052</x:v>
      </x:c>
    </x:row>
    <x:row r="25" ht="28" customHeight="1">
      <x:c r="A25" s="18" t="str">
        <x:v>大分</x:v>
      </x:c>
      <x:c r="B25" s="20" t="n">
        <x:v>1972872</x:v>
      </x:c>
      <x:c r="C25" s="18" t="str">
        <x:v>FY2025</x:v>
      </x:c>
      <x:c r="D25" s="18" t="str">
        <x:v>T1</x:v>
      </x:c>
      <x:c r="E25" s="19" t="str">
        <x:v>待审核</x:v>
      </x:c>
      <x:c r="F25" s="20" t="n">
        <x:v>1000</x:v>
      </x:c>
      <x:c r="G25" s="19" t="str">
        <x:v>达到年度门槛，待验收</x:v>
      </x:c>
      <x:c r="H25" s="19" t="str">
        <x:v>https://www.mlit.go.jp/koku/content/002016480.xlsx</x:v>
      </x:c>
      <x:c r="I25" s="19" t="str">
        <x:v>空港管理状況調書 N1106</x:v>
      </x:c>
    </x:row>
    <x:row r="26" ht="28" customHeight="1">
      <x:c r="A26" s="18" t="str">
        <x:v>宮崎</x:v>
      </x:c>
      <x:c r="B26" s="20" t="n">
        <x:v>3402621</x:v>
      </x:c>
      <x:c r="C26" s="18" t="str">
        <x:v>FY2025</x:v>
      </x:c>
      <x:c r="D26" s="18" t="str">
        <x:v>T1</x:v>
      </x:c>
      <x:c r="E26" s="19" t="str">
        <x:v>待审核</x:v>
      </x:c>
      <x:c r="F26" s="20" t="n">
        <x:v>1000</x:v>
      </x:c>
      <x:c r="G26" s="19" t="str">
        <x:v>达到年度门槛，待验收</x:v>
      </x:c>
      <x:c r="H26" s="19" t="str">
        <x:v>https://www.mlit.go.jp/koku/content/002016480.xlsx</x:v>
      </x:c>
      <x:c r="I26" s="19" t="str">
        <x:v>空港管理状況調書 N1160</x:v>
      </x:c>
    </x:row>
    <x:row r="27" ht="28" customHeight="1">
      <x:c r="A27" s="18" t="str">
        <x:v>鹿児島</x:v>
      </x:c>
      <x:c r="B27" s="20" t="n">
        <x:v>5926530</x:v>
      </x:c>
      <x:c r="C27" s="18" t="str">
        <x:v>FY2025</x:v>
      </x:c>
      <x:c r="D27" s="18" t="str">
        <x:v>T1</x:v>
      </x:c>
      <x:c r="E27" s="19" t="str">
        <x:v>待审核</x:v>
      </x:c>
      <x:c r="F27" s="20" t="n">
        <x:v>1000</x:v>
      </x:c>
      <x:c r="G27" s="19" t="str">
        <x:v>达到年度门槛，待验收</x:v>
      </x:c>
      <x:c r="H27" s="19" t="str">
        <x:v>https://www.mlit.go.jp/koku/content/002016480.xlsx</x:v>
      </x:c>
      <x:c r="I27" s="19" t="str">
        <x:v>空港管理状況調書 N1214</x:v>
      </x:c>
    </x:row>
    <x:row r="28" ht="28" customHeight="1">
      <x:c r="A28" s="18" t="str">
        <x:v>那覇</x:v>
      </x:c>
      <x:c r="B28" s="20" t="n">
        <x:v>23524878</x:v>
      </x:c>
      <x:c r="C28" s="18" t="str">
        <x:v>FY2025</x:v>
      </x:c>
      <x:c r="D28" s="18" t="str">
        <x:v>T0</x:v>
      </x:c>
      <x:c r="E28" s="19" t="str">
        <x:v>待审核</x:v>
      </x:c>
      <x:c r="F28" s="20" t="n">
        <x:v>1000</x:v>
      </x:c>
      <x:c r="G28" s="19" t="str">
        <x:v>达到年度门槛，待验收</x:v>
      </x:c>
      <x:c r="H28" s="19" t="str">
        <x:v>https://www.mlit.go.jp/koku/content/002016480.xlsx</x:v>
      </x:c>
      <x:c r="I28" s="19" t="str">
        <x:v>空港管理状況調書 N1268</x:v>
      </x:c>
    </x:row>
    <x:row r="29" ht="28" customHeight="1">
      <x:c r="A29" s="18" t="str">
        <x:v>旭川</x:v>
      </x:c>
      <x:c r="B29" s="20" t="n">
        <x:v>1207025</x:v>
      </x:c>
      <x:c r="C29" s="18" t="str">
        <x:v>FY2025</x:v>
      </x:c>
      <x:c r="D29" s="18" t="str">
        <x:v>T1</x:v>
      </x:c>
      <x:c r="E29" s="19" t="str">
        <x:v>待审核</x:v>
      </x:c>
      <x:c r="F29" s="20" t="n">
        <x:v>1000</x:v>
      </x:c>
      <x:c r="G29" s="19" t="str">
        <x:v>达到年度门槛，待验收</x:v>
      </x:c>
      <x:c r="H29" s="19" t="str">
        <x:v>https://www.mlit.go.jp/koku/content/002016480.xlsx</x:v>
      </x:c>
      <x:c r="I29" s="19" t="str">
        <x:v>空港管理状況調書 N1376</x:v>
      </x:c>
    </x:row>
    <x:row r="30" ht="28" customHeight="1">
      <x:c r="A30" s="18" t="str">
        <x:v>帯広</x:v>
      </x:c>
      <x:c r="B30" s="20" t="n">
        <x:v>715872</x:v>
      </x:c>
      <x:c r="C30" s="18" t="str">
        <x:v>FY2025</x:v>
      </x:c>
      <x:c r="D30" s="18" t="str">
        <x:v>T2</x:v>
      </x:c>
      <x:c r="E30" s="19" t="str">
        <x:v>待审核</x:v>
      </x:c>
      <x:c r="F30" s="20" t="n">
        <x:v>1000</x:v>
      </x:c>
      <x:c r="G30" s="19" t="str">
        <x:v>达到年度门槛，待验收</x:v>
      </x:c>
      <x:c r="H30" s="19" t="str">
        <x:v>https://www.mlit.go.jp/koku/content/002016480.xlsx</x:v>
      </x:c>
      <x:c r="I30" s="19" t="str">
        <x:v>空港管理状況調書 N1430</x:v>
      </x:c>
    </x:row>
    <x:row r="31" ht="28" customHeight="1">
      <x:c r="A31" s="18" t="str">
        <x:v>秋田</x:v>
      </x:c>
      <x:c r="B31" s="20" t="n">
        <x:v>1284358</x:v>
      </x:c>
      <x:c r="C31" s="18" t="str">
        <x:v>FY2025</x:v>
      </x:c>
      <x:c r="D31" s="18" t="str">
        <x:v>T1</x:v>
      </x:c>
      <x:c r="E31" s="19" t="str">
        <x:v>待审核</x:v>
      </x:c>
      <x:c r="F31" s="20" t="n">
        <x:v>1000</x:v>
      </x:c>
      <x:c r="G31" s="19" t="str">
        <x:v>达到年度门槛，待验收</x:v>
      </x:c>
      <x:c r="H31" s="19" t="str">
        <x:v>https://www.mlit.go.jp/koku/content/002016480.xlsx</x:v>
      </x:c>
      <x:c r="I31" s="19" t="str">
        <x:v>空港管理状況調書 N1484</x:v>
      </x:c>
    </x:row>
    <x:row r="32" ht="28" customHeight="1">
      <x:c r="A32" s="18" t="str">
        <x:v>山形</x:v>
      </x:c>
      <x:c r="B32" s="20" t="n">
        <x:v>365949</x:v>
      </x:c>
      <x:c r="C32" s="18" t="str">
        <x:v>FY2025</x:v>
      </x:c>
      <x:c r="D32" s="18" t="str">
        <x:v>T2</x:v>
      </x:c>
      <x:c r="E32" s="19" t="str">
        <x:v>待审核</x:v>
      </x:c>
      <x:c r="F32" s="20" t="n">
        <x:v>1000</x:v>
      </x:c>
      <x:c r="G32" s="19" t="str">
        <x:v>达到年度门槛，待验收</x:v>
      </x:c>
      <x:c r="H32" s="19" t="str">
        <x:v>https://www.mlit.go.jp/koku/content/002016480.xlsx</x:v>
      </x:c>
      <x:c r="I32" s="19" t="str">
        <x:v>空港管理状況調書 N1538</x:v>
      </x:c>
    </x:row>
    <x:row r="33" ht="28" customHeight="1">
      <x:c r="A33" s="18" t="str">
        <x:v>山口宇部</x:v>
      </x:c>
      <x:c r="B33" s="20" t="n">
        <x:v>876017</x:v>
      </x:c>
      <x:c r="C33" s="18" t="str">
        <x:v>FY2025</x:v>
      </x:c>
      <x:c r="D33" s="18" t="str">
        <x:v>T2</x:v>
      </x:c>
      <x:c r="E33" s="19" t="str">
        <x:v>待审核</x:v>
      </x:c>
      <x:c r="F33" s="20" t="n">
        <x:v>1000</x:v>
      </x:c>
      <x:c r="G33" s="19" t="str">
        <x:v>达到年度门槛，待验收</x:v>
      </x:c>
      <x:c r="H33" s="19" t="str">
        <x:v>https://www.mlit.go.jp/koku/content/002016480.xlsx</x:v>
      </x:c>
      <x:c r="I33" s="19" t="str">
        <x:v>空港管理状況調書 N1592</x:v>
      </x:c>
    </x:row>
    <x:row r="34" ht="28" customHeight="1">
      <x:c r="A34" s="18" t="str">
        <x:v>利尻</x:v>
      </x:c>
      <x:c r="B34" s="20" t="n">
        <x:v>59444</x:v>
      </x:c>
      <x:c r="C34" s="18" t="str">
        <x:v>FY2025</x:v>
      </x:c>
      <x:c r="D34" s="18" t="str">
        <x:v>T3</x:v>
      </x:c>
      <x:c r="E34" s="19" t="str">
        <x:v>待审核</x:v>
      </x:c>
      <x:c r="F34" s="20" t="n">
        <x:v>1000</x:v>
      </x:c>
      <x:c r="G34" s="19" t="str">
        <x:v>达到年度门槛，待验收</x:v>
      </x:c>
      <x:c r="H34" s="19" t="str">
        <x:v>https://www.mlit.go.jp/koku/content/002016480.xlsx</x:v>
      </x:c>
      <x:c r="I34" s="19" t="str">
        <x:v>空港管理状況調書 N1754</x:v>
      </x:c>
    </x:row>
    <x:row r="35" ht="28" customHeight="1">
      <x:c r="A35" s="18" t="str">
        <x:v>奥尻</x:v>
      </x:c>
      <x:c r="B35" s="20" t="n">
        <x:v>15785</x:v>
      </x:c>
      <x:c r="C35" s="18" t="str">
        <x:v>FY2025</x:v>
      </x:c>
      <x:c r="D35" s="18" t="str">
        <x:v>T3</x:v>
      </x:c>
      <x:c r="E35" s="19" t="str">
        <x:v>待审核</x:v>
      </x:c>
      <x:c r="F35" s="20" t="n">
        <x:v>1000</x:v>
      </x:c>
      <x:c r="G35" s="19" t="str">
        <x:v>达到年度门槛，待验收</x:v>
      </x:c>
      <x:c r="H35" s="19" t="str">
        <x:v>https://www.mlit.go.jp/koku/content/002016480.xlsx</x:v>
      </x:c>
      <x:c r="I35" s="19" t="str">
        <x:v>空港管理状況調書 N1862</x:v>
      </x:c>
    </x:row>
    <x:row r="36" ht="28" customHeight="1">
      <x:c r="A36" s="18" t="str">
        <x:v>中標津</x:v>
      </x:c>
      <x:c r="B36" s="20" t="n">
        <x:v>244012</x:v>
      </x:c>
      <x:c r="C36" s="18" t="str">
        <x:v>FY2025</x:v>
      </x:c>
      <x:c r="D36" s="18" t="str">
        <x:v>T2</x:v>
      </x:c>
      <x:c r="E36" s="19" t="str">
        <x:v>待审核</x:v>
      </x:c>
      <x:c r="F36" s="20" t="n">
        <x:v>1000</x:v>
      </x:c>
      <x:c r="G36" s="19" t="str">
        <x:v>达到年度门槛，待验收</x:v>
      </x:c>
      <x:c r="H36" s="19" t="str">
        <x:v>https://www.mlit.go.jp/koku/content/002016480.xlsx</x:v>
      </x:c>
      <x:c r="I36" s="19" t="str">
        <x:v>空港管理状況調書 N1916</x:v>
      </x:c>
    </x:row>
    <x:row r="37" ht="28" customHeight="1">
      <x:c r="A37" s="18" t="str">
        <x:v>紋別</x:v>
      </x:c>
      <x:c r="B37" s="20" t="n">
        <x:v>75596</x:v>
      </x:c>
      <x:c r="C37" s="18" t="str">
        <x:v>FY2025</x:v>
      </x:c>
      <x:c r="D37" s="18" t="str">
        <x:v>T3</x:v>
      </x:c>
      <x:c r="E37" s="19" t="str">
        <x:v>待审核</x:v>
      </x:c>
      <x:c r="F37" s="20" t="n">
        <x:v>1000</x:v>
      </x:c>
      <x:c r="G37" s="19" t="str">
        <x:v>达到年度门槛，待验收</x:v>
      </x:c>
      <x:c r="H37" s="19" t="str">
        <x:v>https://www.mlit.go.jp/koku/content/002016480.xlsx</x:v>
      </x:c>
      <x:c r="I37" s="19" t="str">
        <x:v>空港管理状況調書 N1970</x:v>
      </x:c>
    </x:row>
    <x:row r="38" ht="28" customHeight="1">
      <x:c r="A38" s="18" t="str">
        <x:v>女満別</x:v>
      </x:c>
      <x:c r="B38" s="20" t="n">
        <x:v>845099</x:v>
      </x:c>
      <x:c r="C38" s="18" t="str">
        <x:v>FY2025</x:v>
      </x:c>
      <x:c r="D38" s="18" t="str">
        <x:v>T2</x:v>
      </x:c>
      <x:c r="E38" s="19" t="str">
        <x:v>待审核</x:v>
      </x:c>
      <x:c r="F38" s="20" t="n">
        <x:v>1000</x:v>
      </x:c>
      <x:c r="G38" s="19" t="str">
        <x:v>达到年度门槛，待验收</x:v>
      </x:c>
      <x:c r="H38" s="19" t="str">
        <x:v>https://www.mlit.go.jp/koku/content/002016480.xlsx</x:v>
      </x:c>
      <x:c r="I38" s="19" t="str">
        <x:v>空港管理状況調書 N2024</x:v>
      </x:c>
    </x:row>
    <x:row r="39" ht="28" customHeight="1">
      <x:c r="A39" s="18" t="str">
        <x:v>青森</x:v>
      </x:c>
      <x:c r="B39" s="20" t="n">
        <x:v>1327111</x:v>
      </x:c>
      <x:c r="C39" s="18" t="str">
        <x:v>FY2025</x:v>
      </x:c>
      <x:c r="D39" s="18" t="str">
        <x:v>T1</x:v>
      </x:c>
      <x:c r="E39" s="19" t="str">
        <x:v>待审核</x:v>
      </x:c>
      <x:c r="F39" s="20" t="n">
        <x:v>1000</x:v>
      </x:c>
      <x:c r="G39" s="19" t="str">
        <x:v>达到年度门槛，待验收</x:v>
      </x:c>
      <x:c r="H39" s="19" t="str">
        <x:v>https://www.mlit.go.jp/koku/content/002016480.xlsx</x:v>
      </x:c>
      <x:c r="I39" s="19" t="str">
        <x:v>空港管理状況調書 N2078</x:v>
      </x:c>
    </x:row>
    <x:row r="40" ht="28" customHeight="1">
      <x:c r="A40" s="18" t="str">
        <x:v>花巻</x:v>
      </x:c>
      <x:c r="B40" s="20" t="n">
        <x:v>490317</x:v>
      </x:c>
      <x:c r="C40" s="18" t="str">
        <x:v>FY2025</x:v>
      </x:c>
      <x:c r="D40" s="18" t="str">
        <x:v>T2</x:v>
      </x:c>
      <x:c r="E40" s="19" t="str">
        <x:v>待审核</x:v>
      </x:c>
      <x:c r="F40" s="20" t="n">
        <x:v>1000</x:v>
      </x:c>
      <x:c r="G40" s="19" t="str">
        <x:v>达到年度门槛，待验收</x:v>
      </x:c>
      <x:c r="H40" s="19" t="str">
        <x:v>https://www.mlit.go.jp/koku/content/002016480.xlsx</x:v>
      </x:c>
      <x:c r="I40" s="19" t="str">
        <x:v>空港管理状況調書 N2132</x:v>
      </x:c>
    </x:row>
    <x:row r="41" ht="28" customHeight="1">
      <x:c r="A41" s="18" t="str">
        <x:v>大館能代</x:v>
      </x:c>
      <x:c r="B41" s="20" t="n">
        <x:v>201844</x:v>
      </x:c>
      <x:c r="C41" s="18" t="str">
        <x:v>FY2025</x:v>
      </x:c>
      <x:c r="D41" s="18" t="str">
        <x:v>T2</x:v>
      </x:c>
      <x:c r="E41" s="19" t="str">
        <x:v>待审核</x:v>
      </x:c>
      <x:c r="F41" s="20" t="n">
        <x:v>1000</x:v>
      </x:c>
      <x:c r="G41" s="19" t="str">
        <x:v>达到年度门槛，待验收</x:v>
      </x:c>
      <x:c r="H41" s="19" t="str">
        <x:v>https://www.mlit.go.jp/koku/content/002016480.xlsx</x:v>
      </x:c>
      <x:c r="I41" s="19" t="str">
        <x:v>空港管理状況調書 N2186</x:v>
      </x:c>
    </x:row>
    <x:row r="42" ht="28" customHeight="1">
      <x:c r="A42" s="18" t="str">
        <x:v>庄内</x:v>
      </x:c>
      <x:c r="B42" s="20" t="n">
        <x:v>377635</x:v>
      </x:c>
      <x:c r="C42" s="18" t="str">
        <x:v>FY2025</x:v>
      </x:c>
      <x:c r="D42" s="18" t="str">
        <x:v>T2</x:v>
      </x:c>
      <x:c r="E42" s="19" t="str">
        <x:v>待审核</x:v>
      </x:c>
      <x:c r="F42" s="20" t="n">
        <x:v>1000</x:v>
      </x:c>
      <x:c r="G42" s="19" t="str">
        <x:v>达到年度门槛，待验收</x:v>
      </x:c>
      <x:c r="H42" s="19" t="str">
        <x:v>https://www.mlit.go.jp/koku/content/002016480.xlsx</x:v>
      </x:c>
      <x:c r="I42" s="19" t="str">
        <x:v>空港管理状況調書 N2240</x:v>
      </x:c>
    </x:row>
    <x:row r="43" ht="28" customHeight="1">
      <x:c r="A43" s="18" t="str">
        <x:v>福島</x:v>
      </x:c>
      <x:c r="B43" s="20" t="n">
        <x:v>284296</x:v>
      </x:c>
      <x:c r="C43" s="18" t="str">
        <x:v>FY2025</x:v>
      </x:c>
      <x:c r="D43" s="18" t="str">
        <x:v>T2</x:v>
      </x:c>
      <x:c r="E43" s="19" t="str">
        <x:v>待审核</x:v>
      </x:c>
      <x:c r="F43" s="20" t="n">
        <x:v>1000</x:v>
      </x:c>
      <x:c r="G43" s="19" t="str">
        <x:v>达到年度门槛，待验收</x:v>
      </x:c>
      <x:c r="H43" s="19" t="str">
        <x:v>https://www.mlit.go.jp/koku/content/002016480.xlsx</x:v>
      </x:c>
      <x:c r="I43" s="19" t="str">
        <x:v>空港管理状況調書 N2294</x:v>
      </x:c>
    </x:row>
    <x:row r="44" ht="28" customHeight="1">
      <x:c r="A44" s="18" t="str">
        <x:v>大島</x:v>
      </x:c>
      <x:c r="B44" s="20" t="n">
        <x:v>24788</x:v>
      </x:c>
      <x:c r="C44" s="18" t="str">
        <x:v>FY2025</x:v>
      </x:c>
      <x:c r="D44" s="18" t="str">
        <x:v>T3</x:v>
      </x:c>
      <x:c r="E44" s="19" t="str">
        <x:v>待审核</x:v>
      </x:c>
      <x:c r="F44" s="20" t="n">
        <x:v>1000</x:v>
      </x:c>
      <x:c r="G44" s="19" t="str">
        <x:v>达到年度门槛，待验收</x:v>
      </x:c>
      <x:c r="H44" s="19" t="str">
        <x:v>https://www.mlit.go.jp/koku/content/002016480.xlsx</x:v>
      </x:c>
      <x:c r="I44" s="19" t="str">
        <x:v>空港管理状況調書 N2348</x:v>
      </x:c>
    </x:row>
    <x:row r="45" ht="28" customHeight="1">
      <x:c r="A45" s="18" t="str">
        <x:v>新島</x:v>
      </x:c>
      <x:c r="B45" s="20" t="n">
        <x:v>34004</x:v>
      </x:c>
      <x:c r="C45" s="18" t="str">
        <x:v>FY2025</x:v>
      </x:c>
      <x:c r="D45" s="18" t="str">
        <x:v>T3</x:v>
      </x:c>
      <x:c r="E45" s="19" t="str">
        <x:v>待审核</x:v>
      </x:c>
      <x:c r="F45" s="20" t="n">
        <x:v>1000</x:v>
      </x:c>
      <x:c r="G45" s="19" t="str">
        <x:v>达到年度门槛，待验收</x:v>
      </x:c>
      <x:c r="H45" s="19" t="str">
        <x:v>https://www.mlit.go.jp/koku/content/002016480.xlsx</x:v>
      </x:c>
      <x:c r="I45" s="19" t="str">
        <x:v>空港管理状況調書 N2402</x:v>
      </x:c>
    </x:row>
    <x:row r="46" ht="28" customHeight="1">
      <x:c r="A46" s="18" t="str">
        <x:v>神津島</x:v>
      </x:c>
      <x:c r="B46" s="20" t="n">
        <x:v>25431</x:v>
      </x:c>
      <x:c r="C46" s="18" t="str">
        <x:v>FY2025</x:v>
      </x:c>
      <x:c r="D46" s="18" t="str">
        <x:v>T3</x:v>
      </x:c>
      <x:c r="E46" s="19" t="str">
        <x:v>待审核</x:v>
      </x:c>
      <x:c r="F46" s="20" t="n">
        <x:v>1000</x:v>
      </x:c>
      <x:c r="G46" s="19" t="str">
        <x:v>达到年度门槛，待验收</x:v>
      </x:c>
      <x:c r="H46" s="19" t="str">
        <x:v>https://www.mlit.go.jp/koku/content/002016480.xlsx</x:v>
      </x:c>
      <x:c r="I46" s="19" t="str">
        <x:v>空港管理状況調書 N2456</x:v>
      </x:c>
    </x:row>
    <x:row r="47" ht="28" customHeight="1">
      <x:c r="A47" s="18" t="str">
        <x:v>三宅島</x:v>
      </x:c>
      <x:c r="B47" s="20" t="n">
        <x:v>28040</x:v>
      </x:c>
      <x:c r="C47" s="18" t="str">
        <x:v>FY2025</x:v>
      </x:c>
      <x:c r="D47" s="18" t="str">
        <x:v>T3</x:v>
      </x:c>
      <x:c r="E47" s="19" t="str">
        <x:v>待审核</x:v>
      </x:c>
      <x:c r="F47" s="20" t="n">
        <x:v>1000</x:v>
      </x:c>
      <x:c r="G47" s="19" t="str">
        <x:v>达到年度门槛，待验收</x:v>
      </x:c>
      <x:c r="H47" s="19" t="str">
        <x:v>https://www.mlit.go.jp/koku/content/002016480.xlsx</x:v>
      </x:c>
      <x:c r="I47" s="19" t="str">
        <x:v>空港管理状況調書 N2510</x:v>
      </x:c>
    </x:row>
    <x:row r="48" ht="28" customHeight="1">
      <x:c r="A48" s="18" t="str">
        <x:v>八丈島</x:v>
      </x:c>
      <x:c r="B48" s="20" t="n">
        <x:v>211412</x:v>
      </x:c>
      <x:c r="C48" s="18" t="str">
        <x:v>FY2025</x:v>
      </x:c>
      <x:c r="D48" s="18" t="str">
        <x:v>T2</x:v>
      </x:c>
      <x:c r="E48" s="19" t="str">
        <x:v>待审核</x:v>
      </x:c>
      <x:c r="F48" s="20" t="n">
        <x:v>1000</x:v>
      </x:c>
      <x:c r="G48" s="19" t="str">
        <x:v>达到年度门槛，待验收</x:v>
      </x:c>
      <x:c r="H48" s="19" t="str">
        <x:v>https://www.mlit.go.jp/koku/content/002016480.xlsx</x:v>
      </x:c>
      <x:c r="I48" s="19" t="str">
        <x:v>空港管理状況調書 N2564</x:v>
      </x:c>
    </x:row>
    <x:row r="49" ht="28" customHeight="1">
      <x:c r="A49" s="18" t="str">
        <x:v>富山</x:v>
      </x:c>
      <x:c r="B49" s="20" t="n">
        <x:v>379306</x:v>
      </x:c>
      <x:c r="C49" s="18" t="str">
        <x:v>FY2025</x:v>
      </x:c>
      <x:c r="D49" s="18" t="str">
        <x:v>T2</x:v>
      </x:c>
      <x:c r="E49" s="19" t="str">
        <x:v>待审核</x:v>
      </x:c>
      <x:c r="F49" s="20" t="n">
        <x:v>1000</x:v>
      </x:c>
      <x:c r="G49" s="19" t="str">
        <x:v>达到年度门槛，待验收</x:v>
      </x:c>
      <x:c r="H49" s="19" t="str">
        <x:v>https://www.mlit.go.jp/koku/content/002016480.xlsx</x:v>
      </x:c>
      <x:c r="I49" s="19" t="str">
        <x:v>空港管理状況調書 N2672</x:v>
      </x:c>
    </x:row>
    <x:row r="50" ht="28" customHeight="1">
      <x:c r="A50" s="18" t="str">
        <x:v>能登</x:v>
      </x:c>
      <x:c r="B50" s="20" t="n">
        <x:v>131399</x:v>
      </x:c>
      <x:c r="C50" s="18" t="str">
        <x:v>FY2025</x:v>
      </x:c>
      <x:c r="D50" s="18" t="str">
        <x:v>T2</x:v>
      </x:c>
      <x:c r="E50" s="19" t="str">
        <x:v>待审核</x:v>
      </x:c>
      <x:c r="F50" s="20" t="n">
        <x:v>1000</x:v>
      </x:c>
      <x:c r="G50" s="19" t="str">
        <x:v>达到年度门槛，待验收</x:v>
      </x:c>
      <x:c r="H50" s="19" t="str">
        <x:v>https://www.mlit.go.jp/koku/content/002016480.xlsx</x:v>
      </x:c>
      <x:c r="I50" s="19" t="str">
        <x:v>空港管理状況調書 N2726</x:v>
      </x:c>
    </x:row>
    <x:row r="51" ht="28" customHeight="1">
      <x:c r="A51" s="18" t="str">
        <x:v>松本</x:v>
      </x:c>
      <x:c r="B51" s="20" t="n">
        <x:v>248963</x:v>
      </x:c>
      <x:c r="C51" s="18" t="str">
        <x:v>FY2025</x:v>
      </x:c>
      <x:c r="D51" s="18" t="str">
        <x:v>T2</x:v>
      </x:c>
      <x:c r="E51" s="19" t="str">
        <x:v>待审核</x:v>
      </x:c>
      <x:c r="F51" s="20" t="n">
        <x:v>1000</x:v>
      </x:c>
      <x:c r="G51" s="19" t="str">
        <x:v>达到年度门槛，待验收</x:v>
      </x:c>
      <x:c r="H51" s="19" t="str">
        <x:v>https://www.mlit.go.jp/koku/content/002016480.xlsx</x:v>
      </x:c>
      <x:c r="I51" s="19" t="str">
        <x:v>空港管理状況調書 N2834</x:v>
      </x:c>
    </x:row>
    <x:row r="52" ht="28" customHeight="1">
      <x:c r="A52" s="18" t="str">
        <x:v>静岡</x:v>
      </x:c>
      <x:c r="B52" s="20" t="n">
        <x:v>722688</x:v>
      </x:c>
      <x:c r="C52" s="18" t="str">
        <x:v>FY2025</x:v>
      </x:c>
      <x:c r="D52" s="18" t="str">
        <x:v>T2</x:v>
      </x:c>
      <x:c r="E52" s="19" t="str">
        <x:v>待审核</x:v>
      </x:c>
      <x:c r="F52" s="20" t="n">
        <x:v>1000</x:v>
      </x:c>
      <x:c r="G52" s="19" t="str">
        <x:v>达到年度门槛，待验收</x:v>
      </x:c>
      <x:c r="H52" s="19" t="str">
        <x:v>https://www.mlit.go.jp/koku/content/002016480.xlsx</x:v>
      </x:c>
      <x:c r="I52" s="19" t="str">
        <x:v>空港管理状況調書 N2888</x:v>
      </x:c>
    </x:row>
    <x:row r="53" ht="28" customHeight="1">
      <x:c r="A53" s="18" t="str">
        <x:v>神戸</x:v>
      </x:c>
      <x:c r="B53" s="20" t="n">
        <x:v>4172783</x:v>
      </x:c>
      <x:c r="C53" s="18" t="str">
        <x:v>FY2025</x:v>
      </x:c>
      <x:c r="D53" s="18" t="str">
        <x:v>T1</x:v>
      </x:c>
      <x:c r="E53" s="19" t="str">
        <x:v>待审核</x:v>
      </x:c>
      <x:c r="F53" s="20" t="n">
        <x:v>1000</x:v>
      </x:c>
      <x:c r="G53" s="19" t="str">
        <x:v>达到年度门槛，待验收</x:v>
      </x:c>
      <x:c r="H53" s="19" t="str">
        <x:v>https://www.mlit.go.jp/koku/content/002016480.xlsx</x:v>
      </x:c>
      <x:c r="I53" s="19" t="str">
        <x:v>空港管理状況調書 N2942</x:v>
      </x:c>
    </x:row>
    <x:row r="54" ht="28" customHeight="1">
      <x:c r="A54" s="18" t="str">
        <x:v>南紀白浜</x:v>
      </x:c>
      <x:c r="B54" s="20" t="n">
        <x:v>243625</x:v>
      </x:c>
      <x:c r="C54" s="18" t="str">
        <x:v>FY2025</x:v>
      </x:c>
      <x:c r="D54" s="18" t="str">
        <x:v>T2</x:v>
      </x:c>
      <x:c r="E54" s="19" t="str">
        <x:v>待审核</x:v>
      </x:c>
      <x:c r="F54" s="20" t="n">
        <x:v>1000</x:v>
      </x:c>
      <x:c r="G54" s="19" t="str">
        <x:v>达到年度门槛，待验收</x:v>
      </x:c>
      <x:c r="H54" s="19" t="str">
        <x:v>https://www.mlit.go.jp/koku/content/002016480.xlsx</x:v>
      </x:c>
      <x:c r="I54" s="19" t="str">
        <x:v>空港管理状況調書 N2996</x:v>
      </x:c>
    </x:row>
    <x:row r="55" ht="28" customHeight="1">
      <x:c r="A55" s="18" t="str">
        <x:v>鳥取</x:v>
      </x:c>
      <x:c r="B55" s="20" t="n">
        <x:v>423699</x:v>
      </x:c>
      <x:c r="C55" s="18" t="str">
        <x:v>FY2025</x:v>
      </x:c>
      <x:c r="D55" s="18" t="str">
        <x:v>T2</x:v>
      </x:c>
      <x:c r="E55" s="19" t="str">
        <x:v>待审核</x:v>
      </x:c>
      <x:c r="F55" s="20" t="n">
        <x:v>1000</x:v>
      </x:c>
      <x:c r="G55" s="19" t="str">
        <x:v>达到年度门槛，待验收</x:v>
      </x:c>
      <x:c r="H55" s="19" t="str">
        <x:v>https://www.mlit.go.jp/koku/content/002016480.xlsx</x:v>
      </x:c>
      <x:c r="I55" s="19" t="str">
        <x:v>空港管理状況調書 N3050</x:v>
      </x:c>
    </x:row>
    <x:row r="56" ht="28" customHeight="1">
      <x:c r="A56" s="18" t="str">
        <x:v>隠岐</x:v>
      </x:c>
      <x:c r="B56" s="20" t="n">
        <x:v>76123</x:v>
      </x:c>
      <x:c r="C56" s="18" t="str">
        <x:v>FY2025</x:v>
      </x:c>
      <x:c r="D56" s="18" t="str">
        <x:v>T3</x:v>
      </x:c>
      <x:c r="E56" s="19" t="str">
        <x:v>待审核</x:v>
      </x:c>
      <x:c r="F56" s="20" t="n">
        <x:v>1000</x:v>
      </x:c>
      <x:c r="G56" s="19" t="str">
        <x:v>达到年度门槛，待验收</x:v>
      </x:c>
      <x:c r="H56" s="19" t="str">
        <x:v>https://www.mlit.go.jp/koku/content/002016480.xlsx</x:v>
      </x:c>
      <x:c r="I56" s="19" t="str">
        <x:v>空港管理状況調書 N3104</x:v>
      </x:c>
    </x:row>
    <x:row r="57" ht="28" customHeight="1">
      <x:c r="A57" s="18" t="str">
        <x:v>出雲</x:v>
      </x:c>
      <x:c r="B57" s="20" t="n">
        <x:v>1153415</x:v>
      </x:c>
      <x:c r="C57" s="18" t="str">
        <x:v>FY2025</x:v>
      </x:c>
      <x:c r="D57" s="18" t="str">
        <x:v>T1</x:v>
      </x:c>
      <x:c r="E57" s="19" t="str">
        <x:v>待审核</x:v>
      </x:c>
      <x:c r="F57" s="20" t="n">
        <x:v>1000</x:v>
      </x:c>
      <x:c r="G57" s="19" t="str">
        <x:v>达到年度门槛，待验收</x:v>
      </x:c>
      <x:c r="H57" s="19" t="str">
        <x:v>https://www.mlit.go.jp/koku/content/002016480.xlsx</x:v>
      </x:c>
      <x:c r="I57" s="19" t="str">
        <x:v>空港管理状況調書 N3158</x:v>
      </x:c>
    </x:row>
    <x:row r="58" ht="28" customHeight="1">
      <x:c r="A58" s="18" t="str">
        <x:v>石見</x:v>
      </x:c>
      <x:c r="B58" s="20" t="n">
        <x:v>150829</x:v>
      </x:c>
      <x:c r="C58" s="18" t="str">
        <x:v>FY2025</x:v>
      </x:c>
      <x:c r="D58" s="18" t="str">
        <x:v>T2</x:v>
      </x:c>
      <x:c r="E58" s="19" t="str">
        <x:v>待审核</x:v>
      </x:c>
      <x:c r="F58" s="20" t="n">
        <x:v>1000</x:v>
      </x:c>
      <x:c r="G58" s="19" t="str">
        <x:v>达到年度门槛，待验收</x:v>
      </x:c>
      <x:c r="H58" s="19" t="str">
        <x:v>https://www.mlit.go.jp/koku/content/002016480.xlsx</x:v>
      </x:c>
      <x:c r="I58" s="19" t="str">
        <x:v>空港管理状況調書 N3212</x:v>
      </x:c>
    </x:row>
    <x:row r="59" ht="28" customHeight="1">
      <x:c r="A59" s="18" t="str">
        <x:v>岡山</x:v>
      </x:c>
      <x:c r="B59" s="20" t="n">
        <x:v>1472533</x:v>
      </x:c>
      <x:c r="C59" s="18" t="str">
        <x:v>FY2025</x:v>
      </x:c>
      <x:c r="D59" s="18" t="str">
        <x:v>T1</x:v>
      </x:c>
      <x:c r="E59" s="19" t="str">
        <x:v>待审核</x:v>
      </x:c>
      <x:c r="F59" s="20" t="n">
        <x:v>1000</x:v>
      </x:c>
      <x:c r="G59" s="19" t="str">
        <x:v>达到年度门槛，待验收</x:v>
      </x:c>
      <x:c r="H59" s="19" t="str">
        <x:v>https://www.mlit.go.jp/koku/content/002016480.xlsx</x:v>
      </x:c>
      <x:c r="I59" s="19" t="str">
        <x:v>空港管理状況調書 N3266</x:v>
      </x:c>
    </x:row>
    <x:row r="60" ht="28" customHeight="1">
      <x:c r="A60" s="18" t="str">
        <x:v>佐賀</x:v>
      </x:c>
      <x:c r="B60" s="20" t="n">
        <x:v>640814</x:v>
      </x:c>
      <x:c r="C60" s="18" t="str">
        <x:v>FY2025</x:v>
      </x:c>
      <x:c r="D60" s="18" t="str">
        <x:v>T2</x:v>
      </x:c>
      <x:c r="E60" s="19" t="str">
        <x:v>待审核</x:v>
      </x:c>
      <x:c r="F60" s="20" t="n">
        <x:v>1000</x:v>
      </x:c>
      <x:c r="G60" s="19" t="str">
        <x:v>达到年度门槛，待验收</x:v>
      </x:c>
      <x:c r="H60" s="19" t="str">
        <x:v>https://www.mlit.go.jp/koku/content/002016480.xlsx</x:v>
      </x:c>
      <x:c r="I60" s="19" t="str">
        <x:v>空港管理状況調書 N3320</x:v>
      </x:c>
    </x:row>
    <x:row r="61" ht="28" customHeight="1">
      <x:c r="A61" s="18" t="str">
        <x:v>対馬</x:v>
      </x:c>
      <x:c r="B61" s="20" t="n">
        <x:v>245997</x:v>
      </x:c>
      <x:c r="C61" s="18" t="str">
        <x:v>FY2025</x:v>
      </x:c>
      <x:c r="D61" s="18" t="str">
        <x:v>T2</x:v>
      </x:c>
      <x:c r="E61" s="19" t="str">
        <x:v>待审核</x:v>
      </x:c>
      <x:c r="F61" s="20" t="n">
        <x:v>1000</x:v>
      </x:c>
      <x:c r="G61" s="19" t="str">
        <x:v>达到年度门槛，待验收</x:v>
      </x:c>
      <x:c r="H61" s="19" t="str">
        <x:v>https://www.mlit.go.jp/koku/content/002016480.xlsx</x:v>
      </x:c>
      <x:c r="I61" s="19" t="str">
        <x:v>空港管理状況調書 N3374</x:v>
      </x:c>
    </x:row>
    <x:row r="62" ht="28" customHeight="1">
      <x:c r="A62" s="18" t="str">
        <x:v>福江</x:v>
      </x:c>
      <x:c r="B62" s="20" t="n">
        <x:v>174889</x:v>
      </x:c>
      <x:c r="C62" s="18" t="str">
        <x:v>FY2025</x:v>
      </x:c>
      <x:c r="D62" s="18" t="str">
        <x:v>T2</x:v>
      </x:c>
      <x:c r="E62" s="19" t="str">
        <x:v>待审核</x:v>
      </x:c>
      <x:c r="F62" s="20" t="n">
        <x:v>1000</x:v>
      </x:c>
      <x:c r="G62" s="19" t="str">
        <x:v>达到年度门槛，待验收</x:v>
      </x:c>
      <x:c r="H62" s="19" t="str">
        <x:v>https://www.mlit.go.jp/koku/content/002016480.xlsx</x:v>
      </x:c>
      <x:c r="I62" s="19" t="str">
        <x:v>空港管理状況調書 N3482</x:v>
      </x:c>
    </x:row>
    <x:row r="63" ht="28" customHeight="1">
      <x:c r="A63" s="18" t="str">
        <x:v>壱岐</x:v>
      </x:c>
      <x:c r="B63" s="20" t="n">
        <x:v>30291</x:v>
      </x:c>
      <x:c r="C63" s="18" t="str">
        <x:v>FY2025</x:v>
      </x:c>
      <x:c r="D63" s="18" t="str">
        <x:v>T3</x:v>
      </x:c>
      <x:c r="E63" s="19" t="str">
        <x:v>待审核</x:v>
      </x:c>
      <x:c r="F63" s="20" t="n">
        <x:v>1000</x:v>
      </x:c>
      <x:c r="G63" s="19" t="str">
        <x:v>达到年度门槛，待验收</x:v>
      </x:c>
      <x:c r="H63" s="19" t="str">
        <x:v>https://www.mlit.go.jp/koku/content/002016480.xlsx</x:v>
      </x:c>
      <x:c r="I63" s="19" t="str">
        <x:v>空港管理状況調書 N3590</x:v>
      </x:c>
    </x:row>
    <x:row r="64" ht="28" customHeight="1">
      <x:c r="A64" s="18" t="str">
        <x:v>種子島</x:v>
      </x:c>
      <x:c r="B64" s="20" t="n">
        <x:v>115658</x:v>
      </x:c>
      <x:c r="C64" s="18" t="str">
        <x:v>FY2025</x:v>
      </x:c>
      <x:c r="D64" s="18" t="str">
        <x:v>T2</x:v>
      </x:c>
      <x:c r="E64" s="19" t="str">
        <x:v>待审核</x:v>
      </x:c>
      <x:c r="F64" s="20" t="n">
        <x:v>1000</x:v>
      </x:c>
      <x:c r="G64" s="19" t="str">
        <x:v>达到年度门槛，待验收</x:v>
      </x:c>
      <x:c r="H64" s="19" t="str">
        <x:v>https://www.mlit.go.jp/koku/content/002016480.xlsx</x:v>
      </x:c>
      <x:c r="I64" s="19" t="str">
        <x:v>空港管理状況調書 N3644</x:v>
      </x:c>
    </x:row>
    <x:row r="65" ht="28" customHeight="1">
      <x:c r="A65" s="18" t="str">
        <x:v>屋久島</x:v>
      </x:c>
      <x:c r="B65" s="20" t="n">
        <x:v>203632</x:v>
      </x:c>
      <x:c r="C65" s="18" t="str">
        <x:v>FY2025</x:v>
      </x:c>
      <x:c r="D65" s="18" t="str">
        <x:v>T2</x:v>
      </x:c>
      <x:c r="E65" s="19" t="str">
        <x:v>待审核</x:v>
      </x:c>
      <x:c r="F65" s="20" t="n">
        <x:v>1000</x:v>
      </x:c>
      <x:c r="G65" s="19" t="str">
        <x:v>达到年度门槛，待验收</x:v>
      </x:c>
      <x:c r="H65" s="19" t="str">
        <x:v>https://www.mlit.go.jp/koku/content/002016480.xlsx</x:v>
      </x:c>
      <x:c r="I65" s="19" t="str">
        <x:v>空港管理状況調書 N3698</x:v>
      </x:c>
    </x:row>
    <x:row r="66" ht="28" customHeight="1">
      <x:c r="A66" s="18" t="str">
        <x:v>奄美</x:v>
      </x:c>
      <x:c r="B66" s="20" t="n">
        <x:v>886293</x:v>
      </x:c>
      <x:c r="C66" s="18" t="str">
        <x:v>FY2025</x:v>
      </x:c>
      <x:c r="D66" s="18" t="str">
        <x:v>T2</x:v>
      </x:c>
      <x:c r="E66" s="19" t="str">
        <x:v>待审核</x:v>
      </x:c>
      <x:c r="F66" s="20" t="n">
        <x:v>1000</x:v>
      </x:c>
      <x:c r="G66" s="19" t="str">
        <x:v>达到年度门槛，待验收</x:v>
      </x:c>
      <x:c r="H66" s="19" t="str">
        <x:v>https://www.mlit.go.jp/koku/content/002016480.xlsx</x:v>
      </x:c>
      <x:c r="I66" s="19" t="str">
        <x:v>空港管理状況調書 N3752</x:v>
      </x:c>
    </x:row>
    <x:row r="67" ht="28" customHeight="1">
      <x:c r="A67" s="18" t="str">
        <x:v>喜界</x:v>
      </x:c>
      <x:c r="B67" s="20" t="n">
        <x:v>83903</x:v>
      </x:c>
      <x:c r="C67" s="18" t="str">
        <x:v>FY2025</x:v>
      </x:c>
      <x:c r="D67" s="18" t="str">
        <x:v>T3</x:v>
      </x:c>
      <x:c r="E67" s="19" t="str">
        <x:v>待审核</x:v>
      </x:c>
      <x:c r="F67" s="20" t="n">
        <x:v>1000</x:v>
      </x:c>
      <x:c r="G67" s="19" t="str">
        <x:v>达到年度门槛，待验收</x:v>
      </x:c>
      <x:c r="H67" s="19" t="str">
        <x:v>https://www.mlit.go.jp/koku/content/002016480.xlsx</x:v>
      </x:c>
      <x:c r="I67" s="19" t="str">
        <x:v>空港管理状況調書 N3806</x:v>
      </x:c>
    </x:row>
    <x:row r="68" ht="28" customHeight="1">
      <x:c r="A68" s="18" t="str">
        <x:v>徳之島</x:v>
      </x:c>
      <x:c r="B68" s="20" t="n">
        <x:v>198629</x:v>
      </x:c>
      <x:c r="C68" s="18" t="str">
        <x:v>FY2025</x:v>
      </x:c>
      <x:c r="D68" s="18" t="str">
        <x:v>T2</x:v>
      </x:c>
      <x:c r="E68" s="19" t="str">
        <x:v>待审核</x:v>
      </x:c>
      <x:c r="F68" s="20" t="n">
        <x:v>1000</x:v>
      </x:c>
      <x:c r="G68" s="19" t="str">
        <x:v>达到年度门槛，待验收</x:v>
      </x:c>
      <x:c r="H68" s="19" t="str">
        <x:v>https://www.mlit.go.jp/koku/content/002016480.xlsx</x:v>
      </x:c>
      <x:c r="I68" s="19" t="str">
        <x:v>空港管理状況調書 N3860</x:v>
      </x:c>
    </x:row>
    <x:row r="69" ht="28" customHeight="1">
      <x:c r="A69" s="18" t="str">
        <x:v>沖永良部</x:v>
      </x:c>
      <x:c r="B69" s="20" t="n">
        <x:v>110755</x:v>
      </x:c>
      <x:c r="C69" s="18" t="str">
        <x:v>FY2025</x:v>
      </x:c>
      <x:c r="D69" s="18" t="str">
        <x:v>T2</x:v>
      </x:c>
      <x:c r="E69" s="19" t="str">
        <x:v>待审核</x:v>
      </x:c>
      <x:c r="F69" s="20" t="n">
        <x:v>1000</x:v>
      </x:c>
      <x:c r="G69" s="19" t="str">
        <x:v>达到年度门槛，待验收</x:v>
      </x:c>
      <x:c r="H69" s="19" t="str">
        <x:v>https://www.mlit.go.jp/koku/content/002016480.xlsx</x:v>
      </x:c>
      <x:c r="I69" s="19" t="str">
        <x:v>空港管理状況調書 N3914</x:v>
      </x:c>
    </x:row>
    <x:row r="70" ht="28" customHeight="1">
      <x:c r="A70" s="18" t="str">
        <x:v>与論</x:v>
      </x:c>
      <x:c r="B70" s="20" t="n">
        <x:v>92850</x:v>
      </x:c>
      <x:c r="C70" s="18" t="str">
        <x:v>FY2025</x:v>
      </x:c>
      <x:c r="D70" s="18" t="str">
        <x:v>T3</x:v>
      </x:c>
      <x:c r="E70" s="19" t="str">
        <x:v>待审核</x:v>
      </x:c>
      <x:c r="F70" s="20" t="n">
        <x:v>1000</x:v>
      </x:c>
      <x:c r="G70" s="19" t="str">
        <x:v>达到年度门槛，待验收</x:v>
      </x:c>
      <x:c r="H70" s="19" t="str">
        <x:v>https://www.mlit.go.jp/koku/content/002016480.xlsx</x:v>
      </x:c>
      <x:c r="I70" s="19" t="str">
        <x:v>空港管理状況調書 N3968</x:v>
      </x:c>
    </x:row>
    <x:row r="71" ht="28" customHeight="1">
      <x:c r="A71" s="18" t="str">
        <x:v>粟国</x:v>
      </x:c>
      <x:c r="B71" s="20" t="n">
        <x:v>1347</x:v>
      </x:c>
      <x:c r="C71" s="18" t="str">
        <x:v>FY2025</x:v>
      </x:c>
      <x:c r="D71" s="18" t="str">
        <x:v>T3</x:v>
      </x:c>
      <x:c r="E71" s="19" t="str">
        <x:v>待审核</x:v>
      </x:c>
      <x:c r="F71" s="20" t="n">
        <x:v>1000</x:v>
      </x:c>
      <x:c r="G71" s="19" t="str">
        <x:v>达到年度门槛，待验收</x:v>
      </x:c>
      <x:c r="H71" s="19" t="str">
        <x:v>https://www.mlit.go.jp/koku/content/002016480.xlsx</x:v>
      </x:c>
      <x:c r="I71" s="19" t="str">
        <x:v>空港管理状況調書 N4022</x:v>
      </x:c>
    </x:row>
    <x:row r="72" ht="28" customHeight="1">
      <x:c r="A72" s="18" t="str">
        <x:v>久米島</x:v>
      </x:c>
      <x:c r="B72" s="20" t="n">
        <x:v>221744</x:v>
      </x:c>
      <x:c r="C72" s="18" t="str">
        <x:v>FY2025</x:v>
      </x:c>
      <x:c r="D72" s="18" t="str">
        <x:v>T2</x:v>
      </x:c>
      <x:c r="E72" s="19" t="str">
        <x:v>待审核</x:v>
      </x:c>
      <x:c r="F72" s="20" t="n">
        <x:v>1000</x:v>
      </x:c>
      <x:c r="G72" s="19" t="str">
        <x:v>达到年度门槛，待验收</x:v>
      </x:c>
      <x:c r="H72" s="19" t="str">
        <x:v>https://www.mlit.go.jp/koku/content/002016480.xlsx</x:v>
      </x:c>
      <x:c r="I72" s="19" t="str">
        <x:v>空港管理状況調書 N4076</x:v>
      </x:c>
    </x:row>
    <x:row r="73" ht="28" customHeight="1">
      <x:c r="A73" s="18" t="str">
        <x:v>南大東</x:v>
      </x:c>
      <x:c r="B73" s="20" t="n">
        <x:v>39401</x:v>
      </x:c>
      <x:c r="C73" s="18" t="str">
        <x:v>FY2025</x:v>
      </x:c>
      <x:c r="D73" s="18" t="str">
        <x:v>T3</x:v>
      </x:c>
      <x:c r="E73" s="19" t="str">
        <x:v>待审核</x:v>
      </x:c>
      <x:c r="F73" s="20" t="n">
        <x:v>1000</x:v>
      </x:c>
      <x:c r="G73" s="19" t="str">
        <x:v>达到年度门槛，待验收</x:v>
      </x:c>
      <x:c r="H73" s="19" t="str">
        <x:v>https://www.mlit.go.jp/koku/content/002016480.xlsx</x:v>
      </x:c>
      <x:c r="I73" s="19" t="str">
        <x:v>空港管理状況調書 N4184</x:v>
      </x:c>
    </x:row>
    <x:row r="74" ht="28" customHeight="1">
      <x:c r="A74" s="18" t="str">
        <x:v>北大東</x:v>
      </x:c>
      <x:c r="B74" s="20" t="n">
        <x:v>21333</x:v>
      </x:c>
      <x:c r="C74" s="18" t="str">
        <x:v>FY2025</x:v>
      </x:c>
      <x:c r="D74" s="18" t="str">
        <x:v>T3</x:v>
      </x:c>
      <x:c r="E74" s="19" t="str">
        <x:v>待审核</x:v>
      </x:c>
      <x:c r="F74" s="20" t="n">
        <x:v>1000</x:v>
      </x:c>
      <x:c r="G74" s="19" t="str">
        <x:v>达到年度门槛，待验收</x:v>
      </x:c>
      <x:c r="H74" s="19" t="str">
        <x:v>https://www.mlit.go.jp/koku/content/002016480.xlsx</x:v>
      </x:c>
      <x:c r="I74" s="19" t="str">
        <x:v>空港管理状況調書 N4238</x:v>
      </x:c>
    </x:row>
    <x:row r="75" ht="28" customHeight="1">
      <x:c r="A75" s="18" t="str">
        <x:v>宮古</x:v>
      </x:c>
      <x:c r="B75" s="20" t="n">
        <x:v>2053502</x:v>
      </x:c>
      <x:c r="C75" s="18" t="str">
        <x:v>FY2025</x:v>
      </x:c>
      <x:c r="D75" s="18" t="str">
        <x:v>T1</x:v>
      </x:c>
      <x:c r="E75" s="19" t="str">
        <x:v>待审核</x:v>
      </x:c>
      <x:c r="F75" s="20" t="n">
        <x:v>1000</x:v>
      </x:c>
      <x:c r="G75" s="19" t="str">
        <x:v>达到年度门槛，待验收</x:v>
      </x:c>
      <x:c r="H75" s="19" t="str">
        <x:v>https://www.mlit.go.jp/koku/content/002016480.xlsx</x:v>
      </x:c>
      <x:c r="I75" s="19" t="str">
        <x:v>空港管理状況調書 N4346</x:v>
      </x:c>
    </x:row>
    <x:row r="76" ht="28" customHeight="1">
      <x:c r="A76" s="18" t="str">
        <x:v>下地島</x:v>
      </x:c>
      <x:c r="B76" s="20" t="n">
        <x:v>512486</x:v>
      </x:c>
      <x:c r="C76" s="18" t="str">
        <x:v>FY2025</x:v>
      </x:c>
      <x:c r="D76" s="18" t="str">
        <x:v>T2</x:v>
      </x:c>
      <x:c r="E76" s="19" t="str">
        <x:v>待审核</x:v>
      </x:c>
      <x:c r="F76" s="20" t="n">
        <x:v>1000</x:v>
      </x:c>
      <x:c r="G76" s="19" t="str">
        <x:v>达到年度门槛，待验收</x:v>
      </x:c>
      <x:c r="H76" s="19" t="str">
        <x:v>https://www.mlit.go.jp/koku/content/002016480.xlsx</x:v>
      </x:c>
      <x:c r="I76" s="19" t="str">
        <x:v>空港管理状況調書 N4400</x:v>
      </x:c>
    </x:row>
    <x:row r="77" ht="28" customHeight="1">
      <x:c r="A77" s="18" t="str">
        <x:v>多良間</x:v>
      </x:c>
      <x:c r="B77" s="20" t="n">
        <x:v>54400</x:v>
      </x:c>
      <x:c r="C77" s="18" t="str">
        <x:v>FY2025</x:v>
      </x:c>
      <x:c r="D77" s="18" t="str">
        <x:v>T3</x:v>
      </x:c>
      <x:c r="E77" s="19" t="str">
        <x:v>待审核</x:v>
      </x:c>
      <x:c r="F77" s="20" t="n">
        <x:v>1000</x:v>
      </x:c>
      <x:c r="G77" s="19" t="str">
        <x:v>达到年度门槛，待验收</x:v>
      </x:c>
      <x:c r="H77" s="19" t="str">
        <x:v>https://www.mlit.go.jp/koku/content/002016480.xlsx</x:v>
      </x:c>
      <x:c r="I77" s="19" t="str">
        <x:v>空港管理状況調書 N4454</x:v>
      </x:c>
    </x:row>
    <x:row r="78" ht="28" customHeight="1">
      <x:c r="A78" s="18" t="str">
        <x:v>石垣</x:v>
      </x:c>
      <x:c r="B78" s="20" t="n">
        <x:v>2926581</x:v>
      </x:c>
      <x:c r="C78" s="18" t="str">
        <x:v>FY2025</x:v>
      </x:c>
      <x:c r="D78" s="18" t="str">
        <x:v>T1</x:v>
      </x:c>
      <x:c r="E78" s="19" t="str">
        <x:v>待审核</x:v>
      </x:c>
      <x:c r="F78" s="20" t="n">
        <x:v>1000</x:v>
      </x:c>
      <x:c r="G78" s="19" t="str">
        <x:v>达到年度门槛，待验收</x:v>
      </x:c>
      <x:c r="H78" s="19" t="str">
        <x:v>https://www.mlit.go.jp/koku/content/002016480.xlsx</x:v>
      </x:c>
      <x:c r="I78" s="19" t="str">
        <x:v>空港管理状況調書 N4508</x:v>
      </x:c>
    </x:row>
    <x:row r="79" ht="28" customHeight="1">
      <x:c r="A79" s="18" t="str">
        <x:v>波照間</x:v>
      </x:c>
      <x:c r="B79" s="20" t="n">
        <x:v>1017</x:v>
      </x:c>
      <x:c r="C79" s="18" t="str">
        <x:v>FY2025</x:v>
      </x:c>
      <x:c r="D79" s="18" t="str">
        <x:v>T3</x:v>
      </x:c>
      <x:c r="E79" s="19" t="str">
        <x:v>待审核</x:v>
      </x:c>
      <x:c r="F79" s="20" t="n">
        <x:v>1000</x:v>
      </x:c>
      <x:c r="G79" s="19" t="str">
        <x:v>达到年度门槛，待验收</x:v>
      </x:c>
      <x:c r="H79" s="19" t="str">
        <x:v>https://www.mlit.go.jp/koku/content/002016480.xlsx</x:v>
      </x:c>
      <x:c r="I79" s="19" t="str">
        <x:v>空港管理状況調書 N4562</x:v>
      </x:c>
    </x:row>
    <x:row r="80" ht="28" customHeight="1">
      <x:c r="A80" s="18" t="str">
        <x:v>与那国</x:v>
      </x:c>
      <x:c r="B80" s="20" t="n">
        <x:v>122203</x:v>
      </x:c>
      <x:c r="C80" s="18" t="str">
        <x:v>FY2025</x:v>
      </x:c>
      <x:c r="D80" s="18" t="str">
        <x:v>T2</x:v>
      </x:c>
      <x:c r="E80" s="19" t="str">
        <x:v>待审核</x:v>
      </x:c>
      <x:c r="F80" s="20" t="n">
        <x:v>1000</x:v>
      </x:c>
      <x:c r="G80" s="19" t="str">
        <x:v>达到年度门槛，待验收</x:v>
      </x:c>
      <x:c r="H80" s="19" t="str">
        <x:v>https://www.mlit.go.jp/koku/content/002016480.xlsx</x:v>
      </x:c>
      <x:c r="I80" s="19" t="str">
        <x:v>空港管理状況調書 N4616</x:v>
      </x:c>
    </x:row>
    <x:row r="81" ht="28" customHeight="1">
      <x:c r="A81" s="18" t="str">
        <x:v>調布</x:v>
      </x:c>
      <x:c r="B81" s="20" t="n">
        <x:v>101487</x:v>
      </x:c>
      <x:c r="C81" s="18" t="str">
        <x:v>FY2025</x:v>
      </x:c>
      <x:c r="D81" s="18" t="str">
        <x:v>T2</x:v>
      </x:c>
      <x:c r="E81" s="19" t="str">
        <x:v>待审核</x:v>
      </x:c>
      <x:c r="F81" s="20" t="n">
        <x:v>1000</x:v>
      </x:c>
      <x:c r="G81" s="19" t="str">
        <x:v>达到年度门槛，待验收</x:v>
      </x:c>
      <x:c r="H81" s="19" t="str">
        <x:v>https://www.mlit.go.jp/koku/content/002016480.xlsx</x:v>
      </x:c>
      <x:c r="I81" s="19" t="str">
        <x:v>空港管理状況調書 N5156</x:v>
      </x:c>
    </x:row>
    <x:row r="82" ht="28" customHeight="1">
      <x:c r="A82" s="18" t="str">
        <x:v>名古屋</x:v>
      </x:c>
      <x:c r="B82" s="20" t="n">
        <x:v>902080</x:v>
      </x:c>
      <x:c r="C82" s="18" t="str">
        <x:v>FY2025</x:v>
      </x:c>
      <x:c r="D82" s="18" t="str">
        <x:v>T2</x:v>
      </x:c>
      <x:c r="E82" s="19" t="str">
        <x:v>待审核</x:v>
      </x:c>
      <x:c r="F82" s="20" t="n">
        <x:v>1000</x:v>
      </x:c>
      <x:c r="G82" s="19" t="str">
        <x:v>达到年度门槛，待验收</x:v>
      </x:c>
      <x:c r="H82" s="19" t="str">
        <x:v>https://www.mlit.go.jp/koku/content/002016480.xlsx</x:v>
      </x:c>
      <x:c r="I82" s="19" t="str">
        <x:v>空港管理状況調書 N5210</x:v>
      </x:c>
    </x:row>
    <x:row r="83" ht="28" customHeight="1">
      <x:c r="A83" s="18" t="str">
        <x:v>但馬</x:v>
      </x:c>
      <x:c r="B83" s="20" t="n">
        <x:v>40021</x:v>
      </x:c>
      <x:c r="C83" s="18" t="str">
        <x:v>FY2025</x:v>
      </x:c>
      <x:c r="D83" s="18" t="str">
        <x:v>T3</x:v>
      </x:c>
      <x:c r="E83" s="19" t="str">
        <x:v>待审核</x:v>
      </x:c>
      <x:c r="F83" s="20" t="n">
        <x:v>1000</x:v>
      </x:c>
      <x:c r="G83" s="19" t="str">
        <x:v>达到年度门槛，待验收</x:v>
      </x:c>
      <x:c r="H83" s="19" t="str">
        <x:v>https://www.mlit.go.jp/koku/content/002016480.xlsx</x:v>
      </x:c>
      <x:c r="I83" s="19" t="str">
        <x:v>空港管理状況調書 N5264</x:v>
      </x:c>
    </x:row>
    <x:row r="84" ht="28" customHeight="1">
      <x:c r="A84" s="18" t="str">
        <x:v>天草</x:v>
      </x:c>
      <x:c r="B84" s="20" t="n">
        <x:v>35483</x:v>
      </x:c>
      <x:c r="C84" s="18" t="str">
        <x:v>FY2025</x:v>
      </x:c>
      <x:c r="D84" s="18" t="str">
        <x:v>T3</x:v>
      </x:c>
      <x:c r="E84" s="19" t="str">
        <x:v>待审核</x:v>
      </x:c>
      <x:c r="F84" s="20" t="n">
        <x:v>1000</x:v>
      </x:c>
      <x:c r="G84" s="19" t="str">
        <x:v>达到年度门槛，待验收</x:v>
      </x:c>
      <x:c r="H84" s="19" t="str">
        <x:v>https://www.mlit.go.jp/koku/content/002016480.xlsx</x:v>
      </x:c>
      <x:c r="I84" s="19" t="str">
        <x:v>空港管理状況調書 N5372</x:v>
      </x:c>
    </x:row>
    <x:row r="85" ht="28" customHeight="1">
      <x:c r="A85" s="18" t="str">
        <x:v>札幌</x:v>
      </x:c>
      <x:c r="B85" s="20" t="n">
        <x:v>576410</x:v>
      </x:c>
      <x:c r="C85" s="18" t="str">
        <x:v>FY2025</x:v>
      </x:c>
      <x:c r="D85" s="18" t="str">
        <x:v>T2</x:v>
      </x:c>
      <x:c r="E85" s="19" t="str">
        <x:v>待审核</x:v>
      </x:c>
      <x:c r="F85" s="20" t="n">
        <x:v>1000</x:v>
      </x:c>
      <x:c r="G85" s="19" t="str">
        <x:v>达到年度门槛，待验收</x:v>
      </x:c>
      <x:c r="H85" s="19" t="str">
        <x:v>https://www.mlit.go.jp/koku/content/002016480.xlsx</x:v>
      </x:c>
      <x:c r="I85" s="19" t="str">
        <x:v>空港管理状況調書 N4724</x:v>
      </x:c>
    </x:row>
    <x:row r="86" ht="28" customHeight="1">
      <x:c r="A86" s="18" t="str">
        <x:v>三沢</x:v>
      </x:c>
      <x:c r="B86" s="20" t="n">
        <x:v>387748</x:v>
      </x:c>
      <x:c r="C86" s="18" t="str">
        <x:v>FY2025</x:v>
      </x:c>
      <x:c r="D86" s="18" t="str">
        <x:v>T2</x:v>
      </x:c>
      <x:c r="E86" s="19" t="str">
        <x:v>待审核</x:v>
      </x:c>
      <x:c r="F86" s="20" t="n">
        <x:v>1000</x:v>
      </x:c>
      <x:c r="G86" s="19" t="str">
        <x:v>达到年度门槛，待验收</x:v>
      </x:c>
      <x:c r="H86" s="19" t="str">
        <x:v>https://www.mlit.go.jp/koku/content/002016480.xlsx</x:v>
      </x:c>
      <x:c r="I86" s="19" t="str">
        <x:v>空港管理状況調書 N4778</x:v>
      </x:c>
    </x:row>
    <x:row r="87" ht="28" customHeight="1">
      <x:c r="A87" s="18" t="str">
        <x:v>百里</x:v>
      </x:c>
      <x:c r="B87" s="20" t="n">
        <x:v>834265</x:v>
      </x:c>
      <x:c r="C87" s="18" t="str">
        <x:v>FY2025</x:v>
      </x:c>
      <x:c r="D87" s="18" t="str">
        <x:v>T2</x:v>
      </x:c>
      <x:c r="E87" s="19" t="str">
        <x:v>待审核</x:v>
      </x:c>
      <x:c r="F87" s="20" t="n">
        <x:v>1000</x:v>
      </x:c>
      <x:c r="G87" s="19" t="str">
        <x:v>达到年度门槛，待验收</x:v>
      </x:c>
      <x:c r="H87" s="19" t="str">
        <x:v>https://www.mlit.go.jp/koku/content/002016480.xlsx</x:v>
      </x:c>
      <x:c r="I87" s="19" t="str">
        <x:v>空港管理状況調書 N4832</x:v>
      </x:c>
    </x:row>
    <x:row r="88" ht="28" customHeight="1">
      <x:c r="A88" s="18" t="str">
        <x:v>小松</x:v>
      </x:c>
      <x:c r="B88" s="20" t="n">
        <x:v>1491422</x:v>
      </x:c>
      <x:c r="C88" s="18" t="str">
        <x:v>FY2025</x:v>
      </x:c>
      <x:c r="D88" s="18" t="str">
        <x:v>T1</x:v>
      </x:c>
      <x:c r="E88" s="19" t="str">
        <x:v>待审核</x:v>
      </x:c>
      <x:c r="F88" s="20" t="n">
        <x:v>1000</x:v>
      </x:c>
      <x:c r="G88" s="19" t="str">
        <x:v>达到年度门槛，待验收</x:v>
      </x:c>
      <x:c r="H88" s="19" t="str">
        <x:v>https://www.mlit.go.jp/koku/content/002016480.xlsx</x:v>
      </x:c>
      <x:c r="I88" s="19" t="str">
        <x:v>空港管理状況調書 N4886</x:v>
      </x:c>
    </x:row>
    <x:row r="89" ht="28" customHeight="1">
      <x:c r="A89" s="18" t="str">
        <x:v>美保</x:v>
      </x:c>
      <x:c r="B89" s="20" t="n">
        <x:v>775126</x:v>
      </x:c>
      <x:c r="C89" s="18" t="str">
        <x:v>FY2025</x:v>
      </x:c>
      <x:c r="D89" s="18" t="str">
        <x:v>T2</x:v>
      </x:c>
      <x:c r="E89" s="19" t="str">
        <x:v>待审核</x:v>
      </x:c>
      <x:c r="F89" s="20" t="n">
        <x:v>1000</x:v>
      </x:c>
      <x:c r="G89" s="19" t="str">
        <x:v>达到年度门槛，待验收</x:v>
      </x:c>
      <x:c r="H89" s="19" t="str">
        <x:v>https://www.mlit.go.jp/koku/content/002016480.xlsx</x:v>
      </x:c>
      <x:c r="I89" s="19" t="str">
        <x:v>空港管理状況調書 N4940</x:v>
      </x:c>
    </x:row>
    <x:row r="90" ht="28" customHeight="1">
      <x:c r="A90" s="18" t="str">
        <x:v>岩国</x:v>
      </x:c>
      <x:c r="B90" s="20" t="n">
        <x:v>550725</x:v>
      </x:c>
      <x:c r="C90" s="18" t="str">
        <x:v>FY2025</x:v>
      </x:c>
      <x:c r="D90" s="18" t="str">
        <x:v>T2</x:v>
      </x:c>
      <x:c r="E90" s="19" t="str">
        <x:v>待审核</x:v>
      </x:c>
      <x:c r="F90" s="20" t="n">
        <x:v>1000</x:v>
      </x:c>
      <x:c r="G90" s="19" t="str">
        <x:v>达到年度门槛，待验收</x:v>
      </x:c>
      <x:c r="H90" s="19" t="str">
        <x:v>https://www.mlit.go.jp/koku/content/002016480.xlsx</x:v>
      </x:c>
      <x:c r="I90" s="19" t="str">
        <x:v>空港管理状況調書 N4994</x:v>
      </x:c>
    </x:row>
    <x:row r="91" ht="28" customHeight="1">
      <x:c r="A91" s="18" t="str">
        <x:v>徳島</x:v>
      </x:c>
      <x:c r="B91" s="20" t="n">
        <x:v>1118499</x:v>
      </x:c>
      <x:c r="C91" s="18" t="str">
        <x:v>FY2025</x:v>
      </x:c>
      <x:c r="D91" s="18" t="str">
        <x:v>T1</x:v>
      </x:c>
      <x:c r="E91" s="19" t="str">
        <x:v>待审核</x:v>
      </x:c>
      <x:c r="F91" s="20" t="n">
        <x:v>1000</x:v>
      </x:c>
      <x:c r="G91" s="19" t="str">
        <x:v>达到年度门槛，待验收</x:v>
      </x:c>
      <x:c r="H91" s="19" t="str">
        <x:v>https://www.mlit.go.jp/koku/content/002016480.xlsx</x:v>
      </x:c>
      <x:c r="I91" s="19" t="str">
        <x:v>空港管理状況調書 N5048</x:v>
      </x:c>
    </x:row>
  </x:sheetData>
  <x:conditionalFormatting sqref="E6:E91">
    <x:cfRule type="containsText" dxfId="8" priority="1" operator="containsText" text="待"/>
  </x:conditionalFormatting>
  <x:conditionalFormatting sqref="G6:G91">
    <x:cfRule type="containsText" dxfId="9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bbd603d25e6747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7" hidden="0" customWidth="1"/>
    <x:col min="4" max="4" width="23" hidden="0" customWidth="1"/>
    <x:col min="5" max="5" width="15" hidden="0" customWidth="1"/>
    <x:col min="6" max="6" width="19" hidden="0" customWidth="1"/>
    <x:col min="7" max="7" width="38" hidden="0" customWidth="1"/>
    <x:col min="8" max="8" width="62" hidden="0" customWidth="1"/>
    <x:col min="9" max="9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机场直接接入轨道组件审核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已核指南中：13 个机场，21 个期望组件，21 个已有候选。其余 48 个机场接入待核。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来源：data/transport/nodes/task-084-b-v2-amendment-review/airport-rail-components.jsonl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机场</x:v>
      </x:c>
      <x:c r="B5" s="16" t="str">
        <x:v>车站</x:v>
      </x:c>
      <x:c r="C5" s="16" t="str">
        <x:v>运营方</x:v>
      </x:c>
      <x:c r="D5" s="16" t="str">
        <x:v>模式</x:v>
      </x:c>
      <x:c r="E5" s="16" t="str">
        <x:v>期望组件数</x:v>
      </x:c>
      <x:c r="F5" s="16" t="str">
        <x:v>已存在候选数</x:v>
      </x:c>
      <x:c r="G5" s="16" t="str">
        <x:v>当前状态</x:v>
      </x:c>
      <x:c r="H5" s="16" t="str">
        <x:v>候选组件 ID</x:v>
      </x:c>
      <x:c r="I5" s="17" t="str">
        <x:v>官方接入来源</x:v>
      </x:c>
    </x:row>
    <x:row r="6" ht="28" customHeight="1">
      <x:c r="A6" s="18" t="str">
        <x:v>成田国際</x:v>
      </x:c>
      <x:c r="B6" s="18" t="str">
        <x:v>成田空港</x:v>
      </x:c>
      <x:c r="C6" s="18" t="str">
        <x:v>東日本旅客鉄道</x:v>
      </x:c>
      <x:c r="D6" s="18" t="str">
        <x:v>conventional_rail</x:v>
      </x:c>
      <x:c r="E6" s="20" t="n">
        <x:v>1</x:v>
      </x:c>
      <x:c r="F6" s="20" t="n">
        <x:v>1</x:v>
      </x:c>
      <x:c r="G6" s="19" t="str">
        <x:v>候选已存在，组件待审核</x:v>
      </x:c>
      <x:c r="H6" s="19" t="str">
        <x:v>transport-node:924fc855-a6c6-59d6-a038-a10c6e03a648</x:v>
      </x:c>
      <x:c r="I6" s="19" t="str">
        <x:v>https://www.narita-airport.jp/ja/access/train/</x:v>
      </x:c>
    </x:row>
    <x:row r="7" ht="28" customHeight="1">
      <x:c r="A7" s="18" t="str">
        <x:v>成田国際</x:v>
      </x:c>
      <x:c r="B7" s="18" t="str">
        <x:v>成田空港</x:v>
      </x:c>
      <x:c r="C7" s="18" t="str">
        <x:v>京成電鉄</x:v>
      </x:c>
      <x:c r="D7" s="18" t="str">
        <x:v>private_rail</x:v>
      </x:c>
      <x:c r="E7" s="20" t="n">
        <x:v>1</x:v>
      </x:c>
      <x:c r="F7" s="20" t="n">
        <x:v>1</x:v>
      </x:c>
      <x:c r="G7" s="19" t="str">
        <x:v>候选已存在，组件待审核</x:v>
      </x:c>
      <x:c r="H7" s="19" t="str">
        <x:v>transport-node:407040ce-6e33-5e97-b1c8-dd6b5fa3dc83</x:v>
      </x:c>
      <x:c r="I7" s="19" t="str">
        <x:v>https://www.narita-airport.jp/ja/access/train/</x:v>
      </x:c>
    </x:row>
    <x:row r="8" ht="28" customHeight="1">
      <x:c r="A8" s="18" t="str">
        <x:v>成田国際</x:v>
      </x:c>
      <x:c r="B8" s="18" t="str">
        <x:v>空港第2ビル</x:v>
      </x:c>
      <x:c r="C8" s="18" t="str">
        <x:v>東日本旅客鉄道</x:v>
      </x:c>
      <x:c r="D8" s="18" t="str">
        <x:v>conventional_rail</x:v>
      </x:c>
      <x:c r="E8" s="20" t="n">
        <x:v>1</x:v>
      </x:c>
      <x:c r="F8" s="20" t="n">
        <x:v>1</x:v>
      </x:c>
      <x:c r="G8" s="19" t="str">
        <x:v>候选已存在，组件待审核</x:v>
      </x:c>
      <x:c r="H8" s="19" t="str">
        <x:v>transport-node:c5f183c4-faf2-5224-855e-e536c20dff7c</x:v>
      </x:c>
      <x:c r="I8" s="19" t="str">
        <x:v>https://www.narita-airport.jp/ja/access/train/</x:v>
      </x:c>
    </x:row>
    <x:row r="9" ht="28" customHeight="1">
      <x:c r="A9" s="18" t="str">
        <x:v>成田国際</x:v>
      </x:c>
      <x:c r="B9" s="18" t="str">
        <x:v>空港第2ビル</x:v>
      </x:c>
      <x:c r="C9" s="18" t="str">
        <x:v>京成電鉄</x:v>
      </x:c>
      <x:c r="D9" s="18" t="str">
        <x:v>private_rail</x:v>
      </x:c>
      <x:c r="E9" s="20" t="n">
        <x:v>1</x:v>
      </x:c>
      <x:c r="F9" s="20" t="n">
        <x:v>1</x:v>
      </x:c>
      <x:c r="G9" s="19" t="str">
        <x:v>候选已存在，组件待审核</x:v>
      </x:c>
      <x:c r="H9" s="19" t="str">
        <x:v>transport-node:f46e3802-810e-5065-a651-dabff78d594a</x:v>
      </x:c>
      <x:c r="I9" s="19" t="str">
        <x:v>https://www.narita-airport.jp/ja/access/train/</x:v>
      </x:c>
    </x:row>
    <x:row r="10" ht="28" customHeight="1">
      <x:c r="A10" s="18" t="str">
        <x:v>中部国際</x:v>
      </x:c>
      <x:c r="B10" s="18" t="str">
        <x:v>中部国際空港</x:v>
      </x:c>
      <x:c r="C10" s="18" t="str">
        <x:v>名古屋鉄道</x:v>
      </x:c>
      <x:c r="D10" s="18" t="str">
        <x:v>private_rail</x:v>
      </x:c>
      <x:c r="E10" s="20" t="n">
        <x:v>1</x:v>
      </x:c>
      <x:c r="F10" s="20" t="n">
        <x:v>1</x:v>
      </x:c>
      <x:c r="G10" s="19" t="str">
        <x:v>候选已存在，组件待审核</x:v>
      </x:c>
      <x:c r="H10" s="19" t="str">
        <x:v>transport-node:e141dfe6-ba6c-524a-8045-281f629d121d</x:v>
      </x:c>
      <x:c r="I10" s="19" t="str">
        <x:v>https://www.centrair.jp/access/train.html</x:v>
      </x:c>
    </x:row>
    <x:row r="11" ht="28" customHeight="1">
      <x:c r="A11" s="18" t="str">
        <x:v>関西国際</x:v>
      </x:c>
      <x:c r="B11" s="18" t="str">
        <x:v>関西空港</x:v>
      </x:c>
      <x:c r="C11" s="18" t="str">
        <x:v>西日本旅客鉄道</x:v>
      </x:c>
      <x:c r="D11" s="18" t="str">
        <x:v>conventional_rail</x:v>
      </x:c>
      <x:c r="E11" s="20" t="n">
        <x:v>1</x:v>
      </x:c>
      <x:c r="F11" s="20" t="n">
        <x:v>1</x:v>
      </x:c>
      <x:c r="G11" s="19" t="str">
        <x:v>候选已存在，组件待审核</x:v>
      </x:c>
      <x:c r="H11" s="19" t="str">
        <x:v>transport-node:9e804da4-7860-57b6-8767-f1df32826b17</x:v>
      </x:c>
      <x:c r="I11" s="19" t="str">
        <x:v>https://www.kansai-airport.or.jp/access/from-airport/train</x:v>
      </x:c>
    </x:row>
    <x:row r="12" ht="28" customHeight="1">
      <x:c r="A12" s="18" t="str">
        <x:v>関西国際</x:v>
      </x:c>
      <x:c r="B12" s="18" t="str">
        <x:v>関西空港</x:v>
      </x:c>
      <x:c r="C12" s="18" t="str">
        <x:v>南海電気鉄道</x:v>
      </x:c>
      <x:c r="D12" s="18" t="str">
        <x:v>private_rail</x:v>
      </x:c>
      <x:c r="E12" s="20" t="n">
        <x:v>1</x:v>
      </x:c>
      <x:c r="F12" s="20" t="n">
        <x:v>1</x:v>
      </x:c>
      <x:c r="G12" s="19" t="str">
        <x:v>候选已存在，组件待审核</x:v>
      </x:c>
      <x:c r="H12" s="19" t="str">
        <x:v>transport-node:088af349-4456-5975-af8d-94b310a9b6dd</x:v>
      </x:c>
      <x:c r="I12" s="19" t="str">
        <x:v>https://www.kansai-airport.or.jp/access/from-airport/train</x:v>
      </x:c>
    </x:row>
    <x:row r="13" ht="28" customHeight="1">
      <x:c r="A13" s="18" t="str">
        <x:v>大阪国際</x:v>
      </x:c>
      <x:c r="B13" s="18" t="str">
        <x:v>大阪空港</x:v>
      </x:c>
      <x:c r="C13" s="18" t="str">
        <x:v>大阪モノレール</x:v>
      </x:c>
      <x:c r="D13" s="18" t="str">
        <x:v>fixed_guideway</x:v>
      </x:c>
      <x:c r="E13" s="20" t="n">
        <x:v>1</x:v>
      </x:c>
      <x:c r="F13" s="20" t="n">
        <x:v>1</x:v>
      </x:c>
      <x:c r="G13" s="19" t="str">
        <x:v>候选已存在，组件待审核</x:v>
      </x:c>
      <x:c r="H13" s="19" t="str">
        <x:v>transport-node:abdd0eb8-a64e-57f3-8678-b3a2098faae4</x:v>
      </x:c>
      <x:c r="I13" s="19" t="str">
        <x:v>https://www.osaka-airport.co.jp/access/from-airport</x:v>
      </x:c>
    </x:row>
    <x:row r="14" ht="28" customHeight="1">
      <x:c r="A14" s="18" t="str">
        <x:v>東京国際</x:v>
      </x:c>
      <x:c r="B14" s="18" t="str">
        <x:v>羽田空港第1・第2ターミナル</x:v>
      </x:c>
      <x:c r="C14" s="18" t="str">
        <x:v>京浜急行電鉄</x:v>
      </x:c>
      <x:c r="D14" s="18" t="str">
        <x:v>private_rail</x:v>
      </x:c>
      <x:c r="E14" s="20" t="n">
        <x:v>1</x:v>
      </x:c>
      <x:c r="F14" s="20" t="n">
        <x:v>1</x:v>
      </x:c>
      <x:c r="G14" s="19" t="str">
        <x:v>候选已存在，组件待审核</x:v>
      </x:c>
      <x:c r="H14" s="19" t="str">
        <x:v>transport-node:bf55d1d9-f26a-59dc-89d0-411d76053637</x:v>
      </x:c>
      <x:c r="I14" s="19" t="str">
        <x:v>https://www.tokyo-haneda.com/access/train/index.html</x:v>
      </x:c>
    </x:row>
    <x:row r="15" ht="28" customHeight="1">
      <x:c r="A15" s="18" t="str">
        <x:v>東京国際</x:v>
      </x:c>
      <x:c r="B15" s="18" t="str">
        <x:v>羽田空港第3ターミナル</x:v>
      </x:c>
      <x:c r="C15" s="18" t="str">
        <x:v>京浜急行電鉄</x:v>
      </x:c>
      <x:c r="D15" s="18" t="str">
        <x:v>private_rail</x:v>
      </x:c>
      <x:c r="E15" s="20" t="n">
        <x:v>1</x:v>
      </x:c>
      <x:c r="F15" s="20" t="n">
        <x:v>1</x:v>
      </x:c>
      <x:c r="G15" s="19" t="str">
        <x:v>候选已存在，组件待审核</x:v>
      </x:c>
      <x:c r="H15" s="19" t="str">
        <x:v>transport-node:a4998ec9-29b6-5147-a881-7616292658ad</x:v>
      </x:c>
      <x:c r="I15" s="19" t="str">
        <x:v>https://www.tokyo-haneda.com/access/train/index.html</x:v>
      </x:c>
    </x:row>
    <x:row r="16" ht="28" customHeight="1">
      <x:c r="A16" s="18" t="str">
        <x:v>東京国際</x:v>
      </x:c>
      <x:c r="B16" s="18" t="str">
        <x:v>羽田空港第1ターミナル</x:v>
      </x:c>
      <x:c r="C16" s="18" t="str">
        <x:v>東京モノレール</x:v>
      </x:c>
      <x:c r="D16" s="18" t="str">
        <x:v>fixed_guideway</x:v>
      </x:c>
      <x:c r="E16" s="20" t="n">
        <x:v>1</x:v>
      </x:c>
      <x:c r="F16" s="20" t="n">
        <x:v>1</x:v>
      </x:c>
      <x:c r="G16" s="19" t="str">
        <x:v>候选已存在，组件待审核</x:v>
      </x:c>
      <x:c r="H16" s="19" t="str">
        <x:v>transport-node:07b5b96f-ca74-51ec-ab59-18acff71e8ae</x:v>
      </x:c>
      <x:c r="I16" s="19" t="str">
        <x:v>https://www.tokyo-haneda.com/access/train/index.html</x:v>
      </x:c>
    </x:row>
    <x:row r="17" ht="28" customHeight="1">
      <x:c r="A17" s="18" t="str">
        <x:v>東京国際</x:v>
      </x:c>
      <x:c r="B17" s="18" t="str">
        <x:v>羽田空港第2ターミナル</x:v>
      </x:c>
      <x:c r="C17" s="18" t="str">
        <x:v>東京モノレール</x:v>
      </x:c>
      <x:c r="D17" s="18" t="str">
        <x:v>fixed_guideway</x:v>
      </x:c>
      <x:c r="E17" s="20" t="n">
        <x:v>1</x:v>
      </x:c>
      <x:c r="F17" s="20" t="n">
        <x:v>1</x:v>
      </x:c>
      <x:c r="G17" s="19" t="str">
        <x:v>候选已存在，组件待审核</x:v>
      </x:c>
      <x:c r="H17" s="19" t="str">
        <x:v>transport-node:53f628e6-7c12-5bcd-ad08-cf6d84ff07db</x:v>
      </x:c>
      <x:c r="I17" s="19" t="str">
        <x:v>https://www.tokyo-haneda.com/access/train/index.html</x:v>
      </x:c>
    </x:row>
    <x:row r="18" ht="28" customHeight="1">
      <x:c r="A18" s="18" t="str">
        <x:v>東京国際</x:v>
      </x:c>
      <x:c r="B18" s="18" t="str">
        <x:v>羽田空港第3ターミナル</x:v>
      </x:c>
      <x:c r="C18" s="18" t="str">
        <x:v>東京モノレール</x:v>
      </x:c>
      <x:c r="D18" s="18" t="str">
        <x:v>fixed_guideway</x:v>
      </x:c>
      <x:c r="E18" s="20" t="n">
        <x:v>1</x:v>
      </x:c>
      <x:c r="F18" s="20" t="n">
        <x:v>1</x:v>
      </x:c>
      <x:c r="G18" s="19" t="str">
        <x:v>候选已存在，组件待审核</x:v>
      </x:c>
      <x:c r="H18" s="19" t="str">
        <x:v>transport-node:dc374a6b-4643-5d95-9eda-5835cfb12bb7</x:v>
      </x:c>
      <x:c r="I18" s="19" t="str">
        <x:v>https://www.tokyo-haneda.com/access/train/index.html</x:v>
      </x:c>
    </x:row>
    <x:row r="19" ht="28" customHeight="1">
      <x:c r="A19" s="18" t="str">
        <x:v>新千歳</x:v>
      </x:c>
      <x:c r="B19" s="18" t="str">
        <x:v>新千歳空港</x:v>
      </x:c>
      <x:c r="C19" s="18" t="str">
        <x:v>北海道旅客鉄道</x:v>
      </x:c>
      <x:c r="D19" s="18" t="str">
        <x:v>conventional_rail</x:v>
      </x:c>
      <x:c r="E19" s="20" t="n">
        <x:v>1</x:v>
      </x:c>
      <x:c r="F19" s="20" t="n">
        <x:v>1</x:v>
      </x:c>
      <x:c r="G19" s="19" t="str">
        <x:v>候选已存在，组件待审核</x:v>
      </x:c>
      <x:c r="H19" s="19" t="str">
        <x:v>transport-node:b0733693-f1bc-5a25-be0c-1b5d078b51f5</x:v>
      </x:c>
      <x:c r="I19" s="19" t="str">
        <x:v>https://www.hokkaido-airports.com/ja/new-chitose/access/jr/</x:v>
      </x:c>
    </x:row>
    <x:row r="20" ht="28" customHeight="1">
      <x:c r="A20" s="18" t="str">
        <x:v>仙台</x:v>
      </x:c>
      <x:c r="B20" s="18" t="str">
        <x:v>仙台空港</x:v>
      </x:c>
      <x:c r="C20" s="18" t="str">
        <x:v>仙台空港鉄道</x:v>
      </x:c>
      <x:c r="D20" s="18" t="str">
        <x:v>private_rail</x:v>
      </x:c>
      <x:c r="E20" s="20" t="n">
        <x:v>1</x:v>
      </x:c>
      <x:c r="F20" s="20" t="n">
        <x:v>1</x:v>
      </x:c>
      <x:c r="G20" s="19" t="str">
        <x:v>候选已存在，组件待审核</x:v>
      </x:c>
      <x:c r="H20" s="19" t="str">
        <x:v>transport-node:6f480661-63ec-5c7c-b594-4ebfb6701299</x:v>
      </x:c>
      <x:c r="I20" s="19" t="str">
        <x:v>https://www.sendai-airport.co.jp/access/</x:v>
      </x:c>
    </x:row>
    <x:row r="21" ht="28" customHeight="1">
      <x:c r="A21" s="18" t="str">
        <x:v>福岡</x:v>
      </x:c>
      <x:c r="B21" s="18" t="str">
        <x:v>福岡空港</x:v>
      </x:c>
      <x:c r="C21" s="18" t="str">
        <x:v>福岡市</x:v>
      </x:c>
      <x:c r="D21" s="18" t="str">
        <x:v>metro</x:v>
      </x:c>
      <x:c r="E21" s="20" t="n">
        <x:v>1</x:v>
      </x:c>
      <x:c r="F21" s="20" t="n">
        <x:v>1</x:v>
      </x:c>
      <x:c r="G21" s="19" t="str">
        <x:v>候选已存在，组件待审核</x:v>
      </x:c>
      <x:c r="H21" s="19" t="str">
        <x:v>transport-node:77ce3771-37e7-578b-8df6-f7da85cfc745</x:v>
      </x:c>
      <x:c r="I21" s="19" t="str">
        <x:v>https://www.fukuoka-airport.jp/access/subway.html</x:v>
      </x:c>
    </x:row>
    <x:row r="22" ht="28" customHeight="1">
      <x:c r="A22" s="18" t="str">
        <x:v>宮崎</x:v>
      </x:c>
      <x:c r="B22" s="18" t="str">
        <x:v>宮崎空港</x:v>
      </x:c>
      <x:c r="C22" s="18" t="str">
        <x:v>九州旅客鉄道</x:v>
      </x:c>
      <x:c r="D22" s="18" t="str">
        <x:v>conventional_rail</x:v>
      </x:c>
      <x:c r="E22" s="20" t="n">
        <x:v>1</x:v>
      </x:c>
      <x:c r="F22" s="20" t="n">
        <x:v>1</x:v>
      </x:c>
      <x:c r="G22" s="19" t="str">
        <x:v>候选已存在，组件待审核</x:v>
      </x:c>
      <x:c r="H22" s="19" t="str">
        <x:v>transport-node:c40d5b58-21b7-5fe7-aa41-ca8bf98292f4</x:v>
      </x:c>
      <x:c r="I22" s="19" t="str">
        <x:v>https://www.miyazaki-airport.co.jp/access/train</x:v>
      </x:c>
    </x:row>
    <x:row r="23" ht="28" customHeight="1">
      <x:c r="A23" s="18" t="str">
        <x:v>那覇</x:v>
      </x:c>
      <x:c r="B23" s="18" t="str">
        <x:v>那覇空港</x:v>
      </x:c>
      <x:c r="C23" s="18" t="str">
        <x:v>沖縄都市モノレール</x:v>
      </x:c>
      <x:c r="D23" s="18" t="str">
        <x:v>fixed_guideway</x:v>
      </x:c>
      <x:c r="E23" s="20" t="n">
        <x:v>1</x:v>
      </x:c>
      <x:c r="F23" s="20" t="n">
        <x:v>1</x:v>
      </x:c>
      <x:c r="G23" s="19" t="str">
        <x:v>候选已存在，组件待审核</x:v>
      </x:c>
      <x:c r="H23" s="19" t="str">
        <x:v>transport-node:e3746050-e245-5776-9365-24964fb79462</x:v>
      </x:c>
      <x:c r="I23" s="19" t="str">
        <x:v>https://www.naha-airport.co.jp/access/monorail/</x:v>
      </x:c>
    </x:row>
    <x:row r="24" ht="28" customHeight="1">
      <x:c r="A24" s="18" t="str">
        <x:v>山口宇部</x:v>
      </x:c>
      <x:c r="B24" s="18" t="str">
        <x:v>草江</x:v>
      </x:c>
      <x:c r="C24" s="18" t="str">
        <x:v>西日本旅客鉄道</x:v>
      </x:c>
      <x:c r="D24" s="18" t="str">
        <x:v>conventional_rail</x:v>
      </x:c>
      <x:c r="E24" s="20" t="n">
        <x:v>1</x:v>
      </x:c>
      <x:c r="F24" s="20" t="n">
        <x:v>1</x:v>
      </x:c>
      <x:c r="G24" s="19" t="str">
        <x:v>候选已存在，组件待审核</x:v>
      </x:c>
      <x:c r="H24" s="19" t="str">
        <x:v>transport-node:98242072-ac41-57bb-b80b-b211312c82e1</x:v>
      </x:c>
      <x:c r="I24" s="19" t="str">
        <x:v>https://www.yamaguchiube-airport.jp/mapaccess/train/</x:v>
      </x:c>
    </x:row>
    <x:row r="25" ht="28" customHeight="1">
      <x:c r="A25" s="18" t="str">
        <x:v>神戸</x:v>
      </x:c>
      <x:c r="B25" s="18" t="str">
        <x:v>神戸空港</x:v>
      </x:c>
      <x:c r="C25" s="18" t="str">
        <x:v>神戸新交通</x:v>
      </x:c>
      <x:c r="D25" s="18" t="str">
        <x:v>fixed_guideway</x:v>
      </x:c>
      <x:c r="E25" s="20" t="n">
        <x:v>1</x:v>
      </x:c>
      <x:c r="F25" s="20" t="n">
        <x:v>1</x:v>
      </x:c>
      <x:c r="G25" s="19" t="str">
        <x:v>候选已存在，组件待审核</x:v>
      </x:c>
      <x:c r="H25" s="19" t="str">
        <x:v>transport-node:92ae5c9e-14ec-5362-a37a-752001adc409</x:v>
      </x:c>
      <x:c r="I25" s="19" t="str">
        <x:v>https://www.kairport.co.jp/access/portliner</x:v>
      </x:c>
    </x:row>
    <x:row r="26" ht="28" customHeight="1">
      <x:c r="A26" s="18" t="str">
        <x:v>美保</x:v>
      </x:c>
      <x:c r="B26" s="18" t="str">
        <x:v>米子空港</x:v>
      </x:c>
      <x:c r="C26" s="18" t="str">
        <x:v>西日本旅客鉄道</x:v>
      </x:c>
      <x:c r="D26" s="18" t="str">
        <x:v>conventional_rail</x:v>
      </x:c>
      <x:c r="E26" s="20" t="n">
        <x:v>1</x:v>
      </x:c>
      <x:c r="F26" s="20" t="n">
        <x:v>1</x:v>
      </x:c>
      <x:c r="G26" s="19" t="str">
        <x:v>候选已存在，组件待审核</x:v>
      </x:c>
      <x:c r="H26" s="19" t="str">
        <x:v>transport-node:68bf6978-a3be-53c7-b280-2550f6eb9e8a</x:v>
      </x:c>
      <x:c r="I26" s="19" t="str">
        <x:v>https://www.yonago-air.com/access/train</x:v>
      </x:c>
    </x:row>
  </x:sheetData>
  <x:conditionalFormatting sqref="G6:G26">
    <x:cfRule type="containsText" dxfId="1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ecb042cded4b47d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9" hidden="0" customWidth="1"/>
    <x:col min="2" max="2" width="24" hidden="0" customWidth="1"/>
    <x:col min="3" max="3" width="16" hidden="0" customWidth="1"/>
    <x:col min="4" max="4" width="17" hidden="0" customWidth="1"/>
    <x:col min="5" max="5" width="15" hidden="0" customWidth="1"/>
    <x:col min="6" max="6" width="17" hidden="0" customWidth="1"/>
    <x:col min="7" max="7" width="36" hidden="0" customWidth="1"/>
    <x:col min="8" max="8" width="24" hidden="0" customWidth="1"/>
    <x:col min="9" max="9" width="48" hidden="0" customWidth="1"/>
    <x:col min="10" max="10" width="30" hidden="0" customWidth="1"/>
    <x:col min="11" max="11" width="25" hidden="0" customWidth="1"/>
    <x:col min="12" max="12" width="33" hidden="0" customWidth="1"/>
    <x:col min="13" max="13" width="38" hidden="0" customWidth="1"/>
    <x:col min="14" max="14" width="48" hidden="0" customWidth="1"/>
    <x:col min="15" max="15" width="16" hidden="0" customWidth="1"/>
    <x:col min="16" max="16" width="16" hidden="0" customWidth="1"/>
    <x:col min="17" max="17" width="65" hidden="0" customWidth="1"/>
    <x:col min="18" max="18" width="38" hidden="0" customWidth="1"/>
    <x:col min="19" max="19" width="85" hidden="0" customWidth="1"/>
    <x:col min="20" max="20" width="50" hidden="0" customWidth="1"/>
    <x:col min="21" max="21" width="65" hidden="0" customWidth="1"/>
    <x:col min="22" max="22" width="110" hidden="0" customWidth="1"/>
    <x:col min="23" max="23" width="85" hidden="0" customWidth="1"/>
    <x:col min="24" max="24" width="17" hidden="0" customWidth="1"/>
    <x:col min="25" max="25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7" customHeight="1">
      <x:c r="A2" s="4" t="str">
        <x:v>全国巴士终端候选逐项审核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A3" s="6" t="str">
        <x:v>212 条跨来源审核记录，尚未完成物理去重。NAVITIME 仅作发现；客流只能来自官方。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>
      <x:c r="A4" s="6" t="str">
        <x:v>来源：data/transport/nodes/task-084-b-v2-amendment-review/bus-candidate-official-review.jsonl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34" customHeight="1">
      <x:c r="A5" s="15" t="str">
        <x:v>终端名</x:v>
      </x:c>
      <x:c r="B5" s="16" t="str">
        <x:v>本轮决定</x:v>
      </x:c>
      <x:c r="C5" s="16" t="str">
        <x:v>官方证据条数</x:v>
      </x:c>
      <x:c r="D5" s="16" t="str">
        <x:v>完整官方验证</x:v>
      </x:c>
      <x:c r="E5" s="16" t="str">
        <x:v>拟等级</x:v>
      </x:c>
      <x:c r="F5" s="16" t="str">
        <x:v>利用量</x:v>
      </x:c>
      <x:c r="G5" s="16" t="str">
        <x:v>指标类型</x:v>
      </x:c>
      <x:c r="H5" s="16" t="str">
        <x:v>统计期间</x:v>
      </x:c>
      <x:c r="I5" s="16" t="str">
        <x:v>候选审核 ID</x:v>
      </x:c>
      <x:c r="J5" s="16" t="str">
        <x:v>官方身份设施状态</x:v>
      </x:c>
      <x:c r="K5" s="16" t="str">
        <x:v>官方坐标状态</x:v>
      </x:c>
      <x:c r="L5" s="16" t="str">
        <x:v>运营方及服务状态</x:v>
      </x:c>
      <x:c r="M5" s="16" t="str">
        <x:v>物理去重状态</x:v>
      </x:c>
      <x:c r="N5" s="16" t="str">
        <x:v>待核字段</x:v>
      </x:c>
      <x:c r="O5" s="16" t="str">
        <x:v>纬度</x:v>
      </x:c>
      <x:c r="P5" s="16" t="str">
        <x:v>经度</x:v>
      </x:c>
      <x:c r="Q5" s="16" t="str">
        <x:v>发现地址（非官方）</x:v>
      </x:c>
      <x:c r="R5" s="16" t="str">
        <x:v>NAVITIME 发现 ID</x:v>
      </x:c>
      <x:c r="S5" s="16" t="str">
        <x:v>NAVITIME 发现 URL</x:v>
      </x:c>
      <x:c r="T5" s="16" t="str">
        <x:v>官方设施运营方</x:v>
      </x:c>
      <x:c r="U5" s="16" t="str">
        <x:v>官方地址</x:v>
      </x:c>
      <x:c r="V5" s="16" t="str">
        <x:v>官方设施与服务证据</x:v>
      </x:c>
      <x:c r="W5" s="16" t="str">
        <x:v>官方客流来源</x:v>
      </x:c>
      <x:c r="X5" s="16" t="str">
        <x:v>人工定级审核</x:v>
      </x:c>
      <x:c r="Y5" s="17" t="str">
        <x:v>runtime 授权</x:v>
      </x:c>
    </x:row>
    <x:row r="6" ht="61" customHeight="1">
      <x:c r="A6" s="19" t="str">
        <x:v>大谷地バスターミナル</x:v>
      </x:c>
      <x:c r="B6" s="19" t="str">
        <x:v>待审核</x:v>
      </x:c>
      <x:c r="C6" s="20" t="n">
        <x:v>1</x:v>
      </x:c>
      <x:c r="D6" s="18" t="str">
        <x:v>否</x:v>
      </x:c>
      <x:c r="E6" s="19"/>
      <x:c r="F6" s="20"/>
      <x:c r="G6" s="19" t="str">
        <x:v>USAGE_DATA_UNAVAILABLE</x:v>
      </x:c>
      <x:c r="H6" s="19"/>
      <x:c r="I6" s="18" t="str">
        <x:v>mlit-general-bus-20260401:02</x:v>
      </x:c>
      <x:c r="J6" s="19" t="str">
        <x:v>部分官方证据</x:v>
      </x:c>
      <x:c r="K6" s="19" t="str">
        <x:v>待审核</x:v>
      </x:c>
      <x:c r="L6" s="19" t="str">
        <x:v>部分官方证据</x:v>
      </x:c>
      <x:c r="M6" s="19" t="str">
        <x:v>官方对应与物理去重待审核</x:v>
      </x:c>
      <x:c r="N6" s="19" t="str">
        <x:v>OFFICIAL_COORDINATES
PHYSICAL_FACILITY_DEDUP
CURRENT_OPERATOR_SERVICES
USAGE_OR_FUNCTIONAL_TIER_REVIEW</x:v>
      </x:c>
      <x:c r="O6" s="21"/>
      <x:c r="P6" s="21"/>
      <x:c r="Q6" s="19"/>
      <x:c r="R6" s="18"/>
      <x:c r="S6" s="19"/>
      <x:c r="T6" s="19" t="str">
        <x:v>西新サービス</x:v>
      </x:c>
      <x:c r="U6" s="19" t="str">
        <x:v>札幌市厚別区大谷地東3丁目2-1</x:v>
      </x:c>
      <x:c r="V6" s="19" t="str">
        <x:v>REGISTERED_FACILITY_OPERATOR_ADDRESS_BERTHS
https://www.mlit.go.jp/jidosha/content/001999724.pdf
页 1，条 2</x:v>
      </x:c>
      <x:c r="W6" s="19"/>
      <x:c r="X6" s="18" t="str">
        <x:v>是</x:v>
      </x:c>
      <x:c r="Y6" s="18" t="str">
        <x:v>否</x:v>
      </x:c>
    </x:row>
    <x:row r="7" ht="61" customHeight="1">
      <x:c r="A7" s="19" t="str">
        <x:v>さいたま新都心バスターミナル</x:v>
      </x:c>
      <x:c r="B7" s="19" t="str">
        <x:v>待审核</x:v>
      </x:c>
      <x:c r="C7" s="20" t="n">
        <x:v>1</x:v>
      </x:c>
      <x:c r="D7" s="18" t="str">
        <x:v>否</x:v>
      </x:c>
      <x:c r="E7" s="19"/>
      <x:c r="F7" s="20"/>
      <x:c r="G7" s="19" t="str">
        <x:v>USAGE_DATA_UNAVAILABLE</x:v>
      </x:c>
      <x:c r="H7" s="19"/>
      <x:c r="I7" s="18" t="str">
        <x:v>mlit-general-bus-20260401:07</x:v>
      </x:c>
      <x:c r="J7" s="19" t="str">
        <x:v>部分官方证据</x:v>
      </x:c>
      <x:c r="K7" s="19" t="str">
        <x:v>待审核</x:v>
      </x:c>
      <x:c r="L7" s="19" t="str">
        <x:v>部分官方证据</x:v>
      </x:c>
      <x:c r="M7" s="19" t="str">
        <x:v>官方对应与物理去重待审核</x:v>
      </x:c>
      <x:c r="N7" s="19" t="str">
        <x:v>OFFICIAL_COORDINATES
PHYSICAL_FACILITY_DEDUP
CURRENT_OPERATOR_SERVICES
USAGE_OR_FUNCTIONAL_TIER_REVIEW</x:v>
      </x:c>
      <x:c r="O7" s="21"/>
      <x:c r="P7" s="21"/>
      <x:c r="Q7" s="19"/>
      <x:c r="R7" s="18"/>
      <x:c r="S7" s="19"/>
      <x:c r="T7" s="19" t="str">
        <x:v>さいたま市</x:v>
      </x:c>
      <x:c r="U7" s="19" t="str">
        <x:v>さいたま市大宮区北袋町1丁目603-1</x:v>
      </x:c>
      <x:c r="V7" s="19" t="str">
        <x:v>REGISTERED_FACILITY_OPERATOR_ADDRESS_BERTHS
https://www.mlit.go.jp/jidosha/content/001999724.pdf
页 1，条 7</x:v>
      </x:c>
      <x:c r="W7" s="19"/>
      <x:c r="X7" s="18" t="str">
        <x:v>是</x:v>
      </x:c>
      <x:c r="Y7" s="18" t="str">
        <x:v>否</x:v>
      </x:c>
    </x:row>
    <x:row r="8" ht="61" customHeight="1">
      <x:c r="A8" s="19" t="str">
        <x:v>東京シティエアターミナル</x:v>
      </x:c>
      <x:c r="B8" s="19" t="str">
        <x:v>待审核</x:v>
      </x:c>
      <x:c r="C8" s="20" t="n">
        <x:v>1</x:v>
      </x:c>
      <x:c r="D8" s="18" t="str">
        <x:v>否</x:v>
      </x:c>
      <x:c r="E8" s="19"/>
      <x:c r="F8" s="20"/>
      <x:c r="G8" s="19" t="str">
        <x:v>USAGE_DATA_UNAVAILABLE</x:v>
      </x:c>
      <x:c r="H8" s="19"/>
      <x:c r="I8" s="18" t="str">
        <x:v>mlit-general-bus-20260401:09</x:v>
      </x:c>
      <x:c r="J8" s="19" t="str">
        <x:v>部分官方证据</x:v>
      </x:c>
      <x:c r="K8" s="19" t="str">
        <x:v>待审核</x:v>
      </x:c>
      <x:c r="L8" s="19" t="str">
        <x:v>部分官方证据</x:v>
      </x:c>
      <x:c r="M8" s="19" t="str">
        <x:v>官方对应与物理去重待审核</x:v>
      </x:c>
      <x:c r="N8" s="19" t="str">
        <x:v>OFFICIAL_COORDINATES
PHYSICAL_FACILITY_DEDUP
CURRENT_OPERATOR_SERVICES
USAGE_OR_FUNCTIONAL_TIER_REVIEW</x:v>
      </x:c>
      <x:c r="O8" s="21"/>
      <x:c r="P8" s="21"/>
      <x:c r="Q8" s="19"/>
      <x:c r="R8" s="18"/>
      <x:c r="S8" s="19"/>
      <x:c r="T8" s="19" t="str">
        <x:v>東京シティ・エアターミナル</x:v>
      </x:c>
      <x:c r="U8" s="19" t="str">
        <x:v>東京都中央区日本橋箱崎町42-1</x:v>
      </x:c>
      <x:c r="V8" s="19" t="str">
        <x:v>REGISTERED_FACILITY_OPERATOR_ADDRESS_BERTHS
https://www.mlit.go.jp/jidosha/content/001999724.pdf
页 1，条 9</x:v>
      </x:c>
      <x:c r="W8" s="19"/>
      <x:c r="X8" s="18" t="str">
        <x:v>是</x:v>
      </x:c>
      <x:c r="Y8" s="18" t="str">
        <x:v>否</x:v>
      </x:c>
    </x:row>
    <x:row r="9" ht="61" customHeight="1">
      <x:c r="A9" s="19" t="str">
        <x:v>羽田エアポートガーデンバスターミナル</x:v>
      </x:c>
      <x:c r="B9" s="19" t="str">
        <x:v>待审核</x:v>
      </x:c>
      <x:c r="C9" s="20" t="n">
        <x:v>1</x:v>
      </x:c>
      <x:c r="D9" s="18" t="str">
        <x:v>否</x:v>
      </x:c>
      <x:c r="E9" s="19"/>
      <x:c r="F9" s="20"/>
      <x:c r="G9" s="19" t="str">
        <x:v>USAGE_DATA_UNAVAILABLE</x:v>
      </x:c>
      <x:c r="H9" s="19"/>
      <x:c r="I9" s="18" t="str">
        <x:v>mlit-general-bus-20260401:11</x:v>
      </x:c>
      <x:c r="J9" s="19" t="str">
        <x:v>部分官方证据</x:v>
      </x:c>
      <x:c r="K9" s="19" t="str">
        <x:v>待审核</x:v>
      </x:c>
      <x:c r="L9" s="19" t="str">
        <x:v>部分官方证据</x:v>
      </x:c>
      <x:c r="M9" s="19" t="str">
        <x:v>官方对应与物理去重待审核</x:v>
      </x:c>
      <x:c r="N9" s="19" t="str">
        <x:v>OFFICIAL_COORDINATES
PHYSICAL_FACILITY_DEDUP
CURRENT_OPERATOR_SERVICES
USAGE_OR_FUNCTIONAL_TIER_REVIEW</x:v>
      </x:c>
      <x:c r="O9" s="21"/>
      <x:c r="P9" s="21"/>
      <x:c r="Q9" s="19"/>
      <x:c r="R9" s="18"/>
      <x:c r="S9" s="19"/>
      <x:c r="T9" s="19" t="str">
        <x:v>住友不動産商業マネジメント</x:v>
      </x:c>
      <x:c r="U9" s="19" t="str">
        <x:v>東京都大田区羽田2丁目</x:v>
      </x:c>
      <x:c r="V9" s="19" t="str">
        <x:v>REGISTERED_FACILITY_OPERATOR_ADDRESS_BERTHS
https://www.mlit.go.jp/jidosha/content/001999724.pdf
页 1，条 11</x:v>
      </x:c>
      <x:c r="W9" s="19"/>
      <x:c r="X9" s="18" t="str">
        <x:v>是</x:v>
      </x:c>
      <x:c r="Y9" s="18" t="str">
        <x:v>否</x:v>
      </x:c>
    </x:row>
    <x:row r="10" ht="61" customHeight="1">
      <x:c r="A10" s="19" t="str">
        <x:v>横浜シティ・エア・ターミナル</x:v>
      </x:c>
      <x:c r="B10" s="19" t="str">
        <x:v>待审核</x:v>
      </x:c>
      <x:c r="C10" s="20" t="n">
        <x:v>1</x:v>
      </x:c>
      <x:c r="D10" s="18" t="str">
        <x:v>否</x:v>
      </x:c>
      <x:c r="E10" s="19"/>
      <x:c r="F10" s="20"/>
      <x:c r="G10" s="19" t="str">
        <x:v>USAGE_DATA_UNAVAILABLE</x:v>
      </x:c>
      <x:c r="H10" s="19"/>
      <x:c r="I10" s="18" t="str">
        <x:v>mlit-general-bus-20260401:13</x:v>
      </x:c>
      <x:c r="J10" s="19" t="str">
        <x:v>部分官方证据</x:v>
      </x:c>
      <x:c r="K10" s="19" t="str">
        <x:v>待审核</x:v>
      </x:c>
      <x:c r="L10" s="19" t="str">
        <x:v>部分官方证据</x:v>
      </x:c>
      <x:c r="M10" s="19" t="str">
        <x:v>官方对应与物理去重待审核</x:v>
      </x:c>
      <x:c r="N10" s="19" t="str">
        <x:v>OFFICIAL_COORDINATES
PHYSICAL_FACILITY_DEDUP
CURRENT_OPERATOR_SERVICES
USAGE_OR_FUNCTIONAL_TIER_REVIEW</x:v>
      </x:c>
      <x:c r="O10" s="21"/>
      <x:c r="P10" s="21"/>
      <x:c r="Q10" s="19"/>
      <x:c r="R10" s="18"/>
      <x:c r="S10" s="19"/>
      <x:c r="T10" s="19" t="str">
        <x:v>横浜シティ・エア・ターミナル</x:v>
      </x:c>
      <x:c r="U10" s="19" t="str">
        <x:v>横浜市西区高島2丁目19-12</x:v>
      </x:c>
      <x:c r="V10" s="19" t="str">
        <x:v>REGISTERED_FACILITY_OPERATOR_ADDRESS_BERTHS
https://www.mlit.go.jp/jidosha/content/001999724.pdf
页 1，条 13</x:v>
      </x:c>
      <x:c r="W10" s="19"/>
      <x:c r="X10" s="18" t="str">
        <x:v>是</x:v>
      </x:c>
      <x:c r="Y10" s="18" t="str">
        <x:v>否</x:v>
      </x:c>
    </x:row>
    <x:row r="11" ht="61" customHeight="1">
      <x:c r="A11" s="19" t="str">
        <x:v>新静岡バスターミナル</x:v>
      </x:c>
      <x:c r="B11" s="19" t="str">
        <x:v>待审核</x:v>
      </x:c>
      <x:c r="C11" s="20" t="n">
        <x:v>1</x:v>
      </x:c>
      <x:c r="D11" s="18" t="str">
        <x:v>否</x:v>
      </x:c>
      <x:c r="E11" s="19"/>
      <x:c r="F11" s="20"/>
      <x:c r="G11" s="19" t="str">
        <x:v>USAGE_DATA_UNAVAILABLE</x:v>
      </x:c>
      <x:c r="H11" s="19"/>
      <x:c r="I11" s="18" t="str">
        <x:v>mlit-general-bus-20260401:14</x:v>
      </x:c>
      <x:c r="J11" s="19" t="str">
        <x:v>部分官方证据</x:v>
      </x:c>
      <x:c r="K11" s="19" t="str">
        <x:v>待审核</x:v>
      </x:c>
      <x:c r="L11" s="19" t="str">
        <x:v>部分官方证据</x:v>
      </x:c>
      <x:c r="M11" s="19" t="str">
        <x:v>官方对应与物理去重待审核</x:v>
      </x:c>
      <x:c r="N11" s="19" t="str">
        <x:v>OFFICIAL_COORDINATES
PHYSICAL_FACILITY_DEDUP
CURRENT_OPERATOR_SERVICES
USAGE_OR_FUNCTIONAL_TIER_REVIEW</x:v>
      </x:c>
      <x:c r="O11" s="21"/>
      <x:c r="P11" s="21"/>
      <x:c r="Q11" s="19"/>
      <x:c r="R11" s="18"/>
      <x:c r="S11" s="19"/>
      <x:c r="T11" s="19" t="str">
        <x:v>静岡鉄道</x:v>
      </x:c>
      <x:c r="U11" s="19" t="str">
        <x:v>静岡市葵区鷹匠1丁目1-1</x:v>
      </x:c>
      <x:c r="V11" s="19" t="str">
        <x:v>REGISTERED_FACILITY_OPERATOR_ADDRESS_BERTHS
https://www.mlit.go.jp/jidosha/content/001999724.pdf
页 1，条 14</x:v>
      </x:c>
      <x:c r="W11" s="19"/>
      <x:c r="X11" s="18" t="str">
        <x:v>是</x:v>
      </x:c>
      <x:c r="Y11" s="18" t="str">
        <x:v>否</x:v>
      </x:c>
    </x:row>
    <x:row r="12" ht="61" customHeight="1">
      <x:c r="A12" s="19" t="str">
        <x:v>栄バスターミナル</x:v>
      </x:c>
      <x:c r="B12" s="19" t="str">
        <x:v>待审核</x:v>
      </x:c>
      <x:c r="C12" s="20" t="n">
        <x:v>1</x:v>
      </x:c>
      <x:c r="D12" s="18" t="str">
        <x:v>否</x:v>
      </x:c>
      <x:c r="E12" s="19"/>
      <x:c r="F12" s="20"/>
      <x:c r="G12" s="19" t="str">
        <x:v>USAGE_DATA_UNAVAILABLE</x:v>
      </x:c>
      <x:c r="H12" s="19"/>
      <x:c r="I12" s="18" t="str">
        <x:v>mlit-general-bus-20260401:16</x:v>
      </x:c>
      <x:c r="J12" s="19" t="str">
        <x:v>部分官方证据</x:v>
      </x:c>
      <x:c r="K12" s="19" t="str">
        <x:v>待审核</x:v>
      </x:c>
      <x:c r="L12" s="19" t="str">
        <x:v>部分官方证据</x:v>
      </x:c>
      <x:c r="M12" s="19" t="str">
        <x:v>官方对应与物理去重待审核</x:v>
      </x:c>
      <x:c r="N12" s="19" t="str">
        <x:v>OFFICIAL_COORDINATES
PHYSICAL_FACILITY_DEDUP
CURRENT_OPERATOR_SERVICES
USAGE_OR_FUNCTIONAL_TIER_REVIEW</x:v>
      </x:c>
      <x:c r="O12" s="21"/>
      <x:c r="P12" s="21"/>
      <x:c r="Q12" s="19"/>
      <x:c r="R12" s="18"/>
      <x:c r="S12" s="19"/>
      <x:c r="T12" s="19" t="str">
        <x:v>名古屋市</x:v>
      </x:c>
      <x:c r="U12" s="19" t="str">
        <x:v>名古屋市東区東桜1丁目</x:v>
      </x:c>
      <x:c r="V12" s="19" t="str">
        <x:v>REGISTERED_FACILITY_OPERATOR_ADDRESS_BERTHS
https://www.mlit.go.jp/jidosha/content/001999724.pdf
页 1，条 16</x:v>
      </x:c>
      <x:c r="W12" s="19"/>
      <x:c r="X12" s="18" t="str">
        <x:v>是</x:v>
      </x:c>
      <x:c r="Y12" s="18" t="str">
        <x:v>否</x:v>
      </x:c>
    </x:row>
    <x:row r="13" ht="61" customHeight="1">
      <x:c r="A13" s="19" t="str">
        <x:v>秋芳洞観光センター</x:v>
      </x:c>
      <x:c r="B13" s="19" t="str">
        <x:v>待审核</x:v>
      </x:c>
      <x:c r="C13" s="20" t="n">
        <x:v>1</x:v>
      </x:c>
      <x:c r="D13" s="18" t="str">
        <x:v>否</x:v>
      </x:c>
      <x:c r="E13" s="19"/>
      <x:c r="F13" s="20"/>
      <x:c r="G13" s="19" t="str">
        <x:v>USAGE_DATA_UNAVAILABLE</x:v>
      </x:c>
      <x:c r="H13" s="19"/>
      <x:c r="I13" s="18" t="str">
        <x:v>mlit-general-bus-20260401:20</x:v>
      </x:c>
      <x:c r="J13" s="19" t="str">
        <x:v>部分官方证据</x:v>
      </x:c>
      <x:c r="K13" s="19" t="str">
        <x:v>待审核</x:v>
      </x:c>
      <x:c r="L13" s="19" t="str">
        <x:v>部分官方证据</x:v>
      </x:c>
      <x:c r="M13" s="19" t="str">
        <x:v>官方对应与物理去重待审核</x:v>
      </x:c>
      <x:c r="N13" s="19" t="str">
        <x:v>OFFICIAL_COORDINATES
PHYSICAL_FACILITY_DEDUP
CURRENT_OPERATOR_SERVICES
USAGE_OR_FUNCTIONAL_TIER_REVIEW</x:v>
      </x:c>
      <x:c r="O13" s="21"/>
      <x:c r="P13" s="21"/>
      <x:c r="Q13" s="19"/>
      <x:c r="R13" s="18"/>
      <x:c r="S13" s="19"/>
      <x:c r="T13" s="19" t="str">
        <x:v>美祢市</x:v>
      </x:c>
      <x:c r="U13" s="19" t="str">
        <x:v>美祢市秋芳町秋吉3506-2</x:v>
      </x:c>
      <x:c r="V13" s="19" t="str">
        <x:v>REGISTERED_FACILITY_OPERATOR_ADDRESS_BERTHS
https://www.mlit.go.jp/jidosha/content/001999724.pdf
页 1，条 20</x:v>
      </x:c>
      <x:c r="W13" s="19"/>
      <x:c r="X13" s="18" t="str">
        <x:v>是</x:v>
      </x:c>
      <x:c r="Y13" s="18" t="str">
        <x:v>否</x:v>
      </x:c>
    </x:row>
    <x:row r="14" ht="75" customHeight="1">
      <x:c r="A14" s="19" t="str">
        <x:v>博多バスターミナル</x:v>
      </x:c>
      <x:c r="B14" s="19" t="str">
        <x:v>待审核</x:v>
      </x:c>
      <x:c r="C14" s="20" t="n">
        <x:v>2</x:v>
      </x:c>
      <x:c r="D14" s="18" t="str">
        <x:v>否</x:v>
      </x:c>
      <x:c r="E14" s="19"/>
      <x:c r="F14" s="20"/>
      <x:c r="G14" s="19" t="str">
        <x:v>USAGE_DATA_UNAVAILABLE</x:v>
      </x:c>
      <x:c r="H14" s="19"/>
      <x:c r="I14" s="18" t="str">
        <x:v>mlit-general-bus-20260401:21</x:v>
      </x:c>
      <x:c r="J14" s="19" t="str">
        <x:v>部分官方证据</x:v>
      </x:c>
      <x:c r="K14" s="19" t="str">
        <x:v>待审核</x:v>
      </x:c>
      <x:c r="L14" s="19" t="str">
        <x:v>部分官方证据</x:v>
      </x:c>
      <x:c r="M14" s="19" t="str">
        <x:v>官方对应与物理去重待审核</x:v>
      </x:c>
      <x:c r="N14" s="19" t="str">
        <x:v>OFFICIAL_COORDINATES
PHYSICAL_FACILITY_DEDUP
CURRENT_OPERATOR_SERVICES
USAGE_OR_FUNCTIONAL_TIER_REVIEW</x:v>
      </x:c>
      <x:c r="O14" s="21"/>
      <x:c r="P14" s="21"/>
      <x:c r="Q14" s="19"/>
      <x:c r="R14" s="18"/>
      <x:c r="S14" s="19"/>
      <x:c r="T14" s="19" t="str">
        <x:v>博多バスターミナル</x:v>
      </x:c>
      <x:c r="U14" s="19" t="str">
        <x:v>福岡市博多区博多駅中央街2-1</x:v>
      </x:c>
      <x:c r="V14" s="19" t="str">
        <x:v>REGISTERED_FACILITY_OPERATOR_ADDRESS_BERTHS
https://www.mlit.go.jp/jidosha/content/001999724.pdf
页 1，条 21
PRIOR_OFFICIAL_FACILITY_REVIEW
https://www.h-bt.jp/access/</x:v>
      </x:c>
      <x:c r="W14" s="19"/>
      <x:c r="X14" s="18" t="str">
        <x:v>是</x:v>
      </x:c>
      <x:c r="Y14" s="18" t="str">
        <x:v>否</x:v>
      </x:c>
    </x:row>
    <x:row r="15" ht="61" customHeight="1">
      <x:c r="A15" s="19" t="str">
        <x:v>藤崎バス乗継ターミナル</x:v>
      </x:c>
      <x:c r="B15" s="19" t="str">
        <x:v>待审核</x:v>
      </x:c>
      <x:c r="C15" s="20" t="n">
        <x:v>1</x:v>
      </x:c>
      <x:c r="D15" s="18" t="str">
        <x:v>否</x:v>
      </x:c>
      <x:c r="E15" s="19"/>
      <x:c r="F15" s="20"/>
      <x:c r="G15" s="19" t="str">
        <x:v>USAGE_DATA_UNAVAILABLE</x:v>
      </x:c>
      <x:c r="H15" s="19"/>
      <x:c r="I15" s="18" t="str">
        <x:v>mlit-general-bus-20260401:22</x:v>
      </x:c>
      <x:c r="J15" s="19" t="str">
        <x:v>部分官方证据</x:v>
      </x:c>
      <x:c r="K15" s="19" t="str">
        <x:v>待审核</x:v>
      </x:c>
      <x:c r="L15" s="19" t="str">
        <x:v>部分官方证据</x:v>
      </x:c>
      <x:c r="M15" s="19" t="str">
        <x:v>官方对应与物理去重待审核</x:v>
      </x:c>
      <x:c r="N15" s="19" t="str">
        <x:v>OFFICIAL_COORDINATES
PHYSICAL_FACILITY_DEDUP
CURRENT_OPERATOR_SERVICES
USAGE_OR_FUNCTIONAL_TIER_REVIEW</x:v>
      </x:c>
      <x:c r="O15" s="21"/>
      <x:c r="P15" s="21"/>
      <x:c r="Q15" s="19"/>
      <x:c r="R15" s="18"/>
      <x:c r="S15" s="19"/>
      <x:c r="T15" s="19" t="str">
        <x:v>福岡市</x:v>
      </x:c>
      <x:c r="U15" s="19" t="str">
        <x:v>福岡市早良区百道2丁目807-100</x:v>
      </x:c>
      <x:c r="V15" s="19" t="str">
        <x:v>REGISTERED_FACILITY_OPERATOR_ADDRESS_BERTHS
https://www.mlit.go.jp/jidosha/content/001999724.pdf
页 1，条 22</x:v>
      </x:c>
      <x:c r="W15" s="19"/>
      <x:c r="X15" s="18" t="str">
        <x:v>是</x:v>
      </x:c>
      <x:c r="Y15" s="18" t="str">
        <x:v>否</x:v>
      </x:c>
    </x:row>
    <x:row r="16" ht="61" customHeight="1">
      <x:c r="A16" s="19" t="str">
        <x:v>HEARTSバスステーション博多</x:v>
      </x:c>
      <x:c r="B16" s="19" t="str">
        <x:v>待审核</x:v>
      </x:c>
      <x:c r="C16" s="20" t="n">
        <x:v>1</x:v>
      </x:c>
      <x:c r="D16" s="18" t="str">
        <x:v>否</x:v>
      </x:c>
      <x:c r="E16" s="19"/>
      <x:c r="F16" s="20"/>
      <x:c r="G16" s="19" t="str">
        <x:v>USAGE_DATA_UNAVAILABLE</x:v>
      </x:c>
      <x:c r="H16" s="19"/>
      <x:c r="I16" s="18" t="str">
        <x:v>mlit-general-bus-20260401:23</x:v>
      </x:c>
      <x:c r="J16" s="19" t="str">
        <x:v>部分官方证据</x:v>
      </x:c>
      <x:c r="K16" s="19" t="str">
        <x:v>待审核</x:v>
      </x:c>
      <x:c r="L16" s="19" t="str">
        <x:v>部分官方证据</x:v>
      </x:c>
      <x:c r="M16" s="19" t="str">
        <x:v>官方对应与物理去重待审核</x:v>
      </x:c>
      <x:c r="N16" s="19" t="str">
        <x:v>OFFICIAL_COORDINATES
PHYSICAL_FACILITY_DEDUP
CURRENT_OPERATOR_SERVICES
USAGE_OR_FUNCTIONAL_TIER_REVIEW</x:v>
      </x:c>
      <x:c r="O16" s="21"/>
      <x:c r="P16" s="21"/>
      <x:c r="Q16" s="19"/>
      <x:c r="R16" s="18"/>
      <x:c r="S16" s="19"/>
      <x:c r="T16" s="19" t="str">
        <x:v>HEARTS</x:v>
      </x:c>
      <x:c r="U16" s="19" t="str">
        <x:v>福岡市博多区博多駅前4丁目14-13</x:v>
      </x:c>
      <x:c r="V16" s="19" t="str">
        <x:v>REGISTERED_FACILITY_OPERATOR_ADDRESS_BERTHS
https://www.mlit.go.jp/jidosha/content/001999724.pdf
页 1，条 23</x:v>
      </x:c>
      <x:c r="W16" s="19"/>
      <x:c r="X16" s="18" t="str">
        <x:v>是</x:v>
      </x:c>
      <x:c r="Y16" s="18" t="str">
        <x:v>否</x:v>
      </x:c>
    </x:row>
    <x:row r="17" ht="75" customHeight="1">
      <x:c r="A17" s="19" t="str">
        <x:v>熊本桜町バスターミナル</x:v>
      </x:c>
      <x:c r="B17" s="19" t="str">
        <x:v>待审核</x:v>
      </x:c>
      <x:c r="C17" s="20" t="n">
        <x:v>2</x:v>
      </x:c>
      <x:c r="D17" s="18" t="str">
        <x:v>否</x:v>
      </x:c>
      <x:c r="E17" s="19"/>
      <x:c r="F17" s="20"/>
      <x:c r="G17" s="19" t="str">
        <x:v>USAGE_DATA_UNAVAILABLE</x:v>
      </x:c>
      <x:c r="H17" s="19"/>
      <x:c r="I17" s="18" t="str">
        <x:v>mlit-general-bus-20260401:24</x:v>
      </x:c>
      <x:c r="J17" s="19" t="str">
        <x:v>部分官方证据</x:v>
      </x:c>
      <x:c r="K17" s="19" t="str">
        <x:v>待审核</x:v>
      </x:c>
      <x:c r="L17" s="19" t="str">
        <x:v>部分官方证据</x:v>
      </x:c>
      <x:c r="M17" s="19" t="str">
        <x:v>官方对应与物理去重待审核</x:v>
      </x:c>
      <x:c r="N17" s="19" t="str">
        <x:v>OFFICIAL_COORDINATES
PHYSICAL_FACILITY_DEDUP
CURRENT_OPERATOR_SERVICES
USAGE_OR_FUNCTIONAL_TIER_REVIEW</x:v>
      </x:c>
      <x:c r="O17" s="21"/>
      <x:c r="P17" s="21"/>
      <x:c r="Q17" s="19"/>
      <x:c r="R17" s="18"/>
      <x:c r="S17" s="19"/>
      <x:c r="T17" s="19" t="str">
        <x:v>九州産交ランドマーク</x:v>
      </x:c>
      <x:c r="U17" s="19" t="str">
        <x:v>熊本市中央区桜町3-13</x:v>
      </x:c>
      <x:c r="V17" s="19" t="str">
        <x:v>REGISTERED_FACILITY_OPERATOR_ADDRESS_BERTHS
https://www.mlit.go.jp/jidosha/content/001999724.pdf
页 1，条 24
PRIOR_OFFICIAL_FACILITY_REVIEW
https://www.sankobus.jp/busportal/wp-content/uploads/noriba_kuma-bt.pdf</x:v>
      </x:c>
      <x:c r="W17" s="19"/>
      <x:c r="X17" s="18" t="str">
        <x:v>是</x:v>
      </x:c>
      <x:c r="Y17" s="18" t="str">
        <x:v>否</x:v>
      </x:c>
    </x:row>
    <x:row r="18" ht="61" customHeight="1">
      <x:c r="A18" s="19" t="str">
        <x:v>別府交通センター</x:v>
      </x:c>
      <x:c r="B18" s="19" t="str">
        <x:v>待审核</x:v>
      </x:c>
      <x:c r="C18" s="20" t="n">
        <x:v>1</x:v>
      </x:c>
      <x:c r="D18" s="18" t="str">
        <x:v>否</x:v>
      </x:c>
      <x:c r="E18" s="19"/>
      <x:c r="F18" s="20"/>
      <x:c r="G18" s="19" t="str">
        <x:v>USAGE_DATA_UNAVAILABLE</x:v>
      </x:c>
      <x:c r="H18" s="19"/>
      <x:c r="I18" s="18" t="str">
        <x:v>mlit-general-bus-20260401:25</x:v>
      </x:c>
      <x:c r="J18" s="19" t="str">
        <x:v>部分官方证据</x:v>
      </x:c>
      <x:c r="K18" s="19" t="str">
        <x:v>待审核</x:v>
      </x:c>
      <x:c r="L18" s="19" t="str">
        <x:v>部分官方证据</x:v>
      </x:c>
      <x:c r="M18" s="19" t="str">
        <x:v>官方对应与物理去重待审核</x:v>
      </x:c>
      <x:c r="N18" s="19" t="str">
        <x:v>OFFICIAL_COORDINATES
PHYSICAL_FACILITY_DEDUP
CURRENT_OPERATOR_SERVICES
USAGE_OR_FUNCTIONAL_TIER_REVIEW</x:v>
      </x:c>
      <x:c r="O18" s="21"/>
      <x:c r="P18" s="21"/>
      <x:c r="Q18" s="19"/>
      <x:c r="R18" s="18"/>
      <x:c r="S18" s="19"/>
      <x:c r="T18" s="19" t="str">
        <x:v>別府交通センター</x:v>
      </x:c>
      <x:c r="U18" s="19" t="str">
        <x:v>別府市新港町6-46</x:v>
      </x:c>
      <x:c r="V18" s="19" t="str">
        <x:v>REGISTERED_FACILITY_OPERATOR_ADDRESS_BERTHS
https://www.mlit.go.jp/jidosha/content/001999724.pdf
页 1，条 25</x:v>
      </x:c>
      <x:c r="W18" s="19"/>
      <x:c r="X18" s="18" t="str">
        <x:v>是</x:v>
      </x:c>
      <x:c r="Y18" s="18" t="str">
        <x:v>否</x:v>
      </x:c>
    </x:row>
    <x:row r="19" ht="61" customHeight="1">
      <x:c r="A19" s="19" t="str">
        <x:v>那覇バスターミナル</x:v>
      </x:c>
      <x:c r="B19" s="19" t="str">
        <x:v>待审核</x:v>
      </x:c>
      <x:c r="C19" s="20" t="n">
        <x:v>1</x:v>
      </x:c>
      <x:c r="D19" s="18" t="str">
        <x:v>否</x:v>
      </x:c>
      <x:c r="E19" s="19"/>
      <x:c r="F19" s="20"/>
      <x:c r="G19" s="19" t="str">
        <x:v>USAGE_DATA_UNAVAILABLE</x:v>
      </x:c>
      <x:c r="H19" s="19"/>
      <x:c r="I19" s="18" t="str">
        <x:v>mlit-general-bus-20260401:26</x:v>
      </x:c>
      <x:c r="J19" s="19" t="str">
        <x:v>部分官方证据</x:v>
      </x:c>
      <x:c r="K19" s="19" t="str">
        <x:v>待审核</x:v>
      </x:c>
      <x:c r="L19" s="19" t="str">
        <x:v>部分官方证据</x:v>
      </x:c>
      <x:c r="M19" s="19" t="str">
        <x:v>官方对应与物理去重待审核</x:v>
      </x:c>
      <x:c r="N19" s="19" t="str">
        <x:v>OFFICIAL_COORDINATES
PHYSICAL_FACILITY_DEDUP
CURRENT_OPERATOR_SERVICES
USAGE_OR_FUNCTIONAL_TIER_REVIEW</x:v>
      </x:c>
      <x:c r="O19" s="21"/>
      <x:c r="P19" s="21"/>
      <x:c r="Q19" s="19"/>
      <x:c r="R19" s="18"/>
      <x:c r="S19" s="19"/>
      <x:c r="T19" s="19" t="str">
        <x:v>那覇バスターミナル</x:v>
      </x:c>
      <x:c r="U19" s="19" t="str">
        <x:v>那覇市泉崎1丁目20-1</x:v>
      </x:c>
      <x:c r="V19" s="19" t="str">
        <x:v>REGISTERED_FACILITY_OPERATOR_ADDRESS_BERTHS
https://www.mlit.go.jp/jidosha/content/001999724.pdf
页 1，条 26</x:v>
      </x:c>
      <x:c r="W19" s="19"/>
      <x:c r="X19" s="18" t="str">
        <x:v>是</x:v>
      </x:c>
      <x:c r="Y19" s="18" t="str">
        <x:v>否</x:v>
      </x:c>
    </x:row>
    <x:row r="20" ht="75" customHeight="1">
      <x:c r="A20" s="19" t="str">
        <x:v>下川町バスターミナル合同センター</x:v>
      </x:c>
      <x:c r="B20" s="19" t="str">
        <x:v>待审核</x:v>
      </x:c>
      <x:c r="C20" s="20" t="n">
        <x:v>0</x:v>
      </x:c>
      <x:c r="D20" s="18" t="str">
        <x:v>否</x:v>
      </x:c>
      <x:c r="E20" s="19"/>
      <x:c r="F20" s="20"/>
      <x:c r="G20" s="19" t="str">
        <x:v>USAGE_DATA_UNAVAILABLE</x:v>
      </x:c>
      <x:c r="H20" s="19"/>
      <x:c r="I20" s="18" t="str">
        <x:v>navitime:00011-010197849</x:v>
      </x:c>
      <x:c r="J20" s="19" t="str">
        <x:v>OFFICIAL_VALIDATION_REQUIRED</x:v>
      </x:c>
      <x:c r="K20" s="19" t="str">
        <x:v>待审核</x:v>
      </x:c>
      <x:c r="L20" s="19" t="str">
        <x:v>待审核</x:v>
      </x:c>
      <x:c r="M20" s="19" t="str">
        <x:v>官方对应与物理去重待审核</x:v>
      </x:c>
      <x:c r="N20" s="19" t="str">
        <x:v>OFFICIAL_IDENTITY_FACILITY
OFFICIAL_COORDINATES
PHYSICAL_FACILITY_DEDUP
CURRENT_OPERATOR_SERVICES
USAGE_OR_FUNCTIONAL_TIER_REVIEW</x:v>
      </x:c>
      <x:c r="O20" s="21"/>
      <x:c r="P20" s="21"/>
      <x:c r="Q20" s="19" t="str">
        <x:v>北海道上川郡下川町共栄町6</x:v>
      </x:c>
      <x:c r="R20" s="18" t="str">
        <x:v>navitime:00011-010197849</x:v>
      </x:c>
      <x:c r="S20" s="19" t="str">
        <x:v>https://www.navitime.co.jp/poi?spot=00011-010197849</x:v>
      </x:c>
      <x:c r="T20" s="19" t="str"/>
      <x:c r="U20" s="19" t="str"/>
      <x:c r="V20" s="19" t="str"/>
      <x:c r="W20" s="19"/>
      <x:c r="X20" s="18" t="str">
        <x:v>是</x:v>
      </x:c>
      <x:c r="Y20" s="18" t="str">
        <x:v>否</x:v>
      </x:c>
    </x:row>
    <x:row r="21" ht="75" customHeight="1">
      <x:c r="A21" s="19" t="str">
        <x:v>仙台市交通局 旭ケ丘バスターミナル</x:v>
      </x:c>
      <x:c r="B21" s="19" t="str">
        <x:v>待审核</x:v>
      </x:c>
      <x:c r="C21" s="20" t="n">
        <x:v>0</x:v>
      </x:c>
      <x:c r="D21" s="18" t="str">
        <x:v>否</x:v>
      </x:c>
      <x:c r="E21" s="19"/>
      <x:c r="F21" s="20"/>
      <x:c r="G21" s="19" t="str">
        <x:v>USAGE_DATA_UNAVAILABLE</x:v>
      </x:c>
      <x:c r="H21" s="19"/>
      <x:c r="I21" s="18" t="str">
        <x:v>navitime:00011-010378466</x:v>
      </x:c>
      <x:c r="J21" s="19" t="str">
        <x:v>OFFICIAL_VALIDATION_REQUIRED</x:v>
      </x:c>
      <x:c r="K21" s="19" t="str">
        <x:v>待审核</x:v>
      </x:c>
      <x:c r="L21" s="19" t="str">
        <x:v>待审核</x:v>
      </x:c>
      <x:c r="M21" s="19" t="str">
        <x:v>官方对应与物理去重待审核</x:v>
      </x:c>
      <x:c r="N21" s="19" t="str">
        <x:v>OFFICIAL_IDENTITY_FACILITY
OFFICIAL_COORDINATES
PHYSICAL_FACILITY_DEDUP
CURRENT_OPERATOR_SERVICES
USAGE_OR_FUNCTIONAL_TIER_REVIEW</x:v>
      </x:c>
      <x:c r="O21" s="21"/>
      <x:c r="P21" s="21"/>
      <x:c r="Q21" s="19" t="str">
        <x:v>宮城県仙台市青葉区旭ケ丘3丁目25-15</x:v>
      </x:c>
      <x:c r="R21" s="18" t="str">
        <x:v>navitime:00011-010378466</x:v>
      </x:c>
      <x:c r="S21" s="19" t="str">
        <x:v>https://www.navitime.co.jp/poi?spot=00011-010378466</x:v>
      </x:c>
      <x:c r="T21" s="19" t="str"/>
      <x:c r="U21" s="19" t="str"/>
      <x:c r="V21" s="19" t="str"/>
      <x:c r="W21" s="19"/>
      <x:c r="X21" s="18" t="str">
        <x:v>是</x:v>
      </x:c>
      <x:c r="Y21" s="18" t="str">
        <x:v>否</x:v>
      </x:c>
    </x:row>
    <x:row r="22" ht="75" customHeight="1">
      <x:c r="A22" s="19" t="str">
        <x:v>大阪シティエアターミナル OCATバスターミナル</x:v>
      </x:c>
      <x:c r="B22" s="19" t="str">
        <x:v>待审核</x:v>
      </x:c>
      <x:c r="C22" s="20" t="n">
        <x:v>2</x:v>
      </x:c>
      <x:c r="D22" s="18" t="str">
        <x:v>否</x:v>
      </x:c>
      <x:c r="E22" s="19"/>
      <x:c r="F22" s="20"/>
      <x:c r="G22" s="19" t="str">
        <x:v>USAGE_DATA_UNAVAILABLE</x:v>
      </x:c>
      <x:c r="H22" s="19"/>
      <x:c r="I22" s="18" t="str">
        <x:v>navitime:00011-060222795</x:v>
      </x:c>
      <x:c r="J22" s="19" t="str">
        <x:v>部分官方证据</x:v>
      </x:c>
      <x:c r="K22" s="19" t="str">
        <x:v>待审核</x:v>
      </x:c>
      <x:c r="L22" s="19" t="str">
        <x:v>部分官方证据</x:v>
      </x:c>
      <x:c r="M22" s="19" t="str">
        <x:v>官方对应与物理去重待审核</x:v>
      </x:c>
      <x:c r="N22" s="19" t="str">
        <x:v>OFFICIAL_COORDINATES
PHYSICAL_FACILITY_DEDUP
CURRENT_OPERATOR_SERVICES
USAGE_OR_FUNCTIONAL_TIER_REVIEW</x:v>
      </x:c>
      <x:c r="O22" s="21"/>
      <x:c r="P22" s="21"/>
      <x:c r="Q22" s="19" t="str">
        <x:v>大阪府大阪市浪速区湊町1丁目4-1</x:v>
      </x:c>
      <x:c r="R22" s="18" t="str">
        <x:v>navitime:00011-060222795</x:v>
      </x:c>
      <x:c r="S22" s="19" t="str">
        <x:v>https://www.navitime.co.jp/poi?spot=00011-060222795</x:v>
      </x:c>
      <x:c r="T22" s="19" t="str">
        <x:v>湊町開発センター</x:v>
      </x:c>
      <x:c r="U22" s="19" t="str">
        <x:v>大阪市浪速区湊町1丁目4-1</x:v>
      </x:c>
      <x:c r="V22" s="19" t="str">
        <x:v>REGISTERED_FACILITY_OPERATOR_ADDRESS_BERTHS
https://www.mlit.go.jp/jidosha/content/001999724.pdf
页 1，条 18
PRIOR_OFFICIAL_FACILITY_REVIEW
https://www.ocat.co.jp/highwaybus/</x:v>
      </x:c>
      <x:c r="W22" s="19"/>
      <x:c r="X22" s="18" t="str">
        <x:v>是</x:v>
      </x:c>
      <x:c r="Y22" s="18" t="str">
        <x:v>否</x:v>
      </x:c>
    </x:row>
    <x:row r="23" ht="75" customHeight="1">
      <x:c r="A23" s="19" t="str">
        <x:v>相生代替バスターミナル</x:v>
      </x:c>
      <x:c r="B23" s="19" t="str">
        <x:v>待审核</x:v>
      </x:c>
      <x:c r="C23" s="20" t="n">
        <x:v>0</x:v>
      </x:c>
      <x:c r="D23" s="18" t="str">
        <x:v>否</x:v>
      </x:c>
      <x:c r="E23" s="19"/>
      <x:c r="F23" s="20"/>
      <x:c r="G23" s="19" t="str">
        <x:v>USAGE_DATA_UNAVAILABLE</x:v>
      </x:c>
      <x:c r="H23" s="19"/>
      <x:c r="I23" s="18" t="str">
        <x:v>navitime:00011-070421377</x:v>
      </x:c>
      <x:c r="J23" s="19" t="str">
        <x:v>OFFICIAL_VALIDATION_REQUIRED</x:v>
      </x:c>
      <x:c r="K23" s="19" t="str">
        <x:v>待审核</x:v>
      </x:c>
      <x:c r="L23" s="19" t="str">
        <x:v>待审核</x:v>
      </x:c>
      <x:c r="M23" s="19" t="str">
        <x:v>官方对应与物理去重待审核</x:v>
      </x:c>
      <x:c r="N23" s="19" t="str">
        <x:v>OFFICIAL_IDENTITY_FACILITY
OFFICIAL_COORDINATES
PHYSICAL_FACILITY_DEDUP
CURRENT_OPERATOR_SERVICES
USAGE_OR_FUNCTIONAL_TIER_REVIEW</x:v>
      </x:c>
      <x:c r="O23" s="21"/>
      <x:c r="P23" s="21"/>
      <x:c r="Q23" s="19" t="str">
        <x:v>徳島県那賀郡那賀町延野字王子原108-1</x:v>
      </x:c>
      <x:c r="R23" s="18" t="str">
        <x:v>navitime:00011-070421377</x:v>
      </x:c>
      <x:c r="S23" s="19" t="str">
        <x:v>https://www.navitime.co.jp/poi?spot=00011-070421377</x:v>
      </x:c>
      <x:c r="T23" s="19" t="str"/>
      <x:c r="U23" s="19" t="str"/>
      <x:c r="V23" s="19" t="str"/>
      <x:c r="W23" s="19"/>
      <x:c r="X23" s="18" t="str">
        <x:v>是</x:v>
      </x:c>
      <x:c r="Y23" s="18" t="str">
        <x:v>否</x:v>
      </x:c>
    </x:row>
    <x:row r="24" ht="75" customHeight="1">
      <x:c r="A24" s="19" t="str">
        <x:v>昭和バス 唐津バスセンター</x:v>
      </x:c>
      <x:c r="B24" s="19" t="str">
        <x:v>待审核</x:v>
      </x:c>
      <x:c r="C24" s="20" t="n">
        <x:v>0</x:v>
      </x:c>
      <x:c r="D24" s="18" t="str">
        <x:v>否</x:v>
      </x:c>
      <x:c r="E24" s="19"/>
      <x:c r="F24" s="20"/>
      <x:c r="G24" s="19" t="str">
        <x:v>USAGE_DATA_UNAVAILABLE</x:v>
      </x:c>
      <x:c r="H24" s="19"/>
      <x:c r="I24" s="18" t="str">
        <x:v>navitime:00011-080923439</x:v>
      </x:c>
      <x:c r="J24" s="19" t="str">
        <x:v>OFFICIAL_VALIDATION_REQUIRED</x:v>
      </x:c>
      <x:c r="K24" s="19" t="str">
        <x:v>待审核</x:v>
      </x:c>
      <x:c r="L24" s="19" t="str">
        <x:v>待审核</x:v>
      </x:c>
      <x:c r="M24" s="19" t="str">
        <x:v>官方对应与物理去重待审核</x:v>
      </x:c>
      <x:c r="N24" s="19" t="str">
        <x:v>OFFICIAL_IDENTITY_FACILITY
OFFICIAL_COORDINATES
PHYSICAL_FACILITY_DEDUP
CURRENT_OPERATOR_SERVICES
USAGE_OR_FUNCTIONAL_TIER_REVIEW</x:v>
      </x:c>
      <x:c r="O24" s="21"/>
      <x:c r="P24" s="21"/>
      <x:c r="Q24" s="19" t="str">
        <x:v>佐賀県唐津市南城内1-1</x:v>
      </x:c>
      <x:c r="R24" s="18" t="str">
        <x:v>navitime:00011-080923439</x:v>
      </x:c>
      <x:c r="S24" s="19" t="str">
        <x:v>https://www.navitime.co.jp/poi?spot=00011-080923439</x:v>
      </x:c>
      <x:c r="T24" s="19" t="str"/>
      <x:c r="U24" s="19" t="str"/>
      <x:c r="V24" s="19" t="str"/>
      <x:c r="W24" s="19"/>
      <x:c r="X24" s="18" t="str">
        <x:v>是</x:v>
      </x:c>
      <x:c r="Y24" s="18" t="str">
        <x:v>否</x:v>
      </x:c>
    </x:row>
    <x:row r="25" ht="75" customHeight="1">
      <x:c r="A25" s="19" t="str">
        <x:v>広域生活バス広瀬バスターミナル</x:v>
      </x:c>
      <x:c r="B25" s="19" t="str">
        <x:v>待审核</x:v>
      </x:c>
      <x:c r="C25" s="20" t="n">
        <x:v>0</x:v>
      </x:c>
      <x:c r="D25" s="18" t="str">
        <x:v>否</x:v>
      </x:c>
      <x:c r="E25" s="19"/>
      <x:c r="F25" s="20"/>
      <x:c r="G25" s="19" t="str">
        <x:v>USAGE_DATA_UNAVAILABLE</x:v>
      </x:c>
      <x:c r="H25" s="19"/>
      <x:c r="I25" s="18" t="str">
        <x:v>navitime:00011-100075347</x:v>
      </x:c>
      <x:c r="J25" s="19" t="str">
        <x:v>OFFICIAL_VALIDATION_REQUIRED</x:v>
      </x:c>
      <x:c r="K25" s="19" t="str">
        <x:v>待审核</x:v>
      </x:c>
      <x:c r="L25" s="19" t="str">
        <x:v>待审核</x:v>
      </x:c>
      <x:c r="M25" s="19" t="str">
        <x:v>官方对应与物理去重待审核</x:v>
      </x:c>
      <x:c r="N25" s="19" t="str">
        <x:v>OFFICIAL_IDENTITY_FACILITY
OFFICIAL_COORDINATES
PHYSICAL_FACILITY_DEDUP
CURRENT_OPERATOR_SERVICES
USAGE_OR_FUNCTIONAL_TIER_REVIEW</x:v>
      </x:c>
      <x:c r="O25" s="21"/>
      <x:c r="P25" s="21"/>
      <x:c r="Q25" s="19" t="str">
        <x:v>島根県安来市広瀬町広瀬1006</x:v>
      </x:c>
      <x:c r="R25" s="18" t="str">
        <x:v>navitime:00011-100075347</x:v>
      </x:c>
      <x:c r="S25" s="19" t="str">
        <x:v>https://www.navitime.co.jp/poi?spot=00011-100075347</x:v>
      </x:c>
      <x:c r="T25" s="19" t="str"/>
      <x:c r="U25" s="19" t="str"/>
      <x:c r="V25" s="19" t="str"/>
      <x:c r="W25" s="19"/>
      <x:c r="X25" s="18" t="str">
        <x:v>是</x:v>
      </x:c>
      <x:c r="Y25" s="18" t="str">
        <x:v>否</x:v>
      </x:c>
    </x:row>
    <x:row r="26" ht="75" customHeight="1">
      <x:c r="A26" s="19" t="str">
        <x:v>中村まちバスセンター</x:v>
      </x:c>
      <x:c r="B26" s="19" t="str">
        <x:v>待审核</x:v>
      </x:c>
      <x:c r="C26" s="20" t="n">
        <x:v>0</x:v>
      </x:c>
      <x:c r="D26" s="18" t="str">
        <x:v>否</x:v>
      </x:c>
      <x:c r="E26" s="19"/>
      <x:c r="F26" s="20"/>
      <x:c r="G26" s="19" t="str">
        <x:v>USAGE_DATA_UNAVAILABLE</x:v>
      </x:c>
      <x:c r="H26" s="19"/>
      <x:c r="I26" s="18" t="str">
        <x:v>navitime:00011-100440428</x:v>
      </x:c>
      <x:c r="J26" s="19" t="str">
        <x:v>OFFICIAL_VALIDATION_REQUIRED</x:v>
      </x:c>
      <x:c r="K26" s="19" t="str">
        <x:v>待审核</x:v>
      </x:c>
      <x:c r="L26" s="19" t="str">
        <x:v>待审核</x:v>
      </x:c>
      <x:c r="M26" s="19" t="str">
        <x:v>官方对应与物理去重待审核</x:v>
      </x:c>
      <x:c r="N26" s="19" t="str">
        <x:v>OFFICIAL_IDENTITY_FACILITY
OFFICIAL_COORDINATES
PHYSICAL_FACILITY_DEDUP
CURRENT_OPERATOR_SERVICES
USAGE_OR_FUNCTIONAL_TIER_REVIEW</x:v>
      </x:c>
      <x:c r="O26" s="21"/>
      <x:c r="P26" s="21"/>
      <x:c r="Q26" s="19" t="str">
        <x:v>高知県四万十市中村大橋通7丁目11-6</x:v>
      </x:c>
      <x:c r="R26" s="18" t="str">
        <x:v>navitime:00011-100440428</x:v>
      </x:c>
      <x:c r="S26" s="19" t="str">
        <x:v>https://www.navitime.co.jp/poi?spot=00011-100440428</x:v>
      </x:c>
      <x:c r="T26" s="19" t="str"/>
      <x:c r="U26" s="19" t="str"/>
      <x:c r="V26" s="19" t="str"/>
      <x:c r="W26" s="19"/>
      <x:c r="X26" s="18" t="str">
        <x:v>是</x:v>
      </x:c>
      <x:c r="Y26" s="18" t="str">
        <x:v>否</x:v>
      </x:c>
    </x:row>
    <x:row r="27" ht="75" customHeight="1">
      <x:c r="A27" s="19" t="str">
        <x:v>御殿場プレミアムアウトレット 団体バスターミナル</x:v>
      </x:c>
      <x:c r="B27" s="19" t="str">
        <x:v>待审核</x:v>
      </x:c>
      <x:c r="C27" s="20" t="n">
        <x:v>0</x:v>
      </x:c>
      <x:c r="D27" s="18" t="str">
        <x:v>否</x:v>
      </x:c>
      <x:c r="E27" s="19"/>
      <x:c r="F27" s="20"/>
      <x:c r="G27" s="19" t="str">
        <x:v>USAGE_DATA_UNAVAILABLE</x:v>
      </x:c>
      <x:c r="H27" s="19"/>
      <x:c r="I27" s="18" t="str">
        <x:v>navitime:02022-10008487</x:v>
      </x:c>
      <x:c r="J27" s="19" t="str">
        <x:v>OFFICIAL_VALIDATION_REQUIRED</x:v>
      </x:c>
      <x:c r="K27" s="19" t="str">
        <x:v>待审核</x:v>
      </x:c>
      <x:c r="L27" s="19" t="str">
        <x:v>待审核</x:v>
      </x:c>
      <x:c r="M27" s="19" t="str">
        <x:v>官方对应与物理去重待审核</x:v>
      </x:c>
      <x:c r="N27" s="19" t="str">
        <x:v>OFFICIAL_IDENTITY_FACILITY
OFFICIAL_COORDINATES
PHYSICAL_FACILITY_DEDUP
CURRENT_OPERATOR_SERVICES
USAGE_OR_FUNCTIONAL_TIER_REVIEW</x:v>
      </x:c>
      <x:c r="O27" s="21"/>
      <x:c r="P27" s="21"/>
      <x:c r="Q27" s="19" t="str">
        <x:v>静岡県御殿場市深沢2839-1</x:v>
      </x:c>
      <x:c r="R27" s="18" t="str">
        <x:v>navitime:02022-10008487</x:v>
      </x:c>
      <x:c r="S27" s="19" t="str">
        <x:v>https://www.navitime.co.jp/poi?spot=02022-10008487</x:v>
      </x:c>
      <x:c r="T27" s="19" t="str"/>
      <x:c r="U27" s="19" t="str"/>
      <x:c r="V27" s="19" t="str"/>
      <x:c r="W27" s="19"/>
      <x:c r="X27" s="18" t="str">
        <x:v>是</x:v>
      </x:c>
      <x:c r="Y27" s="18" t="str">
        <x:v>否</x:v>
      </x:c>
    </x:row>
    <x:row r="28" ht="75" customHeight="1">
      <x:c r="A28" s="19" t="str">
        <x:v>都庁大型車駐車場内 観光バス乗り場(集合場所)</x:v>
      </x:c>
      <x:c r="B28" s="19" t="str">
        <x:v>待审核</x:v>
      </x:c>
      <x:c r="C28" s="20" t="n">
        <x:v>0</x:v>
      </x:c>
      <x:c r="D28" s="18" t="str">
        <x:v>否</x:v>
      </x:c>
      <x:c r="E28" s="19"/>
      <x:c r="F28" s="20"/>
      <x:c r="G28" s="19" t="str">
        <x:v>USAGE_DATA_UNAVAILABLE</x:v>
      </x:c>
      <x:c r="H28" s="19"/>
      <x:c r="I28" s="18" t="str">
        <x:v>navitime:02022-10008871</x:v>
      </x:c>
      <x:c r="J28" s="19" t="str">
        <x:v>OFFICIAL_VALIDATION_REQUIRED</x:v>
      </x:c>
      <x:c r="K28" s="19" t="str">
        <x:v>待审核</x:v>
      </x:c>
      <x:c r="L28" s="19" t="str">
        <x:v>待审核</x:v>
      </x:c>
      <x:c r="M28" s="19" t="str">
        <x:v>官方对应与物理去重待审核</x:v>
      </x:c>
      <x:c r="N28" s="19" t="str">
        <x:v>OFFICIAL_IDENTITY_FACILITY
OFFICIAL_COORDINATES
PHYSICAL_FACILITY_DEDUP
CURRENT_OPERATOR_SERVICES
USAGE_OR_FUNCTIONAL_TIER_REVIEW</x:v>
      </x:c>
      <x:c r="O28" s="21"/>
      <x:c r="P28" s="21"/>
      <x:c r="Q28" s="19" t="str">
        <x:v>東京都新宿区西新宿2</x:v>
      </x:c>
      <x:c r="R28" s="18" t="str">
        <x:v>navitime:02022-10008871</x:v>
      </x:c>
      <x:c r="S28" s="19" t="str">
        <x:v>https://www.navitime.co.jp/poi?spot=02022-10008871</x:v>
      </x:c>
      <x:c r="T28" s="19" t="str"/>
      <x:c r="U28" s="19" t="str"/>
      <x:c r="V28" s="19" t="str"/>
      <x:c r="W28" s="19"/>
      <x:c r="X28" s="18" t="str">
        <x:v>是</x:v>
      </x:c>
      <x:c r="Y28" s="18" t="str">
        <x:v>否</x:v>
      </x:c>
    </x:row>
    <x:row r="29" ht="75" customHeight="1">
      <x:c r="A29" s="19" t="str">
        <x:v>盛岡バスセンター</x:v>
      </x:c>
      <x:c r="B29" s="19" t="str">
        <x:v>待审核</x:v>
      </x:c>
      <x:c r="C29" s="20" t="n">
        <x:v>0</x:v>
      </x:c>
      <x:c r="D29" s="18" t="str">
        <x:v>否</x:v>
      </x:c>
      <x:c r="E29" s="19"/>
      <x:c r="F29" s="20"/>
      <x:c r="G29" s="19" t="str">
        <x:v>USAGE_DATA_UNAVAILABLE</x:v>
      </x:c>
      <x:c r="H29" s="19"/>
      <x:c r="I29" s="18" t="str">
        <x:v>navitime:02022-10009055</x:v>
      </x:c>
      <x:c r="J29" s="19" t="str">
        <x:v>OFFICIAL_VALIDATION_REQUIRED</x:v>
      </x:c>
      <x:c r="K29" s="19" t="str">
        <x:v>待审核</x:v>
      </x:c>
      <x:c r="L29" s="19" t="str">
        <x:v>待审核</x:v>
      </x:c>
      <x:c r="M29" s="19" t="str">
        <x:v>官方对应与物理去重待审核</x:v>
      </x:c>
      <x:c r="N29" s="19" t="str">
        <x:v>OFFICIAL_IDENTITY_FACILITY
OFFICIAL_COORDINATES
PHYSICAL_FACILITY_DEDUP
CURRENT_OPERATOR_SERVICES
USAGE_OR_FUNCTIONAL_TIER_REVIEW</x:v>
      </x:c>
      <x:c r="O29" s="21"/>
      <x:c r="P29" s="21"/>
      <x:c r="Q29" s="19" t="str">
        <x:v>岩手県盛岡市中ノ橋通1-9-22</x:v>
      </x:c>
      <x:c r="R29" s="18" t="str">
        <x:v>navitime:02022-10009055</x:v>
      </x:c>
      <x:c r="S29" s="19" t="str">
        <x:v>https://www.navitime.co.jp/poi?spot=02022-10009055</x:v>
      </x:c>
      <x:c r="T29" s="19" t="str"/>
      <x:c r="U29" s="19" t="str"/>
      <x:c r="V29" s="19" t="str"/>
      <x:c r="W29" s="19"/>
      <x:c r="X29" s="18" t="str">
        <x:v>是</x:v>
      </x:c>
      <x:c r="Y29" s="18" t="str">
        <x:v>否</x:v>
      </x:c>
    </x:row>
    <x:row r="30" ht="75" customHeight="1">
      <x:c r="A30" s="19" t="str">
        <x:v>川崎市観光用バス乗降場(小川町・1番乗降場)</x:v>
      </x:c>
      <x:c r="B30" s="19" t="str">
        <x:v>待审核</x:v>
      </x:c>
      <x:c r="C30" s="20" t="n">
        <x:v>0</x:v>
      </x:c>
      <x:c r="D30" s="18" t="str">
        <x:v>否</x:v>
      </x:c>
      <x:c r="E30" s="19"/>
      <x:c r="F30" s="20"/>
      <x:c r="G30" s="19" t="str">
        <x:v>USAGE_DATA_UNAVAILABLE</x:v>
      </x:c>
      <x:c r="H30" s="19"/>
      <x:c r="I30" s="18" t="str">
        <x:v>navitime:02022-10011503</x:v>
      </x:c>
      <x:c r="J30" s="19" t="str">
        <x:v>OFFICIAL_VALIDATION_REQUIRED</x:v>
      </x:c>
      <x:c r="K30" s="19" t="str">
        <x:v>待审核</x:v>
      </x:c>
      <x:c r="L30" s="19" t="str">
        <x:v>待审核</x:v>
      </x:c>
      <x:c r="M30" s="19" t="str">
        <x:v>官方对应与物理去重待审核</x:v>
      </x:c>
      <x:c r="N30" s="19" t="str">
        <x:v>OFFICIAL_IDENTITY_FACILITY
OFFICIAL_COORDINATES
PHYSICAL_FACILITY_DEDUP
CURRENT_OPERATOR_SERVICES
USAGE_OR_FUNCTIONAL_TIER_REVIEW</x:v>
      </x:c>
      <x:c r="O30" s="21"/>
      <x:c r="P30" s="21"/>
      <x:c r="Q30" s="19" t="str">
        <x:v>神奈川県川崎市川崎区小川町8</x:v>
      </x:c>
      <x:c r="R30" s="18" t="str">
        <x:v>navitime:02022-10011503</x:v>
      </x:c>
      <x:c r="S30" s="19" t="str">
        <x:v>https://www.navitime.co.jp/poi?spot=02022-10011503</x:v>
      </x:c>
      <x:c r="T30" s="19" t="str"/>
      <x:c r="U30" s="19" t="str"/>
      <x:c r="V30" s="19" t="str"/>
      <x:c r="W30" s="19"/>
      <x:c r="X30" s="18" t="str">
        <x:v>是</x:v>
      </x:c>
      <x:c r="Y30" s="18" t="str">
        <x:v>否</x:v>
      </x:c>
    </x:row>
    <x:row r="31" ht="75" customHeight="1">
      <x:c r="A31" s="19" t="str">
        <x:v>金沢駅西広場団体バス乗降場</x:v>
      </x:c>
      <x:c r="B31" s="19" t="str">
        <x:v>待审核</x:v>
      </x:c>
      <x:c r="C31" s="20" t="n">
        <x:v>0</x:v>
      </x:c>
      <x:c r="D31" s="18" t="str">
        <x:v>否</x:v>
      </x:c>
      <x:c r="E31" s="19"/>
      <x:c r="F31" s="20"/>
      <x:c r="G31" s="19" t="str">
        <x:v>USAGE_DATA_UNAVAILABLE</x:v>
      </x:c>
      <x:c r="H31" s="19"/>
      <x:c r="I31" s="18" t="str">
        <x:v>navitime:02022-10017305</x:v>
      </x:c>
      <x:c r="J31" s="19" t="str">
        <x:v>OFFICIAL_VALIDATION_REQUIRED</x:v>
      </x:c>
      <x:c r="K31" s="19" t="str">
        <x:v>待审核</x:v>
      </x:c>
      <x:c r="L31" s="19" t="str">
        <x:v>待审核</x:v>
      </x:c>
      <x:c r="M31" s="19" t="str">
        <x:v>官方对应与物理去重待审核</x:v>
      </x:c>
      <x:c r="N31" s="19" t="str">
        <x:v>OFFICIAL_IDENTITY_FACILITY
OFFICIAL_COORDINATES
PHYSICAL_FACILITY_DEDUP
CURRENT_OPERATOR_SERVICES
USAGE_OR_FUNCTIONAL_TIER_REVIEW</x:v>
      </x:c>
      <x:c r="O31" s="21"/>
      <x:c r="P31" s="21"/>
      <x:c r="Q31" s="19" t="str">
        <x:v>石川県金沢市広岡1丁目802</x:v>
      </x:c>
      <x:c r="R31" s="18" t="str">
        <x:v>navitime:02022-10017305</x:v>
      </x:c>
      <x:c r="S31" s="19" t="str">
        <x:v>https://www.navitime.co.jp/poi?spot=02022-10017305</x:v>
      </x:c>
      <x:c r="T31" s="19" t="str"/>
      <x:c r="U31" s="19" t="str"/>
      <x:c r="V31" s="19" t="str"/>
      <x:c r="W31" s="19"/>
      <x:c r="X31" s="18" t="str">
        <x:v>是</x:v>
      </x:c>
      <x:c r="Y31" s="18" t="str">
        <x:v>否</x:v>
      </x:c>
    </x:row>
    <x:row r="32" ht="75" customHeight="1">
      <x:c r="A32" s="19" t="str">
        <x:v>宗谷バス札幌営業所(千歳)</x:v>
      </x:c>
      <x:c r="B32" s="19" t="str">
        <x:v>待审核</x:v>
      </x:c>
      <x:c r="C32" s="20" t="n">
        <x:v>0</x:v>
      </x:c>
      <x:c r="D32" s="18" t="str">
        <x:v>否</x:v>
      </x:c>
      <x:c r="E32" s="19"/>
      <x:c r="F32" s="20"/>
      <x:c r="G32" s="19" t="str">
        <x:v>USAGE_DATA_UNAVAILABLE</x:v>
      </x:c>
      <x:c r="H32" s="19"/>
      <x:c r="I32" s="18" t="str">
        <x:v>navitime:02022-10018756</x:v>
      </x:c>
      <x:c r="J32" s="19" t="str">
        <x:v>OFFICIAL_VALIDATION_REQUIRED</x:v>
      </x:c>
      <x:c r="K32" s="19" t="str">
        <x:v>待审核</x:v>
      </x:c>
      <x:c r="L32" s="19" t="str">
        <x:v>待审核</x:v>
      </x:c>
      <x:c r="M32" s="19" t="str">
        <x:v>官方对应与物理去重待审核</x:v>
      </x:c>
      <x:c r="N32" s="19" t="str">
        <x:v>OFFICIAL_IDENTITY_FACILITY
OFFICIAL_COORDINATES
PHYSICAL_FACILITY_DEDUP
CURRENT_OPERATOR_SERVICES
USAGE_OR_FUNCTIONAL_TIER_REVIEW</x:v>
      </x:c>
      <x:c r="O32" s="21"/>
      <x:c r="P32" s="21"/>
      <x:c r="Q32" s="19" t="str">
        <x:v>北海道千歳市清流2-5-1</x:v>
      </x:c>
      <x:c r="R32" s="18" t="str">
        <x:v>navitime:02022-10018756</x:v>
      </x:c>
      <x:c r="S32" s="19" t="str">
        <x:v>https://www.navitime.co.jp/poi?spot=02022-10018756</x:v>
      </x:c>
      <x:c r="T32" s="19" t="str"/>
      <x:c r="U32" s="19" t="str"/>
      <x:c r="V32" s="19" t="str"/>
      <x:c r="W32" s="19"/>
      <x:c r="X32" s="18" t="str">
        <x:v>是</x:v>
      </x:c>
      <x:c r="Y32" s="18" t="str">
        <x:v>否</x:v>
      </x:c>
    </x:row>
    <x:row r="33" ht="75" customHeight="1">
      <x:c r="A33" s="19" t="str">
        <x:v>丸ノ内鍛冶橋駐車場 高速バス乗り場</x:v>
      </x:c>
      <x:c r="B33" s="19" t="str">
        <x:v>待审核</x:v>
      </x:c>
      <x:c r="C33" s="20" t="n">
        <x:v>0</x:v>
      </x:c>
      <x:c r="D33" s="18" t="str">
        <x:v>否</x:v>
      </x:c>
      <x:c r="E33" s="19"/>
      <x:c r="F33" s="20"/>
      <x:c r="G33" s="19" t="str">
        <x:v>USAGE_DATA_UNAVAILABLE</x:v>
      </x:c>
      <x:c r="H33" s="19"/>
      <x:c r="I33" s="18" t="str">
        <x:v>navitime:02022-10020825</x:v>
      </x:c>
      <x:c r="J33" s="19" t="str">
        <x:v>OFFICIAL_VALIDATION_REQUIRED</x:v>
      </x:c>
      <x:c r="K33" s="19" t="str">
        <x:v>待审核</x:v>
      </x:c>
      <x:c r="L33" s="19" t="str">
        <x:v>待审核</x:v>
      </x:c>
      <x:c r="M33" s="19" t="str">
        <x:v>官方对应与物理去重待审核</x:v>
      </x:c>
      <x:c r="N33" s="19" t="str">
        <x:v>OFFICIAL_IDENTITY_FACILITY
OFFICIAL_COORDINATES
PHYSICAL_FACILITY_DEDUP
CURRENT_OPERATOR_SERVICES
USAGE_OR_FUNCTIONAL_TIER_REVIEW</x:v>
      </x:c>
      <x:c r="O33" s="21"/>
      <x:c r="P33" s="21"/>
      <x:c r="Q33" s="19" t="str">
        <x:v>東京都千代田区丸ノ内3-8-2</x:v>
      </x:c>
      <x:c r="R33" s="18" t="str">
        <x:v>navitime:02022-10020825</x:v>
      </x:c>
      <x:c r="S33" s="19" t="str">
        <x:v>https://www.navitime.co.jp/poi?spot=02022-10020825</x:v>
      </x:c>
      <x:c r="T33" s="19" t="str"/>
      <x:c r="U33" s="19" t="str"/>
      <x:c r="V33" s="19" t="str"/>
      <x:c r="W33" s="19"/>
      <x:c r="X33" s="18" t="str">
        <x:v>是</x:v>
      </x:c>
      <x:c r="Y33" s="18" t="str">
        <x:v>否</x:v>
      </x:c>
    </x:row>
    <x:row r="34" ht="75" customHeight="1">
      <x:c r="A34" s="19" t="str">
        <x:v>大阪駅JR高速バスターミナル</x:v>
      </x:c>
      <x:c r="B34" s="19" t="str">
        <x:v>待审核</x:v>
      </x:c>
      <x:c r="C34" s="20" t="n">
        <x:v>0</x:v>
      </x:c>
      <x:c r="D34" s="18" t="str">
        <x:v>否</x:v>
      </x:c>
      <x:c r="E34" s="19"/>
      <x:c r="F34" s="20"/>
      <x:c r="G34" s="19" t="str">
        <x:v>USAGE_DATA_UNAVAILABLE</x:v>
      </x:c>
      <x:c r="H34" s="19"/>
      <x:c r="I34" s="18" t="str">
        <x:v>navitime:02022-10021186</x:v>
      </x:c>
      <x:c r="J34" s="19" t="str">
        <x:v>OFFICIAL_VALIDATION_REQUIRED</x:v>
      </x:c>
      <x:c r="K34" s="19" t="str">
        <x:v>待审核</x:v>
      </x:c>
      <x:c r="L34" s="19" t="str">
        <x:v>待审核</x:v>
      </x:c>
      <x:c r="M34" s="19" t="str">
        <x:v>官方对应与物理去重待审核</x:v>
      </x:c>
      <x:c r="N34" s="19" t="str">
        <x:v>OFFICIAL_IDENTITY_FACILITY
OFFICIAL_COORDINATES
PHYSICAL_FACILITY_DEDUP
CURRENT_OPERATOR_SERVICES
USAGE_OR_FUNCTIONAL_TIER_REVIEW</x:v>
      </x:c>
      <x:c r="O34" s="21"/>
      <x:c r="P34" s="21"/>
      <x:c r="Q34" s="19" t="str">
        <x:v>大阪府大阪市北区梅田3-1-3</x:v>
      </x:c>
      <x:c r="R34" s="18" t="str">
        <x:v>navitime:02022-10021186</x:v>
      </x:c>
      <x:c r="S34" s="19" t="str">
        <x:v>https://www.navitime.co.jp/poi?spot=02022-10021186</x:v>
      </x:c>
      <x:c r="T34" s="19" t="str"/>
      <x:c r="U34" s="19" t="str"/>
      <x:c r="V34" s="19" t="str"/>
      <x:c r="W34" s="19"/>
      <x:c r="X34" s="18" t="str">
        <x:v>是</x:v>
      </x:c>
      <x:c r="Y34" s="18" t="str">
        <x:v>否</x:v>
      </x:c>
    </x:row>
    <x:row r="35" ht="75" customHeight="1">
      <x:c r="A35" s="19" t="str">
        <x:v>【予約制】名古屋駅太閤通口 貸切バス乗車場 Aバース</x:v>
      </x:c>
      <x:c r="B35" s="19" t="str">
        <x:v>待审核</x:v>
      </x:c>
      <x:c r="C35" s="20" t="n">
        <x:v>0</x:v>
      </x:c>
      <x:c r="D35" s="18" t="str">
        <x:v>否</x:v>
      </x:c>
      <x:c r="E35" s="19"/>
      <x:c r="F35" s="20"/>
      <x:c r="G35" s="19" t="str">
        <x:v>USAGE_DATA_UNAVAILABLE</x:v>
      </x:c>
      <x:c r="H35" s="19"/>
      <x:c r="I35" s="18" t="str">
        <x:v>navitime:02022-10022117</x:v>
      </x:c>
      <x:c r="J35" s="19" t="str">
        <x:v>OFFICIAL_VALIDATION_REQUIRED</x:v>
      </x:c>
      <x:c r="K35" s="19" t="str">
        <x:v>待审核</x:v>
      </x:c>
      <x:c r="L35" s="19" t="str">
        <x:v>待审核</x:v>
      </x:c>
      <x:c r="M35" s="19" t="str">
        <x:v>官方对应与物理去重待审核</x:v>
      </x:c>
      <x:c r="N35" s="19" t="str">
        <x:v>OFFICIAL_IDENTITY_FACILITY
OFFICIAL_COORDINATES
PHYSICAL_FACILITY_DEDUP
CURRENT_OPERATOR_SERVICES
USAGE_OR_FUNCTIONAL_TIER_REVIEW</x:v>
      </x:c>
      <x:c r="O35" s="21"/>
      <x:c r="P35" s="21"/>
      <x:c r="Q35" s="19" t="str">
        <x:v>愛知県名古屋市中村区椿町7</x:v>
      </x:c>
      <x:c r="R35" s="18" t="str">
        <x:v>navitime:02022-10022117</x:v>
      </x:c>
      <x:c r="S35" s="19" t="str">
        <x:v>https://www.navitime.co.jp/poi?spot=02022-10022117</x:v>
      </x:c>
      <x:c r="T35" s="19" t="str"/>
      <x:c r="U35" s="19" t="str"/>
      <x:c r="V35" s="19" t="str"/>
      <x:c r="W35" s="19"/>
      <x:c r="X35" s="18" t="str">
        <x:v>是</x:v>
      </x:c>
      <x:c r="Y35" s="18" t="str">
        <x:v>否</x:v>
      </x:c>
    </x:row>
    <x:row r="36" ht="75" customHeight="1">
      <x:c r="A36" s="19" t="str">
        <x:v>【予約制】名古屋駅太閤通口 貸切バス乗車場 Bバース</x:v>
      </x:c>
      <x:c r="B36" s="19" t="str">
        <x:v>待审核</x:v>
      </x:c>
      <x:c r="C36" s="20" t="n">
        <x:v>0</x:v>
      </x:c>
      <x:c r="D36" s="18" t="str">
        <x:v>否</x:v>
      </x:c>
      <x:c r="E36" s="19"/>
      <x:c r="F36" s="20"/>
      <x:c r="G36" s="19" t="str">
        <x:v>USAGE_DATA_UNAVAILABLE</x:v>
      </x:c>
      <x:c r="H36" s="19"/>
      <x:c r="I36" s="18" t="str">
        <x:v>navitime:02022-10022118</x:v>
      </x:c>
      <x:c r="J36" s="19" t="str">
        <x:v>OFFICIAL_VALIDATION_REQUIRED</x:v>
      </x:c>
      <x:c r="K36" s="19" t="str">
        <x:v>待审核</x:v>
      </x:c>
      <x:c r="L36" s="19" t="str">
        <x:v>待审核</x:v>
      </x:c>
      <x:c r="M36" s="19" t="str">
        <x:v>官方对应与物理去重待审核</x:v>
      </x:c>
      <x:c r="N36" s="19" t="str">
        <x:v>OFFICIAL_IDENTITY_FACILITY
OFFICIAL_COORDINATES
PHYSICAL_FACILITY_DEDUP
CURRENT_OPERATOR_SERVICES
USAGE_OR_FUNCTIONAL_TIER_REVIEW</x:v>
      </x:c>
      <x:c r="O36" s="21"/>
      <x:c r="P36" s="21"/>
      <x:c r="Q36" s="19" t="str">
        <x:v>愛知県名古屋市中村区名駅1丁目1</x:v>
      </x:c>
      <x:c r="R36" s="18" t="str">
        <x:v>navitime:02022-10022118</x:v>
      </x:c>
      <x:c r="S36" s="19" t="str">
        <x:v>https://www.navitime.co.jp/poi?spot=02022-10022118</x:v>
      </x:c>
      <x:c r="T36" s="19" t="str"/>
      <x:c r="U36" s="19" t="str"/>
      <x:c r="V36" s="19" t="str"/>
      <x:c r="W36" s="19"/>
      <x:c r="X36" s="18" t="str">
        <x:v>是</x:v>
      </x:c>
      <x:c r="Y36" s="18" t="str">
        <x:v>否</x:v>
      </x:c>
    </x:row>
    <x:row r="37" ht="75" customHeight="1">
      <x:c r="A37" s="19" t="str">
        <x:v>大阪市 日本橋観光バス乗降スペース</x:v>
      </x:c>
      <x:c r="B37" s="19" t="str">
        <x:v>待审核</x:v>
      </x:c>
      <x:c r="C37" s="20" t="n">
        <x:v>0</x:v>
      </x:c>
      <x:c r="D37" s="18" t="str">
        <x:v>否</x:v>
      </x:c>
      <x:c r="E37" s="19"/>
      <x:c r="F37" s="20"/>
      <x:c r="G37" s="19" t="str">
        <x:v>USAGE_DATA_UNAVAILABLE</x:v>
      </x:c>
      <x:c r="H37" s="19"/>
      <x:c r="I37" s="18" t="str">
        <x:v>navitime:02022-10022119</x:v>
      </x:c>
      <x:c r="J37" s="19" t="str">
        <x:v>OFFICIAL_VALIDATION_REQUIRED</x:v>
      </x:c>
      <x:c r="K37" s="19" t="str">
        <x:v>待审核</x:v>
      </x:c>
      <x:c r="L37" s="19" t="str">
        <x:v>待审核</x:v>
      </x:c>
      <x:c r="M37" s="19" t="str">
        <x:v>官方对应与物理去重待审核</x:v>
      </x:c>
      <x:c r="N37" s="19" t="str">
        <x:v>OFFICIAL_IDENTITY_FACILITY
OFFICIAL_COORDINATES
PHYSICAL_FACILITY_DEDUP
CURRENT_OPERATOR_SERVICES
USAGE_OR_FUNCTIONAL_TIER_REVIEW</x:v>
      </x:c>
      <x:c r="O37" s="21"/>
      <x:c r="P37" s="21"/>
      <x:c r="Q37" s="19" t="str">
        <x:v>大阪府大阪市中央区道頓堀1丁目1</x:v>
      </x:c>
      <x:c r="R37" s="18" t="str">
        <x:v>navitime:02022-10022119</x:v>
      </x:c>
      <x:c r="S37" s="19" t="str">
        <x:v>https://www.navitime.co.jp/poi?spot=02022-10022119</x:v>
      </x:c>
      <x:c r="T37" s="19" t="str"/>
      <x:c r="U37" s="19" t="str"/>
      <x:c r="V37" s="19" t="str"/>
      <x:c r="W37" s="19"/>
      <x:c r="X37" s="18" t="str">
        <x:v>是</x:v>
      </x:c>
      <x:c r="Y37" s="18" t="str">
        <x:v>否</x:v>
      </x:c>
    </x:row>
    <x:row r="38" ht="75" customHeight="1">
      <x:c r="A38" s="19" t="str">
        <x:v>東京ディズニーランド・バスターミナル・イースト</x:v>
      </x:c>
      <x:c r="B38" s="19" t="str">
        <x:v>待审核</x:v>
      </x:c>
      <x:c r="C38" s="20" t="n">
        <x:v>0</x:v>
      </x:c>
      <x:c r="D38" s="18" t="str">
        <x:v>否</x:v>
      </x:c>
      <x:c r="E38" s="19"/>
      <x:c r="F38" s="20"/>
      <x:c r="G38" s="19" t="str">
        <x:v>USAGE_DATA_UNAVAILABLE</x:v>
      </x:c>
      <x:c r="H38" s="19"/>
      <x:c r="I38" s="18" t="str">
        <x:v>navitime:02022-10022976</x:v>
      </x:c>
      <x:c r="J38" s="19" t="str">
        <x:v>OFFICIAL_VALIDATION_REQUIRED</x:v>
      </x:c>
      <x:c r="K38" s="19" t="str">
        <x:v>待审核</x:v>
      </x:c>
      <x:c r="L38" s="19" t="str">
        <x:v>待审核</x:v>
      </x:c>
      <x:c r="M38" s="19" t="str">
        <x:v>官方对应与物理去重待审核</x:v>
      </x:c>
      <x:c r="N38" s="19" t="str">
        <x:v>OFFICIAL_IDENTITY_FACILITY
OFFICIAL_COORDINATES
PHYSICAL_FACILITY_DEDUP
CURRENT_OPERATOR_SERVICES
USAGE_OR_FUNCTIONAL_TIER_REVIEW</x:v>
      </x:c>
      <x:c r="O38" s="21"/>
      <x:c r="P38" s="21"/>
      <x:c r="Q38" s="19" t="str">
        <x:v>千葉県浦安市舞浜</x:v>
      </x:c>
      <x:c r="R38" s="18" t="str">
        <x:v>navitime:02022-10022976</x:v>
      </x:c>
      <x:c r="S38" s="19" t="str">
        <x:v>https://www.navitime.co.jp/poi?spot=02022-10022976</x:v>
      </x:c>
      <x:c r="T38" s="19" t="str"/>
      <x:c r="U38" s="19" t="str"/>
      <x:c r="V38" s="19" t="str"/>
      <x:c r="W38" s="19"/>
      <x:c r="X38" s="18" t="str">
        <x:v>是</x:v>
      </x:c>
      <x:c r="Y38" s="18" t="str">
        <x:v>否</x:v>
      </x:c>
    </x:row>
    <x:row r="39" ht="75" customHeight="1">
      <x:c r="A39" s="19" t="str">
        <x:v>東京ディズニーランド・バスターミナル・ウエスト</x:v>
      </x:c>
      <x:c r="B39" s="19" t="str">
        <x:v>待审核</x:v>
      </x:c>
      <x:c r="C39" s="20" t="n">
        <x:v>0</x:v>
      </x:c>
      <x:c r="D39" s="18" t="str">
        <x:v>否</x:v>
      </x:c>
      <x:c r="E39" s="19"/>
      <x:c r="F39" s="20"/>
      <x:c r="G39" s="19" t="str">
        <x:v>USAGE_DATA_UNAVAILABLE</x:v>
      </x:c>
      <x:c r="H39" s="19"/>
      <x:c r="I39" s="18" t="str">
        <x:v>navitime:02022-10022977</x:v>
      </x:c>
      <x:c r="J39" s="19" t="str">
        <x:v>OFFICIAL_VALIDATION_REQUIRED</x:v>
      </x:c>
      <x:c r="K39" s="19" t="str">
        <x:v>待审核</x:v>
      </x:c>
      <x:c r="L39" s="19" t="str">
        <x:v>待审核</x:v>
      </x:c>
      <x:c r="M39" s="19" t="str">
        <x:v>官方对应与物理去重待审核</x:v>
      </x:c>
      <x:c r="N39" s="19" t="str">
        <x:v>OFFICIAL_IDENTITY_FACILITY
OFFICIAL_COORDINATES
PHYSICAL_FACILITY_DEDUP
CURRENT_OPERATOR_SERVICES
USAGE_OR_FUNCTIONAL_TIER_REVIEW</x:v>
      </x:c>
      <x:c r="O39" s="21"/>
      <x:c r="P39" s="21"/>
      <x:c r="Q39" s="19" t="str">
        <x:v>千葉県浦安市舞浜</x:v>
      </x:c>
      <x:c r="R39" s="18" t="str">
        <x:v>navitime:02022-10022977</x:v>
      </x:c>
      <x:c r="S39" s="19" t="str">
        <x:v>https://www.navitime.co.jp/poi?spot=02022-10022977</x:v>
      </x:c>
      <x:c r="T39" s="19" t="str"/>
      <x:c r="U39" s="19" t="str"/>
      <x:c r="V39" s="19" t="str"/>
      <x:c r="W39" s="19"/>
      <x:c r="X39" s="18" t="str">
        <x:v>是</x:v>
      </x:c>
      <x:c r="Y39" s="18" t="str">
        <x:v>否</x:v>
      </x:c>
    </x:row>
    <x:row r="40" ht="75" customHeight="1">
      <x:c r="A40" s="19" t="str">
        <x:v>東京ディズニーランド・バスターミナル・サウス</x:v>
      </x:c>
      <x:c r="B40" s="19" t="str">
        <x:v>待审核</x:v>
      </x:c>
      <x:c r="C40" s="20" t="n">
        <x:v>0</x:v>
      </x:c>
      <x:c r="D40" s="18" t="str">
        <x:v>否</x:v>
      </x:c>
      <x:c r="E40" s="19"/>
      <x:c r="F40" s="20"/>
      <x:c r="G40" s="19" t="str">
        <x:v>USAGE_DATA_UNAVAILABLE</x:v>
      </x:c>
      <x:c r="H40" s="19"/>
      <x:c r="I40" s="18" t="str">
        <x:v>navitime:02022-10022978</x:v>
      </x:c>
      <x:c r="J40" s="19" t="str">
        <x:v>OFFICIAL_VALIDATION_REQUIRED</x:v>
      </x:c>
      <x:c r="K40" s="19" t="str">
        <x:v>待审核</x:v>
      </x:c>
      <x:c r="L40" s="19" t="str">
        <x:v>待审核</x:v>
      </x:c>
      <x:c r="M40" s="19" t="str">
        <x:v>官方对应与物理去重待审核</x:v>
      </x:c>
      <x:c r="N40" s="19" t="str">
        <x:v>OFFICIAL_IDENTITY_FACILITY
OFFICIAL_COORDINATES
PHYSICAL_FACILITY_DEDUP
CURRENT_OPERATOR_SERVICES
USAGE_OR_FUNCTIONAL_TIER_REVIEW</x:v>
      </x:c>
      <x:c r="O40" s="21"/>
      <x:c r="P40" s="21"/>
      <x:c r="Q40" s="19" t="str">
        <x:v>千葉県浦安市舞浜</x:v>
      </x:c>
      <x:c r="R40" s="18" t="str">
        <x:v>navitime:02022-10022978</x:v>
      </x:c>
      <x:c r="S40" s="19" t="str">
        <x:v>https://www.navitime.co.jp/poi?spot=02022-10022978</x:v>
      </x:c>
      <x:c r="T40" s="19" t="str"/>
      <x:c r="U40" s="19" t="str"/>
      <x:c r="V40" s="19" t="str"/>
      <x:c r="W40" s="19"/>
      <x:c r="X40" s="18" t="str">
        <x:v>是</x:v>
      </x:c>
      <x:c r="Y40" s="18" t="str">
        <x:v>否</x:v>
      </x:c>
    </x:row>
    <x:row r="41" ht="75" customHeight="1">
      <x:c r="A41" s="19" t="str">
        <x:v>東京ディズニーランド・バスターミナル・ノース</x:v>
      </x:c>
      <x:c r="B41" s="19" t="str">
        <x:v>待审核</x:v>
      </x:c>
      <x:c r="C41" s="20" t="n">
        <x:v>0</x:v>
      </x:c>
      <x:c r="D41" s="18" t="str">
        <x:v>否</x:v>
      </x:c>
      <x:c r="E41" s="19"/>
      <x:c r="F41" s="20"/>
      <x:c r="G41" s="19" t="str">
        <x:v>USAGE_DATA_UNAVAILABLE</x:v>
      </x:c>
      <x:c r="H41" s="19"/>
      <x:c r="I41" s="18" t="str">
        <x:v>navitime:02022-10022979</x:v>
      </x:c>
      <x:c r="J41" s="19" t="str">
        <x:v>OFFICIAL_VALIDATION_REQUIRED</x:v>
      </x:c>
      <x:c r="K41" s="19" t="str">
        <x:v>待审核</x:v>
      </x:c>
      <x:c r="L41" s="19" t="str">
        <x:v>待审核</x:v>
      </x:c>
      <x:c r="M41" s="19" t="str">
        <x:v>官方对应与物理去重待审核</x:v>
      </x:c>
      <x:c r="N41" s="19" t="str">
        <x:v>OFFICIAL_IDENTITY_FACILITY
OFFICIAL_COORDINATES
PHYSICAL_FACILITY_DEDUP
CURRENT_OPERATOR_SERVICES
USAGE_OR_FUNCTIONAL_TIER_REVIEW</x:v>
      </x:c>
      <x:c r="O41" s="21"/>
      <x:c r="P41" s="21"/>
      <x:c r="Q41" s="19" t="str">
        <x:v>千葉県浦安市舞浜</x:v>
      </x:c>
      <x:c r="R41" s="18" t="str">
        <x:v>navitime:02022-10022979</x:v>
      </x:c>
      <x:c r="S41" s="19" t="str">
        <x:v>https://www.navitime.co.jp/poi?spot=02022-10022979</x:v>
      </x:c>
      <x:c r="T41" s="19" t="str"/>
      <x:c r="U41" s="19" t="str"/>
      <x:c r="V41" s="19" t="str"/>
      <x:c r="W41" s="19"/>
      <x:c r="X41" s="18" t="str">
        <x:v>是</x:v>
      </x:c>
      <x:c r="Y41" s="18" t="str">
        <x:v>否</x:v>
      </x:c>
    </x:row>
    <x:row r="42" ht="75" customHeight="1">
      <x:c r="A42" s="19" t="str">
        <x:v>横浜駅西口貸切バス乗降場</x:v>
      </x:c>
      <x:c r="B42" s="19" t="str">
        <x:v>待审核</x:v>
      </x:c>
      <x:c r="C42" s="20" t="n">
        <x:v>0</x:v>
      </x:c>
      <x:c r="D42" s="18" t="str">
        <x:v>否</x:v>
      </x:c>
      <x:c r="E42" s="19"/>
      <x:c r="F42" s="20"/>
      <x:c r="G42" s="19" t="str">
        <x:v>USAGE_DATA_UNAVAILABLE</x:v>
      </x:c>
      <x:c r="H42" s="19"/>
      <x:c r="I42" s="18" t="str">
        <x:v>navitime:02022-10022980</x:v>
      </x:c>
      <x:c r="J42" s="19" t="str">
        <x:v>OFFICIAL_VALIDATION_REQUIRED</x:v>
      </x:c>
      <x:c r="K42" s="19" t="str">
        <x:v>待审核</x:v>
      </x:c>
      <x:c r="L42" s="19" t="str">
        <x:v>待审核</x:v>
      </x:c>
      <x:c r="M42" s="19" t="str">
        <x:v>官方对应与物理去重待审核</x:v>
      </x:c>
      <x:c r="N42" s="19" t="str">
        <x:v>OFFICIAL_IDENTITY_FACILITY
OFFICIAL_COORDINATES
PHYSICAL_FACILITY_DEDUP
CURRENT_OPERATOR_SERVICES
USAGE_OR_FUNCTIONAL_TIER_REVIEW</x:v>
      </x:c>
      <x:c r="O42" s="21"/>
      <x:c r="P42" s="21"/>
      <x:c r="Q42" s="19" t="str">
        <x:v>神奈川県横浜市西区北幸1-5</x:v>
      </x:c>
      <x:c r="R42" s="18" t="str">
        <x:v>navitime:02022-10022980</x:v>
      </x:c>
      <x:c r="S42" s="19" t="str">
        <x:v>https://www.navitime.co.jp/poi?spot=02022-10022980</x:v>
      </x:c>
      <x:c r="T42" s="19" t="str"/>
      <x:c r="U42" s="19" t="str"/>
      <x:c r="V42" s="19" t="str"/>
      <x:c r="W42" s="19"/>
      <x:c r="X42" s="18" t="str">
        <x:v>是</x:v>
      </x:c>
      <x:c r="Y42" s="18" t="str">
        <x:v>否</x:v>
      </x:c>
    </x:row>
    <x:row r="43" ht="75" customHeight="1">
      <x:c r="A43" s="19" t="str">
        <x:v>横浜駅東口スカイビル(YCAT)前停留所</x:v>
      </x:c>
      <x:c r="B43" s="19" t="str">
        <x:v>待审核</x:v>
      </x:c>
      <x:c r="C43" s="20" t="n">
        <x:v>0</x:v>
      </x:c>
      <x:c r="D43" s="18" t="str">
        <x:v>否</x:v>
      </x:c>
      <x:c r="E43" s="19"/>
      <x:c r="F43" s="20"/>
      <x:c r="G43" s="19" t="str">
        <x:v>USAGE_DATA_UNAVAILABLE</x:v>
      </x:c>
      <x:c r="H43" s="19"/>
      <x:c r="I43" s="18" t="str">
        <x:v>navitime:02022-10022982</x:v>
      </x:c>
      <x:c r="J43" s="19" t="str">
        <x:v>OFFICIAL_VALIDATION_REQUIRED</x:v>
      </x:c>
      <x:c r="K43" s="19" t="str">
        <x:v>待审核</x:v>
      </x:c>
      <x:c r="L43" s="19" t="str">
        <x:v>待审核</x:v>
      </x:c>
      <x:c r="M43" s="19" t="str">
        <x:v>官方对应与物理去重待审核</x:v>
      </x:c>
      <x:c r="N43" s="19" t="str">
        <x:v>OFFICIAL_IDENTITY_FACILITY
OFFICIAL_COORDINATES
PHYSICAL_FACILITY_DEDUP
CURRENT_OPERATOR_SERVICES
USAGE_OR_FUNCTIONAL_TIER_REVIEW</x:v>
      </x:c>
      <x:c r="O43" s="21"/>
      <x:c r="P43" s="21"/>
      <x:c r="Q43" s="19" t="str">
        <x:v>神奈川県横浜市西区高島2-19</x:v>
      </x:c>
      <x:c r="R43" s="18" t="str">
        <x:v>navitime:02022-10022982</x:v>
      </x:c>
      <x:c r="S43" s="19" t="str">
        <x:v>https://www.navitime.co.jp/poi?spot=02022-10022982</x:v>
      </x:c>
      <x:c r="T43" s="19" t="str"/>
      <x:c r="U43" s="19" t="str"/>
      <x:c r="V43" s="19" t="str"/>
      <x:c r="W43" s="19"/>
      <x:c r="X43" s="18" t="str">
        <x:v>是</x:v>
      </x:c>
      <x:c r="Y43" s="18" t="str">
        <x:v>否</x:v>
      </x:c>
    </x:row>
    <x:row r="44" ht="75" customHeight="1">
      <x:c r="A44" s="19" t="str">
        <x:v>広島駅新幹線口広場バス乗降場(広島駅バスバース)</x:v>
      </x:c>
      <x:c r="B44" s="19" t="str">
        <x:v>待审核</x:v>
      </x:c>
      <x:c r="C44" s="20" t="n">
        <x:v>0</x:v>
      </x:c>
      <x:c r="D44" s="18" t="str">
        <x:v>否</x:v>
      </x:c>
      <x:c r="E44" s="19"/>
      <x:c r="F44" s="20"/>
      <x:c r="G44" s="19" t="str">
        <x:v>USAGE_DATA_UNAVAILABLE</x:v>
      </x:c>
      <x:c r="H44" s="19"/>
      <x:c r="I44" s="18" t="str">
        <x:v>navitime:02022-10022983</x:v>
      </x:c>
      <x:c r="J44" s="19" t="str">
        <x:v>OFFICIAL_VALIDATION_REQUIRED</x:v>
      </x:c>
      <x:c r="K44" s="19" t="str">
        <x:v>待审核</x:v>
      </x:c>
      <x:c r="L44" s="19" t="str">
        <x:v>待审核</x:v>
      </x:c>
      <x:c r="M44" s="19" t="str">
        <x:v>官方对应与物理去重待审核</x:v>
      </x:c>
      <x:c r="N44" s="19" t="str">
        <x:v>OFFICIAL_IDENTITY_FACILITY
OFFICIAL_COORDINATES
PHYSICAL_FACILITY_DEDUP
CURRENT_OPERATOR_SERVICES
USAGE_OR_FUNCTIONAL_TIER_REVIEW</x:v>
      </x:c>
      <x:c r="O44" s="21"/>
      <x:c r="P44" s="21"/>
      <x:c r="Q44" s="19" t="str">
        <x:v>広島県広島市南区松原町1</x:v>
      </x:c>
      <x:c r="R44" s="18" t="str">
        <x:v>navitime:02022-10022983</x:v>
      </x:c>
      <x:c r="S44" s="19" t="str">
        <x:v>https://www.navitime.co.jp/poi?spot=02022-10022983</x:v>
      </x:c>
      <x:c r="T44" s="19" t="str"/>
      <x:c r="U44" s="19" t="str"/>
      <x:c r="V44" s="19" t="str"/>
      <x:c r="W44" s="19"/>
      <x:c r="X44" s="18" t="str">
        <x:v>是</x:v>
      </x:c>
      <x:c r="Y44" s="18" t="str">
        <x:v>否</x:v>
      </x:c>
    </x:row>
    <x:row r="45" ht="75" customHeight="1">
      <x:c r="A45" s="19" t="str">
        <x:v>岡山駅西口貸切バスバース</x:v>
      </x:c>
      <x:c r="B45" s="19" t="str">
        <x:v>待审核</x:v>
      </x:c>
      <x:c r="C45" s="20" t="n">
        <x:v>0</x:v>
      </x:c>
      <x:c r="D45" s="18" t="str">
        <x:v>否</x:v>
      </x:c>
      <x:c r="E45" s="19"/>
      <x:c r="F45" s="20"/>
      <x:c r="G45" s="19" t="str">
        <x:v>USAGE_DATA_UNAVAILABLE</x:v>
      </x:c>
      <x:c r="H45" s="19"/>
      <x:c r="I45" s="18" t="str">
        <x:v>navitime:02022-10022984</x:v>
      </x:c>
      <x:c r="J45" s="19" t="str">
        <x:v>OFFICIAL_VALIDATION_REQUIRED</x:v>
      </x:c>
      <x:c r="K45" s="19" t="str">
        <x:v>待审核</x:v>
      </x:c>
      <x:c r="L45" s="19" t="str">
        <x:v>待审核</x:v>
      </x:c>
      <x:c r="M45" s="19" t="str">
        <x:v>官方对应与物理去重待审核</x:v>
      </x:c>
      <x:c r="N45" s="19" t="str">
        <x:v>OFFICIAL_IDENTITY_FACILITY
OFFICIAL_COORDINATES
PHYSICAL_FACILITY_DEDUP
CURRENT_OPERATOR_SERVICES
USAGE_OR_FUNCTIONAL_TIER_REVIEW</x:v>
      </x:c>
      <x:c r="O45" s="21"/>
      <x:c r="P45" s="21"/>
      <x:c r="Q45" s="19" t="str">
        <x:v>岡山県岡山市北区駅元町</x:v>
      </x:c>
      <x:c r="R45" s="18" t="str">
        <x:v>navitime:02022-10022984</x:v>
      </x:c>
      <x:c r="S45" s="19" t="str">
        <x:v>https://www.navitime.co.jp/poi?spot=02022-10022984</x:v>
      </x:c>
      <x:c r="T45" s="19" t="str"/>
      <x:c r="U45" s="19" t="str"/>
      <x:c r="V45" s="19" t="str"/>
      <x:c r="W45" s="19"/>
      <x:c r="X45" s="18" t="str">
        <x:v>是</x:v>
      </x:c>
      <x:c r="Y45" s="18" t="str">
        <x:v>否</x:v>
      </x:c>
    </x:row>
    <x:row r="46" ht="75" customHeight="1">
      <x:c r="A46" s="19" t="str">
        <x:v>札幌駅北口駅前広場バスバース</x:v>
      </x:c>
      <x:c r="B46" s="19" t="str">
        <x:v>待审核</x:v>
      </x:c>
      <x:c r="C46" s="20" t="n">
        <x:v>0</x:v>
      </x:c>
      <x:c r="D46" s="18" t="str">
        <x:v>否</x:v>
      </x:c>
      <x:c r="E46" s="19"/>
      <x:c r="F46" s="20"/>
      <x:c r="G46" s="19" t="str">
        <x:v>USAGE_DATA_UNAVAILABLE</x:v>
      </x:c>
      <x:c r="H46" s="19"/>
      <x:c r="I46" s="18" t="str">
        <x:v>navitime:02022-10023414</x:v>
      </x:c>
      <x:c r="J46" s="19" t="str">
        <x:v>OFFICIAL_VALIDATION_REQUIRED</x:v>
      </x:c>
      <x:c r="K46" s="19" t="str">
        <x:v>待审核</x:v>
      </x:c>
      <x:c r="L46" s="19" t="str">
        <x:v>待审核</x:v>
      </x:c>
      <x:c r="M46" s="19" t="str">
        <x:v>官方对应与物理去重待审核</x:v>
      </x:c>
      <x:c r="N46" s="19" t="str">
        <x:v>OFFICIAL_IDENTITY_FACILITY
OFFICIAL_COORDINATES
PHYSICAL_FACILITY_DEDUP
CURRENT_OPERATOR_SERVICES
USAGE_OR_FUNCTIONAL_TIER_REVIEW</x:v>
      </x:c>
      <x:c r="O46" s="21"/>
      <x:c r="P46" s="21"/>
      <x:c r="Q46" s="19" t="str">
        <x:v>北海道札幌市北区北7条西3丁目</x:v>
      </x:c>
      <x:c r="R46" s="18" t="str">
        <x:v>navitime:02022-10023414</x:v>
      </x:c>
      <x:c r="S46" s="19" t="str">
        <x:v>https://www.navitime.co.jp/poi?spot=02022-10023414</x:v>
      </x:c>
      <x:c r="T46" s="19" t="str"/>
      <x:c r="U46" s="19" t="str"/>
      <x:c r="V46" s="19" t="str"/>
      <x:c r="W46" s="19"/>
      <x:c r="X46" s="18" t="str">
        <x:v>是</x:v>
      </x:c>
      <x:c r="Y46" s="18" t="str">
        <x:v>否</x:v>
      </x:c>
    </x:row>
    <x:row r="47" ht="75" customHeight="1">
      <x:c r="A47" s="19" t="str">
        <x:v>渋谷マークシティ高速バス乗り場</x:v>
      </x:c>
      <x:c r="B47" s="19" t="str">
        <x:v>待审核</x:v>
      </x:c>
      <x:c r="C47" s="20" t="n">
        <x:v>0</x:v>
      </x:c>
      <x:c r="D47" s="18" t="str">
        <x:v>否</x:v>
      </x:c>
      <x:c r="E47" s="19"/>
      <x:c r="F47" s="20"/>
      <x:c r="G47" s="19" t="str">
        <x:v>USAGE_DATA_UNAVAILABLE</x:v>
      </x:c>
      <x:c r="H47" s="19"/>
      <x:c r="I47" s="18" t="str">
        <x:v>navitime:02022-10035000</x:v>
      </x:c>
      <x:c r="J47" s="19" t="str">
        <x:v>OFFICIAL_VALIDATION_REQUIRED</x:v>
      </x:c>
      <x:c r="K47" s="19" t="str">
        <x:v>待审核</x:v>
      </x:c>
      <x:c r="L47" s="19" t="str">
        <x:v>待审核</x:v>
      </x:c>
      <x:c r="M47" s="19" t="str">
        <x:v>官方对应与物理去重待审核</x:v>
      </x:c>
      <x:c r="N47" s="19" t="str">
        <x:v>OFFICIAL_IDENTITY_FACILITY
OFFICIAL_COORDINATES
PHYSICAL_FACILITY_DEDUP
CURRENT_OPERATOR_SERVICES
USAGE_OR_FUNCTIONAL_TIER_REVIEW</x:v>
      </x:c>
      <x:c r="O47" s="21"/>
      <x:c r="P47" s="21"/>
      <x:c r="Q47" s="19" t="str">
        <x:v>東京都渋谷区道玄坂2丁目7-3</x:v>
      </x:c>
      <x:c r="R47" s="18" t="str">
        <x:v>navitime:02022-10035000</x:v>
      </x:c>
      <x:c r="S47" s="19" t="str">
        <x:v>https://www.navitime.co.jp/poi?spot=02022-10035000</x:v>
      </x:c>
      <x:c r="T47" s="19" t="str"/>
      <x:c r="U47" s="19" t="str"/>
      <x:c r="V47" s="19" t="str"/>
      <x:c r="W47" s="19"/>
      <x:c r="X47" s="18" t="str">
        <x:v>是</x:v>
      </x:c>
      <x:c r="Y47" s="18" t="str">
        <x:v>否</x:v>
      </x:c>
    </x:row>
    <x:row r="48" ht="75" customHeight="1">
      <x:c r="A48" s="19" t="str">
        <x:v>町田バスセンター</x:v>
      </x:c>
      <x:c r="B48" s="19" t="str">
        <x:v>待审核</x:v>
      </x:c>
      <x:c r="C48" s="20" t="n">
        <x:v>0</x:v>
      </x:c>
      <x:c r="D48" s="18" t="str">
        <x:v>否</x:v>
      </x:c>
      <x:c r="E48" s="19"/>
      <x:c r="F48" s="20"/>
      <x:c r="G48" s="19" t="str">
        <x:v>USAGE_DATA_UNAVAILABLE</x:v>
      </x:c>
      <x:c r="H48" s="19"/>
      <x:c r="I48" s="18" t="str">
        <x:v>navitime:02022-10035001</x:v>
      </x:c>
      <x:c r="J48" s="19" t="str">
        <x:v>OFFICIAL_VALIDATION_REQUIRED</x:v>
      </x:c>
      <x:c r="K48" s="19" t="str">
        <x:v>待审核</x:v>
      </x:c>
      <x:c r="L48" s="19" t="str">
        <x:v>待审核</x:v>
      </x:c>
      <x:c r="M48" s="19" t="str">
        <x:v>官方对应与物理去重待审核</x:v>
      </x:c>
      <x:c r="N48" s="19" t="str">
        <x:v>OFFICIAL_IDENTITY_FACILITY
OFFICIAL_COORDINATES
PHYSICAL_FACILITY_DEDUP
CURRENT_OPERATOR_SERVICES
USAGE_OR_FUNCTIONAL_TIER_REVIEW</x:v>
      </x:c>
      <x:c r="O48" s="21"/>
      <x:c r="P48" s="21"/>
      <x:c r="Q48" s="19" t="str">
        <x:v>東京都町田市森野1丁目15</x:v>
      </x:c>
      <x:c r="R48" s="18" t="str">
        <x:v>navitime:02022-10035001</x:v>
      </x:c>
      <x:c r="S48" s="19" t="str">
        <x:v>https://www.navitime.co.jp/poi?spot=02022-10035001</x:v>
      </x:c>
      <x:c r="T48" s="19" t="str"/>
      <x:c r="U48" s="19" t="str"/>
      <x:c r="V48" s="19" t="str"/>
      <x:c r="W48" s="19"/>
      <x:c r="X48" s="18" t="str">
        <x:v>是</x:v>
      </x:c>
      <x:c r="Y48" s="18" t="str">
        <x:v>否</x:v>
      </x:c>
    </x:row>
    <x:row r="49" ht="75" customHeight="1">
      <x:c r="A49" s="19" t="str">
        <x:v>バスステーション広島駅北口</x:v>
      </x:c>
      <x:c r="B49" s="19" t="str">
        <x:v>待审核</x:v>
      </x:c>
      <x:c r="C49" s="20" t="n">
        <x:v>0</x:v>
      </x:c>
      <x:c r="D49" s="18" t="str">
        <x:v>否</x:v>
      </x:c>
      <x:c r="E49" s="19"/>
      <x:c r="F49" s="20"/>
      <x:c r="G49" s="19" t="str">
        <x:v>USAGE_DATA_UNAVAILABLE</x:v>
      </x:c>
      <x:c r="H49" s="19"/>
      <x:c r="I49" s="18" t="str">
        <x:v>navitime:02022-10035006</x:v>
      </x:c>
      <x:c r="J49" s="19" t="str">
        <x:v>OFFICIAL_VALIDATION_REQUIRED</x:v>
      </x:c>
      <x:c r="K49" s="19" t="str">
        <x:v>待审核</x:v>
      </x:c>
      <x:c r="L49" s="19" t="str">
        <x:v>待审核</x:v>
      </x:c>
      <x:c r="M49" s="19" t="str">
        <x:v>官方对应与物理去重待审核</x:v>
      </x:c>
      <x:c r="N49" s="19" t="str">
        <x:v>OFFICIAL_IDENTITY_FACILITY
OFFICIAL_COORDINATES
PHYSICAL_FACILITY_DEDUP
CURRENT_OPERATOR_SERVICES
USAGE_OR_FUNCTIONAL_TIER_REVIEW</x:v>
      </x:c>
      <x:c r="O49" s="21"/>
      <x:c r="P49" s="21"/>
      <x:c r="Q49" s="19" t="str">
        <x:v>広島県広島市東区二葉の里3丁目5-7 GRANODE広島 1階</x:v>
      </x:c>
      <x:c r="R49" s="18" t="str">
        <x:v>navitime:02022-10035006</x:v>
      </x:c>
      <x:c r="S49" s="19" t="str">
        <x:v>https://www.navitime.co.jp/poi?spot=02022-10035006</x:v>
      </x:c>
      <x:c r="T49" s="19" t="str"/>
      <x:c r="U49" s="19" t="str"/>
      <x:c r="V49" s="19" t="str"/>
      <x:c r="W49" s="19"/>
      <x:c r="X49" s="18" t="str">
        <x:v>是</x:v>
      </x:c>
      <x:c r="Y49" s="18" t="str">
        <x:v>否</x:v>
      </x:c>
    </x:row>
    <x:row r="50" ht="75" customHeight="1">
      <x:c r="A50" s="19" t="str">
        <x:v>バスターミナル東京八重洲 地下B</x:v>
      </x:c>
      <x:c r="B50" s="19" t="str">
        <x:v>待审核</x:v>
      </x:c>
      <x:c r="C50" s="20" t="n">
        <x:v>2</x:v>
      </x:c>
      <x:c r="D50" s="18" t="str">
        <x:v>否</x:v>
      </x:c>
      <x:c r="E50" s="19"/>
      <x:c r="F50" s="20"/>
      <x:c r="G50" s="19" t="str">
        <x:v>USAGE_DATA_UNAVAILABLE</x:v>
      </x:c>
      <x:c r="H50" s="19"/>
      <x:c r="I50" s="18" t="str">
        <x:v>navitime:02022-10035028</x:v>
      </x:c>
      <x:c r="J50" s="19" t="str">
        <x:v>部分官方证据</x:v>
      </x:c>
      <x:c r="K50" s="19" t="str">
        <x:v>待审核</x:v>
      </x:c>
      <x:c r="L50" s="19" t="str">
        <x:v>部分官方证据</x:v>
      </x:c>
      <x:c r="M50" s="19" t="str">
        <x:v>官方对应与物理去重待审核</x:v>
      </x:c>
      <x:c r="N50" s="19" t="str">
        <x:v>OFFICIAL_COORDINATES
PHYSICAL_FACILITY_DEDUP
CURRENT_OPERATOR_SERVICES
USAGE_OR_FUNCTIONAL_TIER_REVIEW</x:v>
      </x:c>
      <x:c r="O50" s="21"/>
      <x:c r="P50" s="21"/>
      <x:c r="Q50" s="19" t="str">
        <x:v>東京都中央区八重洲2-2-1 東京ミッドタウン八重洲内</x:v>
      </x:c>
      <x:c r="R50" s="18" t="str">
        <x:v>navitime:02022-10035028</x:v>
      </x:c>
      <x:c r="S50" s="19" t="str">
        <x:v>https://www.navitime.co.jp/poi?spot=02022-10035028</x:v>
      </x:c>
      <x:c r="T50" s="19" t="str">
        <x:v>京王電鉄バス</x:v>
      </x:c>
      <x:c r="U50" s="19" t="str">
        <x:v>東京都中央区八重洲2丁目100番地／八重洲1丁目300番地</x:v>
      </x:c>
      <x:c r="V50" s="19" t="str">
        <x:v>REGISTERED_FACILITY_OPERATOR_ADDRESS_BERTHS
https://www.mlit.go.jp/jidosha/content/001999724.pdf
页 1，条 12
PRIOR_OFFICIAL_FACILITY_REVIEW
https://bt-tokyoyaesu.com/</x:v>
      </x:c>
      <x:c r="W50" s="19"/>
      <x:c r="X50" s="18" t="str">
        <x:v>是</x:v>
      </x:c>
      <x:c r="Y50" s="18" t="str">
        <x:v>否</x:v>
      </x:c>
    </x:row>
    <x:row r="51" ht="75" customHeight="1">
      <x:c r="A51" s="19" t="str">
        <x:v>京都駅八条口 貸切バス乗降場</x:v>
      </x:c>
      <x:c r="B51" s="19" t="str">
        <x:v>待审核</x:v>
      </x:c>
      <x:c r="C51" s="20" t="n">
        <x:v>0</x:v>
      </x:c>
      <x:c r="D51" s="18" t="str">
        <x:v>否</x:v>
      </x:c>
      <x:c r="E51" s="19"/>
      <x:c r="F51" s="20"/>
      <x:c r="G51" s="19" t="str">
        <x:v>USAGE_DATA_UNAVAILABLE</x:v>
      </x:c>
      <x:c r="H51" s="19"/>
      <x:c r="I51" s="18" t="str">
        <x:v>navitime:02022-10035495</x:v>
      </x:c>
      <x:c r="J51" s="19" t="str">
        <x:v>OFFICIAL_VALIDATION_REQUIRED</x:v>
      </x:c>
      <x:c r="K51" s="19" t="str">
        <x:v>待审核</x:v>
      </x:c>
      <x:c r="L51" s="19" t="str">
        <x:v>待审核</x:v>
      </x:c>
      <x:c r="M51" s="19" t="str">
        <x:v>官方对应与物理去重待审核</x:v>
      </x:c>
      <x:c r="N51" s="19" t="str">
        <x:v>OFFICIAL_IDENTITY_FACILITY
OFFICIAL_COORDINATES
PHYSICAL_FACILITY_DEDUP
CURRENT_OPERATOR_SERVICES
USAGE_OR_FUNCTIONAL_TIER_REVIEW</x:v>
      </x:c>
      <x:c r="O51" s="21"/>
      <x:c r="P51" s="21"/>
      <x:c r="Q51" s="19" t="str">
        <x:v>京都府京都市南区東九条西山王町</x:v>
      </x:c>
      <x:c r="R51" s="18" t="str">
        <x:v>navitime:02022-10035495</x:v>
      </x:c>
      <x:c r="S51" s="19" t="str">
        <x:v>https://www.navitime.co.jp/poi?spot=02022-10035495</x:v>
      </x:c>
      <x:c r="T51" s="19" t="str"/>
      <x:c r="U51" s="19" t="str"/>
      <x:c r="V51" s="19" t="str"/>
      <x:c r="W51" s="19"/>
      <x:c r="X51" s="18" t="str">
        <x:v>是</x:v>
      </x:c>
      <x:c r="Y51" s="18" t="str">
        <x:v>否</x:v>
      </x:c>
    </x:row>
    <x:row r="52" ht="75" customHeight="1">
      <x:c r="A52" s="19" t="str">
        <x:v>善通寺インターバスターミナル</x:v>
      </x:c>
      <x:c r="B52" s="19" t="str">
        <x:v>待审核</x:v>
      </x:c>
      <x:c r="C52" s="20" t="n">
        <x:v>0</x:v>
      </x:c>
      <x:c r="D52" s="18" t="str">
        <x:v>否</x:v>
      </x:c>
      <x:c r="E52" s="19"/>
      <x:c r="F52" s="20"/>
      <x:c r="G52" s="19" t="str">
        <x:v>USAGE_DATA_UNAVAILABLE</x:v>
      </x:c>
      <x:c r="H52" s="19"/>
      <x:c r="I52" s="18" t="str">
        <x:v>navitime:02022-10040034</x:v>
      </x:c>
      <x:c r="J52" s="19" t="str">
        <x:v>OFFICIAL_VALIDATION_REQUIRED</x:v>
      </x:c>
      <x:c r="K52" s="19" t="str">
        <x:v>待审核</x:v>
      </x:c>
      <x:c r="L52" s="19" t="str">
        <x:v>待审核</x:v>
      </x:c>
      <x:c r="M52" s="19" t="str">
        <x:v>官方对应与物理去重待审核</x:v>
      </x:c>
      <x:c r="N52" s="19" t="str">
        <x:v>OFFICIAL_IDENTITY_FACILITY
OFFICIAL_COORDINATES
PHYSICAL_FACILITY_DEDUP
CURRENT_OPERATOR_SERVICES
USAGE_OR_FUNCTIONAL_TIER_REVIEW</x:v>
      </x:c>
      <x:c r="O52" s="21"/>
      <x:c r="P52" s="21"/>
      <x:c r="Q52" s="19" t="str">
        <x:v>香川県善通寺市原田町</x:v>
      </x:c>
      <x:c r="R52" s="18" t="str">
        <x:v>navitime:02022-10040034</x:v>
      </x:c>
      <x:c r="S52" s="19" t="str">
        <x:v>https://www.navitime.co.jp/poi?spot=02022-10040034</x:v>
      </x:c>
      <x:c r="T52" s="19" t="str"/>
      <x:c r="U52" s="19" t="str"/>
      <x:c r="V52" s="19" t="str"/>
      <x:c r="W52" s="19"/>
      <x:c r="X52" s="18" t="str">
        <x:v>是</x:v>
      </x:c>
      <x:c r="Y52" s="18" t="str">
        <x:v>否</x:v>
      </x:c>
    </x:row>
    <x:row r="53" ht="75" customHeight="1">
      <x:c r="A53" s="19" t="str">
        <x:v>中標津バスターミナル</x:v>
      </x:c>
      <x:c r="B53" s="19" t="str">
        <x:v>待审核</x:v>
      </x:c>
      <x:c r="C53" s="20" t="n">
        <x:v>0</x:v>
      </x:c>
      <x:c r="D53" s="18" t="str">
        <x:v>否</x:v>
      </x:c>
      <x:c r="E53" s="19"/>
      <x:c r="F53" s="20"/>
      <x:c r="G53" s="19" t="str">
        <x:v>USAGE_DATA_UNAVAILABLE</x:v>
      </x:c>
      <x:c r="H53" s="19"/>
      <x:c r="I53" s="18" t="str">
        <x:v>navitime:02022-10047080</x:v>
      </x:c>
      <x:c r="J53" s="19" t="str">
        <x:v>OFFICIAL_VALIDATION_REQUIRED</x:v>
      </x:c>
      <x:c r="K53" s="19" t="str">
        <x:v>待审核</x:v>
      </x:c>
      <x:c r="L53" s="19" t="str">
        <x:v>待审核</x:v>
      </x:c>
      <x:c r="M53" s="19" t="str">
        <x:v>官方对应与物理去重待审核</x:v>
      </x:c>
      <x:c r="N53" s="19" t="str">
        <x:v>OFFICIAL_IDENTITY_FACILITY
OFFICIAL_COORDINATES
PHYSICAL_FACILITY_DEDUP
CURRENT_OPERATOR_SERVICES
USAGE_OR_FUNCTIONAL_TIER_REVIEW</x:v>
      </x:c>
      <x:c r="O53" s="21"/>
      <x:c r="P53" s="21"/>
      <x:c r="Q53" s="19" t="str">
        <x:v>北海道標津郡中標津町東2条南2-1</x:v>
      </x:c>
      <x:c r="R53" s="18" t="str">
        <x:v>navitime:02022-10047080</x:v>
      </x:c>
      <x:c r="S53" s="19" t="str">
        <x:v>https://www.navitime.co.jp/poi?spot=02022-10047080</x:v>
      </x:c>
      <x:c r="T53" s="19" t="str"/>
      <x:c r="U53" s="19" t="str"/>
      <x:c r="V53" s="19" t="str"/>
      <x:c r="W53" s="19"/>
      <x:c r="X53" s="18" t="str">
        <x:v>是</x:v>
      </x:c>
      <x:c r="Y53" s="18" t="str">
        <x:v>否</x:v>
      </x:c>
    </x:row>
    <x:row r="54" ht="75" customHeight="1">
      <x:c r="A54" s="19" t="str">
        <x:v>羽田空港第1ターミナル バス降車場</x:v>
      </x:c>
      <x:c r="B54" s="19" t="str">
        <x:v>待审核</x:v>
      </x:c>
      <x:c r="C54" s="20" t="n">
        <x:v>0</x:v>
      </x:c>
      <x:c r="D54" s="18" t="str">
        <x:v>否</x:v>
      </x:c>
      <x:c r="E54" s="19"/>
      <x:c r="F54" s="20"/>
      <x:c r="G54" s="19" t="str">
        <x:v>USAGE_DATA_UNAVAILABLE</x:v>
      </x:c>
      <x:c r="H54" s="19"/>
      <x:c r="I54" s="18" t="str">
        <x:v>navitime:02022-10048867</x:v>
      </x:c>
      <x:c r="J54" s="19" t="str">
        <x:v>OFFICIAL_VALIDATION_REQUIRED</x:v>
      </x:c>
      <x:c r="K54" s="19" t="str">
        <x:v>待审核</x:v>
      </x:c>
      <x:c r="L54" s="19" t="str">
        <x:v>待审核</x:v>
      </x:c>
      <x:c r="M54" s="19" t="str">
        <x:v>官方对应与物理去重待审核</x:v>
      </x:c>
      <x:c r="N54" s="19" t="str">
        <x:v>OFFICIAL_IDENTITY_FACILITY
OFFICIAL_COORDINATES
PHYSICAL_FACILITY_DEDUP
CURRENT_OPERATOR_SERVICES
USAGE_OR_FUNCTIONAL_TIER_REVIEW</x:v>
      </x:c>
      <x:c r="O54" s="21"/>
      <x:c r="P54" s="21"/>
      <x:c r="Q54" s="19" t="str">
        <x:v>東京都大田区羽田空港3丁目3 2階</x:v>
      </x:c>
      <x:c r="R54" s="18" t="str">
        <x:v>navitime:02022-10048867</x:v>
      </x:c>
      <x:c r="S54" s="19" t="str">
        <x:v>https://www.navitime.co.jp/poi?spot=02022-10048867</x:v>
      </x:c>
      <x:c r="T54" s="19" t="str"/>
      <x:c r="U54" s="19" t="str"/>
      <x:c r="V54" s="19" t="str"/>
      <x:c r="W54" s="19"/>
      <x:c r="X54" s="18" t="str">
        <x:v>是</x:v>
      </x:c>
      <x:c r="Y54" s="18" t="str">
        <x:v>否</x:v>
      </x:c>
    </x:row>
    <x:row r="55" ht="75" customHeight="1">
      <x:c r="A55" s="19" t="str">
        <x:v>羽田空港第2ターミナル バス降車場</x:v>
      </x:c>
      <x:c r="B55" s="19" t="str">
        <x:v>待审核</x:v>
      </x:c>
      <x:c r="C55" s="20" t="n">
        <x:v>0</x:v>
      </x:c>
      <x:c r="D55" s="18" t="str">
        <x:v>否</x:v>
      </x:c>
      <x:c r="E55" s="19"/>
      <x:c r="F55" s="20"/>
      <x:c r="G55" s="19" t="str">
        <x:v>USAGE_DATA_UNAVAILABLE</x:v>
      </x:c>
      <x:c r="H55" s="19"/>
      <x:c r="I55" s="18" t="str">
        <x:v>navitime:02022-10048870</x:v>
      </x:c>
      <x:c r="J55" s="19" t="str">
        <x:v>OFFICIAL_VALIDATION_REQUIRED</x:v>
      </x:c>
      <x:c r="K55" s="19" t="str">
        <x:v>待审核</x:v>
      </x:c>
      <x:c r="L55" s="19" t="str">
        <x:v>待审核</x:v>
      </x:c>
      <x:c r="M55" s="19" t="str">
        <x:v>官方对应与物理去重待审核</x:v>
      </x:c>
      <x:c r="N55" s="19" t="str">
        <x:v>OFFICIAL_IDENTITY_FACILITY
OFFICIAL_COORDINATES
PHYSICAL_FACILITY_DEDUP
CURRENT_OPERATOR_SERVICES
USAGE_OR_FUNCTIONAL_TIER_REVIEW</x:v>
      </x:c>
      <x:c r="O55" s="21"/>
      <x:c r="P55" s="21"/>
      <x:c r="Q55" s="19" t="str">
        <x:v>東京都大田区羽田空港3丁目3 2階出発階</x:v>
      </x:c>
      <x:c r="R55" s="18" t="str">
        <x:v>navitime:02022-10048870</x:v>
      </x:c>
      <x:c r="S55" s="19" t="str">
        <x:v>https://www.navitime.co.jp/poi?spot=02022-10048870</x:v>
      </x:c>
      <x:c r="T55" s="19" t="str"/>
      <x:c r="U55" s="19" t="str"/>
      <x:c r="V55" s="19" t="str"/>
      <x:c r="W55" s="19"/>
      <x:c r="X55" s="18" t="str">
        <x:v>是</x:v>
      </x:c>
      <x:c r="Y55" s="18" t="str">
        <x:v>否</x:v>
      </x:c>
    </x:row>
    <x:row r="56" ht="75" customHeight="1">
      <x:c r="A56" s="19" t="str">
        <x:v>羽田空港第2ターミナル 貸切バス乗り場</x:v>
      </x:c>
      <x:c r="B56" s="19" t="str">
        <x:v>待审核</x:v>
      </x:c>
      <x:c r="C56" s="20" t="n">
        <x:v>0</x:v>
      </x:c>
      <x:c r="D56" s="18" t="str">
        <x:v>否</x:v>
      </x:c>
      <x:c r="E56" s="19"/>
      <x:c r="F56" s="20"/>
      <x:c r="G56" s="19" t="str">
        <x:v>USAGE_DATA_UNAVAILABLE</x:v>
      </x:c>
      <x:c r="H56" s="19"/>
      <x:c r="I56" s="18" t="str">
        <x:v>navitime:02022-10048871</x:v>
      </x:c>
      <x:c r="J56" s="19" t="str">
        <x:v>OFFICIAL_VALIDATION_REQUIRED</x:v>
      </x:c>
      <x:c r="K56" s="19" t="str">
        <x:v>待审核</x:v>
      </x:c>
      <x:c r="L56" s="19" t="str">
        <x:v>待审核</x:v>
      </x:c>
      <x:c r="M56" s="19" t="str">
        <x:v>官方对应与物理去重待审核</x:v>
      </x:c>
      <x:c r="N56" s="19" t="str">
        <x:v>OFFICIAL_IDENTITY_FACILITY
OFFICIAL_COORDINATES
PHYSICAL_FACILITY_DEDUP
CURRENT_OPERATOR_SERVICES
USAGE_OR_FUNCTIONAL_TIER_REVIEW</x:v>
      </x:c>
      <x:c r="O56" s="21"/>
      <x:c r="P56" s="21"/>
      <x:c r="Q56" s="19" t="str">
        <x:v>東京都大田区羽田空港3丁目3 2階出発階</x:v>
      </x:c>
      <x:c r="R56" s="18" t="str">
        <x:v>navitime:02022-10048871</x:v>
      </x:c>
      <x:c r="S56" s="19" t="str">
        <x:v>https://www.navitime.co.jp/poi?spot=02022-10048871</x:v>
      </x:c>
      <x:c r="T56" s="19" t="str"/>
      <x:c r="U56" s="19" t="str"/>
      <x:c r="V56" s="19" t="str"/>
      <x:c r="W56" s="19"/>
      <x:c r="X56" s="18" t="str">
        <x:v>是</x:v>
      </x:c>
      <x:c r="Y56" s="18" t="str">
        <x:v>否</x:v>
      </x:c>
    </x:row>
    <x:row r="57" ht="75" customHeight="1">
      <x:c r="A57" s="19" t="str">
        <x:v>羽田空港第3ターミナル バス降車場</x:v>
      </x:c>
      <x:c r="B57" s="19" t="str">
        <x:v>待审核</x:v>
      </x:c>
      <x:c r="C57" s="20" t="n">
        <x:v>0</x:v>
      </x:c>
      <x:c r="D57" s="18" t="str">
        <x:v>否</x:v>
      </x:c>
      <x:c r="E57" s="19"/>
      <x:c r="F57" s="20"/>
      <x:c r="G57" s="19" t="str">
        <x:v>USAGE_DATA_UNAVAILABLE</x:v>
      </x:c>
      <x:c r="H57" s="19"/>
      <x:c r="I57" s="18" t="str">
        <x:v>navitime:02022-10048872</x:v>
      </x:c>
      <x:c r="J57" s="19" t="str">
        <x:v>OFFICIAL_VALIDATION_REQUIRED</x:v>
      </x:c>
      <x:c r="K57" s="19" t="str">
        <x:v>待审核</x:v>
      </x:c>
      <x:c r="L57" s="19" t="str">
        <x:v>待审核</x:v>
      </x:c>
      <x:c r="M57" s="19" t="str">
        <x:v>官方对应与物理去重待审核</x:v>
      </x:c>
      <x:c r="N57" s="19" t="str">
        <x:v>OFFICIAL_IDENTITY_FACILITY
OFFICIAL_COORDINATES
PHYSICAL_FACILITY_DEDUP
CURRENT_OPERATOR_SERVICES
USAGE_OR_FUNCTIONAL_TIER_REVIEW</x:v>
      </x:c>
      <x:c r="O57" s="21"/>
      <x:c r="P57" s="21"/>
      <x:c r="Q57" s="19" t="str">
        <x:v>東京都大田区羽田空港2丁目6</x:v>
      </x:c>
      <x:c r="R57" s="18" t="str">
        <x:v>navitime:02022-10048872</x:v>
      </x:c>
      <x:c r="S57" s="19" t="str">
        <x:v>https://www.navitime.co.jp/poi?spot=02022-10048872</x:v>
      </x:c>
      <x:c r="T57" s="19" t="str"/>
      <x:c r="U57" s="19" t="str"/>
      <x:c r="V57" s="19" t="str"/>
      <x:c r="W57" s="19"/>
      <x:c r="X57" s="18" t="str">
        <x:v>是</x:v>
      </x:c>
      <x:c r="Y57" s="18" t="str">
        <x:v>否</x:v>
      </x:c>
    </x:row>
    <x:row r="58" ht="75" customHeight="1">
      <x:c r="A58" s="19" t="str">
        <x:v>北野 観光バス乗降車場</x:v>
      </x:c>
      <x:c r="B58" s="19" t="str">
        <x:v>待审核</x:v>
      </x:c>
      <x:c r="C58" s="20" t="n">
        <x:v>0</x:v>
      </x:c>
      <x:c r="D58" s="18" t="str">
        <x:v>否</x:v>
      </x:c>
      <x:c r="E58" s="19"/>
      <x:c r="F58" s="20"/>
      <x:c r="G58" s="19" t="str">
        <x:v>USAGE_DATA_UNAVAILABLE</x:v>
      </x:c>
      <x:c r="H58" s="19"/>
      <x:c r="I58" s="18" t="str">
        <x:v>navitime:02022-10048923</x:v>
      </x:c>
      <x:c r="J58" s="19" t="str">
        <x:v>OFFICIAL_VALIDATION_REQUIRED</x:v>
      </x:c>
      <x:c r="K58" s="19" t="str">
        <x:v>待审核</x:v>
      </x:c>
      <x:c r="L58" s="19" t="str">
        <x:v>待审核</x:v>
      </x:c>
      <x:c r="M58" s="19" t="str">
        <x:v>官方对应与物理去重待审核</x:v>
      </x:c>
      <x:c r="N58" s="19" t="str">
        <x:v>OFFICIAL_IDENTITY_FACILITY
OFFICIAL_COORDINATES
PHYSICAL_FACILITY_DEDUP
CURRENT_OPERATOR_SERVICES
USAGE_OR_FUNCTIONAL_TIER_REVIEW</x:v>
      </x:c>
      <x:c r="O58" s="21"/>
      <x:c r="P58" s="21"/>
      <x:c r="Q58" s="19" t="str">
        <x:v>兵庫県神戸市中央区中山手通2丁目20-4</x:v>
      </x:c>
      <x:c r="R58" s="18" t="str">
        <x:v>navitime:02022-10048923</x:v>
      </x:c>
      <x:c r="S58" s="19" t="str">
        <x:v>https://www.navitime.co.jp/poi?spot=02022-10048923</x:v>
      </x:c>
      <x:c r="T58" s="19" t="str"/>
      <x:c r="U58" s="19" t="str"/>
      <x:c r="V58" s="19" t="str"/>
      <x:c r="W58" s="19"/>
      <x:c r="X58" s="18" t="str">
        <x:v>是</x:v>
      </x:c>
      <x:c r="Y58" s="18" t="str">
        <x:v>否</x:v>
      </x:c>
    </x:row>
    <x:row r="59" ht="75" customHeight="1">
      <x:c r="A59" s="19" t="str">
        <x:v>元町地区貸切バス乗降場</x:v>
      </x:c>
      <x:c r="B59" s="19" t="str">
        <x:v>待审核</x:v>
      </x:c>
      <x:c r="C59" s="20" t="n">
        <x:v>0</x:v>
      </x:c>
      <x:c r="D59" s="18" t="str">
        <x:v>否</x:v>
      </x:c>
      <x:c r="E59" s="19"/>
      <x:c r="F59" s="20"/>
      <x:c r="G59" s="19" t="str">
        <x:v>USAGE_DATA_UNAVAILABLE</x:v>
      </x:c>
      <x:c r="H59" s="19"/>
      <x:c r="I59" s="18" t="str">
        <x:v>navitime:02022-10048924</x:v>
      </x:c>
      <x:c r="J59" s="19" t="str">
        <x:v>OFFICIAL_VALIDATION_REQUIRED</x:v>
      </x:c>
      <x:c r="K59" s="19" t="str">
        <x:v>待审核</x:v>
      </x:c>
      <x:c r="L59" s="19" t="str">
        <x:v>待审核</x:v>
      </x:c>
      <x:c r="M59" s="19" t="str">
        <x:v>官方对应与物理去重待审核</x:v>
      </x:c>
      <x:c r="N59" s="19" t="str">
        <x:v>OFFICIAL_IDENTITY_FACILITY
OFFICIAL_COORDINATES
PHYSICAL_FACILITY_DEDUP
CURRENT_OPERATOR_SERVICES
USAGE_OR_FUNCTIONAL_TIER_REVIEW</x:v>
      </x:c>
      <x:c r="O59" s="21"/>
      <x:c r="P59" s="21"/>
      <x:c r="Q59" s="19" t="str">
        <x:v>兵庫県神戸市中央区元町通2丁目8-14</x:v>
      </x:c>
      <x:c r="R59" s="18" t="str">
        <x:v>navitime:02022-10048924</x:v>
      </x:c>
      <x:c r="S59" s="19" t="str">
        <x:v>https://www.navitime.co.jp/poi?spot=02022-10048924</x:v>
      </x:c>
      <x:c r="T59" s="19" t="str"/>
      <x:c r="U59" s="19" t="str"/>
      <x:c r="V59" s="19" t="str"/>
      <x:c r="W59" s="19"/>
      <x:c r="X59" s="18" t="str">
        <x:v>是</x:v>
      </x:c>
      <x:c r="Y59" s="18" t="str">
        <x:v>否</x:v>
      </x:c>
    </x:row>
    <x:row r="60" ht="75" customHeight="1">
      <x:c r="A60" s="19" t="str">
        <x:v>岐阜駅北口駅前広場 団体バス乗降場</x:v>
      </x:c>
      <x:c r="B60" s="19" t="str">
        <x:v>待审核</x:v>
      </x:c>
      <x:c r="C60" s="20" t="n">
        <x:v>0</x:v>
      </x:c>
      <x:c r="D60" s="18" t="str">
        <x:v>否</x:v>
      </x:c>
      <x:c r="E60" s="19"/>
      <x:c r="F60" s="20"/>
      <x:c r="G60" s="19" t="str">
        <x:v>USAGE_DATA_UNAVAILABLE</x:v>
      </x:c>
      <x:c r="H60" s="19"/>
      <x:c r="I60" s="18" t="str">
        <x:v>navitime:02022-10050944</x:v>
      </x:c>
      <x:c r="J60" s="19" t="str">
        <x:v>OFFICIAL_VALIDATION_REQUIRED</x:v>
      </x:c>
      <x:c r="K60" s="19" t="str">
        <x:v>待审核</x:v>
      </x:c>
      <x:c r="L60" s="19" t="str">
        <x:v>待审核</x:v>
      </x:c>
      <x:c r="M60" s="19" t="str">
        <x:v>官方对应与物理去重待审核</x:v>
      </x:c>
      <x:c r="N60" s="19" t="str">
        <x:v>OFFICIAL_IDENTITY_FACILITY
OFFICIAL_COORDINATES
PHYSICAL_FACILITY_DEDUP
CURRENT_OPERATOR_SERVICES
USAGE_OR_FUNCTIONAL_TIER_REVIEW</x:v>
      </x:c>
      <x:c r="O60" s="21"/>
      <x:c r="P60" s="21"/>
      <x:c r="Q60" s="19" t="str">
        <x:v>岐阜県岐阜市橋本町1丁目100</x:v>
      </x:c>
      <x:c r="R60" s="18" t="str">
        <x:v>navitime:02022-10050944</x:v>
      </x:c>
      <x:c r="S60" s="19" t="str">
        <x:v>https://www.navitime.co.jp/poi?spot=02022-10050944</x:v>
      </x:c>
      <x:c r="T60" s="19" t="str"/>
      <x:c r="U60" s="19" t="str"/>
      <x:c r="V60" s="19" t="str"/>
      <x:c r="W60" s="19"/>
      <x:c r="X60" s="18" t="str">
        <x:v>是</x:v>
      </x:c>
      <x:c r="Y60" s="18" t="str">
        <x:v>否</x:v>
      </x:c>
    </x:row>
    <x:row r="61" ht="75" customHeight="1">
      <x:c r="A61" s="19" t="str">
        <x:v>おうらバスターミナル</x:v>
      </x:c>
      <x:c r="B61" s="19" t="str">
        <x:v>待审核</x:v>
      </x:c>
      <x:c r="C61" s="20" t="n">
        <x:v>0</x:v>
      </x:c>
      <x:c r="D61" s="18" t="str">
        <x:v>否</x:v>
      </x:c>
      <x:c r="E61" s="19"/>
      <x:c r="F61" s="20"/>
      <x:c r="G61" s="19" t="str">
        <x:v>USAGE_DATA_UNAVAILABLE</x:v>
      </x:c>
      <x:c r="H61" s="19"/>
      <x:c r="I61" s="18" t="str">
        <x:v>navitime:02022-10056258</x:v>
      </x:c>
      <x:c r="J61" s="19" t="str">
        <x:v>OFFICIAL_VALIDATION_REQUIRED</x:v>
      </x:c>
      <x:c r="K61" s="19" t="str">
        <x:v>待审核</x:v>
      </x:c>
      <x:c r="L61" s="19" t="str">
        <x:v>待审核</x:v>
      </x:c>
      <x:c r="M61" s="19" t="str">
        <x:v>官方对应与物理去重待审核</x:v>
      </x:c>
      <x:c r="N61" s="19" t="str">
        <x:v>OFFICIAL_IDENTITY_FACILITY
OFFICIAL_COORDINATES
PHYSICAL_FACILITY_DEDUP
CURRENT_OPERATOR_SERVICES
USAGE_OR_FUNCTIONAL_TIER_REVIEW</x:v>
      </x:c>
      <x:c r="O61" s="21"/>
      <x:c r="P61" s="21"/>
      <x:c r="Q61" s="19" t="str">
        <x:v>群馬県邑楽郡邑楽町狸塚</x:v>
      </x:c>
      <x:c r="R61" s="18" t="str">
        <x:v>navitime:02022-10056258</x:v>
      </x:c>
      <x:c r="S61" s="19" t="str">
        <x:v>https://www.navitime.co.jp/poi?spot=02022-10056258</x:v>
      </x:c>
      <x:c r="T61" s="19" t="str"/>
      <x:c r="U61" s="19" t="str"/>
      <x:c r="V61" s="19" t="str"/>
      <x:c r="W61" s="19"/>
      <x:c r="X61" s="18" t="str">
        <x:v>是</x:v>
      </x:c>
      <x:c r="Y61" s="18" t="str">
        <x:v>否</x:v>
      </x:c>
    </x:row>
    <x:row r="62" ht="75" customHeight="1">
      <x:c r="A62" s="19" t="str">
        <x:v>お旅駐車場 観光バス乗降場</x:v>
      </x:c>
      <x:c r="B62" s="19" t="str">
        <x:v>待审核</x:v>
      </x:c>
      <x:c r="C62" s="20" t="n">
        <x:v>0</x:v>
      </x:c>
      <x:c r="D62" s="18" t="str">
        <x:v>否</x:v>
      </x:c>
      <x:c r="E62" s="19"/>
      <x:c r="F62" s="20"/>
      <x:c r="G62" s="19" t="str">
        <x:v>USAGE_DATA_UNAVAILABLE</x:v>
      </x:c>
      <x:c r="H62" s="19"/>
      <x:c r="I62" s="18" t="str">
        <x:v>navitime:02022-10057072</x:v>
      </x:c>
      <x:c r="J62" s="19" t="str">
        <x:v>OFFICIAL_VALIDATION_REQUIRED</x:v>
      </x:c>
      <x:c r="K62" s="19" t="str">
        <x:v>待审核</x:v>
      </x:c>
      <x:c r="L62" s="19" t="str">
        <x:v>待审核</x:v>
      </x:c>
      <x:c r="M62" s="19" t="str">
        <x:v>官方对应与物理去重待审核</x:v>
      </x:c>
      <x:c r="N62" s="19" t="str">
        <x:v>OFFICIAL_IDENTITY_FACILITY
OFFICIAL_COORDINATES
PHYSICAL_FACILITY_DEDUP
CURRENT_OPERATOR_SERVICES
USAGE_OR_FUNCTIONAL_TIER_REVIEW</x:v>
      </x:c>
      <x:c r="O62" s="21"/>
      <x:c r="P62" s="21"/>
      <x:c r="Q62" s="19" t="str">
        <x:v>滋賀県長浜市南呉服町10</x:v>
      </x:c>
      <x:c r="R62" s="18" t="str">
        <x:v>navitime:02022-10057072</x:v>
      </x:c>
      <x:c r="S62" s="19" t="str">
        <x:v>https://www.navitime.co.jp/poi?spot=02022-10057072</x:v>
      </x:c>
      <x:c r="T62" s="19" t="str"/>
      <x:c r="U62" s="19" t="str"/>
      <x:c r="V62" s="19" t="str"/>
      <x:c r="W62" s="19"/>
      <x:c r="X62" s="18" t="str">
        <x:v>是</x:v>
      </x:c>
      <x:c r="Y62" s="18" t="str">
        <x:v>否</x:v>
      </x:c>
    </x:row>
    <x:row r="63" ht="75" customHeight="1">
      <x:c r="A63" s="19" t="str">
        <x:v>銀座六丁目バス乗降所</x:v>
      </x:c>
      <x:c r="B63" s="19" t="str">
        <x:v>待审核</x:v>
      </x:c>
      <x:c r="C63" s="20" t="n">
        <x:v>0</x:v>
      </x:c>
      <x:c r="D63" s="18" t="str">
        <x:v>否</x:v>
      </x:c>
      <x:c r="E63" s="19"/>
      <x:c r="F63" s="20"/>
      <x:c r="G63" s="19" t="str">
        <x:v>USAGE_DATA_UNAVAILABLE</x:v>
      </x:c>
      <x:c r="H63" s="19"/>
      <x:c r="I63" s="18" t="str">
        <x:v>navitime:02022-10060646</x:v>
      </x:c>
      <x:c r="J63" s="19" t="str">
        <x:v>OFFICIAL_VALIDATION_REQUIRED</x:v>
      </x:c>
      <x:c r="K63" s="19" t="str">
        <x:v>待审核</x:v>
      </x:c>
      <x:c r="L63" s="19" t="str">
        <x:v>待审核</x:v>
      </x:c>
      <x:c r="M63" s="19" t="str">
        <x:v>官方对应与物理去重待审核</x:v>
      </x:c>
      <x:c r="N63" s="19" t="str">
        <x:v>OFFICIAL_IDENTITY_FACILITY
OFFICIAL_COORDINATES
PHYSICAL_FACILITY_DEDUP
CURRENT_OPERATOR_SERVICES
USAGE_OR_FUNCTIONAL_TIER_REVIEW</x:v>
      </x:c>
      <x:c r="O63" s="21"/>
      <x:c r="P63" s="21"/>
      <x:c r="Q63" s="19" t="str">
        <x:v>東京都中央区銀座6丁目10番先から同12番先(三原通り)</x:v>
      </x:c>
      <x:c r="R63" s="18" t="str">
        <x:v>navitime:02022-10060646</x:v>
      </x:c>
      <x:c r="S63" s="19" t="str">
        <x:v>https://www.navitime.co.jp/poi?spot=02022-10060646</x:v>
      </x:c>
      <x:c r="T63" s="19" t="str"/>
      <x:c r="U63" s="19" t="str"/>
      <x:c r="V63" s="19" t="str"/>
      <x:c r="W63" s="19"/>
      <x:c r="X63" s="18" t="str">
        <x:v>是</x:v>
      </x:c>
      <x:c r="Y63" s="18" t="str">
        <x:v>否</x:v>
      </x:c>
    </x:row>
    <x:row r="64" ht="75" customHeight="1">
      <x:c r="A64" s="19" t="str">
        <x:v>リナシティかのやバス待合所</x:v>
      </x:c>
      <x:c r="B64" s="19" t="str">
        <x:v>待审核</x:v>
      </x:c>
      <x:c r="C64" s="20" t="n">
        <x:v>0</x:v>
      </x:c>
      <x:c r="D64" s="18" t="str">
        <x:v>否</x:v>
      </x:c>
      <x:c r="E64" s="19"/>
      <x:c r="F64" s="20"/>
      <x:c r="G64" s="19" t="str">
        <x:v>USAGE_DATA_UNAVAILABLE</x:v>
      </x:c>
      <x:c r="H64" s="19"/>
      <x:c r="I64" s="18" t="str">
        <x:v>navitime:02022-10061331</x:v>
      </x:c>
      <x:c r="J64" s="19" t="str">
        <x:v>OFFICIAL_VALIDATION_REQUIRED</x:v>
      </x:c>
      <x:c r="K64" s="19" t="str">
        <x:v>待审核</x:v>
      </x:c>
      <x:c r="L64" s="19" t="str">
        <x:v>待审核</x:v>
      </x:c>
      <x:c r="M64" s="19" t="str">
        <x:v>官方对应与物理去重待审核</x:v>
      </x:c>
      <x:c r="N64" s="19" t="str">
        <x:v>OFFICIAL_IDENTITY_FACILITY
OFFICIAL_COORDINATES
PHYSICAL_FACILITY_DEDUP
CURRENT_OPERATOR_SERVICES
USAGE_OR_FUNCTIONAL_TIER_REVIEW</x:v>
      </x:c>
      <x:c r="O64" s="21"/>
      <x:c r="P64" s="21"/>
      <x:c r="Q64" s="19" t="str">
        <x:v>鹿児島県鹿屋市大手町1-1 リナシティかのや(鹿屋市市民交流センター)1F</x:v>
      </x:c>
      <x:c r="R64" s="18" t="str">
        <x:v>navitime:02022-10061331</x:v>
      </x:c>
      <x:c r="S64" s="19" t="str">
        <x:v>https://www.navitime.co.jp/poi?spot=02022-10061331</x:v>
      </x:c>
      <x:c r="T64" s="19" t="str"/>
      <x:c r="U64" s="19" t="str"/>
      <x:c r="V64" s="19" t="str"/>
      <x:c r="W64" s="19"/>
      <x:c r="X64" s="18" t="str">
        <x:v>是</x:v>
      </x:c>
      <x:c r="Y64" s="18" t="str">
        <x:v>否</x:v>
      </x:c>
    </x:row>
    <x:row r="65" ht="75" customHeight="1">
      <x:c r="A65" s="19" t="str">
        <x:v>夢洲乗降場</x:v>
      </x:c>
      <x:c r="B65" s="19" t="str">
        <x:v>待审核</x:v>
      </x:c>
      <x:c r="C65" s="20" t="n">
        <x:v>0</x:v>
      </x:c>
      <x:c r="D65" s="18" t="str">
        <x:v>否</x:v>
      </x:c>
      <x:c r="E65" s="19"/>
      <x:c r="F65" s="20"/>
      <x:c r="G65" s="19" t="str">
        <x:v>USAGE_DATA_UNAVAILABLE</x:v>
      </x:c>
      <x:c r="H65" s="19"/>
      <x:c r="I65" s="18" t="str">
        <x:v>navitime:02022-10069718</x:v>
      </x:c>
      <x:c r="J65" s="19" t="str">
        <x:v>OFFICIAL_VALIDATION_REQUIRED</x:v>
      </x:c>
      <x:c r="K65" s="19" t="str">
        <x:v>待审核</x:v>
      </x:c>
      <x:c r="L65" s="19" t="str">
        <x:v>待审核</x:v>
      </x:c>
      <x:c r="M65" s="19" t="str">
        <x:v>官方对应与物理去重待审核</x:v>
      </x:c>
      <x:c r="N65" s="19" t="str">
        <x:v>OFFICIAL_IDENTITY_FACILITY
OFFICIAL_COORDINATES
PHYSICAL_FACILITY_DEDUP
CURRENT_OPERATOR_SERVICES
USAGE_OR_FUNCTIONAL_TIER_REVIEW</x:v>
      </x:c>
      <x:c r="O65" s="21"/>
      <x:c r="P65" s="21"/>
      <x:c r="Q65" s="19" t="str">
        <x:v>大阪府大阪市此花区夢洲中 夢洲第2交通ターミナル内</x:v>
      </x:c>
      <x:c r="R65" s="18" t="str">
        <x:v>navitime:02022-10069718</x:v>
      </x:c>
      <x:c r="S65" s="19" t="str">
        <x:v>https://www.navitime.co.jp/poi?spot=02022-10069718</x:v>
      </x:c>
      <x:c r="T65" s="19" t="str"/>
      <x:c r="U65" s="19" t="str"/>
      <x:c r="V65" s="19" t="str"/>
      <x:c r="W65" s="19"/>
      <x:c r="X65" s="18" t="str">
        <x:v>是</x:v>
      </x:c>
      <x:c r="Y65" s="18" t="str">
        <x:v>否</x:v>
      </x:c>
    </x:row>
    <x:row r="66" ht="75" customHeight="1">
      <x:c r="A66" s="19" t="str">
        <x:v>舞洲待機場</x:v>
      </x:c>
      <x:c r="B66" s="19" t="str">
        <x:v>待审核</x:v>
      </x:c>
      <x:c r="C66" s="20" t="n">
        <x:v>0</x:v>
      </x:c>
      <x:c r="D66" s="18" t="str">
        <x:v>否</x:v>
      </x:c>
      <x:c r="E66" s="19"/>
      <x:c r="F66" s="20"/>
      <x:c r="G66" s="19" t="str">
        <x:v>USAGE_DATA_UNAVAILABLE</x:v>
      </x:c>
      <x:c r="H66" s="19"/>
      <x:c r="I66" s="18" t="str">
        <x:v>navitime:02022-10069719</x:v>
      </x:c>
      <x:c r="J66" s="19" t="str">
        <x:v>OFFICIAL_VALIDATION_REQUIRED</x:v>
      </x:c>
      <x:c r="K66" s="19" t="str">
        <x:v>待审核</x:v>
      </x:c>
      <x:c r="L66" s="19" t="str">
        <x:v>待审核</x:v>
      </x:c>
      <x:c r="M66" s="19" t="str">
        <x:v>官方对应与物理去重待审核</x:v>
      </x:c>
      <x:c r="N66" s="19" t="str">
        <x:v>OFFICIAL_IDENTITY_FACILITY
OFFICIAL_COORDINATES
PHYSICAL_FACILITY_DEDUP
CURRENT_OPERATOR_SERVICES
USAGE_OR_FUNCTIONAL_TIER_REVIEW</x:v>
      </x:c>
      <x:c r="O66" s="21"/>
      <x:c r="P66" s="21"/>
      <x:c r="Q66" s="19" t="str">
        <x:v>大阪府大阪市此花区北港緑地2 舞洲P&amp;R駐車場B内</x:v>
      </x:c>
      <x:c r="R66" s="18" t="str">
        <x:v>navitime:02022-10069719</x:v>
      </x:c>
      <x:c r="S66" s="19" t="str">
        <x:v>https://www.navitime.co.jp/poi?spot=02022-10069719</x:v>
      </x:c>
      <x:c r="T66" s="19" t="str"/>
      <x:c r="U66" s="19" t="str"/>
      <x:c r="V66" s="19" t="str"/>
      <x:c r="W66" s="19"/>
      <x:c r="X66" s="18" t="str">
        <x:v>是</x:v>
      </x:c>
      <x:c r="Y66" s="18" t="str">
        <x:v>否</x:v>
      </x:c>
    </x:row>
    <x:row r="67" ht="75" customHeight="1">
      <x:c r="A67" s="19" t="str">
        <x:v>神戸駅前バス整理場</x:v>
      </x:c>
      <x:c r="B67" s="19" t="str">
        <x:v>待审核</x:v>
      </x:c>
      <x:c r="C67" s="20" t="n">
        <x:v>0</x:v>
      </x:c>
      <x:c r="D67" s="18" t="str">
        <x:v>否</x:v>
      </x:c>
      <x:c r="E67" s="19"/>
      <x:c r="F67" s="20"/>
      <x:c r="G67" s="19" t="str">
        <x:v>USAGE_DATA_UNAVAILABLE</x:v>
      </x:c>
      <x:c r="H67" s="19"/>
      <x:c r="I67" s="18" t="str">
        <x:v>navitime:02022-10069720</x:v>
      </x:c>
      <x:c r="J67" s="19" t="str">
        <x:v>OFFICIAL_VALIDATION_REQUIRED</x:v>
      </x:c>
      <x:c r="K67" s="19" t="str">
        <x:v>待审核</x:v>
      </x:c>
      <x:c r="L67" s="19" t="str">
        <x:v>待审核</x:v>
      </x:c>
      <x:c r="M67" s="19" t="str">
        <x:v>官方对应与物理去重待审核</x:v>
      </x:c>
      <x:c r="N67" s="19" t="str">
        <x:v>OFFICIAL_IDENTITY_FACILITY
OFFICIAL_COORDINATES
PHYSICAL_FACILITY_DEDUP
CURRENT_OPERATOR_SERVICES
USAGE_OR_FUNCTIONAL_TIER_REVIEW</x:v>
      </x:c>
      <x:c r="O67" s="21"/>
      <x:c r="P67" s="21"/>
      <x:c r="Q67" s="19" t="str">
        <x:v>兵庫県神戸市中央区東川崎町1-2</x:v>
      </x:c>
      <x:c r="R67" s="18" t="str">
        <x:v>navitime:02022-10069720</x:v>
      </x:c>
      <x:c r="S67" s="19" t="str">
        <x:v>https://www.navitime.co.jp/poi?spot=02022-10069720</x:v>
      </x:c>
      <x:c r="T67" s="19" t="str"/>
      <x:c r="U67" s="19" t="str"/>
      <x:c r="V67" s="19" t="str"/>
      <x:c r="W67" s="19"/>
      <x:c r="X67" s="18" t="str">
        <x:v>是</x:v>
      </x:c>
      <x:c r="Y67" s="18" t="str">
        <x:v>否</x:v>
      </x:c>
    </x:row>
    <x:row r="68" ht="75" customHeight="1">
      <x:c r="A68" s="19" t="str">
        <x:v>アクトシティ南バスのりば</x:v>
      </x:c>
      <x:c r="B68" s="19" t="str">
        <x:v>待审核</x:v>
      </x:c>
      <x:c r="C68" s="20" t="n">
        <x:v>0</x:v>
      </x:c>
      <x:c r="D68" s="18" t="str">
        <x:v>否</x:v>
      </x:c>
      <x:c r="E68" s="19"/>
      <x:c r="F68" s="20"/>
      <x:c r="G68" s="19" t="str">
        <x:v>USAGE_DATA_UNAVAILABLE</x:v>
      </x:c>
      <x:c r="H68" s="19"/>
      <x:c r="I68" s="18" t="str">
        <x:v>navitime:02022-10078368</x:v>
      </x:c>
      <x:c r="J68" s="19" t="str">
        <x:v>OFFICIAL_VALIDATION_REQUIRED</x:v>
      </x:c>
      <x:c r="K68" s="19" t="str">
        <x:v>待审核</x:v>
      </x:c>
      <x:c r="L68" s="19" t="str">
        <x:v>待审核</x:v>
      </x:c>
      <x:c r="M68" s="19" t="str">
        <x:v>官方对应与物理去重待审核</x:v>
      </x:c>
      <x:c r="N68" s="19" t="str">
        <x:v>OFFICIAL_IDENTITY_FACILITY
OFFICIAL_COORDINATES
PHYSICAL_FACILITY_DEDUP
CURRENT_OPERATOR_SERVICES
USAGE_OR_FUNCTIONAL_TIER_REVIEW</x:v>
      </x:c>
      <x:c r="O68" s="21"/>
      <x:c r="P68" s="21"/>
      <x:c r="Q68" s="19" t="str">
        <x:v>静岡県浜松市中央区砂山町</x:v>
      </x:c>
      <x:c r="R68" s="18" t="str">
        <x:v>navitime:02022-10078368</x:v>
      </x:c>
      <x:c r="S68" s="19" t="str">
        <x:v>https://www.navitime.co.jp/poi?spot=02022-10078368</x:v>
      </x:c>
      <x:c r="T68" s="19" t="str"/>
      <x:c r="U68" s="19" t="str"/>
      <x:c r="V68" s="19" t="str"/>
      <x:c r="W68" s="19"/>
      <x:c r="X68" s="18" t="str">
        <x:v>是</x:v>
      </x:c>
      <x:c r="Y68" s="18" t="str">
        <x:v>否</x:v>
      </x:c>
    </x:row>
    <x:row r="69" ht="75" customHeight="1">
      <x:c r="A69" s="19" t="str">
        <x:v>鹿児島銀行前観光バス乗降所</x:v>
      </x:c>
      <x:c r="B69" s="19" t="str">
        <x:v>待审核</x:v>
      </x:c>
      <x:c r="C69" s="20" t="n">
        <x:v>0</x:v>
      </x:c>
      <x:c r="D69" s="18" t="str">
        <x:v>否</x:v>
      </x:c>
      <x:c r="E69" s="19"/>
      <x:c r="F69" s="20"/>
      <x:c r="G69" s="19" t="str">
        <x:v>USAGE_DATA_UNAVAILABLE</x:v>
      </x:c>
      <x:c r="H69" s="19"/>
      <x:c r="I69" s="18" t="str">
        <x:v>navitime:02022-10079151</x:v>
      </x:c>
      <x:c r="J69" s="19" t="str">
        <x:v>OFFICIAL_VALIDATION_REQUIRED</x:v>
      </x:c>
      <x:c r="K69" s="19" t="str">
        <x:v>待审核</x:v>
      </x:c>
      <x:c r="L69" s="19" t="str">
        <x:v>待审核</x:v>
      </x:c>
      <x:c r="M69" s="19" t="str">
        <x:v>官方对应与物理去重待审核</x:v>
      </x:c>
      <x:c r="N69" s="19" t="str">
        <x:v>OFFICIAL_IDENTITY_FACILITY
OFFICIAL_COORDINATES
PHYSICAL_FACILITY_DEDUP
CURRENT_OPERATOR_SERVICES
USAGE_OR_FUNCTIONAL_TIER_REVIEW</x:v>
      </x:c>
      <x:c r="O69" s="21"/>
      <x:c r="P69" s="21"/>
      <x:c r="Q69" s="19" t="str">
        <x:v>鹿児島県鹿児島市泉町3</x:v>
      </x:c>
      <x:c r="R69" s="18" t="str">
        <x:v>navitime:02022-10079151</x:v>
      </x:c>
      <x:c r="S69" s="19" t="str">
        <x:v>https://www.navitime.co.jp/poi?spot=02022-10079151</x:v>
      </x:c>
      <x:c r="T69" s="19" t="str"/>
      <x:c r="U69" s="19" t="str"/>
      <x:c r="V69" s="19" t="str"/>
      <x:c r="W69" s="19"/>
      <x:c r="X69" s="18" t="str">
        <x:v>是</x:v>
      </x:c>
      <x:c r="Y69" s="18" t="str">
        <x:v>否</x:v>
      </x:c>
    </x:row>
    <x:row r="70" ht="75" customHeight="1">
      <x:c r="A70" s="19" t="str">
        <x:v>清水渓流広場 バス乗降場</x:v>
      </x:c>
      <x:c r="B70" s="19" t="str">
        <x:v>待审核</x:v>
      </x:c>
      <x:c r="C70" s="20" t="n">
        <x:v>0</x:v>
      </x:c>
      <x:c r="D70" s="18" t="str">
        <x:v>否</x:v>
      </x:c>
      <x:c r="E70" s="19"/>
      <x:c r="F70" s="20"/>
      <x:c r="G70" s="19" t="str">
        <x:v>USAGE_DATA_UNAVAILABLE</x:v>
      </x:c>
      <x:c r="H70" s="19"/>
      <x:c r="I70" s="18" t="str">
        <x:v>navitime:02022-10079558</x:v>
      </x:c>
      <x:c r="J70" s="19" t="str">
        <x:v>OFFICIAL_VALIDATION_REQUIRED</x:v>
      </x:c>
      <x:c r="K70" s="19" t="str">
        <x:v>待审核</x:v>
      </x:c>
      <x:c r="L70" s="19" t="str">
        <x:v>待审核</x:v>
      </x:c>
      <x:c r="M70" s="19" t="str">
        <x:v>官方对应与物理去重待审核</x:v>
      </x:c>
      <x:c r="N70" s="19" t="str">
        <x:v>OFFICIAL_IDENTITY_FACILITY
OFFICIAL_COORDINATES
PHYSICAL_FACILITY_DEDUP
CURRENT_OPERATOR_SERVICES
USAGE_OR_FUNCTIONAL_TIER_REVIEW</x:v>
      </x:c>
      <x:c r="O70" s="21"/>
      <x:c r="P70" s="21"/>
      <x:c r="Q70" s="19" t="str">
        <x:v>千葉県君津市笹1954-17</x:v>
      </x:c>
      <x:c r="R70" s="18" t="str">
        <x:v>navitime:02022-10079558</x:v>
      </x:c>
      <x:c r="S70" s="19" t="str">
        <x:v>https://www.navitime.co.jp/poi?spot=02022-10079558</x:v>
      </x:c>
      <x:c r="T70" s="19" t="str"/>
      <x:c r="U70" s="19" t="str"/>
      <x:c r="V70" s="19" t="str"/>
      <x:c r="W70" s="19"/>
      <x:c r="X70" s="18" t="str">
        <x:v>是</x:v>
      </x:c>
      <x:c r="Y70" s="18" t="str">
        <x:v>否</x:v>
      </x:c>
    </x:row>
    <x:row r="71" ht="75" customHeight="1">
      <x:c r="A71" s="19" t="str">
        <x:v>中部国際空港セントレア第1ターミナル 団体バス降車場</x:v>
      </x:c>
      <x:c r="B71" s="19" t="str">
        <x:v>待审核</x:v>
      </x:c>
      <x:c r="C71" s="20" t="n">
        <x:v>0</x:v>
      </x:c>
      <x:c r="D71" s="18" t="str">
        <x:v>否</x:v>
      </x:c>
      <x:c r="E71" s="19"/>
      <x:c r="F71" s="20"/>
      <x:c r="G71" s="19" t="str">
        <x:v>USAGE_DATA_UNAVAILABLE</x:v>
      </x:c>
      <x:c r="H71" s="19"/>
      <x:c r="I71" s="18" t="str">
        <x:v>navitime:02022-10081993</x:v>
      </x:c>
      <x:c r="J71" s="19" t="str">
        <x:v>OFFICIAL_VALIDATION_REQUIRED</x:v>
      </x:c>
      <x:c r="K71" s="19" t="str">
        <x:v>待审核</x:v>
      </x:c>
      <x:c r="L71" s="19" t="str">
        <x:v>待审核</x:v>
      </x:c>
      <x:c r="M71" s="19" t="str">
        <x:v>官方对应与物理去重待审核</x:v>
      </x:c>
      <x:c r="N71" s="19" t="str">
        <x:v>OFFICIAL_IDENTITY_FACILITY
OFFICIAL_COORDINATES
PHYSICAL_FACILITY_DEDUP
CURRENT_OPERATOR_SERVICES
USAGE_OR_FUNCTIONAL_TIER_REVIEW</x:v>
      </x:c>
      <x:c r="O71" s="21"/>
      <x:c r="P71" s="21"/>
      <x:c r="Q71" s="19" t="str">
        <x:v>愛知県常滑市セントレア1 中部国際空港セントレア第1ターミナルビル1F</x:v>
      </x:c>
      <x:c r="R71" s="18" t="str">
        <x:v>navitime:02022-10081993</x:v>
      </x:c>
      <x:c r="S71" s="19" t="str">
        <x:v>https://www.navitime.co.jp/poi?spot=02022-10081993</x:v>
      </x:c>
      <x:c r="T71" s="19" t="str"/>
      <x:c r="U71" s="19" t="str"/>
      <x:c r="V71" s="19" t="str"/>
      <x:c r="W71" s="19"/>
      <x:c r="X71" s="18" t="str">
        <x:v>是</x:v>
      </x:c>
      <x:c r="Y71" s="18" t="str">
        <x:v>否</x:v>
      </x:c>
    </x:row>
    <x:row r="72" ht="75" customHeight="1">
      <x:c r="A72" s="19" t="str">
        <x:v>中部国際空港セントレア第2ターミナル 団体バスのりば2</x:v>
      </x:c>
      <x:c r="B72" s="19" t="str">
        <x:v>待审核</x:v>
      </x:c>
      <x:c r="C72" s="20" t="n">
        <x:v>0</x:v>
      </x:c>
      <x:c r="D72" s="18" t="str">
        <x:v>否</x:v>
      </x:c>
      <x:c r="E72" s="19"/>
      <x:c r="F72" s="20"/>
      <x:c r="G72" s="19" t="str">
        <x:v>USAGE_DATA_UNAVAILABLE</x:v>
      </x:c>
      <x:c r="H72" s="19"/>
      <x:c r="I72" s="18" t="str">
        <x:v>navitime:02022-10081995</x:v>
      </x:c>
      <x:c r="J72" s="19" t="str">
        <x:v>OFFICIAL_VALIDATION_REQUIRED</x:v>
      </x:c>
      <x:c r="K72" s="19" t="str">
        <x:v>待审核</x:v>
      </x:c>
      <x:c r="L72" s="19" t="str">
        <x:v>待审核</x:v>
      </x:c>
      <x:c r="M72" s="19" t="str">
        <x:v>官方对应与物理去重待审核</x:v>
      </x:c>
      <x:c r="N72" s="19" t="str">
        <x:v>OFFICIAL_IDENTITY_FACILITY
OFFICIAL_COORDINATES
PHYSICAL_FACILITY_DEDUP
CURRENT_OPERATOR_SERVICES
USAGE_OR_FUNCTIONAL_TIER_REVIEW</x:v>
      </x:c>
      <x:c r="O72" s="21"/>
      <x:c r="P72" s="21"/>
      <x:c r="Q72" s="19" t="str">
        <x:v>愛知県常滑市セントレア5</x:v>
      </x:c>
      <x:c r="R72" s="18" t="str">
        <x:v>navitime:02022-10081995</x:v>
      </x:c>
      <x:c r="S72" s="19" t="str">
        <x:v>https://www.navitime.co.jp/poi?spot=02022-10081995</x:v>
      </x:c>
      <x:c r="T72" s="19" t="str"/>
      <x:c r="U72" s="19" t="str"/>
      <x:c r="V72" s="19" t="str"/>
      <x:c r="W72" s="19"/>
      <x:c r="X72" s="18" t="str">
        <x:v>是</x:v>
      </x:c>
      <x:c r="Y72" s="18" t="str">
        <x:v>否</x:v>
      </x:c>
    </x:row>
    <x:row r="73" ht="75" customHeight="1">
      <x:c r="A73" s="19" t="str">
        <x:v>月島観光バス乗降場</x:v>
      </x:c>
      <x:c r="B73" s="19" t="str">
        <x:v>待审核</x:v>
      </x:c>
      <x:c r="C73" s="20" t="n">
        <x:v>0</x:v>
      </x:c>
      <x:c r="D73" s="18" t="str">
        <x:v>否</x:v>
      </x:c>
      <x:c r="E73" s="19"/>
      <x:c r="F73" s="20"/>
      <x:c r="G73" s="19" t="str">
        <x:v>USAGE_DATA_UNAVAILABLE</x:v>
      </x:c>
      <x:c r="H73" s="19"/>
      <x:c r="I73" s="18" t="str">
        <x:v>navitime:02022-10083148</x:v>
      </x:c>
      <x:c r="J73" s="19" t="str">
        <x:v>OFFICIAL_VALIDATION_REQUIRED</x:v>
      </x:c>
      <x:c r="K73" s="19" t="str">
        <x:v>待审核</x:v>
      </x:c>
      <x:c r="L73" s="19" t="str">
        <x:v>待审核</x:v>
      </x:c>
      <x:c r="M73" s="19" t="str">
        <x:v>官方对应与物理去重待审核</x:v>
      </x:c>
      <x:c r="N73" s="19" t="str">
        <x:v>OFFICIAL_IDENTITY_FACILITY
OFFICIAL_COORDINATES
PHYSICAL_FACILITY_DEDUP
CURRENT_OPERATOR_SERVICES
USAGE_OR_FUNCTIONAL_TIER_REVIEW</x:v>
      </x:c>
      <x:c r="O73" s="21"/>
      <x:c r="P73" s="21"/>
      <x:c r="Q73" s="19" t="str">
        <x:v>東京都中央区月島1-3</x:v>
      </x:c>
      <x:c r="R73" s="18" t="str">
        <x:v>navitime:02022-10083148</x:v>
      </x:c>
      <x:c r="S73" s="19" t="str">
        <x:v>https://www.navitime.co.jp/poi?spot=02022-10083148</x:v>
      </x:c>
      <x:c r="T73" s="19" t="str"/>
      <x:c r="U73" s="19" t="str"/>
      <x:c r="V73" s="19" t="str"/>
      <x:c r="W73" s="19"/>
      <x:c r="X73" s="18" t="str">
        <x:v>是</x:v>
      </x:c>
      <x:c r="Y73" s="18" t="str">
        <x:v>否</x:v>
      </x:c>
    </x:row>
    <x:row r="74" ht="75" customHeight="1">
      <x:c r="A74" s="19" t="str">
        <x:v>USJ高速バス乗降場</x:v>
      </x:c>
      <x:c r="B74" s="19" t="str">
        <x:v>待审核</x:v>
      </x:c>
      <x:c r="C74" s="20" t="n">
        <x:v>0</x:v>
      </x:c>
      <x:c r="D74" s="18" t="str">
        <x:v>否</x:v>
      </x:c>
      <x:c r="E74" s="19"/>
      <x:c r="F74" s="20"/>
      <x:c r="G74" s="19" t="str">
        <x:v>USAGE_DATA_UNAVAILABLE</x:v>
      </x:c>
      <x:c r="H74" s="19"/>
      <x:c r="I74" s="18" t="str">
        <x:v>navitime:02022-10091708</x:v>
      </x:c>
      <x:c r="J74" s="19" t="str">
        <x:v>OFFICIAL_VALIDATION_REQUIRED</x:v>
      </x:c>
      <x:c r="K74" s="19" t="str">
        <x:v>待审核</x:v>
      </x:c>
      <x:c r="L74" s="19" t="str">
        <x:v>待审核</x:v>
      </x:c>
      <x:c r="M74" s="19" t="str">
        <x:v>官方对应与物理去重待审核</x:v>
      </x:c>
      <x:c r="N74" s="19" t="str">
        <x:v>OFFICIAL_IDENTITY_FACILITY
OFFICIAL_COORDINATES
PHYSICAL_FACILITY_DEDUP
CURRENT_OPERATOR_SERVICES
USAGE_OR_FUNCTIONAL_TIER_REVIEW</x:v>
      </x:c>
      <x:c r="O74" s="21"/>
      <x:c r="P74" s="21"/>
      <x:c r="Q74" s="19" t="str">
        <x:v>大阪府大阪市此花区桜島2丁目1</x:v>
      </x:c>
      <x:c r="R74" s="18" t="str">
        <x:v>navitime:02022-10091708</x:v>
      </x:c>
      <x:c r="S74" s="19" t="str">
        <x:v>https://www.navitime.co.jp/poi?spot=02022-10091708</x:v>
      </x:c>
      <x:c r="T74" s="19" t="str"/>
      <x:c r="U74" s="19" t="str"/>
      <x:c r="V74" s="19" t="str"/>
      <x:c r="W74" s="19"/>
      <x:c r="X74" s="18" t="str">
        <x:v>是</x:v>
      </x:c>
      <x:c r="Y74" s="18" t="str">
        <x:v>否</x:v>
      </x:c>
    </x:row>
    <x:row r="75" ht="75" customHeight="1">
      <x:c r="A75" s="19" t="str">
        <x:v>神戸三宮(高架商店街前)高速バス乗り場 Cバース</x:v>
      </x:c>
      <x:c r="B75" s="19" t="str">
        <x:v>待审核</x:v>
      </x:c>
      <x:c r="C75" s="20" t="n">
        <x:v>0</x:v>
      </x:c>
      <x:c r="D75" s="18" t="str">
        <x:v>否</x:v>
      </x:c>
      <x:c r="E75" s="19"/>
      <x:c r="F75" s="20"/>
      <x:c r="G75" s="19" t="str">
        <x:v>USAGE_DATA_UNAVAILABLE</x:v>
      </x:c>
      <x:c r="H75" s="19"/>
      <x:c r="I75" s="18" t="str">
        <x:v>navitime:02022-10091711</x:v>
      </x:c>
      <x:c r="J75" s="19" t="str">
        <x:v>OFFICIAL_VALIDATION_REQUIRED</x:v>
      </x:c>
      <x:c r="K75" s="19" t="str">
        <x:v>待审核</x:v>
      </x:c>
      <x:c r="L75" s="19" t="str">
        <x:v>待审核</x:v>
      </x:c>
      <x:c r="M75" s="19" t="str">
        <x:v>官方对应与物理去重待审核</x:v>
      </x:c>
      <x:c r="N75" s="19" t="str">
        <x:v>OFFICIAL_IDENTITY_FACILITY
OFFICIAL_COORDINATES
PHYSICAL_FACILITY_DEDUP
CURRENT_OPERATOR_SERVICES
USAGE_OR_FUNCTIONAL_TIER_REVIEW</x:v>
      </x:c>
      <x:c r="O75" s="21"/>
      <x:c r="P75" s="21"/>
      <x:c r="Q75" s="19" t="str">
        <x:v>兵庫県神戸市中央区北長狭通2丁目30</x:v>
      </x:c>
      <x:c r="R75" s="18" t="str">
        <x:v>navitime:02022-10091711</x:v>
      </x:c>
      <x:c r="S75" s="19" t="str">
        <x:v>https://www.navitime.co.jp/poi?spot=02022-10091711</x:v>
      </x:c>
      <x:c r="T75" s="19" t="str"/>
      <x:c r="U75" s="19" t="str"/>
      <x:c r="V75" s="19" t="str"/>
      <x:c r="W75" s="19"/>
      <x:c r="X75" s="18" t="str">
        <x:v>是</x:v>
      </x:c>
      <x:c r="Y75" s="18" t="str">
        <x:v>否</x:v>
      </x:c>
    </x:row>
    <x:row r="76" ht="75" customHeight="1">
      <x:c r="A76" s="19" t="str">
        <x:v>関西国際空港第1ターミナルビル 団体バス乗降場(北)</x:v>
      </x:c>
      <x:c r="B76" s="19" t="str">
        <x:v>待审核</x:v>
      </x:c>
      <x:c r="C76" s="20" t="n">
        <x:v>0</x:v>
      </x:c>
      <x:c r="D76" s="18" t="str">
        <x:v>否</x:v>
      </x:c>
      <x:c r="E76" s="19"/>
      <x:c r="F76" s="20"/>
      <x:c r="G76" s="19" t="str">
        <x:v>USAGE_DATA_UNAVAILABLE</x:v>
      </x:c>
      <x:c r="H76" s="19"/>
      <x:c r="I76" s="18" t="str">
        <x:v>navitime:02022-10091729</x:v>
      </x:c>
      <x:c r="J76" s="19" t="str">
        <x:v>OFFICIAL_VALIDATION_REQUIRED</x:v>
      </x:c>
      <x:c r="K76" s="19" t="str">
        <x:v>待审核</x:v>
      </x:c>
      <x:c r="L76" s="19" t="str">
        <x:v>待审核</x:v>
      </x:c>
      <x:c r="M76" s="19" t="str">
        <x:v>官方对应与物理去重待审核</x:v>
      </x:c>
      <x:c r="N76" s="19" t="str">
        <x:v>OFFICIAL_IDENTITY_FACILITY
OFFICIAL_COORDINATES
PHYSICAL_FACILITY_DEDUP
CURRENT_OPERATOR_SERVICES
USAGE_OR_FUNCTIONAL_TIER_REVIEW</x:v>
      </x:c>
      <x:c r="O76" s="21"/>
      <x:c r="P76" s="21"/>
      <x:c r="Q76" s="19" t="str">
        <x:v>大阪府泉南郡田尻町泉州空港中 第1ターミナルビル1F</x:v>
      </x:c>
      <x:c r="R76" s="18" t="str">
        <x:v>navitime:02022-10091729</x:v>
      </x:c>
      <x:c r="S76" s="19" t="str">
        <x:v>https://www.navitime.co.jp/poi?spot=02022-10091729</x:v>
      </x:c>
      <x:c r="T76" s="19" t="str"/>
      <x:c r="U76" s="19" t="str"/>
      <x:c r="V76" s="19" t="str"/>
      <x:c r="W76" s="19"/>
      <x:c r="X76" s="18" t="str">
        <x:v>是</x:v>
      </x:c>
      <x:c r="Y76" s="18" t="str">
        <x:v>否</x:v>
      </x:c>
    </x:row>
    <x:row r="77" ht="75" customHeight="1">
      <x:c r="A77" s="19" t="str">
        <x:v>関西国際空港第1ターミナルビル 団体バス乗降場(南)</x:v>
      </x:c>
      <x:c r="B77" s="19" t="str">
        <x:v>待审核</x:v>
      </x:c>
      <x:c r="C77" s="20" t="n">
        <x:v>0</x:v>
      </x:c>
      <x:c r="D77" s="18" t="str">
        <x:v>否</x:v>
      </x:c>
      <x:c r="E77" s="19"/>
      <x:c r="F77" s="20"/>
      <x:c r="G77" s="19" t="str">
        <x:v>USAGE_DATA_UNAVAILABLE</x:v>
      </x:c>
      <x:c r="H77" s="19"/>
      <x:c r="I77" s="18" t="str">
        <x:v>navitime:02022-10091730</x:v>
      </x:c>
      <x:c r="J77" s="19" t="str">
        <x:v>OFFICIAL_VALIDATION_REQUIRED</x:v>
      </x:c>
      <x:c r="K77" s="19" t="str">
        <x:v>待审核</x:v>
      </x:c>
      <x:c r="L77" s="19" t="str">
        <x:v>待审核</x:v>
      </x:c>
      <x:c r="M77" s="19" t="str">
        <x:v>官方对应与物理去重待审核</x:v>
      </x:c>
      <x:c r="N77" s="19" t="str">
        <x:v>OFFICIAL_IDENTITY_FACILITY
OFFICIAL_COORDINATES
PHYSICAL_FACILITY_DEDUP
CURRENT_OPERATOR_SERVICES
USAGE_OR_FUNCTIONAL_TIER_REVIEW</x:v>
      </x:c>
      <x:c r="O77" s="21"/>
      <x:c r="P77" s="21"/>
      <x:c r="Q77" s="19" t="str">
        <x:v>大阪府泉南郡田尻町泉州空港中 第1ターミナルビル1F</x:v>
      </x:c>
      <x:c r="R77" s="18" t="str">
        <x:v>navitime:02022-10091730</x:v>
      </x:c>
      <x:c r="S77" s="19" t="str">
        <x:v>https://www.navitime.co.jp/poi?spot=02022-10091730</x:v>
      </x:c>
      <x:c r="T77" s="19" t="str"/>
      <x:c r="U77" s="19" t="str"/>
      <x:c r="V77" s="19" t="str"/>
      <x:c r="W77" s="19"/>
      <x:c r="X77" s="18" t="str">
        <x:v>是</x:v>
      </x:c>
      <x:c r="Y77" s="18" t="str">
        <x:v>否</x:v>
      </x:c>
    </x:row>
    <x:row r="78" ht="75" customHeight="1">
      <x:c r="A78" s="19" t="str">
        <x:v>関西国際空港第2ターミナルビル 団体バス降車場</x:v>
      </x:c>
      <x:c r="B78" s="19" t="str">
        <x:v>待审核</x:v>
      </x:c>
      <x:c r="C78" s="20" t="n">
        <x:v>0</x:v>
      </x:c>
      <x:c r="D78" s="18" t="str">
        <x:v>否</x:v>
      </x:c>
      <x:c r="E78" s="19"/>
      <x:c r="F78" s="20"/>
      <x:c r="G78" s="19" t="str">
        <x:v>USAGE_DATA_UNAVAILABLE</x:v>
      </x:c>
      <x:c r="H78" s="19"/>
      <x:c r="I78" s="18" t="str">
        <x:v>navitime:02022-10091731</x:v>
      </x:c>
      <x:c r="J78" s="19" t="str">
        <x:v>OFFICIAL_VALIDATION_REQUIRED</x:v>
      </x:c>
      <x:c r="K78" s="19" t="str">
        <x:v>待审核</x:v>
      </x:c>
      <x:c r="L78" s="19" t="str">
        <x:v>待审核</x:v>
      </x:c>
      <x:c r="M78" s="19" t="str">
        <x:v>官方对应与物理去重待审核</x:v>
      </x:c>
      <x:c r="N78" s="19" t="str">
        <x:v>OFFICIAL_IDENTITY_FACILITY
OFFICIAL_COORDINATES
PHYSICAL_FACILITY_DEDUP
CURRENT_OPERATOR_SERVICES
USAGE_OR_FUNCTIONAL_TIER_REVIEW</x:v>
      </x:c>
      <x:c r="O78" s="21"/>
      <x:c r="P78" s="21"/>
      <x:c r="Q78" s="19" t="str">
        <x:v>大阪府泉南郡田尻町泉州空港中 第2ターミナルビル1F</x:v>
      </x:c>
      <x:c r="R78" s="18" t="str">
        <x:v>navitime:02022-10091731</x:v>
      </x:c>
      <x:c r="S78" s="19" t="str">
        <x:v>https://www.navitime.co.jp/poi?spot=02022-10091731</x:v>
      </x:c>
      <x:c r="T78" s="19" t="str"/>
      <x:c r="U78" s="19" t="str"/>
      <x:c r="V78" s="19" t="str"/>
      <x:c r="W78" s="19"/>
      <x:c r="X78" s="18" t="str">
        <x:v>是</x:v>
      </x:c>
      <x:c r="Y78" s="18" t="str">
        <x:v>否</x:v>
      </x:c>
    </x:row>
    <x:row r="79" ht="75" customHeight="1">
      <x:c r="A79" s="19" t="str">
        <x:v>倉敷駅北口観光バス乗降場</x:v>
      </x:c>
      <x:c r="B79" s="19" t="str">
        <x:v>待审核</x:v>
      </x:c>
      <x:c r="C79" s="20" t="n">
        <x:v>0</x:v>
      </x:c>
      <x:c r="D79" s="18" t="str">
        <x:v>否</x:v>
      </x:c>
      <x:c r="E79" s="19"/>
      <x:c r="F79" s="20"/>
      <x:c r="G79" s="19" t="str">
        <x:v>USAGE_DATA_UNAVAILABLE</x:v>
      </x:c>
      <x:c r="H79" s="19"/>
      <x:c r="I79" s="18" t="str">
        <x:v>navitime:02022-10092229</x:v>
      </x:c>
      <x:c r="J79" s="19" t="str">
        <x:v>OFFICIAL_VALIDATION_REQUIRED</x:v>
      </x:c>
      <x:c r="K79" s="19" t="str">
        <x:v>待审核</x:v>
      </x:c>
      <x:c r="L79" s="19" t="str">
        <x:v>待审核</x:v>
      </x:c>
      <x:c r="M79" s="19" t="str">
        <x:v>官方对应与物理去重待审核</x:v>
      </x:c>
      <x:c r="N79" s="19" t="str">
        <x:v>OFFICIAL_IDENTITY_FACILITY
OFFICIAL_COORDINATES
PHYSICAL_FACILITY_DEDUP
CURRENT_OPERATOR_SERVICES
USAGE_OR_FUNCTIONAL_TIER_REVIEW</x:v>
      </x:c>
      <x:c r="O79" s="21"/>
      <x:c r="P79" s="21"/>
      <x:c r="Q79" s="19" t="str">
        <x:v>岡山県倉敷市寿町13</x:v>
      </x:c>
      <x:c r="R79" s="18" t="str">
        <x:v>navitime:02022-10092229</x:v>
      </x:c>
      <x:c r="S79" s="19" t="str">
        <x:v>https://www.navitime.co.jp/poi?spot=02022-10092229</x:v>
      </x:c>
      <x:c r="T79" s="19" t="str"/>
      <x:c r="U79" s="19" t="str"/>
      <x:c r="V79" s="19" t="str"/>
      <x:c r="W79" s="19"/>
      <x:c r="X79" s="18" t="str">
        <x:v>是</x:v>
      </x:c>
      <x:c r="Y79" s="18" t="str">
        <x:v>否</x:v>
      </x:c>
    </x:row>
    <x:row r="80" ht="75" customHeight="1">
      <x:c r="A80" s="19" t="str">
        <x:v>倉敷駅南口観光バス乗降場</x:v>
      </x:c>
      <x:c r="B80" s="19" t="str">
        <x:v>待审核</x:v>
      </x:c>
      <x:c r="C80" s="20" t="n">
        <x:v>0</x:v>
      </x:c>
      <x:c r="D80" s="18" t="str">
        <x:v>否</x:v>
      </x:c>
      <x:c r="E80" s="19"/>
      <x:c r="F80" s="20"/>
      <x:c r="G80" s="19" t="str">
        <x:v>USAGE_DATA_UNAVAILABLE</x:v>
      </x:c>
      <x:c r="H80" s="19"/>
      <x:c r="I80" s="18" t="str">
        <x:v>navitime:02022-10092230</x:v>
      </x:c>
      <x:c r="J80" s="19" t="str">
        <x:v>OFFICIAL_VALIDATION_REQUIRED</x:v>
      </x:c>
      <x:c r="K80" s="19" t="str">
        <x:v>待审核</x:v>
      </x:c>
      <x:c r="L80" s="19" t="str">
        <x:v>待审核</x:v>
      </x:c>
      <x:c r="M80" s="19" t="str">
        <x:v>官方对应与物理去重待审核</x:v>
      </x:c>
      <x:c r="N80" s="19" t="str">
        <x:v>OFFICIAL_IDENTITY_FACILITY
OFFICIAL_COORDINATES
PHYSICAL_FACILITY_DEDUP
CURRENT_OPERATOR_SERVICES
USAGE_OR_FUNCTIONAL_TIER_REVIEW</x:v>
      </x:c>
      <x:c r="O80" s="21"/>
      <x:c r="P80" s="21"/>
      <x:c r="Q80" s="19" t="str">
        <x:v>岡山県倉敷市阿知1丁目7-2</x:v>
      </x:c>
      <x:c r="R80" s="18" t="str">
        <x:v>navitime:02022-10092230</x:v>
      </x:c>
      <x:c r="S80" s="19" t="str">
        <x:v>https://www.navitime.co.jp/poi?spot=02022-10092230</x:v>
      </x:c>
      <x:c r="T80" s="19" t="str"/>
      <x:c r="U80" s="19" t="str"/>
      <x:c r="V80" s="19" t="str"/>
      <x:c r="W80" s="19"/>
      <x:c r="X80" s="18" t="str">
        <x:v>是</x:v>
      </x:c>
      <x:c r="Y80" s="18" t="str">
        <x:v>否</x:v>
      </x:c>
    </x:row>
    <x:row r="81" ht="75" customHeight="1">
      <x:c r="A81" s="19" t="str">
        <x:v>中央バス札幌ターミナル</x:v>
      </x:c>
      <x:c r="B81" s="19" t="str">
        <x:v>待审核</x:v>
      </x:c>
      <x:c r="C81" s="20" t="n">
        <x:v>0</x:v>
      </x:c>
      <x:c r="D81" s="18" t="str">
        <x:v>否</x:v>
      </x:c>
      <x:c r="E81" s="19"/>
      <x:c r="F81" s="20"/>
      <x:c r="G81" s="19" t="str">
        <x:v>USAGE_DATA_UNAVAILABLE</x:v>
      </x:c>
      <x:c r="H81" s="19"/>
      <x:c r="I81" s="18" t="str">
        <x:v>navitime:02022-10100196</x:v>
      </x:c>
      <x:c r="J81" s="19" t="str">
        <x:v>OFFICIAL_VALIDATION_REQUIRED</x:v>
      </x:c>
      <x:c r="K81" s="19" t="str">
        <x:v>待审核</x:v>
      </x:c>
      <x:c r="L81" s="19" t="str">
        <x:v>待审核</x:v>
      </x:c>
      <x:c r="M81" s="19" t="str">
        <x:v>官方对应与物理去重待审核</x:v>
      </x:c>
      <x:c r="N81" s="19" t="str">
        <x:v>OFFICIAL_IDENTITY_FACILITY
OFFICIAL_COORDINATES
PHYSICAL_FACILITY_DEDUP
CURRENT_OPERATOR_SERVICES
USAGE_OR_FUNCTIONAL_TIER_REVIEW</x:v>
      </x:c>
      <x:c r="O81" s="21"/>
      <x:c r="P81" s="21"/>
      <x:c r="Q81" s="19" t="str">
        <x:v>北海道札幌市中央区大通東1-3</x:v>
      </x:c>
      <x:c r="R81" s="18" t="str">
        <x:v>navitime:02022-10100196</x:v>
      </x:c>
      <x:c r="S81" s="19" t="str">
        <x:v>https://www.navitime.co.jp/poi?spot=02022-10100196</x:v>
      </x:c>
      <x:c r="T81" s="19" t="str"/>
      <x:c r="U81" s="19" t="str"/>
      <x:c r="V81" s="19" t="str"/>
      <x:c r="W81" s="19"/>
      <x:c r="X81" s="18" t="str">
        <x:v>是</x:v>
      </x:c>
      <x:c r="Y81" s="18" t="str">
        <x:v>否</x:v>
      </x:c>
    </x:row>
    <x:row r="82" ht="75" customHeight="1">
      <x:c r="A82" s="19" t="str">
        <x:v>福岡空港 国際線 団体バス乗り場</x:v>
      </x:c>
      <x:c r="B82" s="19" t="str">
        <x:v>待审核</x:v>
      </x:c>
      <x:c r="C82" s="20" t="n">
        <x:v>0</x:v>
      </x:c>
      <x:c r="D82" s="18" t="str">
        <x:v>否</x:v>
      </x:c>
      <x:c r="E82" s="19"/>
      <x:c r="F82" s="20"/>
      <x:c r="G82" s="19" t="str">
        <x:v>USAGE_DATA_UNAVAILABLE</x:v>
      </x:c>
      <x:c r="H82" s="19"/>
      <x:c r="I82" s="18" t="str">
        <x:v>navitime:02022-10109069</x:v>
      </x:c>
      <x:c r="J82" s="19" t="str">
        <x:v>OFFICIAL_VALIDATION_REQUIRED</x:v>
      </x:c>
      <x:c r="K82" s="19" t="str">
        <x:v>待审核</x:v>
      </x:c>
      <x:c r="L82" s="19" t="str">
        <x:v>待审核</x:v>
      </x:c>
      <x:c r="M82" s="19" t="str">
        <x:v>官方对应与物理去重待审核</x:v>
      </x:c>
      <x:c r="N82" s="19" t="str">
        <x:v>OFFICIAL_IDENTITY_FACILITY
OFFICIAL_COORDINATES
PHYSICAL_FACILITY_DEDUP
CURRENT_OPERATOR_SERVICES
USAGE_OR_FUNCTIONAL_TIER_REVIEW</x:v>
      </x:c>
      <x:c r="O82" s="21"/>
      <x:c r="P82" s="21"/>
      <x:c r="Q82" s="19" t="str">
        <x:v>福岡県福岡市博多区雀居</x:v>
      </x:c>
      <x:c r="R82" s="18" t="str">
        <x:v>navitime:02022-10109069</x:v>
      </x:c>
      <x:c r="S82" s="19" t="str">
        <x:v>https://www.navitime.co.jp/poi?spot=02022-10109069</x:v>
      </x:c>
      <x:c r="T82" s="19" t="str"/>
      <x:c r="U82" s="19" t="str"/>
      <x:c r="V82" s="19" t="str"/>
      <x:c r="W82" s="19"/>
      <x:c r="X82" s="18" t="str">
        <x:v>是</x:v>
      </x:c>
      <x:c r="Y82" s="18" t="str">
        <x:v>否</x:v>
      </x:c>
    </x:row>
    <x:row r="83" ht="75" customHeight="1">
      <x:c r="A83" s="19" t="str">
        <x:v>福岡空港 国内線 団体バス乗り場</x:v>
      </x:c>
      <x:c r="B83" s="19" t="str">
        <x:v>待审核</x:v>
      </x:c>
      <x:c r="C83" s="20" t="n">
        <x:v>0</x:v>
      </x:c>
      <x:c r="D83" s="18" t="str">
        <x:v>否</x:v>
      </x:c>
      <x:c r="E83" s="19"/>
      <x:c r="F83" s="20"/>
      <x:c r="G83" s="19" t="str">
        <x:v>USAGE_DATA_UNAVAILABLE</x:v>
      </x:c>
      <x:c r="H83" s="19"/>
      <x:c r="I83" s="18" t="str">
        <x:v>navitime:02022-10109070</x:v>
      </x:c>
      <x:c r="J83" s="19" t="str">
        <x:v>OFFICIAL_VALIDATION_REQUIRED</x:v>
      </x:c>
      <x:c r="K83" s="19" t="str">
        <x:v>待审核</x:v>
      </x:c>
      <x:c r="L83" s="19" t="str">
        <x:v>待审核</x:v>
      </x:c>
      <x:c r="M83" s="19" t="str">
        <x:v>官方对应与物理去重待审核</x:v>
      </x:c>
      <x:c r="N83" s="19" t="str">
        <x:v>OFFICIAL_IDENTITY_FACILITY
OFFICIAL_COORDINATES
PHYSICAL_FACILITY_DEDUP
CURRENT_OPERATOR_SERVICES
USAGE_OR_FUNCTIONAL_TIER_REVIEW</x:v>
      </x:c>
      <x:c r="O83" s="21"/>
      <x:c r="P83" s="21"/>
      <x:c r="Q83" s="19" t="str">
        <x:v>福岡県福岡市博多区上臼井</x:v>
      </x:c>
      <x:c r="R83" s="18" t="str">
        <x:v>navitime:02022-10109070</x:v>
      </x:c>
      <x:c r="S83" s="19" t="str">
        <x:v>https://www.navitime.co.jp/poi?spot=02022-10109070</x:v>
      </x:c>
      <x:c r="T83" s="19" t="str"/>
      <x:c r="U83" s="19" t="str"/>
      <x:c r="V83" s="19" t="str"/>
      <x:c r="W83" s="19"/>
      <x:c r="X83" s="18" t="str">
        <x:v>是</x:v>
      </x:c>
      <x:c r="Y83" s="18" t="str">
        <x:v>否</x:v>
      </x:c>
    </x:row>
    <x:row r="84" ht="75" customHeight="1">
      <x:c r="A84" s="19" t="str">
        <x:v>三保松原 観光バス乗降場</x:v>
      </x:c>
      <x:c r="B84" s="19" t="str">
        <x:v>待审核</x:v>
      </x:c>
      <x:c r="C84" s="20" t="n">
        <x:v>0</x:v>
      </x:c>
      <x:c r="D84" s="18" t="str">
        <x:v>否</x:v>
      </x:c>
      <x:c r="E84" s="19"/>
      <x:c r="F84" s="20"/>
      <x:c r="G84" s="19" t="str">
        <x:v>USAGE_DATA_UNAVAILABLE</x:v>
      </x:c>
      <x:c r="H84" s="19"/>
      <x:c r="I84" s="18" t="str">
        <x:v>navitime:02022-10110999</x:v>
      </x:c>
      <x:c r="J84" s="19" t="str">
        <x:v>OFFICIAL_VALIDATION_REQUIRED</x:v>
      </x:c>
      <x:c r="K84" s="19" t="str">
        <x:v>待审核</x:v>
      </x:c>
      <x:c r="L84" s="19" t="str">
        <x:v>待审核</x:v>
      </x:c>
      <x:c r="M84" s="19" t="str">
        <x:v>官方对应与物理去重待审核</x:v>
      </x:c>
      <x:c r="N84" s="19" t="str">
        <x:v>OFFICIAL_IDENTITY_FACILITY
OFFICIAL_COORDINATES
PHYSICAL_FACILITY_DEDUP
CURRENT_OPERATOR_SERVICES
USAGE_OR_FUNCTIONAL_TIER_REVIEW</x:v>
      </x:c>
      <x:c r="O84" s="21"/>
      <x:c r="P84" s="21"/>
      <x:c r="Q84" s="19" t="str">
        <x:v>静岡県静岡市清水区三保松原町7</x:v>
      </x:c>
      <x:c r="R84" s="18" t="str">
        <x:v>navitime:02022-10110999</x:v>
      </x:c>
      <x:c r="S84" s="19" t="str">
        <x:v>https://www.navitime.co.jp/poi?spot=02022-10110999</x:v>
      </x:c>
      <x:c r="T84" s="19" t="str"/>
      <x:c r="U84" s="19" t="str"/>
      <x:c r="V84" s="19" t="str"/>
      <x:c r="W84" s="19"/>
      <x:c r="X84" s="18" t="str">
        <x:v>是</x:v>
      </x:c>
      <x:c r="Y84" s="18" t="str">
        <x:v>否</x:v>
      </x:c>
    </x:row>
    <x:row r="85" ht="75" customHeight="1">
      <x:c r="A85" s="19" t="str">
        <x:v>神戸空港第1ターミナルビル 観光バス乗降場</x:v>
      </x:c>
      <x:c r="B85" s="19" t="str">
        <x:v>待审核</x:v>
      </x:c>
      <x:c r="C85" s="20" t="n">
        <x:v>0</x:v>
      </x:c>
      <x:c r="D85" s="18" t="str">
        <x:v>否</x:v>
      </x:c>
      <x:c r="E85" s="19"/>
      <x:c r="F85" s="20"/>
      <x:c r="G85" s="19" t="str">
        <x:v>USAGE_DATA_UNAVAILABLE</x:v>
      </x:c>
      <x:c r="H85" s="19"/>
      <x:c r="I85" s="18" t="str">
        <x:v>navitime:02022-10114061</x:v>
      </x:c>
      <x:c r="J85" s="19" t="str">
        <x:v>OFFICIAL_VALIDATION_REQUIRED</x:v>
      </x:c>
      <x:c r="K85" s="19" t="str">
        <x:v>待审核</x:v>
      </x:c>
      <x:c r="L85" s="19" t="str">
        <x:v>待审核</x:v>
      </x:c>
      <x:c r="M85" s="19" t="str">
        <x:v>官方对应与物理去重待审核</x:v>
      </x:c>
      <x:c r="N85" s="19" t="str">
        <x:v>OFFICIAL_IDENTITY_FACILITY
OFFICIAL_COORDINATES
PHYSICAL_FACILITY_DEDUP
CURRENT_OPERATOR_SERVICES
USAGE_OR_FUNCTIONAL_TIER_REVIEW</x:v>
      </x:c>
      <x:c r="O85" s="21"/>
      <x:c r="P85" s="21"/>
      <x:c r="Q85" s="19" t="str">
        <x:v>兵庫県神戸市中央区神戸空港3</x:v>
      </x:c>
      <x:c r="R85" s="18" t="str">
        <x:v>navitime:02022-10114061</x:v>
      </x:c>
      <x:c r="S85" s="19" t="str">
        <x:v>https://www.navitime.co.jp/poi?spot=02022-10114061</x:v>
      </x:c>
      <x:c r="T85" s="19" t="str"/>
      <x:c r="U85" s="19" t="str"/>
      <x:c r="V85" s="19" t="str"/>
      <x:c r="W85" s="19"/>
      <x:c r="X85" s="18" t="str">
        <x:v>是</x:v>
      </x:c>
      <x:c r="Y85" s="18" t="str">
        <x:v>否</x:v>
      </x:c>
    </x:row>
    <x:row r="86" ht="75" customHeight="1">
      <x:c r="A86" s="19" t="str">
        <x:v>神戸空港第2ターミナルビル 観光バス乗降場</x:v>
      </x:c>
      <x:c r="B86" s="19" t="str">
        <x:v>待审核</x:v>
      </x:c>
      <x:c r="C86" s="20" t="n">
        <x:v>0</x:v>
      </x:c>
      <x:c r="D86" s="18" t="str">
        <x:v>否</x:v>
      </x:c>
      <x:c r="E86" s="19"/>
      <x:c r="F86" s="20"/>
      <x:c r="G86" s="19" t="str">
        <x:v>USAGE_DATA_UNAVAILABLE</x:v>
      </x:c>
      <x:c r="H86" s="19"/>
      <x:c r="I86" s="18" t="str">
        <x:v>navitime:02022-10114062</x:v>
      </x:c>
      <x:c r="J86" s="19" t="str">
        <x:v>OFFICIAL_VALIDATION_REQUIRED</x:v>
      </x:c>
      <x:c r="K86" s="19" t="str">
        <x:v>待审核</x:v>
      </x:c>
      <x:c r="L86" s="19" t="str">
        <x:v>待审核</x:v>
      </x:c>
      <x:c r="M86" s="19" t="str">
        <x:v>官方对应与物理去重待审核</x:v>
      </x:c>
      <x:c r="N86" s="19" t="str">
        <x:v>OFFICIAL_IDENTITY_FACILITY
OFFICIAL_COORDINATES
PHYSICAL_FACILITY_DEDUP
CURRENT_OPERATOR_SERVICES
USAGE_OR_FUNCTIONAL_TIER_REVIEW</x:v>
      </x:c>
      <x:c r="O86" s="21"/>
      <x:c r="P86" s="21"/>
      <x:c r="Q86" s="19" t="str">
        <x:v>兵庫県神戸市中央区神戸空港1</x:v>
      </x:c>
      <x:c r="R86" s="18" t="str">
        <x:v>navitime:02022-10114062</x:v>
      </x:c>
      <x:c r="S86" s="19" t="str">
        <x:v>https://www.navitime.co.jp/poi?spot=02022-10114062</x:v>
      </x:c>
      <x:c r="T86" s="19" t="str"/>
      <x:c r="U86" s="19" t="str"/>
      <x:c r="V86" s="19" t="str"/>
      <x:c r="W86" s="19"/>
      <x:c r="X86" s="18" t="str">
        <x:v>是</x:v>
      </x:c>
      <x:c r="Y86" s="18" t="str">
        <x:v>否</x:v>
      </x:c>
    </x:row>
    <x:row r="87" ht="75" customHeight="1">
      <x:c r="A87" s="19" t="str">
        <x:v>さわんどバスターミナル</x:v>
      </x:c>
      <x:c r="B87" s="19" t="str">
        <x:v>待审核</x:v>
      </x:c>
      <x:c r="C87" s="20" t="n">
        <x:v>0</x:v>
      </x:c>
      <x:c r="D87" s="18" t="str">
        <x:v>否</x:v>
      </x:c>
      <x:c r="E87" s="19"/>
      <x:c r="F87" s="20"/>
      <x:c r="G87" s="19" t="str">
        <x:v>USAGE_DATA_UNAVAILABLE</x:v>
      </x:c>
      <x:c r="H87" s="19"/>
      <x:c r="I87" s="18" t="str">
        <x:v>navitime:02022-10114569</x:v>
      </x:c>
      <x:c r="J87" s="19" t="str">
        <x:v>OFFICIAL_VALIDATION_REQUIRED</x:v>
      </x:c>
      <x:c r="K87" s="19" t="str">
        <x:v>待审核</x:v>
      </x:c>
      <x:c r="L87" s="19" t="str">
        <x:v>待审核</x:v>
      </x:c>
      <x:c r="M87" s="19" t="str">
        <x:v>官方对应与物理去重待审核</x:v>
      </x:c>
      <x:c r="N87" s="19" t="str">
        <x:v>OFFICIAL_IDENTITY_FACILITY
OFFICIAL_COORDINATES
PHYSICAL_FACILITY_DEDUP
CURRENT_OPERATOR_SERVICES
USAGE_OR_FUNCTIONAL_TIER_REVIEW</x:v>
      </x:c>
      <x:c r="O87" s="21"/>
      <x:c r="P87" s="21"/>
      <x:c r="Q87" s="19" t="str">
        <x:v>長野県松本市安曇4466-52</x:v>
      </x:c>
      <x:c r="R87" s="18" t="str">
        <x:v>navitime:02022-10114569</x:v>
      </x:c>
      <x:c r="S87" s="19" t="str">
        <x:v>https://www.navitime.co.jp/poi?spot=02022-10114569</x:v>
      </x:c>
      <x:c r="T87" s="19" t="str"/>
      <x:c r="U87" s="19" t="str"/>
      <x:c r="V87" s="19" t="str"/>
      <x:c r="W87" s="19"/>
      <x:c r="X87" s="18" t="str">
        <x:v>是</x:v>
      </x:c>
      <x:c r="Y87" s="18" t="str">
        <x:v>否</x:v>
      </x:c>
    </x:row>
    <x:row r="88" ht="75" customHeight="1">
      <x:c r="A88" s="19" t="str">
        <x:v>バスターミナル東京八重洲 地下A</x:v>
      </x:c>
      <x:c r="B88" s="19" t="str">
        <x:v>待审核</x:v>
      </x:c>
      <x:c r="C88" s="20" t="n">
        <x:v>2</x:v>
      </x:c>
      <x:c r="D88" s="18" t="str">
        <x:v>否</x:v>
      </x:c>
      <x:c r="E88" s="19"/>
      <x:c r="F88" s="20"/>
      <x:c r="G88" s="19" t="str">
        <x:v>USAGE_DATA_UNAVAILABLE</x:v>
      </x:c>
      <x:c r="H88" s="19"/>
      <x:c r="I88" s="18" t="str">
        <x:v>navitime:02022-10117677</x:v>
      </x:c>
      <x:c r="J88" s="19" t="str">
        <x:v>部分官方证据</x:v>
      </x:c>
      <x:c r="K88" s="19" t="str">
        <x:v>待审核</x:v>
      </x:c>
      <x:c r="L88" s="19" t="str">
        <x:v>部分官方证据</x:v>
      </x:c>
      <x:c r="M88" s="19" t="str">
        <x:v>官方对应与物理去重待审核</x:v>
      </x:c>
      <x:c r="N88" s="19" t="str">
        <x:v>OFFICIAL_COORDINATES
PHYSICAL_FACILITY_DEDUP
CURRENT_OPERATOR_SERVICES
USAGE_OR_FUNCTIONAL_TIER_REVIEW</x:v>
      </x:c>
      <x:c r="O88" s="21"/>
      <x:c r="P88" s="21"/>
      <x:c r="Q88" s="19" t="str">
        <x:v>東京都中央区八重洲1-6-1 トフロムヤエス B1F</x:v>
      </x:c>
      <x:c r="R88" s="18" t="str">
        <x:v>navitime:02022-10117677</x:v>
      </x:c>
      <x:c r="S88" s="19" t="str">
        <x:v>https://www.navitime.co.jp/poi?spot=02022-10117677</x:v>
      </x:c>
      <x:c r="T88" s="19" t="str">
        <x:v>京王電鉄バス</x:v>
      </x:c>
      <x:c r="U88" s="19" t="str">
        <x:v>東京都中央区八重洲2丁目100番地／八重洲1丁目300番地</x:v>
      </x:c>
      <x:c r="V88" s="19" t="str">
        <x:v>REGISTERED_FACILITY_OPERATOR_ADDRESS_BERTHS
https://www.mlit.go.jp/jidosha/content/001999724.pdf
页 1，条 12
PRIOR_OFFICIAL_FACILITY_REVIEW
https://bt-tokyoyaesu.com/</x:v>
      </x:c>
      <x:c r="W88" s="19"/>
      <x:c r="X88" s="18" t="str">
        <x:v>是</x:v>
      </x:c>
      <x:c r="Y88" s="18" t="str">
        <x:v>否</x:v>
      </x:c>
    </x:row>
    <x:row r="89" ht="75" customHeight="1">
      <x:c r="A89" s="19" t="str">
        <x:v>リバーウォーク北九州 観光バス降車場</x:v>
      </x:c>
      <x:c r="B89" s="19" t="str">
        <x:v>待审核</x:v>
      </x:c>
      <x:c r="C89" s="20" t="n">
        <x:v>0</x:v>
      </x:c>
      <x:c r="D89" s="18" t="str">
        <x:v>否</x:v>
      </x:c>
      <x:c r="E89" s="19"/>
      <x:c r="F89" s="20"/>
      <x:c r="G89" s="19" t="str">
        <x:v>USAGE_DATA_UNAVAILABLE</x:v>
      </x:c>
      <x:c r="H89" s="19"/>
      <x:c r="I89" s="18" t="str">
        <x:v>navitime:02022-10127376</x:v>
      </x:c>
      <x:c r="J89" s="19" t="str">
        <x:v>OFFICIAL_VALIDATION_REQUIRED</x:v>
      </x:c>
      <x:c r="K89" s="19" t="str">
        <x:v>待审核</x:v>
      </x:c>
      <x:c r="L89" s="19" t="str">
        <x:v>待审核</x:v>
      </x:c>
      <x:c r="M89" s="19" t="str">
        <x:v>官方对应与物理去重待审核</x:v>
      </x:c>
      <x:c r="N89" s="19" t="str">
        <x:v>OFFICIAL_IDENTITY_FACILITY
OFFICIAL_COORDINATES
PHYSICAL_FACILITY_DEDUP
CURRENT_OPERATOR_SERVICES
USAGE_OR_FUNCTIONAL_TIER_REVIEW</x:v>
      </x:c>
      <x:c r="O89" s="21"/>
      <x:c r="P89" s="21"/>
      <x:c r="Q89" s="19" t="str">
        <x:v>福岡県北九州市小倉北区室町1丁目1-1</x:v>
      </x:c>
      <x:c r="R89" s="18" t="str">
        <x:v>navitime:02022-10127376</x:v>
      </x:c>
      <x:c r="S89" s="19" t="str">
        <x:v>https://www.navitime.co.jp/poi?spot=02022-10127376</x:v>
      </x:c>
      <x:c r="T89" s="19" t="str"/>
      <x:c r="U89" s="19" t="str"/>
      <x:c r="V89" s="19" t="str"/>
      <x:c r="W89" s="19"/>
      <x:c r="X89" s="18" t="str">
        <x:v>是</x:v>
      </x:c>
      <x:c r="Y89" s="18" t="str">
        <x:v>否</x:v>
      </x:c>
    </x:row>
    <x:row r="90" ht="75" customHeight="1">
      <x:c r="A90" s="19" t="str">
        <x:v>伏見通 大須観音駅付近 観光バス乗降場</x:v>
      </x:c>
      <x:c r="B90" s="19" t="str">
        <x:v>待审核</x:v>
      </x:c>
      <x:c r="C90" s="20" t="n">
        <x:v>0</x:v>
      </x:c>
      <x:c r="D90" s="18" t="str">
        <x:v>否</x:v>
      </x:c>
      <x:c r="E90" s="19"/>
      <x:c r="F90" s="20"/>
      <x:c r="G90" s="19" t="str">
        <x:v>USAGE_DATA_UNAVAILABLE</x:v>
      </x:c>
      <x:c r="H90" s="19"/>
      <x:c r="I90" s="18" t="str">
        <x:v>navitime:02022-10127408</x:v>
      </x:c>
      <x:c r="J90" s="19" t="str">
        <x:v>OFFICIAL_VALIDATION_REQUIRED</x:v>
      </x:c>
      <x:c r="K90" s="19" t="str">
        <x:v>待审核</x:v>
      </x:c>
      <x:c r="L90" s="19" t="str">
        <x:v>待审核</x:v>
      </x:c>
      <x:c r="M90" s="19" t="str">
        <x:v>官方对应与物理去重待审核</x:v>
      </x:c>
      <x:c r="N90" s="19" t="str">
        <x:v>OFFICIAL_IDENTITY_FACILITY
OFFICIAL_COORDINATES
PHYSICAL_FACILITY_DEDUP
CURRENT_OPERATOR_SERVICES
USAGE_OR_FUNCTIONAL_TIER_REVIEW</x:v>
      </x:c>
      <x:c r="O90" s="21"/>
      <x:c r="P90" s="21"/>
      <x:c r="Q90" s="19" t="str">
        <x:v>愛知県名古屋市中区大須2丁目23-36</x:v>
      </x:c>
      <x:c r="R90" s="18" t="str">
        <x:v>navitime:02022-10127408</x:v>
      </x:c>
      <x:c r="S90" s="19" t="str">
        <x:v>https://www.navitime.co.jp/poi?spot=02022-10127408</x:v>
      </x:c>
      <x:c r="T90" s="19" t="str"/>
      <x:c r="U90" s="19" t="str"/>
      <x:c r="V90" s="19" t="str"/>
      <x:c r="W90" s="19"/>
      <x:c r="X90" s="18" t="str">
        <x:v>是</x:v>
      </x:c>
      <x:c r="Y90" s="18" t="str">
        <x:v>否</x:v>
      </x:c>
    </x:row>
    <x:row r="91" ht="75" customHeight="1">
      <x:c r="A91" s="19" t="str">
        <x:v>明石ほんまち三白館北側 観光バス乗降場</x:v>
      </x:c>
      <x:c r="B91" s="19" t="str">
        <x:v>待审核</x:v>
      </x:c>
      <x:c r="C91" s="20" t="n">
        <x:v>0</x:v>
      </x:c>
      <x:c r="D91" s="18" t="str">
        <x:v>否</x:v>
      </x:c>
      <x:c r="E91" s="19"/>
      <x:c r="F91" s="20"/>
      <x:c r="G91" s="19" t="str">
        <x:v>USAGE_DATA_UNAVAILABLE</x:v>
      </x:c>
      <x:c r="H91" s="19"/>
      <x:c r="I91" s="18" t="str">
        <x:v>navitime:02022-10132120</x:v>
      </x:c>
      <x:c r="J91" s="19" t="str">
        <x:v>OFFICIAL_VALIDATION_REQUIRED</x:v>
      </x:c>
      <x:c r="K91" s="19" t="str">
        <x:v>待审核</x:v>
      </x:c>
      <x:c r="L91" s="19" t="str">
        <x:v>待审核</x:v>
      </x:c>
      <x:c r="M91" s="19" t="str">
        <x:v>官方对应与物理去重待审核</x:v>
      </x:c>
      <x:c r="N91" s="19" t="str">
        <x:v>OFFICIAL_IDENTITY_FACILITY
OFFICIAL_COORDINATES
PHYSICAL_FACILITY_DEDUP
CURRENT_OPERATOR_SERVICES
USAGE_OR_FUNCTIONAL_TIER_REVIEW</x:v>
      </x:c>
      <x:c r="O91" s="21"/>
      <x:c r="P91" s="21"/>
      <x:c r="Q91" s="19" t="str">
        <x:v>兵庫県明石市本町1丁目14-18</x:v>
      </x:c>
      <x:c r="R91" s="18" t="str">
        <x:v>navitime:02022-10132120</x:v>
      </x:c>
      <x:c r="S91" s="19" t="str">
        <x:v>https://www.navitime.co.jp/poi?spot=02022-10132120</x:v>
      </x:c>
      <x:c r="T91" s="19" t="str"/>
      <x:c r="U91" s="19" t="str"/>
      <x:c r="V91" s="19" t="str"/>
      <x:c r="W91" s="19"/>
      <x:c r="X91" s="18" t="str">
        <x:v>是</x:v>
      </x:c>
      <x:c r="Y91" s="18" t="str">
        <x:v>否</x:v>
      </x:c>
    </x:row>
    <x:row r="92" ht="75" customHeight="1">
      <x:c r="A92" s="19" t="str">
        <x:v>明石銀座通り 観光バス乗降場</x:v>
      </x:c>
      <x:c r="B92" s="19" t="str">
        <x:v>待审核</x:v>
      </x:c>
      <x:c r="C92" s="20" t="n">
        <x:v>0</x:v>
      </x:c>
      <x:c r="D92" s="18" t="str">
        <x:v>否</x:v>
      </x:c>
      <x:c r="E92" s="19"/>
      <x:c r="F92" s="20"/>
      <x:c r="G92" s="19" t="str">
        <x:v>USAGE_DATA_UNAVAILABLE</x:v>
      </x:c>
      <x:c r="H92" s="19"/>
      <x:c r="I92" s="18" t="str">
        <x:v>navitime:02022-10132400</x:v>
      </x:c>
      <x:c r="J92" s="19" t="str">
        <x:v>OFFICIAL_VALIDATION_REQUIRED</x:v>
      </x:c>
      <x:c r="K92" s="19" t="str">
        <x:v>待审核</x:v>
      </x:c>
      <x:c r="L92" s="19" t="str">
        <x:v>待审核</x:v>
      </x:c>
      <x:c r="M92" s="19" t="str">
        <x:v>官方对应与物理去重待审核</x:v>
      </x:c>
      <x:c r="N92" s="19" t="str">
        <x:v>OFFICIAL_IDENTITY_FACILITY
OFFICIAL_COORDINATES
PHYSICAL_FACILITY_DEDUP
CURRENT_OPERATOR_SERVICES
USAGE_OR_FUNCTIONAL_TIER_REVIEW</x:v>
      </x:c>
      <x:c r="O92" s="21"/>
      <x:c r="P92" s="21"/>
      <x:c r="Q92" s="19" t="str">
        <x:v>兵庫県明石市桜町14-18</x:v>
      </x:c>
      <x:c r="R92" s="18" t="str">
        <x:v>navitime:02022-10132400</x:v>
      </x:c>
      <x:c r="S92" s="19" t="str">
        <x:v>https://www.navitime.co.jp/poi?spot=02022-10132400</x:v>
      </x:c>
      <x:c r="T92" s="19" t="str"/>
      <x:c r="U92" s="19" t="str"/>
      <x:c r="V92" s="19" t="str"/>
      <x:c r="W92" s="19"/>
      <x:c r="X92" s="18" t="str">
        <x:v>是</x:v>
      </x:c>
      <x:c r="Y92" s="18" t="str">
        <x:v>否</x:v>
      </x:c>
    </x:row>
    <x:row r="93" ht="75" customHeight="1">
      <x:c r="A93" s="19" t="str">
        <x:v>海部観光株式会社徳島駅前営業所 バスオアシス</x:v>
      </x:c>
      <x:c r="B93" s="19" t="str">
        <x:v>待审核</x:v>
      </x:c>
      <x:c r="C93" s="20" t="n">
        <x:v>0</x:v>
      </x:c>
      <x:c r="D93" s="18" t="str">
        <x:v>否</x:v>
      </x:c>
      <x:c r="E93" s="19"/>
      <x:c r="F93" s="20"/>
      <x:c r="G93" s="19" t="str">
        <x:v>USAGE_DATA_UNAVAILABLE</x:v>
      </x:c>
      <x:c r="H93" s="19"/>
      <x:c r="I93" s="18" t="str">
        <x:v>navitime:02022-10133331</x:v>
      </x:c>
      <x:c r="J93" s="19" t="str">
        <x:v>OFFICIAL_VALIDATION_REQUIRED</x:v>
      </x:c>
      <x:c r="K93" s="19" t="str">
        <x:v>待审核</x:v>
      </x:c>
      <x:c r="L93" s="19" t="str">
        <x:v>待审核</x:v>
      </x:c>
      <x:c r="M93" s="19" t="str">
        <x:v>官方对应与物理去重待审核</x:v>
      </x:c>
      <x:c r="N93" s="19" t="str">
        <x:v>OFFICIAL_IDENTITY_FACILITY
OFFICIAL_COORDINATES
PHYSICAL_FACILITY_DEDUP
CURRENT_OPERATOR_SERVICES
USAGE_OR_FUNCTIONAL_TIER_REVIEW</x:v>
      </x:c>
      <x:c r="O93" s="21"/>
      <x:c r="P93" s="21"/>
      <x:c r="Q93" s="19" t="str">
        <x:v>徳島県徳島市一番町2-18</x:v>
      </x:c>
      <x:c r="R93" s="18" t="str">
        <x:v>navitime:02022-10133331</x:v>
      </x:c>
      <x:c r="S93" s="19" t="str">
        <x:v>https://www.navitime.co.jp/poi?spot=02022-10133331</x:v>
      </x:c>
      <x:c r="T93" s="19" t="str"/>
      <x:c r="U93" s="19" t="str"/>
      <x:c r="V93" s="19" t="str"/>
      <x:c r="W93" s="19"/>
      <x:c r="X93" s="18" t="str">
        <x:v>是</x:v>
      </x:c>
      <x:c r="Y93" s="18" t="str">
        <x:v>否</x:v>
      </x:c>
    </x:row>
    <x:row r="94" ht="75" customHeight="1">
      <x:c r="A94" s="19" t="str">
        <x:v>近鉄上本町バスターミナル</x:v>
      </x:c>
      <x:c r="B94" s="19" t="str">
        <x:v>待审核</x:v>
      </x:c>
      <x:c r="C94" s="20" t="n">
        <x:v>0</x:v>
      </x:c>
      <x:c r="D94" s="18" t="str">
        <x:v>否</x:v>
      </x:c>
      <x:c r="E94" s="19"/>
      <x:c r="F94" s="20"/>
      <x:c r="G94" s="19" t="str">
        <x:v>USAGE_DATA_UNAVAILABLE</x:v>
      </x:c>
      <x:c r="H94" s="19"/>
      <x:c r="I94" s="18" t="str">
        <x:v>navitime:02022-10134996</x:v>
      </x:c>
      <x:c r="J94" s="19" t="str">
        <x:v>OFFICIAL_VALIDATION_REQUIRED</x:v>
      </x:c>
      <x:c r="K94" s="19" t="str">
        <x:v>待审核</x:v>
      </x:c>
      <x:c r="L94" s="19" t="str">
        <x:v>待审核</x:v>
      </x:c>
      <x:c r="M94" s="19" t="str">
        <x:v>官方对应与物理去重待审核</x:v>
      </x:c>
      <x:c r="N94" s="19" t="str">
        <x:v>OFFICIAL_IDENTITY_FACILITY
OFFICIAL_COORDINATES
PHYSICAL_FACILITY_DEDUP
CURRENT_OPERATOR_SERVICES
USAGE_OR_FUNCTIONAL_TIER_REVIEW</x:v>
      </x:c>
      <x:c r="O94" s="21"/>
      <x:c r="P94" s="21"/>
      <x:c r="Q94" s="19" t="str">
        <x:v>大阪府大阪市天王寺区上本町6-1-55内</x:v>
      </x:c>
      <x:c r="R94" s="18" t="str">
        <x:v>navitime:02022-10134996</x:v>
      </x:c>
      <x:c r="S94" s="19" t="str">
        <x:v>https://www.navitime.co.jp/poi?spot=02022-10134996</x:v>
      </x:c>
      <x:c r="T94" s="19" t="str"/>
      <x:c r="U94" s="19" t="str"/>
      <x:c r="V94" s="19" t="str"/>
      <x:c r="W94" s="19"/>
      <x:c r="X94" s="18" t="str">
        <x:v>是</x:v>
      </x:c>
      <x:c r="Y94" s="18" t="str">
        <x:v>否</x:v>
      </x:c>
    </x:row>
    <x:row r="95" ht="75" customHeight="1">
      <x:c r="A95" s="19" t="str">
        <x:v>ららぽーと福岡 観光バス乗降場</x:v>
      </x:c>
      <x:c r="B95" s="19" t="str">
        <x:v>待审核</x:v>
      </x:c>
      <x:c r="C95" s="20" t="n">
        <x:v>0</x:v>
      </x:c>
      <x:c r="D95" s="18" t="str">
        <x:v>否</x:v>
      </x:c>
      <x:c r="E95" s="19"/>
      <x:c r="F95" s="20"/>
      <x:c r="G95" s="19" t="str">
        <x:v>USAGE_DATA_UNAVAILABLE</x:v>
      </x:c>
      <x:c r="H95" s="19"/>
      <x:c r="I95" s="18" t="str">
        <x:v>navitime:02022-10135924</x:v>
      </x:c>
      <x:c r="J95" s="19" t="str">
        <x:v>OFFICIAL_VALIDATION_REQUIRED</x:v>
      </x:c>
      <x:c r="K95" s="19" t="str">
        <x:v>待审核</x:v>
      </x:c>
      <x:c r="L95" s="19" t="str">
        <x:v>待审核</x:v>
      </x:c>
      <x:c r="M95" s="19" t="str">
        <x:v>官方对应与物理去重待审核</x:v>
      </x:c>
      <x:c r="N95" s="19" t="str">
        <x:v>OFFICIAL_IDENTITY_FACILITY
OFFICIAL_COORDINATES
PHYSICAL_FACILITY_DEDUP
CURRENT_OPERATOR_SERVICES
USAGE_OR_FUNCTIONAL_TIER_REVIEW</x:v>
      </x:c>
      <x:c r="O95" s="21"/>
      <x:c r="P95" s="21"/>
      <x:c r="Q95" s="19" t="str">
        <x:v>福岡県福岡市博多区那珂6丁目23-1 ららぽーと福岡バスターミナル内</x:v>
      </x:c>
      <x:c r="R95" s="18" t="str">
        <x:v>navitime:02022-10135924</x:v>
      </x:c>
      <x:c r="S95" s="19" t="str">
        <x:v>https://www.navitime.co.jp/poi?spot=02022-10135924</x:v>
      </x:c>
      <x:c r="T95" s="19" t="str"/>
      <x:c r="U95" s="19" t="str"/>
      <x:c r="V95" s="19" t="str"/>
      <x:c r="W95" s="19"/>
      <x:c r="X95" s="18" t="str">
        <x:v>是</x:v>
      </x:c>
      <x:c r="Y95" s="18" t="str">
        <x:v>否</x:v>
      </x:c>
    </x:row>
    <x:row r="96" ht="75" customHeight="1">
      <x:c r="A96" s="19" t="str">
        <x:v>海老名駅西側送迎バス発着所</x:v>
      </x:c>
      <x:c r="B96" s="19" t="str">
        <x:v>待审核</x:v>
      </x:c>
      <x:c r="C96" s="20" t="n">
        <x:v>0</x:v>
      </x:c>
      <x:c r="D96" s="18" t="str">
        <x:v>否</x:v>
      </x:c>
      <x:c r="E96" s="19"/>
      <x:c r="F96" s="20"/>
      <x:c r="G96" s="19" t="str">
        <x:v>USAGE_DATA_UNAVAILABLE</x:v>
      </x:c>
      <x:c r="H96" s="19"/>
      <x:c r="I96" s="18" t="str">
        <x:v>navitime:02022-10140760</x:v>
      </x:c>
      <x:c r="J96" s="19" t="str">
        <x:v>OFFICIAL_VALIDATION_REQUIRED</x:v>
      </x:c>
      <x:c r="K96" s="19" t="str">
        <x:v>待审核</x:v>
      </x:c>
      <x:c r="L96" s="19" t="str">
        <x:v>待审核</x:v>
      </x:c>
      <x:c r="M96" s="19" t="str">
        <x:v>官方对应与物理去重待审核</x:v>
      </x:c>
      <x:c r="N96" s="19" t="str">
        <x:v>OFFICIAL_IDENTITY_FACILITY
OFFICIAL_COORDINATES
PHYSICAL_FACILITY_DEDUP
CURRENT_OPERATOR_SERVICES
USAGE_OR_FUNCTIONAL_TIER_REVIEW</x:v>
      </x:c>
      <x:c r="O96" s="21"/>
      <x:c r="P96" s="21"/>
      <x:c r="Q96" s="19" t="str">
        <x:v>神奈川県海老名市上郷750</x:v>
      </x:c>
      <x:c r="R96" s="18" t="str">
        <x:v>navitime:02022-10140760</x:v>
      </x:c>
      <x:c r="S96" s="19" t="str">
        <x:v>https://www.navitime.co.jp/poi?spot=02022-10140760</x:v>
      </x:c>
      <x:c r="T96" s="19" t="str"/>
      <x:c r="U96" s="19" t="str"/>
      <x:c r="V96" s="19" t="str"/>
      <x:c r="W96" s="19"/>
      <x:c r="X96" s="18" t="str">
        <x:v>是</x:v>
      </x:c>
      <x:c r="Y96" s="18" t="str">
        <x:v>否</x:v>
      </x:c>
    </x:row>
    <x:row r="97" ht="75" customHeight="1">
      <x:c r="A97" s="19" t="str">
        <x:v>はとバス 新宿駅東口乗り場</x:v>
      </x:c>
      <x:c r="B97" s="19" t="str">
        <x:v>待审核</x:v>
      </x:c>
      <x:c r="C97" s="20" t="n">
        <x:v>0</x:v>
      </x:c>
      <x:c r="D97" s="18" t="str">
        <x:v>否</x:v>
      </x:c>
      <x:c r="E97" s="19"/>
      <x:c r="F97" s="20"/>
      <x:c r="G97" s="19" t="str">
        <x:v>USAGE_DATA_UNAVAILABLE</x:v>
      </x:c>
      <x:c r="H97" s="19"/>
      <x:c r="I97" s="18" t="str">
        <x:v>navitime:02022-1026464</x:v>
      </x:c>
      <x:c r="J97" s="19" t="str">
        <x:v>OFFICIAL_VALIDATION_REQUIRED</x:v>
      </x:c>
      <x:c r="K97" s="19" t="str">
        <x:v>待审核</x:v>
      </x:c>
      <x:c r="L97" s="19" t="str">
        <x:v>待审核</x:v>
      </x:c>
      <x:c r="M97" s="19" t="str">
        <x:v>官方对应与物理去重待审核</x:v>
      </x:c>
      <x:c r="N97" s="19" t="str">
        <x:v>OFFICIAL_IDENTITY_FACILITY
OFFICIAL_COORDINATES
PHYSICAL_FACILITY_DEDUP
CURRENT_OPERATOR_SERVICES
USAGE_OR_FUNCTIONAL_TIER_REVIEW</x:v>
      </x:c>
      <x:c r="O97" s="21"/>
      <x:c r="P97" s="21"/>
      <x:c r="Q97" s="19" t="str">
        <x:v>東京都新宿区新宿3-38-1</x:v>
      </x:c>
      <x:c r="R97" s="18" t="str">
        <x:v>navitime:02022-1026464</x:v>
      </x:c>
      <x:c r="S97" s="19" t="str">
        <x:v>https://www.navitime.co.jp/poi?spot=02022-1026464</x:v>
      </x:c>
      <x:c r="T97" s="19" t="str"/>
      <x:c r="U97" s="19" t="str"/>
      <x:c r="V97" s="19" t="str"/>
      <x:c r="W97" s="19"/>
      <x:c r="X97" s="18" t="str">
        <x:v>是</x:v>
      </x:c>
      <x:c r="Y97" s="18" t="str">
        <x:v>否</x:v>
      </x:c>
    </x:row>
    <x:row r="98" ht="61" customHeight="1">
      <x:c r="A98" s="19" t="str">
        <x:v>宮交バスセンター</x:v>
      </x:c>
      <x:c r="B98" s="19" t="str">
        <x:v>待审核</x:v>
      </x:c>
      <x:c r="C98" s="20" t="n">
        <x:v>1</x:v>
      </x:c>
      <x:c r="D98" s="18" t="str">
        <x:v>否</x:v>
      </x:c>
      <x:c r="E98" s="19"/>
      <x:c r="F98" s="20"/>
      <x:c r="G98" s="19" t="str">
        <x:v>USAGE_DATA_UNAVAILABLE</x:v>
      </x:c>
      <x:c r="H98" s="19"/>
      <x:c r="I98" s="18" t="str">
        <x:v>navitime:02022-1040915</x:v>
      </x:c>
      <x:c r="J98" s="19" t="str">
        <x:v>部分官方证据</x:v>
      </x:c>
      <x:c r="K98" s="19" t="str">
        <x:v>待审核</x:v>
      </x:c>
      <x:c r="L98" s="19" t="str">
        <x:v>部分官方证据</x:v>
      </x:c>
      <x:c r="M98" s="19" t="str">
        <x:v>官方对应与物理去重待审核</x:v>
      </x:c>
      <x:c r="N98" s="19" t="str">
        <x:v>OFFICIAL_COORDINATES
PHYSICAL_FACILITY_DEDUP
CURRENT_OPERATOR_SERVICES
USAGE_OR_FUNCTIONAL_TIER_REVIEW</x:v>
      </x:c>
      <x:c r="O98" s="21"/>
      <x:c r="P98" s="21"/>
      <x:c r="Q98" s="19" t="str">
        <x:v>宮崎県宮崎市大淀4-6-28 宮交シティ 1F</x:v>
      </x:c>
      <x:c r="R98" s="18" t="str">
        <x:v>navitime:02022-1040915</x:v>
      </x:c>
      <x:c r="S98" s="19" t="str">
        <x:v>https://www.navitime.co.jp/poi?spot=02022-1040915</x:v>
      </x:c>
      <x:c r="T98" s="19" t="str"/>
      <x:c r="U98" s="19" t="str"/>
      <x:c r="V98" s="19" t="str">
        <x:v>OFFICIAL_IDENTITY_FACILITY_OR_SERVICES_PARTIAL
https://www.miyakoh.co.jp/corp/inquiry/city.html</x:v>
      </x:c>
      <x:c r="W98" s="19"/>
      <x:c r="X98" s="18" t="str">
        <x:v>是</x:v>
      </x:c>
      <x:c r="Y98" s="18" t="str">
        <x:v>否</x:v>
      </x:c>
    </x:row>
    <x:row r="99" ht="75" customHeight="1">
      <x:c r="A99" s="19" t="str">
        <x:v>ユメリアバスパーク</x:v>
      </x:c>
      <x:c r="B99" s="19" t="str">
        <x:v>待审核</x:v>
      </x:c>
      <x:c r="C99" s="20" t="n">
        <x:v>0</x:v>
      </x:c>
      <x:c r="D99" s="18" t="str">
        <x:v>否</x:v>
      </x:c>
      <x:c r="E99" s="19"/>
      <x:c r="F99" s="20"/>
      <x:c r="G99" s="19" t="str">
        <x:v>USAGE_DATA_UNAVAILABLE</x:v>
      </x:c>
      <x:c r="H99" s="19"/>
      <x:c r="I99" s="18" t="str">
        <x:v>navitime:02022-1143600</x:v>
      </x:c>
      <x:c r="J99" s="19" t="str">
        <x:v>OFFICIAL_VALIDATION_REQUIRED</x:v>
      </x:c>
      <x:c r="K99" s="19" t="str">
        <x:v>待审核</x:v>
      </x:c>
      <x:c r="L99" s="19" t="str">
        <x:v>待审核</x:v>
      </x:c>
      <x:c r="M99" s="19" t="str">
        <x:v>官方对应与物理去重待审核</x:v>
      </x:c>
      <x:c r="N99" s="19" t="str">
        <x:v>OFFICIAL_IDENTITY_FACILITY
OFFICIAL_COORDINATES
PHYSICAL_FACILITY_DEDUP
CURRENT_OPERATOR_SERVICES
USAGE_OR_FUNCTIONAL_TIER_REVIEW</x:v>
      </x:c>
      <x:c r="O99" s="21"/>
      <x:c r="P99" s="21"/>
      <x:c r="Q99" s="19" t="str">
        <x:v>長野県長野市栗田 JR長野駅東口</x:v>
      </x:c>
      <x:c r="R99" s="18" t="str">
        <x:v>navitime:02022-1143600</x:v>
      </x:c>
      <x:c r="S99" s="19" t="str">
        <x:v>https://www.navitime.co.jp/poi?spot=02022-1143600</x:v>
      </x:c>
      <x:c r="T99" s="19" t="str"/>
      <x:c r="U99" s="19" t="str"/>
      <x:c r="V99" s="19" t="str"/>
      <x:c r="W99" s="19"/>
      <x:c r="X99" s="18" t="str">
        <x:v>是</x:v>
      </x:c>
      <x:c r="Y99" s="18" t="str">
        <x:v>否</x:v>
      </x:c>
    </x:row>
    <x:row r="100" ht="61" customHeight="1">
      <x:c r="A100" s="19" t="str">
        <x:v>高山濃飛バスセンター</x:v>
      </x:c>
      <x:c r="B100" s="19" t="str">
        <x:v>待审核</x:v>
      </x:c>
      <x:c r="C100" s="20" t="n">
        <x:v>1</x:v>
      </x:c>
      <x:c r="D100" s="18" t="str">
        <x:v>否</x:v>
      </x:c>
      <x:c r="E100" s="19"/>
      <x:c r="F100" s="20"/>
      <x:c r="G100" s="19" t="str">
        <x:v>USAGE_DATA_UNAVAILABLE</x:v>
      </x:c>
      <x:c r="H100" s="19"/>
      <x:c r="I100" s="18" t="str">
        <x:v>navitime:02022-1151040</x:v>
      </x:c>
      <x:c r="J100" s="19" t="str">
        <x:v>部分官方证据</x:v>
      </x:c>
      <x:c r="K100" s="19" t="str">
        <x:v>待审核</x:v>
      </x:c>
      <x:c r="L100" s="19" t="str">
        <x:v>部分官方证据</x:v>
      </x:c>
      <x:c r="M100" s="19" t="str">
        <x:v>官方对应与物理去重待审核</x:v>
      </x:c>
      <x:c r="N100" s="19" t="str">
        <x:v>OFFICIAL_COORDINATES
PHYSICAL_FACILITY_DEDUP
CURRENT_OPERATOR_SERVICES
USAGE_OR_FUNCTIONAL_TIER_REVIEW</x:v>
      </x:c>
      <x:c r="O100" s="21"/>
      <x:c r="P100" s="21"/>
      <x:c r="Q100" s="19" t="str">
        <x:v>岐阜県高山市花里町6-65</x:v>
      </x:c>
      <x:c r="R100" s="18" t="str">
        <x:v>navitime:02022-1151040</x:v>
      </x:c>
      <x:c r="S100" s="19" t="str">
        <x:v>https://www.navitime.co.jp/poi?spot=02022-1151040</x:v>
      </x:c>
      <x:c r="T100" s="19" t="str"/>
      <x:c r="U100" s="19" t="str"/>
      <x:c r="V100" s="19" t="str">
        <x:v>OFFICIAL_IDENTITY_FACILITY_OR_SERVICES_PARTIAL
https://www.nouhibus.co.jp/route_bus/shirakawago/</x:v>
      </x:c>
      <x:c r="W100" s="19"/>
      <x:c r="X100" s="18" t="str">
        <x:v>是</x:v>
      </x:c>
      <x:c r="Y100" s="18" t="str">
        <x:v>否</x:v>
      </x:c>
    </x:row>
    <x:row r="101" ht="75" customHeight="1">
      <x:c r="A101" s="19" t="str">
        <x:v>WILLER(ウィラー) バスターミナル大阪梅田</x:v>
      </x:c>
      <x:c r="B101" s="19" t="str">
        <x:v>待审核</x:v>
      </x:c>
      <x:c r="C101" s="20" t="n">
        <x:v>0</x:v>
      </x:c>
      <x:c r="D101" s="18" t="str">
        <x:v>否</x:v>
      </x:c>
      <x:c r="E101" s="19"/>
      <x:c r="F101" s="20"/>
      <x:c r="G101" s="19" t="str">
        <x:v>USAGE_DATA_UNAVAILABLE</x:v>
      </x:c>
      <x:c r="H101" s="19"/>
      <x:c r="I101" s="18" t="str">
        <x:v>navitime:02022-123858</x:v>
      </x:c>
      <x:c r="J101" s="19" t="str">
        <x:v>OFFICIAL_VALIDATION_REQUIRED</x:v>
      </x:c>
      <x:c r="K101" s="19" t="str">
        <x:v>待审核</x:v>
      </x:c>
      <x:c r="L101" s="19" t="str">
        <x:v>待审核</x:v>
      </x:c>
      <x:c r="M101" s="19" t="str">
        <x:v>官方对应与物理去重待审核</x:v>
      </x:c>
      <x:c r="N101" s="19" t="str">
        <x:v>OFFICIAL_IDENTITY_FACILITY
OFFICIAL_COORDINATES
PHYSICAL_FACILITY_DEDUP
CURRENT_OPERATOR_SERVICES
USAGE_OR_FUNCTIONAL_TIER_REVIEW</x:v>
      </x:c>
      <x:c r="O101" s="21"/>
      <x:c r="P101" s="21"/>
      <x:c r="Q101" s="19" t="str">
        <x:v>大阪府大阪市北区大淀中1-1-88 梅田スカイビルタワーイースト 1F</x:v>
      </x:c>
      <x:c r="R101" s="18" t="str">
        <x:v>navitime:02022-123858</x:v>
      </x:c>
      <x:c r="S101" s="19" t="str">
        <x:v>https://www.navitime.co.jp/poi?spot=02022-123858</x:v>
      </x:c>
      <x:c r="T101" s="19" t="str"/>
      <x:c r="U101" s="19" t="str"/>
      <x:c r="V101" s="19" t="str"/>
      <x:c r="W101" s="19"/>
      <x:c r="X101" s="18" t="str">
        <x:v>是</x:v>
      </x:c>
      <x:c r="Y101" s="18" t="str">
        <x:v>否</x:v>
      </x:c>
    </x:row>
    <x:row r="102" ht="75" customHeight="1">
      <x:c r="A102" s="19" t="str">
        <x:v>中央アルプス駒ケ岳ロープウェイ菅の台バスセンター</x:v>
      </x:c>
      <x:c r="B102" s="19" t="str">
        <x:v>待审核</x:v>
      </x:c>
      <x:c r="C102" s="20" t="n">
        <x:v>0</x:v>
      </x:c>
      <x:c r="D102" s="18" t="str">
        <x:v>否</x:v>
      </x:c>
      <x:c r="E102" s="19"/>
      <x:c r="F102" s="20"/>
      <x:c r="G102" s="19" t="str">
        <x:v>USAGE_DATA_UNAVAILABLE</x:v>
      </x:c>
      <x:c r="H102" s="19"/>
      <x:c r="I102" s="18" t="str">
        <x:v>navitime:02022-1248445</x:v>
      </x:c>
      <x:c r="J102" s="19" t="str">
        <x:v>OFFICIAL_VALIDATION_REQUIRED</x:v>
      </x:c>
      <x:c r="K102" s="19" t="str">
        <x:v>待审核</x:v>
      </x:c>
      <x:c r="L102" s="19" t="str">
        <x:v>待审核</x:v>
      </x:c>
      <x:c r="M102" s="19" t="str">
        <x:v>官方对应与物理去重待审核</x:v>
      </x:c>
      <x:c r="N102" s="19" t="str">
        <x:v>OFFICIAL_IDENTITY_FACILITY
OFFICIAL_COORDINATES
PHYSICAL_FACILITY_DEDUP
CURRENT_OPERATOR_SERVICES
USAGE_OR_FUNCTIONAL_TIER_REVIEW</x:v>
      </x:c>
      <x:c r="O102" s="21"/>
      <x:c r="P102" s="21"/>
      <x:c r="Q102" s="19" t="str">
        <x:v>長野県駒ケ根市赤穂759-489</x:v>
      </x:c>
      <x:c r="R102" s="18" t="str">
        <x:v>navitime:02022-1248445</x:v>
      </x:c>
      <x:c r="S102" s="19" t="str">
        <x:v>https://www.navitime.co.jp/poi?spot=02022-1248445</x:v>
      </x:c>
      <x:c r="T102" s="19" t="str"/>
      <x:c r="U102" s="19" t="str"/>
      <x:c r="V102" s="19" t="str"/>
      <x:c r="W102" s="19"/>
      <x:c r="X102" s="18" t="str">
        <x:v>是</x:v>
      </x:c>
      <x:c r="Y102" s="18" t="str">
        <x:v>否</x:v>
      </x:c>
    </x:row>
    <x:row r="103" ht="75" customHeight="1">
      <x:c r="A103" s="19" t="str">
        <x:v>水郷潮来バスターミナル</x:v>
      </x:c>
      <x:c r="B103" s="19" t="str">
        <x:v>待审核</x:v>
      </x:c>
      <x:c r="C103" s="20" t="n">
        <x:v>0</x:v>
      </x:c>
      <x:c r="D103" s="18" t="str">
        <x:v>否</x:v>
      </x:c>
      <x:c r="E103" s="19"/>
      <x:c r="F103" s="20"/>
      <x:c r="G103" s="19" t="str">
        <x:v>USAGE_DATA_UNAVAILABLE</x:v>
      </x:c>
      <x:c r="H103" s="19"/>
      <x:c r="I103" s="18" t="str">
        <x:v>navitime:02022-1285032</x:v>
      </x:c>
      <x:c r="J103" s="19" t="str">
        <x:v>OFFICIAL_VALIDATION_REQUIRED</x:v>
      </x:c>
      <x:c r="K103" s="19" t="str">
        <x:v>待审核</x:v>
      </x:c>
      <x:c r="L103" s="19" t="str">
        <x:v>待审核</x:v>
      </x:c>
      <x:c r="M103" s="19" t="str">
        <x:v>官方对应与物理去重待审核</x:v>
      </x:c>
      <x:c r="N103" s="19" t="str">
        <x:v>OFFICIAL_IDENTITY_FACILITY
OFFICIAL_COORDINATES
PHYSICAL_FACILITY_DEDUP
CURRENT_OPERATOR_SERVICES
USAGE_OR_FUNCTIONAL_TIER_REVIEW</x:v>
      </x:c>
      <x:c r="O103" s="21"/>
      <x:c r="P103" s="21"/>
      <x:c r="Q103" s="19" t="str">
        <x:v>茨城県潮来市延方3707-2</x:v>
      </x:c>
      <x:c r="R103" s="18" t="str">
        <x:v>navitime:02022-1285032</x:v>
      </x:c>
      <x:c r="S103" s="19" t="str">
        <x:v>https://www.navitime.co.jp/poi?spot=02022-1285032</x:v>
      </x:c>
      <x:c r="T103" s="19" t="str"/>
      <x:c r="U103" s="19" t="str"/>
      <x:c r="V103" s="19" t="str"/>
      <x:c r="W103" s="19"/>
      <x:c r="X103" s="18" t="str">
        <x:v>是</x:v>
      </x:c>
      <x:c r="Y103" s="18" t="str">
        <x:v>否</x:v>
      </x:c>
    </x:row>
    <x:row r="104" ht="61" customHeight="1">
      <x:c r="A104" s="19" t="str">
        <x:v>白川郷バスターミナル</x:v>
      </x:c>
      <x:c r="B104" s="19" t="str">
        <x:v>待审核</x:v>
      </x:c>
      <x:c r="C104" s="20" t="n">
        <x:v>1</x:v>
      </x:c>
      <x:c r="D104" s="18" t="str">
        <x:v>否</x:v>
      </x:c>
      <x:c r="E104" s="19"/>
      <x:c r="F104" s="20"/>
      <x:c r="G104" s="19" t="str">
        <x:v>USAGE_DATA_UNAVAILABLE</x:v>
      </x:c>
      <x:c r="H104" s="19"/>
      <x:c r="I104" s="18" t="str">
        <x:v>navitime:02022-1295403</x:v>
      </x:c>
      <x:c r="J104" s="19" t="str">
        <x:v>部分官方证据</x:v>
      </x:c>
      <x:c r="K104" s="19" t="str">
        <x:v>待审核</x:v>
      </x:c>
      <x:c r="L104" s="19" t="str">
        <x:v>部分官方证据</x:v>
      </x:c>
      <x:c r="M104" s="19" t="str">
        <x:v>官方对应与物理去重待审核</x:v>
      </x:c>
      <x:c r="N104" s="19" t="str">
        <x:v>OFFICIAL_COORDINATES
PHYSICAL_FACILITY_DEDUP
CURRENT_OPERATOR_SERVICES
USAGE_OR_FUNCTIONAL_TIER_REVIEW</x:v>
      </x:c>
      <x:c r="O104" s="21"/>
      <x:c r="P104" s="21"/>
      <x:c r="Q104" s="19" t="str">
        <x:v>岐阜県大野郡白川村荻町1086</x:v>
      </x:c>
      <x:c r="R104" s="18" t="str">
        <x:v>navitime:02022-1295403</x:v>
      </x:c>
      <x:c r="S104" s="19" t="str">
        <x:v>https://www.navitime.co.jp/poi?spot=02022-1295403</x:v>
      </x:c>
      <x:c r="T104" s="19" t="str"/>
      <x:c r="U104" s="19" t="str"/>
      <x:c r="V104" s="19" t="str">
        <x:v>OFFICIAL_IDENTITY_FACILITY_OR_SERVICES_PARTIAL
https://www.nouhibus.co.jp/route_bus/shirakawago/</x:v>
      </x:c>
      <x:c r="W104" s="19"/>
      <x:c r="X104" s="18" t="str">
        <x:v>是</x:v>
      </x:c>
      <x:c r="Y104" s="18" t="str">
        <x:v>否</x:v>
      </x:c>
    </x:row>
    <x:row r="105" ht="61" customHeight="1">
      <x:c r="A105" s="19" t="str">
        <x:v>大崎駅西口バスターミナル</x:v>
      </x:c>
      <x:c r="B105" s="19" t="str">
        <x:v>待审核</x:v>
      </x:c>
      <x:c r="C105" s="20" t="n">
        <x:v>1</x:v>
      </x:c>
      <x:c r="D105" s="18" t="str">
        <x:v>否</x:v>
      </x:c>
      <x:c r="E105" s="19"/>
      <x:c r="F105" s="20"/>
      <x:c r="G105" s="19" t="str">
        <x:v>USAGE_DATA_UNAVAILABLE</x:v>
      </x:c>
      <x:c r="H105" s="19"/>
      <x:c r="I105" s="18" t="str">
        <x:v>navitime:02022-1323465</x:v>
      </x:c>
      <x:c r="J105" s="19" t="str">
        <x:v>部分官方证据</x:v>
      </x:c>
      <x:c r="K105" s="19" t="str">
        <x:v>待审核</x:v>
      </x:c>
      <x:c r="L105" s="19" t="str">
        <x:v>部分官方证据</x:v>
      </x:c>
      <x:c r="M105" s="19" t="str">
        <x:v>官方对应与物理去重待审核</x:v>
      </x:c>
      <x:c r="N105" s="19" t="str">
        <x:v>OFFICIAL_COORDINATES
PHYSICAL_FACILITY_DEDUP
CURRENT_OPERATOR_SERVICES
USAGE_OR_FUNCTIONAL_TIER_REVIEW</x:v>
      </x:c>
      <x:c r="O105" s="21"/>
      <x:c r="P105" s="21"/>
      <x:c r="Q105" s="19" t="str">
        <x:v>東京都品川区大崎2-10-1</x:v>
      </x:c>
      <x:c r="R105" s="18" t="str">
        <x:v>navitime:02022-1323465</x:v>
      </x:c>
      <x:c r="S105" s="19" t="str">
        <x:v>https://www.navitime.co.jp/poi?spot=02022-1323465</x:v>
      </x:c>
      <x:c r="T105" s="19" t="str">
        <x:v>大崎エリアマネージメント</x:v>
      </x:c>
      <x:c r="U105" s="19" t="str">
        <x:v>東京都品川区大崎2丁目10-10</x:v>
      </x:c>
      <x:c r="V105" s="19" t="str">
        <x:v>REGISTERED_FACILITY_OPERATOR_ADDRESS_BERTHS
https://www.mlit.go.jp/jidosha/content/001999724.pdf
页 1，条 10</x:v>
      </x:c>
      <x:c r="W105" s="19"/>
      <x:c r="X105" s="18" t="str">
        <x:v>是</x:v>
      </x:c>
      <x:c r="Y105" s="18" t="str">
        <x:v>否</x:v>
      </x:c>
    </x:row>
    <x:row r="106" ht="75" customHeight="1">
      <x:c r="A106" s="19" t="str">
        <x:v>木更津金田バスターミナル</x:v>
      </x:c>
      <x:c r="B106" s="19" t="str">
        <x:v>待审核</x:v>
      </x:c>
      <x:c r="C106" s="20" t="n">
        <x:v>0</x:v>
      </x:c>
      <x:c r="D106" s="18" t="str">
        <x:v>否</x:v>
      </x:c>
      <x:c r="E106" s="19"/>
      <x:c r="F106" s="20"/>
      <x:c r="G106" s="19" t="str">
        <x:v>USAGE_DATA_UNAVAILABLE</x:v>
      </x:c>
      <x:c r="H106" s="19"/>
      <x:c r="I106" s="18" t="str">
        <x:v>navitime:02022-1325767</x:v>
      </x:c>
      <x:c r="J106" s="19" t="str">
        <x:v>OFFICIAL_VALIDATION_REQUIRED</x:v>
      </x:c>
      <x:c r="K106" s="19" t="str">
        <x:v>待审核</x:v>
      </x:c>
      <x:c r="L106" s="19" t="str">
        <x:v>待审核</x:v>
      </x:c>
      <x:c r="M106" s="19" t="str">
        <x:v>官方对应与物理去重待审核</x:v>
      </x:c>
      <x:c r="N106" s="19" t="str">
        <x:v>OFFICIAL_IDENTITY_FACILITY
OFFICIAL_COORDINATES
PHYSICAL_FACILITY_DEDUP
CURRENT_OPERATOR_SERVICES
USAGE_OR_FUNCTIONAL_TIER_REVIEW</x:v>
      </x:c>
      <x:c r="O106" s="21"/>
      <x:c r="P106" s="21"/>
      <x:c r="Q106" s="19" t="str">
        <x:v>千葉県木更津市瓜倉225</x:v>
      </x:c>
      <x:c r="R106" s="18" t="str">
        <x:v>navitime:02022-1325767</x:v>
      </x:c>
      <x:c r="S106" s="19" t="str">
        <x:v>https://www.navitime.co.jp/poi?spot=02022-1325767</x:v>
      </x:c>
      <x:c r="T106" s="19" t="str"/>
      <x:c r="U106" s="19" t="str"/>
      <x:c r="V106" s="19" t="str"/>
      <x:c r="W106" s="19"/>
      <x:c r="X106" s="18" t="str">
        <x:v>是</x:v>
      </x:c>
      <x:c r="Y106" s="18" t="str">
        <x:v>否</x:v>
      </x:c>
    </x:row>
    <x:row r="107" ht="75" customHeight="1">
      <x:c r="A107" s="19" t="str">
        <x:v>お台場SKY(スカイ)ツーリストインフォメーション</x:v>
      </x:c>
      <x:c r="B107" s="19" t="str">
        <x:v>待审核</x:v>
      </x:c>
      <x:c r="C107" s="20" t="n">
        <x:v>0</x:v>
      </x:c>
      <x:c r="D107" s="18" t="str">
        <x:v>否</x:v>
      </x:c>
      <x:c r="E107" s="19"/>
      <x:c r="F107" s="20"/>
      <x:c r="G107" s="19" t="str">
        <x:v>USAGE_DATA_UNAVAILABLE</x:v>
      </x:c>
      <x:c r="H107" s="19"/>
      <x:c r="I107" s="18" t="str">
        <x:v>navitime:02022-1347854</x:v>
      </x:c>
      <x:c r="J107" s="19" t="str">
        <x:v>OFFICIAL_VALIDATION_REQUIRED</x:v>
      </x:c>
      <x:c r="K107" s="19" t="str">
        <x:v>待审核</x:v>
      </x:c>
      <x:c r="L107" s="19" t="str">
        <x:v>待审核</x:v>
      </x:c>
      <x:c r="M107" s="19" t="str">
        <x:v>官方对应与物理去重待审核</x:v>
      </x:c>
      <x:c r="N107" s="19" t="str">
        <x:v>OFFICIAL_IDENTITY_FACILITY
OFFICIAL_COORDINATES
PHYSICAL_FACILITY_DEDUP
CURRENT_OPERATOR_SERVICES
USAGE_OR_FUNCTIONAL_TIER_REVIEW</x:v>
      </x:c>
      <x:c r="O107" s="21"/>
      <x:c r="P107" s="21"/>
      <x:c r="Q107" s="19" t="str">
        <x:v>東京都江東区青海1-2-1 東京テレポート駅ロータリー</x:v>
      </x:c>
      <x:c r="R107" s="18" t="str">
        <x:v>navitime:02022-1347854</x:v>
      </x:c>
      <x:c r="S107" s="19" t="str">
        <x:v>https://www.navitime.co.jp/poi?spot=02022-1347854</x:v>
      </x:c>
      <x:c r="T107" s="19" t="str"/>
      <x:c r="U107" s="19" t="str"/>
      <x:c r="V107" s="19" t="str"/>
      <x:c r="W107" s="19"/>
      <x:c r="X107" s="18" t="str">
        <x:v>是</x:v>
      </x:c>
      <x:c r="Y107" s="18" t="str">
        <x:v>否</x:v>
      </x:c>
    </x:row>
    <x:row r="108" ht="61" customHeight="1">
      <x:c r="A108" s="19" t="str">
        <x:v>奈良公園バスターミナル</x:v>
      </x:c>
      <x:c r="B108" s="19" t="str">
        <x:v>待审核</x:v>
      </x:c>
      <x:c r="C108" s="20" t="n">
        <x:v>1</x:v>
      </x:c>
      <x:c r="D108" s="18" t="str">
        <x:v>否</x:v>
      </x:c>
      <x:c r="E108" s="19"/>
      <x:c r="F108" s="20"/>
      <x:c r="G108" s="19" t="str">
        <x:v>USAGE_DATA_UNAVAILABLE</x:v>
      </x:c>
      <x:c r="H108" s="19"/>
      <x:c r="I108" s="18" t="str">
        <x:v>navitime:02022-1380771</x:v>
      </x:c>
      <x:c r="J108" s="19" t="str">
        <x:v>部分官方证据</x:v>
      </x:c>
      <x:c r="K108" s="19" t="str">
        <x:v>待审核</x:v>
      </x:c>
      <x:c r="L108" s="19" t="str">
        <x:v>部分官方证据</x:v>
      </x:c>
      <x:c r="M108" s="19" t="str">
        <x:v>官方对应与物理去重待审核</x:v>
      </x:c>
      <x:c r="N108" s="19" t="str">
        <x:v>OFFICIAL_COORDINATES
PHYSICAL_FACILITY_DEDUP
CURRENT_OPERATOR_SERVICES
USAGE_OR_FUNCTIONAL_TIER_REVIEW</x:v>
      </x:c>
      <x:c r="O108" s="21"/>
      <x:c r="P108" s="21"/>
      <x:c r="Q108" s="19" t="str">
        <x:v>奈良県奈良市登大路町76</x:v>
      </x:c>
      <x:c r="R108" s="18" t="str">
        <x:v>navitime:02022-1380771</x:v>
      </x:c>
      <x:c r="S108" s="19" t="str">
        <x:v>https://www.navitime.co.jp/poi?spot=02022-1380771</x:v>
      </x:c>
      <x:c r="T108" s="19" t="str"/>
      <x:c r="U108" s="19" t="str"/>
      <x:c r="V108" s="19" t="str">
        <x:v>OFFICIAL_IDENTITY_FACILITY_OR_SERVICES_PARTIAL
https://www.pref.nara.jp/site/park/2687.html</x:v>
      </x:c>
      <x:c r="W108" s="19"/>
      <x:c r="X108" s="18" t="str">
        <x:v>是</x:v>
      </x:c>
      <x:c r="Y108" s="18" t="str">
        <x:v>否</x:v>
      </x:c>
    </x:row>
    <x:row r="109" ht="75" customHeight="1">
      <x:c r="A109" s="19" t="str">
        <x:v>町田ターミナルプラザ バスターミナル</x:v>
      </x:c>
      <x:c r="B109" s="19" t="str">
        <x:v>待审核</x:v>
      </x:c>
      <x:c r="C109" s="20" t="n">
        <x:v>0</x:v>
      </x:c>
      <x:c r="D109" s="18" t="str">
        <x:v>否</x:v>
      </x:c>
      <x:c r="E109" s="19"/>
      <x:c r="F109" s="20"/>
      <x:c r="G109" s="19" t="str">
        <x:v>USAGE_DATA_UNAVAILABLE</x:v>
      </x:c>
      <x:c r="H109" s="19"/>
      <x:c r="I109" s="18" t="str">
        <x:v>navitime:02022-1380772</x:v>
      </x:c>
      <x:c r="J109" s="19" t="str">
        <x:v>OFFICIAL_VALIDATION_REQUIRED</x:v>
      </x:c>
      <x:c r="K109" s="19" t="str">
        <x:v>待审核</x:v>
      </x:c>
      <x:c r="L109" s="19" t="str">
        <x:v>待审核</x:v>
      </x:c>
      <x:c r="M109" s="19" t="str">
        <x:v>官方对应与物理去重待审核</x:v>
      </x:c>
      <x:c r="N109" s="19" t="str">
        <x:v>OFFICIAL_IDENTITY_FACILITY
OFFICIAL_COORDINATES
PHYSICAL_FACILITY_DEDUP
CURRENT_OPERATOR_SERVICES
USAGE_OR_FUNCTIONAL_TIER_REVIEW</x:v>
      </x:c>
      <x:c r="O109" s="21"/>
      <x:c r="P109" s="21"/>
      <x:c r="Q109" s="19" t="str">
        <x:v>東京都町田市原町田3-1-4 町田ターミナルプラザ1F</x:v>
      </x:c>
      <x:c r="R109" s="18" t="str">
        <x:v>navitime:02022-1380772</x:v>
      </x:c>
      <x:c r="S109" s="19" t="str">
        <x:v>https://www.navitime.co.jp/poi?spot=02022-1380772</x:v>
      </x:c>
      <x:c r="T109" s="19" t="str"/>
      <x:c r="U109" s="19" t="str"/>
      <x:c r="V109" s="19" t="str"/>
      <x:c r="W109" s="19"/>
      <x:c r="X109" s="18" t="str">
        <x:v>是</x:v>
      </x:c>
      <x:c r="Y109" s="18" t="str">
        <x:v>否</x:v>
      </x:c>
    </x:row>
    <x:row r="110" ht="75" customHeight="1">
      <x:c r="A110" s="19" t="str">
        <x:v>豊洲市場完全予約制観光バス乗降場</x:v>
      </x:c>
      <x:c r="B110" s="19" t="str">
        <x:v>待审核</x:v>
      </x:c>
      <x:c r="C110" s="20" t="n">
        <x:v>0</x:v>
      </x:c>
      <x:c r="D110" s="18" t="str">
        <x:v>否</x:v>
      </x:c>
      <x:c r="E110" s="19"/>
      <x:c r="F110" s="20"/>
      <x:c r="G110" s="19" t="str">
        <x:v>USAGE_DATA_UNAVAILABLE</x:v>
      </x:c>
      <x:c r="H110" s="19"/>
      <x:c r="I110" s="18" t="str">
        <x:v>navitime:02022-1380773</x:v>
      </x:c>
      <x:c r="J110" s="19" t="str">
        <x:v>OFFICIAL_VALIDATION_REQUIRED</x:v>
      </x:c>
      <x:c r="K110" s="19" t="str">
        <x:v>待审核</x:v>
      </x:c>
      <x:c r="L110" s="19" t="str">
        <x:v>待审核</x:v>
      </x:c>
      <x:c r="M110" s="19" t="str">
        <x:v>官方对应与物理去重待审核</x:v>
      </x:c>
      <x:c r="N110" s="19" t="str">
        <x:v>OFFICIAL_IDENTITY_FACILITY
OFFICIAL_COORDINATES
PHYSICAL_FACILITY_DEDUP
CURRENT_OPERATOR_SERVICES
USAGE_OR_FUNCTIONAL_TIER_REVIEW</x:v>
      </x:c>
      <x:c r="O110" s="21"/>
      <x:c r="P110" s="21"/>
      <x:c r="Q110" s="19" t="str">
        <x:v>東京都江東区豊洲6丁目6街区</x:v>
      </x:c>
      <x:c r="R110" s="18" t="str">
        <x:v>navitime:02022-1380773</x:v>
      </x:c>
      <x:c r="S110" s="19" t="str">
        <x:v>https://www.navitime.co.jp/poi?spot=02022-1380773</x:v>
      </x:c>
      <x:c r="T110" s="19" t="str"/>
      <x:c r="U110" s="19" t="str"/>
      <x:c r="V110" s="19" t="str"/>
      <x:c r="W110" s="19"/>
      <x:c r="X110" s="18" t="str">
        <x:v>是</x:v>
      </x:c>
      <x:c r="Y110" s="18" t="str">
        <x:v>否</x:v>
      </x:c>
    </x:row>
    <x:row r="111" ht="75" customHeight="1">
      <x:c r="A111" s="19" t="str">
        <x:v>阿蘇山上ターミナル</x:v>
      </x:c>
      <x:c r="B111" s="19" t="str">
        <x:v>待审核</x:v>
      </x:c>
      <x:c r="C111" s="20" t="n">
        <x:v>0</x:v>
      </x:c>
      <x:c r="D111" s="18" t="str">
        <x:v>否</x:v>
      </x:c>
      <x:c r="E111" s="19"/>
      <x:c r="F111" s="20"/>
      <x:c r="G111" s="19" t="str">
        <x:v>USAGE_DATA_UNAVAILABLE</x:v>
      </x:c>
      <x:c r="H111" s="19"/>
      <x:c r="I111" s="18" t="str">
        <x:v>navitime:02022-1390798</x:v>
      </x:c>
      <x:c r="J111" s="19" t="str">
        <x:v>OFFICIAL_VALIDATION_REQUIRED</x:v>
      </x:c>
      <x:c r="K111" s="19" t="str">
        <x:v>待审核</x:v>
      </x:c>
      <x:c r="L111" s="19" t="str">
        <x:v>待审核</x:v>
      </x:c>
      <x:c r="M111" s="19" t="str">
        <x:v>官方对应与物理去重待审核</x:v>
      </x:c>
      <x:c r="N111" s="19" t="str">
        <x:v>OFFICIAL_IDENTITY_FACILITY
OFFICIAL_COORDINATES
PHYSICAL_FACILITY_DEDUP
CURRENT_OPERATOR_SERVICES
USAGE_OR_FUNCTIONAL_TIER_REVIEW</x:v>
      </x:c>
      <x:c r="O111" s="21"/>
      <x:c r="P111" s="21"/>
      <x:c r="Q111" s="19" t="str">
        <x:v>熊本県阿蘇市黒川808-5</x:v>
      </x:c>
      <x:c r="R111" s="18" t="str">
        <x:v>navitime:02022-1390798</x:v>
      </x:c>
      <x:c r="S111" s="19" t="str">
        <x:v>https://www.navitime.co.jp/poi?spot=02022-1390798</x:v>
      </x:c>
      <x:c r="T111" s="19" t="str"/>
      <x:c r="U111" s="19" t="str"/>
      <x:c r="V111" s="19" t="str"/>
      <x:c r="W111" s="19"/>
      <x:c r="X111" s="18" t="str">
        <x:v>是</x:v>
      </x:c>
      <x:c r="Y111" s="18" t="str">
        <x:v>否</x:v>
      </x:c>
    </x:row>
    <x:row r="112" ht="75" customHeight="1">
      <x:c r="A112" s="19" t="str">
        <x:v>伊丹空港バス乗り場</x:v>
      </x:c>
      <x:c r="B112" s="19" t="str">
        <x:v>待审核</x:v>
      </x:c>
      <x:c r="C112" s="20" t="n">
        <x:v>0</x:v>
      </x:c>
      <x:c r="D112" s="18" t="str">
        <x:v>否</x:v>
      </x:c>
      <x:c r="E112" s="19"/>
      <x:c r="F112" s="20"/>
      <x:c r="G112" s="19" t="str">
        <x:v>USAGE_DATA_UNAVAILABLE</x:v>
      </x:c>
      <x:c r="H112" s="19"/>
      <x:c r="I112" s="18" t="str">
        <x:v>navitime:02022-1391564</x:v>
      </x:c>
      <x:c r="J112" s="19" t="str">
        <x:v>OFFICIAL_VALIDATION_REQUIRED</x:v>
      </x:c>
      <x:c r="K112" s="19" t="str">
        <x:v>待审核</x:v>
      </x:c>
      <x:c r="L112" s="19" t="str">
        <x:v>待审核</x:v>
      </x:c>
      <x:c r="M112" s="19" t="str">
        <x:v>官方对应与物理去重待审核</x:v>
      </x:c>
      <x:c r="N112" s="19" t="str">
        <x:v>OFFICIAL_IDENTITY_FACILITY
OFFICIAL_COORDINATES
PHYSICAL_FACILITY_DEDUP
CURRENT_OPERATOR_SERVICES
USAGE_OR_FUNCTIONAL_TIER_REVIEW</x:v>
      </x:c>
      <x:c r="O112" s="21"/>
      <x:c r="P112" s="21"/>
      <x:c r="Q112" s="19" t="str">
        <x:v>大阪府豊中市蛍池西町3-555</x:v>
      </x:c>
      <x:c r="R112" s="18" t="str">
        <x:v>navitime:02022-1391564</x:v>
      </x:c>
      <x:c r="S112" s="19" t="str">
        <x:v>https://www.navitime.co.jp/poi?spot=02022-1391564</x:v>
      </x:c>
      <x:c r="T112" s="19" t="str"/>
      <x:c r="U112" s="19" t="str"/>
      <x:c r="V112" s="19" t="str"/>
      <x:c r="W112" s="19"/>
      <x:c r="X112" s="18" t="str">
        <x:v>是</x:v>
      </x:c>
      <x:c r="Y112" s="18" t="str">
        <x:v>否</x:v>
      </x:c>
    </x:row>
    <x:row r="113" ht="75" customHeight="1">
      <x:c r="A113" s="19" t="str">
        <x:v>仙台駅東口さくらターミナル</x:v>
      </x:c>
      <x:c r="B113" s="19" t="str">
        <x:v>待审核</x:v>
      </x:c>
      <x:c r="C113" s="20" t="n">
        <x:v>0</x:v>
      </x:c>
      <x:c r="D113" s="18" t="str">
        <x:v>否</x:v>
      </x:c>
      <x:c r="E113" s="19"/>
      <x:c r="F113" s="20"/>
      <x:c r="G113" s="19" t="str">
        <x:v>USAGE_DATA_UNAVAILABLE</x:v>
      </x:c>
      <x:c r="H113" s="19"/>
      <x:c r="I113" s="18" t="str">
        <x:v>navitime:02022-1423968</x:v>
      </x:c>
      <x:c r="J113" s="19" t="str">
        <x:v>OFFICIAL_VALIDATION_REQUIRED</x:v>
      </x:c>
      <x:c r="K113" s="19" t="str">
        <x:v>待审核</x:v>
      </x:c>
      <x:c r="L113" s="19" t="str">
        <x:v>待审核</x:v>
      </x:c>
      <x:c r="M113" s="19" t="str">
        <x:v>官方对应与物理去重待审核</x:v>
      </x:c>
      <x:c r="N113" s="19" t="str">
        <x:v>OFFICIAL_IDENTITY_FACILITY
OFFICIAL_COORDINATES
PHYSICAL_FACILITY_DEDUP
CURRENT_OPERATOR_SERVICES
USAGE_OR_FUNCTIONAL_TIER_REVIEW</x:v>
      </x:c>
      <x:c r="O113" s="21"/>
      <x:c r="P113" s="21"/>
      <x:c r="Q113" s="19" t="str">
        <x:v>宮城県仙台市宮城野区榴岡2-5-11</x:v>
      </x:c>
      <x:c r="R113" s="18" t="str">
        <x:v>navitime:02022-1423968</x:v>
      </x:c>
      <x:c r="S113" s="19" t="str">
        <x:v>https://www.navitime.co.jp/poi?spot=02022-1423968</x:v>
      </x:c>
      <x:c r="T113" s="19" t="str"/>
      <x:c r="U113" s="19" t="str"/>
      <x:c r="V113" s="19" t="str"/>
      <x:c r="W113" s="19"/>
      <x:c r="X113" s="18" t="str">
        <x:v>是</x:v>
      </x:c>
      <x:c r="Y113" s="18" t="str">
        <x:v>否</x:v>
      </x:c>
    </x:row>
    <x:row r="114" ht="75" customHeight="1">
      <x:c r="A114" s="19" t="str">
        <x:v>BUSTLE(バァスル)海老名</x:v>
      </x:c>
      <x:c r="B114" s="19" t="str">
        <x:v>待审核</x:v>
      </x:c>
      <x:c r="C114" s="20" t="n">
        <x:v>0</x:v>
      </x:c>
      <x:c r="D114" s="18" t="str">
        <x:v>否</x:v>
      </x:c>
      <x:c r="E114" s="19"/>
      <x:c r="F114" s="20"/>
      <x:c r="G114" s="19" t="str">
        <x:v>USAGE_DATA_UNAVAILABLE</x:v>
      </x:c>
      <x:c r="H114" s="19"/>
      <x:c r="I114" s="18" t="str">
        <x:v>navitime:02022-1457640</x:v>
      </x:c>
      <x:c r="J114" s="19" t="str">
        <x:v>OFFICIAL_VALIDATION_REQUIRED</x:v>
      </x:c>
      <x:c r="K114" s="19" t="str">
        <x:v>待审核</x:v>
      </x:c>
      <x:c r="L114" s="19" t="str">
        <x:v>待审核</x:v>
      </x:c>
      <x:c r="M114" s="19" t="str">
        <x:v>官方对应与物理去重待审核</x:v>
      </x:c>
      <x:c r="N114" s="19" t="str">
        <x:v>OFFICIAL_IDENTITY_FACILITY
OFFICIAL_COORDINATES
PHYSICAL_FACILITY_DEDUP
CURRENT_OPERATOR_SERVICES
USAGE_OR_FUNCTIONAL_TIER_REVIEW</x:v>
      </x:c>
      <x:c r="O114" s="21"/>
      <x:c r="P114" s="21"/>
      <x:c r="Q114" s="19" t="str">
        <x:v>神奈川県海老名市中央2丁目3</x:v>
      </x:c>
      <x:c r="R114" s="18" t="str">
        <x:v>navitime:02022-1457640</x:v>
      </x:c>
      <x:c r="S114" s="19" t="str">
        <x:v>https://www.navitime.co.jp/poi?spot=02022-1457640</x:v>
      </x:c>
      <x:c r="T114" s="19" t="str"/>
      <x:c r="U114" s="19" t="str"/>
      <x:c r="V114" s="19" t="str"/>
      <x:c r="W114" s="19"/>
      <x:c r="X114" s="18" t="str">
        <x:v>是</x:v>
      </x:c>
      <x:c r="Y114" s="18" t="str">
        <x:v>否</x:v>
      </x:c>
    </x:row>
    <x:row r="115" ht="75" customHeight="1">
      <x:c r="A115" s="19" t="str">
        <x:v>【予約制】二天門乗車場(二天門通り)</x:v>
      </x:c>
      <x:c r="B115" s="19" t="str">
        <x:v>待审核</x:v>
      </x:c>
      <x:c r="C115" s="20" t="n">
        <x:v>0</x:v>
      </x:c>
      <x:c r="D115" s="18" t="str">
        <x:v>否</x:v>
      </x:c>
      <x:c r="E115" s="19"/>
      <x:c r="F115" s="20"/>
      <x:c r="G115" s="19" t="str">
        <x:v>USAGE_DATA_UNAVAILABLE</x:v>
      </x:c>
      <x:c r="H115" s="19"/>
      <x:c r="I115" s="18" t="str">
        <x:v>navitime:02022-1457641</x:v>
      </x:c>
      <x:c r="J115" s="19" t="str">
        <x:v>OFFICIAL_VALIDATION_REQUIRED</x:v>
      </x:c>
      <x:c r="K115" s="19" t="str">
        <x:v>待审核</x:v>
      </x:c>
      <x:c r="L115" s="19" t="str">
        <x:v>待审核</x:v>
      </x:c>
      <x:c r="M115" s="19" t="str">
        <x:v>官方对应与物理去重待审核</x:v>
      </x:c>
      <x:c r="N115" s="19" t="str">
        <x:v>OFFICIAL_IDENTITY_FACILITY
OFFICIAL_COORDINATES
PHYSICAL_FACILITY_DEDUP
CURRENT_OPERATOR_SERVICES
USAGE_OR_FUNCTIONAL_TIER_REVIEW</x:v>
      </x:c>
      <x:c r="O115" s="21"/>
      <x:c r="P115" s="21"/>
      <x:c r="Q115" s="19" t="str">
        <x:v>東京都台東区花川戸1丁目14</x:v>
      </x:c>
      <x:c r="R115" s="18" t="str">
        <x:v>navitime:02022-1457641</x:v>
      </x:c>
      <x:c r="S115" s="19" t="str">
        <x:v>https://www.navitime.co.jp/poi?spot=02022-1457641</x:v>
      </x:c>
      <x:c r="T115" s="19" t="str"/>
      <x:c r="U115" s="19" t="str"/>
      <x:c r="V115" s="19" t="str"/>
      <x:c r="W115" s="19"/>
      <x:c r="X115" s="18" t="str">
        <x:v>是</x:v>
      </x:c>
      <x:c r="Y115" s="18" t="str">
        <x:v>否</x:v>
      </x:c>
    </x:row>
    <x:row r="116" ht="75" customHeight="1">
      <x:c r="A116" s="19" t="str">
        <x:v>【予約制】東武浅草駅乗車場(江戸通り)</x:v>
      </x:c>
      <x:c r="B116" s="19" t="str">
        <x:v>待审核</x:v>
      </x:c>
      <x:c r="C116" s="20" t="n">
        <x:v>0</x:v>
      </x:c>
      <x:c r="D116" s="18" t="str">
        <x:v>否</x:v>
      </x:c>
      <x:c r="E116" s="19"/>
      <x:c r="F116" s="20"/>
      <x:c r="G116" s="19" t="str">
        <x:v>USAGE_DATA_UNAVAILABLE</x:v>
      </x:c>
      <x:c r="H116" s="19"/>
      <x:c r="I116" s="18" t="str">
        <x:v>navitime:02022-1457642</x:v>
      </x:c>
      <x:c r="J116" s="19" t="str">
        <x:v>OFFICIAL_VALIDATION_REQUIRED</x:v>
      </x:c>
      <x:c r="K116" s="19" t="str">
        <x:v>待审核</x:v>
      </x:c>
      <x:c r="L116" s="19" t="str">
        <x:v>待审核</x:v>
      </x:c>
      <x:c r="M116" s="19" t="str">
        <x:v>官方对应与物理去重待审核</x:v>
      </x:c>
      <x:c r="N116" s="19" t="str">
        <x:v>OFFICIAL_IDENTITY_FACILITY
OFFICIAL_COORDINATES
PHYSICAL_FACILITY_DEDUP
CURRENT_OPERATOR_SERVICES
USAGE_OR_FUNCTIONAL_TIER_REVIEW</x:v>
      </x:c>
      <x:c r="O116" s="21"/>
      <x:c r="P116" s="21"/>
      <x:c r="Q116" s="19" t="str">
        <x:v>東京都台東区花川戸1-4先</x:v>
      </x:c>
      <x:c r="R116" s="18" t="str">
        <x:v>navitime:02022-1457642</x:v>
      </x:c>
      <x:c r="S116" s="19" t="str">
        <x:v>https://www.navitime.co.jp/poi?spot=02022-1457642</x:v>
      </x:c>
      <x:c r="T116" s="19" t="str"/>
      <x:c r="U116" s="19" t="str"/>
      <x:c r="V116" s="19" t="str"/>
      <x:c r="W116" s="19"/>
      <x:c r="X116" s="18" t="str">
        <x:v>是</x:v>
      </x:c>
      <x:c r="Y116" s="18" t="str">
        <x:v>否</x:v>
      </x:c>
    </x:row>
    <x:row r="117" ht="75" customHeight="1">
      <x:c r="A117" s="19" t="str">
        <x:v>雷門通り降車場</x:v>
      </x:c>
      <x:c r="B117" s="19" t="str">
        <x:v>待审核</x:v>
      </x:c>
      <x:c r="C117" s="20" t="n">
        <x:v>0</x:v>
      </x:c>
      <x:c r="D117" s="18" t="str">
        <x:v>否</x:v>
      </x:c>
      <x:c r="E117" s="19"/>
      <x:c r="F117" s="20"/>
      <x:c r="G117" s="19" t="str">
        <x:v>USAGE_DATA_UNAVAILABLE</x:v>
      </x:c>
      <x:c r="H117" s="19"/>
      <x:c r="I117" s="18" t="str">
        <x:v>navitime:02022-1457643</x:v>
      </x:c>
      <x:c r="J117" s="19" t="str">
        <x:v>OFFICIAL_VALIDATION_REQUIRED</x:v>
      </x:c>
      <x:c r="K117" s="19" t="str">
        <x:v>待审核</x:v>
      </x:c>
      <x:c r="L117" s="19" t="str">
        <x:v>待审核</x:v>
      </x:c>
      <x:c r="M117" s="19" t="str">
        <x:v>官方对应与物理去重待审核</x:v>
      </x:c>
      <x:c r="N117" s="19" t="str">
        <x:v>OFFICIAL_IDENTITY_FACILITY
OFFICIAL_COORDINATES
PHYSICAL_FACILITY_DEDUP
CURRENT_OPERATOR_SERVICES
USAGE_OR_FUNCTIONAL_TIER_REVIEW</x:v>
      </x:c>
      <x:c r="O117" s="21"/>
      <x:c r="P117" s="21"/>
      <x:c r="Q117" s="19" t="str">
        <x:v>東京都台東区雷門1丁目14</x:v>
      </x:c>
      <x:c r="R117" s="18" t="str">
        <x:v>navitime:02022-1457643</x:v>
      </x:c>
      <x:c r="S117" s="19" t="str">
        <x:v>https://www.navitime.co.jp/poi?spot=02022-1457643</x:v>
      </x:c>
      <x:c r="T117" s="19" t="str"/>
      <x:c r="U117" s="19" t="str"/>
      <x:c r="V117" s="19" t="str"/>
      <x:c r="W117" s="19"/>
      <x:c r="X117" s="18" t="str">
        <x:v>是</x:v>
      </x:c>
      <x:c r="Y117" s="18" t="str">
        <x:v>否</x:v>
      </x:c>
    </x:row>
    <x:row r="118" ht="75" customHeight="1">
      <x:c r="A118" s="19" t="str">
        <x:v>国際通り降車場</x:v>
      </x:c>
      <x:c r="B118" s="19" t="str">
        <x:v>待审核</x:v>
      </x:c>
      <x:c r="C118" s="20" t="n">
        <x:v>0</x:v>
      </x:c>
      <x:c r="D118" s="18" t="str">
        <x:v>否</x:v>
      </x:c>
      <x:c r="E118" s="19"/>
      <x:c r="F118" s="20"/>
      <x:c r="G118" s="19" t="str">
        <x:v>USAGE_DATA_UNAVAILABLE</x:v>
      </x:c>
      <x:c r="H118" s="19"/>
      <x:c r="I118" s="18" t="str">
        <x:v>navitime:02022-1457644</x:v>
      </x:c>
      <x:c r="J118" s="19" t="str">
        <x:v>OFFICIAL_VALIDATION_REQUIRED</x:v>
      </x:c>
      <x:c r="K118" s="19" t="str">
        <x:v>待审核</x:v>
      </x:c>
      <x:c r="L118" s="19" t="str">
        <x:v>待审核</x:v>
      </x:c>
      <x:c r="M118" s="19" t="str">
        <x:v>官方对应与物理去重待审核</x:v>
      </x:c>
      <x:c r="N118" s="19" t="str">
        <x:v>OFFICIAL_IDENTITY_FACILITY
OFFICIAL_COORDINATES
PHYSICAL_FACILITY_DEDUP
CURRENT_OPERATOR_SERVICES
USAGE_OR_FUNCTIONAL_TIER_REVIEW</x:v>
      </x:c>
      <x:c r="O118" s="21"/>
      <x:c r="P118" s="21"/>
      <x:c r="Q118" s="19" t="str">
        <x:v>東京都台東区浅草1丁目43</x:v>
      </x:c>
      <x:c r="R118" s="18" t="str">
        <x:v>navitime:02022-1457644</x:v>
      </x:c>
      <x:c r="S118" s="19" t="str">
        <x:v>https://www.navitime.co.jp/poi?spot=02022-1457644</x:v>
      </x:c>
      <x:c r="T118" s="19" t="str"/>
      <x:c r="U118" s="19" t="str"/>
      <x:c r="V118" s="19" t="str"/>
      <x:c r="W118" s="19"/>
      <x:c r="X118" s="18" t="str">
        <x:v>是</x:v>
      </x:c>
      <x:c r="Y118" s="18" t="str">
        <x:v>否</x:v>
      </x:c>
    </x:row>
    <x:row r="119" ht="75" customHeight="1">
      <x:c r="A119" s="19" t="str">
        <x:v>言問通り降車場</x:v>
      </x:c>
      <x:c r="B119" s="19" t="str">
        <x:v>待审核</x:v>
      </x:c>
      <x:c r="C119" s="20" t="n">
        <x:v>0</x:v>
      </x:c>
      <x:c r="D119" s="18" t="str">
        <x:v>否</x:v>
      </x:c>
      <x:c r="E119" s="19"/>
      <x:c r="F119" s="20"/>
      <x:c r="G119" s="19" t="str">
        <x:v>USAGE_DATA_UNAVAILABLE</x:v>
      </x:c>
      <x:c r="H119" s="19"/>
      <x:c r="I119" s="18" t="str">
        <x:v>navitime:02022-1457645</x:v>
      </x:c>
      <x:c r="J119" s="19" t="str">
        <x:v>OFFICIAL_VALIDATION_REQUIRED</x:v>
      </x:c>
      <x:c r="K119" s="19" t="str">
        <x:v>待审核</x:v>
      </x:c>
      <x:c r="L119" s="19" t="str">
        <x:v>待审核</x:v>
      </x:c>
      <x:c r="M119" s="19" t="str">
        <x:v>官方对应与物理去重待审核</x:v>
      </x:c>
      <x:c r="N119" s="19" t="str">
        <x:v>OFFICIAL_IDENTITY_FACILITY
OFFICIAL_COORDINATES
PHYSICAL_FACILITY_DEDUP
CURRENT_OPERATOR_SERVICES
USAGE_OR_FUNCTIONAL_TIER_REVIEW</x:v>
      </x:c>
      <x:c r="O119" s="21"/>
      <x:c r="P119" s="21"/>
      <x:c r="Q119" s="19" t="str">
        <x:v>東京都台東区花川戸2丁目20</x:v>
      </x:c>
      <x:c r="R119" s="18" t="str">
        <x:v>navitime:02022-1457645</x:v>
      </x:c>
      <x:c r="S119" s="19" t="str">
        <x:v>https://www.navitime.co.jp/poi?spot=02022-1457645</x:v>
      </x:c>
      <x:c r="T119" s="19" t="str"/>
      <x:c r="U119" s="19" t="str"/>
      <x:c r="V119" s="19" t="str"/>
      <x:c r="W119" s="19"/>
      <x:c r="X119" s="18" t="str">
        <x:v>是</x:v>
      </x:c>
      <x:c r="Y119" s="18" t="str">
        <x:v>否</x:v>
      </x:c>
    </x:row>
    <x:row r="120" ht="75" customHeight="1">
      <x:c r="A120" s="19" t="str">
        <x:v>八景島シーパラダイス 団体バス発着所</x:v>
      </x:c>
      <x:c r="B120" s="19" t="str">
        <x:v>待审核</x:v>
      </x:c>
      <x:c r="C120" s="20" t="n">
        <x:v>0</x:v>
      </x:c>
      <x:c r="D120" s="18" t="str">
        <x:v>否</x:v>
      </x:c>
      <x:c r="E120" s="19"/>
      <x:c r="F120" s="20"/>
      <x:c r="G120" s="19" t="str">
        <x:v>USAGE_DATA_UNAVAILABLE</x:v>
      </x:c>
      <x:c r="H120" s="19"/>
      <x:c r="I120" s="18" t="str">
        <x:v>navitime:02022-1457646</x:v>
      </x:c>
      <x:c r="J120" s="19" t="str">
        <x:v>OFFICIAL_VALIDATION_REQUIRED</x:v>
      </x:c>
      <x:c r="K120" s="19" t="str">
        <x:v>待审核</x:v>
      </x:c>
      <x:c r="L120" s="19" t="str">
        <x:v>待审核</x:v>
      </x:c>
      <x:c r="M120" s="19" t="str">
        <x:v>官方对应与物理去重待审核</x:v>
      </x:c>
      <x:c r="N120" s="19" t="str">
        <x:v>OFFICIAL_IDENTITY_FACILITY
OFFICIAL_COORDINATES
PHYSICAL_FACILITY_DEDUP
CURRENT_OPERATOR_SERVICES
USAGE_OR_FUNCTIONAL_TIER_REVIEW</x:v>
      </x:c>
      <x:c r="O120" s="21"/>
      <x:c r="P120" s="21"/>
      <x:c r="Q120" s="19" t="str">
        <x:v>神奈川県横浜市金沢区八景島</x:v>
      </x:c>
      <x:c r="R120" s="18" t="str">
        <x:v>navitime:02022-1457646</x:v>
      </x:c>
      <x:c r="S120" s="19" t="str">
        <x:v>https://www.navitime.co.jp/poi?spot=02022-1457646</x:v>
      </x:c>
      <x:c r="T120" s="19" t="str"/>
      <x:c r="U120" s="19" t="str"/>
      <x:c r="V120" s="19" t="str"/>
      <x:c r="W120" s="19"/>
      <x:c r="X120" s="18" t="str">
        <x:v>是</x:v>
      </x:c>
      <x:c r="Y120" s="18" t="str">
        <x:v>否</x:v>
      </x:c>
    </x:row>
    <x:row r="121" ht="75" customHeight="1">
      <x:c r="A121" s="19" t="str">
        <x:v>海老名駅東口企業送迎車両ターミナル&lt;e-CAT&gt;</x:v>
      </x:c>
      <x:c r="B121" s="19" t="str">
        <x:v>待审核</x:v>
      </x:c>
      <x:c r="C121" s="20" t="n">
        <x:v>0</x:v>
      </x:c>
      <x:c r="D121" s="18" t="str">
        <x:v>否</x:v>
      </x:c>
      <x:c r="E121" s="19"/>
      <x:c r="F121" s="20"/>
      <x:c r="G121" s="19" t="str">
        <x:v>USAGE_DATA_UNAVAILABLE</x:v>
      </x:c>
      <x:c r="H121" s="19"/>
      <x:c r="I121" s="18" t="str">
        <x:v>navitime:02022-1457647</x:v>
      </x:c>
      <x:c r="J121" s="19" t="str">
        <x:v>OFFICIAL_VALIDATION_REQUIRED</x:v>
      </x:c>
      <x:c r="K121" s="19" t="str">
        <x:v>待审核</x:v>
      </x:c>
      <x:c r="L121" s="19" t="str">
        <x:v>待审核</x:v>
      </x:c>
      <x:c r="M121" s="19" t="str">
        <x:v>官方对应与物理去重待审核</x:v>
      </x:c>
      <x:c r="N121" s="19" t="str">
        <x:v>OFFICIAL_IDENTITY_FACILITY
OFFICIAL_COORDINATES
PHYSICAL_FACILITY_DEDUP
CURRENT_OPERATOR_SERVICES
USAGE_OR_FUNCTIONAL_TIER_REVIEW</x:v>
      </x:c>
      <x:c r="O121" s="21"/>
      <x:c r="P121" s="21"/>
      <x:c r="Q121" s="19" t="str">
        <x:v>神奈川県海老名市中央1丁目14-26</x:v>
      </x:c>
      <x:c r="R121" s="18" t="str">
        <x:v>navitime:02022-1457647</x:v>
      </x:c>
      <x:c r="S121" s="19" t="str">
        <x:v>https://www.navitime.co.jp/poi?spot=02022-1457647</x:v>
      </x:c>
      <x:c r="T121" s="19" t="str"/>
      <x:c r="U121" s="19" t="str"/>
      <x:c r="V121" s="19" t="str"/>
      <x:c r="W121" s="19"/>
      <x:c r="X121" s="18" t="str">
        <x:v>是</x:v>
      </x:c>
      <x:c r="Y121" s="18" t="str">
        <x:v>否</x:v>
      </x:c>
    </x:row>
    <x:row r="122" ht="61" customHeight="1">
      <x:c r="A122" s="19" t="str">
        <x:v>名古屋駅バスターミナル</x:v>
      </x:c>
      <x:c r="B122" s="19" t="str">
        <x:v>待审核</x:v>
      </x:c>
      <x:c r="C122" s="20" t="n">
        <x:v>1</x:v>
      </x:c>
      <x:c r="D122" s="18" t="str">
        <x:v>否</x:v>
      </x:c>
      <x:c r="E122" s="19"/>
      <x:c r="F122" s="20"/>
      <x:c r="G122" s="19" t="str">
        <x:v>USAGE_DATA_UNAVAILABLE</x:v>
      </x:c>
      <x:c r="H122" s="19"/>
      <x:c r="I122" s="18" t="str">
        <x:v>navitime:02022-1488534</x:v>
      </x:c>
      <x:c r="J122" s="19" t="str">
        <x:v>部分官方证据</x:v>
      </x:c>
      <x:c r="K122" s="19" t="str">
        <x:v>待审核</x:v>
      </x:c>
      <x:c r="L122" s="19" t="str">
        <x:v>部分官方证据</x:v>
      </x:c>
      <x:c r="M122" s="19" t="str">
        <x:v>官方对应与物理去重待审核</x:v>
      </x:c>
      <x:c r="N122" s="19" t="str">
        <x:v>OFFICIAL_COORDINATES
PHYSICAL_FACILITY_DEDUP
CURRENT_OPERATOR_SERVICES
USAGE_OR_FUNCTIONAL_TIER_REVIEW</x:v>
      </x:c>
      <x:c r="O122" s="21"/>
      <x:c r="P122" s="21"/>
      <x:c r="Q122" s="19" t="str">
        <x:v>愛知県名古屋市中村区名駅1-1-4 JRゲートタワー 1F</x:v>
      </x:c>
      <x:c r="R122" s="18" t="str">
        <x:v>navitime:02022-1488534</x:v>
      </x:c>
      <x:c r="S122" s="19" t="str">
        <x:v>https://www.navitime.co.jp/poi?spot=02022-1488534</x:v>
      </x:c>
      <x:c r="T122" s="19" t="str">
        <x:v>ジェイアールセントラルビル</x:v>
      </x:c>
      <x:c r="U122" s="19" t="str">
        <x:v>名古屋市中村区名駅1丁目1-3</x:v>
      </x:c>
      <x:c r="V122" s="19" t="str">
        <x:v>REGISTERED_FACILITY_OPERATOR_ADDRESS_BERTHS
https://www.mlit.go.jp/jidosha/content/001999724.pdf
页 1，条 17</x:v>
      </x:c>
      <x:c r="W122" s="19"/>
      <x:c r="X122" s="18" t="str">
        <x:v>是</x:v>
      </x:c>
      <x:c r="Y122" s="18" t="str">
        <x:v>否</x:v>
      </x:c>
    </x:row>
    <x:row r="123" ht="75" customHeight="1">
      <x:c r="A123" s="19" t="str">
        <x:v>名鉄バスセンター</x:v>
      </x:c>
      <x:c r="B123" s="19" t="str">
        <x:v>待审核</x:v>
      </x:c>
      <x:c r="C123" s="20" t="n">
        <x:v>2</x:v>
      </x:c>
      <x:c r="D123" s="18" t="str">
        <x:v>否</x:v>
      </x:c>
      <x:c r="E123" s="19"/>
      <x:c r="F123" s="20"/>
      <x:c r="G123" s="19" t="str">
        <x:v>USAGE_DATA_UNAVAILABLE</x:v>
      </x:c>
      <x:c r="H123" s="19"/>
      <x:c r="I123" s="18" t="str">
        <x:v>navitime:02022-16401</x:v>
      </x:c>
      <x:c r="J123" s="19" t="str">
        <x:v>部分官方证据</x:v>
      </x:c>
      <x:c r="K123" s="19" t="str">
        <x:v>待审核</x:v>
      </x:c>
      <x:c r="L123" s="19" t="str">
        <x:v>部分官方证据</x:v>
      </x:c>
      <x:c r="M123" s="19" t="str">
        <x:v>官方对应与物理去重待审核</x:v>
      </x:c>
      <x:c r="N123" s="19" t="str">
        <x:v>OFFICIAL_COORDINATES
PHYSICAL_FACILITY_DEDUP
CURRENT_OPERATOR_SERVICES
USAGE_OR_FUNCTIONAL_TIER_REVIEW</x:v>
      </x:c>
      <x:c r="O123" s="21"/>
      <x:c r="P123" s="21"/>
      <x:c r="Q123" s="19" t="str">
        <x:v>愛知県名古屋市中村区名駅1-2-4</x:v>
      </x:c>
      <x:c r="R123" s="18" t="str">
        <x:v>navitime:02022-16401</x:v>
      </x:c>
      <x:c r="S123" s="19" t="str">
        <x:v>https://www.navitime.co.jp/poi?spot=02022-16401</x:v>
      </x:c>
      <x:c r="T123" s="19" t="str">
        <x:v>名古屋鉄道</x:v>
      </x:c>
      <x:c r="U123" s="19" t="str">
        <x:v>名古屋市中村区名駅1丁目2-4</x:v>
      </x:c>
      <x:c r="V123" s="19" t="str">
        <x:v>REGISTERED_FACILITY_OPERATOR_ADDRESS_BERTHS
https://www.mlit.go.jp/jidosha/content/001999724.pdf
页 1，条 15
PRIOR_OFFICIAL_FACILITY_REVIEW
https://meitetsu-bus.co.jp/rosen/meibc</x:v>
      </x:c>
      <x:c r="W123" s="19"/>
      <x:c r="X123" s="18" t="str">
        <x:v>是</x:v>
      </x:c>
      <x:c r="Y123" s="18" t="str">
        <x:v>否</x:v>
      </x:c>
    </x:row>
    <x:row r="124" ht="75" customHeight="1">
      <x:c r="A124" s="19" t="str">
        <x:v>上高地バスターミナル</x:v>
      </x:c>
      <x:c r="B124" s="19" t="str">
        <x:v>待审核</x:v>
      </x:c>
      <x:c r="C124" s="20" t="n">
        <x:v>0</x:v>
      </x:c>
      <x:c r="D124" s="18" t="str">
        <x:v>否</x:v>
      </x:c>
      <x:c r="E124" s="19"/>
      <x:c r="F124" s="20"/>
      <x:c r="G124" s="19" t="str">
        <x:v>USAGE_DATA_UNAVAILABLE</x:v>
      </x:c>
      <x:c r="H124" s="19"/>
      <x:c r="I124" s="18" t="str">
        <x:v>navitime:02022-54209</x:v>
      </x:c>
      <x:c r="J124" s="19" t="str">
        <x:v>OFFICIAL_VALIDATION_REQUIRED</x:v>
      </x:c>
      <x:c r="K124" s="19" t="str">
        <x:v>待审核</x:v>
      </x:c>
      <x:c r="L124" s="19" t="str">
        <x:v>待审核</x:v>
      </x:c>
      <x:c r="M124" s="19" t="str">
        <x:v>官方对应与物理去重待审核</x:v>
      </x:c>
      <x:c r="N124" s="19" t="str">
        <x:v>OFFICIAL_IDENTITY_FACILITY
OFFICIAL_COORDINATES
PHYSICAL_FACILITY_DEDUP
CURRENT_OPERATOR_SERVICES
USAGE_OR_FUNCTIONAL_TIER_REVIEW</x:v>
      </x:c>
      <x:c r="O124" s="21"/>
      <x:c r="P124" s="21"/>
      <x:c r="Q124" s="19" t="str">
        <x:v>長野県松本市</x:v>
      </x:c>
      <x:c r="R124" s="18" t="str">
        <x:v>navitime:02022-54209</x:v>
      </x:c>
      <x:c r="S124" s="19" t="str">
        <x:v>https://www.navitime.co.jp/poi?spot=02022-54209</x:v>
      </x:c>
      <x:c r="T124" s="19" t="str"/>
      <x:c r="U124" s="19" t="str"/>
      <x:c r="V124" s="19" t="str"/>
      <x:c r="W124" s="19"/>
      <x:c r="X124" s="18" t="str">
        <x:v>是</x:v>
      </x:c>
      <x:c r="Y124" s="18" t="str">
        <x:v>否</x:v>
      </x:c>
    </x:row>
    <x:row r="125" ht="75" customHeight="1">
      <x:c r="A125" s="19" t="str">
        <x:v>渋谷駅バスターミナル</x:v>
      </x:c>
      <x:c r="B125" s="19" t="str">
        <x:v>待审核</x:v>
      </x:c>
      <x:c r="C125" s="20" t="n">
        <x:v>0</x:v>
      </x:c>
      <x:c r="D125" s="18" t="str">
        <x:v>否</x:v>
      </x:c>
      <x:c r="E125" s="19"/>
      <x:c r="F125" s="20"/>
      <x:c r="G125" s="19" t="str">
        <x:v>USAGE_DATA_UNAVAILABLE</x:v>
      </x:c>
      <x:c r="H125" s="19"/>
      <x:c r="I125" s="18" t="str">
        <x:v>navitime:02300-1000561</x:v>
      </x:c>
      <x:c r="J125" s="19" t="str">
        <x:v>OFFICIAL_VALIDATION_REQUIRED</x:v>
      </x:c>
      <x:c r="K125" s="19" t="str">
        <x:v>待审核</x:v>
      </x:c>
      <x:c r="L125" s="19" t="str">
        <x:v>待审核</x:v>
      </x:c>
      <x:c r="M125" s="19" t="str">
        <x:v>官方对应与物理去重待审核</x:v>
      </x:c>
      <x:c r="N125" s="19" t="str">
        <x:v>OFFICIAL_IDENTITY_FACILITY
OFFICIAL_COORDINATES
PHYSICAL_FACILITY_DEDUP
CURRENT_OPERATOR_SERVICES
USAGE_OR_FUNCTIONAL_TIER_REVIEW</x:v>
      </x:c>
      <x:c r="O125" s="21"/>
      <x:c r="P125" s="21"/>
      <x:c r="Q125" s="19" t="str">
        <x:v>東京都渋谷区道玄坂1-1</x:v>
      </x:c>
      <x:c r="R125" s="18" t="str">
        <x:v>navitime:02300-1000561</x:v>
      </x:c>
      <x:c r="S125" s="19" t="str">
        <x:v>https://www.navitime.co.jp/poi?spot=02300-1000561</x:v>
      </x:c>
      <x:c r="T125" s="19" t="str"/>
      <x:c r="U125" s="19" t="str"/>
      <x:c r="V125" s="19" t="str"/>
      <x:c r="W125" s="19"/>
      <x:c r="X125" s="18" t="str">
        <x:v>是</x:v>
      </x:c>
      <x:c r="Y125" s="18" t="str">
        <x:v>否</x:v>
      </x:c>
    </x:row>
    <x:row r="126" ht="75" customHeight="1">
      <x:c r="A126" s="19" t="str">
        <x:v>池上駅前バスターミナル</x:v>
      </x:c>
      <x:c r="B126" s="19" t="str">
        <x:v>待审核</x:v>
      </x:c>
      <x:c r="C126" s="20" t="n">
        <x:v>0</x:v>
      </x:c>
      <x:c r="D126" s="18" t="str">
        <x:v>否</x:v>
      </x:c>
      <x:c r="E126" s="19"/>
      <x:c r="F126" s="20"/>
      <x:c r="G126" s="19" t="str">
        <x:v>USAGE_DATA_UNAVAILABLE</x:v>
      </x:c>
      <x:c r="H126" s="19"/>
      <x:c r="I126" s="18" t="str">
        <x:v>navitime:02300-1000562</x:v>
      </x:c>
      <x:c r="J126" s="19" t="str">
        <x:v>OFFICIAL_VALIDATION_REQUIRED</x:v>
      </x:c>
      <x:c r="K126" s="19" t="str">
        <x:v>待审核</x:v>
      </x:c>
      <x:c r="L126" s="19" t="str">
        <x:v>待审核</x:v>
      </x:c>
      <x:c r="M126" s="19" t="str">
        <x:v>官方对应与物理去重待审核</x:v>
      </x:c>
      <x:c r="N126" s="19" t="str">
        <x:v>OFFICIAL_IDENTITY_FACILITY
OFFICIAL_COORDINATES
PHYSICAL_FACILITY_DEDUP
CURRENT_OPERATOR_SERVICES
USAGE_OR_FUNCTIONAL_TIER_REVIEW</x:v>
      </x:c>
      <x:c r="O126" s="21"/>
      <x:c r="P126" s="21"/>
      <x:c r="Q126" s="19" t="str">
        <x:v>東京都大田区池上6丁目</x:v>
      </x:c>
      <x:c r="R126" s="18" t="str">
        <x:v>navitime:02300-1000562</x:v>
      </x:c>
      <x:c r="S126" s="19" t="str">
        <x:v>https://www.navitime.co.jp/poi?spot=02300-1000562</x:v>
      </x:c>
      <x:c r="T126" s="19" t="str"/>
      <x:c r="U126" s="19" t="str"/>
      <x:c r="V126" s="19" t="str"/>
      <x:c r="W126" s="19"/>
      <x:c r="X126" s="18" t="str">
        <x:v>是</x:v>
      </x:c>
      <x:c r="Y126" s="18" t="str">
        <x:v>否</x:v>
      </x:c>
    </x:row>
    <x:row r="127" ht="61" customHeight="1">
      <x:c r="A127" s="19" t="str">
        <x:v>サンシャインバスターミナル</x:v>
      </x:c>
      <x:c r="B127" s="19" t="str">
        <x:v>待审核</x:v>
      </x:c>
      <x:c r="C127" s="20" t="n">
        <x:v>1</x:v>
      </x:c>
      <x:c r="D127" s="18" t="str">
        <x:v>否</x:v>
      </x:c>
      <x:c r="E127" s="19"/>
      <x:c r="F127" s="20"/>
      <x:c r="G127" s="19" t="str">
        <x:v>USAGE_DATA_UNAVAILABLE</x:v>
      </x:c>
      <x:c r="H127" s="19"/>
      <x:c r="I127" s="18" t="str">
        <x:v>navitime:02300-1000563</x:v>
      </x:c>
      <x:c r="J127" s="19" t="str">
        <x:v>部分官方证据</x:v>
      </x:c>
      <x:c r="K127" s="19" t="str">
        <x:v>待审核</x:v>
      </x:c>
      <x:c r="L127" s="19" t="str">
        <x:v>部分官方证据</x:v>
      </x:c>
      <x:c r="M127" s="19" t="str">
        <x:v>官方对应与物理去重待审核</x:v>
      </x:c>
      <x:c r="N127" s="19" t="str">
        <x:v>OFFICIAL_COORDINATES
PHYSICAL_FACILITY_DEDUP
CURRENT_OPERATOR_SERVICES
USAGE_OR_FUNCTIONAL_TIER_REVIEW</x:v>
      </x:c>
      <x:c r="O127" s="21"/>
      <x:c r="P127" s="21"/>
      <x:c r="Q127" s="19" t="str">
        <x:v>東京都豊島区東池袋3-1-4</x:v>
      </x:c>
      <x:c r="R127" s="18" t="str">
        <x:v>navitime:02300-1000563</x:v>
      </x:c>
      <x:c r="S127" s="19" t="str">
        <x:v>https://www.navitime.co.jp/poi?spot=02300-1000563</x:v>
      </x:c>
      <x:c r="T127" s="19" t="str">
        <x:v>サンシャインシティ</x:v>
      </x:c>
      <x:c r="U127" s="19" t="str">
        <x:v>東京都豊島区東池袋3丁目3277</x:v>
      </x:c>
      <x:c r="V127" s="19" t="str">
        <x:v>REGISTERED_FACILITY_OPERATOR_ADDRESS_BERTHS
https://www.mlit.go.jp/jidosha/content/001999724.pdf
页 1，条 8</x:v>
      </x:c>
      <x:c r="W127" s="19"/>
      <x:c r="X127" s="18" t="str">
        <x:v>是</x:v>
      </x:c>
      <x:c r="Y127" s="18" t="str">
        <x:v>否</x:v>
      </x:c>
    </x:row>
    <x:row r="128" ht="61" customHeight="1">
      <x:c r="A128" s="19" t="str">
        <x:v>新札幌バスターミナル</x:v>
      </x:c>
      <x:c r="B128" s="19" t="str">
        <x:v>待审核</x:v>
      </x:c>
      <x:c r="C128" s="20" t="n">
        <x:v>1</x:v>
      </x:c>
      <x:c r="D128" s="18" t="str">
        <x:v>否</x:v>
      </x:c>
      <x:c r="E128" s="19"/>
      <x:c r="F128" s="20"/>
      <x:c r="G128" s="19" t="str">
        <x:v>USAGE_DATA_UNAVAILABLE</x:v>
      </x:c>
      <x:c r="H128" s="19"/>
      <x:c r="I128" s="18" t="str">
        <x:v>navitime:02300-1000564</x:v>
      </x:c>
      <x:c r="J128" s="19" t="str">
        <x:v>部分官方证据</x:v>
      </x:c>
      <x:c r="K128" s="19" t="str">
        <x:v>待审核</x:v>
      </x:c>
      <x:c r="L128" s="19" t="str">
        <x:v>部分官方证据</x:v>
      </x:c>
      <x:c r="M128" s="19" t="str">
        <x:v>官方对应与物理去重待审核</x:v>
      </x:c>
      <x:c r="N128" s="19" t="str">
        <x:v>OFFICIAL_COORDINATES
PHYSICAL_FACILITY_DEDUP
CURRENT_OPERATOR_SERVICES
USAGE_OR_FUNCTIONAL_TIER_REVIEW</x:v>
      </x:c>
      <x:c r="O128" s="21"/>
      <x:c r="P128" s="21"/>
      <x:c r="Q128" s="19" t="str">
        <x:v>北海道札幌市厚別区厚別中央二条5丁目493-67</x:v>
      </x:c>
      <x:c r="R128" s="18" t="str">
        <x:v>navitime:02300-1000564</x:v>
      </x:c>
      <x:c r="S128" s="19" t="str">
        <x:v>https://www.navitime.co.jp/poi?spot=02300-1000564</x:v>
      </x:c>
      <x:c r="T128" s="19" t="str">
        <x:v>札幌副都心開発公社</x:v>
      </x:c>
      <x:c r="U128" s="19" t="str">
        <x:v>札幌市厚別区厚別中央2条5丁目493-67</x:v>
      </x:c>
      <x:c r="V128" s="19" t="str">
        <x:v>REGISTERED_FACILITY_OPERATOR_ADDRESS_BERTHS
https://www.mlit.go.jp/jidosha/content/001999724.pdf
页 1，条 3</x:v>
      </x:c>
      <x:c r="W128" s="19"/>
      <x:c r="X128" s="18" t="str">
        <x:v>是</x:v>
      </x:c>
      <x:c r="Y128" s="18" t="str">
        <x:v>否</x:v>
      </x:c>
    </x:row>
    <x:row r="129" ht="75" customHeight="1">
      <x:c r="A129" s="19" t="str">
        <x:v>白石バスターミナル</x:v>
      </x:c>
      <x:c r="B129" s="19" t="str">
        <x:v>待审核</x:v>
      </x:c>
      <x:c r="C129" s="20" t="n">
        <x:v>0</x:v>
      </x:c>
      <x:c r="D129" s="18" t="str">
        <x:v>否</x:v>
      </x:c>
      <x:c r="E129" s="19"/>
      <x:c r="F129" s="20"/>
      <x:c r="G129" s="19" t="str">
        <x:v>USAGE_DATA_UNAVAILABLE</x:v>
      </x:c>
      <x:c r="H129" s="19"/>
      <x:c r="I129" s="18" t="str">
        <x:v>navitime:02300-1000565</x:v>
      </x:c>
      <x:c r="J129" s="19" t="str">
        <x:v>OFFICIAL_VALIDATION_REQUIRED</x:v>
      </x:c>
      <x:c r="K129" s="19" t="str">
        <x:v>待审核</x:v>
      </x:c>
      <x:c r="L129" s="19" t="str">
        <x:v>待审核</x:v>
      </x:c>
      <x:c r="M129" s="19" t="str">
        <x:v>官方对应与物理去重待审核</x:v>
      </x:c>
      <x:c r="N129" s="19" t="str">
        <x:v>OFFICIAL_IDENTITY_FACILITY
OFFICIAL_COORDINATES
PHYSICAL_FACILITY_DEDUP
CURRENT_OPERATOR_SERVICES
USAGE_OR_FUNCTIONAL_TIER_REVIEW</x:v>
      </x:c>
      <x:c r="O129" s="21"/>
      <x:c r="P129" s="21"/>
      <x:c r="Q129" s="19" t="str">
        <x:v>北海道札幌市白石区東札幌二条6丁目</x:v>
      </x:c>
      <x:c r="R129" s="18" t="str">
        <x:v>navitime:02300-1000565</x:v>
      </x:c>
      <x:c r="S129" s="19" t="str">
        <x:v>https://www.navitime.co.jp/poi?spot=02300-1000565</x:v>
      </x:c>
      <x:c r="T129" s="19" t="str"/>
      <x:c r="U129" s="19" t="str"/>
      <x:c r="V129" s="19" t="str"/>
      <x:c r="W129" s="19"/>
      <x:c r="X129" s="18" t="str">
        <x:v>是</x:v>
      </x:c>
      <x:c r="Y129" s="18" t="str">
        <x:v>否</x:v>
      </x:c>
    </x:row>
    <x:row r="130" ht="61" customHeight="1">
      <x:c r="A130" s="19" t="str">
        <x:v>宮の沢バスターミナル</x:v>
      </x:c>
      <x:c r="B130" s="19" t="str">
        <x:v>待审核</x:v>
      </x:c>
      <x:c r="C130" s="20" t="n">
        <x:v>1</x:v>
      </x:c>
      <x:c r="D130" s="18" t="str">
        <x:v>否</x:v>
      </x:c>
      <x:c r="E130" s="19"/>
      <x:c r="F130" s="20"/>
      <x:c r="G130" s="19" t="str">
        <x:v>USAGE_DATA_UNAVAILABLE</x:v>
      </x:c>
      <x:c r="H130" s="19"/>
      <x:c r="I130" s="18" t="str">
        <x:v>navitime:02300-1000566</x:v>
      </x:c>
      <x:c r="J130" s="19" t="str">
        <x:v>部分官方证据</x:v>
      </x:c>
      <x:c r="K130" s="19" t="str">
        <x:v>待审核</x:v>
      </x:c>
      <x:c r="L130" s="19" t="str">
        <x:v>部分官方证据</x:v>
      </x:c>
      <x:c r="M130" s="19" t="str">
        <x:v>官方对应与物理去重待审核</x:v>
      </x:c>
      <x:c r="N130" s="19" t="str">
        <x:v>OFFICIAL_COORDINATES
PHYSICAL_FACILITY_DEDUP
CURRENT_OPERATOR_SERVICES
USAGE_OR_FUNCTIONAL_TIER_REVIEW</x:v>
      </x:c>
      <x:c r="O130" s="21"/>
      <x:c r="P130" s="21"/>
      <x:c r="Q130" s="19" t="str">
        <x:v>北海道札幌市西区宮の沢1条1-17</x:v>
      </x:c>
      <x:c r="R130" s="18" t="str">
        <x:v>navitime:02300-1000566</x:v>
      </x:c>
      <x:c r="S130" s="19" t="str">
        <x:v>https://www.navitime.co.jp/poi?spot=02300-1000566</x:v>
      </x:c>
      <x:c r="T130" s="19" t="str">
        <x:v>西新サービス</x:v>
      </x:c>
      <x:c r="U130" s="19" t="str">
        <x:v>札幌市西区宮の沢1条1丁目17</x:v>
      </x:c>
      <x:c r="V130" s="19" t="str">
        <x:v>REGISTERED_FACILITY_OPERATOR_ADDRESS_BERTHS
https://www.mlit.go.jp/jidosha/content/001999724.pdf
页 1，条 5</x:v>
      </x:c>
      <x:c r="W130" s="19"/>
      <x:c r="X130" s="18" t="str">
        <x:v>是</x:v>
      </x:c>
      <x:c r="Y130" s="18" t="str">
        <x:v>否</x:v>
      </x:c>
    </x:row>
    <x:row r="131" ht="75" customHeight="1">
      <x:c r="A131" s="19" t="str">
        <x:v>麻生バスターミナル</x:v>
      </x:c>
      <x:c r="B131" s="19" t="str">
        <x:v>待审核</x:v>
      </x:c>
      <x:c r="C131" s="20" t="n">
        <x:v>0</x:v>
      </x:c>
      <x:c r="D131" s="18" t="str">
        <x:v>否</x:v>
      </x:c>
      <x:c r="E131" s="19"/>
      <x:c r="F131" s="20"/>
      <x:c r="G131" s="19" t="str">
        <x:v>USAGE_DATA_UNAVAILABLE</x:v>
      </x:c>
      <x:c r="H131" s="19"/>
      <x:c r="I131" s="18" t="str">
        <x:v>navitime:02300-1000567</x:v>
      </x:c>
      <x:c r="J131" s="19" t="str">
        <x:v>OFFICIAL_VALIDATION_REQUIRED</x:v>
      </x:c>
      <x:c r="K131" s="19" t="str">
        <x:v>待审核</x:v>
      </x:c>
      <x:c r="L131" s="19" t="str">
        <x:v>待审核</x:v>
      </x:c>
      <x:c r="M131" s="19" t="str">
        <x:v>官方对应与物理去重待审核</x:v>
      </x:c>
      <x:c r="N131" s="19" t="str">
        <x:v>OFFICIAL_IDENTITY_FACILITY
OFFICIAL_COORDINATES
PHYSICAL_FACILITY_DEDUP
CURRENT_OPERATOR_SERVICES
USAGE_OR_FUNCTIONAL_TIER_REVIEW</x:v>
      </x:c>
      <x:c r="O131" s="21"/>
      <x:c r="P131" s="21"/>
      <x:c r="Q131" s="19" t="str">
        <x:v>北海道札幌市北区北39条西4</x:v>
      </x:c>
      <x:c r="R131" s="18" t="str">
        <x:v>navitime:02300-1000567</x:v>
      </x:c>
      <x:c r="S131" s="19" t="str">
        <x:v>https://www.navitime.co.jp/poi?spot=02300-1000567</x:v>
      </x:c>
      <x:c r="T131" s="19" t="str"/>
      <x:c r="U131" s="19" t="str"/>
      <x:c r="V131" s="19" t="str"/>
      <x:c r="W131" s="19"/>
      <x:c r="X131" s="18" t="str">
        <x:v>是</x:v>
      </x:c>
      <x:c r="Y131" s="18" t="str">
        <x:v>否</x:v>
      </x:c>
    </x:row>
    <x:row r="132" ht="75" customHeight="1">
      <x:c r="A132" s="19" t="str">
        <x:v>小樽バスターミナル</x:v>
      </x:c>
      <x:c r="B132" s="19" t="str">
        <x:v>待审核</x:v>
      </x:c>
      <x:c r="C132" s="20" t="n">
        <x:v>0</x:v>
      </x:c>
      <x:c r="D132" s="18" t="str">
        <x:v>否</x:v>
      </x:c>
      <x:c r="E132" s="19"/>
      <x:c r="F132" s="20"/>
      <x:c r="G132" s="19" t="str">
        <x:v>USAGE_DATA_UNAVAILABLE</x:v>
      </x:c>
      <x:c r="H132" s="19"/>
      <x:c r="I132" s="18" t="str">
        <x:v>navitime:02300-1000568</x:v>
      </x:c>
      <x:c r="J132" s="19" t="str">
        <x:v>OFFICIAL_VALIDATION_REQUIRED</x:v>
      </x:c>
      <x:c r="K132" s="19" t="str">
        <x:v>待审核</x:v>
      </x:c>
      <x:c r="L132" s="19" t="str">
        <x:v>待审核</x:v>
      </x:c>
      <x:c r="M132" s="19" t="str">
        <x:v>官方对应与物理去重待审核</x:v>
      </x:c>
      <x:c r="N132" s="19" t="str">
        <x:v>OFFICIAL_IDENTITY_FACILITY
OFFICIAL_COORDINATES
PHYSICAL_FACILITY_DEDUP
CURRENT_OPERATOR_SERVICES
USAGE_OR_FUNCTIONAL_TIER_REVIEW</x:v>
      </x:c>
      <x:c r="O132" s="21"/>
      <x:c r="P132" s="21"/>
      <x:c r="Q132" s="19" t="str">
        <x:v>北海道小樽市稲穂2-22-10</x:v>
      </x:c>
      <x:c r="R132" s="18" t="str">
        <x:v>navitime:02300-1000568</x:v>
      </x:c>
      <x:c r="S132" s="19" t="str">
        <x:v>https://www.navitime.co.jp/poi?spot=02300-1000568</x:v>
      </x:c>
      <x:c r="T132" s="19" t="str"/>
      <x:c r="U132" s="19" t="str"/>
      <x:c r="V132" s="19" t="str"/>
      <x:c r="W132" s="19"/>
      <x:c r="X132" s="18" t="str">
        <x:v>是</x:v>
      </x:c>
      <x:c r="Y132" s="18" t="str">
        <x:v>否</x:v>
      </x:c>
    </x:row>
    <x:row r="133" ht="75" customHeight="1">
      <x:c r="A133" s="19" t="str">
        <x:v>岩内バスターミナル</x:v>
      </x:c>
      <x:c r="B133" s="19" t="str">
        <x:v>待审核</x:v>
      </x:c>
      <x:c r="C133" s="20" t="n">
        <x:v>0</x:v>
      </x:c>
      <x:c r="D133" s="18" t="str">
        <x:v>否</x:v>
      </x:c>
      <x:c r="E133" s="19"/>
      <x:c r="F133" s="20"/>
      <x:c r="G133" s="19" t="str">
        <x:v>USAGE_DATA_UNAVAILABLE</x:v>
      </x:c>
      <x:c r="H133" s="19"/>
      <x:c r="I133" s="18" t="str">
        <x:v>navitime:02300-1000570</x:v>
      </x:c>
      <x:c r="J133" s="19" t="str">
        <x:v>OFFICIAL_VALIDATION_REQUIRED</x:v>
      </x:c>
      <x:c r="K133" s="19" t="str">
        <x:v>待审核</x:v>
      </x:c>
      <x:c r="L133" s="19" t="str">
        <x:v>待审核</x:v>
      </x:c>
      <x:c r="M133" s="19" t="str">
        <x:v>官方对应与物理去重待审核</x:v>
      </x:c>
      <x:c r="N133" s="19" t="str">
        <x:v>OFFICIAL_IDENTITY_FACILITY
OFFICIAL_COORDINATES
PHYSICAL_FACILITY_DEDUP
CURRENT_OPERATOR_SERVICES
USAGE_OR_FUNCTIONAL_TIER_REVIEW</x:v>
      </x:c>
      <x:c r="O133" s="21"/>
      <x:c r="P133" s="21"/>
      <x:c r="Q133" s="19" t="str">
        <x:v>北海道岩内郡岩内町字万代22</x:v>
      </x:c>
      <x:c r="R133" s="18" t="str">
        <x:v>navitime:02300-1000570</x:v>
      </x:c>
      <x:c r="S133" s="19" t="str">
        <x:v>https://www.navitime.co.jp/poi?spot=02300-1000570</x:v>
      </x:c>
      <x:c r="T133" s="19" t="str"/>
      <x:c r="U133" s="19" t="str"/>
      <x:c r="V133" s="19" t="str"/>
      <x:c r="W133" s="19"/>
      <x:c r="X133" s="18" t="str">
        <x:v>是</x:v>
      </x:c>
      <x:c r="Y133" s="18" t="str">
        <x:v>否</x:v>
      </x:c>
    </x:row>
    <x:row r="134" ht="75" customHeight="1">
      <x:c r="A134" s="19" t="str">
        <x:v>函館駅前バスターミナル</x:v>
      </x:c>
      <x:c r="B134" s="19" t="str">
        <x:v>待审核</x:v>
      </x:c>
      <x:c r="C134" s="20" t="n">
        <x:v>0</x:v>
      </x:c>
      <x:c r="D134" s="18" t="str">
        <x:v>否</x:v>
      </x:c>
      <x:c r="E134" s="19"/>
      <x:c r="F134" s="20"/>
      <x:c r="G134" s="19" t="str">
        <x:v>USAGE_DATA_UNAVAILABLE</x:v>
      </x:c>
      <x:c r="H134" s="19"/>
      <x:c r="I134" s="18" t="str">
        <x:v>navitime:02300-1000573</x:v>
      </x:c>
      <x:c r="J134" s="19" t="str">
        <x:v>OFFICIAL_VALIDATION_REQUIRED</x:v>
      </x:c>
      <x:c r="K134" s="19" t="str">
        <x:v>待审核</x:v>
      </x:c>
      <x:c r="L134" s="19" t="str">
        <x:v>待审核</x:v>
      </x:c>
      <x:c r="M134" s="19" t="str">
        <x:v>官方对应与物理去重待审核</x:v>
      </x:c>
      <x:c r="N134" s="19" t="str">
        <x:v>OFFICIAL_IDENTITY_FACILITY
OFFICIAL_COORDINATES
PHYSICAL_FACILITY_DEDUP
CURRENT_OPERATOR_SERVICES
USAGE_OR_FUNCTIONAL_TIER_REVIEW</x:v>
      </x:c>
      <x:c r="O134" s="21"/>
      <x:c r="P134" s="21"/>
      <x:c r="Q134" s="19" t="str">
        <x:v>北海道函館市若松町12-11</x:v>
      </x:c>
      <x:c r="R134" s="18" t="str">
        <x:v>navitime:02300-1000573</x:v>
      </x:c>
      <x:c r="S134" s="19" t="str">
        <x:v>https://www.navitime.co.jp/poi?spot=02300-1000573</x:v>
      </x:c>
      <x:c r="T134" s="19" t="str"/>
      <x:c r="U134" s="19" t="str"/>
      <x:c r="V134" s="19" t="str"/>
      <x:c r="W134" s="19"/>
      <x:c r="X134" s="18" t="str">
        <x:v>是</x:v>
      </x:c>
      <x:c r="Y134" s="18" t="str">
        <x:v>否</x:v>
      </x:c>
    </x:row>
    <x:row r="135" ht="75" customHeight="1">
      <x:c r="A135" s="19" t="str">
        <x:v>釧路駅前バスターミナル</x:v>
      </x:c>
      <x:c r="B135" s="19" t="str">
        <x:v>待审核</x:v>
      </x:c>
      <x:c r="C135" s="20" t="n">
        <x:v>0</x:v>
      </x:c>
      <x:c r="D135" s="18" t="str">
        <x:v>否</x:v>
      </x:c>
      <x:c r="E135" s="19"/>
      <x:c r="F135" s="20"/>
      <x:c r="G135" s="19" t="str">
        <x:v>USAGE_DATA_UNAVAILABLE</x:v>
      </x:c>
      <x:c r="H135" s="19"/>
      <x:c r="I135" s="18" t="str">
        <x:v>navitime:02300-1000574</x:v>
      </x:c>
      <x:c r="J135" s="19" t="str">
        <x:v>OFFICIAL_VALIDATION_REQUIRED</x:v>
      </x:c>
      <x:c r="K135" s="19" t="str">
        <x:v>待审核</x:v>
      </x:c>
      <x:c r="L135" s="19" t="str">
        <x:v>待审核</x:v>
      </x:c>
      <x:c r="M135" s="19" t="str">
        <x:v>官方对应与物理去重待审核</x:v>
      </x:c>
      <x:c r="N135" s="19" t="str">
        <x:v>OFFICIAL_IDENTITY_FACILITY
OFFICIAL_COORDINATES
PHYSICAL_FACILITY_DEDUP
CURRENT_OPERATOR_SERVICES
USAGE_OR_FUNCTIONAL_TIER_REVIEW</x:v>
      </x:c>
      <x:c r="O135" s="21"/>
      <x:c r="P135" s="21"/>
      <x:c r="Q135" s="19" t="str">
        <x:v>北海道釧路市末広町14-1-2 釧路駅前複合ビル内</x:v>
      </x:c>
      <x:c r="R135" s="18" t="str">
        <x:v>navitime:02300-1000574</x:v>
      </x:c>
      <x:c r="S135" s="19" t="str">
        <x:v>https://www.navitime.co.jp/poi?spot=02300-1000574</x:v>
      </x:c>
      <x:c r="T135" s="19" t="str"/>
      <x:c r="U135" s="19" t="str"/>
      <x:c r="V135" s="19" t="str"/>
      <x:c r="W135" s="19"/>
      <x:c r="X135" s="18" t="str">
        <x:v>是</x:v>
      </x:c>
      <x:c r="Y135" s="18" t="str">
        <x:v>否</x:v>
      </x:c>
    </x:row>
    <x:row r="136" ht="75" customHeight="1">
      <x:c r="A136" s="19" t="str">
        <x:v>十和田湖バスターミナル</x:v>
      </x:c>
      <x:c r="B136" s="19" t="str">
        <x:v>待审核</x:v>
      </x:c>
      <x:c r="C136" s="20" t="n">
        <x:v>0</x:v>
      </x:c>
      <x:c r="D136" s="18" t="str">
        <x:v>否</x:v>
      </x:c>
      <x:c r="E136" s="19"/>
      <x:c r="F136" s="20"/>
      <x:c r="G136" s="19" t="str">
        <x:v>USAGE_DATA_UNAVAILABLE</x:v>
      </x:c>
      <x:c r="H136" s="19"/>
      <x:c r="I136" s="18" t="str">
        <x:v>navitime:02300-1000576</x:v>
      </x:c>
      <x:c r="J136" s="19" t="str">
        <x:v>OFFICIAL_VALIDATION_REQUIRED</x:v>
      </x:c>
      <x:c r="K136" s="19" t="str">
        <x:v>待审核</x:v>
      </x:c>
      <x:c r="L136" s="19" t="str">
        <x:v>待审核</x:v>
      </x:c>
      <x:c r="M136" s="19" t="str">
        <x:v>官方对应与物理去重待审核</x:v>
      </x:c>
      <x:c r="N136" s="19" t="str">
        <x:v>OFFICIAL_IDENTITY_FACILITY
OFFICIAL_COORDINATES
PHYSICAL_FACILITY_DEDUP
CURRENT_OPERATOR_SERVICES
USAGE_OR_FUNCTIONAL_TIER_REVIEW</x:v>
      </x:c>
      <x:c r="O136" s="21"/>
      <x:c r="P136" s="21"/>
      <x:c r="Q136" s="19" t="str">
        <x:v>青森県十和田市大字奥瀬字十和田湖畔休屋</x:v>
      </x:c>
      <x:c r="R136" s="18" t="str">
        <x:v>navitime:02300-1000576</x:v>
      </x:c>
      <x:c r="S136" s="19" t="str">
        <x:v>https://www.navitime.co.jp/poi?spot=02300-1000576</x:v>
      </x:c>
      <x:c r="T136" s="19" t="str"/>
      <x:c r="U136" s="19" t="str"/>
      <x:c r="V136" s="19" t="str"/>
      <x:c r="W136" s="19"/>
      <x:c r="X136" s="18" t="str">
        <x:v>是</x:v>
      </x:c>
      <x:c r="Y136" s="18" t="str">
        <x:v>否</x:v>
      </x:c>
    </x:row>
    <x:row r="137" ht="75" customHeight="1">
      <x:c r="A137" s="19" t="str">
        <x:v>むつバスターミナル</x:v>
      </x:c>
      <x:c r="B137" s="19" t="str">
        <x:v>待审核</x:v>
      </x:c>
      <x:c r="C137" s="20" t="n">
        <x:v>0</x:v>
      </x:c>
      <x:c r="D137" s="18" t="str">
        <x:v>否</x:v>
      </x:c>
      <x:c r="E137" s="19"/>
      <x:c r="F137" s="20"/>
      <x:c r="G137" s="19" t="str">
        <x:v>USAGE_DATA_UNAVAILABLE</x:v>
      </x:c>
      <x:c r="H137" s="19"/>
      <x:c r="I137" s="18" t="str">
        <x:v>navitime:02300-1000577</x:v>
      </x:c>
      <x:c r="J137" s="19" t="str">
        <x:v>OFFICIAL_VALIDATION_REQUIRED</x:v>
      </x:c>
      <x:c r="K137" s="19" t="str">
        <x:v>待审核</x:v>
      </x:c>
      <x:c r="L137" s="19" t="str">
        <x:v>待审核</x:v>
      </x:c>
      <x:c r="M137" s="19" t="str">
        <x:v>官方对应与物理去重待审核</x:v>
      </x:c>
      <x:c r="N137" s="19" t="str">
        <x:v>OFFICIAL_IDENTITY_FACILITY
OFFICIAL_COORDINATES
PHYSICAL_FACILITY_DEDUP
CURRENT_OPERATOR_SERVICES
USAGE_OR_FUNCTIONAL_TIER_REVIEW</x:v>
      </x:c>
      <x:c r="O137" s="21"/>
      <x:c r="P137" s="21"/>
      <x:c r="Q137" s="19" t="str">
        <x:v>青森県むつ市柳町1丁目2-20</x:v>
      </x:c>
      <x:c r="R137" s="18" t="str">
        <x:v>navitime:02300-1000577</x:v>
      </x:c>
      <x:c r="S137" s="19" t="str">
        <x:v>https://www.navitime.co.jp/poi?spot=02300-1000577</x:v>
      </x:c>
      <x:c r="T137" s="19" t="str"/>
      <x:c r="U137" s="19" t="str"/>
      <x:c r="V137" s="19" t="str"/>
      <x:c r="W137" s="19"/>
      <x:c r="X137" s="18" t="str">
        <x:v>是</x:v>
      </x:c>
      <x:c r="Y137" s="18" t="str">
        <x:v>否</x:v>
      </x:c>
    </x:row>
    <x:row r="138" ht="75" customHeight="1">
      <x:c r="A138" s="19" t="str">
        <x:v>盛岡駅東口バスターミナル</x:v>
      </x:c>
      <x:c r="B138" s="19" t="str">
        <x:v>待审核</x:v>
      </x:c>
      <x:c r="C138" s="20" t="n">
        <x:v>0</x:v>
      </x:c>
      <x:c r="D138" s="18" t="str">
        <x:v>否</x:v>
      </x:c>
      <x:c r="E138" s="19"/>
      <x:c r="F138" s="20"/>
      <x:c r="G138" s="19" t="str">
        <x:v>USAGE_DATA_UNAVAILABLE</x:v>
      </x:c>
      <x:c r="H138" s="19"/>
      <x:c r="I138" s="18" t="str">
        <x:v>navitime:02300-1000578</x:v>
      </x:c>
      <x:c r="J138" s="19" t="str">
        <x:v>OFFICIAL_VALIDATION_REQUIRED</x:v>
      </x:c>
      <x:c r="K138" s="19" t="str">
        <x:v>待审核</x:v>
      </x:c>
      <x:c r="L138" s="19" t="str">
        <x:v>待审核</x:v>
      </x:c>
      <x:c r="M138" s="19" t="str">
        <x:v>官方对应与物理去重待审核</x:v>
      </x:c>
      <x:c r="N138" s="19" t="str">
        <x:v>OFFICIAL_IDENTITY_FACILITY
OFFICIAL_COORDINATES
PHYSICAL_FACILITY_DEDUP
CURRENT_OPERATOR_SERVICES
USAGE_OR_FUNCTIONAL_TIER_REVIEW</x:v>
      </x:c>
      <x:c r="O138" s="21"/>
      <x:c r="P138" s="21"/>
      <x:c r="Q138" s="19" t="str">
        <x:v>岩手県盛岡市盛岡駅前通1</x:v>
      </x:c>
      <x:c r="R138" s="18" t="str">
        <x:v>navitime:02300-1000578</x:v>
      </x:c>
      <x:c r="S138" s="19" t="str">
        <x:v>https://www.navitime.co.jp/poi?spot=02300-1000578</x:v>
      </x:c>
      <x:c r="T138" s="19" t="str"/>
      <x:c r="U138" s="19" t="str"/>
      <x:c r="V138" s="19" t="str"/>
      <x:c r="W138" s="19"/>
      <x:c r="X138" s="18" t="str">
        <x:v>是</x:v>
      </x:c>
      <x:c r="Y138" s="18" t="str">
        <x:v>否</x:v>
      </x:c>
    </x:row>
    <x:row r="139" ht="75" customHeight="1">
      <x:c r="A139" s="19" t="str">
        <x:v>盛岡駅西口バスターミナル</x:v>
      </x:c>
      <x:c r="B139" s="19" t="str">
        <x:v>待审核</x:v>
      </x:c>
      <x:c r="C139" s="20" t="n">
        <x:v>0</x:v>
      </x:c>
      <x:c r="D139" s="18" t="str">
        <x:v>否</x:v>
      </x:c>
      <x:c r="E139" s="19"/>
      <x:c r="F139" s="20"/>
      <x:c r="G139" s="19" t="str">
        <x:v>USAGE_DATA_UNAVAILABLE</x:v>
      </x:c>
      <x:c r="H139" s="19"/>
      <x:c r="I139" s="18" t="str">
        <x:v>navitime:02300-1000579</x:v>
      </x:c>
      <x:c r="J139" s="19" t="str">
        <x:v>OFFICIAL_VALIDATION_REQUIRED</x:v>
      </x:c>
      <x:c r="K139" s="19" t="str">
        <x:v>待审核</x:v>
      </x:c>
      <x:c r="L139" s="19" t="str">
        <x:v>待审核</x:v>
      </x:c>
      <x:c r="M139" s="19" t="str">
        <x:v>官方对应与物理去重待审核</x:v>
      </x:c>
      <x:c r="N139" s="19" t="str">
        <x:v>OFFICIAL_IDENTITY_FACILITY
OFFICIAL_COORDINATES
PHYSICAL_FACILITY_DEDUP
CURRENT_OPERATOR_SERVICES
USAGE_OR_FUNCTIONAL_TIER_REVIEW</x:v>
      </x:c>
      <x:c r="O139" s="21"/>
      <x:c r="P139" s="21"/>
      <x:c r="Q139" s="19" t="str">
        <x:v>岩手県盛岡市盛岡駅西通2</x:v>
      </x:c>
      <x:c r="R139" s="18" t="str">
        <x:v>navitime:02300-1000579</x:v>
      </x:c>
      <x:c r="S139" s="19" t="str">
        <x:v>https://www.navitime.co.jp/poi?spot=02300-1000579</x:v>
      </x:c>
      <x:c r="T139" s="19" t="str"/>
      <x:c r="U139" s="19" t="str"/>
      <x:c r="V139" s="19" t="str"/>
      <x:c r="W139" s="19"/>
      <x:c r="X139" s="18" t="str">
        <x:v>是</x:v>
      </x:c>
      <x:c r="Y139" s="18" t="str">
        <x:v>否</x:v>
      </x:c>
    </x:row>
    <x:row r="140" ht="75" customHeight="1">
      <x:c r="A140" s="19" t="str">
        <x:v>西部サービスセンターバスターミナル</x:v>
      </x:c>
      <x:c r="B140" s="19" t="str">
        <x:v>待审核</x:v>
      </x:c>
      <x:c r="C140" s="20" t="n">
        <x:v>0</x:v>
      </x:c>
      <x:c r="D140" s="18" t="str">
        <x:v>否</x:v>
      </x:c>
      <x:c r="E140" s="19"/>
      <x:c r="F140" s="20"/>
      <x:c r="G140" s="19" t="str">
        <x:v>USAGE_DATA_UNAVAILABLE</x:v>
      </x:c>
      <x:c r="H140" s="19"/>
      <x:c r="I140" s="18" t="str">
        <x:v>navitime:02300-1000580</x:v>
      </x:c>
      <x:c r="J140" s="19" t="str">
        <x:v>OFFICIAL_VALIDATION_REQUIRED</x:v>
      </x:c>
      <x:c r="K140" s="19" t="str">
        <x:v>待审核</x:v>
      </x:c>
      <x:c r="L140" s="19" t="str">
        <x:v>待审核</x:v>
      </x:c>
      <x:c r="M140" s="19" t="str">
        <x:v>官方对应与物理去重待审核</x:v>
      </x:c>
      <x:c r="N140" s="19" t="str">
        <x:v>OFFICIAL_IDENTITY_FACILITY
OFFICIAL_COORDINATES
PHYSICAL_FACILITY_DEDUP
CURRENT_OPERATOR_SERVICES
USAGE_OR_FUNCTIONAL_TIER_REVIEW</x:v>
      </x:c>
      <x:c r="O140" s="21"/>
      <x:c r="P140" s="21"/>
      <x:c r="Q140" s="19" t="str">
        <x:v>秋田県秋田市新屋扇町13-34</x:v>
      </x:c>
      <x:c r="R140" s="18" t="str">
        <x:v>navitime:02300-1000580</x:v>
      </x:c>
      <x:c r="S140" s="19" t="str">
        <x:v>https://www.navitime.co.jp/poi?spot=02300-1000580</x:v>
      </x:c>
      <x:c r="T140" s="19" t="str"/>
      <x:c r="U140" s="19" t="str"/>
      <x:c r="V140" s="19" t="str"/>
      <x:c r="W140" s="19"/>
      <x:c r="X140" s="18" t="str">
        <x:v>是</x:v>
      </x:c>
      <x:c r="Y140" s="18" t="str">
        <x:v>否</x:v>
      </x:c>
    </x:row>
    <x:row r="141" ht="75" customHeight="1">
      <x:c r="A141" s="19" t="str">
        <x:v>エスモールバスセンター</x:v>
      </x:c>
      <x:c r="B141" s="19" t="str">
        <x:v>待审核</x:v>
      </x:c>
      <x:c r="C141" s="20" t="n">
        <x:v>0</x:v>
      </x:c>
      <x:c r="D141" s="18" t="str">
        <x:v>否</x:v>
      </x:c>
      <x:c r="E141" s="19"/>
      <x:c r="F141" s="20"/>
      <x:c r="G141" s="19" t="str">
        <x:v>USAGE_DATA_UNAVAILABLE</x:v>
      </x:c>
      <x:c r="H141" s="19"/>
      <x:c r="I141" s="18" t="str">
        <x:v>navitime:02300-1000583</x:v>
      </x:c>
      <x:c r="J141" s="19" t="str">
        <x:v>OFFICIAL_VALIDATION_REQUIRED</x:v>
      </x:c>
      <x:c r="K141" s="19" t="str">
        <x:v>待审核</x:v>
      </x:c>
      <x:c r="L141" s="19" t="str">
        <x:v>待审核</x:v>
      </x:c>
      <x:c r="M141" s="19" t="str">
        <x:v>官方对应与物理去重待审核</x:v>
      </x:c>
      <x:c r="N141" s="19" t="str">
        <x:v>OFFICIAL_IDENTITY_FACILITY
OFFICIAL_COORDINATES
PHYSICAL_FACILITY_DEDUP
CURRENT_OPERATOR_SERVICES
USAGE_OR_FUNCTIONAL_TIER_REVIEW</x:v>
      </x:c>
      <x:c r="O141" s="21"/>
      <x:c r="P141" s="21"/>
      <x:c r="Q141" s="19" t="str">
        <x:v>山形県鶴岡市錦町2-21</x:v>
      </x:c>
      <x:c r="R141" s="18" t="str">
        <x:v>navitime:02300-1000583</x:v>
      </x:c>
      <x:c r="S141" s="19" t="str">
        <x:v>https://www.navitime.co.jp/poi?spot=02300-1000583</x:v>
      </x:c>
      <x:c r="T141" s="19" t="str"/>
      <x:c r="U141" s="19" t="str"/>
      <x:c r="V141" s="19" t="str"/>
      <x:c r="W141" s="19"/>
      <x:c r="X141" s="18" t="str">
        <x:v>是</x:v>
      </x:c>
      <x:c r="Y141" s="18" t="str">
        <x:v>否</x:v>
      </x:c>
    </x:row>
    <x:row r="142" ht="75" customHeight="1">
      <x:c r="A142" s="19" t="str">
        <x:v>筑波山口バスターミナル</x:v>
      </x:c>
      <x:c r="B142" s="19" t="str">
        <x:v>待审核</x:v>
      </x:c>
      <x:c r="C142" s="20" t="n">
        <x:v>0</x:v>
      </x:c>
      <x:c r="D142" s="18" t="str">
        <x:v>否</x:v>
      </x:c>
      <x:c r="E142" s="19"/>
      <x:c r="F142" s="20"/>
      <x:c r="G142" s="19" t="str">
        <x:v>USAGE_DATA_UNAVAILABLE</x:v>
      </x:c>
      <x:c r="H142" s="19"/>
      <x:c r="I142" s="18" t="str">
        <x:v>navitime:02300-1000585</x:v>
      </x:c>
      <x:c r="J142" s="19" t="str">
        <x:v>OFFICIAL_VALIDATION_REQUIRED</x:v>
      </x:c>
      <x:c r="K142" s="19" t="str">
        <x:v>待审核</x:v>
      </x:c>
      <x:c r="L142" s="19" t="str">
        <x:v>待审核</x:v>
      </x:c>
      <x:c r="M142" s="19" t="str">
        <x:v>官方对应与物理去重待审核</x:v>
      </x:c>
      <x:c r="N142" s="19" t="str">
        <x:v>OFFICIAL_IDENTITY_FACILITY
OFFICIAL_COORDINATES
PHYSICAL_FACILITY_DEDUP
CURRENT_OPERATOR_SERVICES
USAGE_OR_FUNCTIONAL_TIER_REVIEW</x:v>
      </x:c>
      <x:c r="O142" s="21"/>
      <x:c r="P142" s="21"/>
      <x:c r="Q142" s="19" t="str">
        <x:v>茨城県つくば市沼田</x:v>
      </x:c>
      <x:c r="R142" s="18" t="str">
        <x:v>navitime:02300-1000585</x:v>
      </x:c>
      <x:c r="S142" s="19" t="str">
        <x:v>https://www.navitime.co.jp/poi?spot=02300-1000585</x:v>
      </x:c>
      <x:c r="T142" s="19" t="str"/>
      <x:c r="U142" s="19" t="str"/>
      <x:c r="V142" s="19" t="str"/>
      <x:c r="W142" s="19"/>
      <x:c r="X142" s="18" t="str">
        <x:v>是</x:v>
      </x:c>
      <x:c r="Y142" s="18" t="str">
        <x:v>否</x:v>
      </x:c>
    </x:row>
    <x:row r="143" ht="75" customHeight="1">
      <x:c r="A143" s="19" t="str">
        <x:v>岩井バスターミナル</x:v>
      </x:c>
      <x:c r="B143" s="19" t="str">
        <x:v>待审核</x:v>
      </x:c>
      <x:c r="C143" s="20" t="n">
        <x:v>0</x:v>
      </x:c>
      <x:c r="D143" s="18" t="str">
        <x:v>否</x:v>
      </x:c>
      <x:c r="E143" s="19"/>
      <x:c r="F143" s="20"/>
      <x:c r="G143" s="19" t="str">
        <x:v>USAGE_DATA_UNAVAILABLE</x:v>
      </x:c>
      <x:c r="H143" s="19"/>
      <x:c r="I143" s="18" t="str">
        <x:v>navitime:02300-1000586</x:v>
      </x:c>
      <x:c r="J143" s="19" t="str">
        <x:v>OFFICIAL_VALIDATION_REQUIRED</x:v>
      </x:c>
      <x:c r="K143" s="19" t="str">
        <x:v>待审核</x:v>
      </x:c>
      <x:c r="L143" s="19" t="str">
        <x:v>待审核</x:v>
      </x:c>
      <x:c r="M143" s="19" t="str">
        <x:v>官方对应与物理去重待审核</x:v>
      </x:c>
      <x:c r="N143" s="19" t="str">
        <x:v>OFFICIAL_IDENTITY_FACILITY
OFFICIAL_COORDINATES
PHYSICAL_FACILITY_DEDUP
CURRENT_OPERATOR_SERVICES
USAGE_OR_FUNCTIONAL_TIER_REVIEW</x:v>
      </x:c>
      <x:c r="O143" s="21"/>
      <x:c r="P143" s="21"/>
      <x:c r="Q143" s="19" t="str">
        <x:v>茨城県坂東市鵠戸</x:v>
      </x:c>
      <x:c r="R143" s="18" t="str">
        <x:v>navitime:02300-1000586</x:v>
      </x:c>
      <x:c r="S143" s="19" t="str">
        <x:v>https://www.navitime.co.jp/poi?spot=02300-1000586</x:v>
      </x:c>
      <x:c r="T143" s="19" t="str"/>
      <x:c r="U143" s="19" t="str"/>
      <x:c r="V143" s="19" t="str"/>
      <x:c r="W143" s="19"/>
      <x:c r="X143" s="18" t="str">
        <x:v>是</x:v>
      </x:c>
      <x:c r="Y143" s="18" t="str">
        <x:v>否</x:v>
      </x:c>
    </x:row>
    <x:row r="144" ht="61" customHeight="1">
      <x:c r="A144" s="19" t="str">
        <x:v>草津温泉バスターミナル</x:v>
      </x:c>
      <x:c r="B144" s="19" t="str">
        <x:v>待审核</x:v>
      </x:c>
      <x:c r="C144" s="20" t="n">
        <x:v>1</x:v>
      </x:c>
      <x:c r="D144" s="18" t="str">
        <x:v>否</x:v>
      </x:c>
      <x:c r="E144" s="19"/>
      <x:c r="F144" s="20"/>
      <x:c r="G144" s="19" t="str">
        <x:v>USAGE_DATA_UNAVAILABLE</x:v>
      </x:c>
      <x:c r="H144" s="19"/>
      <x:c r="I144" s="18" t="str">
        <x:v>navitime:02300-1000589</x:v>
      </x:c>
      <x:c r="J144" s="19" t="str">
        <x:v>部分官方证据</x:v>
      </x:c>
      <x:c r="K144" s="19" t="str">
        <x:v>待审核</x:v>
      </x:c>
      <x:c r="L144" s="19" t="str">
        <x:v>部分官方证据</x:v>
      </x:c>
      <x:c r="M144" s="19" t="str">
        <x:v>官方对应与物理去重待审核</x:v>
      </x:c>
      <x:c r="N144" s="19" t="str">
        <x:v>OFFICIAL_COORDINATES
PHYSICAL_FACILITY_DEDUP
CURRENT_OPERATOR_SERVICES
USAGE_OR_FUNCTIONAL_TIER_REVIEW</x:v>
      </x:c>
      <x:c r="O144" s="21"/>
      <x:c r="P144" s="21"/>
      <x:c r="Q144" s="19" t="str">
        <x:v>群馬県吾妻郡草津町草津28</x:v>
      </x:c>
      <x:c r="R144" s="18" t="str">
        <x:v>navitime:02300-1000589</x:v>
      </x:c>
      <x:c r="S144" s="19" t="str">
        <x:v>https://www.navitime.co.jp/poi?spot=02300-1000589</x:v>
      </x:c>
      <x:c r="T144" s="19" t="str">
        <x:v>草津町</x:v>
      </x:c>
      <x:c r="U144" s="19" t="str">
        <x:v>群馬県吾妻郡草津町大字草津28</x:v>
      </x:c>
      <x:c r="V144" s="19" t="str">
        <x:v>REGISTERED_FACILITY_OPERATOR_ADDRESS_BERTHS
https://www.mlit.go.jp/jidosha/content/001999724.pdf
页 1，条 6</x:v>
      </x:c>
      <x:c r="W144" s="19"/>
      <x:c r="X144" s="18" t="str">
        <x:v>是</x:v>
      </x:c>
      <x:c r="Y144" s="18" t="str">
        <x:v>否</x:v>
      </x:c>
    </x:row>
    <x:row r="145" ht="75" customHeight="1">
      <x:c r="A145" s="19" t="str">
        <x:v>万代シテイバスセンター</x:v>
      </x:c>
      <x:c r="B145" s="19" t="str">
        <x:v>待审核</x:v>
      </x:c>
      <x:c r="C145" s="20" t="n">
        <x:v>0</x:v>
      </x:c>
      <x:c r="D145" s="18" t="str">
        <x:v>否</x:v>
      </x:c>
      <x:c r="E145" s="19"/>
      <x:c r="F145" s="20"/>
      <x:c r="G145" s="19" t="str">
        <x:v>USAGE_DATA_UNAVAILABLE</x:v>
      </x:c>
      <x:c r="H145" s="19"/>
      <x:c r="I145" s="18" t="str">
        <x:v>navitime:02300-1000592</x:v>
      </x:c>
      <x:c r="J145" s="19" t="str">
        <x:v>OFFICIAL_VALIDATION_REQUIRED</x:v>
      </x:c>
      <x:c r="K145" s="19" t="str">
        <x:v>待审核</x:v>
      </x:c>
      <x:c r="L145" s="19" t="str">
        <x:v>待审核</x:v>
      </x:c>
      <x:c r="M145" s="19" t="str">
        <x:v>官方对应与物理去重待审核</x:v>
      </x:c>
      <x:c r="N145" s="19" t="str">
        <x:v>OFFICIAL_IDENTITY_FACILITY
OFFICIAL_COORDINATES
PHYSICAL_FACILITY_DEDUP
CURRENT_OPERATOR_SERVICES
USAGE_OR_FUNCTIONAL_TIER_REVIEW</x:v>
      </x:c>
      <x:c r="O145" s="21"/>
      <x:c r="P145" s="21"/>
      <x:c r="Q145" s="19" t="str">
        <x:v>新潟県新潟市中央区万代1-6-1 万代シテイバスセンタービル内</x:v>
      </x:c>
      <x:c r="R145" s="18" t="str">
        <x:v>navitime:02300-1000592</x:v>
      </x:c>
      <x:c r="S145" s="19" t="str">
        <x:v>https://www.navitime.co.jp/poi?spot=02300-1000592</x:v>
      </x:c>
      <x:c r="T145" s="19" t="str"/>
      <x:c r="U145" s="19" t="str"/>
      <x:c r="V145" s="19" t="str"/>
      <x:c r="W145" s="19"/>
      <x:c r="X145" s="18" t="str">
        <x:v>是</x:v>
      </x:c>
      <x:c r="Y145" s="18" t="str">
        <x:v>否</x:v>
      </x:c>
    </x:row>
    <x:row r="146" ht="75" customHeight="1">
      <x:c r="A146" s="19" t="str">
        <x:v>織田バスターミナルセンター</x:v>
      </x:c>
      <x:c r="B146" s="19" t="str">
        <x:v>待审核</x:v>
      </x:c>
      <x:c r="C146" s="20" t="n">
        <x:v>0</x:v>
      </x:c>
      <x:c r="D146" s="18" t="str">
        <x:v>否</x:v>
      </x:c>
      <x:c r="E146" s="19"/>
      <x:c r="F146" s="20"/>
      <x:c r="G146" s="19" t="str">
        <x:v>USAGE_DATA_UNAVAILABLE</x:v>
      </x:c>
      <x:c r="H146" s="19"/>
      <x:c r="I146" s="18" t="str">
        <x:v>navitime:02300-1000595</x:v>
      </x:c>
      <x:c r="J146" s="19" t="str">
        <x:v>OFFICIAL_VALIDATION_REQUIRED</x:v>
      </x:c>
      <x:c r="K146" s="19" t="str">
        <x:v>待审核</x:v>
      </x:c>
      <x:c r="L146" s="19" t="str">
        <x:v>待审核</x:v>
      </x:c>
      <x:c r="M146" s="19" t="str">
        <x:v>官方对应与物理去重待审核</x:v>
      </x:c>
      <x:c r="N146" s="19" t="str">
        <x:v>OFFICIAL_IDENTITY_FACILITY
OFFICIAL_COORDINATES
PHYSICAL_FACILITY_DEDUP
CURRENT_OPERATOR_SERVICES
USAGE_OR_FUNCTIONAL_TIER_REVIEW</x:v>
      </x:c>
      <x:c r="O146" s="21"/>
      <x:c r="P146" s="21"/>
      <x:c r="Q146" s="19" t="str">
        <x:v>福井県丹生郡越前町織田</x:v>
      </x:c>
      <x:c r="R146" s="18" t="str">
        <x:v>navitime:02300-1000595</x:v>
      </x:c>
      <x:c r="S146" s="19" t="str">
        <x:v>https://www.navitime.co.jp/poi?spot=02300-1000595</x:v>
      </x:c>
      <x:c r="T146" s="19" t="str"/>
      <x:c r="U146" s="19" t="str"/>
      <x:c r="V146" s="19" t="str"/>
      <x:c r="W146" s="19"/>
      <x:c r="X146" s="18" t="str">
        <x:v>是</x:v>
      </x:c>
      <x:c r="Y146" s="18" t="str">
        <x:v>否</x:v>
      </x:c>
    </x:row>
    <x:row r="147" ht="75" customHeight="1">
      <x:c r="A147" s="19" t="str">
        <x:v>旭日丘バスターミナル</x:v>
      </x:c>
      <x:c r="B147" s="19" t="str">
        <x:v>待审核</x:v>
      </x:c>
      <x:c r="C147" s="20" t="n">
        <x:v>0</x:v>
      </x:c>
      <x:c r="D147" s="18" t="str">
        <x:v>否</x:v>
      </x:c>
      <x:c r="E147" s="19"/>
      <x:c r="F147" s="20"/>
      <x:c r="G147" s="19" t="str">
        <x:v>USAGE_DATA_UNAVAILABLE</x:v>
      </x:c>
      <x:c r="H147" s="19"/>
      <x:c r="I147" s="18" t="str">
        <x:v>navitime:02300-1000596</x:v>
      </x:c>
      <x:c r="J147" s="19" t="str">
        <x:v>OFFICIAL_VALIDATION_REQUIRED</x:v>
      </x:c>
      <x:c r="K147" s="19" t="str">
        <x:v>待审核</x:v>
      </x:c>
      <x:c r="L147" s="19" t="str">
        <x:v>待审核</x:v>
      </x:c>
      <x:c r="M147" s="19" t="str">
        <x:v>官方对应与物理去重待审核</x:v>
      </x:c>
      <x:c r="N147" s="19" t="str">
        <x:v>OFFICIAL_IDENTITY_FACILITY
OFFICIAL_COORDINATES
PHYSICAL_FACILITY_DEDUP
CURRENT_OPERATOR_SERVICES
USAGE_OR_FUNCTIONAL_TIER_REVIEW</x:v>
      </x:c>
      <x:c r="O147" s="21"/>
      <x:c r="P147" s="21"/>
      <x:c r="Q147" s="19" t="str">
        <x:v>山梨県南都留郡山中湖村平野506</x:v>
      </x:c>
      <x:c r="R147" s="18" t="str">
        <x:v>navitime:02300-1000596</x:v>
      </x:c>
      <x:c r="S147" s="19" t="str">
        <x:v>https://www.navitime.co.jp/poi?spot=02300-1000596</x:v>
      </x:c>
      <x:c r="T147" s="19" t="str"/>
      <x:c r="U147" s="19" t="str"/>
      <x:c r="V147" s="19" t="str"/>
      <x:c r="W147" s="19"/>
      <x:c r="X147" s="18" t="str">
        <x:v>是</x:v>
      </x:c>
      <x:c r="Y147" s="18" t="str">
        <x:v>否</x:v>
      </x:c>
    </x:row>
    <x:row r="148" ht="75" customHeight="1">
      <x:c r="A148" s="19" t="str">
        <x:v>富士急ハイランドバスターミナル</x:v>
      </x:c>
      <x:c r="B148" s="19" t="str">
        <x:v>待审核</x:v>
      </x:c>
      <x:c r="C148" s="20" t="n">
        <x:v>0</x:v>
      </x:c>
      <x:c r="D148" s="18" t="str">
        <x:v>否</x:v>
      </x:c>
      <x:c r="E148" s="19"/>
      <x:c r="F148" s="20"/>
      <x:c r="G148" s="19" t="str">
        <x:v>USAGE_DATA_UNAVAILABLE</x:v>
      </x:c>
      <x:c r="H148" s="19"/>
      <x:c r="I148" s="18" t="str">
        <x:v>navitime:02300-1000597</x:v>
      </x:c>
      <x:c r="J148" s="19" t="str">
        <x:v>OFFICIAL_VALIDATION_REQUIRED</x:v>
      </x:c>
      <x:c r="K148" s="19" t="str">
        <x:v>待审核</x:v>
      </x:c>
      <x:c r="L148" s="19" t="str">
        <x:v>待审核</x:v>
      </x:c>
      <x:c r="M148" s="19" t="str">
        <x:v>官方对应与物理去重待审核</x:v>
      </x:c>
      <x:c r="N148" s="19" t="str">
        <x:v>OFFICIAL_IDENTITY_FACILITY
OFFICIAL_COORDINATES
PHYSICAL_FACILITY_DEDUP
CURRENT_OPERATOR_SERVICES
USAGE_OR_FUNCTIONAL_TIER_REVIEW</x:v>
      </x:c>
      <x:c r="O148" s="21"/>
      <x:c r="P148" s="21"/>
      <x:c r="Q148" s="19" t="str">
        <x:v>山梨県富士吉田市新西原5</x:v>
      </x:c>
      <x:c r="R148" s="18" t="str">
        <x:v>navitime:02300-1000597</x:v>
      </x:c>
      <x:c r="S148" s="19" t="str">
        <x:v>https://www.navitime.co.jp/poi?spot=02300-1000597</x:v>
      </x:c>
      <x:c r="T148" s="19" t="str"/>
      <x:c r="U148" s="19" t="str"/>
      <x:c r="V148" s="19" t="str"/>
      <x:c r="W148" s="19"/>
      <x:c r="X148" s="18" t="str">
        <x:v>是</x:v>
      </x:c>
      <x:c r="Y148" s="18" t="str">
        <x:v>否</x:v>
      </x:c>
    </x:row>
    <x:row r="149" ht="75" customHeight="1">
      <x:c r="A149" s="19" t="str">
        <x:v>甲府駅バスターミナル</x:v>
      </x:c>
      <x:c r="B149" s="19" t="str">
        <x:v>待审核</x:v>
      </x:c>
      <x:c r="C149" s="20" t="n">
        <x:v>0</x:v>
      </x:c>
      <x:c r="D149" s="18" t="str">
        <x:v>否</x:v>
      </x:c>
      <x:c r="E149" s="19"/>
      <x:c r="F149" s="20"/>
      <x:c r="G149" s="19" t="str">
        <x:v>USAGE_DATA_UNAVAILABLE</x:v>
      </x:c>
      <x:c r="H149" s="19"/>
      <x:c r="I149" s="18" t="str">
        <x:v>navitime:02300-1000598</x:v>
      </x:c>
      <x:c r="J149" s="19" t="str">
        <x:v>OFFICIAL_VALIDATION_REQUIRED</x:v>
      </x:c>
      <x:c r="K149" s="19" t="str">
        <x:v>待审核</x:v>
      </x:c>
      <x:c r="L149" s="19" t="str">
        <x:v>待审核</x:v>
      </x:c>
      <x:c r="M149" s="19" t="str">
        <x:v>官方对应与物理去重待审核</x:v>
      </x:c>
      <x:c r="N149" s="19" t="str">
        <x:v>OFFICIAL_IDENTITY_FACILITY
OFFICIAL_COORDINATES
PHYSICAL_FACILITY_DEDUP
CURRENT_OPERATOR_SERVICES
USAGE_OR_FUNCTIONAL_TIER_REVIEW</x:v>
      </x:c>
      <x:c r="O149" s="21"/>
      <x:c r="P149" s="21"/>
      <x:c r="Q149" s="19" t="str">
        <x:v>山梨県甲府市丸の内1</x:v>
      </x:c>
      <x:c r="R149" s="18" t="str">
        <x:v>navitime:02300-1000598</x:v>
      </x:c>
      <x:c r="S149" s="19" t="str">
        <x:v>https://www.navitime.co.jp/poi?spot=02300-1000598</x:v>
      </x:c>
      <x:c r="T149" s="19" t="str"/>
      <x:c r="U149" s="19" t="str"/>
      <x:c r="V149" s="19" t="str"/>
      <x:c r="W149" s="19"/>
      <x:c r="X149" s="18" t="str">
        <x:v>是</x:v>
      </x:c>
      <x:c r="Y149" s="18" t="str">
        <x:v>否</x:v>
      </x:c>
    </x:row>
    <x:row r="150" ht="75" customHeight="1">
      <x:c r="A150" s="19" t="str">
        <x:v>名鉄一宮駅バスターミナル</x:v>
      </x:c>
      <x:c r="B150" s="19" t="str">
        <x:v>待审核</x:v>
      </x:c>
      <x:c r="C150" s="20" t="n">
        <x:v>0</x:v>
      </x:c>
      <x:c r="D150" s="18" t="str">
        <x:v>否</x:v>
      </x:c>
      <x:c r="E150" s="19"/>
      <x:c r="F150" s="20"/>
      <x:c r="G150" s="19" t="str">
        <x:v>USAGE_DATA_UNAVAILABLE</x:v>
      </x:c>
      <x:c r="H150" s="19"/>
      <x:c r="I150" s="18" t="str">
        <x:v>navitime:02300-1000600</x:v>
      </x:c>
      <x:c r="J150" s="19" t="str">
        <x:v>OFFICIAL_VALIDATION_REQUIRED</x:v>
      </x:c>
      <x:c r="K150" s="19" t="str">
        <x:v>待审核</x:v>
      </x:c>
      <x:c r="L150" s="19" t="str">
        <x:v>待审核</x:v>
      </x:c>
      <x:c r="M150" s="19" t="str">
        <x:v>官方对应与物理去重待审核</x:v>
      </x:c>
      <x:c r="N150" s="19" t="str">
        <x:v>OFFICIAL_IDENTITY_FACILITY
OFFICIAL_COORDINATES
PHYSICAL_FACILITY_DEDUP
CURRENT_OPERATOR_SERVICES
USAGE_OR_FUNCTIONAL_TIER_REVIEW</x:v>
      </x:c>
      <x:c r="O150" s="21"/>
      <x:c r="P150" s="21"/>
      <x:c r="Q150" s="19" t="str">
        <x:v>愛知県一宮市新生1</x:v>
      </x:c>
      <x:c r="R150" s="18" t="str">
        <x:v>navitime:02300-1000600</x:v>
      </x:c>
      <x:c r="S150" s="19" t="str">
        <x:v>https://www.navitime.co.jp/poi?spot=02300-1000600</x:v>
      </x:c>
      <x:c r="T150" s="19" t="str"/>
      <x:c r="U150" s="19" t="str"/>
      <x:c r="V150" s="19" t="str"/>
      <x:c r="W150" s="19"/>
      <x:c r="X150" s="18" t="str">
        <x:v>是</x:v>
      </x:c>
      <x:c r="Y150" s="18" t="str">
        <x:v>否</x:v>
      </x:c>
    </x:row>
    <x:row r="151" ht="75" customHeight="1">
      <x:c r="A151" s="19" t="str">
        <x:v>JR岐阜駅バスターミナル</x:v>
      </x:c>
      <x:c r="B151" s="19" t="str">
        <x:v>待审核</x:v>
      </x:c>
      <x:c r="C151" s="20" t="n">
        <x:v>0</x:v>
      </x:c>
      <x:c r="D151" s="18" t="str">
        <x:v>否</x:v>
      </x:c>
      <x:c r="E151" s="19"/>
      <x:c r="F151" s="20"/>
      <x:c r="G151" s="19" t="str">
        <x:v>USAGE_DATA_UNAVAILABLE</x:v>
      </x:c>
      <x:c r="H151" s="19"/>
      <x:c r="I151" s="18" t="str">
        <x:v>navitime:02300-1000602</x:v>
      </x:c>
      <x:c r="J151" s="19" t="str">
        <x:v>OFFICIAL_VALIDATION_REQUIRED</x:v>
      </x:c>
      <x:c r="K151" s="19" t="str">
        <x:v>待审核</x:v>
      </x:c>
      <x:c r="L151" s="19" t="str">
        <x:v>待审核</x:v>
      </x:c>
      <x:c r="M151" s="19" t="str">
        <x:v>官方对应与物理去重待审核</x:v>
      </x:c>
      <x:c r="N151" s="19" t="str">
        <x:v>OFFICIAL_IDENTITY_FACILITY
OFFICIAL_COORDINATES
PHYSICAL_FACILITY_DEDUP
CURRENT_OPERATOR_SERVICES
USAGE_OR_FUNCTIONAL_TIER_REVIEW</x:v>
      </x:c>
      <x:c r="O151" s="21"/>
      <x:c r="P151" s="21"/>
      <x:c r="Q151" s="19" t="str">
        <x:v>岐阜県岐阜市橋本町1</x:v>
      </x:c>
      <x:c r="R151" s="18" t="str">
        <x:v>navitime:02300-1000602</x:v>
      </x:c>
      <x:c r="S151" s="19" t="str">
        <x:v>https://www.navitime.co.jp/poi?spot=02300-1000602</x:v>
      </x:c>
      <x:c r="T151" s="19" t="str"/>
      <x:c r="U151" s="19" t="str"/>
      <x:c r="V151" s="19" t="str"/>
      <x:c r="W151" s="19"/>
      <x:c r="X151" s="18" t="str">
        <x:v>是</x:v>
      </x:c>
      <x:c r="Y151" s="18" t="str">
        <x:v>否</x:v>
      </x:c>
    </x:row>
    <x:row r="152" ht="75" customHeight="1">
      <x:c r="A152" s="19" t="str">
        <x:v>北方バスターミナル</x:v>
      </x:c>
      <x:c r="B152" s="19" t="str">
        <x:v>待审核</x:v>
      </x:c>
      <x:c r="C152" s="20" t="n">
        <x:v>0</x:v>
      </x:c>
      <x:c r="D152" s="18" t="str">
        <x:v>否</x:v>
      </x:c>
      <x:c r="E152" s="19"/>
      <x:c r="F152" s="20"/>
      <x:c r="G152" s="19" t="str">
        <x:v>USAGE_DATA_UNAVAILABLE</x:v>
      </x:c>
      <x:c r="H152" s="19"/>
      <x:c r="I152" s="18" t="str">
        <x:v>navitime:02300-1000604</x:v>
      </x:c>
      <x:c r="J152" s="19" t="str">
        <x:v>OFFICIAL_VALIDATION_REQUIRED</x:v>
      </x:c>
      <x:c r="K152" s="19" t="str">
        <x:v>待审核</x:v>
      </x:c>
      <x:c r="L152" s="19" t="str">
        <x:v>待审核</x:v>
      </x:c>
      <x:c r="M152" s="19" t="str">
        <x:v>官方对应与物理去重待审核</x:v>
      </x:c>
      <x:c r="N152" s="19" t="str">
        <x:v>OFFICIAL_IDENTITY_FACILITY
OFFICIAL_COORDINATES
PHYSICAL_FACILITY_DEDUP
CURRENT_OPERATOR_SERVICES
USAGE_OR_FUNCTIONAL_TIER_REVIEW</x:v>
      </x:c>
      <x:c r="O152" s="21"/>
      <x:c r="P152" s="21"/>
      <x:c r="Q152" s="19" t="str">
        <x:v>岐阜県本巣郡北方町北方</x:v>
      </x:c>
      <x:c r="R152" s="18" t="str">
        <x:v>navitime:02300-1000604</x:v>
      </x:c>
      <x:c r="S152" s="19" t="str">
        <x:v>https://www.navitime.co.jp/poi?spot=02300-1000604</x:v>
      </x:c>
      <x:c r="T152" s="19" t="str"/>
      <x:c r="U152" s="19" t="str"/>
      <x:c r="V152" s="19" t="str"/>
      <x:c r="W152" s="19"/>
      <x:c r="X152" s="18" t="str">
        <x:v>是</x:v>
      </x:c>
      <x:c r="Y152" s="18" t="str">
        <x:v>否</x:v>
      </x:c>
    </x:row>
    <x:row r="153" ht="75" customHeight="1">
      <x:c r="A153" s="19" t="str">
        <x:v>表町バスセンター</x:v>
      </x:c>
      <x:c r="B153" s="19" t="str">
        <x:v>待审核</x:v>
      </x:c>
      <x:c r="C153" s="20" t="n">
        <x:v>0</x:v>
      </x:c>
      <x:c r="D153" s="18" t="str">
        <x:v>否</x:v>
      </x:c>
      <x:c r="E153" s="19"/>
      <x:c r="F153" s="20"/>
      <x:c r="G153" s="19" t="str">
        <x:v>USAGE_DATA_UNAVAILABLE</x:v>
      </x:c>
      <x:c r="H153" s="19"/>
      <x:c r="I153" s="18" t="str">
        <x:v>navitime:02300-1000607</x:v>
      </x:c>
      <x:c r="J153" s="19" t="str">
        <x:v>OFFICIAL_VALIDATION_REQUIRED</x:v>
      </x:c>
      <x:c r="K153" s="19" t="str">
        <x:v>待审核</x:v>
      </x:c>
      <x:c r="L153" s="19" t="str">
        <x:v>待审核</x:v>
      </x:c>
      <x:c r="M153" s="19" t="str">
        <x:v>官方对应与物理去重待审核</x:v>
      </x:c>
      <x:c r="N153" s="19" t="str">
        <x:v>OFFICIAL_IDENTITY_FACILITY
OFFICIAL_COORDINATES
PHYSICAL_FACILITY_DEDUP
CURRENT_OPERATOR_SERVICES
USAGE_OR_FUNCTIONAL_TIER_REVIEW</x:v>
      </x:c>
      <x:c r="O153" s="21"/>
      <x:c r="P153" s="21"/>
      <x:c r="Q153" s="19" t="str">
        <x:v>岡山県岡山市北区表町2</x:v>
      </x:c>
      <x:c r="R153" s="18" t="str">
        <x:v>navitime:02300-1000607</x:v>
      </x:c>
      <x:c r="S153" s="19" t="str">
        <x:v>https://www.navitime.co.jp/poi?spot=02300-1000607</x:v>
      </x:c>
      <x:c r="T153" s="19" t="str"/>
      <x:c r="U153" s="19" t="str"/>
      <x:c r="V153" s="19" t="str"/>
      <x:c r="W153" s="19"/>
      <x:c r="X153" s="18" t="str">
        <x:v>是</x:v>
      </x:c>
      <x:c r="Y153" s="18" t="str">
        <x:v>否</x:v>
      </x:c>
    </x:row>
    <x:row r="154" ht="75" customHeight="1">
      <x:c r="A154" s="19" t="str">
        <x:v>西大寺バスセンター</x:v>
      </x:c>
      <x:c r="B154" s="19" t="str">
        <x:v>待审核</x:v>
      </x:c>
      <x:c r="C154" s="20" t="n">
        <x:v>0</x:v>
      </x:c>
      <x:c r="D154" s="18" t="str">
        <x:v>否</x:v>
      </x:c>
      <x:c r="E154" s="19"/>
      <x:c r="F154" s="20"/>
      <x:c r="G154" s="19" t="str">
        <x:v>USAGE_DATA_UNAVAILABLE</x:v>
      </x:c>
      <x:c r="H154" s="19"/>
      <x:c r="I154" s="18" t="str">
        <x:v>navitime:02300-1000608</x:v>
      </x:c>
      <x:c r="J154" s="19" t="str">
        <x:v>OFFICIAL_VALIDATION_REQUIRED</x:v>
      </x:c>
      <x:c r="K154" s="19" t="str">
        <x:v>待审核</x:v>
      </x:c>
      <x:c r="L154" s="19" t="str">
        <x:v>待审核</x:v>
      </x:c>
      <x:c r="M154" s="19" t="str">
        <x:v>官方对应与物理去重待审核</x:v>
      </x:c>
      <x:c r="N154" s="19" t="str">
        <x:v>OFFICIAL_IDENTITY_FACILITY
OFFICIAL_COORDINATES
PHYSICAL_FACILITY_DEDUP
CURRENT_OPERATOR_SERVICES
USAGE_OR_FUNCTIONAL_TIER_REVIEW</x:v>
      </x:c>
      <x:c r="O154" s="21"/>
      <x:c r="P154" s="21"/>
      <x:c r="Q154" s="19" t="str">
        <x:v>岡山県岡山市東区西大寺上1</x:v>
      </x:c>
      <x:c r="R154" s="18" t="str">
        <x:v>navitime:02300-1000608</x:v>
      </x:c>
      <x:c r="S154" s="19" t="str">
        <x:v>https://www.navitime.co.jp/poi?spot=02300-1000608</x:v>
      </x:c>
      <x:c r="T154" s="19" t="str"/>
      <x:c r="U154" s="19" t="str"/>
      <x:c r="V154" s="19" t="str"/>
      <x:c r="W154" s="19"/>
      <x:c r="X154" s="18" t="str">
        <x:v>是</x:v>
      </x:c>
      <x:c r="Y154" s="18" t="str">
        <x:v>否</x:v>
      </x:c>
    </x:row>
    <x:row r="155" ht="75" customHeight="1">
      <x:c r="A155" s="19" t="str">
        <x:v>津山広域バスセンター</x:v>
      </x:c>
      <x:c r="B155" s="19" t="str">
        <x:v>待审核</x:v>
      </x:c>
      <x:c r="C155" s="20" t="n">
        <x:v>0</x:v>
      </x:c>
      <x:c r="D155" s="18" t="str">
        <x:v>否</x:v>
      </x:c>
      <x:c r="E155" s="19"/>
      <x:c r="F155" s="20"/>
      <x:c r="G155" s="19" t="str">
        <x:v>USAGE_DATA_UNAVAILABLE</x:v>
      </x:c>
      <x:c r="H155" s="19"/>
      <x:c r="I155" s="18" t="str">
        <x:v>navitime:02300-1000609</x:v>
      </x:c>
      <x:c r="J155" s="19" t="str">
        <x:v>OFFICIAL_VALIDATION_REQUIRED</x:v>
      </x:c>
      <x:c r="K155" s="19" t="str">
        <x:v>待审核</x:v>
      </x:c>
      <x:c r="L155" s="19" t="str">
        <x:v>待审核</x:v>
      </x:c>
      <x:c r="M155" s="19" t="str">
        <x:v>官方对应与物理去重待审核</x:v>
      </x:c>
      <x:c r="N155" s="19" t="str">
        <x:v>OFFICIAL_IDENTITY_FACILITY
OFFICIAL_COORDINATES
PHYSICAL_FACILITY_DEDUP
CURRENT_OPERATOR_SERVICES
USAGE_OR_FUNCTIONAL_TIER_REVIEW</x:v>
      </x:c>
      <x:c r="O155" s="21"/>
      <x:c r="P155" s="21"/>
      <x:c r="Q155" s="19" t="str">
        <x:v>岡山県津山市南町1</x:v>
      </x:c>
      <x:c r="R155" s="18" t="str">
        <x:v>navitime:02300-1000609</x:v>
      </x:c>
      <x:c r="S155" s="19" t="str">
        <x:v>https://www.navitime.co.jp/poi?spot=02300-1000609</x:v>
      </x:c>
      <x:c r="T155" s="19" t="str"/>
      <x:c r="U155" s="19" t="str"/>
      <x:c r="V155" s="19" t="str"/>
      <x:c r="W155" s="19"/>
      <x:c r="X155" s="18" t="str">
        <x:v>是</x:v>
      </x:c>
      <x:c r="Y155" s="18" t="str">
        <x:v>否</x:v>
      </x:c>
    </x:row>
    <x:row r="156" ht="75" customHeight="1">
      <x:c r="A156" s="19" t="str">
        <x:v>道の駅クロスロードみつぎバスターミナル</x:v>
      </x:c>
      <x:c r="B156" s="19" t="str">
        <x:v>待审核</x:v>
      </x:c>
      <x:c r="C156" s="20" t="n">
        <x:v>0</x:v>
      </x:c>
      <x:c r="D156" s="18" t="str">
        <x:v>否</x:v>
      </x:c>
      <x:c r="E156" s="19"/>
      <x:c r="F156" s="20"/>
      <x:c r="G156" s="19" t="str">
        <x:v>USAGE_DATA_UNAVAILABLE</x:v>
      </x:c>
      <x:c r="H156" s="19"/>
      <x:c r="I156" s="18" t="str">
        <x:v>navitime:02300-1000610</x:v>
      </x:c>
      <x:c r="J156" s="19" t="str">
        <x:v>OFFICIAL_VALIDATION_REQUIRED</x:v>
      </x:c>
      <x:c r="K156" s="19" t="str">
        <x:v>待审核</x:v>
      </x:c>
      <x:c r="L156" s="19" t="str">
        <x:v>待审核</x:v>
      </x:c>
      <x:c r="M156" s="19" t="str">
        <x:v>官方对应与物理去重待审核</x:v>
      </x:c>
      <x:c r="N156" s="19" t="str">
        <x:v>OFFICIAL_IDENTITY_FACILITY
OFFICIAL_COORDINATES
PHYSICAL_FACILITY_DEDUP
CURRENT_OPERATOR_SERVICES
USAGE_OR_FUNCTIONAL_TIER_REVIEW</x:v>
      </x:c>
      <x:c r="O156" s="21"/>
      <x:c r="P156" s="21"/>
      <x:c r="Q156" s="19" t="str">
        <x:v>広島県尾道市御調町大田33</x:v>
      </x:c>
      <x:c r="R156" s="18" t="str">
        <x:v>navitime:02300-1000610</x:v>
      </x:c>
      <x:c r="S156" s="19" t="str">
        <x:v>https://www.navitime.co.jp/poi?spot=02300-1000610</x:v>
      </x:c>
      <x:c r="T156" s="19" t="str"/>
      <x:c r="U156" s="19" t="str"/>
      <x:c r="V156" s="19" t="str"/>
      <x:c r="W156" s="19"/>
      <x:c r="X156" s="18" t="str">
        <x:v>是</x:v>
      </x:c>
      <x:c r="Y156" s="18" t="str">
        <x:v>否</x:v>
      </x:c>
    </x:row>
    <x:row r="157" ht="75" customHeight="1">
      <x:c r="A157" s="19" t="str">
        <x:v>道の駅瑞穂バスターミナル(田所道の駅)</x:v>
      </x:c>
      <x:c r="B157" s="19" t="str">
        <x:v>待审核</x:v>
      </x:c>
      <x:c r="C157" s="20" t="n">
        <x:v>0</x:v>
      </x:c>
      <x:c r="D157" s="18" t="str">
        <x:v>否</x:v>
      </x:c>
      <x:c r="E157" s="19"/>
      <x:c r="F157" s="20"/>
      <x:c r="G157" s="19" t="str">
        <x:v>USAGE_DATA_UNAVAILABLE</x:v>
      </x:c>
      <x:c r="H157" s="19"/>
      <x:c r="I157" s="18" t="str">
        <x:v>navitime:02300-1000612</x:v>
      </x:c>
      <x:c r="J157" s="19" t="str">
        <x:v>OFFICIAL_VALIDATION_REQUIRED</x:v>
      </x:c>
      <x:c r="K157" s="19" t="str">
        <x:v>待审核</x:v>
      </x:c>
      <x:c r="L157" s="19" t="str">
        <x:v>待审核</x:v>
      </x:c>
      <x:c r="M157" s="19" t="str">
        <x:v>官方对应与物理去重待审核</x:v>
      </x:c>
      <x:c r="N157" s="19" t="str">
        <x:v>OFFICIAL_IDENTITY_FACILITY
OFFICIAL_COORDINATES
PHYSICAL_FACILITY_DEDUP
CURRENT_OPERATOR_SERVICES
USAGE_OR_FUNCTIONAL_TIER_REVIEW</x:v>
      </x:c>
      <x:c r="O157" s="21"/>
      <x:c r="P157" s="21"/>
      <x:c r="Q157" s="19" t="str">
        <x:v>島根県邑智郡邑南町下田所260-3</x:v>
      </x:c>
      <x:c r="R157" s="18" t="str">
        <x:v>navitime:02300-1000612</x:v>
      </x:c>
      <x:c r="S157" s="19" t="str">
        <x:v>https://www.navitime.co.jp/poi?spot=02300-1000612</x:v>
      </x:c>
      <x:c r="T157" s="19" t="str"/>
      <x:c r="U157" s="19" t="str"/>
      <x:c r="V157" s="19" t="str"/>
      <x:c r="W157" s="19"/>
      <x:c r="X157" s="18" t="str">
        <x:v>是</x:v>
      </x:c>
      <x:c r="Y157" s="18" t="str">
        <x:v>否</x:v>
      </x:c>
    </x:row>
    <x:row r="158" ht="75" customHeight="1">
      <x:c r="A158" s="19" t="str">
        <x:v>道の駅シルクウェイにちはらバスターミナル(日原(道の駅))</x:v>
      </x:c>
      <x:c r="B158" s="19" t="str">
        <x:v>待审核</x:v>
      </x:c>
      <x:c r="C158" s="20" t="n">
        <x:v>0</x:v>
      </x:c>
      <x:c r="D158" s="18" t="str">
        <x:v>否</x:v>
      </x:c>
      <x:c r="E158" s="19"/>
      <x:c r="F158" s="20"/>
      <x:c r="G158" s="19" t="str">
        <x:v>USAGE_DATA_UNAVAILABLE</x:v>
      </x:c>
      <x:c r="H158" s="19"/>
      <x:c r="I158" s="18" t="str">
        <x:v>navitime:02300-1000613</x:v>
      </x:c>
      <x:c r="J158" s="19" t="str">
        <x:v>OFFICIAL_VALIDATION_REQUIRED</x:v>
      </x:c>
      <x:c r="K158" s="19" t="str">
        <x:v>待审核</x:v>
      </x:c>
      <x:c r="L158" s="19" t="str">
        <x:v>待审核</x:v>
      </x:c>
      <x:c r="M158" s="19" t="str">
        <x:v>官方对应与物理去重待审核</x:v>
      </x:c>
      <x:c r="N158" s="19" t="str">
        <x:v>OFFICIAL_IDENTITY_FACILITY
OFFICIAL_COORDINATES
PHYSICAL_FACILITY_DEDUP
CURRENT_OPERATOR_SERVICES
USAGE_OR_FUNCTIONAL_TIER_REVIEW</x:v>
      </x:c>
      <x:c r="O158" s="21"/>
      <x:c r="P158" s="21"/>
      <x:c r="Q158" s="19" t="str">
        <x:v>島根県鹿足郡津和野町池村1997-4</x:v>
      </x:c>
      <x:c r="R158" s="18" t="str">
        <x:v>navitime:02300-1000613</x:v>
      </x:c>
      <x:c r="S158" s="19" t="str">
        <x:v>https://www.navitime.co.jp/poi?spot=02300-1000613</x:v>
      </x:c>
      <x:c r="T158" s="19" t="str"/>
      <x:c r="U158" s="19" t="str"/>
      <x:c r="V158" s="19" t="str"/>
      <x:c r="W158" s="19"/>
      <x:c r="X158" s="18" t="str">
        <x:v>是</x:v>
      </x:c>
      <x:c r="Y158" s="18" t="str">
        <x:v>否</x:v>
      </x:c>
    </x:row>
    <x:row r="159" ht="75" customHeight="1">
      <x:c r="A159" s="19" t="str">
        <x:v>宇部中央バス停(バスターミナル)</x:v>
      </x:c>
      <x:c r="B159" s="19" t="str">
        <x:v>待审核</x:v>
      </x:c>
      <x:c r="C159" s="20" t="n">
        <x:v>0</x:v>
      </x:c>
      <x:c r="D159" s="18" t="str">
        <x:v>否</x:v>
      </x:c>
      <x:c r="E159" s="19"/>
      <x:c r="F159" s="20"/>
      <x:c r="G159" s="19" t="str">
        <x:v>USAGE_DATA_UNAVAILABLE</x:v>
      </x:c>
      <x:c r="H159" s="19"/>
      <x:c r="I159" s="18" t="str">
        <x:v>navitime:02300-1000614</x:v>
      </x:c>
      <x:c r="J159" s="19" t="str">
        <x:v>OFFICIAL_VALIDATION_REQUIRED</x:v>
      </x:c>
      <x:c r="K159" s="19" t="str">
        <x:v>待审核</x:v>
      </x:c>
      <x:c r="L159" s="19" t="str">
        <x:v>待审核</x:v>
      </x:c>
      <x:c r="M159" s="19" t="str">
        <x:v>官方对应与物理去重待审核</x:v>
      </x:c>
      <x:c r="N159" s="19" t="str">
        <x:v>OFFICIAL_IDENTITY_FACILITY
OFFICIAL_COORDINATES
PHYSICAL_FACILITY_DEDUP
CURRENT_OPERATOR_SERVICES
USAGE_OR_FUNCTIONAL_TIER_REVIEW</x:v>
      </x:c>
      <x:c r="O159" s="21"/>
      <x:c r="P159" s="21"/>
      <x:c r="Q159" s="19" t="str">
        <x:v>山口県宇部市中央町2</x:v>
      </x:c>
      <x:c r="R159" s="18" t="str">
        <x:v>navitime:02300-1000614</x:v>
      </x:c>
      <x:c r="S159" s="19" t="str">
        <x:v>https://www.navitime.co.jp/poi?spot=02300-1000614</x:v>
      </x:c>
      <x:c r="T159" s="19" t="str"/>
      <x:c r="U159" s="19" t="str"/>
      <x:c r="V159" s="19" t="str"/>
      <x:c r="W159" s="19"/>
      <x:c r="X159" s="18" t="str">
        <x:v>是</x:v>
      </x:c>
      <x:c r="Y159" s="18" t="str">
        <x:v>否</x:v>
      </x:c>
    </x:row>
    <x:row r="160" ht="75" customHeight="1">
      <x:c r="A160" s="19" t="str">
        <x:v>高松駅前バスターミナル</x:v>
      </x:c>
      <x:c r="B160" s="19" t="str">
        <x:v>待审核</x:v>
      </x:c>
      <x:c r="C160" s="20" t="n">
        <x:v>0</x:v>
      </x:c>
      <x:c r="D160" s="18" t="str">
        <x:v>否</x:v>
      </x:c>
      <x:c r="E160" s="19"/>
      <x:c r="F160" s="20"/>
      <x:c r="G160" s="19" t="str">
        <x:v>USAGE_DATA_UNAVAILABLE</x:v>
      </x:c>
      <x:c r="H160" s="19"/>
      <x:c r="I160" s="18" t="str">
        <x:v>navitime:02300-1000616</x:v>
      </x:c>
      <x:c r="J160" s="19" t="str">
        <x:v>OFFICIAL_VALIDATION_REQUIRED</x:v>
      </x:c>
      <x:c r="K160" s="19" t="str">
        <x:v>待审核</x:v>
      </x:c>
      <x:c r="L160" s="19" t="str">
        <x:v>待审核</x:v>
      </x:c>
      <x:c r="M160" s="19" t="str">
        <x:v>官方对应与物理去重待审核</x:v>
      </x:c>
      <x:c r="N160" s="19" t="str">
        <x:v>OFFICIAL_IDENTITY_FACILITY
OFFICIAL_COORDINATES
PHYSICAL_FACILITY_DEDUP
CURRENT_OPERATOR_SERVICES
USAGE_OR_FUNCTIONAL_TIER_REVIEW</x:v>
      </x:c>
      <x:c r="O160" s="21"/>
      <x:c r="P160" s="21"/>
      <x:c r="Q160" s="19" t="str">
        <x:v>香川県高松市浜ノ町</x:v>
      </x:c>
      <x:c r="R160" s="18" t="str">
        <x:v>navitime:02300-1000616</x:v>
      </x:c>
      <x:c r="S160" s="19" t="str">
        <x:v>https://www.navitime.co.jp/poi?spot=02300-1000616</x:v>
      </x:c>
      <x:c r="T160" s="19" t="str"/>
      <x:c r="U160" s="19" t="str"/>
      <x:c r="V160" s="19" t="str"/>
      <x:c r="W160" s="19"/>
      <x:c r="X160" s="18" t="str">
        <x:v>是</x:v>
      </x:c>
      <x:c r="Y160" s="18" t="str">
        <x:v>否</x:v>
      </x:c>
    </x:row>
    <x:row r="161" ht="75" customHeight="1">
      <x:c r="A161" s="19" t="str">
        <x:v>南国交通バスターミナル(鹿児島中央ターミナル)</x:v>
      </x:c>
      <x:c r="B161" s="19" t="str">
        <x:v>待审核</x:v>
      </x:c>
      <x:c r="C161" s="20" t="n">
        <x:v>0</x:v>
      </x:c>
      <x:c r="D161" s="18" t="str">
        <x:v>否</x:v>
      </x:c>
      <x:c r="E161" s="19"/>
      <x:c r="F161" s="20"/>
      <x:c r="G161" s="19" t="str">
        <x:v>USAGE_DATA_UNAVAILABLE</x:v>
      </x:c>
      <x:c r="H161" s="19"/>
      <x:c r="I161" s="18" t="str">
        <x:v>navitime:02300-1000620</x:v>
      </x:c>
      <x:c r="J161" s="19" t="str">
        <x:v>OFFICIAL_VALIDATION_REQUIRED</x:v>
      </x:c>
      <x:c r="K161" s="19" t="str">
        <x:v>待审核</x:v>
      </x:c>
      <x:c r="L161" s="19" t="str">
        <x:v>待审核</x:v>
      </x:c>
      <x:c r="M161" s="19" t="str">
        <x:v>官方对应与物理去重待审核</x:v>
      </x:c>
      <x:c r="N161" s="19" t="str">
        <x:v>OFFICIAL_IDENTITY_FACILITY
OFFICIAL_COORDINATES
PHYSICAL_FACILITY_DEDUP
CURRENT_OPERATOR_SERVICES
USAGE_OR_FUNCTIONAL_TIER_REVIEW</x:v>
      </x:c>
      <x:c r="O161" s="21"/>
      <x:c r="P161" s="21"/>
      <x:c r="Q161" s="19" t="str">
        <x:v>鹿児島県鹿児島市中央町11 鹿児島中央ターミナルビル1F</x:v>
      </x:c>
      <x:c r="R161" s="18" t="str">
        <x:v>navitime:02300-1000620</x:v>
      </x:c>
      <x:c r="S161" s="19" t="str">
        <x:v>https://www.navitime.co.jp/poi?spot=02300-1000620</x:v>
      </x:c>
      <x:c r="T161" s="19" t="str"/>
      <x:c r="U161" s="19" t="str"/>
      <x:c r="V161" s="19" t="str"/>
      <x:c r="W161" s="19"/>
      <x:c r="X161" s="18" t="str">
        <x:v>是</x:v>
      </x:c>
      <x:c r="Y161" s="18" t="str">
        <x:v>否</x:v>
      </x:c>
    </x:row>
    <x:row r="162" ht="75" customHeight="1">
      <x:c r="A162" s="19" t="str">
        <x:v>読谷バスターミナル</x:v>
      </x:c>
      <x:c r="B162" s="19" t="str">
        <x:v>待审核</x:v>
      </x:c>
      <x:c r="C162" s="20" t="n">
        <x:v>0</x:v>
      </x:c>
      <x:c r="D162" s="18" t="str">
        <x:v>否</x:v>
      </x:c>
      <x:c r="E162" s="19"/>
      <x:c r="F162" s="20"/>
      <x:c r="G162" s="19" t="str">
        <x:v>USAGE_DATA_UNAVAILABLE</x:v>
      </x:c>
      <x:c r="H162" s="19"/>
      <x:c r="I162" s="18" t="str">
        <x:v>navitime:02300-1000622</x:v>
      </x:c>
      <x:c r="J162" s="19" t="str">
        <x:v>OFFICIAL_VALIDATION_REQUIRED</x:v>
      </x:c>
      <x:c r="K162" s="19" t="str">
        <x:v>待审核</x:v>
      </x:c>
      <x:c r="L162" s="19" t="str">
        <x:v>待审核</x:v>
      </x:c>
      <x:c r="M162" s="19" t="str">
        <x:v>官方对应与物理去重待审核</x:v>
      </x:c>
      <x:c r="N162" s="19" t="str">
        <x:v>OFFICIAL_IDENTITY_FACILITY
OFFICIAL_COORDINATES
PHYSICAL_FACILITY_DEDUP
CURRENT_OPERATOR_SERVICES
USAGE_OR_FUNCTIONAL_TIER_REVIEW</x:v>
      </x:c>
      <x:c r="O162" s="21"/>
      <x:c r="P162" s="21"/>
      <x:c r="Q162" s="19" t="str">
        <x:v>沖縄県中頭郡読谷村瀬名波621-3</x:v>
      </x:c>
      <x:c r="R162" s="18" t="str">
        <x:v>navitime:02300-1000622</x:v>
      </x:c>
      <x:c r="S162" s="19" t="str">
        <x:v>https://www.navitime.co.jp/poi?spot=02300-1000622</x:v>
      </x:c>
      <x:c r="T162" s="19" t="str"/>
      <x:c r="U162" s="19" t="str"/>
      <x:c r="V162" s="19" t="str"/>
      <x:c r="W162" s="19"/>
      <x:c r="X162" s="18" t="str">
        <x:v>是</x:v>
      </x:c>
      <x:c r="Y162" s="18" t="str">
        <x:v>否</x:v>
      </x:c>
    </x:row>
    <x:row r="163" ht="75" customHeight="1">
      <x:c r="A163" s="19" t="str">
        <x:v>屋慶名バスターミナル</x:v>
      </x:c>
      <x:c r="B163" s="19" t="str">
        <x:v>待审核</x:v>
      </x:c>
      <x:c r="C163" s="20" t="n">
        <x:v>0</x:v>
      </x:c>
      <x:c r="D163" s="18" t="str">
        <x:v>否</x:v>
      </x:c>
      <x:c r="E163" s="19"/>
      <x:c r="F163" s="20"/>
      <x:c r="G163" s="19" t="str">
        <x:v>USAGE_DATA_UNAVAILABLE</x:v>
      </x:c>
      <x:c r="H163" s="19"/>
      <x:c r="I163" s="18" t="str">
        <x:v>navitime:02300-1000623</x:v>
      </x:c>
      <x:c r="J163" s="19" t="str">
        <x:v>OFFICIAL_VALIDATION_REQUIRED</x:v>
      </x:c>
      <x:c r="K163" s="19" t="str">
        <x:v>待审核</x:v>
      </x:c>
      <x:c r="L163" s="19" t="str">
        <x:v>待审核</x:v>
      </x:c>
      <x:c r="M163" s="19" t="str">
        <x:v>官方对应与物理去重待审核</x:v>
      </x:c>
      <x:c r="N163" s="19" t="str">
        <x:v>OFFICIAL_IDENTITY_FACILITY
OFFICIAL_COORDINATES
PHYSICAL_FACILITY_DEDUP
CURRENT_OPERATOR_SERVICES
USAGE_OR_FUNCTIONAL_TIER_REVIEW</x:v>
      </x:c>
      <x:c r="O163" s="21"/>
      <x:c r="P163" s="21"/>
      <x:c r="Q163" s="19" t="str">
        <x:v>沖縄県うるま市与那城屋慶名467-25</x:v>
      </x:c>
      <x:c r="R163" s="18" t="str">
        <x:v>navitime:02300-1000623</x:v>
      </x:c>
      <x:c r="S163" s="19" t="str">
        <x:v>https://www.navitime.co.jp/poi?spot=02300-1000623</x:v>
      </x:c>
      <x:c r="T163" s="19" t="str"/>
      <x:c r="U163" s="19" t="str"/>
      <x:c r="V163" s="19" t="str"/>
      <x:c r="W163" s="19"/>
      <x:c r="X163" s="18" t="str">
        <x:v>是</x:v>
      </x:c>
      <x:c r="Y163" s="18" t="str">
        <x:v>否</x:v>
      </x:c>
    </x:row>
    <x:row r="164" ht="75" customHeight="1">
      <x:c r="A164" s="19" t="str">
        <x:v>具志川バスターミナル</x:v>
      </x:c>
      <x:c r="B164" s="19" t="str">
        <x:v>待审核</x:v>
      </x:c>
      <x:c r="C164" s="20" t="n">
        <x:v>0</x:v>
      </x:c>
      <x:c r="D164" s="18" t="str">
        <x:v>否</x:v>
      </x:c>
      <x:c r="E164" s="19"/>
      <x:c r="F164" s="20"/>
      <x:c r="G164" s="19" t="str">
        <x:v>USAGE_DATA_UNAVAILABLE</x:v>
      </x:c>
      <x:c r="H164" s="19"/>
      <x:c r="I164" s="18" t="str">
        <x:v>navitime:02300-1000624</x:v>
      </x:c>
      <x:c r="J164" s="19" t="str">
        <x:v>OFFICIAL_VALIDATION_REQUIRED</x:v>
      </x:c>
      <x:c r="K164" s="19" t="str">
        <x:v>待审核</x:v>
      </x:c>
      <x:c r="L164" s="19" t="str">
        <x:v>待审核</x:v>
      </x:c>
      <x:c r="M164" s="19" t="str">
        <x:v>官方对应与物理去重待审核</x:v>
      </x:c>
      <x:c r="N164" s="19" t="str">
        <x:v>OFFICIAL_IDENTITY_FACILITY
OFFICIAL_COORDINATES
PHYSICAL_FACILITY_DEDUP
CURRENT_OPERATOR_SERVICES
USAGE_OR_FUNCTIONAL_TIER_REVIEW</x:v>
      </x:c>
      <x:c r="O164" s="21"/>
      <x:c r="P164" s="21"/>
      <x:c r="Q164" s="19" t="str">
        <x:v>沖縄県うるま市字田場1784</x:v>
      </x:c>
      <x:c r="R164" s="18" t="str">
        <x:v>navitime:02300-1000624</x:v>
      </x:c>
      <x:c r="S164" s="19" t="str">
        <x:v>https://www.navitime.co.jp/poi?spot=02300-1000624</x:v>
      </x:c>
      <x:c r="T164" s="19" t="str"/>
      <x:c r="U164" s="19" t="str"/>
      <x:c r="V164" s="19" t="str"/>
      <x:c r="W164" s="19"/>
      <x:c r="X164" s="18" t="str">
        <x:v>是</x:v>
      </x:c>
      <x:c r="Y164" s="18" t="str">
        <x:v>否</x:v>
      </x:c>
    </x:row>
    <x:row r="165" ht="75" customHeight="1">
      <x:c r="A165" s="19" t="str">
        <x:v>糸満バスターミナル</x:v>
      </x:c>
      <x:c r="B165" s="19" t="str">
        <x:v>待审核</x:v>
      </x:c>
      <x:c r="C165" s="20" t="n">
        <x:v>0</x:v>
      </x:c>
      <x:c r="D165" s="18" t="str">
        <x:v>否</x:v>
      </x:c>
      <x:c r="E165" s="19"/>
      <x:c r="F165" s="20"/>
      <x:c r="G165" s="19" t="str">
        <x:v>USAGE_DATA_UNAVAILABLE</x:v>
      </x:c>
      <x:c r="H165" s="19"/>
      <x:c r="I165" s="18" t="str">
        <x:v>navitime:02300-1000625</x:v>
      </x:c>
      <x:c r="J165" s="19" t="str">
        <x:v>OFFICIAL_VALIDATION_REQUIRED</x:v>
      </x:c>
      <x:c r="K165" s="19" t="str">
        <x:v>待审核</x:v>
      </x:c>
      <x:c r="L165" s="19" t="str">
        <x:v>待审核</x:v>
      </x:c>
      <x:c r="M165" s="19" t="str">
        <x:v>官方对应与物理去重待审核</x:v>
      </x:c>
      <x:c r="N165" s="19" t="str">
        <x:v>OFFICIAL_IDENTITY_FACILITY
OFFICIAL_COORDINATES
PHYSICAL_FACILITY_DEDUP
CURRENT_OPERATOR_SERVICES
USAGE_OR_FUNCTIONAL_TIER_REVIEW</x:v>
      </x:c>
      <x:c r="O165" s="21"/>
      <x:c r="P165" s="21"/>
      <x:c r="Q165" s="19" t="str">
        <x:v>沖縄県糸満市字糸満2276-2、2274-2</x:v>
      </x:c>
      <x:c r="R165" s="18" t="str">
        <x:v>navitime:02300-1000625</x:v>
      </x:c>
      <x:c r="S165" s="19" t="str">
        <x:v>https://www.navitime.co.jp/poi?spot=02300-1000625</x:v>
      </x:c>
      <x:c r="T165" s="19" t="str"/>
      <x:c r="U165" s="19" t="str"/>
      <x:c r="V165" s="19" t="str"/>
      <x:c r="W165" s="19"/>
      <x:c r="X165" s="18" t="str">
        <x:v>是</x:v>
      </x:c>
      <x:c r="Y165" s="18" t="str">
        <x:v>否</x:v>
      </x:c>
    </x:row>
    <x:row r="166" ht="75" customHeight="1">
      <x:c r="A166" s="19" t="str">
        <x:v>百名バスターミナル</x:v>
      </x:c>
      <x:c r="B166" s="19" t="str">
        <x:v>待审核</x:v>
      </x:c>
      <x:c r="C166" s="20" t="n">
        <x:v>0</x:v>
      </x:c>
      <x:c r="D166" s="18" t="str">
        <x:v>否</x:v>
      </x:c>
      <x:c r="E166" s="19"/>
      <x:c r="F166" s="20"/>
      <x:c r="G166" s="19" t="str">
        <x:v>USAGE_DATA_UNAVAILABLE</x:v>
      </x:c>
      <x:c r="H166" s="19"/>
      <x:c r="I166" s="18" t="str">
        <x:v>navitime:02300-1000626</x:v>
      </x:c>
      <x:c r="J166" s="19" t="str">
        <x:v>OFFICIAL_VALIDATION_REQUIRED</x:v>
      </x:c>
      <x:c r="K166" s="19" t="str">
        <x:v>待审核</x:v>
      </x:c>
      <x:c r="L166" s="19" t="str">
        <x:v>待审核</x:v>
      </x:c>
      <x:c r="M166" s="19" t="str">
        <x:v>官方对应与物理去重待审核</x:v>
      </x:c>
      <x:c r="N166" s="19" t="str">
        <x:v>OFFICIAL_IDENTITY_FACILITY
OFFICIAL_COORDINATES
PHYSICAL_FACILITY_DEDUP
CURRENT_OPERATOR_SERVICES
USAGE_OR_FUNCTIONAL_TIER_REVIEW</x:v>
      </x:c>
      <x:c r="O166" s="21"/>
      <x:c r="P166" s="21"/>
      <x:c r="Q166" s="19" t="str">
        <x:v>沖縄県南城市玉城字百名772-1</x:v>
      </x:c>
      <x:c r="R166" s="18" t="str">
        <x:v>navitime:02300-1000626</x:v>
      </x:c>
      <x:c r="S166" s="19" t="str">
        <x:v>https://www.navitime.co.jp/poi?spot=02300-1000626</x:v>
      </x:c>
      <x:c r="T166" s="19" t="str"/>
      <x:c r="U166" s="19" t="str"/>
      <x:c r="V166" s="19" t="str"/>
      <x:c r="W166" s="19"/>
      <x:c r="X166" s="18" t="str">
        <x:v>是</x:v>
      </x:c>
      <x:c r="Y166" s="18" t="str">
        <x:v>否</x:v>
      </x:c>
    </x:row>
    <x:row r="167" ht="75" customHeight="1">
      <x:c r="A167" s="19" t="str">
        <x:v>石垣バスターミナル</x:v>
      </x:c>
      <x:c r="B167" s="19" t="str">
        <x:v>待审核</x:v>
      </x:c>
      <x:c r="C167" s="20" t="n">
        <x:v>0</x:v>
      </x:c>
      <x:c r="D167" s="18" t="str">
        <x:v>否</x:v>
      </x:c>
      <x:c r="E167" s="19"/>
      <x:c r="F167" s="20"/>
      <x:c r="G167" s="19" t="str">
        <x:v>USAGE_DATA_UNAVAILABLE</x:v>
      </x:c>
      <x:c r="H167" s="19"/>
      <x:c r="I167" s="18" t="str">
        <x:v>navitime:02300-1000627</x:v>
      </x:c>
      <x:c r="J167" s="19" t="str">
        <x:v>OFFICIAL_VALIDATION_REQUIRED</x:v>
      </x:c>
      <x:c r="K167" s="19" t="str">
        <x:v>待审核</x:v>
      </x:c>
      <x:c r="L167" s="19" t="str">
        <x:v>待审核</x:v>
      </x:c>
      <x:c r="M167" s="19" t="str">
        <x:v>官方对应与物理去重待审核</x:v>
      </x:c>
      <x:c r="N167" s="19" t="str">
        <x:v>OFFICIAL_IDENTITY_FACILITY
OFFICIAL_COORDINATES
PHYSICAL_FACILITY_DEDUP
CURRENT_OPERATOR_SERVICES
USAGE_OR_FUNCTIONAL_TIER_REVIEW</x:v>
      </x:c>
      <x:c r="O167" s="21"/>
      <x:c r="P167" s="21"/>
      <x:c r="Q167" s="19" t="str">
        <x:v>沖縄県石垣市美崎町</x:v>
      </x:c>
      <x:c r="R167" s="18" t="str">
        <x:v>navitime:02300-1000627</x:v>
      </x:c>
      <x:c r="S167" s="19" t="str">
        <x:v>https://www.navitime.co.jp/poi?spot=02300-1000627</x:v>
      </x:c>
      <x:c r="T167" s="19" t="str"/>
      <x:c r="U167" s="19" t="str"/>
      <x:c r="V167" s="19" t="str"/>
      <x:c r="W167" s="19"/>
      <x:c r="X167" s="18" t="str">
        <x:v>是</x:v>
      </x:c>
      <x:c r="Y167" s="18" t="str">
        <x:v>否</x:v>
      </x:c>
    </x:row>
    <x:row r="168" ht="75" customHeight="1">
      <x:c r="A168" s="19" t="str">
        <x:v>札幌駅バスターミナル</x:v>
      </x:c>
      <x:c r="B168" s="19" t="str">
        <x:v>停用/非活跃</x:v>
      </x:c>
      <x:c r="C168" s="20" t="n">
        <x:v>2</x:v>
      </x:c>
      <x:c r="D168" s="18" t="str">
        <x:v>否</x:v>
      </x:c>
      <x:c r="E168" s="19"/>
      <x:c r="F168" s="20"/>
      <x:c r="G168" s="19" t="str">
        <x:v>USAGE_DATA_UNAVAILABLE</x:v>
      </x:c>
      <x:c r="H168" s="19"/>
      <x:c r="I168" s="18" t="str">
        <x:v>navitime:02300-1007720</x:v>
      </x:c>
      <x:c r="J168" s="19" t="str">
        <x:v>部分官方证据</x:v>
      </x:c>
      <x:c r="K168" s="19" t="str">
        <x:v>待审核</x:v>
      </x:c>
      <x:c r="L168" s="19" t="str">
        <x:v>部分官方证据</x:v>
      </x:c>
      <x:c r="M168" s="19" t="str">
        <x:v>官方对应与物理去重待审核</x:v>
      </x:c>
      <x:c r="N168" s="19" t="str">
        <x:v>OFFICIAL_COORDINATES
PHYSICAL_FACILITY_DEDUP
CURRENT_OPERATOR_SERVICES
USAGE_OR_FUNCTIONAL_TIER_REVIEW</x:v>
      </x:c>
      <x:c r="O168" s="21"/>
      <x:c r="P168" s="21"/>
      <x:c r="Q168" s="19" t="str">
        <x:v>北海道札幌市中央区北5条西2丁目</x:v>
      </x:c>
      <x:c r="R168" s="18" t="str">
        <x:v>navitime:02300-1007720</x:v>
      </x:c>
      <x:c r="S168" s="19" t="str">
        <x:v>https://www.navitime.co.jp/poi?spot=02300-1007720</x:v>
      </x:c>
      <x:c r="T168" s="19" t="str">
        <x:v>札幌駅総合開発</x:v>
      </x:c>
      <x:c r="U168" s="19" t="str">
        <x:v>札幌市中央区北5条西2丁目1</x:v>
      </x:c>
      <x:c r="V168" s="19" t="str">
        <x:v>REGISTERED_FACILITY_OPERATOR_ADDRESS_BERTHS
https://www.mlit.go.jp/jidosha/content/001999724.pdf
页 1，条 1
PRIOR_OFFICIAL_FACILITY_REVIEW
https://www.city.sapporo.jp/sogokotsu/kasetsubus/kasetsu_faq.html</x:v>
      </x:c>
      <x:c r="W168" s="19"/>
      <x:c r="X168" s="18" t="str">
        <x:v>是</x:v>
      </x:c>
      <x:c r="Y168" s="18" t="str">
        <x:v>否</x:v>
      </x:c>
    </x:row>
    <x:row r="169" ht="75" customHeight="1">
      <x:c r="A169" s="19" t="str">
        <x:v>苫小牧駅前バスターミナル</x:v>
      </x:c>
      <x:c r="B169" s="19" t="str">
        <x:v>待审核</x:v>
      </x:c>
      <x:c r="C169" s="20" t="n">
        <x:v>0</x:v>
      </x:c>
      <x:c r="D169" s="18" t="str">
        <x:v>否</x:v>
      </x:c>
      <x:c r="E169" s="19"/>
      <x:c r="F169" s="20"/>
      <x:c r="G169" s="19" t="str">
        <x:v>USAGE_DATA_UNAVAILABLE</x:v>
      </x:c>
      <x:c r="H169" s="19"/>
      <x:c r="I169" s="18" t="str">
        <x:v>navitime:02300-1007721</x:v>
      </x:c>
      <x:c r="J169" s="19" t="str">
        <x:v>OFFICIAL_VALIDATION_REQUIRED</x:v>
      </x:c>
      <x:c r="K169" s="19" t="str">
        <x:v>待审核</x:v>
      </x:c>
      <x:c r="L169" s="19" t="str">
        <x:v>待审核</x:v>
      </x:c>
      <x:c r="M169" s="19" t="str">
        <x:v>官方对应与物理去重待审核</x:v>
      </x:c>
      <x:c r="N169" s="19" t="str">
        <x:v>OFFICIAL_IDENTITY_FACILITY
OFFICIAL_COORDINATES
PHYSICAL_FACILITY_DEDUP
CURRENT_OPERATOR_SERVICES
USAGE_OR_FUNCTIONAL_TIER_REVIEW</x:v>
      </x:c>
      <x:c r="O169" s="21"/>
      <x:c r="P169" s="21"/>
      <x:c r="Q169" s="19" t="str">
        <x:v>北海道苫小牧市表町5-10-11</x:v>
      </x:c>
      <x:c r="R169" s="18" t="str">
        <x:v>navitime:02300-1007721</x:v>
      </x:c>
      <x:c r="S169" s="19" t="str">
        <x:v>https://www.navitime.co.jp/poi?spot=02300-1007721</x:v>
      </x:c>
      <x:c r="T169" s="19" t="str"/>
      <x:c r="U169" s="19" t="str"/>
      <x:c r="V169" s="19" t="str"/>
      <x:c r="W169" s="19"/>
      <x:c r="X169" s="18" t="str">
        <x:v>是</x:v>
      </x:c>
      <x:c r="Y169" s="18" t="str">
        <x:v>否</x:v>
      </x:c>
    </x:row>
    <x:row r="170" ht="61" customHeight="1">
      <x:c r="A170" s="19" t="str">
        <x:v>福住バスターミナル</x:v>
      </x:c>
      <x:c r="B170" s="19" t="str">
        <x:v>待审核</x:v>
      </x:c>
      <x:c r="C170" s="20" t="n">
        <x:v>1</x:v>
      </x:c>
      <x:c r="D170" s="18" t="str">
        <x:v>否</x:v>
      </x:c>
      <x:c r="E170" s="19"/>
      <x:c r="F170" s="20"/>
      <x:c r="G170" s="19" t="str">
        <x:v>USAGE_DATA_UNAVAILABLE</x:v>
      </x:c>
      <x:c r="H170" s="19"/>
      <x:c r="I170" s="18" t="str">
        <x:v>navitime:02300-1007722</x:v>
      </x:c>
      <x:c r="J170" s="19" t="str">
        <x:v>部分官方证据</x:v>
      </x:c>
      <x:c r="K170" s="19" t="str">
        <x:v>待审核</x:v>
      </x:c>
      <x:c r="L170" s="19" t="str">
        <x:v>部分官方证据</x:v>
      </x:c>
      <x:c r="M170" s="19" t="str">
        <x:v>官方对应与物理去重待审核</x:v>
      </x:c>
      <x:c r="N170" s="19" t="str">
        <x:v>OFFICIAL_COORDINATES
PHYSICAL_FACILITY_DEDUP
CURRENT_OPERATOR_SERVICES
USAGE_OR_FUNCTIONAL_TIER_REVIEW</x:v>
      </x:c>
      <x:c r="O170" s="21"/>
      <x:c r="P170" s="21"/>
      <x:c r="Q170" s="19" t="str">
        <x:v>北海道札幌市豊平区福住二条1-2</x:v>
      </x:c>
      <x:c r="R170" s="18" t="str">
        <x:v>navitime:02300-1007722</x:v>
      </x:c>
      <x:c r="S170" s="19" t="str">
        <x:v>https://www.navitime.co.jp/poi?spot=02300-1007722</x:v>
      </x:c>
      <x:c r="T170" s="19" t="str">
        <x:v>北海道いすゞ自動車</x:v>
      </x:c>
      <x:c r="U170" s="19" t="str">
        <x:v>札幌市豊平区福住2条1丁目2-1</x:v>
      </x:c>
      <x:c r="V170" s="19" t="str">
        <x:v>REGISTERED_FACILITY_OPERATOR_ADDRESS_BERTHS
https://www.mlit.go.jp/jidosha/content/001999724.pdf
页 1，条 4</x:v>
      </x:c>
      <x:c r="W170" s="19"/>
      <x:c r="X170" s="18" t="str">
        <x:v>是</x:v>
      </x:c>
      <x:c r="Y170" s="18" t="str">
        <x:v>否</x:v>
      </x:c>
    </x:row>
    <x:row r="171" ht="75" customHeight="1">
      <x:c r="A171" s="19" t="str">
        <x:v>ラピアバスセンター</x:v>
      </x:c>
      <x:c r="B171" s="19" t="str">
        <x:v>待审核</x:v>
      </x:c>
      <x:c r="C171" s="20" t="n">
        <x:v>0</x:v>
      </x:c>
      <x:c r="D171" s="18" t="str">
        <x:v>否</x:v>
      </x:c>
      <x:c r="E171" s="19"/>
      <x:c r="F171" s="20"/>
      <x:c r="G171" s="19" t="str">
        <x:v>USAGE_DATA_UNAVAILABLE</x:v>
      </x:c>
      <x:c r="H171" s="19"/>
      <x:c r="I171" s="18" t="str">
        <x:v>navitime:02300-1007743</x:v>
      </x:c>
      <x:c r="J171" s="19" t="str">
        <x:v>OFFICIAL_VALIDATION_REQUIRED</x:v>
      </x:c>
      <x:c r="K171" s="19" t="str">
        <x:v>待审核</x:v>
      </x:c>
      <x:c r="L171" s="19" t="str">
        <x:v>待审核</x:v>
      </x:c>
      <x:c r="M171" s="19" t="str">
        <x:v>官方对应与物理去重待审核</x:v>
      </x:c>
      <x:c r="N171" s="19" t="str">
        <x:v>OFFICIAL_IDENTITY_FACILITY
OFFICIAL_COORDINATES
PHYSICAL_FACILITY_DEDUP
CURRENT_OPERATOR_SERVICES
USAGE_OR_FUNCTIONAL_TIER_REVIEW</x:v>
      </x:c>
      <x:c r="O171" s="21"/>
      <x:c r="P171" s="21"/>
      <x:c r="Q171" s="19" t="str">
        <x:v>青森県八戸市江陽5-5-21</x:v>
      </x:c>
      <x:c r="R171" s="18" t="str">
        <x:v>navitime:02300-1007743</x:v>
      </x:c>
      <x:c r="S171" s="19" t="str">
        <x:v>https://www.navitime.co.jp/poi?spot=02300-1007743</x:v>
      </x:c>
      <x:c r="T171" s="19" t="str"/>
      <x:c r="U171" s="19" t="str"/>
      <x:c r="V171" s="19" t="str"/>
      <x:c r="W171" s="19"/>
      <x:c r="X171" s="18" t="str">
        <x:v>是</x:v>
      </x:c>
      <x:c r="Y171" s="18" t="str">
        <x:v>否</x:v>
      </x:c>
    </x:row>
    <x:row r="172" ht="75" customHeight="1">
      <x:c r="A172" s="19" t="str">
        <x:v>大杉平バスセンター</x:v>
      </x:c>
      <x:c r="B172" s="19" t="str">
        <x:v>待审核</x:v>
      </x:c>
      <x:c r="C172" s="20" t="n">
        <x:v>0</x:v>
      </x:c>
      <x:c r="D172" s="18" t="str">
        <x:v>否</x:v>
      </x:c>
      <x:c r="E172" s="19"/>
      <x:c r="F172" s="20"/>
      <x:c r="G172" s="19" t="str">
        <x:v>USAGE_DATA_UNAVAILABLE</x:v>
      </x:c>
      <x:c r="H172" s="19"/>
      <x:c r="I172" s="18" t="str">
        <x:v>navitime:02300-1007744</x:v>
      </x:c>
      <x:c r="J172" s="19" t="str">
        <x:v>OFFICIAL_VALIDATION_REQUIRED</x:v>
      </x:c>
      <x:c r="K172" s="19" t="str">
        <x:v>待审核</x:v>
      </x:c>
      <x:c r="L172" s="19" t="str">
        <x:v>待审核</x:v>
      </x:c>
      <x:c r="M172" s="19" t="str">
        <x:v>官方对应与物理去重待审核</x:v>
      </x:c>
      <x:c r="N172" s="19" t="str">
        <x:v>OFFICIAL_IDENTITY_FACILITY
OFFICIAL_COORDINATES
PHYSICAL_FACILITY_DEDUP
CURRENT_OPERATOR_SERVICES
USAGE_OR_FUNCTIONAL_TIER_REVIEW</x:v>
      </x:c>
      <x:c r="O172" s="21"/>
      <x:c r="P172" s="21"/>
      <x:c r="Q172" s="19" t="str">
        <x:v>青森県八戸市大字糠塚字大杉平1-1</x:v>
      </x:c>
      <x:c r="R172" s="18" t="str">
        <x:v>navitime:02300-1007744</x:v>
      </x:c>
      <x:c r="S172" s="19" t="str">
        <x:v>https://www.navitime.co.jp/poi?spot=02300-1007744</x:v>
      </x:c>
      <x:c r="T172" s="19" t="str"/>
      <x:c r="U172" s="19" t="str"/>
      <x:c r="V172" s="19" t="str"/>
      <x:c r="W172" s="19"/>
      <x:c r="X172" s="18" t="str">
        <x:v>是</x:v>
      </x:c>
      <x:c r="Y172" s="18" t="str">
        <x:v>否</x:v>
      </x:c>
    </x:row>
    <x:row r="173" ht="75" customHeight="1">
      <x:c r="A173" s="19" t="str">
        <x:v>寒河江バスターミナル</x:v>
      </x:c>
      <x:c r="B173" s="19" t="str">
        <x:v>待审核</x:v>
      </x:c>
      <x:c r="C173" s="20" t="n">
        <x:v>0</x:v>
      </x:c>
      <x:c r="D173" s="18" t="str">
        <x:v>否</x:v>
      </x:c>
      <x:c r="E173" s="19"/>
      <x:c r="F173" s="20"/>
      <x:c r="G173" s="19" t="str">
        <x:v>USAGE_DATA_UNAVAILABLE</x:v>
      </x:c>
      <x:c r="H173" s="19"/>
      <x:c r="I173" s="18" t="str">
        <x:v>navitime:02300-1007745</x:v>
      </x:c>
      <x:c r="J173" s="19" t="str">
        <x:v>OFFICIAL_VALIDATION_REQUIRED</x:v>
      </x:c>
      <x:c r="K173" s="19" t="str">
        <x:v>待审核</x:v>
      </x:c>
      <x:c r="L173" s="19" t="str">
        <x:v>待审核</x:v>
      </x:c>
      <x:c r="M173" s="19" t="str">
        <x:v>官方对应与物理去重待审核</x:v>
      </x:c>
      <x:c r="N173" s="19" t="str">
        <x:v>OFFICIAL_IDENTITY_FACILITY
OFFICIAL_COORDINATES
PHYSICAL_FACILITY_DEDUP
CURRENT_OPERATOR_SERVICES
USAGE_OR_FUNCTIONAL_TIER_REVIEW</x:v>
      </x:c>
      <x:c r="O173" s="21"/>
      <x:c r="P173" s="21"/>
      <x:c r="Q173" s="19" t="str">
        <x:v>山形県寒河江市本町1-1-18</x:v>
      </x:c>
      <x:c r="R173" s="18" t="str">
        <x:v>navitime:02300-1007745</x:v>
      </x:c>
      <x:c r="S173" s="19" t="str">
        <x:v>https://www.navitime.co.jp/poi?spot=02300-1007745</x:v>
      </x:c>
      <x:c r="T173" s="19" t="str"/>
      <x:c r="U173" s="19" t="str"/>
      <x:c r="V173" s="19" t="str"/>
      <x:c r="W173" s="19"/>
      <x:c r="X173" s="18" t="str">
        <x:v>是</x:v>
      </x:c>
      <x:c r="Y173" s="18" t="str">
        <x:v>否</x:v>
      </x:c>
    </x:row>
    <x:row r="174" ht="75" customHeight="1">
      <x:c r="A174" s="19" t="str">
        <x:v>品川バスターミナル</x:v>
      </x:c>
      <x:c r="B174" s="19" t="str">
        <x:v>待审核</x:v>
      </x:c>
      <x:c r="C174" s="20" t="n">
        <x:v>0</x:v>
      </x:c>
      <x:c r="D174" s="18" t="str">
        <x:v>否</x:v>
      </x:c>
      <x:c r="E174" s="19"/>
      <x:c r="F174" s="20"/>
      <x:c r="G174" s="19" t="str">
        <x:v>USAGE_DATA_UNAVAILABLE</x:v>
      </x:c>
      <x:c r="H174" s="19"/>
      <x:c r="I174" s="18" t="str">
        <x:v>navitime:02300-1007747</x:v>
      </x:c>
      <x:c r="J174" s="19" t="str">
        <x:v>OFFICIAL_VALIDATION_REQUIRED</x:v>
      </x:c>
      <x:c r="K174" s="19" t="str">
        <x:v>待审核</x:v>
      </x:c>
      <x:c r="L174" s="19" t="str">
        <x:v>待审核</x:v>
      </x:c>
      <x:c r="M174" s="19" t="str">
        <x:v>官方对应与物理去重待审核</x:v>
      </x:c>
      <x:c r="N174" s="19" t="str">
        <x:v>OFFICIAL_IDENTITY_FACILITY
OFFICIAL_COORDINATES
PHYSICAL_FACILITY_DEDUP
CURRENT_OPERATOR_SERVICES
USAGE_OR_FUNCTIONAL_TIER_REVIEW</x:v>
      </x:c>
      <x:c r="O174" s="21"/>
      <x:c r="P174" s="21"/>
      <x:c r="Q174" s="19" t="str">
        <x:v>東京都港区高輪3-24</x:v>
      </x:c>
      <x:c r="R174" s="18" t="str">
        <x:v>navitime:02300-1007747</x:v>
      </x:c>
      <x:c r="S174" s="19" t="str">
        <x:v>https://www.navitime.co.jp/poi?spot=02300-1007747</x:v>
      </x:c>
      <x:c r="T174" s="19" t="str"/>
      <x:c r="U174" s="19" t="str"/>
      <x:c r="V174" s="19" t="str"/>
      <x:c r="W174" s="19"/>
      <x:c r="X174" s="18" t="str">
        <x:v>是</x:v>
      </x:c>
      <x:c r="Y174" s="18" t="str">
        <x:v>否</x:v>
      </x:c>
    </x:row>
    <x:row r="175" ht="75" customHeight="1">
      <x:c r="A175" s="19" t="str">
        <x:v>柏駅西口バスターミナル</x:v>
      </x:c>
      <x:c r="B175" s="19" t="str">
        <x:v>待审核</x:v>
      </x:c>
      <x:c r="C175" s="20" t="n">
        <x:v>0</x:v>
      </x:c>
      <x:c r="D175" s="18" t="str">
        <x:v>否</x:v>
      </x:c>
      <x:c r="E175" s="19"/>
      <x:c r="F175" s="20"/>
      <x:c r="G175" s="19" t="str">
        <x:v>USAGE_DATA_UNAVAILABLE</x:v>
      </x:c>
      <x:c r="H175" s="19"/>
      <x:c r="I175" s="18" t="str">
        <x:v>navitime:02300-1007748</x:v>
      </x:c>
      <x:c r="J175" s="19" t="str">
        <x:v>OFFICIAL_VALIDATION_REQUIRED</x:v>
      </x:c>
      <x:c r="K175" s="19" t="str">
        <x:v>待审核</x:v>
      </x:c>
      <x:c r="L175" s="19" t="str">
        <x:v>待审核</x:v>
      </x:c>
      <x:c r="M175" s="19" t="str">
        <x:v>官方对应与物理去重待审核</x:v>
      </x:c>
      <x:c r="N175" s="19" t="str">
        <x:v>OFFICIAL_IDENTITY_FACILITY
OFFICIAL_COORDINATES
PHYSICAL_FACILITY_DEDUP
CURRENT_OPERATOR_SERVICES
USAGE_OR_FUNCTIONAL_TIER_REVIEW</x:v>
      </x:c>
      <x:c r="O175" s="21"/>
      <x:c r="P175" s="21"/>
      <x:c r="Q175" s="19" t="str">
        <x:v>千葉県柏市旭町1-1-21</x:v>
      </x:c>
      <x:c r="R175" s="18" t="str">
        <x:v>navitime:02300-1007748</x:v>
      </x:c>
      <x:c r="S175" s="19" t="str">
        <x:v>https://www.navitime.co.jp/poi?spot=02300-1007748</x:v>
      </x:c>
      <x:c r="T175" s="19" t="str"/>
      <x:c r="U175" s="19" t="str"/>
      <x:c r="V175" s="19" t="str"/>
      <x:c r="W175" s="19"/>
      <x:c r="X175" s="18" t="str">
        <x:v>是</x:v>
      </x:c>
      <x:c r="Y175" s="18" t="str">
        <x:v>否</x:v>
      </x:c>
    </x:row>
    <x:row r="176" ht="75" customHeight="1">
      <x:c r="A176" s="19" t="str">
        <x:v>君津バスターミナル</x:v>
      </x:c>
      <x:c r="B176" s="19" t="str">
        <x:v>待审核</x:v>
      </x:c>
      <x:c r="C176" s="20" t="n">
        <x:v>0</x:v>
      </x:c>
      <x:c r="D176" s="18" t="str">
        <x:v>否</x:v>
      </x:c>
      <x:c r="E176" s="19"/>
      <x:c r="F176" s="20"/>
      <x:c r="G176" s="19" t="str">
        <x:v>USAGE_DATA_UNAVAILABLE</x:v>
      </x:c>
      <x:c r="H176" s="19"/>
      <x:c r="I176" s="18" t="str">
        <x:v>navitime:02300-1007749</x:v>
      </x:c>
      <x:c r="J176" s="19" t="str">
        <x:v>OFFICIAL_VALIDATION_REQUIRED</x:v>
      </x:c>
      <x:c r="K176" s="19" t="str">
        <x:v>待审核</x:v>
      </x:c>
      <x:c r="L176" s="19" t="str">
        <x:v>待审核</x:v>
      </x:c>
      <x:c r="M176" s="19" t="str">
        <x:v>官方对应与物理去重待审核</x:v>
      </x:c>
      <x:c r="N176" s="19" t="str">
        <x:v>OFFICIAL_IDENTITY_FACILITY
OFFICIAL_COORDINATES
PHYSICAL_FACILITY_DEDUP
CURRENT_OPERATOR_SERVICES
USAGE_OR_FUNCTIONAL_TIER_REVIEW</x:v>
      </x:c>
      <x:c r="O176" s="21"/>
      <x:c r="P176" s="21"/>
      <x:c r="Q176" s="19" t="str">
        <x:v>千葉県君津市三直</x:v>
      </x:c>
      <x:c r="R176" s="18" t="str">
        <x:v>navitime:02300-1007749</x:v>
      </x:c>
      <x:c r="S176" s="19" t="str">
        <x:v>https://www.navitime.co.jp/poi?spot=02300-1007749</x:v>
      </x:c>
      <x:c r="T176" s="19" t="str"/>
      <x:c r="U176" s="19" t="str"/>
      <x:c r="V176" s="19" t="str"/>
      <x:c r="W176" s="19"/>
      <x:c r="X176" s="18" t="str">
        <x:v>是</x:v>
      </x:c>
      <x:c r="Y176" s="18" t="str">
        <x:v>否</x:v>
      </x:c>
    </x:row>
    <x:row r="177" ht="75" customHeight="1">
      <x:c r="A177" s="19" t="str">
        <x:v>新都市バスターミナル</x:v>
      </x:c>
      <x:c r="B177" s="19" t="str">
        <x:v>待审核</x:v>
      </x:c>
      <x:c r="C177" s="20" t="n">
        <x:v>0</x:v>
      </x:c>
      <x:c r="D177" s="18" t="str">
        <x:v>否</x:v>
      </x:c>
      <x:c r="E177" s="19"/>
      <x:c r="F177" s="20"/>
      <x:c r="G177" s="19" t="str">
        <x:v>USAGE_DATA_UNAVAILABLE</x:v>
      </x:c>
      <x:c r="H177" s="19"/>
      <x:c r="I177" s="18" t="str">
        <x:v>navitime:02300-1007781</x:v>
      </x:c>
      <x:c r="J177" s="19" t="str">
        <x:v>OFFICIAL_VALIDATION_REQUIRED</x:v>
      </x:c>
      <x:c r="K177" s="19" t="str">
        <x:v>待审核</x:v>
      </x:c>
      <x:c r="L177" s="19" t="str">
        <x:v>待审核</x:v>
      </x:c>
      <x:c r="M177" s="19" t="str">
        <x:v>官方对应与物理去重待审核</x:v>
      </x:c>
      <x:c r="N177" s="19" t="str">
        <x:v>OFFICIAL_IDENTITY_FACILITY
OFFICIAL_COORDINATES
PHYSICAL_FACILITY_DEDUP
CURRENT_OPERATOR_SERVICES
USAGE_OR_FUNCTIONAL_TIER_REVIEW</x:v>
      </x:c>
      <x:c r="O177" s="21"/>
      <x:c r="P177" s="21"/>
      <x:c r="Q177" s="19" t="str">
        <x:v>栃木県佐野市越名町</x:v>
      </x:c>
      <x:c r="R177" s="18" t="str">
        <x:v>navitime:02300-1007781</x:v>
      </x:c>
      <x:c r="S177" s="19" t="str">
        <x:v>https://www.navitime.co.jp/poi?spot=02300-1007781</x:v>
      </x:c>
      <x:c r="T177" s="19" t="str"/>
      <x:c r="U177" s="19" t="str"/>
      <x:c r="V177" s="19" t="str"/>
      <x:c r="W177" s="19"/>
      <x:c r="X177" s="18" t="str">
        <x:v>是</x:v>
      </x:c>
      <x:c r="Y177" s="18" t="str">
        <x:v>否</x:v>
      </x:c>
    </x:row>
    <x:row r="178" ht="75" customHeight="1">
      <x:c r="A178" s="19" t="str">
        <x:v>伊那バスターミナル</x:v>
      </x:c>
      <x:c r="B178" s="19" t="str">
        <x:v>待审核</x:v>
      </x:c>
      <x:c r="C178" s="20" t="n">
        <x:v>0</x:v>
      </x:c>
      <x:c r="D178" s="18" t="str">
        <x:v>否</x:v>
      </x:c>
      <x:c r="E178" s="19"/>
      <x:c r="F178" s="20"/>
      <x:c r="G178" s="19" t="str">
        <x:v>USAGE_DATA_UNAVAILABLE</x:v>
      </x:c>
      <x:c r="H178" s="19"/>
      <x:c r="I178" s="18" t="str">
        <x:v>navitime:02300-1007782</x:v>
      </x:c>
      <x:c r="J178" s="19" t="str">
        <x:v>OFFICIAL_VALIDATION_REQUIRED</x:v>
      </x:c>
      <x:c r="K178" s="19" t="str">
        <x:v>待审核</x:v>
      </x:c>
      <x:c r="L178" s="19" t="str">
        <x:v>待审核</x:v>
      </x:c>
      <x:c r="M178" s="19" t="str">
        <x:v>官方对应与物理去重待审核</x:v>
      </x:c>
      <x:c r="N178" s="19" t="str">
        <x:v>OFFICIAL_IDENTITY_FACILITY
OFFICIAL_COORDINATES
PHYSICAL_FACILITY_DEDUP
CURRENT_OPERATOR_SERVICES
USAGE_OR_FUNCTIONAL_TIER_REVIEW</x:v>
      </x:c>
      <x:c r="O178" s="21"/>
      <x:c r="P178" s="21"/>
      <x:c r="Q178" s="19" t="str">
        <x:v>長野県伊那市西町4870</x:v>
      </x:c>
      <x:c r="R178" s="18" t="str">
        <x:v>navitime:02300-1007782</x:v>
      </x:c>
      <x:c r="S178" s="19" t="str">
        <x:v>https://www.navitime.co.jp/poi?spot=02300-1007782</x:v>
      </x:c>
      <x:c r="T178" s="19" t="str"/>
      <x:c r="U178" s="19" t="str"/>
      <x:c r="V178" s="19" t="str"/>
      <x:c r="W178" s="19"/>
      <x:c r="X178" s="18" t="str">
        <x:v>是</x:v>
      </x:c>
      <x:c r="Y178" s="18" t="str">
        <x:v>否</x:v>
      </x:c>
    </x:row>
    <x:row r="179" ht="75" customHeight="1">
      <x:c r="A179" s="19" t="str">
        <x:v>長野バスターミナル</x:v>
      </x:c>
      <x:c r="B179" s="19" t="str">
        <x:v>待审核</x:v>
      </x:c>
      <x:c r="C179" s="20" t="n">
        <x:v>0</x:v>
      </x:c>
      <x:c r="D179" s="18" t="str">
        <x:v>否</x:v>
      </x:c>
      <x:c r="E179" s="19"/>
      <x:c r="F179" s="20"/>
      <x:c r="G179" s="19" t="str">
        <x:v>USAGE_DATA_UNAVAILABLE</x:v>
      </x:c>
      <x:c r="H179" s="19"/>
      <x:c r="I179" s="18" t="str">
        <x:v>navitime:02300-1007783</x:v>
      </x:c>
      <x:c r="J179" s="19" t="str">
        <x:v>OFFICIAL_VALIDATION_REQUIRED</x:v>
      </x:c>
      <x:c r="K179" s="19" t="str">
        <x:v>待审核</x:v>
      </x:c>
      <x:c r="L179" s="19" t="str">
        <x:v>待审核</x:v>
      </x:c>
      <x:c r="M179" s="19" t="str">
        <x:v>官方对应与物理去重待审核</x:v>
      </x:c>
      <x:c r="N179" s="19" t="str">
        <x:v>OFFICIAL_IDENTITY_FACILITY
OFFICIAL_COORDINATES
PHYSICAL_FACILITY_DEDUP
CURRENT_OPERATOR_SERVICES
USAGE_OR_FUNCTIONAL_TIER_REVIEW</x:v>
      </x:c>
      <x:c r="O179" s="21"/>
      <x:c r="P179" s="21"/>
      <x:c r="Q179" s="19" t="str">
        <x:v>長野県長野市中御所</x:v>
      </x:c>
      <x:c r="R179" s="18" t="str">
        <x:v>navitime:02300-1007783</x:v>
      </x:c>
      <x:c r="S179" s="19" t="str">
        <x:v>https://www.navitime.co.jp/poi?spot=02300-1007783</x:v>
      </x:c>
      <x:c r="T179" s="19" t="str"/>
      <x:c r="U179" s="19" t="str"/>
      <x:c r="V179" s="19" t="str"/>
      <x:c r="W179" s="19"/>
      <x:c r="X179" s="18" t="str">
        <x:v>是</x:v>
      </x:c>
      <x:c r="Y179" s="18" t="str">
        <x:v>否</x:v>
      </x:c>
    </x:row>
    <x:row r="180" ht="75" customHeight="1">
      <x:c r="A180" s="19" t="str">
        <x:v>松本バスターミナル</x:v>
      </x:c>
      <x:c r="B180" s="19" t="str">
        <x:v>待审核</x:v>
      </x:c>
      <x:c r="C180" s="20" t="n">
        <x:v>0</x:v>
      </x:c>
      <x:c r="D180" s="18" t="str">
        <x:v>否</x:v>
      </x:c>
      <x:c r="E180" s="19"/>
      <x:c r="F180" s="20"/>
      <x:c r="G180" s="19" t="str">
        <x:v>USAGE_DATA_UNAVAILABLE</x:v>
      </x:c>
      <x:c r="H180" s="19"/>
      <x:c r="I180" s="18" t="str">
        <x:v>navitime:02300-1007785</x:v>
      </x:c>
      <x:c r="J180" s="19" t="str">
        <x:v>OFFICIAL_VALIDATION_REQUIRED</x:v>
      </x:c>
      <x:c r="K180" s="19" t="str">
        <x:v>待审核</x:v>
      </x:c>
      <x:c r="L180" s="19" t="str">
        <x:v>待审核</x:v>
      </x:c>
      <x:c r="M180" s="19" t="str">
        <x:v>官方对应与物理去重待审核</x:v>
      </x:c>
      <x:c r="N180" s="19" t="str">
        <x:v>OFFICIAL_IDENTITY_FACILITY
OFFICIAL_COORDINATES
PHYSICAL_FACILITY_DEDUP
CURRENT_OPERATOR_SERVICES
USAGE_OR_FUNCTIONAL_TIER_REVIEW</x:v>
      </x:c>
      <x:c r="O180" s="21"/>
      <x:c r="P180" s="21"/>
      <x:c r="Q180" s="19" t="str">
        <x:v>長野県松本市深志1</x:v>
      </x:c>
      <x:c r="R180" s="18" t="str">
        <x:v>navitime:02300-1007785</x:v>
      </x:c>
      <x:c r="S180" s="19" t="str">
        <x:v>https://www.navitime.co.jp/poi?spot=02300-1007785</x:v>
      </x:c>
      <x:c r="T180" s="19" t="str"/>
      <x:c r="U180" s="19" t="str"/>
      <x:c r="V180" s="19" t="str"/>
      <x:c r="W180" s="19"/>
      <x:c r="X180" s="18" t="str">
        <x:v>是</x:v>
      </x:c>
      <x:c r="Y180" s="18" t="str">
        <x:v>否</x:v>
      </x:c>
    </x:row>
    <x:row r="181" ht="75" customHeight="1">
      <x:c r="A181" s="19" t="str">
        <x:v>三宮バスターミナル</x:v>
      </x:c>
      <x:c r="B181" s="19" t="str">
        <x:v>待审核</x:v>
      </x:c>
      <x:c r="C181" s="20" t="n">
        <x:v>0</x:v>
      </x:c>
      <x:c r="D181" s="18" t="str">
        <x:v>否</x:v>
      </x:c>
      <x:c r="E181" s="19"/>
      <x:c r="F181" s="20"/>
      <x:c r="G181" s="19" t="str">
        <x:v>USAGE_DATA_UNAVAILABLE</x:v>
      </x:c>
      <x:c r="H181" s="19"/>
      <x:c r="I181" s="18" t="str">
        <x:v>navitime:02300-1007786</x:v>
      </x:c>
      <x:c r="J181" s="19" t="str">
        <x:v>OFFICIAL_VALIDATION_REQUIRED</x:v>
      </x:c>
      <x:c r="K181" s="19" t="str">
        <x:v>待审核</x:v>
      </x:c>
      <x:c r="L181" s="19" t="str">
        <x:v>待审核</x:v>
      </x:c>
      <x:c r="M181" s="19" t="str">
        <x:v>官方对应与物理去重待审核</x:v>
      </x:c>
      <x:c r="N181" s="19" t="str">
        <x:v>OFFICIAL_IDENTITY_FACILITY
OFFICIAL_COORDINATES
PHYSICAL_FACILITY_DEDUP
CURRENT_OPERATOR_SERVICES
USAGE_OR_FUNCTIONAL_TIER_REVIEW</x:v>
      </x:c>
      <x:c r="O181" s="21"/>
      <x:c r="P181" s="21"/>
      <x:c r="Q181" s="19" t="str">
        <x:v>兵庫県神戸市中央区雲井通7丁目</x:v>
      </x:c>
      <x:c r="R181" s="18" t="str">
        <x:v>navitime:02300-1007786</x:v>
      </x:c>
      <x:c r="S181" s="19" t="str">
        <x:v>https://www.navitime.co.jp/poi?spot=02300-1007786</x:v>
      </x:c>
      <x:c r="T181" s="19" t="str"/>
      <x:c r="U181" s="19" t="str"/>
      <x:c r="V181" s="19" t="str"/>
      <x:c r="W181" s="19"/>
      <x:c r="X181" s="18" t="str">
        <x:v>是</x:v>
      </x:c>
      <x:c r="Y181" s="18" t="str">
        <x:v>否</x:v>
      </x:c>
    </x:row>
    <x:row r="182" ht="75" customHeight="1">
      <x:c r="A182" s="19" t="str">
        <x:v>広島バスセンター</x:v>
      </x:c>
      <x:c r="B182" s="19" t="str">
        <x:v>待审核</x:v>
      </x:c>
      <x:c r="C182" s="20" t="n">
        <x:v>2</x:v>
      </x:c>
      <x:c r="D182" s="18" t="str">
        <x:v>否</x:v>
      </x:c>
      <x:c r="E182" s="19"/>
      <x:c r="F182" s="20"/>
      <x:c r="G182" s="19" t="str">
        <x:v>USAGE_DATA_UNAVAILABLE</x:v>
      </x:c>
      <x:c r="H182" s="19"/>
      <x:c r="I182" s="18" t="str">
        <x:v>navitime:02300-1007787</x:v>
      </x:c>
      <x:c r="J182" s="19" t="str">
        <x:v>部分官方证据</x:v>
      </x:c>
      <x:c r="K182" s="19" t="str">
        <x:v>待审核</x:v>
      </x:c>
      <x:c r="L182" s="19" t="str">
        <x:v>部分官方证据</x:v>
      </x:c>
      <x:c r="M182" s="19" t="str">
        <x:v>官方对应与物理去重待审核</x:v>
      </x:c>
      <x:c r="N182" s="19" t="str">
        <x:v>OFFICIAL_COORDINATES
PHYSICAL_FACILITY_DEDUP
CURRENT_OPERATOR_SERVICES
USAGE_OR_FUNCTIONAL_TIER_REVIEW</x:v>
      </x:c>
      <x:c r="O182" s="21"/>
      <x:c r="P182" s="21"/>
      <x:c r="Q182" s="19" t="str">
        <x:v>広島県広島市中区基町6-27</x:v>
      </x:c>
      <x:c r="R182" s="18" t="str">
        <x:v>navitime:02300-1007787</x:v>
      </x:c>
      <x:c r="S182" s="19" t="str">
        <x:v>https://www.navitime.co.jp/poi?spot=02300-1007787</x:v>
      </x:c>
      <x:c r="T182" s="19" t="str">
        <x:v>広島バスセンター</x:v>
      </x:c>
      <x:c r="U182" s="19" t="str">
        <x:v>広島市中区基町6-27</x:v>
      </x:c>
      <x:c r="V182" s="19" t="str">
        <x:v>REGISTERED_FACILITY_OPERATOR_ADDRESS_BERTHS
https://www.mlit.go.jp/jidosha/content/001999724.pdf
页 1，条 19
PRIOR_OFFICIAL_FACILITY_REVIEW
https://www.h-buscenter.com/</x:v>
      </x:c>
      <x:c r="W182" s="19"/>
      <x:c r="X182" s="18" t="str">
        <x:v>是</x:v>
      </x:c>
      <x:c r="Y182" s="18" t="str">
        <x:v>否</x:v>
      </x:c>
    </x:row>
    <x:row r="183" ht="75" customHeight="1">
      <x:c r="A183" s="19" t="str">
        <x:v>久留米バスセンターターミナル</x:v>
      </x:c>
      <x:c r="B183" s="19" t="str">
        <x:v>待审核</x:v>
      </x:c>
      <x:c r="C183" s="20" t="n">
        <x:v>0</x:v>
      </x:c>
      <x:c r="D183" s="18" t="str">
        <x:v>否</x:v>
      </x:c>
      <x:c r="E183" s="19"/>
      <x:c r="F183" s="20"/>
      <x:c r="G183" s="19" t="str">
        <x:v>USAGE_DATA_UNAVAILABLE</x:v>
      </x:c>
      <x:c r="H183" s="19"/>
      <x:c r="I183" s="18" t="str">
        <x:v>navitime:02300-1007788</x:v>
      </x:c>
      <x:c r="J183" s="19" t="str">
        <x:v>OFFICIAL_VALIDATION_REQUIRED</x:v>
      </x:c>
      <x:c r="K183" s="19" t="str">
        <x:v>待审核</x:v>
      </x:c>
      <x:c r="L183" s="19" t="str">
        <x:v>待审核</x:v>
      </x:c>
      <x:c r="M183" s="19" t="str">
        <x:v>官方对应与物理去重待审核</x:v>
      </x:c>
      <x:c r="N183" s="19" t="str">
        <x:v>OFFICIAL_IDENTITY_FACILITY
OFFICIAL_COORDINATES
PHYSICAL_FACILITY_DEDUP
CURRENT_OPERATOR_SERVICES
USAGE_OR_FUNCTIONAL_TIER_REVIEW</x:v>
      </x:c>
      <x:c r="O183" s="21"/>
      <x:c r="P183" s="21"/>
      <x:c r="Q183" s="19" t="str">
        <x:v>福岡県久留米市東町</x:v>
      </x:c>
      <x:c r="R183" s="18" t="str">
        <x:v>navitime:02300-1007788</x:v>
      </x:c>
      <x:c r="S183" s="19" t="str">
        <x:v>https://www.navitime.co.jp/poi?spot=02300-1007788</x:v>
      </x:c>
      <x:c r="T183" s="19" t="str"/>
      <x:c r="U183" s="19" t="str"/>
      <x:c r="V183" s="19" t="str"/>
      <x:c r="W183" s="19"/>
      <x:c r="X183" s="18" t="str">
        <x:v>是</x:v>
      </x:c>
      <x:c r="Y183" s="18" t="str">
        <x:v>否</x:v>
      </x:c>
    </x:row>
    <x:row r="184" ht="75" customHeight="1">
      <x:c r="A184" s="19" t="str">
        <x:v>日田バスセンター</x:v>
      </x:c>
      <x:c r="B184" s="19" t="str">
        <x:v>待审核</x:v>
      </x:c>
      <x:c r="C184" s="20" t="n">
        <x:v>0</x:v>
      </x:c>
      <x:c r="D184" s="18" t="str">
        <x:v>否</x:v>
      </x:c>
      <x:c r="E184" s="19"/>
      <x:c r="F184" s="20"/>
      <x:c r="G184" s="19" t="str">
        <x:v>USAGE_DATA_UNAVAILABLE</x:v>
      </x:c>
      <x:c r="H184" s="19"/>
      <x:c r="I184" s="18" t="str">
        <x:v>navitime:02300-1007789</x:v>
      </x:c>
      <x:c r="J184" s="19" t="str">
        <x:v>OFFICIAL_VALIDATION_REQUIRED</x:v>
      </x:c>
      <x:c r="K184" s="19" t="str">
        <x:v>待审核</x:v>
      </x:c>
      <x:c r="L184" s="19" t="str">
        <x:v>待审核</x:v>
      </x:c>
      <x:c r="M184" s="19" t="str">
        <x:v>官方对应与物理去重待审核</x:v>
      </x:c>
      <x:c r="N184" s="19" t="str">
        <x:v>OFFICIAL_IDENTITY_FACILITY
OFFICIAL_COORDINATES
PHYSICAL_FACILITY_DEDUP
CURRENT_OPERATOR_SERVICES
USAGE_OR_FUNCTIONAL_TIER_REVIEW</x:v>
      </x:c>
      <x:c r="O184" s="21"/>
      <x:c r="P184" s="21"/>
      <x:c r="Q184" s="19" t="str">
        <x:v>大分県日田市元町18-1</x:v>
      </x:c>
      <x:c r="R184" s="18" t="str">
        <x:v>navitime:02300-1007789</x:v>
      </x:c>
      <x:c r="S184" s="19" t="str">
        <x:v>https://www.navitime.co.jp/poi?spot=02300-1007789</x:v>
      </x:c>
      <x:c r="T184" s="19" t="str"/>
      <x:c r="U184" s="19" t="str"/>
      <x:c r="V184" s="19" t="str"/>
      <x:c r="W184" s="19"/>
      <x:c r="X184" s="18" t="str">
        <x:v>是</x:v>
      </x:c>
      <x:c r="Y184" s="18" t="str">
        <x:v>否</x:v>
      </x:c>
    </x:row>
    <x:row r="185" ht="75" customHeight="1">
      <x:c r="A185" s="19" t="str">
        <x:v>横浜駅東口バスターミナル</x:v>
      </x:c>
      <x:c r="B185" s="19" t="str">
        <x:v>待审核</x:v>
      </x:c>
      <x:c r="C185" s="20" t="n">
        <x:v>0</x:v>
      </x:c>
      <x:c r="D185" s="18" t="str">
        <x:v>否</x:v>
      </x:c>
      <x:c r="E185" s="19"/>
      <x:c r="F185" s="20"/>
      <x:c r="G185" s="19" t="str">
        <x:v>USAGE_DATA_UNAVAILABLE</x:v>
      </x:c>
      <x:c r="H185" s="19"/>
      <x:c r="I185" s="18" t="str">
        <x:v>navitime:02300-1007998</x:v>
      </x:c>
      <x:c r="J185" s="19" t="str">
        <x:v>OFFICIAL_VALIDATION_REQUIRED</x:v>
      </x:c>
      <x:c r="K185" s="19" t="str">
        <x:v>待审核</x:v>
      </x:c>
      <x:c r="L185" s="19" t="str">
        <x:v>待审核</x:v>
      </x:c>
      <x:c r="M185" s="19" t="str">
        <x:v>官方对应与物理去重待审核</x:v>
      </x:c>
      <x:c r="N185" s="19" t="str">
        <x:v>OFFICIAL_IDENTITY_FACILITY
OFFICIAL_COORDINATES
PHYSICAL_FACILITY_DEDUP
CURRENT_OPERATOR_SERVICES
USAGE_OR_FUNCTIONAL_TIER_REVIEW</x:v>
      </x:c>
      <x:c r="O185" s="21"/>
      <x:c r="P185" s="21"/>
      <x:c r="Q185" s="19" t="str">
        <x:v>神奈川県横浜市西区高島2-18-1 そごう横浜店1F</x:v>
      </x:c>
      <x:c r="R185" s="18" t="str">
        <x:v>navitime:02300-1007998</x:v>
      </x:c>
      <x:c r="S185" s="19" t="str">
        <x:v>https://www.navitime.co.jp/poi?spot=02300-1007998</x:v>
      </x:c>
      <x:c r="T185" s="19" t="str"/>
      <x:c r="U185" s="19" t="str"/>
      <x:c r="V185" s="19" t="str"/>
      <x:c r="W185" s="19"/>
      <x:c r="X185" s="18" t="str">
        <x:v>是</x:v>
      </x:c>
      <x:c r="Y185" s="18" t="str">
        <x:v>否</x:v>
      </x:c>
    </x:row>
    <x:row r="186" ht="75" customHeight="1">
      <x:c r="A186" s="19" t="str">
        <x:v>横浜駅西口バスターミナル</x:v>
      </x:c>
      <x:c r="B186" s="19" t="str">
        <x:v>待审核</x:v>
      </x:c>
      <x:c r="C186" s="20" t="n">
        <x:v>0</x:v>
      </x:c>
      <x:c r="D186" s="18" t="str">
        <x:v>否</x:v>
      </x:c>
      <x:c r="E186" s="19"/>
      <x:c r="F186" s="20"/>
      <x:c r="G186" s="19" t="str">
        <x:v>USAGE_DATA_UNAVAILABLE</x:v>
      </x:c>
      <x:c r="H186" s="19"/>
      <x:c r="I186" s="18" t="str">
        <x:v>navitime:02300-1007999</x:v>
      </x:c>
      <x:c r="J186" s="19" t="str">
        <x:v>OFFICIAL_VALIDATION_REQUIRED</x:v>
      </x:c>
      <x:c r="K186" s="19" t="str">
        <x:v>待审核</x:v>
      </x:c>
      <x:c r="L186" s="19" t="str">
        <x:v>待审核</x:v>
      </x:c>
      <x:c r="M186" s="19" t="str">
        <x:v>官方对应与物理去重待审核</x:v>
      </x:c>
      <x:c r="N186" s="19" t="str">
        <x:v>OFFICIAL_IDENTITY_FACILITY
OFFICIAL_COORDINATES
PHYSICAL_FACILITY_DEDUP
CURRENT_OPERATOR_SERVICES
USAGE_OR_FUNCTIONAL_TIER_REVIEW</x:v>
      </x:c>
      <x:c r="O186" s="21"/>
      <x:c r="P186" s="21"/>
      <x:c r="Q186" s="19" t="str">
        <x:v>神奈川県横浜市西区南幸1丁目</x:v>
      </x:c>
      <x:c r="R186" s="18" t="str">
        <x:v>navitime:02300-1007999</x:v>
      </x:c>
      <x:c r="S186" s="19" t="str">
        <x:v>https://www.navitime.co.jp/poi?spot=02300-1007999</x:v>
      </x:c>
      <x:c r="T186" s="19" t="str"/>
      <x:c r="U186" s="19" t="str"/>
      <x:c r="V186" s="19" t="str"/>
      <x:c r="W186" s="19"/>
      <x:c r="X186" s="18" t="str">
        <x:v>是</x:v>
      </x:c>
      <x:c r="Y186" s="18" t="str">
        <x:v>否</x:v>
      </x:c>
    </x:row>
    <x:row r="187" ht="75" customHeight="1">
      <x:c r="A187" s="19" t="str">
        <x:v>横浜駅西口第2バス乗り場</x:v>
      </x:c>
      <x:c r="B187" s="19" t="str">
        <x:v>待审核</x:v>
      </x:c>
      <x:c r="C187" s="20" t="n">
        <x:v>0</x:v>
      </x:c>
      <x:c r="D187" s="18" t="str">
        <x:v>否</x:v>
      </x:c>
      <x:c r="E187" s="19"/>
      <x:c r="F187" s="20"/>
      <x:c r="G187" s="19" t="str">
        <x:v>USAGE_DATA_UNAVAILABLE</x:v>
      </x:c>
      <x:c r="H187" s="19"/>
      <x:c r="I187" s="18" t="str">
        <x:v>navitime:02300-1008002</x:v>
      </x:c>
      <x:c r="J187" s="19" t="str">
        <x:v>OFFICIAL_VALIDATION_REQUIRED</x:v>
      </x:c>
      <x:c r="K187" s="19" t="str">
        <x:v>待审核</x:v>
      </x:c>
      <x:c r="L187" s="19" t="str">
        <x:v>待审核</x:v>
      </x:c>
      <x:c r="M187" s="19" t="str">
        <x:v>官方对应与物理去重待审核</x:v>
      </x:c>
      <x:c r="N187" s="19" t="str">
        <x:v>OFFICIAL_IDENTITY_FACILITY
OFFICIAL_COORDINATES
PHYSICAL_FACILITY_DEDUP
CURRENT_OPERATOR_SERVICES
USAGE_OR_FUNCTIONAL_TIER_REVIEW</x:v>
      </x:c>
      <x:c r="O187" s="21"/>
      <x:c r="P187" s="21"/>
      <x:c r="Q187" s="19" t="str">
        <x:v>神奈川県横浜市西区北幸1</x:v>
      </x:c>
      <x:c r="R187" s="18" t="str">
        <x:v>navitime:02300-1008002</x:v>
      </x:c>
      <x:c r="S187" s="19" t="str">
        <x:v>https://www.navitime.co.jp/poi?spot=02300-1008002</x:v>
      </x:c>
      <x:c r="T187" s="19" t="str"/>
      <x:c r="U187" s="19" t="str"/>
      <x:c r="V187" s="19" t="str"/>
      <x:c r="W187" s="19"/>
      <x:c r="X187" s="18" t="str">
        <x:v>是</x:v>
      </x:c>
      <x:c r="Y187" s="18" t="str">
        <x:v>否</x:v>
      </x:c>
    </x:row>
    <x:row r="188" ht="75" customHeight="1">
      <x:c r="A188" s="19" t="str">
        <x:v>渋谷駅東口バスターミナル</x:v>
      </x:c>
      <x:c r="B188" s="19" t="str">
        <x:v>待审核</x:v>
      </x:c>
      <x:c r="C188" s="20" t="n">
        <x:v>0</x:v>
      </x:c>
      <x:c r="D188" s="18" t="str">
        <x:v>否</x:v>
      </x:c>
      <x:c r="E188" s="19"/>
      <x:c r="F188" s="20"/>
      <x:c r="G188" s="19" t="str">
        <x:v>USAGE_DATA_UNAVAILABLE</x:v>
      </x:c>
      <x:c r="H188" s="19"/>
      <x:c r="I188" s="18" t="str">
        <x:v>navitime:02300-1008043</x:v>
      </x:c>
      <x:c r="J188" s="19" t="str">
        <x:v>OFFICIAL_VALIDATION_REQUIRED</x:v>
      </x:c>
      <x:c r="K188" s="19" t="str">
        <x:v>待审核</x:v>
      </x:c>
      <x:c r="L188" s="19" t="str">
        <x:v>待审核</x:v>
      </x:c>
      <x:c r="M188" s="19" t="str">
        <x:v>官方对应与物理去重待审核</x:v>
      </x:c>
      <x:c r="N188" s="19" t="str">
        <x:v>OFFICIAL_IDENTITY_FACILITY
OFFICIAL_COORDINATES
PHYSICAL_FACILITY_DEDUP
CURRENT_OPERATOR_SERVICES
USAGE_OR_FUNCTIONAL_TIER_REVIEW</x:v>
      </x:c>
      <x:c r="O188" s="21"/>
      <x:c r="P188" s="21"/>
      <x:c r="Q188" s="19" t="str">
        <x:v>東京都渋谷区渋谷2</x:v>
      </x:c>
      <x:c r="R188" s="18" t="str">
        <x:v>navitime:02300-1008043</x:v>
      </x:c>
      <x:c r="S188" s="19" t="str">
        <x:v>https://www.navitime.co.jp/poi?spot=02300-1008043</x:v>
      </x:c>
      <x:c r="T188" s="19" t="str"/>
      <x:c r="U188" s="19" t="str"/>
      <x:c r="V188" s="19" t="str"/>
      <x:c r="W188" s="19"/>
      <x:c r="X188" s="18" t="str">
        <x:v>是</x:v>
      </x:c>
      <x:c r="Y188" s="18" t="str">
        <x:v>否</x:v>
      </x:c>
    </x:row>
    <x:row r="189" ht="75" customHeight="1">
      <x:c r="A189" s="19" t="str">
        <x:v>新橋駅バスターミナル</x:v>
      </x:c>
      <x:c r="B189" s="19" t="str">
        <x:v>待审核</x:v>
      </x:c>
      <x:c r="C189" s="20" t="n">
        <x:v>0</x:v>
      </x:c>
      <x:c r="D189" s="18" t="str">
        <x:v>否</x:v>
      </x:c>
      <x:c r="E189" s="19"/>
      <x:c r="F189" s="20"/>
      <x:c r="G189" s="19" t="str">
        <x:v>USAGE_DATA_UNAVAILABLE</x:v>
      </x:c>
      <x:c r="H189" s="19"/>
      <x:c r="I189" s="18" t="str">
        <x:v>navitime:02300-1008048</x:v>
      </x:c>
      <x:c r="J189" s="19" t="str">
        <x:v>OFFICIAL_VALIDATION_REQUIRED</x:v>
      </x:c>
      <x:c r="K189" s="19" t="str">
        <x:v>待审核</x:v>
      </x:c>
      <x:c r="L189" s="19" t="str">
        <x:v>待审核</x:v>
      </x:c>
      <x:c r="M189" s="19" t="str">
        <x:v>官方对应与物理去重待审核</x:v>
      </x:c>
      <x:c r="N189" s="19" t="str">
        <x:v>OFFICIAL_IDENTITY_FACILITY
OFFICIAL_COORDINATES
PHYSICAL_FACILITY_DEDUP
CURRENT_OPERATOR_SERVICES
USAGE_OR_FUNCTIONAL_TIER_REVIEW</x:v>
      </x:c>
      <x:c r="O189" s="21"/>
      <x:c r="P189" s="21"/>
      <x:c r="Q189" s="19" t="str">
        <x:v>東京都港区新橋2丁目</x:v>
      </x:c>
      <x:c r="R189" s="18" t="str">
        <x:v>navitime:02300-1008048</x:v>
      </x:c>
      <x:c r="S189" s="19" t="str">
        <x:v>https://www.navitime.co.jp/poi?spot=02300-1008048</x:v>
      </x:c>
      <x:c r="T189" s="19" t="str"/>
      <x:c r="U189" s="19" t="str"/>
      <x:c r="V189" s="19" t="str"/>
      <x:c r="W189" s="19"/>
      <x:c r="X189" s="18" t="str">
        <x:v>是</x:v>
      </x:c>
      <x:c r="Y189" s="18" t="str">
        <x:v>否</x:v>
      </x:c>
    </x:row>
    <x:row r="190" ht="75" customHeight="1">
      <x:c r="A190" s="19" t="str">
        <x:v>東京駅丸の内南口バスターミナル</x:v>
      </x:c>
      <x:c r="B190" s="19" t="str">
        <x:v>待审核</x:v>
      </x:c>
      <x:c r="C190" s="20" t="n">
        <x:v>0</x:v>
      </x:c>
      <x:c r="D190" s="18" t="str">
        <x:v>否</x:v>
      </x:c>
      <x:c r="E190" s="19"/>
      <x:c r="F190" s="20"/>
      <x:c r="G190" s="19" t="str">
        <x:v>USAGE_DATA_UNAVAILABLE</x:v>
      </x:c>
      <x:c r="H190" s="19"/>
      <x:c r="I190" s="18" t="str">
        <x:v>navitime:02300-1008110</x:v>
      </x:c>
      <x:c r="J190" s="19" t="str">
        <x:v>OFFICIAL_VALIDATION_REQUIRED</x:v>
      </x:c>
      <x:c r="K190" s="19" t="str">
        <x:v>待审核</x:v>
      </x:c>
      <x:c r="L190" s="19" t="str">
        <x:v>待审核</x:v>
      </x:c>
      <x:c r="M190" s="19" t="str">
        <x:v>官方对应与物理去重待审核</x:v>
      </x:c>
      <x:c r="N190" s="19" t="str">
        <x:v>OFFICIAL_IDENTITY_FACILITY
OFFICIAL_COORDINATES
PHYSICAL_FACILITY_DEDUP
CURRENT_OPERATOR_SERVICES
USAGE_OR_FUNCTIONAL_TIER_REVIEW</x:v>
      </x:c>
      <x:c r="O190" s="21"/>
      <x:c r="P190" s="21"/>
      <x:c r="Q190" s="19" t="str">
        <x:v>東京都千代田区丸の内1-9-1</x:v>
      </x:c>
      <x:c r="R190" s="18" t="str">
        <x:v>navitime:02300-1008110</x:v>
      </x:c>
      <x:c r="S190" s="19" t="str">
        <x:v>https://www.navitime.co.jp/poi?spot=02300-1008110</x:v>
      </x:c>
      <x:c r="T190" s="19" t="str"/>
      <x:c r="U190" s="19" t="str"/>
      <x:c r="V190" s="19" t="str"/>
      <x:c r="W190" s="19"/>
      <x:c r="X190" s="18" t="str">
        <x:v>是</x:v>
      </x:c>
      <x:c r="Y190" s="18" t="str">
        <x:v>否</x:v>
      </x:c>
    </x:row>
    <x:row r="191" ht="61" customHeight="1">
      <x:c r="A191" s="19" t="str">
        <x:v>東京駅八重洲南口 JR高速バスターミナル バスのりば</x:v>
      </x:c>
      <x:c r="B191" s="19" t="str">
        <x:v>待审核</x:v>
      </x:c>
      <x:c r="C191" s="20" t="n">
        <x:v>1</x:v>
      </x:c>
      <x:c r="D191" s="18" t="str">
        <x:v>否</x:v>
      </x:c>
      <x:c r="E191" s="19"/>
      <x:c r="F191" s="20"/>
      <x:c r="G191" s="19" t="str">
        <x:v>USAGE_DATA_UNAVAILABLE</x:v>
      </x:c>
      <x:c r="H191" s="19"/>
      <x:c r="I191" s="18" t="str">
        <x:v>navitime:02300-1008111</x:v>
      </x:c>
      <x:c r="J191" s="19" t="str">
        <x:v>部分官方证据</x:v>
      </x:c>
      <x:c r="K191" s="19" t="str">
        <x:v>待审核</x:v>
      </x:c>
      <x:c r="L191" s="19" t="str">
        <x:v>待审核</x:v>
      </x:c>
      <x:c r="M191" s="19" t="str">
        <x:v>官方对应与物理去重待审核</x:v>
      </x:c>
      <x:c r="N191" s="19" t="str">
        <x:v>OFFICIAL_COORDINATES
PHYSICAL_FACILITY_DEDUP
CURRENT_OPERATOR_SERVICES
USAGE_OR_FUNCTIONAL_TIER_REVIEW</x:v>
      </x:c>
      <x:c r="O191" s="21"/>
      <x:c r="P191" s="21"/>
      <x:c r="Q191" s="19" t="str">
        <x:v>東京都千代田区丸の内1-9-1 東京駅八重洲中央口・南口</x:v>
      </x:c>
      <x:c r="R191" s="18" t="str">
        <x:v>navitime:02300-1008111</x:v>
      </x:c>
      <x:c r="S191" s="19" t="str">
        <x:v>https://www.navitime.co.jp/poi?spot=02300-1008111</x:v>
      </x:c>
      <x:c r="T191" s="19" t="str"/>
      <x:c r="U191" s="19" t="str"/>
      <x:c r="V191" s="19" t="str">
        <x:v>PRIOR_OFFICIAL_FACILITY_REVIEW
https://www.jrbuskanto.co.jp/jwp/bus_stop/tokyo</x:v>
      </x:c>
      <x:c r="W191" s="19"/>
      <x:c r="X191" s="18" t="str">
        <x:v>是</x:v>
      </x:c>
      <x:c r="Y191" s="18" t="str">
        <x:v>否</x:v>
      </x:c>
    </x:row>
    <x:row r="192" ht="61" customHeight="1">
      <x:c r="A192" s="19" t="str">
        <x:v>東京駅八重洲南口バスターミナル</x:v>
      </x:c>
      <x:c r="B192" s="19" t="str">
        <x:v>待审核</x:v>
      </x:c>
      <x:c r="C192" s="20" t="n">
        <x:v>1</x:v>
      </x:c>
      <x:c r="D192" s="18" t="str">
        <x:v>否</x:v>
      </x:c>
      <x:c r="E192" s="19"/>
      <x:c r="F192" s="20"/>
      <x:c r="G192" s="19" t="str">
        <x:v>USAGE_DATA_UNAVAILABLE</x:v>
      </x:c>
      <x:c r="H192" s="19"/>
      <x:c r="I192" s="18" t="str">
        <x:v>navitime:02300-1008112</x:v>
      </x:c>
      <x:c r="J192" s="19" t="str">
        <x:v>部分官方证据</x:v>
      </x:c>
      <x:c r="K192" s="19" t="str">
        <x:v>待审核</x:v>
      </x:c>
      <x:c r="L192" s="19" t="str">
        <x:v>待审核</x:v>
      </x:c>
      <x:c r="M192" s="19" t="str">
        <x:v>官方对应与物理去重待审核</x:v>
      </x:c>
      <x:c r="N192" s="19" t="str">
        <x:v>OFFICIAL_COORDINATES
PHYSICAL_FACILITY_DEDUP
CURRENT_OPERATOR_SERVICES
USAGE_OR_FUNCTIONAL_TIER_REVIEW</x:v>
      </x:c>
      <x:c r="O192" s="21"/>
      <x:c r="P192" s="21"/>
      <x:c r="Q192" s="19" t="str">
        <x:v>東京都千代田区丸の内1-9-1</x:v>
      </x:c>
      <x:c r="R192" s="18" t="str">
        <x:v>navitime:02300-1008112</x:v>
      </x:c>
      <x:c r="S192" s="19" t="str">
        <x:v>https://www.navitime.co.jp/poi?spot=02300-1008112</x:v>
      </x:c>
      <x:c r="T192" s="19" t="str"/>
      <x:c r="U192" s="19" t="str"/>
      <x:c r="V192" s="19" t="str">
        <x:v>PRIOR_OFFICIAL_FACILITY_REVIEW
https://www.jrbuskanto.co.jp/jwp/bus_stop/tokyo</x:v>
      </x:c>
      <x:c r="W192" s="19"/>
      <x:c r="X192" s="18" t="str">
        <x:v>是</x:v>
      </x:c>
      <x:c r="Y192" s="18" t="str">
        <x:v>否</x:v>
      </x:c>
    </x:row>
    <x:row r="193" ht="75" customHeight="1">
      <x:c r="A193" s="19" t="str">
        <x:v>東京駅丸の内北口バスターミナル</x:v>
      </x:c>
      <x:c r="B193" s="19" t="str">
        <x:v>待审核</x:v>
      </x:c>
      <x:c r="C193" s="20" t="n">
        <x:v>0</x:v>
      </x:c>
      <x:c r="D193" s="18" t="str">
        <x:v>否</x:v>
      </x:c>
      <x:c r="E193" s="19"/>
      <x:c r="F193" s="20"/>
      <x:c r="G193" s="19" t="str">
        <x:v>USAGE_DATA_UNAVAILABLE</x:v>
      </x:c>
      <x:c r="H193" s="19"/>
      <x:c r="I193" s="18" t="str">
        <x:v>navitime:02300-1008114</x:v>
      </x:c>
      <x:c r="J193" s="19" t="str">
        <x:v>OFFICIAL_VALIDATION_REQUIRED</x:v>
      </x:c>
      <x:c r="K193" s="19" t="str">
        <x:v>待审核</x:v>
      </x:c>
      <x:c r="L193" s="19" t="str">
        <x:v>待审核</x:v>
      </x:c>
      <x:c r="M193" s="19" t="str">
        <x:v>官方对应与物理去重待审核</x:v>
      </x:c>
      <x:c r="N193" s="19" t="str">
        <x:v>OFFICIAL_IDENTITY_FACILITY
OFFICIAL_COORDINATES
PHYSICAL_FACILITY_DEDUP
CURRENT_OPERATOR_SERVICES
USAGE_OR_FUNCTIONAL_TIER_REVIEW</x:v>
      </x:c>
      <x:c r="O193" s="21"/>
      <x:c r="P193" s="21"/>
      <x:c r="Q193" s="19" t="str">
        <x:v>東京都千代田区丸の内1-9-1</x:v>
      </x:c>
      <x:c r="R193" s="18" t="str">
        <x:v>navitime:02300-1008114</x:v>
      </x:c>
      <x:c r="S193" s="19" t="str">
        <x:v>https://www.navitime.co.jp/poi?spot=02300-1008114</x:v>
      </x:c>
      <x:c r="T193" s="19" t="str"/>
      <x:c r="U193" s="19" t="str"/>
      <x:c r="V193" s="19" t="str"/>
      <x:c r="W193" s="19"/>
      <x:c r="X193" s="18" t="str">
        <x:v>是</x:v>
      </x:c>
      <x:c r="Y193" s="18" t="str">
        <x:v>否</x:v>
      </x:c>
    </x:row>
    <x:row r="194" ht="75" customHeight="1">
      <x:c r="A194" s="19" t="str">
        <x:v>大宮駅西口バスターミナル</x:v>
      </x:c>
      <x:c r="B194" s="19" t="str">
        <x:v>待审核</x:v>
      </x:c>
      <x:c r="C194" s="20" t="n">
        <x:v>0</x:v>
      </x:c>
      <x:c r="D194" s="18" t="str">
        <x:v>否</x:v>
      </x:c>
      <x:c r="E194" s="19"/>
      <x:c r="F194" s="20"/>
      <x:c r="G194" s="19" t="str">
        <x:v>USAGE_DATA_UNAVAILABLE</x:v>
      </x:c>
      <x:c r="H194" s="19"/>
      <x:c r="I194" s="18" t="str">
        <x:v>navitime:02300-1008321</x:v>
      </x:c>
      <x:c r="J194" s="19" t="str">
        <x:v>OFFICIAL_VALIDATION_REQUIRED</x:v>
      </x:c>
      <x:c r="K194" s="19" t="str">
        <x:v>待审核</x:v>
      </x:c>
      <x:c r="L194" s="19" t="str">
        <x:v>待审核</x:v>
      </x:c>
      <x:c r="M194" s="19" t="str">
        <x:v>官方对应与物理去重待审核</x:v>
      </x:c>
      <x:c r="N194" s="19" t="str">
        <x:v>OFFICIAL_IDENTITY_FACILITY
OFFICIAL_COORDINATES
PHYSICAL_FACILITY_DEDUP
CURRENT_OPERATOR_SERVICES
USAGE_OR_FUNCTIONAL_TIER_REVIEW</x:v>
      </x:c>
      <x:c r="O194" s="21"/>
      <x:c r="P194" s="21"/>
      <x:c r="Q194" s="19" t="str">
        <x:v>埼玉県さいたま市大宮区桜木町1丁目</x:v>
      </x:c>
      <x:c r="R194" s="18" t="str">
        <x:v>navitime:02300-1008321</x:v>
      </x:c>
      <x:c r="S194" s="19" t="str">
        <x:v>https://www.navitime.co.jp/poi?spot=02300-1008321</x:v>
      </x:c>
      <x:c r="T194" s="19" t="str"/>
      <x:c r="U194" s="19" t="str"/>
      <x:c r="V194" s="19" t="str"/>
      <x:c r="W194" s="19"/>
      <x:c r="X194" s="18" t="str">
        <x:v>是</x:v>
      </x:c>
      <x:c r="Y194" s="18" t="str">
        <x:v>否</x:v>
      </x:c>
    </x:row>
    <x:row r="195" ht="75" customHeight="1">
      <x:c r="A195" s="19" t="str">
        <x:v>大宮駅東口バスターミナル</x:v>
      </x:c>
      <x:c r="B195" s="19" t="str">
        <x:v>待审核</x:v>
      </x:c>
      <x:c r="C195" s="20" t="n">
        <x:v>0</x:v>
      </x:c>
      <x:c r="D195" s="18" t="str">
        <x:v>否</x:v>
      </x:c>
      <x:c r="E195" s="19"/>
      <x:c r="F195" s="20"/>
      <x:c r="G195" s="19" t="str">
        <x:v>USAGE_DATA_UNAVAILABLE</x:v>
      </x:c>
      <x:c r="H195" s="19"/>
      <x:c r="I195" s="18" t="str">
        <x:v>navitime:02300-1008322</x:v>
      </x:c>
      <x:c r="J195" s="19" t="str">
        <x:v>OFFICIAL_VALIDATION_REQUIRED</x:v>
      </x:c>
      <x:c r="K195" s="19" t="str">
        <x:v>待审核</x:v>
      </x:c>
      <x:c r="L195" s="19" t="str">
        <x:v>待审核</x:v>
      </x:c>
      <x:c r="M195" s="19" t="str">
        <x:v>官方对应与物理去重待审核</x:v>
      </x:c>
      <x:c r="N195" s="19" t="str">
        <x:v>OFFICIAL_IDENTITY_FACILITY
OFFICIAL_COORDINATES
PHYSICAL_FACILITY_DEDUP
CURRENT_OPERATOR_SERVICES
USAGE_OR_FUNCTIONAL_TIER_REVIEW</x:v>
      </x:c>
      <x:c r="O195" s="21"/>
      <x:c r="P195" s="21"/>
      <x:c r="Q195" s="19" t="str">
        <x:v>埼玉県さいたま市大宮区大門町1丁目</x:v>
      </x:c>
      <x:c r="R195" s="18" t="str">
        <x:v>navitime:02300-1008322</x:v>
      </x:c>
      <x:c r="S195" s="19" t="str">
        <x:v>https://www.navitime.co.jp/poi?spot=02300-1008322</x:v>
      </x:c>
      <x:c r="T195" s="19" t="str"/>
      <x:c r="U195" s="19" t="str"/>
      <x:c r="V195" s="19" t="str"/>
      <x:c r="W195" s="19"/>
      <x:c r="X195" s="18" t="str">
        <x:v>是</x:v>
      </x:c>
      <x:c r="Y195" s="18" t="str">
        <x:v>否</x:v>
      </x:c>
    </x:row>
    <x:row r="196" ht="75" customHeight="1">
      <x:c r="A196" s="19" t="str">
        <x:v>新宿駅西口バスターミナル・バス乗り場</x:v>
      </x:c>
      <x:c r="B196" s="19" t="str">
        <x:v>待审核</x:v>
      </x:c>
      <x:c r="C196" s="20" t="n">
        <x:v>0</x:v>
      </x:c>
      <x:c r="D196" s="18" t="str">
        <x:v>否</x:v>
      </x:c>
      <x:c r="E196" s="19"/>
      <x:c r="F196" s="20"/>
      <x:c r="G196" s="19" t="str">
        <x:v>USAGE_DATA_UNAVAILABLE</x:v>
      </x:c>
      <x:c r="H196" s="19"/>
      <x:c r="I196" s="18" t="str">
        <x:v>navitime:02300-1008443</x:v>
      </x:c>
      <x:c r="J196" s="19" t="str">
        <x:v>OFFICIAL_VALIDATION_REQUIRED</x:v>
      </x:c>
      <x:c r="K196" s="19" t="str">
        <x:v>待审核</x:v>
      </x:c>
      <x:c r="L196" s="19" t="str">
        <x:v>待审核</x:v>
      </x:c>
      <x:c r="M196" s="19" t="str">
        <x:v>官方对应与物理去重待审核</x:v>
      </x:c>
      <x:c r="N196" s="19" t="str">
        <x:v>OFFICIAL_IDENTITY_FACILITY
OFFICIAL_COORDINATES
PHYSICAL_FACILITY_DEDUP
CURRENT_OPERATOR_SERVICES
USAGE_OR_FUNCTIONAL_TIER_REVIEW</x:v>
      </x:c>
      <x:c r="O196" s="21"/>
      <x:c r="P196" s="21"/>
      <x:c r="Q196" s="19" t="str">
        <x:v>東京都新宿区西新宿1丁目</x:v>
      </x:c>
      <x:c r="R196" s="18" t="str">
        <x:v>navitime:02300-1008443</x:v>
      </x:c>
      <x:c r="S196" s="19" t="str">
        <x:v>https://www.navitime.co.jp/poi?spot=02300-1008443</x:v>
      </x:c>
      <x:c r="T196" s="19" t="str"/>
      <x:c r="U196" s="19" t="str"/>
      <x:c r="V196" s="19" t="str"/>
      <x:c r="W196" s="19"/>
      <x:c r="X196" s="18" t="str">
        <x:v>是</x:v>
      </x:c>
      <x:c r="Y196" s="18" t="str">
        <x:v>否</x:v>
      </x:c>
    </x:row>
    <x:row r="197" ht="61" customHeight="1">
      <x:c r="A197" s="19" t="str">
        <x:v>バスタ新宿</x:v>
      </x:c>
      <x:c r="B197" s="19" t="str">
        <x:v>待审核</x:v>
      </x:c>
      <x:c r="C197" s="20" t="n">
        <x:v>1</x:v>
      </x:c>
      <x:c r="D197" s="18" t="str">
        <x:v>否</x:v>
      </x:c>
      <x:c r="E197" s="19" t="str">
        <x:v>T0</x:v>
      </x:c>
      <x:c r="F197" s="20" t="n">
        <x:v>23360</x:v>
      </x:c>
      <x:c r="G197" s="19" t="str">
        <x:v>DAILY_USERS</x:v>
      </x:c>
      <x:c r="H197" s="19" t="str">
        <x:v>2026-06 week 3</x:v>
      </x:c>
      <x:c r="I197" s="18" t="str">
        <x:v>navitime:02301-1404524</x:v>
      </x:c>
      <x:c r="J197" s="19" t="str">
        <x:v>部分官方证据</x:v>
      </x:c>
      <x:c r="K197" s="19" t="str">
        <x:v>待审核</x:v>
      </x:c>
      <x:c r="L197" s="19" t="str">
        <x:v>待审核</x:v>
      </x:c>
      <x:c r="M197" s="19" t="str">
        <x:v>官方对应与物理去重待审核</x:v>
      </x:c>
      <x:c r="N197" s="19" t="str">
        <x:v>OFFICIAL_COORDINATES
PHYSICAL_FACILITY_DEDUP
CURRENT_OPERATOR_SERVICES
USAGE_OR_FUNCTIONAL_TIER_REVIEW</x:v>
      </x:c>
      <x:c r="O197" s="21"/>
      <x:c r="P197" s="21"/>
      <x:c r="Q197" s="19" t="str">
        <x:v>東京都渋谷区千駄ヶ谷5-24-55</x:v>
      </x:c>
      <x:c r="R197" s="18" t="str">
        <x:v>navitime:02301-1404524</x:v>
      </x:c>
      <x:c r="S197" s="19" t="str">
        <x:v>https://www.navitime.co.jp/poi?spot=02301-1404524</x:v>
      </x:c>
      <x:c r="T197" s="19" t="str"/>
      <x:c r="U197" s="19" t="str"/>
      <x:c r="V197" s="19" t="str">
        <x:v>PRIOR_OFFICIAL_FACILITY_REVIEW
https://www.shinjuku-busterminal.co.jp/access/</x:v>
      </x:c>
      <x:c r="W197" s="19" t="str">
        <x:v>https://www.mlit.go.jp/road/content/002008873.pdf</x:v>
      </x:c>
      <x:c r="X197" s="18" t="str">
        <x:v>否</x:v>
      </x:c>
      <x:c r="Y197" s="18" t="str">
        <x:v>否</x:v>
      </x:c>
    </x:row>
    <x:row r="198" ht="75" customHeight="1">
      <x:c r="A198" s="19" t="str">
        <x:v>兼吉バス待合所</x:v>
      </x:c>
      <x:c r="B198" s="19" t="str">
        <x:v>待审核</x:v>
      </x:c>
      <x:c r="C198" s="20" t="n">
        <x:v>0</x:v>
      </x:c>
      <x:c r="D198" s="18" t="str">
        <x:v>否</x:v>
      </x:c>
      <x:c r="E198" s="19"/>
      <x:c r="F198" s="20"/>
      <x:c r="G198" s="19" t="str">
        <x:v>USAGE_DATA_UNAVAILABLE</x:v>
      </x:c>
      <x:c r="H198" s="19"/>
      <x:c r="I198" s="18" t="str">
        <x:v>navitime:02301-t1986</x:v>
      </x:c>
      <x:c r="J198" s="19" t="str">
        <x:v>OFFICIAL_VALIDATION_REQUIRED</x:v>
      </x:c>
      <x:c r="K198" s="19" t="str">
        <x:v>待审核</x:v>
      </x:c>
      <x:c r="L198" s="19" t="str">
        <x:v>待审核</x:v>
      </x:c>
      <x:c r="M198" s="19" t="str">
        <x:v>官方对应与物理去重待审核</x:v>
      </x:c>
      <x:c r="N198" s="19" t="str">
        <x:v>OFFICIAL_IDENTITY_FACILITY
OFFICIAL_COORDINATES
PHYSICAL_FACILITY_DEDUP
CURRENT_OPERATOR_SERVICES
USAGE_OR_FUNCTIONAL_TIER_REVIEW</x:v>
      </x:c>
      <x:c r="O198" s="21"/>
      <x:c r="P198" s="21"/>
      <x:c r="Q198" s="19" t="str">
        <x:v>広島県尾道市向島町兼吉</x:v>
      </x:c>
      <x:c r="R198" s="18" t="str">
        <x:v>navitime:02301-t1986</x:v>
      </x:c>
      <x:c r="S198" s="19" t="str">
        <x:v>https://www.navitime.co.jp/poi?spot=02301-t1986</x:v>
      </x:c>
      <x:c r="T198" s="19" t="str"/>
      <x:c r="U198" s="19" t="str"/>
      <x:c r="V198" s="19" t="str"/>
      <x:c r="W198" s="19"/>
      <x:c r="X198" s="18" t="str">
        <x:v>是</x:v>
      </x:c>
      <x:c r="Y198" s="18" t="str">
        <x:v>否</x:v>
      </x:c>
    </x:row>
    <x:row r="199" ht="75" customHeight="1">
      <x:c r="A199" s="19" t="str">
        <x:v>神姫バス案内所 イオンモール神戸北店</x:v>
      </x:c>
      <x:c r="B199" s="19" t="str">
        <x:v>待审核</x:v>
      </x:c>
      <x:c r="C199" s="20" t="n">
        <x:v>0</x:v>
      </x:c>
      <x:c r="D199" s="18" t="str">
        <x:v>否</x:v>
      </x:c>
      <x:c r="E199" s="19"/>
      <x:c r="F199" s="20"/>
      <x:c r="G199" s="19" t="str">
        <x:v>USAGE_DATA_UNAVAILABLE</x:v>
      </x:c>
      <x:c r="H199" s="19"/>
      <x:c r="I199" s="18" t="str">
        <x:v>navitime:06410-00306065064</x:v>
      </x:c>
      <x:c r="J199" s="19" t="str">
        <x:v>OFFICIAL_VALIDATION_REQUIRED</x:v>
      </x:c>
      <x:c r="K199" s="19" t="str">
        <x:v>待审核</x:v>
      </x:c>
      <x:c r="L199" s="19" t="str">
        <x:v>待审核</x:v>
      </x:c>
      <x:c r="M199" s="19" t="str">
        <x:v>官方对应与物理去重待审核</x:v>
      </x:c>
      <x:c r="N199" s="19" t="str">
        <x:v>OFFICIAL_IDENTITY_FACILITY
OFFICIAL_COORDINATES
PHYSICAL_FACILITY_DEDUP
CURRENT_OPERATOR_SERVICES
USAGE_OR_FUNCTIONAL_TIER_REVIEW</x:v>
      </x:c>
      <x:c r="O199" s="21"/>
      <x:c r="P199" s="21"/>
      <x:c r="Q199" s="19" t="str">
        <x:v>兵庫県神戸市北区上津台8-1-1</x:v>
      </x:c>
      <x:c r="R199" s="18" t="str">
        <x:v>navitime:06410-00306065064</x:v>
      </x:c>
      <x:c r="S199" s="19" t="str">
        <x:v>https://www.navitime.co.jp/poi?spot=06410-00306065064</x:v>
      </x:c>
      <x:c r="T199" s="19" t="str"/>
      <x:c r="U199" s="19" t="str"/>
      <x:c r="V199" s="19" t="str"/>
      <x:c r="W199" s="19"/>
      <x:c r="X199" s="18" t="str">
        <x:v>是</x:v>
      </x:c>
      <x:c r="Y199" s="18" t="str">
        <x:v>否</x:v>
      </x:c>
    </x:row>
    <x:row r="200" ht="75" customHeight="1">
      <x:c r="A200" s="19" t="str">
        <x:v>高速バスチケットセンター イオンモール徳島店</x:v>
      </x:c>
      <x:c r="B200" s="19" t="str">
        <x:v>待审核</x:v>
      </x:c>
      <x:c r="C200" s="20" t="n">
        <x:v>0</x:v>
      </x:c>
      <x:c r="D200" s="18" t="str">
        <x:v>否</x:v>
      </x:c>
      <x:c r="E200" s="19"/>
      <x:c r="F200" s="20"/>
      <x:c r="G200" s="19" t="str">
        <x:v>USAGE_DATA_UNAVAILABLE</x:v>
      </x:c>
      <x:c r="H200" s="19"/>
      <x:c r="I200" s="18" t="str">
        <x:v>navitime:06410-00785787716</x:v>
      </x:c>
      <x:c r="J200" s="19" t="str">
        <x:v>OFFICIAL_VALIDATION_REQUIRED</x:v>
      </x:c>
      <x:c r="K200" s="19" t="str">
        <x:v>待审核</x:v>
      </x:c>
      <x:c r="L200" s="19" t="str">
        <x:v>待审核</x:v>
      </x:c>
      <x:c r="M200" s="19" t="str">
        <x:v>官方对应与物理去重待审核</x:v>
      </x:c>
      <x:c r="N200" s="19" t="str">
        <x:v>OFFICIAL_IDENTITY_FACILITY
OFFICIAL_COORDINATES
PHYSICAL_FACILITY_DEDUP
CURRENT_OPERATOR_SERVICES
USAGE_OR_FUNCTIONAL_TIER_REVIEW</x:v>
      </x:c>
      <x:c r="O200" s="21"/>
      <x:c r="P200" s="21"/>
      <x:c r="Q200" s="19" t="str">
        <x:v>徳島県徳島市南末広町4番1号</x:v>
      </x:c>
      <x:c r="R200" s="18" t="str">
        <x:v>navitime:06410-00785787716</x:v>
      </x:c>
      <x:c r="S200" s="19" t="str">
        <x:v>https://www.navitime.co.jp/poi?spot=06410-00785787716</x:v>
      </x:c>
      <x:c r="T200" s="19" t="str"/>
      <x:c r="U200" s="19" t="str"/>
      <x:c r="V200" s="19" t="str"/>
      <x:c r="W200" s="19"/>
      <x:c r="X200" s="18" t="str">
        <x:v>是</x:v>
      </x:c>
      <x:c r="Y200" s="18" t="str">
        <x:v>否</x:v>
      </x:c>
    </x:row>
    <x:row r="201" ht="75" customHeight="1">
      <x:c r="A201" s="19" t="str">
        <x:v>徳島バス高速バスチケット売場 ゆめタウン徳島店</x:v>
      </x:c>
      <x:c r="B201" s="19" t="str">
        <x:v>待审核</x:v>
      </x:c>
      <x:c r="C201" s="20" t="n">
        <x:v>0</x:v>
      </x:c>
      <x:c r="D201" s="18" t="str">
        <x:v>否</x:v>
      </x:c>
      <x:c r="E201" s="19"/>
      <x:c r="F201" s="20"/>
      <x:c r="G201" s="19" t="str">
        <x:v>USAGE_DATA_UNAVAILABLE</x:v>
      </x:c>
      <x:c r="H201" s="19"/>
      <x:c r="I201" s="18" t="str">
        <x:v>navitime:06424-00998364536</x:v>
      </x:c>
      <x:c r="J201" s="19" t="str">
        <x:v>OFFICIAL_VALIDATION_REQUIRED</x:v>
      </x:c>
      <x:c r="K201" s="19" t="str">
        <x:v>待审核</x:v>
      </x:c>
      <x:c r="L201" s="19" t="str">
        <x:v>待审核</x:v>
      </x:c>
      <x:c r="M201" s="19" t="str">
        <x:v>官方对应与物理去重待审核</x:v>
      </x:c>
      <x:c r="N201" s="19" t="str">
        <x:v>OFFICIAL_IDENTITY_FACILITY
OFFICIAL_COORDINATES
PHYSICAL_FACILITY_DEDUP
CURRENT_OPERATOR_SERVICES
USAGE_OR_FUNCTIONAL_TIER_REVIEW</x:v>
      </x:c>
      <x:c r="O201" s="21"/>
      <x:c r="P201" s="21"/>
      <x:c r="Q201" s="19" t="str">
        <x:v>徳島県板野郡藍住町奥野字東中須88-1</x:v>
      </x:c>
      <x:c r="R201" s="18" t="str">
        <x:v>navitime:06424-00998364536</x:v>
      </x:c>
      <x:c r="S201" s="19" t="str">
        <x:v>https://www.navitime.co.jp/poi?spot=06424-00998364536</x:v>
      </x:c>
      <x:c r="T201" s="19" t="str"/>
      <x:c r="U201" s="19" t="str"/>
      <x:c r="V201" s="19" t="str"/>
      <x:c r="W201" s="19"/>
      <x:c r="X201" s="18" t="str">
        <x:v>是</x:v>
      </x:c>
      <x:c r="Y201" s="18" t="str">
        <x:v>否</x:v>
      </x:c>
    </x:row>
    <x:row r="202" ht="75" customHeight="1">
      <x:c r="A202" s="19" t="str">
        <x:v>全但バス 豊岡駅前出張所</x:v>
      </x:c>
      <x:c r="B202" s="19" t="str">
        <x:v>待审核</x:v>
      </x:c>
      <x:c r="C202" s="20" t="n">
        <x:v>0</x:v>
      </x:c>
      <x:c r="D202" s="18" t="str">
        <x:v>否</x:v>
      </x:c>
      <x:c r="E202" s="19"/>
      <x:c r="F202" s="20"/>
      <x:c r="G202" s="19" t="str">
        <x:v>USAGE_DATA_UNAVAILABLE</x:v>
      </x:c>
      <x:c r="H202" s="19"/>
      <x:c r="I202" s="18" t="str">
        <x:v>navitime:20073-1</x:v>
      </x:c>
      <x:c r="J202" s="19" t="str">
        <x:v>OFFICIAL_VALIDATION_REQUIRED</x:v>
      </x:c>
      <x:c r="K202" s="19" t="str">
        <x:v>待审核</x:v>
      </x:c>
      <x:c r="L202" s="19" t="str">
        <x:v>待审核</x:v>
      </x:c>
      <x:c r="M202" s="19" t="str">
        <x:v>官方对应与物理去重待审核</x:v>
      </x:c>
      <x:c r="N202" s="19" t="str">
        <x:v>OFFICIAL_IDENTITY_FACILITY
OFFICIAL_COORDINATES
PHYSICAL_FACILITY_DEDUP
CURRENT_OPERATOR_SERVICES
USAGE_OR_FUNCTIONAL_TIER_REVIEW</x:v>
      </x:c>
      <x:c r="O202" s="21"/>
      <x:c r="P202" s="21"/>
      <x:c r="Q202" s="19" t="str">
        <x:v>兵庫県豊岡市大手町4-5</x:v>
      </x:c>
      <x:c r="R202" s="18" t="str">
        <x:v>navitime:20073-1</x:v>
      </x:c>
      <x:c r="S202" s="19" t="str">
        <x:v>https://www.navitime.co.jp/poi?spot=20073-1</x:v>
      </x:c>
      <x:c r="T202" s="19" t="str"/>
      <x:c r="U202" s="19" t="str"/>
      <x:c r="V202" s="19" t="str"/>
      <x:c r="W202" s="19"/>
      <x:c r="X202" s="18" t="str">
        <x:v>是</x:v>
      </x:c>
      <x:c r="Y202" s="18" t="str">
        <x:v>否</x:v>
      </x:c>
    </x:row>
    <x:row r="203" ht="75" customHeight="1">
      <x:c r="A203" s="19" t="str">
        <x:v>和歌山バス案内所 乗車券発売所 キーノ和歌山店</x:v>
      </x:c>
      <x:c r="B203" s="19" t="str">
        <x:v>待审核</x:v>
      </x:c>
      <x:c r="C203" s="20" t="n">
        <x:v>0</x:v>
      </x:c>
      <x:c r="D203" s="18" t="str">
        <x:v>否</x:v>
      </x:c>
      <x:c r="E203" s="19"/>
      <x:c r="F203" s="20"/>
      <x:c r="G203" s="19" t="str">
        <x:v>USAGE_DATA_UNAVAILABLE</x:v>
      </x:c>
      <x:c r="H203" s="19"/>
      <x:c r="I203" s="18" t="str">
        <x:v>navitime:20084-3</x:v>
      </x:c>
      <x:c r="J203" s="19" t="str">
        <x:v>OFFICIAL_VALIDATION_REQUIRED</x:v>
      </x:c>
      <x:c r="K203" s="19" t="str">
        <x:v>待审核</x:v>
      </x:c>
      <x:c r="L203" s="19" t="str">
        <x:v>待审核</x:v>
      </x:c>
      <x:c r="M203" s="19" t="str">
        <x:v>官方对应与物理去重待审核</x:v>
      </x:c>
      <x:c r="N203" s="19" t="str">
        <x:v>OFFICIAL_IDENTITY_FACILITY
OFFICIAL_COORDINATES
PHYSICAL_FACILITY_DEDUP
CURRENT_OPERATOR_SERVICES
USAGE_OR_FUNCTIONAL_TIER_REVIEW</x:v>
      </x:c>
      <x:c r="O203" s="21"/>
      <x:c r="P203" s="21"/>
      <x:c r="Q203" s="19" t="str">
        <x:v>和歌山県和歌山市東蔵前丁39</x:v>
      </x:c>
      <x:c r="R203" s="18" t="str">
        <x:v>navitime:20084-3</x:v>
      </x:c>
      <x:c r="S203" s="19" t="str">
        <x:v>https://www.navitime.co.jp/poi?spot=20084-3</x:v>
      </x:c>
      <x:c r="T203" s="19" t="str"/>
      <x:c r="U203" s="19" t="str"/>
      <x:c r="V203" s="19" t="str"/>
      <x:c r="W203" s="19"/>
      <x:c r="X203" s="18" t="str">
        <x:v>是</x:v>
      </x:c>
      <x:c r="Y203" s="18" t="str">
        <x:v>否</x:v>
      </x:c>
    </x:row>
    <x:row r="204" ht="75" customHeight="1">
      <x:c r="A204" s="19" t="str">
        <x:v>京急バス ウィング上大岡店</x:v>
      </x:c>
      <x:c r="B204" s="19" t="str">
        <x:v>待审核</x:v>
      </x:c>
      <x:c r="C204" s="20" t="n">
        <x:v>0</x:v>
      </x:c>
      <x:c r="D204" s="18" t="str">
        <x:v>否</x:v>
      </x:c>
      <x:c r="E204" s="19"/>
      <x:c r="F204" s="20"/>
      <x:c r="G204" s="19" t="str">
        <x:v>USAGE_DATA_UNAVAILABLE</x:v>
      </x:c>
      <x:c r="H204" s="19"/>
      <x:c r="I204" s="18" t="str">
        <x:v>navitime:20228-43</x:v>
      </x:c>
      <x:c r="J204" s="19" t="str">
        <x:v>OFFICIAL_VALIDATION_REQUIRED</x:v>
      </x:c>
      <x:c r="K204" s="19" t="str">
        <x:v>待审核</x:v>
      </x:c>
      <x:c r="L204" s="19" t="str">
        <x:v>待审核</x:v>
      </x:c>
      <x:c r="M204" s="19" t="str">
        <x:v>官方对应与物理去重待审核</x:v>
      </x:c>
      <x:c r="N204" s="19" t="str">
        <x:v>OFFICIAL_IDENTITY_FACILITY
OFFICIAL_COORDINATES
PHYSICAL_FACILITY_DEDUP
CURRENT_OPERATOR_SERVICES
USAGE_OR_FUNCTIONAL_TIER_REVIEW</x:v>
      </x:c>
      <x:c r="O204" s="21"/>
      <x:c r="P204" s="21"/>
      <x:c r="Q204" s="19" t="str">
        <x:v>神奈川県横浜市港南区上大岡西1-6-1</x:v>
      </x:c>
      <x:c r="R204" s="18" t="str">
        <x:v>navitime:20228-43</x:v>
      </x:c>
      <x:c r="S204" s="19" t="str">
        <x:v>https://www.navitime.co.jp/poi?spot=20228-43</x:v>
      </x:c>
      <x:c r="T204" s="19" t="str"/>
      <x:c r="U204" s="19" t="str"/>
      <x:c r="V204" s="19" t="str"/>
      <x:c r="W204" s="19"/>
      <x:c r="X204" s="18" t="str">
        <x:v>是</x:v>
      </x:c>
      <x:c r="Y204" s="18" t="str">
        <x:v>否</x:v>
      </x:c>
    </x:row>
    <x:row r="205" ht="75" customHeight="1">
      <x:c r="A205" s="19" t="str">
        <x:v>西側入口待合室 入善コスモタウン店</x:v>
      </x:c>
      <x:c r="B205" s="19" t="str">
        <x:v>待审核</x:v>
      </x:c>
      <x:c r="C205" s="20" t="n">
        <x:v>0</x:v>
      </x:c>
      <x:c r="D205" s="18" t="str">
        <x:v>否</x:v>
      </x:c>
      <x:c r="E205" s="19"/>
      <x:c r="F205" s="20"/>
      <x:c r="G205" s="19" t="str">
        <x:v>USAGE_DATA_UNAVAILABLE</x:v>
      </x:c>
      <x:c r="H205" s="19"/>
      <x:c r="I205" s="18" t="str">
        <x:v>navitime:20682-36</x:v>
      </x:c>
      <x:c r="J205" s="19" t="str">
        <x:v>OFFICIAL_VALIDATION_REQUIRED</x:v>
      </x:c>
      <x:c r="K205" s="19" t="str">
        <x:v>待审核</x:v>
      </x:c>
      <x:c r="L205" s="19" t="str">
        <x:v>待审核</x:v>
      </x:c>
      <x:c r="M205" s="19" t="str">
        <x:v>官方对应与物理去重待审核</x:v>
      </x:c>
      <x:c r="N205" s="19" t="str">
        <x:v>OFFICIAL_IDENTITY_FACILITY
OFFICIAL_COORDINATES
PHYSICAL_FACILITY_DEDUP
CURRENT_OPERATOR_SERVICES
USAGE_OR_FUNCTIONAL_TIER_REVIEW</x:v>
      </x:c>
      <x:c r="O205" s="21"/>
      <x:c r="P205" s="21"/>
      <x:c r="Q205" s="19" t="str">
        <x:v>富山県下新川郡入善町椚山1336</x:v>
      </x:c>
      <x:c r="R205" s="18" t="str">
        <x:v>navitime:20682-36</x:v>
      </x:c>
      <x:c r="S205" s="19" t="str">
        <x:v>https://www.navitime.co.jp/poi?spot=20682-36</x:v>
      </x:c>
      <x:c r="T205" s="19" t="str"/>
      <x:c r="U205" s="19" t="str"/>
      <x:c r="V205" s="19" t="str"/>
      <x:c r="W205" s="19"/>
      <x:c r="X205" s="18" t="str">
        <x:v>是</x:v>
      </x:c>
      <x:c r="Y205" s="18" t="str">
        <x:v>否</x:v>
      </x:c>
    </x:row>
    <x:row r="206" ht="75" customHeight="1">
      <x:c r="A206" s="19" t="str">
        <x:v>SAKURA BUS SQUARE リンクス梅田店</x:v>
      </x:c>
      <x:c r="B206" s="19" t="str">
        <x:v>待审核</x:v>
      </x:c>
      <x:c r="C206" s="20" t="n">
        <x:v>0</x:v>
      </x:c>
      <x:c r="D206" s="18" t="str">
        <x:v>否</x:v>
      </x:c>
      <x:c r="E206" s="19"/>
      <x:c r="F206" s="20"/>
      <x:c r="G206" s="19" t="str">
        <x:v>USAGE_DATA_UNAVAILABLE</x:v>
      </x:c>
      <x:c r="H206" s="19"/>
      <x:c r="I206" s="18" t="str">
        <x:v>navitime:20683-80</x:v>
      </x:c>
      <x:c r="J206" s="19" t="str">
        <x:v>OFFICIAL_VALIDATION_REQUIRED</x:v>
      </x:c>
      <x:c r="K206" s="19" t="str">
        <x:v>待审核</x:v>
      </x:c>
      <x:c r="L206" s="19" t="str">
        <x:v>待审核</x:v>
      </x:c>
      <x:c r="M206" s="19" t="str">
        <x:v>官方对应与物理去重待审核</x:v>
      </x:c>
      <x:c r="N206" s="19" t="str">
        <x:v>OFFICIAL_IDENTITY_FACILITY
OFFICIAL_COORDINATES
PHYSICAL_FACILITY_DEDUP
CURRENT_OPERATOR_SERVICES
USAGE_OR_FUNCTIONAL_TIER_REVIEW</x:v>
      </x:c>
      <x:c r="O206" s="21"/>
      <x:c r="P206" s="21"/>
      <x:c r="Q206" s="19" t="str">
        <x:v>大阪府大阪市北区大深町1-1</x:v>
      </x:c>
      <x:c r="R206" s="18" t="str">
        <x:v>navitime:20683-80</x:v>
      </x:c>
      <x:c r="S206" s="19" t="str">
        <x:v>https://www.navitime.co.jp/poi?spot=20683-80</x:v>
      </x:c>
      <x:c r="T206" s="19" t="str"/>
      <x:c r="U206" s="19" t="str"/>
      <x:c r="V206" s="19" t="str"/>
      <x:c r="W206" s="19"/>
      <x:c r="X206" s="18" t="str">
        <x:v>是</x:v>
      </x:c>
      <x:c r="Y206" s="18" t="str">
        <x:v>否</x:v>
      </x:c>
    </x:row>
    <x:row r="207" ht="75" customHeight="1">
      <x:c r="A207" s="19" t="str">
        <x:v>小田急バス案内所 アトレヴィ三鷹店</x:v>
      </x:c>
      <x:c r="B207" s="19" t="str">
        <x:v>待审核</x:v>
      </x:c>
      <x:c r="C207" s="20" t="n">
        <x:v>0</x:v>
      </x:c>
      <x:c r="D207" s="18" t="str">
        <x:v>否</x:v>
      </x:c>
      <x:c r="E207" s="19"/>
      <x:c r="F207" s="20"/>
      <x:c r="G207" s="19" t="str">
        <x:v>USAGE_DATA_UNAVAILABLE</x:v>
      </x:c>
      <x:c r="H207" s="19"/>
      <x:c r="I207" s="18" t="str">
        <x:v>navitime:20753-4</x:v>
      </x:c>
      <x:c r="J207" s="19" t="str">
        <x:v>OFFICIAL_VALIDATION_REQUIRED</x:v>
      </x:c>
      <x:c r="K207" s="19" t="str">
        <x:v>待审核</x:v>
      </x:c>
      <x:c r="L207" s="19" t="str">
        <x:v>待审核</x:v>
      </x:c>
      <x:c r="M207" s="19" t="str">
        <x:v>官方对应与物理去重待审核</x:v>
      </x:c>
      <x:c r="N207" s="19" t="str">
        <x:v>OFFICIAL_IDENTITY_FACILITY
OFFICIAL_COORDINATES
PHYSICAL_FACILITY_DEDUP
CURRENT_OPERATOR_SERVICES
USAGE_OR_FUNCTIONAL_TIER_REVIEW</x:v>
      </x:c>
      <x:c r="O207" s="21"/>
      <x:c r="P207" s="21"/>
      <x:c r="Q207" s="19" t="str">
        <x:v>東京都三鷹市下連雀3-46-1</x:v>
      </x:c>
      <x:c r="R207" s="18" t="str">
        <x:v>navitime:20753-4</x:v>
      </x:c>
      <x:c r="S207" s="19" t="str">
        <x:v>https://www.navitime.co.jp/poi?spot=20753-4</x:v>
      </x:c>
      <x:c r="T207" s="19" t="str"/>
      <x:c r="U207" s="19" t="str"/>
      <x:c r="V207" s="19" t="str"/>
      <x:c r="W207" s="19"/>
      <x:c r="X207" s="18" t="str">
        <x:v>是</x:v>
      </x:c>
      <x:c r="Y207" s="18" t="str">
        <x:v>否</x:v>
      </x:c>
    </x:row>
    <x:row r="208" ht="75" customHeight="1">
      <x:c r="A208" s="19" t="str">
        <x:v>ジェイ・アール北海道バス バスチケットセンター デュオ</x:v>
      </x:c>
      <x:c r="B208" s="19" t="str">
        <x:v>待审核</x:v>
      </x:c>
      <x:c r="C208" s="20" t="n">
        <x:v>0</x:v>
      </x:c>
      <x:c r="D208" s="18" t="str">
        <x:v>否</x:v>
      </x:c>
      <x:c r="E208" s="19"/>
      <x:c r="F208" s="20"/>
      <x:c r="G208" s="19" t="str">
        <x:v>USAGE_DATA_UNAVAILABLE</x:v>
      </x:c>
      <x:c r="H208" s="19"/>
      <x:c r="I208" s="18" t="str">
        <x:v>navitime:20772-54</x:v>
      </x:c>
      <x:c r="J208" s="19" t="str">
        <x:v>OFFICIAL_VALIDATION_REQUIRED</x:v>
      </x:c>
      <x:c r="K208" s="19" t="str">
        <x:v>待审核</x:v>
      </x:c>
      <x:c r="L208" s="19" t="str">
        <x:v>待审核</x:v>
      </x:c>
      <x:c r="M208" s="19" t="str">
        <x:v>官方对应与物理去重待审核</x:v>
      </x:c>
      <x:c r="N208" s="19" t="str">
        <x:v>OFFICIAL_IDENTITY_FACILITY
OFFICIAL_COORDINATES
PHYSICAL_FACILITY_DEDUP
CURRENT_OPERATOR_SERVICES
USAGE_OR_FUNCTIONAL_TIER_REVIEW</x:v>
      </x:c>
      <x:c r="O208" s="21"/>
      <x:c r="P208" s="21"/>
      <x:c r="Q208" s="19" t="str">
        <x:v>北海道札幌市厚別区厚別中央2条5-7-2</x:v>
      </x:c>
      <x:c r="R208" s="18" t="str">
        <x:v>navitime:20772-54</x:v>
      </x:c>
      <x:c r="S208" s="19" t="str">
        <x:v>https://www.navitime.co.jp/poi?spot=20772-54</x:v>
      </x:c>
      <x:c r="T208" s="19" t="str"/>
      <x:c r="U208" s="19" t="str"/>
      <x:c r="V208" s="19" t="str"/>
      <x:c r="W208" s="19"/>
      <x:c r="X208" s="18" t="str">
        <x:v>是</x:v>
      </x:c>
      <x:c r="Y208" s="18" t="str">
        <x:v>否</x:v>
      </x:c>
    </x:row>
    <x:row r="209" ht="61" customHeight="1">
      <x:c r="A209" s="19" t="str">
        <x:v>宮交シティバスセンター 宮交シティ店</x:v>
      </x:c>
      <x:c r="B209" s="19" t="str">
        <x:v>待审核</x:v>
      </x:c>
      <x:c r="C209" s="20" t="n">
        <x:v>1</x:v>
      </x:c>
      <x:c r="D209" s="18" t="str">
        <x:v>否</x:v>
      </x:c>
      <x:c r="E209" s="19"/>
      <x:c r="F209" s="20"/>
      <x:c r="G209" s="19" t="str">
        <x:v>USAGE_DATA_UNAVAILABLE</x:v>
      </x:c>
      <x:c r="H209" s="19"/>
      <x:c r="I209" s="18" t="str">
        <x:v>navitime:20939-58</x:v>
      </x:c>
      <x:c r="J209" s="19" t="str">
        <x:v>部分官方证据</x:v>
      </x:c>
      <x:c r="K209" s="19" t="str">
        <x:v>待审核</x:v>
      </x:c>
      <x:c r="L209" s="19" t="str">
        <x:v>部分官方证据</x:v>
      </x:c>
      <x:c r="M209" s="19" t="str">
        <x:v>官方对应与物理去重待审核</x:v>
      </x:c>
      <x:c r="N209" s="19" t="str">
        <x:v>OFFICIAL_COORDINATES
PHYSICAL_FACILITY_DEDUP
CURRENT_OPERATOR_SERVICES
USAGE_OR_FUNCTIONAL_TIER_REVIEW</x:v>
      </x:c>
      <x:c r="O209" s="21"/>
      <x:c r="P209" s="21"/>
      <x:c r="Q209" s="19" t="str">
        <x:v>宮崎県宮崎市大淀4-6-28</x:v>
      </x:c>
      <x:c r="R209" s="18" t="str">
        <x:v>navitime:20939-58</x:v>
      </x:c>
      <x:c r="S209" s="19" t="str">
        <x:v>https://www.navitime.co.jp/poi?spot=20939-58</x:v>
      </x:c>
      <x:c r="T209" s="19" t="str"/>
      <x:c r="U209" s="19" t="str"/>
      <x:c r="V209" s="19" t="str">
        <x:v>OFFICIAL_IDENTITY_FACILITY_OR_SERVICES_PARTIAL
https://www.miyakoh.co.jp/corp/inquiry/city.html</x:v>
      </x:c>
      <x:c r="W209" s="19"/>
      <x:c r="X209" s="18" t="str">
        <x:v>是</x:v>
      </x:c>
      <x:c r="Y209" s="18" t="str">
        <x:v>否</x:v>
      </x:c>
    </x:row>
    <x:row r="210" ht="75" customHeight="1">
      <x:c r="A210" s="19" t="str">
        <x:v>道南バス株式会社 洞爺湖温泉ターミナル</x:v>
      </x:c>
      <x:c r="B210" s="19" t="str">
        <x:v>待审核</x:v>
      </x:c>
      <x:c r="C210" s="20" t="n">
        <x:v>0</x:v>
      </x:c>
      <x:c r="D210" s="18" t="str">
        <x:v>否</x:v>
      </x:c>
      <x:c r="E210" s="19"/>
      <x:c r="F210" s="20"/>
      <x:c r="G210" s="19" t="str">
        <x:v>USAGE_DATA_UNAVAILABLE</x:v>
      </x:c>
      <x:c r="H210" s="19"/>
      <x:c r="I210" s="18" t="str">
        <x:v>navitime:91001-ani00854</x:v>
      </x:c>
      <x:c r="J210" s="19" t="str">
        <x:v>OFFICIAL_VALIDATION_REQUIRED</x:v>
      </x:c>
      <x:c r="K210" s="19" t="str">
        <x:v>待审核</x:v>
      </x:c>
      <x:c r="L210" s="19" t="str">
        <x:v>待审核</x:v>
      </x:c>
      <x:c r="M210" s="19" t="str">
        <x:v>官方对应与物理去重待审核</x:v>
      </x:c>
      <x:c r="N210" s="19" t="str">
        <x:v>OFFICIAL_IDENTITY_FACILITY
OFFICIAL_COORDINATES
PHYSICAL_FACILITY_DEDUP
CURRENT_OPERATOR_SERVICES
USAGE_OR_FUNCTIONAL_TIER_REVIEW</x:v>
      </x:c>
      <x:c r="O210" s="21"/>
      <x:c r="P210" s="21"/>
      <x:c r="Q210" s="19" t="str">
        <x:v>北海道虻田郡洞爺湖町洞爺湖温泉</x:v>
      </x:c>
      <x:c r="R210" s="18" t="str">
        <x:v>navitime:91001-ani00854</x:v>
      </x:c>
      <x:c r="S210" s="19" t="str">
        <x:v>https://www.navitime.co.jp/poi?spot=91001-ani00854</x:v>
      </x:c>
      <x:c r="T210" s="19" t="str"/>
      <x:c r="U210" s="19" t="str"/>
      <x:c r="V210" s="19" t="str"/>
      <x:c r="W210" s="19"/>
      <x:c r="X210" s="18" t="str">
        <x:v>是</x:v>
      </x:c>
      <x:c r="Y210" s="18" t="str">
        <x:v>否</x:v>
      </x:c>
    </x:row>
    <x:row r="211" ht="61" customHeight="1">
      <x:c r="A211" s="19" t="str">
        <x:v>京都駅八条口高速バスのりば</x:v>
      </x:c>
      <x:c r="B211" s="19" t="str">
        <x:v>待审核</x:v>
      </x:c>
      <x:c r="C211" s="20" t="n">
        <x:v>1</x:v>
      </x:c>
      <x:c r="D211" s="18" t="str">
        <x:v>否</x:v>
      </x:c>
      <x:c r="E211" s="19"/>
      <x:c r="F211" s="20"/>
      <x:c r="G211" s="19" t="str">
        <x:v>USAGE_DATA_UNAVAILABLE</x:v>
      </x:c>
      <x:c r="H211" s="19"/>
      <x:c r="I211" s="18" t="str">
        <x:v>prior:transport-node:036ea903-63cb-5142-a162-1d5ea1df15fc</x:v>
      </x:c>
      <x:c r="J211" s="19" t="str">
        <x:v>部分官方证据</x:v>
      </x:c>
      <x:c r="K211" s="19" t="str">
        <x:v>待审核</x:v>
      </x:c>
      <x:c r="L211" s="19" t="str">
        <x:v>待审核</x:v>
      </x:c>
      <x:c r="M211" s="19" t="str">
        <x:v>官方对应与物理去重待审核</x:v>
      </x:c>
      <x:c r="N211" s="19" t="str">
        <x:v>OFFICIAL_COORDINATES
PHYSICAL_FACILITY_DEDUP
CURRENT_OPERATOR_SERVICES
USAGE_OR_FUNCTIONAL_TIER_REVIEW</x:v>
      </x:c>
      <x:c r="O211" s="21"/>
      <x:c r="P211" s="21"/>
      <x:c r="Q211" s="19"/>
      <x:c r="R211" s="18"/>
      <x:c r="S211" s="19"/>
      <x:c r="T211" s="19" t="str"/>
      <x:c r="U211" s="19" t="str"/>
      <x:c r="V211" s="19" t="str">
        <x:v>PRIOR_OFFICIAL_FACILITY_REVIEW
https://info.keihanbus.jp/highway/stop/kyoto-hachijo/</x:v>
      </x:c>
      <x:c r="W211" s="19"/>
      <x:c r="X211" s="18" t="str">
        <x:v>是</x:v>
      </x:c>
      <x:c r="Y211" s="18" t="str">
        <x:v>否</x:v>
      </x:c>
    </x:row>
    <x:row r="212" ht="61" customHeight="1">
      <x:c r="A212" s="19" t="str">
        <x:v>長崎県営バスターミナル</x:v>
      </x:c>
      <x:c r="B212" s="19" t="str">
        <x:v>待审核</x:v>
      </x:c>
      <x:c r="C212" s="20" t="n">
        <x:v>1</x:v>
      </x:c>
      <x:c r="D212" s="18" t="str">
        <x:v>否</x:v>
      </x:c>
      <x:c r="E212" s="19"/>
      <x:c r="F212" s="20"/>
      <x:c r="G212" s="19" t="str">
        <x:v>USAGE_DATA_UNAVAILABLE</x:v>
      </x:c>
      <x:c r="H212" s="19"/>
      <x:c r="I212" s="18" t="str">
        <x:v>prior:transport-node:2650a542-3bba-59d7-814d-b28314e37e4e</x:v>
      </x:c>
      <x:c r="J212" s="19" t="str">
        <x:v>部分官方证据</x:v>
      </x:c>
      <x:c r="K212" s="19" t="str">
        <x:v>待审核</x:v>
      </x:c>
      <x:c r="L212" s="19" t="str">
        <x:v>待审核</x:v>
      </x:c>
      <x:c r="M212" s="19" t="str">
        <x:v>官方对应与物理去重待审核</x:v>
      </x:c>
      <x:c r="N212" s="19" t="str">
        <x:v>OFFICIAL_COORDINATES
PHYSICAL_FACILITY_DEDUP
CURRENT_OPERATOR_SERVICES
USAGE_OR_FUNCTIONAL_TIER_REVIEW</x:v>
      </x:c>
      <x:c r="O212" s="21"/>
      <x:c r="P212" s="21"/>
      <x:c r="Q212" s="19"/>
      <x:c r="R212" s="18"/>
      <x:c r="S212" s="19"/>
      <x:c r="T212" s="19" t="str"/>
      <x:c r="U212" s="19" t="str"/>
      <x:c r="V212" s="19" t="str">
        <x:v>PRIOR_OFFICIAL_FACILITY_REVIEW
https://www.keneibus.jp/cellular/limousine/nagasaki/</x:v>
      </x:c>
      <x:c r="W212" s="19"/>
      <x:c r="X212" s="18" t="str">
        <x:v>是</x:v>
      </x:c>
      <x:c r="Y212" s="18" t="str">
        <x:v>否</x:v>
      </x:c>
    </x:row>
    <x:row r="213" ht="61" customHeight="1">
      <x:c r="A213" s="19" t="str">
        <x:v>西鉄天神高速バスターミナル</x:v>
      </x:c>
      <x:c r="B213" s="19" t="str">
        <x:v>待审核</x:v>
      </x:c>
      <x:c r="C213" s="20" t="n">
        <x:v>1</x:v>
      </x:c>
      <x:c r="D213" s="18" t="str">
        <x:v>否</x:v>
      </x:c>
      <x:c r="E213" s="19"/>
      <x:c r="F213" s="20"/>
      <x:c r="G213" s="19" t="str">
        <x:v>USAGE_DATA_UNAVAILABLE</x:v>
      </x:c>
      <x:c r="H213" s="19"/>
      <x:c r="I213" s="18" t="str">
        <x:v>prior:transport-node:29fb5208-6602-5d95-badf-bf9e3b756453</x:v>
      </x:c>
      <x:c r="J213" s="19" t="str">
        <x:v>部分官方证据</x:v>
      </x:c>
      <x:c r="K213" s="19" t="str">
        <x:v>待审核</x:v>
      </x:c>
      <x:c r="L213" s="19" t="str">
        <x:v>待审核</x:v>
      </x:c>
      <x:c r="M213" s="19" t="str">
        <x:v>官方对应与物理去重待审核</x:v>
      </x:c>
      <x:c r="N213" s="19" t="str">
        <x:v>OFFICIAL_COORDINATES
PHYSICAL_FACILITY_DEDUP
CURRENT_OPERATOR_SERVICES
USAGE_OR_FUNCTIONAL_TIER_REVIEW</x:v>
      </x:c>
      <x:c r="O213" s="21"/>
      <x:c r="P213" s="21"/>
      <x:c r="Q213" s="19"/>
      <x:c r="R213" s="18"/>
      <x:c r="S213" s="19"/>
      <x:c r="T213" s="19" t="str"/>
      <x:c r="U213" s="19" t="str"/>
      <x:c r="V213" s="19" t="str">
        <x:v>PRIOR_OFFICIAL_FACILITY_REVIEW
https://www.nishitetsu.jp/bus/highwaybus/bus_terminal/</x:v>
      </x:c>
      <x:c r="W213" s="19"/>
      <x:c r="X213" s="18" t="str">
        <x:v>是</x:v>
      </x:c>
      <x:c r="Y213" s="18" t="str">
        <x:v>否</x:v>
      </x:c>
    </x:row>
    <x:row r="214" ht="61" customHeight="1">
      <x:c r="A214" s="19" t="str">
        <x:v>札幌駅周辺仮設バス乗降場</x:v>
      </x:c>
      <x:c r="B214" s="19" t="str">
        <x:v>待审核</x:v>
      </x:c>
      <x:c r="C214" s="20" t="n">
        <x:v>1</x:v>
      </x:c>
      <x:c r="D214" s="18" t="str">
        <x:v>否</x:v>
      </x:c>
      <x:c r="E214" s="19"/>
      <x:c r="F214" s="20"/>
      <x:c r="G214" s="19" t="str">
        <x:v>USAGE_DATA_UNAVAILABLE</x:v>
      </x:c>
      <x:c r="H214" s="19"/>
      <x:c r="I214" s="18" t="str">
        <x:v>prior:transport-node:358a674e-af39-5970-9429-834ea0267042</x:v>
      </x:c>
      <x:c r="J214" s="19" t="str">
        <x:v>部分官方证据</x:v>
      </x:c>
      <x:c r="K214" s="19" t="str">
        <x:v>待审核</x:v>
      </x:c>
      <x:c r="L214" s="19" t="str">
        <x:v>待审核</x:v>
      </x:c>
      <x:c r="M214" s="19" t="str">
        <x:v>官方对应与物理去重待审核</x:v>
      </x:c>
      <x:c r="N214" s="19" t="str">
        <x:v>OFFICIAL_COORDINATES
PHYSICAL_FACILITY_DEDUP
CURRENT_OPERATOR_SERVICES
USAGE_OR_FUNCTIONAL_TIER_REVIEW</x:v>
      </x:c>
      <x:c r="O214" s="21"/>
      <x:c r="P214" s="21"/>
      <x:c r="Q214" s="19"/>
      <x:c r="R214" s="18"/>
      <x:c r="S214" s="19"/>
      <x:c r="T214" s="19" t="str"/>
      <x:c r="U214" s="19" t="str"/>
      <x:c r="V214" s="19" t="str">
        <x:v>PRIOR_OFFICIAL_FACILITY_REVIEW
https://www.city.sapporo.jp/sogokotsu/kasetsubus.html</x:v>
      </x:c>
      <x:c r="W214" s="19"/>
      <x:c r="X214" s="18" t="str">
        <x:v>是</x:v>
      </x:c>
      <x:c r="Y214" s="18" t="str">
        <x:v>否</x:v>
      </x:c>
    </x:row>
    <x:row r="215" ht="61" customHeight="1">
      <x:c r="A215" s="19" t="str">
        <x:v>南海なんば高速バスターミナル</x:v>
      </x:c>
      <x:c r="B215" s="19" t="str">
        <x:v>待审核</x:v>
      </x:c>
      <x:c r="C215" s="20" t="n">
        <x:v>1</x:v>
      </x:c>
      <x:c r="D215" s="18" t="str">
        <x:v>否</x:v>
      </x:c>
      <x:c r="E215" s="19"/>
      <x:c r="F215" s="20"/>
      <x:c r="G215" s="19" t="str">
        <x:v>USAGE_DATA_UNAVAILABLE</x:v>
      </x:c>
      <x:c r="H215" s="19"/>
      <x:c r="I215" s="18" t="str">
        <x:v>prior:transport-node:572ced04-8a08-53c2-9a0f-471fe9575e41</x:v>
      </x:c>
      <x:c r="J215" s="19" t="str">
        <x:v>部分官方证据</x:v>
      </x:c>
      <x:c r="K215" s="19" t="str">
        <x:v>待审核</x:v>
      </x:c>
      <x:c r="L215" s="19" t="str">
        <x:v>待审核</x:v>
      </x:c>
      <x:c r="M215" s="19" t="str">
        <x:v>官方对应与物理去重待审核</x:v>
      </x:c>
      <x:c r="N215" s="19" t="str">
        <x:v>OFFICIAL_COORDINATES
PHYSICAL_FACILITY_DEDUP
CURRENT_OPERATOR_SERVICES
USAGE_OR_FUNCTIONAL_TIER_REVIEW</x:v>
      </x:c>
      <x:c r="O215" s="21"/>
      <x:c r="P215" s="21"/>
      <x:c r="Q215" s="19"/>
      <x:c r="R215" s="18"/>
      <x:c r="S215" s="19"/>
      <x:c r="T215" s="19" t="str"/>
      <x:c r="U215" s="19" t="str"/>
      <x:c r="V215" s="19" t="str">
        <x:v>PRIOR_OFFICIAL_FACILITY_REVIEW
https://www.nankaibus.jp/highway/</x:v>
      </x:c>
      <x:c r="W215" s="19"/>
      <x:c r="X215" s="18" t="str">
        <x:v>是</x:v>
      </x:c>
      <x:c r="Y215" s="18" t="str">
        <x:v>否</x:v>
      </x:c>
    </x:row>
    <x:row r="216" ht="61" customHeight="1">
      <x:c r="A216" s="19" t="str">
        <x:v>宮交仙台高速バスセンター</x:v>
      </x:c>
      <x:c r="B216" s="19" t="str">
        <x:v>待审核</x:v>
      </x:c>
      <x:c r="C216" s="20" t="n">
        <x:v>1</x:v>
      </x:c>
      <x:c r="D216" s="18" t="str">
        <x:v>否</x:v>
      </x:c>
      <x:c r="E216" s="19"/>
      <x:c r="F216" s="20"/>
      <x:c r="G216" s="19" t="str">
        <x:v>USAGE_DATA_UNAVAILABLE</x:v>
      </x:c>
      <x:c r="H216" s="19"/>
      <x:c r="I216" s="18" t="str">
        <x:v>prior:transport-node:7fb21e3f-511f-54cf-820e-ef6c944ba0f5</x:v>
      </x:c>
      <x:c r="J216" s="19" t="str">
        <x:v>部分官方证据</x:v>
      </x:c>
      <x:c r="K216" s="19" t="str">
        <x:v>待审核</x:v>
      </x:c>
      <x:c r="L216" s="19" t="str">
        <x:v>待审核</x:v>
      </x:c>
      <x:c r="M216" s="19" t="str">
        <x:v>官方对应与物理去重待审核</x:v>
      </x:c>
      <x:c r="N216" s="19" t="str">
        <x:v>OFFICIAL_COORDINATES
PHYSICAL_FACILITY_DEDUP
CURRENT_OPERATOR_SERVICES
USAGE_OR_FUNCTIONAL_TIER_REVIEW</x:v>
      </x:c>
      <x:c r="O216" s="21"/>
      <x:c r="P216" s="21"/>
      <x:c r="Q216" s="19"/>
      <x:c r="R216" s="18"/>
      <x:c r="S216" s="19"/>
      <x:c r="T216" s="19" t="str"/>
      <x:c r="U216" s="19" t="str"/>
      <x:c r="V216" s="19" t="str">
        <x:v>PRIOR_OFFICIAL_FACILITY_REVIEW
https://www.miyakou.co.jp/bus-route/guide/sendai/</x:v>
      </x:c>
      <x:c r="W216" s="19"/>
      <x:c r="X216" s="18" t="str">
        <x:v>是</x:v>
      </x:c>
      <x:c r="Y216" s="18" t="str">
        <x:v>否</x:v>
      </x:c>
    </x:row>
    <x:row r="217" ht="61" customHeight="1">
      <x:c r="A217" s="19" t="str">
        <x:v>阪急高速バス大阪梅田ターミナル</x:v>
      </x:c>
      <x:c r="B217" s="19" t="str">
        <x:v>待审核</x:v>
      </x:c>
      <x:c r="C217" s="20" t="n">
        <x:v>1</x:v>
      </x:c>
      <x:c r="D217" s="18" t="str">
        <x:v>否</x:v>
      </x:c>
      <x:c r="E217" s="19"/>
      <x:c r="F217" s="20"/>
      <x:c r="G217" s="19" t="str">
        <x:v>USAGE_DATA_UNAVAILABLE</x:v>
      </x:c>
      <x:c r="H217" s="19"/>
      <x:c r="I217" s="18" t="str">
        <x:v>prior:transport-node:ff5fc129-9360-5943-9650-5b62dc337193</x:v>
      </x:c>
      <x:c r="J217" s="19" t="str">
        <x:v>部分官方证据</x:v>
      </x:c>
      <x:c r="K217" s="19" t="str">
        <x:v>待审核</x:v>
      </x:c>
      <x:c r="L217" s="19" t="str">
        <x:v>待审核</x:v>
      </x:c>
      <x:c r="M217" s="19" t="str">
        <x:v>官方对应与物理去重待审核</x:v>
      </x:c>
      <x:c r="N217" s="19" t="str">
        <x:v>OFFICIAL_COORDINATES
PHYSICAL_FACILITY_DEDUP
CURRENT_OPERATOR_SERVICES
USAGE_OR_FUNCTIONAL_TIER_REVIEW</x:v>
      </x:c>
      <x:c r="O217" s="21"/>
      <x:c r="P217" s="21"/>
      <x:c r="Q217" s="19"/>
      <x:c r="R217" s="18"/>
      <x:c r="S217" s="19"/>
      <x:c r="T217" s="19" t="str"/>
      <x:c r="U217" s="19" t="str"/>
      <x:c r="V217" s="19" t="str">
        <x:v>PRIOR_OFFICIAL_FACILITY_REVIEW
https://www.hankyu-kankobus.co.jp/highway/map/post/</x:v>
      </x:c>
      <x:c r="W217" s="19"/>
      <x:c r="X217" s="18" t="str">
        <x:v>是</x:v>
      </x:c>
      <x:c r="Y217" s="18" t="str">
        <x:v>否</x:v>
      </x:c>
    </x:row>
  </x:sheetData>
  <x:conditionalFormatting sqref="B6:B217">
    <x:cfRule type="containsText" dxfId="11" priority="1" operator="containsText" text="待"/>
  </x:conditionalFormatting>
  <x:conditionalFormatting sqref="E6:E217">
    <x:cfRule type="containsText" dxfId="12" priority="2" operator="containsText" text="待"/>
  </x:conditionalFormatting>
  <x:conditionalFormatting sqref="J6:J217">
    <x:cfRule type="containsText" dxfId="13" priority="3" operator="containsText" text="待"/>
  </x:conditionalFormatting>
  <x:conditionalFormatting sqref="K6:K217">
    <x:cfRule type="containsText" dxfId="14" priority="4" operator="containsText" text="待"/>
  </x:conditionalFormatting>
  <x:conditionalFormatting sqref="L6:L217">
    <x:cfRule type="containsText" dxfId="15" priority="5" operator="containsText" text="待"/>
  </x:conditionalFormatting>
  <x:conditionalFormatting sqref="M6:M217">
    <x:cfRule type="containsText" dxfId="16" priority="6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b6142823eb644fe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6" hidden="0" customWidth="1"/>
    <x:col min="5" max="5" width="29" hidden="0" customWidth="1"/>
    <x:col min="6" max="6" width="17" hidden="0" customWidth="1"/>
    <x:col min="7" max="7" width="27" hidden="0" customWidth="1"/>
    <x:col min="8" max="8" width="32" hidden="0" customWidth="1"/>
    <x:col min="9" max="9" width="65" hidden="0" customWidth="1"/>
    <x:col min="10" max="10" width="37" hidden="0" customWidth="1"/>
    <x:col min="11" max="11" width="65" hidden="0" customWidth="1"/>
    <x:col min="12" max="12" width="24" hidden="0" customWidth="1"/>
    <x:col min="13" max="13" width="17" hidden="0" customWidth="1"/>
    <x:col min="14" max="14" width="18" hidden="0" customWidth="1"/>
    <x:col min="15" max="15" width="22" hidden="0" customWidth="1"/>
    <x:col min="16" max="16" width="46" hidden="0" customWidth="1"/>
    <x:col min="17" max="17" width="95" hidden="0" customWidth="1"/>
    <x:col min="18" max="18" width="100" hidden="0" customWidth="1"/>
    <x:col min="19" max="19" width="24" hidden="0" customWidth="1"/>
    <x:col min="20" max="20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" customHeight="1">
      <x:c r="A2" s="4" t="str">
        <x:v>换乘站区与拟定 Hub 等级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6" t="str">
        <x:v>261 个范围，261 个附官方依据；大阪仍为 52 个。所列组件缺失 0、归组歧义 0；正式接收仍待核。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6" t="str">
        <x:v>来源：data/transport/nodes/task-084-b-v2-amendment-review/hub-component-completeness-review.jsonl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4" customHeight="1">
      <x:c r="A5" s="15" t="str">
        <x:v>Hub 审核名称</x:v>
      </x:c>
      <x:c r="B5" s="16" t="str">
        <x:v>拟 Hub 等级</x:v>
      </x:c>
      <x:c r="C5" s="16" t="str">
        <x:v>期望组件数</x:v>
      </x:c>
      <x:c r="D5" s="16" t="str">
        <x:v>运营方数</x:v>
      </x:c>
      <x:c r="E5" s="16" t="str">
        <x:v>官方边界证据状态</x:v>
      </x:c>
      <x:c r="F5" s="16" t="str">
        <x:v>缺失组件数</x:v>
      </x:c>
      <x:c r="G5" s="16" t="str">
        <x:v>组件审核状态</x:v>
      </x:c>
      <x:c r="H5" s="16" t="str">
        <x:v>区域审核范围</x:v>
      </x:c>
      <x:c r="I5" s="16" t="str">
        <x:v>拟 Hub ID</x:v>
      </x:c>
      <x:c r="J5" s="16" t="str">
        <x:v>替代原审核范围</x:v>
      </x:c>
      <x:c r="K5" s="16" t="str">
        <x:v>原 Hub ID 列表</x:v>
      </x:c>
      <x:c r="L5" s="16" t="str">
        <x:v>正式 parentHub 授权</x:v>
      </x:c>
      <x:c r="M5" s="16" t="str">
        <x:v>同名合并</x:v>
      </x:c>
      <x:c r="N5" s="16" t="str">
        <x:v>仅距离合并</x:v>
      </x:c>
      <x:c r="O5" s="16" t="str">
        <x:v>官方边界证据数</x:v>
      </x:c>
      <x:c r="P5" s="16" t="str">
        <x:v>证据定位</x:v>
      </x:c>
      <x:c r="Q5" s="16" t="str">
        <x:v>范围说明</x:v>
      </x:c>
      <x:c r="R5" s="16" t="str">
        <x:v>运营方沿革</x:v>
      </x:c>
      <x:c r="S5" s="16" t="str">
        <x:v>城市/审核圈</x:v>
      </x:c>
      <x:c r="T5" s="17" t="str">
        <x:v>归组歧义数</x:v>
      </x:c>
    </x:row>
    <x:row r="6" ht="47" customHeight="1">
      <x:c r="A6" s="19" t="str">
        <x:v>武蔵小杉</x:v>
      </x:c>
      <x:c r="B6" s="18" t="str">
        <x:v>T0</x:v>
      </x:c>
      <x:c r="C6" s="20" t="n">
        <x:v>2</x:v>
      </x:c>
      <x:c r="D6" s="20" t="n">
        <x:v>2</x:v>
      </x:c>
      <x:c r="E6" s="19" t="str">
        <x:v>有官方换乘依据</x:v>
      </x:c>
      <x:c r="F6" s="20" t="n">
        <x:v>0</x:v>
      </x:c>
      <x:c r="G6" s="19" t="str">
        <x:v>组件待审核</x:v>
      </x:c>
      <x:c r="H6" s="18" t="str">
        <x:v>NATIONAL_CITY_INTERCHANGE_EXPANSION</x:v>
      </x:c>
      <x:c r="I6" s="18" t="str">
        <x:v>transport-hub-review:dc5fa549-03e0-5085-8412-720182baca9d</x:v>
      </x:c>
      <x:c r="J6" s="19" t="str"/>
      <x:c r="K6" s="19" t="str"/>
      <x:c r="L6" s="18" t="str">
        <x:v>否</x:v>
      </x:c>
      <x:c r="M6" s="18" t="str">
        <x:v>否</x:v>
      </x:c>
      <x:c r="N6" s="18" t="str">
        <x:v>否</x:v>
      </x:c>
      <x:c r="O6" s="20" t="n">
        <x:v>3</x:v>
      </x:c>
      <x:c r="P6" s="19" t="str">
        <x:v>详见 Hub证据 页，按本 Hub 名称筛选</x:v>
      </x:c>
      <x:c r="Q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6" s="19"/>
      <x:c r="S6" s="18" t="str">
        <x:v>川崎圈</x:v>
      </x:c>
      <x:c r="T6" s="20" t="n">
        <x:v>0</x:v>
      </x:c>
    </x:row>
    <x:row r="7" ht="47" customHeight="1">
      <x:c r="A7" s="19" t="str">
        <x:v>立川</x:v>
      </x:c>
      <x:c r="B7" s="18" t="str">
        <x:v>T0</x:v>
      </x:c>
      <x:c r="C7" s="20" t="n">
        <x:v>3</x:v>
      </x:c>
      <x:c r="D7" s="20" t="n">
        <x:v>2</x:v>
      </x:c>
      <x:c r="E7" s="19" t="str">
        <x:v>有官方换乘依据</x:v>
      </x:c>
      <x:c r="F7" s="20" t="n">
        <x:v>0</x:v>
      </x:c>
      <x:c r="G7" s="19" t="str">
        <x:v>组件待审核</x:v>
      </x:c>
      <x:c r="H7" s="18" t="str">
        <x:v>NATIONAL_CITY_INTERCHANGE_EXPANSION</x:v>
      </x:c>
      <x:c r="I7" s="18" t="str">
        <x:v>transport-hub-review:b5df1a9a-192f-5074-9253-71bc6ceb8378</x:v>
      </x:c>
      <x:c r="J7" s="19" t="str"/>
      <x:c r="K7" s="19" t="str"/>
      <x:c r="L7" s="18" t="str">
        <x:v>否</x:v>
      </x:c>
      <x:c r="M7" s="18" t="str">
        <x:v>否</x:v>
      </x:c>
      <x:c r="N7" s="18" t="str">
        <x:v>否</x:v>
      </x:c>
      <x:c r="O7" s="20" t="n">
        <x:v>2</x:v>
      </x:c>
      <x:c r="P7" s="19" t="str">
        <x:v>详见 Hub证据 页，按本 Hub 名称筛选</x:v>
      </x:c>
      <x:c r="Q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7" s="19"/>
      <x:c r="S7" s="18" t="str">
        <x:v>东京多摩</x:v>
      </x:c>
      <x:c r="T7" s="20" t="n">
        <x:v>0</x:v>
      </x:c>
    </x:row>
    <x:row r="8" ht="47" customHeight="1">
      <x:c r="A8" s="19" t="str">
        <x:v>吉祥寺</x:v>
      </x:c>
      <x:c r="B8" s="18" t="str">
        <x:v>T0</x:v>
      </x:c>
      <x:c r="C8" s="20" t="n">
        <x:v>2</x:v>
      </x:c>
      <x:c r="D8" s="20" t="n">
        <x:v>2</x:v>
      </x:c>
      <x:c r="E8" s="19" t="str">
        <x:v>有官方换乘依据</x:v>
      </x:c>
      <x:c r="F8" s="20" t="n">
        <x:v>0</x:v>
      </x:c>
      <x:c r="G8" s="19" t="str">
        <x:v>组件待审核</x:v>
      </x:c>
      <x:c r="H8" s="18" t="str">
        <x:v>NATIONAL_CITY_INTERCHANGE_EXPANSION</x:v>
      </x:c>
      <x:c r="I8" s="18" t="str">
        <x:v>transport-hub-review:c59f7b88-82d9-5fd5-bc13-91fd3f0f6618</x:v>
      </x:c>
      <x:c r="J8" s="19" t="str"/>
      <x:c r="K8" s="19" t="str"/>
      <x:c r="L8" s="18" t="str">
        <x:v>否</x:v>
      </x:c>
      <x:c r="M8" s="18" t="str">
        <x:v>否</x:v>
      </x:c>
      <x:c r="N8" s="18" t="str">
        <x:v>否</x:v>
      </x:c>
      <x:c r="O8" s="20" t="n">
        <x:v>1</x:v>
      </x:c>
      <x:c r="P8" s="19" t="str">
        <x:v>详见 Hub证据 页，按本 Hub 名称筛选</x:v>
      </x:c>
      <x:c r="Q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8" s="19"/>
      <x:c r="S8" s="18" t="str">
        <x:v>东京多摩</x:v>
      </x:c>
      <x:c r="T8" s="20" t="n">
        <x:v>0</x:v>
      </x:c>
    </x:row>
    <x:row r="9" ht="47" customHeight="1">
      <x:c r="A9" s="19" t="str">
        <x:v>町田</x:v>
      </x:c>
      <x:c r="B9" s="18" t="str">
        <x:v>T0</x:v>
      </x:c>
      <x:c r="C9" s="20" t="n">
        <x:v>2</x:v>
      </x:c>
      <x:c r="D9" s="20" t="n">
        <x:v>2</x:v>
      </x:c>
      <x:c r="E9" s="19" t="str">
        <x:v>有官方换乘依据</x:v>
      </x:c>
      <x:c r="F9" s="20" t="n">
        <x:v>0</x:v>
      </x:c>
      <x:c r="G9" s="19" t="str">
        <x:v>组件待审核</x:v>
      </x:c>
      <x:c r="H9" s="18" t="str">
        <x:v>NATIONAL_CITY_INTERCHANGE_EXPANSION</x:v>
      </x:c>
      <x:c r="I9" s="18" t="str">
        <x:v>transport-hub-review:bf8c88cb-e52c-5e41-b80a-c0aff8f4c168</x:v>
      </x:c>
      <x:c r="J9" s="19" t="str"/>
      <x:c r="K9" s="19" t="str"/>
      <x:c r="L9" s="18" t="str">
        <x:v>否</x:v>
      </x:c>
      <x:c r="M9" s="18" t="str">
        <x:v>否</x:v>
      </x:c>
      <x:c r="N9" s="18" t="str">
        <x:v>否</x:v>
      </x:c>
      <x:c r="O9" s="20" t="n">
        <x:v>1</x:v>
      </x:c>
      <x:c r="P9" s="19" t="str">
        <x:v>详见 Hub证据 页，按本 Hub 名称筛选</x:v>
      </x:c>
      <x:c r="Q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9" s="19"/>
      <x:c r="S9" s="18" t="str">
        <x:v>东京多摩</x:v>
      </x:c>
      <x:c r="T9" s="20" t="n">
        <x:v>0</x:v>
      </x:c>
    </x:row>
    <x:row r="10" ht="47" customHeight="1">
      <x:c r="A10" s="19" t="str">
        <x:v>浜松町・大門</x:v>
      </x:c>
      <x:c r="B10" s="18" t="str">
        <x:v>T0</x:v>
      </x:c>
      <x:c r="C10" s="20" t="n">
        <x:v>3</x:v>
      </x:c>
      <x:c r="D10" s="20" t="n">
        <x:v>3</x:v>
      </x:c>
      <x:c r="E10" s="19" t="str">
        <x:v>有官方换乘依据</x:v>
      </x:c>
      <x:c r="F10" s="20" t="n">
        <x:v>0</x:v>
      </x:c>
      <x:c r="G10" s="19" t="str">
        <x:v>组件待审核</x:v>
      </x:c>
      <x:c r="H10" s="18" t="str">
        <x:v>NATIONAL_CITY_INTERCHANGE_EXPANSION</x:v>
      </x:c>
      <x:c r="I10" s="18" t="str">
        <x:v>transport-hub-review:f5527a45-84f9-5ed7-92ba-fde5ceafd3da</x:v>
      </x:c>
      <x:c r="J10" s="19" t="str"/>
      <x:c r="K10" s="19" t="str"/>
      <x:c r="L10" s="18" t="str">
        <x:v>否</x:v>
      </x:c>
      <x:c r="M10" s="18" t="str">
        <x:v>否</x:v>
      </x:c>
      <x:c r="N10" s="18" t="str">
        <x:v>否</x:v>
      </x:c>
      <x:c r="O10" s="20" t="n">
        <x:v>1</x:v>
      </x:c>
      <x:c r="P10" s="19" t="str">
        <x:v>详见 Hub证据 页，按本 Hub 名称筛选</x:v>
      </x:c>
      <x:c r="Q1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0" s="19"/>
      <x:c r="S10" s="18" t="str">
        <x:v>东京23区</x:v>
      </x:c>
      <x:c r="T10" s="20" t="n">
        <x:v>0</x:v>
      </x:c>
    </x:row>
    <x:row r="11" ht="47" customHeight="1">
      <x:c r="A11" s="19" t="str">
        <x:v>日暮里</x:v>
      </x:c>
      <x:c r="B11" s="18" t="str">
        <x:v>T0</x:v>
      </x:c>
      <x:c r="C11" s="20" t="n">
        <x:v>3</x:v>
      </x:c>
      <x:c r="D11" s="20" t="n">
        <x:v>3</x:v>
      </x:c>
      <x:c r="E11" s="19" t="str">
        <x:v>有官方换乘依据</x:v>
      </x:c>
      <x:c r="F11" s="20" t="n">
        <x:v>0</x:v>
      </x:c>
      <x:c r="G11" s="19" t="str">
        <x:v>组件待审核</x:v>
      </x:c>
      <x:c r="H11" s="18" t="str">
        <x:v>NATIONAL_CITY_INTERCHANGE_EXPANSION</x:v>
      </x:c>
      <x:c r="I11" s="18" t="str">
        <x:v>transport-hub-review:8c8e8a34-79f1-50b9-a4a1-f55d4a8ac8c5</x:v>
      </x:c>
      <x:c r="J11" s="19" t="str"/>
      <x:c r="K11" s="19" t="str"/>
      <x:c r="L11" s="18" t="str">
        <x:v>否</x:v>
      </x:c>
      <x:c r="M11" s="18" t="str">
        <x:v>否</x:v>
      </x:c>
      <x:c r="N11" s="18" t="str">
        <x:v>否</x:v>
      </x:c>
      <x:c r="O11" s="20" t="n">
        <x:v>1</x:v>
      </x:c>
      <x:c r="P11" s="19" t="str">
        <x:v>详见 Hub证据 页，按本 Hub 名称筛选</x:v>
      </x:c>
      <x:c r="Q1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" s="19"/>
      <x:c r="S11" s="18" t="str">
        <x:v>东京23区</x:v>
      </x:c>
      <x:c r="T11" s="20" t="n">
        <x:v>0</x:v>
      </x:c>
    </x:row>
    <x:row r="12" ht="47" customHeight="1">
      <x:c r="A12" s="19" t="str">
        <x:v>金山</x:v>
      </x:c>
      <x:c r="B12" s="18" t="str">
        <x:v>T1</x:v>
      </x:c>
      <x:c r="C12" s="20" t="n">
        <x:v>3</x:v>
      </x:c>
      <x:c r="D12" s="20" t="n">
        <x:v>3</x:v>
      </x:c>
      <x:c r="E12" s="19" t="str">
        <x:v>有官方换乘依据</x:v>
      </x:c>
      <x:c r="F12" s="20" t="n">
        <x:v>0</x:v>
      </x:c>
      <x:c r="G12" s="19" t="str">
        <x:v>组件待审核</x:v>
      </x:c>
      <x:c r="H12" s="18" t="str">
        <x:v>NATIONAL_CITY_INTERCHANGE_EXPANSION</x:v>
      </x:c>
      <x:c r="I12" s="18" t="str">
        <x:v>transport-hub-review:57043f7e-57fa-562f-b9f1-4143caf49e26</x:v>
      </x:c>
      <x:c r="J12" s="19" t="str"/>
      <x:c r="K12" s="19" t="str"/>
      <x:c r="L12" s="18" t="str">
        <x:v>否</x:v>
      </x:c>
      <x:c r="M12" s="18" t="str">
        <x:v>否</x:v>
      </x:c>
      <x:c r="N12" s="18" t="str">
        <x:v>否</x:v>
      </x:c>
      <x:c r="O12" s="20" t="n">
        <x:v>1</x:v>
      </x:c>
      <x:c r="P12" s="19" t="str">
        <x:v>详见 Hub证据 页，按本 Hub 名称筛选</x:v>
      </x:c>
      <x:c r="Q1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2" s="19"/>
      <x:c r="S12" s="18" t="str">
        <x:v>名古屋圈</x:v>
      </x:c>
      <x:c r="T12" s="20" t="n">
        <x:v>0</x:v>
      </x:c>
    </x:row>
    <x:row r="13" ht="47" customHeight="1">
      <x:c r="A13" s="19" t="str">
        <x:v>大曽根</x:v>
      </x:c>
      <x:c r="B13" s="18" t="str">
        <x:v>T1</x:v>
      </x:c>
      <x:c r="C13" s="20" t="n">
        <x:v>4</x:v>
      </x:c>
      <x:c r="D13" s="20" t="n">
        <x:v>4</x:v>
      </x:c>
      <x:c r="E13" s="19" t="str">
        <x:v>有官方换乘依据</x:v>
      </x:c>
      <x:c r="F13" s="20" t="n">
        <x:v>0</x:v>
      </x:c>
      <x:c r="G13" s="19" t="str">
        <x:v>组件待审核</x:v>
      </x:c>
      <x:c r="H13" s="18" t="str">
        <x:v>NATIONAL_CITY_INTERCHANGE_EXPANSION</x:v>
      </x:c>
      <x:c r="I13" s="18" t="str">
        <x:v>transport-hub-review:34dc1348-9c78-5a4c-a3f3-0a77356c11ac</x:v>
      </x:c>
      <x:c r="J13" s="19" t="str"/>
      <x:c r="K13" s="19" t="str"/>
      <x:c r="L13" s="18" t="str">
        <x:v>否</x:v>
      </x:c>
      <x:c r="M13" s="18" t="str">
        <x:v>否</x:v>
      </x:c>
      <x:c r="N13" s="18" t="str">
        <x:v>否</x:v>
      </x:c>
      <x:c r="O13" s="20" t="n">
        <x:v>1</x:v>
      </x:c>
      <x:c r="P13" s="19" t="str">
        <x:v>详见 Hub证据 页，按本 Hub 名称筛选</x:v>
      </x:c>
      <x:c r="Q1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" s="19"/>
      <x:c r="S13" s="18" t="str">
        <x:v>名古屋圈</x:v>
      </x:c>
      <x:c r="T13" s="20" t="n">
        <x:v>0</x:v>
      </x:c>
    </x:row>
    <x:row r="14" ht="47" customHeight="1">
      <x:c r="A14" s="19" t="str">
        <x:v>新神戸</x:v>
      </x:c>
      <x:c r="B14" s="18" t="str">
        <x:v>T2</x:v>
      </x:c>
      <x:c r="C14" s="20" t="n">
        <x:v>2</x:v>
      </x:c>
      <x:c r="D14" s="20" t="n">
        <x:v>2</x:v>
      </x:c>
      <x:c r="E14" s="19" t="str">
        <x:v>有官方换乘依据</x:v>
      </x:c>
      <x:c r="F14" s="20" t="n">
        <x:v>0</x:v>
      </x:c>
      <x:c r="G14" s="19" t="str">
        <x:v>组件待审核</x:v>
      </x:c>
      <x:c r="H14" s="18" t="str">
        <x:v>NATIONAL_CITY_INTERCHANGE_EXPANSION</x:v>
      </x:c>
      <x:c r="I14" s="18" t="str">
        <x:v>transport-hub-review:aa60527a-3d72-58f6-b2d8-f769279dcc8c</x:v>
      </x:c>
      <x:c r="J14" s="19" t="str"/>
      <x:c r="K14" s="19" t="str"/>
      <x:c r="L14" s="18" t="str">
        <x:v>否</x:v>
      </x:c>
      <x:c r="M14" s="18" t="str">
        <x:v>否</x:v>
      </x:c>
      <x:c r="N14" s="18" t="str">
        <x:v>否</x:v>
      </x:c>
      <x:c r="O14" s="20" t="n">
        <x:v>1</x:v>
      </x:c>
      <x:c r="P14" s="19" t="str">
        <x:v>详见 Hub证据 页，按本 Hub 名称筛选</x:v>
      </x:c>
      <x:c r="Q1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4" s="19"/>
      <x:c r="S14" s="18" t="str">
        <x:v>神户</x:v>
      </x:c>
      <x:c r="T14" s="20" t="n">
        <x:v>0</x:v>
      </x:c>
    </x:row>
    <x:row r="15" ht="47" customHeight="1">
      <x:c r="A15" s="19" t="str">
        <x:v>天神・西鉄福岡・天神南</x:v>
      </x:c>
      <x:c r="B15" s="18" t="str">
        <x:v>T1</x:v>
      </x:c>
      <x:c r="C15" s="20" t="n">
        <x:v>3</x:v>
      </x:c>
      <x:c r="D15" s="20" t="n">
        <x:v>2</x:v>
      </x:c>
      <x:c r="E15" s="19" t="str">
        <x:v>有官方换乘依据</x:v>
      </x:c>
      <x:c r="F15" s="20" t="n">
        <x:v>0</x:v>
      </x:c>
      <x:c r="G15" s="19" t="str">
        <x:v>组件待审核</x:v>
      </x:c>
      <x:c r="H15" s="18" t="str">
        <x:v>NATIONAL_CITY_INTERCHANGE_EXPANSION</x:v>
      </x:c>
      <x:c r="I15" s="18" t="str">
        <x:v>transport-hub-review:063472a3-45f9-5bb7-8a3b-d43f8c6c39a1</x:v>
      </x:c>
      <x:c r="J15" s="19" t="str"/>
      <x:c r="K15" s="19" t="str"/>
      <x:c r="L15" s="18" t="str">
        <x:v>否</x:v>
      </x:c>
      <x:c r="M15" s="18" t="str">
        <x:v>否</x:v>
      </x:c>
      <x:c r="N15" s="18" t="str">
        <x:v>否</x:v>
      </x:c>
      <x:c r="O15" s="20" t="n">
        <x:v>1</x:v>
      </x:c>
      <x:c r="P15" s="19" t="str">
        <x:v>详见 Hub证据 页，按本 Hub 名称筛选</x:v>
      </x:c>
      <x:c r="Q1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5" s="19"/>
      <x:c r="S15" s="18" t="str">
        <x:v>福冈</x:v>
      </x:c>
      <x:c r="T15" s="20" t="n">
        <x:v>0</x:v>
      </x:c>
    </x:row>
    <x:row r="16" ht="47" customHeight="1">
      <x:c r="A16" s="19" t="str">
        <x:v>新札幌・新さっぽろ</x:v>
      </x:c>
      <x:c r="B16" s="18" t="str">
        <x:v>T2</x:v>
      </x:c>
      <x:c r="C16" s="20" t="n">
        <x:v>2</x:v>
      </x:c>
      <x:c r="D16" s="20" t="n">
        <x:v>2</x:v>
      </x:c>
      <x:c r="E16" s="19" t="str">
        <x:v>有官方换乘依据</x:v>
      </x:c>
      <x:c r="F16" s="20" t="n">
        <x:v>0</x:v>
      </x:c>
      <x:c r="G16" s="19" t="str">
        <x:v>组件待审核</x:v>
      </x:c>
      <x:c r="H16" s="18" t="str">
        <x:v>NATIONAL_CITY_INTERCHANGE_EXPANSION</x:v>
      </x:c>
      <x:c r="I16" s="18" t="str">
        <x:v>transport-hub-review:52ce6659-da96-53e4-846d-77821541fd23</x:v>
      </x:c>
      <x:c r="J16" s="19" t="str"/>
      <x:c r="K16" s="19" t="str"/>
      <x:c r="L16" s="18" t="str">
        <x:v>否</x:v>
      </x:c>
      <x:c r="M16" s="18" t="str">
        <x:v>否</x:v>
      </x:c>
      <x:c r="N16" s="18" t="str">
        <x:v>否</x:v>
      </x:c>
      <x:c r="O16" s="20" t="n">
        <x:v>1</x:v>
      </x:c>
      <x:c r="P16" s="19" t="str">
        <x:v>详见 Hub证据 页，按本 Hub 名称筛选</x:v>
      </x:c>
      <x:c r="Q1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6" s="19"/>
      <x:c r="S16" s="18" t="str">
        <x:v>札幌</x:v>
      </x:c>
      <x:c r="T16" s="20" t="n">
        <x:v>0</x:v>
      </x:c>
    </x:row>
    <x:row r="17" ht="47" customHeight="1">
      <x:c r="A17" s="19" t="str">
        <x:v>北仙台</x:v>
      </x:c>
      <x:c r="B17" s="18" t="str">
        <x:v>T3</x:v>
      </x:c>
      <x:c r="C17" s="20" t="n">
        <x:v>2</x:v>
      </x:c>
      <x:c r="D17" s="20" t="n">
        <x:v>2</x:v>
      </x:c>
      <x:c r="E17" s="19" t="str">
        <x:v>有官方换乘依据</x:v>
      </x:c>
      <x:c r="F17" s="20" t="n">
        <x:v>0</x:v>
      </x:c>
      <x:c r="G17" s="19" t="str">
        <x:v>组件待审核</x:v>
      </x:c>
      <x:c r="H17" s="18" t="str">
        <x:v>NATIONAL_CITY_INTERCHANGE_EXPANSION</x:v>
      </x:c>
      <x:c r="I17" s="18" t="str">
        <x:v>transport-hub-review:21271627-f15d-59ec-a1da-3dd532427eca</x:v>
      </x:c>
      <x:c r="J17" s="19" t="str"/>
      <x:c r="K17" s="19" t="str"/>
      <x:c r="L17" s="18" t="str">
        <x:v>否</x:v>
      </x:c>
      <x:c r="M17" s="18" t="str">
        <x:v>否</x:v>
      </x:c>
      <x:c r="N17" s="18" t="str">
        <x:v>否</x:v>
      </x:c>
      <x:c r="O17" s="20" t="n">
        <x:v>1</x:v>
      </x:c>
      <x:c r="P17" s="19" t="str">
        <x:v>详见 Hub证据 页，按本 Hub 名称筛选</x:v>
      </x:c>
      <x:c r="Q1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7" s="19"/>
      <x:c r="S17" s="18" t="str">
        <x:v>仙台</x:v>
      </x:c>
      <x:c r="T17" s="20" t="n">
        <x:v>0</x:v>
      </x:c>
    </x:row>
    <x:row r="18" ht="47" customHeight="1">
      <x:c r="A18" s="19" t="str">
        <x:v>新白島</x:v>
      </x:c>
      <x:c r="B18" s="18" t="str">
        <x:v>T2</x:v>
      </x:c>
      <x:c r="C18" s="20" t="n">
        <x:v>2</x:v>
      </x:c>
      <x:c r="D18" s="20" t="n">
        <x:v>2</x:v>
      </x:c>
      <x:c r="E18" s="19" t="str">
        <x:v>有官方换乘依据</x:v>
      </x:c>
      <x:c r="F18" s="20" t="n">
        <x:v>0</x:v>
      </x:c>
      <x:c r="G18" s="19" t="str">
        <x:v>组件待审核</x:v>
      </x:c>
      <x:c r="H18" s="18" t="str">
        <x:v>NATIONAL_CITY_INTERCHANGE_EXPANSION</x:v>
      </x:c>
      <x:c r="I18" s="18" t="str">
        <x:v>transport-hub-review:469d5ce9-bdcd-50f2-9e53-3b08050465f5</x:v>
      </x:c>
      <x:c r="J18" s="19" t="str"/>
      <x:c r="K18" s="19" t="str"/>
      <x:c r="L18" s="18" t="str">
        <x:v>否</x:v>
      </x:c>
      <x:c r="M18" s="18" t="str">
        <x:v>否</x:v>
      </x:c>
      <x:c r="N18" s="18" t="str">
        <x:v>否</x:v>
      </x:c>
      <x:c r="O18" s="20" t="n">
        <x:v>1</x:v>
      </x:c>
      <x:c r="P18" s="19" t="str">
        <x:v>详见 Hub证据 页，按本 Hub 名称筛选</x:v>
      </x:c>
      <x:c r="Q1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" s="19"/>
      <x:c r="S18" s="18" t="str">
        <x:v>广岛</x:v>
      </x:c>
      <x:c r="T18" s="20" t="n">
        <x:v>0</x:v>
      </x:c>
    </x:row>
    <x:row r="19" ht="33" customHeight="1">
      <x:c r="A19" s="19" t="str">
        <x:v>なんば・大阪難波</x:v>
      </x:c>
      <x:c r="B19" s="18" t="str">
        <x:v>T0</x:v>
      </x:c>
      <x:c r="C19" s="20" t="n">
        <x:v>5</x:v>
      </x:c>
      <x:c r="D19" s="20" t="n">
        <x:v>5</x:v>
      </x:c>
      <x:c r="E19" s="19" t="str">
        <x:v>有官方换乘依据</x:v>
      </x:c>
      <x:c r="F19" s="20" t="n">
        <x:v>0</x:v>
      </x:c>
      <x:c r="G19" s="19" t="str">
        <x:v>组件待审核</x:v>
      </x:c>
      <x:c r="H19" s="18" t="str">
        <x:v>OSAKA_METRO_NETWORK</x:v>
      </x:c>
      <x:c r="I19" s="18" t="str">
        <x:v>transport-hub-review:58068a40-9f72-57b2-9003-7470fd60b33f</x:v>
      </x:c>
      <x:c r="J19" s="19" t="str"/>
      <x:c r="K19" s="19" t="str"/>
      <x:c r="L19" s="18" t="str">
        <x:v>否</x:v>
      </x:c>
      <x:c r="M19" s="18" t="str">
        <x:v>否</x:v>
      </x:c>
      <x:c r="N19" s="18" t="str">
        <x:v>否</x:v>
      </x:c>
      <x:c r="O19" s="20" t="n">
        <x:v>6</x:v>
      </x:c>
      <x:c r="P19" s="19" t="str">
        <x:v>详见 Hub证据 页，按本 Hub 名称筛选</x:v>
      </x:c>
      <x:c r="Q19" s="19" t="str">
        <x:v>Official operator transfer guide defines the proposed interchange area. Each physical station/operator/mode stays separate.</x:v>
      </x:c>
      <x:c r="R19" s="19"/>
      <x:c r="S19" s="18" t="str">
        <x:v>大阪圈</x:v>
      </x:c>
      <x:c r="T19" s="20" t="n">
        <x:v>0</x:v>
      </x:c>
    </x:row>
    <x:row r="20" ht="33" customHeight="1">
      <x:c r="A20" s="19" t="str">
        <x:v>綾瀬</x:v>
      </x:c>
      <x:c r="B20" s="18" t="str">
        <x:v>T0</x:v>
      </x:c>
      <x:c r="C20" s="20" t="n">
        <x:v>2</x:v>
      </x:c>
      <x:c r="D20" s="20" t="n">
        <x:v>2</x:v>
      </x:c>
      <x:c r="E20" s="19" t="str">
        <x:v>有官方换乘依据</x:v>
      </x:c>
      <x:c r="F20" s="20" t="n">
        <x:v>0</x:v>
      </x:c>
      <x:c r="G20" s="19" t="str">
        <x:v>组件待审核</x:v>
      </x:c>
      <x:c r="H20" s="18" t="str">
        <x:v>TOKYO_METRO_NETWORK</x:v>
      </x:c>
      <x:c r="I20" s="18" t="str">
        <x:v>transport-hub-review:816100fd-b4a2-5490-9d5b-2cff9761f595</x:v>
      </x:c>
      <x:c r="J20" s="19" t="str"/>
      <x:c r="K20" s="19" t="str"/>
      <x:c r="L20" s="18" t="str">
        <x:v>否</x:v>
      </x:c>
      <x:c r="M20" s="18" t="str">
        <x:v>否</x:v>
      </x:c>
      <x:c r="N20" s="18" t="str">
        <x:v>否</x:v>
      </x:c>
      <x:c r="O20" s="20" t="n">
        <x:v>1</x:v>
      </x:c>
      <x:c r="P20" s="19" t="str">
        <x:v>详见 Hub证据 页，按本 Hub 名称筛选</x:v>
      </x:c>
      <x:c r="Q20" s="19" t="str">
        <x:v>Official operator transfer guide defines the proposed interchange area. Each physical station/operator/mode stays separate.</x:v>
      </x:c>
      <x:c r="R20" s="19"/>
      <x:c r="S20" s="18" t="str">
        <x:v>东京23区</x:v>
      </x:c>
      <x:c r="T20" s="20" t="n">
        <x:v>0</x:v>
      </x:c>
    </x:row>
    <x:row r="21" ht="47" customHeight="1">
      <x:c r="A21" s="19" t="str">
        <x:v>栄・栄町</x:v>
      </x:c>
      <x:c r="B21" s="18" t="str">
        <x:v>T0</x:v>
      </x:c>
      <x:c r="C21" s="20" t="n">
        <x:v>2</x:v>
      </x:c>
      <x:c r="D21" s="20" t="n">
        <x:v>2</x:v>
      </x:c>
      <x:c r="E21" s="19" t="str">
        <x:v>有官方换乘依据</x:v>
      </x:c>
      <x:c r="F21" s="20" t="n">
        <x:v>0</x:v>
      </x:c>
      <x:c r="G21" s="19" t="str">
        <x:v>组件待审核</x:v>
      </x:c>
      <x:c r="H21" s="18" t="str">
        <x:v>NATIONAL_CITY_INTERCHANGE_EXPANSION</x:v>
      </x:c>
      <x:c r="I21" s="18" t="str">
        <x:v>transport-hub-review:55651934-b4b0-5315-8bd1-dd423f83fd41</x:v>
      </x:c>
      <x:c r="J21" s="19" t="str"/>
      <x:c r="K21" s="19" t="str"/>
      <x:c r="L21" s="18" t="str">
        <x:v>否</x:v>
      </x:c>
      <x:c r="M21" s="18" t="str">
        <x:v>否</x:v>
      </x:c>
      <x:c r="N21" s="18" t="str">
        <x:v>否</x:v>
      </x:c>
      <x:c r="O21" s="20" t="n">
        <x:v>1</x:v>
      </x:c>
      <x:c r="P21" s="19" t="str">
        <x:v>详见 Hub证据 页，按本 Hub 名称筛选</x:v>
      </x:c>
      <x:c r="Q2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" s="19"/>
      <x:c r="S21" s="18" t="str">
        <x:v>名古屋圈</x:v>
      </x:c>
      <x:c r="T21" s="20" t="n">
        <x:v>0</x:v>
      </x:c>
    </x:row>
    <x:row r="22" ht="33" customHeight="1">
      <x:c r="A22" s="19" t="str">
        <x:v>押上・とうきょうスカイツリー</x:v>
      </x:c>
      <x:c r="B22" s="18" t="str">
        <x:v>T0</x:v>
      </x:c>
      <x:c r="C22" s="20" t="n">
        <x:v>5</x:v>
      </x:c>
      <x:c r="D22" s="20" t="n">
        <x:v>4</x:v>
      </x:c>
      <x:c r="E22" s="19" t="str">
        <x:v>有官方换乘依据</x:v>
      </x:c>
      <x:c r="F22" s="20" t="n">
        <x:v>0</x:v>
      </x:c>
      <x:c r="G22" s="19" t="str">
        <x:v>组件待审核</x:v>
      </x:c>
      <x:c r="H22" s="18" t="str">
        <x:v>TOKYO_TOBU_NETWORK</x:v>
      </x:c>
      <x:c r="I22" s="18" t="str">
        <x:v>transport-hub-review:26958e45-17bf-5070-bf9c-0a77198b34a2</x:v>
      </x:c>
      <x:c r="J22" s="19" t="str"/>
      <x:c r="K22" s="19" t="str"/>
      <x:c r="L22" s="18" t="str">
        <x:v>否</x:v>
      </x:c>
      <x:c r="M22" s="18" t="str">
        <x:v>否</x:v>
      </x:c>
      <x:c r="N22" s="18" t="str">
        <x:v>否</x:v>
      </x:c>
      <x:c r="O22" s="20" t="n">
        <x:v>2</x:v>
      </x:c>
      <x:c r="P22" s="19" t="str">
        <x:v>详见 Hub证据 页，按本 Hub 名称筛选</x:v>
      </x:c>
      <x:c r="Q22" s="19" t="str">
        <x:v>Official operator transfer guide defines the proposed interchange area. Each physical station/operator/mode stays separate.</x:v>
      </x:c>
      <x:c r="R22" s="19"/>
      <x:c r="S22" s="18" t="str">
        <x:v>东京23区</x:v>
      </x:c>
      <x:c r="T22" s="20" t="n">
        <x:v>0</x:v>
      </x:c>
    </x:row>
    <x:row r="23" ht="47" customHeight="1">
      <x:c r="A23" s="19" t="str">
        <x:v>横浜</x:v>
      </x:c>
      <x:c r="B23" s="18" t="str">
        <x:v>T0</x:v>
      </x:c>
      <x:c r="C23" s="20" t="n">
        <x:v>6</x:v>
      </x:c>
      <x:c r="D23" s="20" t="n">
        <x:v>6</x:v>
      </x:c>
      <x:c r="E23" s="19" t="str">
        <x:v>有官方换乘依据</x:v>
      </x:c>
      <x:c r="F23" s="20" t="n">
        <x:v>0</x:v>
      </x:c>
      <x:c r="G23" s="19" t="str">
        <x:v>组件待审核</x:v>
      </x:c>
      <x:c r="H23" s="18" t="str">
        <x:v>EXISTING_NATIONAL_REVIEW</x:v>
      </x:c>
      <x:c r="I23" s="18" t="str">
        <x:v>transport-hub-review:835ee339-1ba6-513f-8fd2-604b7d6c8cb6</x:v>
      </x:c>
      <x:c r="J23" s="19" t="str">
        <x:v>横浜</x:v>
      </x:c>
      <x:c r="K23" s="19" t="str">
        <x:v>transport-hub:0ab0bd61-6c6a-552f-912d-08c54bedd416</x:v>
      </x:c>
      <x:c r="L23" s="18" t="str">
        <x:v>否</x:v>
      </x:c>
      <x:c r="M23" s="18" t="str">
        <x:v>否</x:v>
      </x:c>
      <x:c r="N23" s="18" t="str">
        <x:v>否</x:v>
      </x:c>
      <x:c r="O23" s="20" t="n">
        <x:v>1</x:v>
      </x:c>
      <x:c r="P23" s="19" t="str">
        <x:v>详见 Hub证据 页，按本 Hub 名称筛选</x:v>
      </x:c>
      <x:c r="Q23" s="19" t="str">
        <x:v>Keikyu Yokohama explicitly lists JR, Tokyu, Sotetsu, Yokohama subway and Minatomirai connections. Six operator components retained. Components retain operator/mode identities. Boundary evidence review does not authorize runtime import or final acceptance.</x:v>
      </x:c>
      <x:c r="R23" s="19"/>
      <x:c r="S23" s="18" t="str">
        <x:v>横滨圈</x:v>
      </x:c>
      <x:c r="T23" s="20" t="n">
        <x:v>0</x:v>
      </x:c>
    </x:row>
    <x:row r="24" ht="47" customHeight="1">
      <x:c r="A24" s="19" t="str">
        <x:v>蒲田</x:v>
      </x:c>
      <x:c r="B24" s="18" t="str">
        <x:v>T0</x:v>
      </x:c>
      <x:c r="C24" s="20" t="n">
        <x:v>2</x:v>
      </x:c>
      <x:c r="D24" s="20" t="n">
        <x:v>2</x:v>
      </x:c>
      <x:c r="E24" s="19" t="str">
        <x:v>有官方换乘依据</x:v>
      </x:c>
      <x:c r="F24" s="20" t="n">
        <x:v>0</x:v>
      </x:c>
      <x:c r="G24" s="19" t="str">
        <x:v>组件待审核</x:v>
      </x:c>
      <x:c r="H24" s="18" t="str">
        <x:v>NATIONAL_CITY_INTERCHANGE_EXPANSION</x:v>
      </x:c>
      <x:c r="I24" s="18" t="str">
        <x:v>transport-hub-review:17f92d06-1c1e-5535-a5f5-f6c2160fec87</x:v>
      </x:c>
      <x:c r="J24" s="19" t="str"/>
      <x:c r="K24" s="19" t="str"/>
      <x:c r="L24" s="18" t="str">
        <x:v>否</x:v>
      </x:c>
      <x:c r="M24" s="18" t="str">
        <x:v>否</x:v>
      </x:c>
      <x:c r="N24" s="18" t="str">
        <x:v>否</x:v>
      </x:c>
      <x:c r="O24" s="20" t="n">
        <x:v>2</x:v>
      </x:c>
      <x:c r="P24" s="19" t="str">
        <x:v>详见 Hub证据 页，按本 Hub 名称筛选</x:v>
      </x:c>
      <x:c r="Q2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" s="19"/>
      <x:c r="S24" s="18" t="str">
        <x:v>东京23区</x:v>
      </x:c>
      <x:c r="T24" s="20" t="n">
        <x:v>0</x:v>
      </x:c>
    </x:row>
    <x:row r="25" ht="33" customHeight="1">
      <x:c r="A25" s="19" t="str">
        <x:v>京橋</x:v>
      </x:c>
      <x:c r="B25" s="18" t="str">
        <x:v>T0</x:v>
      </x:c>
      <x:c r="C25" s="20" t="n">
        <x:v>3</x:v>
      </x:c>
      <x:c r="D25" s="20" t="n">
        <x:v>3</x:v>
      </x:c>
      <x:c r="E25" s="19" t="str">
        <x:v>有官方换乘依据</x:v>
      </x:c>
      <x:c r="F25" s="20" t="n">
        <x:v>0</x:v>
      </x:c>
      <x:c r="G25" s="19" t="str">
        <x:v>组件待审核</x:v>
      </x:c>
      <x:c r="H25" s="18" t="str">
        <x:v>OSAKA_METRO_NETWORK</x:v>
      </x:c>
      <x:c r="I25" s="18" t="str">
        <x:v>transport-hub-review:e895b2d4-6429-5a20-9f57-2ad0da54c44f</x:v>
      </x:c>
      <x:c r="J25" s="19" t="str"/>
      <x:c r="K25" s="19" t="str"/>
      <x:c r="L25" s="18" t="str">
        <x:v>否</x:v>
      </x:c>
      <x:c r="M25" s="18" t="str">
        <x:v>否</x:v>
      </x:c>
      <x:c r="N25" s="18" t="str">
        <x:v>否</x:v>
      </x:c>
      <x:c r="O25" s="20" t="n">
        <x:v>2</x:v>
      </x:c>
      <x:c r="P25" s="19" t="str">
        <x:v>详见 Hub证据 页，按本 Hub 名称筛选</x:v>
      </x:c>
      <x:c r="Q25" s="19" t="str">
        <x:v>Official operator transfer guide defines the proposed interchange area. Each physical station/operator/mode stays separate.</x:v>
      </x:c>
      <x:c r="R25" s="19"/>
      <x:c r="S25" s="18" t="str">
        <x:v>大阪圈</x:v>
      </x:c>
      <x:c r="T25" s="20" t="n">
        <x:v>0</x:v>
      </x:c>
    </x:row>
    <x:row r="26" ht="47" customHeight="1">
      <x:c r="A26" s="19" t="str">
        <x:v>京都</x:v>
      </x:c>
      <x:c r="B26" s="18" t="str">
        <x:v>T0</x:v>
      </x:c>
      <x:c r="C26" s="20" t="n">
        <x:v>4</x:v>
      </x:c>
      <x:c r="D26" s="20" t="n">
        <x:v>4</x:v>
      </x:c>
      <x:c r="E26" s="19" t="str">
        <x:v>有官方换乘依据</x:v>
      </x:c>
      <x:c r="F26" s="20" t="n">
        <x:v>0</x:v>
      </x:c>
      <x:c r="G26" s="19" t="str">
        <x:v>组件待审核</x:v>
      </x:c>
      <x:c r="H26" s="18" t="str">
        <x:v>EXISTING_NATIONAL_REVIEW</x:v>
      </x:c>
      <x:c r="I26" s="18" t="str">
        <x:v>transport-hub-review:bb7109cb-e851-5545-9257-7241c7415453</x:v>
      </x:c>
      <x:c r="J26" s="19" t="str">
        <x:v>京都</x:v>
      </x:c>
      <x:c r="K26" s="19" t="str">
        <x:v>transport-hub:205de1df-b7ac-5876-9897-8644827129b0</x:v>
      </x:c>
      <x:c r="L26" s="18" t="str">
        <x:v>否</x:v>
      </x:c>
      <x:c r="M26" s="18" t="str">
        <x:v>否</x:v>
      </x:c>
      <x:c r="N26" s="18" t="str">
        <x:v>否</x:v>
      </x:c>
      <x:c r="O26" s="20" t="n">
        <x:v>1</x:v>
      </x:c>
      <x:c r="P26" s="19" t="str">
        <x:v>详见 Hub证据 页，按本 Hub 名称筛选</x:v>
      </x:c>
      <x:c r="Q26" s="19" t="str">
        <x:v>Kintetsu lists distinct routes to JR Shinkansen central gate, conventional west gate and Karasuma subway; four components share the station interchange. Components retain operator/mode identities. Boundary evidence review does not authorize runtime import or final acceptance.</x:v>
      </x:c>
      <x:c r="R26" s="19"/>
      <x:c r="S26" s="18" t="str">
        <x:v>京都</x:v>
      </x:c>
      <x:c r="T26" s="20" t="n">
        <x:v>0</x:v>
      </x:c>
    </x:row>
    <x:row r="27" ht="47" customHeight="1">
      <x:c r="A27" s="19" t="str">
        <x:v>銀座</x:v>
      </x:c>
      <x:c r="B27" s="18" t="str">
        <x:v>T0</x:v>
      </x:c>
      <x:c r="C27" s="20" t="n">
        <x:v>1</x:v>
      </x:c>
      <x:c r="D27" s="20" t="n">
        <x:v>1</x:v>
      </x:c>
      <x:c r="E27" s="19" t="str">
        <x:v>有官方换乘依据</x:v>
      </x:c>
      <x:c r="F27" s="20" t="n">
        <x:v>0</x:v>
      </x:c>
      <x:c r="G27" s="19" t="str">
        <x:v>组件待审核</x:v>
      </x:c>
      <x:c r="H27" s="18" t="str">
        <x:v>NATIONAL_CITY_INTERCHANGE_EXPANSION</x:v>
      </x:c>
      <x:c r="I27" s="18" t="str">
        <x:v>transport-hub-review:e8bf0be2-b3b2-5ee7-83cb-d637cf7bb944</x:v>
      </x:c>
      <x:c r="J27" s="19" t="str"/>
      <x:c r="K27" s="19" t="str"/>
      <x:c r="L27" s="18" t="str">
        <x:v>否</x:v>
      </x:c>
      <x:c r="M27" s="18" t="str">
        <x:v>否</x:v>
      </x:c>
      <x:c r="N27" s="18" t="str">
        <x:v>否</x:v>
      </x:c>
      <x:c r="O27" s="20" t="n">
        <x:v>1</x:v>
      </x:c>
      <x:c r="P27" s="19" t="str">
        <x:v>详见 Hub证据 页，按本 Hub 名称筛选</x:v>
      </x:c>
      <x:c r="Q2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7" s="19"/>
      <x:c r="S27" s="18" t="str">
        <x:v>东京23区</x:v>
      </x:c>
      <x:c r="T27" s="20" t="n">
        <x:v>0</x:v>
      </x:c>
    </x:row>
    <x:row r="28" ht="47" customHeight="1">
      <x:c r="A28" s="19" t="str">
        <x:v>九段下</x:v>
      </x:c>
      <x:c r="B28" s="18" t="str">
        <x:v>T0</x:v>
      </x:c>
      <x:c r="C28" s="20" t="n">
        <x:v>2</x:v>
      </x:c>
      <x:c r="D28" s="20" t="n">
        <x:v>2</x:v>
      </x:c>
      <x:c r="E28" s="19" t="str">
        <x:v>有官方换乘依据</x:v>
      </x:c>
      <x:c r="F28" s="20" t="n">
        <x:v>0</x:v>
      </x:c>
      <x:c r="G28" s="19" t="str">
        <x:v>组件待审核</x:v>
      </x:c>
      <x:c r="H28" s="18" t="str">
        <x:v>NATIONAL_CITY_INTERCHANGE_EXPANSION</x:v>
      </x:c>
      <x:c r="I28" s="18" t="str">
        <x:v>transport-hub-review:2cdc0d4a-1675-56ba-bf5e-15504a72c5c6</x:v>
      </x:c>
      <x:c r="J28" s="19" t="str"/>
      <x:c r="K28" s="19" t="str"/>
      <x:c r="L28" s="18" t="str">
        <x:v>否</x:v>
      </x:c>
      <x:c r="M28" s="18" t="str">
        <x:v>否</x:v>
      </x:c>
      <x:c r="N28" s="18" t="str">
        <x:v>否</x:v>
      </x:c>
      <x:c r="O28" s="20" t="n">
        <x:v>1</x:v>
      </x:c>
      <x:c r="P28" s="19" t="str">
        <x:v>详见 Hub证据 页，按本 Hub 名称筛选</x:v>
      </x:c>
      <x:c r="Q2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8" s="19"/>
      <x:c r="S28" s="18" t="str">
        <x:v>东京23区</x:v>
      </x:c>
      <x:c r="T28" s="20" t="n">
        <x:v>0</x:v>
      </x:c>
    </x:row>
    <x:row r="29" ht="33" customHeight="1">
      <x:c r="A29" s="19" t="str">
        <x:v>恵比寿</x:v>
      </x:c>
      <x:c r="B29" s="18" t="str">
        <x:v>T0</x:v>
      </x:c>
      <x:c r="C29" s="20" t="n">
        <x:v>2</x:v>
      </x:c>
      <x:c r="D29" s="20" t="n">
        <x:v>2</x:v>
      </x:c>
      <x:c r="E29" s="19" t="str">
        <x:v>有官方换乘依据</x:v>
      </x:c>
      <x:c r="F29" s="20" t="n">
        <x:v>0</x:v>
      </x:c>
      <x:c r="G29" s="19" t="str">
        <x:v>组件待审核</x:v>
      </x:c>
      <x:c r="H29" s="18" t="str">
        <x:v>TOKYO_METRO_NETWORK</x:v>
      </x:c>
      <x:c r="I29" s="18" t="str">
        <x:v>transport-hub-review:73e10138-4486-582c-8bc9-b6910b3ac27b</x:v>
      </x:c>
      <x:c r="J29" s="19" t="str"/>
      <x:c r="K29" s="19" t="str"/>
      <x:c r="L29" s="18" t="str">
        <x:v>否</x:v>
      </x:c>
      <x:c r="M29" s="18" t="str">
        <x:v>否</x:v>
      </x:c>
      <x:c r="N29" s="18" t="str">
        <x:v>否</x:v>
      </x:c>
      <x:c r="O29" s="20" t="n">
        <x:v>1</x:v>
      </x:c>
      <x:c r="P29" s="19" t="str">
        <x:v>详见 Hub证据 页，按本 Hub 名称筛选</x:v>
      </x:c>
      <x:c r="Q29" s="19" t="str">
        <x:v>Official operator transfer guide defines the proposed interchange area. Each physical station/operator/mode stays separate.</x:v>
      </x:c>
      <x:c r="R29" s="19"/>
      <x:c r="S29" s="18" t="str">
        <x:v>东京23区</x:v>
      </x:c>
      <x:c r="T29" s="20" t="n">
        <x:v>0</x:v>
      </x:c>
    </x:row>
    <x:row r="30" ht="47" customHeight="1">
      <x:c r="A30" s="19" t="str">
        <x:v>戸塚</x:v>
      </x:c>
      <x:c r="B30" s="18" t="str">
        <x:v>T0</x:v>
      </x:c>
      <x:c r="C30" s="20" t="n">
        <x:v>2</x:v>
      </x:c>
      <x:c r="D30" s="20" t="n">
        <x:v>2</x:v>
      </x:c>
      <x:c r="E30" s="19" t="str">
        <x:v>有官方换乘依据</x:v>
      </x:c>
      <x:c r="F30" s="20" t="n">
        <x:v>0</x:v>
      </x:c>
      <x:c r="G30" s="19" t="str">
        <x:v>组件待审核</x:v>
      </x:c>
      <x:c r="H30" s="18" t="str">
        <x:v>NATIONAL_CITY_INTERCHANGE_EXPANSION</x:v>
      </x:c>
      <x:c r="I30" s="18" t="str">
        <x:v>transport-hub-review:b1e4a97a-e548-5042-8dc5-8a656e938730</x:v>
      </x:c>
      <x:c r="J30" s="19" t="str"/>
      <x:c r="K30" s="19" t="str"/>
      <x:c r="L30" s="18" t="str">
        <x:v>否</x:v>
      </x:c>
      <x:c r="M30" s="18" t="str">
        <x:v>否</x:v>
      </x:c>
      <x:c r="N30" s="18" t="str">
        <x:v>否</x:v>
      </x:c>
      <x:c r="O30" s="20" t="n">
        <x:v>1</x:v>
      </x:c>
      <x:c r="P30" s="19" t="str">
        <x:v>详见 Hub证据 页，按本 Hub 名称筛选</x:v>
      </x:c>
      <x:c r="Q3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30" s="19"/>
      <x:c r="S30" s="18" t="str">
        <x:v>横滨圈</x:v>
      </x:c>
      <x:c r="T30" s="20" t="n">
        <x:v>0</x:v>
      </x:c>
    </x:row>
    <x:row r="31" ht="47" customHeight="1">
      <x:c r="A31" s="19" t="str">
        <x:v>五反田</x:v>
      </x:c>
      <x:c r="B31" s="18" t="str">
        <x:v>T0</x:v>
      </x:c>
      <x:c r="C31" s="20" t="n">
        <x:v>3</x:v>
      </x:c>
      <x:c r="D31" s="20" t="n">
        <x:v>3</x:v>
      </x:c>
      <x:c r="E31" s="19" t="str">
        <x:v>有官方换乘依据</x:v>
      </x:c>
      <x:c r="F31" s="20" t="n">
        <x:v>0</x:v>
      </x:c>
      <x:c r="G31" s="19" t="str">
        <x:v>组件待审核</x:v>
      </x:c>
      <x:c r="H31" s="18" t="str">
        <x:v>NATIONAL_CITY_INTERCHANGE_EXPANSION</x:v>
      </x:c>
      <x:c r="I31" s="18" t="str">
        <x:v>transport-hub-review:5ae616c9-b1c0-538b-885c-2732e8ee3726</x:v>
      </x:c>
      <x:c r="J31" s="19" t="str"/>
      <x:c r="K31" s="19" t="str"/>
      <x:c r="L31" s="18" t="str">
        <x:v>否</x:v>
      </x:c>
      <x:c r="M31" s="18" t="str">
        <x:v>否</x:v>
      </x:c>
      <x:c r="N31" s="18" t="str">
        <x:v>否</x:v>
      </x:c>
      <x:c r="O31" s="20" t="n">
        <x:v>1</x:v>
      </x:c>
      <x:c r="P31" s="19" t="str">
        <x:v>详见 Hub证据 页，按本 Hub 名称筛选</x:v>
      </x:c>
      <x:c r="Q3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31" s="19"/>
      <x:c r="S31" s="18" t="str">
        <x:v>东京23区</x:v>
      </x:c>
      <x:c r="T31" s="20" t="n">
        <x:v>0</x:v>
      </x:c>
    </x:row>
    <x:row r="32" ht="33" customHeight="1">
      <x:c r="A32" s="19" t="str">
        <x:v>高田馬場</x:v>
      </x:c>
      <x:c r="B32" s="18" t="str">
        <x:v>T0</x:v>
      </x:c>
      <x:c r="C32" s="20" t="n">
        <x:v>3</x:v>
      </x:c>
      <x:c r="D32" s="20" t="n">
        <x:v>3</x:v>
      </x:c>
      <x:c r="E32" s="19" t="str">
        <x:v>有官方换乘依据</x:v>
      </x:c>
      <x:c r="F32" s="20" t="n">
        <x:v>0</x:v>
      </x:c>
      <x:c r="G32" s="19" t="str">
        <x:v>组件待审核</x:v>
      </x:c>
      <x:c r="H32" s="18" t="str">
        <x:v>TOKYO_METRO_NETWORK</x:v>
      </x:c>
      <x:c r="I32" s="18" t="str">
        <x:v>transport-hub-review:74a95430-fdf7-50e8-83e4-12a7c0c0560e</x:v>
      </x:c>
      <x:c r="J32" s="19" t="str"/>
      <x:c r="K32" s="19" t="str"/>
      <x:c r="L32" s="18" t="str">
        <x:v>否</x:v>
      </x:c>
      <x:c r="M32" s="18" t="str">
        <x:v>否</x:v>
      </x:c>
      <x:c r="N32" s="18" t="str">
        <x:v>否</x:v>
      </x:c>
      <x:c r="O32" s="20" t="n">
        <x:v>1</x:v>
      </x:c>
      <x:c r="P32" s="19" t="str">
        <x:v>详见 Hub证据 页，按本 Hub 名称筛选</x:v>
      </x:c>
      <x:c r="Q32" s="19" t="str">
        <x:v>Official operator transfer guide defines the proposed interchange area. Each physical station/operator/mode stays separate.</x:v>
      </x:c>
      <x:c r="R32" s="19"/>
      <x:c r="S32" s="18" t="str">
        <x:v>东京23区</x:v>
      </x:c>
      <x:c r="T32" s="20" t="n">
        <x:v>0</x:v>
      </x:c>
    </x:row>
    <x:row r="33" ht="47" customHeight="1">
      <x:c r="A33" s="19" t="str">
        <x:v>国分寺</x:v>
      </x:c>
      <x:c r="B33" s="18" t="str">
        <x:v>T0</x:v>
      </x:c>
      <x:c r="C33" s="20" t="n">
        <x:v>2</x:v>
      </x:c>
      <x:c r="D33" s="20" t="n">
        <x:v>2</x:v>
      </x:c>
      <x:c r="E33" s="19" t="str">
        <x:v>有官方换乘依据</x:v>
      </x:c>
      <x:c r="F33" s="20" t="n">
        <x:v>0</x:v>
      </x:c>
      <x:c r="G33" s="19" t="str">
        <x:v>组件待审核</x:v>
      </x:c>
      <x:c r="H33" s="18" t="str">
        <x:v>NATIONAL_CITY_INTERCHANGE_EXPANSION</x:v>
      </x:c>
      <x:c r="I33" s="18" t="str">
        <x:v>transport-hub-review:3471876b-fac6-5001-9548-1617965ac08e</x:v>
      </x:c>
      <x:c r="J33" s="19" t="str"/>
      <x:c r="K33" s="19" t="str"/>
      <x:c r="L33" s="18" t="str">
        <x:v>否</x:v>
      </x:c>
      <x:c r="M33" s="18" t="str">
        <x:v>否</x:v>
      </x:c>
      <x:c r="N33" s="18" t="str">
        <x:v>否</x:v>
      </x:c>
      <x:c r="O33" s="20" t="n">
        <x:v>1</x:v>
      </x:c>
      <x:c r="P33" s="19" t="str">
        <x:v>详见 Hub证据 页，按本 Hub 名称筛选</x:v>
      </x:c>
      <x:c r="Q3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33" s="19"/>
      <x:c r="S33" s="18" t="str">
        <x:v>东京多摩</x:v>
      </x:c>
      <x:c r="T33" s="20" t="n">
        <x:v>0</x:v>
      </x:c>
    </x:row>
    <x:row r="34" ht="61" customHeight="1">
      <x:c r="A34" s="19" t="str">
        <x:v>三ノ宮</x:v>
      </x:c>
      <x:c r="B34" s="18" t="str">
        <x:v>T0</x:v>
      </x:c>
      <x:c r="C34" s="20" t="n">
        <x:v>6</x:v>
      </x:c>
      <x:c r="D34" s="20" t="n">
        <x:v>5</x:v>
      </x:c>
      <x:c r="E34" s="19" t="str">
        <x:v>有官方换乘依据</x:v>
      </x:c>
      <x:c r="F34" s="20" t="n">
        <x:v>0</x:v>
      </x:c>
      <x:c r="G34" s="19" t="str">
        <x:v>组件待审核</x:v>
      </x:c>
      <x:c r="H34" s="18" t="str">
        <x:v>EXISTING_NATIONAL_REVIEW</x:v>
      </x:c>
      <x:c r="I34" s="18" t="str">
        <x:v>transport-hub-review:842e847d-eb2e-565f-829e-04fdc20c430b</x:v>
      </x:c>
      <x:c r="J34" s="19" t="str">
        <x:v>三ノ宮</x:v>
      </x:c>
      <x:c r="K34" s="19" t="str">
        <x:v>transport-hub:67390737-fa76-571a-824a-265c2cc051cf</x:v>
      </x:c>
      <x:c r="L34" s="18" t="str">
        <x:v>否</x:v>
      </x:c>
      <x:c r="M34" s="18" t="str">
        <x:v>否</x:v>
      </x:c>
      <x:c r="N34" s="18" t="str">
        <x:v>否</x:v>
      </x:c>
      <x:c r="O34" s="20" t="n">
        <x:v>2</x:v>
      </x:c>
      <x:c r="P34" s="19" t="str">
        <x:v>详见 Hub证据 页，按本 Hub 名称筛选</x:v>
      </x:c>
      <x:c r="Q34" s="19" t="str">
        <x:v>City official interchange table links JR, Hankyu, Hanshin, subway Sannomiya and Kaigan-line Sannomiya-Hanadokeimae. Port Liner remains a separate AGT component. Components retain operator/mode identities. Boundary evidence review does not authorize runtime import or final acceptance.</x:v>
      </x:c>
      <x:c r="R34" s="19"/>
      <x:c r="S34" s="18" t="str">
        <x:v>神户</x:v>
      </x:c>
      <x:c r="T34" s="20" t="n">
        <x:v>0</x:v>
      </x:c>
    </x:row>
    <x:row r="35" ht="33" customHeight="1">
      <x:c r="A35" s="19" t="str">
        <x:v>秋葉原・岩本町</x:v>
      </x:c>
      <x:c r="B35" s="18" t="str">
        <x:v>T0</x:v>
      </x:c>
      <x:c r="C35" s="20" t="n">
        <x:v>4</x:v>
      </x:c>
      <x:c r="D35" s="20" t="n">
        <x:v>4</x:v>
      </x:c>
      <x:c r="E35" s="19" t="str">
        <x:v>有官方换乘依据</x:v>
      </x:c>
      <x:c r="F35" s="20" t="n">
        <x:v>0</x:v>
      </x:c>
      <x:c r="G35" s="19" t="str">
        <x:v>组件待审核</x:v>
      </x:c>
      <x:c r="H35" s="18" t="str">
        <x:v>TOKYO_METRO_NETWORK</x:v>
      </x:c>
      <x:c r="I35" s="18" t="str">
        <x:v>transport-hub-review:5dffb3d9-b363-5c0b-ba0f-ccaacbdbb995</x:v>
      </x:c>
      <x:c r="J35" s="19" t="str"/>
      <x:c r="K35" s="19" t="str"/>
      <x:c r="L35" s="18" t="str">
        <x:v>否</x:v>
      </x:c>
      <x:c r="M35" s="18" t="str">
        <x:v>否</x:v>
      </x:c>
      <x:c r="N35" s="18" t="str">
        <x:v>否</x:v>
      </x:c>
      <x:c r="O35" s="20" t="n">
        <x:v>2</x:v>
      </x:c>
      <x:c r="P35" s="19" t="str">
        <x:v>详见 Hub证据 页，按本 Hub 名称筛选</x:v>
      </x:c>
      <x:c r="Q35" s="19" t="str">
        <x:v>Official operator transfer guide defines the proposed interchange area. Each physical station/operator/mode stays separate.</x:v>
      </x:c>
      <x:c r="R35" s="19"/>
      <x:c r="S35" s="18" t="str">
        <x:v>东京23区</x:v>
      </x:c>
      <x:c r="T35" s="20" t="n">
        <x:v>0</x:v>
      </x:c>
    </x:row>
    <x:row r="36" ht="28" customHeight="1">
      <x:c r="A36" s="19" t="str">
        <x:v>渋谷</x:v>
      </x:c>
      <x:c r="B36" s="18" t="str">
        <x:v>T0</x:v>
      </x:c>
      <x:c r="C36" s="20" t="n">
        <x:v>4</x:v>
      </x:c>
      <x:c r="D36" s="20" t="n">
        <x:v>4</x:v>
      </x:c>
      <x:c r="E36" s="19" t="str">
        <x:v>有官方换乘依据</x:v>
      </x:c>
      <x:c r="F36" s="20" t="n">
        <x:v>0</x:v>
      </x:c>
      <x:c r="G36" s="19" t="str">
        <x:v>组件待审核</x:v>
      </x:c>
      <x:c r="H36" s="18" t="str">
        <x:v>EXISTING_NATIONAL_REVIEW</x:v>
      </x:c>
      <x:c r="I36" s="18" t="str">
        <x:v>transport-hub-review:afe37e05-1f5c-5283-a711-2a8995452e3b</x:v>
      </x:c>
      <x:c r="J36" s="19" t="str">
        <x:v>渋谷</x:v>
      </x:c>
      <x:c r="K36" s="19" t="str">
        <x:v>transport-hub:0fb5817c-8a80-5d65-b6ae-001f9c1e0e3d</x:v>
      </x:c>
      <x:c r="L36" s="18" t="str">
        <x:v>否</x:v>
      </x:c>
      <x:c r="M36" s="18" t="str">
        <x:v>否</x:v>
      </x:c>
      <x:c r="N36" s="18" t="str">
        <x:v>否</x:v>
      </x:c>
      <x:c r="O36" s="20" t="n">
        <x:v>1</x:v>
      </x:c>
      <x:c r="P36" s="19" t="str">
        <x:v>详见 Hub证据 页，按本 Hub 名称筛选</x:v>
      </x:c>
      <x:c r="Q36" s="19" t="str">
        <x:v>Existing minimum operator/mode scope; boundary evidence not yet admitted.</x:v>
      </x:c>
      <x:c r="R36" s="19"/>
      <x:c r="S36" s="18" t="str">
        <x:v>东京23区</x:v>
      </x:c>
      <x:c r="T36" s="20" t="n">
        <x:v>0</x:v>
      </x:c>
    </x:row>
    <x:row r="37" ht="47" customHeight="1">
      <x:c r="A37" s="19" t="str">
        <x:v>小竹向原</x:v>
      </x:c>
      <x:c r="B37" s="18" t="str">
        <x:v>T0</x:v>
      </x:c>
      <x:c r="C37" s="20" t="n">
        <x:v>2</x:v>
      </x:c>
      <x:c r="D37" s="20" t="n">
        <x:v>2</x:v>
      </x:c>
      <x:c r="E37" s="19" t="str">
        <x:v>有官方换乘依据</x:v>
      </x:c>
      <x:c r="F37" s="20" t="n">
        <x:v>0</x:v>
      </x:c>
      <x:c r="G37" s="19" t="str">
        <x:v>组件待审核</x:v>
      </x:c>
      <x:c r="H37" s="18" t="str">
        <x:v>NATIONAL_CITY_INTERCHANGE_EXPANSION</x:v>
      </x:c>
      <x:c r="I37" s="18" t="str">
        <x:v>transport-hub-review:a4c1e6ad-cc17-5ef8-93e4-96969ffdbf63</x:v>
      </x:c>
      <x:c r="J37" s="19" t="str"/>
      <x:c r="K37" s="19" t="str"/>
      <x:c r="L37" s="18" t="str">
        <x:v>否</x:v>
      </x:c>
      <x:c r="M37" s="18" t="str">
        <x:v>否</x:v>
      </x:c>
      <x:c r="N37" s="18" t="str">
        <x:v>否</x:v>
      </x:c>
      <x:c r="O37" s="20" t="n">
        <x:v>1</x:v>
      </x:c>
      <x:c r="P37" s="19" t="str">
        <x:v>详见 Hub证据 页，按本 Hub 名称筛选</x:v>
      </x:c>
      <x:c r="Q3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37" s="19"/>
      <x:c r="S37" s="18" t="str">
        <x:v>东京23区</x:v>
      </x:c>
      <x:c r="T37" s="20" t="n">
        <x:v>0</x:v>
      </x:c>
    </x:row>
    <x:row r="38" ht="61" customHeight="1">
      <x:c r="A38" s="19" t="str">
        <x:v>上野</x:v>
      </x:c>
      <x:c r="B38" s="18" t="str">
        <x:v>T0</x:v>
      </x:c>
      <x:c r="C38" s="20" t="n">
        <x:v>4</x:v>
      </x:c>
      <x:c r="D38" s="20" t="n">
        <x:v>3</x:v>
      </x:c>
      <x:c r="E38" s="19" t="str">
        <x:v>有官方换乘依据</x:v>
      </x:c>
      <x:c r="F38" s="20" t="n">
        <x:v>0</x:v>
      </x:c>
      <x:c r="G38" s="19" t="str">
        <x:v>组件待审核</x:v>
      </x:c>
      <x:c r="H38" s="18" t="str">
        <x:v>EXISTING_NATIONAL_REVIEW</x:v>
      </x:c>
      <x:c r="I38" s="18" t="str">
        <x:v>transport-hub-review:f32052ff-b00a-5a75-8c54-b702651b3f28</x:v>
      </x:c>
      <x:c r="J38" s="19" t="str">
        <x:v>上野</x:v>
      </x:c>
      <x:c r="K38" s="19" t="str">
        <x:v>transport-hub:d3087766-7837-516b-85a6-31d16cc5c633</x:v>
      </x:c>
      <x:c r="L38" s="18" t="str">
        <x:v>否</x:v>
      </x:c>
      <x:c r="M38" s="18" t="str">
        <x:v>否</x:v>
      </x:c>
      <x:c r="N38" s="18" t="str">
        <x:v>否</x:v>
      </x:c>
      <x:c r="O38" s="20" t="n">
        <x:v>2</x:v>
      </x:c>
      <x:c r="P38" s="19" t="str">
        <x:v>详见 Hub证据 页，按本 Hub 名称筛选</x:v>
      </x:c>
      <x:c r="Q38" s="19" t="str">
        <x:v>Keisei official station map labels the B1 underground passage toward the subway; Metro Ueno explicitly designates Keisei interchange. Keep Keisei-Ueno a distinct physical component in the documented connected interchange. Components retain operator/mode identities. Boundary evidence review does not authorize runtime import or final acceptance.</x:v>
      </x:c>
      <x:c r="R38" s="19"/>
      <x:c r="S38" s="18" t="str">
        <x:v>东京23区</x:v>
      </x:c>
      <x:c r="T38" s="20" t="n">
        <x:v>0</x:v>
      </x:c>
    </x:row>
    <x:row r="39" ht="33" customHeight="1">
      <x:c r="A39" s="19" t="str">
        <x:v>新橋</x:v>
      </x:c>
      <x:c r="B39" s="18" t="str">
        <x:v>T0</x:v>
      </x:c>
      <x:c r="C39" s="20" t="n">
        <x:v>4</x:v>
      </x:c>
      <x:c r="D39" s="20" t="n">
        <x:v>4</x:v>
      </x:c>
      <x:c r="E39" s="19" t="str">
        <x:v>有官方换乘依据</x:v>
      </x:c>
      <x:c r="F39" s="20" t="n">
        <x:v>0</x:v>
      </x:c>
      <x:c r="G39" s="19" t="str">
        <x:v>组件待审核</x:v>
      </x:c>
      <x:c r="H39" s="18" t="str">
        <x:v>TOKYO_METRO_NETWORK</x:v>
      </x:c>
      <x:c r="I39" s="18" t="str">
        <x:v>transport-hub-review:f4456bf1-0cdc-59c4-adfe-e49b3f6ec32e</x:v>
      </x:c>
      <x:c r="J39" s="19" t="str"/>
      <x:c r="K39" s="19" t="str"/>
      <x:c r="L39" s="18" t="str">
        <x:v>否</x:v>
      </x:c>
      <x:c r="M39" s="18" t="str">
        <x:v>否</x:v>
      </x:c>
      <x:c r="N39" s="18" t="str">
        <x:v>否</x:v>
      </x:c>
      <x:c r="O39" s="20" t="n">
        <x:v>1</x:v>
      </x:c>
      <x:c r="P39" s="19" t="str">
        <x:v>详见 Hub证据 页，按本 Hub 名称筛选</x:v>
      </x:c>
      <x:c r="Q39" s="19" t="str">
        <x:v>Official operator transfer guide defines the proposed interchange area. Each physical station/operator/mode stays separate.</x:v>
      </x:c>
      <x:c r="R39" s="19"/>
      <x:c r="S39" s="18" t="str">
        <x:v>东京23区</x:v>
      </x:c>
      <x:c r="T39" s="20" t="n">
        <x:v>0</x:v>
      </x:c>
    </x:row>
    <x:row r="40" ht="28" customHeight="1">
      <x:c r="A40" s="19" t="str">
        <x:v>新宿</x:v>
      </x:c>
      <x:c r="B40" s="18" t="str">
        <x:v>T0</x:v>
      </x:c>
      <x:c r="C40" s="20" t="n">
        <x:v>5</x:v>
      </x:c>
      <x:c r="D40" s="20" t="n">
        <x:v>5</x:v>
      </x:c>
      <x:c r="E40" s="19" t="str">
        <x:v>有官方换乘依据</x:v>
      </x:c>
      <x:c r="F40" s="20" t="n">
        <x:v>0</x:v>
      </x:c>
      <x:c r="G40" s="19" t="str">
        <x:v>组件待审核</x:v>
      </x:c>
      <x:c r="H40" s="18" t="str">
        <x:v>EXISTING_NATIONAL_REVIEW</x:v>
      </x:c>
      <x:c r="I40" s="18" t="str">
        <x:v>transport-hub-review:b02888ff-fc4e-59be-9688-de71a6c0faab</x:v>
      </x:c>
      <x:c r="J40" s="19" t="str">
        <x:v>新宿</x:v>
      </x:c>
      <x:c r="K40" s="19" t="str">
        <x:v>transport-hub:3ea79642-c9a9-5b8e-aef2-0099c03936fe</x:v>
      </x:c>
      <x:c r="L40" s="18" t="str">
        <x:v>否</x:v>
      </x:c>
      <x:c r="M40" s="18" t="str">
        <x:v>否</x:v>
      </x:c>
      <x:c r="N40" s="18" t="str">
        <x:v>否</x:v>
      </x:c>
      <x:c r="O40" s="20" t="n">
        <x:v>1</x:v>
      </x:c>
      <x:c r="P40" s="19" t="str">
        <x:v>详见 Hub证据 页，按本 Hub 名称筛选</x:v>
      </x:c>
      <x:c r="Q40" s="19" t="str">
        <x:v>Existing minimum operator/mode scope; boundary evidence not yet admitted.</x:v>
      </x:c>
      <x:c r="R40" s="19"/>
      <x:c r="S40" s="18" t="str">
        <x:v>东京23区</x:v>
      </x:c>
      <x:c r="T40" s="20" t="n">
        <x:v>0</x:v>
      </x:c>
    </x:row>
    <x:row r="41" ht="33" customHeight="1">
      <x:c r="A41" s="19" t="str">
        <x:v>西船橋</x:v>
      </x:c>
      <x:c r="B41" s="18" t="str">
        <x:v>T0</x:v>
      </x:c>
      <x:c r="C41" s="20" t="n">
        <x:v>3</x:v>
      </x:c>
      <x:c r="D41" s="20" t="n">
        <x:v>3</x:v>
      </x:c>
      <x:c r="E41" s="19" t="str">
        <x:v>有官方换乘依据</x:v>
      </x:c>
      <x:c r="F41" s="20" t="n">
        <x:v>0</x:v>
      </x:c>
      <x:c r="G41" s="19" t="str">
        <x:v>组件待审核</x:v>
      </x:c>
      <x:c r="H41" s="18" t="str">
        <x:v>TOKYO_METRO_NETWORK</x:v>
      </x:c>
      <x:c r="I41" s="18" t="str">
        <x:v>transport-hub-review:b1f26f94-2d8d-5620-89d8-06a4aa281dc1</x:v>
      </x:c>
      <x:c r="J41" s="19" t="str"/>
      <x:c r="K41" s="19" t="str"/>
      <x:c r="L41" s="18" t="str">
        <x:v>否</x:v>
      </x:c>
      <x:c r="M41" s="18" t="str">
        <x:v>否</x:v>
      </x:c>
      <x:c r="N41" s="18" t="str">
        <x:v>否</x:v>
      </x:c>
      <x:c r="O41" s="20" t="n">
        <x:v>1</x:v>
      </x:c>
      <x:c r="P41" s="19" t="str">
        <x:v>详见 Hub证据 页，按本 Hub 名称筛选</x:v>
      </x:c>
      <x:c r="Q41" s="19" t="str">
        <x:v>Official operator transfer guide defines the proposed interchange area. Each physical station/operator/mode stays separate.</x:v>
      </x:c>
      <x:c r="R41" s="19"/>
      <x:c r="S41" s="18" t="str">
        <x:v>千叶圈</x:v>
      </x:c>
      <x:c r="T41" s="20" t="n">
        <x:v>0</x:v>
      </x:c>
    </x:row>
    <x:row r="42" ht="47" customHeight="1">
      <x:c r="A42" s="19" t="str">
        <x:v>千葉</x:v>
      </x:c>
      <x:c r="B42" s="18" t="str">
        <x:v>T0</x:v>
      </x:c>
      <x:c r="C42" s="20" t="n">
        <x:v>3</x:v>
      </x:c>
      <x:c r="D42" s="20" t="n">
        <x:v>3</x:v>
      </x:c>
      <x:c r="E42" s="19" t="str">
        <x:v>有官方换乘依据</x:v>
      </x:c>
      <x:c r="F42" s="20" t="n">
        <x:v>0</x:v>
      </x:c>
      <x:c r="G42" s="19" t="str">
        <x:v>组件待审核</x:v>
      </x:c>
      <x:c r="H42" s="18" t="str">
        <x:v>NATIONAL_CITY_INTERCHANGE_EXPANSION</x:v>
      </x:c>
      <x:c r="I42" s="18" t="str">
        <x:v>transport-hub-review:4105f488-e0b4-57cd-9345-125f75ad3ddb</x:v>
      </x:c>
      <x:c r="J42" s="19" t="str"/>
      <x:c r="K42" s="19" t="str"/>
      <x:c r="L42" s="18" t="str">
        <x:v>否</x:v>
      </x:c>
      <x:c r="M42" s="18" t="str">
        <x:v>否</x:v>
      </x:c>
      <x:c r="N42" s="18" t="str">
        <x:v>否</x:v>
      </x:c>
      <x:c r="O42" s="20" t="n">
        <x:v>1</x:v>
      </x:c>
      <x:c r="P42" s="19" t="str">
        <x:v>详见 Hub证据 页，按本 Hub 名称筛选</x:v>
      </x:c>
      <x:c r="Q4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42" s="19"/>
      <x:c r="S42" s="18" t="str">
        <x:v>千叶圈</x:v>
      </x:c>
      <x:c r="T42" s="20" t="n">
        <x:v>0</x:v>
      </x:c>
    </x:row>
    <x:row r="43" ht="47" customHeight="1">
      <x:c r="A43" s="19" t="str">
        <x:v>川崎</x:v>
      </x:c>
      <x:c r="B43" s="18" t="str">
        <x:v>T0</x:v>
      </x:c>
      <x:c r="C43" s="20" t="n">
        <x:v>1</x:v>
      </x:c>
      <x:c r="D43" s="20" t="n">
        <x:v>1</x:v>
      </x:c>
      <x:c r="E43" s="19" t="str">
        <x:v>有官方换乘依据</x:v>
      </x:c>
      <x:c r="F43" s="20" t="n">
        <x:v>0</x:v>
      </x:c>
      <x:c r="G43" s="19" t="str">
        <x:v>组件待审核</x:v>
      </x:c>
      <x:c r="H43" s="18" t="str">
        <x:v>NATIONAL_CITY_INTERCHANGE_EXPANSION</x:v>
      </x:c>
      <x:c r="I43" s="18" t="str">
        <x:v>transport-hub-review:0bf81cfe-3bc4-5f81-a208-95ca4caca6be</x:v>
      </x:c>
      <x:c r="J43" s="19" t="str"/>
      <x:c r="K43" s="19" t="str"/>
      <x:c r="L43" s="18" t="str">
        <x:v>否</x:v>
      </x:c>
      <x:c r="M43" s="18" t="str">
        <x:v>否</x:v>
      </x:c>
      <x:c r="N43" s="18" t="str">
        <x:v>否</x:v>
      </x:c>
      <x:c r="O43" s="20" t="n">
        <x:v>1</x:v>
      </x:c>
      <x:c r="P43" s="19" t="str">
        <x:v>详见 Hub证据 页，按本 Hub 名称筛选</x:v>
      </x:c>
      <x:c r="Q4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43" s="19"/>
      <x:c r="S43" s="18" t="str">
        <x:v>川崎圈</x:v>
      </x:c>
      <x:c r="T43" s="20" t="n">
        <x:v>0</x:v>
      </x:c>
    </x:row>
    <x:row r="44" ht="47" customHeight="1">
      <x:c r="A44" s="19" t="str">
        <x:v>船橋</x:v>
      </x:c>
      <x:c r="B44" s="18" t="str">
        <x:v>T0</x:v>
      </x:c>
      <x:c r="C44" s="20" t="n">
        <x:v>3</x:v>
      </x:c>
      <x:c r="D44" s="20" t="n">
        <x:v>3</x:v>
      </x:c>
      <x:c r="E44" s="19" t="str">
        <x:v>有官方换乘依据</x:v>
      </x:c>
      <x:c r="F44" s="20" t="n">
        <x:v>0</x:v>
      </x:c>
      <x:c r="G44" s="19" t="str">
        <x:v>组件待审核</x:v>
      </x:c>
      <x:c r="H44" s="18" t="str">
        <x:v>NATIONAL_CITY_INTERCHANGE_EXPANSION</x:v>
      </x:c>
      <x:c r="I44" s="18" t="str">
        <x:v>transport-hub-review:4d774c33-e173-58e9-a5c6-96c09067f79c</x:v>
      </x:c>
      <x:c r="J44" s="19" t="str"/>
      <x:c r="K44" s="19" t="str"/>
      <x:c r="L44" s="18" t="str">
        <x:v>否</x:v>
      </x:c>
      <x:c r="M44" s="18" t="str">
        <x:v>否</x:v>
      </x:c>
      <x:c r="N44" s="18" t="str">
        <x:v>否</x:v>
      </x:c>
      <x:c r="O44" s="20" t="n">
        <x:v>1</x:v>
      </x:c>
      <x:c r="P44" s="19" t="str">
        <x:v>详见 Hub证据 页，按本 Hub 名称筛选</x:v>
      </x:c>
      <x:c r="Q4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44" s="19"/>
      <x:c r="S44" s="18" t="str">
        <x:v>千叶圈</x:v>
      </x:c>
      <x:c r="T44" s="20" t="n">
        <x:v>0</x:v>
      </x:c>
    </x:row>
    <x:row r="45" ht="33" customHeight="1">
      <x:c r="A45" s="19" t="str">
        <x:v>代々木上原</x:v>
      </x:c>
      <x:c r="B45" s="18" t="str">
        <x:v>T0</x:v>
      </x:c>
      <x:c r="C45" s="20" t="n">
        <x:v>2</x:v>
      </x:c>
      <x:c r="D45" s="20" t="n">
        <x:v>2</x:v>
      </x:c>
      <x:c r="E45" s="19" t="str">
        <x:v>有官方换乘依据</x:v>
      </x:c>
      <x:c r="F45" s="20" t="n">
        <x:v>0</x:v>
      </x:c>
      <x:c r="G45" s="19" t="str">
        <x:v>组件待审核</x:v>
      </x:c>
      <x:c r="H45" s="18" t="str">
        <x:v>TOKYO_METRO_NETWORK</x:v>
      </x:c>
      <x:c r="I45" s="18" t="str">
        <x:v>transport-hub-review:5a505849-6f82-5b3b-9b10-20bdb1a35d8c</x:v>
      </x:c>
      <x:c r="J45" s="19" t="str"/>
      <x:c r="K45" s="19" t="str"/>
      <x:c r="L45" s="18" t="str">
        <x:v>否</x:v>
      </x:c>
      <x:c r="M45" s="18" t="str">
        <x:v>否</x:v>
      </x:c>
      <x:c r="N45" s="18" t="str">
        <x:v>否</x:v>
      </x:c>
      <x:c r="O45" s="20" t="n">
        <x:v>1</x:v>
      </x:c>
      <x:c r="P45" s="19" t="str">
        <x:v>详见 Hub证据 页，按本 Hub 名称筛选</x:v>
      </x:c>
      <x:c r="Q45" s="19" t="str">
        <x:v>Official operator transfer guide defines the proposed interchange area. Each physical station/operator/mode stays separate.</x:v>
      </x:c>
      <x:c r="R45" s="19"/>
      <x:c r="S45" s="18" t="str">
        <x:v>东京23区</x:v>
      </x:c>
      <x:c r="T45" s="20" t="n">
        <x:v>0</x:v>
      </x:c>
    </x:row>
    <x:row r="46" ht="47" customHeight="1">
      <x:c r="A46" s="19" t="str">
        <x:v>大宮</x:v>
      </x:c>
      <x:c r="B46" s="18" t="str">
        <x:v>T0</x:v>
      </x:c>
      <x:c r="C46" s="20" t="n">
        <x:v>4</x:v>
      </x:c>
      <x:c r="D46" s="20" t="n">
        <x:v>3</x:v>
      </x:c>
      <x:c r="E46" s="19" t="str">
        <x:v>有官方换乘依据</x:v>
      </x:c>
      <x:c r="F46" s="20" t="n">
        <x:v>0</x:v>
      </x:c>
      <x:c r="G46" s="19" t="str">
        <x:v>组件待审核</x:v>
      </x:c>
      <x:c r="H46" s="18" t="str">
        <x:v>EXISTING_NATIONAL_REVIEW</x:v>
      </x:c>
      <x:c r="I46" s="18" t="str">
        <x:v>transport-hub-review:3fc37f12-6d20-5678-8d39-bd8967884661</x:v>
      </x:c>
      <x:c r="J46" s="19" t="str">
        <x:v>大宮</x:v>
      </x:c>
      <x:c r="K46" s="19" t="str">
        <x:v>transport-hub:1671598e-64f4-563d-bf4c-8b6f4dd85d42</x:v>
      </x:c>
      <x:c r="L46" s="18" t="str">
        <x:v>否</x:v>
      </x:c>
      <x:c r="M46" s="18" t="str">
        <x:v>否</x:v>
      </x:c>
      <x:c r="N46" s="18" t="str">
        <x:v>否</x:v>
      </x:c>
      <x:c r="O46" s="20" t="n">
        <x:v>1</x:v>
      </x:c>
      <x:c r="P46" s="19" t="str">
        <x:v>详见 Hub证据 页，按本 Hub 名称筛选</x:v>
      </x:c>
      <x:c r="Q46" s="19" t="str">
        <x:v>Tobu Omiya designates JR and New Shuttle interchange; JR conventional/Shinkansen retained separately. Components retain operator/mode identities. Boundary evidence review does not authorize runtime import or final acceptance.</x:v>
      </x:c>
      <x:c r="R46" s="19"/>
      <x:c r="S46" s="18" t="str">
        <x:v>埼玉圈</x:v>
      </x:c>
      <x:c r="T46" s="20" t="n">
        <x:v>0</x:v>
      </x:c>
    </x:row>
    <x:row r="47" ht="33" customHeight="1">
      <x:c r="A47" s="19" t="str">
        <x:v>大阪・梅田</x:v>
      </x:c>
      <x:c r="B47" s="18" t="str">
        <x:v>T0</x:v>
      </x:c>
      <x:c r="C47" s="20" t="n">
        <x:v>7</x:v>
      </x:c>
      <x:c r="D47" s="20" t="n">
        <x:v>4</x:v>
      </x:c>
      <x:c r="E47" s="19" t="str">
        <x:v>有官方换乘依据</x:v>
      </x:c>
      <x:c r="F47" s="20" t="n">
        <x:v>0</x:v>
      </x:c>
      <x:c r="G47" s="19" t="str">
        <x:v>组件待审核</x:v>
      </x:c>
      <x:c r="H47" s="18" t="str">
        <x:v>OSAKA_METRO_NETWORK</x:v>
      </x:c>
      <x:c r="I47" s="18" t="str">
        <x:v>transport-hub-review:c874f3c0-4c3d-5ef3-adac-91c1a118c3b7</x:v>
      </x:c>
      <x:c r="J47" s="19" t="str">
        <x:v>大阪
梅田</x:v>
      </x:c>
      <x:c r="K47" s="19" t="str">
        <x:v>transport-hub:126d8031-7b61-51c1-8d02-1cc7e1b5f1bd
transport-hub:31f10b30-6d1c-5663-839a-ce402eebb330</x:v>
      </x:c>
      <x:c r="L47" s="18" t="str">
        <x:v>否</x:v>
      </x:c>
      <x:c r="M47" s="18" t="str">
        <x:v>否</x:v>
      </x:c>
      <x:c r="N47" s="18" t="str">
        <x:v>否</x:v>
      </x:c>
      <x:c r="O47" s="20" t="n">
        <x:v>7</x:v>
      </x:c>
      <x:c r="P47" s="19" t="str">
        <x:v>详见 Hub证据 页，按本 Hub 名称筛选</x:v>
      </x:c>
      <x:c r="Q47" s="19" t="str">
        <x:v>Official operator transfer guide defines the proposed interchange area. Each physical station/operator/mode stays separate.</x:v>
      </x:c>
      <x:c r="R47" s="19"/>
      <x:c r="S47" s="18" t="str">
        <x:v>大阪圈</x:v>
      </x:c>
      <x:c r="T47" s="20" t="n">
        <x:v>0</x:v>
      </x:c>
    </x:row>
    <x:row r="48" ht="47" customHeight="1">
      <x:c r="A48" s="19" t="str">
        <x:v>大崎</x:v>
      </x:c>
      <x:c r="B48" s="18" t="str">
        <x:v>T0</x:v>
      </x:c>
      <x:c r="C48" s="20" t="n">
        <x:v>2</x:v>
      </x:c>
      <x:c r="D48" s="20" t="n">
        <x:v>2</x:v>
      </x:c>
      <x:c r="E48" s="19" t="str">
        <x:v>有官方换乘依据</x:v>
      </x:c>
      <x:c r="F48" s="20" t="n">
        <x:v>0</x:v>
      </x:c>
      <x:c r="G48" s="19" t="str">
        <x:v>组件待审核</x:v>
      </x:c>
      <x:c r="H48" s="18" t="str">
        <x:v>NATIONAL_CITY_INTERCHANGE_EXPANSION</x:v>
      </x:c>
      <x:c r="I48" s="18" t="str">
        <x:v>transport-hub-review:dc0a88e6-dd2c-5945-b91f-e559abca4809</x:v>
      </x:c>
      <x:c r="J48" s="19" t="str"/>
      <x:c r="K48" s="19" t="str"/>
      <x:c r="L48" s="18" t="str">
        <x:v>否</x:v>
      </x:c>
      <x:c r="M48" s="18" t="str">
        <x:v>否</x:v>
      </x:c>
      <x:c r="N48" s="18" t="str">
        <x:v>否</x:v>
      </x:c>
      <x:c r="O48" s="20" t="n">
        <x:v>1</x:v>
      </x:c>
      <x:c r="P48" s="19" t="str">
        <x:v>详见 Hub证据 页，按本 Hub 名称筛选</x:v>
      </x:c>
      <x:c r="Q4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48" s="19"/>
      <x:c r="S48" s="18" t="str">
        <x:v>东京23区</x:v>
      </x:c>
      <x:c r="T48" s="20" t="n">
        <x:v>0</x:v>
      </x:c>
    </x:row>
    <x:row r="49" ht="47" customHeight="1">
      <x:c r="A49" s="19" t="str">
        <x:v>大手町</x:v>
      </x:c>
      <x:c r="B49" s="18" t="str">
        <x:v>T0</x:v>
      </x:c>
      <x:c r="C49" s="20" t="n">
        <x:v>2</x:v>
      </x:c>
      <x:c r="D49" s="20" t="n">
        <x:v>2</x:v>
      </x:c>
      <x:c r="E49" s="19" t="str">
        <x:v>有官方换乘依据</x:v>
      </x:c>
      <x:c r="F49" s="20" t="n">
        <x:v>0</x:v>
      </x:c>
      <x:c r="G49" s="19" t="str">
        <x:v>组件待审核</x:v>
      </x:c>
      <x:c r="H49" s="18" t="str">
        <x:v>NATIONAL_CITY_INTERCHANGE_EXPANSION</x:v>
      </x:c>
      <x:c r="I49" s="18" t="str">
        <x:v>transport-hub-review:1381cb37-f196-567f-89d3-7316094fe7bb</x:v>
      </x:c>
      <x:c r="J49" s="19" t="str"/>
      <x:c r="K49" s="19" t="str"/>
      <x:c r="L49" s="18" t="str">
        <x:v>否</x:v>
      </x:c>
      <x:c r="M49" s="18" t="str">
        <x:v>否</x:v>
      </x:c>
      <x:c r="N49" s="18" t="str">
        <x:v>否</x:v>
      </x:c>
      <x:c r="O49" s="20" t="n">
        <x:v>1</x:v>
      </x:c>
      <x:c r="P49" s="19" t="str">
        <x:v>详见 Hub证据 页，按本 Hub 名称筛选</x:v>
      </x:c>
      <x:c r="Q4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49" s="19"/>
      <x:c r="S49" s="18" t="str">
        <x:v>东京23区</x:v>
      </x:c>
      <x:c r="T49" s="20" t="n">
        <x:v>0</x:v>
      </x:c>
    </x:row>
    <x:row r="50" ht="47" customHeight="1">
      <x:c r="A50" s="19" t="str">
        <x:v>池袋</x:v>
      </x:c>
      <x:c r="B50" s="18" t="str">
        <x:v>T0</x:v>
      </x:c>
      <x:c r="C50" s="20" t="n">
        <x:v>4</x:v>
      </x:c>
      <x:c r="D50" s="20" t="n">
        <x:v>4</x:v>
      </x:c>
      <x:c r="E50" s="19" t="str">
        <x:v>有官方换乘依据</x:v>
      </x:c>
      <x:c r="F50" s="20" t="n">
        <x:v>0</x:v>
      </x:c>
      <x:c r="G50" s="19" t="str">
        <x:v>组件待审核</x:v>
      </x:c>
      <x:c r="H50" s="18" t="str">
        <x:v>EXISTING_NATIONAL_REVIEW</x:v>
      </x:c>
      <x:c r="I50" s="18" t="str">
        <x:v>transport-hub-review:84fb0e29-8c69-58bb-90a8-2e9993f9dcd3</x:v>
      </x:c>
      <x:c r="J50" s="19" t="str">
        <x:v>池袋</x:v>
      </x:c>
      <x:c r="K50" s="19" t="str">
        <x:v>transport-hub:498371cc-43c8-58cc-b0d7-6e90a2d35b7d</x:v>
      </x:c>
      <x:c r="L50" s="18" t="str">
        <x:v>否</x:v>
      </x:c>
      <x:c r="M50" s="18" t="str">
        <x:v>否</x:v>
      </x:c>
      <x:c r="N50" s="18" t="str">
        <x:v>否</x:v>
      </x:c>
      <x:c r="O50" s="20" t="n">
        <x:v>3</x:v>
      </x:c>
      <x:c r="P50" s="19" t="str">
        <x:v>详见 Hub证据 页，按本 Hub 名称筛选</x:v>
      </x:c>
      <x:c r="Q50" s="19" t="str">
        <x:v>Metro official station guide lists JR East, Tobu and Seibu within the Ikebukuro interchange. Components retain operator/mode identities. Boundary evidence review does not authorize runtime import or final acceptance.</x:v>
      </x:c>
      <x:c r="R50" s="19"/>
      <x:c r="S50" s="18" t="str">
        <x:v>东京23区</x:v>
      </x:c>
      <x:c r="T50" s="20" t="n">
        <x:v>0</x:v>
      </x:c>
    </x:row>
    <x:row r="51" ht="33" customHeight="1">
      <x:c r="A51" s="19" t="str">
        <x:v>中目黒</x:v>
      </x:c>
      <x:c r="B51" s="18" t="str">
        <x:v>T0</x:v>
      </x:c>
      <x:c r="C51" s="20" t="n">
        <x:v>2</x:v>
      </x:c>
      <x:c r="D51" s="20" t="n">
        <x:v>2</x:v>
      </x:c>
      <x:c r="E51" s="19" t="str">
        <x:v>有官方换乘依据</x:v>
      </x:c>
      <x:c r="F51" s="20" t="n">
        <x:v>0</x:v>
      </x:c>
      <x:c r="G51" s="19" t="str">
        <x:v>组件待审核</x:v>
      </x:c>
      <x:c r="H51" s="18" t="str">
        <x:v>TOKYO_METRO_NETWORK</x:v>
      </x:c>
      <x:c r="I51" s="18" t="str">
        <x:v>transport-hub-review:9bfc0870-90f3-5490-a894-809b46505db4</x:v>
      </x:c>
      <x:c r="J51" s="19" t="str"/>
      <x:c r="K51" s="19" t="str"/>
      <x:c r="L51" s="18" t="str">
        <x:v>否</x:v>
      </x:c>
      <x:c r="M51" s="18" t="str">
        <x:v>否</x:v>
      </x:c>
      <x:c r="N51" s="18" t="str">
        <x:v>否</x:v>
      </x:c>
      <x:c r="O51" s="20" t="n">
        <x:v>1</x:v>
      </x:c>
      <x:c r="P51" s="19" t="str">
        <x:v>详见 Hub证据 页，按本 Hub 名称筛选</x:v>
      </x:c>
      <x:c r="Q51" s="19" t="str">
        <x:v>Official operator transfer guide defines the proposed interchange area. Each physical station/operator/mode stays separate.</x:v>
      </x:c>
      <x:c r="R51" s="19"/>
      <x:c r="S51" s="18" t="str">
        <x:v>东京23区</x:v>
      </x:c>
      <x:c r="T51" s="20" t="n">
        <x:v>0</x:v>
      </x:c>
    </x:row>
    <x:row r="52" ht="33" customHeight="1">
      <x:c r="A52" s="19" t="str">
        <x:v>中野</x:v>
      </x:c>
      <x:c r="B52" s="18" t="str">
        <x:v>T0</x:v>
      </x:c>
      <x:c r="C52" s="20" t="n">
        <x:v>2</x:v>
      </x:c>
      <x:c r="D52" s="20" t="n">
        <x:v>2</x:v>
      </x:c>
      <x:c r="E52" s="19" t="str">
        <x:v>有官方换乘依据</x:v>
      </x:c>
      <x:c r="F52" s="20" t="n">
        <x:v>0</x:v>
      </x:c>
      <x:c r="G52" s="19" t="str">
        <x:v>组件待审核</x:v>
      </x:c>
      <x:c r="H52" s="18" t="str">
        <x:v>TOKYO_METRO_NETWORK</x:v>
      </x:c>
      <x:c r="I52" s="18" t="str">
        <x:v>transport-hub-review:980d1d4d-cc6c-55da-b002-96c8f1dd922d</x:v>
      </x:c>
      <x:c r="J52" s="19" t="str"/>
      <x:c r="K52" s="19" t="str"/>
      <x:c r="L52" s="18" t="str">
        <x:v>否</x:v>
      </x:c>
      <x:c r="M52" s="18" t="str">
        <x:v>否</x:v>
      </x:c>
      <x:c r="N52" s="18" t="str">
        <x:v>否</x:v>
      </x:c>
      <x:c r="O52" s="20" t="n">
        <x:v>1</x:v>
      </x:c>
      <x:c r="P52" s="19" t="str">
        <x:v>详见 Hub证据 页，按本 Hub 名称筛选</x:v>
      </x:c>
      <x:c r="Q52" s="19" t="str">
        <x:v>Official operator transfer guide defines the proposed interchange area. Each physical station/operator/mode stays separate.</x:v>
      </x:c>
      <x:c r="R52" s="19"/>
      <x:c r="S52" s="18" t="str">
        <x:v>东京23区</x:v>
      </x:c>
      <x:c r="T52" s="20" t="n">
        <x:v>0</x:v>
      </x:c>
    </x:row>
    <x:row r="53" ht="33" customHeight="1">
      <x:c r="A53" s="19" t="str">
        <x:v>天王寺・大阪阿部野橋</x:v>
      </x:c>
      <x:c r="B53" s="18" t="str">
        <x:v>T0</x:v>
      </x:c>
      <x:c r="C53" s="20" t="n">
        <x:v>4</x:v>
      </x:c>
      <x:c r="D53" s="20" t="n">
        <x:v>4</x:v>
      </x:c>
      <x:c r="E53" s="19" t="str">
        <x:v>有官方换乘依据</x:v>
      </x:c>
      <x:c r="F53" s="20" t="n">
        <x:v>0</x:v>
      </x:c>
      <x:c r="G53" s="19" t="str">
        <x:v>组件待审核</x:v>
      </x:c>
      <x:c r="H53" s="18" t="str">
        <x:v>OSAKA_METRO_NETWORK</x:v>
      </x:c>
      <x:c r="I53" s="18" t="str">
        <x:v>transport-hub-review:4bf95fae-b2a8-53f8-bdab-cbc0040063f6</x:v>
      </x:c>
      <x:c r="J53" s="19" t="str"/>
      <x:c r="K53" s="19" t="str"/>
      <x:c r="L53" s="18" t="str">
        <x:v>否</x:v>
      </x:c>
      <x:c r="M53" s="18" t="str">
        <x:v>否</x:v>
      </x:c>
      <x:c r="N53" s="18" t="str">
        <x:v>否</x:v>
      </x:c>
      <x:c r="O53" s="20" t="n">
        <x:v>4</x:v>
      </x:c>
      <x:c r="P53" s="19" t="str">
        <x:v>详见 Hub证据 页，按本 Hub 名称筛选</x:v>
      </x:c>
      <x:c r="Q53" s="19" t="str">
        <x:v>Official operator transfer guide defines the proposed interchange area. Each physical station/operator/mode stays separate.</x:v>
      </x:c>
      <x:c r="R53" s="19"/>
      <x:c r="S53" s="18" t="str">
        <x:v>大阪圈</x:v>
      </x:c>
      <x:c r="T53" s="20" t="n">
        <x:v>0</x:v>
      </x:c>
    </x:row>
    <x:row r="54" ht="47" customHeight="1">
      <x:c r="A54" s="19" t="str">
        <x:v>田町・三田</x:v>
      </x:c>
      <x:c r="B54" s="18" t="str">
        <x:v>T0</x:v>
      </x:c>
      <x:c r="C54" s="20" t="n">
        <x:v>2</x:v>
      </x:c>
      <x:c r="D54" s="20" t="n">
        <x:v>2</x:v>
      </x:c>
      <x:c r="E54" s="19" t="str">
        <x:v>有官方换乘依据</x:v>
      </x:c>
      <x:c r="F54" s="20" t="n">
        <x:v>0</x:v>
      </x:c>
      <x:c r="G54" s="19" t="str">
        <x:v>组件待审核</x:v>
      </x:c>
      <x:c r="H54" s="18" t="str">
        <x:v>NATIONAL_CITY_INTERCHANGE_EXPANSION</x:v>
      </x:c>
      <x:c r="I54" s="18" t="str">
        <x:v>transport-hub-review:adffa6bc-9aa0-55f7-8dcb-c88ca553d44b</x:v>
      </x:c>
      <x:c r="J54" s="19" t="str"/>
      <x:c r="K54" s="19" t="str"/>
      <x:c r="L54" s="18" t="str">
        <x:v>否</x:v>
      </x:c>
      <x:c r="M54" s="18" t="str">
        <x:v>否</x:v>
      </x:c>
      <x:c r="N54" s="18" t="str">
        <x:v>否</x:v>
      </x:c>
      <x:c r="O54" s="20" t="n">
        <x:v>1</x:v>
      </x:c>
      <x:c r="P54" s="19" t="str">
        <x:v>详见 Hub证据 页，按本 Hub 名称筛选</x:v>
      </x:c>
      <x:c r="Q5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54" s="19"/>
      <x:c r="S54" s="18" t="str">
        <x:v>东京23区</x:v>
      </x:c>
      <x:c r="T54" s="20" t="n">
        <x:v>0</x:v>
      </x:c>
    </x:row>
    <x:row r="55" ht="61" customHeight="1">
      <x:c r="A55" s="19" t="str">
        <x:v>東京</x:v>
      </x:c>
      <x:c r="B55" s="18" t="str">
        <x:v>T0</x:v>
      </x:c>
      <x:c r="C55" s="20" t="n">
        <x:v>4</x:v>
      </x:c>
      <x:c r="D55" s="20" t="n">
        <x:v>3</x:v>
      </x:c>
      <x:c r="E55" s="19" t="str">
        <x:v>有官方换乘依据</x:v>
      </x:c>
      <x:c r="F55" s="20" t="n">
        <x:v>0</x:v>
      </x:c>
      <x:c r="G55" s="19" t="str">
        <x:v>组件待审核</x:v>
      </x:c>
      <x:c r="H55" s="18" t="str">
        <x:v>EXISTING_NATIONAL_REVIEW</x:v>
      </x:c>
      <x:c r="I55" s="18" t="str">
        <x:v>transport-hub-review:5e7cb893-0fa7-5530-b088-22b1d59d8395</x:v>
      </x:c>
      <x:c r="J55" s="19" t="str">
        <x:v>東京</x:v>
      </x:c>
      <x:c r="K55" s="19" t="str">
        <x:v>transport-hub:4d3471f4-79e9-5aff-84b6-fe5e10758c67</x:v>
      </x:c>
      <x:c r="L55" s="18" t="str">
        <x:v>否</x:v>
      </x:c>
      <x:c r="M55" s="18" t="str">
        <x:v>否</x:v>
      </x:c>
      <x:c r="N55" s="18" t="str">
        <x:v>否</x:v>
      </x:c>
      <x:c r="O55" s="20" t="n">
        <x:v>3</x:v>
      </x:c>
      <x:c r="P55" s="19" t="str">
        <x:v>详见 Hub证据 页，按本 Hub 名称筛选</x:v>
      </x:c>
      <x:c r="Q55" s="19" t="str">
        <x:v>Metro Tokyo lists JR East and JR Central connections. Retain JR East conventional/Shinkansen, JR Central Shinkansen and Metro; do not absorb the independent Otemachi scope. Components retain operator/mode identities. Boundary evidence review does not authorize runtime import or final acceptance.</x:v>
      </x:c>
      <x:c r="R55" s="19"/>
      <x:c r="S55" s="18" t="str">
        <x:v>东京23区</x:v>
      </x:c>
      <x:c r="T55" s="20" t="n">
        <x:v>0</x:v>
      </x:c>
    </x:row>
    <x:row r="56" ht="47" customHeight="1">
      <x:c r="A56" s="19" t="str">
        <x:v>藤沢</x:v>
      </x:c>
      <x:c r="B56" s="18" t="str">
        <x:v>T0</x:v>
      </x:c>
      <x:c r="C56" s="20" t="n">
        <x:v>3</x:v>
      </x:c>
      <x:c r="D56" s="20" t="n">
        <x:v>3</x:v>
      </x:c>
      <x:c r="E56" s="19" t="str">
        <x:v>有官方换乘依据</x:v>
      </x:c>
      <x:c r="F56" s="20" t="n">
        <x:v>0</x:v>
      </x:c>
      <x:c r="G56" s="19" t="str">
        <x:v>组件待审核</x:v>
      </x:c>
      <x:c r="H56" s="18" t="str">
        <x:v>NATIONAL_CITY_INTERCHANGE_EXPANSION</x:v>
      </x:c>
      <x:c r="I56" s="18" t="str">
        <x:v>transport-hub-review:f227d87b-5e37-51a8-acc6-4141970d48c3</x:v>
      </x:c>
      <x:c r="J56" s="19" t="str"/>
      <x:c r="K56" s="19" t="str"/>
      <x:c r="L56" s="18" t="str">
        <x:v>否</x:v>
      </x:c>
      <x:c r="M56" s="18" t="str">
        <x:v>否</x:v>
      </x:c>
      <x:c r="N56" s="18" t="str">
        <x:v>否</x:v>
      </x:c>
      <x:c r="O56" s="20" t="n">
        <x:v>1</x:v>
      </x:c>
      <x:c r="P56" s="19" t="str">
        <x:v>详见 Hub证据 页，按本 Hub 名称筛选</x:v>
      </x:c>
      <x:c r="Q5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56" s="19"/>
      <x:c r="S56" s="18" t="str">
        <x:v>神奈川其他</x:v>
      </x:c>
      <x:c r="T56" s="20" t="n">
        <x:v>0</x:v>
      </x:c>
    </x:row>
    <x:row r="57" ht="28" customHeight="1">
      <x:c r="A57" s="19" t="str">
        <x:v>博多</x:v>
      </x:c>
      <x:c r="B57" s="18" t="str">
        <x:v>T0</x:v>
      </x:c>
      <x:c r="C57" s="20" t="n">
        <x:v>4</x:v>
      </x:c>
      <x:c r="D57" s="20" t="n">
        <x:v>3</x:v>
      </x:c>
      <x:c r="E57" s="19" t="str">
        <x:v>有官方换乘依据</x:v>
      </x:c>
      <x:c r="F57" s="20" t="n">
        <x:v>0</x:v>
      </x:c>
      <x:c r="G57" s="19" t="str">
        <x:v>组件待审核</x:v>
      </x:c>
      <x:c r="H57" s="18" t="str">
        <x:v>EXISTING_NATIONAL_REVIEW</x:v>
      </x:c>
      <x:c r="I57" s="18" t="str">
        <x:v>transport-hub-review:157f1421-d682-59e8-bf05-ec60f22a9004</x:v>
      </x:c>
      <x:c r="J57" s="19" t="str">
        <x:v>博多</x:v>
      </x:c>
      <x:c r="K57" s="19" t="str">
        <x:v>transport-hub:8acfba75-3cab-5e6d-8919-e037c2302c32</x:v>
      </x:c>
      <x:c r="L57" s="18" t="str">
        <x:v>否</x:v>
      </x:c>
      <x:c r="M57" s="18" t="str">
        <x:v>否</x:v>
      </x:c>
      <x:c r="N57" s="18" t="str">
        <x:v>否</x:v>
      </x:c>
      <x:c r="O57" s="20" t="n">
        <x:v>1</x:v>
      </x:c>
      <x:c r="P57" s="19" t="str">
        <x:v>详见 Hub证据 页，按本 Hub 名称筛选</x:v>
      </x:c>
      <x:c r="Q57" s="19" t="str">
        <x:v>Existing minimum operator/mode scope; boundary evidence not yet admitted.</x:v>
      </x:c>
      <x:c r="R57" s="19"/>
      <x:c r="S57" s="18" t="str">
        <x:v>福冈</x:v>
      </x:c>
      <x:c r="T57" s="20" t="n">
        <x:v>0</x:v>
      </x:c>
    </x:row>
    <x:row r="58" ht="47" customHeight="1">
      <x:c r="A58" s="19" t="str">
        <x:v>柏</x:v>
      </x:c>
      <x:c r="B58" s="18" t="str">
        <x:v>T0</x:v>
      </x:c>
      <x:c r="C58" s="20" t="n">
        <x:v>2</x:v>
      </x:c>
      <x:c r="D58" s="20" t="n">
        <x:v>2</x:v>
      </x:c>
      <x:c r="E58" s="19" t="str">
        <x:v>有官方换乘依据</x:v>
      </x:c>
      <x:c r="F58" s="20" t="n">
        <x:v>0</x:v>
      </x:c>
      <x:c r="G58" s="19" t="str">
        <x:v>组件待审核</x:v>
      </x:c>
      <x:c r="H58" s="18" t="str">
        <x:v>NATIONAL_CITY_INTERCHANGE_EXPANSION</x:v>
      </x:c>
      <x:c r="I58" s="18" t="str">
        <x:v>transport-hub-review:701e83ee-f782-5d90-b19c-d6fa23f00fb7</x:v>
      </x:c>
      <x:c r="J58" s="19" t="str"/>
      <x:c r="K58" s="19" t="str"/>
      <x:c r="L58" s="18" t="str">
        <x:v>否</x:v>
      </x:c>
      <x:c r="M58" s="18" t="str">
        <x:v>否</x:v>
      </x:c>
      <x:c r="N58" s="18" t="str">
        <x:v>否</x:v>
      </x:c>
      <x:c r="O58" s="20" t="n">
        <x:v>1</x:v>
      </x:c>
      <x:c r="P58" s="19" t="str">
        <x:v>详见 Hub证据 页，按本 Hub 名称筛选</x:v>
      </x:c>
      <x:c r="Q5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58" s="19"/>
      <x:c r="S58" s="18" t="str">
        <x:v>千叶圈</x:v>
      </x:c>
      <x:c r="T58" s="20" t="n">
        <x:v>0</x:v>
      </x:c>
    </x:row>
    <x:row r="59" ht="47" customHeight="1">
      <x:c r="A59" s="19" t="str">
        <x:v>品川</x:v>
      </x:c>
      <x:c r="B59" s="18" t="str">
        <x:v>T0</x:v>
      </x:c>
      <x:c r="C59" s="20" t="n">
        <x:v>3</x:v>
      </x:c>
      <x:c r="D59" s="20" t="n">
        <x:v>3</x:v>
      </x:c>
      <x:c r="E59" s="19" t="str">
        <x:v>有官方换乘依据</x:v>
      </x:c>
      <x:c r="F59" s="20" t="n">
        <x:v>0</x:v>
      </x:c>
      <x:c r="G59" s="19" t="str">
        <x:v>组件待审核</x:v>
      </x:c>
      <x:c r="H59" s="18" t="str">
        <x:v>EXISTING_NATIONAL_REVIEW</x:v>
      </x:c>
      <x:c r="I59" s="18" t="str">
        <x:v>transport-hub-review:43a08ee6-0ea0-5b94-8a28-c9e12b77f245</x:v>
      </x:c>
      <x:c r="J59" s="19" t="str">
        <x:v>品川</x:v>
      </x:c>
      <x:c r="K59" s="19" t="str"/>
      <x:c r="L59" s="18" t="str">
        <x:v>否</x:v>
      </x:c>
      <x:c r="M59" s="18" t="str">
        <x:v>否</x:v>
      </x:c>
      <x:c r="N59" s="18" t="str">
        <x:v>否</x:v>
      </x:c>
      <x:c r="O59" s="20" t="n">
        <x:v>2</x:v>
      </x:c>
      <x:c r="P59" s="19" t="str">
        <x:v>详见 Hub证据 页，按本 Hub 名称筛选</x:v>
      </x:c>
      <x:c r="Q59" s="19" t="str">
        <x:v>Keikyu Shinagawa explicitly lists JR conventional lines and Tokaido Shinkansen. Dedicated JR transfer gate confirms the shared interchange. Components retain operator/mode identities. Boundary evidence review does not authorize runtime import or final acceptance.</x:v>
      </x:c>
      <x:c r="R59" s="19"/>
      <x:c r="S59" s="18" t="str">
        <x:v>东京23区</x:v>
      </x:c>
      <x:c r="T59" s="20" t="n">
        <x:v>0</x:v>
      </x:c>
    </x:row>
    <x:row r="60" ht="33" customHeight="1">
      <x:c r="A60" s="19" t="str">
        <x:v>豊洲</x:v>
      </x:c>
      <x:c r="B60" s="18" t="str">
        <x:v>T0</x:v>
      </x:c>
      <x:c r="C60" s="20" t="n">
        <x:v>2</x:v>
      </x:c>
      <x:c r="D60" s="20" t="n">
        <x:v>2</x:v>
      </x:c>
      <x:c r="E60" s="19" t="str">
        <x:v>有官方换乘依据</x:v>
      </x:c>
      <x:c r="F60" s="20" t="n">
        <x:v>0</x:v>
      </x:c>
      <x:c r="G60" s="19" t="str">
        <x:v>组件待审核</x:v>
      </x:c>
      <x:c r="H60" s="18" t="str">
        <x:v>TOKYO_METRO_NETWORK</x:v>
      </x:c>
      <x:c r="I60" s="18" t="str">
        <x:v>transport-hub-review:e203cfa4-81e7-5e70-8e09-ecd382a47411</x:v>
      </x:c>
      <x:c r="J60" s="19" t="str"/>
      <x:c r="K60" s="19" t="str"/>
      <x:c r="L60" s="18" t="str">
        <x:v>否</x:v>
      </x:c>
      <x:c r="M60" s="18" t="str">
        <x:v>否</x:v>
      </x:c>
      <x:c r="N60" s="18" t="str">
        <x:v>否</x:v>
      </x:c>
      <x:c r="O60" s="20" t="n">
        <x:v>1</x:v>
      </x:c>
      <x:c r="P60" s="19" t="str">
        <x:v>详见 Hub证据 页，按本 Hub 名称筛选</x:v>
      </x:c>
      <x:c r="Q60" s="19" t="str">
        <x:v>Official operator transfer guide defines the proposed interchange area. Each physical station/operator/mode stays separate.</x:v>
      </x:c>
      <x:c r="R60" s="19"/>
      <x:c r="S60" s="18" t="str">
        <x:v>东京23区</x:v>
      </x:c>
      <x:c r="T60" s="20" t="n">
        <x:v>0</x:v>
      </x:c>
    </x:row>
    <x:row r="61" ht="33" customHeight="1">
      <x:c r="A61" s="19" t="str">
        <x:v>北千住</x:v>
      </x:c>
      <x:c r="B61" s="18" t="str">
        <x:v>T0</x:v>
      </x:c>
      <x:c r="C61" s="20" t="n">
        <x:v>4</x:v>
      </x:c>
      <x:c r="D61" s="20" t="n">
        <x:v>4</x:v>
      </x:c>
      <x:c r="E61" s="19" t="str">
        <x:v>有官方换乘依据</x:v>
      </x:c>
      <x:c r="F61" s="20" t="n">
        <x:v>0</x:v>
      </x:c>
      <x:c r="G61" s="19" t="str">
        <x:v>组件待审核</x:v>
      </x:c>
      <x:c r="H61" s="18" t="str">
        <x:v>TOKYO_METRO_NETWORK</x:v>
      </x:c>
      <x:c r="I61" s="18" t="str">
        <x:v>transport-hub-review:b18268e1-fe40-50f5-acc2-b6387feb7706</x:v>
      </x:c>
      <x:c r="J61" s="19" t="str"/>
      <x:c r="K61" s="19" t="str"/>
      <x:c r="L61" s="18" t="str">
        <x:v>否</x:v>
      </x:c>
      <x:c r="M61" s="18" t="str">
        <x:v>否</x:v>
      </x:c>
      <x:c r="N61" s="18" t="str">
        <x:v>否</x:v>
      </x:c>
      <x:c r="O61" s="20" t="n">
        <x:v>1</x:v>
      </x:c>
      <x:c r="P61" s="19" t="str">
        <x:v>详见 Hub证据 页，按本 Hub 名称筛选</x:v>
      </x:c>
      <x:c r="Q61" s="19" t="str">
        <x:v>Official operator transfer guide defines the proposed interchange area. Each physical station/operator/mode stays separate.</x:v>
      </x:c>
      <x:c r="R61" s="19"/>
      <x:c r="S61" s="18" t="str">
        <x:v>东京23区</x:v>
      </x:c>
      <x:c r="T61" s="20" t="n">
        <x:v>0</x:v>
      </x:c>
    </x:row>
    <x:row r="62" ht="33" customHeight="1">
      <x:c r="A62" s="19" t="str">
        <x:v>本町</x:v>
      </x:c>
      <x:c r="B62" s="18" t="str">
        <x:v>T0</x:v>
      </x:c>
      <x:c r="C62" s="20" t="n">
        <x:v>1</x:v>
      </x:c>
      <x:c r="D62" s="20" t="n">
        <x:v>1</x:v>
      </x:c>
      <x:c r="E62" s="19" t="str">
        <x:v>有官方换乘依据</x:v>
      </x:c>
      <x:c r="F62" s="20" t="n">
        <x:v>0</x:v>
      </x:c>
      <x:c r="G62" s="19" t="str">
        <x:v>组件待审核</x:v>
      </x:c>
      <x:c r="H62" s="18" t="str">
        <x:v>OSAKA_METRO_NETWORK</x:v>
      </x:c>
      <x:c r="I62" s="18" t="str">
        <x:v>transport-hub-review:bfde6fb3-d929-5b3a-a54f-423169e52678</x:v>
      </x:c>
      <x:c r="J62" s="19" t="str"/>
      <x:c r="K62" s="19" t="str"/>
      <x:c r="L62" s="18" t="str">
        <x:v>否</x:v>
      </x:c>
      <x:c r="M62" s="18" t="str">
        <x:v>否</x:v>
      </x:c>
      <x:c r="N62" s="18" t="str">
        <x:v>否</x:v>
      </x:c>
      <x:c r="O62" s="20" t="n">
        <x:v>3</x:v>
      </x:c>
      <x:c r="P62" s="19" t="str">
        <x:v>详见 Hub证据 页，按本 Hub 名称筛选</x:v>
      </x:c>
      <x:c r="Q62" s="19" t="str">
        <x:v>Official operator transfer guide defines the proposed interchange area. Each physical station/operator/mode stays separate.</x:v>
      </x:c>
      <x:c r="R62" s="19"/>
      <x:c r="S62" s="18" t="str">
        <x:v>大阪圈</x:v>
      </x:c>
      <x:c r="T62" s="20" t="n">
        <x:v>0</x:v>
      </x:c>
    </x:row>
    <x:row r="63" ht="28" customHeight="1">
      <x:c r="A63" s="19" t="str">
        <x:v>名古屋</x:v>
      </x:c>
      <x:c r="B63" s="18" t="str">
        <x:v>T0</x:v>
      </x:c>
      <x:c r="C63" s="20" t="n">
        <x:v>6</x:v>
      </x:c>
      <x:c r="D63" s="20" t="n">
        <x:v>5</x:v>
      </x:c>
      <x:c r="E63" s="19" t="str">
        <x:v>有官方换乘依据</x:v>
      </x:c>
      <x:c r="F63" s="20" t="n">
        <x:v>0</x:v>
      </x:c>
      <x:c r="G63" s="19" t="str">
        <x:v>组件待审核</x:v>
      </x:c>
      <x:c r="H63" s="18" t="str">
        <x:v>EXISTING_NATIONAL_REVIEW</x:v>
      </x:c>
      <x:c r="I63" s="18" t="str">
        <x:v>transport-hub-review:f84cdc88-2100-55dc-a385-099023194b00</x:v>
      </x:c>
      <x:c r="J63" s="19" t="str">
        <x:v>名古屋</x:v>
      </x:c>
      <x:c r="K63" s="19" t="str">
        <x:v>transport-hub:5a17d17a-2bc9-5a0d-8524-19fbd346c3b2</x:v>
      </x:c>
      <x:c r="L63" s="18" t="str">
        <x:v>否</x:v>
      </x:c>
      <x:c r="M63" s="18" t="str">
        <x:v>否</x:v>
      </x:c>
      <x:c r="N63" s="18" t="str">
        <x:v>否</x:v>
      </x:c>
      <x:c r="O63" s="20" t="n">
        <x:v>1</x:v>
      </x:c>
      <x:c r="P63" s="19" t="str">
        <x:v>详见 Hub证据 页，按本 Hub 名称筛选</x:v>
      </x:c>
      <x:c r="Q63" s="19" t="str">
        <x:v>Existing minimum operator/mode scope; boundary evidence not yet admitted.</x:v>
      </x:c>
      <x:c r="R63" s="19"/>
      <x:c r="S63" s="18" t="str">
        <x:v>名古屋圈</x:v>
      </x:c>
      <x:c r="T63" s="20" t="n">
        <x:v>0</x:v>
      </x:c>
    </x:row>
    <x:row r="64" ht="33" customHeight="1">
      <x:c r="A64" s="19" t="str">
        <x:v>目黒</x:v>
      </x:c>
      <x:c r="B64" s="18" t="str">
        <x:v>T0</x:v>
      </x:c>
      <x:c r="C64" s="20" t="n">
        <x:v>4</x:v>
      </x:c>
      <x:c r="D64" s="20" t="n">
        <x:v>4</x:v>
      </x:c>
      <x:c r="E64" s="19" t="str">
        <x:v>有官方换乘依据</x:v>
      </x:c>
      <x:c r="F64" s="20" t="n">
        <x:v>0</x:v>
      </x:c>
      <x:c r="G64" s="19" t="str">
        <x:v>组件待审核</x:v>
      </x:c>
      <x:c r="H64" s="18" t="str">
        <x:v>TOKYO_METRO_NETWORK</x:v>
      </x:c>
      <x:c r="I64" s="18" t="str">
        <x:v>transport-hub-review:2e14e16f-4fe0-5c7d-829a-a6a82c8baf61</x:v>
      </x:c>
      <x:c r="J64" s="19" t="str"/>
      <x:c r="K64" s="19" t="str"/>
      <x:c r="L64" s="18" t="str">
        <x:v>否</x:v>
      </x:c>
      <x:c r="M64" s="18" t="str">
        <x:v>否</x:v>
      </x:c>
      <x:c r="N64" s="18" t="str">
        <x:v>否</x:v>
      </x:c>
      <x:c r="O64" s="20" t="n">
        <x:v>2</x:v>
      </x:c>
      <x:c r="P64" s="19" t="str">
        <x:v>详见 Hub证据 页，按本 Hub 名称筛选</x:v>
      </x:c>
      <x:c r="Q64" s="19" t="str">
        <x:v>Official operator transfer guide defines the proposed interchange area. Each physical station/operator/mode stays separate.</x:v>
      </x:c>
      <x:c r="R64" s="19"/>
      <x:c r="S64" s="18" t="str">
        <x:v>东京23区</x:v>
      </x:c>
      <x:c r="T64" s="20" t="n">
        <x:v>0</x:v>
      </x:c>
    </x:row>
    <x:row r="65" ht="33" customHeight="1">
      <x:c r="A65" s="19" t="str">
        <x:v>有楽町・日比谷</x:v>
      </x:c>
      <x:c r="B65" s="18" t="str">
        <x:v>T0</x:v>
      </x:c>
      <x:c r="C65" s="20" t="n">
        <x:v>4</x:v>
      </x:c>
      <x:c r="D65" s="20" t="n">
        <x:v>3</x:v>
      </x:c>
      <x:c r="E65" s="19" t="str">
        <x:v>有官方换乘依据</x:v>
      </x:c>
      <x:c r="F65" s="20" t="n">
        <x:v>0</x:v>
      </x:c>
      <x:c r="G65" s="19" t="str">
        <x:v>组件待审核</x:v>
      </x:c>
      <x:c r="H65" s="18" t="str">
        <x:v>TOKYO_METRO_NETWORK</x:v>
      </x:c>
      <x:c r="I65" s="18" t="str">
        <x:v>transport-hub-review:97878753-ca5b-5c59-84d4-842b8879679b</x:v>
      </x:c>
      <x:c r="J65" s="19" t="str"/>
      <x:c r="K65" s="19" t="str"/>
      <x:c r="L65" s="18" t="str">
        <x:v>否</x:v>
      </x:c>
      <x:c r="M65" s="18" t="str">
        <x:v>否</x:v>
      </x:c>
      <x:c r="N65" s="18" t="str">
        <x:v>否</x:v>
      </x:c>
      <x:c r="O65" s="20" t="n">
        <x:v>2</x:v>
      </x:c>
      <x:c r="P65" s="19" t="str">
        <x:v>详见 Hub证据 页，按本 Hub 名称筛选</x:v>
      </x:c>
      <x:c r="Q65" s="19" t="str">
        <x:v>Official operator transfer guide defines the proposed interchange area. Each physical station/operator/mode stays separate.</x:v>
      </x:c>
      <x:c r="R65" s="19"/>
      <x:c r="S65" s="18" t="str">
        <x:v>东京23区</x:v>
      </x:c>
      <x:c r="T65" s="20" t="n">
        <x:v>0</x:v>
      </x:c>
    </x:row>
    <x:row r="66" ht="33" customHeight="1">
      <x:c r="A66" s="19" t="str">
        <x:v>淀屋橋</x:v>
      </x:c>
      <x:c r="B66" s="18" t="str">
        <x:v>T0</x:v>
      </x:c>
      <x:c r="C66" s="20" t="n">
        <x:v>2</x:v>
      </x:c>
      <x:c r="D66" s="20" t="n">
        <x:v>2</x:v>
      </x:c>
      <x:c r="E66" s="19" t="str">
        <x:v>有官方换乘依据</x:v>
      </x:c>
      <x:c r="F66" s="20" t="n">
        <x:v>0</x:v>
      </x:c>
      <x:c r="G66" s="19" t="str">
        <x:v>组件待审核</x:v>
      </x:c>
      <x:c r="H66" s="18" t="str">
        <x:v>OSAKA_METRO_NETWORK</x:v>
      </x:c>
      <x:c r="I66" s="18" t="str">
        <x:v>transport-hub-review:1fcc67fc-fe0f-592f-9b4a-f7930a2bd31e</x:v>
      </x:c>
      <x:c r="J66" s="19" t="str"/>
      <x:c r="K66" s="19" t="str"/>
      <x:c r="L66" s="18" t="str">
        <x:v>否</x:v>
      </x:c>
      <x:c r="M66" s="18" t="str">
        <x:v>否</x:v>
      </x:c>
      <x:c r="N66" s="18" t="str">
        <x:v>否</x:v>
      </x:c>
      <x:c r="O66" s="20" t="n">
        <x:v>2</x:v>
      </x:c>
      <x:c r="P66" s="19" t="str">
        <x:v>详见 Hub证据 页，按本 Hub 名称筛选</x:v>
      </x:c>
      <x:c r="Q66" s="19" t="str">
        <x:v>Official operator transfer guide defines the proposed interchange area. Each physical station/operator/mode stays separate.</x:v>
      </x:c>
      <x:c r="R66" s="19"/>
      <x:c r="S66" s="18" t="str">
        <x:v>大阪圈</x:v>
      </x:c>
      <x:c r="T66" s="20" t="n">
        <x:v>0</x:v>
      </x:c>
    </x:row>
    <x:row r="67" ht="47" customHeight="1">
      <x:c r="A67" s="19" t="str">
        <x:v>和光市</x:v>
      </x:c>
      <x:c r="B67" s="18" t="str">
        <x:v>T0</x:v>
      </x:c>
      <x:c r="C67" s="20" t="n">
        <x:v>2</x:v>
      </x:c>
      <x:c r="D67" s="20" t="n">
        <x:v>2</x:v>
      </x:c>
      <x:c r="E67" s="19" t="str">
        <x:v>有官方换乘依据</x:v>
      </x:c>
      <x:c r="F67" s="20" t="n">
        <x:v>0</x:v>
      </x:c>
      <x:c r="G67" s="19" t="str">
        <x:v>组件待审核</x:v>
      </x:c>
      <x:c r="H67" s="18" t="str">
        <x:v>NATIONAL_CITY_INTERCHANGE_EXPANSION</x:v>
      </x:c>
      <x:c r="I67" s="18" t="str">
        <x:v>transport-hub-review:99b9d212-ac51-51b8-8820-f16f7bcf83f2</x:v>
      </x:c>
      <x:c r="J67" s="19" t="str"/>
      <x:c r="K67" s="19" t="str"/>
      <x:c r="L67" s="18" t="str">
        <x:v>否</x:v>
      </x:c>
      <x:c r="M67" s="18" t="str">
        <x:v>否</x:v>
      </x:c>
      <x:c r="N67" s="18" t="str">
        <x:v>否</x:v>
      </x:c>
      <x:c r="O67" s="20" t="n">
        <x:v>1</x:v>
      </x:c>
      <x:c r="P67" s="19" t="str">
        <x:v>详见 Hub证据 页，按本 Hub 名称筛选</x:v>
      </x:c>
      <x:c r="Q6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67" s="19"/>
      <x:c r="S67" s="18" t="str">
        <x:v>埼玉圈</x:v>
      </x:c>
      <x:c r="T67" s="20" t="n">
        <x:v>0</x:v>
      </x:c>
    </x:row>
    <x:row r="68" ht="47" customHeight="1">
      <x:c r="A68" s="19" t="str">
        <x:v>あざみ野</x:v>
      </x:c>
      <x:c r="B68" s="18" t="str">
        <x:v>T1</x:v>
      </x:c>
      <x:c r="C68" s="20" t="n">
        <x:v>2</x:v>
      </x:c>
      <x:c r="D68" s="20" t="n">
        <x:v>2</x:v>
      </x:c>
      <x:c r="E68" s="19" t="str">
        <x:v>有官方换乘依据</x:v>
      </x:c>
      <x:c r="F68" s="20" t="n">
        <x:v>0</x:v>
      </x:c>
      <x:c r="G68" s="19" t="str">
        <x:v>组件待审核</x:v>
      </x:c>
      <x:c r="H68" s="18" t="str">
        <x:v>NATIONAL_CITY_INTERCHANGE_EXPANSION</x:v>
      </x:c>
      <x:c r="I68" s="18" t="str">
        <x:v>transport-hub-review:11caf9f2-f8ab-512c-b72d-d074ed0fdd4f</x:v>
      </x:c>
      <x:c r="J68" s="19" t="str"/>
      <x:c r="K68" s="19" t="str"/>
      <x:c r="L68" s="18" t="str">
        <x:v>否</x:v>
      </x:c>
      <x:c r="M68" s="18" t="str">
        <x:v>否</x:v>
      </x:c>
      <x:c r="N68" s="18" t="str">
        <x:v>否</x:v>
      </x:c>
      <x:c r="O68" s="20" t="n">
        <x:v>1</x:v>
      </x:c>
      <x:c r="P68" s="19" t="str">
        <x:v>详见 Hub证据 页，按本 Hub 名称筛选</x:v>
      </x:c>
      <x:c r="Q6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68" s="19"/>
      <x:c r="S68" s="18" t="str">
        <x:v>横滨圈</x:v>
      </x:c>
      <x:c r="T68" s="20" t="n">
        <x:v>0</x:v>
      </x:c>
    </x:row>
    <x:row r="69" ht="61" customHeight="1">
      <x:c r="A69" s="19" t="str">
        <x:v>なかもず・中百舌鳥</x:v>
      </x:c>
      <x:c r="B69" s="18" t="str">
        <x:v>T1</x:v>
      </x:c>
      <x:c r="C69" s="20" t="n">
        <x:v>2</x:v>
      </x:c>
      <x:c r="D69" s="20" t="n">
        <x:v>2</x:v>
      </x:c>
      <x:c r="E69" s="19" t="str">
        <x:v>有官方换乘依据</x:v>
      </x:c>
      <x:c r="F69" s="20" t="n">
        <x:v>0</x:v>
      </x:c>
      <x:c r="G69" s="19" t="str">
        <x:v>组件待审核</x:v>
      </x:c>
      <x:c r="H69" s="18" t="str">
        <x:v>OSAKA_METRO_NETWORK</x:v>
      </x:c>
      <x:c r="I69" s="18" t="str">
        <x:v>transport-hub-review:511b2831-9512-52fb-af65-002131062b0e</x:v>
      </x:c>
      <x:c r="J69" s="19" t="str"/>
      <x:c r="K69" s="19" t="str"/>
      <x:c r="L69" s="18" t="str">
        <x:v>否</x:v>
      </x:c>
      <x:c r="M69" s="18" t="str">
        <x:v>否</x:v>
      </x:c>
      <x:c r="N69" s="18" t="str">
        <x:v>否</x:v>
      </x:c>
      <x:c r="O69" s="20" t="n">
        <x:v>2</x:v>
      </x:c>
      <x:c r="P69" s="19" t="str">
        <x:v>详见 Hub证据 页，按本 Hub 名称筛选</x:v>
      </x:c>
      <x:c r="Q69" s="19" t="str">
        <x:v>Official operator transfer guide defines the proposed interchange area. Each physical station/operator/mode stays separate.</x:v>
      </x:c>
      <x:c r="R69" s="19" t="str">
        <x:v>{"currentOperator":"南海電気鉄道","effectiveDate":"2025-04-01","formerOperator":"泉北高速鉄道","note":"Do not count former Senboku as an additional current operator; retain FY2024 observation outside current Hub membership.","source":"https://www.nankai.co.jp/news/241101_1.html","status":"MERGER_DOCUMENTED_S12_HISTORICAL_COMPONENT_REVIEW"}</x:v>
      </x:c>
      <x:c r="S69" s="18" t="str">
        <x:v>大阪圈</x:v>
      </x:c>
      <x:c r="T69" s="20" t="n">
        <x:v>0</x:v>
      </x:c>
    </x:row>
    <x:row r="70" ht="33" customHeight="1">
      <x:c r="A70" s="19" t="str">
        <x:v>烏丸・四条</x:v>
      </x:c>
      <x:c r="B70" s="18" t="str">
        <x:v>T1</x:v>
      </x:c>
      <x:c r="C70" s="20" t="n">
        <x:v>2</x:v>
      </x:c>
      <x:c r="D70" s="20" t="n">
        <x:v>2</x:v>
      </x:c>
      <x:c r="E70" s="19" t="str">
        <x:v>有官方换乘依据</x:v>
      </x:c>
      <x:c r="F70" s="20" t="n">
        <x:v>0</x:v>
      </x:c>
      <x:c r="G70" s="19" t="str">
        <x:v>组件待审核</x:v>
      </x:c>
      <x:c r="H70" s="18" t="str">
        <x:v>KYOTO</x:v>
      </x:c>
      <x:c r="I70" s="18" t="str">
        <x:v>transport-hub-review:e2d38b26-899a-56b2-aa18-d0eae57cc5df</x:v>
      </x:c>
      <x:c r="J70" s="19" t="str"/>
      <x:c r="K70" s="19" t="str"/>
      <x:c r="L70" s="18" t="str">
        <x:v>否</x:v>
      </x:c>
      <x:c r="M70" s="18" t="str">
        <x:v>否</x:v>
      </x:c>
      <x:c r="N70" s="18" t="str">
        <x:v>否</x:v>
      </x:c>
      <x:c r="O70" s="20" t="n">
        <x:v>1</x:v>
      </x:c>
      <x:c r="P70" s="19" t="str">
        <x:v>详见 Hub证据 页，按本 Hub 名称筛选</x:v>
      </x:c>
      <x:c r="Q70" s="19" t="str">
        <x:v>Official operator transfer guide defines the proposed interchange area. Each physical station/operator/mode stays separate.</x:v>
      </x:c>
      <x:c r="R70" s="19"/>
      <x:c r="S70" s="18" t="str">
        <x:v>京都</x:v>
      </x:c>
      <x:c r="T70" s="20" t="n">
        <x:v>0</x:v>
      </x:c>
    </x:row>
    <x:row r="71" ht="33" customHeight="1">
      <x:c r="A71" s="19" t="str">
        <x:v>烏丸御池</x:v>
      </x:c>
      <x:c r="B71" s="18" t="str">
        <x:v>T1</x:v>
      </x:c>
      <x:c r="C71" s="20" t="n">
        <x:v>1</x:v>
      </x:c>
      <x:c r="D71" s="20" t="n">
        <x:v>1</x:v>
      </x:c>
      <x:c r="E71" s="19" t="str">
        <x:v>有官方换乘依据</x:v>
      </x:c>
      <x:c r="F71" s="20" t="n">
        <x:v>0</x:v>
      </x:c>
      <x:c r="G71" s="19" t="str">
        <x:v>组件待审核</x:v>
      </x:c>
      <x:c r="H71" s="18" t="str">
        <x:v>HIGH_TIER_FOLLOWUP</x:v>
      </x:c>
      <x:c r="I71" s="18" t="str">
        <x:v>transport-hub-review:32584a34-4cf2-50c9-8e3c-37eb3a498ec2</x:v>
      </x:c>
      <x:c r="J71" s="19" t="str"/>
      <x:c r="K71" s="19" t="str"/>
      <x:c r="L71" s="18" t="str">
        <x:v>否</x:v>
      </x:c>
      <x:c r="M71" s="18" t="str">
        <x:v>否</x:v>
      </x:c>
      <x:c r="N71" s="18" t="str">
        <x:v>否</x:v>
      </x:c>
      <x:c r="O71" s="20" t="n">
        <x:v>1</x:v>
      </x:c>
      <x:c r="P71" s="19" t="str">
        <x:v>详见 Hub证据 页，按本 Hub 名称筛选</x:v>
      </x:c>
      <x:c r="Q71" s="19" t="str">
        <x:v>Officially designated station interchange; each physical station/operator/mode remains a distinct component. Review membership only; no formal/runtime acceptance.</x:v>
      </x:c>
      <x:c r="R71" s="19"/>
      <x:c r="S71" s="18" t="str">
        <x:v>京都</x:v>
      </x:c>
      <x:c r="T71" s="20" t="n">
        <x:v>0</x:v>
      </x:c>
    </x:row>
    <x:row r="72" ht="33" customHeight="1">
      <x:c r="A72" s="19" t="str">
        <x:v>王子・王子駅前</x:v>
      </x:c>
      <x:c r="B72" s="18" t="str">
        <x:v>T1</x:v>
      </x:c>
      <x:c r="C72" s="20" t="n">
        <x:v>3</x:v>
      </x:c>
      <x:c r="D72" s="20" t="n">
        <x:v>3</x:v>
      </x:c>
      <x:c r="E72" s="19" t="str">
        <x:v>有官方换乘依据</x:v>
      </x:c>
      <x:c r="F72" s="20" t="n">
        <x:v>0</x:v>
      </x:c>
      <x:c r="G72" s="19" t="str">
        <x:v>组件待审核</x:v>
      </x:c>
      <x:c r="H72" s="18" t="str">
        <x:v>TOKYO_METRO_NETWORK</x:v>
      </x:c>
      <x:c r="I72" s="18" t="str">
        <x:v>transport-hub-review:197999f8-b571-5bcd-9cf1-049bdfb871b9</x:v>
      </x:c>
      <x:c r="J72" s="19" t="str"/>
      <x:c r="K72" s="19" t="str"/>
      <x:c r="L72" s="18" t="str">
        <x:v>否</x:v>
      </x:c>
      <x:c r="M72" s="18" t="str">
        <x:v>否</x:v>
      </x:c>
      <x:c r="N72" s="18" t="str">
        <x:v>否</x:v>
      </x:c>
      <x:c r="O72" s="20" t="n">
        <x:v>1</x:v>
      </x:c>
      <x:c r="P72" s="19" t="str">
        <x:v>详见 Hub证据 页，按本 Hub 名称筛选</x:v>
      </x:c>
      <x:c r="Q72" s="19" t="str">
        <x:v>Official operator transfer guide defines the proposed interchange area. Each physical station/operator/mode stays separate.</x:v>
      </x:c>
      <x:c r="R72" s="19"/>
      <x:c r="S72" s="18" t="str">
        <x:v>东京23区</x:v>
      </x:c>
      <x:c r="T72" s="20" t="n">
        <x:v>0</x:v>
      </x:c>
    </x:row>
    <x:row r="73" ht="33" customHeight="1">
      <x:c r="A73" s="19" t="str">
        <x:v>荻窪</x:v>
      </x:c>
      <x:c r="B73" s="18" t="str">
        <x:v>T1</x:v>
      </x:c>
      <x:c r="C73" s="20" t="n">
        <x:v>2</x:v>
      </x:c>
      <x:c r="D73" s="20" t="n">
        <x:v>2</x:v>
      </x:c>
      <x:c r="E73" s="19" t="str">
        <x:v>有官方换乘依据</x:v>
      </x:c>
      <x:c r="F73" s="20" t="n">
        <x:v>0</x:v>
      </x:c>
      <x:c r="G73" s="19" t="str">
        <x:v>组件待审核</x:v>
      </x:c>
      <x:c r="H73" s="18" t="str">
        <x:v>TOKYO_METRO_NETWORK</x:v>
      </x:c>
      <x:c r="I73" s="18" t="str">
        <x:v>transport-hub-review:6ed92e9c-48f7-5aa7-868a-bd170f157e49</x:v>
      </x:c>
      <x:c r="J73" s="19" t="str"/>
      <x:c r="K73" s="19" t="str"/>
      <x:c r="L73" s="18" t="str">
        <x:v>否</x:v>
      </x:c>
      <x:c r="M73" s="18" t="str">
        <x:v>否</x:v>
      </x:c>
      <x:c r="N73" s="18" t="str">
        <x:v>否</x:v>
      </x:c>
      <x:c r="O73" s="20" t="n">
        <x:v>1</x:v>
      </x:c>
      <x:c r="P73" s="19" t="str">
        <x:v>详见 Hub证据 页，按本 Hub 名称筛选</x:v>
      </x:c>
      <x:c r="Q73" s="19" t="str">
        <x:v>Official operator transfer guide defines the proposed interchange area. Each physical station/operator/mode stays separate.</x:v>
      </x:c>
      <x:c r="R73" s="19"/>
      <x:c r="S73" s="18" t="str">
        <x:v>东京23区</x:v>
      </x:c>
      <x:c r="T73" s="20" t="n">
        <x:v>0</x:v>
      </x:c>
    </x:row>
    <x:row r="74" ht="47" customHeight="1">
      <x:c r="A74" s="19" t="str">
        <x:v>下北沢</x:v>
      </x:c>
      <x:c r="B74" s="18" t="str">
        <x:v>T1</x:v>
      </x:c>
      <x:c r="C74" s="20" t="n">
        <x:v>2</x:v>
      </x:c>
      <x:c r="D74" s="20" t="n">
        <x:v>2</x:v>
      </x:c>
      <x:c r="E74" s="19" t="str">
        <x:v>有官方换乘依据</x:v>
      </x:c>
      <x:c r="F74" s="20" t="n">
        <x:v>0</x:v>
      </x:c>
      <x:c r="G74" s="19" t="str">
        <x:v>组件待审核</x:v>
      </x:c>
      <x:c r="H74" s="18" t="str">
        <x:v>NATIONAL_CITY_INTERCHANGE_EXPANSION</x:v>
      </x:c>
      <x:c r="I74" s="18" t="str">
        <x:v>transport-hub-review:6feffcda-6b4b-56f2-afed-77bb060af911</x:v>
      </x:c>
      <x:c r="J74" s="19" t="str"/>
      <x:c r="K74" s="19" t="str"/>
      <x:c r="L74" s="18" t="str">
        <x:v>否</x:v>
      </x:c>
      <x:c r="M74" s="18" t="str">
        <x:v>否</x:v>
      </x:c>
      <x:c r="N74" s="18" t="str">
        <x:v>否</x:v>
      </x:c>
      <x:c r="O74" s="20" t="n">
        <x:v>1</x:v>
      </x:c>
      <x:c r="P74" s="19" t="str">
        <x:v>详见 Hub证据 页，按本 Hub 名称筛选</x:v>
      </x:c>
      <x:c r="Q7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74" s="19"/>
      <x:c r="S74" s="18" t="str">
        <x:v>东京23区</x:v>
      </x:c>
      <x:c r="T74" s="20" t="n">
        <x:v>0</x:v>
      </x:c>
    </x:row>
    <x:row r="75" ht="47" customHeight="1">
      <x:c r="A75" s="19" t="str">
        <x:v>霞ケ関</x:v>
      </x:c>
      <x:c r="B75" s="18" t="str">
        <x:v>T1</x:v>
      </x:c>
      <x:c r="C75" s="20" t="n">
        <x:v>1</x:v>
      </x:c>
      <x:c r="D75" s="20" t="n">
        <x:v>1</x:v>
      </x:c>
      <x:c r="E75" s="19" t="str">
        <x:v>有官方换乘依据</x:v>
      </x:c>
      <x:c r="F75" s="20" t="n">
        <x:v>0</x:v>
      </x:c>
      <x:c r="G75" s="19" t="str">
        <x:v>组件待审核</x:v>
      </x:c>
      <x:c r="H75" s="18" t="str">
        <x:v>NATIONAL_CITY_INTERCHANGE_EXPANSION</x:v>
      </x:c>
      <x:c r="I75" s="18" t="str">
        <x:v>transport-hub-review:9d6d86b3-0690-59df-8400-ce871ce09cf2</x:v>
      </x:c>
      <x:c r="J75" s="19" t="str"/>
      <x:c r="K75" s="19" t="str"/>
      <x:c r="L75" s="18" t="str">
        <x:v>否</x:v>
      </x:c>
      <x:c r="M75" s="18" t="str">
        <x:v>否</x:v>
      </x:c>
      <x:c r="N75" s="18" t="str">
        <x:v>否</x:v>
      </x:c>
      <x:c r="O75" s="20" t="n">
        <x:v>1</x:v>
      </x:c>
      <x:c r="P75" s="19" t="str">
        <x:v>详见 Hub证据 页，按本 Hub 名称筛选</x:v>
      </x:c>
      <x:c r="Q7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75" s="19"/>
      <x:c r="S75" s="18" t="str">
        <x:v>东京23区</x:v>
      </x:c>
      <x:c r="T75" s="20" t="n">
        <x:v>0</x:v>
      </x:c>
    </x:row>
    <x:row r="76" ht="47" customHeight="1">
      <x:c r="A76" s="19" t="str">
        <x:v>海老名</x:v>
      </x:c>
      <x:c r="B76" s="18" t="str">
        <x:v>T1</x:v>
      </x:c>
      <x:c r="C76" s="20" t="n">
        <x:v>3</x:v>
      </x:c>
      <x:c r="D76" s="20" t="n">
        <x:v>3</x:v>
      </x:c>
      <x:c r="E76" s="19" t="str">
        <x:v>有官方换乘依据</x:v>
      </x:c>
      <x:c r="F76" s="20" t="n">
        <x:v>0</x:v>
      </x:c>
      <x:c r="G76" s="19" t="str">
        <x:v>组件待审核</x:v>
      </x:c>
      <x:c r="H76" s="18" t="str">
        <x:v>NATIONAL_CITY_INTERCHANGE_EXPANSION</x:v>
      </x:c>
      <x:c r="I76" s="18" t="str">
        <x:v>transport-hub-review:8f822fb8-d1c6-5bb8-b308-4640ed98e9db</x:v>
      </x:c>
      <x:c r="J76" s="19" t="str"/>
      <x:c r="K76" s="19" t="str"/>
      <x:c r="L76" s="18" t="str">
        <x:v>否</x:v>
      </x:c>
      <x:c r="M76" s="18" t="str">
        <x:v>否</x:v>
      </x:c>
      <x:c r="N76" s="18" t="str">
        <x:v>否</x:v>
      </x:c>
      <x:c r="O76" s="20" t="n">
        <x:v>1</x:v>
      </x:c>
      <x:c r="P76" s="19" t="str">
        <x:v>详见 Hub证据 页，按本 Hub 名称筛选</x:v>
      </x:c>
      <x:c r="Q7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76" s="19"/>
      <x:c r="S76" s="18" t="str">
        <x:v>神奈川其他</x:v>
      </x:c>
      <x:c r="T76" s="20" t="n">
        <x:v>0</x:v>
      </x:c>
    </x:row>
    <x:row r="77" ht="33" customHeight="1">
      <x:c r="A77" s="19" t="str">
        <x:v>茅場町</x:v>
      </x:c>
      <x:c r="B77" s="18" t="str">
        <x:v>T1</x:v>
      </x:c>
      <x:c r="C77" s="20" t="n">
        <x:v>1</x:v>
      </x:c>
      <x:c r="D77" s="20" t="n">
        <x:v>1</x:v>
      </x:c>
      <x:c r="E77" s="19" t="str">
        <x:v>有官方换乘依据</x:v>
      </x:c>
      <x:c r="F77" s="20" t="n">
        <x:v>0</x:v>
      </x:c>
      <x:c r="G77" s="19" t="str">
        <x:v>组件待审核</x:v>
      </x:c>
      <x:c r="H77" s="18" t="str">
        <x:v>HIGH_TIER_FOLLOWUP</x:v>
      </x:c>
      <x:c r="I77" s="18" t="str">
        <x:v>transport-hub-review:710269f3-2ca5-5271-b3a4-d08d27f2ce9f</x:v>
      </x:c>
      <x:c r="J77" s="19" t="str"/>
      <x:c r="K77" s="19" t="str"/>
      <x:c r="L77" s="18" t="str">
        <x:v>否</x:v>
      </x:c>
      <x:c r="M77" s="18" t="str">
        <x:v>否</x:v>
      </x:c>
      <x:c r="N77" s="18" t="str">
        <x:v>否</x:v>
      </x:c>
      <x:c r="O77" s="20" t="n">
        <x:v>1</x:v>
      </x:c>
      <x:c r="P77" s="19" t="str">
        <x:v>详见 Hub证据 页，按本 Hub 名称筛选</x:v>
      </x:c>
      <x:c r="Q77" s="19" t="str">
        <x:v>Officially designated station interchange; each physical station/operator/mode remains a distinct component. Review membership only; no formal/runtime acceptance.</x:v>
      </x:c>
      <x:c r="R77" s="19"/>
      <x:c r="S77" s="18" t="str">
        <x:v>东京23区</x:v>
      </x:c>
      <x:c r="T77" s="20" t="n">
        <x:v>0</x:v>
      </x:c>
    </x:row>
    <x:row r="78" ht="33" customHeight="1">
      <x:c r="A78" s="19" t="str">
        <x:v>亀戸</x:v>
      </x:c>
      <x:c r="B78" s="18" t="str">
        <x:v>T1</x:v>
      </x:c>
      <x:c r="C78" s="20" t="n">
        <x:v>2</x:v>
      </x:c>
      <x:c r="D78" s="20" t="n">
        <x:v>2</x:v>
      </x:c>
      <x:c r="E78" s="19" t="str">
        <x:v>有官方换乘依据</x:v>
      </x:c>
      <x:c r="F78" s="20" t="n">
        <x:v>0</x:v>
      </x:c>
      <x:c r="G78" s="19" t="str">
        <x:v>组件待审核</x:v>
      </x:c>
      <x:c r="H78" s="18" t="str">
        <x:v>HIGH_TIER_FOLLOWUP</x:v>
      </x:c>
      <x:c r="I78" s="18" t="str">
        <x:v>transport-hub-review:3d48d90b-58d3-58e6-b6b3-9d2d976dccb6</x:v>
      </x:c>
      <x:c r="J78" s="19" t="str"/>
      <x:c r="K78" s="19" t="str"/>
      <x:c r="L78" s="18" t="str">
        <x:v>否</x:v>
      </x:c>
      <x:c r="M78" s="18" t="str">
        <x:v>否</x:v>
      </x:c>
      <x:c r="N78" s="18" t="str">
        <x:v>否</x:v>
      </x:c>
      <x:c r="O78" s="20" t="n">
        <x:v>1</x:v>
      </x:c>
      <x:c r="P78" s="19" t="str">
        <x:v>详见 Hub证据 页，按本 Hub 名称筛选</x:v>
      </x:c>
      <x:c r="Q78" s="19" t="str">
        <x:v>Officially designated station interchange; each physical station/operator/mode remains a distinct component. Review membership only; no formal/runtime acceptance.</x:v>
      </x:c>
      <x:c r="R78" s="19"/>
      <x:c r="S78" s="18" t="str">
        <x:v>东京23区</x:v>
      </x:c>
      <x:c r="T78" s="20" t="n">
        <x:v>0</x:v>
      </x:c>
    </x:row>
    <x:row r="79" ht="47" customHeight="1">
      <x:c r="A79" s="19" t="str">
        <x:v>菊名</x:v>
      </x:c>
      <x:c r="B79" s="18" t="str">
        <x:v>T1</x:v>
      </x:c>
      <x:c r="C79" s="20" t="n">
        <x:v>2</x:v>
      </x:c>
      <x:c r="D79" s="20" t="n">
        <x:v>2</x:v>
      </x:c>
      <x:c r="E79" s="19" t="str">
        <x:v>有官方换乘依据</x:v>
      </x:c>
      <x:c r="F79" s="20" t="n">
        <x:v>0</x:v>
      </x:c>
      <x:c r="G79" s="19" t="str">
        <x:v>组件待审核</x:v>
      </x:c>
      <x:c r="H79" s="18" t="str">
        <x:v>NATIONAL_CITY_INTERCHANGE_EXPANSION</x:v>
      </x:c>
      <x:c r="I79" s="18" t="str">
        <x:v>transport-hub-review:a2cf845f-246b-5d50-b8af-81cd2afc8309</x:v>
      </x:c>
      <x:c r="J79" s="19" t="str"/>
      <x:c r="K79" s="19" t="str"/>
      <x:c r="L79" s="18" t="str">
        <x:v>否</x:v>
      </x:c>
      <x:c r="M79" s="18" t="str">
        <x:v>否</x:v>
      </x:c>
      <x:c r="N79" s="18" t="str">
        <x:v>否</x:v>
      </x:c>
      <x:c r="O79" s="20" t="n">
        <x:v>1</x:v>
      </x:c>
      <x:c r="P79" s="19" t="str">
        <x:v>详见 Hub证据 页，按本 Hub 名称筛选</x:v>
      </x:c>
      <x:c r="Q7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79" s="19"/>
      <x:c r="S79" s="18" t="str">
        <x:v>横滨圈</x:v>
      </x:c>
      <x:c r="T79" s="20" t="n">
        <x:v>0</x:v>
      </x:c>
    </x:row>
    <x:row r="80" ht="47" customHeight="1">
      <x:c r="A80" s="19" t="str">
        <x:v>久屋大通</x:v>
      </x:c>
      <x:c r="B80" s="18" t="str">
        <x:v>T1</x:v>
      </x:c>
      <x:c r="C80" s="20" t="n">
        <x:v>1</x:v>
      </x:c>
      <x:c r="D80" s="20" t="n">
        <x:v>1</x:v>
      </x:c>
      <x:c r="E80" s="19" t="str">
        <x:v>有官方换乘依据</x:v>
      </x:c>
      <x:c r="F80" s="20" t="n">
        <x:v>0</x:v>
      </x:c>
      <x:c r="G80" s="19" t="str">
        <x:v>组件待审核</x:v>
      </x:c>
      <x:c r="H80" s="18" t="str">
        <x:v>NATIONAL_CITY_INTERCHANGE_EXPANSION</x:v>
      </x:c>
      <x:c r="I80" s="18" t="str">
        <x:v>transport-hub-review:16d2cedd-4391-5b50-8d06-cbc8038fd587</x:v>
      </x:c>
      <x:c r="J80" s="19" t="str"/>
      <x:c r="K80" s="19" t="str"/>
      <x:c r="L80" s="18" t="str">
        <x:v>否</x:v>
      </x:c>
      <x:c r="M80" s="18" t="str">
        <x:v>否</x:v>
      </x:c>
      <x:c r="N80" s="18" t="str">
        <x:v>否</x:v>
      </x:c>
      <x:c r="O80" s="20" t="n">
        <x:v>1</x:v>
      </x:c>
      <x:c r="P80" s="19" t="str">
        <x:v>详见 Hub证据 页，按本 Hub 名称筛选</x:v>
      </x:c>
      <x:c r="Q8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80" s="19"/>
      <x:c r="S80" s="18" t="str">
        <x:v>名古屋圈</x:v>
      </x:c>
      <x:c r="T80" s="20" t="n">
        <x:v>0</x:v>
      </x:c>
    </x:row>
    <x:row r="81" ht="33" customHeight="1">
      <x:c r="A81" s="19" t="str">
        <x:v>京急蒲田</x:v>
      </x:c>
      <x:c r="B81" s="18" t="str">
        <x:v>T1</x:v>
      </x:c>
      <x:c r="C81" s="20" t="n">
        <x:v>1</x:v>
      </x:c>
      <x:c r="D81" s="20" t="n">
        <x:v>1</x:v>
      </x:c>
      <x:c r="E81" s="19" t="str">
        <x:v>有官方换乘依据</x:v>
      </x:c>
      <x:c r="F81" s="20" t="n">
        <x:v>0</x:v>
      </x:c>
      <x:c r="G81" s="19" t="str">
        <x:v>组件待审核</x:v>
      </x:c>
      <x:c r="H81" s="18" t="str">
        <x:v>HIGH_TIER_FOLLOWUP</x:v>
      </x:c>
      <x:c r="I81" s="18" t="str">
        <x:v>transport-hub-review:c1ad52f9-1d27-5f86-8434-0be9d12fffda</x:v>
      </x:c>
      <x:c r="J81" s="19" t="str"/>
      <x:c r="K81" s="19" t="str"/>
      <x:c r="L81" s="18" t="str">
        <x:v>否</x:v>
      </x:c>
      <x:c r="M81" s="18" t="str">
        <x:v>否</x:v>
      </x:c>
      <x:c r="N81" s="18" t="str">
        <x:v>否</x:v>
      </x:c>
      <x:c r="O81" s="20" t="n">
        <x:v>1</x:v>
      </x:c>
      <x:c r="P81" s="19" t="str">
        <x:v>详见 Hub证据 页，按本 Hub 名称筛选</x:v>
      </x:c>
      <x:c r="Q81" s="19" t="str">
        <x:v>Officially designated station interchange; each physical station/operator/mode remains a distinct component. Review membership only; no formal/runtime acceptance.</x:v>
      </x:c>
      <x:c r="R81" s="19"/>
      <x:c r="S81" s="18" t="str">
        <x:v>东京23区</x:v>
      </x:c>
      <x:c r="T81" s="20" t="n">
        <x:v>0</x:v>
      </x:c>
    </x:row>
    <x:row r="82" ht="33" customHeight="1">
      <x:c r="A82" s="19" t="str">
        <x:v>京都河原町・祇園四条</x:v>
      </x:c>
      <x:c r="B82" s="18" t="str">
        <x:v>T1</x:v>
      </x:c>
      <x:c r="C82" s="20" t="n">
        <x:v>2</x:v>
      </x:c>
      <x:c r="D82" s="20" t="n">
        <x:v>2</x:v>
      </x:c>
      <x:c r="E82" s="19" t="str">
        <x:v>有官方换乘依据</x:v>
      </x:c>
      <x:c r="F82" s="20" t="n">
        <x:v>0</x:v>
      </x:c>
      <x:c r="G82" s="19" t="str">
        <x:v>组件待审核</x:v>
      </x:c>
      <x:c r="H82" s="18" t="str">
        <x:v>KYOTO</x:v>
      </x:c>
      <x:c r="I82" s="18" t="str">
        <x:v>transport-hub-review:d1d65bc5-c59c-5b6b-8e0c-2a7136d43f14</x:v>
      </x:c>
      <x:c r="J82" s="19" t="str"/>
      <x:c r="K82" s="19" t="str"/>
      <x:c r="L82" s="18" t="str">
        <x:v>否</x:v>
      </x:c>
      <x:c r="M82" s="18" t="str">
        <x:v>否</x:v>
      </x:c>
      <x:c r="N82" s="18" t="str">
        <x:v>否</x:v>
      </x:c>
      <x:c r="O82" s="20" t="n">
        <x:v>1</x:v>
      </x:c>
      <x:c r="P82" s="19" t="str">
        <x:v>详见 Hub证据 页，按本 Hub 名称筛选</x:v>
      </x:c>
      <x:c r="Q82" s="19" t="str">
        <x:v>Official operator transfer guide defines the proposed interchange area. Each physical station/operator/mode stays separate.</x:v>
      </x:c>
      <x:c r="R82" s="19"/>
      <x:c r="S82" s="18" t="str">
        <x:v>京都</x:v>
      </x:c>
      <x:c r="T82" s="20" t="n">
        <x:v>0</x:v>
      </x:c>
    </x:row>
    <x:row r="83" ht="47" customHeight="1">
      <x:c r="A83" s="19" t="str">
        <x:v>橋本</x:v>
      </x:c>
      <x:c r="B83" s="18" t="str">
        <x:v>T1</x:v>
      </x:c>
      <x:c r="C83" s="20" t="n">
        <x:v>2</x:v>
      </x:c>
      <x:c r="D83" s="20" t="n">
        <x:v>2</x:v>
      </x:c>
      <x:c r="E83" s="19" t="str">
        <x:v>有官方换乘依据</x:v>
      </x:c>
      <x:c r="F83" s="20" t="n">
        <x:v>0</x:v>
      </x:c>
      <x:c r="G83" s="19" t="str">
        <x:v>组件待审核</x:v>
      </x:c>
      <x:c r="H83" s="18" t="str">
        <x:v>NATIONAL_CITY_INTERCHANGE_EXPANSION</x:v>
      </x:c>
      <x:c r="I83" s="18" t="str">
        <x:v>transport-hub-review:9c8320f4-a321-5eda-b423-1b7e26e4b630</x:v>
      </x:c>
      <x:c r="J83" s="19" t="str"/>
      <x:c r="K83" s="19" t="str"/>
      <x:c r="L83" s="18" t="str">
        <x:v>否</x:v>
      </x:c>
      <x:c r="M83" s="18" t="str">
        <x:v>否</x:v>
      </x:c>
      <x:c r="N83" s="18" t="str">
        <x:v>否</x:v>
      </x:c>
      <x:c r="O83" s="20" t="n">
        <x:v>1</x:v>
      </x:c>
      <x:c r="P83" s="19" t="str">
        <x:v>详见 Hub证据 页，按本 Hub 名称筛选</x:v>
      </x:c>
      <x:c r="Q8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83" s="19"/>
      <x:c r="S83" s="18" t="str">
        <x:v>神奈川其他</x:v>
      </x:c>
      <x:c r="T83" s="20" t="n">
        <x:v>0</x:v>
      </x:c>
    </x:row>
    <x:row r="84" ht="33" customHeight="1">
      <x:c r="A84" s="19" t="str">
        <x:v>錦糸町</x:v>
      </x:c>
      <x:c r="B84" s="18" t="str">
        <x:v>T1</x:v>
      </x:c>
      <x:c r="C84" s="20" t="n">
        <x:v>2</x:v>
      </x:c>
      <x:c r="D84" s="20" t="n">
        <x:v>2</x:v>
      </x:c>
      <x:c r="E84" s="19" t="str">
        <x:v>有官方换乘依据</x:v>
      </x:c>
      <x:c r="F84" s="20" t="n">
        <x:v>0</x:v>
      </x:c>
      <x:c r="G84" s="19" t="str">
        <x:v>组件待审核</x:v>
      </x:c>
      <x:c r="H84" s="18" t="str">
        <x:v>TOKYO_METRO_NETWORK</x:v>
      </x:c>
      <x:c r="I84" s="18" t="str">
        <x:v>transport-hub-review:fabe1526-9e2b-530a-907e-d9c8e476e763</x:v>
      </x:c>
      <x:c r="J84" s="19" t="str"/>
      <x:c r="K84" s="19" t="str"/>
      <x:c r="L84" s="18" t="str">
        <x:v>否</x:v>
      </x:c>
      <x:c r="M84" s="18" t="str">
        <x:v>否</x:v>
      </x:c>
      <x:c r="N84" s="18" t="str">
        <x:v>否</x:v>
      </x:c>
      <x:c r="O84" s="20" t="n">
        <x:v>1</x:v>
      </x:c>
      <x:c r="P84" s="19" t="str">
        <x:v>详见 Hub证据 页，按本 Hub 名称筛选</x:v>
      </x:c>
      <x:c r="Q84" s="19" t="str">
        <x:v>Official operator transfer guide defines the proposed interchange area. Each physical station/operator/mode stays separate.</x:v>
      </x:c>
      <x:c r="R84" s="19"/>
      <x:c r="S84" s="18" t="str">
        <x:v>东京23区</x:v>
      </x:c>
      <x:c r="T84" s="20" t="n">
        <x:v>0</x:v>
      </x:c>
    </x:row>
    <x:row r="85" ht="33" customHeight="1">
      <x:c r="A85" s="19" t="str">
        <x:v>金沢八景</x:v>
      </x:c>
      <x:c r="B85" s="18" t="str">
        <x:v>T1</x:v>
      </x:c>
      <x:c r="C85" s="20" t="n">
        <x:v>2</x:v>
      </x:c>
      <x:c r="D85" s="20" t="n">
        <x:v>2</x:v>
      </x:c>
      <x:c r="E85" s="19" t="str">
        <x:v>有官方换乘依据</x:v>
      </x:c>
      <x:c r="F85" s="20" t="n">
        <x:v>0</x:v>
      </x:c>
      <x:c r="G85" s="19" t="str">
        <x:v>组件待审核</x:v>
      </x:c>
      <x:c r="H85" s="18" t="str">
        <x:v>HIGH_TIER_FOLLOWUP</x:v>
      </x:c>
      <x:c r="I85" s="18" t="str">
        <x:v>transport-hub-review:b27e6107-1045-5c68-b8eb-9821ac528cb2</x:v>
      </x:c>
      <x:c r="J85" s="19" t="str"/>
      <x:c r="K85" s="19" t="str"/>
      <x:c r="L85" s="18" t="str">
        <x:v>否</x:v>
      </x:c>
      <x:c r="M85" s="18" t="str">
        <x:v>否</x:v>
      </x:c>
      <x:c r="N85" s="18" t="str">
        <x:v>否</x:v>
      </x:c>
      <x:c r="O85" s="20" t="n">
        <x:v>1</x:v>
      </x:c>
      <x:c r="P85" s="19" t="str">
        <x:v>详见 Hub证据 页，按本 Hub 名称筛选</x:v>
      </x:c>
      <x:c r="Q85" s="19" t="str">
        <x:v>Officially designated station interchange; each physical station/operator/mode remains a distinct component. Review membership only; no formal/runtime acceptance.</x:v>
      </x:c>
      <x:c r="R85" s="19"/>
      <x:c r="S85" s="18" t="str">
        <x:v>横滨圈</x:v>
      </x:c>
      <x:c r="T85" s="20" t="n">
        <x:v>0</x:v>
      </x:c>
    </x:row>
    <x:row r="86" ht="33" customHeight="1">
      <x:c r="A86" s="19" t="str">
        <x:v>月島</x:v>
      </x:c>
      <x:c r="B86" s="18" t="str">
        <x:v>T1</x:v>
      </x:c>
      <x:c r="C86" s="20" t="n">
        <x:v>2</x:v>
      </x:c>
      <x:c r="D86" s="20" t="n">
        <x:v>2</x:v>
      </x:c>
      <x:c r="E86" s="19" t="str">
        <x:v>有官方换乘依据</x:v>
      </x:c>
      <x:c r="F86" s="20" t="n">
        <x:v>0</x:v>
      </x:c>
      <x:c r="G86" s="19" t="str">
        <x:v>组件待审核</x:v>
      </x:c>
      <x:c r="H86" s="18" t="str">
        <x:v>HIGH_TIER_FOLLOWUP</x:v>
      </x:c>
      <x:c r="I86" s="18" t="str">
        <x:v>transport-hub-review:833a9954-06a2-5d5e-9e45-31ea7be71b63</x:v>
      </x:c>
      <x:c r="J86" s="19" t="str"/>
      <x:c r="K86" s="19" t="str"/>
      <x:c r="L86" s="18" t="str">
        <x:v>否</x:v>
      </x:c>
      <x:c r="M86" s="18" t="str">
        <x:v>否</x:v>
      </x:c>
      <x:c r="N86" s="18" t="str">
        <x:v>否</x:v>
      </x:c>
      <x:c r="O86" s="20" t="n">
        <x:v>1</x:v>
      </x:c>
      <x:c r="P86" s="19" t="str">
        <x:v>详见 Hub证据 页，按本 Hub 名称筛选</x:v>
      </x:c>
      <x:c r="Q86" s="19" t="str">
        <x:v>Officially designated station interchange; each physical station/operator/mode remains a distinct component. Review membership only; no formal/runtime acceptance.</x:v>
      </x:c>
      <x:c r="R86" s="19"/>
      <x:c r="S86" s="18" t="str">
        <x:v>东京23区</x:v>
      </x:c>
      <x:c r="T86" s="20" t="n">
        <x:v>0</x:v>
      </x:c>
    </x:row>
    <x:row r="87" ht="33" customHeight="1">
      <x:c r="A87" s="19" t="str">
        <x:v>原宿・明治神宮前</x:v>
      </x:c>
      <x:c r="B87" s="18" t="str">
        <x:v>T1</x:v>
      </x:c>
      <x:c r="C87" s="20" t="n">
        <x:v>2</x:v>
      </x:c>
      <x:c r="D87" s="20" t="n">
        <x:v>2</x:v>
      </x:c>
      <x:c r="E87" s="19" t="str">
        <x:v>有官方换乘依据</x:v>
      </x:c>
      <x:c r="F87" s="20" t="n">
        <x:v>0</x:v>
      </x:c>
      <x:c r="G87" s="19" t="str">
        <x:v>组件待审核</x:v>
      </x:c>
      <x:c r="H87" s="18" t="str">
        <x:v>HIGH_TIER_FOLLOWUP</x:v>
      </x:c>
      <x:c r="I87" s="18" t="str">
        <x:v>transport-hub-review:9656f81d-44de-5cf8-829a-0c6650d967b2</x:v>
      </x:c>
      <x:c r="J87" s="19" t="str"/>
      <x:c r="K87" s="19" t="str"/>
      <x:c r="L87" s="18" t="str">
        <x:v>否</x:v>
      </x:c>
      <x:c r="M87" s="18" t="str">
        <x:v>否</x:v>
      </x:c>
      <x:c r="N87" s="18" t="str">
        <x:v>否</x:v>
      </x:c>
      <x:c r="O87" s="20" t="n">
        <x:v>1</x:v>
      </x:c>
      <x:c r="P87" s="19" t="str">
        <x:v>详见 Hub证据 页，按本 Hub 名称筛选</x:v>
      </x:c>
      <x:c r="Q87" s="19" t="str">
        <x:v>Officially designated station interchange; each physical station/operator/mode remains a distinct component. Review membership only; no formal/runtime acceptance.</x:v>
      </x:c>
      <x:c r="R87" s="19"/>
      <x:c r="S87" s="18" t="str">
        <x:v>东京23区</x:v>
      </x:c>
      <x:c r="T87" s="20" t="n">
        <x:v>0</x:v>
      </x:c>
    </x:row>
    <x:row r="88" ht="33" customHeight="1">
      <x:c r="A88" s="19" t="str">
        <x:v>後楽園・春日</x:v>
      </x:c>
      <x:c r="B88" s="18" t="str">
        <x:v>T1</x:v>
      </x:c>
      <x:c r="C88" s="20" t="n">
        <x:v>2</x:v>
      </x:c>
      <x:c r="D88" s="20" t="n">
        <x:v>2</x:v>
      </x:c>
      <x:c r="E88" s="19" t="str">
        <x:v>有官方换乘依据</x:v>
      </x:c>
      <x:c r="F88" s="20" t="n">
        <x:v>0</x:v>
      </x:c>
      <x:c r="G88" s="19" t="str">
        <x:v>组件待审核</x:v>
      </x:c>
      <x:c r="H88" s="18" t="str">
        <x:v>TOKYO_METRO_NETWORK</x:v>
      </x:c>
      <x:c r="I88" s="18" t="str">
        <x:v>transport-hub-review:2fc62095-4794-5412-92ea-251b3975e5e7</x:v>
      </x:c>
      <x:c r="J88" s="19" t="str"/>
      <x:c r="K88" s="19" t="str"/>
      <x:c r="L88" s="18" t="str">
        <x:v>否</x:v>
      </x:c>
      <x:c r="M88" s="18" t="str">
        <x:v>否</x:v>
      </x:c>
      <x:c r="N88" s="18" t="str">
        <x:v>否</x:v>
      </x:c>
      <x:c r="O88" s="20" t="n">
        <x:v>2</x:v>
      </x:c>
      <x:c r="P88" s="19" t="str">
        <x:v>详见 Hub证据 页，按本 Hub 名称筛选</x:v>
      </x:c>
      <x:c r="Q88" s="19" t="str">
        <x:v>Official operator transfer guide defines the proposed interchange area. Each physical station/operator/mode stays separate.</x:v>
      </x:c>
      <x:c r="R88" s="19"/>
      <x:c r="S88" s="18" t="str">
        <x:v>东京23区</x:v>
      </x:c>
      <x:c r="T88" s="20" t="n">
        <x:v>0</x:v>
      </x:c>
    </x:row>
    <x:row r="89" ht="61" customHeight="1">
      <x:c r="A89" s="19" t="str">
        <x:v>広島</x:v>
      </x:c>
      <x:c r="B89" s="18" t="str">
        <x:v>T1</x:v>
      </x:c>
      <x:c r="C89" s="20" t="n">
        <x:v>3</x:v>
      </x:c>
      <x:c r="D89" s="20" t="n">
        <x:v>2</x:v>
      </x:c>
      <x:c r="E89" s="19" t="str">
        <x:v>有官方换乘依据</x:v>
      </x:c>
      <x:c r="F89" s="20" t="n">
        <x:v>0</x:v>
      </x:c>
      <x:c r="G89" s="19" t="str">
        <x:v>组件待审核</x:v>
      </x:c>
      <x:c r="H89" s="18" t="str">
        <x:v>EXISTING_NATIONAL_REVIEW</x:v>
      </x:c>
      <x:c r="I89" s="18" t="str">
        <x:v>transport-hub-review:9634ce29-42a0-58c2-9212-bbfbcc05a59f</x:v>
      </x:c>
      <x:c r="J89" s="19" t="str">
        <x:v>広島</x:v>
      </x:c>
      <x:c r="K89" s="19" t="str">
        <x:v>transport-hub:8e748f1d-72c8-511d-beaf-8a498babde7d</x:v>
      </x:c>
      <x:c r="L89" s="18" t="str">
        <x:v>否</x:v>
      </x:c>
      <x:c r="M89" s="18" t="str">
        <x:v>否</x:v>
      </x:c>
      <x:c r="N89" s="18" t="str">
        <x:v>否</x:v>
      </x:c>
      <x:c r="O89" s="20" t="n">
        <x:v>2</x:v>
      </x:c>
      <x:c r="P89" s="19" t="str">
        <x:v>详见 Hub证据 页，按本 Hub 名称筛选</x:v>
      </x:c>
      <x:c r="Q89" s="19" t="str">
        <x:v>Hiroden station moved into the JR station building second floor on 2025-08-03. JR conventional/Shinkansen and Hiroden tram share the rebuilt complex; FY2024 tram geometry requires relocation review. Components retain operator/mode identities. Boundary evidence review does not authorize runtime import or final acceptance.</x:v>
      </x:c>
      <x:c r="R89" s="19" t="str">
        <x:v>{"coordinatesReplaced":false,"effectiveDate":"2025-08-03","operator":"広島電鉄","reason":"Old tram coordinate is a historical observation, not validated current platform geometry.","sourceGeometryPeriod":"FY2024","stationName":"広島駅","status":"STATION_RELOCATION_GEOMETRY_REVIEW_REQUIRED"}</x:v>
      </x:c>
      <x:c r="S89" s="18" t="str">
        <x:v>广岛</x:v>
      </x:c>
      <x:c r="T89" s="20" t="n">
        <x:v>0</x:v>
      </x:c>
    </x:row>
    <x:row r="90" ht="33" customHeight="1">
      <x:c r="A90" s="19" t="str">
        <x:v>江坂</x:v>
      </x:c>
      <x:c r="B90" s="18" t="str">
        <x:v>T1</x:v>
      </x:c>
      <x:c r="C90" s="20" t="n">
        <x:v>2</x:v>
      </x:c>
      <x:c r="D90" s="20" t="n">
        <x:v>2</x:v>
      </x:c>
      <x:c r="E90" s="19" t="str">
        <x:v>有官方换乘依据</x:v>
      </x:c>
      <x:c r="F90" s="20" t="n">
        <x:v>0</x:v>
      </x:c>
      <x:c r="G90" s="19" t="str">
        <x:v>组件待审核</x:v>
      </x:c>
      <x:c r="H90" s="18" t="str">
        <x:v>OSAKA_METRO_NETWORK</x:v>
      </x:c>
      <x:c r="I90" s="18" t="str">
        <x:v>transport-hub-review:2d66bfa9-823c-51a9-93eb-002eee35bc0c</x:v>
      </x:c>
      <x:c r="J90" s="19" t="str"/>
      <x:c r="K90" s="19" t="str"/>
      <x:c r="L90" s="18" t="str">
        <x:v>否</x:v>
      </x:c>
      <x:c r="M90" s="18" t="str">
        <x:v>否</x:v>
      </x:c>
      <x:c r="N90" s="18" t="str">
        <x:v>否</x:v>
      </x:c>
      <x:c r="O90" s="20" t="n">
        <x:v>2</x:v>
      </x:c>
      <x:c r="P90" s="19" t="str">
        <x:v>详见 Hub证据 页，按本 Hub 名称筛选</x:v>
      </x:c>
      <x:c r="Q90" s="19" t="str">
        <x:v>Official operator transfer guide defines the proposed interchange area. Each physical station/operator/mode stays separate.</x:v>
      </x:c>
      <x:c r="R90" s="19"/>
      <x:c r="S90" s="18" t="str">
        <x:v>大阪圈</x:v>
      </x:c>
      <x:c r="T90" s="20" t="n">
        <x:v>0</x:v>
      </x:c>
    </x:row>
    <x:row r="91" ht="47" customHeight="1">
      <x:c r="A91" s="19" t="str">
        <x:v>溝の口・武蔵溝ノ口</x:v>
      </x:c>
      <x:c r="B91" s="18" t="str">
        <x:v>T1</x:v>
      </x:c>
      <x:c r="C91" s="20" t="n">
        <x:v>2</x:v>
      </x:c>
      <x:c r="D91" s="20" t="n">
        <x:v>2</x:v>
      </x:c>
      <x:c r="E91" s="19" t="str">
        <x:v>有官方换乘依据</x:v>
      </x:c>
      <x:c r="F91" s="20" t="n">
        <x:v>0</x:v>
      </x:c>
      <x:c r="G91" s="19" t="str">
        <x:v>组件待审核</x:v>
      </x:c>
      <x:c r="H91" s="18" t="str">
        <x:v>NATIONAL_CITY_INTERCHANGE_EXPANSION</x:v>
      </x:c>
      <x:c r="I91" s="18" t="str">
        <x:v>transport-hub-review:e2a5f551-3936-5b70-8056-8dc63b79bb04</x:v>
      </x:c>
      <x:c r="J91" s="19" t="str"/>
      <x:c r="K91" s="19" t="str"/>
      <x:c r="L91" s="18" t="str">
        <x:v>否</x:v>
      </x:c>
      <x:c r="M91" s="18" t="str">
        <x:v>否</x:v>
      </x:c>
      <x:c r="N91" s="18" t="str">
        <x:v>否</x:v>
      </x:c>
      <x:c r="O91" s="20" t="n">
        <x:v>2</x:v>
      </x:c>
      <x:c r="P91" s="19" t="str">
        <x:v>详见 Hub证据 页，按本 Hub 名称筛选</x:v>
      </x:c>
      <x:c r="Q9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91" s="19"/>
      <x:c r="S91" s="18" t="str">
        <x:v>川崎圈</x:v>
      </x:c>
      <x:c r="T91" s="20" t="n">
        <x:v>0</x:v>
      </x:c>
    </x:row>
    <x:row r="92" ht="47" customHeight="1">
      <x:c r="A92" s="19" t="str">
        <x:v>高尾</x:v>
      </x:c>
      <x:c r="B92" s="18" t="str">
        <x:v>T1</x:v>
      </x:c>
      <x:c r="C92" s="20" t="n">
        <x:v>2</x:v>
      </x:c>
      <x:c r="D92" s="20" t="n">
        <x:v>2</x:v>
      </x:c>
      <x:c r="E92" s="19" t="str">
        <x:v>有官方换乘依据</x:v>
      </x:c>
      <x:c r="F92" s="20" t="n">
        <x:v>0</x:v>
      </x:c>
      <x:c r="G92" s="19" t="str">
        <x:v>组件待审核</x:v>
      </x:c>
      <x:c r="H92" s="18" t="str">
        <x:v>NATIONAL_CITY_INTERCHANGE_EXPANSION</x:v>
      </x:c>
      <x:c r="I92" s="18" t="str">
        <x:v>transport-hub-review:6bc5a8ee-9399-5f19-afb0-bdfa4868fb6c</x:v>
      </x:c>
      <x:c r="J92" s="19" t="str"/>
      <x:c r="K92" s="19" t="str"/>
      <x:c r="L92" s="18" t="str">
        <x:v>否</x:v>
      </x:c>
      <x:c r="M92" s="18" t="str">
        <x:v>否</x:v>
      </x:c>
      <x:c r="N92" s="18" t="str">
        <x:v>否</x:v>
      </x:c>
      <x:c r="O92" s="20" t="n">
        <x:v>1</x:v>
      </x:c>
      <x:c r="P92" s="19" t="str">
        <x:v>详见 Hub证据 页，按本 Hub 名称筛选</x:v>
      </x:c>
      <x:c r="Q9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92" s="19"/>
      <x:c r="S92" s="18" t="str">
        <x:v>东京多摩</x:v>
      </x:c>
      <x:c r="T92" s="20" t="n">
        <x:v>0</x:v>
      </x:c>
    </x:row>
    <x:row r="93" ht="33" customHeight="1">
      <x:c r="A93" s="19" t="str">
        <x:v>堺筋本町</x:v>
      </x:c>
      <x:c r="B93" s="18" t="str">
        <x:v>T1</x:v>
      </x:c>
      <x:c r="C93" s="20" t="n">
        <x:v>1</x:v>
      </x:c>
      <x:c r="D93" s="20" t="n">
        <x:v>1</x:v>
      </x:c>
      <x:c r="E93" s="19" t="str">
        <x:v>有官方换乘依据</x:v>
      </x:c>
      <x:c r="F93" s="20" t="n">
        <x:v>0</x:v>
      </x:c>
      <x:c r="G93" s="19" t="str">
        <x:v>组件待审核</x:v>
      </x:c>
      <x:c r="H93" s="18" t="str">
        <x:v>OSAKA_METRO_NETWORK</x:v>
      </x:c>
      <x:c r="I93" s="18" t="str">
        <x:v>transport-hub-review:6708d182-b0b2-5d31-a9b3-e59ee09e0bf9</x:v>
      </x:c>
      <x:c r="J93" s="19" t="str"/>
      <x:c r="K93" s="19" t="str"/>
      <x:c r="L93" s="18" t="str">
        <x:v>否</x:v>
      </x:c>
      <x:c r="M93" s="18" t="str">
        <x:v>否</x:v>
      </x:c>
      <x:c r="N93" s="18" t="str">
        <x:v>否</x:v>
      </x:c>
      <x:c r="O93" s="20" t="n">
        <x:v>2</x:v>
      </x:c>
      <x:c r="P93" s="19" t="str">
        <x:v>详见 Hub证据 页，按本 Hub 名称筛选</x:v>
      </x:c>
      <x:c r="Q93" s="19" t="str">
        <x:v>Official operator transfer guide defines the proposed interchange area. Each physical station/operator/mode stays separate.</x:v>
      </x:c>
      <x:c r="R93" s="19"/>
      <x:c r="S93" s="18" t="str">
        <x:v>大阪圈</x:v>
      </x:c>
      <x:c r="T93" s="20" t="n">
        <x:v>0</x:v>
      </x:c>
    </x:row>
    <x:row r="94" ht="47" customHeight="1">
      <x:c r="A94" s="19" t="str">
        <x:v>札幌</x:v>
      </x:c>
      <x:c r="B94" s="18" t="str">
        <x:v>T1</x:v>
      </x:c>
      <x:c r="C94" s="20" t="n">
        <x:v>2</x:v>
      </x:c>
      <x:c r="D94" s="20" t="n">
        <x:v>2</x:v>
      </x:c>
      <x:c r="E94" s="19" t="str">
        <x:v>有官方换乘依据</x:v>
      </x:c>
      <x:c r="F94" s="20" t="n">
        <x:v>0</x:v>
      </x:c>
      <x:c r="G94" s="19" t="str">
        <x:v>组件待审核</x:v>
      </x:c>
      <x:c r="H94" s="18" t="str">
        <x:v>EXISTING_NATIONAL_REVIEW</x:v>
      </x:c>
      <x:c r="I94" s="18" t="str">
        <x:v>transport-hub-review:9eab907a-6cf8-5c28-9afb-ca17ea88d288</x:v>
      </x:c>
      <x:c r="J94" s="19" t="str">
        <x:v>札幌</x:v>
      </x:c>
      <x:c r="K94" s="19" t="str">
        <x:v>transport-hub:ffc416f7-86f8-50ca-ab60-e3eb81e60e6c</x:v>
      </x:c>
      <x:c r="L94" s="18" t="str">
        <x:v>否</x:v>
      </x:c>
      <x:c r="M94" s="18" t="str">
        <x:v>否</x:v>
      </x:c>
      <x:c r="N94" s="18" t="str">
        <x:v>否</x:v>
      </x:c>
      <x:c r="O94" s="20" t="n">
        <x:v>1</x:v>
      </x:c>
      <x:c r="P94" s="19" t="str">
        <x:v>详见 Hub证据 页，按本 Hub 名称筛选</x:v>
      </x:c>
      <x:c r="Q94" s="19" t="str">
        <x:v>City station map locates JR Sapporo and Namboku/Toho subway within the connected station concourse. JR and municipal Metro stay separate. Components retain operator/mode identities. Boundary evidence review does not authorize runtime import or final acceptance.</x:v>
      </x:c>
      <x:c r="R94" s="19"/>
      <x:c r="S94" s="18" t="str">
        <x:v>札幌</x:v>
      </x:c>
      <x:c r="T94" s="20" t="n">
        <x:v>0</x:v>
      </x:c>
    </x:row>
    <x:row r="95" ht="33" customHeight="1">
      <x:c r="A95" s="19" t="str">
        <x:v>三越前・新日本橋</x:v>
      </x:c>
      <x:c r="B95" s="18" t="str">
        <x:v>T1</x:v>
      </x:c>
      <x:c r="C95" s="20" t="n">
        <x:v>2</x:v>
      </x:c>
      <x:c r="D95" s="20" t="n">
        <x:v>2</x:v>
      </x:c>
      <x:c r="E95" s="19" t="str">
        <x:v>有官方换乘依据</x:v>
      </x:c>
      <x:c r="F95" s="20" t="n">
        <x:v>0</x:v>
      </x:c>
      <x:c r="G95" s="19" t="str">
        <x:v>组件待审核</x:v>
      </x:c>
      <x:c r="H95" s="18" t="str">
        <x:v>HIGH_TIER_FOLLOWUP</x:v>
      </x:c>
      <x:c r="I95" s="18" t="str">
        <x:v>transport-hub-review:a90316a3-3ae2-50f0-beba-8a434a833ff7</x:v>
      </x:c>
      <x:c r="J95" s="19" t="str"/>
      <x:c r="K95" s="19" t="str"/>
      <x:c r="L95" s="18" t="str">
        <x:v>否</x:v>
      </x:c>
      <x:c r="M95" s="18" t="str">
        <x:v>否</x:v>
      </x:c>
      <x:c r="N95" s="18" t="str">
        <x:v>否</x:v>
      </x:c>
      <x:c r="O95" s="20" t="n">
        <x:v>1</x:v>
      </x:c>
      <x:c r="P95" s="19" t="str">
        <x:v>详见 Hub证据 页，按本 Hub 名称筛选</x:v>
      </x:c>
      <x:c r="Q95" s="19" t="str">
        <x:v>Officially designated station interchange; each physical station/operator/mode remains a distinct component. Review membership only; no formal/runtime acceptance.</x:v>
      </x:c>
      <x:c r="R95" s="19"/>
      <x:c r="S95" s="18" t="str">
        <x:v>东京23区</x:v>
      </x:c>
      <x:c r="T95" s="20" t="n">
        <x:v>0</x:v>
      </x:c>
    </x:row>
    <x:row r="96" ht="33" customHeight="1">
      <x:c r="A96" s="19" t="str">
        <x:v>三島</x:v>
      </x:c>
      <x:c r="B96" s="18" t="str">
        <x:v>T1</x:v>
      </x:c>
      <x:c r="C96" s="20" t="n">
        <x:v>3</x:v>
      </x:c>
      <x:c r="D96" s="20" t="n">
        <x:v>2</x:v>
      </x:c>
      <x:c r="E96" s="19" t="str">
        <x:v>有官方换乘依据</x:v>
      </x:c>
      <x:c r="F96" s="20" t="n">
        <x:v>0</x:v>
      </x:c>
      <x:c r="G96" s="19" t="str">
        <x:v>组件待审核</x:v>
      </x:c>
      <x:c r="H96" s="18" t="str">
        <x:v>HIGH_TIER_FOLLOWUP</x:v>
      </x:c>
      <x:c r="I96" s="18" t="str">
        <x:v>transport-hub-review:7b1b93ba-93c8-511c-95ad-bec0000f73d6</x:v>
      </x:c>
      <x:c r="J96" s="19" t="str"/>
      <x:c r="K96" s="19" t="str"/>
      <x:c r="L96" s="18" t="str">
        <x:v>否</x:v>
      </x:c>
      <x:c r="M96" s="18" t="str">
        <x:v>否</x:v>
      </x:c>
      <x:c r="N96" s="18" t="str">
        <x:v>否</x:v>
      </x:c>
      <x:c r="O96" s="20" t="n">
        <x:v>1</x:v>
      </x:c>
      <x:c r="P96" s="19" t="str">
        <x:v>详见 Hub证据 页，按本 Hub 名称筛选</x:v>
      </x:c>
      <x:c r="Q96" s="19" t="str">
        <x:v>Officially designated station interchange; each physical station/operator/mode remains a distinct component. Review membership only; no formal/runtime acceptance.</x:v>
      </x:c>
      <x:c r="R96" s="19"/>
      <x:c r="S96" s="18" t="str">
        <x:v>静冈圈</x:v>
      </x:c>
      <x:c r="T96" s="20" t="n">
        <x:v>0</x:v>
      </x:c>
    </x:row>
    <x:row r="97" ht="33" customHeight="1">
      <x:c r="A97" s="19" t="str">
        <x:v>四ツ谷</x:v>
      </x:c>
      <x:c r="B97" s="18" t="str">
        <x:v>T1</x:v>
      </x:c>
      <x:c r="C97" s="20" t="n">
        <x:v>2</x:v>
      </x:c>
      <x:c r="D97" s="20" t="n">
        <x:v>2</x:v>
      </x:c>
      <x:c r="E97" s="19" t="str">
        <x:v>有官方换乘依据</x:v>
      </x:c>
      <x:c r="F97" s="20" t="n">
        <x:v>0</x:v>
      </x:c>
      <x:c r="G97" s="19" t="str">
        <x:v>组件待审核</x:v>
      </x:c>
      <x:c r="H97" s="18" t="str">
        <x:v>TOKYO_METRO_NETWORK</x:v>
      </x:c>
      <x:c r="I97" s="18" t="str">
        <x:v>transport-hub-review:bdc5f35d-a34a-56f1-9ad3-d072d02ceb92</x:v>
      </x:c>
      <x:c r="J97" s="19" t="str"/>
      <x:c r="K97" s="19" t="str"/>
      <x:c r="L97" s="18" t="str">
        <x:v>否</x:v>
      </x:c>
      <x:c r="M97" s="18" t="str">
        <x:v>否</x:v>
      </x:c>
      <x:c r="N97" s="18" t="str">
        <x:v>否</x:v>
      </x:c>
      <x:c r="O97" s="20" t="n">
        <x:v>1</x:v>
      </x:c>
      <x:c r="P97" s="19" t="str">
        <x:v>详见 Hub证据 页，按本 Hub 名称筛选</x:v>
      </x:c>
      <x:c r="Q97" s="19" t="str">
        <x:v>Official operator transfer guide defines the proposed interchange area. Each physical station/operator/mode stays separate.</x:v>
      </x:c>
      <x:c r="R97" s="19"/>
      <x:c r="S97" s="18" t="str">
        <x:v>东京23区</x:v>
      </x:c>
      <x:c r="T97" s="20" t="n">
        <x:v>0</x:v>
      </x:c>
    </x:row>
    <x:row r="98" ht="33" customHeight="1">
      <x:c r="A98" s="19" t="str">
        <x:v>市ケ谷</x:v>
      </x:c>
      <x:c r="B98" s="18" t="str">
        <x:v>T1</x:v>
      </x:c>
      <x:c r="C98" s="20" t="n">
        <x:v>3</x:v>
      </x:c>
      <x:c r="D98" s="20" t="n">
        <x:v>3</x:v>
      </x:c>
      <x:c r="E98" s="19" t="str">
        <x:v>有官方换乘依据</x:v>
      </x:c>
      <x:c r="F98" s="20" t="n">
        <x:v>0</x:v>
      </x:c>
      <x:c r="G98" s="19" t="str">
        <x:v>组件待审核</x:v>
      </x:c>
      <x:c r="H98" s="18" t="str">
        <x:v>TOKYO_METRO_NETWORK</x:v>
      </x:c>
      <x:c r="I98" s="18" t="str">
        <x:v>transport-hub-review:e8b0aaf0-3a75-5626-a751-94af22702f51</x:v>
      </x:c>
      <x:c r="J98" s="19" t="str"/>
      <x:c r="K98" s="19" t="str"/>
      <x:c r="L98" s="18" t="str">
        <x:v>否</x:v>
      </x:c>
      <x:c r="M98" s="18" t="str">
        <x:v>否</x:v>
      </x:c>
      <x:c r="N98" s="18" t="str">
        <x:v>否</x:v>
      </x:c>
      <x:c r="O98" s="20" t="n">
        <x:v>1</x:v>
      </x:c>
      <x:c r="P98" s="19" t="str">
        <x:v>详见 Hub证据 页，按本 Hub 名称筛选</x:v>
      </x:c>
      <x:c r="Q98" s="19" t="str">
        <x:v>Official operator transfer guide defines the proposed interchange area. Each physical station/operator/mode stays separate.</x:v>
      </x:c>
      <x:c r="R98" s="19"/>
      <x:c r="S98" s="18" t="str">
        <x:v>东京23区</x:v>
      </x:c>
      <x:c r="T98" s="20" t="n">
        <x:v>0</x:v>
      </x:c>
    </x:row>
    <x:row r="99" ht="33" customHeight="1">
      <x:c r="A99" s="19" t="str">
        <x:v>住吉</x:v>
      </x:c>
      <x:c r="B99" s="18" t="str">
        <x:v>T1</x:v>
      </x:c>
      <x:c r="C99" s="20" t="n">
        <x:v>2</x:v>
      </x:c>
      <x:c r="D99" s="20" t="n">
        <x:v>2</x:v>
      </x:c>
      <x:c r="E99" s="19" t="str">
        <x:v>有官方换乘依据</x:v>
      </x:c>
      <x:c r="F99" s="20" t="n">
        <x:v>0</x:v>
      </x:c>
      <x:c r="G99" s="19" t="str">
        <x:v>组件待审核</x:v>
      </x:c>
      <x:c r="H99" s="18" t="str">
        <x:v>HIGH_TIER_FOLLOWUP</x:v>
      </x:c>
      <x:c r="I99" s="18" t="str">
        <x:v>transport-hub-review:48e1d287-b0f8-54b6-a398-a93e21f8a748</x:v>
      </x:c>
      <x:c r="J99" s="19" t="str"/>
      <x:c r="K99" s="19" t="str"/>
      <x:c r="L99" s="18" t="str">
        <x:v>否</x:v>
      </x:c>
      <x:c r="M99" s="18" t="str">
        <x:v>否</x:v>
      </x:c>
      <x:c r="N99" s="18" t="str">
        <x:v>否</x:v>
      </x:c>
      <x:c r="O99" s="20" t="n">
        <x:v>1</x:v>
      </x:c>
      <x:c r="P99" s="19" t="str">
        <x:v>详见 Hub证据 页，按本 Hub 名称筛选</x:v>
      </x:c>
      <x:c r="Q99" s="19" t="str">
        <x:v>Officially designated station interchange; each physical station/operator/mode remains a distinct component. Review membership only; no formal/runtime acceptance.</x:v>
      </x:c>
      <x:c r="R99" s="19"/>
      <x:c r="S99" s="18" t="str">
        <x:v>东京23区</x:v>
      </x:c>
      <x:c r="T99" s="20" t="n">
        <x:v>0</x:v>
      </x:c>
    </x:row>
    <x:row r="100" ht="47" customHeight="1">
      <x:c r="A100" s="19" t="str">
        <x:v>所沢</x:v>
      </x:c>
      <x:c r="B100" s="18" t="str">
        <x:v>T1</x:v>
      </x:c>
      <x:c r="C100" s="20" t="n">
        <x:v>1</x:v>
      </x:c>
      <x:c r="D100" s="20" t="n">
        <x:v>1</x:v>
      </x:c>
      <x:c r="E100" s="19" t="str">
        <x:v>有官方换乘依据</x:v>
      </x:c>
      <x:c r="F100" s="20" t="n">
        <x:v>0</x:v>
      </x:c>
      <x:c r="G100" s="19" t="str">
        <x:v>组件待审核</x:v>
      </x:c>
      <x:c r="H100" s="18" t="str">
        <x:v>NATIONAL_CITY_INTERCHANGE_EXPANSION</x:v>
      </x:c>
      <x:c r="I100" s="18" t="str">
        <x:v>transport-hub-review:ac06f87c-9559-5c65-a434-90f8339897c6</x:v>
      </x:c>
      <x:c r="J100" s="19" t="str"/>
      <x:c r="K100" s="19" t="str"/>
      <x:c r="L100" s="18" t="str">
        <x:v>否</x:v>
      </x:c>
      <x:c r="M100" s="18" t="str">
        <x:v>否</x:v>
      </x:c>
      <x:c r="N100" s="18" t="str">
        <x:v>否</x:v>
      </x:c>
      <x:c r="O100" s="20" t="n">
        <x:v>1</x:v>
      </x:c>
      <x:c r="P100" s="19" t="str">
        <x:v>详见 Hub证据 页，按本 Hub 名称筛选</x:v>
      </x:c>
      <x:c r="Q10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00" s="19"/>
      <x:c r="S100" s="18" t="str">
        <x:v>埼玉圈</x:v>
      </x:c>
      <x:c r="T100" s="20" t="n">
        <x:v>0</x:v>
      </x:c>
    </x:row>
    <x:row r="101" ht="47" customHeight="1">
      <x:c r="A101" s="19" t="str">
        <x:v>小倉</x:v>
      </x:c>
      <x:c r="B101" s="18" t="str">
        <x:v>T1</x:v>
      </x:c>
      <x:c r="C101" s="20" t="n">
        <x:v>3</x:v>
      </x:c>
      <x:c r="D101" s="20" t="n">
        <x:v>3</x:v>
      </x:c>
      <x:c r="E101" s="19" t="str">
        <x:v>有官方换乘依据</x:v>
      </x:c>
      <x:c r="F101" s="20" t="n">
        <x:v>0</x:v>
      </x:c>
      <x:c r="G101" s="19" t="str">
        <x:v>组件待审核</x:v>
      </x:c>
      <x:c r="H101" s="18" t="str">
        <x:v>NATIONAL_CITY_INTERCHANGE_EXPANSION</x:v>
      </x:c>
      <x:c r="I101" s="18" t="str">
        <x:v>transport-hub-review:1e3c8efd-07fb-5aa8-abb6-43039af1e609</x:v>
      </x:c>
      <x:c r="J101" s="19" t="str"/>
      <x:c r="K101" s="19" t="str"/>
      <x:c r="L101" s="18" t="str">
        <x:v>否</x:v>
      </x:c>
      <x:c r="M101" s="18" t="str">
        <x:v>否</x:v>
      </x:c>
      <x:c r="N101" s="18" t="str">
        <x:v>否</x:v>
      </x:c>
      <x:c r="O101" s="20" t="n">
        <x:v>1</x:v>
      </x:c>
      <x:c r="P101" s="19" t="str">
        <x:v>详见 Hub证据 页，按本 Hub 名称筛选</x:v>
      </x:c>
      <x:c r="Q10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01" s="19"/>
      <x:c r="S101" s="18" t="str">
        <x:v>北九州</x:v>
      </x:c>
      <x:c r="T101" s="20" t="n">
        <x:v>0</x:v>
      </x:c>
    </x:row>
    <x:row r="102" ht="47" customHeight="1">
      <x:c r="A102" s="19" t="str">
        <x:v>湘南台</x:v>
      </x:c>
      <x:c r="B102" s="18" t="str">
        <x:v>T1</x:v>
      </x:c>
      <x:c r="C102" s="20" t="n">
        <x:v>3</x:v>
      </x:c>
      <x:c r="D102" s="20" t="n">
        <x:v>3</x:v>
      </x:c>
      <x:c r="E102" s="19" t="str">
        <x:v>有官方换乘依据</x:v>
      </x:c>
      <x:c r="F102" s="20" t="n">
        <x:v>0</x:v>
      </x:c>
      <x:c r="G102" s="19" t="str">
        <x:v>组件待审核</x:v>
      </x:c>
      <x:c r="H102" s="18" t="str">
        <x:v>NATIONAL_CITY_INTERCHANGE_EXPANSION</x:v>
      </x:c>
      <x:c r="I102" s="18" t="str">
        <x:v>transport-hub-review:479987ab-1d69-5bff-99c6-e5dff1f680de</x:v>
      </x:c>
      <x:c r="J102" s="19" t="str"/>
      <x:c r="K102" s="19" t="str"/>
      <x:c r="L102" s="18" t="str">
        <x:v>否</x:v>
      </x:c>
      <x:c r="M102" s="18" t="str">
        <x:v>否</x:v>
      </x:c>
      <x:c r="N102" s="18" t="str">
        <x:v>否</x:v>
      </x:c>
      <x:c r="O102" s="20" t="n">
        <x:v>1</x:v>
      </x:c>
      <x:c r="P102" s="19" t="str">
        <x:v>详见 Hub证据 页，按本 Hub 名称筛选</x:v>
      </x:c>
      <x:c r="Q10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02" s="19"/>
      <x:c r="S102" s="18" t="str">
        <x:v>神奈川其他</x:v>
      </x:c>
      <x:c r="T102" s="20" t="n">
        <x:v>0</x:v>
      </x:c>
    </x:row>
    <x:row r="103" ht="33" customHeight="1">
      <x:c r="A103" s="19" t="str">
        <x:v>上前津</x:v>
      </x:c>
      <x:c r="B103" s="18" t="str">
        <x:v>T1</x:v>
      </x:c>
      <x:c r="C103" s="20" t="n">
        <x:v>1</x:v>
      </x:c>
      <x:c r="D103" s="20" t="n">
        <x:v>1</x:v>
      </x:c>
      <x:c r="E103" s="19" t="str">
        <x:v>有官方换乘依据</x:v>
      </x:c>
      <x:c r="F103" s="20" t="n">
        <x:v>0</x:v>
      </x:c>
      <x:c r="G103" s="19" t="str">
        <x:v>组件待审核</x:v>
      </x:c>
      <x:c r="H103" s="18" t="str">
        <x:v>HIGH_TIER_FOLLOWUP</x:v>
      </x:c>
      <x:c r="I103" s="18" t="str">
        <x:v>transport-hub-review:1306b718-57c6-5530-8bde-50f8d921ca43</x:v>
      </x:c>
      <x:c r="J103" s="19" t="str"/>
      <x:c r="K103" s="19" t="str"/>
      <x:c r="L103" s="18" t="str">
        <x:v>否</x:v>
      </x:c>
      <x:c r="M103" s="18" t="str">
        <x:v>否</x:v>
      </x:c>
      <x:c r="N103" s="18" t="str">
        <x:v>否</x:v>
      </x:c>
      <x:c r="O103" s="20" t="n">
        <x:v>1</x:v>
      </x:c>
      <x:c r="P103" s="19" t="str">
        <x:v>详见 Hub证据 页，按本 Hub 名称筛选</x:v>
      </x:c>
      <x:c r="Q103" s="19" t="str">
        <x:v>Officially designated station interchange; each physical station/operator/mode remains a distinct component. Review membership only; no formal/runtime acceptance.</x:v>
      </x:c>
      <x:c r="R103" s="19"/>
      <x:c r="S103" s="18" t="str">
        <x:v>名古屋圈</x:v>
      </x:c>
      <x:c r="T103" s="20" t="n">
        <x:v>0</x:v>
      </x:c>
    </x:row>
    <x:row r="104" ht="33" customHeight="1">
      <x:c r="A104" s="19" t="str">
        <x:v>上大岡</x:v>
      </x:c>
      <x:c r="B104" s="18" t="str">
        <x:v>T1</x:v>
      </x:c>
      <x:c r="C104" s="20" t="n">
        <x:v>2</x:v>
      </x:c>
      <x:c r="D104" s="20" t="n">
        <x:v>2</x:v>
      </x:c>
      <x:c r="E104" s="19" t="str">
        <x:v>有官方换乘依据</x:v>
      </x:c>
      <x:c r="F104" s="20" t="n">
        <x:v>0</x:v>
      </x:c>
      <x:c r="G104" s="19" t="str">
        <x:v>组件待审核</x:v>
      </x:c>
      <x:c r="H104" s="18" t="str">
        <x:v>HIGH_TIER_FOLLOWUP</x:v>
      </x:c>
      <x:c r="I104" s="18" t="str">
        <x:v>transport-hub-review:0a359709-d4fe-595c-b7ae-e9c6f6b1dcd2</x:v>
      </x:c>
      <x:c r="J104" s="19" t="str"/>
      <x:c r="K104" s="19" t="str"/>
      <x:c r="L104" s="18" t="str">
        <x:v>否</x:v>
      </x:c>
      <x:c r="M104" s="18" t="str">
        <x:v>否</x:v>
      </x:c>
      <x:c r="N104" s="18" t="str">
        <x:v>否</x:v>
      </x:c>
      <x:c r="O104" s="20" t="n">
        <x:v>1</x:v>
      </x:c>
      <x:c r="P104" s="19" t="str">
        <x:v>详见 Hub证据 页，按本 Hub 名称筛选</x:v>
      </x:c>
      <x:c r="Q104" s="19" t="str">
        <x:v>Officially designated station interchange; each physical station/operator/mode remains a distinct component. Review membership only; no formal/runtime acceptance.</x:v>
      </x:c>
      <x:c r="R104" s="19"/>
      <x:c r="S104" s="18" t="str">
        <x:v>横滨圈</x:v>
      </x:c>
      <x:c r="T104" s="20" t="n">
        <x:v>0</x:v>
      </x:c>
    </x:row>
    <x:row r="105" ht="33" customHeight="1">
      <x:c r="A105" s="19" t="str">
        <x:v>心斎橋・四ツ橋</x:v>
      </x:c>
      <x:c r="B105" s="18" t="str">
        <x:v>T1</x:v>
      </x:c>
      <x:c r="C105" s="20" t="n">
        <x:v>2</x:v>
      </x:c>
      <x:c r="D105" s="20" t="n">
        <x:v>1</x:v>
      </x:c>
      <x:c r="E105" s="19" t="str">
        <x:v>有官方换乘依据</x:v>
      </x:c>
      <x:c r="F105" s="20" t="n">
        <x:v>0</x:v>
      </x:c>
      <x:c r="G105" s="19" t="str">
        <x:v>组件待审核</x:v>
      </x:c>
      <x:c r="H105" s="18" t="str">
        <x:v>OSAKA_METRO_NETWORK</x:v>
      </x:c>
      <x:c r="I105" s="18" t="str">
        <x:v>transport-hub-review:f271b758-de3f-53bd-b118-49d887518644</x:v>
      </x:c>
      <x:c r="J105" s="19" t="str"/>
      <x:c r="K105" s="19" t="str"/>
      <x:c r="L105" s="18" t="str">
        <x:v>否</x:v>
      </x:c>
      <x:c r="M105" s="18" t="str">
        <x:v>否</x:v>
      </x:c>
      <x:c r="N105" s="18" t="str">
        <x:v>否</x:v>
      </x:c>
      <x:c r="O105" s="20" t="n">
        <x:v>3</x:v>
      </x:c>
      <x:c r="P105" s="19" t="str">
        <x:v>详见 Hub证据 页，按本 Hub 名称筛选</x:v>
      </x:c>
      <x:c r="Q105" s="19" t="str">
        <x:v>Official operator transfer guide defines the proposed interchange area. Each physical station/operator/mode stays separate.</x:v>
      </x:c>
      <x:c r="R105" s="19"/>
      <x:c r="S105" s="18" t="str">
        <x:v>大阪圈</x:v>
      </x:c>
      <x:c r="T105" s="20" t="n">
        <x:v>0</x:v>
      </x:c>
    </x:row>
    <x:row r="106" ht="33" customHeight="1">
      <x:c r="A106" s="19" t="str">
        <x:v>新越谷・南越谷</x:v>
      </x:c>
      <x:c r="B106" s="18" t="str">
        <x:v>T1</x:v>
      </x:c>
      <x:c r="C106" s="20" t="n">
        <x:v>2</x:v>
      </x:c>
      <x:c r="D106" s="20" t="n">
        <x:v>2</x:v>
      </x:c>
      <x:c r="E106" s="19" t="str">
        <x:v>有官方换乘依据</x:v>
      </x:c>
      <x:c r="F106" s="20" t="n">
        <x:v>0</x:v>
      </x:c>
      <x:c r="G106" s="19" t="str">
        <x:v>组件待审核</x:v>
      </x:c>
      <x:c r="H106" s="18" t="str">
        <x:v>HIGH_TIER_FOLLOWUP</x:v>
      </x:c>
      <x:c r="I106" s="18" t="str">
        <x:v>transport-hub-review:33809c3c-d079-588d-8619-edd2d701012f</x:v>
      </x:c>
      <x:c r="J106" s="19" t="str"/>
      <x:c r="K106" s="19" t="str"/>
      <x:c r="L106" s="18" t="str">
        <x:v>否</x:v>
      </x:c>
      <x:c r="M106" s="18" t="str">
        <x:v>否</x:v>
      </x:c>
      <x:c r="N106" s="18" t="str">
        <x:v>否</x:v>
      </x:c>
      <x:c r="O106" s="20" t="n">
        <x:v>1</x:v>
      </x:c>
      <x:c r="P106" s="19" t="str">
        <x:v>详见 Hub证据 页，按本 Hub 名称筛选</x:v>
      </x:c>
      <x:c r="Q106" s="19" t="str">
        <x:v>Officially designated station interchange; each physical station/operator/mode remains a distinct component. Review membership only; no formal/runtime acceptance.</x:v>
      </x:c>
      <x:c r="R106" s="19"/>
      <x:c r="S106" s="18" t="str">
        <x:v>埼玉圈</x:v>
      </x:c>
      <x:c r="T106" s="20" t="n">
        <x:v>0</x:v>
      </x:c>
    </x:row>
    <x:row r="107" ht="33" customHeight="1">
      <x:c r="A107" s="19" t="str">
        <x:v>新横浜</x:v>
      </x:c>
      <x:c r="B107" s="18" t="str">
        <x:v>T1</x:v>
      </x:c>
      <x:c r="C107" s="20" t="n">
        <x:v>5</x:v>
      </x:c>
      <x:c r="D107" s="20" t="n">
        <x:v>5</x:v>
      </x:c>
      <x:c r="E107" s="19" t="str">
        <x:v>有官方换乘依据</x:v>
      </x:c>
      <x:c r="F107" s="20" t="n">
        <x:v>0</x:v>
      </x:c>
      <x:c r="G107" s="19" t="str">
        <x:v>组件待审核</x:v>
      </x:c>
      <x:c r="H107" s="18" t="str">
        <x:v>HIGH_TIER_FOLLOWUP</x:v>
      </x:c>
      <x:c r="I107" s="18" t="str">
        <x:v>transport-hub-review:a8a9261d-2513-5c91-a475-f856442b38ab</x:v>
      </x:c>
      <x:c r="J107" s="19" t="str"/>
      <x:c r="K107" s="19" t="str"/>
      <x:c r="L107" s="18" t="str">
        <x:v>否</x:v>
      </x:c>
      <x:c r="M107" s="18" t="str">
        <x:v>否</x:v>
      </x:c>
      <x:c r="N107" s="18" t="str">
        <x:v>否</x:v>
      </x:c>
      <x:c r="O107" s="20" t="n">
        <x:v>2</x:v>
      </x:c>
      <x:c r="P107" s="19" t="str">
        <x:v>详见 Hub证据 页，按本 Hub 名称筛选</x:v>
      </x:c>
      <x:c r="Q107" s="19" t="str">
        <x:v>Officially designated station interchange; each physical station/operator/mode remains a distinct component. Review membership only; no formal/runtime acceptance.</x:v>
      </x:c>
      <x:c r="R107" s="19"/>
      <x:c r="S107" s="18" t="str">
        <x:v>横滨圈</x:v>
      </x:c>
      <x:c r="T107" s="20" t="n">
        <x:v>0</x:v>
      </x:c>
    </x:row>
    <x:row r="108" ht="33" customHeight="1">
      <x:c r="A108" s="19" t="str">
        <x:v>新宿三丁目</x:v>
      </x:c>
      <x:c r="B108" s="18" t="str">
        <x:v>T1</x:v>
      </x:c>
      <x:c r="C108" s="20" t="n">
        <x:v>2</x:v>
      </x:c>
      <x:c r="D108" s="20" t="n">
        <x:v>2</x:v>
      </x:c>
      <x:c r="E108" s="19" t="str">
        <x:v>有官方换乘依据</x:v>
      </x:c>
      <x:c r="F108" s="20" t="n">
        <x:v>0</x:v>
      </x:c>
      <x:c r="G108" s="19" t="str">
        <x:v>组件待审核</x:v>
      </x:c>
      <x:c r="H108" s="18" t="str">
        <x:v>TOKYO_METRO_NETWORK</x:v>
      </x:c>
      <x:c r="I108" s="18" t="str">
        <x:v>transport-hub-review:215d242c-3ae0-5650-adb4-0aa78b67e393</x:v>
      </x:c>
      <x:c r="J108" s="19" t="str"/>
      <x:c r="K108" s="19" t="str"/>
      <x:c r="L108" s="18" t="str">
        <x:v>否</x:v>
      </x:c>
      <x:c r="M108" s="18" t="str">
        <x:v>否</x:v>
      </x:c>
      <x:c r="N108" s="18" t="str">
        <x:v>否</x:v>
      </x:c>
      <x:c r="O108" s="20" t="n">
        <x:v>1</x:v>
      </x:c>
      <x:c r="P108" s="19" t="str">
        <x:v>详见 Hub证据 页，按本 Hub 名称筛选</x:v>
      </x:c>
      <x:c r="Q108" s="19" t="str">
        <x:v>Official operator transfer guide defines the proposed interchange area. Each physical station/operator/mode stays separate.</x:v>
      </x:c>
      <x:c r="R108" s="19"/>
      <x:c r="S108" s="18" t="str">
        <x:v>东京23区</x:v>
      </x:c>
      <x:c r="T108" s="20" t="n">
        <x:v>0</x:v>
      </x:c>
    </x:row>
    <x:row r="109" ht="33" customHeight="1">
      <x:c r="A109" s="19" t="str">
        <x:v>新大阪</x:v>
      </x:c>
      <x:c r="B109" s="18" t="str">
        <x:v>T1</x:v>
      </x:c>
      <x:c r="C109" s="20" t="n">
        <x:v>4</x:v>
      </x:c>
      <x:c r="D109" s="20" t="n">
        <x:v>3</x:v>
      </x:c>
      <x:c r="E109" s="19" t="str">
        <x:v>有官方换乘依据</x:v>
      </x:c>
      <x:c r="F109" s="20" t="n">
        <x:v>0</x:v>
      </x:c>
      <x:c r="G109" s="19" t="str">
        <x:v>组件待审核</x:v>
      </x:c>
      <x:c r="H109" s="18" t="str">
        <x:v>OSAKA_METRO_NETWORK</x:v>
      </x:c>
      <x:c r="I109" s="18" t="str">
        <x:v>transport-hub-review:dfd6abd3-d2f1-5e4d-bf7c-a0072bc59fa4</x:v>
      </x:c>
      <x:c r="J109" s="19" t="str">
        <x:v>新大阪</x:v>
      </x:c>
      <x:c r="K109" s="19" t="str">
        <x:v>transport-hub:53ce5dca-85a4-53e6-a9c8-009c6edcbf49</x:v>
      </x:c>
      <x:c r="L109" s="18" t="str">
        <x:v>否</x:v>
      </x:c>
      <x:c r="M109" s="18" t="str">
        <x:v>否</x:v>
      </x:c>
      <x:c r="N109" s="18" t="str">
        <x:v>否</x:v>
      </x:c>
      <x:c r="O109" s="20" t="n">
        <x:v>2</x:v>
      </x:c>
      <x:c r="P109" s="19" t="str">
        <x:v>详见 Hub证据 页，按本 Hub 名称筛选</x:v>
      </x:c>
      <x:c r="Q109" s="19" t="str">
        <x:v>Official operator transfer guide defines the proposed interchange area. Each physical station/operator/mode stays separate.</x:v>
      </x:c>
      <x:c r="R109" s="19"/>
      <x:c r="S109" s="18" t="str">
        <x:v>大阪圈</x:v>
      </x:c>
      <x:c r="T109" s="20" t="n">
        <x:v>0</x:v>
      </x:c>
    </x:row>
    <x:row r="110" ht="47" customHeight="1">
      <x:c r="A110" s="19" t="str">
        <x:v>新百合ヶ丘</x:v>
      </x:c>
      <x:c r="B110" s="18" t="str">
        <x:v>T1</x:v>
      </x:c>
      <x:c r="C110" s="20" t="n">
        <x:v>1</x:v>
      </x:c>
      <x:c r="D110" s="20" t="n">
        <x:v>1</x:v>
      </x:c>
      <x:c r="E110" s="19" t="str">
        <x:v>有官方换乘依据</x:v>
      </x:c>
      <x:c r="F110" s="20" t="n">
        <x:v>0</x:v>
      </x:c>
      <x:c r="G110" s="19" t="str">
        <x:v>组件待审核</x:v>
      </x:c>
      <x:c r="H110" s="18" t="str">
        <x:v>NATIONAL_CITY_INTERCHANGE_EXPANSION</x:v>
      </x:c>
      <x:c r="I110" s="18" t="str">
        <x:v>transport-hub-review:081cf655-2c15-5604-8388-fcc3a017ba8b</x:v>
      </x:c>
      <x:c r="J110" s="19" t="str"/>
      <x:c r="K110" s="19" t="str"/>
      <x:c r="L110" s="18" t="str">
        <x:v>否</x:v>
      </x:c>
      <x:c r="M110" s="18" t="str">
        <x:v>否</x:v>
      </x:c>
      <x:c r="N110" s="18" t="str">
        <x:v>否</x:v>
      </x:c>
      <x:c r="O110" s="20" t="n">
        <x:v>1</x:v>
      </x:c>
      <x:c r="P110" s="19" t="str">
        <x:v>详见 Hub证据 页，按本 Hub 名称筛选</x:v>
      </x:c>
      <x:c r="Q11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0" s="19"/>
      <x:c r="S110" s="18" t="str">
        <x:v>川崎圈</x:v>
      </x:c>
      <x:c r="T110" s="20" t="n">
        <x:v>0</x:v>
      </x:c>
    </x:row>
    <x:row r="111" ht="33" customHeight="1">
      <x:c r="A111" s="19" t="str">
        <x:v>新木場</x:v>
      </x:c>
      <x:c r="B111" s="18" t="str">
        <x:v>T1</x:v>
      </x:c>
      <x:c r="C111" s="20" t="n">
        <x:v>3</x:v>
      </x:c>
      <x:c r="D111" s="20" t="n">
        <x:v>3</x:v>
      </x:c>
      <x:c r="E111" s="19" t="str">
        <x:v>有官方换乘依据</x:v>
      </x:c>
      <x:c r="F111" s="20" t="n">
        <x:v>0</x:v>
      </x:c>
      <x:c r="G111" s="19" t="str">
        <x:v>组件待审核</x:v>
      </x:c>
      <x:c r="H111" s="18" t="str">
        <x:v>TOKYO_METRO_NETWORK</x:v>
      </x:c>
      <x:c r="I111" s="18" t="str">
        <x:v>transport-hub-review:1473438c-e174-5f25-bd0e-c716aad9dc00</x:v>
      </x:c>
      <x:c r="J111" s="19" t="str"/>
      <x:c r="K111" s="19" t="str"/>
      <x:c r="L111" s="18" t="str">
        <x:v>否</x:v>
      </x:c>
      <x:c r="M111" s="18" t="str">
        <x:v>否</x:v>
      </x:c>
      <x:c r="N111" s="18" t="str">
        <x:v>否</x:v>
      </x:c>
      <x:c r="O111" s="20" t="n">
        <x:v>1</x:v>
      </x:c>
      <x:c r="P111" s="19" t="str">
        <x:v>详见 Hub证据 页，按本 Hub 名称筛选</x:v>
      </x:c>
      <x:c r="Q111" s="19" t="str">
        <x:v>Official operator transfer guide defines the proposed interchange area. Each physical station/operator/mode stays separate.</x:v>
      </x:c>
      <x:c r="R111" s="19"/>
      <x:c r="S111" s="18" t="str">
        <x:v>东京23区</x:v>
      </x:c>
      <x:c r="T111" s="20" t="n">
        <x:v>0</x:v>
      </x:c>
    </x:row>
    <x:row r="112" ht="47" customHeight="1">
      <x:c r="A112" s="19" t="str">
        <x:v>神戸・ハーバーランド</x:v>
      </x:c>
      <x:c r="B112" s="18" t="str">
        <x:v>T1</x:v>
      </x:c>
      <x:c r="C112" s="20" t="n">
        <x:v>2</x:v>
      </x:c>
      <x:c r="D112" s="20" t="n">
        <x:v>2</x:v>
      </x:c>
      <x:c r="E112" s="19" t="str">
        <x:v>有官方换乘依据</x:v>
      </x:c>
      <x:c r="F112" s="20" t="n">
        <x:v>0</x:v>
      </x:c>
      <x:c r="G112" s="19" t="str">
        <x:v>组件待审核</x:v>
      </x:c>
      <x:c r="H112" s="18" t="str">
        <x:v>NATIONAL_CITY_INTERCHANGE_EXPANSION</x:v>
      </x:c>
      <x:c r="I112" s="18" t="str">
        <x:v>transport-hub-review:ef2b178f-c070-5236-934d-cca402fa7af5</x:v>
      </x:c>
      <x:c r="J112" s="19" t="str"/>
      <x:c r="K112" s="19" t="str"/>
      <x:c r="L112" s="18" t="str">
        <x:v>否</x:v>
      </x:c>
      <x:c r="M112" s="18" t="str">
        <x:v>否</x:v>
      </x:c>
      <x:c r="N112" s="18" t="str">
        <x:v>否</x:v>
      </x:c>
      <x:c r="O112" s="20" t="n">
        <x:v>1</x:v>
      </x:c>
      <x:c r="P112" s="19" t="str">
        <x:v>详见 Hub证据 页，按本 Hub 名称筛选</x:v>
      </x:c>
      <x:c r="Q11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2" s="19"/>
      <x:c r="S112" s="18" t="str">
        <x:v>神户</x:v>
      </x:c>
      <x:c r="T112" s="20" t="n">
        <x:v>0</x:v>
      </x:c>
    </x:row>
    <x:row r="113" ht="33" customHeight="1">
      <x:c r="A113" s="19" t="str">
        <x:v>神田</x:v>
      </x:c>
      <x:c r="B113" s="18" t="str">
        <x:v>T1</x:v>
      </x:c>
      <x:c r="C113" s="20" t="n">
        <x:v>2</x:v>
      </x:c>
      <x:c r="D113" s="20" t="n">
        <x:v>2</x:v>
      </x:c>
      <x:c r="E113" s="19" t="str">
        <x:v>有官方换乘依据</x:v>
      </x:c>
      <x:c r="F113" s="20" t="n">
        <x:v>0</x:v>
      </x:c>
      <x:c r="G113" s="19" t="str">
        <x:v>组件待审核</x:v>
      </x:c>
      <x:c r="H113" s="18" t="str">
        <x:v>HIGH_TIER_FOLLOWUP</x:v>
      </x:c>
      <x:c r="I113" s="18" t="str">
        <x:v>transport-hub-review:599b74f6-e954-51c3-9bcb-acdb996bbef4</x:v>
      </x:c>
      <x:c r="J113" s="19" t="str"/>
      <x:c r="K113" s="19" t="str"/>
      <x:c r="L113" s="18" t="str">
        <x:v>否</x:v>
      </x:c>
      <x:c r="M113" s="18" t="str">
        <x:v>否</x:v>
      </x:c>
      <x:c r="N113" s="18" t="str">
        <x:v>否</x:v>
      </x:c>
      <x:c r="O113" s="20" t="n">
        <x:v>1</x:v>
      </x:c>
      <x:c r="P113" s="19" t="str">
        <x:v>详见 Hub证据 页，按本 Hub 名称筛选</x:v>
      </x:c>
      <x:c r="Q113" s="19" t="str">
        <x:v>Officially designated station interchange; each physical station/operator/mode remains a distinct component. Review membership only; no formal/runtime acceptance.</x:v>
      </x:c>
      <x:c r="R113" s="19"/>
      <x:c r="S113" s="18" t="str">
        <x:v>东京23区</x:v>
      </x:c>
      <x:c r="T113" s="20" t="n">
        <x:v>0</x:v>
      </x:c>
    </x:row>
    <x:row r="114" ht="47" customHeight="1">
      <x:c r="A114" s="19" t="str">
        <x:v>神保町</x:v>
      </x:c>
      <x:c r="B114" s="18" t="str">
        <x:v>T1</x:v>
      </x:c>
      <x:c r="C114" s="20" t="n">
        <x:v>2</x:v>
      </x:c>
      <x:c r="D114" s="20" t="n">
        <x:v>2</x:v>
      </x:c>
      <x:c r="E114" s="19" t="str">
        <x:v>有官方换乘依据</x:v>
      </x:c>
      <x:c r="F114" s="20" t="n">
        <x:v>0</x:v>
      </x:c>
      <x:c r="G114" s="19" t="str">
        <x:v>组件待审核</x:v>
      </x:c>
      <x:c r="H114" s="18" t="str">
        <x:v>NATIONAL_CITY_INTERCHANGE_EXPANSION</x:v>
      </x:c>
      <x:c r="I114" s="18" t="str">
        <x:v>transport-hub-review:890e82e4-b9c1-52e2-b8e7-92d81e6f4da3</x:v>
      </x:c>
      <x:c r="J114" s="19" t="str"/>
      <x:c r="K114" s="19" t="str"/>
      <x:c r="L114" s="18" t="str">
        <x:v>否</x:v>
      </x:c>
      <x:c r="M114" s="18" t="str">
        <x:v>否</x:v>
      </x:c>
      <x:c r="N114" s="18" t="str">
        <x:v>否</x:v>
      </x:c>
      <x:c r="O114" s="20" t="n">
        <x:v>1</x:v>
      </x:c>
      <x:c r="P114" s="19" t="str">
        <x:v>详见 Hub证据 页，按本 Hub 名称筛选</x:v>
      </x:c>
      <x:c r="Q11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4" s="19"/>
      <x:c r="S114" s="18" t="str">
        <x:v>东京23区</x:v>
      </x:c>
      <x:c r="T114" s="20" t="n">
        <x:v>0</x:v>
      </x:c>
    </x:row>
    <x:row r="115" ht="47" customHeight="1">
      <x:c r="A115" s="19" t="str">
        <x:v>人形町・水天宮前</x:v>
      </x:c>
      <x:c r="B115" s="18" t="str">
        <x:v>T1</x:v>
      </x:c>
      <x:c r="C115" s="20" t="n">
        <x:v>3</x:v>
      </x:c>
      <x:c r="D115" s="20" t="n">
        <x:v>2</x:v>
      </x:c>
      <x:c r="E115" s="19" t="str">
        <x:v>有官方换乘依据</x:v>
      </x:c>
      <x:c r="F115" s="20" t="n">
        <x:v>0</x:v>
      </x:c>
      <x:c r="G115" s="19" t="str">
        <x:v>组件待审核</x:v>
      </x:c>
      <x:c r="H115" s="18" t="str">
        <x:v>NATIONAL_CITY_INTERCHANGE_EXPANSION</x:v>
      </x:c>
      <x:c r="I115" s="18" t="str">
        <x:v>transport-hub-review:76cbe37f-dbdc-5add-9497-0a4659fbcb8c</x:v>
      </x:c>
      <x:c r="J115" s="19" t="str"/>
      <x:c r="K115" s="19" t="str"/>
      <x:c r="L115" s="18" t="str">
        <x:v>否</x:v>
      </x:c>
      <x:c r="M115" s="18" t="str">
        <x:v>否</x:v>
      </x:c>
      <x:c r="N115" s="18" t="str">
        <x:v>否</x:v>
      </x:c>
      <x:c r="O115" s="20" t="n">
        <x:v>1</x:v>
      </x:c>
      <x:c r="P115" s="19" t="str">
        <x:v>详见 Hub证据 页，按本 Hub 名称筛选</x:v>
      </x:c>
      <x:c r="Q11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5" s="19"/>
      <x:c r="S115" s="18" t="str">
        <x:v>东京23区</x:v>
      </x:c>
      <x:c r="T115" s="20" t="n">
        <x:v>0</x:v>
      </x:c>
    </x:row>
    <x:row r="116" ht="33" customHeight="1">
      <x:c r="A116" s="19" t="str">
        <x:v>水道橋</x:v>
      </x:c>
      <x:c r="B116" s="18" t="str">
        <x:v>T1</x:v>
      </x:c>
      <x:c r="C116" s="20" t="n">
        <x:v>2</x:v>
      </x:c>
      <x:c r="D116" s="20" t="n">
        <x:v>2</x:v>
      </x:c>
      <x:c r="E116" s="19" t="str">
        <x:v>有官方换乘依据</x:v>
      </x:c>
      <x:c r="F116" s="20" t="n">
        <x:v>0</x:v>
      </x:c>
      <x:c r="G116" s="19" t="str">
        <x:v>组件待审核</x:v>
      </x:c>
      <x:c r="H116" s="18" t="str">
        <x:v>HIGH_TIER_FOLLOWUP</x:v>
      </x:c>
      <x:c r="I116" s="18" t="str">
        <x:v>transport-hub-review:10985cbb-a814-5011-8c78-2634eccee5d9</x:v>
      </x:c>
      <x:c r="J116" s="19" t="str"/>
      <x:c r="K116" s="19" t="str"/>
      <x:c r="L116" s="18" t="str">
        <x:v>否</x:v>
      </x:c>
      <x:c r="M116" s="18" t="str">
        <x:v>否</x:v>
      </x:c>
      <x:c r="N116" s="18" t="str">
        <x:v>否</x:v>
      </x:c>
      <x:c r="O116" s="20" t="n">
        <x:v>1</x:v>
      </x:c>
      <x:c r="P116" s="19" t="str">
        <x:v>详见 Hub证据 页，按本 Hub 名称筛选</x:v>
      </x:c>
      <x:c r="Q116" s="19" t="str">
        <x:v>Officially designated station interchange; each physical station/operator/mode remains a distinct component. Review membership only; no formal/runtime acceptance.</x:v>
      </x:c>
      <x:c r="R116" s="19"/>
      <x:c r="S116" s="18" t="str">
        <x:v>东京23区</x:v>
      </x:c>
      <x:c r="T116" s="20" t="n">
        <x:v>0</x:v>
      </x:c>
    </x:row>
    <x:row r="117" ht="47" customHeight="1">
      <x:c r="A117" s="19" t="str">
        <x:v>清澄白河</x:v>
      </x:c>
      <x:c r="B117" s="18" t="str">
        <x:v>T1</x:v>
      </x:c>
      <x:c r="C117" s="20" t="n">
        <x:v>2</x:v>
      </x:c>
      <x:c r="D117" s="20" t="n">
        <x:v>2</x:v>
      </x:c>
      <x:c r="E117" s="19" t="str">
        <x:v>有官方换乘依据</x:v>
      </x:c>
      <x:c r="F117" s="20" t="n">
        <x:v>0</x:v>
      </x:c>
      <x:c r="G117" s="19" t="str">
        <x:v>组件待审核</x:v>
      </x:c>
      <x:c r="H117" s="18" t="str">
        <x:v>NATIONAL_CITY_INTERCHANGE_EXPANSION</x:v>
      </x:c>
      <x:c r="I117" s="18" t="str">
        <x:v>transport-hub-review:a6edf52f-3d6b-58c8-878c-94ade8ea4934</x:v>
      </x:c>
      <x:c r="J117" s="19" t="str"/>
      <x:c r="K117" s="19" t="str"/>
      <x:c r="L117" s="18" t="str">
        <x:v>否</x:v>
      </x:c>
      <x:c r="M117" s="18" t="str">
        <x:v>否</x:v>
      </x:c>
      <x:c r="N117" s="18" t="str">
        <x:v>否</x:v>
      </x:c>
      <x:c r="O117" s="20" t="n">
        <x:v>1</x:v>
      </x:c>
      <x:c r="P117" s="19" t="str">
        <x:v>详见 Hub证据 页，按本 Hub 名称筛选</x:v>
      </x:c>
      <x:c r="Q11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17" s="19"/>
      <x:c r="S117" s="18" t="str">
        <x:v>东京23区</x:v>
      </x:c>
      <x:c r="T117" s="20" t="n">
        <x:v>0</x:v>
      </x:c>
    </x:row>
    <x:row r="118" ht="33" customHeight="1">
      <x:c r="A118" s="19" t="str">
        <x:v>西中島南方・南方</x:v>
      </x:c>
      <x:c r="B118" s="18" t="str">
        <x:v>T1</x:v>
      </x:c>
      <x:c r="C118" s="20" t="n">
        <x:v>2</x:v>
      </x:c>
      <x:c r="D118" s="20" t="n">
        <x:v>2</x:v>
      </x:c>
      <x:c r="E118" s="19" t="str">
        <x:v>有官方换乘依据</x:v>
      </x:c>
      <x:c r="F118" s="20" t="n">
        <x:v>0</x:v>
      </x:c>
      <x:c r="G118" s="19" t="str">
        <x:v>组件待审核</x:v>
      </x:c>
      <x:c r="H118" s="18" t="str">
        <x:v>OSAKA_METRO_NETWORK</x:v>
      </x:c>
      <x:c r="I118" s="18" t="str">
        <x:v>transport-hub-review:aa489796-0024-524c-8d16-92039b2e4d8a</x:v>
      </x:c>
      <x:c r="J118" s="19" t="str"/>
      <x:c r="K118" s="19" t="str"/>
      <x:c r="L118" s="18" t="str">
        <x:v>否</x:v>
      </x:c>
      <x:c r="M118" s="18" t="str">
        <x:v>否</x:v>
      </x:c>
      <x:c r="N118" s="18" t="str">
        <x:v>否</x:v>
      </x:c>
      <x:c r="O118" s="20" t="n">
        <x:v>2</x:v>
      </x:c>
      <x:c r="P118" s="19" t="str">
        <x:v>详见 Hub证据 页，按本 Hub 名称筛选</x:v>
      </x:c>
      <x:c r="Q118" s="19" t="str">
        <x:v>Official operator transfer guide defines the proposed interchange area. Each physical station/operator/mode stays separate.</x:v>
      </x:c>
      <x:c r="R118" s="19"/>
      <x:c r="S118" s="18" t="str">
        <x:v>大阪圈</x:v>
      </x:c>
      <x:c r="T118" s="20" t="n">
        <x:v>0</x:v>
      </x:c>
    </x:row>
    <x:row r="119" ht="33" customHeight="1">
      <x:c r="A119" s="19" t="str">
        <x:v>西日暮里</x:v>
      </x:c>
      <x:c r="B119" s="18" t="str">
        <x:v>T1</x:v>
      </x:c>
      <x:c r="C119" s="20" t="n">
        <x:v>3</x:v>
      </x:c>
      <x:c r="D119" s="20" t="n">
        <x:v>3</x:v>
      </x:c>
      <x:c r="E119" s="19" t="str">
        <x:v>有官方换乘依据</x:v>
      </x:c>
      <x:c r="F119" s="20" t="n">
        <x:v>0</x:v>
      </x:c>
      <x:c r="G119" s="19" t="str">
        <x:v>组件待审核</x:v>
      </x:c>
      <x:c r="H119" s="18" t="str">
        <x:v>TOKYO_METRO_NETWORK</x:v>
      </x:c>
      <x:c r="I119" s="18" t="str">
        <x:v>transport-hub-review:5703fdbe-baa3-52c5-b6b8-c52d94dbcfbe</x:v>
      </x:c>
      <x:c r="J119" s="19" t="str"/>
      <x:c r="K119" s="19" t="str"/>
      <x:c r="L119" s="18" t="str">
        <x:v>否</x:v>
      </x:c>
      <x:c r="M119" s="18" t="str">
        <x:v>否</x:v>
      </x:c>
      <x:c r="N119" s="18" t="str">
        <x:v>否</x:v>
      </x:c>
      <x:c r="O119" s="20" t="n">
        <x:v>1</x:v>
      </x:c>
      <x:c r="P119" s="19" t="str">
        <x:v>详见 Hub证据 页，按本 Hub 名称筛选</x:v>
      </x:c>
      <x:c r="Q119" s="19" t="str">
        <x:v>Official operator transfer guide defines the proposed interchange area. Each physical station/operator/mode stays separate.</x:v>
      </x:c>
      <x:c r="R119" s="19"/>
      <x:c r="S119" s="18" t="str">
        <x:v>东京23区</x:v>
      </x:c>
      <x:c r="T119" s="20" t="n">
        <x:v>0</x:v>
      </x:c>
    </x:row>
    <x:row r="120" ht="33" customHeight="1">
      <x:c r="A120" s="19" t="str">
        <x:v>青山一丁目</x:v>
      </x:c>
      <x:c r="B120" s="18" t="str">
        <x:v>T1</x:v>
      </x:c>
      <x:c r="C120" s="20" t="n">
        <x:v>2</x:v>
      </x:c>
      <x:c r="D120" s="20" t="n">
        <x:v>2</x:v>
      </x:c>
      <x:c r="E120" s="19" t="str">
        <x:v>有官方换乘依据</x:v>
      </x:c>
      <x:c r="F120" s="20" t="n">
        <x:v>0</x:v>
      </x:c>
      <x:c r="G120" s="19" t="str">
        <x:v>组件待审核</x:v>
      </x:c>
      <x:c r="H120" s="18" t="str">
        <x:v>TOKYO_METRO_NETWORK</x:v>
      </x:c>
      <x:c r="I120" s="18" t="str">
        <x:v>transport-hub-review:a7b1f514-2e72-5beb-9fff-5a498fdc0f0d</x:v>
      </x:c>
      <x:c r="J120" s="19" t="str"/>
      <x:c r="K120" s="19" t="str"/>
      <x:c r="L120" s="18" t="str">
        <x:v>否</x:v>
      </x:c>
      <x:c r="M120" s="18" t="str">
        <x:v>否</x:v>
      </x:c>
      <x:c r="N120" s="18" t="str">
        <x:v>否</x:v>
      </x:c>
      <x:c r="O120" s="20" t="n">
        <x:v>1</x:v>
      </x:c>
      <x:c r="P120" s="19" t="str">
        <x:v>详见 Hub证据 页，按本 Hub 名称筛选</x:v>
      </x:c>
      <x:c r="Q120" s="19" t="str">
        <x:v>Official operator transfer guide defines the proposed interchange area. Each physical station/operator/mode stays separate.</x:v>
      </x:c>
      <x:c r="R120" s="19"/>
      <x:c r="S120" s="18" t="str">
        <x:v>东京23区</x:v>
      </x:c>
      <x:c r="T120" s="20" t="n">
        <x:v>0</x:v>
      </x:c>
    </x:row>
    <x:row r="121" ht="33" customHeight="1">
      <x:c r="A121" s="19" t="str">
        <x:v>静岡</x:v>
      </x:c>
      <x:c r="B121" s="18" t="str">
        <x:v>T1</x:v>
      </x:c>
      <x:c r="C121" s="20" t="n">
        <x:v>2</x:v>
      </x:c>
      <x:c r="D121" s="20" t="n">
        <x:v>1</x:v>
      </x:c>
      <x:c r="E121" s="19" t="str">
        <x:v>有官方换乘依据</x:v>
      </x:c>
      <x:c r="F121" s="20" t="n">
        <x:v>0</x:v>
      </x:c>
      <x:c r="G121" s="19" t="str">
        <x:v>组件待审核</x:v>
      </x:c>
      <x:c r="H121" s="18" t="str">
        <x:v>HIGH_TIER_FOLLOWUP</x:v>
      </x:c>
      <x:c r="I121" s="18" t="str">
        <x:v>transport-hub-review:8fe3126f-9b4c-5c7b-9e51-138bbee94a23</x:v>
      </x:c>
      <x:c r="J121" s="19" t="str"/>
      <x:c r="K121" s="19" t="str"/>
      <x:c r="L121" s="18" t="str">
        <x:v>否</x:v>
      </x:c>
      <x:c r="M121" s="18" t="str">
        <x:v>否</x:v>
      </x:c>
      <x:c r="N121" s="18" t="str">
        <x:v>否</x:v>
      </x:c>
      <x:c r="O121" s="20" t="n">
        <x:v>1</x:v>
      </x:c>
      <x:c r="P121" s="19" t="str">
        <x:v>详见 Hub证据 页，按本 Hub 名称筛选</x:v>
      </x:c>
      <x:c r="Q121" s="19" t="str">
        <x:v>Officially designated station interchange; each physical station/operator/mode remains a distinct component. Review membership only; no formal/runtime acceptance.</x:v>
      </x:c>
      <x:c r="R121" s="19"/>
      <x:c r="S121" s="18" t="str">
        <x:v>静冈圈</x:v>
      </x:c>
      <x:c r="T121" s="20" t="n">
        <x:v>0</x:v>
      </x:c>
    </x:row>
    <x:row r="122" ht="47" customHeight="1">
      <x:c r="A122" s="19" t="str">
        <x:v>赤羽岩淵</x:v>
      </x:c>
      <x:c r="B122" s="18" t="str">
        <x:v>T1</x:v>
      </x:c>
      <x:c r="C122" s="20" t="n">
        <x:v>2</x:v>
      </x:c>
      <x:c r="D122" s="20" t="n">
        <x:v>2</x:v>
      </x:c>
      <x:c r="E122" s="19" t="str">
        <x:v>有官方换乘依据</x:v>
      </x:c>
      <x:c r="F122" s="20" t="n">
        <x:v>0</x:v>
      </x:c>
      <x:c r="G122" s="19" t="str">
        <x:v>组件待审核</x:v>
      </x:c>
      <x:c r="H122" s="18" t="str">
        <x:v>NATIONAL_CITY_INTERCHANGE_EXPANSION</x:v>
      </x:c>
      <x:c r="I122" s="18" t="str">
        <x:v>transport-hub-review:c8bc851e-c188-55f5-ab7c-e4b9b892ec65</x:v>
      </x:c>
      <x:c r="J122" s="19" t="str"/>
      <x:c r="K122" s="19" t="str"/>
      <x:c r="L122" s="18" t="str">
        <x:v>否</x:v>
      </x:c>
      <x:c r="M122" s="18" t="str">
        <x:v>否</x:v>
      </x:c>
      <x:c r="N122" s="18" t="str">
        <x:v>否</x:v>
      </x:c>
      <x:c r="O122" s="20" t="n">
        <x:v>1</x:v>
      </x:c>
      <x:c r="P122" s="19" t="str">
        <x:v>详见 Hub证据 页，按本 Hub 名称筛选</x:v>
      </x:c>
      <x:c r="Q12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22" s="19"/>
      <x:c r="S122" s="18" t="str">
        <x:v>东京23区</x:v>
      </x:c>
      <x:c r="T122" s="20" t="n">
        <x:v>0</x:v>
      </x:c>
    </x:row>
    <x:row r="123" ht="47" customHeight="1">
      <x:c r="A123" s="19" t="str">
        <x:v>赤坂見附・永田町</x:v>
      </x:c>
      <x:c r="B123" s="18" t="str">
        <x:v>T1</x:v>
      </x:c>
      <x:c r="C123" s="20" t="n">
        <x:v>2</x:v>
      </x:c>
      <x:c r="D123" s="20" t="n">
        <x:v>1</x:v>
      </x:c>
      <x:c r="E123" s="19" t="str">
        <x:v>有官方换乘依据</x:v>
      </x:c>
      <x:c r="F123" s="20" t="n">
        <x:v>0</x:v>
      </x:c>
      <x:c r="G123" s="19" t="str">
        <x:v>组件待审核</x:v>
      </x:c>
      <x:c r="H123" s="18" t="str">
        <x:v>NATIONAL_CITY_INTERCHANGE_EXPANSION</x:v>
      </x:c>
      <x:c r="I123" s="18" t="str">
        <x:v>transport-hub-review:62009126-e3fb-58c8-989e-dffdda74bf2b</x:v>
      </x:c>
      <x:c r="J123" s="19" t="str"/>
      <x:c r="K123" s="19" t="str"/>
      <x:c r="L123" s="18" t="str">
        <x:v>否</x:v>
      </x:c>
      <x:c r="M123" s="18" t="str">
        <x:v>否</x:v>
      </x:c>
      <x:c r="N123" s="18" t="str">
        <x:v>否</x:v>
      </x:c>
      <x:c r="O123" s="20" t="n">
        <x:v>1</x:v>
      </x:c>
      <x:c r="P123" s="19" t="str">
        <x:v>详见 Hub证据 页，按本 Hub 名称筛选</x:v>
      </x:c>
      <x:c r="Q12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23" s="19"/>
      <x:c r="S123" s="18" t="str">
        <x:v>东京23区</x:v>
      </x:c>
      <x:c r="T123" s="20" t="n">
        <x:v>0</x:v>
      </x:c>
    </x:row>
    <x:row r="124" ht="47" customHeight="1">
      <x:c r="A124" s="19" t="str">
        <x:v>仙台</x:v>
      </x:c>
      <x:c r="B124" s="18" t="str">
        <x:v>T1</x:v>
      </x:c>
      <x:c r="C124" s="20" t="n">
        <x:v>4</x:v>
      </x:c>
      <x:c r="D124" s="20" t="n">
        <x:v>2</x:v>
      </x:c>
      <x:c r="E124" s="19" t="str">
        <x:v>有官方换乘依据</x:v>
      </x:c>
      <x:c r="F124" s="20" t="n">
        <x:v>0</x:v>
      </x:c>
      <x:c r="G124" s="19" t="str">
        <x:v>组件待审核</x:v>
      </x:c>
      <x:c r="H124" s="18" t="str">
        <x:v>EXISTING_NATIONAL_REVIEW</x:v>
      </x:c>
      <x:c r="I124" s="18" t="str">
        <x:v>transport-hub-review:e264a5e6-b8fb-5e8c-bc0c-130a70bcf617</x:v>
      </x:c>
      <x:c r="J124" s="19" t="str">
        <x:v>仙台</x:v>
      </x:c>
      <x:c r="K124" s="19" t="str">
        <x:v>transport-hub:6be89417-e259-5ea1-b5ac-068c97ebc97f</x:v>
      </x:c>
      <x:c r="L124" s="18" t="str">
        <x:v>否</x:v>
      </x:c>
      <x:c r="M124" s="18" t="str">
        <x:v>否</x:v>
      </x:c>
      <x:c r="N124" s="18" t="str">
        <x:v>否</x:v>
      </x:c>
      <x:c r="O124" s="20" t="n">
        <x:v>2</x:v>
      </x:c>
      <x:c r="P124" s="19" t="str">
        <x:v>详见 Hub证据 页，按本 Hub 名称筛选</x:v>
      </x:c>
      <x:c r="Q124" s="19" t="str">
        <x:v>The 2026 municipal guide maps the JR Senseki Aoba-dori transfer gate to Sendai subway. Retain Aoba-dori and JR Sendai as distinct physical components. Components retain operator/mode identities. Boundary evidence review does not authorize runtime import or final acceptance.</x:v>
      </x:c>
      <x:c r="R124" s="19"/>
      <x:c r="S124" s="18" t="str">
        <x:v>仙台</x:v>
      </x:c>
      <x:c r="T124" s="20" t="n">
        <x:v>0</x:v>
      </x:c>
    </x:row>
    <x:row r="125" ht="47" customHeight="1">
      <x:c r="A125" s="19" t="str">
        <x:v>千種</x:v>
      </x:c>
      <x:c r="B125" s="18" t="str">
        <x:v>T1</x:v>
      </x:c>
      <x:c r="C125" s="20" t="n">
        <x:v>2</x:v>
      </x:c>
      <x:c r="D125" s="20" t="n">
        <x:v>2</x:v>
      </x:c>
      <x:c r="E125" s="19" t="str">
        <x:v>有官方换乘依据</x:v>
      </x:c>
      <x:c r="F125" s="20" t="n">
        <x:v>0</x:v>
      </x:c>
      <x:c r="G125" s="19" t="str">
        <x:v>组件待审核</x:v>
      </x:c>
      <x:c r="H125" s="18" t="str">
        <x:v>NATIONAL_CITY_INTERCHANGE_EXPANSION</x:v>
      </x:c>
      <x:c r="I125" s="18" t="str">
        <x:v>transport-hub-review:bb64316a-94ee-58b5-a255-80cef3cc83ef</x:v>
      </x:c>
      <x:c r="J125" s="19" t="str"/>
      <x:c r="K125" s="19" t="str"/>
      <x:c r="L125" s="18" t="str">
        <x:v>否</x:v>
      </x:c>
      <x:c r="M125" s="18" t="str">
        <x:v>否</x:v>
      </x:c>
      <x:c r="N125" s="18" t="str">
        <x:v>否</x:v>
      </x:c>
      <x:c r="O125" s="20" t="n">
        <x:v>1</x:v>
      </x:c>
      <x:c r="P125" s="19" t="str">
        <x:v>详见 Hub证据 页，按本 Hub 名称筛选</x:v>
      </x:c>
      <x:c r="Q12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25" s="19"/>
      <x:c r="S125" s="18" t="str">
        <x:v>名古屋圈</x:v>
      </x:c>
      <x:c r="T125" s="20" t="n">
        <x:v>0</x:v>
      </x:c>
    </x:row>
    <x:row r="126" ht="33" customHeight="1">
      <x:c r="A126" s="19" t="str">
        <x:v>川越</x:v>
      </x:c>
      <x:c r="B126" s="18" t="str">
        <x:v>T1</x:v>
      </x:c>
      <x:c r="C126" s="20" t="n">
        <x:v>2</x:v>
      </x:c>
      <x:c r="D126" s="20" t="n">
        <x:v>2</x:v>
      </x:c>
      <x:c r="E126" s="19" t="str">
        <x:v>有官方换乘依据</x:v>
      </x:c>
      <x:c r="F126" s="20" t="n">
        <x:v>0</x:v>
      </x:c>
      <x:c r="G126" s="19" t="str">
        <x:v>组件待审核</x:v>
      </x:c>
      <x:c r="H126" s="18" t="str">
        <x:v>HIGH_TIER_FOLLOWUP</x:v>
      </x:c>
      <x:c r="I126" s="18" t="str">
        <x:v>transport-hub-review:f14c151c-962b-55be-846d-24e57eb961d2</x:v>
      </x:c>
      <x:c r="J126" s="19" t="str"/>
      <x:c r="K126" s="19" t="str"/>
      <x:c r="L126" s="18" t="str">
        <x:v>否</x:v>
      </x:c>
      <x:c r="M126" s="18" t="str">
        <x:v>否</x:v>
      </x:c>
      <x:c r="N126" s="18" t="str">
        <x:v>否</x:v>
      </x:c>
      <x:c r="O126" s="20" t="n">
        <x:v>1</x:v>
      </x:c>
      <x:c r="P126" s="19" t="str">
        <x:v>详见 Hub证据 页，按本 Hub 名称筛选</x:v>
      </x:c>
      <x:c r="Q126" s="19" t="str">
        <x:v>Officially designated station interchange; each physical station/operator/mode remains a distinct component. Review membership only; no formal/runtime acceptance.</x:v>
      </x:c>
      <x:c r="R126" s="19"/>
      <x:c r="S126" s="18" t="str">
        <x:v>埼玉圈</x:v>
      </x:c>
      <x:c r="T126" s="20" t="n">
        <x:v>0</x:v>
      </x:c>
    </x:row>
    <x:row r="127" ht="33" customHeight="1">
      <x:c r="A127" s="19" t="str">
        <x:v>扇町・天満</x:v>
      </x:c>
      <x:c r="B127" s="18" t="str">
        <x:v>T1</x:v>
      </x:c>
      <x:c r="C127" s="20" t="n">
        <x:v>2</x:v>
      </x:c>
      <x:c r="D127" s="20" t="n">
        <x:v>2</x:v>
      </x:c>
      <x:c r="E127" s="19" t="str">
        <x:v>有官方换乘依据</x:v>
      </x:c>
      <x:c r="F127" s="20" t="n">
        <x:v>0</x:v>
      </x:c>
      <x:c r="G127" s="19" t="str">
        <x:v>组件待审核</x:v>
      </x:c>
      <x:c r="H127" s="18" t="str">
        <x:v>OSAKA_METRO_NETWORK</x:v>
      </x:c>
      <x:c r="I127" s="18" t="str">
        <x:v>transport-hub-review:2bec3097-717d-5989-a7a9-8d8bcd1e2c1a</x:v>
      </x:c>
      <x:c r="J127" s="19" t="str"/>
      <x:c r="K127" s="19" t="str"/>
      <x:c r="L127" s="18" t="str">
        <x:v>否</x:v>
      </x:c>
      <x:c r="M127" s="18" t="str">
        <x:v>否</x:v>
      </x:c>
      <x:c r="N127" s="18" t="str">
        <x:v>否</x:v>
      </x:c>
      <x:c r="O127" s="20" t="n">
        <x:v>2</x:v>
      </x:c>
      <x:c r="P127" s="19" t="str">
        <x:v>详见 Hub证据 页，按本 Hub 名称筛选</x:v>
      </x:c>
      <x:c r="Q127" s="19" t="str">
        <x:v>Official operator transfer guide defines the proposed interchange area. Each physical station/operator/mode stays separate.</x:v>
      </x:c>
      <x:c r="R127" s="19"/>
      <x:c r="S127" s="18" t="str">
        <x:v>大阪圈</x:v>
      </x:c>
      <x:c r="T127" s="20" t="n">
        <x:v>0</x:v>
      </x:c>
    </x:row>
    <x:row r="128" ht="47" customHeight="1">
      <x:c r="A128" s="19" t="str">
        <x:v>浅草</x:v>
      </x:c>
      <x:c r="B128" s="18" t="str">
        <x:v>T1</x:v>
      </x:c>
      <x:c r="C128" s="20" t="n">
        <x:v>3</x:v>
      </x:c>
      <x:c r="D128" s="20" t="n">
        <x:v>3</x:v>
      </x:c>
      <x:c r="E128" s="19" t="str">
        <x:v>有官方换乘依据</x:v>
      </x:c>
      <x:c r="F128" s="20" t="n">
        <x:v>0</x:v>
      </x:c>
      <x:c r="G128" s="19" t="str">
        <x:v>组件待审核</x:v>
      </x:c>
      <x:c r="H128" s="18" t="str">
        <x:v>TOKYO_METRO_NETWORK</x:v>
      </x:c>
      <x:c r="I128" s="18" t="str">
        <x:v>transport-hub-review:5194c219-8191-5473-89ae-750b5a501277</x:v>
      </x:c>
      <x:c r="J128" s="19" t="str"/>
      <x:c r="K128" s="19" t="str"/>
      <x:c r="L128" s="18" t="str">
        <x:v>否</x:v>
      </x:c>
      <x:c r="M128" s="18" t="str">
        <x:v>否</x:v>
      </x:c>
      <x:c r="N128" s="18" t="str">
        <x:v>否</x:v>
      </x:c>
      <x:c r="O128" s="20" t="n">
        <x:v>1</x:v>
      </x:c>
      <x:c r="P128" s="19" t="str">
        <x:v>详见 Hub证据 页，按本 Hub 名称筛选</x:v>
      </x:c>
      <x:c r="Q128" s="19" t="str">
        <x:v>Official operator transfer guide defines the proposed interchange area. Each physical station/operator/mode stays separate. TX Asakusa is a separate station and is excluded from this Hub.</x:v>
      </x:c>
      <x:c r="R128" s="19"/>
      <x:c r="S128" s="18" t="str">
        <x:v>东京23区</x:v>
      </x:c>
      <x:c r="T128" s="20" t="n">
        <x:v>0</x:v>
      </x:c>
    </x:row>
    <x:row r="129" ht="33" customHeight="1">
      <x:c r="A129" s="19" t="str">
        <x:v>浅草橋</x:v>
      </x:c>
      <x:c r="B129" s="18" t="str">
        <x:v>T1</x:v>
      </x:c>
      <x:c r="C129" s="20" t="n">
        <x:v>2</x:v>
      </x:c>
      <x:c r="D129" s="20" t="n">
        <x:v>2</x:v>
      </x:c>
      <x:c r="E129" s="19" t="str">
        <x:v>有官方换乘依据</x:v>
      </x:c>
      <x:c r="F129" s="20" t="n">
        <x:v>0</x:v>
      </x:c>
      <x:c r="G129" s="19" t="str">
        <x:v>组件待审核</x:v>
      </x:c>
      <x:c r="H129" s="18" t="str">
        <x:v>HIGH_TIER_FOLLOWUP</x:v>
      </x:c>
      <x:c r="I129" s="18" t="str">
        <x:v>transport-hub-review:18780905-4013-5164-a30d-3fcab650277f</x:v>
      </x:c>
      <x:c r="J129" s="19" t="str"/>
      <x:c r="K129" s="19" t="str"/>
      <x:c r="L129" s="18" t="str">
        <x:v>否</x:v>
      </x:c>
      <x:c r="M129" s="18" t="str">
        <x:v>否</x:v>
      </x:c>
      <x:c r="N129" s="18" t="str">
        <x:v>否</x:v>
      </x:c>
      <x:c r="O129" s="20" t="n">
        <x:v>1</x:v>
      </x:c>
      <x:c r="P129" s="19" t="str">
        <x:v>详见 Hub证据 页，按本 Hub 名称筛选</x:v>
      </x:c>
      <x:c r="Q129" s="19" t="str">
        <x:v>Officially designated station interchange; each physical station/operator/mode remains a distinct component. Review membership only; no formal/runtime acceptance.</x:v>
      </x:c>
      <x:c r="R129" s="19"/>
      <x:c r="S129" s="18" t="str">
        <x:v>东京23区</x:v>
      </x:c>
      <x:c r="T129" s="20" t="n">
        <x:v>0</x:v>
      </x:c>
    </x:row>
    <x:row r="130" ht="33" customHeight="1">
      <x:c r="A130" s="19" t="str">
        <x:v>巣鴨</x:v>
      </x:c>
      <x:c r="B130" s="18" t="str">
        <x:v>T1</x:v>
      </x:c>
      <x:c r="C130" s="20" t="n">
        <x:v>2</x:v>
      </x:c>
      <x:c r="D130" s="20" t="n">
        <x:v>2</x:v>
      </x:c>
      <x:c r="E130" s="19" t="str">
        <x:v>有官方换乘依据</x:v>
      </x:c>
      <x:c r="F130" s="20" t="n">
        <x:v>0</x:v>
      </x:c>
      <x:c r="G130" s="19" t="str">
        <x:v>组件待审核</x:v>
      </x:c>
      <x:c r="H130" s="18" t="str">
        <x:v>HIGH_TIER_FOLLOWUP</x:v>
      </x:c>
      <x:c r="I130" s="18" t="str">
        <x:v>transport-hub-review:288f9de0-b917-52fa-b053-328d3209147f</x:v>
      </x:c>
      <x:c r="J130" s="19" t="str"/>
      <x:c r="K130" s="19" t="str"/>
      <x:c r="L130" s="18" t="str">
        <x:v>否</x:v>
      </x:c>
      <x:c r="M130" s="18" t="str">
        <x:v>否</x:v>
      </x:c>
      <x:c r="N130" s="18" t="str">
        <x:v>否</x:v>
      </x:c>
      <x:c r="O130" s="20" t="n">
        <x:v>1</x:v>
      </x:c>
      <x:c r="P130" s="19" t="str">
        <x:v>详见 Hub证据 页，按本 Hub 名称筛选</x:v>
      </x:c>
      <x:c r="Q130" s="19" t="str">
        <x:v>Officially designated station interchange; each physical station/operator/mode remains a distinct component. Review membership only; no formal/runtime acceptance.</x:v>
      </x:c>
      <x:c r="R130" s="19"/>
      <x:c r="S130" s="18" t="str">
        <x:v>东京23区</x:v>
      </x:c>
      <x:c r="T130" s="20" t="n">
        <x:v>0</x:v>
      </x:c>
    </x:row>
    <x:row r="131" ht="47" customHeight="1">
      <x:c r="A131" s="19" t="str">
        <x:v>相模大野</x:v>
      </x:c>
      <x:c r="B131" s="18" t="str">
        <x:v>T1</x:v>
      </x:c>
      <x:c r="C131" s="20" t="n">
        <x:v>1</x:v>
      </x:c>
      <x:c r="D131" s="20" t="n">
        <x:v>1</x:v>
      </x:c>
      <x:c r="E131" s="19" t="str">
        <x:v>有官方换乘依据</x:v>
      </x:c>
      <x:c r="F131" s="20" t="n">
        <x:v>0</x:v>
      </x:c>
      <x:c r="G131" s="19" t="str">
        <x:v>组件待审核</x:v>
      </x:c>
      <x:c r="H131" s="18" t="str">
        <x:v>NATIONAL_CITY_INTERCHANGE_EXPANSION</x:v>
      </x:c>
      <x:c r="I131" s="18" t="str">
        <x:v>transport-hub-review:66e5e848-28a9-510a-b910-23b7740d2969</x:v>
      </x:c>
      <x:c r="J131" s="19" t="str"/>
      <x:c r="K131" s="19" t="str"/>
      <x:c r="L131" s="18" t="str">
        <x:v>否</x:v>
      </x:c>
      <x:c r="M131" s="18" t="str">
        <x:v>否</x:v>
      </x:c>
      <x:c r="N131" s="18" t="str">
        <x:v>否</x:v>
      </x:c>
      <x:c r="O131" s="20" t="n">
        <x:v>1</x:v>
      </x:c>
      <x:c r="P131" s="19" t="str">
        <x:v>详见 Hub证据 页，按本 Hub 名称筛选</x:v>
      </x:c>
      <x:c r="Q13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1" s="19"/>
      <x:c r="S131" s="18" t="str">
        <x:v>神奈川其他</x:v>
      </x:c>
      <x:c r="T131" s="20" t="n">
        <x:v>0</x:v>
      </x:c>
    </x:row>
    <x:row r="132" ht="47" customHeight="1">
      <x:c r="A132" s="19" t="str">
        <x:v>多摩センター</x:v>
      </x:c>
      <x:c r="B132" s="18" t="str">
        <x:v>T1</x:v>
      </x:c>
      <x:c r="C132" s="20" t="n">
        <x:v>3</x:v>
      </x:c>
      <x:c r="D132" s="20" t="n">
        <x:v>3</x:v>
      </x:c>
      <x:c r="E132" s="19" t="str">
        <x:v>有官方换乘依据</x:v>
      </x:c>
      <x:c r="F132" s="20" t="n">
        <x:v>0</x:v>
      </x:c>
      <x:c r="G132" s="19" t="str">
        <x:v>组件待审核</x:v>
      </x:c>
      <x:c r="H132" s="18" t="str">
        <x:v>NATIONAL_CITY_INTERCHANGE_EXPANSION</x:v>
      </x:c>
      <x:c r="I132" s="18" t="str">
        <x:v>transport-hub-review:811222cd-59bb-5bf5-af4e-cbfa916d1f40</x:v>
      </x:c>
      <x:c r="J132" s="19" t="str"/>
      <x:c r="K132" s="19" t="str"/>
      <x:c r="L132" s="18" t="str">
        <x:v>否</x:v>
      </x:c>
      <x:c r="M132" s="18" t="str">
        <x:v>否</x:v>
      </x:c>
      <x:c r="N132" s="18" t="str">
        <x:v>否</x:v>
      </x:c>
      <x:c r="O132" s="20" t="n">
        <x:v>1</x:v>
      </x:c>
      <x:c r="P132" s="19" t="str">
        <x:v>详见 Hub证据 页，按本 Hub 名称筛选</x:v>
      </x:c>
      <x:c r="Q13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2" s="19"/>
      <x:c r="S132" s="18" t="str">
        <x:v>东京多摩</x:v>
      </x:c>
      <x:c r="T132" s="20" t="n">
        <x:v>0</x:v>
      </x:c>
    </x:row>
    <x:row r="133" ht="33" customHeight="1">
      <x:c r="A133" s="19" t="str">
        <x:v>代々木</x:v>
      </x:c>
      <x:c r="B133" s="18" t="str">
        <x:v>T1</x:v>
      </x:c>
      <x:c r="C133" s="20" t="n">
        <x:v>2</x:v>
      </x:c>
      <x:c r="D133" s="20" t="n">
        <x:v>2</x:v>
      </x:c>
      <x:c r="E133" s="19" t="str">
        <x:v>有官方换乘依据</x:v>
      </x:c>
      <x:c r="F133" s="20" t="n">
        <x:v>0</x:v>
      </x:c>
      <x:c r="G133" s="19" t="str">
        <x:v>组件待审核</x:v>
      </x:c>
      <x:c r="H133" s="18" t="str">
        <x:v>HIGH_TIER_FOLLOWUP</x:v>
      </x:c>
      <x:c r="I133" s="18" t="str">
        <x:v>transport-hub-review:ae6978a1-e43b-50d2-a7f6-31c960e268d4</x:v>
      </x:c>
      <x:c r="J133" s="19" t="str"/>
      <x:c r="K133" s="19" t="str"/>
      <x:c r="L133" s="18" t="str">
        <x:v>否</x:v>
      </x:c>
      <x:c r="M133" s="18" t="str">
        <x:v>否</x:v>
      </x:c>
      <x:c r="N133" s="18" t="str">
        <x:v>否</x:v>
      </x:c>
      <x:c r="O133" s="20" t="n">
        <x:v>1</x:v>
      </x:c>
      <x:c r="P133" s="19" t="str">
        <x:v>详见 Hub证据 页，按本 Hub 名称筛选</x:v>
      </x:c>
      <x:c r="Q133" s="19" t="str">
        <x:v>Officially designated station interchange; each physical station/operator/mode remains a distinct component. Review membership only; no formal/runtime acceptance.</x:v>
      </x:c>
      <x:c r="R133" s="19"/>
      <x:c r="S133" s="18" t="str">
        <x:v>东京23区</x:v>
      </x:c>
      <x:c r="T133" s="20" t="n">
        <x:v>0</x:v>
      </x:c>
    </x:row>
    <x:row r="134" ht="47" customHeight="1">
      <x:c r="A134" s="19" t="str">
        <x:v>大井町</x:v>
      </x:c>
      <x:c r="B134" s="18" t="str">
        <x:v>T1</x:v>
      </x:c>
      <x:c r="C134" s="20" t="n">
        <x:v>3</x:v>
      </x:c>
      <x:c r="D134" s="20" t="n">
        <x:v>3</x:v>
      </x:c>
      <x:c r="E134" s="19" t="str">
        <x:v>有官方换乘依据</x:v>
      </x:c>
      <x:c r="F134" s="20" t="n">
        <x:v>0</x:v>
      </x:c>
      <x:c r="G134" s="19" t="str">
        <x:v>组件待审核</x:v>
      </x:c>
      <x:c r="H134" s="18" t="str">
        <x:v>NATIONAL_CITY_INTERCHANGE_EXPANSION</x:v>
      </x:c>
      <x:c r="I134" s="18" t="str">
        <x:v>transport-hub-review:37f83a89-385e-50b4-8bd6-dd22b90a8678</x:v>
      </x:c>
      <x:c r="J134" s="19" t="str"/>
      <x:c r="K134" s="19" t="str"/>
      <x:c r="L134" s="18" t="str">
        <x:v>否</x:v>
      </x:c>
      <x:c r="M134" s="18" t="str">
        <x:v>否</x:v>
      </x:c>
      <x:c r="N134" s="18" t="str">
        <x:v>否</x:v>
      </x:c>
      <x:c r="O134" s="20" t="n">
        <x:v>1</x:v>
      </x:c>
      <x:c r="P134" s="19" t="str">
        <x:v>详见 Hub证据 页，按本 Hub 名称筛选</x:v>
      </x:c>
      <x:c r="Q13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4" s="19"/>
      <x:c r="S134" s="18" t="str">
        <x:v>东京23区</x:v>
      </x:c>
      <x:c r="T134" s="20" t="n">
        <x:v>0</x:v>
      </x:c>
    </x:row>
    <x:row r="135" ht="47" customHeight="1">
      <x:c r="A135" s="19" t="str">
        <x:v>大通</x:v>
      </x:c>
      <x:c r="B135" s="18" t="str">
        <x:v>T1</x:v>
      </x:c>
      <x:c r="C135" s="20" t="n">
        <x:v>1</x:v>
      </x:c>
      <x:c r="D135" s="20" t="n">
        <x:v>1</x:v>
      </x:c>
      <x:c r="E135" s="19" t="str">
        <x:v>有官方换乘依据</x:v>
      </x:c>
      <x:c r="F135" s="20" t="n">
        <x:v>0</x:v>
      </x:c>
      <x:c r="G135" s="19" t="str">
        <x:v>组件待审核</x:v>
      </x:c>
      <x:c r="H135" s="18" t="str">
        <x:v>NATIONAL_CITY_INTERCHANGE_EXPANSION</x:v>
      </x:c>
      <x:c r="I135" s="18" t="str">
        <x:v>transport-hub-review:daa1df74-3f1d-5ec3-91d8-6dd0a7686003</x:v>
      </x:c>
      <x:c r="J135" s="19" t="str"/>
      <x:c r="K135" s="19" t="str"/>
      <x:c r="L135" s="18" t="str">
        <x:v>否</x:v>
      </x:c>
      <x:c r="M135" s="18" t="str">
        <x:v>否</x:v>
      </x:c>
      <x:c r="N135" s="18" t="str">
        <x:v>否</x:v>
      </x:c>
      <x:c r="O135" s="20" t="n">
        <x:v>1</x:v>
      </x:c>
      <x:c r="P135" s="19" t="str">
        <x:v>详见 Hub证据 页，按本 Hub 名称筛选</x:v>
      </x:c>
      <x:c r="Q13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5" s="19"/>
      <x:c r="S135" s="18" t="str">
        <x:v>札幌</x:v>
      </x:c>
      <x:c r="T135" s="20" t="n">
        <x:v>0</x:v>
      </x:c>
    </x:row>
    <x:row r="136" ht="47" customHeight="1">
      <x:c r="A136" s="19" t="str">
        <x:v>大和</x:v>
      </x:c>
      <x:c r="B136" s="18" t="str">
        <x:v>T1</x:v>
      </x:c>
      <x:c r="C136" s="20" t="n">
        <x:v>2</x:v>
      </x:c>
      <x:c r="D136" s="20" t="n">
        <x:v>2</x:v>
      </x:c>
      <x:c r="E136" s="19" t="str">
        <x:v>有官方换乘依据</x:v>
      </x:c>
      <x:c r="F136" s="20" t="n">
        <x:v>0</x:v>
      </x:c>
      <x:c r="G136" s="19" t="str">
        <x:v>组件待审核</x:v>
      </x:c>
      <x:c r="H136" s="18" t="str">
        <x:v>NATIONAL_CITY_INTERCHANGE_EXPANSION</x:v>
      </x:c>
      <x:c r="I136" s="18" t="str">
        <x:v>transport-hub-review:a34e8681-bd49-5763-a9a0-18b22ec21a02</x:v>
      </x:c>
      <x:c r="J136" s="19" t="str"/>
      <x:c r="K136" s="19" t="str"/>
      <x:c r="L136" s="18" t="str">
        <x:v>否</x:v>
      </x:c>
      <x:c r="M136" s="18" t="str">
        <x:v>否</x:v>
      </x:c>
      <x:c r="N136" s="18" t="str">
        <x:v>否</x:v>
      </x:c>
      <x:c r="O136" s="20" t="n">
        <x:v>1</x:v>
      </x:c>
      <x:c r="P136" s="19" t="str">
        <x:v>详见 Hub证据 页，按本 Hub 名称筛选</x:v>
      </x:c>
      <x:c r="Q13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6" s="19"/>
      <x:c r="S136" s="18" t="str">
        <x:v>神奈川其他</x:v>
      </x:c>
      <x:c r="T136" s="20" t="n">
        <x:v>0</x:v>
      </x:c>
    </x:row>
    <x:row r="137" ht="33" customHeight="1">
      <x:c r="A137" s="19" t="str">
        <x:v>谷町九丁目・大阪上本町</x:v>
      </x:c>
      <x:c r="B137" s="18" t="str">
        <x:v>T1</x:v>
      </x:c>
      <x:c r="C137" s="20" t="n">
        <x:v>2</x:v>
      </x:c>
      <x:c r="D137" s="20" t="n">
        <x:v>2</x:v>
      </x:c>
      <x:c r="E137" s="19" t="str">
        <x:v>有官方换乘依据</x:v>
      </x:c>
      <x:c r="F137" s="20" t="n">
        <x:v>0</x:v>
      </x:c>
      <x:c r="G137" s="19" t="str">
        <x:v>组件待审核</x:v>
      </x:c>
      <x:c r="H137" s="18" t="str">
        <x:v>OSAKA_METRO_NETWORK</x:v>
      </x:c>
      <x:c r="I137" s="18" t="str">
        <x:v>transport-hub-review:85b906d6-551b-5f9c-aad6-f4e56572c3b8</x:v>
      </x:c>
      <x:c r="J137" s="19" t="str"/>
      <x:c r="K137" s="19" t="str"/>
      <x:c r="L137" s="18" t="str">
        <x:v>否</x:v>
      </x:c>
      <x:c r="M137" s="18" t="str">
        <x:v>否</x:v>
      </x:c>
      <x:c r="N137" s="18" t="str">
        <x:v>否</x:v>
      </x:c>
      <x:c r="O137" s="20" t="n">
        <x:v>4</x:v>
      </x:c>
      <x:c r="P137" s="19" t="str">
        <x:v>详见 Hub证据 页，按本 Hub 名称筛选</x:v>
      </x:c>
      <x:c r="Q137" s="19" t="str">
        <x:v>Official operator transfer guide defines the proposed interchange area. Each physical station/operator/mode stays separate.</x:v>
      </x:c>
      <x:c r="R137" s="19"/>
      <x:c r="S137" s="18" t="str">
        <x:v>大阪圈</x:v>
      </x:c>
      <x:c r="T137" s="20" t="n">
        <x:v>0</x:v>
      </x:c>
    </x:row>
    <x:row r="138" ht="33" customHeight="1">
      <x:c r="A138" s="19" t="str">
        <x:v>谷町四丁目</x:v>
      </x:c>
      <x:c r="B138" s="18" t="str">
        <x:v>T1</x:v>
      </x:c>
      <x:c r="C138" s="20" t="n">
        <x:v>1</x:v>
      </x:c>
      <x:c r="D138" s="20" t="n">
        <x:v>1</x:v>
      </x:c>
      <x:c r="E138" s="19" t="str">
        <x:v>有官方换乘依据</x:v>
      </x:c>
      <x:c r="F138" s="20" t="n">
        <x:v>0</x:v>
      </x:c>
      <x:c r="G138" s="19" t="str">
        <x:v>组件待审核</x:v>
      </x:c>
      <x:c r="H138" s="18" t="str">
        <x:v>OSAKA_METRO_NETWORK</x:v>
      </x:c>
      <x:c r="I138" s="18" t="str">
        <x:v>transport-hub-review:4ff26358-deda-547d-bd1e-2ea57fad6ee7</x:v>
      </x:c>
      <x:c r="J138" s="19" t="str"/>
      <x:c r="K138" s="19" t="str"/>
      <x:c r="L138" s="18" t="str">
        <x:v>否</x:v>
      </x:c>
      <x:c r="M138" s="18" t="str">
        <x:v>否</x:v>
      </x:c>
      <x:c r="N138" s="18" t="str">
        <x:v>否</x:v>
      </x:c>
      <x:c r="O138" s="20" t="n">
        <x:v>2</x:v>
      </x:c>
      <x:c r="P138" s="19" t="str">
        <x:v>详见 Hub证据 页，按本 Hub 名称筛选</x:v>
      </x:c>
      <x:c r="Q138" s="19" t="str">
        <x:v>Official operator transfer guide defines the proposed interchange area. Each physical station/operator/mode stays separate.</x:v>
      </x:c>
      <x:c r="R138" s="19"/>
      <x:c r="S138" s="18" t="str">
        <x:v>大阪圈</x:v>
      </x:c>
      <x:c r="T138" s="20" t="n">
        <x:v>0</x:v>
      </x:c>
    </x:row>
    <x:row r="139" ht="47" customHeight="1">
      <x:c r="A139" s="19" t="str">
        <x:v>中央林間</x:v>
      </x:c>
      <x:c r="B139" s="18" t="str">
        <x:v>T1</x:v>
      </x:c>
      <x:c r="C139" s="20" t="n">
        <x:v>2</x:v>
      </x:c>
      <x:c r="D139" s="20" t="n">
        <x:v>2</x:v>
      </x:c>
      <x:c r="E139" s="19" t="str">
        <x:v>有官方换乘依据</x:v>
      </x:c>
      <x:c r="F139" s="20" t="n">
        <x:v>0</x:v>
      </x:c>
      <x:c r="G139" s="19" t="str">
        <x:v>组件待审核</x:v>
      </x:c>
      <x:c r="H139" s="18" t="str">
        <x:v>NATIONAL_CITY_INTERCHANGE_EXPANSION</x:v>
      </x:c>
      <x:c r="I139" s="18" t="str">
        <x:v>transport-hub-review:793153d5-8069-525e-94f7-0a72bd4b090b</x:v>
      </x:c>
      <x:c r="J139" s="19" t="str"/>
      <x:c r="K139" s="19" t="str"/>
      <x:c r="L139" s="18" t="str">
        <x:v>否</x:v>
      </x:c>
      <x:c r="M139" s="18" t="str">
        <x:v>否</x:v>
      </x:c>
      <x:c r="N139" s="18" t="str">
        <x:v>否</x:v>
      </x:c>
      <x:c r="O139" s="20" t="n">
        <x:v>1</x:v>
      </x:c>
      <x:c r="P139" s="19" t="str">
        <x:v>详见 Hub证据 页，按本 Hub 名称筛选</x:v>
      </x:c>
      <x:c r="Q13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39" s="19"/>
      <x:c r="S139" s="18" t="str">
        <x:v>神奈川其他</x:v>
      </x:c>
      <x:c r="T139" s="20" t="n">
        <x:v>0</x:v>
      </x:c>
    </x:row>
    <x:row r="140" ht="33" customHeight="1">
      <x:c r="A140" s="19" t="str">
        <x:v>中野坂上</x:v>
      </x:c>
      <x:c r="B140" s="18" t="str">
        <x:v>T1</x:v>
      </x:c>
      <x:c r="C140" s="20" t="n">
        <x:v>2</x:v>
      </x:c>
      <x:c r="D140" s="20" t="n">
        <x:v>2</x:v>
      </x:c>
      <x:c r="E140" s="19" t="str">
        <x:v>有官方换乘依据</x:v>
      </x:c>
      <x:c r="F140" s="20" t="n">
        <x:v>0</x:v>
      </x:c>
      <x:c r="G140" s="19" t="str">
        <x:v>组件待审核</x:v>
      </x:c>
      <x:c r="H140" s="18" t="str">
        <x:v>HIGH_TIER_FOLLOWUP</x:v>
      </x:c>
      <x:c r="I140" s="18" t="str">
        <x:v>transport-hub-review:5659c179-a8f6-51d2-9f82-4929236ae70d</x:v>
      </x:c>
      <x:c r="J140" s="19" t="str"/>
      <x:c r="K140" s="19" t="str"/>
      <x:c r="L140" s="18" t="str">
        <x:v>否</x:v>
      </x:c>
      <x:c r="M140" s="18" t="str">
        <x:v>否</x:v>
      </x:c>
      <x:c r="N140" s="18" t="str">
        <x:v>否</x:v>
      </x:c>
      <x:c r="O140" s="20" t="n">
        <x:v>1</x:v>
      </x:c>
      <x:c r="P140" s="19" t="str">
        <x:v>详见 Hub证据 页，按本 Hub 名称筛选</x:v>
      </x:c>
      <x:c r="Q140" s="19" t="str">
        <x:v>Officially designated station interchange; each physical station/operator/mode remains a distinct component. Review membership only; no formal/runtime acceptance.</x:v>
      </x:c>
      <x:c r="R140" s="19"/>
      <x:c r="S140" s="18" t="str">
        <x:v>东京23区</x:v>
      </x:c>
      <x:c r="T140" s="20" t="n">
        <x:v>0</x:v>
      </x:c>
    </x:row>
    <x:row r="141" ht="33" customHeight="1">
      <x:c r="A141" s="19" t="str">
        <x:v>朝霞台・北朝霞</x:v>
      </x:c>
      <x:c r="B141" s="18" t="str">
        <x:v>T1</x:v>
      </x:c>
      <x:c r="C141" s="20" t="n">
        <x:v>2</x:v>
      </x:c>
      <x:c r="D141" s="20" t="n">
        <x:v>2</x:v>
      </x:c>
      <x:c r="E141" s="19" t="str">
        <x:v>有官方换乘依据</x:v>
      </x:c>
      <x:c r="F141" s="20" t="n">
        <x:v>0</x:v>
      </x:c>
      <x:c r="G141" s="19" t="str">
        <x:v>组件待审核</x:v>
      </x:c>
      <x:c r="H141" s="18" t="str">
        <x:v>HIGH_TIER_FOLLOWUP</x:v>
      </x:c>
      <x:c r="I141" s="18" t="str">
        <x:v>transport-hub-review:ae402061-575e-54f4-9dbd-e0d8cf16323b</x:v>
      </x:c>
      <x:c r="J141" s="19" t="str"/>
      <x:c r="K141" s="19" t="str"/>
      <x:c r="L141" s="18" t="str">
        <x:v>否</x:v>
      </x:c>
      <x:c r="M141" s="18" t="str">
        <x:v>否</x:v>
      </x:c>
      <x:c r="N141" s="18" t="str">
        <x:v>否</x:v>
      </x:c>
      <x:c r="O141" s="20" t="n">
        <x:v>1</x:v>
      </x:c>
      <x:c r="P141" s="19" t="str">
        <x:v>详见 Hub证据 页，按本 Hub 名称筛选</x:v>
      </x:c>
      <x:c r="Q141" s="19" t="str">
        <x:v>Officially designated station interchange; each physical station/operator/mode remains a distinct component. Review membership only; no formal/runtime acceptance.</x:v>
      </x:c>
      <x:c r="R141" s="19"/>
      <x:c r="S141" s="18" t="str">
        <x:v>埼玉圈</x:v>
      </x:c>
      <x:c r="T141" s="20" t="n">
        <x:v>0</x:v>
      </x:c>
    </x:row>
    <x:row r="142" ht="47" customHeight="1">
      <x:c r="A142" s="19" t="str">
        <x:v>町屋</x:v>
      </x:c>
      <x:c r="B142" s="18" t="str">
        <x:v>T1</x:v>
      </x:c>
      <x:c r="C142" s="20" t="n">
        <x:v>3</x:v>
      </x:c>
      <x:c r="D142" s="20" t="n">
        <x:v>3</x:v>
      </x:c>
      <x:c r="E142" s="19" t="str">
        <x:v>有官方换乘依据</x:v>
      </x:c>
      <x:c r="F142" s="20" t="n">
        <x:v>0</x:v>
      </x:c>
      <x:c r="G142" s="19" t="str">
        <x:v>组件待审核</x:v>
      </x:c>
      <x:c r="H142" s="18" t="str">
        <x:v>NATIONAL_CITY_INTERCHANGE_EXPANSION</x:v>
      </x:c>
      <x:c r="I142" s="18" t="str">
        <x:v>transport-hub-review:1f17541f-971b-5fc5-ace3-e6efc7e38f87</x:v>
      </x:c>
      <x:c r="J142" s="19" t="str"/>
      <x:c r="K142" s="19" t="str"/>
      <x:c r="L142" s="18" t="str">
        <x:v>否</x:v>
      </x:c>
      <x:c r="M142" s="18" t="str">
        <x:v>否</x:v>
      </x:c>
      <x:c r="N142" s="18" t="str">
        <x:v>否</x:v>
      </x:c>
      <x:c r="O142" s="20" t="n">
        <x:v>1</x:v>
      </x:c>
      <x:c r="P142" s="19" t="str">
        <x:v>详见 Hub证据 页，按本 Hub 名称筛选</x:v>
      </x:c>
      <x:c r="Q14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42" s="19"/>
      <x:c r="S142" s="18" t="str">
        <x:v>东京23区</x:v>
      </x:c>
      <x:c r="T142" s="20" t="n">
        <x:v>0</x:v>
      </x:c>
    </x:row>
    <x:row r="143" ht="47" customHeight="1">
      <x:c r="A143" s="19" t="str">
        <x:v>調布</x:v>
      </x:c>
      <x:c r="B143" s="18" t="str">
        <x:v>T1</x:v>
      </x:c>
      <x:c r="C143" s="20" t="n">
        <x:v>1</x:v>
      </x:c>
      <x:c r="D143" s="20" t="n">
        <x:v>1</x:v>
      </x:c>
      <x:c r="E143" s="19" t="str">
        <x:v>有官方换乘依据</x:v>
      </x:c>
      <x:c r="F143" s="20" t="n">
        <x:v>0</x:v>
      </x:c>
      <x:c r="G143" s="19" t="str">
        <x:v>组件待审核</x:v>
      </x:c>
      <x:c r="H143" s="18" t="str">
        <x:v>NATIONAL_CITY_INTERCHANGE_EXPANSION</x:v>
      </x:c>
      <x:c r="I143" s="18" t="str">
        <x:v>transport-hub-review:daf20c6b-57ad-5460-ba6d-0b746f2395f2</x:v>
      </x:c>
      <x:c r="J143" s="19" t="str"/>
      <x:c r="K143" s="19" t="str"/>
      <x:c r="L143" s="18" t="str">
        <x:v>否</x:v>
      </x:c>
      <x:c r="M143" s="18" t="str">
        <x:v>否</x:v>
      </x:c>
      <x:c r="N143" s="18" t="str">
        <x:v>否</x:v>
      </x:c>
      <x:c r="O143" s="20" t="n">
        <x:v>1</x:v>
      </x:c>
      <x:c r="P143" s="19" t="str">
        <x:v>详见 Hub证据 页，按本 Hub 名称筛选</x:v>
      </x:c>
      <x:c r="Q14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43" s="19"/>
      <x:c r="S143" s="18" t="str">
        <x:v>东京多摩</x:v>
      </x:c>
      <x:c r="T143" s="20" t="n">
        <x:v>0</x:v>
      </x:c>
    </x:row>
    <x:row r="144" ht="33" customHeight="1">
      <x:c r="A144" s="19" t="str">
        <x:v>長堀橋</x:v>
      </x:c>
      <x:c r="B144" s="18" t="str">
        <x:v>T1</x:v>
      </x:c>
      <x:c r="C144" s="20" t="n">
        <x:v>1</x:v>
      </x:c>
      <x:c r="D144" s="20" t="n">
        <x:v>1</x:v>
      </x:c>
      <x:c r="E144" s="19" t="str">
        <x:v>有官方换乘依据</x:v>
      </x:c>
      <x:c r="F144" s="20" t="n">
        <x:v>0</x:v>
      </x:c>
      <x:c r="G144" s="19" t="str">
        <x:v>组件待审核</x:v>
      </x:c>
      <x:c r="H144" s="18" t="str">
        <x:v>OSAKA_METRO_NETWORK</x:v>
      </x:c>
      <x:c r="I144" s="18" t="str">
        <x:v>transport-hub-review:093e1803-2ac4-5574-a275-9b6e6e60567f</x:v>
      </x:c>
      <x:c r="J144" s="19" t="str"/>
      <x:c r="K144" s="19" t="str"/>
      <x:c r="L144" s="18" t="str">
        <x:v>否</x:v>
      </x:c>
      <x:c r="M144" s="18" t="str">
        <x:v>否</x:v>
      </x:c>
      <x:c r="N144" s="18" t="str">
        <x:v>否</x:v>
      </x:c>
      <x:c r="O144" s="20" t="n">
        <x:v>2</x:v>
      </x:c>
      <x:c r="P144" s="19" t="str">
        <x:v>详见 Hub证据 页，按本 Hub 名称筛选</x:v>
      </x:c>
      <x:c r="Q144" s="19" t="str">
        <x:v>Official operator transfer guide defines the proposed interchange area. Each physical station/operator/mode stays separate.</x:v>
      </x:c>
      <x:c r="R144" s="19"/>
      <x:c r="S144" s="18" t="str">
        <x:v>大阪圈</x:v>
      </x:c>
      <x:c r="T144" s="20" t="n">
        <x:v>0</x:v>
      </x:c>
    </x:row>
    <x:row r="145" ht="33" customHeight="1">
      <x:c r="A145" s="19" t="str">
        <x:v>鶴橋</x:v>
      </x:c>
      <x:c r="B145" s="18" t="str">
        <x:v>T1</x:v>
      </x:c>
      <x:c r="C145" s="20" t="n">
        <x:v>3</x:v>
      </x:c>
      <x:c r="D145" s="20" t="n">
        <x:v>3</x:v>
      </x:c>
      <x:c r="E145" s="19" t="str">
        <x:v>有官方换乘依据</x:v>
      </x:c>
      <x:c r="F145" s="20" t="n">
        <x:v>0</x:v>
      </x:c>
      <x:c r="G145" s="19" t="str">
        <x:v>组件待审核</x:v>
      </x:c>
      <x:c r="H145" s="18" t="str">
        <x:v>OSAKA_METRO_NETWORK</x:v>
      </x:c>
      <x:c r="I145" s="18" t="str">
        <x:v>transport-hub-review:91ba1262-aa39-5e9a-b0a4-59184466a23c</x:v>
      </x:c>
      <x:c r="J145" s="19" t="str"/>
      <x:c r="K145" s="19" t="str"/>
      <x:c r="L145" s="18" t="str">
        <x:v>否</x:v>
      </x:c>
      <x:c r="M145" s="18" t="str">
        <x:v>否</x:v>
      </x:c>
      <x:c r="N145" s="18" t="str">
        <x:v>否</x:v>
      </x:c>
      <x:c r="O145" s="20" t="n">
        <x:v>2</x:v>
      </x:c>
      <x:c r="P145" s="19" t="str">
        <x:v>详见 Hub证据 页，按本 Hub 名称筛选</x:v>
      </x:c>
      <x:c r="Q145" s="19" t="str">
        <x:v>Official operator transfer guide defines the proposed interchange area. Each physical station/operator/mode stays separate.</x:v>
      </x:c>
      <x:c r="R145" s="19"/>
      <x:c r="S145" s="18" t="str">
        <x:v>大阪圈</x:v>
      </x:c>
      <x:c r="T145" s="20" t="n">
        <x:v>0</x:v>
      </x:c>
    </x:row>
    <x:row r="146" ht="33" customHeight="1">
      <x:c r="A146" s="19" t="str">
        <x:v>天下茶屋</x:v>
      </x:c>
      <x:c r="B146" s="18" t="str">
        <x:v>T1</x:v>
      </x:c>
      <x:c r="C146" s="20" t="n">
        <x:v>2</x:v>
      </x:c>
      <x:c r="D146" s="20" t="n">
        <x:v>2</x:v>
      </x:c>
      <x:c r="E146" s="19" t="str">
        <x:v>有官方换乘依据</x:v>
      </x:c>
      <x:c r="F146" s="20" t="n">
        <x:v>0</x:v>
      </x:c>
      <x:c r="G146" s="19" t="str">
        <x:v>组件待审核</x:v>
      </x:c>
      <x:c r="H146" s="18" t="str">
        <x:v>OSAKA_METRO_NETWORK</x:v>
      </x:c>
      <x:c r="I146" s="18" t="str">
        <x:v>transport-hub-review:250e8bc5-4ad4-58f5-b454-c214e40fbe86</x:v>
      </x:c>
      <x:c r="J146" s="19" t="str"/>
      <x:c r="K146" s="19" t="str"/>
      <x:c r="L146" s="18" t="str">
        <x:v>否</x:v>
      </x:c>
      <x:c r="M146" s="18" t="str">
        <x:v>否</x:v>
      </x:c>
      <x:c r="N146" s="18" t="str">
        <x:v>否</x:v>
      </x:c>
      <x:c r="O146" s="20" t="n">
        <x:v>2</x:v>
      </x:c>
      <x:c r="P146" s="19" t="str">
        <x:v>详见 Hub证据 页，按本 Hub 名称筛选</x:v>
      </x:c>
      <x:c r="Q146" s="19" t="str">
        <x:v>Official operator transfer guide defines the proposed interchange area. Each physical station/operator/mode stays separate.</x:v>
      </x:c>
      <x:c r="R146" s="19"/>
      <x:c r="S146" s="18" t="str">
        <x:v>大阪圈</x:v>
      </x:c>
      <x:c r="T146" s="20" t="n">
        <x:v>0</x:v>
      </x:c>
    </x:row>
    <x:row r="147" ht="33" customHeight="1">
      <x:c r="A147" s="19" t="str">
        <x:v>天満橋</x:v>
      </x:c>
      <x:c r="B147" s="18" t="str">
        <x:v>T1</x:v>
      </x:c>
      <x:c r="C147" s="20" t="n">
        <x:v>2</x:v>
      </x:c>
      <x:c r="D147" s="20" t="n">
        <x:v>2</x:v>
      </x:c>
      <x:c r="E147" s="19" t="str">
        <x:v>有官方换乘依据</x:v>
      </x:c>
      <x:c r="F147" s="20" t="n">
        <x:v>0</x:v>
      </x:c>
      <x:c r="G147" s="19" t="str">
        <x:v>组件待审核</x:v>
      </x:c>
      <x:c r="H147" s="18" t="str">
        <x:v>OSAKA_METRO_NETWORK</x:v>
      </x:c>
      <x:c r="I147" s="18" t="str">
        <x:v>transport-hub-review:eadb11d6-f6c0-5149-bf0d-5365cd294959</x:v>
      </x:c>
      <x:c r="J147" s="19" t="str"/>
      <x:c r="K147" s="19" t="str"/>
      <x:c r="L147" s="18" t="str">
        <x:v>否</x:v>
      </x:c>
      <x:c r="M147" s="18" t="str">
        <x:v>否</x:v>
      </x:c>
      <x:c r="N147" s="18" t="str">
        <x:v>否</x:v>
      </x:c>
      <x:c r="O147" s="20" t="n">
        <x:v>2</x:v>
      </x:c>
      <x:c r="P147" s="19" t="str">
        <x:v>详见 Hub证据 页，按本 Hub 名称筛选</x:v>
      </x:c>
      <x:c r="Q147" s="19" t="str">
        <x:v>Official operator transfer guide defines the proposed interchange area. Each physical station/operator/mode stays separate.</x:v>
      </x:c>
      <x:c r="R147" s="19"/>
      <x:c r="S147" s="18" t="str">
        <x:v>大阪圈</x:v>
      </x:c>
      <x:c r="T147" s="20" t="n">
        <x:v>0</x:v>
      </x:c>
    </x:row>
    <x:row r="148" ht="47" customHeight="1">
      <x:c r="A148" s="19" t="str">
        <x:v>登戸</x:v>
      </x:c>
      <x:c r="B148" s="18" t="str">
        <x:v>T1</x:v>
      </x:c>
      <x:c r="C148" s="20" t="n">
        <x:v>2</x:v>
      </x:c>
      <x:c r="D148" s="20" t="n">
        <x:v>2</x:v>
      </x:c>
      <x:c r="E148" s="19" t="str">
        <x:v>有官方换乘依据</x:v>
      </x:c>
      <x:c r="F148" s="20" t="n">
        <x:v>0</x:v>
      </x:c>
      <x:c r="G148" s="19" t="str">
        <x:v>组件待审核</x:v>
      </x:c>
      <x:c r="H148" s="18" t="str">
        <x:v>NATIONAL_CITY_INTERCHANGE_EXPANSION</x:v>
      </x:c>
      <x:c r="I148" s="18" t="str">
        <x:v>transport-hub-review:060271cb-3364-5bf0-a1d2-7d366ffdbee6</x:v>
      </x:c>
      <x:c r="J148" s="19" t="str"/>
      <x:c r="K148" s="19" t="str"/>
      <x:c r="L148" s="18" t="str">
        <x:v>否</x:v>
      </x:c>
      <x:c r="M148" s="18" t="str">
        <x:v>否</x:v>
      </x:c>
      <x:c r="N148" s="18" t="str">
        <x:v>否</x:v>
      </x:c>
      <x:c r="O148" s="20" t="n">
        <x:v>1</x:v>
      </x:c>
      <x:c r="P148" s="19" t="str">
        <x:v>详见 Hub证据 页，按本 Hub 名称筛选</x:v>
      </x:c>
      <x:c r="Q14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48" s="19"/>
      <x:c r="S148" s="18" t="str">
        <x:v>川崎圈</x:v>
      </x:c>
      <x:c r="T148" s="20" t="n">
        <x:v>0</x:v>
      </x:c>
    </x:row>
    <x:row r="149" ht="47" customHeight="1">
      <x:c r="A149" s="19" t="str">
        <x:v>東銀座</x:v>
      </x:c>
      <x:c r="B149" s="18" t="str">
        <x:v>T1</x:v>
      </x:c>
      <x:c r="C149" s="20" t="n">
        <x:v>2</x:v>
      </x:c>
      <x:c r="D149" s="20" t="n">
        <x:v>2</x:v>
      </x:c>
      <x:c r="E149" s="19" t="str">
        <x:v>有官方换乘依据</x:v>
      </x:c>
      <x:c r="F149" s="20" t="n">
        <x:v>0</x:v>
      </x:c>
      <x:c r="G149" s="19" t="str">
        <x:v>组件待审核</x:v>
      </x:c>
      <x:c r="H149" s="18" t="str">
        <x:v>NATIONAL_CITY_INTERCHANGE_EXPANSION</x:v>
      </x:c>
      <x:c r="I149" s="18" t="str">
        <x:v>transport-hub-review:5695f141-d759-5b19-a19e-62f5a1e7b451</x:v>
      </x:c>
      <x:c r="J149" s="19" t="str"/>
      <x:c r="K149" s="19" t="str"/>
      <x:c r="L149" s="18" t="str">
        <x:v>否</x:v>
      </x:c>
      <x:c r="M149" s="18" t="str">
        <x:v>否</x:v>
      </x:c>
      <x:c r="N149" s="18" t="str">
        <x:v>否</x:v>
      </x:c>
      <x:c r="O149" s="20" t="n">
        <x:v>1</x:v>
      </x:c>
      <x:c r="P149" s="19" t="str">
        <x:v>详见 Hub证据 页，按本 Hub 名称筛选</x:v>
      </x:c>
      <x:c r="Q14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49" s="19"/>
      <x:c r="S149" s="18" t="str">
        <x:v>东京23区</x:v>
      </x:c>
      <x:c r="T149" s="20" t="n">
        <x:v>0</x:v>
      </x:c>
    </x:row>
    <x:row r="150" ht="33" customHeight="1">
      <x:c r="A150" s="19" t="str">
        <x:v>東中野</x:v>
      </x:c>
      <x:c r="B150" s="18" t="str">
        <x:v>T1</x:v>
      </x:c>
      <x:c r="C150" s="20" t="n">
        <x:v>2</x:v>
      </x:c>
      <x:c r="D150" s="20" t="n">
        <x:v>2</x:v>
      </x:c>
      <x:c r="E150" s="19" t="str">
        <x:v>有官方换乘依据</x:v>
      </x:c>
      <x:c r="F150" s="20" t="n">
        <x:v>0</x:v>
      </x:c>
      <x:c r="G150" s="19" t="str">
        <x:v>组件待审核</x:v>
      </x:c>
      <x:c r="H150" s="18" t="str">
        <x:v>HIGH_TIER_FOLLOWUP</x:v>
      </x:c>
      <x:c r="I150" s="18" t="str">
        <x:v>transport-hub-review:94fe7f06-1190-5a7d-820c-4281f6896b9c</x:v>
      </x:c>
      <x:c r="J150" s="19" t="str"/>
      <x:c r="K150" s="19" t="str"/>
      <x:c r="L150" s="18" t="str">
        <x:v>否</x:v>
      </x:c>
      <x:c r="M150" s="18" t="str">
        <x:v>否</x:v>
      </x:c>
      <x:c r="N150" s="18" t="str">
        <x:v>否</x:v>
      </x:c>
      <x:c r="O150" s="20" t="n">
        <x:v>1</x:v>
      </x:c>
      <x:c r="P150" s="19" t="str">
        <x:v>详见 Hub证据 页，按本 Hub 名称筛选</x:v>
      </x:c>
      <x:c r="Q150" s="19" t="str">
        <x:v>Officially designated station interchange; each physical station/operator/mode remains a distinct component. Review membership only; no formal/runtime acceptance.</x:v>
      </x:c>
      <x:c r="R150" s="19"/>
      <x:c r="S150" s="18" t="str">
        <x:v>东京23区</x:v>
      </x:c>
      <x:c r="T150" s="20" t="n">
        <x:v>0</x:v>
      </x:c>
    </x:row>
    <x:row r="151" ht="47" customHeight="1">
      <x:c r="A151" s="19" t="str">
        <x:v>藤が丘</x:v>
      </x:c>
      <x:c r="B151" s="18" t="str">
        <x:v>T1</x:v>
      </x:c>
      <x:c r="C151" s="20" t="n">
        <x:v>2</x:v>
      </x:c>
      <x:c r="D151" s="20" t="n">
        <x:v>2</x:v>
      </x:c>
      <x:c r="E151" s="19" t="str">
        <x:v>有官方换乘依据</x:v>
      </x:c>
      <x:c r="F151" s="20" t="n">
        <x:v>0</x:v>
      </x:c>
      <x:c r="G151" s="19" t="str">
        <x:v>组件待审核</x:v>
      </x:c>
      <x:c r="H151" s="18" t="str">
        <x:v>NATIONAL_CITY_INTERCHANGE_EXPANSION</x:v>
      </x:c>
      <x:c r="I151" s="18" t="str">
        <x:v>transport-hub-review:3a4bb997-e6a6-5523-95f2-f896e18d20bc</x:v>
      </x:c>
      <x:c r="J151" s="19" t="str"/>
      <x:c r="K151" s="19" t="str"/>
      <x:c r="L151" s="18" t="str">
        <x:v>否</x:v>
      </x:c>
      <x:c r="M151" s="18" t="str">
        <x:v>否</x:v>
      </x:c>
      <x:c r="N151" s="18" t="str">
        <x:v>否</x:v>
      </x:c>
      <x:c r="O151" s="20" t="n">
        <x:v>1</x:v>
      </x:c>
      <x:c r="P151" s="19" t="str">
        <x:v>详见 Hub证据 页，按本 Hub 名称筛选</x:v>
      </x:c>
      <x:c r="Q15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51" s="19"/>
      <x:c r="S151" s="18" t="str">
        <x:v>名古屋圈</x:v>
      </x:c>
      <x:c r="T151" s="20" t="n">
        <x:v>0</x:v>
      </x:c>
    </x:row>
    <x:row r="152" ht="33" customHeight="1">
      <x:c r="A152" s="19" t="str">
        <x:v>動物園前・新今宮</x:v>
      </x:c>
      <x:c r="B152" s="18" t="str">
        <x:v>T1</x:v>
      </x:c>
      <x:c r="C152" s="20" t="n">
        <x:v>4</x:v>
      </x:c>
      <x:c r="D152" s="20" t="n">
        <x:v>4</x:v>
      </x:c>
      <x:c r="E152" s="19" t="str">
        <x:v>有官方换乘依据</x:v>
      </x:c>
      <x:c r="F152" s="20" t="n">
        <x:v>0</x:v>
      </x:c>
      <x:c r="G152" s="19" t="str">
        <x:v>组件待审核</x:v>
      </x:c>
      <x:c r="H152" s="18" t="str">
        <x:v>OSAKA_METRO_NETWORK</x:v>
      </x:c>
      <x:c r="I152" s="18" t="str">
        <x:v>transport-hub-review:86c67c92-2f28-5f2e-aec2-724346789840</x:v>
      </x:c>
      <x:c r="J152" s="19" t="str"/>
      <x:c r="K152" s="19" t="str"/>
      <x:c r="L152" s="18" t="str">
        <x:v>否</x:v>
      </x:c>
      <x:c r="M152" s="18" t="str">
        <x:v>否</x:v>
      </x:c>
      <x:c r="N152" s="18" t="str">
        <x:v>否</x:v>
      </x:c>
      <x:c r="O152" s="20" t="n">
        <x:v>4</x:v>
      </x:c>
      <x:c r="P152" s="19" t="str">
        <x:v>详见 Hub证据 页，按本 Hub 名称筛选</x:v>
      </x:c>
      <x:c r="Q152" s="19" t="str">
        <x:v>Official operator transfer guide defines the proposed interchange area. Each physical station/operator/mode stays separate.</x:v>
      </x:c>
      <x:c r="R152" s="19"/>
      <x:c r="S152" s="18" t="str">
        <x:v>大阪圈</x:v>
      </x:c>
      <x:c r="T152" s="20" t="n">
        <x:v>0</x:v>
      </x:c>
    </x:row>
    <x:row r="153" ht="33" customHeight="1">
      <x:c r="A153" s="19" t="str">
        <x:v>南森町・大阪天満宮</x:v>
      </x:c>
      <x:c r="B153" s="18" t="str">
        <x:v>T1</x:v>
      </x:c>
      <x:c r="C153" s="20" t="n">
        <x:v>2</x:v>
      </x:c>
      <x:c r="D153" s="20" t="n">
        <x:v>2</x:v>
      </x:c>
      <x:c r="E153" s="19" t="str">
        <x:v>有官方换乘依据</x:v>
      </x:c>
      <x:c r="F153" s="20" t="n">
        <x:v>0</x:v>
      </x:c>
      <x:c r="G153" s="19" t="str">
        <x:v>组件待审核</x:v>
      </x:c>
      <x:c r="H153" s="18" t="str">
        <x:v>OSAKA_METRO_NETWORK</x:v>
      </x:c>
      <x:c r="I153" s="18" t="str">
        <x:v>transport-hub-review:a15fd3a0-2a06-5c01-b277-d2261be08fdb</x:v>
      </x:c>
      <x:c r="J153" s="19" t="str"/>
      <x:c r="K153" s="19" t="str"/>
      <x:c r="L153" s="18" t="str">
        <x:v>否</x:v>
      </x:c>
      <x:c r="M153" s="18" t="str">
        <x:v>否</x:v>
      </x:c>
      <x:c r="N153" s="18" t="str">
        <x:v>否</x:v>
      </x:c>
      <x:c r="O153" s="20" t="n">
        <x:v>4</x:v>
      </x:c>
      <x:c r="P153" s="19" t="str">
        <x:v>详见 Hub证据 页，按本 Hub 名称筛选</x:v>
      </x:c>
      <x:c r="Q153" s="19" t="str">
        <x:v>Official operator transfer guide defines the proposed interchange area. Each physical station/operator/mode stays separate.</x:v>
      </x:c>
      <x:c r="R153" s="19"/>
      <x:c r="S153" s="18" t="str">
        <x:v>大阪圈</x:v>
      </x:c>
      <x:c r="T153" s="20" t="n">
        <x:v>0</x:v>
      </x:c>
    </x:row>
    <x:row r="154" ht="33" customHeight="1">
      <x:c r="A154" s="19" t="str">
        <x:v>南流山</x:v>
      </x:c>
      <x:c r="B154" s="18" t="str">
        <x:v>T1</x:v>
      </x:c>
      <x:c r="C154" s="20" t="n">
        <x:v>2</x:v>
      </x:c>
      <x:c r="D154" s="20" t="n">
        <x:v>2</x:v>
      </x:c>
      <x:c r="E154" s="19" t="str">
        <x:v>有官方换乘依据</x:v>
      </x:c>
      <x:c r="F154" s="20" t="n">
        <x:v>0</x:v>
      </x:c>
      <x:c r="G154" s="19" t="str">
        <x:v>组件待审核</x:v>
      </x:c>
      <x:c r="H154" s="18" t="str">
        <x:v>HIGH_TIER_FOLLOWUP</x:v>
      </x:c>
      <x:c r="I154" s="18" t="str">
        <x:v>transport-hub-review:5158114f-3f73-525f-ae00-c0d9fbaf26c2</x:v>
      </x:c>
      <x:c r="J154" s="19" t="str"/>
      <x:c r="K154" s="19" t="str"/>
      <x:c r="L154" s="18" t="str">
        <x:v>否</x:v>
      </x:c>
      <x:c r="M154" s="18" t="str">
        <x:v>否</x:v>
      </x:c>
      <x:c r="N154" s="18" t="str">
        <x:v>否</x:v>
      </x:c>
      <x:c r="O154" s="20" t="n">
        <x:v>1</x:v>
      </x:c>
      <x:c r="P154" s="19" t="str">
        <x:v>详见 Hub证据 页，按本 Hub 名称筛选</x:v>
      </x:c>
      <x:c r="Q154" s="19" t="str">
        <x:v>Officially designated station interchange; each physical station/operator/mode remains a distinct component. Review membership only; no formal/runtime acceptance.</x:v>
      </x:c>
      <x:c r="R154" s="19"/>
      <x:c r="S154" s="18" t="str">
        <x:v>千叶圈</x:v>
      </x:c>
      <x:c r="T154" s="20" t="n">
        <x:v>0</x:v>
      </x:c>
    </x:row>
    <x:row r="155" ht="47" customHeight="1">
      <x:c r="A155" s="19" t="str">
        <x:v>日吉</x:v>
      </x:c>
      <x:c r="B155" s="18" t="str">
        <x:v>T1</x:v>
      </x:c>
      <x:c r="C155" s="20" t="n">
        <x:v>2</x:v>
      </x:c>
      <x:c r="D155" s="20" t="n">
        <x:v>2</x:v>
      </x:c>
      <x:c r="E155" s="19" t="str">
        <x:v>有官方换乘依据</x:v>
      </x:c>
      <x:c r="F155" s="20" t="n">
        <x:v>0</x:v>
      </x:c>
      <x:c r="G155" s="19" t="str">
        <x:v>组件待审核</x:v>
      </x:c>
      <x:c r="H155" s="18" t="str">
        <x:v>NATIONAL_CITY_INTERCHANGE_EXPANSION</x:v>
      </x:c>
      <x:c r="I155" s="18" t="str">
        <x:v>transport-hub-review:9f5aac64-9dc5-51f1-9bcf-c71f75c392d2</x:v>
      </x:c>
      <x:c r="J155" s="19" t="str"/>
      <x:c r="K155" s="19" t="str"/>
      <x:c r="L155" s="18" t="str">
        <x:v>否</x:v>
      </x:c>
      <x:c r="M155" s="18" t="str">
        <x:v>否</x:v>
      </x:c>
      <x:c r="N155" s="18" t="str">
        <x:v>否</x:v>
      </x:c>
      <x:c r="O155" s="20" t="n">
        <x:v>2</x:v>
      </x:c>
      <x:c r="P155" s="19" t="str">
        <x:v>详见 Hub证据 页，按本 Hub 名称筛选</x:v>
      </x:c>
      <x:c r="Q15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55" s="19"/>
      <x:c r="S155" s="18" t="str">
        <x:v>横滨圈</x:v>
      </x:c>
      <x:c r="T155" s="20" t="n">
        <x:v>0</x:v>
      </x:c>
    </x:row>
    <x:row r="156" ht="47" customHeight="1">
      <x:c r="A156" s="19" t="str">
        <x:v>日本橋</x:v>
      </x:c>
      <x:c r="B156" s="18" t="str">
        <x:v>T1</x:v>
      </x:c>
      <x:c r="C156" s="20" t="n">
        <x:v>2</x:v>
      </x:c>
      <x:c r="D156" s="20" t="n">
        <x:v>2</x:v>
      </x:c>
      <x:c r="E156" s="19" t="str">
        <x:v>有官方换乘依据</x:v>
      </x:c>
      <x:c r="F156" s="20" t="n">
        <x:v>0</x:v>
      </x:c>
      <x:c r="G156" s="19" t="str">
        <x:v>组件待审核</x:v>
      </x:c>
      <x:c r="H156" s="18" t="str">
        <x:v>NATIONAL_CITY_INTERCHANGE_EXPANSION</x:v>
      </x:c>
      <x:c r="I156" s="18" t="str">
        <x:v>transport-hub-review:9a6124c7-cefb-564c-9da5-af13958c33f9</x:v>
      </x:c>
      <x:c r="J156" s="19" t="str"/>
      <x:c r="K156" s="19" t="str"/>
      <x:c r="L156" s="18" t="str">
        <x:v>否</x:v>
      </x:c>
      <x:c r="M156" s="18" t="str">
        <x:v>否</x:v>
      </x:c>
      <x:c r="N156" s="18" t="str">
        <x:v>否</x:v>
      </x:c>
      <x:c r="O156" s="20" t="n">
        <x:v>1</x:v>
      </x:c>
      <x:c r="P156" s="19" t="str">
        <x:v>详见 Hub证据 页，按本 Hub 名称筛选</x:v>
      </x:c>
      <x:c r="Q15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56" s="19"/>
      <x:c r="S156" s="18" t="str">
        <x:v>东京23区</x:v>
      </x:c>
      <x:c r="T156" s="20" t="n">
        <x:v>0</x:v>
      </x:c>
    </x:row>
    <x:row r="157" ht="33" customHeight="1">
      <x:c r="A157" s="19" t="str">
        <x:v>日本橋・近鉄日本橋</x:v>
      </x:c>
      <x:c r="B157" s="18" t="str">
        <x:v>T1</x:v>
      </x:c>
      <x:c r="C157" s="20" t="n">
        <x:v>2</x:v>
      </x:c>
      <x:c r="D157" s="20" t="n">
        <x:v>2</x:v>
      </x:c>
      <x:c r="E157" s="19" t="str">
        <x:v>有官方换乘依据</x:v>
      </x:c>
      <x:c r="F157" s="20" t="n">
        <x:v>0</x:v>
      </x:c>
      <x:c r="G157" s="19" t="str">
        <x:v>组件待审核</x:v>
      </x:c>
      <x:c r="H157" s="18" t="str">
        <x:v>OSAKA_METRO_NETWORK</x:v>
      </x:c>
      <x:c r="I157" s="18" t="str">
        <x:v>transport-hub-review:e75c060a-699e-5df7-822a-19d68e4de50a</x:v>
      </x:c>
      <x:c r="J157" s="19" t="str"/>
      <x:c r="K157" s="19" t="str"/>
      <x:c r="L157" s="18" t="str">
        <x:v>否</x:v>
      </x:c>
      <x:c r="M157" s="18" t="str">
        <x:v>否</x:v>
      </x:c>
      <x:c r="N157" s="18" t="str">
        <x:v>否</x:v>
      </x:c>
      <x:c r="O157" s="20" t="n">
        <x:v>4</x:v>
      </x:c>
      <x:c r="P157" s="19" t="str">
        <x:v>详见 Hub证据 页，按本 Hub 名称筛选</x:v>
      </x:c>
      <x:c r="Q157" s="19" t="str">
        <x:v>Official operator transfer guide defines the proposed interchange area. Each physical station/operator/mode stays separate.</x:v>
      </x:c>
      <x:c r="R157" s="19"/>
      <x:c r="S157" s="18" t="str">
        <x:v>大阪圈</x:v>
      </x:c>
      <x:c r="T157" s="20" t="n">
        <x:v>0</x:v>
      </x:c>
    </x:row>
    <x:row r="158" ht="47" customHeight="1">
      <x:c r="A158" s="19" t="str">
        <x:v>拝島</x:v>
      </x:c>
      <x:c r="B158" s="18" t="str">
        <x:v>T1</x:v>
      </x:c>
      <x:c r="C158" s="20" t="n">
        <x:v>2</x:v>
      </x:c>
      <x:c r="D158" s="20" t="n">
        <x:v>2</x:v>
      </x:c>
      <x:c r="E158" s="19" t="str">
        <x:v>有官方换乘依据</x:v>
      </x:c>
      <x:c r="F158" s="20" t="n">
        <x:v>0</x:v>
      </x:c>
      <x:c r="G158" s="19" t="str">
        <x:v>组件待审核</x:v>
      </x:c>
      <x:c r="H158" s="18" t="str">
        <x:v>NATIONAL_CITY_INTERCHANGE_EXPANSION</x:v>
      </x:c>
      <x:c r="I158" s="18" t="str">
        <x:v>transport-hub-review:5734665b-2298-5777-afc9-ac021678388c</x:v>
      </x:c>
      <x:c r="J158" s="19" t="str"/>
      <x:c r="K158" s="19" t="str"/>
      <x:c r="L158" s="18" t="str">
        <x:v>否</x:v>
      </x:c>
      <x:c r="M158" s="18" t="str">
        <x:v>否</x:v>
      </x:c>
      <x:c r="N158" s="18" t="str">
        <x:v>否</x:v>
      </x:c>
      <x:c r="O158" s="20" t="n">
        <x:v>1</x:v>
      </x:c>
      <x:c r="P158" s="19" t="str">
        <x:v>详见 Hub证据 页，按本 Hub 名称筛选</x:v>
      </x:c>
      <x:c r="Q15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58" s="19"/>
      <x:c r="S158" s="18" t="str">
        <x:v>东京多摩</x:v>
      </x:c>
      <x:c r="T158" s="20" t="n">
        <x:v>0</x:v>
      </x:c>
    </x:row>
    <x:row r="159" ht="33" customHeight="1">
      <x:c r="A159" s="19" t="str">
        <x:v>八丁堀</x:v>
      </x:c>
      <x:c r="B159" s="18" t="str">
        <x:v>T1</x:v>
      </x:c>
      <x:c r="C159" s="20" t="n">
        <x:v>2</x:v>
      </x:c>
      <x:c r="D159" s="20" t="n">
        <x:v>2</x:v>
      </x:c>
      <x:c r="E159" s="19" t="str">
        <x:v>有官方换乘依据</x:v>
      </x:c>
      <x:c r="F159" s="20" t="n">
        <x:v>0</x:v>
      </x:c>
      <x:c r="G159" s="19" t="str">
        <x:v>组件待审核</x:v>
      </x:c>
      <x:c r="H159" s="18" t="str">
        <x:v>HIGH_TIER_FOLLOWUP</x:v>
      </x:c>
      <x:c r="I159" s="18" t="str">
        <x:v>transport-hub-review:9b9f01b6-0b9f-5f3c-8088-ec7072a5ad31</x:v>
      </x:c>
      <x:c r="J159" s="19" t="str"/>
      <x:c r="K159" s="19" t="str"/>
      <x:c r="L159" s="18" t="str">
        <x:v>否</x:v>
      </x:c>
      <x:c r="M159" s="18" t="str">
        <x:v>否</x:v>
      </x:c>
      <x:c r="N159" s="18" t="str">
        <x:v>否</x:v>
      </x:c>
      <x:c r="O159" s="20" t="n">
        <x:v>1</x:v>
      </x:c>
      <x:c r="P159" s="19" t="str">
        <x:v>详见 Hub证据 页，按本 Hub 名称筛选</x:v>
      </x:c>
      <x:c r="Q159" s="19" t="str">
        <x:v>Officially designated station interchange; each physical station/operator/mode remains a distinct component. Review membership only; no formal/runtime acceptance.</x:v>
      </x:c>
      <x:c r="R159" s="19"/>
      <x:c r="S159" s="18" t="str">
        <x:v>东京23区</x:v>
      </x:c>
      <x:c r="T159" s="20" t="n">
        <x:v>0</x:v>
      </x:c>
    </x:row>
    <x:row r="160" ht="33" customHeight="1">
      <x:c r="A160" s="19" t="str">
        <x:v>飯田橋</x:v>
      </x:c>
      <x:c r="B160" s="18" t="str">
        <x:v>T1</x:v>
      </x:c>
      <x:c r="C160" s="20" t="n">
        <x:v>3</x:v>
      </x:c>
      <x:c r="D160" s="20" t="n">
        <x:v>3</x:v>
      </x:c>
      <x:c r="E160" s="19" t="str">
        <x:v>有官方换乘依据</x:v>
      </x:c>
      <x:c r="F160" s="20" t="n">
        <x:v>0</x:v>
      </x:c>
      <x:c r="G160" s="19" t="str">
        <x:v>组件待审核</x:v>
      </x:c>
      <x:c r="H160" s="18" t="str">
        <x:v>TOKYO_METRO_NETWORK</x:v>
      </x:c>
      <x:c r="I160" s="18" t="str">
        <x:v>transport-hub-review:69756f5d-baec-55b1-b45f-28b30f410284</x:v>
      </x:c>
      <x:c r="J160" s="19" t="str"/>
      <x:c r="K160" s="19" t="str"/>
      <x:c r="L160" s="18" t="str">
        <x:v>否</x:v>
      </x:c>
      <x:c r="M160" s="18" t="str">
        <x:v>否</x:v>
      </x:c>
      <x:c r="N160" s="18" t="str">
        <x:v>否</x:v>
      </x:c>
      <x:c r="O160" s="20" t="n">
        <x:v>1</x:v>
      </x:c>
      <x:c r="P160" s="19" t="str">
        <x:v>详见 Hub证据 页，按本 Hub 名称筛选</x:v>
      </x:c>
      <x:c r="Q160" s="19" t="str">
        <x:v>Official operator transfer guide defines the proposed interchange area. Each physical station/operator/mode stays separate.</x:v>
      </x:c>
      <x:c r="R160" s="19"/>
      <x:c r="S160" s="18" t="str">
        <x:v>东京23区</x:v>
      </x:c>
      <x:c r="T160" s="20" t="n">
        <x:v>0</x:v>
      </x:c>
    </x:row>
    <x:row r="161" ht="33" customHeight="1">
      <x:c r="A161" s="19" t="str">
        <x:v>肥後橋・渡辺橋</x:v>
      </x:c>
      <x:c r="B161" s="18" t="str">
        <x:v>T1</x:v>
      </x:c>
      <x:c r="C161" s="20" t="n">
        <x:v>2</x:v>
      </x:c>
      <x:c r="D161" s="20" t="n">
        <x:v>2</x:v>
      </x:c>
      <x:c r="E161" s="19" t="str">
        <x:v>有官方换乘依据</x:v>
      </x:c>
      <x:c r="F161" s="20" t="n">
        <x:v>0</x:v>
      </x:c>
      <x:c r="G161" s="19" t="str">
        <x:v>组件待审核</x:v>
      </x:c>
      <x:c r="H161" s="18" t="str">
        <x:v>OSAKA_METRO_NETWORK</x:v>
      </x:c>
      <x:c r="I161" s="18" t="str">
        <x:v>transport-hub-review:002a6dc1-2e3a-5593-86d9-510006dbbbf6</x:v>
      </x:c>
      <x:c r="J161" s="19" t="str"/>
      <x:c r="K161" s="19" t="str"/>
      <x:c r="L161" s="18" t="str">
        <x:v>否</x:v>
      </x:c>
      <x:c r="M161" s="18" t="str">
        <x:v>否</x:v>
      </x:c>
      <x:c r="N161" s="18" t="str">
        <x:v>否</x:v>
      </x:c>
      <x:c r="O161" s="20" t="n">
        <x:v>2</x:v>
      </x:c>
      <x:c r="P161" s="19" t="str">
        <x:v>详见 Hub证据 页，按本 Hub 名称筛选</x:v>
      </x:c>
      <x:c r="Q161" s="19" t="str">
        <x:v>Official operator transfer guide defines the proposed interchange area. Each physical station/operator/mode stays separate.</x:v>
      </x:c>
      <x:c r="R161" s="19"/>
      <x:c r="S161" s="18" t="str">
        <x:v>大阪圈</x:v>
      </x:c>
      <x:c r="T161" s="20" t="n">
        <x:v>0</x:v>
      </x:c>
    </x:row>
    <x:row r="162" ht="33" customHeight="1">
      <x:c r="A162" s="19" t="str">
        <x:v>尾張一宮・名鉄一宮</x:v>
      </x:c>
      <x:c r="B162" s="18" t="str">
        <x:v>T1</x:v>
      </x:c>
      <x:c r="C162" s="20" t="n">
        <x:v>2</x:v>
      </x:c>
      <x:c r="D162" s="20" t="n">
        <x:v>2</x:v>
      </x:c>
      <x:c r="E162" s="19" t="str">
        <x:v>有官方换乘依据</x:v>
      </x:c>
      <x:c r="F162" s="20" t="n">
        <x:v>0</x:v>
      </x:c>
      <x:c r="G162" s="19" t="str">
        <x:v>组件待审核</x:v>
      </x:c>
      <x:c r="H162" s="18" t="str">
        <x:v>HIGH_TIER_FOLLOWUP</x:v>
      </x:c>
      <x:c r="I162" s="18" t="str">
        <x:v>transport-hub-review:637cdbb7-038a-56cd-a587-93000979a03f</x:v>
      </x:c>
      <x:c r="J162" s="19" t="str"/>
      <x:c r="K162" s="19" t="str"/>
      <x:c r="L162" s="18" t="str">
        <x:v>否</x:v>
      </x:c>
      <x:c r="M162" s="18" t="str">
        <x:v>否</x:v>
      </x:c>
      <x:c r="N162" s="18" t="str">
        <x:v>否</x:v>
      </x:c>
      <x:c r="O162" s="20" t="n">
        <x:v>1</x:v>
      </x:c>
      <x:c r="P162" s="19" t="str">
        <x:v>详见 Hub证据 页，按本 Hub 名称筛选</x:v>
      </x:c>
      <x:c r="Q162" s="19" t="str">
        <x:v>Officially designated station interchange; each physical station/operator/mode remains a distinct component. Review membership only; no formal/runtime acceptance.</x:v>
      </x:c>
      <x:c r="R162" s="19"/>
      <x:c r="S162" s="18" t="str">
        <x:v>名古屋圈</x:v>
      </x:c>
      <x:c r="T162" s="20" t="n">
        <x:v>0</x:v>
      </x:c>
    </x:row>
    <x:row r="163" ht="47" customHeight="1">
      <x:c r="A163" s="19" t="str">
        <x:v>表参道</x:v>
      </x:c>
      <x:c r="B163" s="18" t="str">
        <x:v>T1</x:v>
      </x:c>
      <x:c r="C163" s="20" t="n">
        <x:v>1</x:v>
      </x:c>
      <x:c r="D163" s="20" t="n">
        <x:v>1</x:v>
      </x:c>
      <x:c r="E163" s="19" t="str">
        <x:v>有官方换乘依据</x:v>
      </x:c>
      <x:c r="F163" s="20" t="n">
        <x:v>0</x:v>
      </x:c>
      <x:c r="G163" s="19" t="str">
        <x:v>组件待审核</x:v>
      </x:c>
      <x:c r="H163" s="18" t="str">
        <x:v>NATIONAL_CITY_INTERCHANGE_EXPANSION</x:v>
      </x:c>
      <x:c r="I163" s="18" t="str">
        <x:v>transport-hub-review:4fbf4b7f-731c-5db0-b41d-a2fc3534bb63</x:v>
      </x:c>
      <x:c r="J163" s="19" t="str"/>
      <x:c r="K163" s="19" t="str"/>
      <x:c r="L163" s="18" t="str">
        <x:v>否</x:v>
      </x:c>
      <x:c r="M163" s="18" t="str">
        <x:v>否</x:v>
      </x:c>
      <x:c r="N163" s="18" t="str">
        <x:v>否</x:v>
      </x:c>
      <x:c r="O163" s="20" t="n">
        <x:v>1</x:v>
      </x:c>
      <x:c r="P163" s="19" t="str">
        <x:v>详见 Hub证据 页，按本 Hub 名称筛选</x:v>
      </x:c>
      <x:c r="Q16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63" s="19"/>
      <x:c r="S163" s="18" t="str">
        <x:v>东京23区</x:v>
      </x:c>
      <x:c r="T163" s="20" t="n">
        <x:v>0</x:v>
      </x:c>
    </x:row>
    <x:row r="164" ht="47" customHeight="1">
      <x:c r="A164" s="19" t="str">
        <x:v>武蔵境</x:v>
      </x:c>
      <x:c r="B164" s="18" t="str">
        <x:v>T1</x:v>
      </x:c>
      <x:c r="C164" s="20" t="n">
        <x:v>2</x:v>
      </x:c>
      <x:c r="D164" s="20" t="n">
        <x:v>2</x:v>
      </x:c>
      <x:c r="E164" s="19" t="str">
        <x:v>有官方换乘依据</x:v>
      </x:c>
      <x:c r="F164" s="20" t="n">
        <x:v>0</x:v>
      </x:c>
      <x:c r="G164" s="19" t="str">
        <x:v>组件待审核</x:v>
      </x:c>
      <x:c r="H164" s="18" t="str">
        <x:v>NATIONAL_CITY_INTERCHANGE_EXPANSION</x:v>
      </x:c>
      <x:c r="I164" s="18" t="str">
        <x:v>transport-hub-review:22a88e87-be13-59db-ab56-053c62c9fe6c</x:v>
      </x:c>
      <x:c r="J164" s="19" t="str"/>
      <x:c r="K164" s="19" t="str"/>
      <x:c r="L164" s="18" t="str">
        <x:v>否</x:v>
      </x:c>
      <x:c r="M164" s="18" t="str">
        <x:v>否</x:v>
      </x:c>
      <x:c r="N164" s="18" t="str">
        <x:v>否</x:v>
      </x:c>
      <x:c r="O164" s="20" t="n">
        <x:v>1</x:v>
      </x:c>
      <x:c r="P164" s="19" t="str">
        <x:v>详见 Hub证据 页，按本 Hub 名称筛选</x:v>
      </x:c>
      <x:c r="Q16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64" s="19"/>
      <x:c r="S164" s="18" t="str">
        <x:v>东京多摩</x:v>
      </x:c>
      <x:c r="T164" s="20" t="n">
        <x:v>0</x:v>
      </x:c>
    </x:row>
    <x:row r="165" ht="47" customHeight="1">
      <x:c r="A165" s="19" t="str">
        <x:v>伏見</x:v>
      </x:c>
      <x:c r="B165" s="18" t="str">
        <x:v>T1</x:v>
      </x:c>
      <x:c r="C165" s="20" t="n">
        <x:v>1</x:v>
      </x:c>
      <x:c r="D165" s="20" t="n">
        <x:v>1</x:v>
      </x:c>
      <x:c r="E165" s="19" t="str">
        <x:v>有官方换乘依据</x:v>
      </x:c>
      <x:c r="F165" s="20" t="n">
        <x:v>0</x:v>
      </x:c>
      <x:c r="G165" s="19" t="str">
        <x:v>组件待审核</x:v>
      </x:c>
      <x:c r="H165" s="18" t="str">
        <x:v>NATIONAL_CITY_INTERCHANGE_EXPANSION</x:v>
      </x:c>
      <x:c r="I165" s="18" t="str">
        <x:v>transport-hub-review:1cebb3c8-8961-5b01-b9b6-2ff9f45d7df7</x:v>
      </x:c>
      <x:c r="J165" s="19" t="str"/>
      <x:c r="K165" s="19" t="str"/>
      <x:c r="L165" s="18" t="str">
        <x:v>否</x:v>
      </x:c>
      <x:c r="M165" s="18" t="str">
        <x:v>否</x:v>
      </x:c>
      <x:c r="N165" s="18" t="str">
        <x:v>否</x:v>
      </x:c>
      <x:c r="O165" s="20" t="n">
        <x:v>1</x:v>
      </x:c>
      <x:c r="P165" s="19" t="str">
        <x:v>详见 Hub证据 页，按本 Hub 名称筛选</x:v>
      </x:c>
      <x:c r="Q16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65" s="19"/>
      <x:c r="S165" s="18" t="str">
        <x:v>名古屋圈</x:v>
      </x:c>
      <x:c r="T165" s="20" t="n">
        <x:v>0</x:v>
      </x:c>
    </x:row>
    <x:row r="166" ht="47" customHeight="1">
      <x:c r="A166" s="19" t="str">
        <x:v>分倍河原</x:v>
      </x:c>
      <x:c r="B166" s="18" t="str">
        <x:v>T1</x:v>
      </x:c>
      <x:c r="C166" s="20" t="n">
        <x:v>2</x:v>
      </x:c>
      <x:c r="D166" s="20" t="n">
        <x:v>2</x:v>
      </x:c>
      <x:c r="E166" s="19" t="str">
        <x:v>有官方换乘依据</x:v>
      </x:c>
      <x:c r="F166" s="20" t="n">
        <x:v>0</x:v>
      </x:c>
      <x:c r="G166" s="19" t="str">
        <x:v>组件待审核</x:v>
      </x:c>
      <x:c r="H166" s="18" t="str">
        <x:v>NATIONAL_CITY_INTERCHANGE_EXPANSION</x:v>
      </x:c>
      <x:c r="I166" s="18" t="str">
        <x:v>transport-hub-review:f172a853-f9f2-5328-b4d0-0b809f7ee6e4</x:v>
      </x:c>
      <x:c r="J166" s="19" t="str"/>
      <x:c r="K166" s="19" t="str"/>
      <x:c r="L166" s="18" t="str">
        <x:v>否</x:v>
      </x:c>
      <x:c r="M166" s="18" t="str">
        <x:v>否</x:v>
      </x:c>
      <x:c r="N166" s="18" t="str">
        <x:v>否</x:v>
      </x:c>
      <x:c r="O166" s="20" t="n">
        <x:v>1</x:v>
      </x:c>
      <x:c r="P166" s="19" t="str">
        <x:v>详见 Hub证据 页，按本 Hub 名称筛选</x:v>
      </x:c>
      <x:c r="Q16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66" s="19"/>
      <x:c r="S166" s="18" t="str">
        <x:v>东京多摩</x:v>
      </x:c>
      <x:c r="T166" s="20" t="n">
        <x:v>0</x:v>
      </x:c>
    </x:row>
    <x:row r="167" ht="33" customHeight="1">
      <x:c r="A167" s="19" t="str">
        <x:v>弁天町</x:v>
      </x:c>
      <x:c r="B167" s="18" t="str">
        <x:v>T1</x:v>
      </x:c>
      <x:c r="C167" s="20" t="n">
        <x:v>2</x:v>
      </x:c>
      <x:c r="D167" s="20" t="n">
        <x:v>2</x:v>
      </x:c>
      <x:c r="E167" s="19" t="str">
        <x:v>有官方换乘依据</x:v>
      </x:c>
      <x:c r="F167" s="20" t="n">
        <x:v>0</x:v>
      </x:c>
      <x:c r="G167" s="19" t="str">
        <x:v>组件待审核</x:v>
      </x:c>
      <x:c r="H167" s="18" t="str">
        <x:v>OSAKA_METRO_NETWORK</x:v>
      </x:c>
      <x:c r="I167" s="18" t="str">
        <x:v>transport-hub-review:eb0602f8-4871-5d61-a7f9-a188289a2842</x:v>
      </x:c>
      <x:c r="J167" s="19" t="str"/>
      <x:c r="K167" s="19" t="str"/>
      <x:c r="L167" s="18" t="str">
        <x:v>否</x:v>
      </x:c>
      <x:c r="M167" s="18" t="str">
        <x:v>否</x:v>
      </x:c>
      <x:c r="N167" s="18" t="str">
        <x:v>否</x:v>
      </x:c>
      <x:c r="O167" s="20" t="n">
        <x:v>2</x:v>
      </x:c>
      <x:c r="P167" s="19" t="str">
        <x:v>详见 Hub证据 页，按本 Hub 名称筛选</x:v>
      </x:c>
      <x:c r="Q167" s="19" t="str">
        <x:v>Official operator transfer guide defines the proposed interchange area. Each physical station/operator/mode stays separate.</x:v>
      </x:c>
      <x:c r="R167" s="19"/>
      <x:c r="S167" s="18" t="str">
        <x:v>大阪圈</x:v>
      </x:c>
      <x:c r="T167" s="20" t="n">
        <x:v>0</x:v>
      </x:c>
    </x:row>
    <x:row r="168" ht="33" customHeight="1">
      <x:c r="A168" s="19" t="str">
        <x:v>北浜</x:v>
      </x:c>
      <x:c r="B168" s="18" t="str">
        <x:v>T1</x:v>
      </x:c>
      <x:c r="C168" s="20" t="n">
        <x:v>2</x:v>
      </x:c>
      <x:c r="D168" s="20" t="n">
        <x:v>2</x:v>
      </x:c>
      <x:c r="E168" s="19" t="str">
        <x:v>有官方换乘依据</x:v>
      </x:c>
      <x:c r="F168" s="20" t="n">
        <x:v>0</x:v>
      </x:c>
      <x:c r="G168" s="19" t="str">
        <x:v>组件待审核</x:v>
      </x:c>
      <x:c r="H168" s="18" t="str">
        <x:v>OSAKA_METRO_NETWORK</x:v>
      </x:c>
      <x:c r="I168" s="18" t="str">
        <x:v>transport-hub-review:56eedd91-071a-5f28-aeea-64851d8f0484</x:v>
      </x:c>
      <x:c r="J168" s="19" t="str"/>
      <x:c r="K168" s="19" t="str"/>
      <x:c r="L168" s="18" t="str">
        <x:v>否</x:v>
      </x:c>
      <x:c r="M168" s="18" t="str">
        <x:v>否</x:v>
      </x:c>
      <x:c r="N168" s="18" t="str">
        <x:v>否</x:v>
      </x:c>
      <x:c r="O168" s="20" t="n">
        <x:v>2</x:v>
      </x:c>
      <x:c r="P168" s="19" t="str">
        <x:v>详见 Hub证据 页，按本 Hub 名称筛选</x:v>
      </x:c>
      <x:c r="Q168" s="19" t="str">
        <x:v>Official operator transfer guide defines the proposed interchange area. Each physical station/operator/mode stays separate.</x:v>
      </x:c>
      <x:c r="R168" s="19"/>
      <x:c r="S168" s="18" t="str">
        <x:v>大阪圈</x:v>
      </x:c>
      <x:c r="T168" s="20" t="n">
        <x:v>0</x:v>
      </x:c>
    </x:row>
    <x:row r="169" ht="33" customHeight="1">
      <x:c r="A169" s="19" t="str">
        <x:v>本郷三丁目</x:v>
      </x:c>
      <x:c r="B169" s="18" t="str">
        <x:v>T1</x:v>
      </x:c>
      <x:c r="C169" s="20" t="n">
        <x:v>2</x:v>
      </x:c>
      <x:c r="D169" s="20" t="n">
        <x:v>2</x:v>
      </x:c>
      <x:c r="E169" s="19" t="str">
        <x:v>有官方换乘依据</x:v>
      </x:c>
      <x:c r="F169" s="20" t="n">
        <x:v>0</x:v>
      </x:c>
      <x:c r="G169" s="19" t="str">
        <x:v>组件待审核</x:v>
      </x:c>
      <x:c r="H169" s="18" t="str">
        <x:v>HIGH_TIER_FOLLOWUP</x:v>
      </x:c>
      <x:c r="I169" s="18" t="str">
        <x:v>transport-hub-review:4fe40333-8cf9-5f0f-bc4f-92ff447e47d1</x:v>
      </x:c>
      <x:c r="J169" s="19" t="str"/>
      <x:c r="K169" s="19" t="str"/>
      <x:c r="L169" s="18" t="str">
        <x:v>否</x:v>
      </x:c>
      <x:c r="M169" s="18" t="str">
        <x:v>否</x:v>
      </x:c>
      <x:c r="N169" s="18" t="str">
        <x:v>否</x:v>
      </x:c>
      <x:c r="O169" s="20" t="n">
        <x:v>1</x:v>
      </x:c>
      <x:c r="P169" s="19" t="str">
        <x:v>详见 Hub证据 页，按本 Hub 名称筛选</x:v>
      </x:c>
      <x:c r="Q169" s="19" t="str">
        <x:v>Officially designated station interchange; each physical station/operator/mode remains a distinct component. Review membership only; no formal/runtime acceptance.</x:v>
      </x:c>
      <x:c r="R169" s="19"/>
      <x:c r="S169" s="18" t="str">
        <x:v>东京23区</x:v>
      </x:c>
      <x:c r="T169" s="20" t="n">
        <x:v>0</x:v>
      </x:c>
    </x:row>
    <x:row r="170" ht="33" customHeight="1">
      <x:c r="A170" s="19" t="str">
        <x:v>本八幡・京成八幡</x:v>
      </x:c>
      <x:c r="B170" s="18" t="str">
        <x:v>T1</x:v>
      </x:c>
      <x:c r="C170" s="20" t="n">
        <x:v>3</x:v>
      </x:c>
      <x:c r="D170" s="20" t="n">
        <x:v>3</x:v>
      </x:c>
      <x:c r="E170" s="19" t="str">
        <x:v>有官方换乘依据</x:v>
      </x:c>
      <x:c r="F170" s="20" t="n">
        <x:v>0</x:v>
      </x:c>
      <x:c r="G170" s="19" t="str">
        <x:v>组件待审核</x:v>
      </x:c>
      <x:c r="H170" s="18" t="str">
        <x:v>HIGH_TIER_FOLLOWUP</x:v>
      </x:c>
      <x:c r="I170" s="18" t="str">
        <x:v>transport-hub-review:87ae561e-eb2c-51b3-9089-0b7e4e77eec1</x:v>
      </x:c>
      <x:c r="J170" s="19" t="str"/>
      <x:c r="K170" s="19" t="str"/>
      <x:c r="L170" s="18" t="str">
        <x:v>否</x:v>
      </x:c>
      <x:c r="M170" s="18" t="str">
        <x:v>否</x:v>
      </x:c>
      <x:c r="N170" s="18" t="str">
        <x:v>否</x:v>
      </x:c>
      <x:c r="O170" s="20" t="n">
        <x:v>1</x:v>
      </x:c>
      <x:c r="P170" s="19" t="str">
        <x:v>详见 Hub证据 页，按本 Hub 名称筛选</x:v>
      </x:c>
      <x:c r="Q170" s="19" t="str">
        <x:v>Officially designated station interchange; each physical station/operator/mode remains a distinct component. Review membership only; no formal/runtime acceptance.</x:v>
      </x:c>
      <x:c r="R170" s="19"/>
      <x:c r="S170" s="18" t="str">
        <x:v>千叶圈</x:v>
      </x:c>
      <x:c r="T170" s="20" t="n">
        <x:v>0</x:v>
      </x:c>
    </x:row>
    <x:row r="171" ht="47" customHeight="1">
      <x:c r="A171" s="19" t="str">
        <x:v>明大前</x:v>
      </x:c>
      <x:c r="B171" s="18" t="str">
        <x:v>T1</x:v>
      </x:c>
      <x:c r="C171" s="20" t="n">
        <x:v>1</x:v>
      </x:c>
      <x:c r="D171" s="20" t="n">
        <x:v>1</x:v>
      </x:c>
      <x:c r="E171" s="19" t="str">
        <x:v>有官方换乘依据</x:v>
      </x:c>
      <x:c r="F171" s="20" t="n">
        <x:v>0</x:v>
      </x:c>
      <x:c r="G171" s="19" t="str">
        <x:v>组件待审核</x:v>
      </x:c>
      <x:c r="H171" s="18" t="str">
        <x:v>NATIONAL_CITY_INTERCHANGE_EXPANSION</x:v>
      </x:c>
      <x:c r="I171" s="18" t="str">
        <x:v>transport-hub-review:c7cb79fa-367b-5487-a7f4-af5803c541c1</x:v>
      </x:c>
      <x:c r="J171" s="19" t="str"/>
      <x:c r="K171" s="19" t="str"/>
      <x:c r="L171" s="18" t="str">
        <x:v>否</x:v>
      </x:c>
      <x:c r="M171" s="18" t="str">
        <x:v>否</x:v>
      </x:c>
      <x:c r="N171" s="18" t="str">
        <x:v>否</x:v>
      </x:c>
      <x:c r="O171" s="20" t="n">
        <x:v>1</x:v>
      </x:c>
      <x:c r="P171" s="19" t="str">
        <x:v>详见 Hub证据 页，按本 Hub 名称筛选</x:v>
      </x:c>
      <x:c r="Q17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71" s="19"/>
      <x:c r="S171" s="18" t="str">
        <x:v>东京23区</x:v>
      </x:c>
      <x:c r="T171" s="20" t="n">
        <x:v>0</x:v>
      </x:c>
    </x:row>
    <x:row r="172" ht="47" customHeight="1">
      <x:c r="A172" s="19" t="str">
        <x:v>姪浜</x:v>
      </x:c>
      <x:c r="B172" s="18" t="str">
        <x:v>T1</x:v>
      </x:c>
      <x:c r="C172" s="20" t="n">
        <x:v>2</x:v>
      </x:c>
      <x:c r="D172" s="20" t="n">
        <x:v>2</x:v>
      </x:c>
      <x:c r="E172" s="19" t="str">
        <x:v>有官方换乘依据</x:v>
      </x:c>
      <x:c r="F172" s="20" t="n">
        <x:v>0</x:v>
      </x:c>
      <x:c r="G172" s="19" t="str">
        <x:v>组件待审核</x:v>
      </x:c>
      <x:c r="H172" s="18" t="str">
        <x:v>NATIONAL_CITY_INTERCHANGE_EXPANSION</x:v>
      </x:c>
      <x:c r="I172" s="18" t="str">
        <x:v>transport-hub-review:3b9fef4e-c20c-5421-a812-4208fd956bbd</x:v>
      </x:c>
      <x:c r="J172" s="19" t="str"/>
      <x:c r="K172" s="19" t="str"/>
      <x:c r="L172" s="18" t="str">
        <x:v>否</x:v>
      </x:c>
      <x:c r="M172" s="18" t="str">
        <x:v>否</x:v>
      </x:c>
      <x:c r="N172" s="18" t="str">
        <x:v>否</x:v>
      </x:c>
      <x:c r="O172" s="20" t="n">
        <x:v>1</x:v>
      </x:c>
      <x:c r="P172" s="19" t="str">
        <x:v>详见 Hub证据 页，按本 Hub 名称筛选</x:v>
      </x:c>
      <x:c r="Q17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72" s="19"/>
      <x:c r="S172" s="18" t="str">
        <x:v>福冈</x:v>
      </x:c>
      <x:c r="T172" s="20" t="n">
        <x:v>0</x:v>
      </x:c>
    </x:row>
    <x:row r="173" ht="47" customHeight="1">
      <x:c r="A173" s="19" t="str">
        <x:v>門前仲町</x:v>
      </x:c>
      <x:c r="B173" s="18" t="str">
        <x:v>T1</x:v>
      </x:c>
      <x:c r="C173" s="20" t="n">
        <x:v>2</x:v>
      </x:c>
      <x:c r="D173" s="20" t="n">
        <x:v>2</x:v>
      </x:c>
      <x:c r="E173" s="19" t="str">
        <x:v>有官方换乘依据</x:v>
      </x:c>
      <x:c r="F173" s="20" t="n">
        <x:v>0</x:v>
      </x:c>
      <x:c r="G173" s="19" t="str">
        <x:v>组件待审核</x:v>
      </x:c>
      <x:c r="H173" s="18" t="str">
        <x:v>NATIONAL_CITY_INTERCHANGE_EXPANSION</x:v>
      </x:c>
      <x:c r="I173" s="18" t="str">
        <x:v>transport-hub-review:b0aa2835-4759-5524-8622-1aae0a54b910</x:v>
      </x:c>
      <x:c r="J173" s="19" t="str"/>
      <x:c r="K173" s="19" t="str"/>
      <x:c r="L173" s="18" t="str">
        <x:v>否</x:v>
      </x:c>
      <x:c r="M173" s="18" t="str">
        <x:v>否</x:v>
      </x:c>
      <x:c r="N173" s="18" t="str">
        <x:v>否</x:v>
      </x:c>
      <x:c r="O173" s="20" t="n">
        <x:v>1</x:v>
      </x:c>
      <x:c r="P173" s="19" t="str">
        <x:v>详见 Hub证据 页，按本 Hub 名称筛选</x:v>
      </x:c>
      <x:c r="Q17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73" s="19"/>
      <x:c r="S173" s="18" t="str">
        <x:v>东京23区</x:v>
      </x:c>
      <x:c r="T173" s="20" t="n">
        <x:v>0</x:v>
      </x:c>
    </x:row>
    <x:row r="174" ht="33" customHeight="1">
      <x:c r="A174" s="19" t="str">
        <x:v>流山おおたかの森</x:v>
      </x:c>
      <x:c r="B174" s="18" t="str">
        <x:v>T1</x:v>
      </x:c>
      <x:c r="C174" s="20" t="n">
        <x:v>2</x:v>
      </x:c>
      <x:c r="D174" s="20" t="n">
        <x:v>2</x:v>
      </x:c>
      <x:c r="E174" s="19" t="str">
        <x:v>有官方换乘依据</x:v>
      </x:c>
      <x:c r="F174" s="20" t="n">
        <x:v>0</x:v>
      </x:c>
      <x:c r="G174" s="19" t="str">
        <x:v>组件待审核</x:v>
      </x:c>
      <x:c r="H174" s="18" t="str">
        <x:v>HIGH_TIER_FOLLOWUP</x:v>
      </x:c>
      <x:c r="I174" s="18" t="str">
        <x:v>transport-hub-review:4928233a-8737-5cd8-b9e3-71c240212994</x:v>
      </x:c>
      <x:c r="J174" s="19" t="str"/>
      <x:c r="K174" s="19" t="str"/>
      <x:c r="L174" s="18" t="str">
        <x:v>否</x:v>
      </x:c>
      <x:c r="M174" s="18" t="str">
        <x:v>否</x:v>
      </x:c>
      <x:c r="N174" s="18" t="str">
        <x:v>否</x:v>
      </x:c>
      <x:c r="O174" s="20" t="n">
        <x:v>1</x:v>
      </x:c>
      <x:c r="P174" s="19" t="str">
        <x:v>详见 Hub证据 页，按本 Hub 名称筛选</x:v>
      </x:c>
      <x:c r="Q174" s="19" t="str">
        <x:v>Officially designated station interchange; each physical station/operator/mode remains a distinct component. Review membership only; no formal/runtime acceptance.</x:v>
      </x:c>
      <x:c r="R174" s="19"/>
      <x:c r="S174" s="18" t="str">
        <x:v>千叶圈</x:v>
      </x:c>
      <x:c r="T174" s="20" t="n">
        <x:v>0</x:v>
      </x:c>
    </x:row>
    <x:row r="175" ht="33" customHeight="1">
      <x:c r="A175" s="19" t="str">
        <x:v>溜池山王・国会議事堂前</x:v>
      </x:c>
      <x:c r="B175" s="18" t="str">
        <x:v>T1</x:v>
      </x:c>
      <x:c r="C175" s="20" t="n">
        <x:v>2</x:v>
      </x:c>
      <x:c r="D175" s="20" t="n">
        <x:v>1</x:v>
      </x:c>
      <x:c r="E175" s="19" t="str">
        <x:v>有官方换乘依据</x:v>
      </x:c>
      <x:c r="F175" s="20" t="n">
        <x:v>0</x:v>
      </x:c>
      <x:c r="G175" s="19" t="str">
        <x:v>组件待审核</x:v>
      </x:c>
      <x:c r="H175" s="18" t="str">
        <x:v>HIGH_TIER_FOLLOWUP</x:v>
      </x:c>
      <x:c r="I175" s="18" t="str">
        <x:v>transport-hub-review:8efae5b1-0839-5990-9c13-e93ed3118e39</x:v>
      </x:c>
      <x:c r="J175" s="19" t="str"/>
      <x:c r="K175" s="19" t="str"/>
      <x:c r="L175" s="18" t="str">
        <x:v>否</x:v>
      </x:c>
      <x:c r="M175" s="18" t="str">
        <x:v>否</x:v>
      </x:c>
      <x:c r="N175" s="18" t="str">
        <x:v>否</x:v>
      </x:c>
      <x:c r="O175" s="20" t="n">
        <x:v>1</x:v>
      </x:c>
      <x:c r="P175" s="19" t="str">
        <x:v>详见 Hub证据 页，按本 Hub 名称筛选</x:v>
      </x:c>
      <x:c r="Q175" s="19" t="str">
        <x:v>Officially designated station interchange; each physical station/operator/mode remains a distinct component. Review membership only; no formal/runtime acceptance.</x:v>
      </x:c>
      <x:c r="R175" s="19"/>
      <x:c r="S175" s="18" t="str">
        <x:v>东京23区</x:v>
      </x:c>
      <x:c r="T175" s="20" t="n">
        <x:v>0</x:v>
      </x:c>
    </x:row>
    <x:row r="176" ht="33" customHeight="1">
      <x:c r="A176" s="19" t="str">
        <x:v>練馬</x:v>
      </x:c>
      <x:c r="B176" s="18" t="str">
        <x:v>T1</x:v>
      </x:c>
      <x:c r="C176" s="20" t="n">
        <x:v>2</x:v>
      </x:c>
      <x:c r="D176" s="20" t="n">
        <x:v>2</x:v>
      </x:c>
      <x:c r="E176" s="19" t="str">
        <x:v>有官方换乘依据</x:v>
      </x:c>
      <x:c r="F176" s="20" t="n">
        <x:v>0</x:v>
      </x:c>
      <x:c r="G176" s="19" t="str">
        <x:v>组件待审核</x:v>
      </x:c>
      <x:c r="H176" s="18" t="str">
        <x:v>TOKYO_SEIBU_NETWORK</x:v>
      </x:c>
      <x:c r="I176" s="18" t="str">
        <x:v>transport-hub-review:ff5c321d-663a-5910-87fd-ff022d88d50e</x:v>
      </x:c>
      <x:c r="J176" s="19" t="str"/>
      <x:c r="K176" s="19" t="str"/>
      <x:c r="L176" s="18" t="str">
        <x:v>否</x:v>
      </x:c>
      <x:c r="M176" s="18" t="str">
        <x:v>否</x:v>
      </x:c>
      <x:c r="N176" s="18" t="str">
        <x:v>否</x:v>
      </x:c>
      <x:c r="O176" s="20" t="n">
        <x:v>1</x:v>
      </x:c>
      <x:c r="P176" s="19" t="str">
        <x:v>详见 Hub证据 页，按本 Hub 名称筛选</x:v>
      </x:c>
      <x:c r="Q176" s="19" t="str">
        <x:v>Official operator transfer guide defines the proposed interchange area. Each physical station/operator/mode stays separate.</x:v>
      </x:c>
      <x:c r="R176" s="19"/>
      <x:c r="S176" s="18" t="str">
        <x:v>东京23区</x:v>
      </x:c>
      <x:c r="T176" s="20" t="n">
        <x:v>0</x:v>
      </x:c>
    </x:row>
    <x:row r="177" ht="33" customHeight="1">
      <x:c r="A177" s="19" t="str">
        <x:v>六本木</x:v>
      </x:c>
      <x:c r="B177" s="18" t="str">
        <x:v>T1</x:v>
      </x:c>
      <x:c r="C177" s="20" t="n">
        <x:v>2</x:v>
      </x:c>
      <x:c r="D177" s="20" t="n">
        <x:v>2</x:v>
      </x:c>
      <x:c r="E177" s="19" t="str">
        <x:v>有官方换乘依据</x:v>
      </x:c>
      <x:c r="F177" s="20" t="n">
        <x:v>0</x:v>
      </x:c>
      <x:c r="G177" s="19" t="str">
        <x:v>组件待审核</x:v>
      </x:c>
      <x:c r="H177" s="18" t="str">
        <x:v>HIGH_TIER_FOLLOWUP</x:v>
      </x:c>
      <x:c r="I177" s="18" t="str">
        <x:v>transport-hub-review:18d61ce3-89cb-5aaa-a558-e58a9a1e3e84</x:v>
      </x:c>
      <x:c r="J177" s="19" t="str"/>
      <x:c r="K177" s="19" t="str"/>
      <x:c r="L177" s="18" t="str">
        <x:v>否</x:v>
      </x:c>
      <x:c r="M177" s="18" t="str">
        <x:v>否</x:v>
      </x:c>
      <x:c r="N177" s="18" t="str">
        <x:v>否</x:v>
      </x:c>
      <x:c r="O177" s="20" t="n">
        <x:v>1</x:v>
      </x:c>
      <x:c r="P177" s="19" t="str">
        <x:v>详见 Hub证据 页，按本 Hub 名称筛选</x:v>
      </x:c>
      <x:c r="Q177" s="19" t="str">
        <x:v>Officially designated station interchange; each physical station/operator/mode remains a distinct component. Review membership only; no formal/runtime acceptance.</x:v>
      </x:c>
      <x:c r="R177" s="19"/>
      <x:c r="S177" s="18" t="str">
        <x:v>东京23区</x:v>
      </x:c>
      <x:c r="T177" s="20" t="n">
        <x:v>0</x:v>
      </x:c>
    </x:row>
    <x:row r="178" ht="33" customHeight="1">
      <x:c r="A178" s="19" t="str">
        <x:v>コスモスクエア</x:v>
      </x:c>
      <x:c r="B178" s="18" t="str">
        <x:v>T2</x:v>
      </x:c>
      <x:c r="C178" s="20" t="n">
        <x:v>2</x:v>
      </x:c>
      <x:c r="D178" s="20" t="n">
        <x:v>1</x:v>
      </x:c>
      <x:c r="E178" s="19" t="str">
        <x:v>有官方换乘依据</x:v>
      </x:c>
      <x:c r="F178" s="20" t="n">
        <x:v>0</x:v>
      </x:c>
      <x:c r="G178" s="19" t="str">
        <x:v>组件待审核</x:v>
      </x:c>
      <x:c r="H178" s="18" t="str">
        <x:v>OSAKA_METRO_NETWORK</x:v>
      </x:c>
      <x:c r="I178" s="18" t="str">
        <x:v>transport-hub-review:be0d5534-6c38-573c-ad71-f477715e2b14</x:v>
      </x:c>
      <x:c r="J178" s="19" t="str"/>
      <x:c r="K178" s="19" t="str"/>
      <x:c r="L178" s="18" t="str">
        <x:v>否</x:v>
      </x:c>
      <x:c r="M178" s="18" t="str">
        <x:v>否</x:v>
      </x:c>
      <x:c r="N178" s="18" t="str">
        <x:v>否</x:v>
      </x:c>
      <x:c r="O178" s="20" t="n">
        <x:v>2</x:v>
      </x:c>
      <x:c r="P178" s="19" t="str">
        <x:v>详见 Hub证据 页，按本 Hub 名称筛选</x:v>
      </x:c>
      <x:c r="Q178" s="19" t="str">
        <x:v>Official operator transfer guide defines the proposed interchange area. Each physical station/operator/mode stays separate.</x:v>
      </x:c>
      <x:c r="R178" s="19"/>
      <x:c r="S178" s="18" t="str">
        <x:v>大阪圈</x:v>
      </x:c>
      <x:c r="T178" s="20" t="n">
        <x:v>0</x:v>
      </x:c>
    </x:row>
    <x:row r="179" ht="47" customHeight="1">
      <x:c r="A179" s="19" t="str">
        <x:v>すすきの</x:v>
      </x:c>
      <x:c r="B179" s="18" t="str">
        <x:v>T2</x:v>
      </x:c>
      <x:c r="C179" s="20" t="n">
        <x:v>2</x:v>
      </x:c>
      <x:c r="D179" s="20" t="n">
        <x:v>2</x:v>
      </x:c>
      <x:c r="E179" s="19" t="str">
        <x:v>有官方换乘依据</x:v>
      </x:c>
      <x:c r="F179" s="20" t="n">
        <x:v>0</x:v>
      </x:c>
      <x:c r="G179" s="19" t="str">
        <x:v>组件待审核</x:v>
      </x:c>
      <x:c r="H179" s="18" t="str">
        <x:v>NATIONAL_CITY_INTERCHANGE_EXPANSION</x:v>
      </x:c>
      <x:c r="I179" s="18" t="str">
        <x:v>transport-hub-review:adcf37b5-db00-59d6-8503-e542fe151a53</x:v>
      </x:c>
      <x:c r="J179" s="19" t="str"/>
      <x:c r="K179" s="19" t="str"/>
      <x:c r="L179" s="18" t="str">
        <x:v>否</x:v>
      </x:c>
      <x:c r="M179" s="18" t="str">
        <x:v>否</x:v>
      </x:c>
      <x:c r="N179" s="18" t="str">
        <x:v>否</x:v>
      </x:c>
      <x:c r="O179" s="20" t="n">
        <x:v>1</x:v>
      </x:c>
      <x:c r="P179" s="19" t="str">
        <x:v>详见 Hub证据 页，按本 Hub 名称筛选</x:v>
      </x:c>
      <x:c r="Q17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79" s="19"/>
      <x:c r="S179" s="18" t="str">
        <x:v>札幌</x:v>
      </x:c>
      <x:c r="T179" s="20" t="n">
        <x:v>0</x:v>
      </x:c>
    </x:row>
    <x:row r="180" ht="33" customHeight="1">
      <x:c r="A180" s="19" t="str">
        <x:v>ドーム前千代崎・ドーム前</x:v>
      </x:c>
      <x:c r="B180" s="18" t="str">
        <x:v>T2</x:v>
      </x:c>
      <x:c r="C180" s="20" t="n">
        <x:v>2</x:v>
      </x:c>
      <x:c r="D180" s="20" t="n">
        <x:v>2</x:v>
      </x:c>
      <x:c r="E180" s="19" t="str">
        <x:v>有官方换乘依据</x:v>
      </x:c>
      <x:c r="F180" s="20" t="n">
        <x:v>0</x:v>
      </x:c>
      <x:c r="G180" s="19" t="str">
        <x:v>组件待审核</x:v>
      </x:c>
      <x:c r="H180" s="18" t="str">
        <x:v>OSAKA_METRO_NETWORK</x:v>
      </x:c>
      <x:c r="I180" s="18" t="str">
        <x:v>transport-hub-review:3440e1e0-6b65-5267-a74e-92c58a4d076e</x:v>
      </x:c>
      <x:c r="J180" s="19" t="str"/>
      <x:c r="K180" s="19" t="str"/>
      <x:c r="L180" s="18" t="str">
        <x:v>否</x:v>
      </x:c>
      <x:c r="M180" s="18" t="str">
        <x:v>否</x:v>
      </x:c>
      <x:c r="N180" s="18" t="str">
        <x:v>否</x:v>
      </x:c>
      <x:c r="O180" s="20" t="n">
        <x:v>2</x:v>
      </x:c>
      <x:c r="P180" s="19" t="str">
        <x:v>详见 Hub证据 页，按本 Hub 名称筛选</x:v>
      </x:c>
      <x:c r="Q180" s="19" t="str">
        <x:v>Official operator transfer guide defines the proposed interchange area. Each physical station/operator/mode stays separate.</x:v>
      </x:c>
      <x:c r="R180" s="19"/>
      <x:c r="S180" s="18" t="str">
        <x:v>大阪圈</x:v>
      </x:c>
      <x:c r="T180" s="20" t="n">
        <x:v>0</x:v>
      </x:c>
    </x:row>
    <x:row r="181" ht="47" customHeight="1">
      <x:c r="A181" s="19" t="str">
        <x:v>ナゴヤドーム前矢田</x:v>
      </x:c>
      <x:c r="B181" s="18" t="str">
        <x:v>T2</x:v>
      </x:c>
      <x:c r="C181" s="20" t="n">
        <x:v>2</x:v>
      </x:c>
      <x:c r="D181" s="20" t="n">
        <x:v>2</x:v>
      </x:c>
      <x:c r="E181" s="19" t="str">
        <x:v>有官方换乘依据</x:v>
      </x:c>
      <x:c r="F181" s="20" t="n">
        <x:v>0</x:v>
      </x:c>
      <x:c r="G181" s="19" t="str">
        <x:v>组件待审核</x:v>
      </x:c>
      <x:c r="H181" s="18" t="str">
        <x:v>NATIONAL_CITY_INTERCHANGE_EXPANSION</x:v>
      </x:c>
      <x:c r="I181" s="18" t="str">
        <x:v>transport-hub-review:5aa97137-51b7-5fd0-8a8f-5c600ff2f6f4</x:v>
      </x:c>
      <x:c r="J181" s="19" t="str"/>
      <x:c r="K181" s="19" t="str"/>
      <x:c r="L181" s="18" t="str">
        <x:v>否</x:v>
      </x:c>
      <x:c r="M181" s="18" t="str">
        <x:v>否</x:v>
      </x:c>
      <x:c r="N181" s="18" t="str">
        <x:v>否</x:v>
      </x:c>
      <x:c r="O181" s="20" t="n">
        <x:v>1</x:v>
      </x:c>
      <x:c r="P181" s="19" t="str">
        <x:v>详见 Hub证据 页，按本 Hub 名称筛选</x:v>
      </x:c>
      <x:c r="Q18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1" s="19"/>
      <x:c r="S181" s="18" t="str">
        <x:v>名古屋圈</x:v>
      </x:c>
      <x:c r="T181" s="20" t="n">
        <x:v>0</x:v>
      </x:c>
    </x:row>
    <x:row r="182" ht="33" customHeight="1">
      <x:c r="A182" s="19" t="str">
        <x:v>阿波座</x:v>
      </x:c>
      <x:c r="B182" s="18" t="str">
        <x:v>T2</x:v>
      </x:c>
      <x:c r="C182" s="20" t="n">
        <x:v>1</x:v>
      </x:c>
      <x:c r="D182" s="20" t="n">
        <x:v>1</x:v>
      </x:c>
      <x:c r="E182" s="19" t="str">
        <x:v>有官方换乘依据</x:v>
      </x:c>
      <x:c r="F182" s="20" t="n">
        <x:v>0</x:v>
      </x:c>
      <x:c r="G182" s="19" t="str">
        <x:v>组件待审核</x:v>
      </x:c>
      <x:c r="H182" s="18" t="str">
        <x:v>OSAKA_METRO_NETWORK</x:v>
      </x:c>
      <x:c r="I182" s="18" t="str">
        <x:v>transport-hub-review:e23736d8-ea90-5968-83ad-a01aa8096b1d</x:v>
      </x:c>
      <x:c r="J182" s="19" t="str"/>
      <x:c r="K182" s="19" t="str"/>
      <x:c r="L182" s="18" t="str">
        <x:v>否</x:v>
      </x:c>
      <x:c r="M182" s="18" t="str">
        <x:v>否</x:v>
      </x:c>
      <x:c r="N182" s="18" t="str">
        <x:v>否</x:v>
      </x:c>
      <x:c r="O182" s="20" t="n">
        <x:v>2</x:v>
      </x:c>
      <x:c r="P182" s="19" t="str">
        <x:v>详见 Hub证据 页，按本 Hub 名称筛选</x:v>
      </x:c>
      <x:c r="Q182" s="19" t="str">
        <x:v>Official operator transfer guide defines the proposed interchange area. Each physical station/operator/mode stays separate.</x:v>
      </x:c>
      <x:c r="R182" s="19"/>
      <x:c r="S182" s="18" t="str">
        <x:v>大阪圈</x:v>
      </x:c>
      <x:c r="T182" s="20" t="n">
        <x:v>0</x:v>
      </x:c>
    </x:row>
    <x:row r="183" ht="47" customHeight="1">
      <x:c r="A183" s="19" t="str">
        <x:v>伊勢市</x:v>
      </x:c>
      <x:c r="B183" s="18" t="str">
        <x:v>T2</x:v>
      </x:c>
      <x:c r="C183" s="20" t="n">
        <x:v>2</x:v>
      </x:c>
      <x:c r="D183" s="20" t="n">
        <x:v>2</x:v>
      </x:c>
      <x:c r="E183" s="19" t="str">
        <x:v>有官方换乘依据</x:v>
      </x:c>
      <x:c r="F183" s="20" t="n">
        <x:v>0</x:v>
      </x:c>
      <x:c r="G183" s="19" t="str">
        <x:v>组件待审核</x:v>
      </x:c>
      <x:c r="H183" s="18" t="str">
        <x:v>NATIONAL_CITY_INTERCHANGE_EXPANSION</x:v>
      </x:c>
      <x:c r="I183" s="18" t="str">
        <x:v>transport-hub-review:367ceb13-25f3-5c01-8967-6860bfcf38aa</x:v>
      </x:c>
      <x:c r="J183" s="19" t="str"/>
      <x:c r="K183" s="19" t="str"/>
      <x:c r="L183" s="18" t="str">
        <x:v>否</x:v>
      </x:c>
      <x:c r="M183" s="18" t="str">
        <x:v>否</x:v>
      </x:c>
      <x:c r="N183" s="18" t="str">
        <x:v>否</x:v>
      </x:c>
      <x:c r="O183" s="20" t="n">
        <x:v>1</x:v>
      </x:c>
      <x:c r="P183" s="19" t="str">
        <x:v>详见 Hub证据 页，按本 Hub 名称筛选</x:v>
      </x:c>
      <x:c r="Q18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3" s="19"/>
      <x:c r="S183" s="18" t="str">
        <x:v>三重主要城市</x:v>
      </x:c>
      <x:c r="T183" s="20" t="n">
        <x:v>0</x:v>
      </x:c>
    </x:row>
    <x:row r="184" ht="47" customHeight="1">
      <x:c r="A184" s="19" t="str">
        <x:v>永山</x:v>
      </x:c>
      <x:c r="B184" s="18" t="str">
        <x:v>T2</x:v>
      </x:c>
      <x:c r="C184" s="20" t="n">
        <x:v>2</x:v>
      </x:c>
      <x:c r="D184" s="20" t="n">
        <x:v>2</x:v>
      </x:c>
      <x:c r="E184" s="19" t="str">
        <x:v>有官方换乘依据</x:v>
      </x:c>
      <x:c r="F184" s="20" t="n">
        <x:v>0</x:v>
      </x:c>
      <x:c r="G184" s="19" t="str">
        <x:v>组件待审核</x:v>
      </x:c>
      <x:c r="H184" s="18" t="str">
        <x:v>NATIONAL_CITY_INTERCHANGE_EXPANSION</x:v>
      </x:c>
      <x:c r="I184" s="18" t="str">
        <x:v>transport-hub-review:f0a76c74-ad31-5fae-91d6-c6b7da6e0a2e</x:v>
      </x:c>
      <x:c r="J184" s="19" t="str"/>
      <x:c r="K184" s="19" t="str"/>
      <x:c r="L184" s="18" t="str">
        <x:v>否</x:v>
      </x:c>
      <x:c r="M184" s="18" t="str">
        <x:v>否</x:v>
      </x:c>
      <x:c r="N184" s="18" t="str">
        <x:v>否</x:v>
      </x:c>
      <x:c r="O184" s="20" t="n">
        <x:v>1</x:v>
      </x:c>
      <x:c r="P184" s="19" t="str">
        <x:v>详见 Hub证据 页，按本 Hub 名称筛选</x:v>
      </x:c>
      <x:c r="Q18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4" s="19"/>
      <x:c r="S184" s="18" t="str">
        <x:v>东京多摩</x:v>
      </x:c>
      <x:c r="T184" s="20" t="n">
        <x:v>0</x:v>
      </x:c>
    </x:row>
    <x:row r="185" ht="47" customHeight="1">
      <x:c r="A185" s="19" t="str">
        <x:v>下高井戸</x:v>
      </x:c>
      <x:c r="B185" s="18" t="str">
        <x:v>T2</x:v>
      </x:c>
      <x:c r="C185" s="20" t="n">
        <x:v>2</x:v>
      </x:c>
      <x:c r="D185" s="20" t="n">
        <x:v>2</x:v>
      </x:c>
      <x:c r="E185" s="19" t="str">
        <x:v>有官方换乘依据</x:v>
      </x:c>
      <x:c r="F185" s="20" t="n">
        <x:v>0</x:v>
      </x:c>
      <x:c r="G185" s="19" t="str">
        <x:v>组件待审核</x:v>
      </x:c>
      <x:c r="H185" s="18" t="str">
        <x:v>NATIONAL_CITY_INTERCHANGE_EXPANSION</x:v>
      </x:c>
      <x:c r="I185" s="18" t="str">
        <x:v>transport-hub-review:f5cd0b59-6549-5ff3-a9a6-cd804791e792</x:v>
      </x:c>
      <x:c r="J185" s="19" t="str"/>
      <x:c r="K185" s="19" t="str"/>
      <x:c r="L185" s="18" t="str">
        <x:v>否</x:v>
      </x:c>
      <x:c r="M185" s="18" t="str">
        <x:v>否</x:v>
      </x:c>
      <x:c r="N185" s="18" t="str">
        <x:v>否</x:v>
      </x:c>
      <x:c r="O185" s="20" t="n">
        <x:v>1</x:v>
      </x:c>
      <x:c r="P185" s="19" t="str">
        <x:v>详见 Hub证据 页，按本 Hub 名称筛选</x:v>
      </x:c>
      <x:c r="Q18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5" s="19"/>
      <x:c r="S185" s="18" t="str">
        <x:v>东京23区</x:v>
      </x:c>
      <x:c r="T185" s="20" t="n">
        <x:v>0</x:v>
      </x:c>
    </x:row>
    <x:row r="186" ht="47" customHeight="1">
      <x:c r="A186" s="19" t="str">
        <x:v>貝塚</x:v>
      </x:c>
      <x:c r="B186" s="18" t="str">
        <x:v>T2</x:v>
      </x:c>
      <x:c r="C186" s="20" t="n">
        <x:v>2</x:v>
      </x:c>
      <x:c r="D186" s="20" t="n">
        <x:v>2</x:v>
      </x:c>
      <x:c r="E186" s="19" t="str">
        <x:v>有官方换乘依据</x:v>
      </x:c>
      <x:c r="F186" s="20" t="n">
        <x:v>0</x:v>
      </x:c>
      <x:c r="G186" s="19" t="str">
        <x:v>组件待审核</x:v>
      </x:c>
      <x:c r="H186" s="18" t="str">
        <x:v>NATIONAL_CITY_INTERCHANGE_EXPANSION</x:v>
      </x:c>
      <x:c r="I186" s="18" t="str">
        <x:v>transport-hub-review:21aad31b-9b8c-5977-984d-980d0cc4cbad</x:v>
      </x:c>
      <x:c r="J186" s="19" t="str"/>
      <x:c r="K186" s="19" t="str"/>
      <x:c r="L186" s="18" t="str">
        <x:v>否</x:v>
      </x:c>
      <x:c r="M186" s="18" t="str">
        <x:v>否</x:v>
      </x:c>
      <x:c r="N186" s="18" t="str">
        <x:v>否</x:v>
      </x:c>
      <x:c r="O186" s="20" t="n">
        <x:v>1</x:v>
      </x:c>
      <x:c r="P186" s="19" t="str">
        <x:v>详见 Hub证据 页，按本 Hub 名称筛选</x:v>
      </x:c>
      <x:c r="Q18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6" s="19"/>
      <x:c r="S186" s="18" t="str">
        <x:v>福冈</x:v>
      </x:c>
      <x:c r="T186" s="20" t="n">
        <x:v>0</x:v>
      </x:c>
    </x:row>
    <x:row r="187" ht="47" customHeight="1">
      <x:c r="A187" s="19" t="str">
        <x:v>橿原神宮前</x:v>
      </x:c>
      <x:c r="B187" s="18" t="str">
        <x:v>T2</x:v>
      </x:c>
      <x:c r="C187" s="20" t="n">
        <x:v>1</x:v>
      </x:c>
      <x:c r="D187" s="20" t="n">
        <x:v>1</x:v>
      </x:c>
      <x:c r="E187" s="19" t="str">
        <x:v>有官方换乘依据</x:v>
      </x:c>
      <x:c r="F187" s="20" t="n">
        <x:v>0</x:v>
      </x:c>
      <x:c r="G187" s="19" t="str">
        <x:v>组件待审核</x:v>
      </x:c>
      <x:c r="H187" s="18" t="str">
        <x:v>NATIONAL_CITY_INTERCHANGE_EXPANSION</x:v>
      </x:c>
      <x:c r="I187" s="18" t="str">
        <x:v>transport-hub-review:3013abdd-f9b3-5786-b0dc-d8027c59d4d8</x:v>
      </x:c>
      <x:c r="J187" s="19" t="str"/>
      <x:c r="K187" s="19" t="str"/>
      <x:c r="L187" s="18" t="str">
        <x:v>否</x:v>
      </x:c>
      <x:c r="M187" s="18" t="str">
        <x:v>否</x:v>
      </x:c>
      <x:c r="N187" s="18" t="str">
        <x:v>否</x:v>
      </x:c>
      <x:c r="O187" s="20" t="n">
        <x:v>1</x:v>
      </x:c>
      <x:c r="P187" s="19" t="str">
        <x:v>详见 Hub证据 页，按本 Hub 名称筛选</x:v>
      </x:c>
      <x:c r="Q18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87" s="19"/>
      <x:c r="S187" s="18" t="str">
        <x:v>奈良</x:v>
      </x:c>
      <x:c r="T187" s="20" t="n">
        <x:v>0</x:v>
      </x:c>
    </x:row>
    <x:row r="188" ht="33" customHeight="1">
      <x:c r="A188" s="19" t="str">
        <x:v>蒲生四丁目</x:v>
      </x:c>
      <x:c r="B188" s="18" t="str">
        <x:v>T2</x:v>
      </x:c>
      <x:c r="C188" s="20" t="n">
        <x:v>1</x:v>
      </x:c>
      <x:c r="D188" s="20" t="n">
        <x:v>1</x:v>
      </x:c>
      <x:c r="E188" s="19" t="str">
        <x:v>有官方换乘依据</x:v>
      </x:c>
      <x:c r="F188" s="20" t="n">
        <x:v>0</x:v>
      </x:c>
      <x:c r="G188" s="19" t="str">
        <x:v>组件待审核</x:v>
      </x:c>
      <x:c r="H188" s="18" t="str">
        <x:v>OSAKA_METRO_NETWORK</x:v>
      </x:c>
      <x:c r="I188" s="18" t="str">
        <x:v>transport-hub-review:4bd410bb-0446-5c07-9350-78c4d9fd47f7</x:v>
      </x:c>
      <x:c r="J188" s="19" t="str"/>
      <x:c r="K188" s="19" t="str"/>
      <x:c r="L188" s="18" t="str">
        <x:v>否</x:v>
      </x:c>
      <x:c r="M188" s="18" t="str">
        <x:v>否</x:v>
      </x:c>
      <x:c r="N188" s="18" t="str">
        <x:v>否</x:v>
      </x:c>
      <x:c r="O188" s="20" t="n">
        <x:v>2</x:v>
      </x:c>
      <x:c r="P188" s="19" t="str">
        <x:v>详见 Hub证据 页，按本 Hub 名称筛选</x:v>
      </x:c>
      <x:c r="Q188" s="19" t="str">
        <x:v>Official operator transfer guide defines the proposed interchange area. Each physical station/operator/mode stays separate.</x:v>
      </x:c>
      <x:c r="R188" s="19"/>
      <x:c r="S188" s="18" t="str">
        <x:v>大阪圈</x:v>
      </x:c>
      <x:c r="T188" s="20" t="n">
        <x:v>0</x:v>
      </x:c>
    </x:row>
    <x:row r="189" ht="33" customHeight="1">
      <x:c r="A189" s="19" t="str">
        <x:v>関目成育・関目</x:v>
      </x:c>
      <x:c r="B189" s="18" t="str">
        <x:v>T2</x:v>
      </x:c>
      <x:c r="C189" s="20" t="n">
        <x:v>2</x:v>
      </x:c>
      <x:c r="D189" s="20" t="n">
        <x:v>2</x:v>
      </x:c>
      <x:c r="E189" s="19" t="str">
        <x:v>有官方换乘依据</x:v>
      </x:c>
      <x:c r="F189" s="20" t="n">
        <x:v>0</x:v>
      </x:c>
      <x:c r="G189" s="19" t="str">
        <x:v>组件待审核</x:v>
      </x:c>
      <x:c r="H189" s="18" t="str">
        <x:v>OSAKA_METRO_NETWORK</x:v>
      </x:c>
      <x:c r="I189" s="18" t="str">
        <x:v>transport-hub-review:65d11cc0-869c-548f-94cc-ac3987a34b34</x:v>
      </x:c>
      <x:c r="J189" s="19" t="str"/>
      <x:c r="K189" s="19" t="str"/>
      <x:c r="L189" s="18" t="str">
        <x:v>否</x:v>
      </x:c>
      <x:c r="M189" s="18" t="str">
        <x:v>否</x:v>
      </x:c>
      <x:c r="N189" s="18" t="str">
        <x:v>否</x:v>
      </x:c>
      <x:c r="O189" s="20" t="n">
        <x:v>2</x:v>
      </x:c>
      <x:c r="P189" s="19" t="str">
        <x:v>详见 Hub证据 页，按本 Hub 名称筛选</x:v>
      </x:c>
      <x:c r="Q189" s="19" t="str">
        <x:v>Official operator transfer guide defines the proposed interchange area. Each physical station/operator/mode stays separate.</x:v>
      </x:c>
      <x:c r="R189" s="19"/>
      <x:c r="S189" s="18" t="str">
        <x:v>大阪圈</x:v>
      </x:c>
      <x:c r="T189" s="20" t="n">
        <x:v>0</x:v>
      </x:c>
    </x:row>
    <x:row r="190" ht="47" customHeight="1">
      <x:c r="A190" s="19" t="str">
        <x:v>丸の内</x:v>
      </x:c>
      <x:c r="B190" s="18" t="str">
        <x:v>T2</x:v>
      </x:c>
      <x:c r="C190" s="20" t="n">
        <x:v>1</x:v>
      </x:c>
      <x:c r="D190" s="20" t="n">
        <x:v>1</x:v>
      </x:c>
      <x:c r="E190" s="19" t="str">
        <x:v>有官方换乘依据</x:v>
      </x:c>
      <x:c r="F190" s="20" t="n">
        <x:v>0</x:v>
      </x:c>
      <x:c r="G190" s="19" t="str">
        <x:v>组件待审核</x:v>
      </x:c>
      <x:c r="H190" s="18" t="str">
        <x:v>NATIONAL_CITY_INTERCHANGE_EXPANSION</x:v>
      </x:c>
      <x:c r="I190" s="18" t="str">
        <x:v>transport-hub-review:d30709d0-2b2a-587d-bc53-dff2a66aa7ab</x:v>
      </x:c>
      <x:c r="J190" s="19" t="str"/>
      <x:c r="K190" s="19" t="str"/>
      <x:c r="L190" s="18" t="str">
        <x:v>否</x:v>
      </x:c>
      <x:c r="M190" s="18" t="str">
        <x:v>否</x:v>
      </x:c>
      <x:c r="N190" s="18" t="str">
        <x:v>否</x:v>
      </x:c>
      <x:c r="O190" s="20" t="n">
        <x:v>1</x:v>
      </x:c>
      <x:c r="P190" s="19" t="str">
        <x:v>详见 Hub证据 页，按本 Hub 名称筛选</x:v>
      </x:c>
      <x:c r="Q19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90" s="19"/>
      <x:c r="S190" s="18" t="str">
        <x:v>名古屋圈</x:v>
      </x:c>
      <x:c r="T190" s="20" t="n">
        <x:v>0</x:v>
      </x:c>
    </x:row>
    <x:row r="191" ht="33" customHeight="1">
      <x:c r="A191" s="19" t="str">
        <x:v>玉川・JR野田</x:v>
      </x:c>
      <x:c r="B191" s="18" t="str">
        <x:v>T2</x:v>
      </x:c>
      <x:c r="C191" s="20" t="n">
        <x:v>2</x:v>
      </x:c>
      <x:c r="D191" s="20" t="n">
        <x:v>2</x:v>
      </x:c>
      <x:c r="E191" s="19" t="str">
        <x:v>有官方换乘依据</x:v>
      </x:c>
      <x:c r="F191" s="20" t="n">
        <x:v>0</x:v>
      </x:c>
      <x:c r="G191" s="19" t="str">
        <x:v>组件待审核</x:v>
      </x:c>
      <x:c r="H191" s="18" t="str">
        <x:v>OSAKA_METRO_NETWORK</x:v>
      </x:c>
      <x:c r="I191" s="18" t="str">
        <x:v>transport-hub-review:34c4587d-fcec-5757-9439-b931eda54612</x:v>
      </x:c>
      <x:c r="J191" s="19" t="str"/>
      <x:c r="K191" s="19" t="str"/>
      <x:c r="L191" s="18" t="str">
        <x:v>否</x:v>
      </x:c>
      <x:c r="M191" s="18" t="str">
        <x:v>否</x:v>
      </x:c>
      <x:c r="N191" s="18" t="str">
        <x:v>否</x:v>
      </x:c>
      <x:c r="O191" s="20" t="n">
        <x:v>2</x:v>
      </x:c>
      <x:c r="P191" s="19" t="str">
        <x:v>详见 Hub证据 页，按本 Hub 名称筛选</x:v>
      </x:c>
      <x:c r="Q191" s="19" t="str">
        <x:v>Official operator transfer guide defines the proposed interchange area. Each physical station/operator/mode stays separate.</x:v>
      </x:c>
      <x:c r="R191" s="19"/>
      <x:c r="S191" s="18" t="str">
        <x:v>大阪圈</x:v>
      </x:c>
      <x:c r="T191" s="20" t="n">
        <x:v>0</x:v>
      </x:c>
    </x:row>
    <x:row r="192" ht="47" customHeight="1">
      <x:c r="A192" s="19" t="str">
        <x:v>玉川上水</x:v>
      </x:c>
      <x:c r="B192" s="18" t="str">
        <x:v>T2</x:v>
      </x:c>
      <x:c r="C192" s="20" t="n">
        <x:v>2</x:v>
      </x:c>
      <x:c r="D192" s="20" t="n">
        <x:v>2</x:v>
      </x:c>
      <x:c r="E192" s="19" t="str">
        <x:v>有官方换乘依据</x:v>
      </x:c>
      <x:c r="F192" s="20" t="n">
        <x:v>0</x:v>
      </x:c>
      <x:c r="G192" s="19" t="str">
        <x:v>组件待审核</x:v>
      </x:c>
      <x:c r="H192" s="18" t="str">
        <x:v>NATIONAL_CITY_INTERCHANGE_EXPANSION</x:v>
      </x:c>
      <x:c r="I192" s="18" t="str">
        <x:v>transport-hub-review:c6e9bc99-5817-55a7-924e-5a2fede63b0f</x:v>
      </x:c>
      <x:c r="J192" s="19" t="str"/>
      <x:c r="K192" s="19" t="str"/>
      <x:c r="L192" s="18" t="str">
        <x:v>否</x:v>
      </x:c>
      <x:c r="M192" s="18" t="str">
        <x:v>否</x:v>
      </x:c>
      <x:c r="N192" s="18" t="str">
        <x:v>否</x:v>
      </x:c>
      <x:c r="O192" s="20" t="n">
        <x:v>1</x:v>
      </x:c>
      <x:c r="P192" s="19" t="str">
        <x:v>详见 Hub证据 页，按本 Hub 名称筛选</x:v>
      </x:c>
      <x:c r="Q19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92" s="19"/>
      <x:c r="S192" s="18" t="str">
        <x:v>东京多摩</x:v>
      </x:c>
      <x:c r="T192" s="20" t="n">
        <x:v>0</x:v>
      </x:c>
    </x:row>
    <x:row r="193" ht="33" customHeight="1">
      <x:c r="A193" s="19" t="str">
        <x:v>玉造</x:v>
      </x:c>
      <x:c r="B193" s="18" t="str">
        <x:v>T2</x:v>
      </x:c>
      <x:c r="C193" s="20" t="n">
        <x:v>2</x:v>
      </x:c>
      <x:c r="D193" s="20" t="n">
        <x:v>2</x:v>
      </x:c>
      <x:c r="E193" s="19" t="str">
        <x:v>有官方换乘依据</x:v>
      </x:c>
      <x:c r="F193" s="20" t="n">
        <x:v>0</x:v>
      </x:c>
      <x:c r="G193" s="19" t="str">
        <x:v>组件待审核</x:v>
      </x:c>
      <x:c r="H193" s="18" t="str">
        <x:v>OSAKA_METRO_NETWORK</x:v>
      </x:c>
      <x:c r="I193" s="18" t="str">
        <x:v>transport-hub-review:0648262e-a363-559d-9972-d97fb6ba91f1</x:v>
      </x:c>
      <x:c r="J193" s="19" t="str"/>
      <x:c r="K193" s="19" t="str"/>
      <x:c r="L193" s="18" t="str">
        <x:v>否</x:v>
      </x:c>
      <x:c r="M193" s="18" t="str">
        <x:v>否</x:v>
      </x:c>
      <x:c r="N193" s="18" t="str">
        <x:v>否</x:v>
      </x:c>
      <x:c r="O193" s="20" t="n">
        <x:v>2</x:v>
      </x:c>
      <x:c r="P193" s="19" t="str">
        <x:v>详见 Hub证据 页，按本 Hub 名称筛选</x:v>
      </x:c>
      <x:c r="Q193" s="19" t="str">
        <x:v>Official operator transfer guide defines the proposed interchange area. Each physical station/operator/mode stays separate.</x:v>
      </x:c>
      <x:c r="R193" s="19"/>
      <x:c r="S193" s="18" t="str">
        <x:v>大阪圈</x:v>
      </x:c>
      <x:c r="T193" s="20" t="n">
        <x:v>0</x:v>
      </x:c>
    </x:row>
    <x:row r="194" ht="61" customHeight="1">
      <x:c r="A194" s="19" t="str">
        <x:v>金沢</x:v>
      </x:c>
      <x:c r="B194" s="18" t="str">
        <x:v>T2</x:v>
      </x:c>
      <x:c r="C194" s="20" t="n">
        <x:v>3</x:v>
      </x:c>
      <x:c r="D194" s="20" t="n">
        <x:v>3</x:v>
      </x:c>
      <x:c r="E194" s="19" t="str">
        <x:v>有官方换乘依据</x:v>
      </x:c>
      <x:c r="F194" s="20" t="n">
        <x:v>0</x:v>
      </x:c>
      <x:c r="G194" s="19" t="str">
        <x:v>组件待审核</x:v>
      </x:c>
      <x:c r="H194" s="18" t="str">
        <x:v>EXISTING_NATIONAL_REVIEW</x:v>
      </x:c>
      <x:c r="I194" s="18" t="str">
        <x:v>transport-hub-review:e94ce799-0b0c-5a46-9525-0896821b6bdc</x:v>
      </x:c>
      <x:c r="J194" s="19" t="str">
        <x:v>金沢</x:v>
      </x:c>
      <x:c r="K194" s="19" t="str">
        <x:v>transport-hub:9e5a891f-bd52-5ab9-9be6-a6cb4581b48e</x:v>
      </x:c>
      <x:c r="L194" s="18" t="str">
        <x:v>否</x:v>
      </x:c>
      <x:c r="M194" s="18" t="str">
        <x:v>否</x:v>
      </x:c>
      <x:c r="N194" s="18" t="str">
        <x:v>否</x:v>
      </x:c>
      <x:c r="O194" s="20" t="n">
        <x:v>2</x:v>
      </x:c>
      <x:c r="P194" s="19" t="str">
        <x:v>详见 Hub证据 页，按本 Hub 名称筛选</x:v>
      </x:c>
      <x:c r="Q194" s="19" t="str">
        <x:v>Hokutetsu Kanazawa is beneath the Kanazawa east-exit Motenashi Dome; JR Shinkansen and IR conventional share the main station. Keep three operator/mode components. Components retain operator/mode identities. Boundary evidence review does not authorize runtime import or final acceptance.</x:v>
      </x:c>
      <x:c r="R194" s="19"/>
      <x:c r="S194" s="18" t="str">
        <x:v>金泽</x:v>
      </x:c>
      <x:c r="T194" s="20" t="n">
        <x:v>0</x:v>
      </x:c>
    </x:row>
    <x:row r="195" ht="33" customHeight="1">
      <x:c r="A195" s="19" t="str">
        <x:v>九条</x:v>
      </x:c>
      <x:c r="B195" s="18" t="str">
        <x:v>T2</x:v>
      </x:c>
      <x:c r="C195" s="20" t="n">
        <x:v>2</x:v>
      </x:c>
      <x:c r="D195" s="20" t="n">
        <x:v>2</x:v>
      </x:c>
      <x:c r="E195" s="19" t="str">
        <x:v>有官方换乘依据</x:v>
      </x:c>
      <x:c r="F195" s="20" t="n">
        <x:v>0</x:v>
      </x:c>
      <x:c r="G195" s="19" t="str">
        <x:v>组件待审核</x:v>
      </x:c>
      <x:c r="H195" s="18" t="str">
        <x:v>OSAKA_METRO_NETWORK</x:v>
      </x:c>
      <x:c r="I195" s="18" t="str">
        <x:v>transport-hub-review:4983ecb9-2c8a-5bbf-b382-4abed8066d52</x:v>
      </x:c>
      <x:c r="J195" s="19" t="str"/>
      <x:c r="K195" s="19" t="str"/>
      <x:c r="L195" s="18" t="str">
        <x:v>否</x:v>
      </x:c>
      <x:c r="M195" s="18" t="str">
        <x:v>否</x:v>
      </x:c>
      <x:c r="N195" s="18" t="str">
        <x:v>否</x:v>
      </x:c>
      <x:c r="O195" s="20" t="n">
        <x:v>2</x:v>
      </x:c>
      <x:c r="P195" s="19" t="str">
        <x:v>详见 Hub证据 页，按本 Hub 名称筛选</x:v>
      </x:c>
      <x:c r="Q195" s="19" t="str">
        <x:v>Official operator transfer guide defines the proposed interchange area. Each physical station/operator/mode stays separate.</x:v>
      </x:c>
      <x:c r="R195" s="19"/>
      <x:c r="S195" s="18" t="str">
        <x:v>大阪圈</x:v>
      </x:c>
      <x:c r="T195" s="20" t="n">
        <x:v>0</x:v>
      </x:c>
    </x:row>
    <x:row r="196" ht="47" customHeight="1">
      <x:c r="A196" s="19" t="str">
        <x:v>熊本</x:v>
      </x:c>
      <x:c r="B196" s="18" t="str">
        <x:v>T2</x:v>
      </x:c>
      <x:c r="C196" s="20" t="n">
        <x:v>3</x:v>
      </x:c>
      <x:c r="D196" s="20" t="n">
        <x:v>2</x:v>
      </x:c>
      <x:c r="E196" s="19" t="str">
        <x:v>有官方换乘依据</x:v>
      </x:c>
      <x:c r="F196" s="20" t="n">
        <x:v>0</x:v>
      </x:c>
      <x:c r="G196" s="19" t="str">
        <x:v>组件待审核</x:v>
      </x:c>
      <x:c r="H196" s="18" t="str">
        <x:v>EXISTING_NATIONAL_REVIEW</x:v>
      </x:c>
      <x:c r="I196" s="18" t="str">
        <x:v>transport-hub-review:3cf903cc-f1fd-5ad5-8a17-aa851434cdc8</x:v>
      </x:c>
      <x:c r="J196" s="19" t="str">
        <x:v>熊本</x:v>
      </x:c>
      <x:c r="K196" s="19" t="str">
        <x:v>transport-hub:bcb810a1-8a83-5efa-ba44-9e692df75c29</x:v>
      </x:c>
      <x:c r="L196" s="18" t="str">
        <x:v>否</x:v>
      </x:c>
      <x:c r="M196" s="18" t="str">
        <x:v>否</x:v>
      </x:c>
      <x:c r="N196" s="18" t="str">
        <x:v>否</x:v>
      </x:c>
      <x:c r="O196" s="20" t="n">
        <x:v>1</x:v>
      </x:c>
      <x:c r="P196" s="19" t="str">
        <x:v>详见 Hub证据 页，按本 Hub 名称筛选</x:v>
      </x:c>
      <x:c r="Q196" s="19" t="str">
        <x:v>City tram route map explicitly links Kumamoto-ekimae with JR Kumamoto, including Shinkansen. Tram stop remains a separate station-forecourt component. Components retain operator/mode identities. Boundary evidence review does not authorize runtime import or final acceptance.</x:v>
      </x:c>
      <x:c r="R196" s="19"/>
      <x:c r="S196" s="18" t="str">
        <x:v>熊本</x:v>
      </x:c>
      <x:c r="T196" s="20" t="n">
        <x:v>0</x:v>
      </x:c>
    </x:row>
    <x:row r="197" ht="47" customHeight="1">
      <x:c r="A197" s="19" t="str">
        <x:v>桑名</x:v>
      </x:c>
      <x:c r="B197" s="18" t="str">
        <x:v>T2</x:v>
      </x:c>
      <x:c r="C197" s="20" t="n">
        <x:v>4</x:v>
      </x:c>
      <x:c r="D197" s="20" t="n">
        <x:v>4</x:v>
      </x:c>
      <x:c r="E197" s="19" t="str">
        <x:v>有官方换乘依据</x:v>
      </x:c>
      <x:c r="F197" s="20" t="n">
        <x:v>0</x:v>
      </x:c>
      <x:c r="G197" s="19" t="str">
        <x:v>组件待审核</x:v>
      </x:c>
      <x:c r="H197" s="18" t="str">
        <x:v>NATIONAL_CITY_INTERCHANGE_EXPANSION</x:v>
      </x:c>
      <x:c r="I197" s="18" t="str">
        <x:v>transport-hub-review:925281f4-8da1-5f82-817e-aa0319c08a80</x:v>
      </x:c>
      <x:c r="J197" s="19" t="str"/>
      <x:c r="K197" s="19" t="str"/>
      <x:c r="L197" s="18" t="str">
        <x:v>否</x:v>
      </x:c>
      <x:c r="M197" s="18" t="str">
        <x:v>否</x:v>
      </x:c>
      <x:c r="N197" s="18" t="str">
        <x:v>否</x:v>
      </x:c>
      <x:c r="O197" s="20" t="n">
        <x:v>1</x:v>
      </x:c>
      <x:c r="P197" s="19" t="str">
        <x:v>详见 Hub证据 页，按本 Hub 名称筛选</x:v>
      </x:c>
      <x:c r="Q19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197" s="19"/>
      <x:c r="S197" s="18" t="str">
        <x:v>三重主要城市</x:v>
      </x:c>
      <x:c r="T197" s="20" t="n">
        <x:v>0</x:v>
      </x:c>
    </x:row>
    <x:row r="198" ht="33" customHeight="1">
      <x:c r="A198" s="19" t="str">
        <x:v>恵美須町</x:v>
      </x:c>
      <x:c r="B198" s="18" t="str">
        <x:v>T2</x:v>
      </x:c>
      <x:c r="C198" s="20" t="n">
        <x:v>2</x:v>
      </x:c>
      <x:c r="D198" s="20" t="n">
        <x:v>2</x:v>
      </x:c>
      <x:c r="E198" s="19" t="str">
        <x:v>有官方换乘依据</x:v>
      </x:c>
      <x:c r="F198" s="20" t="n">
        <x:v>0</x:v>
      </x:c>
      <x:c r="G198" s="19" t="str">
        <x:v>组件待审核</x:v>
      </x:c>
      <x:c r="H198" s="18" t="str">
        <x:v>OSAKA_METRO_NETWORK</x:v>
      </x:c>
      <x:c r="I198" s="18" t="str">
        <x:v>transport-hub-review:3f691172-5577-5fe9-bf92-e7d4bb4d5697</x:v>
      </x:c>
      <x:c r="J198" s="19" t="str"/>
      <x:c r="K198" s="19" t="str"/>
      <x:c r="L198" s="18" t="str">
        <x:v>否</x:v>
      </x:c>
      <x:c r="M198" s="18" t="str">
        <x:v>否</x:v>
      </x:c>
      <x:c r="N198" s="18" t="str">
        <x:v>否</x:v>
      </x:c>
      <x:c r="O198" s="20" t="n">
        <x:v>2</x:v>
      </x:c>
      <x:c r="P198" s="19" t="str">
        <x:v>详见 Hub证据 页，按本 Hub 名称筛选</x:v>
      </x:c>
      <x:c r="Q198" s="19" t="str">
        <x:v>Official operator transfer guide defines the proposed interchange area. Each physical station/operator/mode stays separate.</x:v>
      </x:c>
      <x:c r="R198" s="19"/>
      <x:c r="S198" s="18" t="str">
        <x:v>大阪圈</x:v>
      </x:c>
      <x:c r="T198" s="20" t="n">
        <x:v>0</x:v>
      </x:c>
    </x:row>
    <x:row r="199" ht="33" customHeight="1">
      <x:c r="A199" s="19" t="str">
        <x:v>蛍池</x:v>
      </x:c>
      <x:c r="B199" s="18" t="str">
        <x:v>T2</x:v>
      </x:c>
      <x:c r="C199" s="20" t="n">
        <x:v>2</x:v>
      </x:c>
      <x:c r="D199" s="20" t="n">
        <x:v>2</x:v>
      </x:c>
      <x:c r="E199" s="19" t="str">
        <x:v>有官方换乘依据</x:v>
      </x:c>
      <x:c r="F199" s="20" t="n">
        <x:v>0</x:v>
      </x:c>
      <x:c r="G199" s="19" t="str">
        <x:v>组件待审核</x:v>
      </x:c>
      <x:c r="H199" s="18" t="str">
        <x:v>OSAKA_HANKYU_NETWORK</x:v>
      </x:c>
      <x:c r="I199" s="18" t="str">
        <x:v>transport-hub-review:491be3de-fc07-5d29-b9fa-a646cbfa13b9</x:v>
      </x:c>
      <x:c r="J199" s="19" t="str"/>
      <x:c r="K199" s="19" t="str"/>
      <x:c r="L199" s="18" t="str">
        <x:v>否</x:v>
      </x:c>
      <x:c r="M199" s="18" t="str">
        <x:v>否</x:v>
      </x:c>
      <x:c r="N199" s="18" t="str">
        <x:v>否</x:v>
      </x:c>
      <x:c r="O199" s="20" t="n">
        <x:v>1</x:v>
      </x:c>
      <x:c r="P199" s="19" t="str">
        <x:v>详见 Hub证据 页，按本 Hub 名称筛选</x:v>
      </x:c>
      <x:c r="Q199" s="19" t="str">
        <x:v>Official operator transfer guide defines the proposed interchange area. Each physical station/operator/mode stays separate.</x:v>
      </x:c>
      <x:c r="R199" s="19"/>
      <x:c r="S199" s="18" t="str">
        <x:v>大阪圈</x:v>
      </x:c>
      <x:c r="T199" s="20" t="n">
        <x:v>0</x:v>
      </x:c>
    </x:row>
    <x:row r="200" ht="47" customHeight="1">
      <x:c r="A200" s="19" t="str">
        <x:v>御器所</x:v>
      </x:c>
      <x:c r="B200" s="18" t="str">
        <x:v>T2</x:v>
      </x:c>
      <x:c r="C200" s="20" t="n">
        <x:v>1</x:v>
      </x:c>
      <x:c r="D200" s="20" t="n">
        <x:v>1</x:v>
      </x:c>
      <x:c r="E200" s="19" t="str">
        <x:v>有官方换乘依据</x:v>
      </x:c>
      <x:c r="F200" s="20" t="n">
        <x:v>0</x:v>
      </x:c>
      <x:c r="G200" s="19" t="str">
        <x:v>组件待审核</x:v>
      </x:c>
      <x:c r="H200" s="18" t="str">
        <x:v>NATIONAL_CITY_INTERCHANGE_EXPANSION</x:v>
      </x:c>
      <x:c r="I200" s="18" t="str">
        <x:v>transport-hub-review:699a1aba-d43e-5427-88ea-98471ae3332b</x:v>
      </x:c>
      <x:c r="J200" s="19" t="str"/>
      <x:c r="K200" s="19" t="str"/>
      <x:c r="L200" s="18" t="str">
        <x:v>否</x:v>
      </x:c>
      <x:c r="M200" s="18" t="str">
        <x:v>否</x:v>
      </x:c>
      <x:c r="N200" s="18" t="str">
        <x:v>否</x:v>
      </x:c>
      <x:c r="O200" s="20" t="n">
        <x:v>1</x:v>
      </x:c>
      <x:c r="P200" s="19" t="str">
        <x:v>详见 Hub证据 页，按本 Hub 名称筛选</x:v>
      </x:c>
      <x:c r="Q20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0" s="19"/>
      <x:c r="S200" s="18" t="str">
        <x:v>名古屋圈</x:v>
      </x:c>
      <x:c r="T200" s="20" t="n">
        <x:v>0</x:v>
      </x:c>
    </x:row>
    <x:row r="201" ht="47" customHeight="1">
      <x:c r="A201" s="19" t="str">
        <x:v>厚木</x:v>
      </x:c>
      <x:c r="B201" s="18" t="str">
        <x:v>T2</x:v>
      </x:c>
      <x:c r="C201" s="20" t="n">
        <x:v>2</x:v>
      </x:c>
      <x:c r="D201" s="20" t="n">
        <x:v>2</x:v>
      </x:c>
      <x:c r="E201" s="19" t="str">
        <x:v>有官方换乘依据</x:v>
      </x:c>
      <x:c r="F201" s="20" t="n">
        <x:v>0</x:v>
      </x:c>
      <x:c r="G201" s="19" t="str">
        <x:v>组件待审核</x:v>
      </x:c>
      <x:c r="H201" s="18" t="str">
        <x:v>NATIONAL_CITY_INTERCHANGE_EXPANSION</x:v>
      </x:c>
      <x:c r="I201" s="18" t="str">
        <x:v>transport-hub-review:d9df3bf3-9a6c-599c-bc60-46f61cf5692d</x:v>
      </x:c>
      <x:c r="J201" s="19" t="str"/>
      <x:c r="K201" s="19" t="str"/>
      <x:c r="L201" s="18" t="str">
        <x:v>否</x:v>
      </x:c>
      <x:c r="M201" s="18" t="str">
        <x:v>否</x:v>
      </x:c>
      <x:c r="N201" s="18" t="str">
        <x:v>否</x:v>
      </x:c>
      <x:c r="O201" s="20" t="n">
        <x:v>1</x:v>
      </x:c>
      <x:c r="P201" s="19" t="str">
        <x:v>详见 Hub证据 页，按本 Hub 名称筛选</x:v>
      </x:c>
      <x:c r="Q20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1" s="19"/>
      <x:c r="S201" s="18" t="str">
        <x:v>神奈川其他</x:v>
      </x:c>
      <x:c r="T201" s="20" t="n">
        <x:v>0</x:v>
      </x:c>
    </x:row>
    <x:row r="202" ht="33" customHeight="1">
      <x:c r="A202" s="19" t="str">
        <x:v>高井田・高井田中央</x:v>
      </x:c>
      <x:c r="B202" s="18" t="str">
        <x:v>T2</x:v>
      </x:c>
      <x:c r="C202" s="20" t="n">
        <x:v>2</x:v>
      </x:c>
      <x:c r="D202" s="20" t="n">
        <x:v>2</x:v>
      </x:c>
      <x:c r="E202" s="19" t="str">
        <x:v>有官方换乘依据</x:v>
      </x:c>
      <x:c r="F202" s="20" t="n">
        <x:v>0</x:v>
      </x:c>
      <x:c r="G202" s="19" t="str">
        <x:v>组件待审核</x:v>
      </x:c>
      <x:c r="H202" s="18" t="str">
        <x:v>OSAKA_METRO_NETWORK</x:v>
      </x:c>
      <x:c r="I202" s="18" t="str">
        <x:v>transport-hub-review:7c86288a-df43-543e-9831-b745a750b7a7</x:v>
      </x:c>
      <x:c r="J202" s="19" t="str"/>
      <x:c r="K202" s="19" t="str"/>
      <x:c r="L202" s="18" t="str">
        <x:v>否</x:v>
      </x:c>
      <x:c r="M202" s="18" t="str">
        <x:v>否</x:v>
      </x:c>
      <x:c r="N202" s="18" t="str">
        <x:v>否</x:v>
      </x:c>
      <x:c r="O202" s="20" t="n">
        <x:v>2</x:v>
      </x:c>
      <x:c r="P202" s="19" t="str">
        <x:v>详见 Hub证据 页，按本 Hub 名称筛选</x:v>
      </x:c>
      <x:c r="Q202" s="19" t="str">
        <x:v>Official operator transfer guide defines the proposed interchange area. Each physical station/operator/mode stays separate.</x:v>
      </x:c>
      <x:c r="R202" s="19"/>
      <x:c r="S202" s="18" t="str">
        <x:v>大阪圈</x:v>
      </x:c>
      <x:c r="T202" s="20" t="n">
        <x:v>0</x:v>
      </x:c>
    </x:row>
    <x:row r="203" ht="47" customHeight="1">
      <x:c r="A203" s="19" t="str">
        <x:v>高幡不動</x:v>
      </x:c>
      <x:c r="B203" s="18" t="str">
        <x:v>T2</x:v>
      </x:c>
      <x:c r="C203" s="20" t="n">
        <x:v>2</x:v>
      </x:c>
      <x:c r="D203" s="20" t="n">
        <x:v>2</x:v>
      </x:c>
      <x:c r="E203" s="19" t="str">
        <x:v>有官方换乘依据</x:v>
      </x:c>
      <x:c r="F203" s="20" t="n">
        <x:v>0</x:v>
      </x:c>
      <x:c r="G203" s="19" t="str">
        <x:v>组件待审核</x:v>
      </x:c>
      <x:c r="H203" s="18" t="str">
        <x:v>NATIONAL_CITY_INTERCHANGE_EXPANSION</x:v>
      </x:c>
      <x:c r="I203" s="18" t="str">
        <x:v>transport-hub-review:dba2979c-6ae0-5c4f-8f00-193d0ea5df04</x:v>
      </x:c>
      <x:c r="J203" s="19" t="str"/>
      <x:c r="K203" s="19" t="str"/>
      <x:c r="L203" s="18" t="str">
        <x:v>否</x:v>
      </x:c>
      <x:c r="M203" s="18" t="str">
        <x:v>否</x:v>
      </x:c>
      <x:c r="N203" s="18" t="str">
        <x:v>否</x:v>
      </x:c>
      <x:c r="O203" s="20" t="n">
        <x:v>1</x:v>
      </x:c>
      <x:c r="P203" s="19" t="str">
        <x:v>详见 Hub证据 页，按本 Hub 名称筛选</x:v>
      </x:c>
      <x:c r="Q20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3" s="19"/>
      <x:c r="S203" s="18" t="str">
        <x:v>东京多摩</x:v>
      </x:c>
      <x:c r="T203" s="20" t="n">
        <x:v>0</x:v>
      </x:c>
    </x:row>
    <x:row r="204" ht="47" customHeight="1">
      <x:c r="A204" s="19" t="str">
        <x:v>豪徳寺・山下</x:v>
      </x:c>
      <x:c r="B204" s="18" t="str">
        <x:v>T2</x:v>
      </x:c>
      <x:c r="C204" s="20" t="n">
        <x:v>2</x:v>
      </x:c>
      <x:c r="D204" s="20" t="n">
        <x:v>2</x:v>
      </x:c>
      <x:c r="E204" s="19" t="str">
        <x:v>有官方换乘依据</x:v>
      </x:c>
      <x:c r="F204" s="20" t="n">
        <x:v>0</x:v>
      </x:c>
      <x:c r="G204" s="19" t="str">
        <x:v>组件待审核</x:v>
      </x:c>
      <x:c r="H204" s="18" t="str">
        <x:v>NATIONAL_CITY_INTERCHANGE_EXPANSION</x:v>
      </x:c>
      <x:c r="I204" s="18" t="str">
        <x:v>transport-hub-review:471b1ab6-f1bf-5a5a-ba9c-f4a190e410cf</x:v>
      </x:c>
      <x:c r="J204" s="19" t="str"/>
      <x:c r="K204" s="19" t="str"/>
      <x:c r="L204" s="18" t="str">
        <x:v>否</x:v>
      </x:c>
      <x:c r="M204" s="18" t="str">
        <x:v>否</x:v>
      </x:c>
      <x:c r="N204" s="18" t="str">
        <x:v>否</x:v>
      </x:c>
      <x:c r="O204" s="20" t="n">
        <x:v>1</x:v>
      </x:c>
      <x:c r="P204" s="19" t="str">
        <x:v>详见 Hub证据 页，按本 Hub 名称筛选</x:v>
      </x:c>
      <x:c r="Q20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4" s="19"/>
      <x:c r="S204" s="18" t="str">
        <x:v>东京23区</x:v>
      </x:c>
      <x:c r="T204" s="20" t="n">
        <x:v>0</x:v>
      </x:c>
    </x:row>
    <x:row r="205" ht="47" customHeight="1">
      <x:c r="A205" s="19" t="str">
        <x:v>今池</x:v>
      </x:c>
      <x:c r="B205" s="18" t="str">
        <x:v>T2</x:v>
      </x:c>
      <x:c r="C205" s="20" t="n">
        <x:v>1</x:v>
      </x:c>
      <x:c r="D205" s="20" t="n">
        <x:v>1</x:v>
      </x:c>
      <x:c r="E205" s="19" t="str">
        <x:v>有官方换乘依据</x:v>
      </x:c>
      <x:c r="F205" s="20" t="n">
        <x:v>0</x:v>
      </x:c>
      <x:c r="G205" s="19" t="str">
        <x:v>组件待审核</x:v>
      </x:c>
      <x:c r="H205" s="18" t="str">
        <x:v>NATIONAL_CITY_INTERCHANGE_EXPANSION</x:v>
      </x:c>
      <x:c r="I205" s="18" t="str">
        <x:v>transport-hub-review:6f8519ee-6e8e-568f-9472-043bd5f3d672</x:v>
      </x:c>
      <x:c r="J205" s="19" t="str"/>
      <x:c r="K205" s="19" t="str"/>
      <x:c r="L205" s="18" t="str">
        <x:v>否</x:v>
      </x:c>
      <x:c r="M205" s="18" t="str">
        <x:v>否</x:v>
      </x:c>
      <x:c r="N205" s="18" t="str">
        <x:v>否</x:v>
      </x:c>
      <x:c r="O205" s="20" t="n">
        <x:v>1</x:v>
      </x:c>
      <x:c r="P205" s="19" t="str">
        <x:v>详见 Hub证据 页，按本 Hub 名称筛选</x:v>
      </x:c>
      <x:c r="Q20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5" s="19"/>
      <x:c r="S205" s="18" t="str">
        <x:v>名古屋圈</x:v>
      </x:c>
      <x:c r="T205" s="20" t="n">
        <x:v>0</x:v>
      </x:c>
    </x:row>
    <x:row r="206" ht="33" customHeight="1">
      <x:c r="A206" s="19" t="str">
        <x:v>今津</x:v>
      </x:c>
      <x:c r="B206" s="18" t="str">
        <x:v>T2</x:v>
      </x:c>
      <x:c r="C206" s="20" t="n">
        <x:v>2</x:v>
      </x:c>
      <x:c r="D206" s="20" t="n">
        <x:v>2</x:v>
      </x:c>
      <x:c r="E206" s="19" t="str">
        <x:v>有官方换乘依据</x:v>
      </x:c>
      <x:c r="F206" s="20" t="n">
        <x:v>0</x:v>
      </x:c>
      <x:c r="G206" s="19" t="str">
        <x:v>组件待审核</x:v>
      </x:c>
      <x:c r="H206" s="18" t="str">
        <x:v>HANSHIN</x:v>
      </x:c>
      <x:c r="I206" s="18" t="str">
        <x:v>transport-hub-review:ba53e8cd-e1a6-5c21-ad96-6872454cf93b</x:v>
      </x:c>
      <x:c r="J206" s="19" t="str"/>
      <x:c r="K206" s="19" t="str"/>
      <x:c r="L206" s="18" t="str">
        <x:v>否</x:v>
      </x:c>
      <x:c r="M206" s="18" t="str">
        <x:v>否</x:v>
      </x:c>
      <x:c r="N206" s="18" t="str">
        <x:v>否</x:v>
      </x:c>
      <x:c r="O206" s="20" t="n">
        <x:v>1</x:v>
      </x:c>
      <x:c r="P206" s="19" t="str">
        <x:v>详见 Hub证据 页，按本 Hub 名称筛选</x:v>
      </x:c>
      <x:c r="Q206" s="19" t="str">
        <x:v>Official operator transfer guide defines the proposed interchange area. Each physical station/operator/mode stays separate.</x:v>
      </x:c>
      <x:c r="R206" s="19"/>
      <x:c r="S206" s="18" t="str">
        <x:v>阪神其他</x:v>
      </x:c>
      <x:c r="T206" s="20" t="n">
        <x:v>0</x:v>
      </x:c>
    </x:row>
    <x:row r="207" ht="33" customHeight="1">
      <x:c r="A207" s="19" t="str">
        <x:v>今里</x:v>
      </x:c>
      <x:c r="B207" s="18" t="str">
        <x:v>T2</x:v>
      </x:c>
      <x:c r="C207" s="20" t="n">
        <x:v>1</x:v>
      </x:c>
      <x:c r="D207" s="20" t="n">
        <x:v>1</x:v>
      </x:c>
      <x:c r="E207" s="19" t="str">
        <x:v>有官方换乘依据</x:v>
      </x:c>
      <x:c r="F207" s="20" t="n">
        <x:v>0</x:v>
      </x:c>
      <x:c r="G207" s="19" t="str">
        <x:v>组件待审核</x:v>
      </x:c>
      <x:c r="H207" s="18" t="str">
        <x:v>OSAKA_METRO_NETWORK</x:v>
      </x:c>
      <x:c r="I207" s="18" t="str">
        <x:v>transport-hub-review:fbd737cd-e18c-5a16-8e1f-1fa01e77a70e</x:v>
      </x:c>
      <x:c r="J207" s="19" t="str"/>
      <x:c r="K207" s="19" t="str"/>
      <x:c r="L207" s="18" t="str">
        <x:v>否</x:v>
      </x:c>
      <x:c r="M207" s="18" t="str">
        <x:v>否</x:v>
      </x:c>
      <x:c r="N207" s="18" t="str">
        <x:v>否</x:v>
      </x:c>
      <x:c r="O207" s="20" t="n">
        <x:v>4</x:v>
      </x:c>
      <x:c r="P207" s="19" t="str">
        <x:v>详见 Hub证据 页，按本 Hub 名称筛选</x:v>
      </x:c>
      <x:c r="Q207" s="19" t="str">
        <x:v>Official operator transfer guide defines the proposed interchange area. Each physical station/operator/mode stays separate.</x:v>
      </x:c>
      <x:c r="R207" s="19"/>
      <x:c r="S207" s="18" t="str">
        <x:v>大阪圈</x:v>
      </x:c>
      <x:c r="T207" s="20" t="n">
        <x:v>0</x:v>
      </x:c>
    </x:row>
    <x:row r="208" ht="47" customHeight="1">
      <x:c r="A208" s="19" t="str">
        <x:v>砂田橋</x:v>
      </x:c>
      <x:c r="B208" s="18" t="str">
        <x:v>T2</x:v>
      </x:c>
      <x:c r="C208" s="20" t="n">
        <x:v>2</x:v>
      </x:c>
      <x:c r="D208" s="20" t="n">
        <x:v>2</x:v>
      </x:c>
      <x:c r="E208" s="19" t="str">
        <x:v>有官方换乘依据</x:v>
      </x:c>
      <x:c r="F208" s="20" t="n">
        <x:v>0</x:v>
      </x:c>
      <x:c r="G208" s="19" t="str">
        <x:v>组件待审核</x:v>
      </x:c>
      <x:c r="H208" s="18" t="str">
        <x:v>NATIONAL_CITY_INTERCHANGE_EXPANSION</x:v>
      </x:c>
      <x:c r="I208" s="18" t="str">
        <x:v>transport-hub-review:6a5c94ac-7329-50f3-bfd3-98f439d65a03</x:v>
      </x:c>
      <x:c r="J208" s="19" t="str"/>
      <x:c r="K208" s="19" t="str"/>
      <x:c r="L208" s="18" t="str">
        <x:v>否</x:v>
      </x:c>
      <x:c r="M208" s="18" t="str">
        <x:v>否</x:v>
      </x:c>
      <x:c r="N208" s="18" t="str">
        <x:v>否</x:v>
      </x:c>
      <x:c r="O208" s="20" t="n">
        <x:v>1</x:v>
      </x:c>
      <x:c r="P208" s="19" t="str">
        <x:v>详见 Hub证据 页，按本 Hub 名称筛选</x:v>
      </x:c>
      <x:c r="Q20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08" s="19"/>
      <x:c r="S208" s="18" t="str">
        <x:v>名古屋圈</x:v>
      </x:c>
      <x:c r="T208" s="20" t="n">
        <x:v>0</x:v>
      </x:c>
    </x:row>
    <x:row r="209" ht="33" customHeight="1">
      <x:c r="A209" s="19" t="str">
        <x:v>桜川・汐見橋</x:v>
      </x:c>
      <x:c r="B209" s="18" t="str">
        <x:v>T2</x:v>
      </x:c>
      <x:c r="C209" s="20" t="n">
        <x:v>3</x:v>
      </x:c>
      <x:c r="D209" s="20" t="n">
        <x:v>3</x:v>
      </x:c>
      <x:c r="E209" s="19" t="str">
        <x:v>有官方换乘依据</x:v>
      </x:c>
      <x:c r="F209" s="20" t="n">
        <x:v>0</x:v>
      </x:c>
      <x:c r="G209" s="19" t="str">
        <x:v>组件待审核</x:v>
      </x:c>
      <x:c r="H209" s="18" t="str">
        <x:v>OSAKA_METRO_NETWORK</x:v>
      </x:c>
      <x:c r="I209" s="18" t="str">
        <x:v>transport-hub-review:6f5b664e-894b-5e33-993e-8d24c9c06d0e</x:v>
      </x:c>
      <x:c r="J209" s="19" t="str"/>
      <x:c r="K209" s="19" t="str"/>
      <x:c r="L209" s="18" t="str">
        <x:v>否</x:v>
      </x:c>
      <x:c r="M209" s="18" t="str">
        <x:v>否</x:v>
      </x:c>
      <x:c r="N209" s="18" t="str">
        <x:v>否</x:v>
      </x:c>
      <x:c r="O209" s="20" t="n">
        <x:v>2</x:v>
      </x:c>
      <x:c r="P209" s="19" t="str">
        <x:v>详见 Hub证据 页，按本 Hub 名称筛选</x:v>
      </x:c>
      <x:c r="Q209" s="19" t="str">
        <x:v>Official operator transfer guide defines the proposed interchange area. Each physical station/operator/mode stays separate.</x:v>
      </x:c>
      <x:c r="R209" s="19"/>
      <x:c r="S209" s="18" t="str">
        <x:v>大阪圈</x:v>
      </x:c>
      <x:c r="T209" s="20" t="n">
        <x:v>0</x:v>
      </x:c>
    </x:row>
    <x:row r="210" ht="33" customHeight="1">
      <x:c r="A210" s="19" t="str">
        <x:v>山田</x:v>
      </x:c>
      <x:c r="B210" s="18" t="str">
        <x:v>T2</x:v>
      </x:c>
      <x:c r="C210" s="20" t="n">
        <x:v>2</x:v>
      </x:c>
      <x:c r="D210" s="20" t="n">
        <x:v>2</x:v>
      </x:c>
      <x:c r="E210" s="19" t="str">
        <x:v>有官方换乘依据</x:v>
      </x:c>
      <x:c r="F210" s="20" t="n">
        <x:v>0</x:v>
      </x:c>
      <x:c r="G210" s="19" t="str">
        <x:v>组件待审核</x:v>
      </x:c>
      <x:c r="H210" s="18" t="str">
        <x:v>OSAKA_HANKYU_NETWORK</x:v>
      </x:c>
      <x:c r="I210" s="18" t="str">
        <x:v>transport-hub-review:1f04dda0-ce47-515d-bde1-760d8be082e0</x:v>
      </x:c>
      <x:c r="J210" s="19" t="str"/>
      <x:c r="K210" s="19" t="str"/>
      <x:c r="L210" s="18" t="str">
        <x:v>否</x:v>
      </x:c>
      <x:c r="M210" s="18" t="str">
        <x:v>否</x:v>
      </x:c>
      <x:c r="N210" s="18" t="str">
        <x:v>否</x:v>
      </x:c>
      <x:c r="O210" s="20" t="n">
        <x:v>1</x:v>
      </x:c>
      <x:c r="P210" s="19" t="str">
        <x:v>详见 Hub证据 页，按本 Hub 名称筛选</x:v>
      </x:c>
      <x:c r="Q210" s="19" t="str">
        <x:v>Official operator transfer guide defines the proposed interchange area. Each physical station/operator/mode stays separate.</x:v>
      </x:c>
      <x:c r="R210" s="19"/>
      <x:c r="S210" s="18" t="str">
        <x:v>大阪圈</x:v>
      </x:c>
      <x:c r="T210" s="20" t="n">
        <x:v>0</x:v>
      </x:c>
    </x:row>
    <x:row r="211" ht="61" customHeight="1">
      <x:c r="A211" s="19" t="str">
        <x:v>鹿児島中央</x:v>
      </x:c>
      <x:c r="B211" s="18" t="str">
        <x:v>T2</x:v>
      </x:c>
      <x:c r="C211" s="20" t="n">
        <x:v>3</x:v>
      </x:c>
      <x:c r="D211" s="20" t="n">
        <x:v>2</x:v>
      </x:c>
      <x:c r="E211" s="19" t="str">
        <x:v>有官方换乘依据</x:v>
      </x:c>
      <x:c r="F211" s="20" t="n">
        <x:v>0</x:v>
      </x:c>
      <x:c r="G211" s="19" t="str">
        <x:v>组件待审核</x:v>
      </x:c>
      <x:c r="H211" s="18" t="str">
        <x:v>EXISTING_NATIONAL_REVIEW</x:v>
      </x:c>
      <x:c r="I211" s="18" t="str">
        <x:v>transport-hub-review:f2d1266d-1ec6-5e80-a016-f1b750050330</x:v>
      </x:c>
      <x:c r="J211" s="19" t="str">
        <x:v>鹿児島中央</x:v>
      </x:c>
      <x:c r="K211" s="19" t="str">
        <x:v>transport-hub:f9895f8c-d20a-5544-9e1b-020d4a9653a5</x:v>
      </x:c>
      <x:c r="L211" s="18" t="str">
        <x:v>否</x:v>
      </x:c>
      <x:c r="M211" s="18" t="str">
        <x:v>否</x:v>
      </x:c>
      <x:c r="N211" s="18" t="str">
        <x:v>否</x:v>
      </x:c>
      <x:c r="O211" s="20" t="n">
        <x:v>1</x:v>
      </x:c>
      <x:c r="P211" s="19" t="str">
        <x:v>详见 Hub证据 页，按本 Hub 名称筛选</x:v>
      </x:c>
      <x:c r="Q211" s="19" t="str">
        <x:v>Municipal tourist transport guide gives the signed route from JR Kagoshima-Chuo to Kagoshima-Chuo-ekimae tram stop. Include designated station-forecourt transfer, not surrounding stops. Components retain operator/mode identities. Boundary evidence review does not authorize runtime import or final acceptance.</x:v>
      </x:c>
      <x:c r="R211" s="19"/>
      <x:c r="S211" s="18" t="str">
        <x:v>鹿儿岛</x:v>
      </x:c>
      <x:c r="T211" s="20" t="n">
        <x:v>0</x:v>
      </x:c>
    </x:row>
    <x:row r="212" ht="33" customHeight="1">
      <x:c r="A212" s="19" t="str">
        <x:v>鴫野</x:v>
      </x:c>
      <x:c r="B212" s="18" t="str">
        <x:v>T2</x:v>
      </x:c>
      <x:c r="C212" s="20" t="n">
        <x:v>2</x:v>
      </x:c>
      <x:c r="D212" s="20" t="n">
        <x:v>2</x:v>
      </x:c>
      <x:c r="E212" s="19" t="str">
        <x:v>有官方换乘依据</x:v>
      </x:c>
      <x:c r="F212" s="20" t="n">
        <x:v>0</x:v>
      </x:c>
      <x:c r="G212" s="19" t="str">
        <x:v>组件待审核</x:v>
      </x:c>
      <x:c r="H212" s="18" t="str">
        <x:v>OSAKA_METRO_NETWORK</x:v>
      </x:c>
      <x:c r="I212" s="18" t="str">
        <x:v>transport-hub-review:1b421365-d4a1-5e92-837c-9c366f1765b5</x:v>
      </x:c>
      <x:c r="J212" s="19" t="str"/>
      <x:c r="K212" s="19" t="str"/>
      <x:c r="L212" s="18" t="str">
        <x:v>否</x:v>
      </x:c>
      <x:c r="M212" s="18" t="str">
        <x:v>否</x:v>
      </x:c>
      <x:c r="N212" s="18" t="str">
        <x:v>否</x:v>
      </x:c>
      <x:c r="O212" s="20" t="n">
        <x:v>2</x:v>
      </x:c>
      <x:c r="P212" s="19" t="str">
        <x:v>详见 Hub证据 页，按本 Hub 名称筛选</x:v>
      </x:c>
      <x:c r="Q212" s="19" t="str">
        <x:v>Official operator transfer guide defines the proposed interchange area. Each physical station/operator/mode stays separate.</x:v>
      </x:c>
      <x:c r="R212" s="19"/>
      <x:c r="S212" s="18" t="str">
        <x:v>大阪圈</x:v>
      </x:c>
      <x:c r="T212" s="20" t="n">
        <x:v>0</x:v>
      </x:c>
    </x:row>
    <x:row r="213" ht="33" customHeight="1">
      <x:c r="A213" s="19" t="str">
        <x:v>住之江公園</x:v>
      </x:c>
      <x:c r="B213" s="18" t="str">
        <x:v>T2</x:v>
      </x:c>
      <x:c r="C213" s="20" t="n">
        <x:v>2</x:v>
      </x:c>
      <x:c r="D213" s="20" t="n">
        <x:v>1</x:v>
      </x:c>
      <x:c r="E213" s="19" t="str">
        <x:v>有官方换乘依据</x:v>
      </x:c>
      <x:c r="F213" s="20" t="n">
        <x:v>0</x:v>
      </x:c>
      <x:c r="G213" s="19" t="str">
        <x:v>组件待审核</x:v>
      </x:c>
      <x:c r="H213" s="18" t="str">
        <x:v>OSAKA_METRO_NETWORK</x:v>
      </x:c>
      <x:c r="I213" s="18" t="str">
        <x:v>transport-hub-review:defbce00-9199-5eef-90df-2c5a7ffc6c30</x:v>
      </x:c>
      <x:c r="J213" s="19" t="str"/>
      <x:c r="K213" s="19" t="str"/>
      <x:c r="L213" s="18" t="str">
        <x:v>否</x:v>
      </x:c>
      <x:c r="M213" s="18" t="str">
        <x:v>否</x:v>
      </x:c>
      <x:c r="N213" s="18" t="str">
        <x:v>否</x:v>
      </x:c>
      <x:c r="O213" s="20" t="n">
        <x:v>2</x:v>
      </x:c>
      <x:c r="P213" s="19" t="str">
        <x:v>详见 Hub证据 页，按本 Hub 名称筛选</x:v>
      </x:c>
      <x:c r="Q213" s="19" t="str">
        <x:v>Official operator transfer guide defines the proposed interchange area. Each physical station/operator/mode stays separate.</x:v>
      </x:c>
      <x:c r="R213" s="19"/>
      <x:c r="S213" s="18" t="str">
        <x:v>大阪圈</x:v>
      </x:c>
      <x:c r="T213" s="20" t="n">
        <x:v>0</x:v>
      </x:c>
    </x:row>
    <x:row r="214" ht="47" customHeight="1">
      <x:c r="A214" s="19" t="str">
        <x:v>小平</x:v>
      </x:c>
      <x:c r="B214" s="18" t="str">
        <x:v>T2</x:v>
      </x:c>
      <x:c r="C214" s="20" t="n">
        <x:v>1</x:v>
      </x:c>
      <x:c r="D214" s="20" t="n">
        <x:v>1</x:v>
      </x:c>
      <x:c r="E214" s="19" t="str">
        <x:v>有官方换乘依据</x:v>
      </x:c>
      <x:c r="F214" s="20" t="n">
        <x:v>0</x:v>
      </x:c>
      <x:c r="G214" s="19" t="str">
        <x:v>组件待审核</x:v>
      </x:c>
      <x:c r="H214" s="18" t="str">
        <x:v>NATIONAL_CITY_INTERCHANGE_EXPANSION</x:v>
      </x:c>
      <x:c r="I214" s="18" t="str">
        <x:v>transport-hub-review:f0689e03-1dc4-5635-aeae-a8a6476344ab</x:v>
      </x:c>
      <x:c r="J214" s="19" t="str"/>
      <x:c r="K214" s="19" t="str"/>
      <x:c r="L214" s="18" t="str">
        <x:v>否</x:v>
      </x:c>
      <x:c r="M214" s="18" t="str">
        <x:v>否</x:v>
      </x:c>
      <x:c r="N214" s="18" t="str">
        <x:v>否</x:v>
      </x:c>
      <x:c r="O214" s="20" t="n">
        <x:v>1</x:v>
      </x:c>
      <x:c r="P214" s="19" t="str">
        <x:v>详见 Hub证据 页，按本 Hub 名称筛选</x:v>
      </x:c>
      <x:c r="Q21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4" s="19"/>
      <x:c r="S214" s="18" t="str">
        <x:v>东京多摩</x:v>
      </x:c>
      <x:c r="T214" s="20" t="n">
        <x:v>0</x:v>
      </x:c>
    </x:row>
    <x:row r="215" ht="47" customHeight="1">
      <x:c r="A215" s="19" t="str">
        <x:v>松阪</x:v>
      </x:c>
      <x:c r="B215" s="18" t="str">
        <x:v>T2</x:v>
      </x:c>
      <x:c r="C215" s="20" t="n">
        <x:v>2</x:v>
      </x:c>
      <x:c r="D215" s="20" t="n">
        <x:v>2</x:v>
      </x:c>
      <x:c r="E215" s="19" t="str">
        <x:v>有官方换乘依据</x:v>
      </x:c>
      <x:c r="F215" s="20" t="n">
        <x:v>0</x:v>
      </x:c>
      <x:c r="G215" s="19" t="str">
        <x:v>组件待审核</x:v>
      </x:c>
      <x:c r="H215" s="18" t="str">
        <x:v>NATIONAL_CITY_INTERCHANGE_EXPANSION</x:v>
      </x:c>
      <x:c r="I215" s="18" t="str">
        <x:v>transport-hub-review:a2f1a1ec-6cae-5231-9a2e-5142feebfd0b</x:v>
      </x:c>
      <x:c r="J215" s="19" t="str"/>
      <x:c r="K215" s="19" t="str"/>
      <x:c r="L215" s="18" t="str">
        <x:v>否</x:v>
      </x:c>
      <x:c r="M215" s="18" t="str">
        <x:v>否</x:v>
      </x:c>
      <x:c r="N215" s="18" t="str">
        <x:v>否</x:v>
      </x:c>
      <x:c r="O215" s="20" t="n">
        <x:v>1</x:v>
      </x:c>
      <x:c r="P215" s="19" t="str">
        <x:v>详见 Hub证据 页，按本 Hub 名称筛选</x:v>
      </x:c>
      <x:c r="Q21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5" s="19"/>
      <x:c r="S215" s="18" t="str">
        <x:v>三重主要城市</x:v>
      </x:c>
      <x:c r="T215" s="20" t="n">
        <x:v>0</x:v>
      </x:c>
    </x:row>
    <x:row r="216" ht="47" customHeight="1">
      <x:c r="A216" s="19" t="str">
        <x:v>上小田井</x:v>
      </x:c>
      <x:c r="B216" s="18" t="str">
        <x:v>T2</x:v>
      </x:c>
      <x:c r="C216" s="20" t="n">
        <x:v>2</x:v>
      </x:c>
      <x:c r="D216" s="20" t="n">
        <x:v>2</x:v>
      </x:c>
      <x:c r="E216" s="19" t="str">
        <x:v>有官方换乘依据</x:v>
      </x:c>
      <x:c r="F216" s="20" t="n">
        <x:v>0</x:v>
      </x:c>
      <x:c r="G216" s="19" t="str">
        <x:v>组件待审核</x:v>
      </x:c>
      <x:c r="H216" s="18" t="str">
        <x:v>NATIONAL_CITY_INTERCHANGE_EXPANSION</x:v>
      </x:c>
      <x:c r="I216" s="18" t="str">
        <x:v>transport-hub-review:8c567c76-4a10-5e7f-ba6d-637f75d8aa8d</x:v>
      </x:c>
      <x:c r="J216" s="19" t="str"/>
      <x:c r="K216" s="19" t="str"/>
      <x:c r="L216" s="18" t="str">
        <x:v>否</x:v>
      </x:c>
      <x:c r="M216" s="18" t="str">
        <x:v>否</x:v>
      </x:c>
      <x:c r="N216" s="18" t="str">
        <x:v>否</x:v>
      </x:c>
      <x:c r="O216" s="20" t="n">
        <x:v>1</x:v>
      </x:c>
      <x:c r="P216" s="19" t="str">
        <x:v>详见 Hub证据 页，按本 Hub 名称筛选</x:v>
      </x:c>
      <x:c r="Q21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6" s="19"/>
      <x:c r="S216" s="18" t="str">
        <x:v>名古屋圈</x:v>
      </x:c>
      <x:c r="T216" s="20" t="n">
        <x:v>0</x:v>
      </x:c>
    </x:row>
    <x:row r="217" ht="47" customHeight="1">
      <x:c r="A217" s="19" t="str">
        <x:v>新祝園・祝園</x:v>
      </x:c>
      <x:c r="B217" s="18" t="str">
        <x:v>T2</x:v>
      </x:c>
      <x:c r="C217" s="20" t="n">
        <x:v>2</x:v>
      </x:c>
      <x:c r="D217" s="20" t="n">
        <x:v>2</x:v>
      </x:c>
      <x:c r="E217" s="19" t="str">
        <x:v>有官方换乘依据</x:v>
      </x:c>
      <x:c r="F217" s="20" t="n">
        <x:v>0</x:v>
      </x:c>
      <x:c r="G217" s="19" t="str">
        <x:v>组件待审核</x:v>
      </x:c>
      <x:c r="H217" s="18" t="str">
        <x:v>NATIONAL_CITY_INTERCHANGE_EXPANSION</x:v>
      </x:c>
      <x:c r="I217" s="18" t="str">
        <x:v>transport-hub-review:27ce8e98-b8fa-5c16-acc6-073d99a9e053</x:v>
      </x:c>
      <x:c r="J217" s="19" t="str"/>
      <x:c r="K217" s="19" t="str"/>
      <x:c r="L217" s="18" t="str">
        <x:v>否</x:v>
      </x:c>
      <x:c r="M217" s="18" t="str">
        <x:v>否</x:v>
      </x:c>
      <x:c r="N217" s="18" t="str">
        <x:v>否</x:v>
      </x:c>
      <x:c r="O217" s="20" t="n">
        <x:v>1</x:v>
      </x:c>
      <x:c r="P217" s="19" t="str">
        <x:v>详见 Hub证据 页，按本 Hub 名称筛选</x:v>
      </x:c>
      <x:c r="Q21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7" s="19"/>
      <x:c r="S217" s="18" t="str">
        <x:v>京都</x:v>
      </x:c>
      <x:c r="T217" s="20" t="n">
        <x:v>0</x:v>
      </x:c>
    </x:row>
    <x:row r="218" ht="47" customHeight="1">
      <x:c r="A218" s="19" t="str">
        <x:v>新松田・松田</x:v>
      </x:c>
      <x:c r="B218" s="18" t="str">
        <x:v>T2</x:v>
      </x:c>
      <x:c r="C218" s="20" t="n">
        <x:v>2</x:v>
      </x:c>
      <x:c r="D218" s="20" t="n">
        <x:v>2</x:v>
      </x:c>
      <x:c r="E218" s="19" t="str">
        <x:v>有官方换乘依据</x:v>
      </x:c>
      <x:c r="F218" s="20" t="n">
        <x:v>0</x:v>
      </x:c>
      <x:c r="G218" s="19" t="str">
        <x:v>组件待审核</x:v>
      </x:c>
      <x:c r="H218" s="18" t="str">
        <x:v>NATIONAL_CITY_INTERCHANGE_EXPANSION</x:v>
      </x:c>
      <x:c r="I218" s="18" t="str">
        <x:v>transport-hub-review:314de6b8-d5e8-5f64-8d6e-eec4c9a88b9a</x:v>
      </x:c>
      <x:c r="J218" s="19" t="str"/>
      <x:c r="K218" s="19" t="str"/>
      <x:c r="L218" s="18" t="str">
        <x:v>否</x:v>
      </x:c>
      <x:c r="M218" s="18" t="str">
        <x:v>否</x:v>
      </x:c>
      <x:c r="N218" s="18" t="str">
        <x:v>否</x:v>
      </x:c>
      <x:c r="O218" s="20" t="n">
        <x:v>1</x:v>
      </x:c>
      <x:c r="P218" s="19" t="str">
        <x:v>详见 Hub证据 页，按本 Hub 名称筛选</x:v>
      </x:c>
      <x:c r="Q21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8" s="19"/>
      <x:c r="S218" s="18" t="str">
        <x:v>神奈川其他</x:v>
      </x:c>
      <x:c r="T218" s="20" t="n">
        <x:v>0</x:v>
      </x:c>
    </x:row>
    <x:row r="219" ht="47" customHeight="1">
      <x:c r="A219" s="19" t="str">
        <x:v>新瑞橋</x:v>
      </x:c>
      <x:c r="B219" s="18" t="str">
        <x:v>T2</x:v>
      </x:c>
      <x:c r="C219" s="20" t="n">
        <x:v>1</x:v>
      </x:c>
      <x:c r="D219" s="20" t="n">
        <x:v>1</x:v>
      </x:c>
      <x:c r="E219" s="19" t="str">
        <x:v>有官方换乘依据</x:v>
      </x:c>
      <x:c r="F219" s="20" t="n">
        <x:v>0</x:v>
      </x:c>
      <x:c r="G219" s="19" t="str">
        <x:v>组件待审核</x:v>
      </x:c>
      <x:c r="H219" s="18" t="str">
        <x:v>NATIONAL_CITY_INTERCHANGE_EXPANSION</x:v>
      </x:c>
      <x:c r="I219" s="18" t="str">
        <x:v>transport-hub-review:1e29e307-f8e5-59e9-8c5f-df420a85caa7</x:v>
      </x:c>
      <x:c r="J219" s="19" t="str"/>
      <x:c r="K219" s="19" t="str"/>
      <x:c r="L219" s="18" t="str">
        <x:v>否</x:v>
      </x:c>
      <x:c r="M219" s="18" t="str">
        <x:v>否</x:v>
      </x:c>
      <x:c r="N219" s="18" t="str">
        <x:v>否</x:v>
      </x:c>
      <x:c r="O219" s="20" t="n">
        <x:v>1</x:v>
      </x:c>
      <x:c r="P219" s="19" t="str">
        <x:v>详见 Hub证据 页，按本 Hub 名称筛选</x:v>
      </x:c>
      <x:c r="Q21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19" s="19"/>
      <x:c r="S219" s="18" t="str">
        <x:v>名古屋圈</x:v>
      </x:c>
      <x:c r="T219" s="20" t="n">
        <x:v>0</x:v>
      </x:c>
    </x:row>
    <x:row r="220" ht="47" customHeight="1">
      <x:c r="A220" s="19" t="str">
        <x:v>新長田</x:v>
      </x:c>
      <x:c r="B220" s="18" t="str">
        <x:v>T2</x:v>
      </x:c>
      <x:c r="C220" s="20" t="n">
        <x:v>2</x:v>
      </x:c>
      <x:c r="D220" s="20" t="n">
        <x:v>2</x:v>
      </x:c>
      <x:c r="E220" s="19" t="str">
        <x:v>有官方换乘依据</x:v>
      </x:c>
      <x:c r="F220" s="20" t="n">
        <x:v>0</x:v>
      </x:c>
      <x:c r="G220" s="19" t="str">
        <x:v>组件待审核</x:v>
      </x:c>
      <x:c r="H220" s="18" t="str">
        <x:v>NATIONAL_CITY_INTERCHANGE_EXPANSION</x:v>
      </x:c>
      <x:c r="I220" s="18" t="str">
        <x:v>transport-hub-review:b2e447e8-e0f3-5ba6-8c8a-5e49ffac0405</x:v>
      </x:c>
      <x:c r="J220" s="19" t="str"/>
      <x:c r="K220" s="19" t="str"/>
      <x:c r="L220" s="18" t="str">
        <x:v>否</x:v>
      </x:c>
      <x:c r="M220" s="18" t="str">
        <x:v>否</x:v>
      </x:c>
      <x:c r="N220" s="18" t="str">
        <x:v>否</x:v>
      </x:c>
      <x:c r="O220" s="20" t="n">
        <x:v>1</x:v>
      </x:c>
      <x:c r="P220" s="19" t="str">
        <x:v>详见 Hub证据 页，按本 Hub 名称筛选</x:v>
      </x:c>
      <x:c r="Q22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20" s="19"/>
      <x:c r="S220" s="18" t="str">
        <x:v>神户</x:v>
      </x:c>
      <x:c r="T220" s="20" t="n">
        <x:v>0</x:v>
      </x:c>
    </x:row>
    <x:row r="221" ht="33" customHeight="1">
      <x:c r="A221" s="19" t="str">
        <x:v>森ノ宮</x:v>
      </x:c>
      <x:c r="B221" s="18" t="str">
        <x:v>T2</x:v>
      </x:c>
      <x:c r="C221" s="20" t="n">
        <x:v>2</x:v>
      </x:c>
      <x:c r="D221" s="20" t="n">
        <x:v>2</x:v>
      </x:c>
      <x:c r="E221" s="19" t="str">
        <x:v>有官方换乘依据</x:v>
      </x:c>
      <x:c r="F221" s="20" t="n">
        <x:v>0</x:v>
      </x:c>
      <x:c r="G221" s="19" t="str">
        <x:v>组件待审核</x:v>
      </x:c>
      <x:c r="H221" s="18" t="str">
        <x:v>OSAKA_METRO_NETWORK</x:v>
      </x:c>
      <x:c r="I221" s="18" t="str">
        <x:v>transport-hub-review:89c1ff9a-884a-5e29-8690-3b98546241ff</x:v>
      </x:c>
      <x:c r="J221" s="19" t="str"/>
      <x:c r="K221" s="19" t="str"/>
      <x:c r="L221" s="18" t="str">
        <x:v>否</x:v>
      </x:c>
      <x:c r="M221" s="18" t="str">
        <x:v>否</x:v>
      </x:c>
      <x:c r="N221" s="18" t="str">
        <x:v>否</x:v>
      </x:c>
      <x:c r="O221" s="20" t="n">
        <x:v>4</x:v>
      </x:c>
      <x:c r="P221" s="19" t="str">
        <x:v>详见 Hub证据 页，按本 Hub 名称筛选</x:v>
      </x:c>
      <x:c r="Q221" s="19" t="str">
        <x:v>Official operator transfer guide defines the proposed interchange area. Each physical station/operator/mode stays separate.</x:v>
      </x:c>
      <x:c r="R221" s="19"/>
      <x:c r="S221" s="18" t="str">
        <x:v>大阪圈</x:v>
      </x:c>
      <x:c r="T221" s="20" t="n">
        <x:v>0</x:v>
      </x:c>
    </x:row>
    <x:row r="222" ht="33" customHeight="1">
      <x:c r="A222" s="19" t="str">
        <x:v>西院</x:v>
      </x:c>
      <x:c r="B222" s="18" t="str">
        <x:v>T2</x:v>
      </x:c>
      <x:c r="C222" s="20" t="n">
        <x:v>2</x:v>
      </x:c>
      <x:c r="D222" s="20" t="n">
        <x:v>2</x:v>
      </x:c>
      <x:c r="E222" s="19" t="str">
        <x:v>有官方换乘依据</x:v>
      </x:c>
      <x:c r="F222" s="20" t="n">
        <x:v>0</x:v>
      </x:c>
      <x:c r="G222" s="19" t="str">
        <x:v>组件待审核</x:v>
      </x:c>
      <x:c r="H222" s="18" t="str">
        <x:v>KYOTO</x:v>
      </x:c>
      <x:c r="I222" s="18" t="str">
        <x:v>transport-hub-review:953261f0-73ed-5708-b1c9-7de606da0518</x:v>
      </x:c>
      <x:c r="J222" s="19" t="str"/>
      <x:c r="K222" s="19" t="str"/>
      <x:c r="L222" s="18" t="str">
        <x:v>否</x:v>
      </x:c>
      <x:c r="M222" s="18" t="str">
        <x:v>否</x:v>
      </x:c>
      <x:c r="N222" s="18" t="str">
        <x:v>否</x:v>
      </x:c>
      <x:c r="O222" s="20" t="n">
        <x:v>1</x:v>
      </x:c>
      <x:c r="P222" s="19" t="str">
        <x:v>详见 Hub证据 页，按本 Hub 名称筛选</x:v>
      </x:c>
      <x:c r="Q222" s="19" t="str">
        <x:v>Official operator transfer guide defines the proposed interchange area. Each physical station/operator/mode stays separate.</x:v>
      </x:c>
      <x:c r="R222" s="19"/>
      <x:c r="S222" s="18" t="str">
        <x:v>京都</x:v>
      </x:c>
      <x:c r="T222" s="20" t="n">
        <x:v>0</x:v>
      </x:c>
    </x:row>
    <x:row r="223" ht="47" customHeight="1">
      <x:c r="A223" s="19" t="str">
        <x:v>西所沢</x:v>
      </x:c>
      <x:c r="B223" s="18" t="str">
        <x:v>T2</x:v>
      </x:c>
      <x:c r="C223" s="20" t="n">
        <x:v>1</x:v>
      </x:c>
      <x:c r="D223" s="20" t="n">
        <x:v>1</x:v>
      </x:c>
      <x:c r="E223" s="19" t="str">
        <x:v>有官方换乘依据</x:v>
      </x:c>
      <x:c r="F223" s="20" t="n">
        <x:v>0</x:v>
      </x:c>
      <x:c r="G223" s="19" t="str">
        <x:v>组件待审核</x:v>
      </x:c>
      <x:c r="H223" s="18" t="str">
        <x:v>NATIONAL_CITY_INTERCHANGE_EXPANSION</x:v>
      </x:c>
      <x:c r="I223" s="18" t="str">
        <x:v>transport-hub-review:a2ad86a3-7c81-5904-95d2-a8f815ebff83</x:v>
      </x:c>
      <x:c r="J223" s="19" t="str"/>
      <x:c r="K223" s="19" t="str"/>
      <x:c r="L223" s="18" t="str">
        <x:v>否</x:v>
      </x:c>
      <x:c r="M223" s="18" t="str">
        <x:v>否</x:v>
      </x:c>
      <x:c r="N223" s="18" t="str">
        <x:v>否</x:v>
      </x:c>
      <x:c r="O223" s="20" t="n">
        <x:v>1</x:v>
      </x:c>
      <x:c r="P223" s="19" t="str">
        <x:v>详见 Hub证据 页，按本 Hub 名称筛选</x:v>
      </x:c>
      <x:c r="Q22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23" s="19"/>
      <x:c r="S223" s="18" t="str">
        <x:v>埼玉圈</x:v>
      </x:c>
      <x:c r="T223" s="20" t="n">
        <x:v>0</x:v>
      </x:c>
    </x:row>
    <x:row r="224" ht="33" customHeight="1">
      <x:c r="A224" s="19" t="str">
        <x:v>西長堀</x:v>
      </x:c>
      <x:c r="B224" s="18" t="str">
        <x:v>T2</x:v>
      </x:c>
      <x:c r="C224" s="20" t="n">
        <x:v>1</x:v>
      </x:c>
      <x:c r="D224" s="20" t="n">
        <x:v>1</x:v>
      </x:c>
      <x:c r="E224" s="19" t="str">
        <x:v>有官方换乘依据</x:v>
      </x:c>
      <x:c r="F224" s="20" t="n">
        <x:v>0</x:v>
      </x:c>
      <x:c r="G224" s="19" t="str">
        <x:v>组件待审核</x:v>
      </x:c>
      <x:c r="H224" s="18" t="str">
        <x:v>OSAKA_METRO_NETWORK</x:v>
      </x:c>
      <x:c r="I224" s="18" t="str">
        <x:v>transport-hub-review:32fbb01e-2799-5ca3-afcc-0415316bda71</x:v>
      </x:c>
      <x:c r="J224" s="19" t="str"/>
      <x:c r="K224" s="19" t="str"/>
      <x:c r="L224" s="18" t="str">
        <x:v>否</x:v>
      </x:c>
      <x:c r="M224" s="18" t="str">
        <x:v>否</x:v>
      </x:c>
      <x:c r="N224" s="18" t="str">
        <x:v>否</x:v>
      </x:c>
      <x:c r="O224" s="20" t="n">
        <x:v>2</x:v>
      </x:c>
      <x:c r="P224" s="19" t="str">
        <x:v>详见 Hub证据 页，按本 Hub 名称筛选</x:v>
      </x:c>
      <x:c r="Q224" s="19" t="str">
        <x:v>Official operator transfer guide defines the proposed interchange area. Each physical station/operator/mode stays separate.</x:v>
      </x:c>
      <x:c r="R224" s="19"/>
      <x:c r="S224" s="18" t="str">
        <x:v>大阪圈</x:v>
      </x:c>
      <x:c r="T224" s="20" t="n">
        <x:v>0</x:v>
      </x:c>
    </x:row>
    <x:row r="225" ht="47" customHeight="1">
      <x:c r="A225" s="19" t="str">
        <x:v>赤池</x:v>
      </x:c>
      <x:c r="B225" s="18" t="str">
        <x:v>T2</x:v>
      </x:c>
      <x:c r="C225" s="20" t="n">
        <x:v>2</x:v>
      </x:c>
      <x:c r="D225" s="20" t="n">
        <x:v>2</x:v>
      </x:c>
      <x:c r="E225" s="19" t="str">
        <x:v>有官方换乘依据</x:v>
      </x:c>
      <x:c r="F225" s="20" t="n">
        <x:v>0</x:v>
      </x:c>
      <x:c r="G225" s="19" t="str">
        <x:v>组件待审核</x:v>
      </x:c>
      <x:c r="H225" s="18" t="str">
        <x:v>NATIONAL_CITY_INTERCHANGE_EXPANSION</x:v>
      </x:c>
      <x:c r="I225" s="18" t="str">
        <x:v>transport-hub-review:126b4162-753d-5c94-a0ec-237e48d9dd04</x:v>
      </x:c>
      <x:c r="J225" s="19" t="str"/>
      <x:c r="K225" s="19" t="str"/>
      <x:c r="L225" s="18" t="str">
        <x:v>否</x:v>
      </x:c>
      <x:c r="M225" s="18" t="str">
        <x:v>否</x:v>
      </x:c>
      <x:c r="N225" s="18" t="str">
        <x:v>否</x:v>
      </x:c>
      <x:c r="O225" s="20" t="n">
        <x:v>1</x:v>
      </x:c>
      <x:c r="P225" s="19" t="str">
        <x:v>详见 Hub证据 页，按本 Hub 名称筛选</x:v>
      </x:c>
      <x:c r="Q22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25" s="19"/>
      <x:c r="S225" s="18" t="str">
        <x:v>名古屋圈</x:v>
      </x:c>
      <x:c r="T225" s="20" t="n">
        <x:v>0</x:v>
      </x:c>
    </x:row>
    <x:row r="226" ht="33" customHeight="1">
      <x:c r="A226" s="19" t="str">
        <x:v>太子橋今市</x:v>
      </x:c>
      <x:c r="B226" s="18" t="str">
        <x:v>T2</x:v>
      </x:c>
      <x:c r="C226" s="20" t="n">
        <x:v>1</x:v>
      </x:c>
      <x:c r="D226" s="20" t="n">
        <x:v>1</x:v>
      </x:c>
      <x:c r="E226" s="19" t="str">
        <x:v>有官方换乘依据</x:v>
      </x:c>
      <x:c r="F226" s="20" t="n">
        <x:v>0</x:v>
      </x:c>
      <x:c r="G226" s="19" t="str">
        <x:v>组件待审核</x:v>
      </x:c>
      <x:c r="H226" s="18" t="str">
        <x:v>OSAKA_METRO_NETWORK</x:v>
      </x:c>
      <x:c r="I226" s="18" t="str">
        <x:v>transport-hub-review:332dc417-8a7d-5d8c-a7a3-fa7b0d9c0393</x:v>
      </x:c>
      <x:c r="J226" s="19" t="str"/>
      <x:c r="K226" s="19" t="str"/>
      <x:c r="L226" s="18" t="str">
        <x:v>否</x:v>
      </x:c>
      <x:c r="M226" s="18" t="str">
        <x:v>否</x:v>
      </x:c>
      <x:c r="N226" s="18" t="str">
        <x:v>否</x:v>
      </x:c>
      <x:c r="O226" s="20" t="n">
        <x:v>2</x:v>
      </x:c>
      <x:c r="P226" s="19" t="str">
        <x:v>详见 Hub证据 页，按本 Hub 名称筛选</x:v>
      </x:c>
      <x:c r="Q226" s="19" t="str">
        <x:v>Official operator transfer guide defines the proposed interchange area. Each physical station/operator/mode stays separate.</x:v>
      </x:c>
      <x:c r="R226" s="19"/>
      <x:c r="S226" s="18" t="str">
        <x:v>大阪圈</x:v>
      </x:c>
      <x:c r="T226" s="20" t="n">
        <x:v>0</x:v>
      </x:c>
    </x:row>
    <x:row r="227" ht="33" customHeight="1">
      <x:c r="A227" s="19" t="str">
        <x:v>大宮・四条大宮</x:v>
      </x:c>
      <x:c r="B227" s="18" t="str">
        <x:v>T2</x:v>
      </x:c>
      <x:c r="C227" s="20" t="n">
        <x:v>2</x:v>
      </x:c>
      <x:c r="D227" s="20" t="n">
        <x:v>2</x:v>
      </x:c>
      <x:c r="E227" s="19" t="str">
        <x:v>有官方换乘依据</x:v>
      </x:c>
      <x:c r="F227" s="20" t="n">
        <x:v>0</x:v>
      </x:c>
      <x:c r="G227" s="19" t="str">
        <x:v>组件待审核</x:v>
      </x:c>
      <x:c r="H227" s="18" t="str">
        <x:v>KYOTO</x:v>
      </x:c>
      <x:c r="I227" s="18" t="str">
        <x:v>transport-hub-review:b30b067a-338e-5b85-811a-497dbaa709b9</x:v>
      </x:c>
      <x:c r="J227" s="19" t="str"/>
      <x:c r="K227" s="19" t="str"/>
      <x:c r="L227" s="18" t="str">
        <x:v>否</x:v>
      </x:c>
      <x:c r="M227" s="18" t="str">
        <x:v>否</x:v>
      </x:c>
      <x:c r="N227" s="18" t="str">
        <x:v>否</x:v>
      </x:c>
      <x:c r="O227" s="20" t="n">
        <x:v>1</x:v>
      </x:c>
      <x:c r="P227" s="19" t="str">
        <x:v>详见 Hub证据 页，按本 Hub 名称筛选</x:v>
      </x:c>
      <x:c r="Q227" s="19" t="str">
        <x:v>Official operator transfer guide defines the proposed interchange area. Each physical station/operator/mode stays separate.</x:v>
      </x:c>
      <x:c r="R227" s="19"/>
      <x:c r="S227" s="18" t="str">
        <x:v>京都</x:v>
      </x:c>
      <x:c r="T227" s="20" t="n">
        <x:v>0</x:v>
      </x:c>
    </x:row>
    <x:row r="228" ht="33" customHeight="1">
      <x:c r="A228" s="19" t="str">
        <x:v>大正</x:v>
      </x:c>
      <x:c r="B228" s="18" t="str">
        <x:v>T2</x:v>
      </x:c>
      <x:c r="C228" s="20" t="n">
        <x:v>2</x:v>
      </x:c>
      <x:c r="D228" s="20" t="n">
        <x:v>2</x:v>
      </x:c>
      <x:c r="E228" s="19" t="str">
        <x:v>有官方换乘依据</x:v>
      </x:c>
      <x:c r="F228" s="20" t="n">
        <x:v>0</x:v>
      </x:c>
      <x:c r="G228" s="19" t="str">
        <x:v>组件待审核</x:v>
      </x:c>
      <x:c r="H228" s="18" t="str">
        <x:v>OSAKA_METRO_NETWORK</x:v>
      </x:c>
      <x:c r="I228" s="18" t="str">
        <x:v>transport-hub-review:a6c4f76d-a4db-5593-831b-8f780f7fdde4</x:v>
      </x:c>
      <x:c r="J228" s="19" t="str"/>
      <x:c r="K228" s="19" t="str"/>
      <x:c r="L228" s="18" t="str">
        <x:v>否</x:v>
      </x:c>
      <x:c r="M228" s="18" t="str">
        <x:v>否</x:v>
      </x:c>
      <x:c r="N228" s="18" t="str">
        <x:v>否</x:v>
      </x:c>
      <x:c r="O228" s="20" t="n">
        <x:v>2</x:v>
      </x:c>
      <x:c r="P228" s="19" t="str">
        <x:v>详见 Hub证据 页，按本 Hub 名称筛选</x:v>
      </x:c>
      <x:c r="Q228" s="19" t="str">
        <x:v>Official operator transfer guide defines the proposed interchange area. Each physical station/operator/mode stays separate.</x:v>
      </x:c>
      <x:c r="R228" s="19"/>
      <x:c r="S228" s="18" t="str">
        <x:v>大阪圈</x:v>
      </x:c>
      <x:c r="T228" s="20" t="n">
        <x:v>0</x:v>
      </x:c>
    </x:row>
    <x:row r="229" ht="33" customHeight="1">
      <x:c r="A229" s="19" t="str">
        <x:v>大日</x:v>
      </x:c>
      <x:c r="B229" s="18" t="str">
        <x:v>T2</x:v>
      </x:c>
      <x:c r="C229" s="20" t="n">
        <x:v>2</x:v>
      </x:c>
      <x:c r="D229" s="20" t="n">
        <x:v>2</x:v>
      </x:c>
      <x:c r="E229" s="19" t="str">
        <x:v>有官方换乘依据</x:v>
      </x:c>
      <x:c r="F229" s="20" t="n">
        <x:v>0</x:v>
      </x:c>
      <x:c r="G229" s="19" t="str">
        <x:v>组件待审核</x:v>
      </x:c>
      <x:c r="H229" s="18" t="str">
        <x:v>OSAKA_METRO_NETWORK</x:v>
      </x:c>
      <x:c r="I229" s="18" t="str">
        <x:v>transport-hub-review:98cbf32b-972b-57fb-b406-492dd7de0f95</x:v>
      </x:c>
      <x:c r="J229" s="19" t="str"/>
      <x:c r="K229" s="19" t="str"/>
      <x:c r="L229" s="18" t="str">
        <x:v>否</x:v>
      </x:c>
      <x:c r="M229" s="18" t="str">
        <x:v>否</x:v>
      </x:c>
      <x:c r="N229" s="18" t="str">
        <x:v>否</x:v>
      </x:c>
      <x:c r="O229" s="20" t="n">
        <x:v>2</x:v>
      </x:c>
      <x:c r="P229" s="19" t="str">
        <x:v>详见 Hub证据 页，按本 Hub 名称筛选</x:v>
      </x:c>
      <x:c r="Q229" s="19" t="str">
        <x:v>Official operator transfer guide defines the proposed interchange area. Each physical station/operator/mode stays separate.</x:v>
      </x:c>
      <x:c r="R229" s="19"/>
      <x:c r="S229" s="18" t="str">
        <x:v>大阪圈</x:v>
      </x:c>
      <x:c r="T229" s="20" t="n">
        <x:v>0</x:v>
      </x:c>
    </x:row>
    <x:row r="230" ht="47" customHeight="1">
      <x:c r="A230" s="19" t="str">
        <x:v>大和西大寺</x:v>
      </x:c>
      <x:c r="B230" s="18" t="str">
        <x:v>T2</x:v>
      </x:c>
      <x:c r="C230" s="20" t="n">
        <x:v>1</x:v>
      </x:c>
      <x:c r="D230" s="20" t="n">
        <x:v>1</x:v>
      </x:c>
      <x:c r="E230" s="19" t="str">
        <x:v>有官方换乘依据</x:v>
      </x:c>
      <x:c r="F230" s="20" t="n">
        <x:v>0</x:v>
      </x:c>
      <x:c r="G230" s="19" t="str">
        <x:v>组件待审核</x:v>
      </x:c>
      <x:c r="H230" s="18" t="str">
        <x:v>NATIONAL_CITY_INTERCHANGE_EXPANSION</x:v>
      </x:c>
      <x:c r="I230" s="18" t="str">
        <x:v>transport-hub-review:01e04ad1-b35b-5928-9ec7-7d86809a6c03</x:v>
      </x:c>
      <x:c r="J230" s="19" t="str"/>
      <x:c r="K230" s="19" t="str"/>
      <x:c r="L230" s="18" t="str">
        <x:v>否</x:v>
      </x:c>
      <x:c r="M230" s="18" t="str">
        <x:v>否</x:v>
      </x:c>
      <x:c r="N230" s="18" t="str">
        <x:v>否</x:v>
      </x:c>
      <x:c r="O230" s="20" t="n">
        <x:v>1</x:v>
      </x:c>
      <x:c r="P230" s="19" t="str">
        <x:v>详见 Hub证据 页，按本 Hub 名称筛选</x:v>
      </x:c>
      <x:c r="Q23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0" s="19"/>
      <x:c r="S230" s="18" t="str">
        <x:v>奈良</x:v>
      </x:c>
      <x:c r="T230" s="20" t="n">
        <x:v>0</x:v>
      </x:c>
    </x:row>
    <x:row r="231" ht="47" customHeight="1">
      <x:c r="A231" s="19" t="str">
        <x:v>大和八木</x:v>
      </x:c>
      <x:c r="B231" s="18" t="str">
        <x:v>T2</x:v>
      </x:c>
      <x:c r="C231" s="20" t="n">
        <x:v>1</x:v>
      </x:c>
      <x:c r="D231" s="20" t="n">
        <x:v>1</x:v>
      </x:c>
      <x:c r="E231" s="19" t="str">
        <x:v>有官方换乘依据</x:v>
      </x:c>
      <x:c r="F231" s="20" t="n">
        <x:v>0</x:v>
      </x:c>
      <x:c r="G231" s="19" t="str">
        <x:v>组件待审核</x:v>
      </x:c>
      <x:c r="H231" s="18" t="str">
        <x:v>NATIONAL_CITY_INTERCHANGE_EXPANSION</x:v>
      </x:c>
      <x:c r="I231" s="18" t="str">
        <x:v>transport-hub-review:02583a98-f32a-5668-8381-65afcd258c41</x:v>
      </x:c>
      <x:c r="J231" s="19" t="str"/>
      <x:c r="K231" s="19" t="str"/>
      <x:c r="L231" s="18" t="str">
        <x:v>否</x:v>
      </x:c>
      <x:c r="M231" s="18" t="str">
        <x:v>否</x:v>
      </x:c>
      <x:c r="N231" s="18" t="str">
        <x:v>否</x:v>
      </x:c>
      <x:c r="O231" s="20" t="n">
        <x:v>1</x:v>
      </x:c>
      <x:c r="P231" s="19" t="str">
        <x:v>详见 Hub证据 页，按本 Hub 名称筛选</x:v>
      </x:c>
      <x:c r="Q23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1" s="19"/>
      <x:c r="S231" s="18" t="str">
        <x:v>奈良</x:v>
      </x:c>
      <x:c r="T231" s="20" t="n">
        <x:v>0</x:v>
      </x:c>
    </x:row>
    <x:row r="232" ht="47" customHeight="1">
      <x:c r="A232" s="19" t="str">
        <x:v>谷上</x:v>
      </x:c>
      <x:c r="B232" s="18" t="str">
        <x:v>T2</x:v>
      </x:c>
      <x:c r="C232" s="20" t="n">
        <x:v>2</x:v>
      </x:c>
      <x:c r="D232" s="20" t="n">
        <x:v>2</x:v>
      </x:c>
      <x:c r="E232" s="19" t="str">
        <x:v>有官方换乘依据</x:v>
      </x:c>
      <x:c r="F232" s="20" t="n">
        <x:v>0</x:v>
      </x:c>
      <x:c r="G232" s="19" t="str">
        <x:v>组件待审核</x:v>
      </x:c>
      <x:c r="H232" s="18" t="str">
        <x:v>NATIONAL_CITY_INTERCHANGE_EXPANSION</x:v>
      </x:c>
      <x:c r="I232" s="18" t="str">
        <x:v>transport-hub-review:f9669491-7037-53a6-bb66-b38d491fb349</x:v>
      </x:c>
      <x:c r="J232" s="19" t="str"/>
      <x:c r="K232" s="19" t="str"/>
      <x:c r="L232" s="18" t="str">
        <x:v>否</x:v>
      </x:c>
      <x:c r="M232" s="18" t="str">
        <x:v>否</x:v>
      </x:c>
      <x:c r="N232" s="18" t="str">
        <x:v>否</x:v>
      </x:c>
      <x:c r="O232" s="20" t="n">
        <x:v>1</x:v>
      </x:c>
      <x:c r="P232" s="19" t="str">
        <x:v>详见 Hub证据 页，按本 Hub 名称筛选</x:v>
      </x:c>
      <x:c r="Q23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2" s="19"/>
      <x:c r="S232" s="18" t="str">
        <x:v>神户</x:v>
      </x:c>
      <x:c r="T232" s="20" t="n">
        <x:v>0</x:v>
      </x:c>
    </x:row>
    <x:row r="233" ht="47" customHeight="1">
      <x:c r="A233" s="19" t="str">
        <x:v>丹波橋・近鉄丹波橋</x:v>
      </x:c>
      <x:c r="B233" s="18" t="str">
        <x:v>T2</x:v>
      </x:c>
      <x:c r="C233" s="20" t="n">
        <x:v>2</x:v>
      </x:c>
      <x:c r="D233" s="20" t="n">
        <x:v>2</x:v>
      </x:c>
      <x:c r="E233" s="19" t="str">
        <x:v>有官方换乘依据</x:v>
      </x:c>
      <x:c r="F233" s="20" t="n">
        <x:v>0</x:v>
      </x:c>
      <x:c r="G233" s="19" t="str">
        <x:v>组件待审核</x:v>
      </x:c>
      <x:c r="H233" s="18" t="str">
        <x:v>NATIONAL_CITY_INTERCHANGE_EXPANSION</x:v>
      </x:c>
      <x:c r="I233" s="18" t="str">
        <x:v>transport-hub-review:addfacc5-6548-5e0a-9143-09025440b308</x:v>
      </x:c>
      <x:c r="J233" s="19" t="str"/>
      <x:c r="K233" s="19" t="str"/>
      <x:c r="L233" s="18" t="str">
        <x:v>否</x:v>
      </x:c>
      <x:c r="M233" s="18" t="str">
        <x:v>否</x:v>
      </x:c>
      <x:c r="N233" s="18" t="str">
        <x:v>否</x:v>
      </x:c>
      <x:c r="O233" s="20" t="n">
        <x:v>1</x:v>
      </x:c>
      <x:c r="P233" s="19" t="str">
        <x:v>详见 Hub证据 页，按本 Hub 名称筛选</x:v>
      </x:c>
      <x:c r="Q23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3" s="19"/>
      <x:c r="S233" s="18" t="str">
        <x:v>京都</x:v>
      </x:c>
      <x:c r="T233" s="20" t="n">
        <x:v>0</x:v>
      </x:c>
    </x:row>
    <x:row r="234" ht="47" customHeight="1">
      <x:c r="A234" s="19" t="str">
        <x:v>竹田</x:v>
      </x:c>
      <x:c r="B234" s="18" t="str">
        <x:v>T2</x:v>
      </x:c>
      <x:c r="C234" s="20" t="n">
        <x:v>2</x:v>
      </x:c>
      <x:c r="D234" s="20" t="n">
        <x:v>2</x:v>
      </x:c>
      <x:c r="E234" s="19" t="str">
        <x:v>有官方换乘依据</x:v>
      </x:c>
      <x:c r="F234" s="20" t="n">
        <x:v>0</x:v>
      </x:c>
      <x:c r="G234" s="19" t="str">
        <x:v>组件待审核</x:v>
      </x:c>
      <x:c r="H234" s="18" t="str">
        <x:v>NATIONAL_CITY_INTERCHANGE_EXPANSION</x:v>
      </x:c>
      <x:c r="I234" s="18" t="str">
        <x:v>transport-hub-review:c035392c-64c6-5a2e-afbf-0a9a92456895</x:v>
      </x:c>
      <x:c r="J234" s="19" t="str"/>
      <x:c r="K234" s="19" t="str"/>
      <x:c r="L234" s="18" t="str">
        <x:v>否</x:v>
      </x:c>
      <x:c r="M234" s="18" t="str">
        <x:v>否</x:v>
      </x:c>
      <x:c r="N234" s="18" t="str">
        <x:v>否</x:v>
      </x:c>
      <x:c r="O234" s="20" t="n">
        <x:v>1</x:v>
      </x:c>
      <x:c r="P234" s="19" t="str">
        <x:v>详见 Hub证据 页，按本 Hub 名称筛选</x:v>
      </x:c>
      <x:c r="Q23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4" s="19"/>
      <x:c r="S234" s="18" t="str">
        <x:v>京都</x:v>
      </x:c>
      <x:c r="T234" s="20" t="n">
        <x:v>0</x:v>
      </x:c>
    </x:row>
    <x:row r="235" ht="47" customHeight="1">
      <x:c r="A235" s="19" t="str">
        <x:v>中井</x:v>
      </x:c>
      <x:c r="B235" s="18" t="str">
        <x:v>T2</x:v>
      </x:c>
      <x:c r="C235" s="20" t="n">
        <x:v>2</x:v>
      </x:c>
      <x:c r="D235" s="20" t="n">
        <x:v>2</x:v>
      </x:c>
      <x:c r="E235" s="19" t="str">
        <x:v>有官方换乘依据</x:v>
      </x:c>
      <x:c r="F235" s="20" t="n">
        <x:v>0</x:v>
      </x:c>
      <x:c r="G235" s="19" t="str">
        <x:v>组件待审核</x:v>
      </x:c>
      <x:c r="H235" s="18" t="str">
        <x:v>NATIONAL_CITY_INTERCHANGE_EXPANSION</x:v>
      </x:c>
      <x:c r="I235" s="18" t="str">
        <x:v>transport-hub-review:e4debfa2-1eec-5a7f-93f9-5e0319eacdea</x:v>
      </x:c>
      <x:c r="J235" s="19" t="str"/>
      <x:c r="K235" s="19" t="str"/>
      <x:c r="L235" s="18" t="str">
        <x:v>否</x:v>
      </x:c>
      <x:c r="M235" s="18" t="str">
        <x:v>否</x:v>
      </x:c>
      <x:c r="N235" s="18" t="str">
        <x:v>否</x:v>
      </x:c>
      <x:c r="O235" s="20" t="n">
        <x:v>1</x:v>
      </x:c>
      <x:c r="P235" s="19" t="str">
        <x:v>详见 Hub证据 页，按本 Hub 名称筛选</x:v>
      </x:c>
      <x:c r="Q23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5" s="19"/>
      <x:c r="S235" s="18" t="str">
        <x:v>东京23区</x:v>
      </x:c>
      <x:c r="T235" s="20" t="n">
        <x:v>0</x:v>
      </x:c>
    </x:row>
    <x:row r="236" ht="47" customHeight="1">
      <x:c r="A236" s="19" t="str">
        <x:v>中延</x:v>
      </x:c>
      <x:c r="B236" s="18" t="str">
        <x:v>T2</x:v>
      </x:c>
      <x:c r="C236" s="20" t="n">
        <x:v>2</x:v>
      </x:c>
      <x:c r="D236" s="20" t="n">
        <x:v>2</x:v>
      </x:c>
      <x:c r="E236" s="19" t="str">
        <x:v>有官方换乘依据</x:v>
      </x:c>
      <x:c r="F236" s="20" t="n">
        <x:v>0</x:v>
      </x:c>
      <x:c r="G236" s="19" t="str">
        <x:v>组件待审核</x:v>
      </x:c>
      <x:c r="H236" s="18" t="str">
        <x:v>NATIONAL_CITY_INTERCHANGE_EXPANSION</x:v>
      </x:c>
      <x:c r="I236" s="18" t="str">
        <x:v>transport-hub-review:e0de91a2-07a2-5bd0-8de2-633b1c522bf6</x:v>
      </x:c>
      <x:c r="J236" s="19" t="str"/>
      <x:c r="K236" s="19" t="str"/>
      <x:c r="L236" s="18" t="str">
        <x:v>否</x:v>
      </x:c>
      <x:c r="M236" s="18" t="str">
        <x:v>否</x:v>
      </x:c>
      <x:c r="N236" s="18" t="str">
        <x:v>否</x:v>
      </x:c>
      <x:c r="O236" s="20" t="n">
        <x:v>1</x:v>
      </x:c>
      <x:c r="P236" s="19" t="str">
        <x:v>详见 Hub证据 页，按本 Hub 名称筛选</x:v>
      </x:c>
      <x:c r="Q23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6" s="19"/>
      <x:c r="S236" s="18" t="str">
        <x:v>东京23区</x:v>
      </x:c>
      <x:c r="T236" s="20" t="n">
        <x:v>0</x:v>
      </x:c>
    </x:row>
    <x:row r="237" ht="47" customHeight="1">
      <x:c r="A237" s="19" t="str">
        <x:v>中洲川端</x:v>
      </x:c>
      <x:c r="B237" s="18" t="str">
        <x:v>T2</x:v>
      </x:c>
      <x:c r="C237" s="20" t="n">
        <x:v>1</x:v>
      </x:c>
      <x:c r="D237" s="20" t="n">
        <x:v>1</x:v>
      </x:c>
      <x:c r="E237" s="19" t="str">
        <x:v>有官方换乘依据</x:v>
      </x:c>
      <x:c r="F237" s="20" t="n">
        <x:v>0</x:v>
      </x:c>
      <x:c r="G237" s="19" t="str">
        <x:v>组件待审核</x:v>
      </x:c>
      <x:c r="H237" s="18" t="str">
        <x:v>NATIONAL_CITY_INTERCHANGE_EXPANSION</x:v>
      </x:c>
      <x:c r="I237" s="18" t="str">
        <x:v>transport-hub-review:69e0b990-2be0-5a68-ba67-fa9ddf7c9659</x:v>
      </x:c>
      <x:c r="J237" s="19" t="str"/>
      <x:c r="K237" s="19" t="str"/>
      <x:c r="L237" s="18" t="str">
        <x:v>否</x:v>
      </x:c>
      <x:c r="M237" s="18" t="str">
        <x:v>否</x:v>
      </x:c>
      <x:c r="N237" s="18" t="str">
        <x:v>否</x:v>
      </x:c>
      <x:c r="O237" s="20" t="n">
        <x:v>1</x:v>
      </x:c>
      <x:c r="P237" s="19" t="str">
        <x:v>详见 Hub证据 页，按本 Hub 名称筛选</x:v>
      </x:c>
      <x:c r="Q23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7" s="19"/>
      <x:c r="S237" s="18" t="str">
        <x:v>福冈</x:v>
      </x:c>
      <x:c r="T237" s="20" t="n">
        <x:v>0</x:v>
      </x:c>
    </x:row>
    <x:row r="238" ht="33" customHeight="1">
      <x:c r="A238" s="19" t="str">
        <x:v>長居</x:v>
      </x:c>
      <x:c r="B238" s="18" t="str">
        <x:v>T2</x:v>
      </x:c>
      <x:c r="C238" s="20" t="n">
        <x:v>2</x:v>
      </x:c>
      <x:c r="D238" s="20" t="n">
        <x:v>2</x:v>
      </x:c>
      <x:c r="E238" s="19" t="str">
        <x:v>有官方换乘依据</x:v>
      </x:c>
      <x:c r="F238" s="20" t="n">
        <x:v>0</x:v>
      </x:c>
      <x:c r="G238" s="19" t="str">
        <x:v>组件待审核</x:v>
      </x:c>
      <x:c r="H238" s="18" t="str">
        <x:v>OSAKA_METRO_NETWORK</x:v>
      </x:c>
      <x:c r="I238" s="18" t="str">
        <x:v>transport-hub-review:ec426ab1-8287-5338-94cc-3bcf87d62220</x:v>
      </x:c>
      <x:c r="J238" s="19" t="str"/>
      <x:c r="K238" s="19" t="str"/>
      <x:c r="L238" s="18" t="str">
        <x:v>否</x:v>
      </x:c>
      <x:c r="M238" s="18" t="str">
        <x:v>否</x:v>
      </x:c>
      <x:c r="N238" s="18" t="str">
        <x:v>否</x:v>
      </x:c>
      <x:c r="O238" s="20" t="n">
        <x:v>2</x:v>
      </x:c>
      <x:c r="P238" s="19" t="str">
        <x:v>详见 Hub证据 页，按本 Hub 名称筛选</x:v>
      </x:c>
      <x:c r="Q238" s="19" t="str">
        <x:v>Official operator transfer guide defines the proposed interchange area. Each physical station/operator/mode stays separate.</x:v>
      </x:c>
      <x:c r="R238" s="19"/>
      <x:c r="S238" s="18" t="str">
        <x:v>大阪圈</x:v>
      </x:c>
      <x:c r="T238" s="20" t="n">
        <x:v>0</x:v>
      </x:c>
    </x:row>
    <x:row r="239" ht="47" customHeight="1">
      <x:c r="A239" s="19" t="str">
        <x:v>長町</x:v>
      </x:c>
      <x:c r="B239" s="18" t="str">
        <x:v>T2</x:v>
      </x:c>
      <x:c r="C239" s="20" t="n">
        <x:v>2</x:v>
      </x:c>
      <x:c r="D239" s="20" t="n">
        <x:v>2</x:v>
      </x:c>
      <x:c r="E239" s="19" t="str">
        <x:v>有官方换乘依据</x:v>
      </x:c>
      <x:c r="F239" s="20" t="n">
        <x:v>0</x:v>
      </x:c>
      <x:c r="G239" s="19" t="str">
        <x:v>组件待审核</x:v>
      </x:c>
      <x:c r="H239" s="18" t="str">
        <x:v>NATIONAL_CITY_INTERCHANGE_EXPANSION</x:v>
      </x:c>
      <x:c r="I239" s="18" t="str">
        <x:v>transport-hub-review:36acd5b6-ab02-55fa-9f52-b4ee7cfcd33f</x:v>
      </x:c>
      <x:c r="J239" s="19" t="str"/>
      <x:c r="K239" s="19" t="str"/>
      <x:c r="L239" s="18" t="str">
        <x:v>否</x:v>
      </x:c>
      <x:c r="M239" s="18" t="str">
        <x:v>否</x:v>
      </x:c>
      <x:c r="N239" s="18" t="str">
        <x:v>否</x:v>
      </x:c>
      <x:c r="O239" s="20" t="n">
        <x:v>1</x:v>
      </x:c>
      <x:c r="P239" s="19" t="str">
        <x:v>详见 Hub证据 页，按本 Hub 名称筛选</x:v>
      </x:c>
      <x:c r="Q239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39" s="19"/>
      <x:c r="S239" s="18" t="str">
        <x:v>仙台</x:v>
      </x:c>
      <x:c r="T239" s="20" t="n">
        <x:v>0</x:v>
      </x:c>
    </x:row>
    <x:row r="240" ht="33" customHeight="1">
      <x:c r="A240" s="19" t="str">
        <x:v>長田</x:v>
      </x:c>
      <x:c r="B240" s="18" t="str">
        <x:v>T2</x:v>
      </x:c>
      <x:c r="C240" s="20" t="n">
        <x:v>2</x:v>
      </x:c>
      <x:c r="D240" s="20" t="n">
        <x:v>2</x:v>
      </x:c>
      <x:c r="E240" s="19" t="str">
        <x:v>有官方换乘依据</x:v>
      </x:c>
      <x:c r="F240" s="20" t="n">
        <x:v>0</x:v>
      </x:c>
      <x:c r="G240" s="19" t="str">
        <x:v>组件待审核</x:v>
      </x:c>
      <x:c r="H240" s="18" t="str">
        <x:v>OSAKA_METRO_NETWORK</x:v>
      </x:c>
      <x:c r="I240" s="18" t="str">
        <x:v>transport-hub-review:18275a82-4224-5246-ba22-169c73dcf464</x:v>
      </x:c>
      <x:c r="J240" s="19" t="str"/>
      <x:c r="K240" s="19" t="str"/>
      <x:c r="L240" s="18" t="str">
        <x:v>否</x:v>
      </x:c>
      <x:c r="M240" s="18" t="str">
        <x:v>否</x:v>
      </x:c>
      <x:c r="N240" s="18" t="str">
        <x:v>否</x:v>
      </x:c>
      <x:c r="O240" s="20" t="n">
        <x:v>2</x:v>
      </x:c>
      <x:c r="P240" s="19" t="str">
        <x:v>详见 Hub证据 页，按本 Hub 名称筛选</x:v>
      </x:c>
      <x:c r="Q240" s="19" t="str">
        <x:v>Official operator transfer guide defines the proposed interchange area. Each physical station/operator/mode stays separate.</x:v>
      </x:c>
      <x:c r="R240" s="19"/>
      <x:c r="S240" s="18" t="str">
        <x:v>大阪圈</x:v>
      </x:c>
      <x:c r="T240" s="20" t="n">
        <x:v>0</x:v>
      </x:c>
    </x:row>
    <x:row r="241" ht="47" customHeight="1">
      <x:c r="A241" s="19" t="str">
        <x:v>津</x:v>
      </x:c>
      <x:c r="B241" s="18" t="str">
        <x:v>T2</x:v>
      </x:c>
      <x:c r="C241" s="20" t="n">
        <x:v>3</x:v>
      </x:c>
      <x:c r="D241" s="20" t="n">
        <x:v>3</x:v>
      </x:c>
      <x:c r="E241" s="19" t="str">
        <x:v>有官方换乘依据</x:v>
      </x:c>
      <x:c r="F241" s="20" t="n">
        <x:v>0</x:v>
      </x:c>
      <x:c r="G241" s="19" t="str">
        <x:v>组件待审核</x:v>
      </x:c>
      <x:c r="H241" s="18" t="str">
        <x:v>NATIONAL_CITY_INTERCHANGE_EXPANSION</x:v>
      </x:c>
      <x:c r="I241" s="18" t="str">
        <x:v>transport-hub-review:4af1ea67-9b43-51e0-9f5c-ed504ee3a5b5</x:v>
      </x:c>
      <x:c r="J241" s="19" t="str"/>
      <x:c r="K241" s="19" t="str"/>
      <x:c r="L241" s="18" t="str">
        <x:v>否</x:v>
      </x:c>
      <x:c r="M241" s="18" t="str">
        <x:v>否</x:v>
      </x:c>
      <x:c r="N241" s="18" t="str">
        <x:v>否</x:v>
      </x:c>
      <x:c r="O241" s="20" t="n">
        <x:v>1</x:v>
      </x:c>
      <x:c r="P241" s="19" t="str">
        <x:v>详见 Hub证据 页，按本 Hub 名称筛选</x:v>
      </x:c>
      <x:c r="Q24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1" s="19"/>
      <x:c r="S241" s="18" t="str">
        <x:v>三重主要城市</x:v>
      </x:c>
      <x:c r="T241" s="20" t="n">
        <x:v>0</x:v>
      </x:c>
    </x:row>
    <x:row r="242" ht="47" customHeight="1">
      <x:c r="A242" s="19" t="str">
        <x:v>鶴舞</x:v>
      </x:c>
      <x:c r="B242" s="18" t="str">
        <x:v>T2</x:v>
      </x:c>
      <x:c r="C242" s="20" t="n">
        <x:v>2</x:v>
      </x:c>
      <x:c r="D242" s="20" t="n">
        <x:v>2</x:v>
      </x:c>
      <x:c r="E242" s="19" t="str">
        <x:v>有官方换乘依据</x:v>
      </x:c>
      <x:c r="F242" s="20" t="n">
        <x:v>0</x:v>
      </x:c>
      <x:c r="G242" s="19" t="str">
        <x:v>组件待审核</x:v>
      </x:c>
      <x:c r="H242" s="18" t="str">
        <x:v>NATIONAL_CITY_INTERCHANGE_EXPANSION</x:v>
      </x:c>
      <x:c r="I242" s="18" t="str">
        <x:v>transport-hub-review:753bfae8-a006-50a8-b8a5-b2113b182843</x:v>
      </x:c>
      <x:c r="J242" s="19" t="str"/>
      <x:c r="K242" s="19" t="str"/>
      <x:c r="L242" s="18" t="str">
        <x:v>否</x:v>
      </x:c>
      <x:c r="M242" s="18" t="str">
        <x:v>否</x:v>
      </x:c>
      <x:c r="N242" s="18" t="str">
        <x:v>否</x:v>
      </x:c>
      <x:c r="O242" s="20" t="n">
        <x:v>1</x:v>
      </x:c>
      <x:c r="P242" s="19" t="str">
        <x:v>详见 Hub证据 页，按本 Hub 名称筛选</x:v>
      </x:c>
      <x:c r="Q24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2" s="19"/>
      <x:c r="S242" s="18" t="str">
        <x:v>名古屋圈</x:v>
      </x:c>
      <x:c r="T242" s="20" t="n">
        <x:v>0</x:v>
      </x:c>
    </x:row>
    <x:row r="243" ht="33" customHeight="1">
      <x:c r="A243" s="19" t="str">
        <x:v>天神橋筋六丁目</x:v>
      </x:c>
      <x:c r="B243" s="18" t="str">
        <x:v>T2</x:v>
      </x:c>
      <x:c r="C243" s="20" t="n">
        <x:v>2</x:v>
      </x:c>
      <x:c r="D243" s="20" t="n">
        <x:v>2</x:v>
      </x:c>
      <x:c r="E243" s="19" t="str">
        <x:v>有官方换乘依据</x:v>
      </x:c>
      <x:c r="F243" s="20" t="n">
        <x:v>0</x:v>
      </x:c>
      <x:c r="G243" s="19" t="str">
        <x:v>组件待审核</x:v>
      </x:c>
      <x:c r="H243" s="18" t="str">
        <x:v>OSAKA_METRO_NETWORK</x:v>
      </x:c>
      <x:c r="I243" s="18" t="str">
        <x:v>transport-hub-review:11816d25-17bc-5419-86a1-7334395977ac</x:v>
      </x:c>
      <x:c r="J243" s="19" t="str"/>
      <x:c r="K243" s="19" t="str"/>
      <x:c r="L243" s="18" t="str">
        <x:v>否</x:v>
      </x:c>
      <x:c r="M243" s="18" t="str">
        <x:v>否</x:v>
      </x:c>
      <x:c r="N243" s="18" t="str">
        <x:v>否</x:v>
      </x:c>
      <x:c r="O243" s="20" t="n">
        <x:v>4</x:v>
      </x:c>
      <x:c r="P243" s="19" t="str">
        <x:v>详见 Hub证据 页，按本 Hub 名称筛选</x:v>
      </x:c>
      <x:c r="Q243" s="19" t="str">
        <x:v>Official operator transfer guide defines the proposed interchange area. Each physical station/operator/mode stays separate.</x:v>
      </x:c>
      <x:c r="R243" s="19"/>
      <x:c r="S243" s="18" t="str">
        <x:v>大阪圈</x:v>
      </x:c>
      <x:c r="T243" s="20" t="n">
        <x:v>0</x:v>
      </x:c>
    </x:row>
    <x:row r="244" ht="47" customHeight="1">
      <x:c r="A244" s="19" t="str">
        <x:v>東新宿</x:v>
      </x:c>
      <x:c r="B244" s="18" t="str">
        <x:v>T2</x:v>
      </x:c>
      <x:c r="C244" s="20" t="n">
        <x:v>2</x:v>
      </x:c>
      <x:c r="D244" s="20" t="n">
        <x:v>2</x:v>
      </x:c>
      <x:c r="E244" s="19" t="str">
        <x:v>有官方换乘依据</x:v>
      </x:c>
      <x:c r="F244" s="20" t="n">
        <x:v>0</x:v>
      </x:c>
      <x:c r="G244" s="19" t="str">
        <x:v>组件待审核</x:v>
      </x:c>
      <x:c r="H244" s="18" t="str">
        <x:v>NATIONAL_CITY_INTERCHANGE_EXPANSION</x:v>
      </x:c>
      <x:c r="I244" s="18" t="str">
        <x:v>transport-hub-review:f252cb2f-92de-5cb2-8347-c68aca1d4e04</x:v>
      </x:c>
      <x:c r="J244" s="19" t="str"/>
      <x:c r="K244" s="19" t="str"/>
      <x:c r="L244" s="18" t="str">
        <x:v>否</x:v>
      </x:c>
      <x:c r="M244" s="18" t="str">
        <x:v>否</x:v>
      </x:c>
      <x:c r="N244" s="18" t="str">
        <x:v>否</x:v>
      </x:c>
      <x:c r="O244" s="20" t="n">
        <x:v>1</x:v>
      </x:c>
      <x:c r="P244" s="19" t="str">
        <x:v>详见 Hub证据 页，按本 Hub 名称筛选</x:v>
      </x:c>
      <x:c r="Q24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4" s="19"/>
      <x:c r="S244" s="18" t="str">
        <x:v>东京23区</x:v>
      </x:c>
      <x:c r="T244" s="20" t="n">
        <x:v>0</x:v>
      </x:c>
    </x:row>
    <x:row r="245" ht="47" customHeight="1">
      <x:c r="A245" s="19" t="str">
        <x:v>東村山</x:v>
      </x:c>
      <x:c r="B245" s="18" t="str">
        <x:v>T2</x:v>
      </x:c>
      <x:c r="C245" s="20" t="n">
        <x:v>1</x:v>
      </x:c>
      <x:c r="D245" s="20" t="n">
        <x:v>1</x:v>
      </x:c>
      <x:c r="E245" s="19" t="str">
        <x:v>有官方换乘依据</x:v>
      </x:c>
      <x:c r="F245" s="20" t="n">
        <x:v>0</x:v>
      </x:c>
      <x:c r="G245" s="19" t="str">
        <x:v>组件待审核</x:v>
      </x:c>
      <x:c r="H245" s="18" t="str">
        <x:v>NATIONAL_CITY_INTERCHANGE_EXPANSION</x:v>
      </x:c>
      <x:c r="I245" s="18" t="str">
        <x:v>transport-hub-review:47be28b0-6851-576f-b586-bcb2598d7af6</x:v>
      </x:c>
      <x:c r="J245" s="19" t="str"/>
      <x:c r="K245" s="19" t="str"/>
      <x:c r="L245" s="18" t="str">
        <x:v>否</x:v>
      </x:c>
      <x:c r="M245" s="18" t="str">
        <x:v>否</x:v>
      </x:c>
      <x:c r="N245" s="18" t="str">
        <x:v>否</x:v>
      </x:c>
      <x:c r="O245" s="20" t="n">
        <x:v>1</x:v>
      </x:c>
      <x:c r="P245" s="19" t="str">
        <x:v>详见 Hub证据 页，按本 Hub 名称筛选</x:v>
      </x:c>
      <x:c r="Q24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5" s="19"/>
      <x:c r="S245" s="18" t="str">
        <x:v>东京多摩</x:v>
      </x:c>
      <x:c r="T245" s="20" t="n">
        <x:v>0</x:v>
      </x:c>
    </x:row>
    <x:row r="246" ht="47" customHeight="1">
      <x:c r="A246" s="19" t="str">
        <x:v>東飯能</x:v>
      </x:c>
      <x:c r="B246" s="18" t="str">
        <x:v>T2</x:v>
      </x:c>
      <x:c r="C246" s="20" t="n">
        <x:v>2</x:v>
      </x:c>
      <x:c r="D246" s="20" t="n">
        <x:v>2</x:v>
      </x:c>
      <x:c r="E246" s="19" t="str">
        <x:v>有官方换乘依据</x:v>
      </x:c>
      <x:c r="F246" s="20" t="n">
        <x:v>0</x:v>
      </x:c>
      <x:c r="G246" s="19" t="str">
        <x:v>组件待审核</x:v>
      </x:c>
      <x:c r="H246" s="18" t="str">
        <x:v>NATIONAL_CITY_INTERCHANGE_EXPANSION</x:v>
      </x:c>
      <x:c r="I246" s="18" t="str">
        <x:v>transport-hub-review:312d49a2-f2a7-53de-8742-8b7ff56b8076</x:v>
      </x:c>
      <x:c r="J246" s="19" t="str"/>
      <x:c r="K246" s="19" t="str"/>
      <x:c r="L246" s="18" t="str">
        <x:v>否</x:v>
      </x:c>
      <x:c r="M246" s="18" t="str">
        <x:v>否</x:v>
      </x:c>
      <x:c r="N246" s="18" t="str">
        <x:v>否</x:v>
      </x:c>
      <x:c r="O246" s="20" t="n">
        <x:v>1</x:v>
      </x:c>
      <x:c r="P246" s="19" t="str">
        <x:v>详见 Hub证据 页，按本 Hub 名称筛选</x:v>
      </x:c>
      <x:c r="Q24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46" s="19"/>
      <x:c r="S246" s="18" t="str">
        <x:v>埼玉圈</x:v>
      </x:c>
      <x:c r="T246" s="20" t="n">
        <x:v>0</x:v>
      </x:c>
    </x:row>
    <x:row r="247" ht="61" customHeight="1">
      <x:c r="A247" s="19" t="str">
        <x:v>奈良</x:v>
      </x:c>
      <x:c r="B247" s="18" t="str">
        <x:v>T2</x:v>
      </x:c>
      <x:c r="C247" s="20" t="n">
        <x:v>1</x:v>
      </x:c>
      <x:c r="D247" s="20" t="n">
        <x:v>1</x:v>
      </x:c>
      <x:c r="E247" s="19" t="str">
        <x:v>有官方换乘依据</x:v>
      </x:c>
      <x:c r="F247" s="20" t="n">
        <x:v>0</x:v>
      </x:c>
      <x:c r="G247" s="19" t="str">
        <x:v>组件待审核</x:v>
      </x:c>
      <x:c r="H247" s="18" t="str">
        <x:v>EXISTING_NATIONAL_REVIEW</x:v>
      </x:c>
      <x:c r="I247" s="18" t="str">
        <x:v>transport-hub-review:6dfe15f9-1668-5999-a7b0-e8ccdd825a07</x:v>
      </x:c>
      <x:c r="J247" s="19" t="str">
        <x:v>奈良</x:v>
      </x:c>
      <x:c r="K247" s="19" t="str">
        <x:v>transport-hub:62f02a75-7486-58b7-8d54-093c803c38cd</x:v>
      </x:c>
      <x:c r="L247" s="18" t="str">
        <x:v>否</x:v>
      </x:c>
      <x:c r="M247" s="18" t="str">
        <x:v>否</x:v>
      </x:c>
      <x:c r="N247" s="18" t="str">
        <x:v>否</x:v>
      </x:c>
      <x:c r="O247" s="20" t="n">
        <x:v>1</x:v>
      </x:c>
      <x:c r="P247" s="19" t="str">
        <x:v>详见 Hub证据 页，按本 Hub 名称筛选</x:v>
      </x:c>
      <x:c r="Q247" s="19" t="str">
        <x:v>JR Nara is the JR West conventional-line interchange (Yamatoji, Nara and Sakurai service). Kintetsu Nara is a separate station and is excluded from this Hub. Components retain operator/mode identities. Boundary evidence review does not authorize runtime import or final acceptance.</x:v>
      </x:c>
      <x:c r="R247" s="19"/>
      <x:c r="S247" s="18" t="str">
        <x:v>奈良</x:v>
      </x:c>
      <x:c r="T247" s="20" t="n">
        <x:v>0</x:v>
      </x:c>
    </x:row>
    <x:row r="248" ht="33" customHeight="1">
      <x:c r="A248" s="19" t="str">
        <x:v>南茨木</x:v>
      </x:c>
      <x:c r="B248" s="18" t="str">
        <x:v>T2</x:v>
      </x:c>
      <x:c r="C248" s="20" t="n">
        <x:v>2</x:v>
      </x:c>
      <x:c r="D248" s="20" t="n">
        <x:v>2</x:v>
      </x:c>
      <x:c r="E248" s="19" t="str">
        <x:v>有官方换乘依据</x:v>
      </x:c>
      <x:c r="F248" s="20" t="n">
        <x:v>0</x:v>
      </x:c>
      <x:c r="G248" s="19" t="str">
        <x:v>组件待审核</x:v>
      </x:c>
      <x:c r="H248" s="18" t="str">
        <x:v>OSAKA_HANKYU_NETWORK</x:v>
      </x:c>
      <x:c r="I248" s="18" t="str">
        <x:v>transport-hub-review:bba54431-0e59-5040-a684-568aa5b372b1</x:v>
      </x:c>
      <x:c r="J248" s="19" t="str"/>
      <x:c r="K248" s="19" t="str"/>
      <x:c r="L248" s="18" t="str">
        <x:v>否</x:v>
      </x:c>
      <x:c r="M248" s="18" t="str">
        <x:v>否</x:v>
      </x:c>
      <x:c r="N248" s="18" t="str">
        <x:v>否</x:v>
      </x:c>
      <x:c r="O248" s="20" t="n">
        <x:v>1</x:v>
      </x:c>
      <x:c r="P248" s="19" t="str">
        <x:v>详见 Hub证据 页，按本 Hub 名称筛选</x:v>
      </x:c>
      <x:c r="Q248" s="19" t="str">
        <x:v>Official operator transfer guide defines the proposed interchange area. Each physical station/operator/mode stays separate.</x:v>
      </x:c>
      <x:c r="R248" s="19"/>
      <x:c r="S248" s="18" t="str">
        <x:v>大阪圈</x:v>
      </x:c>
      <x:c r="T248" s="20" t="n">
        <x:v>0</x:v>
      </x:c>
    </x:row>
    <x:row r="249" ht="33" customHeight="1">
      <x:c r="A249" s="19" t="str">
        <x:v>南千住</x:v>
      </x:c>
      <x:c r="B249" s="18" t="str">
        <x:v>T2</x:v>
      </x:c>
      <x:c r="C249" s="20" t="n">
        <x:v>3</x:v>
      </x:c>
      <x:c r="D249" s="20" t="n">
        <x:v>3</x:v>
      </x:c>
      <x:c r="E249" s="19" t="str">
        <x:v>有官方换乘依据</x:v>
      </x:c>
      <x:c r="F249" s="20" t="n">
        <x:v>0</x:v>
      </x:c>
      <x:c r="G249" s="19" t="str">
        <x:v>组件待审核</x:v>
      </x:c>
      <x:c r="H249" s="18" t="str">
        <x:v>TOKYO_METRO_NETWORK</x:v>
      </x:c>
      <x:c r="I249" s="18" t="str">
        <x:v>transport-hub-review:269d3f76-cf91-599e-9498-c5fcba99cade</x:v>
      </x:c>
      <x:c r="J249" s="19" t="str"/>
      <x:c r="K249" s="19" t="str"/>
      <x:c r="L249" s="18" t="str">
        <x:v>否</x:v>
      </x:c>
      <x:c r="M249" s="18" t="str">
        <x:v>否</x:v>
      </x:c>
      <x:c r="N249" s="18" t="str">
        <x:v>否</x:v>
      </x:c>
      <x:c r="O249" s="20" t="n">
        <x:v>1</x:v>
      </x:c>
      <x:c r="P249" s="19" t="str">
        <x:v>详见 Hub证据 页，按本 Hub 名称筛选</x:v>
      </x:c>
      <x:c r="Q249" s="19" t="str">
        <x:v>Official operator transfer guide defines the proposed interchange area. Each physical station/operator/mode stays separate.</x:v>
      </x:c>
      <x:c r="R249" s="19"/>
      <x:c r="S249" s="18" t="str">
        <x:v>东京23区</x:v>
      </x:c>
      <x:c r="T249" s="20" t="n">
        <x:v>0</x:v>
      </x:c>
    </x:row>
    <x:row r="250" ht="47" customHeight="1">
      <x:c r="A250" s="19" t="str">
        <x:v>白金高輪</x:v>
      </x:c>
      <x:c r="B250" s="18" t="str">
        <x:v>T2</x:v>
      </x:c>
      <x:c r="C250" s="20" t="n">
        <x:v>2</x:v>
      </x:c>
      <x:c r="D250" s="20" t="n">
        <x:v>2</x:v>
      </x:c>
      <x:c r="E250" s="19" t="str">
        <x:v>有官方换乘依据</x:v>
      </x:c>
      <x:c r="F250" s="20" t="n">
        <x:v>0</x:v>
      </x:c>
      <x:c r="G250" s="19" t="str">
        <x:v>组件待审核</x:v>
      </x:c>
      <x:c r="H250" s="18" t="str">
        <x:v>NATIONAL_CITY_INTERCHANGE_EXPANSION</x:v>
      </x:c>
      <x:c r="I250" s="18" t="str">
        <x:v>transport-hub-review:572d517f-2290-5675-8485-80dcc7779b40</x:v>
      </x:c>
      <x:c r="J250" s="19" t="str"/>
      <x:c r="K250" s="19" t="str"/>
      <x:c r="L250" s="18" t="str">
        <x:v>否</x:v>
      </x:c>
      <x:c r="M250" s="18" t="str">
        <x:v>否</x:v>
      </x:c>
      <x:c r="N250" s="18" t="str">
        <x:v>否</x:v>
      </x:c>
      <x:c r="O250" s="20" t="n">
        <x:v>1</x:v>
      </x:c>
      <x:c r="P250" s="19" t="str">
        <x:v>详见 Hub证据 页，按本 Hub 名称筛选</x:v>
      </x:c>
      <x:c r="Q25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0" s="19"/>
      <x:c r="S250" s="18" t="str">
        <x:v>东京23区</x:v>
      </x:c>
      <x:c r="T250" s="20" t="n">
        <x:v>0</x:v>
      </x:c>
    </x:row>
    <x:row r="251" ht="47" customHeight="1">
      <x:c r="A251" s="19" t="str">
        <x:v>八事</x:v>
      </x:c>
      <x:c r="B251" s="18" t="str">
        <x:v>T2</x:v>
      </x:c>
      <x:c r="C251" s="20" t="n">
        <x:v>1</x:v>
      </x:c>
      <x:c r="D251" s="20" t="n">
        <x:v>1</x:v>
      </x:c>
      <x:c r="E251" s="19" t="str">
        <x:v>有官方换乘依据</x:v>
      </x:c>
      <x:c r="F251" s="20" t="n">
        <x:v>0</x:v>
      </x:c>
      <x:c r="G251" s="19" t="str">
        <x:v>组件待审核</x:v>
      </x:c>
      <x:c r="H251" s="18" t="str">
        <x:v>NATIONAL_CITY_INTERCHANGE_EXPANSION</x:v>
      </x:c>
      <x:c r="I251" s="18" t="str">
        <x:v>transport-hub-review:624f002c-c461-508b-a52a-ef9454562f6c</x:v>
      </x:c>
      <x:c r="J251" s="19" t="str"/>
      <x:c r="K251" s="19" t="str"/>
      <x:c r="L251" s="18" t="str">
        <x:v>否</x:v>
      </x:c>
      <x:c r="M251" s="18" t="str">
        <x:v>否</x:v>
      </x:c>
      <x:c r="N251" s="18" t="str">
        <x:v>否</x:v>
      </x:c>
      <x:c r="O251" s="20" t="n">
        <x:v>1</x:v>
      </x:c>
      <x:c r="P251" s="19" t="str">
        <x:v>详见 Hub证据 页，按本 Hub 名称筛选</x:v>
      </x:c>
      <x:c r="Q251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1" s="19"/>
      <x:c r="S251" s="18" t="str">
        <x:v>名古屋圈</x:v>
      </x:c>
      <x:c r="T251" s="20" t="n">
        <x:v>0</x:v>
      </x:c>
    </x:row>
    <x:row r="252" ht="47" customHeight="1">
      <x:c r="A252" s="19" t="str">
        <x:v>八田</x:v>
      </x:c>
      <x:c r="B252" s="18" t="str">
        <x:v>T2</x:v>
      </x:c>
      <x:c r="C252" s="20" t="n">
        <x:v>3</x:v>
      </x:c>
      <x:c r="D252" s="20" t="n">
        <x:v>3</x:v>
      </x:c>
      <x:c r="E252" s="19" t="str">
        <x:v>有官方换乘依据</x:v>
      </x:c>
      <x:c r="F252" s="20" t="n">
        <x:v>0</x:v>
      </x:c>
      <x:c r="G252" s="19" t="str">
        <x:v>组件待审核</x:v>
      </x:c>
      <x:c r="H252" s="18" t="str">
        <x:v>NATIONAL_CITY_INTERCHANGE_EXPANSION</x:v>
      </x:c>
      <x:c r="I252" s="18" t="str">
        <x:v>transport-hub-review:944118a4-03cf-5340-bdc4-0899edefca20</x:v>
      </x:c>
      <x:c r="J252" s="19" t="str"/>
      <x:c r="K252" s="19" t="str"/>
      <x:c r="L252" s="18" t="str">
        <x:v>否</x:v>
      </x:c>
      <x:c r="M252" s="18" t="str">
        <x:v>否</x:v>
      </x:c>
      <x:c r="N252" s="18" t="str">
        <x:v>否</x:v>
      </x:c>
      <x:c r="O252" s="20" t="n">
        <x:v>2</x:v>
      </x:c>
      <x:c r="P252" s="19" t="str">
        <x:v>详见 Hub证据 页，按本 Hub 名称筛选</x:v>
      </x:c>
      <x:c r="Q25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2" s="19"/>
      <x:c r="S252" s="18" t="str">
        <x:v>名古屋圈</x:v>
      </x:c>
      <x:c r="T252" s="20" t="n">
        <x:v>0</x:v>
      </x:c>
    </x:row>
    <x:row r="253" ht="47" customHeight="1">
      <x:c r="A253" s="19" t="str">
        <x:v>板宿</x:v>
      </x:c>
      <x:c r="B253" s="18" t="str">
        <x:v>T2</x:v>
      </x:c>
      <x:c r="C253" s="20" t="n">
        <x:v>2</x:v>
      </x:c>
      <x:c r="D253" s="20" t="n">
        <x:v>2</x:v>
      </x:c>
      <x:c r="E253" s="19" t="str">
        <x:v>有官方换乘依据</x:v>
      </x:c>
      <x:c r="F253" s="20" t="n">
        <x:v>0</x:v>
      </x:c>
      <x:c r="G253" s="19" t="str">
        <x:v>组件待审核</x:v>
      </x:c>
      <x:c r="H253" s="18" t="str">
        <x:v>NATIONAL_CITY_INTERCHANGE_EXPANSION</x:v>
      </x:c>
      <x:c r="I253" s="18" t="str">
        <x:v>transport-hub-review:3aa88ade-4473-5122-8c45-cff2575b8426</x:v>
      </x:c>
      <x:c r="J253" s="19" t="str"/>
      <x:c r="K253" s="19" t="str"/>
      <x:c r="L253" s="18" t="str">
        <x:v>否</x:v>
      </x:c>
      <x:c r="M253" s="18" t="str">
        <x:v>否</x:v>
      </x:c>
      <x:c r="N253" s="18" t="str">
        <x:v>否</x:v>
      </x:c>
      <x:c r="O253" s="20" t="n">
        <x:v>1</x:v>
      </x:c>
      <x:c r="P253" s="19" t="str">
        <x:v>详见 Hub证据 页，按本 Hub 名称筛选</x:v>
      </x:c>
      <x:c r="Q25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3" s="19"/>
      <x:c r="S253" s="18" t="str">
        <x:v>神户</x:v>
      </x:c>
      <x:c r="T253" s="20" t="n">
        <x:v>0</x:v>
      </x:c>
    </x:row>
    <x:row r="254" ht="47" customHeight="1">
      <x:c r="A254" s="19" t="str">
        <x:v>平安通</x:v>
      </x:c>
      <x:c r="B254" s="18" t="str">
        <x:v>T2</x:v>
      </x:c>
      <x:c r="C254" s="20" t="n">
        <x:v>1</x:v>
      </x:c>
      <x:c r="D254" s="20" t="n">
        <x:v>1</x:v>
      </x:c>
      <x:c r="E254" s="19" t="str">
        <x:v>有官方换乘依据</x:v>
      </x:c>
      <x:c r="F254" s="20" t="n">
        <x:v>0</x:v>
      </x:c>
      <x:c r="G254" s="19" t="str">
        <x:v>组件待审核</x:v>
      </x:c>
      <x:c r="H254" s="18" t="str">
        <x:v>NATIONAL_CITY_INTERCHANGE_EXPANSION</x:v>
      </x:c>
      <x:c r="I254" s="18" t="str">
        <x:v>transport-hub-review:4b9f9ca8-9c59-5409-b3ba-d8ecfa2677db</x:v>
      </x:c>
      <x:c r="J254" s="19" t="str"/>
      <x:c r="K254" s="19" t="str"/>
      <x:c r="L254" s="18" t="str">
        <x:v>否</x:v>
      </x:c>
      <x:c r="M254" s="18" t="str">
        <x:v>否</x:v>
      </x:c>
      <x:c r="N254" s="18" t="str">
        <x:v>否</x:v>
      </x:c>
      <x:c r="O254" s="20" t="n">
        <x:v>1</x:v>
      </x:c>
      <x:c r="P254" s="19" t="str">
        <x:v>详见 Hub证据 页，按本 Hub 名称筛选</x:v>
      </x:c>
      <x:c r="Q25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4" s="19"/>
      <x:c r="S254" s="18" t="str">
        <x:v>名古屋圈</x:v>
      </x:c>
      <x:c r="T254" s="20" t="n">
        <x:v>0</x:v>
      </x:c>
    </x:row>
    <x:row r="255" ht="47" customHeight="1">
      <x:c r="A255" s="19" t="str">
        <x:v>北野</x:v>
      </x:c>
      <x:c r="B255" s="18" t="str">
        <x:v>T2</x:v>
      </x:c>
      <x:c r="C255" s="20" t="n">
        <x:v>1</x:v>
      </x:c>
      <x:c r="D255" s="20" t="n">
        <x:v>1</x:v>
      </x:c>
      <x:c r="E255" s="19" t="str">
        <x:v>有官方换乘依据</x:v>
      </x:c>
      <x:c r="F255" s="20" t="n">
        <x:v>0</x:v>
      </x:c>
      <x:c r="G255" s="19" t="str">
        <x:v>组件待审核</x:v>
      </x:c>
      <x:c r="H255" s="18" t="str">
        <x:v>NATIONAL_CITY_INTERCHANGE_EXPANSION</x:v>
      </x:c>
      <x:c r="I255" s="18" t="str">
        <x:v>transport-hub-review:c0ec1e39-4db8-543b-81f3-cfd9c5135382</x:v>
      </x:c>
      <x:c r="J255" s="19" t="str"/>
      <x:c r="K255" s="19" t="str"/>
      <x:c r="L255" s="18" t="str">
        <x:v>否</x:v>
      </x:c>
      <x:c r="M255" s="18" t="str">
        <x:v>否</x:v>
      </x:c>
      <x:c r="N255" s="18" t="str">
        <x:v>否</x:v>
      </x:c>
      <x:c r="O255" s="20" t="n">
        <x:v>1</x:v>
      </x:c>
      <x:c r="P255" s="19" t="str">
        <x:v>详见 Hub证据 页，按本 Hub 名称筛选</x:v>
      </x:c>
      <x:c r="Q25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5" s="19"/>
      <x:c r="S255" s="18" t="str">
        <x:v>东京多摩</x:v>
      </x:c>
      <x:c r="T255" s="20" t="n">
        <x:v>0</x:v>
      </x:c>
    </x:row>
    <x:row r="256" ht="47" customHeight="1">
      <x:c r="A256" s="19" t="str">
        <x:v>本山</x:v>
      </x:c>
      <x:c r="B256" s="18" t="str">
        <x:v>T2</x:v>
      </x:c>
      <x:c r="C256" s="20" t="n">
        <x:v>1</x:v>
      </x:c>
      <x:c r="D256" s="20" t="n">
        <x:v>1</x:v>
      </x:c>
      <x:c r="E256" s="19" t="str">
        <x:v>有官方换乘依据</x:v>
      </x:c>
      <x:c r="F256" s="20" t="n">
        <x:v>0</x:v>
      </x:c>
      <x:c r="G256" s="19" t="str">
        <x:v>组件待审核</x:v>
      </x:c>
      <x:c r="H256" s="18" t="str">
        <x:v>NATIONAL_CITY_INTERCHANGE_EXPANSION</x:v>
      </x:c>
      <x:c r="I256" s="18" t="str">
        <x:v>transport-hub-review:cd13ed9f-4821-5fc4-80bb-a25f30eafc3c</x:v>
      </x:c>
      <x:c r="J256" s="19" t="str"/>
      <x:c r="K256" s="19" t="str"/>
      <x:c r="L256" s="18" t="str">
        <x:v>否</x:v>
      </x:c>
      <x:c r="M256" s="18" t="str">
        <x:v>否</x:v>
      </x:c>
      <x:c r="N256" s="18" t="str">
        <x:v>否</x:v>
      </x:c>
      <x:c r="O256" s="20" t="n">
        <x:v>1</x:v>
      </x:c>
      <x:c r="P256" s="19" t="str">
        <x:v>详见 Hub证据 页，按本 Hub 名称筛选</x:v>
      </x:c>
      <x:c r="Q25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6" s="19"/>
      <x:c r="S256" s="18" t="str">
        <x:v>名古屋圈</x:v>
      </x:c>
      <x:c r="T256" s="20" t="n">
        <x:v>0</x:v>
      </x:c>
    </x:row>
    <x:row r="257" ht="47" customHeight="1">
      <x:c r="A257" s="19" t="str">
        <x:v>本通</x:v>
      </x:c>
      <x:c r="B257" s="18" t="str">
        <x:v>T2</x:v>
      </x:c>
      <x:c r="C257" s="20" t="n">
        <x:v>2</x:v>
      </x:c>
      <x:c r="D257" s="20" t="n">
        <x:v>2</x:v>
      </x:c>
      <x:c r="E257" s="19" t="str">
        <x:v>有官方换乘依据</x:v>
      </x:c>
      <x:c r="F257" s="20" t="n">
        <x:v>0</x:v>
      </x:c>
      <x:c r="G257" s="19" t="str">
        <x:v>组件待审核</x:v>
      </x:c>
      <x:c r="H257" s="18" t="str">
        <x:v>NATIONAL_CITY_INTERCHANGE_EXPANSION</x:v>
      </x:c>
      <x:c r="I257" s="18" t="str">
        <x:v>transport-hub-review:67f18111-f27f-50b6-ba8a-20b3b3bbf461</x:v>
      </x:c>
      <x:c r="J257" s="19" t="str"/>
      <x:c r="K257" s="19" t="str"/>
      <x:c r="L257" s="18" t="str">
        <x:v>否</x:v>
      </x:c>
      <x:c r="M257" s="18" t="str">
        <x:v>否</x:v>
      </x:c>
      <x:c r="N257" s="18" t="str">
        <x:v>否</x:v>
      </x:c>
      <x:c r="O257" s="20" t="n">
        <x:v>1</x:v>
      </x:c>
      <x:c r="P257" s="19" t="str">
        <x:v>详见 Hub证据 页，按本 Hub 名称筛选</x:v>
      </x:c>
      <x:c r="Q257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7" s="19"/>
      <x:c r="S257" s="18" t="str">
        <x:v>广岛</x:v>
      </x:c>
      <x:c r="T257" s="20" t="n">
        <x:v>0</x:v>
      </x:c>
    </x:row>
    <x:row r="258" ht="47" customHeight="1">
      <x:c r="A258" s="19" t="str">
        <x:v>湊川公園・湊川</x:v>
      </x:c>
      <x:c r="B258" s="18" t="str">
        <x:v>T2</x:v>
      </x:c>
      <x:c r="C258" s="20" t="n">
        <x:v>2</x:v>
      </x:c>
      <x:c r="D258" s="20" t="n">
        <x:v>2</x:v>
      </x:c>
      <x:c r="E258" s="19" t="str">
        <x:v>有官方换乘依据</x:v>
      </x:c>
      <x:c r="F258" s="20" t="n">
        <x:v>0</x:v>
      </x:c>
      <x:c r="G258" s="19" t="str">
        <x:v>组件待审核</x:v>
      </x:c>
      <x:c r="H258" s="18" t="str">
        <x:v>NATIONAL_CITY_INTERCHANGE_EXPANSION</x:v>
      </x:c>
      <x:c r="I258" s="18" t="str">
        <x:v>transport-hub-review:f5b39e24-1f29-5e16-a95e-7273ab855a2f</x:v>
      </x:c>
      <x:c r="J258" s="19" t="str"/>
      <x:c r="K258" s="19" t="str"/>
      <x:c r="L258" s="18" t="str">
        <x:v>否</x:v>
      </x:c>
      <x:c r="M258" s="18" t="str">
        <x:v>否</x:v>
      </x:c>
      <x:c r="N258" s="18" t="str">
        <x:v>否</x:v>
      </x:c>
      <x:c r="O258" s="20" t="n">
        <x:v>1</x:v>
      </x:c>
      <x:c r="P258" s="19" t="str">
        <x:v>详见 Hub证据 页，按本 Hub 名称筛选</x:v>
      </x:c>
      <x:c r="Q258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58" s="19"/>
      <x:c r="S258" s="18" t="str">
        <x:v>神户</x:v>
      </x:c>
      <x:c r="T258" s="20" t="n">
        <x:v>0</x:v>
      </x:c>
    </x:row>
    <x:row r="259" ht="33" customHeight="1">
      <x:c r="A259" s="19" t="str">
        <x:v>野田阪神・海老江</x:v>
      </x:c>
      <x:c r="B259" s="18" t="str">
        <x:v>T2</x:v>
      </x:c>
      <x:c r="C259" s="20" t="n">
        <x:v>3</x:v>
      </x:c>
      <x:c r="D259" s="20" t="n">
        <x:v>3</x:v>
      </x:c>
      <x:c r="E259" s="19" t="str">
        <x:v>有官方换乘依据</x:v>
      </x:c>
      <x:c r="F259" s="20" t="n">
        <x:v>0</x:v>
      </x:c>
      <x:c r="G259" s="19" t="str">
        <x:v>组件待审核</x:v>
      </x:c>
      <x:c r="H259" s="18" t="str">
        <x:v>OSAKA_METRO_NETWORK</x:v>
      </x:c>
      <x:c r="I259" s="18" t="str">
        <x:v>transport-hub-review:6256b4d7-fe6b-501e-a6af-769d527fad18</x:v>
      </x:c>
      <x:c r="J259" s="19" t="str"/>
      <x:c r="K259" s="19" t="str"/>
      <x:c r="L259" s="18" t="str">
        <x:v>否</x:v>
      </x:c>
      <x:c r="M259" s="18" t="str">
        <x:v>否</x:v>
      </x:c>
      <x:c r="N259" s="18" t="str">
        <x:v>否</x:v>
      </x:c>
      <x:c r="O259" s="20" t="n">
        <x:v>2</x:v>
      </x:c>
      <x:c r="P259" s="19" t="str">
        <x:v>详见 Hub证据 页，按本 Hub 名称筛选</x:v>
      </x:c>
      <x:c r="Q259" s="19" t="str">
        <x:v>Official operator transfer guide defines the proposed interchange area. Each physical station/operator/mode stays separate.</x:v>
      </x:c>
      <x:c r="R259" s="19"/>
      <x:c r="S259" s="18" t="str">
        <x:v>大阪圈</x:v>
      </x:c>
      <x:c r="T259" s="20" t="n">
        <x:v>0</x:v>
      </x:c>
    </x:row>
    <x:row r="260" ht="47" customHeight="1">
      <x:c r="A260" s="19" t="str">
        <x:v>薬院</x:v>
      </x:c>
      <x:c r="B260" s="18" t="str">
        <x:v>T2</x:v>
      </x:c>
      <x:c r="C260" s="20" t="n">
        <x:v>2</x:v>
      </x:c>
      <x:c r="D260" s="20" t="n">
        <x:v>2</x:v>
      </x:c>
      <x:c r="E260" s="19" t="str">
        <x:v>有官方换乘依据</x:v>
      </x:c>
      <x:c r="F260" s="20" t="n">
        <x:v>0</x:v>
      </x:c>
      <x:c r="G260" s="19" t="str">
        <x:v>组件待审核</x:v>
      </x:c>
      <x:c r="H260" s="18" t="str">
        <x:v>NATIONAL_CITY_INTERCHANGE_EXPANSION</x:v>
      </x:c>
      <x:c r="I260" s="18" t="str">
        <x:v>transport-hub-review:bef77706-84db-54f9-b167-1c965bd206ea</x:v>
      </x:c>
      <x:c r="J260" s="19" t="str"/>
      <x:c r="K260" s="19" t="str"/>
      <x:c r="L260" s="18" t="str">
        <x:v>否</x:v>
      </x:c>
      <x:c r="M260" s="18" t="str">
        <x:v>否</x:v>
      </x:c>
      <x:c r="N260" s="18" t="str">
        <x:v>否</x:v>
      </x:c>
      <x:c r="O260" s="20" t="n">
        <x:v>1</x:v>
      </x:c>
      <x:c r="P260" s="19" t="str">
        <x:v>详见 Hub证据 页，按本 Hub 名称筛选</x:v>
      </x:c>
      <x:c r="Q260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0" s="19"/>
      <x:c r="S260" s="18" t="str">
        <x:v>福冈</x:v>
      </x:c>
      <x:c r="T260" s="20" t="n">
        <x:v>0</x:v>
      </x:c>
    </x:row>
    <x:row r="261" ht="33" customHeight="1">
      <x:c r="A261" s="19" t="str">
        <x:v>緑橋</x:v>
      </x:c>
      <x:c r="B261" s="18" t="str">
        <x:v>T2</x:v>
      </x:c>
      <x:c r="C261" s="20" t="n">
        <x:v>1</x:v>
      </x:c>
      <x:c r="D261" s="20" t="n">
        <x:v>1</x:v>
      </x:c>
      <x:c r="E261" s="19" t="str">
        <x:v>有官方换乘依据</x:v>
      </x:c>
      <x:c r="F261" s="20" t="n">
        <x:v>0</x:v>
      </x:c>
      <x:c r="G261" s="19" t="str">
        <x:v>组件待审核</x:v>
      </x:c>
      <x:c r="H261" s="18" t="str">
        <x:v>OSAKA_METRO_NETWORK</x:v>
      </x:c>
      <x:c r="I261" s="18" t="str">
        <x:v>transport-hub-review:b495f336-9e44-566f-a3f4-471e7e6b9066</x:v>
      </x:c>
      <x:c r="J261" s="19" t="str"/>
      <x:c r="K261" s="19" t="str"/>
      <x:c r="L261" s="18" t="str">
        <x:v>否</x:v>
      </x:c>
      <x:c r="M261" s="18" t="str">
        <x:v>否</x:v>
      </x:c>
      <x:c r="N261" s="18" t="str">
        <x:v>否</x:v>
      </x:c>
      <x:c r="O261" s="20" t="n">
        <x:v>2</x:v>
      </x:c>
      <x:c r="P261" s="19" t="str">
        <x:v>详见 Hub证据 页，按本 Hub 名称筛选</x:v>
      </x:c>
      <x:c r="Q261" s="19" t="str">
        <x:v>Official operator transfer guide defines the proposed interchange area. Each physical station/operator/mode stays separate.</x:v>
      </x:c>
      <x:c r="R261" s="19"/>
      <x:c r="S261" s="18" t="str">
        <x:v>大阪圈</x:v>
      </x:c>
      <x:c r="T261" s="20" t="n">
        <x:v>0</x:v>
      </x:c>
    </x:row>
    <x:row r="262" ht="47" customHeight="1">
      <x:c r="A262" s="19" t="str">
        <x:v>和田岬</x:v>
      </x:c>
      <x:c r="B262" s="18" t="str">
        <x:v>T2</x:v>
      </x:c>
      <x:c r="C262" s="20" t="n">
        <x:v>2</x:v>
      </x:c>
      <x:c r="D262" s="20" t="n">
        <x:v>2</x:v>
      </x:c>
      <x:c r="E262" s="19" t="str">
        <x:v>有官方换乘依据</x:v>
      </x:c>
      <x:c r="F262" s="20" t="n">
        <x:v>0</x:v>
      </x:c>
      <x:c r="G262" s="19" t="str">
        <x:v>组件待审核</x:v>
      </x:c>
      <x:c r="H262" s="18" t="str">
        <x:v>NATIONAL_CITY_INTERCHANGE_EXPANSION</x:v>
      </x:c>
      <x:c r="I262" s="18" t="str">
        <x:v>transport-hub-review:2c86c6d8-301c-542b-8946-ef76e35a4bd4</x:v>
      </x:c>
      <x:c r="J262" s="19" t="str"/>
      <x:c r="K262" s="19" t="str"/>
      <x:c r="L262" s="18" t="str">
        <x:v>否</x:v>
      </x:c>
      <x:c r="M262" s="18" t="str">
        <x:v>否</x:v>
      </x:c>
      <x:c r="N262" s="18" t="str">
        <x:v>否</x:v>
      </x:c>
      <x:c r="O262" s="20" t="n">
        <x:v>1</x:v>
      </x:c>
      <x:c r="P262" s="19" t="str">
        <x:v>详见 Hub证据 页，按本 Hub 名称筛选</x:v>
      </x:c>
      <x:c r="Q262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2" s="19"/>
      <x:c r="S262" s="18" t="str">
        <x:v>神户</x:v>
      </x:c>
      <x:c r="T262" s="20" t="n">
        <x:v>0</x:v>
      </x:c>
    </x:row>
    <x:row r="263" ht="47" customHeight="1">
      <x:c r="A263" s="19" t="str">
        <x:v>上飯田</x:v>
      </x:c>
      <x:c r="B263" s="18" t="str">
        <x:v>T3</x:v>
      </x:c>
      <x:c r="C263" s="20" t="n">
        <x:v>2</x:v>
      </x:c>
      <x:c r="D263" s="20" t="n">
        <x:v>2</x:v>
      </x:c>
      <x:c r="E263" s="19" t="str">
        <x:v>有官方换乘依据</x:v>
      </x:c>
      <x:c r="F263" s="20" t="n">
        <x:v>0</x:v>
      </x:c>
      <x:c r="G263" s="19" t="str">
        <x:v>组件待审核</x:v>
      </x:c>
      <x:c r="H263" s="18" t="str">
        <x:v>NATIONAL_CITY_INTERCHANGE_EXPANSION</x:v>
      </x:c>
      <x:c r="I263" s="18" t="str">
        <x:v>transport-hub-review:c5083c28-37d7-565e-bbc2-78257b56f982</x:v>
      </x:c>
      <x:c r="J263" s="19" t="str"/>
      <x:c r="K263" s="19" t="str"/>
      <x:c r="L263" s="18" t="str">
        <x:v>否</x:v>
      </x:c>
      <x:c r="M263" s="18" t="str">
        <x:v>否</x:v>
      </x:c>
      <x:c r="N263" s="18" t="str">
        <x:v>否</x:v>
      </x:c>
      <x:c r="O263" s="20" t="n">
        <x:v>1</x:v>
      </x:c>
      <x:c r="P263" s="19" t="str">
        <x:v>详见 Hub证据 页，按本 Hub 名称筛选</x:v>
      </x:c>
      <x:c r="Q263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3" s="19"/>
      <x:c r="S263" s="18" t="str">
        <x:v>名古屋圈</x:v>
      </x:c>
      <x:c r="T263" s="20" t="n">
        <x:v>0</x:v>
      </x:c>
    </x:row>
    <x:row r="264" ht="47" customHeight="1">
      <x:c r="A264" s="19" t="str">
        <x:v>大町</x:v>
      </x:c>
      <x:c r="B264" s="18" t="str">
        <x:v>T3</x:v>
      </x:c>
      <x:c r="C264" s="20" t="n">
        <x:v>2</x:v>
      </x:c>
      <x:c r="D264" s="20" t="n">
        <x:v>2</x:v>
      </x:c>
      <x:c r="E264" s="19" t="str">
        <x:v>有官方换乘依据</x:v>
      </x:c>
      <x:c r="F264" s="20" t="n">
        <x:v>0</x:v>
      </x:c>
      <x:c r="G264" s="19" t="str">
        <x:v>组件待审核</x:v>
      </x:c>
      <x:c r="H264" s="18" t="str">
        <x:v>NATIONAL_CITY_INTERCHANGE_EXPANSION</x:v>
      </x:c>
      <x:c r="I264" s="18" t="str">
        <x:v>transport-hub-review:23a995e1-3830-5576-b89d-f20c798c88cb</x:v>
      </x:c>
      <x:c r="J264" s="19" t="str"/>
      <x:c r="K264" s="19" t="str"/>
      <x:c r="L264" s="18" t="str">
        <x:v>否</x:v>
      </x:c>
      <x:c r="M264" s="18" t="str">
        <x:v>否</x:v>
      </x:c>
      <x:c r="N264" s="18" t="str">
        <x:v>否</x:v>
      </x:c>
      <x:c r="O264" s="20" t="n">
        <x:v>1</x:v>
      </x:c>
      <x:c r="P264" s="19" t="str">
        <x:v>详见 Hub证据 页，按本 Hub 名称筛选</x:v>
      </x:c>
      <x:c r="Q264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4" s="19"/>
      <x:c r="S264" s="18" t="str">
        <x:v>广岛</x:v>
      </x:c>
      <x:c r="T264" s="20" t="n">
        <x:v>0</x:v>
      </x:c>
    </x:row>
    <x:row r="265" ht="47" customHeight="1">
      <x:c r="A265" s="19" t="str">
        <x:v>鳥羽</x:v>
      </x:c>
      <x:c r="B265" s="18" t="str">
        <x:v>T3</x:v>
      </x:c>
      <x:c r="C265" s="20" t="n">
        <x:v>2</x:v>
      </x:c>
      <x:c r="D265" s="20" t="n">
        <x:v>2</x:v>
      </x:c>
      <x:c r="E265" s="19" t="str">
        <x:v>有官方换乘依据</x:v>
      </x:c>
      <x:c r="F265" s="20" t="n">
        <x:v>0</x:v>
      </x:c>
      <x:c r="G265" s="19" t="str">
        <x:v>组件待审核</x:v>
      </x:c>
      <x:c r="H265" s="18" t="str">
        <x:v>NATIONAL_CITY_INTERCHANGE_EXPANSION</x:v>
      </x:c>
      <x:c r="I265" s="18" t="str">
        <x:v>transport-hub-review:6e4f260b-1b31-5187-9957-2c92d6210a5c</x:v>
      </x:c>
      <x:c r="J265" s="19" t="str"/>
      <x:c r="K265" s="19" t="str"/>
      <x:c r="L265" s="18" t="str">
        <x:v>否</x:v>
      </x:c>
      <x:c r="M265" s="18" t="str">
        <x:v>否</x:v>
      </x:c>
      <x:c r="N265" s="18" t="str">
        <x:v>否</x:v>
      </x:c>
      <x:c r="O265" s="20" t="n">
        <x:v>1</x:v>
      </x:c>
      <x:c r="P265" s="19" t="str">
        <x:v>详见 Hub证据 页，按本 Hub 名称筛选</x:v>
      </x:c>
      <x:c r="Q265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5" s="19"/>
      <x:c r="S265" s="18" t="str">
        <x:v>三重主要城市</x:v>
      </x:c>
      <x:c r="T265" s="20" t="n">
        <x:v>0</x:v>
      </x:c>
    </x:row>
    <x:row r="266" ht="47" customHeight="1">
      <x:c r="A266" s="19" t="str">
        <x:v>萩山</x:v>
      </x:c>
      <x:c r="B266" s="18" t="str">
        <x:v>T3</x:v>
      </x:c>
      <x:c r="C266" s="20" t="n">
        <x:v>1</x:v>
      </x:c>
      <x:c r="D266" s="20" t="n">
        <x:v>1</x:v>
      </x:c>
      <x:c r="E266" s="19" t="str">
        <x:v>有官方换乘依据</x:v>
      </x:c>
      <x:c r="F266" s="20" t="n">
        <x:v>0</x:v>
      </x:c>
      <x:c r="G266" s="19" t="str">
        <x:v>组件待审核</x:v>
      </x:c>
      <x:c r="H266" s="18" t="str">
        <x:v>NATIONAL_CITY_INTERCHANGE_EXPANSION</x:v>
      </x:c>
      <x:c r="I266" s="18" t="str">
        <x:v>transport-hub-review:3088b69c-269b-5f9f-9481-2c9eb328e520</x:v>
      </x:c>
      <x:c r="J266" s="19" t="str"/>
      <x:c r="K266" s="19" t="str"/>
      <x:c r="L266" s="18" t="str">
        <x:v>否</x:v>
      </x:c>
      <x:c r="M266" s="18" t="str">
        <x:v>否</x:v>
      </x:c>
      <x:c r="N266" s="18" t="str">
        <x:v>否</x:v>
      </x:c>
      <x:c r="O266" s="20" t="n">
        <x:v>1</x:v>
      </x:c>
      <x:c r="P266" s="19" t="str">
        <x:v>详见 Hub证据 页，按本 Hub 名称筛选</x:v>
      </x:c>
      <x:c r="Q266" s="19" t="str">
        <x:v>Operator-designated interchange area. Physical station/operator/mode components remain separate; no distance-only or same-name merge. City review labels are editorial coverage groups, not N03 administrative assignments.</x:v>
      </x:c>
      <x:c r="R266" s="19"/>
      <x:c r="S266" s="18" t="str">
        <x:v>东京多摩</x:v>
      </x:c>
      <x:c r="T266" s="20" t="n">
        <x:v>0</x:v>
      </x:c>
    </x:row>
  </x:sheetData>
  <x:conditionalFormatting sqref="E6:E266">
    <x:cfRule type="containsText" dxfId="17" priority="1" operator="containsText" text="待"/>
  </x:conditionalFormatting>
  <x:conditionalFormatting sqref="G6:G266">
    <x:cfRule type="containsText" dxfId="18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4afb566175cd45a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28" hidden="0" customWidth="1"/>
    <x:col min="3" max="3" width="29" hidden="0" customWidth="1"/>
    <x:col min="4" max="4" width="23" hidden="0" customWidth="1"/>
    <x:col min="5" max="5" width="17" hidden="0" customWidth="1"/>
    <x:col min="6" max="6" width="43" hidden="0" customWidth="1"/>
    <x:col min="7" max="7" width="35" hidden="0" customWidth="1"/>
    <x:col min="8" max="8" width="65" hidden="0" customWidth="1"/>
    <x:col min="9" max="9" width="65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4" t="str">
        <x:v>Hub 内独立 operator / station / mode 组件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>
      <x:c r="A3" s="6" t="str">
        <x:v>582 个期望组件，缺失 0、归组歧义 0。582 个候选有拟归属；各公司/物理站保持独立。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6" t="str">
        <x:v>来源：data/transport/nodes/task-084-b-v2-amendment-review/hub-component-completeness-review.jsonl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5" t="str">
        <x:v>所属 Hub</x:v>
      </x:c>
      <x:c r="B5" s="16" t="str">
        <x:v>物理站名</x:v>
      </x:c>
      <x:c r="C5" s="16" t="str">
        <x:v>运营方</x:v>
      </x:c>
      <x:c r="D5" s="16" t="str">
        <x:v>模式</x:v>
      </x:c>
      <x:c r="E5" s="16" t="str">
        <x:v>组件拟等级</x:v>
      </x:c>
      <x:c r="F5" s="16" t="str">
        <x:v>线路（可多条）</x:v>
      </x:c>
      <x:c r="G5" s="16" t="str">
        <x:v>组件状态</x:v>
      </x:c>
      <x:c r="H5" s="16" t="str">
        <x:v>候选组件 ID</x:v>
      </x:c>
      <x:c r="I5" s="16" t="str">
        <x:v>拟 parentHub ID</x:v>
      </x:c>
      <x:c r="J5" s="17" t="str">
        <x:v>正式归属授权</x:v>
      </x:c>
    </x:row>
    <x:row r="6" ht="33" customHeight="1">
      <x:c r="A6" s="19" t="str">
        <x:v>武蔵小杉</x:v>
      </x:c>
      <x:c r="B6" s="18" t="str">
        <x:v>武蔵小杉</x:v>
      </x:c>
      <x:c r="C6" s="18" t="str">
        <x:v>東急電鉄</x:v>
      </x:c>
      <x:c r="D6" s="18" t="str">
        <x:v>private_rail</x:v>
      </x:c>
      <x:c r="E6" s="19" t="str">
        <x:v>T0</x:v>
      </x:c>
      <x:c r="F6" s="19" t="str">
        <x:v>東横線
目黒線</x:v>
      </x:c>
      <x:c r="G6" s="19" t="str">
        <x:v>候选已存在，组件待审核</x:v>
      </x:c>
      <x:c r="H6" s="19" t="str">
        <x:v>transport-node:45675db2-9181-5a4c-abc8-9b343bb334ea</x:v>
      </x:c>
      <x:c r="I6" s="18" t="str">
        <x:v>transport-hub-review:dc5fa549-03e0-5085-8412-720182baca9d</x:v>
      </x:c>
      <x:c r="J6" s="18" t="str">
        <x:v>否</x:v>
      </x:c>
    </x:row>
    <x:row r="7" ht="33" customHeight="1">
      <x:c r="A7" s="19" t="str">
        <x:v>武蔵小杉</x:v>
      </x:c>
      <x:c r="B7" s="18" t="str">
        <x:v>武蔵小杉</x:v>
      </x:c>
      <x:c r="C7" s="18" t="str">
        <x:v>東日本旅客鉄道</x:v>
      </x:c>
      <x:c r="D7" s="18" t="str">
        <x:v>conventional_rail</x:v>
      </x:c>
      <x:c r="E7" s="19" t="str">
        <x:v>T0</x:v>
      </x:c>
      <x:c r="F7" s="19" t="str">
        <x:v>南武線
東海道線</x:v>
      </x:c>
      <x:c r="G7" s="19" t="str">
        <x:v>候选已存在，组件待审核</x:v>
      </x:c>
      <x:c r="H7" s="19" t="str">
        <x:v>transport-node:4c65bd18-bdbc-5ceb-9b29-9ef1e5a0619b</x:v>
      </x:c>
      <x:c r="I7" s="18" t="str">
        <x:v>transport-hub-review:dc5fa549-03e0-5085-8412-720182baca9d</x:v>
      </x:c>
      <x:c r="J7" s="18" t="str">
        <x:v>否</x:v>
      </x:c>
    </x:row>
    <x:row r="8" ht="47" customHeight="1">
      <x:c r="A8" s="19" t="str">
        <x:v>立川</x:v>
      </x:c>
      <x:c r="B8" s="18" t="str">
        <x:v>立川</x:v>
      </x:c>
      <x:c r="C8" s="18" t="str">
        <x:v>東日本旅客鉄道</x:v>
      </x:c>
      <x:c r="D8" s="18" t="str">
        <x:v>conventional_rail</x:v>
      </x:c>
      <x:c r="E8" s="19" t="str">
        <x:v>T0</x:v>
      </x:c>
      <x:c r="F8" s="19" t="str">
        <x:v>中央線
南武線
青梅線</x:v>
      </x:c>
      <x:c r="G8" s="19" t="str">
        <x:v>候选已存在，组件待审核</x:v>
      </x:c>
      <x:c r="H8" s="19" t="str">
        <x:v>transport-node:e367976f-6c38-5e3a-8677-1f89135471bd</x:v>
      </x:c>
      <x:c r="I8" s="18" t="str">
        <x:v>transport-hub-review:b5df1a9a-192f-5074-9253-71bc6ceb8378</x:v>
      </x:c>
      <x:c r="J8" s="18" t="str">
        <x:v>否</x:v>
      </x:c>
    </x:row>
    <x:row r="9" ht="28" customHeight="1">
      <x:c r="A9" s="19" t="str">
        <x:v>立川</x:v>
      </x:c>
      <x:c r="B9" s="18" t="str">
        <x:v>立川北</x:v>
      </x:c>
      <x:c r="C9" s="18" t="str">
        <x:v>多摩都市モノレール</x:v>
      </x:c>
      <x:c r="D9" s="18" t="str">
        <x:v>fixed_guideway</x:v>
      </x:c>
      <x:c r="E9" s="19" t="str">
        <x:v>T2</x:v>
      </x:c>
      <x:c r="F9" s="19" t="str">
        <x:v>多摩都市モノレール線</x:v>
      </x:c>
      <x:c r="G9" s="19" t="str">
        <x:v>候选已存在，组件待审核</x:v>
      </x:c>
      <x:c r="H9" s="19" t="str">
        <x:v>transport-node:9d9a4d8a-a279-5ced-96f6-9fdc026616ec</x:v>
      </x:c>
      <x:c r="I9" s="18" t="str">
        <x:v>transport-hub-review:b5df1a9a-192f-5074-9253-71bc6ceb8378</x:v>
      </x:c>
      <x:c r="J9" s="18" t="str">
        <x:v>否</x:v>
      </x:c>
    </x:row>
    <x:row r="10" ht="28" customHeight="1">
      <x:c r="A10" s="19" t="str">
        <x:v>立川</x:v>
      </x:c>
      <x:c r="B10" s="18" t="str">
        <x:v>立川南</x:v>
      </x:c>
      <x:c r="C10" s="18" t="str">
        <x:v>多摩都市モノレール</x:v>
      </x:c>
      <x:c r="D10" s="18" t="str">
        <x:v>fixed_guideway</x:v>
      </x:c>
      <x:c r="E10" s="19" t="str">
        <x:v>T2</x:v>
      </x:c>
      <x:c r="F10" s="19" t="str">
        <x:v>多摩都市モノレール線</x:v>
      </x:c>
      <x:c r="G10" s="19" t="str">
        <x:v>候选已存在，组件待审核</x:v>
      </x:c>
      <x:c r="H10" s="19" t="str">
        <x:v>transport-node:328932fd-7d26-5cce-846a-823dc4b9c8c6</x:v>
      </x:c>
      <x:c r="I10" s="18" t="str">
        <x:v>transport-hub-review:b5df1a9a-192f-5074-9253-71bc6ceb8378</x:v>
      </x:c>
      <x:c r="J10" s="18" t="str">
        <x:v>否</x:v>
      </x:c>
    </x:row>
    <x:row r="11" ht="28" customHeight="1">
      <x:c r="A11" s="19" t="str">
        <x:v>吉祥寺</x:v>
      </x:c>
      <x:c r="B11" s="18" t="str">
        <x:v>吉祥寺</x:v>
      </x:c>
      <x:c r="C11" s="18" t="str">
        <x:v>京王電鉄</x:v>
      </x:c>
      <x:c r="D11" s="18" t="str">
        <x:v>private_rail</x:v>
      </x:c>
      <x:c r="E11" s="19" t="str">
        <x:v>T1</x:v>
      </x:c>
      <x:c r="F11" s="19" t="str">
        <x:v>井の頭線</x:v>
      </x:c>
      <x:c r="G11" s="19" t="str">
        <x:v>候选已存在，组件待审核</x:v>
      </x:c>
      <x:c r="H11" s="19" t="str">
        <x:v>transport-node:43b91901-0bb5-59ec-88f6-00bf35113b76</x:v>
      </x:c>
      <x:c r="I11" s="18" t="str">
        <x:v>transport-hub-review:c59f7b88-82d9-5fd5-bc13-91fd3f0f6618</x:v>
      </x:c>
      <x:c r="J11" s="18" t="str">
        <x:v>否</x:v>
      </x:c>
    </x:row>
    <x:row r="12" ht="28" customHeight="1">
      <x:c r="A12" s="19" t="str">
        <x:v>吉祥寺</x:v>
      </x:c>
      <x:c r="B12" s="18" t="str">
        <x:v>吉祥寺</x:v>
      </x:c>
      <x:c r="C12" s="18" t="str">
        <x:v>東日本旅客鉄道</x:v>
      </x:c>
      <x:c r="D12" s="18" t="str">
        <x:v>conventional_rail</x:v>
      </x:c>
      <x:c r="E12" s="19" t="str">
        <x:v>T0</x:v>
      </x:c>
      <x:c r="F12" s="19" t="str">
        <x:v>中央線</x:v>
      </x:c>
      <x:c r="G12" s="19" t="str">
        <x:v>候选已存在，组件待审核</x:v>
      </x:c>
      <x:c r="H12" s="19" t="str">
        <x:v>transport-node:720db2fb-ba26-5cd6-b747-f6d3e0a8327f</x:v>
      </x:c>
      <x:c r="I12" s="18" t="str">
        <x:v>transport-hub-review:c59f7b88-82d9-5fd5-bc13-91fd3f0f6618</x:v>
      </x:c>
      <x:c r="J12" s="18" t="str">
        <x:v>否</x:v>
      </x:c>
    </x:row>
    <x:row r="13" ht="28" customHeight="1">
      <x:c r="A13" s="19" t="str">
        <x:v>町田</x:v>
      </x:c>
      <x:c r="B13" s="18" t="str">
        <x:v>町田</x:v>
      </x:c>
      <x:c r="C13" s="18" t="str">
        <x:v>小田急電鉄</x:v>
      </x:c>
      <x:c r="D13" s="18" t="str">
        <x:v>private_rail</x:v>
      </x:c>
      <x:c r="E13" s="19" t="str">
        <x:v>T0</x:v>
      </x:c>
      <x:c r="F13" s="19" t="str">
        <x:v>小田原線</x:v>
      </x:c>
      <x:c r="G13" s="19" t="str">
        <x:v>候选已存在，组件待审核</x:v>
      </x:c>
      <x:c r="H13" s="19" t="str">
        <x:v>transport-node:993b1d33-2965-56bd-afa4-c045827a9a61</x:v>
      </x:c>
      <x:c r="I13" s="18" t="str">
        <x:v>transport-hub-review:bf8c88cb-e52c-5e41-b80a-c0aff8f4c168</x:v>
      </x:c>
      <x:c r="J13" s="18" t="str">
        <x:v>否</x:v>
      </x:c>
    </x:row>
    <x:row r="14" ht="28" customHeight="1">
      <x:c r="A14" s="19" t="str">
        <x:v>町田</x:v>
      </x:c>
      <x:c r="B14" s="18" t="str">
        <x:v>町田</x:v>
      </x:c>
      <x:c r="C14" s="18" t="str">
        <x:v>東日本旅客鉄道</x:v>
      </x:c>
      <x:c r="D14" s="18" t="str">
        <x:v>conventional_rail</x:v>
      </x:c>
      <x:c r="E14" s="19" t="str">
        <x:v>T0</x:v>
      </x:c>
      <x:c r="F14" s="19" t="str">
        <x:v>横浜線</x:v>
      </x:c>
      <x:c r="G14" s="19" t="str">
        <x:v>候选已存在，组件待审核</x:v>
      </x:c>
      <x:c r="H14" s="19" t="str">
        <x:v>transport-node:626c12c0-0c52-5571-bbb9-a0005e265a28</x:v>
      </x:c>
      <x:c r="I14" s="18" t="str">
        <x:v>transport-hub-review:bf8c88cb-e52c-5e41-b80a-c0aff8f4c168</x:v>
      </x:c>
      <x:c r="J14" s="18" t="str">
        <x:v>否</x:v>
      </x:c>
    </x:row>
    <x:row r="15" ht="28" customHeight="1">
      <x:c r="A15" s="19" t="str">
        <x:v>浜松町・大門</x:v>
      </x:c>
      <x:c r="B15" s="18" t="str">
        <x:v>浜松町</x:v>
      </x:c>
      <x:c r="C15" s="18" t="str">
        <x:v>東日本旅客鉄道</x:v>
      </x:c>
      <x:c r="D15" s="18" t="str">
        <x:v>conventional_rail</x:v>
      </x:c>
      <x:c r="E15" s="19" t="str">
        <x:v>T0</x:v>
      </x:c>
      <x:c r="F15" s="19" t="str">
        <x:v>東海道線</x:v>
      </x:c>
      <x:c r="G15" s="19" t="str">
        <x:v>候选已存在，组件待审核</x:v>
      </x:c>
      <x:c r="H15" s="19" t="str">
        <x:v>transport-node:d28ca941-f596-5102-b904-00db813ac340</x:v>
      </x:c>
      <x:c r="I15" s="18" t="str">
        <x:v>transport-hub-review:f5527a45-84f9-5ed7-92ba-fde5ceafd3da</x:v>
      </x:c>
      <x:c r="J15" s="18" t="str">
        <x:v>否</x:v>
      </x:c>
    </x:row>
    <x:row r="16" ht="28" customHeight="1">
      <x:c r="A16" s="19" t="str">
        <x:v>浜松町・大門</x:v>
      </x:c>
      <x:c r="B16" s="18" t="str">
        <x:v>モノレール浜松町</x:v>
      </x:c>
      <x:c r="C16" s="18" t="str">
        <x:v>東京モノレール</x:v>
      </x:c>
      <x:c r="D16" s="18" t="str">
        <x:v>fixed_guideway</x:v>
      </x:c>
      <x:c r="E16" s="19" t="str">
        <x:v>T1</x:v>
      </x:c>
      <x:c r="F16" s="19" t="str">
        <x:v>東京モノレール羽田空港線</x:v>
      </x:c>
      <x:c r="G16" s="19" t="str">
        <x:v>候选已存在，组件待审核</x:v>
      </x:c>
      <x:c r="H16" s="19" t="str">
        <x:v>transport-node:ba9746c4-c5b1-508d-af0f-b53c36267121</x:v>
      </x:c>
      <x:c r="I16" s="18" t="str">
        <x:v>transport-hub-review:f5527a45-84f9-5ed7-92ba-fde5ceafd3da</x:v>
      </x:c>
      <x:c r="J16" s="18" t="str">
        <x:v>否</x:v>
      </x:c>
    </x:row>
    <x:row r="17" ht="33" customHeight="1">
      <x:c r="A17" s="19" t="str">
        <x:v>浜松町・大門</x:v>
      </x:c>
      <x:c r="B17" s="18" t="str">
        <x:v>大門</x:v>
      </x:c>
      <x:c r="C17" s="18" t="str">
        <x:v>東京都</x:v>
      </x:c>
      <x:c r="D17" s="18" t="str">
        <x:v>metro</x:v>
      </x:c>
      <x:c r="E17" s="19" t="str">
        <x:v>T1</x:v>
      </x:c>
      <x:c r="F17" s="19" t="str">
        <x:v>12号線大江戸線
1号線浅草線</x:v>
      </x:c>
      <x:c r="G17" s="19" t="str">
        <x:v>候选已存在，组件待审核</x:v>
      </x:c>
      <x:c r="H17" s="19" t="str">
        <x:v>transport-node:af50f020-b2f9-534c-8933-5b0951ed814b</x:v>
      </x:c>
      <x:c r="I17" s="18" t="str">
        <x:v>transport-hub-review:f5527a45-84f9-5ed7-92ba-fde5ceafd3da</x:v>
      </x:c>
      <x:c r="J17" s="18" t="str">
        <x:v>否</x:v>
      </x:c>
    </x:row>
    <x:row r="18" ht="33" customHeight="1">
      <x:c r="A18" s="19" t="str">
        <x:v>日暮里</x:v>
      </x:c>
      <x:c r="B18" s="18" t="str">
        <x:v>日暮里</x:v>
      </x:c>
      <x:c r="C18" s="18" t="str">
        <x:v>東日本旅客鉄道</x:v>
      </x:c>
      <x:c r="D18" s="18" t="str">
        <x:v>conventional_rail</x:v>
      </x:c>
      <x:c r="E18" s="19" t="str">
        <x:v>T0</x:v>
      </x:c>
      <x:c r="F18" s="19" t="str">
        <x:v>常磐線
東北線</x:v>
      </x:c>
      <x:c r="G18" s="19" t="str">
        <x:v>候选已存在，组件待审核</x:v>
      </x:c>
      <x:c r="H18" s="19" t="str">
        <x:v>transport-node:7f033fba-9de3-52f2-a033-85e2b5157bc9</x:v>
      </x:c>
      <x:c r="I18" s="18" t="str">
        <x:v>transport-hub-review:8c8e8a34-79f1-50b9-a4a1-f55d4a8ac8c5</x:v>
      </x:c>
      <x:c r="J18" s="18" t="str">
        <x:v>否</x:v>
      </x:c>
    </x:row>
    <x:row r="19" ht="28" customHeight="1">
      <x:c r="A19" s="19" t="str">
        <x:v>日暮里</x:v>
      </x:c>
      <x:c r="B19" s="18" t="str">
        <x:v>日暮里</x:v>
      </x:c>
      <x:c r="C19" s="18" t="str">
        <x:v>京成電鉄</x:v>
      </x:c>
      <x:c r="D19" s="18" t="str">
        <x:v>private_rail</x:v>
      </x:c>
      <x:c r="E19" s="19" t="str">
        <x:v>T1</x:v>
      </x:c>
      <x:c r="F19" s="19" t="str">
        <x:v>本線</x:v>
      </x:c>
      <x:c r="G19" s="19" t="str">
        <x:v>候选已存在，组件待审核</x:v>
      </x:c>
      <x:c r="H19" s="19" t="str">
        <x:v>transport-node:819c83c0-b88a-5b4b-a3fa-8a9673235d00</x:v>
      </x:c>
      <x:c r="I19" s="18" t="str">
        <x:v>transport-hub-review:8c8e8a34-79f1-50b9-a4a1-f55d4a8ac8c5</x:v>
      </x:c>
      <x:c r="J19" s="18" t="str">
        <x:v>否</x:v>
      </x:c>
    </x:row>
    <x:row r="20" ht="28" customHeight="1">
      <x:c r="A20" s="19" t="str">
        <x:v>日暮里</x:v>
      </x:c>
      <x:c r="B20" s="18" t="str">
        <x:v>日暮里</x:v>
      </x:c>
      <x:c r="C20" s="18" t="str">
        <x:v>東京都</x:v>
      </x:c>
      <x:c r="D20" s="18" t="str">
        <x:v>fixed_guideway</x:v>
      </x:c>
      <x:c r="E20" s="19" t="str">
        <x:v>T2</x:v>
      </x:c>
      <x:c r="F20" s="19" t="str">
        <x:v>日暮里・舎人ライナー</x:v>
      </x:c>
      <x:c r="G20" s="19" t="str">
        <x:v>候选已存在，组件待审核</x:v>
      </x:c>
      <x:c r="H20" s="19" t="str">
        <x:v>transport-node:5235eb84-867a-5643-8c66-333586a85b6d</x:v>
      </x:c>
      <x:c r="I20" s="18" t="str">
        <x:v>transport-hub-review:8c8e8a34-79f1-50b9-a4a1-f55d4a8ac8c5</x:v>
      </x:c>
      <x:c r="J20" s="18" t="str">
        <x:v>否</x:v>
      </x:c>
    </x:row>
    <x:row r="21" ht="47" customHeight="1">
      <x:c r="A21" s="19" t="str">
        <x:v>金山</x:v>
      </x:c>
      <x:c r="B21" s="18" t="str">
        <x:v>金山</x:v>
      </x:c>
      <x:c r="C21" s="18" t="str">
        <x:v>名古屋市</x:v>
      </x:c>
      <x:c r="D21" s="18" t="str">
        <x:v>metro</x:v>
      </x:c>
      <x:c r="E21" s="19" t="str">
        <x:v>T1</x:v>
      </x:c>
      <x:c r="F21" s="19" t="str">
        <x:v>2号線名城線
2号線名港線
4号線名城線</x:v>
      </x:c>
      <x:c r="G21" s="19" t="str">
        <x:v>候选已存在，组件待审核</x:v>
      </x:c>
      <x:c r="H21" s="19" t="str">
        <x:v>transport-node:c143e2a3-b7c1-5c8a-8d7a-4f50e46fff1f</x:v>
      </x:c>
      <x:c r="I21" s="18" t="str">
        <x:v>transport-hub-review:57043f7e-57fa-562f-b9f1-4143caf49e26</x:v>
      </x:c>
      <x:c r="J21" s="18" t="str">
        <x:v>否</x:v>
      </x:c>
    </x:row>
    <x:row r="22" ht="33" customHeight="1">
      <x:c r="A22" s="19" t="str">
        <x:v>金山</x:v>
      </x:c>
      <x:c r="B22" s="18" t="str">
        <x:v>金山</x:v>
      </x:c>
      <x:c r="C22" s="18" t="str">
        <x:v>東海旅客鉄道</x:v>
      </x:c>
      <x:c r="D22" s="18" t="str">
        <x:v>conventional_rail</x:v>
      </x:c>
      <x:c r="E22" s="19" t="str">
        <x:v>T1</x:v>
      </x:c>
      <x:c r="F22" s="19" t="str">
        <x:v>中央線
東海道線</x:v>
      </x:c>
      <x:c r="G22" s="19" t="str">
        <x:v>候选已存在，组件待审核</x:v>
      </x:c>
      <x:c r="H22" s="19" t="str">
        <x:v>transport-node:b64d40e6-715a-5a34-a03d-327db3fa845a</x:v>
      </x:c>
      <x:c r="I22" s="18" t="str">
        <x:v>transport-hub-review:57043f7e-57fa-562f-b9f1-4143caf49e26</x:v>
      </x:c>
      <x:c r="J22" s="18" t="str">
        <x:v>否</x:v>
      </x:c>
    </x:row>
    <x:row r="23" ht="28" customHeight="1">
      <x:c r="A23" s="19" t="str">
        <x:v>金山</x:v>
      </x:c>
      <x:c r="B23" s="18" t="str">
        <x:v>金山</x:v>
      </x:c>
      <x:c r="C23" s="18" t="str">
        <x:v>名古屋鉄道</x:v>
      </x:c>
      <x:c r="D23" s="18" t="str">
        <x:v>private_rail</x:v>
      </x:c>
      <x:c r="E23" s="19" t="str">
        <x:v>T1</x:v>
      </x:c>
      <x:c r="F23" s="19" t="str">
        <x:v>名古屋本線</x:v>
      </x:c>
      <x:c r="G23" s="19" t="str">
        <x:v>候选已存在，组件待审核</x:v>
      </x:c>
      <x:c r="H23" s="19" t="str">
        <x:v>transport-node:5a5761e8-fed6-5c94-924e-de2401b3ef2d</x:v>
      </x:c>
      <x:c r="I23" s="18" t="str">
        <x:v>transport-hub-review:57043f7e-57fa-562f-b9f1-4143caf49e26</x:v>
      </x:c>
      <x:c r="J23" s="18" t="str">
        <x:v>否</x:v>
      </x:c>
    </x:row>
    <x:row r="24" ht="33" customHeight="1">
      <x:c r="A24" s="19" t="str">
        <x:v>大曽根</x:v>
      </x:c>
      <x:c r="B24" s="18" t="str">
        <x:v>大曽根</x:v>
      </x:c>
      <x:c r="C24" s="18" t="str">
        <x:v>名古屋市</x:v>
      </x:c>
      <x:c r="D24" s="18" t="str">
        <x:v>metro</x:v>
      </x:c>
      <x:c r="E24" s="19" t="str">
        <x:v>T2</x:v>
      </x:c>
      <x:c r="F24" s="19" t="str">
        <x:v>2号線名城線
4号線名城線</x:v>
      </x:c>
      <x:c r="G24" s="19" t="str">
        <x:v>候选已存在，组件待审核</x:v>
      </x:c>
      <x:c r="H24" s="19" t="str">
        <x:v>transport-node:9f9a87ae-1a3a-5e2b-95f2-6162d196fbef</x:v>
      </x:c>
      <x:c r="I24" s="18" t="str">
        <x:v>transport-hub-review:34dc1348-9c78-5a4c-a3f3-0a77356c11ac</x:v>
      </x:c>
      <x:c r="J24" s="18" t="str">
        <x:v>否</x:v>
      </x:c>
    </x:row>
    <x:row r="25" ht="28" customHeight="1">
      <x:c r="A25" s="19" t="str">
        <x:v>大曽根</x:v>
      </x:c>
      <x:c r="B25" s="18" t="str">
        <x:v>大曽根</x:v>
      </x:c>
      <x:c r="C25" s="18" t="str">
        <x:v>東海旅客鉄道</x:v>
      </x:c>
      <x:c r="D25" s="18" t="str">
        <x:v>conventional_rail</x:v>
      </x:c>
      <x:c r="E25" s="19" t="str">
        <x:v>T1</x:v>
      </x:c>
      <x:c r="F25" s="19" t="str">
        <x:v>中央線</x:v>
      </x:c>
      <x:c r="G25" s="19" t="str">
        <x:v>候选已存在，组件待审核</x:v>
      </x:c>
      <x:c r="H25" s="19" t="str">
        <x:v>transport-node:00756203-3145-5da7-ac4e-32d3600736d7</x:v>
      </x:c>
      <x:c r="I25" s="18" t="str">
        <x:v>transport-hub-review:34dc1348-9c78-5a4c-a3f3-0a77356c11ac</x:v>
      </x:c>
      <x:c r="J25" s="18" t="str">
        <x:v>否</x:v>
      </x:c>
    </x:row>
    <x:row r="26" ht="28" customHeight="1">
      <x:c r="A26" s="19" t="str">
        <x:v>大曽根</x:v>
      </x:c>
      <x:c r="B26" s="18" t="str">
        <x:v>大曽根</x:v>
      </x:c>
      <x:c r="C26" s="18" t="str">
        <x:v>名古屋鉄道</x:v>
      </x:c>
      <x:c r="D26" s="18" t="str">
        <x:v>private_rail</x:v>
      </x:c>
      <x:c r="E26" s="19" t="str">
        <x:v>T2</x:v>
      </x:c>
      <x:c r="F26" s="19" t="str">
        <x:v>瀬戸線</x:v>
      </x:c>
      <x:c r="G26" s="19" t="str">
        <x:v>候选已存在，组件待审核</x:v>
      </x:c>
      <x:c r="H26" s="19" t="str">
        <x:v>transport-node:30673ace-0d46-5064-a03f-226be5533af6</x:v>
      </x:c>
      <x:c r="I26" s="18" t="str">
        <x:v>transport-hub-review:34dc1348-9c78-5a4c-a3f3-0a77356c11ac</x:v>
      </x:c>
      <x:c r="J26" s="18" t="str">
        <x:v>否</x:v>
      </x:c>
    </x:row>
    <x:row r="27" ht="28" customHeight="1">
      <x:c r="A27" s="19" t="str">
        <x:v>大曽根</x:v>
      </x:c>
      <x:c r="B27" s="18" t="str">
        <x:v>大曽根</x:v>
      </x:c>
      <x:c r="C27" s="18" t="str">
        <x:v>名古屋ガイドウェイバス</x:v>
      </x:c>
      <x:c r="D27" s="18" t="str">
        <x:v>fixed_guideway</x:v>
      </x:c>
      <x:c r="E27" s="19" t="str">
        <x:v>T3</x:v>
      </x:c>
      <x:c r="F27" s="19" t="str">
        <x:v>ガイドウェイバス志段味線</x:v>
      </x:c>
      <x:c r="G27" s="19" t="str">
        <x:v>候选已存在，组件待审核</x:v>
      </x:c>
      <x:c r="H27" s="19" t="str">
        <x:v>transport-node:eee39276-a347-5fe1-ad77-06f2f493b12a</x:v>
      </x:c>
      <x:c r="I27" s="18" t="str">
        <x:v>transport-hub-review:34dc1348-9c78-5a4c-a3f3-0a77356c11ac</x:v>
      </x:c>
      <x:c r="J27" s="18" t="str">
        <x:v>否</x:v>
      </x:c>
    </x:row>
    <x:row r="28" ht="33" customHeight="1">
      <x:c r="A28" s="19" t="str">
        <x:v>新神戸</x:v>
      </x:c>
      <x:c r="B28" s="18" t="str">
        <x:v>新神戸</x:v>
      </x:c>
      <x:c r="C28" s="18" t="str">
        <x:v>神戸市</x:v>
      </x:c>
      <x:c r="D28" s="18" t="str">
        <x:v>metro</x:v>
      </x:c>
      <x:c r="E28" s="19" t="str">
        <x:v>T2</x:v>
      </x:c>
      <x:c r="F28" s="19" t="str">
        <x:v>北神線
山手線</x:v>
      </x:c>
      <x:c r="G28" s="19" t="str">
        <x:v>候选已存在，组件待审核</x:v>
      </x:c>
      <x:c r="H28" s="19" t="str">
        <x:v>transport-node:2fa47b6f-ed6b-5ca2-ab80-538eca4c209a</x:v>
      </x:c>
      <x:c r="I28" s="18" t="str">
        <x:v>transport-hub-review:aa60527a-3d72-58f6-b2d8-f769279dcc8c</x:v>
      </x:c>
      <x:c r="J28" s="18" t="str">
        <x:v>否</x:v>
      </x:c>
    </x:row>
    <x:row r="29" ht="28" customHeight="1">
      <x:c r="A29" s="19" t="str">
        <x:v>新神戸</x:v>
      </x:c>
      <x:c r="B29" s="18" t="str">
        <x:v>新神戸</x:v>
      </x:c>
      <x:c r="C29" s="18" t="str">
        <x:v>西日本旅客鉄道</x:v>
      </x:c>
      <x:c r="D29" s="18" t="str">
        <x:v>shinkansen</x:v>
      </x:c>
      <x:c r="E29" s="19" t="str">
        <x:v>T2</x:v>
      </x:c>
      <x:c r="F29" s="19" t="str">
        <x:v>山陽新幹線</x:v>
      </x:c>
      <x:c r="G29" s="19" t="str">
        <x:v>候选已存在，组件待审核</x:v>
      </x:c>
      <x:c r="H29" s="19" t="str">
        <x:v>transport-node:d36d3208-3d50-522e-be5f-f83fcb70239b</x:v>
      </x:c>
      <x:c r="I29" s="18" t="str">
        <x:v>transport-hub-review:aa60527a-3d72-58f6-b2d8-f769279dcc8c</x:v>
      </x:c>
      <x:c r="J29" s="18" t="str">
        <x:v>否</x:v>
      </x:c>
    </x:row>
    <x:row r="30" ht="28" customHeight="1">
      <x:c r="A30" s="19" t="str">
        <x:v>天神・西鉄福岡・天神南</x:v>
      </x:c>
      <x:c r="B30" s="18" t="str">
        <x:v>天神</x:v>
      </x:c>
      <x:c r="C30" s="18" t="str">
        <x:v>福岡市</x:v>
      </x:c>
      <x:c r="D30" s="18" t="str">
        <x:v>metro</x:v>
      </x:c>
      <x:c r="E30" s="19" t="str">
        <x:v>T1</x:v>
      </x:c>
      <x:c r="F30" s="19" t="str">
        <x:v>1号線(空港線)</x:v>
      </x:c>
      <x:c r="G30" s="19" t="str">
        <x:v>候选已存在，组件待审核</x:v>
      </x:c>
      <x:c r="H30" s="19" t="str">
        <x:v>transport-node:35f0fe15-dedc-585a-bb06-c3c2cbf2a853</x:v>
      </x:c>
      <x:c r="I30" s="18" t="str">
        <x:v>transport-hub-review:063472a3-45f9-5bb7-8a3b-d43f8c6c39a1</x:v>
      </x:c>
      <x:c r="J30" s="18" t="str">
        <x:v>否</x:v>
      </x:c>
    </x:row>
    <x:row r="31" ht="28" customHeight="1">
      <x:c r="A31" s="19" t="str">
        <x:v>天神・西鉄福岡・天神南</x:v>
      </x:c>
      <x:c r="B31" s="18" t="str">
        <x:v>天神南</x:v>
      </x:c>
      <x:c r="C31" s="18" t="str">
        <x:v>福岡市</x:v>
      </x:c>
      <x:c r="D31" s="18" t="str">
        <x:v>metro</x:v>
      </x:c>
      <x:c r="E31" s="19" t="str">
        <x:v>T2</x:v>
      </x:c>
      <x:c r="F31" s="19" t="str">
        <x:v>3号線(七隈線)</x:v>
      </x:c>
      <x:c r="G31" s="19" t="str">
        <x:v>候选已存在，组件待审核</x:v>
      </x:c>
      <x:c r="H31" s="19" t="str">
        <x:v>transport-node:3fb57767-254a-5ef3-8c02-aea30c919c24</x:v>
      </x:c>
      <x:c r="I31" s="18" t="str">
        <x:v>transport-hub-review:063472a3-45f9-5bb7-8a3b-d43f8c6c39a1</x:v>
      </x:c>
      <x:c r="J31" s="18" t="str">
        <x:v>否</x:v>
      </x:c>
    </x:row>
    <x:row r="32" ht="28" customHeight="1">
      <x:c r="A32" s="19" t="str">
        <x:v>天神・西鉄福岡・天神南</x:v>
      </x:c>
      <x:c r="B32" s="18" t="str">
        <x:v>西鉄福岡（天神）</x:v>
      </x:c>
      <x:c r="C32" s="18" t="str">
        <x:v>西日本鉄道</x:v>
      </x:c>
      <x:c r="D32" s="18" t="str">
        <x:v>private_rail</x:v>
      </x:c>
      <x:c r="E32" s="19" t="str">
        <x:v>T1</x:v>
      </x:c>
      <x:c r="F32" s="19" t="str">
        <x:v>天神大牟田線</x:v>
      </x:c>
      <x:c r="G32" s="19" t="str">
        <x:v>候选已存在，组件待审核</x:v>
      </x:c>
      <x:c r="H32" s="19" t="str">
        <x:v>transport-node:c4cd6e29-0e0c-5412-829c-2d872c4f0365</x:v>
      </x:c>
      <x:c r="I32" s="18" t="str">
        <x:v>transport-hub-review:063472a3-45f9-5bb7-8a3b-d43f8c6c39a1</x:v>
      </x:c>
      <x:c r="J32" s="18" t="str">
        <x:v>否</x:v>
      </x:c>
    </x:row>
    <x:row r="33" ht="28" customHeight="1">
      <x:c r="A33" s="19" t="str">
        <x:v>新札幌・新さっぽろ</x:v>
      </x:c>
      <x:c r="B33" s="18" t="str">
        <x:v>新札幌</x:v>
      </x:c>
      <x:c r="C33" s="18" t="str">
        <x:v>北海道旅客鉄道</x:v>
      </x:c>
      <x:c r="D33" s="18" t="str">
        <x:v>conventional_rail</x:v>
      </x:c>
      <x:c r="E33" s="19" t="str">
        <x:v>T2</x:v>
      </x:c>
      <x:c r="F33" s="19" t="str">
        <x:v>千歳線</x:v>
      </x:c>
      <x:c r="G33" s="19" t="str">
        <x:v>候选已存在，组件待审核</x:v>
      </x:c>
      <x:c r="H33" s="19" t="str">
        <x:v>transport-node:fa8fb375-e428-5655-ac9a-e67abb8167cc</x:v>
      </x:c>
      <x:c r="I33" s="18" t="str">
        <x:v>transport-hub-review:52ce6659-da96-53e4-846d-77821541fd23</x:v>
      </x:c>
      <x:c r="J33" s="18" t="str">
        <x:v>否</x:v>
      </x:c>
    </x:row>
    <x:row r="34" ht="28" customHeight="1">
      <x:c r="A34" s="19" t="str">
        <x:v>新札幌・新さっぽろ</x:v>
      </x:c>
      <x:c r="B34" s="18" t="str">
        <x:v>新さっぽろ</x:v>
      </x:c>
      <x:c r="C34" s="18" t="str">
        <x:v>札幌市</x:v>
      </x:c>
      <x:c r="D34" s="18" t="str">
        <x:v>metro</x:v>
      </x:c>
      <x:c r="E34" s="19" t="str">
        <x:v>T2</x:v>
      </x:c>
      <x:c r="F34" s="19" t="str">
        <x:v>東西線</x:v>
      </x:c>
      <x:c r="G34" s="19" t="str">
        <x:v>候选已存在，组件待审核</x:v>
      </x:c>
      <x:c r="H34" s="19" t="str">
        <x:v>transport-node:bde00433-e495-58d4-9dc9-278e1966bddb</x:v>
      </x:c>
      <x:c r="I34" s="18" t="str">
        <x:v>transport-hub-review:52ce6659-da96-53e4-846d-77821541fd23</x:v>
      </x:c>
      <x:c r="J34" s="18" t="str">
        <x:v>否</x:v>
      </x:c>
    </x:row>
    <x:row r="35" ht="28" customHeight="1">
      <x:c r="A35" s="19" t="str">
        <x:v>北仙台</x:v>
      </x:c>
      <x:c r="B35" s="18" t="str">
        <x:v>北仙台</x:v>
      </x:c>
      <x:c r="C35" s="18" t="str">
        <x:v>東日本旅客鉄道</x:v>
      </x:c>
      <x:c r="D35" s="18" t="str">
        <x:v>conventional_rail</x:v>
      </x:c>
      <x:c r="E35" s="19" t="str">
        <x:v>T3</x:v>
      </x:c>
      <x:c r="F35" s="19" t="str">
        <x:v>仙山線</x:v>
      </x:c>
      <x:c r="G35" s="19" t="str">
        <x:v>候选已存在，组件待审核</x:v>
      </x:c>
      <x:c r="H35" s="19" t="str">
        <x:v>transport-node:a0d97045-075c-5219-bf82-4f72da82591a</x:v>
      </x:c>
      <x:c r="I35" s="18" t="str">
        <x:v>transport-hub-review:21271627-f15d-59ec-a1da-3dd532427eca</x:v>
      </x:c>
      <x:c r="J35" s="18" t="str">
        <x:v>否</x:v>
      </x:c>
    </x:row>
    <x:row r="36" ht="28" customHeight="1">
      <x:c r="A36" s="19" t="str">
        <x:v>北仙台</x:v>
      </x:c>
      <x:c r="B36" s="18" t="str">
        <x:v>北仙台</x:v>
      </x:c>
      <x:c r="C36" s="18" t="str">
        <x:v>仙台市</x:v>
      </x:c>
      <x:c r="D36" s="18" t="str">
        <x:v>metro</x:v>
      </x:c>
      <x:c r="E36" s="19" t="str">
        <x:v>T3</x:v>
      </x:c>
      <x:c r="F36" s="19" t="str">
        <x:v>南北線</x:v>
      </x:c>
      <x:c r="G36" s="19" t="str">
        <x:v>候选已存在，组件待审核</x:v>
      </x:c>
      <x:c r="H36" s="19" t="str">
        <x:v>transport-node:36e1e4e9-7e4c-57b5-8867-07358a8a45b8</x:v>
      </x:c>
      <x:c r="I36" s="18" t="str">
        <x:v>transport-hub-review:21271627-f15d-59ec-a1da-3dd532427eca</x:v>
      </x:c>
      <x:c r="J36" s="18" t="str">
        <x:v>否</x:v>
      </x:c>
    </x:row>
    <x:row r="37" ht="28" customHeight="1">
      <x:c r="A37" s="19" t="str">
        <x:v>新白島</x:v>
      </x:c>
      <x:c r="B37" s="18" t="str">
        <x:v>新白島</x:v>
      </x:c>
      <x:c r="C37" s="18" t="str">
        <x:v>西日本旅客鉄道</x:v>
      </x:c>
      <x:c r="D37" s="18" t="str">
        <x:v>conventional_rail</x:v>
      </x:c>
      <x:c r="E37" s="19" t="str">
        <x:v>T2</x:v>
      </x:c>
      <x:c r="F37" s="19" t="str">
        <x:v>山陽線</x:v>
      </x:c>
      <x:c r="G37" s="19" t="str">
        <x:v>候选已存在，组件待审核</x:v>
      </x:c>
      <x:c r="H37" s="19" t="str">
        <x:v>transport-node:6c4efdc7-f20b-5245-95d1-ddf7df23e3c1</x:v>
      </x:c>
      <x:c r="I37" s="18" t="str">
        <x:v>transport-hub-review:469d5ce9-bdcd-50f2-9e53-3b08050465f5</x:v>
      </x:c>
      <x:c r="J37" s="18" t="str">
        <x:v>否</x:v>
      </x:c>
    </x:row>
    <x:row r="38" ht="28" customHeight="1">
      <x:c r="A38" s="19" t="str">
        <x:v>新白島</x:v>
      </x:c>
      <x:c r="B38" s="18" t="str">
        <x:v>新白島</x:v>
      </x:c>
      <x:c r="C38" s="18" t="str">
        <x:v>広島高速交通</x:v>
      </x:c>
      <x:c r="D38" s="18" t="str">
        <x:v>fixed_guideway</x:v>
      </x:c>
      <x:c r="E38" s="19" t="str">
        <x:v>T2</x:v>
      </x:c>
      <x:c r="F38" s="19" t="str">
        <x:v>広島新交通1号線</x:v>
      </x:c>
      <x:c r="G38" s="19" t="str">
        <x:v>候选已存在，组件待审核</x:v>
      </x:c>
      <x:c r="H38" s="19" t="str">
        <x:v>transport-node:dfd97b85-3bec-5cbc-909d-2f154f9ac27a</x:v>
      </x:c>
      <x:c r="I38" s="18" t="str">
        <x:v>transport-hub-review:469d5ce9-bdcd-50f2-9e53-3b08050465f5</x:v>
      </x:c>
      <x:c r="J38" s="18" t="str">
        <x:v>否</x:v>
      </x:c>
    </x:row>
    <x:row r="39" ht="47" customHeight="1">
      <x:c r="A39" s="19" t="str">
        <x:v>なんば・大阪難波</x:v>
      </x:c>
      <x:c r="B39" s="18" t="str">
        <x:v>難波</x:v>
      </x:c>
      <x:c r="C39" s="18" t="str">
        <x:v>大阪市高速電気軌道</x:v>
      </x:c>
      <x:c r="D39" s="18" t="str">
        <x:v>metro</x:v>
      </x:c>
      <x:c r="E39" s="19" t="str">
        <x:v>T0</x:v>
      </x:c>
      <x:c r="F39" s="19" t="str">
        <x:v>1号線(御堂筋線)
3号線(四つ橋線)
5号線(千日前線)</x:v>
      </x:c>
      <x:c r="G39" s="19" t="str">
        <x:v>候选已存在，组件待审核</x:v>
      </x:c>
      <x:c r="H39" s="19" t="str">
        <x:v>transport-node:e41c8208-1590-5ffa-b581-b575412c39dd</x:v>
      </x:c>
      <x:c r="I39" s="18" t="str">
        <x:v>transport-hub-review:58068a40-9f72-57b2-9003-7470fd60b33f</x:v>
      </x:c>
      <x:c r="J39" s="18" t="str">
        <x:v>否</x:v>
      </x:c>
    </x:row>
    <x:row r="40" ht="28" customHeight="1">
      <x:c r="A40" s="19" t="str">
        <x:v>なんば・大阪難波</x:v>
      </x:c>
      <x:c r="B40" s="18" t="str">
        <x:v>JR難波</x:v>
      </x:c>
      <x:c r="C40" s="18" t="str">
        <x:v>西日本旅客鉄道</x:v>
      </x:c>
      <x:c r="D40" s="18" t="str">
        <x:v>conventional_rail</x:v>
      </x:c>
      <x:c r="E40" s="19" t="str">
        <x:v>T2</x:v>
      </x:c>
      <x:c r="F40" s="19" t="str">
        <x:v>関西線</x:v>
      </x:c>
      <x:c r="G40" s="19" t="str">
        <x:v>候选已存在，组件待审核</x:v>
      </x:c>
      <x:c r="H40" s="19" t="str">
        <x:v>transport-node:8fc0013a-4172-595a-8feb-1682f2e85d59</x:v>
      </x:c>
      <x:c r="I40" s="18" t="str">
        <x:v>transport-hub-review:58068a40-9f72-57b2-9003-7470fd60b33f</x:v>
      </x:c>
      <x:c r="J40" s="18" t="str">
        <x:v>否</x:v>
      </x:c>
    </x:row>
    <x:row r="41" ht="28" customHeight="1">
      <x:c r="A41" s="19" t="str">
        <x:v>なんば・大阪難波</x:v>
      </x:c>
      <x:c r="B41" s="18" t="str">
        <x:v>大阪難波</x:v>
      </x:c>
      <x:c r="C41" s="18" t="str">
        <x:v>阪神電気鉄道</x:v>
      </x:c>
      <x:c r="D41" s="18" t="str">
        <x:v>private_rail</x:v>
      </x:c>
      <x:c r="E41" s="19" t="str">
        <x:v>null</x:v>
      </x:c>
      <x:c r="F41" s="19" t="str">
        <x:v>阪神なんば線</x:v>
      </x:c>
      <x:c r="G41" s="19" t="str">
        <x:v>候选已存在，组件待审核</x:v>
      </x:c>
      <x:c r="H41" s="19" t="str">
        <x:v>transport-node:e62b6875-f208-5226-9df3-fb3f7a9c2189</x:v>
      </x:c>
      <x:c r="I41" s="18" t="str">
        <x:v>transport-hub-review:58068a40-9f72-57b2-9003-7470fd60b33f</x:v>
      </x:c>
      <x:c r="J41" s="18" t="str">
        <x:v>否</x:v>
      </x:c>
    </x:row>
    <x:row r="42" ht="28" customHeight="1">
      <x:c r="A42" s="19" t="str">
        <x:v>なんば・大阪難波</x:v>
      </x:c>
      <x:c r="B42" s="18" t="str">
        <x:v>大阪難波</x:v>
      </x:c>
      <x:c r="C42" s="18" t="str">
        <x:v>近畿日本鉄道</x:v>
      </x:c>
      <x:c r="D42" s="18" t="str">
        <x:v>private_rail</x:v>
      </x:c>
      <x:c r="E42" s="19" t="str">
        <x:v>T1</x:v>
      </x:c>
      <x:c r="F42" s="19" t="str">
        <x:v>難波線</x:v>
      </x:c>
      <x:c r="G42" s="19" t="str">
        <x:v>候选已存在，组件待审核</x:v>
      </x:c>
      <x:c r="H42" s="19" t="str">
        <x:v>transport-node:bb2bc91d-43c7-5d54-9ce0-8f8a5945f670</x:v>
      </x:c>
      <x:c r="I42" s="18" t="str">
        <x:v>transport-hub-review:58068a40-9f72-57b2-9003-7470fd60b33f</x:v>
      </x:c>
      <x:c r="J42" s="18" t="str">
        <x:v>否</x:v>
      </x:c>
    </x:row>
    <x:row r="43" ht="28" customHeight="1">
      <x:c r="A43" s="19" t="str">
        <x:v>なんば・大阪難波</x:v>
      </x:c>
      <x:c r="B43" s="18" t="str">
        <x:v>難波</x:v>
      </x:c>
      <x:c r="C43" s="18" t="str">
        <x:v>南海電気鉄道</x:v>
      </x:c>
      <x:c r="D43" s="18" t="str">
        <x:v>private_rail</x:v>
      </x:c>
      <x:c r="E43" s="19" t="str">
        <x:v>T0</x:v>
      </x:c>
      <x:c r="F43" s="19" t="str">
        <x:v>南海本線</x:v>
      </x:c>
      <x:c r="G43" s="19" t="str">
        <x:v>候选已存在，组件待审核</x:v>
      </x:c>
      <x:c r="H43" s="19" t="str">
        <x:v>transport-node:a905f73a-5ae5-5e62-823a-b9607c01a91c</x:v>
      </x:c>
      <x:c r="I43" s="18" t="str">
        <x:v>transport-hub-review:58068a40-9f72-57b2-9003-7470fd60b33f</x:v>
      </x:c>
      <x:c r="J43" s="18" t="str">
        <x:v>否</x:v>
      </x:c>
    </x:row>
    <x:row r="44" ht="28" customHeight="1">
      <x:c r="A44" s="19" t="str">
        <x:v>綾瀬</x:v>
      </x:c>
      <x:c r="B44" s="18" t="str">
        <x:v>綾瀬</x:v>
      </x:c>
      <x:c r="C44" s="18" t="str">
        <x:v>東京地下鉄</x:v>
      </x:c>
      <x:c r="D44" s="18" t="str">
        <x:v>metro</x:v>
      </x:c>
      <x:c r="E44" s="19" t="str">
        <x:v>T0</x:v>
      </x:c>
      <x:c r="F44" s="19" t="str">
        <x:v>9号線千代田線</x:v>
      </x:c>
      <x:c r="G44" s="19" t="str">
        <x:v>候选已存在，组件待审核</x:v>
      </x:c>
      <x:c r="H44" s="19" t="str">
        <x:v>transport-node:be9a5bb1-746e-5284-b1fd-bd9932f964ce</x:v>
      </x:c>
      <x:c r="I44" s="18" t="str">
        <x:v>transport-hub-review:816100fd-b4a2-5490-9d5b-2cff9761f595</x:v>
      </x:c>
      <x:c r="J44" s="18" t="str">
        <x:v>否</x:v>
      </x:c>
    </x:row>
    <x:row r="45" ht="28" customHeight="1">
      <x:c r="A45" s="19" t="str">
        <x:v>綾瀬</x:v>
      </x:c>
      <x:c r="B45" s="18" t="str">
        <x:v>綾瀬</x:v>
      </x:c>
      <x:c r="C45" s="18" t="str">
        <x:v>東日本旅客鉄道</x:v>
      </x:c>
      <x:c r="D45" s="18" t="str">
        <x:v>conventional_rail</x:v>
      </x:c>
      <x:c r="E45" s="19" t="str">
        <x:v>null</x:v>
      </x:c>
      <x:c r="F45" s="19" t="str">
        <x:v>常磐線</x:v>
      </x:c>
      <x:c r="G45" s="19" t="str">
        <x:v>候选已存在，组件待审核</x:v>
      </x:c>
      <x:c r="H45" s="19" t="str">
        <x:v>transport-node:f48c90c1-9d01-5b6a-902e-64a1c91a769c</x:v>
      </x:c>
      <x:c r="I45" s="18" t="str">
        <x:v>transport-hub-review:816100fd-b4a2-5490-9d5b-2cff9761f595</x:v>
      </x:c>
      <x:c r="J45" s="18" t="str">
        <x:v>否</x:v>
      </x:c>
    </x:row>
    <x:row r="46" ht="33" customHeight="1">
      <x:c r="A46" s="19" t="str">
        <x:v>栄・栄町</x:v>
      </x:c>
      <x:c r="B46" s="18" t="str">
        <x:v>栄</x:v>
      </x:c>
      <x:c r="C46" s="18" t="str">
        <x:v>名古屋市</x:v>
      </x:c>
      <x:c r="D46" s="18" t="str">
        <x:v>metro</x:v>
      </x:c>
      <x:c r="E46" s="19" t="str">
        <x:v>T0</x:v>
      </x:c>
      <x:c r="F46" s="19" t="str">
        <x:v>1号線東山線
2号線名城線</x:v>
      </x:c>
      <x:c r="G46" s="19" t="str">
        <x:v>候选已存在，组件待审核</x:v>
      </x:c>
      <x:c r="H46" s="19" t="str">
        <x:v>transport-node:1ca11526-aca0-5d54-97d0-44708d9cf36a</x:v>
      </x:c>
      <x:c r="I46" s="18" t="str">
        <x:v>transport-hub-review:55651934-b4b0-5315-8bd1-dd423f83fd41</x:v>
      </x:c>
      <x:c r="J46" s="18" t="str">
        <x:v>否</x:v>
      </x:c>
    </x:row>
    <x:row r="47" ht="28" customHeight="1">
      <x:c r="A47" s="19" t="str">
        <x:v>栄・栄町</x:v>
      </x:c>
      <x:c r="B47" s="18" t="str">
        <x:v>栄町</x:v>
      </x:c>
      <x:c r="C47" s="18" t="str">
        <x:v>名古屋鉄道</x:v>
      </x:c>
      <x:c r="D47" s="18" t="str">
        <x:v>private_rail</x:v>
      </x:c>
      <x:c r="E47" s="19" t="str">
        <x:v>T2</x:v>
      </x:c>
      <x:c r="F47" s="19" t="str">
        <x:v>瀬戸線</x:v>
      </x:c>
      <x:c r="G47" s="19" t="str">
        <x:v>候选已存在，组件待审核</x:v>
      </x:c>
      <x:c r="H47" s="19" t="str">
        <x:v>transport-node:4fc8484c-3e7a-5a99-9878-dc21bce58044</x:v>
      </x:c>
      <x:c r="I47" s="18" t="str">
        <x:v>transport-hub-review:55651934-b4b0-5315-8bd1-dd423f83fd41</x:v>
      </x:c>
      <x:c r="J47" s="18" t="str">
        <x:v>否</x:v>
      </x:c>
    </x:row>
    <x:row r="48" ht="28" customHeight="1">
      <x:c r="A48" s="19" t="str">
        <x:v>押上・とうきょうスカイツリー</x:v>
      </x:c>
      <x:c r="B48" s="18" t="str">
        <x:v>押上</x:v>
      </x:c>
      <x:c r="C48" s="18" t="str">
        <x:v>東京地下鉄</x:v>
      </x:c>
      <x:c r="D48" s="18" t="str">
        <x:v>metro</x:v>
      </x:c>
      <x:c r="E48" s="19" t="str">
        <x:v>T1</x:v>
      </x:c>
      <x:c r="F48" s="19" t="str">
        <x:v>11号線半蔵門線</x:v>
      </x:c>
      <x:c r="G48" s="19" t="str">
        <x:v>候选已存在，组件待审核</x:v>
      </x:c>
      <x:c r="H48" s="19" t="str">
        <x:v>transport-node:98f05af1-e47e-5d7f-8367-5b8b99e7f56c</x:v>
      </x:c>
      <x:c r="I48" s="18" t="str">
        <x:v>transport-hub-review:26958e45-17bf-5070-bf9c-0a77198b34a2</x:v>
      </x:c>
      <x:c r="J48" s="18" t="str">
        <x:v>否</x:v>
      </x:c>
    </x:row>
    <x:row r="49" ht="28" customHeight="1">
      <x:c r="A49" s="19" t="str">
        <x:v>押上・とうきょうスカイツリー</x:v>
      </x:c>
      <x:c r="B49" s="18" t="str">
        <x:v>押上</x:v>
      </x:c>
      <x:c r="C49" s="18" t="str">
        <x:v>東京都</x:v>
      </x:c>
      <x:c r="D49" s="18" t="str">
        <x:v>metro</x:v>
      </x:c>
      <x:c r="E49" s="19" t="str">
        <x:v>null</x:v>
      </x:c>
      <x:c r="F49" s="19" t="str">
        <x:v>1号線浅草線</x:v>
      </x:c>
      <x:c r="G49" s="19" t="str">
        <x:v>候选已存在，组件待审核</x:v>
      </x:c>
      <x:c r="H49" s="19" t="str">
        <x:v>transport-node:8c77979d-1d3b-5bf3-8caf-897a38713074</x:v>
      </x:c>
      <x:c r="I49" s="18" t="str">
        <x:v>transport-hub-review:26958e45-17bf-5070-bf9c-0a77198b34a2</x:v>
      </x:c>
      <x:c r="J49" s="18" t="str">
        <x:v>否</x:v>
      </x:c>
    </x:row>
    <x:row r="50" ht="28" customHeight="1">
      <x:c r="A50" s="19" t="str">
        <x:v>押上・とうきょうスカイツリー</x:v>
      </x:c>
      <x:c r="B50" s="18" t="str">
        <x:v>押上</x:v>
      </x:c>
      <x:c r="C50" s="18" t="str">
        <x:v>東武鉄道</x:v>
      </x:c>
      <x:c r="D50" s="18" t="str">
        <x:v>private_rail</x:v>
      </x:c>
      <x:c r="E50" s="19" t="str">
        <x:v>T1</x:v>
      </x:c>
      <x:c r="F50" s="19" t="str">
        <x:v>伊勢崎線</x:v>
      </x:c>
      <x:c r="G50" s="19" t="str">
        <x:v>候选已存在，组件待审核</x:v>
      </x:c>
      <x:c r="H50" s="19" t="str">
        <x:v>transport-node:49047f67-991e-5ce2-a06e-65eb379e64d9</x:v>
      </x:c>
      <x:c r="I50" s="18" t="str">
        <x:v>transport-hub-review:26958e45-17bf-5070-bf9c-0a77198b34a2</x:v>
      </x:c>
      <x:c r="J50" s="18" t="str">
        <x:v>否</x:v>
      </x:c>
    </x:row>
    <x:row r="51" ht="28" customHeight="1">
      <x:c r="A51" s="19" t="str">
        <x:v>押上・とうきょうスカイツリー</x:v>
      </x:c>
      <x:c r="B51" s="18" t="str">
        <x:v>押上</x:v>
      </x:c>
      <x:c r="C51" s="18" t="str">
        <x:v>京成電鉄</x:v>
      </x:c>
      <x:c r="D51" s="18" t="str">
        <x:v>private_rail</x:v>
      </x:c>
      <x:c r="E51" s="19" t="str">
        <x:v>T0</x:v>
      </x:c>
      <x:c r="F51" s="19" t="str">
        <x:v>押上線</x:v>
      </x:c>
      <x:c r="G51" s="19" t="str">
        <x:v>候选已存在，组件待审核</x:v>
      </x:c>
      <x:c r="H51" s="19" t="str">
        <x:v>transport-node:9e3a915a-dd99-5727-b560-a1dbdbab07fb</x:v>
      </x:c>
      <x:c r="I51" s="18" t="str">
        <x:v>transport-hub-review:26958e45-17bf-5070-bf9c-0a77198b34a2</x:v>
      </x:c>
      <x:c r="J51" s="18" t="str">
        <x:v>否</x:v>
      </x:c>
    </x:row>
    <x:row r="52" ht="28" customHeight="1">
      <x:c r="A52" s="19" t="str">
        <x:v>押上・とうきょうスカイツリー</x:v>
      </x:c>
      <x:c r="B52" s="18" t="str">
        <x:v>とうきょうスカイツリー</x:v>
      </x:c>
      <x:c r="C52" s="18" t="str">
        <x:v>東武鉄道</x:v>
      </x:c>
      <x:c r="D52" s="18" t="str">
        <x:v>private_rail</x:v>
      </x:c>
      <x:c r="E52" s="19" t="str">
        <x:v>null</x:v>
      </x:c>
      <x:c r="F52" s="19" t="str">
        <x:v>伊勢崎線</x:v>
      </x:c>
      <x:c r="G52" s="19" t="str">
        <x:v>候选已存在，组件待审核</x:v>
      </x:c>
      <x:c r="H52" s="19" t="str">
        <x:v>transport-node:8f44c269-3917-5afa-a579-77a687fd3b81</x:v>
      </x:c>
      <x:c r="I52" s="18" t="str">
        <x:v>transport-hub-review:26958e45-17bf-5070-bf9c-0a77198b34a2</x:v>
      </x:c>
      <x:c r="J52" s="18" t="str">
        <x:v>否</x:v>
      </x:c>
    </x:row>
    <x:row r="53" ht="33" customHeight="1">
      <x:c r="A53" s="19" t="str">
        <x:v>横浜</x:v>
      </x:c>
      <x:c r="B53" s="18" t="str">
        <x:v>横浜</x:v>
      </x:c>
      <x:c r="C53" s="18" t="str">
        <x:v>東日本旅客鉄道</x:v>
      </x:c>
      <x:c r="D53" s="18" t="str">
        <x:v>conventional_rail</x:v>
      </x:c>
      <x:c r="E53" s="19" t="str">
        <x:v>T0</x:v>
      </x:c>
      <x:c r="F53" s="19" t="str">
        <x:v>東海道線
根岸線</x:v>
      </x:c>
      <x:c r="G53" s="19" t="str">
        <x:v>候选已存在，组件待审核</x:v>
      </x:c>
      <x:c r="H53" s="19" t="str">
        <x:v>transport-node:55b953b1-ed09-50c0-a500-4a1e77e2d01e</x:v>
      </x:c>
      <x:c r="I53" s="18" t="str">
        <x:v>transport-hub-review:835ee339-1ba6-513f-8fd2-604b7d6c8cb6</x:v>
      </x:c>
      <x:c r="J53" s="18" t="str">
        <x:v>否</x:v>
      </x:c>
    </x:row>
    <x:row r="54" ht="28" customHeight="1">
      <x:c r="A54" s="19" t="str">
        <x:v>横浜</x:v>
      </x:c>
      <x:c r="B54" s="18" t="str">
        <x:v>横浜</x:v>
      </x:c>
      <x:c r="C54" s="18" t="str">
        <x:v>京浜急行電鉄</x:v>
      </x:c>
      <x:c r="D54" s="18" t="str">
        <x:v>private_rail</x:v>
      </x:c>
      <x:c r="E54" s="19" t="str">
        <x:v>T0</x:v>
      </x:c>
      <x:c r="F54" s="19" t="str">
        <x:v>本線</x:v>
      </x:c>
      <x:c r="G54" s="19" t="str">
        <x:v>候选已存在，组件待审核</x:v>
      </x:c>
      <x:c r="H54" s="19" t="str">
        <x:v>transport-node:bf678dbf-47c0-5c45-9bfc-ec780217121b</x:v>
      </x:c>
      <x:c r="I54" s="18" t="str">
        <x:v>transport-hub-review:835ee339-1ba6-513f-8fd2-604b7d6c8cb6</x:v>
      </x:c>
      <x:c r="J54" s="18" t="str">
        <x:v>否</x:v>
      </x:c>
    </x:row>
    <x:row r="55" ht="28" customHeight="1">
      <x:c r="A55" s="19" t="str">
        <x:v>横浜</x:v>
      </x:c>
      <x:c r="B55" s="18" t="str">
        <x:v>横浜</x:v>
      </x:c>
      <x:c r="C55" s="18" t="str">
        <x:v>東急電鉄</x:v>
      </x:c>
      <x:c r="D55" s="18" t="str">
        <x:v>private_rail</x:v>
      </x:c>
      <x:c r="E55" s="19" t="str">
        <x:v>T0</x:v>
      </x:c>
      <x:c r="F55" s="19" t="str">
        <x:v>東横線</x:v>
      </x:c>
      <x:c r="G55" s="19" t="str">
        <x:v>候选已存在，组件待审核</x:v>
      </x:c>
      <x:c r="H55" s="19" t="str">
        <x:v>transport-node:6ade422d-15dd-51d8-9573-ed3a7ea8f787</x:v>
      </x:c>
      <x:c r="I55" s="18" t="str">
        <x:v>transport-hub-review:835ee339-1ba6-513f-8fd2-604b7d6c8cb6</x:v>
      </x:c>
      <x:c r="J55" s="18" t="str">
        <x:v>否</x:v>
      </x:c>
    </x:row>
    <x:row r="56" ht="28" customHeight="1">
      <x:c r="A56" s="19" t="str">
        <x:v>横浜</x:v>
      </x:c>
      <x:c r="B56" s="18" t="str">
        <x:v>横浜</x:v>
      </x:c>
      <x:c r="C56" s="18" t="str">
        <x:v>相模鉄道</x:v>
      </x:c>
      <x:c r="D56" s="18" t="str">
        <x:v>private_rail</x:v>
      </x:c>
      <x:c r="E56" s="19" t="str">
        <x:v>T0</x:v>
      </x:c>
      <x:c r="F56" s="19" t="str">
        <x:v>相鉄本線</x:v>
      </x:c>
      <x:c r="G56" s="19" t="str">
        <x:v>候选已存在，组件待审核</x:v>
      </x:c>
      <x:c r="H56" s="19" t="str">
        <x:v>transport-node:763251e7-de92-56cc-b55b-3c2495650766</x:v>
      </x:c>
      <x:c r="I56" s="18" t="str">
        <x:v>transport-hub-review:835ee339-1ba6-513f-8fd2-604b7d6c8cb6</x:v>
      </x:c>
      <x:c r="J56" s="18" t="str">
        <x:v>否</x:v>
      </x:c>
    </x:row>
    <x:row r="57" ht="28" customHeight="1">
      <x:c r="A57" s="19" t="str">
        <x:v>横浜</x:v>
      </x:c>
      <x:c r="B57" s="18" t="str">
        <x:v>横浜</x:v>
      </x:c>
      <x:c r="C57" s="18" t="str">
        <x:v>横浜高速鉄道</x:v>
      </x:c>
      <x:c r="D57" s="18" t="str">
        <x:v>private_rail</x:v>
      </x:c>
      <x:c r="E57" s="19" t="str">
        <x:v>null</x:v>
      </x:c>
      <x:c r="F57" s="19" t="str">
        <x:v>みなとみらい21線</x:v>
      </x:c>
      <x:c r="G57" s="19" t="str">
        <x:v>候选已存在，组件待审核</x:v>
      </x:c>
      <x:c r="H57" s="19" t="str">
        <x:v>transport-node:f98e6c23-c422-5496-894e-8be76e08a55d</x:v>
      </x:c>
      <x:c r="I57" s="18" t="str">
        <x:v>transport-hub-review:835ee339-1ba6-513f-8fd2-604b7d6c8cb6</x:v>
      </x:c>
      <x:c r="J57" s="18" t="str">
        <x:v>否</x:v>
      </x:c>
    </x:row>
    <x:row r="58" ht="28" customHeight="1">
      <x:c r="A58" s="19" t="str">
        <x:v>横浜</x:v>
      </x:c>
      <x:c r="B58" s="18" t="str">
        <x:v>横浜</x:v>
      </x:c>
      <x:c r="C58" s="18" t="str">
        <x:v>横浜市</x:v>
      </x:c>
      <x:c r="D58" s="18" t="str">
        <x:v>metro</x:v>
      </x:c>
      <x:c r="E58" s="19" t="str">
        <x:v>T1</x:v>
      </x:c>
      <x:c r="F58" s="19" t="str">
        <x:v>3号線</x:v>
      </x:c>
      <x:c r="G58" s="19" t="str">
        <x:v>候选已存在，组件待审核</x:v>
      </x:c>
      <x:c r="H58" s="19" t="str">
        <x:v>transport-node:62724ba3-898f-581d-9d70-f0dac4adbddc</x:v>
      </x:c>
      <x:c r="I58" s="18" t="str">
        <x:v>transport-hub-review:835ee339-1ba6-513f-8fd2-604b7d6c8cb6</x:v>
      </x:c>
      <x:c r="J58" s="18" t="str">
        <x:v>否</x:v>
      </x:c>
    </x:row>
    <x:row r="59" ht="33" customHeight="1">
      <x:c r="A59" s="19" t="str">
        <x:v>蒲田</x:v>
      </x:c>
      <x:c r="B59" s="18" t="str">
        <x:v>蒲田</x:v>
      </x:c>
      <x:c r="C59" s="18" t="str">
        <x:v>東急電鉄</x:v>
      </x:c>
      <x:c r="D59" s="18" t="str">
        <x:v>private_rail</x:v>
      </x:c>
      <x:c r="E59" s="19" t="str">
        <x:v>T1</x:v>
      </x:c>
      <x:c r="F59" s="19" t="str">
        <x:v>東急多摩川線
池上線</x:v>
      </x:c>
      <x:c r="G59" s="19" t="str">
        <x:v>候选已存在，组件待审核</x:v>
      </x:c>
      <x:c r="H59" s="19" t="str">
        <x:v>transport-node:f9cb6d48-f5f3-5860-9ae4-d6b94ff518f1</x:v>
      </x:c>
      <x:c r="I59" s="18" t="str">
        <x:v>transport-hub-review:17f92d06-1c1e-5535-a5f5-f6c2160fec87</x:v>
      </x:c>
      <x:c r="J59" s="18" t="str">
        <x:v>否</x:v>
      </x:c>
    </x:row>
    <x:row r="60" ht="28" customHeight="1">
      <x:c r="A60" s="19" t="str">
        <x:v>蒲田</x:v>
      </x:c>
      <x:c r="B60" s="18" t="str">
        <x:v>蒲田</x:v>
      </x:c>
      <x:c r="C60" s="18" t="str">
        <x:v>東日本旅客鉄道</x:v>
      </x:c>
      <x:c r="D60" s="18" t="str">
        <x:v>conventional_rail</x:v>
      </x:c>
      <x:c r="E60" s="19" t="str">
        <x:v>T0</x:v>
      </x:c>
      <x:c r="F60" s="19" t="str">
        <x:v>東海道線</x:v>
      </x:c>
      <x:c r="G60" s="19" t="str">
        <x:v>候选已存在，组件待审核</x:v>
      </x:c>
      <x:c r="H60" s="19" t="str">
        <x:v>transport-node:6c4ae01b-4ad3-5fea-a733-c33a72aed4ea</x:v>
      </x:c>
      <x:c r="I60" s="18" t="str">
        <x:v>transport-hub-review:17f92d06-1c1e-5535-a5f5-f6c2160fec87</x:v>
      </x:c>
      <x:c r="J60" s="18" t="str">
        <x:v>否</x:v>
      </x:c>
    </x:row>
    <x:row r="61" ht="28" customHeight="1">
      <x:c r="A61" s="19" t="str">
        <x:v>京橋</x:v>
      </x:c>
      <x:c r="B61" s="18" t="str">
        <x:v>京橋</x:v>
      </x:c>
      <x:c r="C61" s="18" t="str">
        <x:v>大阪市高速電気軌道</x:v>
      </x:c>
      <x:c r="D61" s="18" t="str">
        <x:v>metro</x:v>
      </x:c>
      <x:c r="E61" s="19" t="str">
        <x:v>T2</x:v>
      </x:c>
      <x:c r="F61" s="19" t="str">
        <x:v>7号線(長堀鶴見緑地線)</x:v>
      </x:c>
      <x:c r="G61" s="19" t="str">
        <x:v>候选已存在，组件待审核</x:v>
      </x:c>
      <x:c r="H61" s="19" t="str">
        <x:v>transport-node:5fec8297-116d-5207-acc0-89f8b46a5259</x:v>
      </x:c>
      <x:c r="I61" s="18" t="str">
        <x:v>transport-hub-review:e895b2d4-6429-5a20-9f57-2ad0da54c44f</x:v>
      </x:c>
      <x:c r="J61" s="18" t="str">
        <x:v>否</x:v>
      </x:c>
    </x:row>
    <x:row r="62" ht="47" customHeight="1">
      <x:c r="A62" s="19" t="str">
        <x:v>京橋</x:v>
      </x:c>
      <x:c r="B62" s="18" t="str">
        <x:v>京橋</x:v>
      </x:c>
      <x:c r="C62" s="18" t="str">
        <x:v>西日本旅客鉄道</x:v>
      </x:c>
      <x:c r="D62" s="18" t="str">
        <x:v>conventional_rail</x:v>
      </x:c>
      <x:c r="E62" s="19" t="str">
        <x:v>T0</x:v>
      </x:c>
      <x:c r="F62" s="19" t="str">
        <x:v>JR東西線
大阪環状線
片町線</x:v>
      </x:c>
      <x:c r="G62" s="19" t="str">
        <x:v>候选已存在，组件待审核</x:v>
      </x:c>
      <x:c r="H62" s="19" t="str">
        <x:v>transport-node:eceb3c43-3d00-56d7-b196-6545d7e33258</x:v>
      </x:c>
      <x:c r="I62" s="18" t="str">
        <x:v>transport-hub-review:e895b2d4-6429-5a20-9f57-2ad0da54c44f</x:v>
      </x:c>
      <x:c r="J62" s="18" t="str">
        <x:v>否</x:v>
      </x:c>
    </x:row>
    <x:row r="63" ht="28" customHeight="1">
      <x:c r="A63" s="19" t="str">
        <x:v>京橋</x:v>
      </x:c>
      <x:c r="B63" s="18" t="str">
        <x:v>京橋</x:v>
      </x:c>
      <x:c r="C63" s="18" t="str">
        <x:v>京阪電気鉄道</x:v>
      </x:c>
      <x:c r="D63" s="18" t="str">
        <x:v>private_rail</x:v>
      </x:c>
      <x:c r="E63" s="19" t="str">
        <x:v>T1</x:v>
      </x:c>
      <x:c r="F63" s="19" t="str">
        <x:v>京阪本線</x:v>
      </x:c>
      <x:c r="G63" s="19" t="str">
        <x:v>候选已存在，组件待审核</x:v>
      </x:c>
      <x:c r="H63" s="19" t="str">
        <x:v>transport-node:ff1af0b4-2d6c-5ba3-af21-fa90b4eca9b2</x:v>
      </x:c>
      <x:c r="I63" s="18" t="str">
        <x:v>transport-hub-review:e895b2d4-6429-5a20-9f57-2ad0da54c44f</x:v>
      </x:c>
      <x:c r="J63" s="18" t="str">
        <x:v>否</x:v>
      </x:c>
    </x:row>
    <x:row r="64" ht="47" customHeight="1">
      <x:c r="A64" s="19" t="str">
        <x:v>京都</x:v>
      </x:c>
      <x:c r="B64" s="18" t="str">
        <x:v>京都</x:v>
      </x:c>
      <x:c r="C64" s="18" t="str">
        <x:v>西日本旅客鉄道</x:v>
      </x:c>
      <x:c r="D64" s="18" t="str">
        <x:v>conventional_rail</x:v>
      </x:c>
      <x:c r="E64" s="19" t="str">
        <x:v>T0</x:v>
      </x:c>
      <x:c r="F64" s="19" t="str">
        <x:v>奈良線
山陰線
東海道線</x:v>
      </x:c>
      <x:c r="G64" s="19" t="str">
        <x:v>候选已存在，组件待审核</x:v>
      </x:c>
      <x:c r="H64" s="19" t="str">
        <x:v>transport-node:966ea408-4a7f-5295-b2a9-5b5f523971b0</x:v>
      </x:c>
      <x:c r="I64" s="18" t="str">
        <x:v>transport-hub-review:bb7109cb-e851-5545-9257-7241c7415453</x:v>
      </x:c>
      <x:c r="J64" s="18" t="str">
        <x:v>否</x:v>
      </x:c>
    </x:row>
    <x:row r="65" ht="28" customHeight="1">
      <x:c r="A65" s="19" t="str">
        <x:v>京都</x:v>
      </x:c>
      <x:c r="B65" s="18" t="str">
        <x:v>京都</x:v>
      </x:c>
      <x:c r="C65" s="18" t="str">
        <x:v>東海旅客鉄道</x:v>
      </x:c>
      <x:c r="D65" s="18" t="str">
        <x:v>shinkansen</x:v>
      </x:c>
      <x:c r="E65" s="19" t="str">
        <x:v>T1</x:v>
      </x:c>
      <x:c r="F65" s="19" t="str">
        <x:v>東海道新幹線</x:v>
      </x:c>
      <x:c r="G65" s="19" t="str">
        <x:v>候选已存在，组件待审核</x:v>
      </x:c>
      <x:c r="H65" s="19" t="str">
        <x:v>transport-node:dff8fb86-945e-5e85-be39-264aa07b9064</x:v>
      </x:c>
      <x:c r="I65" s="18" t="str">
        <x:v>transport-hub-review:bb7109cb-e851-5545-9257-7241c7415453</x:v>
      </x:c>
      <x:c r="J65" s="18" t="str">
        <x:v>否</x:v>
      </x:c>
    </x:row>
    <x:row r="66" ht="28" customHeight="1">
      <x:c r="A66" s="19" t="str">
        <x:v>京都</x:v>
      </x:c>
      <x:c r="B66" s="18" t="str">
        <x:v>京都</x:v>
      </x:c>
      <x:c r="C66" s="18" t="str">
        <x:v>近畿日本鉄道</x:v>
      </x:c>
      <x:c r="D66" s="18" t="str">
        <x:v>private_rail</x:v>
      </x:c>
      <x:c r="E66" s="19" t="str">
        <x:v>T1</x:v>
      </x:c>
      <x:c r="F66" s="19" t="str">
        <x:v>京都線</x:v>
      </x:c>
      <x:c r="G66" s="19" t="str">
        <x:v>候选已存在，组件待审核</x:v>
      </x:c>
      <x:c r="H66" s="19" t="str">
        <x:v>transport-node:1b1ccd0e-18a4-5ef6-90d3-60d1dcb776ea</x:v>
      </x:c>
      <x:c r="I66" s="18" t="str">
        <x:v>transport-hub-review:bb7109cb-e851-5545-9257-7241c7415453</x:v>
      </x:c>
      <x:c r="J66" s="18" t="str">
        <x:v>否</x:v>
      </x:c>
    </x:row>
    <x:row r="67" ht="28" customHeight="1">
      <x:c r="A67" s="19" t="str">
        <x:v>京都</x:v>
      </x:c>
      <x:c r="B67" s="18" t="str">
        <x:v>京都</x:v>
      </x:c>
      <x:c r="C67" s="18" t="str">
        <x:v>京都市</x:v>
      </x:c>
      <x:c r="D67" s="18" t="str">
        <x:v>metro</x:v>
      </x:c>
      <x:c r="E67" s="19" t="str">
        <x:v>T1</x:v>
      </x:c>
      <x:c r="F67" s="19" t="str">
        <x:v>烏丸線</x:v>
      </x:c>
      <x:c r="G67" s="19" t="str">
        <x:v>候选已存在，组件待审核</x:v>
      </x:c>
      <x:c r="H67" s="19" t="str">
        <x:v>transport-node:5e51de85-cd37-5d05-90d2-8e2f67ebe5e4</x:v>
      </x:c>
      <x:c r="I67" s="18" t="str">
        <x:v>transport-hub-review:bb7109cb-e851-5545-9257-7241c7415453</x:v>
      </x:c>
      <x:c r="J67" s="18" t="str">
        <x:v>否</x:v>
      </x:c>
    </x:row>
    <x:row r="68" ht="47" customHeight="1">
      <x:c r="A68" s="19" t="str">
        <x:v>銀座</x:v>
      </x:c>
      <x:c r="B68" s="18" t="str">
        <x:v>銀座</x:v>
      </x:c>
      <x:c r="C68" s="18" t="str">
        <x:v>東京地下鉄</x:v>
      </x:c>
      <x:c r="D68" s="18" t="str">
        <x:v>metro</x:v>
      </x:c>
      <x:c r="E68" s="19" t="str">
        <x:v>T0</x:v>
      </x:c>
      <x:c r="F68" s="19" t="str">
        <x:v>2号線日比谷線
3号線銀座線
4号線丸ノ内線</x:v>
      </x:c>
      <x:c r="G68" s="19" t="str">
        <x:v>候选已存在，组件待审核</x:v>
      </x:c>
      <x:c r="H68" s="19" t="str">
        <x:v>transport-node:586eff29-56a7-59b9-a0bc-d48099d7cca9</x:v>
      </x:c>
      <x:c r="I68" s="18" t="str">
        <x:v>transport-hub-review:e8bf0be2-b3b2-5ee7-83cb-d637cf7bb944</x:v>
      </x:c>
      <x:c r="J68" s="18" t="str">
        <x:v>否</x:v>
      </x:c>
    </x:row>
    <x:row r="69" ht="33" customHeight="1">
      <x:c r="A69" s="19" t="str">
        <x:v>九段下</x:v>
      </x:c>
      <x:c r="B69" s="18" t="str">
        <x:v>九段下</x:v>
      </x:c>
      <x:c r="C69" s="18" t="str">
        <x:v>東京地下鉄</x:v>
      </x:c>
      <x:c r="D69" s="18" t="str">
        <x:v>metro</x:v>
      </x:c>
      <x:c r="E69" s="19" t="str">
        <x:v>T0</x:v>
      </x:c>
      <x:c r="F69" s="19" t="str">
        <x:v>11号線半蔵門線
5号線東西線</x:v>
      </x:c>
      <x:c r="G69" s="19" t="str">
        <x:v>候选已存在，组件待审核</x:v>
      </x:c>
      <x:c r="H69" s="19" t="str">
        <x:v>transport-node:b5d13808-0a07-5d74-b77e-ff467f7fb275</x:v>
      </x:c>
      <x:c r="I69" s="18" t="str">
        <x:v>transport-hub-review:2cdc0d4a-1675-56ba-bf5e-15504a72c5c6</x:v>
      </x:c>
      <x:c r="J69" s="18" t="str">
        <x:v>否</x:v>
      </x:c>
    </x:row>
    <x:row r="70" ht="28" customHeight="1">
      <x:c r="A70" s="19" t="str">
        <x:v>九段下</x:v>
      </x:c>
      <x:c r="B70" s="18" t="str">
        <x:v>九段下</x:v>
      </x:c>
      <x:c r="C70" s="18" t="str">
        <x:v>東京都</x:v>
      </x:c>
      <x:c r="D70" s="18" t="str">
        <x:v>metro</x:v>
      </x:c>
      <x:c r="E70" s="19" t="str">
        <x:v>null</x:v>
      </x:c>
      <x:c r="F70" s="19" t="str">
        <x:v>10号線新宿線</x:v>
      </x:c>
      <x:c r="G70" s="19" t="str">
        <x:v>候选已存在，组件待审核</x:v>
      </x:c>
      <x:c r="H70" s="19" t="str">
        <x:v>transport-node:5cf6c6c7-cea6-5b14-b05b-637a06cfc633</x:v>
      </x:c>
      <x:c r="I70" s="18" t="str">
        <x:v>transport-hub-review:2cdc0d4a-1675-56ba-bf5e-15504a72c5c6</x:v>
      </x:c>
      <x:c r="J70" s="18" t="str">
        <x:v>否</x:v>
      </x:c>
    </x:row>
    <x:row r="71" ht="28" customHeight="1">
      <x:c r="A71" s="19" t="str">
        <x:v>恵比寿</x:v>
      </x:c>
      <x:c r="B71" s="18" t="str">
        <x:v>恵比寿</x:v>
      </x:c>
      <x:c r="C71" s="18" t="str">
        <x:v>東京地下鉄</x:v>
      </x:c>
      <x:c r="D71" s="18" t="str">
        <x:v>metro</x:v>
      </x:c>
      <x:c r="E71" s="19" t="str">
        <x:v>T1</x:v>
      </x:c>
      <x:c r="F71" s="19" t="str">
        <x:v>2号線日比谷線</x:v>
      </x:c>
      <x:c r="G71" s="19" t="str">
        <x:v>候选已存在，组件待审核</x:v>
      </x:c>
      <x:c r="H71" s="19" t="str">
        <x:v>transport-node:7975352b-f38d-509f-91b4-6317bd4e9a4e</x:v>
      </x:c>
      <x:c r="I71" s="18" t="str">
        <x:v>transport-hub-review:73e10138-4486-582c-8bc9-b6910b3ac27b</x:v>
      </x:c>
      <x:c r="J71" s="18" t="str">
        <x:v>否</x:v>
      </x:c>
    </x:row>
    <x:row r="72" ht="28" customHeight="1">
      <x:c r="A72" s="19" t="str">
        <x:v>恵比寿</x:v>
      </x:c>
      <x:c r="B72" s="18" t="str">
        <x:v>恵比寿</x:v>
      </x:c>
      <x:c r="C72" s="18" t="str">
        <x:v>東日本旅客鉄道</x:v>
      </x:c>
      <x:c r="D72" s="18" t="str">
        <x:v>conventional_rail</x:v>
      </x:c>
      <x:c r="E72" s="19" t="str">
        <x:v>T0</x:v>
      </x:c>
      <x:c r="F72" s="19" t="str">
        <x:v>山手線</x:v>
      </x:c>
      <x:c r="G72" s="19" t="str">
        <x:v>候选已存在，组件待审核</x:v>
      </x:c>
      <x:c r="H72" s="19" t="str">
        <x:v>transport-node:c6a9421f-cdab-577f-ad22-eb9a3aadadfb</x:v>
      </x:c>
      <x:c r="I72" s="18" t="str">
        <x:v>transport-hub-review:73e10138-4486-582c-8bc9-b6910b3ac27b</x:v>
      </x:c>
      <x:c r="J72" s="18" t="str">
        <x:v>否</x:v>
      </x:c>
    </x:row>
    <x:row r="73" ht="28" customHeight="1">
      <x:c r="A73" s="19" t="str">
        <x:v>戸塚</x:v>
      </x:c>
      <x:c r="B73" s="18" t="str">
        <x:v>戸塚</x:v>
      </x:c>
      <x:c r="C73" s="18" t="str">
        <x:v>東日本旅客鉄道</x:v>
      </x:c>
      <x:c r="D73" s="18" t="str">
        <x:v>conventional_rail</x:v>
      </x:c>
      <x:c r="E73" s="19" t="str">
        <x:v>T0</x:v>
      </x:c>
      <x:c r="F73" s="19" t="str">
        <x:v>東海道線</x:v>
      </x:c>
      <x:c r="G73" s="19" t="str">
        <x:v>候选已存在，组件待审核</x:v>
      </x:c>
      <x:c r="H73" s="19" t="str">
        <x:v>transport-node:f40d6b11-4b80-5c22-b980-617c05acf829</x:v>
      </x:c>
      <x:c r="I73" s="18" t="str">
        <x:v>transport-hub-review:b1e4a97a-e548-5042-8dc5-8a656e938730</x:v>
      </x:c>
      <x:c r="J73" s="18" t="str">
        <x:v>否</x:v>
      </x:c>
    </x:row>
    <x:row r="74" ht="28" customHeight="1">
      <x:c r="A74" s="19" t="str">
        <x:v>戸塚</x:v>
      </x:c>
      <x:c r="B74" s="18" t="str">
        <x:v>戸塚</x:v>
      </x:c>
      <x:c r="C74" s="18" t="str">
        <x:v>横浜市</x:v>
      </x:c>
      <x:c r="D74" s="18" t="str">
        <x:v>metro</x:v>
      </x:c>
      <x:c r="E74" s="19" t="str">
        <x:v>T2</x:v>
      </x:c>
      <x:c r="F74" s="19" t="str">
        <x:v>1号線</x:v>
      </x:c>
      <x:c r="G74" s="19" t="str">
        <x:v>候选已存在，组件待审核</x:v>
      </x:c>
      <x:c r="H74" s="19" t="str">
        <x:v>transport-node:80826e4b-6428-5f4e-b7c6-c1f718c14039</x:v>
      </x:c>
      <x:c r="I74" s="18" t="str">
        <x:v>transport-hub-review:b1e4a97a-e548-5042-8dc5-8a656e938730</x:v>
      </x:c>
      <x:c r="J74" s="18" t="str">
        <x:v>否</x:v>
      </x:c>
    </x:row>
    <x:row r="75" ht="28" customHeight="1">
      <x:c r="A75" s="19" t="str">
        <x:v>五反田</x:v>
      </x:c>
      <x:c r="B75" s="18" t="str">
        <x:v>五反田</x:v>
      </x:c>
      <x:c r="C75" s="18" t="str">
        <x:v>東急電鉄</x:v>
      </x:c>
      <x:c r="D75" s="18" t="str">
        <x:v>private_rail</x:v>
      </x:c>
      <x:c r="E75" s="19" t="str">
        <x:v>T1</x:v>
      </x:c>
      <x:c r="F75" s="19" t="str">
        <x:v>池上線</x:v>
      </x:c>
      <x:c r="G75" s="19" t="str">
        <x:v>候选已存在，组件待审核</x:v>
      </x:c>
      <x:c r="H75" s="19" t="str">
        <x:v>transport-node:629dfb8f-7715-55f9-b586-a09cfe1401db</x:v>
      </x:c>
      <x:c r="I75" s="18" t="str">
        <x:v>transport-hub-review:5ae616c9-b1c0-538b-885c-2732e8ee3726</x:v>
      </x:c>
      <x:c r="J75" s="18" t="str">
        <x:v>否</x:v>
      </x:c>
    </x:row>
    <x:row r="76" ht="28" customHeight="1">
      <x:c r="A76" s="19" t="str">
        <x:v>五反田</x:v>
      </x:c>
      <x:c r="B76" s="18" t="str">
        <x:v>五反田</x:v>
      </x:c>
      <x:c r="C76" s="18" t="str">
        <x:v>東日本旅客鉄道</x:v>
      </x:c>
      <x:c r="D76" s="18" t="str">
        <x:v>conventional_rail</x:v>
      </x:c>
      <x:c r="E76" s="19" t="str">
        <x:v>T0</x:v>
      </x:c>
      <x:c r="F76" s="19" t="str">
        <x:v>山手線</x:v>
      </x:c>
      <x:c r="G76" s="19" t="str">
        <x:v>候选已存在，组件待审核</x:v>
      </x:c>
      <x:c r="H76" s="19" t="str">
        <x:v>transport-node:c66bef66-878d-597c-9c0d-942e30f48d27</x:v>
      </x:c>
      <x:c r="I76" s="18" t="str">
        <x:v>transport-hub-review:5ae616c9-b1c0-538b-885c-2732e8ee3726</x:v>
      </x:c>
      <x:c r="J76" s="18" t="str">
        <x:v>否</x:v>
      </x:c>
    </x:row>
    <x:row r="77" ht="28" customHeight="1">
      <x:c r="A77" s="19" t="str">
        <x:v>五反田</x:v>
      </x:c>
      <x:c r="B77" s="18" t="str">
        <x:v>五反田</x:v>
      </x:c>
      <x:c r="C77" s="18" t="str">
        <x:v>東京都</x:v>
      </x:c>
      <x:c r="D77" s="18" t="str">
        <x:v>metro</x:v>
      </x:c>
      <x:c r="E77" s="19" t="str">
        <x:v>T1</x:v>
      </x:c>
      <x:c r="F77" s="19" t="str">
        <x:v>1号線浅草線</x:v>
      </x:c>
      <x:c r="G77" s="19" t="str">
        <x:v>候选已存在，组件待审核</x:v>
      </x:c>
      <x:c r="H77" s="19" t="str">
        <x:v>transport-node:45649088-565a-5126-9b3b-32ceb2d0a4e6</x:v>
      </x:c>
      <x:c r="I77" s="18" t="str">
        <x:v>transport-hub-review:5ae616c9-b1c0-538b-885c-2732e8ee3726</x:v>
      </x:c>
      <x:c r="J77" s="18" t="str">
        <x:v>否</x:v>
      </x:c>
    </x:row>
    <x:row r="78" ht="28" customHeight="1">
      <x:c r="A78" s="19" t="str">
        <x:v>高田馬場</x:v>
      </x:c>
      <x:c r="B78" s="18" t="str">
        <x:v>高田馬場</x:v>
      </x:c>
      <x:c r="C78" s="18" t="str">
        <x:v>東京地下鉄</x:v>
      </x:c>
      <x:c r="D78" s="18" t="str">
        <x:v>metro</x:v>
      </x:c>
      <x:c r="E78" s="19" t="str">
        <x:v>T1</x:v>
      </x:c>
      <x:c r="F78" s="19" t="str">
        <x:v>5号線東西線</x:v>
      </x:c>
      <x:c r="G78" s="19" t="str">
        <x:v>候选已存在，组件待审核</x:v>
      </x:c>
      <x:c r="H78" s="19" t="str">
        <x:v>transport-node:4830faab-986d-5778-82f1-8416eb14b794</x:v>
      </x:c>
      <x:c r="I78" s="18" t="str">
        <x:v>transport-hub-review:74a95430-fdf7-50e8-83e4-12a7c0c0560e</x:v>
      </x:c>
      <x:c r="J78" s="18" t="str">
        <x:v>否</x:v>
      </x:c>
    </x:row>
    <x:row r="79" ht="28" customHeight="1">
      <x:c r="A79" s="19" t="str">
        <x:v>高田馬場</x:v>
      </x:c>
      <x:c r="B79" s="18" t="str">
        <x:v>高田馬場</x:v>
      </x:c>
      <x:c r="C79" s="18" t="str">
        <x:v>東日本旅客鉄道</x:v>
      </x:c>
      <x:c r="D79" s="18" t="str">
        <x:v>conventional_rail</x:v>
      </x:c>
      <x:c r="E79" s="19" t="str">
        <x:v>T0</x:v>
      </x:c>
      <x:c r="F79" s="19" t="str">
        <x:v>山手線</x:v>
      </x:c>
      <x:c r="G79" s="19" t="str">
        <x:v>候选已存在，组件待审核</x:v>
      </x:c>
      <x:c r="H79" s="19" t="str">
        <x:v>transport-node:7424bc97-60b2-5c5c-81b8-011851f52840</x:v>
      </x:c>
      <x:c r="I79" s="18" t="str">
        <x:v>transport-hub-review:74a95430-fdf7-50e8-83e4-12a7c0c0560e</x:v>
      </x:c>
      <x:c r="J79" s="18" t="str">
        <x:v>否</x:v>
      </x:c>
    </x:row>
    <x:row r="80" ht="28" customHeight="1">
      <x:c r="A80" s="19" t="str">
        <x:v>高田馬場</x:v>
      </x:c>
      <x:c r="B80" s="18" t="str">
        <x:v>高田馬場</x:v>
      </x:c>
      <x:c r="C80" s="18" t="str">
        <x:v>西武鉄道</x:v>
      </x:c>
      <x:c r="D80" s="18" t="str">
        <x:v>private_rail</x:v>
      </x:c>
      <x:c r="E80" s="19" t="str">
        <x:v>T0</x:v>
      </x:c>
      <x:c r="F80" s="19" t="str">
        <x:v>新宿線</x:v>
      </x:c>
      <x:c r="G80" s="19" t="str">
        <x:v>候选已存在，组件待审核</x:v>
      </x:c>
      <x:c r="H80" s="19" t="str">
        <x:v>transport-node:f3b163a7-794a-5b73-8c04-057ba511adc9</x:v>
      </x:c>
      <x:c r="I80" s="18" t="str">
        <x:v>transport-hub-review:74a95430-fdf7-50e8-83e4-12a7c0c0560e</x:v>
      </x:c>
      <x:c r="J80" s="18" t="str">
        <x:v>否</x:v>
      </x:c>
    </x:row>
    <x:row r="81" ht="33" customHeight="1">
      <x:c r="A81" s="19" t="str">
        <x:v>国分寺</x:v>
      </x:c>
      <x:c r="B81" s="18" t="str">
        <x:v>国分寺</x:v>
      </x:c>
      <x:c r="C81" s="18" t="str">
        <x:v>西武鉄道</x:v>
      </x:c>
      <x:c r="D81" s="18" t="str">
        <x:v>private_rail</x:v>
      </x:c>
      <x:c r="E81" s="19" t="str">
        <x:v>T1</x:v>
      </x:c>
      <x:c r="F81" s="19" t="str">
        <x:v>国分寺線
多摩湖線</x:v>
      </x:c>
      <x:c r="G81" s="19" t="str">
        <x:v>候选已存在，组件待审核</x:v>
      </x:c>
      <x:c r="H81" s="19" t="str">
        <x:v>transport-node:3e687503-3bbc-5c40-b0e1-872938aae52e</x:v>
      </x:c>
      <x:c r="I81" s="18" t="str">
        <x:v>transport-hub-review:3471876b-fac6-5001-9548-1617965ac08e</x:v>
      </x:c>
      <x:c r="J81" s="18" t="str">
        <x:v>否</x:v>
      </x:c>
    </x:row>
    <x:row r="82" ht="28" customHeight="1">
      <x:c r="A82" s="19" t="str">
        <x:v>国分寺</x:v>
      </x:c>
      <x:c r="B82" s="18" t="str">
        <x:v>国分寺</x:v>
      </x:c>
      <x:c r="C82" s="18" t="str">
        <x:v>東日本旅客鉄道</x:v>
      </x:c>
      <x:c r="D82" s="18" t="str">
        <x:v>conventional_rail</x:v>
      </x:c>
      <x:c r="E82" s="19" t="str">
        <x:v>T0</x:v>
      </x:c>
      <x:c r="F82" s="19" t="str">
        <x:v>中央線</x:v>
      </x:c>
      <x:c r="G82" s="19" t="str">
        <x:v>候选已存在，组件待审核</x:v>
      </x:c>
      <x:c r="H82" s="19" t="str">
        <x:v>transport-node:70d8d9e4-c60f-5fb7-b80f-cc5d3fcdca57</x:v>
      </x:c>
      <x:c r="I82" s="18" t="str">
        <x:v>transport-hub-review:3471876b-fac6-5001-9548-1617965ac08e</x:v>
      </x:c>
      <x:c r="J82" s="18" t="str">
        <x:v>否</x:v>
      </x:c>
    </x:row>
    <x:row r="83" ht="28" customHeight="1">
      <x:c r="A83" s="19" t="str">
        <x:v>三ノ宮</x:v>
      </x:c>
      <x:c r="B83" s="18" t="str">
        <x:v>三ノ宮</x:v>
      </x:c>
      <x:c r="C83" s="18" t="str">
        <x:v>西日本旅客鉄道</x:v>
      </x:c>
      <x:c r="D83" s="18" t="str">
        <x:v>conventional_rail</x:v>
      </x:c>
      <x:c r="E83" s="19" t="str">
        <x:v>T0</x:v>
      </x:c>
      <x:c r="F83" s="19" t="str">
        <x:v>東海道線</x:v>
      </x:c>
      <x:c r="G83" s="19" t="str">
        <x:v>候选已存在，组件待审核</x:v>
      </x:c>
      <x:c r="H83" s="19" t="str">
        <x:v>transport-node:c442566a-4e17-5db5-a153-ea92231c423d</x:v>
      </x:c>
      <x:c r="I83" s="18" t="str">
        <x:v>transport-hub-review:842e847d-eb2e-565f-829e-04fdc20c430b</x:v>
      </x:c>
      <x:c r="J83" s="18" t="str">
        <x:v>否</x:v>
      </x:c>
    </x:row>
    <x:row r="84" ht="33" customHeight="1">
      <x:c r="A84" s="19" t="str">
        <x:v>三ノ宮</x:v>
      </x:c>
      <x:c r="B84" s="18" t="str">
        <x:v>神戸三宮</x:v>
      </x:c>
      <x:c r="C84" s="18" t="str">
        <x:v>阪急電鉄</x:v>
      </x:c>
      <x:c r="D84" s="18" t="str">
        <x:v>private_rail</x:v>
      </x:c>
      <x:c r="E84" s="19" t="str">
        <x:v>T1</x:v>
      </x:c>
      <x:c r="F84" s="19" t="str">
        <x:v>神戸線
神戸高速線</x:v>
      </x:c>
      <x:c r="G84" s="19" t="str">
        <x:v>候选已存在，组件待审核</x:v>
      </x:c>
      <x:c r="H84" s="19" t="str">
        <x:v>transport-node:fc375f81-db78-55d7-8cb1-bb3e76328fe1</x:v>
      </x:c>
      <x:c r="I84" s="18" t="str">
        <x:v>transport-hub-review:842e847d-eb2e-565f-829e-04fdc20c430b</x:v>
      </x:c>
      <x:c r="J84" s="18" t="str">
        <x:v>否</x:v>
      </x:c>
    </x:row>
    <x:row r="85" ht="28" customHeight="1">
      <x:c r="A85" s="19" t="str">
        <x:v>三ノ宮</x:v>
      </x:c>
      <x:c r="B85" s="18" t="str">
        <x:v>神戸三宮</x:v>
      </x:c>
      <x:c r="C85" s="18" t="str">
        <x:v>阪神電気鉄道</x:v>
      </x:c>
      <x:c r="D85" s="18" t="str">
        <x:v>private_rail</x:v>
      </x:c>
      <x:c r="E85" s="19" t="str">
        <x:v>T1</x:v>
      </x:c>
      <x:c r="F85" s="19" t="str">
        <x:v>本線</x:v>
      </x:c>
      <x:c r="G85" s="19" t="str">
        <x:v>候选已存在，组件待审核</x:v>
      </x:c>
      <x:c r="H85" s="19" t="str">
        <x:v>transport-node:65156bcf-b723-53ad-9dc9-b04716bf6b0f</x:v>
      </x:c>
      <x:c r="I85" s="18" t="str">
        <x:v>transport-hub-review:842e847d-eb2e-565f-829e-04fdc20c430b</x:v>
      </x:c>
      <x:c r="J85" s="18" t="str">
        <x:v>否</x:v>
      </x:c>
    </x:row>
    <x:row r="86" ht="28" customHeight="1">
      <x:c r="A86" s="19" t="str">
        <x:v>三ノ宮</x:v>
      </x:c>
      <x:c r="B86" s="18" t="str">
        <x:v>三宮</x:v>
      </x:c>
      <x:c r="C86" s="18" t="str">
        <x:v>神戸市</x:v>
      </x:c>
      <x:c r="D86" s="18" t="str">
        <x:v>metro</x:v>
      </x:c>
      <x:c r="E86" s="19" t="str">
        <x:v>T1</x:v>
      </x:c>
      <x:c r="F86" s="19" t="str">
        <x:v>山手線</x:v>
      </x:c>
      <x:c r="G86" s="19" t="str">
        <x:v>候选已存在，组件待审核</x:v>
      </x:c>
      <x:c r="H86" s="19" t="str">
        <x:v>transport-node:5eff6373-6615-53d4-b017-7c420a1184ac</x:v>
      </x:c>
      <x:c r="I86" s="18" t="str">
        <x:v>transport-hub-review:842e847d-eb2e-565f-829e-04fdc20c430b</x:v>
      </x:c>
      <x:c r="J86" s="18" t="str">
        <x:v>否</x:v>
      </x:c>
    </x:row>
    <x:row r="87" ht="28" customHeight="1">
      <x:c r="A87" s="19" t="str">
        <x:v>三ノ宮</x:v>
      </x:c>
      <x:c r="B87" s="18" t="str">
        <x:v>三宮</x:v>
      </x:c>
      <x:c r="C87" s="18" t="str">
        <x:v>神戸新交通</x:v>
      </x:c>
      <x:c r="D87" s="18" t="str">
        <x:v>fixed_guideway</x:v>
      </x:c>
      <x:c r="E87" s="19" t="str">
        <x:v>T1</x:v>
      </x:c>
      <x:c r="F87" s="19" t="str">
        <x:v>ポートアイランド線</x:v>
      </x:c>
      <x:c r="G87" s="19" t="str">
        <x:v>候选已存在，组件待审核</x:v>
      </x:c>
      <x:c r="H87" s="19" t="str">
        <x:v>transport-node:d7c94818-e1b3-5dbb-baf2-8f05cb2702a1</x:v>
      </x:c>
      <x:c r="I87" s="18" t="str">
        <x:v>transport-hub-review:842e847d-eb2e-565f-829e-04fdc20c430b</x:v>
      </x:c>
      <x:c r="J87" s="18" t="str">
        <x:v>否</x:v>
      </x:c>
    </x:row>
    <x:row r="88" ht="28" customHeight="1">
      <x:c r="A88" s="19" t="str">
        <x:v>三ノ宮</x:v>
      </x:c>
      <x:c r="B88" s="18" t="str">
        <x:v>三宮・花時計前</x:v>
      </x:c>
      <x:c r="C88" s="18" t="str">
        <x:v>神戸市</x:v>
      </x:c>
      <x:c r="D88" s="18" t="str">
        <x:v>metro</x:v>
      </x:c>
      <x:c r="E88" s="19" t="str">
        <x:v>T2</x:v>
      </x:c>
      <x:c r="F88" s="19" t="str">
        <x:v>海岸線</x:v>
      </x:c>
      <x:c r="G88" s="19" t="str">
        <x:v>候选已存在，组件待审核</x:v>
      </x:c>
      <x:c r="H88" s="19" t="str">
        <x:v>transport-node:416574e4-78a2-5ea4-afdc-612af883fc2b</x:v>
      </x:c>
      <x:c r="I88" s="18" t="str">
        <x:v>transport-hub-review:842e847d-eb2e-565f-829e-04fdc20c430b</x:v>
      </x:c>
      <x:c r="J88" s="18" t="str">
        <x:v>否</x:v>
      </x:c>
    </x:row>
    <x:row r="89" ht="28" customHeight="1">
      <x:c r="A89" s="19" t="str">
        <x:v>秋葉原・岩本町</x:v>
      </x:c>
      <x:c r="B89" s="18" t="str">
        <x:v>秋葉原</x:v>
      </x:c>
      <x:c r="C89" s="18" t="str">
        <x:v>東京地下鉄</x:v>
      </x:c>
      <x:c r="D89" s="18" t="str">
        <x:v>metro</x:v>
      </x:c>
      <x:c r="E89" s="19" t="str">
        <x:v>T1</x:v>
      </x:c>
      <x:c r="F89" s="19" t="str">
        <x:v>2号線日比谷線</x:v>
      </x:c>
      <x:c r="G89" s="19" t="str">
        <x:v>候选已存在，组件待审核</x:v>
      </x:c>
      <x:c r="H89" s="19" t="str">
        <x:v>transport-node:24d0eb89-04cf-537f-88ba-4f2439e2dc31</x:v>
      </x:c>
      <x:c r="I89" s="18" t="str">
        <x:v>transport-hub-review:5dffb3d9-b363-5c0b-ba0f-ccaacbdbb995</x:v>
      </x:c>
      <x:c r="J89" s="18" t="str">
        <x:v>否</x:v>
      </x:c>
    </x:row>
    <x:row r="90" ht="33" customHeight="1">
      <x:c r="A90" s="19" t="str">
        <x:v>秋葉原・岩本町</x:v>
      </x:c>
      <x:c r="B90" s="18" t="str">
        <x:v>秋葉原</x:v>
      </x:c>
      <x:c r="C90" s="18" t="str">
        <x:v>東日本旅客鉄道</x:v>
      </x:c>
      <x:c r="D90" s="18" t="str">
        <x:v>conventional_rail</x:v>
      </x:c>
      <x:c r="E90" s="19" t="str">
        <x:v>T0</x:v>
      </x:c>
      <x:c r="F90" s="19" t="str">
        <x:v>東北線
総武線</x:v>
      </x:c>
      <x:c r="G90" s="19" t="str">
        <x:v>候选已存在，组件待审核</x:v>
      </x:c>
      <x:c r="H90" s="19" t="str">
        <x:v>transport-node:a15ebbd6-4f5e-5d9a-a657-6f9fe9157d81</x:v>
      </x:c>
      <x:c r="I90" s="18" t="str">
        <x:v>transport-hub-review:5dffb3d9-b363-5c0b-ba0f-ccaacbdbb995</x:v>
      </x:c>
      <x:c r="J90" s="18" t="str">
        <x:v>否</x:v>
      </x:c>
    </x:row>
    <x:row r="91" ht="28" customHeight="1">
      <x:c r="A91" s="19" t="str">
        <x:v>秋葉原・岩本町</x:v>
      </x:c>
      <x:c r="B91" s="18" t="str">
        <x:v>秋葉原</x:v>
      </x:c>
      <x:c r="C91" s="18" t="str">
        <x:v>首都圏新都市鉄道</x:v>
      </x:c>
      <x:c r="D91" s="18" t="str">
        <x:v>private_rail</x:v>
      </x:c>
      <x:c r="E91" s="19" t="str">
        <x:v>T1</x:v>
      </x:c>
      <x:c r="F91" s="19" t="str">
        <x:v>常磐新線</x:v>
      </x:c>
      <x:c r="G91" s="19" t="str">
        <x:v>候选已存在，组件待审核</x:v>
      </x:c>
      <x:c r="H91" s="19" t="str">
        <x:v>transport-node:a30373d3-796d-5c5c-ae48-bc4349410d1e</x:v>
      </x:c>
      <x:c r="I91" s="18" t="str">
        <x:v>transport-hub-review:5dffb3d9-b363-5c0b-ba0f-ccaacbdbb995</x:v>
      </x:c>
      <x:c r="J91" s="18" t="str">
        <x:v>否</x:v>
      </x:c>
    </x:row>
    <x:row r="92" ht="28" customHeight="1">
      <x:c r="A92" s="19" t="str">
        <x:v>秋葉原・岩本町</x:v>
      </x:c>
      <x:c r="B92" s="18" t="str">
        <x:v>岩本町</x:v>
      </x:c>
      <x:c r="C92" s="18" t="str">
        <x:v>東京都</x:v>
      </x:c>
      <x:c r="D92" s="18" t="str">
        <x:v>metro</x:v>
      </x:c>
      <x:c r="E92" s="19" t="str">
        <x:v>T2</x:v>
      </x:c>
      <x:c r="F92" s="19" t="str">
        <x:v>10号線新宿線</x:v>
      </x:c>
      <x:c r="G92" s="19" t="str">
        <x:v>候选已存在，组件待审核</x:v>
      </x:c>
      <x:c r="H92" s="19" t="str">
        <x:v>transport-node:cc90013d-4cc2-5fcc-8c4f-9dbc2e6db711</x:v>
      </x:c>
      <x:c r="I92" s="18" t="str">
        <x:v>transport-hub-review:5dffb3d9-b363-5c0b-ba0f-ccaacbdbb995</x:v>
      </x:c>
      <x:c r="J92" s="18" t="str">
        <x:v>否</x:v>
      </x:c>
    </x:row>
    <x:row r="93" ht="28" customHeight="1">
      <x:c r="A93" s="19" t="str">
        <x:v>渋谷</x:v>
      </x:c>
      <x:c r="B93" s="18" t="str">
        <x:v>渋谷</x:v>
      </x:c>
      <x:c r="C93" s="18" t="str">
        <x:v>東日本旅客鉄道</x:v>
      </x:c>
      <x:c r="D93" s="18" t="str">
        <x:v>conventional_rail</x:v>
      </x:c>
      <x:c r="E93" s="19" t="str">
        <x:v>T0</x:v>
      </x:c>
      <x:c r="F93" s="19" t="str">
        <x:v>山手線</x:v>
      </x:c>
      <x:c r="G93" s="19" t="str">
        <x:v>候选已存在，组件待审核</x:v>
      </x:c>
      <x:c r="H93" s="19" t="str">
        <x:v>transport-node:af5ceb52-306d-558a-8eb8-3e1a9a351952</x:v>
      </x:c>
      <x:c r="I93" s="18" t="str">
        <x:v>transport-hub-review:afe37e05-1f5c-5283-a711-2a8995452e3b</x:v>
      </x:c>
      <x:c r="J93" s="18" t="str">
        <x:v>否</x:v>
      </x:c>
    </x:row>
    <x:row r="94" ht="33" customHeight="1">
      <x:c r="A94" s="19" t="str">
        <x:v>渋谷</x:v>
      </x:c>
      <x:c r="B94" s="18" t="str">
        <x:v>渋谷</x:v>
      </x:c>
      <x:c r="C94" s="18" t="str">
        <x:v>東急電鉄</x:v>
      </x:c>
      <x:c r="D94" s="18" t="str">
        <x:v>private_rail</x:v>
      </x:c>
      <x:c r="E94" s="19" t="str">
        <x:v>T0</x:v>
      </x:c>
      <x:c r="F94" s="19" t="str">
        <x:v>東横線
田園都市線</x:v>
      </x:c>
      <x:c r="G94" s="19" t="str">
        <x:v>候选已存在，组件待审核</x:v>
      </x:c>
      <x:c r="H94" s="19" t="str">
        <x:v>transport-node:7074cd95-698a-5143-8345-045066236c08</x:v>
      </x:c>
      <x:c r="I94" s="18" t="str">
        <x:v>transport-hub-review:afe37e05-1f5c-5283-a711-2a8995452e3b</x:v>
      </x:c>
      <x:c r="J94" s="18" t="str">
        <x:v>否</x:v>
      </x:c>
    </x:row>
    <x:row r="95" ht="28" customHeight="1">
      <x:c r="A95" s="19" t="str">
        <x:v>渋谷</x:v>
      </x:c>
      <x:c r="B95" s="18" t="str">
        <x:v>渋谷</x:v>
      </x:c>
      <x:c r="C95" s="18" t="str">
        <x:v>京王電鉄</x:v>
      </x:c>
      <x:c r="D95" s="18" t="str">
        <x:v>private_rail</x:v>
      </x:c>
      <x:c r="E95" s="19" t="str">
        <x:v>T0</x:v>
      </x:c>
      <x:c r="F95" s="19" t="str">
        <x:v>井の頭線</x:v>
      </x:c>
      <x:c r="G95" s="19" t="str">
        <x:v>候选已存在，组件待审核</x:v>
      </x:c>
      <x:c r="H95" s="19" t="str">
        <x:v>transport-node:80018604-f17b-5d35-a8aa-1a4cdac8f807</x:v>
      </x:c>
      <x:c r="I95" s="18" t="str">
        <x:v>transport-hub-review:afe37e05-1f5c-5283-a711-2a8995452e3b</x:v>
      </x:c>
      <x:c r="J95" s="18" t="str">
        <x:v>否</x:v>
      </x:c>
    </x:row>
    <x:row r="96" ht="47" customHeight="1">
      <x:c r="A96" s="19" t="str">
        <x:v>渋谷</x:v>
      </x:c>
      <x:c r="B96" s="18" t="str">
        <x:v>渋谷</x:v>
      </x:c>
      <x:c r="C96" s="18" t="str">
        <x:v>東京地下鉄</x:v>
      </x:c>
      <x:c r="D96" s="18" t="str">
        <x:v>metro</x:v>
      </x:c>
      <x:c r="E96" s="19" t="str">
        <x:v>T1</x:v>
      </x:c>
      <x:c r="F96" s="19" t="str">
        <x:v>11号線半蔵門線
13号線副都心線
3号線銀座線</x:v>
      </x:c>
      <x:c r="G96" s="19" t="str">
        <x:v>候选已存在，组件待审核</x:v>
      </x:c>
      <x:c r="H96" s="19" t="str">
        <x:v>transport-node:997afcf7-4090-5964-9521-28a6256b6c58</x:v>
      </x:c>
      <x:c r="I96" s="18" t="str">
        <x:v>transport-hub-review:afe37e05-1f5c-5283-a711-2a8995452e3b</x:v>
      </x:c>
      <x:c r="J96" s="18" t="str">
        <x:v>否</x:v>
      </x:c>
    </x:row>
    <x:row r="97" ht="33" customHeight="1">
      <x:c r="A97" s="19" t="str">
        <x:v>小竹向原</x:v>
      </x:c>
      <x:c r="B97" s="18" t="str">
        <x:v>小竹向原</x:v>
      </x:c>
      <x:c r="C97" s="18" t="str">
        <x:v>東京地下鉄</x:v>
      </x:c>
      <x:c r="D97" s="18" t="str">
        <x:v>metro</x:v>
      </x:c>
      <x:c r="E97" s="19" t="str">
        <x:v>T0</x:v>
      </x:c>
      <x:c r="F97" s="19" t="str">
        <x:v>13号線副都心線
8号線有楽町線</x:v>
      </x:c>
      <x:c r="G97" s="19" t="str">
        <x:v>候选已存在，组件待审核</x:v>
      </x:c>
      <x:c r="H97" s="19" t="str">
        <x:v>transport-node:4e298810-7cd9-5fce-936e-7e17f4b7f89b</x:v>
      </x:c>
      <x:c r="I97" s="18" t="str">
        <x:v>transport-hub-review:a4c1e6ad-cc17-5ef8-93e4-96969ffdbf63</x:v>
      </x:c>
      <x:c r="J97" s="18" t="str">
        <x:v>否</x:v>
      </x:c>
    </x:row>
    <x:row r="98" ht="28" customHeight="1">
      <x:c r="A98" s="19" t="str">
        <x:v>小竹向原</x:v>
      </x:c>
      <x:c r="B98" s="18" t="str">
        <x:v>小竹向原</x:v>
      </x:c>
      <x:c r="C98" s="18" t="str">
        <x:v>西武鉄道</x:v>
      </x:c>
      <x:c r="D98" s="18" t="str">
        <x:v>private_rail</x:v>
      </x:c>
      <x:c r="E98" s="19" t="str">
        <x:v>null</x:v>
      </x:c>
      <x:c r="F98" s="19" t="str">
        <x:v>西武有楽町線</x:v>
      </x:c>
      <x:c r="G98" s="19" t="str">
        <x:v>候选已存在，组件待审核</x:v>
      </x:c>
      <x:c r="H98" s="19" t="str">
        <x:v>transport-node:319cbbd4-e78f-5b92-a508-7a2a62e9e3d6</x:v>
      </x:c>
      <x:c r="I98" s="18" t="str">
        <x:v>transport-hub-review:a4c1e6ad-cc17-5ef8-93e4-96969ffdbf63</x:v>
      </x:c>
      <x:c r="J98" s="18" t="str">
        <x:v>否</x:v>
      </x:c>
    </x:row>
    <x:row r="99" ht="28" customHeight="1">
      <x:c r="A99" s="19" t="str">
        <x:v>上野</x:v>
      </x:c>
      <x:c r="B99" s="18" t="str">
        <x:v>上野</x:v>
      </x:c>
      <x:c r="C99" s="18" t="str">
        <x:v>東日本旅客鉄道</x:v>
      </x:c>
      <x:c r="D99" s="18" t="str">
        <x:v>conventional_rail</x:v>
      </x:c>
      <x:c r="E99" s="19" t="str">
        <x:v>T0</x:v>
      </x:c>
      <x:c r="F99" s="19" t="str">
        <x:v>東北線</x:v>
      </x:c>
      <x:c r="G99" s="19" t="str">
        <x:v>候选已存在，组件待审核</x:v>
      </x:c>
      <x:c r="H99" s="19" t="str">
        <x:v>transport-node:09929bc6-6d53-5549-803b-d457698499fd</x:v>
      </x:c>
      <x:c r="I99" s="18" t="str">
        <x:v>transport-hub-review:f32052ff-b00a-5a75-8c54-b702651b3f28</x:v>
      </x:c>
      <x:c r="J99" s="18" t="str">
        <x:v>否</x:v>
      </x:c>
    </x:row>
    <x:row r="100" ht="28" customHeight="1">
      <x:c r="A100" s="19" t="str">
        <x:v>上野</x:v>
      </x:c>
      <x:c r="B100" s="18" t="str">
        <x:v>上野</x:v>
      </x:c>
      <x:c r="C100" s="18" t="str">
        <x:v>東日本旅客鉄道</x:v>
      </x:c>
      <x:c r="D100" s="18" t="str">
        <x:v>shinkansen</x:v>
      </x:c>
      <x:c r="E100" s="19" t="str">
        <x:v>null</x:v>
      </x:c>
      <x:c r="F100" s="19" t="str">
        <x:v>東北新幹線</x:v>
      </x:c>
      <x:c r="G100" s="19" t="str">
        <x:v>候选已存在，组件待审核</x:v>
      </x:c>
      <x:c r="H100" s="19" t="str">
        <x:v>transport-node:e389dcee-bad4-5376-8ae2-45b5cee54e2d</x:v>
      </x:c>
      <x:c r="I100" s="18" t="str">
        <x:v>transport-hub-review:f32052ff-b00a-5a75-8c54-b702651b3f28</x:v>
      </x:c>
      <x:c r="J100" s="18" t="str">
        <x:v>否</x:v>
      </x:c>
    </x:row>
    <x:row r="101" ht="33" customHeight="1">
      <x:c r="A101" s="19" t="str">
        <x:v>上野</x:v>
      </x:c>
      <x:c r="B101" s="18" t="str">
        <x:v>上野</x:v>
      </x:c>
      <x:c r="C101" s="18" t="str">
        <x:v>東京地下鉄</x:v>
      </x:c>
      <x:c r="D101" s="18" t="str">
        <x:v>metro</x:v>
      </x:c>
      <x:c r="E101" s="19" t="str">
        <x:v>T1</x:v>
      </x:c>
      <x:c r="F101" s="19" t="str">
        <x:v>2号線日比谷線
3号線銀座線</x:v>
      </x:c>
      <x:c r="G101" s="19" t="str">
        <x:v>候选已存在，组件待审核</x:v>
      </x:c>
      <x:c r="H101" s="19" t="str">
        <x:v>transport-node:2b228db8-21f5-5adc-aad5-f79486ed788a</x:v>
      </x:c>
      <x:c r="I101" s="18" t="str">
        <x:v>transport-hub-review:f32052ff-b00a-5a75-8c54-b702651b3f28</x:v>
      </x:c>
      <x:c r="J101" s="18" t="str">
        <x:v>否</x:v>
      </x:c>
    </x:row>
    <x:row r="102" ht="28" customHeight="1">
      <x:c r="A102" s="19" t="str">
        <x:v>上野</x:v>
      </x:c>
      <x:c r="B102" s="18" t="str">
        <x:v>京成上野</x:v>
      </x:c>
      <x:c r="C102" s="18" t="str">
        <x:v>京成電鉄</x:v>
      </x:c>
      <x:c r="D102" s="18" t="str">
        <x:v>private_rail</x:v>
      </x:c>
      <x:c r="E102" s="19" t="str">
        <x:v>T2</x:v>
      </x:c>
      <x:c r="F102" s="19" t="str">
        <x:v>本線</x:v>
      </x:c>
      <x:c r="G102" s="19" t="str">
        <x:v>候选已存在，组件待审核</x:v>
      </x:c>
      <x:c r="H102" s="19" t="str">
        <x:v>transport-node:807fa8e4-1767-515d-8248-86f33bad0f2b</x:v>
      </x:c>
      <x:c r="I102" s="18" t="str">
        <x:v>transport-hub-review:f32052ff-b00a-5a75-8c54-b702651b3f28</x:v>
      </x:c>
      <x:c r="J102" s="18" t="str">
        <x:v>否</x:v>
      </x:c>
    </x:row>
    <x:row r="103" ht="28" customHeight="1">
      <x:c r="A103" s="19" t="str">
        <x:v>新橋</x:v>
      </x:c>
      <x:c r="B103" s="18" t="str">
        <x:v>新橋</x:v>
      </x:c>
      <x:c r="C103" s="18" t="str">
        <x:v>東京地下鉄</x:v>
      </x:c>
      <x:c r="D103" s="18" t="str">
        <x:v>metro</x:v>
      </x:c>
      <x:c r="E103" s="19" t="str">
        <x:v>T0</x:v>
      </x:c>
      <x:c r="F103" s="19" t="str">
        <x:v>3号線銀座線</x:v>
      </x:c>
      <x:c r="G103" s="19" t="str">
        <x:v>候选已存在，组件待审核</x:v>
      </x:c>
      <x:c r="H103" s="19" t="str">
        <x:v>transport-node:290b980d-b3d2-5827-a141-9afe59c39566</x:v>
      </x:c>
      <x:c r="I103" s="18" t="str">
        <x:v>transport-hub-review:f4456bf1-0cdc-59c4-adfe-e49b3f6ec32e</x:v>
      </x:c>
      <x:c r="J103" s="18" t="str">
        <x:v>否</x:v>
      </x:c>
    </x:row>
    <x:row r="104" ht="28" customHeight="1">
      <x:c r="A104" s="19" t="str">
        <x:v>新橋</x:v>
      </x:c>
      <x:c r="B104" s="18" t="str">
        <x:v>新橋</x:v>
      </x:c>
      <x:c r="C104" s="18" t="str">
        <x:v>東日本旅客鉄道</x:v>
      </x:c>
      <x:c r="D104" s="18" t="str">
        <x:v>conventional_rail</x:v>
      </x:c>
      <x:c r="E104" s="19" t="str">
        <x:v>T0</x:v>
      </x:c>
      <x:c r="F104" s="19" t="str">
        <x:v>東海道線</x:v>
      </x:c>
      <x:c r="G104" s="19" t="str">
        <x:v>候选已存在，组件待审核</x:v>
      </x:c>
      <x:c r="H104" s="19" t="str">
        <x:v>transport-node:e26b0d4e-0899-5a05-aa89-a06ec37056ba</x:v>
      </x:c>
      <x:c r="I104" s="18" t="str">
        <x:v>transport-hub-review:f4456bf1-0cdc-59c4-adfe-e49b3f6ec32e</x:v>
      </x:c>
      <x:c r="J104" s="18" t="str">
        <x:v>否</x:v>
      </x:c>
    </x:row>
    <x:row r="105" ht="28" customHeight="1">
      <x:c r="A105" s="19" t="str">
        <x:v>新橋</x:v>
      </x:c>
      <x:c r="B105" s="18" t="str">
        <x:v>新橋</x:v>
      </x:c>
      <x:c r="C105" s="18" t="str">
        <x:v>東京都</x:v>
      </x:c>
      <x:c r="D105" s="18" t="str">
        <x:v>metro</x:v>
      </x:c>
      <x:c r="E105" s="19" t="str">
        <x:v>T1</x:v>
      </x:c>
      <x:c r="F105" s="19" t="str">
        <x:v>1号線浅草線</x:v>
      </x:c>
      <x:c r="G105" s="19" t="str">
        <x:v>候选已存在，组件待审核</x:v>
      </x:c>
      <x:c r="H105" s="19" t="str">
        <x:v>transport-node:b5aee220-62bc-57c3-83a6-8a3b70bbb44a</x:v>
      </x:c>
      <x:c r="I105" s="18" t="str">
        <x:v>transport-hub-review:f4456bf1-0cdc-59c4-adfe-e49b3f6ec32e</x:v>
      </x:c>
      <x:c r="J105" s="18" t="str">
        <x:v>否</x:v>
      </x:c>
    </x:row>
    <x:row r="106" ht="28" customHeight="1">
      <x:c r="A106" s="19" t="str">
        <x:v>新橋</x:v>
      </x:c>
      <x:c r="B106" s="18" t="str">
        <x:v>新橋</x:v>
      </x:c>
      <x:c r="C106" s="18" t="str">
        <x:v>ゆりかもめ</x:v>
      </x:c>
      <x:c r="D106" s="18" t="str">
        <x:v>fixed_guideway</x:v>
      </x:c>
      <x:c r="E106" s="19" t="str">
        <x:v>T1</x:v>
      </x:c>
      <x:c r="F106" s="19" t="str">
        <x:v>東京臨海新交通臨海線</x:v>
      </x:c>
      <x:c r="G106" s="19" t="str">
        <x:v>候选已存在，组件待审核</x:v>
      </x:c>
      <x:c r="H106" s="19" t="str">
        <x:v>transport-node:9cd723d9-3d15-5eaa-9fad-9a5429183295</x:v>
      </x:c>
      <x:c r="I106" s="18" t="str">
        <x:v>transport-hub-review:f4456bf1-0cdc-59c4-adfe-e49b3f6ec32e</x:v>
      </x:c>
      <x:c r="J106" s="18" t="str">
        <x:v>否</x:v>
      </x:c>
    </x:row>
    <x:row r="107" ht="33" customHeight="1">
      <x:c r="A107" s="19" t="str">
        <x:v>新宿</x:v>
      </x:c>
      <x:c r="B107" s="18" t="str">
        <x:v>新宿</x:v>
      </x:c>
      <x:c r="C107" s="18" t="str">
        <x:v>東日本旅客鉄道</x:v>
      </x:c>
      <x:c r="D107" s="18" t="str">
        <x:v>conventional_rail</x:v>
      </x:c>
      <x:c r="E107" s="19" t="str">
        <x:v>T0</x:v>
      </x:c>
      <x:c r="F107" s="19" t="str">
        <x:v>中央線
山手線</x:v>
      </x:c>
      <x:c r="G107" s="19" t="str">
        <x:v>候选已存在，组件待审核</x:v>
      </x:c>
      <x:c r="H107" s="19" t="str">
        <x:v>transport-node:89b07d95-ed68-5092-a531-07e2df74b03a</x:v>
      </x:c>
      <x:c r="I107" s="18" t="str">
        <x:v>transport-hub-review:b02888ff-fc4e-59be-9688-de71a6c0faab</x:v>
      </x:c>
      <x:c r="J107" s="18" t="str">
        <x:v>否</x:v>
      </x:c>
    </x:row>
    <x:row r="108" ht="28" customHeight="1">
      <x:c r="A108" s="19" t="str">
        <x:v>新宿</x:v>
      </x:c>
      <x:c r="B108" s="18" t="str">
        <x:v>新宿</x:v>
      </x:c>
      <x:c r="C108" s="18" t="str">
        <x:v>小田急電鉄</x:v>
      </x:c>
      <x:c r="D108" s="18" t="str">
        <x:v>private_rail</x:v>
      </x:c>
      <x:c r="E108" s="19" t="str">
        <x:v>T0</x:v>
      </x:c>
      <x:c r="F108" s="19" t="str">
        <x:v>小田原線</x:v>
      </x:c>
      <x:c r="G108" s="19" t="str">
        <x:v>候选已存在，组件待审核</x:v>
      </x:c>
      <x:c r="H108" s="19" t="str">
        <x:v>transport-node:e67331c3-59dc-5280-af05-62420f46372d</x:v>
      </x:c>
      <x:c r="I108" s="18" t="str">
        <x:v>transport-hub-review:b02888ff-fc4e-59be-9688-de71a6c0faab</x:v>
      </x:c>
      <x:c r="J108" s="18" t="str">
        <x:v>否</x:v>
      </x:c>
    </x:row>
    <x:row r="109" ht="28" customHeight="1">
      <x:c r="A109" s="19" t="str">
        <x:v>新宿</x:v>
      </x:c>
      <x:c r="B109" s="18" t="str">
        <x:v>新宿</x:v>
      </x:c>
      <x:c r="C109" s="18" t="str">
        <x:v>京王電鉄</x:v>
      </x:c>
      <x:c r="D109" s="18" t="str">
        <x:v>private_rail</x:v>
      </x:c>
      <x:c r="E109" s="19" t="str">
        <x:v>T0</x:v>
      </x:c>
      <x:c r="F109" s="19" t="str">
        <x:v>京王線</x:v>
      </x:c>
      <x:c r="G109" s="19" t="str">
        <x:v>候选已存在，组件待审核</x:v>
      </x:c>
      <x:c r="H109" s="19" t="str">
        <x:v>transport-node:1e7633cc-c81b-523e-bb06-e3080f15aaf5</x:v>
      </x:c>
      <x:c r="I109" s="18" t="str">
        <x:v>transport-hub-review:b02888ff-fc4e-59be-9688-de71a6c0faab</x:v>
      </x:c>
      <x:c r="J109" s="18" t="str">
        <x:v>否</x:v>
      </x:c>
    </x:row>
    <x:row r="110" ht="28" customHeight="1">
      <x:c r="A110" s="19" t="str">
        <x:v>新宿</x:v>
      </x:c>
      <x:c r="B110" s="18" t="str">
        <x:v>新宿</x:v>
      </x:c>
      <x:c r="C110" s="18" t="str">
        <x:v>東京地下鉄</x:v>
      </x:c>
      <x:c r="D110" s="18" t="str">
        <x:v>metro</x:v>
      </x:c>
      <x:c r="E110" s="19" t="str">
        <x:v>T1</x:v>
      </x:c>
      <x:c r="F110" s="19" t="str">
        <x:v>4号線丸ノ内線</x:v>
      </x:c>
      <x:c r="G110" s="19" t="str">
        <x:v>候选已存在，组件待审核</x:v>
      </x:c>
      <x:c r="H110" s="19" t="str">
        <x:v>transport-node:2aa7d103-4f50-5a7a-9c5e-f3dde41e2819</x:v>
      </x:c>
      <x:c r="I110" s="18" t="str">
        <x:v>transport-hub-review:b02888ff-fc4e-59be-9688-de71a6c0faab</x:v>
      </x:c>
      <x:c r="J110" s="18" t="str">
        <x:v>否</x:v>
      </x:c>
    </x:row>
    <x:row r="111" ht="33" customHeight="1">
      <x:c r="A111" s="19" t="str">
        <x:v>新宿</x:v>
      </x:c>
      <x:c r="B111" s="18" t="str">
        <x:v>新宿</x:v>
      </x:c>
      <x:c r="C111" s="18" t="str">
        <x:v>東京都</x:v>
      </x:c>
      <x:c r="D111" s="18" t="str">
        <x:v>metro</x:v>
      </x:c>
      <x:c r="E111" s="19" t="str">
        <x:v>null</x:v>
      </x:c>
      <x:c r="F111" s="19" t="str">
        <x:v>10号線新宿線
12号線大江戸線</x:v>
      </x:c>
      <x:c r="G111" s="19" t="str">
        <x:v>候选已存在，组件待审核</x:v>
      </x:c>
      <x:c r="H111" s="19" t="str">
        <x:v>transport-node:e2bcf079-978c-5205-aa58-d14bbf5f9e6c</x:v>
      </x:c>
      <x:c r="I111" s="18" t="str">
        <x:v>transport-hub-review:b02888ff-fc4e-59be-9688-de71a6c0faab</x:v>
      </x:c>
      <x:c r="J111" s="18" t="str">
        <x:v>否</x:v>
      </x:c>
    </x:row>
    <x:row r="112" ht="28" customHeight="1">
      <x:c r="A112" s="19" t="str">
        <x:v>西船橋</x:v>
      </x:c>
      <x:c r="B112" s="18" t="str">
        <x:v>西船橋</x:v>
      </x:c>
      <x:c r="C112" s="18" t="str">
        <x:v>東京地下鉄</x:v>
      </x:c>
      <x:c r="D112" s="18" t="str">
        <x:v>metro</x:v>
      </x:c>
      <x:c r="E112" s="19" t="str">
        <x:v>T0</x:v>
      </x:c>
      <x:c r="F112" s="19" t="str">
        <x:v>5号線東西線</x:v>
      </x:c>
      <x:c r="G112" s="19" t="str">
        <x:v>候选已存在，组件待审核</x:v>
      </x:c>
      <x:c r="H112" s="19" t="str">
        <x:v>transport-node:875b13b3-3e7f-5e29-a44d-bb350d51f2b1</x:v>
      </x:c>
      <x:c r="I112" s="18" t="str">
        <x:v>transport-hub-review:b1f26f94-2d8d-5620-89d8-06a4aa281dc1</x:v>
      </x:c>
      <x:c r="J112" s="18" t="str">
        <x:v>否</x:v>
      </x:c>
    </x:row>
    <x:row r="113" ht="47" customHeight="1">
      <x:c r="A113" s="19" t="str">
        <x:v>西船橋</x:v>
      </x:c>
      <x:c r="B113" s="18" t="str">
        <x:v>西船橋</x:v>
      </x:c>
      <x:c r="C113" s="18" t="str">
        <x:v>東日本旅客鉄道</x:v>
      </x:c>
      <x:c r="D113" s="18" t="str">
        <x:v>conventional_rail</x:v>
      </x:c>
      <x:c r="E113" s="19" t="str">
        <x:v>T0</x:v>
      </x:c>
      <x:c r="F113" s="19" t="str">
        <x:v>京葉線
武蔵野線
総武線</x:v>
      </x:c>
      <x:c r="G113" s="19" t="str">
        <x:v>候选已存在，组件待审核</x:v>
      </x:c>
      <x:c r="H113" s="19" t="str">
        <x:v>transport-node:5c5eeed3-074f-570d-aa03-f52a7665066f</x:v>
      </x:c>
      <x:c r="I113" s="18" t="str">
        <x:v>transport-hub-review:b1f26f94-2d8d-5620-89d8-06a4aa281dc1</x:v>
      </x:c>
      <x:c r="J113" s="18" t="str">
        <x:v>否</x:v>
      </x:c>
    </x:row>
    <x:row r="114" ht="28" customHeight="1">
      <x:c r="A114" s="19" t="str">
        <x:v>西船橋</x:v>
      </x:c>
      <x:c r="B114" s="18" t="str">
        <x:v>西船橋</x:v>
      </x:c>
      <x:c r="C114" s="18" t="str">
        <x:v>東葉高速鉄道</x:v>
      </x:c>
      <x:c r="D114" s="18" t="str">
        <x:v>private_rail</x:v>
      </x:c>
      <x:c r="E114" s="19" t="str">
        <x:v>null</x:v>
      </x:c>
      <x:c r="F114" s="19" t="str">
        <x:v>東葉高速線</x:v>
      </x:c>
      <x:c r="G114" s="19" t="str">
        <x:v>候选已存在，组件待审核</x:v>
      </x:c>
      <x:c r="H114" s="19" t="str">
        <x:v>transport-node:2b451248-d14c-57c7-8858-b16cb289196d</x:v>
      </x:c>
      <x:c r="I114" s="18" t="str">
        <x:v>transport-hub-review:b1f26f94-2d8d-5620-89d8-06a4aa281dc1</x:v>
      </x:c>
      <x:c r="J114" s="18" t="str">
        <x:v>否</x:v>
      </x:c>
    </x:row>
    <x:row r="115" ht="33" customHeight="1">
      <x:c r="A115" s="19" t="str">
        <x:v>千葉</x:v>
      </x:c>
      <x:c r="B115" s="18" t="str">
        <x:v>千葉</x:v>
      </x:c>
      <x:c r="C115" s="18" t="str">
        <x:v>東日本旅客鉄道</x:v>
      </x:c>
      <x:c r="D115" s="18" t="str">
        <x:v>conventional_rail</x:v>
      </x:c>
      <x:c r="E115" s="19" t="str">
        <x:v>T0</x:v>
      </x:c>
      <x:c r="F115" s="19" t="str">
        <x:v>外房線
総武線</x:v>
      </x:c>
      <x:c r="G115" s="19" t="str">
        <x:v>候选已存在，组件待审核</x:v>
      </x:c>
      <x:c r="H115" s="19" t="str">
        <x:v>transport-node:64c96958-db36-5b45-b651-7eba9719a4d8</x:v>
      </x:c>
      <x:c r="I115" s="18" t="str">
        <x:v>transport-hub-review:4105f488-e0b4-57cd-9345-125f75ad3ddb</x:v>
      </x:c>
      <x:c r="J115" s="18" t="str">
        <x:v>否</x:v>
      </x:c>
    </x:row>
    <x:row r="116" ht="33" customHeight="1">
      <x:c r="A116" s="19" t="str">
        <x:v>千葉</x:v>
      </x:c>
      <x:c r="B116" s="18" t="str">
        <x:v>千葉</x:v>
      </x:c>
      <x:c r="C116" s="18" t="str">
        <x:v>千葉都市モノレール</x:v>
      </x:c>
      <x:c r="D116" s="18" t="str">
        <x:v>fixed_guideway</x:v>
      </x:c>
      <x:c r="E116" s="19" t="str">
        <x:v>T2</x:v>
      </x:c>
      <x:c r="F116" s="19" t="str">
        <x:v>1号線
2号線</x:v>
      </x:c>
      <x:c r="G116" s="19" t="str">
        <x:v>候选已存在，组件待审核</x:v>
      </x:c>
      <x:c r="H116" s="19" t="str">
        <x:v>transport-node:df02c49f-8323-560e-8004-d3b053978432</x:v>
      </x:c>
      <x:c r="I116" s="18" t="str">
        <x:v>transport-hub-review:4105f488-e0b4-57cd-9345-125f75ad3ddb</x:v>
      </x:c>
      <x:c r="J116" s="18" t="str">
        <x:v>否</x:v>
      </x:c>
    </x:row>
    <x:row r="117" ht="28" customHeight="1">
      <x:c r="A117" s="19" t="str">
        <x:v>千葉</x:v>
      </x:c>
      <x:c r="B117" s="18" t="str">
        <x:v>京成千葉</x:v>
      </x:c>
      <x:c r="C117" s="18" t="str">
        <x:v>京成電鉄</x:v>
      </x:c>
      <x:c r="D117" s="18" t="str">
        <x:v>private_rail</x:v>
      </x:c>
      <x:c r="E117" s="19" t="str">
        <x:v>T2</x:v>
      </x:c>
      <x:c r="F117" s="19" t="str">
        <x:v>千葉線</x:v>
      </x:c>
      <x:c r="G117" s="19" t="str">
        <x:v>候选已存在，组件待审核</x:v>
      </x:c>
      <x:c r="H117" s="19" t="str">
        <x:v>transport-node:eb2178cb-dbc6-53ef-ae45-e1f7b38d60ff</x:v>
      </x:c>
      <x:c r="I117" s="18" t="str">
        <x:v>transport-hub-review:4105f488-e0b4-57cd-9345-125f75ad3ddb</x:v>
      </x:c>
      <x:c r="J117" s="18" t="str">
        <x:v>否</x:v>
      </x:c>
    </x:row>
    <x:row r="118" ht="33" customHeight="1">
      <x:c r="A118" s="19" t="str">
        <x:v>川崎</x:v>
      </x:c>
      <x:c r="B118" s="18" t="str">
        <x:v>川崎</x:v>
      </x:c>
      <x:c r="C118" s="18" t="str">
        <x:v>東日本旅客鉄道</x:v>
      </x:c>
      <x:c r="D118" s="18" t="str">
        <x:v>conventional_rail</x:v>
      </x:c>
      <x:c r="E118" s="19" t="str">
        <x:v>T0</x:v>
      </x:c>
      <x:c r="F118" s="19" t="str">
        <x:v>南武線
東海道線</x:v>
      </x:c>
      <x:c r="G118" s="19" t="str">
        <x:v>候选已存在，组件待审核</x:v>
      </x:c>
      <x:c r="H118" s="19" t="str">
        <x:v>transport-node:ff0ff442-2faa-5485-936f-1e348b925594</x:v>
      </x:c>
      <x:c r="I118" s="18" t="str">
        <x:v>transport-hub-review:0bf81cfe-3bc4-5f81-a208-95ca4caca6be</x:v>
      </x:c>
      <x:c r="J118" s="18" t="str">
        <x:v>否</x:v>
      </x:c>
    </x:row>
    <x:row r="119" ht="28" customHeight="1">
      <x:c r="A119" s="19" t="str">
        <x:v>船橋</x:v>
      </x:c>
      <x:c r="B119" s="18" t="str">
        <x:v>船橋</x:v>
      </x:c>
      <x:c r="C119" s="18" t="str">
        <x:v>東日本旅客鉄道</x:v>
      </x:c>
      <x:c r="D119" s="18" t="str">
        <x:v>conventional_rail</x:v>
      </x:c>
      <x:c r="E119" s="19" t="str">
        <x:v>T0</x:v>
      </x:c>
      <x:c r="F119" s="19" t="str">
        <x:v>総武線</x:v>
      </x:c>
      <x:c r="G119" s="19" t="str">
        <x:v>候选已存在，组件待审核</x:v>
      </x:c>
      <x:c r="H119" s="19" t="str">
        <x:v>transport-node:14dd7856-90b2-5739-9cb9-81ab872da3d0</x:v>
      </x:c>
      <x:c r="I119" s="18" t="str">
        <x:v>transport-hub-review:4d774c33-e173-58e9-a5c6-96c09067f79c</x:v>
      </x:c>
      <x:c r="J119" s="18" t="str">
        <x:v>否</x:v>
      </x:c>
    </x:row>
    <x:row r="120" ht="28" customHeight="1">
      <x:c r="A120" s="19" t="str">
        <x:v>船橋</x:v>
      </x:c>
      <x:c r="B120" s="18" t="str">
        <x:v>船橋</x:v>
      </x:c>
      <x:c r="C120" s="18" t="str">
        <x:v>東武鉄道</x:v>
      </x:c>
      <x:c r="D120" s="18" t="str">
        <x:v>private_rail</x:v>
      </x:c>
      <x:c r="E120" s="19" t="str">
        <x:v>T1</x:v>
      </x:c>
      <x:c r="F120" s="19" t="str">
        <x:v>野田線</x:v>
      </x:c>
      <x:c r="G120" s="19" t="str">
        <x:v>候选已存在，组件待审核</x:v>
      </x:c>
      <x:c r="H120" s="19" t="str">
        <x:v>transport-node:6e98e96a-fb1e-591f-ab39-747bd1342bec</x:v>
      </x:c>
      <x:c r="I120" s="18" t="str">
        <x:v>transport-hub-review:4d774c33-e173-58e9-a5c6-96c09067f79c</x:v>
      </x:c>
      <x:c r="J120" s="18" t="str">
        <x:v>否</x:v>
      </x:c>
    </x:row>
    <x:row r="121" ht="28" customHeight="1">
      <x:c r="A121" s="19" t="str">
        <x:v>船橋</x:v>
      </x:c>
      <x:c r="B121" s="18" t="str">
        <x:v>京成船橋</x:v>
      </x:c>
      <x:c r="C121" s="18" t="str">
        <x:v>京成電鉄</x:v>
      </x:c>
      <x:c r="D121" s="18" t="str">
        <x:v>private_rail</x:v>
      </x:c>
      <x:c r="E121" s="19" t="str">
        <x:v>T1</x:v>
      </x:c>
      <x:c r="F121" s="19" t="str">
        <x:v>本線</x:v>
      </x:c>
      <x:c r="G121" s="19" t="str">
        <x:v>候选已存在，组件待审核</x:v>
      </x:c>
      <x:c r="H121" s="19" t="str">
        <x:v>transport-node:fcb1c126-0571-510a-b795-15e3fc584d77</x:v>
      </x:c>
      <x:c r="I121" s="18" t="str">
        <x:v>transport-hub-review:4d774c33-e173-58e9-a5c6-96c09067f79c</x:v>
      </x:c>
      <x:c r="J121" s="18" t="str">
        <x:v>否</x:v>
      </x:c>
    </x:row>
    <x:row r="122" ht="28" customHeight="1">
      <x:c r="A122" s="19" t="str">
        <x:v>代々木上原</x:v>
      </x:c>
      <x:c r="B122" s="18" t="str">
        <x:v>代々木上原</x:v>
      </x:c>
      <x:c r="C122" s="18" t="str">
        <x:v>東京地下鉄</x:v>
      </x:c>
      <x:c r="D122" s="18" t="str">
        <x:v>metro</x:v>
      </x:c>
      <x:c r="E122" s="19" t="str">
        <x:v>null</x:v>
      </x:c>
      <x:c r="F122" s="19" t="str">
        <x:v>9号線千代田線</x:v>
      </x:c>
      <x:c r="G122" s="19" t="str">
        <x:v>候选已存在，组件待审核</x:v>
      </x:c>
      <x:c r="H122" s="19" t="str">
        <x:v>transport-node:f96d8346-10d3-5c33-b91c-7d149adcd211</x:v>
      </x:c>
      <x:c r="I122" s="18" t="str">
        <x:v>transport-hub-review:5a505849-6f82-5b3b-9b10-20bdb1a35d8c</x:v>
      </x:c>
      <x:c r="J122" s="18" t="str">
        <x:v>否</x:v>
      </x:c>
    </x:row>
    <x:row r="123" ht="28" customHeight="1">
      <x:c r="A123" s="19" t="str">
        <x:v>代々木上原</x:v>
      </x:c>
      <x:c r="B123" s="18" t="str">
        <x:v>代々木上原</x:v>
      </x:c>
      <x:c r="C123" s="18" t="str">
        <x:v>小田急電鉄</x:v>
      </x:c>
      <x:c r="D123" s="18" t="str">
        <x:v>private_rail</x:v>
      </x:c>
      <x:c r="E123" s="19" t="str">
        <x:v>T0</x:v>
      </x:c>
      <x:c r="F123" s="19" t="str">
        <x:v>小田原線</x:v>
      </x:c>
      <x:c r="G123" s="19" t="str">
        <x:v>候选已存在，组件待审核</x:v>
      </x:c>
      <x:c r="H123" s="19" t="str">
        <x:v>transport-node:40d23c82-c395-5bb0-9e65-7ffb9db5867e</x:v>
      </x:c>
      <x:c r="I123" s="18" t="str">
        <x:v>transport-hub-review:5a505849-6f82-5b3b-9b10-20bdb1a35d8c</x:v>
      </x:c>
      <x:c r="J123" s="18" t="str">
        <x:v>否</x:v>
      </x:c>
    </x:row>
    <x:row r="124" ht="47" customHeight="1">
      <x:c r="A124" s="19" t="str">
        <x:v>大宮</x:v>
      </x:c>
      <x:c r="B124" s="18" t="str">
        <x:v>大宮</x:v>
      </x:c>
      <x:c r="C124" s="18" t="str">
        <x:v>東日本旅客鉄道</x:v>
      </x:c>
      <x:c r="D124" s="18" t="str">
        <x:v>conventional_rail</x:v>
      </x:c>
      <x:c r="E124" s="19" t="str">
        <x:v>T0</x:v>
      </x:c>
      <x:c r="F124" s="19" t="str">
        <x:v>川越線
東北線
高崎線</x:v>
      </x:c>
      <x:c r="G124" s="19" t="str">
        <x:v>候选已存在，组件待审核</x:v>
      </x:c>
      <x:c r="H124" s="19" t="str">
        <x:v>transport-node:44af7ff3-0250-5814-8203-ab282ae6ac6d</x:v>
      </x:c>
      <x:c r="I124" s="18" t="str">
        <x:v>transport-hub-review:3fc37f12-6d20-5678-8d39-bd8967884661</x:v>
      </x:c>
      <x:c r="J124" s="18" t="str">
        <x:v>否</x:v>
      </x:c>
    </x:row>
    <x:row r="125" ht="33" customHeight="1">
      <x:c r="A125" s="19" t="str">
        <x:v>大宮</x:v>
      </x:c>
      <x:c r="B125" s="18" t="str">
        <x:v>大宮</x:v>
      </x:c>
      <x:c r="C125" s="18" t="str">
        <x:v>東日本旅客鉄道</x:v>
      </x:c>
      <x:c r="D125" s="18" t="str">
        <x:v>shinkansen</x:v>
      </x:c>
      <x:c r="E125" s="19" t="str">
        <x:v>null</x:v>
      </x:c>
      <x:c r="F125" s="19" t="str">
        <x:v>上越新幹線
東北新幹線</x:v>
      </x:c>
      <x:c r="G125" s="19" t="str">
        <x:v>候选已存在，组件待审核</x:v>
      </x:c>
      <x:c r="H125" s="19" t="str">
        <x:v>transport-node:9e608705-640b-5efe-80f3-5ce28cdbd6c2</x:v>
      </x:c>
      <x:c r="I125" s="18" t="str">
        <x:v>transport-hub-review:3fc37f12-6d20-5678-8d39-bd8967884661</x:v>
      </x:c>
      <x:c r="J125" s="18" t="str">
        <x:v>否</x:v>
      </x:c>
    </x:row>
    <x:row r="126" ht="28" customHeight="1">
      <x:c r="A126" s="19" t="str">
        <x:v>大宮</x:v>
      </x:c>
      <x:c r="B126" s="18" t="str">
        <x:v>大宮</x:v>
      </x:c>
      <x:c r="C126" s="18" t="str">
        <x:v>東武鉄道</x:v>
      </x:c>
      <x:c r="D126" s="18" t="str">
        <x:v>private_rail</x:v>
      </x:c>
      <x:c r="E126" s="19" t="str">
        <x:v>T1</x:v>
      </x:c>
      <x:c r="F126" s="19" t="str">
        <x:v>野田線</x:v>
      </x:c>
      <x:c r="G126" s="19" t="str">
        <x:v>候选已存在，组件待审核</x:v>
      </x:c>
      <x:c r="H126" s="19" t="str">
        <x:v>transport-node:288ac346-1508-540c-87bd-c56c6cdf6365</x:v>
      </x:c>
      <x:c r="I126" s="18" t="str">
        <x:v>transport-hub-review:3fc37f12-6d20-5678-8d39-bd8967884661</x:v>
      </x:c>
      <x:c r="J126" s="18" t="str">
        <x:v>否</x:v>
      </x:c>
    </x:row>
    <x:row r="127" ht="28" customHeight="1">
      <x:c r="A127" s="19" t="str">
        <x:v>大宮</x:v>
      </x:c>
      <x:c r="B127" s="18" t="str">
        <x:v>大宮</x:v>
      </x:c>
      <x:c r="C127" s="18" t="str">
        <x:v>埼玉新都市交通</x:v>
      </x:c>
      <x:c r="D127" s="18" t="str">
        <x:v>fixed_guideway</x:v>
      </x:c>
      <x:c r="E127" s="19" t="str">
        <x:v>T2</x:v>
      </x:c>
      <x:c r="F127" s="19" t="str">
        <x:v>伊奈線</x:v>
      </x:c>
      <x:c r="G127" s="19" t="str">
        <x:v>候选已存在，组件待审核</x:v>
      </x:c>
      <x:c r="H127" s="19" t="str">
        <x:v>transport-node:98560968-8f8b-5503-ae9a-3f62b1124114</x:v>
      </x:c>
      <x:c r="I127" s="18" t="str">
        <x:v>transport-hub-review:3fc37f12-6d20-5678-8d39-bd8967884661</x:v>
      </x:c>
      <x:c r="J127" s="18" t="str">
        <x:v>否</x:v>
      </x:c>
    </x:row>
    <x:row r="128" ht="28" customHeight="1">
      <x:c r="A128" s="19" t="str">
        <x:v>大阪・梅田</x:v>
      </x:c>
      <x:c r="B128" s="18" t="str">
        <x:v>梅田</x:v>
      </x:c>
      <x:c r="C128" s="18" t="str">
        <x:v>大阪市高速電気軌道</x:v>
      </x:c>
      <x:c r="D128" s="18" t="str">
        <x:v>metro</x:v>
      </x:c>
      <x:c r="E128" s="19" t="str">
        <x:v>T0</x:v>
      </x:c>
      <x:c r="F128" s="19" t="str">
        <x:v>1号線(御堂筋線)</x:v>
      </x:c>
      <x:c r="G128" s="19" t="str">
        <x:v>候选已存在，组件待审核</x:v>
      </x:c>
      <x:c r="H128" s="19" t="str">
        <x:v>transport-node:437f036e-b8cf-5e8e-a68c-a67fc7b9a7cf</x:v>
      </x:c>
      <x:c r="I128" s="18" t="str">
        <x:v>transport-hub-review:c874f3c0-4c3d-5ef3-adac-91c1a118c3b7</x:v>
      </x:c>
      <x:c r="J128" s="18" t="str">
        <x:v>否</x:v>
      </x:c>
    </x:row>
    <x:row r="129" ht="28" customHeight="1">
      <x:c r="A129" s="19" t="str">
        <x:v>大阪・梅田</x:v>
      </x:c>
      <x:c r="B129" s="18" t="str">
        <x:v>東梅田</x:v>
      </x:c>
      <x:c r="C129" s="18" t="str">
        <x:v>大阪市高速電気軌道</x:v>
      </x:c>
      <x:c r="D129" s="18" t="str">
        <x:v>metro</x:v>
      </x:c>
      <x:c r="E129" s="19" t="str">
        <x:v>T1</x:v>
      </x:c>
      <x:c r="F129" s="19" t="str">
        <x:v>2号線(谷町線)</x:v>
      </x:c>
      <x:c r="G129" s="19" t="str">
        <x:v>候选已存在，组件待审核</x:v>
      </x:c>
      <x:c r="H129" s="19" t="str">
        <x:v>transport-node:85c36b5f-0e88-5b01-b2df-bc4627c58faa</x:v>
      </x:c>
      <x:c r="I129" s="18" t="str">
        <x:v>transport-hub-review:c874f3c0-4c3d-5ef3-adac-91c1a118c3b7</x:v>
      </x:c>
      <x:c r="J129" s="18" t="str">
        <x:v>否</x:v>
      </x:c>
    </x:row>
    <x:row r="130" ht="28" customHeight="1">
      <x:c r="A130" s="19" t="str">
        <x:v>大阪・梅田</x:v>
      </x:c>
      <x:c r="B130" s="18" t="str">
        <x:v>西梅田</x:v>
      </x:c>
      <x:c r="C130" s="18" t="str">
        <x:v>大阪市高速電気軌道</x:v>
      </x:c>
      <x:c r="D130" s="18" t="str">
        <x:v>metro</x:v>
      </x:c>
      <x:c r="E130" s="19" t="str">
        <x:v>T1</x:v>
      </x:c>
      <x:c r="F130" s="19" t="str">
        <x:v>3号線(四つ橋線)</x:v>
      </x:c>
      <x:c r="G130" s="19" t="str">
        <x:v>候选已存在，组件待审核</x:v>
      </x:c>
      <x:c r="H130" s="19" t="str">
        <x:v>transport-node:556b085d-b688-5d14-a37b-b323193bf161</x:v>
      </x:c>
      <x:c r="I130" s="18" t="str">
        <x:v>transport-hub-review:c874f3c0-4c3d-5ef3-adac-91c1a118c3b7</x:v>
      </x:c>
      <x:c r="J130" s="18" t="str">
        <x:v>否</x:v>
      </x:c>
    </x:row>
    <x:row r="131" ht="33" customHeight="1">
      <x:c r="A131" s="19" t="str">
        <x:v>大阪・梅田</x:v>
      </x:c>
      <x:c r="B131" s="18" t="str">
        <x:v>大阪</x:v>
      </x:c>
      <x:c r="C131" s="18" t="str">
        <x:v>西日本旅客鉄道</x:v>
      </x:c>
      <x:c r="D131" s="18" t="str">
        <x:v>conventional_rail</x:v>
      </x:c>
      <x:c r="E131" s="19" t="str">
        <x:v>T0</x:v>
      </x:c>
      <x:c r="F131" s="19" t="str">
        <x:v>大阪環状線
東海道線</x:v>
      </x:c>
      <x:c r="G131" s="19" t="str">
        <x:v>候选已存在，组件待审核</x:v>
      </x:c>
      <x:c r="H131" s="19" t="str">
        <x:v>transport-node:2ef60e02-6df3-5535-a8a9-8901626a9ee8</x:v>
      </x:c>
      <x:c r="I131" s="18" t="str">
        <x:v>transport-hub-review:c874f3c0-4c3d-5ef3-adac-91c1a118c3b7</x:v>
      </x:c>
      <x:c r="J131" s="18" t="str">
        <x:v>否</x:v>
      </x:c>
    </x:row>
    <x:row r="132" ht="28" customHeight="1">
      <x:c r="A132" s="19" t="str">
        <x:v>大阪・梅田</x:v>
      </x:c>
      <x:c r="B132" s="18" t="str">
        <x:v>北新地</x:v>
      </x:c>
      <x:c r="C132" s="18" t="str">
        <x:v>西日本旅客鉄道</x:v>
      </x:c>
      <x:c r="D132" s="18" t="str">
        <x:v>conventional_rail</x:v>
      </x:c>
      <x:c r="E132" s="19" t="str">
        <x:v>T1</x:v>
      </x:c>
      <x:c r="F132" s="19" t="str">
        <x:v>JR東西線</x:v>
      </x:c>
      <x:c r="G132" s="19" t="str">
        <x:v>候选已存在，组件待审核</x:v>
      </x:c>
      <x:c r="H132" s="19" t="str">
        <x:v>transport-node:e104552f-4001-5796-a65a-09df9dac3425</x:v>
      </x:c>
      <x:c r="I132" s="18" t="str">
        <x:v>transport-hub-review:c874f3c0-4c3d-5ef3-adac-91c1a118c3b7</x:v>
      </x:c>
      <x:c r="J132" s="18" t="str">
        <x:v>否</x:v>
      </x:c>
    </x:row>
    <x:row r="133" ht="33" customHeight="1">
      <x:c r="A133" s="19" t="str">
        <x:v>大阪・梅田</x:v>
      </x:c>
      <x:c r="B133" s="18" t="str">
        <x:v>大阪梅田</x:v>
      </x:c>
      <x:c r="C133" s="18" t="str">
        <x:v>阪急電鉄</x:v>
      </x:c>
      <x:c r="D133" s="18" t="str">
        <x:v>private_rail</x:v>
      </x:c>
      <x:c r="E133" s="19" t="str">
        <x:v>T0</x:v>
      </x:c>
      <x:c r="F133" s="19" t="str">
        <x:v>宝塚線
神戸線</x:v>
      </x:c>
      <x:c r="G133" s="19" t="str">
        <x:v>候选已存在，组件待审核</x:v>
      </x:c>
      <x:c r="H133" s="19" t="str">
        <x:v>transport-node:fad63bab-da5f-5325-b971-54089055836a</x:v>
      </x:c>
      <x:c r="I133" s="18" t="str">
        <x:v>transport-hub-review:c874f3c0-4c3d-5ef3-adac-91c1a118c3b7</x:v>
      </x:c>
      <x:c r="J133" s="18" t="str">
        <x:v>否</x:v>
      </x:c>
    </x:row>
    <x:row r="134" ht="28" customHeight="1">
      <x:c r="A134" s="19" t="str">
        <x:v>大阪・梅田</x:v>
      </x:c>
      <x:c r="B134" s="18" t="str">
        <x:v>大阪梅田</x:v>
      </x:c>
      <x:c r="C134" s="18" t="str">
        <x:v>阪神電気鉄道</x:v>
      </x:c>
      <x:c r="D134" s="18" t="str">
        <x:v>private_rail</x:v>
      </x:c>
      <x:c r="E134" s="19" t="str">
        <x:v>T1</x:v>
      </x:c>
      <x:c r="F134" s="19" t="str">
        <x:v>本線</x:v>
      </x:c>
      <x:c r="G134" s="19" t="str">
        <x:v>候选已存在，组件待审核</x:v>
      </x:c>
      <x:c r="H134" s="19" t="str">
        <x:v>transport-node:69a04810-484b-5ecd-ae0b-d4d18eaec452</x:v>
      </x:c>
      <x:c r="I134" s="18" t="str">
        <x:v>transport-hub-review:c874f3c0-4c3d-5ef3-adac-91c1a118c3b7</x:v>
      </x:c>
      <x:c r="J134" s="18" t="str">
        <x:v>否</x:v>
      </x:c>
    </x:row>
    <x:row r="135" ht="28" customHeight="1">
      <x:c r="A135" s="19" t="str">
        <x:v>大崎</x:v>
      </x:c>
      <x:c r="B135" s="18" t="str">
        <x:v>大崎</x:v>
      </x:c>
      <x:c r="C135" s="18" t="str">
        <x:v>東日本旅客鉄道</x:v>
      </x:c>
      <x:c r="D135" s="18" t="str">
        <x:v>conventional_rail</x:v>
      </x:c>
      <x:c r="E135" s="19" t="str">
        <x:v>T0</x:v>
      </x:c>
      <x:c r="F135" s="19" t="str">
        <x:v>山手線</x:v>
      </x:c>
      <x:c r="G135" s="19" t="str">
        <x:v>候选已存在，组件待审核</x:v>
      </x:c>
      <x:c r="H135" s="19" t="str">
        <x:v>transport-node:9c7a262f-1953-51f4-a9de-8efb9ff85ab7</x:v>
      </x:c>
      <x:c r="I135" s="18" t="str">
        <x:v>transport-hub-review:dc0a88e6-dd2c-5945-b91f-e559abca4809</x:v>
      </x:c>
      <x:c r="J135" s="18" t="str">
        <x:v>否</x:v>
      </x:c>
    </x:row>
    <x:row r="136" ht="28" customHeight="1">
      <x:c r="A136" s="19" t="str">
        <x:v>大崎</x:v>
      </x:c>
      <x:c r="B136" s="18" t="str">
        <x:v>大崎</x:v>
      </x:c>
      <x:c r="C136" s="18" t="str">
        <x:v>東京臨海高速鉄道</x:v>
      </x:c>
      <x:c r="D136" s="18" t="str">
        <x:v>private_rail</x:v>
      </x:c>
      <x:c r="E136" s="19" t="str">
        <x:v>null</x:v>
      </x:c>
      <x:c r="F136" s="19" t="str">
        <x:v>臨海副都心線</x:v>
      </x:c>
      <x:c r="G136" s="19" t="str">
        <x:v>候选已存在，组件待审核</x:v>
      </x:c>
      <x:c r="H136" s="19" t="str">
        <x:v>transport-node:5d616652-cb8c-559e-84c6-288de1136b70</x:v>
      </x:c>
      <x:c r="I136" s="18" t="str">
        <x:v>transport-hub-review:dc0a88e6-dd2c-5945-b91f-e559abca4809</x:v>
      </x:c>
      <x:c r="J136" s="18" t="str">
        <x:v>否</x:v>
      </x:c>
    </x:row>
    <x:row r="137" ht="61" customHeight="1">
      <x:c r="A137" s="19" t="str">
        <x:v>大手町</x:v>
      </x:c>
      <x:c r="B137" s="18" t="str">
        <x:v>大手町</x:v>
      </x:c>
      <x:c r="C137" s="18" t="str">
        <x:v>東京地下鉄</x:v>
      </x:c>
      <x:c r="D137" s="18" t="str">
        <x:v>metro</x:v>
      </x:c>
      <x:c r="E137" s="19" t="str">
        <x:v>T0</x:v>
      </x:c>
      <x:c r="F137" s="19" t="str">
        <x:v>11号線半蔵門線
4号線丸ノ内線
5号線東西線
9号線千代田線</x:v>
      </x:c>
      <x:c r="G137" s="19" t="str">
        <x:v>候选已存在，组件待审核</x:v>
      </x:c>
      <x:c r="H137" s="19" t="str">
        <x:v>transport-node:9cf00795-9ac1-50c2-8f70-ab4feb875e14</x:v>
      </x:c>
      <x:c r="I137" s="18" t="str">
        <x:v>transport-hub-review:1381cb37-f196-567f-89d3-7316094fe7bb</x:v>
      </x:c>
      <x:c r="J137" s="18" t="str">
        <x:v>否</x:v>
      </x:c>
    </x:row>
    <x:row r="138" ht="28" customHeight="1">
      <x:c r="A138" s="19" t="str">
        <x:v>大手町</x:v>
      </x:c>
      <x:c r="B138" s="18" t="str">
        <x:v>大手町</x:v>
      </x:c>
      <x:c r="C138" s="18" t="str">
        <x:v>東京都</x:v>
      </x:c>
      <x:c r="D138" s="18" t="str">
        <x:v>metro</x:v>
      </x:c>
      <x:c r="E138" s="19" t="str">
        <x:v>T1</x:v>
      </x:c>
      <x:c r="F138" s="19" t="str">
        <x:v>6号線三田線</x:v>
      </x:c>
      <x:c r="G138" s="19" t="str">
        <x:v>候选已存在，组件待审核</x:v>
      </x:c>
      <x:c r="H138" s="19" t="str">
        <x:v>transport-node:516b1319-ceca-5ef9-b232-a2625b324410</x:v>
      </x:c>
      <x:c r="I138" s="18" t="str">
        <x:v>transport-hub-review:1381cb37-f196-567f-89d3-7316094fe7bb</x:v>
      </x:c>
      <x:c r="J138" s="18" t="str">
        <x:v>否</x:v>
      </x:c>
    </x:row>
    <x:row r="139" ht="33" customHeight="1">
      <x:c r="A139" s="19" t="str">
        <x:v>池袋</x:v>
      </x:c>
      <x:c r="B139" s="18" t="str">
        <x:v>池袋</x:v>
      </x:c>
      <x:c r="C139" s="18" t="str">
        <x:v>東日本旅客鉄道</x:v>
      </x:c>
      <x:c r="D139" s="18" t="str">
        <x:v>conventional_rail</x:v>
      </x:c>
      <x:c r="E139" s="19" t="str">
        <x:v>T0</x:v>
      </x:c>
      <x:c r="F139" s="19" t="str">
        <x:v>山手線
赤羽線</x:v>
      </x:c>
      <x:c r="G139" s="19" t="str">
        <x:v>候选已存在，组件待审核</x:v>
      </x:c>
      <x:c r="H139" s="19" t="str">
        <x:v>transport-node:e68658f5-4e44-5930-adde-4cf758ba7f0c</x:v>
      </x:c>
      <x:c r="I139" s="18" t="str">
        <x:v>transport-hub-review:84fb0e29-8c69-58bb-90a8-2e9993f9dcd3</x:v>
      </x:c>
      <x:c r="J139" s="18" t="str">
        <x:v>否</x:v>
      </x:c>
    </x:row>
    <x:row r="140" ht="28" customHeight="1">
      <x:c r="A140" s="19" t="str">
        <x:v>池袋</x:v>
      </x:c>
      <x:c r="B140" s="18" t="str">
        <x:v>池袋</x:v>
      </x:c>
      <x:c r="C140" s="18" t="str">
        <x:v>東武鉄道</x:v>
      </x:c>
      <x:c r="D140" s="18" t="str">
        <x:v>private_rail</x:v>
      </x:c>
      <x:c r="E140" s="19" t="str">
        <x:v>T0</x:v>
      </x:c>
      <x:c r="F140" s="19" t="str">
        <x:v>東上本線</x:v>
      </x:c>
      <x:c r="G140" s="19" t="str">
        <x:v>候选已存在，组件待审核</x:v>
      </x:c>
      <x:c r="H140" s="19" t="str">
        <x:v>transport-node:5665115e-6726-59df-9b08-f2ca202435c6</x:v>
      </x:c>
      <x:c r="I140" s="18" t="str">
        <x:v>transport-hub-review:84fb0e29-8c69-58bb-90a8-2e9993f9dcd3</x:v>
      </x:c>
      <x:c r="J140" s="18" t="str">
        <x:v>否</x:v>
      </x:c>
    </x:row>
    <x:row r="141" ht="28" customHeight="1">
      <x:c r="A141" s="19" t="str">
        <x:v>池袋</x:v>
      </x:c>
      <x:c r="B141" s="18" t="str">
        <x:v>池袋</x:v>
      </x:c>
      <x:c r="C141" s="18" t="str">
        <x:v>西武鉄道</x:v>
      </x:c>
      <x:c r="D141" s="18" t="str">
        <x:v>private_rail</x:v>
      </x:c>
      <x:c r="E141" s="19" t="str">
        <x:v>T0</x:v>
      </x:c>
      <x:c r="F141" s="19" t="str">
        <x:v>池袋線</x:v>
      </x:c>
      <x:c r="G141" s="19" t="str">
        <x:v>候选已存在，组件待审核</x:v>
      </x:c>
      <x:c r="H141" s="19" t="str">
        <x:v>transport-node:bfffffd3-3663-529d-bea1-1dca16f7ff20</x:v>
      </x:c>
      <x:c r="I141" s="18" t="str">
        <x:v>transport-hub-review:84fb0e29-8c69-58bb-90a8-2e9993f9dcd3</x:v>
      </x:c>
      <x:c r="J141" s="18" t="str">
        <x:v>否</x:v>
      </x:c>
    </x:row>
    <x:row r="142" ht="47" customHeight="1">
      <x:c r="A142" s="19" t="str">
        <x:v>池袋</x:v>
      </x:c>
      <x:c r="B142" s="18" t="str">
        <x:v>池袋</x:v>
      </x:c>
      <x:c r="C142" s="18" t="str">
        <x:v>東京地下鉄</x:v>
      </x:c>
      <x:c r="D142" s="18" t="str">
        <x:v>metro</x:v>
      </x:c>
      <x:c r="E142" s="19" t="str">
        <x:v>T0</x:v>
      </x:c>
      <x:c r="F142" s="19" t="str">
        <x:v>13号線副都心線
4号線丸ノ内線
8号線有楽町線</x:v>
      </x:c>
      <x:c r="G142" s="19" t="str">
        <x:v>候选已存在，组件待审核</x:v>
      </x:c>
      <x:c r="H142" s="19" t="str">
        <x:v>transport-node:4ca02af6-f068-57dd-ae7a-24f409143d60</x:v>
      </x:c>
      <x:c r="I142" s="18" t="str">
        <x:v>transport-hub-review:84fb0e29-8c69-58bb-90a8-2e9993f9dcd3</x:v>
      </x:c>
      <x:c r="J142" s="18" t="str">
        <x:v>否</x:v>
      </x:c>
    </x:row>
    <x:row r="143" ht="28" customHeight="1">
      <x:c r="A143" s="19" t="str">
        <x:v>中目黒</x:v>
      </x:c>
      <x:c r="B143" s="18" t="str">
        <x:v>中目黒</x:v>
      </x:c>
      <x:c r="C143" s="18" t="str">
        <x:v>東京地下鉄</x:v>
      </x:c>
      <x:c r="D143" s="18" t="str">
        <x:v>metro</x:v>
      </x:c>
      <x:c r="E143" s="19" t="str">
        <x:v>null</x:v>
      </x:c>
      <x:c r="F143" s="19" t="str">
        <x:v>2号線日比谷線</x:v>
      </x:c>
      <x:c r="G143" s="19" t="str">
        <x:v>候选已存在，组件待审核</x:v>
      </x:c>
      <x:c r="H143" s="19" t="str">
        <x:v>transport-node:a553a937-2ad8-5400-9c8a-ef34433dd96e</x:v>
      </x:c>
      <x:c r="I143" s="18" t="str">
        <x:v>transport-hub-review:9bfc0870-90f3-5490-a894-809b46505db4</x:v>
      </x:c>
      <x:c r="J143" s="18" t="str">
        <x:v>否</x:v>
      </x:c>
    </x:row>
    <x:row r="144" ht="28" customHeight="1">
      <x:c r="A144" s="19" t="str">
        <x:v>中目黒</x:v>
      </x:c>
      <x:c r="B144" s="18" t="str">
        <x:v>中目黒</x:v>
      </x:c>
      <x:c r="C144" s="18" t="str">
        <x:v>東急電鉄</x:v>
      </x:c>
      <x:c r="D144" s="18" t="str">
        <x:v>private_rail</x:v>
      </x:c>
      <x:c r="E144" s="19" t="str">
        <x:v>T0</x:v>
      </x:c>
      <x:c r="F144" s="19" t="str">
        <x:v>東横線</x:v>
      </x:c>
      <x:c r="G144" s="19" t="str">
        <x:v>候选已存在，组件待审核</x:v>
      </x:c>
      <x:c r="H144" s="19" t="str">
        <x:v>transport-node:8228763b-2f54-5f87-bfa8-4b8b051c3475</x:v>
      </x:c>
      <x:c r="I144" s="18" t="str">
        <x:v>transport-hub-review:9bfc0870-90f3-5490-a894-809b46505db4</x:v>
      </x:c>
      <x:c r="J144" s="18" t="str">
        <x:v>否</x:v>
      </x:c>
    </x:row>
    <x:row r="145" ht="28" customHeight="1">
      <x:c r="A145" s="19" t="str">
        <x:v>中野</x:v>
      </x:c>
      <x:c r="B145" s="18" t="str">
        <x:v>中野</x:v>
      </x:c>
      <x:c r="C145" s="18" t="str">
        <x:v>東京地下鉄</x:v>
      </x:c>
      <x:c r="D145" s="18" t="str">
        <x:v>metro</x:v>
      </x:c>
      <x:c r="E145" s="19" t="str">
        <x:v>null</x:v>
      </x:c>
      <x:c r="F145" s="19" t="str">
        <x:v>5号線東西線</x:v>
      </x:c>
      <x:c r="G145" s="19" t="str">
        <x:v>候选已存在，组件待审核</x:v>
      </x:c>
      <x:c r="H145" s="19" t="str">
        <x:v>transport-node:7abfd143-b046-5a71-a0b8-81e65cddda7b</x:v>
      </x:c>
      <x:c r="I145" s="18" t="str">
        <x:v>transport-hub-review:980d1d4d-cc6c-55da-b002-96c8f1dd922d</x:v>
      </x:c>
      <x:c r="J145" s="18" t="str">
        <x:v>否</x:v>
      </x:c>
    </x:row>
    <x:row r="146" ht="28" customHeight="1">
      <x:c r="A146" s="19" t="str">
        <x:v>中野</x:v>
      </x:c>
      <x:c r="B146" s="18" t="str">
        <x:v>中野</x:v>
      </x:c>
      <x:c r="C146" s="18" t="str">
        <x:v>東日本旅客鉄道</x:v>
      </x:c>
      <x:c r="D146" s="18" t="str">
        <x:v>conventional_rail</x:v>
      </x:c>
      <x:c r="E146" s="19" t="str">
        <x:v>T0</x:v>
      </x:c>
      <x:c r="F146" s="19" t="str">
        <x:v>中央線</x:v>
      </x:c>
      <x:c r="G146" s="19" t="str">
        <x:v>候选已存在，组件待审核</x:v>
      </x:c>
      <x:c r="H146" s="19" t="str">
        <x:v>transport-node:b0285fe5-f3dd-5cde-9703-34bc7696977d</x:v>
      </x:c>
      <x:c r="I146" s="18" t="str">
        <x:v>transport-hub-review:980d1d4d-cc6c-55da-b002-96c8f1dd922d</x:v>
      </x:c>
      <x:c r="J146" s="18" t="str">
        <x:v>否</x:v>
      </x:c>
    </x:row>
    <x:row r="147" ht="33" customHeight="1">
      <x:c r="A147" s="19" t="str">
        <x:v>天王寺・大阪阿部野橋</x:v>
      </x:c>
      <x:c r="B147" s="18" t="str">
        <x:v>天王寺</x:v>
      </x:c>
      <x:c r="C147" s="18" t="str">
        <x:v>大阪市高速電気軌道</x:v>
      </x:c>
      <x:c r="D147" s="18" t="str">
        <x:v>metro</x:v>
      </x:c>
      <x:c r="E147" s="19" t="str">
        <x:v>T0</x:v>
      </x:c>
      <x:c r="F147" s="19" t="str">
        <x:v>1号線(御堂筋線)
2号線(谷町線)</x:v>
      </x:c>
      <x:c r="G147" s="19" t="str">
        <x:v>候选已存在，组件待审核</x:v>
      </x:c>
      <x:c r="H147" s="19" t="str">
        <x:v>transport-node:7a9f1457-29c3-5ec1-b589-0462bf30082e</x:v>
      </x:c>
      <x:c r="I147" s="18" t="str">
        <x:v>transport-hub-review:4bf95fae-b2a8-53f8-bdab-cbc0040063f6</x:v>
      </x:c>
      <x:c r="J147" s="18" t="str">
        <x:v>否</x:v>
      </x:c>
    </x:row>
    <x:row r="148" ht="47" customHeight="1">
      <x:c r="A148" s="19" t="str">
        <x:v>天王寺・大阪阿部野橋</x:v>
      </x:c>
      <x:c r="B148" s="18" t="str">
        <x:v>天王寺</x:v>
      </x:c>
      <x:c r="C148" s="18" t="str">
        <x:v>西日本旅客鉄道</x:v>
      </x:c>
      <x:c r="D148" s="18" t="str">
        <x:v>conventional_rail</x:v>
      </x:c>
      <x:c r="E148" s="19" t="str">
        <x:v>T0</x:v>
      </x:c>
      <x:c r="F148" s="19" t="str">
        <x:v>大阪環状線
関西線
阪和線</x:v>
      </x:c>
      <x:c r="G148" s="19" t="str">
        <x:v>候选已存在，组件待审核</x:v>
      </x:c>
      <x:c r="H148" s="19" t="str">
        <x:v>transport-node:93a2ea5b-722d-5fd4-8985-1158da78962a</x:v>
      </x:c>
      <x:c r="I148" s="18" t="str">
        <x:v>transport-hub-review:4bf95fae-b2a8-53f8-bdab-cbc0040063f6</x:v>
      </x:c>
      <x:c r="J148" s="18" t="str">
        <x:v>否</x:v>
      </x:c>
    </x:row>
    <x:row r="149" ht="28" customHeight="1">
      <x:c r="A149" s="19" t="str">
        <x:v>天王寺・大阪阿部野橋</x:v>
      </x:c>
      <x:c r="B149" s="18" t="str">
        <x:v>大阪阿部野橋</x:v>
      </x:c>
      <x:c r="C149" s="18" t="str">
        <x:v>近畿日本鉄道</x:v>
      </x:c>
      <x:c r="D149" s="18" t="str">
        <x:v>private_rail</x:v>
      </x:c>
      <x:c r="E149" s="19" t="str">
        <x:v>T1</x:v>
      </x:c>
      <x:c r="F149" s="19" t="str">
        <x:v>南大阪線</x:v>
      </x:c>
      <x:c r="G149" s="19" t="str">
        <x:v>候选已存在，组件待审核</x:v>
      </x:c>
      <x:c r="H149" s="19" t="str">
        <x:v>transport-node:787d9e24-83b6-57ed-9786-3c348003b214</x:v>
      </x:c>
      <x:c r="I149" s="18" t="str">
        <x:v>transport-hub-review:4bf95fae-b2a8-53f8-bdab-cbc0040063f6</x:v>
      </x:c>
      <x:c r="J149" s="18" t="str">
        <x:v>否</x:v>
      </x:c>
    </x:row>
    <x:row r="150" ht="28" customHeight="1">
      <x:c r="A150" s="19" t="str">
        <x:v>天王寺・大阪阿部野橋</x:v>
      </x:c>
      <x:c r="B150" s="18" t="str">
        <x:v>天王寺駅前</x:v>
      </x:c>
      <x:c r="C150" s="18" t="str">
        <x:v>阪堺電気軌道</x:v>
      </x:c>
      <x:c r="D150" s="18" t="str">
        <x:v>tram</x:v>
      </x:c>
      <x:c r="E150" s="19" t="str">
        <x:v>T2</x:v>
      </x:c>
      <x:c r="F150" s="19" t="str">
        <x:v>上町線</x:v>
      </x:c>
      <x:c r="G150" s="19" t="str">
        <x:v>候选已存在，组件待审核</x:v>
      </x:c>
      <x:c r="H150" s="19" t="str">
        <x:v>transport-node:59d9c53d-c606-58eb-b842-6184f2d6b3c2</x:v>
      </x:c>
      <x:c r="I150" s="18" t="str">
        <x:v>transport-hub-review:4bf95fae-b2a8-53f8-bdab-cbc0040063f6</x:v>
      </x:c>
      <x:c r="J150" s="18" t="str">
        <x:v>否</x:v>
      </x:c>
    </x:row>
    <x:row r="151" ht="28" customHeight="1">
      <x:c r="A151" s="19" t="str">
        <x:v>田町・三田</x:v>
      </x:c>
      <x:c r="B151" s="18" t="str">
        <x:v>田町</x:v>
      </x:c>
      <x:c r="C151" s="18" t="str">
        <x:v>東日本旅客鉄道</x:v>
      </x:c>
      <x:c r="D151" s="18" t="str">
        <x:v>conventional_rail</x:v>
      </x:c>
      <x:c r="E151" s="19" t="str">
        <x:v>T0</x:v>
      </x:c>
      <x:c r="F151" s="19" t="str">
        <x:v>東海道線</x:v>
      </x:c>
      <x:c r="G151" s="19" t="str">
        <x:v>候选已存在，组件待审核</x:v>
      </x:c>
      <x:c r="H151" s="19" t="str">
        <x:v>transport-node:d6b24cd1-26b7-5ddb-8d9d-8bfd30c28ae2</x:v>
      </x:c>
      <x:c r="I151" s="18" t="str">
        <x:v>transport-hub-review:adffa6bc-9aa0-55f7-8dcb-c88ca553d44b</x:v>
      </x:c>
      <x:c r="J151" s="18" t="str">
        <x:v>否</x:v>
      </x:c>
    </x:row>
    <x:row r="152" ht="33" customHeight="1">
      <x:c r="A152" s="19" t="str">
        <x:v>田町・三田</x:v>
      </x:c>
      <x:c r="B152" s="18" t="str">
        <x:v>三田</x:v>
      </x:c>
      <x:c r="C152" s="18" t="str">
        <x:v>東京都</x:v>
      </x:c>
      <x:c r="D152" s="18" t="str">
        <x:v>metro</x:v>
      </x:c>
      <x:c r="E152" s="19" t="str">
        <x:v>T1</x:v>
      </x:c>
      <x:c r="F152" s="19" t="str">
        <x:v>1号線浅草線
6号線三田線</x:v>
      </x:c>
      <x:c r="G152" s="19" t="str">
        <x:v>候选已存在，组件待审核</x:v>
      </x:c>
      <x:c r="H152" s="19" t="str">
        <x:v>transport-node:01119a57-6ae4-5453-9fc7-b76035c8b2da</x:v>
      </x:c>
      <x:c r="I152" s="18" t="str">
        <x:v>transport-hub-review:adffa6bc-9aa0-55f7-8dcb-c88ca553d44b</x:v>
      </x:c>
      <x:c r="J152" s="18" t="str">
        <x:v>否</x:v>
      </x:c>
    </x:row>
    <x:row r="153" ht="61" customHeight="1">
      <x:c r="A153" s="19" t="str">
        <x:v>東京</x:v>
      </x:c>
      <x:c r="B153" s="18" t="str">
        <x:v>東京</x:v>
      </x:c>
      <x:c r="C153" s="18" t="str">
        <x:v>東日本旅客鉄道</x:v>
      </x:c>
      <x:c r="D153" s="18" t="str">
        <x:v>conventional_rail</x:v>
      </x:c>
      <x:c r="E153" s="19" t="str">
        <x:v>T0</x:v>
      </x:c>
      <x:c r="F153" s="19" t="str">
        <x:v>京葉線
東北線
東海道線
総武線</x:v>
      </x:c>
      <x:c r="G153" s="19" t="str">
        <x:v>候选已存在，组件待审核</x:v>
      </x:c>
      <x:c r="H153" s="19" t="str">
        <x:v>transport-node:f5e5010a-739c-5c0c-bfd6-3449c94b23db</x:v>
      </x:c>
      <x:c r="I153" s="18" t="str">
        <x:v>transport-hub-review:5e7cb893-0fa7-5530-b088-22b1d59d8395</x:v>
      </x:c>
      <x:c r="J153" s="18" t="str">
        <x:v>否</x:v>
      </x:c>
    </x:row>
    <x:row r="154" ht="28" customHeight="1">
      <x:c r="A154" s="19" t="str">
        <x:v>東京</x:v>
      </x:c>
      <x:c r="B154" s="18" t="str">
        <x:v>東京</x:v>
      </x:c>
      <x:c r="C154" s="18" t="str">
        <x:v>東日本旅客鉄道</x:v>
      </x:c>
      <x:c r="D154" s="18" t="str">
        <x:v>shinkansen</x:v>
      </x:c>
      <x:c r="E154" s="19" t="str">
        <x:v>null</x:v>
      </x:c>
      <x:c r="F154" s="19" t="str">
        <x:v>東北新幹線</x:v>
      </x:c>
      <x:c r="G154" s="19" t="str">
        <x:v>候选已存在，组件待审核</x:v>
      </x:c>
      <x:c r="H154" s="19" t="str">
        <x:v>transport-node:ba06e213-c876-5300-ab62-9937212a5045</x:v>
      </x:c>
      <x:c r="I154" s="18" t="str">
        <x:v>transport-hub-review:5e7cb893-0fa7-5530-b088-22b1d59d8395</x:v>
      </x:c>
      <x:c r="J154" s="18" t="str">
        <x:v>否</x:v>
      </x:c>
    </x:row>
    <x:row r="155" ht="28" customHeight="1">
      <x:c r="A155" s="19" t="str">
        <x:v>東京</x:v>
      </x:c>
      <x:c r="B155" s="18" t="str">
        <x:v>東京</x:v>
      </x:c>
      <x:c r="C155" s="18" t="str">
        <x:v>東海旅客鉄道</x:v>
      </x:c>
      <x:c r="D155" s="18" t="str">
        <x:v>shinkansen</x:v>
      </x:c>
      <x:c r="E155" s="19" t="str">
        <x:v>T1</x:v>
      </x:c>
      <x:c r="F155" s="19" t="str">
        <x:v>東海道新幹線</x:v>
      </x:c>
      <x:c r="G155" s="19" t="str">
        <x:v>候选已存在，组件待审核</x:v>
      </x:c>
      <x:c r="H155" s="19" t="str">
        <x:v>transport-node:dc3c27dd-aea2-5ad4-ad55-10698d06756d</x:v>
      </x:c>
      <x:c r="I155" s="18" t="str">
        <x:v>transport-hub-review:5e7cb893-0fa7-5530-b088-22b1d59d8395</x:v>
      </x:c>
      <x:c r="J155" s="18" t="str">
        <x:v>否</x:v>
      </x:c>
    </x:row>
    <x:row r="156" ht="28" customHeight="1">
      <x:c r="A156" s="19" t="str">
        <x:v>東京</x:v>
      </x:c>
      <x:c r="B156" s="18" t="str">
        <x:v>東京</x:v>
      </x:c>
      <x:c r="C156" s="18" t="str">
        <x:v>東京地下鉄</x:v>
      </x:c>
      <x:c r="D156" s="18" t="str">
        <x:v>metro</x:v>
      </x:c>
      <x:c r="E156" s="19" t="str">
        <x:v>T1</x:v>
      </x:c>
      <x:c r="F156" s="19" t="str">
        <x:v>4号線丸ノ内線</x:v>
      </x:c>
      <x:c r="G156" s="19" t="str">
        <x:v>候选已存在，组件待审核</x:v>
      </x:c>
      <x:c r="H156" s="19" t="str">
        <x:v>transport-node:d94eae8c-8103-5000-aafb-a4bc7d4b1fc6</x:v>
      </x:c>
      <x:c r="I156" s="18" t="str">
        <x:v>transport-hub-review:5e7cb893-0fa7-5530-b088-22b1d59d8395</x:v>
      </x:c>
      <x:c r="J156" s="18" t="str">
        <x:v>否</x:v>
      </x:c>
    </x:row>
    <x:row r="157" ht="28" customHeight="1">
      <x:c r="A157" s="19" t="str">
        <x:v>藤沢</x:v>
      </x:c>
      <x:c r="B157" s="18" t="str">
        <x:v>藤沢</x:v>
      </x:c>
      <x:c r="C157" s="18" t="str">
        <x:v>小田急電鉄</x:v>
      </x:c>
      <x:c r="D157" s="18" t="str">
        <x:v>private_rail</x:v>
      </x:c>
      <x:c r="E157" s="19" t="str">
        <x:v>T1</x:v>
      </x:c>
      <x:c r="F157" s="19" t="str">
        <x:v>江ノ島線</x:v>
      </x:c>
      <x:c r="G157" s="19" t="str">
        <x:v>候选已存在，组件待审核</x:v>
      </x:c>
      <x:c r="H157" s="19" t="str">
        <x:v>transport-node:fc525669-c12e-59e4-85c2-a26effca0b0e</x:v>
      </x:c>
      <x:c r="I157" s="18" t="str">
        <x:v>transport-hub-review:f227d87b-5e37-51a8-acc6-4141970d48c3</x:v>
      </x:c>
      <x:c r="J157" s="18" t="str">
        <x:v>否</x:v>
      </x:c>
    </x:row>
    <x:row r="158" ht="28" customHeight="1">
      <x:c r="A158" s="19" t="str">
        <x:v>藤沢</x:v>
      </x:c>
      <x:c r="B158" s="18" t="str">
        <x:v>藤沢</x:v>
      </x:c>
      <x:c r="C158" s="18" t="str">
        <x:v>東日本旅客鉄道</x:v>
      </x:c>
      <x:c r="D158" s="18" t="str">
        <x:v>conventional_rail</x:v>
      </x:c>
      <x:c r="E158" s="19" t="str">
        <x:v>T0</x:v>
      </x:c>
      <x:c r="F158" s="19" t="str">
        <x:v>東海道線</x:v>
      </x:c>
      <x:c r="G158" s="19" t="str">
        <x:v>候选已存在，组件待审核</x:v>
      </x:c>
      <x:c r="H158" s="19" t="str">
        <x:v>transport-node:ad2ac2e6-a3e2-50a9-bff1-c08c7f28b28e</x:v>
      </x:c>
      <x:c r="I158" s="18" t="str">
        <x:v>transport-hub-review:f227d87b-5e37-51a8-acc6-4141970d48c3</x:v>
      </x:c>
      <x:c r="J158" s="18" t="str">
        <x:v>否</x:v>
      </x:c>
    </x:row>
    <x:row r="159" ht="28" customHeight="1">
      <x:c r="A159" s="19" t="str">
        <x:v>藤沢</x:v>
      </x:c>
      <x:c r="B159" s="18" t="str">
        <x:v>藤沢</x:v>
      </x:c>
      <x:c r="C159" s="18" t="str">
        <x:v>江ノ島電鉄</x:v>
      </x:c>
      <x:c r="D159" s="18" t="str">
        <x:v>private_rail</x:v>
      </x:c>
      <x:c r="E159" s="19" t="str">
        <x:v>T2</x:v>
      </x:c>
      <x:c r="F159" s="19" t="str">
        <x:v>江ノ島電鉄線</x:v>
      </x:c>
      <x:c r="G159" s="19" t="str">
        <x:v>候选已存在，组件待审核</x:v>
      </x:c>
      <x:c r="H159" s="19" t="str">
        <x:v>transport-node:3cef631b-95f5-5488-83c7-baabe810fa02</x:v>
      </x:c>
      <x:c r="I159" s="18" t="str">
        <x:v>transport-hub-review:f227d87b-5e37-51a8-acc6-4141970d48c3</x:v>
      </x:c>
      <x:c r="J159" s="18" t="str">
        <x:v>否</x:v>
      </x:c>
    </x:row>
    <x:row r="160" ht="28" customHeight="1">
      <x:c r="A160" s="19" t="str">
        <x:v>博多</x:v>
      </x:c>
      <x:c r="B160" s="18" t="str">
        <x:v>博多</x:v>
      </x:c>
      <x:c r="C160" s="18" t="str">
        <x:v>西日本旅客鉄道</x:v>
      </x:c>
      <x:c r="D160" s="18" t="str">
        <x:v>shinkansen</x:v>
      </x:c>
      <x:c r="E160" s="19" t="str">
        <x:v>T2</x:v>
      </x:c>
      <x:c r="F160" s="19" t="str">
        <x:v>山陽新幹線</x:v>
      </x:c>
      <x:c r="G160" s="19" t="str">
        <x:v>候选已存在，组件待审核</x:v>
      </x:c>
      <x:c r="H160" s="19" t="str">
        <x:v>transport-node:558b2a34-96db-5e04-88e1-a9b0da92999b</x:v>
      </x:c>
      <x:c r="I160" s="18" t="str">
        <x:v>transport-hub-review:157f1421-d682-59e8-bf05-ec60f22a9004</x:v>
      </x:c>
      <x:c r="J160" s="18" t="str">
        <x:v>否</x:v>
      </x:c>
    </x:row>
    <x:row r="161" ht="28" customHeight="1">
      <x:c r="A161" s="19" t="str">
        <x:v>博多</x:v>
      </x:c>
      <x:c r="B161" s="18" t="str">
        <x:v>博多</x:v>
      </x:c>
      <x:c r="C161" s="18" t="str">
        <x:v>九州旅客鉄道</x:v>
      </x:c>
      <x:c r="D161" s="18" t="str">
        <x:v>shinkansen</x:v>
      </x:c>
      <x:c r="E161" s="19" t="str">
        <x:v>null</x:v>
      </x:c>
      <x:c r="F161" s="19" t="str">
        <x:v>九州新幹線</x:v>
      </x:c>
      <x:c r="G161" s="19" t="str">
        <x:v>候选已存在，组件待审核</x:v>
      </x:c>
      <x:c r="H161" s="19" t="str">
        <x:v>transport-node:2ce9eca0-e509-5b61-a735-f22927d78e53</x:v>
      </x:c>
      <x:c r="I161" s="18" t="str">
        <x:v>transport-hub-review:157f1421-d682-59e8-bf05-ec60f22a9004</x:v>
      </x:c>
      <x:c r="J161" s="18" t="str">
        <x:v>否</x:v>
      </x:c>
    </x:row>
    <x:row r="162" ht="28" customHeight="1">
      <x:c r="A162" s="19" t="str">
        <x:v>博多</x:v>
      </x:c>
      <x:c r="B162" s="18" t="str">
        <x:v>博多</x:v>
      </x:c>
      <x:c r="C162" s="18" t="str">
        <x:v>九州旅客鉄道</x:v>
      </x:c>
      <x:c r="D162" s="18" t="str">
        <x:v>conventional_rail</x:v>
      </x:c>
      <x:c r="E162" s="19" t="str">
        <x:v>T0</x:v>
      </x:c>
      <x:c r="F162" s="19" t="str">
        <x:v>鹿児島線</x:v>
      </x:c>
      <x:c r="G162" s="19" t="str">
        <x:v>候选已存在，组件待审核</x:v>
      </x:c>
      <x:c r="H162" s="19" t="str">
        <x:v>transport-node:756e4392-b22a-51ad-9c15-b20cbb073845</x:v>
      </x:c>
      <x:c r="I162" s="18" t="str">
        <x:v>transport-hub-review:157f1421-d682-59e8-bf05-ec60f22a9004</x:v>
      </x:c>
      <x:c r="J162" s="18" t="str">
        <x:v>否</x:v>
      </x:c>
    </x:row>
    <x:row r="163" ht="33" customHeight="1">
      <x:c r="A163" s="19" t="str">
        <x:v>博多</x:v>
      </x:c>
      <x:c r="B163" s="18" t="str">
        <x:v>博多</x:v>
      </x:c>
      <x:c r="C163" s="18" t="str">
        <x:v>福岡市</x:v>
      </x:c>
      <x:c r="D163" s="18" t="str">
        <x:v>metro</x:v>
      </x:c>
      <x:c r="E163" s="19" t="str">
        <x:v>T0</x:v>
      </x:c>
      <x:c r="F163" s="19" t="str">
        <x:v>1号線(空港線)
3号線(七隈線)</x:v>
      </x:c>
      <x:c r="G163" s="19" t="str">
        <x:v>候选已存在，组件待审核</x:v>
      </x:c>
      <x:c r="H163" s="19" t="str">
        <x:v>transport-node:4b42e5c0-1a10-572d-9ead-92f296808f7c</x:v>
      </x:c>
      <x:c r="I163" s="18" t="str">
        <x:v>transport-hub-review:157f1421-d682-59e8-bf05-ec60f22a9004</x:v>
      </x:c>
      <x:c r="J163" s="18" t="str">
        <x:v>否</x:v>
      </x:c>
    </x:row>
    <x:row r="164" ht="28" customHeight="1">
      <x:c r="A164" s="19" t="str">
        <x:v>柏</x:v>
      </x:c>
      <x:c r="B164" s="18" t="str">
        <x:v>柏</x:v>
      </x:c>
      <x:c r="C164" s="18" t="str">
        <x:v>東日本旅客鉄道</x:v>
      </x:c>
      <x:c r="D164" s="18" t="str">
        <x:v>conventional_rail</x:v>
      </x:c>
      <x:c r="E164" s="19" t="str">
        <x:v>T0</x:v>
      </x:c>
      <x:c r="F164" s="19" t="str">
        <x:v>常磐線</x:v>
      </x:c>
      <x:c r="G164" s="19" t="str">
        <x:v>候选已存在，组件待审核</x:v>
      </x:c>
      <x:c r="H164" s="19" t="str">
        <x:v>transport-node:0f93a4f9-bea6-5a64-85c8-71bc76e4e2d5</x:v>
      </x:c>
      <x:c r="I164" s="18" t="str">
        <x:v>transport-hub-review:701e83ee-f782-5d90-b19c-d6fa23f00fb7</x:v>
      </x:c>
      <x:c r="J164" s="18" t="str">
        <x:v>否</x:v>
      </x:c>
    </x:row>
    <x:row r="165" ht="28" customHeight="1">
      <x:c r="A165" s="19" t="str">
        <x:v>柏</x:v>
      </x:c>
      <x:c r="B165" s="18" t="str">
        <x:v>柏</x:v>
      </x:c>
      <x:c r="C165" s="18" t="str">
        <x:v>東武鉄道</x:v>
      </x:c>
      <x:c r="D165" s="18" t="str">
        <x:v>private_rail</x:v>
      </x:c>
      <x:c r="E165" s="19" t="str">
        <x:v>T1</x:v>
      </x:c>
      <x:c r="F165" s="19" t="str">
        <x:v>野田線</x:v>
      </x:c>
      <x:c r="G165" s="19" t="str">
        <x:v>候选已存在，组件待审核</x:v>
      </x:c>
      <x:c r="H165" s="19" t="str">
        <x:v>transport-node:f7013ca6-dcad-5cdd-8d22-225ac8d4581e</x:v>
      </x:c>
      <x:c r="I165" s="18" t="str">
        <x:v>transport-hub-review:701e83ee-f782-5d90-b19c-d6fa23f00fb7</x:v>
      </x:c>
      <x:c r="J165" s="18" t="str">
        <x:v>否</x:v>
      </x:c>
    </x:row>
    <x:row r="166" ht="33" customHeight="1">
      <x:c r="A166" s="19" t="str">
        <x:v>品川</x:v>
      </x:c>
      <x:c r="B166" s="18" t="str">
        <x:v>品川</x:v>
      </x:c>
      <x:c r="C166" s="18" t="str">
        <x:v>東日本旅客鉄道</x:v>
      </x:c>
      <x:c r="D166" s="18" t="str">
        <x:v>conventional_rail</x:v>
      </x:c>
      <x:c r="E166" s="19" t="str">
        <x:v>T0</x:v>
      </x:c>
      <x:c r="F166" s="19" t="str">
        <x:v>山手線
東海道線</x:v>
      </x:c>
      <x:c r="G166" s="19" t="str">
        <x:v>候选已存在，组件待审核</x:v>
      </x:c>
      <x:c r="H166" s="19" t="str">
        <x:v>transport-node:95fe3463-50f3-543c-975f-9b81c5ef9522</x:v>
      </x:c>
      <x:c r="I166" s="18" t="str">
        <x:v>transport-hub-review:43a08ee6-0ea0-5b94-8a28-c9e12b77f245</x:v>
      </x:c>
      <x:c r="J166" s="18" t="str">
        <x:v>否</x:v>
      </x:c>
    </x:row>
    <x:row r="167" ht="28" customHeight="1">
      <x:c r="A167" s="19" t="str">
        <x:v>品川</x:v>
      </x:c>
      <x:c r="B167" s="18" t="str">
        <x:v>品川</x:v>
      </x:c>
      <x:c r="C167" s="18" t="str">
        <x:v>東海旅客鉄道</x:v>
      </x:c>
      <x:c r="D167" s="18" t="str">
        <x:v>shinkansen</x:v>
      </x:c>
      <x:c r="E167" s="19" t="str">
        <x:v>T1</x:v>
      </x:c>
      <x:c r="F167" s="19" t="str">
        <x:v>東海道新幹線</x:v>
      </x:c>
      <x:c r="G167" s="19" t="str">
        <x:v>候选已存在，组件待审核</x:v>
      </x:c>
      <x:c r="H167" s="19" t="str">
        <x:v>transport-node:4389b278-793b-5b40-81c9-642cb58c1d93</x:v>
      </x:c>
      <x:c r="I167" s="18" t="str">
        <x:v>transport-hub-review:43a08ee6-0ea0-5b94-8a28-c9e12b77f245</x:v>
      </x:c>
      <x:c r="J167" s="18" t="str">
        <x:v>否</x:v>
      </x:c>
    </x:row>
    <x:row r="168" ht="28" customHeight="1">
      <x:c r="A168" s="19" t="str">
        <x:v>品川</x:v>
      </x:c>
      <x:c r="B168" s="18" t="str">
        <x:v>品川</x:v>
      </x:c>
      <x:c r="C168" s="18" t="str">
        <x:v>京浜急行電鉄</x:v>
      </x:c>
      <x:c r="D168" s="18" t="str">
        <x:v>private_rail</x:v>
      </x:c>
      <x:c r="E168" s="19" t="str">
        <x:v>T0</x:v>
      </x:c>
      <x:c r="F168" s="19" t="str">
        <x:v>本線</x:v>
      </x:c>
      <x:c r="G168" s="19" t="str">
        <x:v>候选已存在，组件待审核</x:v>
      </x:c>
      <x:c r="H168" s="19" t="str">
        <x:v>transport-node:d82e7388-8510-589b-bdfe-dadbcb8e2e7f</x:v>
      </x:c>
      <x:c r="I168" s="18" t="str">
        <x:v>transport-hub-review:43a08ee6-0ea0-5b94-8a28-c9e12b77f245</x:v>
      </x:c>
      <x:c r="J168" s="18" t="str">
        <x:v>否</x:v>
      </x:c>
    </x:row>
    <x:row r="169" ht="28" customHeight="1">
      <x:c r="A169" s="19" t="str">
        <x:v>豊洲</x:v>
      </x:c>
      <x:c r="B169" s="18" t="str">
        <x:v>豊洲</x:v>
      </x:c>
      <x:c r="C169" s="18" t="str">
        <x:v>東京地下鉄</x:v>
      </x:c>
      <x:c r="D169" s="18" t="str">
        <x:v>metro</x:v>
      </x:c>
      <x:c r="E169" s="19" t="str">
        <x:v>T0</x:v>
      </x:c>
      <x:c r="F169" s="19" t="str">
        <x:v>8号線有楽町線</x:v>
      </x:c>
      <x:c r="G169" s="19" t="str">
        <x:v>候选已存在，组件待审核</x:v>
      </x:c>
      <x:c r="H169" s="19" t="str">
        <x:v>transport-node:c07a4010-30d8-5046-b414-f75a3c1b262c</x:v>
      </x:c>
      <x:c r="I169" s="18" t="str">
        <x:v>transport-hub-review:e203cfa4-81e7-5e70-8e09-ecd382a47411</x:v>
      </x:c>
      <x:c r="J169" s="18" t="str">
        <x:v>否</x:v>
      </x:c>
    </x:row>
    <x:row r="170" ht="28" customHeight="1">
      <x:c r="A170" s="19" t="str">
        <x:v>豊洲</x:v>
      </x:c>
      <x:c r="B170" s="18" t="str">
        <x:v>豊洲</x:v>
      </x:c>
      <x:c r="C170" s="18" t="str">
        <x:v>ゆりかもめ</x:v>
      </x:c>
      <x:c r="D170" s="18" t="str">
        <x:v>fixed_guideway</x:v>
      </x:c>
      <x:c r="E170" s="19" t="str">
        <x:v>T2</x:v>
      </x:c>
      <x:c r="F170" s="19" t="str">
        <x:v>東京臨海新交通臨海線</x:v>
      </x:c>
      <x:c r="G170" s="19" t="str">
        <x:v>候选已存在，组件待审核</x:v>
      </x:c>
      <x:c r="H170" s="19" t="str">
        <x:v>transport-node:0dc01765-3ee8-5796-9228-4991bbdd8cf3</x:v>
      </x:c>
      <x:c r="I170" s="18" t="str">
        <x:v>transport-hub-review:e203cfa4-81e7-5e70-8e09-ecd382a47411</x:v>
      </x:c>
      <x:c r="J170" s="18" t="str">
        <x:v>否</x:v>
      </x:c>
    </x:row>
    <x:row r="171" ht="33" customHeight="1">
      <x:c r="A171" s="19" t="str">
        <x:v>北千住</x:v>
      </x:c>
      <x:c r="B171" s="18" t="str">
        <x:v>北千住</x:v>
      </x:c>
      <x:c r="C171" s="18" t="str">
        <x:v>東京地下鉄</x:v>
      </x:c>
      <x:c r="D171" s="18" t="str">
        <x:v>metro</x:v>
      </x:c>
      <x:c r="E171" s="19" t="str">
        <x:v>T0</x:v>
      </x:c>
      <x:c r="F171" s="19" t="str">
        <x:v>2号線日比谷線
9号線千代田線</x:v>
      </x:c>
      <x:c r="G171" s="19" t="str">
        <x:v>候选已存在，组件待审核</x:v>
      </x:c>
      <x:c r="H171" s="19" t="str">
        <x:v>transport-node:1c7ef2fa-399b-5a8f-9f4b-367c48b4554f</x:v>
      </x:c>
      <x:c r="I171" s="18" t="str">
        <x:v>transport-hub-review:b18268e1-fe40-50f5-acc2-b6387feb7706</x:v>
      </x:c>
      <x:c r="J171" s="18" t="str">
        <x:v>否</x:v>
      </x:c>
    </x:row>
    <x:row r="172" ht="28" customHeight="1">
      <x:c r="A172" s="19" t="str">
        <x:v>北千住</x:v>
      </x:c>
      <x:c r="B172" s="18" t="str">
        <x:v>北千住</x:v>
      </x:c>
      <x:c r="C172" s="18" t="str">
        <x:v>東日本旅客鉄道</x:v>
      </x:c>
      <x:c r="D172" s="18" t="str">
        <x:v>conventional_rail</x:v>
      </x:c>
      <x:c r="E172" s="19" t="str">
        <x:v>T0</x:v>
      </x:c>
      <x:c r="F172" s="19" t="str">
        <x:v>常磐線</x:v>
      </x:c>
      <x:c r="G172" s="19" t="str">
        <x:v>候选已存在，组件待审核</x:v>
      </x:c>
      <x:c r="H172" s="19" t="str">
        <x:v>transport-node:02e3a8fa-065e-5604-b60a-572ff7a74018</x:v>
      </x:c>
      <x:c r="I172" s="18" t="str">
        <x:v>transport-hub-review:b18268e1-fe40-50f5-acc2-b6387feb7706</x:v>
      </x:c>
      <x:c r="J172" s="18" t="str">
        <x:v>否</x:v>
      </x:c>
    </x:row>
    <x:row r="173" ht="28" customHeight="1">
      <x:c r="A173" s="19" t="str">
        <x:v>北千住</x:v>
      </x:c>
      <x:c r="B173" s="18" t="str">
        <x:v>北千住</x:v>
      </x:c>
      <x:c r="C173" s="18" t="str">
        <x:v>東武鉄道</x:v>
      </x:c>
      <x:c r="D173" s="18" t="str">
        <x:v>private_rail</x:v>
      </x:c>
      <x:c r="E173" s="19" t="str">
        <x:v>T0</x:v>
      </x:c>
      <x:c r="F173" s="19" t="str">
        <x:v>伊勢崎線</x:v>
      </x:c>
      <x:c r="G173" s="19" t="str">
        <x:v>候选已存在，组件待审核</x:v>
      </x:c>
      <x:c r="H173" s="19" t="str">
        <x:v>transport-node:390570ba-7dc1-5585-ad2e-98d2d52203c8</x:v>
      </x:c>
      <x:c r="I173" s="18" t="str">
        <x:v>transport-hub-review:b18268e1-fe40-50f5-acc2-b6387feb7706</x:v>
      </x:c>
      <x:c r="J173" s="18" t="str">
        <x:v>否</x:v>
      </x:c>
    </x:row>
    <x:row r="174" ht="28" customHeight="1">
      <x:c r="A174" s="19" t="str">
        <x:v>北千住</x:v>
      </x:c>
      <x:c r="B174" s="18" t="str">
        <x:v>北千住</x:v>
      </x:c>
      <x:c r="C174" s="18" t="str">
        <x:v>首都圏新都市鉄道</x:v>
      </x:c>
      <x:c r="D174" s="18" t="str">
        <x:v>private_rail</x:v>
      </x:c>
      <x:c r="E174" s="19" t="str">
        <x:v>T1</x:v>
      </x:c>
      <x:c r="F174" s="19" t="str">
        <x:v>常磐新線</x:v>
      </x:c>
      <x:c r="G174" s="19" t="str">
        <x:v>候选已存在，组件待审核</x:v>
      </x:c>
      <x:c r="H174" s="19" t="str">
        <x:v>transport-node:6c706616-6abf-5686-ba59-a3cd186dba62</x:v>
      </x:c>
      <x:c r="I174" s="18" t="str">
        <x:v>transport-hub-review:b18268e1-fe40-50f5-acc2-b6387feb7706</x:v>
      </x:c>
      <x:c r="J174" s="18" t="str">
        <x:v>否</x:v>
      </x:c>
    </x:row>
    <x:row r="175" ht="47" customHeight="1">
      <x:c r="A175" s="19" t="str">
        <x:v>本町</x:v>
      </x:c>
      <x:c r="B175" s="18" t="str">
        <x:v>本町</x:v>
      </x:c>
      <x:c r="C175" s="18" t="str">
        <x:v>大阪市高速電気軌道</x:v>
      </x:c>
      <x:c r="D175" s="18" t="str">
        <x:v>metro</x:v>
      </x:c>
      <x:c r="E175" s="19" t="str">
        <x:v>T0</x:v>
      </x:c>
      <x:c r="F175" s="19" t="str">
        <x:v>1号線(御堂筋線)
3号線(四つ橋線)
4号線(中央線)</x:v>
      </x:c>
      <x:c r="G175" s="19" t="str">
        <x:v>候选已存在，组件待审核</x:v>
      </x:c>
      <x:c r="H175" s="19" t="str">
        <x:v>transport-node:b8214529-d8ce-5231-bfbb-cf4f8a271d29</x:v>
      </x:c>
      <x:c r="I175" s="18" t="str">
        <x:v>transport-hub-review:bfde6fb3-d929-5b3a-a54f-423169e52678</x:v>
      </x:c>
      <x:c r="J175" s="18" t="str">
        <x:v>否</x:v>
      </x:c>
    </x:row>
    <x:row r="176" ht="47" customHeight="1">
      <x:c r="A176" s="19" t="str">
        <x:v>名古屋</x:v>
      </x:c>
      <x:c r="B176" s="18" t="str">
        <x:v>名古屋</x:v>
      </x:c>
      <x:c r="C176" s="18" t="str">
        <x:v>東海旅客鉄道</x:v>
      </x:c>
      <x:c r="D176" s="18" t="str">
        <x:v>conventional_rail</x:v>
      </x:c>
      <x:c r="E176" s="19" t="str">
        <x:v>T0</x:v>
      </x:c>
      <x:c r="F176" s="19" t="str">
        <x:v>中央線
東海道線
関西線</x:v>
      </x:c>
      <x:c r="G176" s="19" t="str">
        <x:v>候选已存在，组件待审核</x:v>
      </x:c>
      <x:c r="H176" s="19" t="str">
        <x:v>transport-node:b1098fbf-9cee-52bd-a880-7052f6131fbb</x:v>
      </x:c>
      <x:c r="I176" s="18" t="str">
        <x:v>transport-hub-review:f84cdc88-2100-55dc-a385-099023194b00</x:v>
      </x:c>
      <x:c r="J176" s="18" t="str">
        <x:v>否</x:v>
      </x:c>
    </x:row>
    <x:row r="177" ht="28" customHeight="1">
      <x:c r="A177" s="19" t="str">
        <x:v>名古屋</x:v>
      </x:c>
      <x:c r="B177" s="18" t="str">
        <x:v>名古屋</x:v>
      </x:c>
      <x:c r="C177" s="18" t="str">
        <x:v>東海旅客鉄道</x:v>
      </x:c>
      <x:c r="D177" s="18" t="str">
        <x:v>shinkansen</x:v>
      </x:c>
      <x:c r="E177" s="19" t="str">
        <x:v>null</x:v>
      </x:c>
      <x:c r="F177" s="19" t="str">
        <x:v>東海道新幹線</x:v>
      </x:c>
      <x:c r="G177" s="19" t="str">
        <x:v>候选已存在，组件待审核</x:v>
      </x:c>
      <x:c r="H177" s="19" t="str">
        <x:v>transport-node:278a1fa1-79e4-517a-affb-4ef101eef00b</x:v>
      </x:c>
      <x:c r="I177" s="18" t="str">
        <x:v>transport-hub-review:f84cdc88-2100-55dc-a385-099023194b00</x:v>
      </x:c>
      <x:c r="J177" s="18" t="str">
        <x:v>否</x:v>
      </x:c>
    </x:row>
    <x:row r="178" ht="33" customHeight="1">
      <x:c r="A178" s="19" t="str">
        <x:v>名古屋</x:v>
      </x:c>
      <x:c r="B178" s="18" t="str">
        <x:v>名古屋</x:v>
      </x:c>
      <x:c r="C178" s="18" t="str">
        <x:v>名古屋市</x:v>
      </x:c>
      <x:c r="D178" s="18" t="str">
        <x:v>metro</x:v>
      </x:c>
      <x:c r="E178" s="19" t="str">
        <x:v>T0</x:v>
      </x:c>
      <x:c r="F178" s="19" t="str">
        <x:v>1号線東山線
6号線桜通線</x:v>
      </x:c>
      <x:c r="G178" s="19" t="str">
        <x:v>候选已存在，组件待审核</x:v>
      </x:c>
      <x:c r="H178" s="19" t="str">
        <x:v>transport-node:af99a908-c905-58d1-a529-9028b4d0a10d</x:v>
      </x:c>
      <x:c r="I178" s="18" t="str">
        <x:v>transport-hub-review:f84cdc88-2100-55dc-a385-099023194b00</x:v>
      </x:c>
      <x:c r="J178" s="18" t="str">
        <x:v>否</x:v>
      </x:c>
    </x:row>
    <x:row r="179" ht="28" customHeight="1">
      <x:c r="A179" s="19" t="str">
        <x:v>名古屋</x:v>
      </x:c>
      <x:c r="B179" s="18" t="str">
        <x:v>名古屋</x:v>
      </x:c>
      <x:c r="C179" s="18" t="str">
        <x:v>名古屋臨海高速鉄道</x:v>
      </x:c>
      <x:c r="D179" s="18" t="str">
        <x:v>private_rail</x:v>
      </x:c>
      <x:c r="E179" s="19" t="str">
        <x:v>T2</x:v>
      </x:c>
      <x:c r="F179" s="19" t="str">
        <x:v>西名古屋港線</x:v>
      </x:c>
      <x:c r="G179" s="19" t="str">
        <x:v>候选已存在，组件待审核</x:v>
      </x:c>
      <x:c r="H179" s="19" t="str">
        <x:v>transport-node:174afd93-adf1-52eb-8fab-9139317a124a</x:v>
      </x:c>
      <x:c r="I179" s="18" t="str">
        <x:v>transport-hub-review:f84cdc88-2100-55dc-a385-099023194b00</x:v>
      </x:c>
      <x:c r="J179" s="18" t="str">
        <x:v>否</x:v>
      </x:c>
    </x:row>
    <x:row r="180" ht="28" customHeight="1">
      <x:c r="A180" s="19" t="str">
        <x:v>名古屋</x:v>
      </x:c>
      <x:c r="B180" s="18" t="str">
        <x:v>名鉄名古屋</x:v>
      </x:c>
      <x:c r="C180" s="18" t="str">
        <x:v>名古屋鉄道</x:v>
      </x:c>
      <x:c r="D180" s="18" t="str">
        <x:v>private_rail</x:v>
      </x:c>
      <x:c r="E180" s="19" t="str">
        <x:v>T0</x:v>
      </x:c>
      <x:c r="F180" s="19" t="str">
        <x:v>名古屋本線</x:v>
      </x:c>
      <x:c r="G180" s="19" t="str">
        <x:v>候选已存在，组件待审核</x:v>
      </x:c>
      <x:c r="H180" s="19" t="str">
        <x:v>transport-node:ba298600-c64a-54e2-a4d1-19d533279f8b</x:v>
      </x:c>
      <x:c r="I180" s="18" t="str">
        <x:v>transport-hub-review:f84cdc88-2100-55dc-a385-099023194b00</x:v>
      </x:c>
      <x:c r="J180" s="18" t="str">
        <x:v>否</x:v>
      </x:c>
    </x:row>
    <x:row r="181" ht="28" customHeight="1">
      <x:c r="A181" s="19" t="str">
        <x:v>名古屋</x:v>
      </x:c>
      <x:c r="B181" s="18" t="str">
        <x:v>近鉄名古屋</x:v>
      </x:c>
      <x:c r="C181" s="18" t="str">
        <x:v>近畿日本鉄道</x:v>
      </x:c>
      <x:c r="D181" s="18" t="str">
        <x:v>private_rail</x:v>
      </x:c>
      <x:c r="E181" s="19" t="str">
        <x:v>T1</x:v>
      </x:c>
      <x:c r="F181" s="19" t="str">
        <x:v>名古屋線</x:v>
      </x:c>
      <x:c r="G181" s="19" t="str">
        <x:v>候选已存在，组件待审核</x:v>
      </x:c>
      <x:c r="H181" s="19" t="str">
        <x:v>transport-node:8aad0ad4-6142-5fc7-8085-1248f3f6a77d</x:v>
      </x:c>
      <x:c r="I181" s="18" t="str">
        <x:v>transport-hub-review:f84cdc88-2100-55dc-a385-099023194b00</x:v>
      </x:c>
      <x:c r="J181" s="18" t="str">
        <x:v>否</x:v>
      </x:c>
    </x:row>
    <x:row r="182" ht="28" customHeight="1">
      <x:c r="A182" s="19" t="str">
        <x:v>目黒</x:v>
      </x:c>
      <x:c r="B182" s="18" t="str">
        <x:v>目黒</x:v>
      </x:c>
      <x:c r="C182" s="18" t="str">
        <x:v>東京地下鉄</x:v>
      </x:c>
      <x:c r="D182" s="18" t="str">
        <x:v>metro</x:v>
      </x:c>
      <x:c r="E182" s="19" t="str">
        <x:v>null</x:v>
      </x:c>
      <x:c r="F182" s="19" t="str">
        <x:v>7号線南北線</x:v>
      </x:c>
      <x:c r="G182" s="19" t="str">
        <x:v>候选已存在，组件待审核</x:v>
      </x:c>
      <x:c r="H182" s="19" t="str">
        <x:v>transport-node:b6873e8b-1578-5042-9584-11fd765ab5f1</x:v>
      </x:c>
      <x:c r="I182" s="18" t="str">
        <x:v>transport-hub-review:2e14e16f-4fe0-5c7d-829a-a6a82c8baf61</x:v>
      </x:c>
      <x:c r="J182" s="18" t="str">
        <x:v>否</x:v>
      </x:c>
    </x:row>
    <x:row r="183" ht="28" customHeight="1">
      <x:c r="A183" s="19" t="str">
        <x:v>目黒</x:v>
      </x:c>
      <x:c r="B183" s="18" t="str">
        <x:v>目黒</x:v>
      </x:c>
      <x:c r="C183" s="18" t="str">
        <x:v>東日本旅客鉄道</x:v>
      </x:c>
      <x:c r="D183" s="18" t="str">
        <x:v>conventional_rail</x:v>
      </x:c>
      <x:c r="E183" s="19" t="str">
        <x:v>T1</x:v>
      </x:c>
      <x:c r="F183" s="19" t="str">
        <x:v>山手線</x:v>
      </x:c>
      <x:c r="G183" s="19" t="str">
        <x:v>候选已存在，组件待审核</x:v>
      </x:c>
      <x:c r="H183" s="19" t="str">
        <x:v>transport-node:f22cd1ae-b3c5-5ab1-8e8d-262dbd84df01</x:v>
      </x:c>
      <x:c r="I183" s="18" t="str">
        <x:v>transport-hub-review:2e14e16f-4fe0-5c7d-829a-a6a82c8baf61</x:v>
      </x:c>
      <x:c r="J183" s="18" t="str">
        <x:v>否</x:v>
      </x:c>
    </x:row>
    <x:row r="184" ht="28" customHeight="1">
      <x:c r="A184" s="19" t="str">
        <x:v>目黒</x:v>
      </x:c>
      <x:c r="B184" s="18" t="str">
        <x:v>目黒</x:v>
      </x:c>
      <x:c r="C184" s="18" t="str">
        <x:v>東急電鉄</x:v>
      </x:c>
      <x:c r="D184" s="18" t="str">
        <x:v>private_rail</x:v>
      </x:c>
      <x:c r="E184" s="19" t="str">
        <x:v>T0</x:v>
      </x:c>
      <x:c r="F184" s="19" t="str">
        <x:v>目黒線</x:v>
      </x:c>
      <x:c r="G184" s="19" t="str">
        <x:v>候选已存在，组件待审核</x:v>
      </x:c>
      <x:c r="H184" s="19" t="str">
        <x:v>transport-node:50907f30-6e7c-58e1-924d-bce04a919bdc</x:v>
      </x:c>
      <x:c r="I184" s="18" t="str">
        <x:v>transport-hub-review:2e14e16f-4fe0-5c7d-829a-a6a82c8baf61</x:v>
      </x:c>
      <x:c r="J184" s="18" t="str">
        <x:v>否</x:v>
      </x:c>
    </x:row>
    <x:row r="185" ht="28" customHeight="1">
      <x:c r="A185" s="19" t="str">
        <x:v>目黒</x:v>
      </x:c>
      <x:c r="B185" s="18" t="str">
        <x:v>目黒</x:v>
      </x:c>
      <x:c r="C185" s="18" t="str">
        <x:v>東京都</x:v>
      </x:c>
      <x:c r="D185" s="18" t="str">
        <x:v>metro</x:v>
      </x:c>
      <x:c r="E185" s="19" t="str">
        <x:v>null</x:v>
      </x:c>
      <x:c r="F185" s="19" t="str">
        <x:v>6号線三田線</x:v>
      </x:c>
      <x:c r="G185" s="19" t="str">
        <x:v>候选已存在，组件待审核</x:v>
      </x:c>
      <x:c r="H185" s="19" t="str">
        <x:v>transport-node:7819b680-755c-5bfa-96a0-861c1c5e443a</x:v>
      </x:c>
      <x:c r="I185" s="18" t="str">
        <x:v>transport-hub-review:2e14e16f-4fe0-5c7d-829a-a6a82c8baf61</x:v>
      </x:c>
      <x:c r="J185" s="18" t="str">
        <x:v>否</x:v>
      </x:c>
    </x:row>
    <x:row r="186" ht="28" customHeight="1">
      <x:c r="A186" s="19" t="str">
        <x:v>有楽町・日比谷</x:v>
      </x:c>
      <x:c r="B186" s="18" t="str">
        <x:v>有楽町</x:v>
      </x:c>
      <x:c r="C186" s="18" t="str">
        <x:v>東京地下鉄</x:v>
      </x:c>
      <x:c r="D186" s="18" t="str">
        <x:v>metro</x:v>
      </x:c>
      <x:c r="E186" s="19" t="str">
        <x:v>T1</x:v>
      </x:c>
      <x:c r="F186" s="19" t="str">
        <x:v>8号線有楽町線</x:v>
      </x:c>
      <x:c r="G186" s="19" t="str">
        <x:v>候选已存在，组件待审核</x:v>
      </x:c>
      <x:c r="H186" s="19" t="str">
        <x:v>transport-node:9f12cb30-0853-5be4-8abf-4e9bc54991a4</x:v>
      </x:c>
      <x:c r="I186" s="18" t="str">
        <x:v>transport-hub-review:97878753-ca5b-5c59-84d4-842b8879679b</x:v>
      </x:c>
      <x:c r="J186" s="18" t="str">
        <x:v>否</x:v>
      </x:c>
    </x:row>
    <x:row r="187" ht="28" customHeight="1">
      <x:c r="A187" s="19" t="str">
        <x:v>有楽町・日比谷</x:v>
      </x:c>
      <x:c r="B187" s="18" t="str">
        <x:v>有楽町</x:v>
      </x:c>
      <x:c r="C187" s="18" t="str">
        <x:v>東日本旅客鉄道</x:v>
      </x:c>
      <x:c r="D187" s="18" t="str">
        <x:v>conventional_rail</x:v>
      </x:c>
      <x:c r="E187" s="19" t="str">
        <x:v>T0</x:v>
      </x:c>
      <x:c r="F187" s="19" t="str">
        <x:v>東海道線</x:v>
      </x:c>
      <x:c r="G187" s="19" t="str">
        <x:v>候选已存在，组件待审核</x:v>
      </x:c>
      <x:c r="H187" s="19" t="str">
        <x:v>transport-node:c3e6c869-0e40-5869-b6d8-76e59fbb4386</x:v>
      </x:c>
      <x:c r="I187" s="18" t="str">
        <x:v>transport-hub-review:97878753-ca5b-5c59-84d4-842b8879679b</x:v>
      </x:c>
      <x:c r="J187" s="18" t="str">
        <x:v>否</x:v>
      </x:c>
    </x:row>
    <x:row r="188" ht="33" customHeight="1">
      <x:c r="A188" s="19" t="str">
        <x:v>有楽町・日比谷</x:v>
      </x:c>
      <x:c r="B188" s="18" t="str">
        <x:v>日比谷</x:v>
      </x:c>
      <x:c r="C188" s="18" t="str">
        <x:v>東京地下鉄</x:v>
      </x:c>
      <x:c r="D188" s="18" t="str">
        <x:v>metro</x:v>
      </x:c>
      <x:c r="E188" s="19" t="str">
        <x:v>T1</x:v>
      </x:c>
      <x:c r="F188" s="19" t="str">
        <x:v>2号線日比谷線
9号線千代田線</x:v>
      </x:c>
      <x:c r="G188" s="19" t="str">
        <x:v>候选已存在，组件待审核</x:v>
      </x:c>
      <x:c r="H188" s="19" t="str">
        <x:v>transport-node:05ad20d4-2391-5506-ba24-fed4032ad8e3</x:v>
      </x:c>
      <x:c r="I188" s="18" t="str">
        <x:v>transport-hub-review:97878753-ca5b-5c59-84d4-842b8879679b</x:v>
      </x:c>
      <x:c r="J188" s="18" t="str">
        <x:v>否</x:v>
      </x:c>
    </x:row>
    <x:row r="189" ht="28" customHeight="1">
      <x:c r="A189" s="19" t="str">
        <x:v>有楽町・日比谷</x:v>
      </x:c>
      <x:c r="B189" s="18" t="str">
        <x:v>日比谷</x:v>
      </x:c>
      <x:c r="C189" s="18" t="str">
        <x:v>東京都</x:v>
      </x:c>
      <x:c r="D189" s="18" t="str">
        <x:v>metro</x:v>
      </x:c>
      <x:c r="E189" s="19" t="str">
        <x:v>T2</x:v>
      </x:c>
      <x:c r="F189" s="19" t="str">
        <x:v>6号線三田線</x:v>
      </x:c>
      <x:c r="G189" s="19" t="str">
        <x:v>候选已存在，组件待审核</x:v>
      </x:c>
      <x:c r="H189" s="19" t="str">
        <x:v>transport-node:e2c3e701-a95e-5dd1-aa15-04862d57958c</x:v>
      </x:c>
      <x:c r="I189" s="18" t="str">
        <x:v>transport-hub-review:97878753-ca5b-5c59-84d4-842b8879679b</x:v>
      </x:c>
      <x:c r="J189" s="18" t="str">
        <x:v>否</x:v>
      </x:c>
    </x:row>
    <x:row r="190" ht="28" customHeight="1">
      <x:c r="A190" s="19" t="str">
        <x:v>淀屋橋</x:v>
      </x:c>
      <x:c r="B190" s="18" t="str">
        <x:v>淀屋橋</x:v>
      </x:c>
      <x:c r="C190" s="18" t="str">
        <x:v>大阪市高速電気軌道</x:v>
      </x:c>
      <x:c r="D190" s="18" t="str">
        <x:v>metro</x:v>
      </x:c>
      <x:c r="E190" s="19" t="str">
        <x:v>T0</x:v>
      </x:c>
      <x:c r="F190" s="19" t="str">
        <x:v>1号線(御堂筋線)</x:v>
      </x:c>
      <x:c r="G190" s="19" t="str">
        <x:v>候选已存在，组件待审核</x:v>
      </x:c>
      <x:c r="H190" s="19" t="str">
        <x:v>transport-node:eb9763a9-be48-5cc1-8ded-09792114a357</x:v>
      </x:c>
      <x:c r="I190" s="18" t="str">
        <x:v>transport-hub-review:1fcc67fc-fe0f-592f-9b4a-f7930a2bd31e</x:v>
      </x:c>
      <x:c r="J190" s="18" t="str">
        <x:v>否</x:v>
      </x:c>
    </x:row>
    <x:row r="191" ht="28" customHeight="1">
      <x:c r="A191" s="19" t="str">
        <x:v>淀屋橋</x:v>
      </x:c>
      <x:c r="B191" s="18" t="str">
        <x:v>淀屋橋</x:v>
      </x:c>
      <x:c r="C191" s="18" t="str">
        <x:v>京阪電気鉄道</x:v>
      </x:c>
      <x:c r="D191" s="18" t="str">
        <x:v>private_rail</x:v>
      </x:c>
      <x:c r="E191" s="19" t="str">
        <x:v>T1</x:v>
      </x:c>
      <x:c r="F191" s="19" t="str">
        <x:v>京阪本線</x:v>
      </x:c>
      <x:c r="G191" s="19" t="str">
        <x:v>候选已存在，组件待审核</x:v>
      </x:c>
      <x:c r="H191" s="19" t="str">
        <x:v>transport-node:79f40988-6e90-5550-9af0-7e7faa0b7b07</x:v>
      </x:c>
      <x:c r="I191" s="18" t="str">
        <x:v>transport-hub-review:1fcc67fc-fe0f-592f-9b4a-f7930a2bd31e</x:v>
      </x:c>
      <x:c r="J191" s="18" t="str">
        <x:v>否</x:v>
      </x:c>
    </x:row>
    <x:row r="192" ht="28" customHeight="1">
      <x:c r="A192" s="19" t="str">
        <x:v>和光市</x:v>
      </x:c>
      <x:c r="B192" s="18" t="str">
        <x:v>和光市</x:v>
      </x:c>
      <x:c r="C192" s="18" t="str">
        <x:v>東京地下鉄</x:v>
      </x:c>
      <x:c r="D192" s="18" t="str">
        <x:v>metro</x:v>
      </x:c>
      <x:c r="E192" s="19" t="str">
        <x:v>null</x:v>
      </x:c>
      <x:c r="F192" s="19" t="str">
        <x:v>8号線有楽町線</x:v>
      </x:c>
      <x:c r="G192" s="19" t="str">
        <x:v>候选已存在，组件待审核</x:v>
      </x:c>
      <x:c r="H192" s="19" t="str">
        <x:v>transport-node:4cb85824-3dfa-52a9-8f4a-fe8d52d599aa</x:v>
      </x:c>
      <x:c r="I192" s="18" t="str">
        <x:v>transport-hub-review:99b9d212-ac51-51b8-8820-f16f7bcf83f2</x:v>
      </x:c>
      <x:c r="J192" s="18" t="str">
        <x:v>否</x:v>
      </x:c>
    </x:row>
    <x:row r="193" ht="28" customHeight="1">
      <x:c r="A193" s="19" t="str">
        <x:v>和光市</x:v>
      </x:c>
      <x:c r="B193" s="18" t="str">
        <x:v>和光市</x:v>
      </x:c>
      <x:c r="C193" s="18" t="str">
        <x:v>東武鉄道</x:v>
      </x:c>
      <x:c r="D193" s="18" t="str">
        <x:v>private_rail</x:v>
      </x:c>
      <x:c r="E193" s="19" t="str">
        <x:v>T0</x:v>
      </x:c>
      <x:c r="F193" s="19" t="str">
        <x:v>東上本線</x:v>
      </x:c>
      <x:c r="G193" s="19" t="str">
        <x:v>候选已存在，组件待审核</x:v>
      </x:c>
      <x:c r="H193" s="19" t="str">
        <x:v>transport-node:bd01bdac-4fe6-58a2-af6b-c31646022b15</x:v>
      </x:c>
      <x:c r="I193" s="18" t="str">
        <x:v>transport-hub-review:99b9d212-ac51-51b8-8820-f16f7bcf83f2</x:v>
      </x:c>
      <x:c r="J193" s="18" t="str">
        <x:v>否</x:v>
      </x:c>
    </x:row>
    <x:row r="194" ht="28" customHeight="1">
      <x:c r="A194" s="19" t="str">
        <x:v>あざみ野</x:v>
      </x:c>
      <x:c r="B194" s="18" t="str">
        <x:v>あざみ野</x:v>
      </x:c>
      <x:c r="C194" s="18" t="str">
        <x:v>東急電鉄</x:v>
      </x:c>
      <x:c r="D194" s="18" t="str">
        <x:v>private_rail</x:v>
      </x:c>
      <x:c r="E194" s="19" t="str">
        <x:v>T1</x:v>
      </x:c>
      <x:c r="F194" s="19" t="str">
        <x:v>田園都市線</x:v>
      </x:c>
      <x:c r="G194" s="19" t="str">
        <x:v>候选已存在，组件待审核</x:v>
      </x:c>
      <x:c r="H194" s="19" t="str">
        <x:v>transport-node:f894d672-85dd-5125-b9a7-c938bffdaff4</x:v>
      </x:c>
      <x:c r="I194" s="18" t="str">
        <x:v>transport-hub-review:11caf9f2-f8ab-512c-b72d-d074ed0fdd4f</x:v>
      </x:c>
      <x:c r="J194" s="18" t="str">
        <x:v>否</x:v>
      </x:c>
    </x:row>
    <x:row r="195" ht="28" customHeight="1">
      <x:c r="A195" s="19" t="str">
        <x:v>あざみ野</x:v>
      </x:c>
      <x:c r="B195" s="18" t="str">
        <x:v>あざみ野</x:v>
      </x:c>
      <x:c r="C195" s="18" t="str">
        <x:v>横浜市</x:v>
      </x:c>
      <x:c r="D195" s="18" t="str">
        <x:v>metro</x:v>
      </x:c>
      <x:c r="E195" s="19" t="str">
        <x:v>T2</x:v>
      </x:c>
      <x:c r="F195" s="19" t="str">
        <x:v>3号線</x:v>
      </x:c>
      <x:c r="G195" s="19" t="str">
        <x:v>候选已存在，组件待审核</x:v>
      </x:c>
      <x:c r="H195" s="19" t="str">
        <x:v>transport-node:57b2dabf-a59d-599b-89ce-426a00c1e259</x:v>
      </x:c>
      <x:c r="I195" s="18" t="str">
        <x:v>transport-hub-review:11caf9f2-f8ab-512c-b72d-d074ed0fdd4f</x:v>
      </x:c>
      <x:c r="J195" s="18" t="str">
        <x:v>否</x:v>
      </x:c>
    </x:row>
    <x:row r="196" ht="28" customHeight="1">
      <x:c r="A196" s="19" t="str">
        <x:v>なかもず・中百舌鳥</x:v>
      </x:c>
      <x:c r="B196" s="18" t="str">
        <x:v>中百舌鳥</x:v>
      </x:c>
      <x:c r="C196" s="18" t="str">
        <x:v>大阪市高速電気軌道</x:v>
      </x:c>
      <x:c r="D196" s="18" t="str">
        <x:v>metro</x:v>
      </x:c>
      <x:c r="E196" s="19" t="str">
        <x:v>T1</x:v>
      </x:c>
      <x:c r="F196" s="19" t="str">
        <x:v>1号線(御堂筋線)</x:v>
      </x:c>
      <x:c r="G196" s="19" t="str">
        <x:v>候选已存在，组件待审核</x:v>
      </x:c>
      <x:c r="H196" s="19" t="str">
        <x:v>transport-node:836231d0-ec70-5755-83ff-7ad3f3b14f59</x:v>
      </x:c>
      <x:c r="I196" s="18" t="str">
        <x:v>transport-hub-review:511b2831-9512-52fb-af65-002131062b0e</x:v>
      </x:c>
      <x:c r="J196" s="18" t="str">
        <x:v>否</x:v>
      </x:c>
    </x:row>
    <x:row r="197" ht="28" customHeight="1">
      <x:c r="A197" s="19" t="str">
        <x:v>なかもず・中百舌鳥</x:v>
      </x:c>
      <x:c r="B197" s="18" t="str">
        <x:v>中百舌鳥</x:v>
      </x:c>
      <x:c r="C197" s="18" t="str">
        <x:v>南海電気鉄道</x:v>
      </x:c>
      <x:c r="D197" s="18" t="str">
        <x:v>private_rail</x:v>
      </x:c>
      <x:c r="E197" s="19" t="str">
        <x:v>T2</x:v>
      </x:c>
      <x:c r="F197" s="19" t="str">
        <x:v>高野線</x:v>
      </x:c>
      <x:c r="G197" s="19" t="str">
        <x:v>候选已存在，组件待审核</x:v>
      </x:c>
      <x:c r="H197" s="19" t="str">
        <x:v>transport-node:270db0d0-89ca-5a0a-8580-c9105cd8928a</x:v>
      </x:c>
      <x:c r="I197" s="18" t="str">
        <x:v>transport-hub-review:511b2831-9512-52fb-af65-002131062b0e</x:v>
      </x:c>
      <x:c r="J197" s="18" t="str">
        <x:v>否</x:v>
      </x:c>
    </x:row>
    <x:row r="198" ht="28" customHeight="1">
      <x:c r="A198" s="19" t="str">
        <x:v>烏丸・四条</x:v>
      </x:c>
      <x:c r="B198" s="18" t="str">
        <x:v>烏丸</x:v>
      </x:c>
      <x:c r="C198" s="18" t="str">
        <x:v>阪急電鉄</x:v>
      </x:c>
      <x:c r="D198" s="18" t="str">
        <x:v>private_rail</x:v>
      </x:c>
      <x:c r="E198" s="19" t="str">
        <x:v>T1</x:v>
      </x:c>
      <x:c r="F198" s="19" t="str">
        <x:v>京都線</x:v>
      </x:c>
      <x:c r="G198" s="19" t="str">
        <x:v>候选已存在，组件待审核</x:v>
      </x:c>
      <x:c r="H198" s="19" t="str">
        <x:v>transport-node:258b1757-32c2-57ea-aad2-2a472707a06d</x:v>
      </x:c>
      <x:c r="I198" s="18" t="str">
        <x:v>transport-hub-review:e2d38b26-899a-56b2-aa18-d0eae57cc5df</x:v>
      </x:c>
      <x:c r="J198" s="18" t="str">
        <x:v>否</x:v>
      </x:c>
    </x:row>
    <x:row r="199" ht="28" customHeight="1">
      <x:c r="A199" s="19" t="str">
        <x:v>烏丸・四条</x:v>
      </x:c>
      <x:c r="B199" s="18" t="str">
        <x:v>四条</x:v>
      </x:c>
      <x:c r="C199" s="18" t="str">
        <x:v>京都市</x:v>
      </x:c>
      <x:c r="D199" s="18" t="str">
        <x:v>metro</x:v>
      </x:c>
      <x:c r="E199" s="19" t="str">
        <x:v>T1</x:v>
      </x:c>
      <x:c r="F199" s="19" t="str">
        <x:v>烏丸線</x:v>
      </x:c>
      <x:c r="G199" s="19" t="str">
        <x:v>候选已存在，组件待审核</x:v>
      </x:c>
      <x:c r="H199" s="19" t="str">
        <x:v>transport-node:87c3c818-c300-5e3f-9096-ba9a267fd857</x:v>
      </x:c>
      <x:c r="I199" s="18" t="str">
        <x:v>transport-hub-review:e2d38b26-899a-56b2-aa18-d0eae57cc5df</x:v>
      </x:c>
      <x:c r="J199" s="18" t="str">
        <x:v>否</x:v>
      </x:c>
    </x:row>
    <x:row r="200" ht="33" customHeight="1">
      <x:c r="A200" s="19" t="str">
        <x:v>烏丸御池</x:v>
      </x:c>
      <x:c r="B200" s="18" t="str">
        <x:v>烏丸御池</x:v>
      </x:c>
      <x:c r="C200" s="18" t="str">
        <x:v>京都市</x:v>
      </x:c>
      <x:c r="D200" s="18" t="str">
        <x:v>metro</x:v>
      </x:c>
      <x:c r="E200" s="19" t="str">
        <x:v>T1</x:v>
      </x:c>
      <x:c r="F200" s="19" t="str">
        <x:v>東西線
烏丸線</x:v>
      </x:c>
      <x:c r="G200" s="19" t="str">
        <x:v>候选已存在，组件待审核</x:v>
      </x:c>
      <x:c r="H200" s="19" t="str">
        <x:v>transport-node:5469bc2b-64d5-53a9-8699-dae1d3822a53</x:v>
      </x:c>
      <x:c r="I200" s="18" t="str">
        <x:v>transport-hub-review:32584a34-4cf2-50c9-8e3c-37eb3a498ec2</x:v>
      </x:c>
      <x:c r="J200" s="18" t="str">
        <x:v>否</x:v>
      </x:c>
    </x:row>
    <x:row r="201" ht="28" customHeight="1">
      <x:c r="A201" s="19" t="str">
        <x:v>王子・王子駅前</x:v>
      </x:c>
      <x:c r="B201" s="18" t="str">
        <x:v>王子</x:v>
      </x:c>
      <x:c r="C201" s="18" t="str">
        <x:v>東京地下鉄</x:v>
      </x:c>
      <x:c r="D201" s="18" t="str">
        <x:v>metro</x:v>
      </x:c>
      <x:c r="E201" s="19" t="str">
        <x:v>T1</x:v>
      </x:c>
      <x:c r="F201" s="19" t="str">
        <x:v>7号線南北線</x:v>
      </x:c>
      <x:c r="G201" s="19" t="str">
        <x:v>候选已存在，组件待审核</x:v>
      </x:c>
      <x:c r="H201" s="19" t="str">
        <x:v>transport-node:5f4f1de3-be78-51d3-b20c-1fc7ea754a74</x:v>
      </x:c>
      <x:c r="I201" s="18" t="str">
        <x:v>transport-hub-review:197999f8-b571-5bcd-9cf1-049bdfb871b9</x:v>
      </x:c>
      <x:c r="J201" s="18" t="str">
        <x:v>否</x:v>
      </x:c>
    </x:row>
    <x:row r="202" ht="28" customHeight="1">
      <x:c r="A202" s="19" t="str">
        <x:v>王子・王子駅前</x:v>
      </x:c>
      <x:c r="B202" s="18" t="str">
        <x:v>王子</x:v>
      </x:c>
      <x:c r="C202" s="18" t="str">
        <x:v>東日本旅客鉄道</x:v>
      </x:c>
      <x:c r="D202" s="18" t="str">
        <x:v>conventional_rail</x:v>
      </x:c>
      <x:c r="E202" s="19" t="str">
        <x:v>T1</x:v>
      </x:c>
      <x:c r="F202" s="19" t="str">
        <x:v>東北線</x:v>
      </x:c>
      <x:c r="G202" s="19" t="str">
        <x:v>候选已存在，组件待审核</x:v>
      </x:c>
      <x:c r="H202" s="19" t="str">
        <x:v>transport-node:8f4536b4-6dcc-5932-accf-b1422903e195</x:v>
      </x:c>
      <x:c r="I202" s="18" t="str">
        <x:v>transport-hub-review:197999f8-b571-5bcd-9cf1-049bdfb871b9</x:v>
      </x:c>
      <x:c r="J202" s="18" t="str">
        <x:v>否</x:v>
      </x:c>
    </x:row>
    <x:row r="203" ht="28" customHeight="1">
      <x:c r="A203" s="19" t="str">
        <x:v>王子・王子駅前</x:v>
      </x:c>
      <x:c r="B203" s="18" t="str">
        <x:v>王子駅前</x:v>
      </x:c>
      <x:c r="C203" s="18" t="str">
        <x:v>東京都</x:v>
      </x:c>
      <x:c r="D203" s="18" t="str">
        <x:v>tram</x:v>
      </x:c>
      <x:c r="E203" s="19" t="str">
        <x:v>T3</x:v>
      </x:c>
      <x:c r="F203" s="19" t="str">
        <x:v>荒川線</x:v>
      </x:c>
      <x:c r="G203" s="19" t="str">
        <x:v>候选已存在，组件待审核</x:v>
      </x:c>
      <x:c r="H203" s="19" t="str">
        <x:v>transport-node:a5848bd4-900e-5d30-ab4e-aa2a49339b6d</x:v>
      </x:c>
      <x:c r="I203" s="18" t="str">
        <x:v>transport-hub-review:197999f8-b571-5bcd-9cf1-049bdfb871b9</x:v>
      </x:c>
      <x:c r="J203" s="18" t="str">
        <x:v>否</x:v>
      </x:c>
    </x:row>
    <x:row r="204" ht="28" customHeight="1">
      <x:c r="A204" s="19" t="str">
        <x:v>荻窪</x:v>
      </x:c>
      <x:c r="B204" s="18" t="str">
        <x:v>荻窪</x:v>
      </x:c>
      <x:c r="C204" s="18" t="str">
        <x:v>東京地下鉄</x:v>
      </x:c>
      <x:c r="D204" s="18" t="str">
        <x:v>metro</x:v>
      </x:c>
      <x:c r="E204" s="19" t="str">
        <x:v>T1</x:v>
      </x:c>
      <x:c r="F204" s="19" t="str">
        <x:v>4号線丸ノ内線</x:v>
      </x:c>
      <x:c r="G204" s="19" t="str">
        <x:v>候选已存在，组件待审核</x:v>
      </x:c>
      <x:c r="H204" s="19" t="str">
        <x:v>transport-node:9b1d92c5-032d-50df-ad6f-548977cbbf44</x:v>
      </x:c>
      <x:c r="I204" s="18" t="str">
        <x:v>transport-hub-review:6ed92e9c-48f7-5aa7-868a-bd170f157e49</x:v>
      </x:c>
      <x:c r="J204" s="18" t="str">
        <x:v>否</x:v>
      </x:c>
    </x:row>
    <x:row r="205" ht="28" customHeight="1">
      <x:c r="A205" s="19" t="str">
        <x:v>荻窪</x:v>
      </x:c>
      <x:c r="B205" s="18" t="str">
        <x:v>荻窪</x:v>
      </x:c>
      <x:c r="C205" s="18" t="str">
        <x:v>東日本旅客鉄道</x:v>
      </x:c>
      <x:c r="D205" s="18" t="str">
        <x:v>conventional_rail</x:v>
      </x:c>
      <x:c r="E205" s="19" t="str">
        <x:v>T1</x:v>
      </x:c>
      <x:c r="F205" s="19" t="str">
        <x:v>中央線</x:v>
      </x:c>
      <x:c r="G205" s="19" t="str">
        <x:v>候选已存在，组件待审核</x:v>
      </x:c>
      <x:c r="H205" s="19" t="str">
        <x:v>transport-node:554b7089-d5b3-543d-9775-de2f0f13d9b9</x:v>
      </x:c>
      <x:c r="I205" s="18" t="str">
        <x:v>transport-hub-review:6ed92e9c-48f7-5aa7-868a-bd170f157e49</x:v>
      </x:c>
      <x:c r="J205" s="18" t="str">
        <x:v>否</x:v>
      </x:c>
    </x:row>
    <x:row r="206" ht="28" customHeight="1">
      <x:c r="A206" s="19" t="str">
        <x:v>下北沢</x:v>
      </x:c>
      <x:c r="B206" s="18" t="str">
        <x:v>下北沢</x:v>
      </x:c>
      <x:c r="C206" s="18" t="str">
        <x:v>京王電鉄</x:v>
      </x:c>
      <x:c r="D206" s="18" t="str">
        <x:v>private_rail</x:v>
      </x:c>
      <x:c r="E206" s="19" t="str">
        <x:v>T1</x:v>
      </x:c>
      <x:c r="F206" s="19" t="str">
        <x:v>井の頭線</x:v>
      </x:c>
      <x:c r="G206" s="19" t="str">
        <x:v>候选已存在，组件待审核</x:v>
      </x:c>
      <x:c r="H206" s="19" t="str">
        <x:v>transport-node:cc63fdf9-389d-5583-a5e5-ae093e46d1b4</x:v>
      </x:c>
      <x:c r="I206" s="18" t="str">
        <x:v>transport-hub-review:6feffcda-6b4b-56f2-afed-77bb060af911</x:v>
      </x:c>
      <x:c r="J206" s="18" t="str">
        <x:v>否</x:v>
      </x:c>
    </x:row>
    <x:row r="207" ht="28" customHeight="1">
      <x:c r="A207" s="19" t="str">
        <x:v>下北沢</x:v>
      </x:c>
      <x:c r="B207" s="18" t="str">
        <x:v>下北沢</x:v>
      </x:c>
      <x:c r="C207" s="18" t="str">
        <x:v>小田急電鉄</x:v>
      </x:c>
      <x:c r="D207" s="18" t="str">
        <x:v>private_rail</x:v>
      </x:c>
      <x:c r="E207" s="19" t="str">
        <x:v>T1</x:v>
      </x:c>
      <x:c r="F207" s="19" t="str">
        <x:v>小田原線</x:v>
      </x:c>
      <x:c r="G207" s="19" t="str">
        <x:v>候选已存在，组件待审核</x:v>
      </x:c>
      <x:c r="H207" s="19" t="str">
        <x:v>transport-node:70bf1834-c017-5c58-a6c0-8023c42df362</x:v>
      </x:c>
      <x:c r="I207" s="18" t="str">
        <x:v>transport-hub-review:6feffcda-6b4b-56f2-afed-77bb060af911</x:v>
      </x:c>
      <x:c r="J207" s="18" t="str">
        <x:v>否</x:v>
      </x:c>
    </x:row>
    <x:row r="208" ht="47" customHeight="1">
      <x:c r="A208" s="19" t="str">
        <x:v>霞ケ関</x:v>
      </x:c>
      <x:c r="B208" s="18" t="str">
        <x:v>霞ヶ関</x:v>
      </x:c>
      <x:c r="C208" s="18" t="str">
        <x:v>東京地下鉄</x:v>
      </x:c>
      <x:c r="D208" s="18" t="str">
        <x:v>metro</x:v>
      </x:c>
      <x:c r="E208" s="19" t="str">
        <x:v>T1</x:v>
      </x:c>
      <x:c r="F208" s="19" t="str">
        <x:v>2号線日比谷線
4号線丸ノ内線
9号線千代田線</x:v>
      </x:c>
      <x:c r="G208" s="19" t="str">
        <x:v>候选已存在，组件待审核</x:v>
      </x:c>
      <x:c r="H208" s="19" t="str">
        <x:v>transport-node:351c3502-8e88-525c-b8d9-f88b249ffb9d</x:v>
      </x:c>
      <x:c r="I208" s="18" t="str">
        <x:v>transport-hub-review:9d6d86b3-0690-59df-8400-ce871ce09cf2</x:v>
      </x:c>
      <x:c r="J208" s="18" t="str">
        <x:v>否</x:v>
      </x:c>
    </x:row>
    <x:row r="209" ht="28" customHeight="1">
      <x:c r="A209" s="19" t="str">
        <x:v>海老名</x:v>
      </x:c>
      <x:c r="B209" s="18" t="str">
        <x:v>海老名</x:v>
      </x:c>
      <x:c r="C209" s="18" t="str">
        <x:v>小田急電鉄</x:v>
      </x:c>
      <x:c r="D209" s="18" t="str">
        <x:v>private_rail</x:v>
      </x:c>
      <x:c r="E209" s="19" t="str">
        <x:v>T1</x:v>
      </x:c>
      <x:c r="F209" s="19" t="str">
        <x:v>小田原線</x:v>
      </x:c>
      <x:c r="G209" s="19" t="str">
        <x:v>候选已存在，组件待审核</x:v>
      </x:c>
      <x:c r="H209" s="19" t="str">
        <x:v>transport-node:7771f3fe-73ac-571a-9579-28a8bfe67aad</x:v>
      </x:c>
      <x:c r="I209" s="18" t="str">
        <x:v>transport-hub-review:8f822fb8-d1c6-5bb8-b308-4640ed98e9db</x:v>
      </x:c>
      <x:c r="J209" s="18" t="str">
        <x:v>否</x:v>
      </x:c>
    </x:row>
    <x:row r="210" ht="28" customHeight="1">
      <x:c r="A210" s="19" t="str">
        <x:v>海老名</x:v>
      </x:c>
      <x:c r="B210" s="18" t="str">
        <x:v>海老名</x:v>
      </x:c>
      <x:c r="C210" s="18" t="str">
        <x:v>相模鉄道</x:v>
      </x:c>
      <x:c r="D210" s="18" t="str">
        <x:v>private_rail</x:v>
      </x:c>
      <x:c r="E210" s="19" t="str">
        <x:v>T1</x:v>
      </x:c>
      <x:c r="F210" s="19" t="str">
        <x:v>相鉄本線</x:v>
      </x:c>
      <x:c r="G210" s="19" t="str">
        <x:v>候选已存在，组件待审核</x:v>
      </x:c>
      <x:c r="H210" s="19" t="str">
        <x:v>transport-node:934567d9-8d2b-5eba-8f39-42baf6b01cdc</x:v>
      </x:c>
      <x:c r="I210" s="18" t="str">
        <x:v>transport-hub-review:8f822fb8-d1c6-5bb8-b308-4640ed98e9db</x:v>
      </x:c>
      <x:c r="J210" s="18" t="str">
        <x:v>否</x:v>
      </x:c>
    </x:row>
    <x:row r="211" ht="28" customHeight="1">
      <x:c r="A211" s="19" t="str">
        <x:v>海老名</x:v>
      </x:c>
      <x:c r="B211" s="18" t="str">
        <x:v>海老名</x:v>
      </x:c>
      <x:c r="C211" s="18" t="str">
        <x:v>東日本旅客鉄道</x:v>
      </x:c>
      <x:c r="D211" s="18" t="str">
        <x:v>conventional_rail</x:v>
      </x:c>
      <x:c r="E211" s="19" t="str">
        <x:v>T2</x:v>
      </x:c>
      <x:c r="F211" s="19" t="str">
        <x:v>相模線</x:v>
      </x:c>
      <x:c r="G211" s="19" t="str">
        <x:v>候选已存在，组件待审核</x:v>
      </x:c>
      <x:c r="H211" s="19" t="str">
        <x:v>transport-node:bafb8c07-b270-55ac-9a4d-88f97f9709bf</x:v>
      </x:c>
      <x:c r="I211" s="18" t="str">
        <x:v>transport-hub-review:8f822fb8-d1c6-5bb8-b308-4640ed98e9db</x:v>
      </x:c>
      <x:c r="J211" s="18" t="str">
        <x:v>否</x:v>
      </x:c>
    </x:row>
    <x:row r="212" ht="33" customHeight="1">
      <x:c r="A212" s="19" t="str">
        <x:v>茅場町</x:v>
      </x:c>
      <x:c r="B212" s="18" t="str">
        <x:v>茅場町</x:v>
      </x:c>
      <x:c r="C212" s="18" t="str">
        <x:v>東京地下鉄</x:v>
      </x:c>
      <x:c r="D212" s="18" t="str">
        <x:v>metro</x:v>
      </x:c>
      <x:c r="E212" s="19" t="str">
        <x:v>T1</x:v>
      </x:c>
      <x:c r="F212" s="19" t="str">
        <x:v>2号線日比谷線
5号線東西線</x:v>
      </x:c>
      <x:c r="G212" s="19" t="str">
        <x:v>候选已存在，组件待审核</x:v>
      </x:c>
      <x:c r="H212" s="19" t="str">
        <x:v>transport-node:28e3b324-2f73-5a9c-aede-e4ab5fc1ce6e</x:v>
      </x:c>
      <x:c r="I212" s="18" t="str">
        <x:v>transport-hub-review:710269f3-2ca5-5271-b3a4-d08d27f2ce9f</x:v>
      </x:c>
      <x:c r="J212" s="18" t="str">
        <x:v>否</x:v>
      </x:c>
    </x:row>
    <x:row r="213" ht="28" customHeight="1">
      <x:c r="A213" s="19" t="str">
        <x:v>亀戸</x:v>
      </x:c>
      <x:c r="B213" s="18" t="str">
        <x:v>亀戸</x:v>
      </x:c>
      <x:c r="C213" s="18" t="str">
        <x:v>東武鉄道</x:v>
      </x:c>
      <x:c r="D213" s="18" t="str">
        <x:v>private_rail</x:v>
      </x:c>
      <x:c r="E213" s="19" t="str">
        <x:v>T2</x:v>
      </x:c>
      <x:c r="F213" s="19" t="str">
        <x:v>亀戸線</x:v>
      </x:c>
      <x:c r="G213" s="19" t="str">
        <x:v>候选已存在，组件待审核</x:v>
      </x:c>
      <x:c r="H213" s="19" t="str">
        <x:v>transport-node:5d21432a-c9a5-585e-b336-d90af10ae603</x:v>
      </x:c>
      <x:c r="I213" s="18" t="str">
        <x:v>transport-hub-review:3d48d90b-58d3-58e6-b6b3-9d2d976dccb6</x:v>
      </x:c>
      <x:c r="J213" s="18" t="str">
        <x:v>否</x:v>
      </x:c>
    </x:row>
    <x:row r="214" ht="28" customHeight="1">
      <x:c r="A214" s="19" t="str">
        <x:v>亀戸</x:v>
      </x:c>
      <x:c r="B214" s="18" t="str">
        <x:v>亀戸</x:v>
      </x:c>
      <x:c r="C214" s="18" t="str">
        <x:v>東日本旅客鉄道</x:v>
      </x:c>
      <x:c r="D214" s="18" t="str">
        <x:v>conventional_rail</x:v>
      </x:c>
      <x:c r="E214" s="19" t="str">
        <x:v>T1</x:v>
      </x:c>
      <x:c r="F214" s="19" t="str">
        <x:v>総武線</x:v>
      </x:c>
      <x:c r="G214" s="19" t="str">
        <x:v>候选已存在，组件待审核</x:v>
      </x:c>
      <x:c r="H214" s="19" t="str">
        <x:v>transport-node:8728d616-8830-5369-b7dc-8cf7cf094c54</x:v>
      </x:c>
      <x:c r="I214" s="18" t="str">
        <x:v>transport-hub-review:3d48d90b-58d3-58e6-b6b3-9d2d976dccb6</x:v>
      </x:c>
      <x:c r="J214" s="18" t="str">
        <x:v>否</x:v>
      </x:c>
    </x:row>
    <x:row r="215" ht="28" customHeight="1">
      <x:c r="A215" s="19" t="str">
        <x:v>菊名</x:v>
      </x:c>
      <x:c r="B215" s="18" t="str">
        <x:v>菊名</x:v>
      </x:c>
      <x:c r="C215" s="18" t="str">
        <x:v>東急電鉄</x:v>
      </x:c>
      <x:c r="D215" s="18" t="str">
        <x:v>private_rail</x:v>
      </x:c>
      <x:c r="E215" s="19" t="str">
        <x:v>T1</x:v>
      </x:c>
      <x:c r="F215" s="19" t="str">
        <x:v>東横線</x:v>
      </x:c>
      <x:c r="G215" s="19" t="str">
        <x:v>候选已存在，组件待审核</x:v>
      </x:c>
      <x:c r="H215" s="19" t="str">
        <x:v>transport-node:9a10eec7-3ce1-5e3e-bfd7-5c0c1c91251d</x:v>
      </x:c>
      <x:c r="I215" s="18" t="str">
        <x:v>transport-hub-review:a2cf845f-246b-5d50-b8af-81cd2afc8309</x:v>
      </x:c>
      <x:c r="J215" s="18" t="str">
        <x:v>否</x:v>
      </x:c>
    </x:row>
    <x:row r="216" ht="28" customHeight="1">
      <x:c r="A216" s="19" t="str">
        <x:v>菊名</x:v>
      </x:c>
      <x:c r="B216" s="18" t="str">
        <x:v>菊名</x:v>
      </x:c>
      <x:c r="C216" s="18" t="str">
        <x:v>東日本旅客鉄道</x:v>
      </x:c>
      <x:c r="D216" s="18" t="str">
        <x:v>conventional_rail</x:v>
      </x:c>
      <x:c r="E216" s="19" t="str">
        <x:v>T1</x:v>
      </x:c>
      <x:c r="F216" s="19" t="str">
        <x:v>横浜線</x:v>
      </x:c>
      <x:c r="G216" s="19" t="str">
        <x:v>候选已存在，组件待审核</x:v>
      </x:c>
      <x:c r="H216" s="19" t="str">
        <x:v>transport-node:78f96472-ec0a-55b4-867d-4f9f184e332f</x:v>
      </x:c>
      <x:c r="I216" s="18" t="str">
        <x:v>transport-hub-review:a2cf845f-246b-5d50-b8af-81cd2afc8309</x:v>
      </x:c>
      <x:c r="J216" s="18" t="str">
        <x:v>否</x:v>
      </x:c>
    </x:row>
    <x:row r="217" ht="33" customHeight="1">
      <x:c r="A217" s="19" t="str">
        <x:v>久屋大通</x:v>
      </x:c>
      <x:c r="B217" s="18" t="str">
        <x:v>久屋大通</x:v>
      </x:c>
      <x:c r="C217" s="18" t="str">
        <x:v>名古屋市</x:v>
      </x:c>
      <x:c r="D217" s="18" t="str">
        <x:v>metro</x:v>
      </x:c>
      <x:c r="E217" s="19" t="str">
        <x:v>T1</x:v>
      </x:c>
      <x:c r="F217" s="19" t="str">
        <x:v>2号線名城線
6号線桜通線</x:v>
      </x:c>
      <x:c r="G217" s="19" t="str">
        <x:v>候选已存在，组件待审核</x:v>
      </x:c>
      <x:c r="H217" s="19" t="str">
        <x:v>transport-node:f9fa2eee-97e8-51fa-8e28-7e581035b3b5</x:v>
      </x:c>
      <x:c r="I217" s="18" t="str">
        <x:v>transport-hub-review:16d2cedd-4391-5b50-8d06-cbc8038fd587</x:v>
      </x:c>
      <x:c r="J217" s="18" t="str">
        <x:v>否</x:v>
      </x:c>
    </x:row>
    <x:row r="218" ht="33" customHeight="1">
      <x:c r="A218" s="19" t="str">
        <x:v>京急蒲田</x:v>
      </x:c>
      <x:c r="B218" s="18" t="str">
        <x:v>京急蒲田</x:v>
      </x:c>
      <x:c r="C218" s="18" t="str">
        <x:v>京浜急行電鉄</x:v>
      </x:c>
      <x:c r="D218" s="18" t="str">
        <x:v>private_rail</x:v>
      </x:c>
      <x:c r="E218" s="19" t="str">
        <x:v>T1</x:v>
      </x:c>
      <x:c r="F218" s="19" t="str">
        <x:v>本線
空港線</x:v>
      </x:c>
      <x:c r="G218" s="19" t="str">
        <x:v>候选已存在，组件待审核</x:v>
      </x:c>
      <x:c r="H218" s="19" t="str">
        <x:v>transport-node:b6e7c07f-e16a-5f65-81f5-6dd62f851780</x:v>
      </x:c>
      <x:c r="I218" s="18" t="str">
        <x:v>transport-hub-review:c1ad52f9-1d27-5f86-8434-0be9d12fffda</x:v>
      </x:c>
      <x:c r="J218" s="18" t="str">
        <x:v>否</x:v>
      </x:c>
    </x:row>
    <x:row r="219" ht="28" customHeight="1">
      <x:c r="A219" s="19" t="str">
        <x:v>京都河原町・祇園四条</x:v>
      </x:c>
      <x:c r="B219" s="18" t="str">
        <x:v>京都河原町</x:v>
      </x:c>
      <x:c r="C219" s="18" t="str">
        <x:v>阪急電鉄</x:v>
      </x:c>
      <x:c r="D219" s="18" t="str">
        <x:v>private_rail</x:v>
      </x:c>
      <x:c r="E219" s="19" t="str">
        <x:v>T1</x:v>
      </x:c>
      <x:c r="F219" s="19" t="str">
        <x:v>京都線</x:v>
      </x:c>
      <x:c r="G219" s="19" t="str">
        <x:v>候选已存在，组件待审核</x:v>
      </x:c>
      <x:c r="H219" s="19" t="str">
        <x:v>transport-node:d2a5d6a3-68be-59e0-bc3c-e7d86908d144</x:v>
      </x:c>
      <x:c r="I219" s="18" t="str">
        <x:v>transport-hub-review:d1d65bc5-c59c-5b6b-8e0c-2a7136d43f14</x:v>
      </x:c>
      <x:c r="J219" s="18" t="str">
        <x:v>否</x:v>
      </x:c>
    </x:row>
    <x:row r="220" ht="28" customHeight="1">
      <x:c r="A220" s="19" t="str">
        <x:v>京都河原町・祇園四条</x:v>
      </x:c>
      <x:c r="B220" s="18" t="str">
        <x:v>祇園四条</x:v>
      </x:c>
      <x:c r="C220" s="18" t="str">
        <x:v>京阪電気鉄道</x:v>
      </x:c>
      <x:c r="D220" s="18" t="str">
        <x:v>private_rail</x:v>
      </x:c>
      <x:c r="E220" s="19" t="str">
        <x:v>T2</x:v>
      </x:c>
      <x:c r="F220" s="19" t="str">
        <x:v>京阪本線</x:v>
      </x:c>
      <x:c r="G220" s="19" t="str">
        <x:v>候选已存在，组件待审核</x:v>
      </x:c>
      <x:c r="H220" s="19" t="str">
        <x:v>transport-node:ee660479-b1bc-5fc0-8eae-cc88e0e77df0</x:v>
      </x:c>
      <x:c r="I220" s="18" t="str">
        <x:v>transport-hub-review:d1d65bc5-c59c-5b6b-8e0c-2a7136d43f14</x:v>
      </x:c>
      <x:c r="J220" s="18" t="str">
        <x:v>否</x:v>
      </x:c>
    </x:row>
    <x:row r="221" ht="28" customHeight="1">
      <x:c r="A221" s="19" t="str">
        <x:v>橋本</x:v>
      </x:c>
      <x:c r="B221" s="18" t="str">
        <x:v>橋本</x:v>
      </x:c>
      <x:c r="C221" s="18" t="str">
        <x:v>京王電鉄</x:v>
      </x:c>
      <x:c r="D221" s="18" t="str">
        <x:v>private_rail</x:v>
      </x:c>
      <x:c r="E221" s="19" t="str">
        <x:v>T1</x:v>
      </x:c>
      <x:c r="F221" s="19" t="str">
        <x:v>相模原線</x:v>
      </x:c>
      <x:c r="G221" s="19" t="str">
        <x:v>候选已存在，组件待审核</x:v>
      </x:c>
      <x:c r="H221" s="19" t="str">
        <x:v>transport-node:8d44b98d-f5f7-53ee-b7e6-10393e409a86</x:v>
      </x:c>
      <x:c r="I221" s="18" t="str">
        <x:v>transport-hub-review:9c8320f4-a321-5eda-b423-1b7e26e4b630</x:v>
      </x:c>
      <x:c r="J221" s="18" t="str">
        <x:v>否</x:v>
      </x:c>
    </x:row>
    <x:row r="222" ht="33" customHeight="1">
      <x:c r="A222" s="19" t="str">
        <x:v>橋本</x:v>
      </x:c>
      <x:c r="B222" s="18" t="str">
        <x:v>橋本</x:v>
      </x:c>
      <x:c r="C222" s="18" t="str">
        <x:v>東日本旅客鉄道</x:v>
      </x:c>
      <x:c r="D222" s="18" t="str">
        <x:v>conventional_rail</x:v>
      </x:c>
      <x:c r="E222" s="19" t="str">
        <x:v>T1</x:v>
      </x:c>
      <x:c r="F222" s="19" t="str">
        <x:v>横浜線
相模線</x:v>
      </x:c>
      <x:c r="G222" s="19" t="str">
        <x:v>候选已存在，组件待审核</x:v>
      </x:c>
      <x:c r="H222" s="19" t="str">
        <x:v>transport-node:45010fc2-4dab-5a1b-b387-d07977ac2abb</x:v>
      </x:c>
      <x:c r="I222" s="18" t="str">
        <x:v>transport-hub-review:9c8320f4-a321-5eda-b423-1b7e26e4b630</x:v>
      </x:c>
      <x:c r="J222" s="18" t="str">
        <x:v>否</x:v>
      </x:c>
    </x:row>
    <x:row r="223" ht="28" customHeight="1">
      <x:c r="A223" s="19" t="str">
        <x:v>錦糸町</x:v>
      </x:c>
      <x:c r="B223" s="18" t="str">
        <x:v>錦糸町</x:v>
      </x:c>
      <x:c r="C223" s="18" t="str">
        <x:v>東京地下鉄</x:v>
      </x:c>
      <x:c r="D223" s="18" t="str">
        <x:v>metro</x:v>
      </x:c>
      <x:c r="E223" s="19" t="str">
        <x:v>T1</x:v>
      </x:c>
      <x:c r="F223" s="19" t="str">
        <x:v>11号線半蔵門線</x:v>
      </x:c>
      <x:c r="G223" s="19" t="str">
        <x:v>候选已存在，组件待审核</x:v>
      </x:c>
      <x:c r="H223" s="19" t="str">
        <x:v>transport-node:0850e8f6-b98b-54e8-9bf7-e8f52a986ad7</x:v>
      </x:c>
      <x:c r="I223" s="18" t="str">
        <x:v>transport-hub-review:fabe1526-9e2b-530a-907e-d9c8e476e763</x:v>
      </x:c>
      <x:c r="J223" s="18" t="str">
        <x:v>否</x:v>
      </x:c>
    </x:row>
    <x:row r="224" ht="28" customHeight="1">
      <x:c r="A224" s="19" t="str">
        <x:v>錦糸町</x:v>
      </x:c>
      <x:c r="B224" s="18" t="str">
        <x:v>錦糸町</x:v>
      </x:c>
      <x:c r="C224" s="18" t="str">
        <x:v>東日本旅客鉄道</x:v>
      </x:c>
      <x:c r="D224" s="18" t="str">
        <x:v>conventional_rail</x:v>
      </x:c>
      <x:c r="E224" s="19" t="str">
        <x:v>T1</x:v>
      </x:c>
      <x:c r="F224" s="19" t="str">
        <x:v>総武線</x:v>
      </x:c>
      <x:c r="G224" s="19" t="str">
        <x:v>候选已存在，组件待审核</x:v>
      </x:c>
      <x:c r="H224" s="19" t="str">
        <x:v>transport-node:1b6ef1f7-7a32-5816-95e8-2b2c86238d5b</x:v>
      </x:c>
      <x:c r="I224" s="18" t="str">
        <x:v>transport-hub-review:fabe1526-9e2b-530a-907e-d9c8e476e763</x:v>
      </x:c>
      <x:c r="J224" s="18" t="str">
        <x:v>否</x:v>
      </x:c>
    </x:row>
    <x:row r="225" ht="33" customHeight="1">
      <x:c r="A225" s="19" t="str">
        <x:v>金沢八景</x:v>
      </x:c>
      <x:c r="B225" s="18" t="str">
        <x:v>金沢八景</x:v>
      </x:c>
      <x:c r="C225" s="18" t="str">
        <x:v>京浜急行電鉄</x:v>
      </x:c>
      <x:c r="D225" s="18" t="str">
        <x:v>private_rail</x:v>
      </x:c>
      <x:c r="E225" s="19" t="str">
        <x:v>T1</x:v>
      </x:c>
      <x:c r="F225" s="19" t="str">
        <x:v>本線
逗子線</x:v>
      </x:c>
      <x:c r="G225" s="19" t="str">
        <x:v>候选已存在，组件待审核</x:v>
      </x:c>
      <x:c r="H225" s="19" t="str">
        <x:v>transport-node:43d1df67-7945-5044-a9ef-fc715a524f6a</x:v>
      </x:c>
      <x:c r="I225" s="18" t="str">
        <x:v>transport-hub-review:b27e6107-1045-5c68-b8eb-9821ac528cb2</x:v>
      </x:c>
      <x:c r="J225" s="18" t="str">
        <x:v>否</x:v>
      </x:c>
    </x:row>
    <x:row r="226" ht="28" customHeight="1">
      <x:c r="A226" s="19" t="str">
        <x:v>金沢八景</x:v>
      </x:c>
      <x:c r="B226" s="18" t="str">
        <x:v>金沢八景</x:v>
      </x:c>
      <x:c r="C226" s="18" t="str">
        <x:v>横浜シーサイドライン</x:v>
      </x:c>
      <x:c r="D226" s="18" t="str">
        <x:v>fixed_guideway</x:v>
      </x:c>
      <x:c r="E226" s="19" t="str">
        <x:v>T2</x:v>
      </x:c>
      <x:c r="F226" s="19" t="str">
        <x:v>金沢シーサイドライン</x:v>
      </x:c>
      <x:c r="G226" s="19" t="str">
        <x:v>候选已存在，组件待审核</x:v>
      </x:c>
      <x:c r="H226" s="19" t="str">
        <x:v>transport-node:39454a0f-4475-5e56-a862-58158d22821e</x:v>
      </x:c>
      <x:c r="I226" s="18" t="str">
        <x:v>transport-hub-review:b27e6107-1045-5c68-b8eb-9821ac528cb2</x:v>
      </x:c>
      <x:c r="J226" s="18" t="str">
        <x:v>否</x:v>
      </x:c>
    </x:row>
    <x:row r="227" ht="28" customHeight="1">
      <x:c r="A227" s="19" t="str">
        <x:v>月島</x:v>
      </x:c>
      <x:c r="B227" s="18" t="str">
        <x:v>月島</x:v>
      </x:c>
      <x:c r="C227" s="18" t="str">
        <x:v>東京地下鉄</x:v>
      </x:c>
      <x:c r="D227" s="18" t="str">
        <x:v>metro</x:v>
      </x:c>
      <x:c r="E227" s="19" t="str">
        <x:v>T1</x:v>
      </x:c>
      <x:c r="F227" s="19" t="str">
        <x:v>8号線有楽町線</x:v>
      </x:c>
      <x:c r="G227" s="19" t="str">
        <x:v>候选已存在，组件待审核</x:v>
      </x:c>
      <x:c r="H227" s="19" t="str">
        <x:v>transport-node:02d6dbf5-7540-5dce-8546-5afc5d94abc5</x:v>
      </x:c>
      <x:c r="I227" s="18" t="str">
        <x:v>transport-hub-review:833a9954-06a2-5d5e-9e45-31ea7be71b63</x:v>
      </x:c>
      <x:c r="J227" s="18" t="str">
        <x:v>否</x:v>
      </x:c>
    </x:row>
    <x:row r="228" ht="28" customHeight="1">
      <x:c r="A228" s="19" t="str">
        <x:v>月島</x:v>
      </x:c>
      <x:c r="B228" s="18" t="str">
        <x:v>月島</x:v>
      </x:c>
      <x:c r="C228" s="18" t="str">
        <x:v>東京都</x:v>
      </x:c>
      <x:c r="D228" s="18" t="str">
        <x:v>metro</x:v>
      </x:c>
      <x:c r="E228" s="19" t="str">
        <x:v>T2</x:v>
      </x:c>
      <x:c r="F228" s="19" t="str">
        <x:v>12号線大江戸線</x:v>
      </x:c>
      <x:c r="G228" s="19" t="str">
        <x:v>候选已存在，组件待审核</x:v>
      </x:c>
      <x:c r="H228" s="19" t="str">
        <x:v>transport-node:e9e2e7e5-e1ce-51bb-bf42-5cf7f355cca4</x:v>
      </x:c>
      <x:c r="I228" s="18" t="str">
        <x:v>transport-hub-review:833a9954-06a2-5d5e-9e45-31ea7be71b63</x:v>
      </x:c>
      <x:c r="J228" s="18" t="str">
        <x:v>否</x:v>
      </x:c>
    </x:row>
    <x:row r="229" ht="28" customHeight="1">
      <x:c r="A229" s="19" t="str">
        <x:v>原宿・明治神宮前</x:v>
      </x:c>
      <x:c r="B229" s="18" t="str">
        <x:v>原宿</x:v>
      </x:c>
      <x:c r="C229" s="18" t="str">
        <x:v>東日本旅客鉄道</x:v>
      </x:c>
      <x:c r="D229" s="18" t="str">
        <x:v>conventional_rail</x:v>
      </x:c>
      <x:c r="E229" s="19" t="str">
        <x:v>T1</x:v>
      </x:c>
      <x:c r="F229" s="19" t="str">
        <x:v>山手線</x:v>
      </x:c>
      <x:c r="G229" s="19" t="str">
        <x:v>候选已存在，组件待审核</x:v>
      </x:c>
      <x:c r="H229" s="19" t="str">
        <x:v>transport-node:227001e9-60e9-53b4-996d-d84b9244fe89</x:v>
      </x:c>
      <x:c r="I229" s="18" t="str">
        <x:v>transport-hub-review:9656f81d-44de-5cf8-829a-0c6650d967b2</x:v>
      </x:c>
      <x:c r="J229" s="18" t="str">
        <x:v>否</x:v>
      </x:c>
    </x:row>
    <x:row r="230" ht="33" customHeight="1">
      <x:c r="A230" s="19" t="str">
        <x:v>原宿・明治神宮前</x:v>
      </x:c>
      <x:c r="B230" s="18" t="str">
        <x:v>明治神宮前</x:v>
      </x:c>
      <x:c r="C230" s="18" t="str">
        <x:v>東京地下鉄</x:v>
      </x:c>
      <x:c r="D230" s="18" t="str">
        <x:v>metro</x:v>
      </x:c>
      <x:c r="E230" s="19" t="str">
        <x:v>T1</x:v>
      </x:c>
      <x:c r="F230" s="19" t="str">
        <x:v>13号線副都心線
9号線千代田線</x:v>
      </x:c>
      <x:c r="G230" s="19" t="str">
        <x:v>候选已存在，组件待审核</x:v>
      </x:c>
      <x:c r="H230" s="19" t="str">
        <x:v>transport-node:28fff181-3d5b-5b73-a02b-c338099a443b</x:v>
      </x:c>
      <x:c r="I230" s="18" t="str">
        <x:v>transport-hub-review:9656f81d-44de-5cf8-829a-0c6650d967b2</x:v>
      </x:c>
      <x:c r="J230" s="18" t="str">
        <x:v>否</x:v>
      </x:c>
    </x:row>
    <x:row r="231" ht="33" customHeight="1">
      <x:c r="A231" s="19" t="str">
        <x:v>後楽園・春日</x:v>
      </x:c>
      <x:c r="B231" s="18" t="str">
        <x:v>後楽園</x:v>
      </x:c>
      <x:c r="C231" s="18" t="str">
        <x:v>東京地下鉄</x:v>
      </x:c>
      <x:c r="D231" s="18" t="str">
        <x:v>metro</x:v>
      </x:c>
      <x:c r="E231" s="19" t="str">
        <x:v>T1</x:v>
      </x:c>
      <x:c r="F231" s="19" t="str">
        <x:v>4号線丸ノ内線
7号線南北線</x:v>
      </x:c>
      <x:c r="G231" s="19" t="str">
        <x:v>候选已存在，组件待审核</x:v>
      </x:c>
      <x:c r="H231" s="19" t="str">
        <x:v>transport-node:0ef74000-d523-5d3c-8593-d93927534d41</x:v>
      </x:c>
      <x:c r="I231" s="18" t="str">
        <x:v>transport-hub-review:2fc62095-4794-5412-92ea-251b3975e5e7</x:v>
      </x:c>
      <x:c r="J231" s="18" t="str">
        <x:v>否</x:v>
      </x:c>
    </x:row>
    <x:row r="232" ht="33" customHeight="1">
      <x:c r="A232" s="19" t="str">
        <x:v>後楽園・春日</x:v>
      </x:c>
      <x:c r="B232" s="18" t="str">
        <x:v>春日</x:v>
      </x:c>
      <x:c r="C232" s="18" t="str">
        <x:v>東京都</x:v>
      </x:c>
      <x:c r="D232" s="18" t="str">
        <x:v>metro</x:v>
      </x:c>
      <x:c r="E232" s="19" t="str">
        <x:v>T1</x:v>
      </x:c>
      <x:c r="F232" s="19" t="str">
        <x:v>12号線大江戸線
6号線三田線</x:v>
      </x:c>
      <x:c r="G232" s="19" t="str">
        <x:v>候选已存在，组件待审核</x:v>
      </x:c>
      <x:c r="H232" s="19" t="str">
        <x:v>transport-node:fb784d15-aee4-5dd2-9219-a082ebfba3d7</x:v>
      </x:c>
      <x:c r="I232" s="18" t="str">
        <x:v>transport-hub-review:2fc62095-4794-5412-92ea-251b3975e5e7</x:v>
      </x:c>
      <x:c r="J232" s="18" t="str">
        <x:v>否</x:v>
      </x:c>
    </x:row>
    <x:row r="233" ht="33" customHeight="1">
      <x:c r="A233" s="19" t="str">
        <x:v>広島</x:v>
      </x:c>
      <x:c r="B233" s="18" t="str">
        <x:v>広島</x:v>
      </x:c>
      <x:c r="C233" s="18" t="str">
        <x:v>西日本旅客鉄道</x:v>
      </x:c>
      <x:c r="D233" s="18" t="str">
        <x:v>conventional_rail</x:v>
      </x:c>
      <x:c r="E233" s="19" t="str">
        <x:v>T1</x:v>
      </x:c>
      <x:c r="F233" s="19" t="str">
        <x:v>山陽線
芸備線</x:v>
      </x:c>
      <x:c r="G233" s="19" t="str">
        <x:v>候选已存在，组件待审核</x:v>
      </x:c>
      <x:c r="H233" s="19" t="str">
        <x:v>transport-node:99f4ebcf-4e79-5646-a924-1560a3a95976</x:v>
      </x:c>
      <x:c r="I233" s="18" t="str">
        <x:v>transport-hub-review:9634ce29-42a0-58c2-9212-bbfbcc05a59f</x:v>
      </x:c>
      <x:c r="J233" s="18" t="str">
        <x:v>否</x:v>
      </x:c>
    </x:row>
    <x:row r="234" ht="28" customHeight="1">
      <x:c r="A234" s="19" t="str">
        <x:v>広島</x:v>
      </x:c>
      <x:c r="B234" s="18" t="str">
        <x:v>広島</x:v>
      </x:c>
      <x:c r="C234" s="18" t="str">
        <x:v>西日本旅客鉄道</x:v>
      </x:c>
      <x:c r="D234" s="18" t="str">
        <x:v>shinkansen</x:v>
      </x:c>
      <x:c r="E234" s="19" t="str">
        <x:v>null</x:v>
      </x:c>
      <x:c r="F234" s="19" t="str">
        <x:v>山陽新幹線</x:v>
      </x:c>
      <x:c r="G234" s="19" t="str">
        <x:v>候选已存在，组件待审核</x:v>
      </x:c>
      <x:c r="H234" s="19" t="str">
        <x:v>transport-node:7dd65747-efc7-5aae-bb74-ddbc4590a941</x:v>
      </x:c>
      <x:c r="I234" s="18" t="str">
        <x:v>transport-hub-review:9634ce29-42a0-58c2-9212-bbfbcc05a59f</x:v>
      </x:c>
      <x:c r="J234" s="18" t="str">
        <x:v>否</x:v>
      </x:c>
    </x:row>
    <x:row r="235" ht="28" customHeight="1">
      <x:c r="A235" s="19" t="str">
        <x:v>広島</x:v>
      </x:c>
      <x:c r="B235" s="18" t="str">
        <x:v>広島駅</x:v>
      </x:c>
      <x:c r="C235" s="18" t="str">
        <x:v>広島電鉄</x:v>
      </x:c>
      <x:c r="D235" s="18" t="str">
        <x:v>tram</x:v>
      </x:c>
      <x:c r="E235" s="19" t="str">
        <x:v>T2</x:v>
      </x:c>
      <x:c r="F235" s="19" t="str">
        <x:v>本線</x:v>
      </x:c>
      <x:c r="G235" s="19" t="str">
        <x:v>候选已存在，组件待审核</x:v>
      </x:c>
      <x:c r="H235" s="19" t="str">
        <x:v>transport-node:28242e2c-8393-5c2c-b884-f5d1783cfcfa</x:v>
      </x:c>
      <x:c r="I235" s="18" t="str">
        <x:v>transport-hub-review:9634ce29-42a0-58c2-9212-bbfbcc05a59f</x:v>
      </x:c>
      <x:c r="J235" s="18" t="str">
        <x:v>否</x:v>
      </x:c>
    </x:row>
    <x:row r="236" ht="28" customHeight="1">
      <x:c r="A236" s="19" t="str">
        <x:v>江坂</x:v>
      </x:c>
      <x:c r="B236" s="18" t="str">
        <x:v>江坂</x:v>
      </x:c>
      <x:c r="C236" s="18" t="str">
        <x:v>大阪市高速電気軌道</x:v>
      </x:c>
      <x:c r="D236" s="18" t="str">
        <x:v>metro</x:v>
      </x:c>
      <x:c r="E236" s="19" t="str">
        <x:v>T1</x:v>
      </x:c>
      <x:c r="F236" s="19" t="str">
        <x:v>1号線(御堂筋線)</x:v>
      </x:c>
      <x:c r="G236" s="19" t="str">
        <x:v>候选已存在，组件待审核</x:v>
      </x:c>
      <x:c r="H236" s="19" t="str">
        <x:v>transport-node:884fa71c-d31e-50a4-aa42-4644f505268d</x:v>
      </x:c>
      <x:c r="I236" s="18" t="str">
        <x:v>transport-hub-review:2d66bfa9-823c-51a9-93eb-002eee35bc0c</x:v>
      </x:c>
      <x:c r="J236" s="18" t="str">
        <x:v>否</x:v>
      </x:c>
    </x:row>
    <x:row r="237" ht="28" customHeight="1">
      <x:c r="A237" s="19" t="str">
        <x:v>江坂</x:v>
      </x:c>
      <x:c r="B237" s="18" t="str">
        <x:v>江坂</x:v>
      </x:c>
      <x:c r="C237" s="18" t="str">
        <x:v>北大阪急行電鉄</x:v>
      </x:c>
      <x:c r="D237" s="18" t="str">
        <x:v>private_rail</x:v>
      </x:c>
      <x:c r="E237" s="19" t="str">
        <x:v>null</x:v>
      </x:c>
      <x:c r="F237" s="19" t="str">
        <x:v>南北線</x:v>
      </x:c>
      <x:c r="G237" s="19" t="str">
        <x:v>候选已存在，组件待审核</x:v>
      </x:c>
      <x:c r="H237" s="19" t="str">
        <x:v>transport-node:32bb3bc0-157f-5aba-a607-a7a1b0bbe2bb</x:v>
      </x:c>
      <x:c r="I237" s="18" t="str">
        <x:v>transport-hub-review:2d66bfa9-823c-51a9-93eb-002eee35bc0c</x:v>
      </x:c>
      <x:c r="J237" s="18" t="str">
        <x:v>否</x:v>
      </x:c>
    </x:row>
    <x:row r="238" ht="33" customHeight="1">
      <x:c r="A238" s="19" t="str">
        <x:v>溝の口・武蔵溝ノ口</x:v>
      </x:c>
      <x:c r="B238" s="18" t="str">
        <x:v>溝の口</x:v>
      </x:c>
      <x:c r="C238" s="18" t="str">
        <x:v>東急電鉄</x:v>
      </x:c>
      <x:c r="D238" s="18" t="str">
        <x:v>private_rail</x:v>
      </x:c>
      <x:c r="E238" s="19" t="str">
        <x:v>T1</x:v>
      </x:c>
      <x:c r="F238" s="19" t="str">
        <x:v>大井町線
田園都市線</x:v>
      </x:c>
      <x:c r="G238" s="19" t="str">
        <x:v>候选已存在，组件待审核</x:v>
      </x:c>
      <x:c r="H238" s="19" t="str">
        <x:v>transport-node:f521cd74-cc5c-5d21-9b00-0236d5b4986d</x:v>
      </x:c>
      <x:c r="I238" s="18" t="str">
        <x:v>transport-hub-review:e2a5f551-3936-5b70-8056-8dc63b79bb04</x:v>
      </x:c>
      <x:c r="J238" s="18" t="str">
        <x:v>否</x:v>
      </x:c>
    </x:row>
    <x:row r="239" ht="28" customHeight="1">
      <x:c r="A239" s="19" t="str">
        <x:v>溝の口・武蔵溝ノ口</x:v>
      </x:c>
      <x:c r="B239" s="18" t="str">
        <x:v>武蔵溝ノ口</x:v>
      </x:c>
      <x:c r="C239" s="18" t="str">
        <x:v>東日本旅客鉄道</x:v>
      </x:c>
      <x:c r="D239" s="18" t="str">
        <x:v>conventional_rail</x:v>
      </x:c>
      <x:c r="E239" s="19" t="str">
        <x:v>T1</x:v>
      </x:c>
      <x:c r="F239" s="19" t="str">
        <x:v>南武線</x:v>
      </x:c>
      <x:c r="G239" s="19" t="str">
        <x:v>候选已存在，组件待审核</x:v>
      </x:c>
      <x:c r="H239" s="19" t="str">
        <x:v>transport-node:bd301954-5414-5fac-8a38-b8b09783b761</x:v>
      </x:c>
      <x:c r="I239" s="18" t="str">
        <x:v>transport-hub-review:e2a5f551-3936-5b70-8056-8dc63b79bb04</x:v>
      </x:c>
      <x:c r="J239" s="18" t="str">
        <x:v>否</x:v>
      </x:c>
    </x:row>
    <x:row r="240" ht="28" customHeight="1">
      <x:c r="A240" s="19" t="str">
        <x:v>高尾</x:v>
      </x:c>
      <x:c r="B240" s="18" t="str">
        <x:v>高尾</x:v>
      </x:c>
      <x:c r="C240" s="18" t="str">
        <x:v>京王電鉄</x:v>
      </x:c>
      <x:c r="D240" s="18" t="str">
        <x:v>private_rail</x:v>
      </x:c>
      <x:c r="E240" s="19" t="str">
        <x:v>T2</x:v>
      </x:c>
      <x:c r="F240" s="19" t="str">
        <x:v>高尾線</x:v>
      </x:c>
      <x:c r="G240" s="19" t="str">
        <x:v>候选已存在，组件待审核</x:v>
      </x:c>
      <x:c r="H240" s="19" t="str">
        <x:v>transport-node:2abaa486-ddca-5f3d-b1ff-7407599be6fe</x:v>
      </x:c>
      <x:c r="I240" s="18" t="str">
        <x:v>transport-hub-review:6bc5a8ee-9399-5f19-afb0-bdfa4868fb6c</x:v>
      </x:c>
      <x:c r="J240" s="18" t="str">
        <x:v>否</x:v>
      </x:c>
    </x:row>
    <x:row r="241" ht="28" customHeight="1">
      <x:c r="A241" s="19" t="str">
        <x:v>高尾</x:v>
      </x:c>
      <x:c r="B241" s="18" t="str">
        <x:v>高尾</x:v>
      </x:c>
      <x:c r="C241" s="18" t="str">
        <x:v>東日本旅客鉄道</x:v>
      </x:c>
      <x:c r="D241" s="18" t="str">
        <x:v>conventional_rail</x:v>
      </x:c>
      <x:c r="E241" s="19" t="str">
        <x:v>T1</x:v>
      </x:c>
      <x:c r="F241" s="19" t="str">
        <x:v>中央線</x:v>
      </x:c>
      <x:c r="G241" s="19" t="str">
        <x:v>候选已存在，组件待审核</x:v>
      </x:c>
      <x:c r="H241" s="19" t="str">
        <x:v>transport-node:65b68ced-30bf-5f14-9659-defd94576440</x:v>
      </x:c>
      <x:c r="I241" s="18" t="str">
        <x:v>transport-hub-review:6bc5a8ee-9399-5f19-afb0-bdfa4868fb6c</x:v>
      </x:c>
      <x:c r="J241" s="18" t="str">
        <x:v>否</x:v>
      </x:c>
    </x:row>
    <x:row r="242" ht="33" customHeight="1">
      <x:c r="A242" s="19" t="str">
        <x:v>堺筋本町</x:v>
      </x:c>
      <x:c r="B242" s="18" t="str">
        <x:v>堺筋本町</x:v>
      </x:c>
      <x:c r="C242" s="18" t="str">
        <x:v>大阪市高速電気軌道</x:v>
      </x:c>
      <x:c r="D242" s="18" t="str">
        <x:v>metro</x:v>
      </x:c>
      <x:c r="E242" s="19" t="str">
        <x:v>T1</x:v>
      </x:c>
      <x:c r="F242" s="19" t="str">
        <x:v>4号線(中央線)
6号線(堺筋線)</x:v>
      </x:c>
      <x:c r="G242" s="19" t="str">
        <x:v>候选已存在，组件待审核</x:v>
      </x:c>
      <x:c r="H242" s="19" t="str">
        <x:v>transport-node:d0dde335-038a-54d5-aff4-8d657b3beaca</x:v>
      </x:c>
      <x:c r="I242" s="18" t="str">
        <x:v>transport-hub-review:6708d182-b0b2-5d31-a9b3-e59ee09e0bf9</x:v>
      </x:c>
      <x:c r="J242" s="18" t="str">
        <x:v>否</x:v>
      </x:c>
    </x:row>
    <x:row r="243" ht="28" customHeight="1">
      <x:c r="A243" s="19" t="str">
        <x:v>札幌</x:v>
      </x:c>
      <x:c r="B243" s="18" t="str">
        <x:v>札幌</x:v>
      </x:c>
      <x:c r="C243" s="18" t="str">
        <x:v>北海道旅客鉄道</x:v>
      </x:c>
      <x:c r="D243" s="18" t="str">
        <x:v>conventional_rail</x:v>
      </x:c>
      <x:c r="E243" s="19" t="str">
        <x:v>T1</x:v>
      </x:c>
      <x:c r="F243" s="19" t="str">
        <x:v>函館線</x:v>
      </x:c>
      <x:c r="G243" s="19" t="str">
        <x:v>候选已存在，组件待审核</x:v>
      </x:c>
      <x:c r="H243" s="19" t="str">
        <x:v>transport-node:52ea3ce8-faa8-5aa2-8aec-9d8f19ff18e4</x:v>
      </x:c>
      <x:c r="I243" s="18" t="str">
        <x:v>transport-hub-review:9eab907a-6cf8-5c28-9afb-ca17ea88d288</x:v>
      </x:c>
      <x:c r="J243" s="18" t="str">
        <x:v>否</x:v>
      </x:c>
    </x:row>
    <x:row r="244" ht="33" customHeight="1">
      <x:c r="A244" s="19" t="str">
        <x:v>札幌</x:v>
      </x:c>
      <x:c r="B244" s="18" t="str">
        <x:v>さっぽろ</x:v>
      </x:c>
      <x:c r="C244" s="18" t="str">
        <x:v>札幌市</x:v>
      </x:c>
      <x:c r="D244" s="18" t="str">
        <x:v>metro</x:v>
      </x:c>
      <x:c r="E244" s="19" t="str">
        <x:v>T1</x:v>
      </x:c>
      <x:c r="F244" s="19" t="str">
        <x:v>南北線
東豊線</x:v>
      </x:c>
      <x:c r="G244" s="19" t="str">
        <x:v>候选已存在，组件待审核</x:v>
      </x:c>
      <x:c r="H244" s="19" t="str">
        <x:v>transport-node:3dddce3a-15dd-5d20-a731-caecbfdb75f4</x:v>
      </x:c>
      <x:c r="I244" s="18" t="str">
        <x:v>transport-hub-review:9eab907a-6cf8-5c28-9afb-ca17ea88d288</x:v>
      </x:c>
      <x:c r="J244" s="18" t="str">
        <x:v>否</x:v>
      </x:c>
    </x:row>
    <x:row r="245" ht="33" customHeight="1">
      <x:c r="A245" s="19" t="str">
        <x:v>三越前・新日本橋</x:v>
      </x:c>
      <x:c r="B245" s="18" t="str">
        <x:v>三越前</x:v>
      </x:c>
      <x:c r="C245" s="18" t="str">
        <x:v>東京地下鉄</x:v>
      </x:c>
      <x:c r="D245" s="18" t="str">
        <x:v>metro</x:v>
      </x:c>
      <x:c r="E245" s="19" t="str">
        <x:v>T1</x:v>
      </x:c>
      <x:c r="F245" s="19" t="str">
        <x:v>11号線半蔵門線
3号線銀座線</x:v>
      </x:c>
      <x:c r="G245" s="19" t="str">
        <x:v>候选已存在，组件待审核</x:v>
      </x:c>
      <x:c r="H245" s="19" t="str">
        <x:v>transport-node:65937356-cd35-5a4a-92d8-58a931059bbb</x:v>
      </x:c>
      <x:c r="I245" s="18" t="str">
        <x:v>transport-hub-review:a90316a3-3ae2-50f0-beba-8a434a833ff7</x:v>
      </x:c>
      <x:c r="J245" s="18" t="str">
        <x:v>否</x:v>
      </x:c>
    </x:row>
    <x:row r="246" ht="28" customHeight="1">
      <x:c r="A246" s="19" t="str">
        <x:v>三越前・新日本橋</x:v>
      </x:c>
      <x:c r="B246" s="18" t="str">
        <x:v>新日本橋</x:v>
      </x:c>
      <x:c r="C246" s="18" t="str">
        <x:v>東日本旅客鉄道</x:v>
      </x:c>
      <x:c r="D246" s="18" t="str">
        <x:v>conventional_rail</x:v>
      </x:c>
      <x:c r="E246" s="19" t="str">
        <x:v>T2</x:v>
      </x:c>
      <x:c r="F246" s="19" t="str">
        <x:v>総武線</x:v>
      </x:c>
      <x:c r="G246" s="19" t="str">
        <x:v>候选已存在，组件待审核</x:v>
      </x:c>
      <x:c r="H246" s="19" t="str">
        <x:v>transport-node:8097bb0e-09e0-5652-bb71-3128074ebae6</x:v>
      </x:c>
      <x:c r="I246" s="18" t="str">
        <x:v>transport-hub-review:a90316a3-3ae2-50f0-beba-8a434a833ff7</x:v>
      </x:c>
      <x:c r="J246" s="18" t="str">
        <x:v>否</x:v>
      </x:c>
    </x:row>
    <x:row r="247" ht="28" customHeight="1">
      <x:c r="A247" s="19" t="str">
        <x:v>三島</x:v>
      </x:c>
      <x:c r="B247" s="18" t="str">
        <x:v>三島</x:v>
      </x:c>
      <x:c r="C247" s="18" t="str">
        <x:v>東海旅客鉄道</x:v>
      </x:c>
      <x:c r="D247" s="18" t="str">
        <x:v>shinkansen</x:v>
      </x:c>
      <x:c r="E247" s="19" t="str">
        <x:v>null</x:v>
      </x:c>
      <x:c r="F247" s="19" t="str">
        <x:v>東海道新幹線</x:v>
      </x:c>
      <x:c r="G247" s="19" t="str">
        <x:v>候选已存在，组件待审核</x:v>
      </x:c>
      <x:c r="H247" s="19" t="str">
        <x:v>transport-node:1f63e456-30af-5ed1-9525-29b15785b5ef</x:v>
      </x:c>
      <x:c r="I247" s="18" t="str">
        <x:v>transport-hub-review:7b1b93ba-93c8-511c-95ad-bec0000f73d6</x:v>
      </x:c>
      <x:c r="J247" s="18" t="str">
        <x:v>否</x:v>
      </x:c>
    </x:row>
    <x:row r="248" ht="28" customHeight="1">
      <x:c r="A248" s="19" t="str">
        <x:v>三島</x:v>
      </x:c>
      <x:c r="B248" s="18" t="str">
        <x:v>三島</x:v>
      </x:c>
      <x:c r="C248" s="18" t="str">
        <x:v>東海旅客鉄道</x:v>
      </x:c>
      <x:c r="D248" s="18" t="str">
        <x:v>conventional_rail</x:v>
      </x:c>
      <x:c r="E248" s="19" t="str">
        <x:v>T1</x:v>
      </x:c>
      <x:c r="F248" s="19" t="str">
        <x:v>東海道線</x:v>
      </x:c>
      <x:c r="G248" s="19" t="str">
        <x:v>候选已存在，组件待审核</x:v>
      </x:c>
      <x:c r="H248" s="19" t="str">
        <x:v>transport-node:4dc95cd4-74f2-53b7-93ca-b0d11225ab60</x:v>
      </x:c>
      <x:c r="I248" s="18" t="str">
        <x:v>transport-hub-review:7b1b93ba-93c8-511c-95ad-bec0000f73d6</x:v>
      </x:c>
      <x:c r="J248" s="18" t="str">
        <x:v>否</x:v>
      </x:c>
    </x:row>
    <x:row r="249" ht="28" customHeight="1">
      <x:c r="A249" s="19" t="str">
        <x:v>三島</x:v>
      </x:c>
      <x:c r="B249" s="18" t="str">
        <x:v>三島</x:v>
      </x:c>
      <x:c r="C249" s="18" t="str">
        <x:v>伊豆箱根鉄道</x:v>
      </x:c>
      <x:c r="D249" s="18" t="str">
        <x:v>private_rail</x:v>
      </x:c>
      <x:c r="E249" s="19" t="str">
        <x:v>T2</x:v>
      </x:c>
      <x:c r="F249" s="19" t="str">
        <x:v>駿豆線</x:v>
      </x:c>
      <x:c r="G249" s="19" t="str">
        <x:v>候选已存在，组件待审核</x:v>
      </x:c>
      <x:c r="H249" s="19" t="str">
        <x:v>transport-node:276068f7-72c2-51af-a376-6874ed841287</x:v>
      </x:c>
      <x:c r="I249" s="18" t="str">
        <x:v>transport-hub-review:7b1b93ba-93c8-511c-95ad-bec0000f73d6</x:v>
      </x:c>
      <x:c r="J249" s="18" t="str">
        <x:v>否</x:v>
      </x:c>
    </x:row>
    <x:row r="250" ht="33" customHeight="1">
      <x:c r="A250" s="19" t="str">
        <x:v>四ツ谷</x:v>
      </x:c>
      <x:c r="B250" s="18" t="str">
        <x:v>四ツ谷</x:v>
      </x:c>
      <x:c r="C250" s="18" t="str">
        <x:v>東京地下鉄</x:v>
      </x:c>
      <x:c r="D250" s="18" t="str">
        <x:v>metro</x:v>
      </x:c>
      <x:c r="E250" s="19" t="str">
        <x:v>T1</x:v>
      </x:c>
      <x:c r="F250" s="19" t="str">
        <x:v>4号線丸ノ内線
7号線南北線</x:v>
      </x:c>
      <x:c r="G250" s="19" t="str">
        <x:v>候选已存在，组件待审核</x:v>
      </x:c>
      <x:c r="H250" s="19" t="str">
        <x:v>transport-node:60ff71a2-c631-5c22-8f19-e236a2c4f99e</x:v>
      </x:c>
      <x:c r="I250" s="18" t="str">
        <x:v>transport-hub-review:bdc5f35d-a34a-56f1-9ad3-d072d02ceb92</x:v>
      </x:c>
      <x:c r="J250" s="18" t="str">
        <x:v>否</x:v>
      </x:c>
    </x:row>
    <x:row r="251" ht="28" customHeight="1">
      <x:c r="A251" s="19" t="str">
        <x:v>四ツ谷</x:v>
      </x:c>
      <x:c r="B251" s="18" t="str">
        <x:v>四ツ谷</x:v>
      </x:c>
      <x:c r="C251" s="18" t="str">
        <x:v>東日本旅客鉄道</x:v>
      </x:c>
      <x:c r="D251" s="18" t="str">
        <x:v>conventional_rail</x:v>
      </x:c>
      <x:c r="E251" s="19" t="str">
        <x:v>T1</x:v>
      </x:c>
      <x:c r="F251" s="19" t="str">
        <x:v>中央線</x:v>
      </x:c>
      <x:c r="G251" s="19" t="str">
        <x:v>候选已存在，组件待审核</x:v>
      </x:c>
      <x:c r="H251" s="19" t="str">
        <x:v>transport-node:8f1662d9-edda-5742-b65c-0b26594e906e</x:v>
      </x:c>
      <x:c r="I251" s="18" t="str">
        <x:v>transport-hub-review:bdc5f35d-a34a-56f1-9ad3-d072d02ceb92</x:v>
      </x:c>
      <x:c r="J251" s="18" t="str">
        <x:v>否</x:v>
      </x:c>
    </x:row>
    <x:row r="252" ht="33" customHeight="1">
      <x:c r="A252" s="19" t="str">
        <x:v>市ケ谷</x:v>
      </x:c>
      <x:c r="B252" s="18" t="str">
        <x:v>市ヶ谷</x:v>
      </x:c>
      <x:c r="C252" s="18" t="str">
        <x:v>東京地下鉄</x:v>
      </x:c>
      <x:c r="D252" s="18" t="str">
        <x:v>metro</x:v>
      </x:c>
      <x:c r="E252" s="19" t="str">
        <x:v>T1</x:v>
      </x:c>
      <x:c r="F252" s="19" t="str">
        <x:v>7号線南北線
8号線有楽町線</x:v>
      </x:c>
      <x:c r="G252" s="19" t="str">
        <x:v>候选已存在，组件待审核</x:v>
      </x:c>
      <x:c r="H252" s="19" t="str">
        <x:v>transport-node:b032434f-ab95-569e-b1ee-a0d0d8a6af40</x:v>
      </x:c>
      <x:c r="I252" s="18" t="str">
        <x:v>transport-hub-review:e8b0aaf0-3a75-5626-a751-94af22702f51</x:v>
      </x:c>
      <x:c r="J252" s="18" t="str">
        <x:v>否</x:v>
      </x:c>
    </x:row>
    <x:row r="253" ht="28" customHeight="1">
      <x:c r="A253" s="19" t="str">
        <x:v>市ケ谷</x:v>
      </x:c>
      <x:c r="B253" s="18" t="str">
        <x:v>市ヶ谷</x:v>
      </x:c>
      <x:c r="C253" s="18" t="str">
        <x:v>東日本旅客鉄道</x:v>
      </x:c>
      <x:c r="D253" s="18" t="str">
        <x:v>conventional_rail</x:v>
      </x:c>
      <x:c r="E253" s="19" t="str">
        <x:v>T1</x:v>
      </x:c>
      <x:c r="F253" s="19" t="str">
        <x:v>中央線</x:v>
      </x:c>
      <x:c r="G253" s="19" t="str">
        <x:v>候选已存在，组件待审核</x:v>
      </x:c>
      <x:c r="H253" s="19" t="str">
        <x:v>transport-node:1e425af8-8da1-5f1f-844f-20add439e613</x:v>
      </x:c>
      <x:c r="I253" s="18" t="str">
        <x:v>transport-hub-review:e8b0aaf0-3a75-5626-a751-94af22702f51</x:v>
      </x:c>
      <x:c r="J253" s="18" t="str">
        <x:v>否</x:v>
      </x:c>
    </x:row>
    <x:row r="254" ht="28" customHeight="1">
      <x:c r="A254" s="19" t="str">
        <x:v>市ケ谷</x:v>
      </x:c>
      <x:c r="B254" s="18" t="str">
        <x:v>市ヶ谷</x:v>
      </x:c>
      <x:c r="C254" s="18" t="str">
        <x:v>東京都</x:v>
      </x:c>
      <x:c r="D254" s="18" t="str">
        <x:v>metro</x:v>
      </x:c>
      <x:c r="E254" s="19" t="str">
        <x:v>T2</x:v>
      </x:c>
      <x:c r="F254" s="19" t="str">
        <x:v>10号線新宿線</x:v>
      </x:c>
      <x:c r="G254" s="19" t="str">
        <x:v>候选已存在，组件待审核</x:v>
      </x:c>
      <x:c r="H254" s="19" t="str">
        <x:v>transport-node:cbaf4dbe-9ede-5626-a926-f64c65feee31</x:v>
      </x:c>
      <x:c r="I254" s="18" t="str">
        <x:v>transport-hub-review:e8b0aaf0-3a75-5626-a751-94af22702f51</x:v>
      </x:c>
      <x:c r="J254" s="18" t="str">
        <x:v>否</x:v>
      </x:c>
    </x:row>
    <x:row r="255" ht="28" customHeight="1">
      <x:c r="A255" s="19" t="str">
        <x:v>住吉</x:v>
      </x:c>
      <x:c r="B255" s="18" t="str">
        <x:v>住吉</x:v>
      </x:c>
      <x:c r="C255" s="18" t="str">
        <x:v>東京地下鉄</x:v>
      </x:c>
      <x:c r="D255" s="18" t="str">
        <x:v>metro</x:v>
      </x:c>
      <x:c r="E255" s="19" t="str">
        <x:v>T1</x:v>
      </x:c>
      <x:c r="F255" s="19" t="str">
        <x:v>11号線半蔵門線</x:v>
      </x:c>
      <x:c r="G255" s="19" t="str">
        <x:v>候选已存在，组件待审核</x:v>
      </x:c>
      <x:c r="H255" s="19" t="str">
        <x:v>transport-node:1989516e-4f2c-5793-94bf-18ffc5d93326</x:v>
      </x:c>
      <x:c r="I255" s="18" t="str">
        <x:v>transport-hub-review:48e1d287-b0f8-54b6-a398-a93e21f8a748</x:v>
      </x:c>
      <x:c r="J255" s="18" t="str">
        <x:v>否</x:v>
      </x:c>
    </x:row>
    <x:row r="256" ht="28" customHeight="1">
      <x:c r="A256" s="19" t="str">
        <x:v>住吉</x:v>
      </x:c>
      <x:c r="B256" s="18" t="str">
        <x:v>住吉</x:v>
      </x:c>
      <x:c r="C256" s="18" t="str">
        <x:v>東京都</x:v>
      </x:c>
      <x:c r="D256" s="18" t="str">
        <x:v>metro</x:v>
      </x:c>
      <x:c r="E256" s="19" t="str">
        <x:v>T2</x:v>
      </x:c>
      <x:c r="F256" s="19" t="str">
        <x:v>10号線新宿線</x:v>
      </x:c>
      <x:c r="G256" s="19" t="str">
        <x:v>候选已存在，组件待审核</x:v>
      </x:c>
      <x:c r="H256" s="19" t="str">
        <x:v>transport-node:2dcfdfe2-72af-5729-bb8d-fa53d38003f6</x:v>
      </x:c>
      <x:c r="I256" s="18" t="str">
        <x:v>transport-hub-review:48e1d287-b0f8-54b6-a398-a93e21f8a748</x:v>
      </x:c>
      <x:c r="J256" s="18" t="str">
        <x:v>否</x:v>
      </x:c>
    </x:row>
    <x:row r="257" ht="33" customHeight="1">
      <x:c r="A257" s="19" t="str">
        <x:v>所沢</x:v>
      </x:c>
      <x:c r="B257" s="18" t="str">
        <x:v>所沢</x:v>
      </x:c>
      <x:c r="C257" s="18" t="str">
        <x:v>西武鉄道</x:v>
      </x:c>
      <x:c r="D257" s="18" t="str">
        <x:v>private_rail</x:v>
      </x:c>
      <x:c r="E257" s="19" t="str">
        <x:v>T1</x:v>
      </x:c>
      <x:c r="F257" s="19" t="str">
        <x:v>新宿線
池袋線</x:v>
      </x:c>
      <x:c r="G257" s="19" t="str">
        <x:v>候选已存在，组件待审核</x:v>
      </x:c>
      <x:c r="H257" s="19" t="str">
        <x:v>transport-node:1f7c9b59-c4f2-5e7b-b9ae-d1f3cf64440b</x:v>
      </x:c>
      <x:c r="I257" s="18" t="str">
        <x:v>transport-hub-review:ac06f87c-9559-5c65-a434-90f8339897c6</x:v>
      </x:c>
      <x:c r="J257" s="18" t="str">
        <x:v>否</x:v>
      </x:c>
    </x:row>
    <x:row r="258" ht="33" customHeight="1">
      <x:c r="A258" s="19" t="str">
        <x:v>小倉</x:v>
      </x:c>
      <x:c r="B258" s="18" t="str">
        <x:v>小倉</x:v>
      </x:c>
      <x:c r="C258" s="18" t="str">
        <x:v>九州旅客鉄道</x:v>
      </x:c>
      <x:c r="D258" s="18" t="str">
        <x:v>conventional_rail</x:v>
      </x:c>
      <x:c r="E258" s="19" t="str">
        <x:v>T1</x:v>
      </x:c>
      <x:c r="F258" s="19" t="str">
        <x:v>日豊線
鹿児島線</x:v>
      </x:c>
      <x:c r="G258" s="19" t="str">
        <x:v>候选已存在，组件待审核</x:v>
      </x:c>
      <x:c r="H258" s="19" t="str">
        <x:v>transport-node:fb6211fc-af06-508d-95e3-d48873380d2c</x:v>
      </x:c>
      <x:c r="I258" s="18" t="str">
        <x:v>transport-hub-review:1e3c8efd-07fb-5aa8-abb6-43039af1e609</x:v>
      </x:c>
      <x:c r="J258" s="18" t="str">
        <x:v>否</x:v>
      </x:c>
    </x:row>
    <x:row r="259" ht="28" customHeight="1">
      <x:c r="A259" s="19" t="str">
        <x:v>小倉</x:v>
      </x:c>
      <x:c r="B259" s="18" t="str">
        <x:v>小倉</x:v>
      </x:c>
      <x:c r="C259" s="18" t="str">
        <x:v>西日本旅客鉄道</x:v>
      </x:c>
      <x:c r="D259" s="18" t="str">
        <x:v>shinkansen</x:v>
      </x:c>
      <x:c r="E259" s="19" t="str">
        <x:v>T2</x:v>
      </x:c>
      <x:c r="F259" s="19" t="str">
        <x:v>山陽新幹線</x:v>
      </x:c>
      <x:c r="G259" s="19" t="str">
        <x:v>候选已存在，组件待审核</x:v>
      </x:c>
      <x:c r="H259" s="19" t="str">
        <x:v>transport-node:a0ec01da-54c0-5b19-8fbb-549e49c684f7</x:v>
      </x:c>
      <x:c r="I259" s="18" t="str">
        <x:v>transport-hub-review:1e3c8efd-07fb-5aa8-abb6-43039af1e609</x:v>
      </x:c>
      <x:c r="J259" s="18" t="str">
        <x:v>否</x:v>
      </x:c>
    </x:row>
    <x:row r="260" ht="28" customHeight="1">
      <x:c r="A260" s="19" t="str">
        <x:v>小倉</x:v>
      </x:c>
      <x:c r="B260" s="18" t="str">
        <x:v>小倉</x:v>
      </x:c>
      <x:c r="C260" s="18" t="str">
        <x:v>北九州高速鉄道</x:v>
      </x:c>
      <x:c r="D260" s="18" t="str">
        <x:v>fixed_guideway</x:v>
      </x:c>
      <x:c r="E260" s="19" t="str">
        <x:v>T2</x:v>
      </x:c>
      <x:c r="F260" s="19" t="str">
        <x:v>小倉線</x:v>
      </x:c>
      <x:c r="G260" s="19" t="str">
        <x:v>候选已存在，组件待审核</x:v>
      </x:c>
      <x:c r="H260" s="19" t="str">
        <x:v>transport-node:8481af63-7b81-507b-a847-011ef92b0796</x:v>
      </x:c>
      <x:c r="I260" s="18" t="str">
        <x:v>transport-hub-review:1e3c8efd-07fb-5aa8-abb6-43039af1e609</x:v>
      </x:c>
      <x:c r="J260" s="18" t="str">
        <x:v>否</x:v>
      </x:c>
    </x:row>
    <x:row r="261" ht="28" customHeight="1">
      <x:c r="A261" s="19" t="str">
        <x:v>湘南台</x:v>
      </x:c>
      <x:c r="B261" s="18" t="str">
        <x:v>湘南台</x:v>
      </x:c>
      <x:c r="C261" s="18" t="str">
        <x:v>小田急電鉄</x:v>
      </x:c>
      <x:c r="D261" s="18" t="str">
        <x:v>private_rail</x:v>
      </x:c>
      <x:c r="E261" s="19" t="str">
        <x:v>T1</x:v>
      </x:c>
      <x:c r="F261" s="19" t="str">
        <x:v>江ノ島線</x:v>
      </x:c>
      <x:c r="G261" s="19" t="str">
        <x:v>候选已存在，组件待审核</x:v>
      </x:c>
      <x:c r="H261" s="19" t="str">
        <x:v>transport-node:44e0ac9e-bc8a-57cb-80a8-8fbdd3034714</x:v>
      </x:c>
      <x:c r="I261" s="18" t="str">
        <x:v>transport-hub-review:479987ab-1d69-5bff-99c6-e5dff1f680de</x:v>
      </x:c>
      <x:c r="J261" s="18" t="str">
        <x:v>否</x:v>
      </x:c>
    </x:row>
    <x:row r="262" ht="28" customHeight="1">
      <x:c r="A262" s="19" t="str">
        <x:v>湘南台</x:v>
      </x:c>
      <x:c r="B262" s="18" t="str">
        <x:v>湘南台</x:v>
      </x:c>
      <x:c r="C262" s="18" t="str">
        <x:v>相模鉄道</x:v>
      </x:c>
      <x:c r="D262" s="18" t="str">
        <x:v>private_rail</x:v>
      </x:c>
      <x:c r="E262" s="19" t="str">
        <x:v>T2</x:v>
      </x:c>
      <x:c r="F262" s="19" t="str">
        <x:v>相鉄いずみ野線</x:v>
      </x:c>
      <x:c r="G262" s="19" t="str">
        <x:v>候选已存在，组件待审核</x:v>
      </x:c>
      <x:c r="H262" s="19" t="str">
        <x:v>transport-node:8b704451-a7ec-5f5d-8a05-f4ddba28ef85</x:v>
      </x:c>
      <x:c r="I262" s="18" t="str">
        <x:v>transport-hub-review:479987ab-1d69-5bff-99c6-e5dff1f680de</x:v>
      </x:c>
      <x:c r="J262" s="18" t="str">
        <x:v>否</x:v>
      </x:c>
    </x:row>
    <x:row r="263" ht="28" customHeight="1">
      <x:c r="A263" s="19" t="str">
        <x:v>湘南台</x:v>
      </x:c>
      <x:c r="B263" s="18" t="str">
        <x:v>湘南台</x:v>
      </x:c>
      <x:c r="C263" s="18" t="str">
        <x:v>横浜市</x:v>
      </x:c>
      <x:c r="D263" s="18" t="str">
        <x:v>metro</x:v>
      </x:c>
      <x:c r="E263" s="19" t="str">
        <x:v>T2</x:v>
      </x:c>
      <x:c r="F263" s="19" t="str">
        <x:v>1号線</x:v>
      </x:c>
      <x:c r="G263" s="19" t="str">
        <x:v>候选已存在，组件待审核</x:v>
      </x:c>
      <x:c r="H263" s="19" t="str">
        <x:v>transport-node:d665a535-47dd-58ee-814a-52dd460e5ee1</x:v>
      </x:c>
      <x:c r="I263" s="18" t="str">
        <x:v>transport-hub-review:479987ab-1d69-5bff-99c6-e5dff1f680de</x:v>
      </x:c>
      <x:c r="J263" s="18" t="str">
        <x:v>否</x:v>
      </x:c>
    </x:row>
    <x:row r="264" ht="33" customHeight="1">
      <x:c r="A264" s="19" t="str">
        <x:v>上前津</x:v>
      </x:c>
      <x:c r="B264" s="18" t="str">
        <x:v>上前津</x:v>
      </x:c>
      <x:c r="C264" s="18" t="str">
        <x:v>名古屋市</x:v>
      </x:c>
      <x:c r="D264" s="18" t="str">
        <x:v>metro</x:v>
      </x:c>
      <x:c r="E264" s="19" t="str">
        <x:v>T1</x:v>
      </x:c>
      <x:c r="F264" s="19" t="str">
        <x:v>2号線名城線
3号線鶴舞線</x:v>
      </x:c>
      <x:c r="G264" s="19" t="str">
        <x:v>候选已存在，组件待审核</x:v>
      </x:c>
      <x:c r="H264" s="19" t="str">
        <x:v>transport-node:97e09de6-2d86-59e5-8e6e-df70b2c102ce</x:v>
      </x:c>
      <x:c r="I264" s="18" t="str">
        <x:v>transport-hub-review:1306b718-57c6-5530-8bde-50f8d921ca43</x:v>
      </x:c>
      <x:c r="J264" s="18" t="str">
        <x:v>否</x:v>
      </x:c>
    </x:row>
    <x:row r="265" ht="28" customHeight="1">
      <x:c r="A265" s="19" t="str">
        <x:v>上大岡</x:v>
      </x:c>
      <x:c r="B265" s="18" t="str">
        <x:v>上大岡</x:v>
      </x:c>
      <x:c r="C265" s="18" t="str">
        <x:v>京浜急行電鉄</x:v>
      </x:c>
      <x:c r="D265" s="18" t="str">
        <x:v>private_rail</x:v>
      </x:c>
      <x:c r="E265" s="19" t="str">
        <x:v>T1</x:v>
      </x:c>
      <x:c r="F265" s="19" t="str">
        <x:v>本線</x:v>
      </x:c>
      <x:c r="G265" s="19" t="str">
        <x:v>候选已存在，组件待审核</x:v>
      </x:c>
      <x:c r="H265" s="19" t="str">
        <x:v>transport-node:10ce4879-071f-53e8-b1a2-080946c86502</x:v>
      </x:c>
      <x:c r="I265" s="18" t="str">
        <x:v>transport-hub-review:0a359709-d4fe-595c-b7ae-e9c6f6b1dcd2</x:v>
      </x:c>
      <x:c r="J265" s="18" t="str">
        <x:v>否</x:v>
      </x:c>
    </x:row>
    <x:row r="266" ht="28" customHeight="1">
      <x:c r="A266" s="19" t="str">
        <x:v>上大岡</x:v>
      </x:c>
      <x:c r="B266" s="18" t="str">
        <x:v>上大岡</x:v>
      </x:c>
      <x:c r="C266" s="18" t="str">
        <x:v>横浜市</x:v>
      </x:c>
      <x:c r="D266" s="18" t="str">
        <x:v>metro</x:v>
      </x:c>
      <x:c r="E266" s="19" t="str">
        <x:v>T2</x:v>
      </x:c>
      <x:c r="F266" s="19" t="str">
        <x:v>1号線</x:v>
      </x:c>
      <x:c r="G266" s="19" t="str">
        <x:v>候选已存在，组件待审核</x:v>
      </x:c>
      <x:c r="H266" s="19" t="str">
        <x:v>transport-node:47dc45ab-16be-5296-9a24-72cb809113be</x:v>
      </x:c>
      <x:c r="I266" s="18" t="str">
        <x:v>transport-hub-review:0a359709-d4fe-595c-b7ae-e9c6f6b1dcd2</x:v>
      </x:c>
      <x:c r="J266" s="18" t="str">
        <x:v>否</x:v>
      </x:c>
    </x:row>
    <x:row r="267" ht="33" customHeight="1">
      <x:c r="A267" s="19" t="str">
        <x:v>心斎橋・四ツ橋</x:v>
      </x:c>
      <x:c r="B267" s="18" t="str">
        <x:v>心斎橋</x:v>
      </x:c>
      <x:c r="C267" s="18" t="str">
        <x:v>大阪市高速電気軌道</x:v>
      </x:c>
      <x:c r="D267" s="18" t="str">
        <x:v>metro</x:v>
      </x:c>
      <x:c r="E267" s="19" t="str">
        <x:v>T1</x:v>
      </x:c>
      <x:c r="F267" s="19" t="str">
        <x:v>1号線(御堂筋線)
7号線(長堀鶴見緑地線)</x:v>
      </x:c>
      <x:c r="G267" s="19" t="str">
        <x:v>候选已存在，组件待审核</x:v>
      </x:c>
      <x:c r="H267" s="19" t="str">
        <x:v>transport-node:5121fee0-3821-5b50-a02d-763daa3a479e</x:v>
      </x:c>
      <x:c r="I267" s="18" t="str">
        <x:v>transport-hub-review:f271b758-de3f-53bd-b118-49d887518644</x:v>
      </x:c>
      <x:c r="J267" s="18" t="str">
        <x:v>否</x:v>
      </x:c>
    </x:row>
    <x:row r="268" ht="28" customHeight="1">
      <x:c r="A268" s="19" t="str">
        <x:v>心斎橋・四ツ橋</x:v>
      </x:c>
      <x:c r="B268" s="18" t="str">
        <x:v>四ツ橋</x:v>
      </x:c>
      <x:c r="C268" s="18" t="str">
        <x:v>大阪市高速電気軌道</x:v>
      </x:c>
      <x:c r="D268" s="18" t="str">
        <x:v>metro</x:v>
      </x:c>
      <x:c r="E268" s="19" t="str">
        <x:v>T2</x:v>
      </x:c>
      <x:c r="F268" s="19" t="str">
        <x:v>3号線(四つ橋線)</x:v>
      </x:c>
      <x:c r="G268" s="19" t="str">
        <x:v>候选已存在，组件待审核</x:v>
      </x:c>
      <x:c r="H268" s="19" t="str">
        <x:v>transport-node:8b2d328a-ab5a-52b9-9bc1-692aacdbc078</x:v>
      </x:c>
      <x:c r="I268" s="18" t="str">
        <x:v>transport-hub-review:f271b758-de3f-53bd-b118-49d887518644</x:v>
      </x:c>
      <x:c r="J268" s="18" t="str">
        <x:v>否</x:v>
      </x:c>
    </x:row>
    <x:row r="269" ht="28" customHeight="1">
      <x:c r="A269" s="19" t="str">
        <x:v>新越谷・南越谷</x:v>
      </x:c>
      <x:c r="B269" s="18" t="str">
        <x:v>新越谷</x:v>
      </x:c>
      <x:c r="C269" s="18" t="str">
        <x:v>東武鉄道</x:v>
      </x:c>
      <x:c r="D269" s="18" t="str">
        <x:v>private_rail</x:v>
      </x:c>
      <x:c r="E269" s="19" t="str">
        <x:v>T1</x:v>
      </x:c>
      <x:c r="F269" s="19" t="str">
        <x:v>伊勢崎線</x:v>
      </x:c>
      <x:c r="G269" s="19" t="str">
        <x:v>候选已存在，组件待审核</x:v>
      </x:c>
      <x:c r="H269" s="19" t="str">
        <x:v>transport-node:8810a2d4-b343-54dd-90d7-6a6eb4ca0a95</x:v>
      </x:c>
      <x:c r="I269" s="18" t="str">
        <x:v>transport-hub-review:33809c3c-d079-588d-8619-edd2d701012f</x:v>
      </x:c>
      <x:c r="J269" s="18" t="str">
        <x:v>否</x:v>
      </x:c>
    </x:row>
    <x:row r="270" ht="28" customHeight="1">
      <x:c r="A270" s="19" t="str">
        <x:v>新越谷・南越谷</x:v>
      </x:c>
      <x:c r="B270" s="18" t="str">
        <x:v>南越谷</x:v>
      </x:c>
      <x:c r="C270" s="18" t="str">
        <x:v>東日本旅客鉄道</x:v>
      </x:c>
      <x:c r="D270" s="18" t="str">
        <x:v>conventional_rail</x:v>
      </x:c>
      <x:c r="E270" s="19" t="str">
        <x:v>T1</x:v>
      </x:c>
      <x:c r="F270" s="19" t="str">
        <x:v>武蔵野線</x:v>
      </x:c>
      <x:c r="G270" s="19" t="str">
        <x:v>候选已存在，组件待审核</x:v>
      </x:c>
      <x:c r="H270" s="19" t="str">
        <x:v>transport-node:b6113a55-618e-531c-bd1d-186013fe7751</x:v>
      </x:c>
      <x:c r="I270" s="18" t="str">
        <x:v>transport-hub-review:33809c3c-d079-588d-8619-edd2d701012f</x:v>
      </x:c>
      <x:c r="J270" s="18" t="str">
        <x:v>否</x:v>
      </x:c>
    </x:row>
    <x:row r="271" ht="28" customHeight="1">
      <x:c r="A271" s="19" t="str">
        <x:v>新横浜</x:v>
      </x:c>
      <x:c r="B271" s="18" t="str">
        <x:v>新横浜</x:v>
      </x:c>
      <x:c r="C271" s="18" t="str">
        <x:v>東日本旅客鉄道</x:v>
      </x:c>
      <x:c r="D271" s="18" t="str">
        <x:v>conventional_rail</x:v>
      </x:c>
      <x:c r="E271" s="19" t="str">
        <x:v>T1</x:v>
      </x:c>
      <x:c r="F271" s="19" t="str">
        <x:v>横浜線</x:v>
      </x:c>
      <x:c r="G271" s="19" t="str">
        <x:v>候选已存在，组件待审核</x:v>
      </x:c>
      <x:c r="H271" s="19" t="str">
        <x:v>transport-node:7d84f593-2e09-55e7-810f-b3225cb7648e</x:v>
      </x:c>
      <x:c r="I271" s="18" t="str">
        <x:v>transport-hub-review:a8a9261d-2513-5c91-a475-f856442b38ab</x:v>
      </x:c>
      <x:c r="J271" s="18" t="str">
        <x:v>否</x:v>
      </x:c>
    </x:row>
    <x:row r="272" ht="28" customHeight="1">
      <x:c r="A272" s="19" t="str">
        <x:v>新横浜</x:v>
      </x:c>
      <x:c r="B272" s="18" t="str">
        <x:v>新横浜</x:v>
      </x:c>
      <x:c r="C272" s="18" t="str">
        <x:v>東海旅客鉄道</x:v>
      </x:c>
      <x:c r="D272" s="18" t="str">
        <x:v>shinkansen</x:v>
      </x:c>
      <x:c r="E272" s="19" t="str">
        <x:v>T1</x:v>
      </x:c>
      <x:c r="F272" s="19" t="str">
        <x:v>東海道新幹線</x:v>
      </x:c>
      <x:c r="G272" s="19" t="str">
        <x:v>候选已存在，组件待审核</x:v>
      </x:c>
      <x:c r="H272" s="19" t="str">
        <x:v>transport-node:7953012b-45a2-5383-8351-16241f2ca000</x:v>
      </x:c>
      <x:c r="I272" s="18" t="str">
        <x:v>transport-hub-review:a8a9261d-2513-5c91-a475-f856442b38ab</x:v>
      </x:c>
      <x:c r="J272" s="18" t="str">
        <x:v>否</x:v>
      </x:c>
    </x:row>
    <x:row r="273" ht="28" customHeight="1">
      <x:c r="A273" s="19" t="str">
        <x:v>新横浜</x:v>
      </x:c>
      <x:c r="B273" s="18" t="str">
        <x:v>新横浜</x:v>
      </x:c>
      <x:c r="C273" s="18" t="str">
        <x:v>東急電鉄</x:v>
      </x:c>
      <x:c r="D273" s="18" t="str">
        <x:v>private_rail</x:v>
      </x:c>
      <x:c r="E273" s="19" t="str">
        <x:v>null</x:v>
      </x:c>
      <x:c r="F273" s="19" t="str">
        <x:v>東急新横浜線</x:v>
      </x:c>
      <x:c r="G273" s="19" t="str">
        <x:v>候选已存在，组件待审核</x:v>
      </x:c>
      <x:c r="H273" s="19" t="str">
        <x:v>transport-node:f967d8aa-71c2-541e-9da3-212433d38474</x:v>
      </x:c>
      <x:c r="I273" s="18" t="str">
        <x:v>transport-hub-review:a8a9261d-2513-5c91-a475-f856442b38ab</x:v>
      </x:c>
      <x:c r="J273" s="18" t="str">
        <x:v>否</x:v>
      </x:c>
    </x:row>
    <x:row r="274" ht="28" customHeight="1">
      <x:c r="A274" s="19" t="str">
        <x:v>新横浜</x:v>
      </x:c>
      <x:c r="B274" s="18" t="str">
        <x:v>新横浜</x:v>
      </x:c>
      <x:c r="C274" s="18" t="str">
        <x:v>相模鉄道</x:v>
      </x:c>
      <x:c r="D274" s="18" t="str">
        <x:v>private_rail</x:v>
      </x:c>
      <x:c r="E274" s="19" t="str">
        <x:v>T1</x:v>
      </x:c>
      <x:c r="F274" s="19" t="str">
        <x:v>相鉄新横浜線</x:v>
      </x:c>
      <x:c r="G274" s="19" t="str">
        <x:v>候选已存在，组件待审核</x:v>
      </x:c>
      <x:c r="H274" s="19" t="str">
        <x:v>transport-node:a01c7bd1-6ea7-5024-b83e-a2a4f2214782</x:v>
      </x:c>
      <x:c r="I274" s="18" t="str">
        <x:v>transport-hub-review:a8a9261d-2513-5c91-a475-f856442b38ab</x:v>
      </x:c>
      <x:c r="J274" s="18" t="str">
        <x:v>否</x:v>
      </x:c>
    </x:row>
    <x:row r="275" ht="28" customHeight="1">
      <x:c r="A275" s="19" t="str">
        <x:v>新横浜</x:v>
      </x:c>
      <x:c r="B275" s="18" t="str">
        <x:v>新横浜</x:v>
      </x:c>
      <x:c r="C275" s="18" t="str">
        <x:v>横浜市</x:v>
      </x:c>
      <x:c r="D275" s="18" t="str">
        <x:v>metro</x:v>
      </x:c>
      <x:c r="E275" s="19" t="str">
        <x:v>T2</x:v>
      </x:c>
      <x:c r="F275" s="19" t="str">
        <x:v>3号線</x:v>
      </x:c>
      <x:c r="G275" s="19" t="str">
        <x:v>候选已存在，组件待审核</x:v>
      </x:c>
      <x:c r="H275" s="19" t="str">
        <x:v>transport-node:6bb1116d-6395-5bc4-afac-aba9b4487be5</x:v>
      </x:c>
      <x:c r="I275" s="18" t="str">
        <x:v>transport-hub-review:a8a9261d-2513-5c91-a475-f856442b38ab</x:v>
      </x:c>
      <x:c r="J275" s="18" t="str">
        <x:v>否</x:v>
      </x:c>
    </x:row>
    <x:row r="276" ht="33" customHeight="1">
      <x:c r="A276" s="19" t="str">
        <x:v>新宿三丁目</x:v>
      </x:c>
      <x:c r="B276" s="18" t="str">
        <x:v>新宿三丁目</x:v>
      </x:c>
      <x:c r="C276" s="18" t="str">
        <x:v>東京地下鉄</x:v>
      </x:c>
      <x:c r="D276" s="18" t="str">
        <x:v>metro</x:v>
      </x:c>
      <x:c r="E276" s="19" t="str">
        <x:v>T1</x:v>
      </x:c>
      <x:c r="F276" s="19" t="str">
        <x:v>13号線副都心線
4号線丸ノ内線</x:v>
      </x:c>
      <x:c r="G276" s="19" t="str">
        <x:v>候选已存在，组件待审核</x:v>
      </x:c>
      <x:c r="H276" s="19" t="str">
        <x:v>transport-node:86e4a472-b2ab-56fc-853a-764a853d9fb8</x:v>
      </x:c>
      <x:c r="I276" s="18" t="str">
        <x:v>transport-hub-review:215d242c-3ae0-5650-adb4-0aa78b67e393</x:v>
      </x:c>
      <x:c r="J276" s="18" t="str">
        <x:v>否</x:v>
      </x:c>
    </x:row>
    <x:row r="277" ht="28" customHeight="1">
      <x:c r="A277" s="19" t="str">
        <x:v>新宿三丁目</x:v>
      </x:c>
      <x:c r="B277" s="18" t="str">
        <x:v>新宿三丁目</x:v>
      </x:c>
      <x:c r="C277" s="18" t="str">
        <x:v>東京都</x:v>
      </x:c>
      <x:c r="D277" s="18" t="str">
        <x:v>metro</x:v>
      </x:c>
      <x:c r="E277" s="19" t="str">
        <x:v>T2</x:v>
      </x:c>
      <x:c r="F277" s="19" t="str">
        <x:v>10号線新宿線</x:v>
      </x:c>
      <x:c r="G277" s="19" t="str">
        <x:v>候选已存在，组件待审核</x:v>
      </x:c>
      <x:c r="H277" s="19" t="str">
        <x:v>transport-node:7366ebb0-a86d-5f24-80e5-37521bda63af</x:v>
      </x:c>
      <x:c r="I277" s="18" t="str">
        <x:v>transport-hub-review:215d242c-3ae0-5650-adb4-0aa78b67e393</x:v>
      </x:c>
      <x:c r="J277" s="18" t="str">
        <x:v>否</x:v>
      </x:c>
    </x:row>
    <x:row r="278" ht="33" customHeight="1">
      <x:c r="A278" s="19" t="str">
        <x:v>新大阪</x:v>
      </x:c>
      <x:c r="B278" s="18" t="str">
        <x:v>新大阪</x:v>
      </x:c>
      <x:c r="C278" s="18" t="str">
        <x:v>西日本旅客鉄道</x:v>
      </x:c>
      <x:c r="D278" s="18" t="str">
        <x:v>conventional_rail</x:v>
      </x:c>
      <x:c r="E278" s="19" t="str">
        <x:v>T1</x:v>
      </x:c>
      <x:c r="F278" s="19" t="str">
        <x:v>おおさか東線
東海道線</x:v>
      </x:c>
      <x:c r="G278" s="19" t="str">
        <x:v>候选已存在，组件待审核</x:v>
      </x:c>
      <x:c r="H278" s="19" t="str">
        <x:v>transport-node:0663cba4-444d-5601-ab9c-b6d7ef355aae</x:v>
      </x:c>
      <x:c r="I278" s="18" t="str">
        <x:v>transport-hub-review:dfd6abd3-d2f1-5e4d-bf7c-a0072bc59fa4</x:v>
      </x:c>
      <x:c r="J278" s="18" t="str">
        <x:v>否</x:v>
      </x:c>
    </x:row>
    <x:row r="279" ht="28" customHeight="1">
      <x:c r="A279" s="19" t="str">
        <x:v>新大阪</x:v>
      </x:c>
      <x:c r="B279" s="18" t="str">
        <x:v>新大阪</x:v>
      </x:c>
      <x:c r="C279" s="18" t="str">
        <x:v>西日本旅客鉄道</x:v>
      </x:c>
      <x:c r="D279" s="18" t="str">
        <x:v>shinkansen</x:v>
      </x:c>
      <x:c r="E279" s="19" t="str">
        <x:v>null</x:v>
      </x:c>
      <x:c r="F279" s="19" t="str">
        <x:v>山陽新幹線</x:v>
      </x:c>
      <x:c r="G279" s="19" t="str">
        <x:v>候选已存在，组件待审核</x:v>
      </x:c>
      <x:c r="H279" s="19" t="str">
        <x:v>transport-node:e080eaa8-222e-52cf-868c-eb4ab2213d91</x:v>
      </x:c>
      <x:c r="I279" s="18" t="str">
        <x:v>transport-hub-review:dfd6abd3-d2f1-5e4d-bf7c-a0072bc59fa4</x:v>
      </x:c>
      <x:c r="J279" s="18" t="str">
        <x:v>否</x:v>
      </x:c>
    </x:row>
    <x:row r="280" ht="28" customHeight="1">
      <x:c r="A280" s="19" t="str">
        <x:v>新大阪</x:v>
      </x:c>
      <x:c r="B280" s="18" t="str">
        <x:v>新大阪</x:v>
      </x:c>
      <x:c r="C280" s="18" t="str">
        <x:v>東海旅客鉄道</x:v>
      </x:c>
      <x:c r="D280" s="18" t="str">
        <x:v>shinkansen</x:v>
      </x:c>
      <x:c r="E280" s="19" t="str">
        <x:v>T1</x:v>
      </x:c>
      <x:c r="F280" s="19" t="str">
        <x:v>東海道新幹線</x:v>
      </x:c>
      <x:c r="G280" s="19" t="str">
        <x:v>候选已存在，组件待审核</x:v>
      </x:c>
      <x:c r="H280" s="19" t="str">
        <x:v>transport-node:a5a535f3-e9a8-565e-9efe-ea70928ad8ef</x:v>
      </x:c>
      <x:c r="I280" s="18" t="str">
        <x:v>transport-hub-review:dfd6abd3-d2f1-5e4d-bf7c-a0072bc59fa4</x:v>
      </x:c>
      <x:c r="J280" s="18" t="str">
        <x:v>否</x:v>
      </x:c>
    </x:row>
    <x:row r="281" ht="28" customHeight="1">
      <x:c r="A281" s="19" t="str">
        <x:v>新大阪</x:v>
      </x:c>
      <x:c r="B281" s="18" t="str">
        <x:v>新大阪</x:v>
      </x:c>
      <x:c r="C281" s="18" t="str">
        <x:v>大阪市高速電気軌道</x:v>
      </x:c>
      <x:c r="D281" s="18" t="str">
        <x:v>metro</x:v>
      </x:c>
      <x:c r="E281" s="19" t="str">
        <x:v>T1</x:v>
      </x:c>
      <x:c r="F281" s="19" t="str">
        <x:v>1号線(御堂筋線)</x:v>
      </x:c>
      <x:c r="G281" s="19" t="str">
        <x:v>候选已存在，组件待审核</x:v>
      </x:c>
      <x:c r="H281" s="19" t="str">
        <x:v>transport-node:5ac1a1f5-9b57-5081-9e54-92a8c824e06a</x:v>
      </x:c>
      <x:c r="I281" s="18" t="str">
        <x:v>transport-hub-review:dfd6abd3-d2f1-5e4d-bf7c-a0072bc59fa4</x:v>
      </x:c>
      <x:c r="J281" s="18" t="str">
        <x:v>否</x:v>
      </x:c>
    </x:row>
    <x:row r="282" ht="33" customHeight="1">
      <x:c r="A282" s="19" t="str">
        <x:v>新百合ヶ丘</x:v>
      </x:c>
      <x:c r="B282" s="18" t="str">
        <x:v>新百合ヶ丘</x:v>
      </x:c>
      <x:c r="C282" s="18" t="str">
        <x:v>小田急電鉄</x:v>
      </x:c>
      <x:c r="D282" s="18" t="str">
        <x:v>private_rail</x:v>
      </x:c>
      <x:c r="E282" s="19" t="str">
        <x:v>T1</x:v>
      </x:c>
      <x:c r="F282" s="19" t="str">
        <x:v>多摩線
小田原線</x:v>
      </x:c>
      <x:c r="G282" s="19" t="str">
        <x:v>候选已存在，组件待审核</x:v>
      </x:c>
      <x:c r="H282" s="19" t="str">
        <x:v>transport-node:7456262c-aff0-5bca-8003-206b666ba178</x:v>
      </x:c>
      <x:c r="I282" s="18" t="str">
        <x:v>transport-hub-review:081cf655-2c15-5604-8388-fcc3a017ba8b</x:v>
      </x:c>
      <x:c r="J282" s="18" t="str">
        <x:v>否</x:v>
      </x:c>
    </x:row>
    <x:row r="283" ht="28" customHeight="1">
      <x:c r="A283" s="19" t="str">
        <x:v>新木場</x:v>
      </x:c>
      <x:c r="B283" s="18" t="str">
        <x:v>新木場</x:v>
      </x:c>
      <x:c r="C283" s="18" t="str">
        <x:v>東京地下鉄</x:v>
      </x:c>
      <x:c r="D283" s="18" t="str">
        <x:v>metro</x:v>
      </x:c>
      <x:c r="E283" s="19" t="str">
        <x:v>T1</x:v>
      </x:c>
      <x:c r="F283" s="19" t="str">
        <x:v>8号線有楽町線</x:v>
      </x:c>
      <x:c r="G283" s="19" t="str">
        <x:v>候选已存在，组件待审核</x:v>
      </x:c>
      <x:c r="H283" s="19" t="str">
        <x:v>transport-node:29061f55-92fc-53bb-b488-2e8ec002c417</x:v>
      </x:c>
      <x:c r="I283" s="18" t="str">
        <x:v>transport-hub-review:1473438c-e174-5f25-bd0e-c716aad9dc00</x:v>
      </x:c>
      <x:c r="J283" s="18" t="str">
        <x:v>否</x:v>
      </x:c>
    </x:row>
    <x:row r="284" ht="28" customHeight="1">
      <x:c r="A284" s="19" t="str">
        <x:v>新木場</x:v>
      </x:c>
      <x:c r="B284" s="18" t="str">
        <x:v>新木場</x:v>
      </x:c>
      <x:c r="C284" s="18" t="str">
        <x:v>東日本旅客鉄道</x:v>
      </x:c>
      <x:c r="D284" s="18" t="str">
        <x:v>conventional_rail</x:v>
      </x:c>
      <x:c r="E284" s="19" t="str">
        <x:v>T1</x:v>
      </x:c>
      <x:c r="F284" s="19" t="str">
        <x:v>京葉線</x:v>
      </x:c>
      <x:c r="G284" s="19" t="str">
        <x:v>候选已存在，组件待审核</x:v>
      </x:c>
      <x:c r="H284" s="19" t="str">
        <x:v>transport-node:cab99a51-db87-5b9f-8fa6-cf510e73ef38</x:v>
      </x:c>
      <x:c r="I284" s="18" t="str">
        <x:v>transport-hub-review:1473438c-e174-5f25-bd0e-c716aad9dc00</x:v>
      </x:c>
      <x:c r="J284" s="18" t="str">
        <x:v>否</x:v>
      </x:c>
    </x:row>
    <x:row r="285" ht="28" customHeight="1">
      <x:c r="A285" s="19" t="str">
        <x:v>新木場</x:v>
      </x:c>
      <x:c r="B285" s="18" t="str">
        <x:v>新木場</x:v>
      </x:c>
      <x:c r="C285" s="18" t="str">
        <x:v>東京臨海高速鉄道</x:v>
      </x:c>
      <x:c r="D285" s="18" t="str">
        <x:v>private_rail</x:v>
      </x:c>
      <x:c r="E285" s="19" t="str">
        <x:v>T1</x:v>
      </x:c>
      <x:c r="F285" s="19" t="str">
        <x:v>臨海副都心線</x:v>
      </x:c>
      <x:c r="G285" s="19" t="str">
        <x:v>候选已存在，组件待审核</x:v>
      </x:c>
      <x:c r="H285" s="19" t="str">
        <x:v>transport-node:f4150a2f-1422-54d5-835c-4f572436851e</x:v>
      </x:c>
      <x:c r="I285" s="18" t="str">
        <x:v>transport-hub-review:1473438c-e174-5f25-bd0e-c716aad9dc00</x:v>
      </x:c>
      <x:c r="J285" s="18" t="str">
        <x:v>否</x:v>
      </x:c>
    </x:row>
    <x:row r="286" ht="33" customHeight="1">
      <x:c r="A286" s="19" t="str">
        <x:v>神戸・ハーバーランド</x:v>
      </x:c>
      <x:c r="B286" s="18" t="str">
        <x:v>神戸</x:v>
      </x:c>
      <x:c r="C286" s="18" t="str">
        <x:v>西日本旅客鉄道</x:v>
      </x:c>
      <x:c r="D286" s="18" t="str">
        <x:v>conventional_rail</x:v>
      </x:c>
      <x:c r="E286" s="19" t="str">
        <x:v>T1</x:v>
      </x:c>
      <x:c r="F286" s="19" t="str">
        <x:v>山陽線
東海道線</x:v>
      </x:c>
      <x:c r="G286" s="19" t="str">
        <x:v>候选已存在，组件待审核</x:v>
      </x:c>
      <x:c r="H286" s="19" t="str">
        <x:v>transport-node:13de0a4c-67b3-5352-8e6b-15c02041c227</x:v>
      </x:c>
      <x:c r="I286" s="18" t="str">
        <x:v>transport-hub-review:ef2b178f-c070-5236-934d-cca402fa7af5</x:v>
      </x:c>
      <x:c r="J286" s="18" t="str">
        <x:v>否</x:v>
      </x:c>
    </x:row>
    <x:row r="287" ht="28" customHeight="1">
      <x:c r="A287" s="19" t="str">
        <x:v>神戸・ハーバーランド</x:v>
      </x:c>
      <x:c r="B287" s="18" t="str">
        <x:v>ハーバーランド</x:v>
      </x:c>
      <x:c r="C287" s="18" t="str">
        <x:v>神戸市</x:v>
      </x:c>
      <x:c r="D287" s="18" t="str">
        <x:v>metro</x:v>
      </x:c>
      <x:c r="E287" s="19" t="str">
        <x:v>T2</x:v>
      </x:c>
      <x:c r="F287" s="19" t="str">
        <x:v>海岸線</x:v>
      </x:c>
      <x:c r="G287" s="19" t="str">
        <x:v>候选已存在，组件待审核</x:v>
      </x:c>
      <x:c r="H287" s="19" t="str">
        <x:v>transport-node:b4df321e-cf51-5062-8192-822fad367cb9</x:v>
      </x:c>
      <x:c r="I287" s="18" t="str">
        <x:v>transport-hub-review:ef2b178f-c070-5236-934d-cca402fa7af5</x:v>
      </x:c>
      <x:c r="J287" s="18" t="str">
        <x:v>否</x:v>
      </x:c>
    </x:row>
    <x:row r="288" ht="28" customHeight="1">
      <x:c r="A288" s="19" t="str">
        <x:v>神田</x:v>
      </x:c>
      <x:c r="B288" s="18" t="str">
        <x:v>神田</x:v>
      </x:c>
      <x:c r="C288" s="18" t="str">
        <x:v>東京地下鉄</x:v>
      </x:c>
      <x:c r="D288" s="18" t="str">
        <x:v>metro</x:v>
      </x:c>
      <x:c r="E288" s="19" t="str">
        <x:v>T1</x:v>
      </x:c>
      <x:c r="F288" s="19" t="str">
        <x:v>3号線銀座線</x:v>
      </x:c>
      <x:c r="G288" s="19" t="str">
        <x:v>候选已存在，组件待审核</x:v>
      </x:c>
      <x:c r="H288" s="19" t="str">
        <x:v>transport-node:0345ded4-872d-547c-b249-b2ca30584dac</x:v>
      </x:c>
      <x:c r="I288" s="18" t="str">
        <x:v>transport-hub-review:599b74f6-e954-51c3-9bcb-acdb996bbef4</x:v>
      </x:c>
      <x:c r="J288" s="18" t="str">
        <x:v>否</x:v>
      </x:c>
    </x:row>
    <x:row r="289" ht="33" customHeight="1">
      <x:c r="A289" s="19" t="str">
        <x:v>神田</x:v>
      </x:c>
      <x:c r="B289" s="18" t="str">
        <x:v>神田</x:v>
      </x:c>
      <x:c r="C289" s="18" t="str">
        <x:v>東日本旅客鉄道</x:v>
      </x:c>
      <x:c r="D289" s="18" t="str">
        <x:v>conventional_rail</x:v>
      </x:c>
      <x:c r="E289" s="19" t="str">
        <x:v>T1</x:v>
      </x:c>
      <x:c r="F289" s="19" t="str">
        <x:v>中央線
東北線</x:v>
      </x:c>
      <x:c r="G289" s="19" t="str">
        <x:v>候选已存在，组件待审核</x:v>
      </x:c>
      <x:c r="H289" s="19" t="str">
        <x:v>transport-node:796854df-1d8c-5af9-b61c-b3ffffccc706</x:v>
      </x:c>
      <x:c r="I289" s="18" t="str">
        <x:v>transport-hub-review:599b74f6-e954-51c3-9bcb-acdb996bbef4</x:v>
      </x:c>
      <x:c r="J289" s="18" t="str">
        <x:v>否</x:v>
      </x:c>
    </x:row>
    <x:row r="290" ht="28" customHeight="1">
      <x:c r="A290" s="19" t="str">
        <x:v>神保町</x:v>
      </x:c>
      <x:c r="B290" s="18" t="str">
        <x:v>神保町</x:v>
      </x:c>
      <x:c r="C290" s="18" t="str">
        <x:v>東京地下鉄</x:v>
      </x:c>
      <x:c r="D290" s="18" t="str">
        <x:v>metro</x:v>
      </x:c>
      <x:c r="E290" s="19" t="str">
        <x:v>T1</x:v>
      </x:c>
      <x:c r="F290" s="19" t="str">
        <x:v>11号線半蔵門線</x:v>
      </x:c>
      <x:c r="G290" s="19" t="str">
        <x:v>候选已存在，组件待审核</x:v>
      </x:c>
      <x:c r="H290" s="19" t="str">
        <x:v>transport-node:845a2cfe-d113-5460-bad8-0c563276295b</x:v>
      </x:c>
      <x:c r="I290" s="18" t="str">
        <x:v>transport-hub-review:890e82e4-b9c1-52e2-b8e7-92d81e6f4da3</x:v>
      </x:c>
      <x:c r="J290" s="18" t="str">
        <x:v>否</x:v>
      </x:c>
    </x:row>
    <x:row r="291" ht="33" customHeight="1">
      <x:c r="A291" s="19" t="str">
        <x:v>神保町</x:v>
      </x:c>
      <x:c r="B291" s="18" t="str">
        <x:v>神保町</x:v>
      </x:c>
      <x:c r="C291" s="18" t="str">
        <x:v>東京都</x:v>
      </x:c>
      <x:c r="D291" s="18" t="str">
        <x:v>metro</x:v>
      </x:c>
      <x:c r="E291" s="19" t="str">
        <x:v>T1</x:v>
      </x:c>
      <x:c r="F291" s="19" t="str">
        <x:v>10号線新宿線
6号線三田線</x:v>
      </x:c>
      <x:c r="G291" s="19" t="str">
        <x:v>候选已存在，组件待审核</x:v>
      </x:c>
      <x:c r="H291" s="19" t="str">
        <x:v>transport-node:1e81685e-e33c-507c-9f55-a850aced074e</x:v>
      </x:c>
      <x:c r="I291" s="18" t="str">
        <x:v>transport-hub-review:890e82e4-b9c1-52e2-b8e7-92d81e6f4da3</x:v>
      </x:c>
      <x:c r="J291" s="18" t="str">
        <x:v>否</x:v>
      </x:c>
    </x:row>
    <x:row r="292" ht="28" customHeight="1">
      <x:c r="A292" s="19" t="str">
        <x:v>人形町・水天宮前</x:v>
      </x:c>
      <x:c r="B292" s="18" t="str">
        <x:v>人形町</x:v>
      </x:c>
      <x:c r="C292" s="18" t="str">
        <x:v>東京地下鉄</x:v>
      </x:c>
      <x:c r="D292" s="18" t="str">
        <x:v>metro</x:v>
      </x:c>
      <x:c r="E292" s="19" t="str">
        <x:v>T1</x:v>
      </x:c>
      <x:c r="F292" s="19" t="str">
        <x:v>2号線日比谷線</x:v>
      </x:c>
      <x:c r="G292" s="19" t="str">
        <x:v>候选已存在，组件待审核</x:v>
      </x:c>
      <x:c r="H292" s="19" t="str">
        <x:v>transport-node:2395befb-29c9-505d-986f-f1cd4660e2d4</x:v>
      </x:c>
      <x:c r="I292" s="18" t="str">
        <x:v>transport-hub-review:76cbe37f-dbdc-5add-9497-0a4659fbcb8c</x:v>
      </x:c>
      <x:c r="J292" s="18" t="str">
        <x:v>否</x:v>
      </x:c>
    </x:row>
    <x:row r="293" ht="28" customHeight="1">
      <x:c r="A293" s="19" t="str">
        <x:v>人形町・水天宮前</x:v>
      </x:c>
      <x:c r="B293" s="18" t="str">
        <x:v>水天宮前</x:v>
      </x:c>
      <x:c r="C293" s="18" t="str">
        <x:v>東京地下鉄</x:v>
      </x:c>
      <x:c r="D293" s="18" t="str">
        <x:v>metro</x:v>
      </x:c>
      <x:c r="E293" s="19" t="str">
        <x:v>T1</x:v>
      </x:c>
      <x:c r="F293" s="19" t="str">
        <x:v>11号線半蔵門線</x:v>
      </x:c>
      <x:c r="G293" s="19" t="str">
        <x:v>候选已存在，组件待审核</x:v>
      </x:c>
      <x:c r="H293" s="19" t="str">
        <x:v>transport-node:d0c03f83-055b-56dc-b7e3-d1a5aaa1f1da</x:v>
      </x:c>
      <x:c r="I293" s="18" t="str">
        <x:v>transport-hub-review:76cbe37f-dbdc-5add-9497-0a4659fbcb8c</x:v>
      </x:c>
      <x:c r="J293" s="18" t="str">
        <x:v>否</x:v>
      </x:c>
    </x:row>
    <x:row r="294" ht="28" customHeight="1">
      <x:c r="A294" s="19" t="str">
        <x:v>人形町・水天宮前</x:v>
      </x:c>
      <x:c r="B294" s="18" t="str">
        <x:v>人形町</x:v>
      </x:c>
      <x:c r="C294" s="18" t="str">
        <x:v>東京都</x:v>
      </x:c>
      <x:c r="D294" s="18" t="str">
        <x:v>metro</x:v>
      </x:c>
      <x:c r="E294" s="19" t="str">
        <x:v>T2</x:v>
      </x:c>
      <x:c r="F294" s="19" t="str">
        <x:v>1号線浅草線</x:v>
      </x:c>
      <x:c r="G294" s="19" t="str">
        <x:v>候选已存在，组件待审核</x:v>
      </x:c>
      <x:c r="H294" s="19" t="str">
        <x:v>transport-node:c09d0536-6ecf-5b66-a9c4-d989c3ae99b4</x:v>
      </x:c>
      <x:c r="I294" s="18" t="str">
        <x:v>transport-hub-review:76cbe37f-dbdc-5add-9497-0a4659fbcb8c</x:v>
      </x:c>
      <x:c r="J294" s="18" t="str">
        <x:v>否</x:v>
      </x:c>
    </x:row>
    <x:row r="295" ht="28" customHeight="1">
      <x:c r="A295" s="19" t="str">
        <x:v>水道橋</x:v>
      </x:c>
      <x:c r="B295" s="18" t="str">
        <x:v>水道橋</x:v>
      </x:c>
      <x:c r="C295" s="18" t="str">
        <x:v>東京都</x:v>
      </x:c>
      <x:c r="D295" s="18" t="str">
        <x:v>metro</x:v>
      </x:c>
      <x:c r="E295" s="19" t="str">
        <x:v>T2</x:v>
      </x:c>
      <x:c r="F295" s="19" t="str">
        <x:v>6号線三田線</x:v>
      </x:c>
      <x:c r="G295" s="19" t="str">
        <x:v>候选已存在，组件待审核</x:v>
      </x:c>
      <x:c r="H295" s="19" t="str">
        <x:v>transport-node:2dddb552-6f8d-5eef-b61f-ce7303e8fe65</x:v>
      </x:c>
      <x:c r="I295" s="18" t="str">
        <x:v>transport-hub-review:10985cbb-a814-5011-8c78-2634eccee5d9</x:v>
      </x:c>
      <x:c r="J295" s="18" t="str">
        <x:v>否</x:v>
      </x:c>
    </x:row>
    <x:row r="296" ht="28" customHeight="1">
      <x:c r="A296" s="19" t="str">
        <x:v>水道橋</x:v>
      </x:c>
      <x:c r="B296" s="18" t="str">
        <x:v>水道橋</x:v>
      </x:c>
      <x:c r="C296" s="18" t="str">
        <x:v>東日本旅客鉄道</x:v>
      </x:c>
      <x:c r="D296" s="18" t="str">
        <x:v>conventional_rail</x:v>
      </x:c>
      <x:c r="E296" s="19" t="str">
        <x:v>T1</x:v>
      </x:c>
      <x:c r="F296" s="19" t="str">
        <x:v>中央線</x:v>
      </x:c>
      <x:c r="G296" s="19" t="str">
        <x:v>候选已存在，组件待审核</x:v>
      </x:c>
      <x:c r="H296" s="19" t="str">
        <x:v>transport-node:4d4604a3-db69-55db-9c27-b8cfbca3868a</x:v>
      </x:c>
      <x:c r="I296" s="18" t="str">
        <x:v>transport-hub-review:10985cbb-a814-5011-8c78-2634eccee5d9</x:v>
      </x:c>
      <x:c r="J296" s="18" t="str">
        <x:v>否</x:v>
      </x:c>
    </x:row>
    <x:row r="297" ht="28" customHeight="1">
      <x:c r="A297" s="19" t="str">
        <x:v>清澄白河</x:v>
      </x:c>
      <x:c r="B297" s="18" t="str">
        <x:v>清澄白河</x:v>
      </x:c>
      <x:c r="C297" s="18" t="str">
        <x:v>東京地下鉄</x:v>
      </x:c>
      <x:c r="D297" s="18" t="str">
        <x:v>metro</x:v>
      </x:c>
      <x:c r="E297" s="19" t="str">
        <x:v>T1</x:v>
      </x:c>
      <x:c r="F297" s="19" t="str">
        <x:v>11号線半蔵門線</x:v>
      </x:c>
      <x:c r="G297" s="19" t="str">
        <x:v>候选已存在，组件待审核</x:v>
      </x:c>
      <x:c r="H297" s="19" t="str">
        <x:v>transport-node:09e616b2-c307-586a-ae08-9e9f5e75febb</x:v>
      </x:c>
      <x:c r="I297" s="18" t="str">
        <x:v>transport-hub-review:a6edf52f-3d6b-58c8-878c-94ade8ea4934</x:v>
      </x:c>
      <x:c r="J297" s="18" t="str">
        <x:v>否</x:v>
      </x:c>
    </x:row>
    <x:row r="298" ht="28" customHeight="1">
      <x:c r="A298" s="19" t="str">
        <x:v>清澄白河</x:v>
      </x:c>
      <x:c r="B298" s="18" t="str">
        <x:v>清澄白河</x:v>
      </x:c>
      <x:c r="C298" s="18" t="str">
        <x:v>東京都</x:v>
      </x:c>
      <x:c r="D298" s="18" t="str">
        <x:v>metro</x:v>
      </x:c>
      <x:c r="E298" s="19" t="str">
        <x:v>T2</x:v>
      </x:c>
      <x:c r="F298" s="19" t="str">
        <x:v>12号線大江戸線</x:v>
      </x:c>
      <x:c r="G298" s="19" t="str">
        <x:v>候选已存在，组件待审核</x:v>
      </x:c>
      <x:c r="H298" s="19" t="str">
        <x:v>transport-node:6d2739d8-278e-5191-bac0-7fc4b5b4ff68</x:v>
      </x:c>
      <x:c r="I298" s="18" t="str">
        <x:v>transport-hub-review:a6edf52f-3d6b-58c8-878c-94ade8ea4934</x:v>
      </x:c>
      <x:c r="J298" s="18" t="str">
        <x:v>否</x:v>
      </x:c>
    </x:row>
    <x:row r="299" ht="28" customHeight="1">
      <x:c r="A299" s="19" t="str">
        <x:v>西中島南方・南方</x:v>
      </x:c>
      <x:c r="B299" s="18" t="str">
        <x:v>西中島南方</x:v>
      </x:c>
      <x:c r="C299" s="18" t="str">
        <x:v>大阪市高速電気軌道</x:v>
      </x:c>
      <x:c r="D299" s="18" t="str">
        <x:v>metro</x:v>
      </x:c>
      <x:c r="E299" s="19" t="str">
        <x:v>T1</x:v>
      </x:c>
      <x:c r="F299" s="19" t="str">
        <x:v>1号線(御堂筋線)</x:v>
      </x:c>
      <x:c r="G299" s="19" t="str">
        <x:v>候选已存在，组件待审核</x:v>
      </x:c>
      <x:c r="H299" s="19" t="str">
        <x:v>transport-node:072ce89a-b16e-5071-a30c-7a613a15fd74</x:v>
      </x:c>
      <x:c r="I299" s="18" t="str">
        <x:v>transport-hub-review:aa489796-0024-524c-8d16-92039b2e4d8a</x:v>
      </x:c>
      <x:c r="J299" s="18" t="str">
        <x:v>否</x:v>
      </x:c>
    </x:row>
    <x:row r="300" ht="28" customHeight="1">
      <x:c r="A300" s="19" t="str">
        <x:v>西中島南方・南方</x:v>
      </x:c>
      <x:c r="B300" s="18" t="str">
        <x:v>南方</x:v>
      </x:c>
      <x:c r="C300" s="18" t="str">
        <x:v>阪急電鉄</x:v>
      </x:c>
      <x:c r="D300" s="18" t="str">
        <x:v>private_rail</x:v>
      </x:c>
      <x:c r="E300" s="19" t="str">
        <x:v>T2</x:v>
      </x:c>
      <x:c r="F300" s="19" t="str">
        <x:v>京都線</x:v>
      </x:c>
      <x:c r="G300" s="19" t="str">
        <x:v>候选已存在，组件待审核</x:v>
      </x:c>
      <x:c r="H300" s="19" t="str">
        <x:v>transport-node:e132aa31-95b6-5b73-bcff-81c5953f6f63</x:v>
      </x:c>
      <x:c r="I300" s="18" t="str">
        <x:v>transport-hub-review:aa489796-0024-524c-8d16-92039b2e4d8a</x:v>
      </x:c>
      <x:c r="J300" s="18" t="str">
        <x:v>否</x:v>
      </x:c>
    </x:row>
    <x:row r="301" ht="28" customHeight="1">
      <x:c r="A301" s="19" t="str">
        <x:v>西日暮里</x:v>
      </x:c>
      <x:c r="B301" s="18" t="str">
        <x:v>西日暮里</x:v>
      </x:c>
      <x:c r="C301" s="18" t="str">
        <x:v>東京地下鉄</x:v>
      </x:c>
      <x:c r="D301" s="18" t="str">
        <x:v>metro</x:v>
      </x:c>
      <x:c r="E301" s="19" t="str">
        <x:v>T1</x:v>
      </x:c>
      <x:c r="F301" s="19" t="str">
        <x:v>9号線千代田線</x:v>
      </x:c>
      <x:c r="G301" s="19" t="str">
        <x:v>候选已存在，组件待审核</x:v>
      </x:c>
      <x:c r="H301" s="19" t="str">
        <x:v>transport-node:b37f9352-3f6f-5243-a24b-d90476422ca8</x:v>
      </x:c>
      <x:c r="I301" s="18" t="str">
        <x:v>transport-hub-review:5703fdbe-baa3-52c5-b6b8-c52d94dbcfbe</x:v>
      </x:c>
      <x:c r="J301" s="18" t="str">
        <x:v>否</x:v>
      </x:c>
    </x:row>
    <x:row r="302" ht="28" customHeight="1">
      <x:c r="A302" s="19" t="str">
        <x:v>西日暮里</x:v>
      </x:c>
      <x:c r="B302" s="18" t="str">
        <x:v>西日暮里</x:v>
      </x:c>
      <x:c r="C302" s="18" t="str">
        <x:v>東日本旅客鉄道</x:v>
      </x:c>
      <x:c r="D302" s="18" t="str">
        <x:v>conventional_rail</x:v>
      </x:c>
      <x:c r="E302" s="19" t="str">
        <x:v>T1</x:v>
      </x:c>
      <x:c r="F302" s="19" t="str">
        <x:v>東北線</x:v>
      </x:c>
      <x:c r="G302" s="19" t="str">
        <x:v>候选已存在，组件待审核</x:v>
      </x:c>
      <x:c r="H302" s="19" t="str">
        <x:v>transport-node:1259da7b-3086-5833-a39e-053102f34e7b</x:v>
      </x:c>
      <x:c r="I302" s="18" t="str">
        <x:v>transport-hub-review:5703fdbe-baa3-52c5-b6b8-c52d94dbcfbe</x:v>
      </x:c>
      <x:c r="J302" s="18" t="str">
        <x:v>否</x:v>
      </x:c>
    </x:row>
    <x:row r="303" ht="28" customHeight="1">
      <x:c r="A303" s="19" t="str">
        <x:v>西日暮里</x:v>
      </x:c>
      <x:c r="B303" s="18" t="str">
        <x:v>西日暮里</x:v>
      </x:c>
      <x:c r="C303" s="18" t="str">
        <x:v>東京都</x:v>
      </x:c>
      <x:c r="D303" s="18" t="str">
        <x:v>fixed_guideway</x:v>
      </x:c>
      <x:c r="E303" s="19" t="str">
        <x:v>T2</x:v>
      </x:c>
      <x:c r="F303" s="19" t="str">
        <x:v>日暮里・舎人ライナー</x:v>
      </x:c>
      <x:c r="G303" s="19" t="str">
        <x:v>候选已存在，组件待审核</x:v>
      </x:c>
      <x:c r="H303" s="19" t="str">
        <x:v>transport-node:85e1b515-0c35-57b3-9982-0bad9dd6ba92</x:v>
      </x:c>
      <x:c r="I303" s="18" t="str">
        <x:v>transport-hub-review:5703fdbe-baa3-52c5-b6b8-c52d94dbcfbe</x:v>
      </x:c>
      <x:c r="J303" s="18" t="str">
        <x:v>否</x:v>
      </x:c>
    </x:row>
    <x:row r="304" ht="33" customHeight="1">
      <x:c r="A304" s="19" t="str">
        <x:v>青山一丁目</x:v>
      </x:c>
      <x:c r="B304" s="18" t="str">
        <x:v>青山一丁目</x:v>
      </x:c>
      <x:c r="C304" s="18" t="str">
        <x:v>東京地下鉄</x:v>
      </x:c>
      <x:c r="D304" s="18" t="str">
        <x:v>metro</x:v>
      </x:c>
      <x:c r="E304" s="19" t="str">
        <x:v>T1</x:v>
      </x:c>
      <x:c r="F304" s="19" t="str">
        <x:v>11号線半蔵門線
3号線銀座線</x:v>
      </x:c>
      <x:c r="G304" s="19" t="str">
        <x:v>候选已存在，组件待审核</x:v>
      </x:c>
      <x:c r="H304" s="19" t="str">
        <x:v>transport-node:23d24b23-5149-5deb-921b-0e68fa9fb11b</x:v>
      </x:c>
      <x:c r="I304" s="18" t="str">
        <x:v>transport-hub-review:a7b1f514-2e72-5beb-9fff-5a498fdc0f0d</x:v>
      </x:c>
      <x:c r="J304" s="18" t="str">
        <x:v>否</x:v>
      </x:c>
    </x:row>
    <x:row r="305" ht="28" customHeight="1">
      <x:c r="A305" s="19" t="str">
        <x:v>青山一丁目</x:v>
      </x:c>
      <x:c r="B305" s="18" t="str">
        <x:v>青山一丁目</x:v>
      </x:c>
      <x:c r="C305" s="18" t="str">
        <x:v>東京都</x:v>
      </x:c>
      <x:c r="D305" s="18" t="str">
        <x:v>metro</x:v>
      </x:c>
      <x:c r="E305" s="19" t="str">
        <x:v>T2</x:v>
      </x:c>
      <x:c r="F305" s="19" t="str">
        <x:v>12号線大江戸線</x:v>
      </x:c>
      <x:c r="G305" s="19" t="str">
        <x:v>候选已存在，组件待审核</x:v>
      </x:c>
      <x:c r="H305" s="19" t="str">
        <x:v>transport-node:85773f16-5f4b-59d5-b72c-8eb4307d8bad</x:v>
      </x:c>
      <x:c r="I305" s="18" t="str">
        <x:v>transport-hub-review:a7b1f514-2e72-5beb-9fff-5a498fdc0f0d</x:v>
      </x:c>
      <x:c r="J305" s="18" t="str">
        <x:v>否</x:v>
      </x:c>
    </x:row>
    <x:row r="306" ht="28" customHeight="1">
      <x:c r="A306" s="19" t="str">
        <x:v>静岡</x:v>
      </x:c>
      <x:c r="B306" s="18" t="str">
        <x:v>静岡</x:v>
      </x:c>
      <x:c r="C306" s="18" t="str">
        <x:v>東海旅客鉄道</x:v>
      </x:c>
      <x:c r="D306" s="18" t="str">
        <x:v>shinkansen</x:v>
      </x:c>
      <x:c r="E306" s="19" t="str">
        <x:v>null</x:v>
      </x:c>
      <x:c r="F306" s="19" t="str">
        <x:v>東海道新幹線</x:v>
      </x:c>
      <x:c r="G306" s="19" t="str">
        <x:v>候选已存在，组件待审核</x:v>
      </x:c>
      <x:c r="H306" s="19" t="str">
        <x:v>transport-node:b88f02e4-7d1d-5bcf-a3c3-22c92b807027</x:v>
      </x:c>
      <x:c r="I306" s="18" t="str">
        <x:v>transport-hub-review:8fe3126f-9b4c-5c7b-9e51-138bbee94a23</x:v>
      </x:c>
      <x:c r="J306" s="18" t="str">
        <x:v>否</x:v>
      </x:c>
    </x:row>
    <x:row r="307" ht="28" customHeight="1">
      <x:c r="A307" s="19" t="str">
        <x:v>静岡</x:v>
      </x:c>
      <x:c r="B307" s="18" t="str">
        <x:v>静岡</x:v>
      </x:c>
      <x:c r="C307" s="18" t="str">
        <x:v>東海旅客鉄道</x:v>
      </x:c>
      <x:c r="D307" s="18" t="str">
        <x:v>conventional_rail</x:v>
      </x:c>
      <x:c r="E307" s="19" t="str">
        <x:v>T1</x:v>
      </x:c>
      <x:c r="F307" s="19" t="str">
        <x:v>東海道線</x:v>
      </x:c>
      <x:c r="G307" s="19" t="str">
        <x:v>候选已存在，组件待审核</x:v>
      </x:c>
      <x:c r="H307" s="19" t="str">
        <x:v>transport-node:0512f82e-d175-561c-8574-e1176256a5b2</x:v>
      </x:c>
      <x:c r="I307" s="18" t="str">
        <x:v>transport-hub-review:8fe3126f-9b4c-5c7b-9e51-138bbee94a23</x:v>
      </x:c>
      <x:c r="J307" s="18" t="str">
        <x:v>否</x:v>
      </x:c>
    </x:row>
    <x:row r="308" ht="28" customHeight="1">
      <x:c r="A308" s="19" t="str">
        <x:v>赤羽岩淵</x:v>
      </x:c>
      <x:c r="B308" s="18" t="str">
        <x:v>赤羽岩淵</x:v>
      </x:c>
      <x:c r="C308" s="18" t="str">
        <x:v>東京地下鉄</x:v>
      </x:c>
      <x:c r="D308" s="18" t="str">
        <x:v>metro</x:v>
      </x:c>
      <x:c r="E308" s="19" t="str">
        <x:v>T1</x:v>
      </x:c>
      <x:c r="F308" s="19" t="str">
        <x:v>7号線南北線</x:v>
      </x:c>
      <x:c r="G308" s="19" t="str">
        <x:v>候选已存在，组件待审核</x:v>
      </x:c>
      <x:c r="H308" s="19" t="str">
        <x:v>transport-node:fabab716-5dbf-5f73-b60d-5e1809004638</x:v>
      </x:c>
      <x:c r="I308" s="18" t="str">
        <x:v>transport-hub-review:c8bc851e-c188-55f5-ab7c-e4b9b892ec65</x:v>
      </x:c>
      <x:c r="J308" s="18" t="str">
        <x:v>否</x:v>
      </x:c>
    </x:row>
    <x:row r="309" ht="28" customHeight="1">
      <x:c r="A309" s="19" t="str">
        <x:v>赤羽岩淵</x:v>
      </x:c>
      <x:c r="B309" s="18" t="str">
        <x:v>赤羽岩淵</x:v>
      </x:c>
      <x:c r="C309" s="18" t="str">
        <x:v>埼玉高速鉄道</x:v>
      </x:c>
      <x:c r="D309" s="18" t="str">
        <x:v>private_rail</x:v>
      </x:c>
      <x:c r="E309" s="19" t="str">
        <x:v>null</x:v>
      </x:c>
      <x:c r="F309" s="19" t="str">
        <x:v>埼玉高速鉄道線</x:v>
      </x:c>
      <x:c r="G309" s="19" t="str">
        <x:v>候选已存在，组件待审核</x:v>
      </x:c>
      <x:c r="H309" s="19" t="str">
        <x:v>transport-node:3374ea3a-7d69-58fd-aff1-14237a9757c7</x:v>
      </x:c>
      <x:c r="I309" s="18" t="str">
        <x:v>transport-hub-review:c8bc851e-c188-55f5-ab7c-e4b9b892ec65</x:v>
      </x:c>
      <x:c r="J309" s="18" t="str">
        <x:v>否</x:v>
      </x:c>
    </x:row>
    <x:row r="310" ht="33" customHeight="1">
      <x:c r="A310" s="19" t="str">
        <x:v>赤坂見附・永田町</x:v>
      </x:c>
      <x:c r="B310" s="18" t="str">
        <x:v>赤坂見附</x:v>
      </x:c>
      <x:c r="C310" s="18" t="str">
        <x:v>東京地下鉄</x:v>
      </x:c>
      <x:c r="D310" s="18" t="str">
        <x:v>metro</x:v>
      </x:c>
      <x:c r="E310" s="19" t="str">
        <x:v>T1</x:v>
      </x:c>
      <x:c r="F310" s="19" t="str">
        <x:v>3号線銀座線
4号線丸ノ内線</x:v>
      </x:c>
      <x:c r="G310" s="19" t="str">
        <x:v>候选已存在，组件待审核</x:v>
      </x:c>
      <x:c r="H310" s="19" t="str">
        <x:v>transport-node:bd63f2a5-cc5d-5f3b-a76e-ab67430dfa5f</x:v>
      </x:c>
      <x:c r="I310" s="18" t="str">
        <x:v>transport-hub-review:62009126-e3fb-58c8-989e-dffdda74bf2b</x:v>
      </x:c>
      <x:c r="J310" s="18" t="str">
        <x:v>否</x:v>
      </x:c>
    </x:row>
    <x:row r="311" ht="47" customHeight="1">
      <x:c r="A311" s="19" t="str">
        <x:v>赤坂見附・永田町</x:v>
      </x:c>
      <x:c r="B311" s="18" t="str">
        <x:v>永田町</x:v>
      </x:c>
      <x:c r="C311" s="18" t="str">
        <x:v>東京地下鉄</x:v>
      </x:c>
      <x:c r="D311" s="18" t="str">
        <x:v>metro</x:v>
      </x:c>
      <x:c r="E311" s="19" t="str">
        <x:v>T1</x:v>
      </x:c>
      <x:c r="F311" s="19" t="str">
        <x:v>11号線半蔵門線
7号線南北線
8号線有楽町線</x:v>
      </x:c>
      <x:c r="G311" s="19" t="str">
        <x:v>候选已存在，组件待审核</x:v>
      </x:c>
      <x:c r="H311" s="19" t="str">
        <x:v>transport-node:e1952d70-ff8c-5235-9f10-9239b312dac4</x:v>
      </x:c>
      <x:c r="I311" s="18" t="str">
        <x:v>transport-hub-review:62009126-e3fb-58c8-989e-dffdda74bf2b</x:v>
      </x:c>
      <x:c r="J311" s="18" t="str">
        <x:v>否</x:v>
      </x:c>
    </x:row>
    <x:row r="312" ht="47" customHeight="1">
      <x:c r="A312" s="19" t="str">
        <x:v>仙台</x:v>
      </x:c>
      <x:c r="B312" s="18" t="str">
        <x:v>仙台</x:v>
      </x:c>
      <x:c r="C312" s="18" t="str">
        <x:v>東日本旅客鉄道</x:v>
      </x:c>
      <x:c r="D312" s="18" t="str">
        <x:v>conventional_rail</x:v>
      </x:c>
      <x:c r="E312" s="19" t="str">
        <x:v>T1</x:v>
      </x:c>
      <x:c r="F312" s="19" t="str">
        <x:v>仙山線
仙石線
東北線</x:v>
      </x:c>
      <x:c r="G312" s="19" t="str">
        <x:v>候选已存在，组件待审核</x:v>
      </x:c>
      <x:c r="H312" s="19" t="str">
        <x:v>transport-node:abcbeb9a-2f10-57b7-bb75-1d10581e35d2</x:v>
      </x:c>
      <x:c r="I312" s="18" t="str">
        <x:v>transport-hub-review:e264a5e6-b8fb-5e8c-bc0c-130a70bcf617</x:v>
      </x:c>
      <x:c r="J312" s="18" t="str">
        <x:v>否</x:v>
      </x:c>
    </x:row>
    <x:row r="313" ht="28" customHeight="1">
      <x:c r="A313" s="19" t="str">
        <x:v>仙台</x:v>
      </x:c>
      <x:c r="B313" s="18" t="str">
        <x:v>仙台</x:v>
      </x:c>
      <x:c r="C313" s="18" t="str">
        <x:v>東日本旅客鉄道</x:v>
      </x:c>
      <x:c r="D313" s="18" t="str">
        <x:v>shinkansen</x:v>
      </x:c>
      <x:c r="E313" s="19" t="str">
        <x:v>null</x:v>
      </x:c>
      <x:c r="F313" s="19" t="str">
        <x:v>東北新幹線</x:v>
      </x:c>
      <x:c r="G313" s="19" t="str">
        <x:v>候选已存在，组件待审核</x:v>
      </x:c>
      <x:c r="H313" s="19" t="str">
        <x:v>transport-node:a386a900-14d8-5095-b786-b3cb6aa402c3</x:v>
      </x:c>
      <x:c r="I313" s="18" t="str">
        <x:v>transport-hub-review:e264a5e6-b8fb-5e8c-bc0c-130a70bcf617</x:v>
      </x:c>
      <x:c r="J313" s="18" t="str">
        <x:v>否</x:v>
      </x:c>
    </x:row>
    <x:row r="314" ht="33" customHeight="1">
      <x:c r="A314" s="19" t="str">
        <x:v>仙台</x:v>
      </x:c>
      <x:c r="B314" s="18" t="str">
        <x:v>仙台</x:v>
      </x:c>
      <x:c r="C314" s="18" t="str">
        <x:v>仙台市</x:v>
      </x:c>
      <x:c r="D314" s="18" t="str">
        <x:v>metro</x:v>
      </x:c>
      <x:c r="E314" s="19" t="str">
        <x:v>T1</x:v>
      </x:c>
      <x:c r="F314" s="19" t="str">
        <x:v>南北線
東西線</x:v>
      </x:c>
      <x:c r="G314" s="19" t="str">
        <x:v>候选已存在，组件待审核</x:v>
      </x:c>
      <x:c r="H314" s="19" t="str">
        <x:v>transport-node:fdc50ead-35ad-5cf1-aa8c-1bdd0464c361</x:v>
      </x:c>
      <x:c r="I314" s="18" t="str">
        <x:v>transport-hub-review:e264a5e6-b8fb-5e8c-bc0c-130a70bcf617</x:v>
      </x:c>
      <x:c r="J314" s="18" t="str">
        <x:v>否</x:v>
      </x:c>
    </x:row>
    <x:row r="315" ht="28" customHeight="1">
      <x:c r="A315" s="19" t="str">
        <x:v>仙台</x:v>
      </x:c>
      <x:c r="B315" s="18" t="str">
        <x:v>あおば通</x:v>
      </x:c>
      <x:c r="C315" s="18" t="str">
        <x:v>東日本旅客鉄道</x:v>
      </x:c>
      <x:c r="D315" s="18" t="str">
        <x:v>conventional_rail</x:v>
      </x:c>
      <x:c r="E315" s="19" t="str">
        <x:v>T2</x:v>
      </x:c>
      <x:c r="F315" s="19" t="str">
        <x:v>仙石線</x:v>
      </x:c>
      <x:c r="G315" s="19" t="str">
        <x:v>候选已存在，组件待审核</x:v>
      </x:c>
      <x:c r="H315" s="19" t="str">
        <x:v>transport-node:f2e9893e-bfc6-5882-9d82-9c8461570cdc</x:v>
      </x:c>
      <x:c r="I315" s="18" t="str">
        <x:v>transport-hub-review:e264a5e6-b8fb-5e8c-bc0c-130a70bcf617</x:v>
      </x:c>
      <x:c r="J315" s="18" t="str">
        <x:v>否</x:v>
      </x:c>
    </x:row>
    <x:row r="316" ht="28" customHeight="1">
      <x:c r="A316" s="19" t="str">
        <x:v>千種</x:v>
      </x:c>
      <x:c r="B316" s="18" t="str">
        <x:v>千種</x:v>
      </x:c>
      <x:c r="C316" s="18" t="str">
        <x:v>名古屋市</x:v>
      </x:c>
      <x:c r="D316" s="18" t="str">
        <x:v>metro</x:v>
      </x:c>
      <x:c r="E316" s="19" t="str">
        <x:v>T2</x:v>
      </x:c>
      <x:c r="F316" s="19" t="str">
        <x:v>1号線東山線</x:v>
      </x:c>
      <x:c r="G316" s="19" t="str">
        <x:v>候选已存在，组件待审核</x:v>
      </x:c>
      <x:c r="H316" s="19" t="str">
        <x:v>transport-node:d70dd52b-8fa2-56d7-86fa-f5e163576674</x:v>
      </x:c>
      <x:c r="I316" s="18" t="str">
        <x:v>transport-hub-review:bb64316a-94ee-58b5-a255-80cef3cc83ef</x:v>
      </x:c>
      <x:c r="J316" s="18" t="str">
        <x:v>否</x:v>
      </x:c>
    </x:row>
    <x:row r="317" ht="28" customHeight="1">
      <x:c r="A317" s="19" t="str">
        <x:v>千種</x:v>
      </x:c>
      <x:c r="B317" s="18" t="str">
        <x:v>千種</x:v>
      </x:c>
      <x:c r="C317" s="18" t="str">
        <x:v>東海旅客鉄道</x:v>
      </x:c>
      <x:c r="D317" s="18" t="str">
        <x:v>conventional_rail</x:v>
      </x:c>
      <x:c r="E317" s="19" t="str">
        <x:v>T1</x:v>
      </x:c>
      <x:c r="F317" s="19" t="str">
        <x:v>中央線</x:v>
      </x:c>
      <x:c r="G317" s="19" t="str">
        <x:v>候选已存在，组件待审核</x:v>
      </x:c>
      <x:c r="H317" s="19" t="str">
        <x:v>transport-node:43aef148-67c2-5f46-9b07-d1ab242074aa</x:v>
      </x:c>
      <x:c r="I317" s="18" t="str">
        <x:v>transport-hub-review:bb64316a-94ee-58b5-a255-80cef3cc83ef</x:v>
      </x:c>
      <x:c r="J317" s="18" t="str">
        <x:v>否</x:v>
      </x:c>
    </x:row>
    <x:row r="318" ht="28" customHeight="1">
      <x:c r="A318" s="19" t="str">
        <x:v>川越</x:v>
      </x:c>
      <x:c r="B318" s="18" t="str">
        <x:v>川越</x:v>
      </x:c>
      <x:c r="C318" s="18" t="str">
        <x:v>東武鉄道</x:v>
      </x:c>
      <x:c r="D318" s="18" t="str">
        <x:v>private_rail</x:v>
      </x:c>
      <x:c r="E318" s="19" t="str">
        <x:v>T1</x:v>
      </x:c>
      <x:c r="F318" s="19" t="str">
        <x:v>東上本線</x:v>
      </x:c>
      <x:c r="G318" s="19" t="str">
        <x:v>候选已存在，组件待审核</x:v>
      </x:c>
      <x:c r="H318" s="19" t="str">
        <x:v>transport-node:02d9bf87-2c79-5a07-8ca8-97c973934be9</x:v>
      </x:c>
      <x:c r="I318" s="18" t="str">
        <x:v>transport-hub-review:f14c151c-962b-55be-846d-24e57eb961d2</x:v>
      </x:c>
      <x:c r="J318" s="18" t="str">
        <x:v>否</x:v>
      </x:c>
    </x:row>
    <x:row r="319" ht="28" customHeight="1">
      <x:c r="A319" s="19" t="str">
        <x:v>川越</x:v>
      </x:c>
      <x:c r="B319" s="18" t="str">
        <x:v>川越</x:v>
      </x:c>
      <x:c r="C319" s="18" t="str">
        <x:v>東日本旅客鉄道</x:v>
      </x:c>
      <x:c r="D319" s="18" t="str">
        <x:v>conventional_rail</x:v>
      </x:c>
      <x:c r="E319" s="19" t="str">
        <x:v>T1</x:v>
      </x:c>
      <x:c r="F319" s="19" t="str">
        <x:v>川越線</x:v>
      </x:c>
      <x:c r="G319" s="19" t="str">
        <x:v>候选已存在，组件待审核</x:v>
      </x:c>
      <x:c r="H319" s="19" t="str">
        <x:v>transport-node:467227e4-1d40-5ba3-8baa-82f74b33dfe6</x:v>
      </x:c>
      <x:c r="I319" s="18" t="str">
        <x:v>transport-hub-review:f14c151c-962b-55be-846d-24e57eb961d2</x:v>
      </x:c>
      <x:c r="J319" s="18" t="str">
        <x:v>否</x:v>
      </x:c>
    </x:row>
    <x:row r="320" ht="28" customHeight="1">
      <x:c r="A320" s="19" t="str">
        <x:v>扇町・天満</x:v>
      </x:c>
      <x:c r="B320" s="18" t="str">
        <x:v>扇町</x:v>
      </x:c>
      <x:c r="C320" s="18" t="str">
        <x:v>大阪市高速電気軌道</x:v>
      </x:c>
      <x:c r="D320" s="18" t="str">
        <x:v>metro</x:v>
      </x:c>
      <x:c r="E320" s="19" t="str">
        <x:v>T2</x:v>
      </x:c>
      <x:c r="F320" s="19" t="str">
        <x:v>6号線(堺筋線)</x:v>
      </x:c>
      <x:c r="G320" s="19" t="str">
        <x:v>候选已存在，组件待审核</x:v>
      </x:c>
      <x:c r="H320" s="19" t="str">
        <x:v>transport-node:df027ced-be76-512b-8100-59dab2e15518</x:v>
      </x:c>
      <x:c r="I320" s="18" t="str">
        <x:v>transport-hub-review:2bec3097-717d-5989-a7a9-8d8bcd1e2c1a</x:v>
      </x:c>
      <x:c r="J320" s="18" t="str">
        <x:v>否</x:v>
      </x:c>
    </x:row>
    <x:row r="321" ht="28" customHeight="1">
      <x:c r="A321" s="19" t="str">
        <x:v>扇町・天満</x:v>
      </x:c>
      <x:c r="B321" s="18" t="str">
        <x:v>天満</x:v>
      </x:c>
      <x:c r="C321" s="18" t="str">
        <x:v>西日本旅客鉄道</x:v>
      </x:c>
      <x:c r="D321" s="18" t="str">
        <x:v>conventional_rail</x:v>
      </x:c>
      <x:c r="E321" s="19" t="str">
        <x:v>T1</x:v>
      </x:c>
      <x:c r="F321" s="19" t="str">
        <x:v>大阪環状線</x:v>
      </x:c>
      <x:c r="G321" s="19" t="str">
        <x:v>候选已存在，组件待审核</x:v>
      </x:c>
      <x:c r="H321" s="19" t="str">
        <x:v>transport-node:ebce482c-c88f-5063-82e3-d04d40b88539</x:v>
      </x:c>
      <x:c r="I321" s="18" t="str">
        <x:v>transport-hub-review:2bec3097-717d-5989-a7a9-8d8bcd1e2c1a</x:v>
      </x:c>
      <x:c r="J321" s="18" t="str">
        <x:v>否</x:v>
      </x:c>
    </x:row>
    <x:row r="322" ht="28" customHeight="1">
      <x:c r="A322" s="19" t="str">
        <x:v>浅草</x:v>
      </x:c>
      <x:c r="B322" s="18" t="str">
        <x:v>浅草</x:v>
      </x:c>
      <x:c r="C322" s="18" t="str">
        <x:v>東京地下鉄</x:v>
      </x:c>
      <x:c r="D322" s="18" t="str">
        <x:v>metro</x:v>
      </x:c>
      <x:c r="E322" s="19" t="str">
        <x:v>T1</x:v>
      </x:c>
      <x:c r="F322" s="19" t="str">
        <x:v>3号線銀座線</x:v>
      </x:c>
      <x:c r="G322" s="19" t="str">
        <x:v>候选已存在，组件待审核</x:v>
      </x:c>
      <x:c r="H322" s="19" t="str">
        <x:v>transport-node:609683d9-9ea5-54ea-9854-1564d292c74e</x:v>
      </x:c>
      <x:c r="I322" s="18" t="str">
        <x:v>transport-hub-review:5194c219-8191-5473-89ae-750b5a501277</x:v>
      </x:c>
      <x:c r="J322" s="18" t="str">
        <x:v>否</x:v>
      </x:c>
    </x:row>
    <x:row r="323" ht="28" customHeight="1">
      <x:c r="A323" s="19" t="str">
        <x:v>浅草</x:v>
      </x:c>
      <x:c r="B323" s="18" t="str">
        <x:v>浅草</x:v>
      </x:c>
      <x:c r="C323" s="18" t="str">
        <x:v>東京都</x:v>
      </x:c>
      <x:c r="D323" s="18" t="str">
        <x:v>metro</x:v>
      </x:c>
      <x:c r="E323" s="19" t="str">
        <x:v>T1</x:v>
      </x:c>
      <x:c r="F323" s="19" t="str">
        <x:v>1号線浅草線</x:v>
      </x:c>
      <x:c r="G323" s="19" t="str">
        <x:v>候选已存在，组件待审核</x:v>
      </x:c>
      <x:c r="H323" s="19" t="str">
        <x:v>transport-node:3fb3071e-dd49-54e8-a598-032763393334</x:v>
      </x:c>
      <x:c r="I323" s="18" t="str">
        <x:v>transport-hub-review:5194c219-8191-5473-89ae-750b5a501277</x:v>
      </x:c>
      <x:c r="J323" s="18" t="str">
        <x:v>否</x:v>
      </x:c>
    </x:row>
    <x:row r="324" ht="28" customHeight="1">
      <x:c r="A324" s="19" t="str">
        <x:v>浅草</x:v>
      </x:c>
      <x:c r="B324" s="18" t="str">
        <x:v>浅草</x:v>
      </x:c>
      <x:c r="C324" s="18" t="str">
        <x:v>東武鉄道</x:v>
      </x:c>
      <x:c r="D324" s="18" t="str">
        <x:v>private_rail</x:v>
      </x:c>
      <x:c r="E324" s="19" t="str">
        <x:v>T2</x:v>
      </x:c>
      <x:c r="F324" s="19" t="str">
        <x:v>伊勢崎線</x:v>
      </x:c>
      <x:c r="G324" s="19" t="str">
        <x:v>候选已存在，组件待审核</x:v>
      </x:c>
      <x:c r="H324" s="19" t="str">
        <x:v>transport-node:55663889-bc1e-5e73-bf57-f2e835f0c6ee</x:v>
      </x:c>
      <x:c r="I324" s="18" t="str">
        <x:v>transport-hub-review:5194c219-8191-5473-89ae-750b5a501277</x:v>
      </x:c>
      <x:c r="J324" s="18" t="str">
        <x:v>否</x:v>
      </x:c>
    </x:row>
    <x:row r="325" ht="28" customHeight="1">
      <x:c r="A325" s="19" t="str">
        <x:v>浅草橋</x:v>
      </x:c>
      <x:c r="B325" s="18" t="str">
        <x:v>浅草橋</x:v>
      </x:c>
      <x:c r="C325" s="18" t="str">
        <x:v>東京都</x:v>
      </x:c>
      <x:c r="D325" s="18" t="str">
        <x:v>metro</x:v>
      </x:c>
      <x:c r="E325" s="19" t="str">
        <x:v>T2</x:v>
      </x:c>
      <x:c r="F325" s="19" t="str">
        <x:v>1号線浅草線</x:v>
      </x:c>
      <x:c r="G325" s="19" t="str">
        <x:v>候选已存在，组件待审核</x:v>
      </x:c>
      <x:c r="H325" s="19" t="str">
        <x:v>transport-node:39afff95-bfd4-5f1f-ae85-e7a515533409</x:v>
      </x:c>
      <x:c r="I325" s="18" t="str">
        <x:v>transport-hub-review:18780905-4013-5164-a30d-3fcab650277f</x:v>
      </x:c>
      <x:c r="J325" s="18" t="str">
        <x:v>否</x:v>
      </x:c>
    </x:row>
    <x:row r="326" ht="28" customHeight="1">
      <x:c r="A326" s="19" t="str">
        <x:v>浅草橋</x:v>
      </x:c>
      <x:c r="B326" s="18" t="str">
        <x:v>浅草橋</x:v>
      </x:c>
      <x:c r="C326" s="18" t="str">
        <x:v>東日本旅客鉄道</x:v>
      </x:c>
      <x:c r="D326" s="18" t="str">
        <x:v>conventional_rail</x:v>
      </x:c>
      <x:c r="E326" s="19" t="str">
        <x:v>T1</x:v>
      </x:c>
      <x:c r="F326" s="19" t="str">
        <x:v>総武線</x:v>
      </x:c>
      <x:c r="G326" s="19" t="str">
        <x:v>候选已存在，组件待审核</x:v>
      </x:c>
      <x:c r="H326" s="19" t="str">
        <x:v>transport-node:7346b547-dcb3-51e8-9a04-f47768ebb81d</x:v>
      </x:c>
      <x:c r="I326" s="18" t="str">
        <x:v>transport-hub-review:18780905-4013-5164-a30d-3fcab650277f</x:v>
      </x:c>
      <x:c r="J326" s="18" t="str">
        <x:v>否</x:v>
      </x:c>
    </x:row>
    <x:row r="327" ht="28" customHeight="1">
      <x:c r="A327" s="19" t="str">
        <x:v>巣鴨</x:v>
      </x:c>
      <x:c r="B327" s="18" t="str">
        <x:v>巣鴨</x:v>
      </x:c>
      <x:c r="C327" s="18" t="str">
        <x:v>東京都</x:v>
      </x:c>
      <x:c r="D327" s="18" t="str">
        <x:v>metro</x:v>
      </x:c>
      <x:c r="E327" s="19" t="str">
        <x:v>T1</x:v>
      </x:c>
      <x:c r="F327" s="19" t="str">
        <x:v>6号線三田線</x:v>
      </x:c>
      <x:c r="G327" s="19" t="str">
        <x:v>候选已存在，组件待审核</x:v>
      </x:c>
      <x:c r="H327" s="19" t="str">
        <x:v>transport-node:58f486f1-ef41-5687-bffe-4ba33922f688</x:v>
      </x:c>
      <x:c r="I327" s="18" t="str">
        <x:v>transport-hub-review:288f9de0-b917-52fa-b053-328d3209147f</x:v>
      </x:c>
      <x:c r="J327" s="18" t="str">
        <x:v>否</x:v>
      </x:c>
    </x:row>
    <x:row r="328" ht="28" customHeight="1">
      <x:c r="A328" s="19" t="str">
        <x:v>巣鴨</x:v>
      </x:c>
      <x:c r="B328" s="18" t="str">
        <x:v>巣鴨</x:v>
      </x:c>
      <x:c r="C328" s="18" t="str">
        <x:v>東日本旅客鉄道</x:v>
      </x:c>
      <x:c r="D328" s="18" t="str">
        <x:v>conventional_rail</x:v>
      </x:c>
      <x:c r="E328" s="19" t="str">
        <x:v>T1</x:v>
      </x:c>
      <x:c r="F328" s="19" t="str">
        <x:v>山手線</x:v>
      </x:c>
      <x:c r="G328" s="19" t="str">
        <x:v>候选已存在，组件待审核</x:v>
      </x:c>
      <x:c r="H328" s="19" t="str">
        <x:v>transport-node:be5aee14-e90a-5e69-b519-ff263d5be1c0</x:v>
      </x:c>
      <x:c r="I328" s="18" t="str">
        <x:v>transport-hub-review:288f9de0-b917-52fa-b053-328d3209147f</x:v>
      </x:c>
      <x:c r="J328" s="18" t="str">
        <x:v>否</x:v>
      </x:c>
    </x:row>
    <x:row r="329" ht="33" customHeight="1">
      <x:c r="A329" s="19" t="str">
        <x:v>相模大野</x:v>
      </x:c>
      <x:c r="B329" s="18" t="str">
        <x:v>相模大野</x:v>
      </x:c>
      <x:c r="C329" s="18" t="str">
        <x:v>小田急電鉄</x:v>
      </x:c>
      <x:c r="D329" s="18" t="str">
        <x:v>private_rail</x:v>
      </x:c>
      <x:c r="E329" s="19" t="str">
        <x:v>T1</x:v>
      </x:c>
      <x:c r="F329" s="19" t="str">
        <x:v>小田原線
江ノ島線</x:v>
      </x:c>
      <x:c r="G329" s="19" t="str">
        <x:v>候选已存在，组件待审核</x:v>
      </x:c>
      <x:c r="H329" s="19" t="str">
        <x:v>transport-node:f90deb5b-5aba-5f15-8b8e-a205bf03eb04</x:v>
      </x:c>
      <x:c r="I329" s="18" t="str">
        <x:v>transport-hub-review:66e5e848-28a9-510a-b910-23b7740d2969</x:v>
      </x:c>
      <x:c r="J329" s="18" t="str">
        <x:v>否</x:v>
      </x:c>
    </x:row>
    <x:row r="330" ht="28" customHeight="1">
      <x:c r="A330" s="19" t="str">
        <x:v>多摩センター</x:v>
      </x:c>
      <x:c r="B330" s="18" t="str">
        <x:v>京王多摩センター</x:v>
      </x:c>
      <x:c r="C330" s="18" t="str">
        <x:v>京王電鉄</x:v>
      </x:c>
      <x:c r="D330" s="18" t="str">
        <x:v>private_rail</x:v>
      </x:c>
      <x:c r="E330" s="19" t="str">
        <x:v>T1</x:v>
      </x:c>
      <x:c r="F330" s="19" t="str">
        <x:v>相模原線</x:v>
      </x:c>
      <x:c r="G330" s="19" t="str">
        <x:v>候选已存在，组件待审核</x:v>
      </x:c>
      <x:c r="H330" s="19" t="str">
        <x:v>transport-node:09f12895-9cea-5226-ac90-0f79e0094b75</x:v>
      </x:c>
      <x:c r="I330" s="18" t="str">
        <x:v>transport-hub-review:811222cd-59bb-5bf5-af4e-cbfa916d1f40</x:v>
      </x:c>
      <x:c r="J330" s="18" t="str">
        <x:v>否</x:v>
      </x:c>
    </x:row>
    <x:row r="331" ht="28" customHeight="1">
      <x:c r="A331" s="19" t="str">
        <x:v>多摩センター</x:v>
      </x:c>
      <x:c r="B331" s="18" t="str">
        <x:v>小田急多摩センター</x:v>
      </x:c>
      <x:c r="C331" s="18" t="str">
        <x:v>小田急電鉄</x:v>
      </x:c>
      <x:c r="D331" s="18" t="str">
        <x:v>private_rail</x:v>
      </x:c>
      <x:c r="E331" s="19" t="str">
        <x:v>T2</x:v>
      </x:c>
      <x:c r="F331" s="19" t="str">
        <x:v>多摩線</x:v>
      </x:c>
      <x:c r="G331" s="19" t="str">
        <x:v>候选已存在，组件待审核</x:v>
      </x:c>
      <x:c r="H331" s="19" t="str">
        <x:v>transport-node:562b9d85-46e8-5c6e-817f-b52c002d1780</x:v>
      </x:c>
      <x:c r="I331" s="18" t="str">
        <x:v>transport-hub-review:811222cd-59bb-5bf5-af4e-cbfa916d1f40</x:v>
      </x:c>
      <x:c r="J331" s="18" t="str">
        <x:v>否</x:v>
      </x:c>
    </x:row>
    <x:row r="332" ht="28" customHeight="1">
      <x:c r="A332" s="19" t="str">
        <x:v>多摩センター</x:v>
      </x:c>
      <x:c r="B332" s="18" t="str">
        <x:v>多摩センター</x:v>
      </x:c>
      <x:c r="C332" s="18" t="str">
        <x:v>多摩都市モノレール</x:v>
      </x:c>
      <x:c r="D332" s="18" t="str">
        <x:v>fixed_guideway</x:v>
      </x:c>
      <x:c r="E332" s="19" t="str">
        <x:v>T2</x:v>
      </x:c>
      <x:c r="F332" s="19" t="str">
        <x:v>多摩都市モノレール線</x:v>
      </x:c>
      <x:c r="G332" s="19" t="str">
        <x:v>候选已存在，组件待审核</x:v>
      </x:c>
      <x:c r="H332" s="19" t="str">
        <x:v>transport-node:a232cb11-6f05-5d08-8d2c-f2cead2577fa</x:v>
      </x:c>
      <x:c r="I332" s="18" t="str">
        <x:v>transport-hub-review:811222cd-59bb-5bf5-af4e-cbfa916d1f40</x:v>
      </x:c>
      <x:c r="J332" s="18" t="str">
        <x:v>否</x:v>
      </x:c>
    </x:row>
    <x:row r="333" ht="28" customHeight="1">
      <x:c r="A333" s="19" t="str">
        <x:v>代々木</x:v>
      </x:c>
      <x:c r="B333" s="18" t="str">
        <x:v>代々木</x:v>
      </x:c>
      <x:c r="C333" s="18" t="str">
        <x:v>東京都</x:v>
      </x:c>
      <x:c r="D333" s="18" t="str">
        <x:v>metro</x:v>
      </x:c>
      <x:c r="E333" s="19" t="str">
        <x:v>T2</x:v>
      </x:c>
      <x:c r="F333" s="19" t="str">
        <x:v>12号線大江戸線</x:v>
      </x:c>
      <x:c r="G333" s="19" t="str">
        <x:v>候选已存在，组件待审核</x:v>
      </x:c>
      <x:c r="H333" s="19" t="str">
        <x:v>transport-node:e4d5747b-7369-5c0a-8848-bd2daeee8c8c</x:v>
      </x:c>
      <x:c r="I333" s="18" t="str">
        <x:v>transport-hub-review:ae6978a1-e43b-50d2-a7f6-31c960e268d4</x:v>
      </x:c>
      <x:c r="J333" s="18" t="str">
        <x:v>否</x:v>
      </x:c>
    </x:row>
    <x:row r="334" ht="33" customHeight="1">
      <x:c r="A334" s="19" t="str">
        <x:v>代々木</x:v>
      </x:c>
      <x:c r="B334" s="18" t="str">
        <x:v>代々木</x:v>
      </x:c>
      <x:c r="C334" s="18" t="str">
        <x:v>東日本旅客鉄道</x:v>
      </x:c>
      <x:c r="D334" s="18" t="str">
        <x:v>conventional_rail</x:v>
      </x:c>
      <x:c r="E334" s="19" t="str">
        <x:v>T1</x:v>
      </x:c>
      <x:c r="F334" s="19" t="str">
        <x:v>中央線
山手線</x:v>
      </x:c>
      <x:c r="G334" s="19" t="str">
        <x:v>候选已存在，组件待审核</x:v>
      </x:c>
      <x:c r="H334" s="19" t="str">
        <x:v>transport-node:db19ed7a-bda5-500b-9fd1-cd883fbe70ed</x:v>
      </x:c>
      <x:c r="I334" s="18" t="str">
        <x:v>transport-hub-review:ae6978a1-e43b-50d2-a7f6-31c960e268d4</x:v>
      </x:c>
      <x:c r="J334" s="18" t="str">
        <x:v>否</x:v>
      </x:c>
    </x:row>
    <x:row r="335" ht="28" customHeight="1">
      <x:c r="A335" s="19" t="str">
        <x:v>大井町</x:v>
      </x:c>
      <x:c r="B335" s="18" t="str">
        <x:v>大井町</x:v>
      </x:c>
      <x:c r="C335" s="18" t="str">
        <x:v>東急電鉄</x:v>
      </x:c>
      <x:c r="D335" s="18" t="str">
        <x:v>private_rail</x:v>
      </x:c>
      <x:c r="E335" s="19" t="str">
        <x:v>T1</x:v>
      </x:c>
      <x:c r="F335" s="19" t="str">
        <x:v>大井町線</x:v>
      </x:c>
      <x:c r="G335" s="19" t="str">
        <x:v>候选已存在，组件待审核</x:v>
      </x:c>
      <x:c r="H335" s="19" t="str">
        <x:v>transport-node:4a22589b-9ccd-5b7b-8204-89ead51f1509</x:v>
      </x:c>
      <x:c r="I335" s="18" t="str">
        <x:v>transport-hub-review:37f83a89-385e-50b4-8bd6-dd22b90a8678</x:v>
      </x:c>
      <x:c r="J335" s="18" t="str">
        <x:v>否</x:v>
      </x:c>
    </x:row>
    <x:row r="336" ht="28" customHeight="1">
      <x:c r="A336" s="19" t="str">
        <x:v>大井町</x:v>
      </x:c>
      <x:c r="B336" s="18" t="str">
        <x:v>大井町</x:v>
      </x:c>
      <x:c r="C336" s="18" t="str">
        <x:v>東日本旅客鉄道</x:v>
      </x:c>
      <x:c r="D336" s="18" t="str">
        <x:v>conventional_rail</x:v>
      </x:c>
      <x:c r="E336" s="19" t="str">
        <x:v>T1</x:v>
      </x:c>
      <x:c r="F336" s="19" t="str">
        <x:v>東海道線</x:v>
      </x:c>
      <x:c r="G336" s="19" t="str">
        <x:v>候选已存在，组件待审核</x:v>
      </x:c>
      <x:c r="H336" s="19" t="str">
        <x:v>transport-node:c62b5a6f-b990-58a9-976e-4ebee3808fae</x:v>
      </x:c>
      <x:c r="I336" s="18" t="str">
        <x:v>transport-hub-review:37f83a89-385e-50b4-8bd6-dd22b90a8678</x:v>
      </x:c>
      <x:c r="J336" s="18" t="str">
        <x:v>否</x:v>
      </x:c>
    </x:row>
    <x:row r="337" ht="28" customHeight="1">
      <x:c r="A337" s="19" t="str">
        <x:v>大井町</x:v>
      </x:c>
      <x:c r="B337" s="18" t="str">
        <x:v>大井町</x:v>
      </x:c>
      <x:c r="C337" s="18" t="str">
        <x:v>東京臨海高速鉄道</x:v>
      </x:c>
      <x:c r="D337" s="18" t="str">
        <x:v>private_rail</x:v>
      </x:c>
      <x:c r="E337" s="19" t="str">
        <x:v>T1</x:v>
      </x:c>
      <x:c r="F337" s="19" t="str">
        <x:v>臨海副都心線</x:v>
      </x:c>
      <x:c r="G337" s="19" t="str">
        <x:v>候选已存在，组件待审核</x:v>
      </x:c>
      <x:c r="H337" s="19" t="str">
        <x:v>transport-node:6fd8e4ae-23d8-55d1-9bfc-63d273b90e3a</x:v>
      </x:c>
      <x:c r="I337" s="18" t="str">
        <x:v>transport-hub-review:37f83a89-385e-50b4-8bd6-dd22b90a8678</x:v>
      </x:c>
      <x:c r="J337" s="18" t="str">
        <x:v>否</x:v>
      </x:c>
    </x:row>
    <x:row r="338" ht="47" customHeight="1">
      <x:c r="A338" s="19" t="str">
        <x:v>大通</x:v>
      </x:c>
      <x:c r="B338" s="18" t="str">
        <x:v>大通</x:v>
      </x:c>
      <x:c r="C338" s="18" t="str">
        <x:v>札幌市</x:v>
      </x:c>
      <x:c r="D338" s="18" t="str">
        <x:v>metro</x:v>
      </x:c>
      <x:c r="E338" s="19" t="str">
        <x:v>T1</x:v>
      </x:c>
      <x:c r="F338" s="19" t="str">
        <x:v>南北線
東西線
東豊線</x:v>
      </x:c>
      <x:c r="G338" s="19" t="str">
        <x:v>候选已存在，组件待审核</x:v>
      </x:c>
      <x:c r="H338" s="19" t="str">
        <x:v>transport-node:6ba0c297-44c0-593e-96a5-1f0e66588649</x:v>
      </x:c>
      <x:c r="I338" s="18" t="str">
        <x:v>transport-hub-review:daa1df74-3f1d-5ec3-91d8-6dd0a7686003</x:v>
      </x:c>
      <x:c r="J338" s="18" t="str">
        <x:v>否</x:v>
      </x:c>
    </x:row>
    <x:row r="339" ht="28" customHeight="1">
      <x:c r="A339" s="19" t="str">
        <x:v>大和</x:v>
      </x:c>
      <x:c r="B339" s="18" t="str">
        <x:v>大和</x:v>
      </x:c>
      <x:c r="C339" s="18" t="str">
        <x:v>小田急電鉄</x:v>
      </x:c>
      <x:c r="D339" s="18" t="str">
        <x:v>private_rail</x:v>
      </x:c>
      <x:c r="E339" s="19" t="str">
        <x:v>T1</x:v>
      </x:c>
      <x:c r="F339" s="19" t="str">
        <x:v>江ノ島線</x:v>
      </x:c>
      <x:c r="G339" s="19" t="str">
        <x:v>候选已存在，组件待审核</x:v>
      </x:c>
      <x:c r="H339" s="19" t="str">
        <x:v>transport-node:e41a956d-a922-5b7b-919c-fa3dfc3fb329</x:v>
      </x:c>
      <x:c r="I339" s="18" t="str">
        <x:v>transport-hub-review:a34e8681-bd49-5763-a9a0-18b22ec21a02</x:v>
      </x:c>
      <x:c r="J339" s="18" t="str">
        <x:v>否</x:v>
      </x:c>
    </x:row>
    <x:row r="340" ht="28" customHeight="1">
      <x:c r="A340" s="19" t="str">
        <x:v>大和</x:v>
      </x:c>
      <x:c r="B340" s="18" t="str">
        <x:v>大和</x:v>
      </x:c>
      <x:c r="C340" s="18" t="str">
        <x:v>相模鉄道</x:v>
      </x:c>
      <x:c r="D340" s="18" t="str">
        <x:v>private_rail</x:v>
      </x:c>
      <x:c r="E340" s="19" t="str">
        <x:v>T1</x:v>
      </x:c>
      <x:c r="F340" s="19" t="str">
        <x:v>相鉄本線</x:v>
      </x:c>
      <x:c r="G340" s="19" t="str">
        <x:v>候选已存在，组件待审核</x:v>
      </x:c>
      <x:c r="H340" s="19" t="str">
        <x:v>transport-node:c4a75717-16ad-5685-82ec-82a670cfbcd7</x:v>
      </x:c>
      <x:c r="I340" s="18" t="str">
        <x:v>transport-hub-review:a34e8681-bd49-5763-a9a0-18b22ec21a02</x:v>
      </x:c>
      <x:c r="J340" s="18" t="str">
        <x:v>否</x:v>
      </x:c>
    </x:row>
    <x:row r="341" ht="33" customHeight="1">
      <x:c r="A341" s="19" t="str">
        <x:v>谷町九丁目・大阪上本町</x:v>
      </x:c>
      <x:c r="B341" s="18" t="str">
        <x:v>谷町九丁目</x:v>
      </x:c>
      <x:c r="C341" s="18" t="str">
        <x:v>大阪市高速電気軌道</x:v>
      </x:c>
      <x:c r="D341" s="18" t="str">
        <x:v>metro</x:v>
      </x:c>
      <x:c r="E341" s="19" t="str">
        <x:v>T1</x:v>
      </x:c>
      <x:c r="F341" s="19" t="str">
        <x:v>2号線(谷町線)
5号線(千日前線)</x:v>
      </x:c>
      <x:c r="G341" s="19" t="str">
        <x:v>候选已存在，组件待审核</x:v>
      </x:c>
      <x:c r="H341" s="19" t="str">
        <x:v>transport-node:eb59bdfe-60f6-59c6-908d-da9944fde604</x:v>
      </x:c>
      <x:c r="I341" s="18" t="str">
        <x:v>transport-hub-review:85b906d6-551b-5f9c-aad6-f4e56572c3b8</x:v>
      </x:c>
      <x:c r="J341" s="18" t="str">
        <x:v>否</x:v>
      </x:c>
    </x:row>
    <x:row r="342" ht="33" customHeight="1">
      <x:c r="A342" s="19" t="str">
        <x:v>谷町九丁目・大阪上本町</x:v>
      </x:c>
      <x:c r="B342" s="18" t="str">
        <x:v>大阪上本町</x:v>
      </x:c>
      <x:c r="C342" s="18" t="str">
        <x:v>近畿日本鉄道</x:v>
      </x:c>
      <x:c r="D342" s="18" t="str">
        <x:v>private_rail</x:v>
      </x:c>
      <x:c r="E342" s="19" t="str">
        <x:v>T1</x:v>
      </x:c>
      <x:c r="F342" s="19" t="str">
        <x:v>大阪線
難波線</x:v>
      </x:c>
      <x:c r="G342" s="19" t="str">
        <x:v>候选已存在，组件待审核</x:v>
      </x:c>
      <x:c r="H342" s="19" t="str">
        <x:v>transport-node:3ceea07b-e2dc-5c9a-8d24-5d0069ceeb29</x:v>
      </x:c>
      <x:c r="I342" s="18" t="str">
        <x:v>transport-hub-review:85b906d6-551b-5f9c-aad6-f4e56572c3b8</x:v>
      </x:c>
      <x:c r="J342" s="18" t="str">
        <x:v>否</x:v>
      </x:c>
    </x:row>
    <x:row r="343" ht="33" customHeight="1">
      <x:c r="A343" s="19" t="str">
        <x:v>谷町四丁目</x:v>
      </x:c>
      <x:c r="B343" s="18" t="str">
        <x:v>谷町四丁目</x:v>
      </x:c>
      <x:c r="C343" s="18" t="str">
        <x:v>大阪市高速電気軌道</x:v>
      </x:c>
      <x:c r="D343" s="18" t="str">
        <x:v>metro</x:v>
      </x:c>
      <x:c r="E343" s="19" t="str">
        <x:v>T1</x:v>
      </x:c>
      <x:c r="F343" s="19" t="str">
        <x:v>2号線(谷町線)
4号線(中央線)</x:v>
      </x:c>
      <x:c r="G343" s="19" t="str">
        <x:v>候选已存在，组件待审核</x:v>
      </x:c>
      <x:c r="H343" s="19" t="str">
        <x:v>transport-node:15af036a-0f66-59f6-bc59-a1cde26e5015</x:v>
      </x:c>
      <x:c r="I343" s="18" t="str">
        <x:v>transport-hub-review:4ff26358-deda-547d-bd1e-2ea57fad6ee7</x:v>
      </x:c>
      <x:c r="J343" s="18" t="str">
        <x:v>否</x:v>
      </x:c>
    </x:row>
    <x:row r="344" ht="28" customHeight="1">
      <x:c r="A344" s="19" t="str">
        <x:v>中央林間</x:v>
      </x:c>
      <x:c r="B344" s="18" t="str">
        <x:v>中央林間</x:v>
      </x:c>
      <x:c r="C344" s="18" t="str">
        <x:v>東急電鉄</x:v>
      </x:c>
      <x:c r="D344" s="18" t="str">
        <x:v>private_rail</x:v>
      </x:c>
      <x:c r="E344" s="19" t="str">
        <x:v>T1</x:v>
      </x:c>
      <x:c r="F344" s="19" t="str">
        <x:v>田園都市線</x:v>
      </x:c>
      <x:c r="G344" s="19" t="str">
        <x:v>候选已存在，组件待审核</x:v>
      </x:c>
      <x:c r="H344" s="19" t="str">
        <x:v>transport-node:096abaa2-6a6e-50b2-913f-577d2f832636</x:v>
      </x:c>
      <x:c r="I344" s="18" t="str">
        <x:v>transport-hub-review:793153d5-8069-525e-94f7-0a72bd4b090b</x:v>
      </x:c>
      <x:c r="J344" s="18" t="str">
        <x:v>否</x:v>
      </x:c>
    </x:row>
    <x:row r="345" ht="28" customHeight="1">
      <x:c r="A345" s="19" t="str">
        <x:v>中央林間</x:v>
      </x:c>
      <x:c r="B345" s="18" t="str">
        <x:v>中央林間</x:v>
      </x:c>
      <x:c r="C345" s="18" t="str">
        <x:v>小田急電鉄</x:v>
      </x:c>
      <x:c r="D345" s="18" t="str">
        <x:v>private_rail</x:v>
      </x:c>
      <x:c r="E345" s="19" t="str">
        <x:v>T1</x:v>
      </x:c>
      <x:c r="F345" s="19" t="str">
        <x:v>江ノ島線</x:v>
      </x:c>
      <x:c r="G345" s="19" t="str">
        <x:v>候选已存在，组件待审核</x:v>
      </x:c>
      <x:c r="H345" s="19" t="str">
        <x:v>transport-node:87baf807-99a2-599c-b543-9255d5c0b162</x:v>
      </x:c>
      <x:c r="I345" s="18" t="str">
        <x:v>transport-hub-review:793153d5-8069-525e-94f7-0a72bd4b090b</x:v>
      </x:c>
      <x:c r="J345" s="18" t="str">
        <x:v>否</x:v>
      </x:c>
    </x:row>
    <x:row r="346" ht="33" customHeight="1">
      <x:c r="A346" s="19" t="str">
        <x:v>中野坂上</x:v>
      </x:c>
      <x:c r="B346" s="18" t="str">
        <x:v>中野坂上</x:v>
      </x:c>
      <x:c r="C346" s="18" t="str">
        <x:v>東京地下鉄</x:v>
      </x:c>
      <x:c r="D346" s="18" t="str">
        <x:v>metro</x:v>
      </x:c>
      <x:c r="E346" s="19" t="str">
        <x:v>T1</x:v>
      </x:c>
      <x:c r="F346" s="19" t="str">
        <x:v>4号線丸ノ内線
4号線丸ノ内線分岐線</x:v>
      </x:c>
      <x:c r="G346" s="19" t="str">
        <x:v>候选已存在，组件待审核</x:v>
      </x:c>
      <x:c r="H346" s="19" t="str">
        <x:v>transport-node:1aaadabb-fa15-50c5-b879-b3d1d6a48e72</x:v>
      </x:c>
      <x:c r="I346" s="18" t="str">
        <x:v>transport-hub-review:5659c179-a8f6-51d2-9f82-4929236ae70d</x:v>
      </x:c>
      <x:c r="J346" s="18" t="str">
        <x:v>否</x:v>
      </x:c>
    </x:row>
    <x:row r="347" ht="28" customHeight="1">
      <x:c r="A347" s="19" t="str">
        <x:v>中野坂上</x:v>
      </x:c>
      <x:c r="B347" s="18" t="str">
        <x:v>中野坂上</x:v>
      </x:c>
      <x:c r="C347" s="18" t="str">
        <x:v>東京都</x:v>
      </x:c>
      <x:c r="D347" s="18" t="str">
        <x:v>metro</x:v>
      </x:c>
      <x:c r="E347" s="19" t="str">
        <x:v>T2</x:v>
      </x:c>
      <x:c r="F347" s="19" t="str">
        <x:v>12号線大江戸線</x:v>
      </x:c>
      <x:c r="G347" s="19" t="str">
        <x:v>候选已存在，组件待审核</x:v>
      </x:c>
      <x:c r="H347" s="19" t="str">
        <x:v>transport-node:1483fb7b-028f-5faf-b4c0-221fe3b13ec7</x:v>
      </x:c>
      <x:c r="I347" s="18" t="str">
        <x:v>transport-hub-review:5659c179-a8f6-51d2-9f82-4929236ae70d</x:v>
      </x:c>
      <x:c r="J347" s="18" t="str">
        <x:v>否</x:v>
      </x:c>
    </x:row>
    <x:row r="348" ht="28" customHeight="1">
      <x:c r="A348" s="19" t="str">
        <x:v>朝霞台・北朝霞</x:v>
      </x:c>
      <x:c r="B348" s="18" t="str">
        <x:v>朝霞台</x:v>
      </x:c>
      <x:c r="C348" s="18" t="str">
        <x:v>東武鉄道</x:v>
      </x:c>
      <x:c r="D348" s="18" t="str">
        <x:v>private_rail</x:v>
      </x:c>
      <x:c r="E348" s="19" t="str">
        <x:v>T1</x:v>
      </x:c>
      <x:c r="F348" s="19" t="str">
        <x:v>東上本線</x:v>
      </x:c>
      <x:c r="G348" s="19" t="str">
        <x:v>候选已存在，组件待审核</x:v>
      </x:c>
      <x:c r="H348" s="19" t="str">
        <x:v>transport-node:1147c523-2bbf-5901-a671-0c0036123b4e</x:v>
      </x:c>
      <x:c r="I348" s="18" t="str">
        <x:v>transport-hub-review:ae402061-575e-54f4-9dbd-e0d8cf16323b</x:v>
      </x:c>
      <x:c r="J348" s="18" t="str">
        <x:v>否</x:v>
      </x:c>
    </x:row>
    <x:row r="349" ht="28" customHeight="1">
      <x:c r="A349" s="19" t="str">
        <x:v>朝霞台・北朝霞</x:v>
      </x:c>
      <x:c r="B349" s="18" t="str">
        <x:v>北朝霞</x:v>
      </x:c>
      <x:c r="C349" s="18" t="str">
        <x:v>東日本旅客鉄道</x:v>
      </x:c>
      <x:c r="D349" s="18" t="str">
        <x:v>conventional_rail</x:v>
      </x:c>
      <x:c r="E349" s="19" t="str">
        <x:v>T1</x:v>
      </x:c>
      <x:c r="F349" s="19" t="str">
        <x:v>武蔵野線</x:v>
      </x:c>
      <x:c r="G349" s="19" t="str">
        <x:v>候选已存在，组件待审核</x:v>
      </x:c>
      <x:c r="H349" s="19" t="str">
        <x:v>transport-node:94d5b4b1-c338-5534-b810-5026d9701ec7</x:v>
      </x:c>
      <x:c r="I349" s="18" t="str">
        <x:v>transport-hub-review:ae402061-575e-54f4-9dbd-e0d8cf16323b</x:v>
      </x:c>
      <x:c r="J349" s="18" t="str">
        <x:v>否</x:v>
      </x:c>
    </x:row>
    <x:row r="350" ht="28" customHeight="1">
      <x:c r="A350" s="19" t="str">
        <x:v>町屋</x:v>
      </x:c>
      <x:c r="B350" s="18" t="str">
        <x:v>町屋</x:v>
      </x:c>
      <x:c r="C350" s="18" t="str">
        <x:v>東京地下鉄</x:v>
      </x:c>
      <x:c r="D350" s="18" t="str">
        <x:v>metro</x:v>
      </x:c>
      <x:c r="E350" s="19" t="str">
        <x:v>T1</x:v>
      </x:c>
      <x:c r="F350" s="19" t="str">
        <x:v>9号線千代田線</x:v>
      </x:c>
      <x:c r="G350" s="19" t="str">
        <x:v>候选已存在，组件待审核</x:v>
      </x:c>
      <x:c r="H350" s="19" t="str">
        <x:v>transport-node:4f73d2f0-f853-554d-ac4e-8a2f9c5154c0</x:v>
      </x:c>
      <x:c r="I350" s="18" t="str">
        <x:v>transport-hub-review:1f17541f-971b-5fc5-ace3-e6efc7e38f87</x:v>
      </x:c>
      <x:c r="J350" s="18" t="str">
        <x:v>否</x:v>
      </x:c>
    </x:row>
    <x:row r="351" ht="28" customHeight="1">
      <x:c r="A351" s="19" t="str">
        <x:v>町屋</x:v>
      </x:c>
      <x:c r="B351" s="18" t="str">
        <x:v>町屋</x:v>
      </x:c>
      <x:c r="C351" s="18" t="str">
        <x:v>京成電鉄</x:v>
      </x:c>
      <x:c r="D351" s="18" t="str">
        <x:v>private_rail</x:v>
      </x:c>
      <x:c r="E351" s="19" t="str">
        <x:v>T2</x:v>
      </x:c>
      <x:c r="F351" s="19" t="str">
        <x:v>本線</x:v>
      </x:c>
      <x:c r="G351" s="19" t="str">
        <x:v>候选已存在，组件待审核</x:v>
      </x:c>
      <x:c r="H351" s="19" t="str">
        <x:v>transport-node:ecf215c7-a12d-589c-9004-af568abaccb0</x:v>
      </x:c>
      <x:c r="I351" s="18" t="str">
        <x:v>transport-hub-review:1f17541f-971b-5fc5-ace3-e6efc7e38f87</x:v>
      </x:c>
      <x:c r="J351" s="18" t="str">
        <x:v>否</x:v>
      </x:c>
    </x:row>
    <x:row r="352" ht="28" customHeight="1">
      <x:c r="A352" s="19" t="str">
        <x:v>町屋</x:v>
      </x:c>
      <x:c r="B352" s="18" t="str">
        <x:v>町屋駅前</x:v>
      </x:c>
      <x:c r="C352" s="18" t="str">
        <x:v>東京都</x:v>
      </x:c>
      <x:c r="D352" s="18" t="str">
        <x:v>tram</x:v>
      </x:c>
      <x:c r="E352" s="19" t="str">
        <x:v>T3</x:v>
      </x:c>
      <x:c r="F352" s="19" t="str">
        <x:v>荒川線</x:v>
      </x:c>
      <x:c r="G352" s="19" t="str">
        <x:v>候选已存在，组件待审核</x:v>
      </x:c>
      <x:c r="H352" s="19" t="str">
        <x:v>transport-node:439975e0-eda9-5a77-be69-4a429f264cb1</x:v>
      </x:c>
      <x:c r="I352" s="18" t="str">
        <x:v>transport-hub-review:1f17541f-971b-5fc5-ace3-e6efc7e38f87</x:v>
      </x:c>
      <x:c r="J352" s="18" t="str">
        <x:v>否</x:v>
      </x:c>
    </x:row>
    <x:row r="353" ht="33" customHeight="1">
      <x:c r="A353" s="19" t="str">
        <x:v>調布</x:v>
      </x:c>
      <x:c r="B353" s="18" t="str">
        <x:v>調布</x:v>
      </x:c>
      <x:c r="C353" s="18" t="str">
        <x:v>京王電鉄</x:v>
      </x:c>
      <x:c r="D353" s="18" t="str">
        <x:v>private_rail</x:v>
      </x:c>
      <x:c r="E353" s="19" t="str">
        <x:v>T1</x:v>
      </x:c>
      <x:c r="F353" s="19" t="str">
        <x:v>京王線
相模原線</x:v>
      </x:c>
      <x:c r="G353" s="19" t="str">
        <x:v>候选已存在，组件待审核</x:v>
      </x:c>
      <x:c r="H353" s="19" t="str">
        <x:v>transport-node:17e37ca0-2e29-517c-891f-8c72ebea1348</x:v>
      </x:c>
      <x:c r="I353" s="18" t="str">
        <x:v>transport-hub-review:daf20c6b-57ad-5460-ba6d-0b746f2395f2</x:v>
      </x:c>
      <x:c r="J353" s="18" t="str">
        <x:v>否</x:v>
      </x:c>
    </x:row>
    <x:row r="354" ht="33" customHeight="1">
      <x:c r="A354" s="19" t="str">
        <x:v>長堀橋</x:v>
      </x:c>
      <x:c r="B354" s="18" t="str">
        <x:v>長堀橋</x:v>
      </x:c>
      <x:c r="C354" s="18" t="str">
        <x:v>大阪市高速電気軌道</x:v>
      </x:c>
      <x:c r="D354" s="18" t="str">
        <x:v>metro</x:v>
      </x:c>
      <x:c r="E354" s="19" t="str">
        <x:v>T1</x:v>
      </x:c>
      <x:c r="F354" s="19" t="str">
        <x:v>6号線(堺筋線)
7号線(長堀鶴見緑地線)</x:v>
      </x:c>
      <x:c r="G354" s="19" t="str">
        <x:v>候选已存在，组件待审核</x:v>
      </x:c>
      <x:c r="H354" s="19" t="str">
        <x:v>transport-node:1176d9b1-0eae-52bf-b584-defcbaea1b47</x:v>
      </x:c>
      <x:c r="I354" s="18" t="str">
        <x:v>transport-hub-review:093e1803-2ac4-5574-a275-9b6e6e60567f</x:v>
      </x:c>
      <x:c r="J354" s="18" t="str">
        <x:v>否</x:v>
      </x:c>
    </x:row>
    <x:row r="355" ht="28" customHeight="1">
      <x:c r="A355" s="19" t="str">
        <x:v>鶴橋</x:v>
      </x:c>
      <x:c r="B355" s="18" t="str">
        <x:v>鶴橋</x:v>
      </x:c>
      <x:c r="C355" s="18" t="str">
        <x:v>大阪市高速電気軌道</x:v>
      </x:c>
      <x:c r="D355" s="18" t="str">
        <x:v>metro</x:v>
      </x:c>
      <x:c r="E355" s="19" t="str">
        <x:v>T2</x:v>
      </x:c>
      <x:c r="F355" s="19" t="str">
        <x:v>5号線(千日前線)</x:v>
      </x:c>
      <x:c r="G355" s="19" t="str">
        <x:v>候选已存在，组件待审核</x:v>
      </x:c>
      <x:c r="H355" s="19" t="str">
        <x:v>transport-node:dbdff4ae-0bf2-56fd-b26c-a1429a628e7b</x:v>
      </x:c>
      <x:c r="I355" s="18" t="str">
        <x:v>transport-hub-review:91ba1262-aa39-5e9a-b0a4-59184466a23c</x:v>
      </x:c>
      <x:c r="J355" s="18" t="str">
        <x:v>否</x:v>
      </x:c>
    </x:row>
    <x:row r="356" ht="28" customHeight="1">
      <x:c r="A356" s="19" t="str">
        <x:v>鶴橋</x:v>
      </x:c>
      <x:c r="B356" s="18" t="str">
        <x:v>鶴橋</x:v>
      </x:c>
      <x:c r="C356" s="18" t="str">
        <x:v>西日本旅客鉄道</x:v>
      </x:c>
      <x:c r="D356" s="18" t="str">
        <x:v>conventional_rail</x:v>
      </x:c>
      <x:c r="E356" s="19" t="str">
        <x:v>T1</x:v>
      </x:c>
      <x:c r="F356" s="19" t="str">
        <x:v>大阪環状線</x:v>
      </x:c>
      <x:c r="G356" s="19" t="str">
        <x:v>候选已存在，组件待审核</x:v>
      </x:c>
      <x:c r="H356" s="19" t="str">
        <x:v>transport-node:5425843b-cc66-540b-8141-6a3d4aa916fa</x:v>
      </x:c>
      <x:c r="I356" s="18" t="str">
        <x:v>transport-hub-review:91ba1262-aa39-5e9a-b0a4-59184466a23c</x:v>
      </x:c>
      <x:c r="J356" s="18" t="str">
        <x:v>否</x:v>
      </x:c>
    </x:row>
    <x:row r="357" ht="28" customHeight="1">
      <x:c r="A357" s="19" t="str">
        <x:v>鶴橋</x:v>
      </x:c>
      <x:c r="B357" s="18" t="str">
        <x:v>鶴橋</x:v>
      </x:c>
      <x:c r="C357" s="18" t="str">
        <x:v>近畿日本鉄道</x:v>
      </x:c>
      <x:c r="D357" s="18" t="str">
        <x:v>private_rail</x:v>
      </x:c>
      <x:c r="E357" s="19" t="str">
        <x:v>T1</x:v>
      </x:c>
      <x:c r="F357" s="19" t="str">
        <x:v>大阪線</x:v>
      </x:c>
      <x:c r="G357" s="19" t="str">
        <x:v>候选已存在，组件待审核</x:v>
      </x:c>
      <x:c r="H357" s="19" t="str">
        <x:v>transport-node:eb3c461f-40c1-58a8-b489-21c14b5119ff</x:v>
      </x:c>
      <x:c r="I357" s="18" t="str">
        <x:v>transport-hub-review:91ba1262-aa39-5e9a-b0a4-59184466a23c</x:v>
      </x:c>
      <x:c r="J357" s="18" t="str">
        <x:v>否</x:v>
      </x:c>
    </x:row>
    <x:row r="358" ht="28" customHeight="1">
      <x:c r="A358" s="19" t="str">
        <x:v>天下茶屋</x:v>
      </x:c>
      <x:c r="B358" s="18" t="str">
        <x:v>天下茶屋</x:v>
      </x:c>
      <x:c r="C358" s="18" t="str">
        <x:v>大阪市高速電気軌道</x:v>
      </x:c>
      <x:c r="D358" s="18" t="str">
        <x:v>metro</x:v>
      </x:c>
      <x:c r="E358" s="19" t="str">
        <x:v>T1</x:v>
      </x:c>
      <x:c r="F358" s="19" t="str">
        <x:v>6号線(堺筋線)</x:v>
      </x:c>
      <x:c r="G358" s="19" t="str">
        <x:v>候选已存在，组件待审核</x:v>
      </x:c>
      <x:c r="H358" s="19" t="str">
        <x:v>transport-node:7c9c73af-6677-59be-b58c-67ce8e9aaf1d</x:v>
      </x:c>
      <x:c r="I358" s="18" t="str">
        <x:v>transport-hub-review:250e8bc5-4ad4-58f5-b454-c214e40fbe86</x:v>
      </x:c>
      <x:c r="J358" s="18" t="str">
        <x:v>否</x:v>
      </x:c>
    </x:row>
    <x:row r="359" ht="28" customHeight="1">
      <x:c r="A359" s="19" t="str">
        <x:v>天下茶屋</x:v>
      </x:c>
      <x:c r="B359" s="18" t="str">
        <x:v>天下茶屋</x:v>
      </x:c>
      <x:c r="C359" s="18" t="str">
        <x:v>南海電気鉄道</x:v>
      </x:c>
      <x:c r="D359" s="18" t="str">
        <x:v>private_rail</x:v>
      </x:c>
      <x:c r="E359" s="19" t="str">
        <x:v>T1</x:v>
      </x:c>
      <x:c r="F359" s="19" t="str">
        <x:v>南海本線</x:v>
      </x:c>
      <x:c r="G359" s="19" t="str">
        <x:v>候选已存在，组件待审核</x:v>
      </x:c>
      <x:c r="H359" s="19" t="str">
        <x:v>transport-node:29b4a7e7-672e-55cb-b3c8-f0079c981e80</x:v>
      </x:c>
      <x:c r="I359" s="18" t="str">
        <x:v>transport-hub-review:250e8bc5-4ad4-58f5-b454-c214e40fbe86</x:v>
      </x:c>
      <x:c r="J359" s="18" t="str">
        <x:v>否</x:v>
      </x:c>
    </x:row>
    <x:row r="360" ht="28" customHeight="1">
      <x:c r="A360" s="19" t="str">
        <x:v>天満橋</x:v>
      </x:c>
      <x:c r="B360" s="18" t="str">
        <x:v>天満橋</x:v>
      </x:c>
      <x:c r="C360" s="18" t="str">
        <x:v>大阪市高速電気軌道</x:v>
      </x:c>
      <x:c r="D360" s="18" t="str">
        <x:v>metro</x:v>
      </x:c>
      <x:c r="E360" s="19" t="str">
        <x:v>T1</x:v>
      </x:c>
      <x:c r="F360" s="19" t="str">
        <x:v>2号線(谷町線)</x:v>
      </x:c>
      <x:c r="G360" s="19" t="str">
        <x:v>候选已存在，组件待审核</x:v>
      </x:c>
      <x:c r="H360" s="19" t="str">
        <x:v>transport-node:8fc5c26f-197c-5c8d-99c2-37efb118ef32</x:v>
      </x:c>
      <x:c r="I360" s="18" t="str">
        <x:v>transport-hub-review:eadb11d6-f6c0-5149-bf0d-5365cd294959</x:v>
      </x:c>
      <x:c r="J360" s="18" t="str">
        <x:v>否</x:v>
      </x:c>
    </x:row>
    <x:row r="361" ht="33" customHeight="1">
      <x:c r="A361" s="19" t="str">
        <x:v>天満橋</x:v>
      </x:c>
      <x:c r="B361" s="18" t="str">
        <x:v>天満橋</x:v>
      </x:c>
      <x:c r="C361" s="18" t="str">
        <x:v>京阪電気鉄道</x:v>
      </x:c>
      <x:c r="D361" s="18" t="str">
        <x:v>private_rail</x:v>
      </x:c>
      <x:c r="E361" s="19" t="str">
        <x:v>T2</x:v>
      </x:c>
      <x:c r="F361" s="19" t="str">
        <x:v>中之島線
京阪本線</x:v>
      </x:c>
      <x:c r="G361" s="19" t="str">
        <x:v>候选已存在，组件待审核</x:v>
      </x:c>
      <x:c r="H361" s="19" t="str">
        <x:v>transport-node:3a591920-b3d4-5397-a8b6-a2c8db1afa01</x:v>
      </x:c>
      <x:c r="I361" s="18" t="str">
        <x:v>transport-hub-review:eadb11d6-f6c0-5149-bf0d-5365cd294959</x:v>
      </x:c>
      <x:c r="J361" s="18" t="str">
        <x:v>否</x:v>
      </x:c>
    </x:row>
    <x:row r="362" ht="28" customHeight="1">
      <x:c r="A362" s="19" t="str">
        <x:v>登戸</x:v>
      </x:c>
      <x:c r="B362" s="18" t="str">
        <x:v>登戸</x:v>
      </x:c>
      <x:c r="C362" s="18" t="str">
        <x:v>小田急電鉄</x:v>
      </x:c>
      <x:c r="D362" s="18" t="str">
        <x:v>private_rail</x:v>
      </x:c>
      <x:c r="E362" s="19" t="str">
        <x:v>T1</x:v>
      </x:c>
      <x:c r="F362" s="19" t="str">
        <x:v>小田原線</x:v>
      </x:c>
      <x:c r="G362" s="19" t="str">
        <x:v>候选已存在，组件待审核</x:v>
      </x:c>
      <x:c r="H362" s="19" t="str">
        <x:v>transport-node:c88b5d1a-c512-5f79-8471-1334bfe71fd8</x:v>
      </x:c>
      <x:c r="I362" s="18" t="str">
        <x:v>transport-hub-review:060271cb-3364-5bf0-a1d2-7d366ffdbee6</x:v>
      </x:c>
      <x:c r="J362" s="18" t="str">
        <x:v>否</x:v>
      </x:c>
    </x:row>
    <x:row r="363" ht="28" customHeight="1">
      <x:c r="A363" s="19" t="str">
        <x:v>登戸</x:v>
      </x:c>
      <x:c r="B363" s="18" t="str">
        <x:v>登戸</x:v>
      </x:c>
      <x:c r="C363" s="18" t="str">
        <x:v>東日本旅客鉄道</x:v>
      </x:c>
      <x:c r="D363" s="18" t="str">
        <x:v>conventional_rail</x:v>
      </x:c>
      <x:c r="E363" s="19" t="str">
        <x:v>T1</x:v>
      </x:c>
      <x:c r="F363" s="19" t="str">
        <x:v>南武線</x:v>
      </x:c>
      <x:c r="G363" s="19" t="str">
        <x:v>候选已存在，组件待审核</x:v>
      </x:c>
      <x:c r="H363" s="19" t="str">
        <x:v>transport-node:016e8853-2d09-5208-b6a9-c13b844c529b</x:v>
      </x:c>
      <x:c r="I363" s="18" t="str">
        <x:v>transport-hub-review:060271cb-3364-5bf0-a1d2-7d366ffdbee6</x:v>
      </x:c>
      <x:c r="J363" s="18" t="str">
        <x:v>否</x:v>
      </x:c>
    </x:row>
    <x:row r="364" ht="28" customHeight="1">
      <x:c r="A364" s="19" t="str">
        <x:v>東銀座</x:v>
      </x:c>
      <x:c r="B364" s="18" t="str">
        <x:v>東銀座</x:v>
      </x:c>
      <x:c r="C364" s="18" t="str">
        <x:v>東京地下鉄</x:v>
      </x:c>
      <x:c r="D364" s="18" t="str">
        <x:v>metro</x:v>
      </x:c>
      <x:c r="E364" s="19" t="str">
        <x:v>T1</x:v>
      </x:c>
      <x:c r="F364" s="19" t="str">
        <x:v>2号線日比谷線</x:v>
      </x:c>
      <x:c r="G364" s="19" t="str">
        <x:v>候选已存在，组件待审核</x:v>
      </x:c>
      <x:c r="H364" s="19" t="str">
        <x:v>transport-node:88a95970-9ae3-5120-816c-7ed4cdd085f3</x:v>
      </x:c>
      <x:c r="I364" s="18" t="str">
        <x:v>transport-hub-review:5695f141-d759-5b19-a19e-62f5a1e7b451</x:v>
      </x:c>
      <x:c r="J364" s="18" t="str">
        <x:v>否</x:v>
      </x:c>
    </x:row>
    <x:row r="365" ht="28" customHeight="1">
      <x:c r="A365" s="19" t="str">
        <x:v>東銀座</x:v>
      </x:c>
      <x:c r="B365" s="18" t="str">
        <x:v>東銀座</x:v>
      </x:c>
      <x:c r="C365" s="18" t="str">
        <x:v>東京都</x:v>
      </x:c>
      <x:c r="D365" s="18" t="str">
        <x:v>metro</x:v>
      </x:c>
      <x:c r="E365" s="19" t="str">
        <x:v>T1</x:v>
      </x:c>
      <x:c r="F365" s="19" t="str">
        <x:v>1号線浅草線</x:v>
      </x:c>
      <x:c r="G365" s="19" t="str">
        <x:v>候选已存在，组件待审核</x:v>
      </x:c>
      <x:c r="H365" s="19" t="str">
        <x:v>transport-node:837836dc-1da8-5313-bb75-65a4300785c0</x:v>
      </x:c>
      <x:c r="I365" s="18" t="str">
        <x:v>transport-hub-review:5695f141-d759-5b19-a19e-62f5a1e7b451</x:v>
      </x:c>
      <x:c r="J365" s="18" t="str">
        <x:v>否</x:v>
      </x:c>
    </x:row>
    <x:row r="366" ht="28" customHeight="1">
      <x:c r="A366" s="19" t="str">
        <x:v>東中野</x:v>
      </x:c>
      <x:c r="B366" s="18" t="str">
        <x:v>東中野</x:v>
      </x:c>
      <x:c r="C366" s="18" t="str">
        <x:v>東京都</x:v>
      </x:c>
      <x:c r="D366" s="18" t="str">
        <x:v>metro</x:v>
      </x:c>
      <x:c r="E366" s="19" t="str">
        <x:v>T2</x:v>
      </x:c>
      <x:c r="F366" s="19" t="str">
        <x:v>12号線大江戸線</x:v>
      </x:c>
      <x:c r="G366" s="19" t="str">
        <x:v>候选已存在，组件待审核</x:v>
      </x:c>
      <x:c r="H366" s="19" t="str">
        <x:v>transport-node:5d747b48-f70a-5af9-bcbd-96c0d452ec63</x:v>
      </x:c>
      <x:c r="I366" s="18" t="str">
        <x:v>transport-hub-review:94fe7f06-1190-5a7d-820c-4281f6896b9c</x:v>
      </x:c>
      <x:c r="J366" s="18" t="str">
        <x:v>否</x:v>
      </x:c>
    </x:row>
    <x:row r="367" ht="28" customHeight="1">
      <x:c r="A367" s="19" t="str">
        <x:v>東中野</x:v>
      </x:c>
      <x:c r="B367" s="18" t="str">
        <x:v>東中野</x:v>
      </x:c>
      <x:c r="C367" s="18" t="str">
        <x:v>東日本旅客鉄道</x:v>
      </x:c>
      <x:c r="D367" s="18" t="str">
        <x:v>conventional_rail</x:v>
      </x:c>
      <x:c r="E367" s="19" t="str">
        <x:v>T1</x:v>
      </x:c>
      <x:c r="F367" s="19" t="str">
        <x:v>中央線</x:v>
      </x:c>
      <x:c r="G367" s="19" t="str">
        <x:v>候选已存在，组件待审核</x:v>
      </x:c>
      <x:c r="H367" s="19" t="str">
        <x:v>transport-node:34cd5ac6-7035-519f-843f-3099f369ace2</x:v>
      </x:c>
      <x:c r="I367" s="18" t="str">
        <x:v>transport-hub-review:94fe7f06-1190-5a7d-820c-4281f6896b9c</x:v>
      </x:c>
      <x:c r="J367" s="18" t="str">
        <x:v>否</x:v>
      </x:c>
    </x:row>
    <x:row r="368" ht="28" customHeight="1">
      <x:c r="A368" s="19" t="str">
        <x:v>藤が丘</x:v>
      </x:c>
      <x:c r="B368" s="18" t="str">
        <x:v>藤が丘</x:v>
      </x:c>
      <x:c r="C368" s="18" t="str">
        <x:v>名古屋市</x:v>
      </x:c>
      <x:c r="D368" s="18" t="str">
        <x:v>metro</x:v>
      </x:c>
      <x:c r="E368" s="19" t="str">
        <x:v>T1</x:v>
      </x:c>
      <x:c r="F368" s="19" t="str">
        <x:v>1号線東山線</x:v>
      </x:c>
      <x:c r="G368" s="19" t="str">
        <x:v>候选已存在，组件待审核</x:v>
      </x:c>
      <x:c r="H368" s="19" t="str">
        <x:v>transport-node:a52f0947-ac49-58a8-be5f-c5872e070991</x:v>
      </x:c>
      <x:c r="I368" s="18" t="str">
        <x:v>transport-hub-review:3a4bb997-e6a6-5523-95f2-f896e18d20bc</x:v>
      </x:c>
      <x:c r="J368" s="18" t="str">
        <x:v>否</x:v>
      </x:c>
    </x:row>
    <x:row r="369" ht="28" customHeight="1">
      <x:c r="A369" s="19" t="str">
        <x:v>藤が丘</x:v>
      </x:c>
      <x:c r="B369" s="18" t="str">
        <x:v>藤が丘</x:v>
      </x:c>
      <x:c r="C369" s="18" t="str">
        <x:v>愛知高速交通</x:v>
      </x:c>
      <x:c r="D369" s="18" t="str">
        <x:v>fixed_guideway</x:v>
      </x:c>
      <x:c r="E369" s="19" t="str">
        <x:v>T2</x:v>
      </x:c>
      <x:c r="F369" s="19" t="str">
        <x:v>東部丘陵線</x:v>
      </x:c>
      <x:c r="G369" s="19" t="str">
        <x:v>候选已存在，组件待审核</x:v>
      </x:c>
      <x:c r="H369" s="19" t="str">
        <x:v>transport-node:ef8979f4-8642-5bc3-b7b4-95532d5e3e0a</x:v>
      </x:c>
      <x:c r="I369" s="18" t="str">
        <x:v>transport-hub-review:3a4bb997-e6a6-5523-95f2-f896e18d20bc</x:v>
      </x:c>
      <x:c r="J369" s="18" t="str">
        <x:v>否</x:v>
      </x:c>
    </x:row>
    <x:row r="370" ht="33" customHeight="1">
      <x:c r="A370" s="19" t="str">
        <x:v>動物園前・新今宮</x:v>
      </x:c>
      <x:c r="B370" s="18" t="str">
        <x:v>動物園前</x:v>
      </x:c>
      <x:c r="C370" s="18" t="str">
        <x:v>大阪市高速電気軌道</x:v>
      </x:c>
      <x:c r="D370" s="18" t="str">
        <x:v>metro</x:v>
      </x:c>
      <x:c r="E370" s="19" t="str">
        <x:v>T2</x:v>
      </x:c>
      <x:c r="F370" s="19" t="str">
        <x:v>1号線(御堂筋線)
6号線(堺筋線)</x:v>
      </x:c>
      <x:c r="G370" s="19" t="str">
        <x:v>候选已存在，组件待审核</x:v>
      </x:c>
      <x:c r="H370" s="19" t="str">
        <x:v>transport-node:d8ed0c64-893f-55d0-a795-34d0ccfd7425</x:v>
      </x:c>
      <x:c r="I370" s="18" t="str">
        <x:v>transport-hub-review:86c67c92-2f28-5f2e-aec2-724346789840</x:v>
      </x:c>
      <x:c r="J370" s="18" t="str">
        <x:v>否</x:v>
      </x:c>
    </x:row>
    <x:row r="371" ht="33" customHeight="1">
      <x:c r="A371" s="19" t="str">
        <x:v>動物園前・新今宮</x:v>
      </x:c>
      <x:c r="B371" s="18" t="str">
        <x:v>新今宮</x:v>
      </x:c>
      <x:c r="C371" s="18" t="str">
        <x:v>西日本旅客鉄道</x:v>
      </x:c>
      <x:c r="D371" s="18" t="str">
        <x:v>conventional_rail</x:v>
      </x:c>
      <x:c r="E371" s="19" t="str">
        <x:v>T1</x:v>
      </x:c>
      <x:c r="F371" s="19" t="str">
        <x:v>大阪環状線
関西線</x:v>
      </x:c>
      <x:c r="G371" s="19" t="str">
        <x:v>候选已存在，组件待审核</x:v>
      </x:c>
      <x:c r="H371" s="19" t="str">
        <x:v>transport-node:e9f7439f-6550-5727-a39a-198ef5497982</x:v>
      </x:c>
      <x:c r="I371" s="18" t="str">
        <x:v>transport-hub-review:86c67c92-2f28-5f2e-aec2-724346789840</x:v>
      </x:c>
      <x:c r="J371" s="18" t="str">
        <x:v>否</x:v>
      </x:c>
    </x:row>
    <x:row r="372" ht="28" customHeight="1">
      <x:c r="A372" s="19" t="str">
        <x:v>動物園前・新今宮</x:v>
      </x:c>
      <x:c r="B372" s="18" t="str">
        <x:v>新今宮</x:v>
      </x:c>
      <x:c r="C372" s="18" t="str">
        <x:v>南海電気鉄道</x:v>
      </x:c>
      <x:c r="D372" s="18" t="str">
        <x:v>private_rail</x:v>
      </x:c>
      <x:c r="E372" s="19" t="str">
        <x:v>T1</x:v>
      </x:c>
      <x:c r="F372" s="19" t="str">
        <x:v>南海本線</x:v>
      </x:c>
      <x:c r="G372" s="19" t="str">
        <x:v>候选已存在，组件待审核</x:v>
      </x:c>
      <x:c r="H372" s="19" t="str">
        <x:v>transport-node:7dbb07d7-33d6-544e-b664-d955496fb6dd</x:v>
      </x:c>
      <x:c r="I372" s="18" t="str">
        <x:v>transport-hub-review:86c67c92-2f28-5f2e-aec2-724346789840</x:v>
      </x:c>
      <x:c r="J372" s="18" t="str">
        <x:v>否</x:v>
      </x:c>
    </x:row>
    <x:row r="373" ht="28" customHeight="1">
      <x:c r="A373" s="19" t="str">
        <x:v>動物園前・新今宮</x:v>
      </x:c>
      <x:c r="B373" s="18" t="str">
        <x:v>新今宮駅前</x:v>
      </x:c>
      <x:c r="C373" s="18" t="str">
        <x:v>阪堺電気軌道</x:v>
      </x:c>
      <x:c r="D373" s="18" t="str">
        <x:v>tram</x:v>
      </x:c>
      <x:c r="E373" s="19" t="str">
        <x:v>T3</x:v>
      </x:c>
      <x:c r="F373" s="19" t="str">
        <x:v>阪堺線</x:v>
      </x:c>
      <x:c r="G373" s="19" t="str">
        <x:v>候选已存在，组件待审核</x:v>
      </x:c>
      <x:c r="H373" s="19" t="str">
        <x:v>transport-node:a43fbcd3-cb2b-543d-a2ec-503a575737dd</x:v>
      </x:c>
      <x:c r="I373" s="18" t="str">
        <x:v>transport-hub-review:86c67c92-2f28-5f2e-aec2-724346789840</x:v>
      </x:c>
      <x:c r="J373" s="18" t="str">
        <x:v>否</x:v>
      </x:c>
    </x:row>
    <x:row r="374" ht="33" customHeight="1">
      <x:c r="A374" s="19" t="str">
        <x:v>南森町・大阪天満宮</x:v>
      </x:c>
      <x:c r="B374" s="18" t="str">
        <x:v>南森町</x:v>
      </x:c>
      <x:c r="C374" s="18" t="str">
        <x:v>大阪市高速電気軌道</x:v>
      </x:c>
      <x:c r="D374" s="18" t="str">
        <x:v>metro</x:v>
      </x:c>
      <x:c r="E374" s="19" t="str">
        <x:v>T1</x:v>
      </x:c>
      <x:c r="F374" s="19" t="str">
        <x:v>2号線(谷町線)
6号線(堺筋線)</x:v>
      </x:c>
      <x:c r="G374" s="19" t="str">
        <x:v>候选已存在，组件待审核</x:v>
      </x:c>
      <x:c r="H374" s="19" t="str">
        <x:v>transport-node:a66637e3-d28b-578a-bc27-ee971d8a61b8</x:v>
      </x:c>
      <x:c r="I374" s="18" t="str">
        <x:v>transport-hub-review:a15fd3a0-2a06-5c01-b277-d2261be08fdb</x:v>
      </x:c>
      <x:c r="J374" s="18" t="str">
        <x:v>否</x:v>
      </x:c>
    </x:row>
    <x:row r="375" ht="28" customHeight="1">
      <x:c r="A375" s="19" t="str">
        <x:v>南森町・大阪天満宮</x:v>
      </x:c>
      <x:c r="B375" s="18" t="str">
        <x:v>大阪天満宮</x:v>
      </x:c>
      <x:c r="C375" s="18" t="str">
        <x:v>西日本旅客鉄道</x:v>
      </x:c>
      <x:c r="D375" s="18" t="str">
        <x:v>conventional_rail</x:v>
      </x:c>
      <x:c r="E375" s="19" t="str">
        <x:v>T2</x:v>
      </x:c>
      <x:c r="F375" s="19" t="str">
        <x:v>JR東西線</x:v>
      </x:c>
      <x:c r="G375" s="19" t="str">
        <x:v>候选已存在，组件待审核</x:v>
      </x:c>
      <x:c r="H375" s="19" t="str">
        <x:v>transport-node:36b1ac6d-7f1d-5b4c-b329-4b0c92abdbff</x:v>
      </x:c>
      <x:c r="I375" s="18" t="str">
        <x:v>transport-hub-review:a15fd3a0-2a06-5c01-b277-d2261be08fdb</x:v>
      </x:c>
      <x:c r="J375" s="18" t="str">
        <x:v>否</x:v>
      </x:c>
    </x:row>
    <x:row r="376" ht="28" customHeight="1">
      <x:c r="A376" s="19" t="str">
        <x:v>南流山</x:v>
      </x:c>
      <x:c r="B376" s="18" t="str">
        <x:v>南流山</x:v>
      </x:c>
      <x:c r="C376" s="18" t="str">
        <x:v>首都圏新都市鉄道</x:v>
      </x:c>
      <x:c r="D376" s="18" t="str">
        <x:v>private_rail</x:v>
      </x:c>
      <x:c r="E376" s="19" t="str">
        <x:v>T1</x:v>
      </x:c>
      <x:c r="F376" s="19" t="str">
        <x:v>常磐新線</x:v>
      </x:c>
      <x:c r="G376" s="19" t="str">
        <x:v>候选已存在，组件待审核</x:v>
      </x:c>
      <x:c r="H376" s="19" t="str">
        <x:v>transport-node:4f863bbc-4432-5512-a9e1-33f596045918</x:v>
      </x:c>
      <x:c r="I376" s="18" t="str">
        <x:v>transport-hub-review:5158114f-3f73-525f-ae00-c0d9fbaf26c2</x:v>
      </x:c>
      <x:c r="J376" s="18" t="str">
        <x:v>否</x:v>
      </x:c>
    </x:row>
    <x:row r="377" ht="28" customHeight="1">
      <x:c r="A377" s="19" t="str">
        <x:v>南流山</x:v>
      </x:c>
      <x:c r="B377" s="18" t="str">
        <x:v>南流山</x:v>
      </x:c>
      <x:c r="C377" s="18" t="str">
        <x:v>東日本旅客鉄道</x:v>
      </x:c>
      <x:c r="D377" s="18" t="str">
        <x:v>conventional_rail</x:v>
      </x:c>
      <x:c r="E377" s="19" t="str">
        <x:v>T1</x:v>
      </x:c>
      <x:c r="F377" s="19" t="str">
        <x:v>武蔵野線</x:v>
      </x:c>
      <x:c r="G377" s="19" t="str">
        <x:v>候选已存在，组件待审核</x:v>
      </x:c>
      <x:c r="H377" s="19" t="str">
        <x:v>transport-node:1816f227-7c97-5c98-ad23-7fa613d62d6c</x:v>
      </x:c>
      <x:c r="I377" s="18" t="str">
        <x:v>transport-hub-review:5158114f-3f73-525f-ae00-c0d9fbaf26c2</x:v>
      </x:c>
      <x:c r="J377" s="18" t="str">
        <x:v>否</x:v>
      </x:c>
    </x:row>
    <x:row r="378" ht="47" customHeight="1">
      <x:c r="A378" s="19" t="str">
        <x:v>日吉</x:v>
      </x:c>
      <x:c r="B378" s="18" t="str">
        <x:v>日吉</x:v>
      </x:c>
      <x:c r="C378" s="18" t="str">
        <x:v>東急電鉄</x:v>
      </x:c>
      <x:c r="D378" s="18" t="str">
        <x:v>private_rail</x:v>
      </x:c>
      <x:c r="E378" s="19" t="str">
        <x:v>T1</x:v>
      </x:c>
      <x:c r="F378" s="19" t="str">
        <x:v>東急新横浜線
東横線
目黒線</x:v>
      </x:c>
      <x:c r="G378" s="19" t="str">
        <x:v>候选已存在，组件待审核</x:v>
      </x:c>
      <x:c r="H378" s="19" t="str">
        <x:v>transport-node:e8f8f43c-51d0-57e9-83b2-510ea164d839</x:v>
      </x:c>
      <x:c r="I378" s="18" t="str">
        <x:v>transport-hub-review:9f5aac64-9dc5-51f1-9bcf-c71f75c392d2</x:v>
      </x:c>
      <x:c r="J378" s="18" t="str">
        <x:v>否</x:v>
      </x:c>
    </x:row>
    <x:row r="379" ht="28" customHeight="1">
      <x:c r="A379" s="19" t="str">
        <x:v>日吉</x:v>
      </x:c>
      <x:c r="B379" s="18" t="str">
        <x:v>日吉</x:v>
      </x:c>
      <x:c r="C379" s="18" t="str">
        <x:v>横浜市</x:v>
      </x:c>
      <x:c r="D379" s="18" t="str">
        <x:v>metro</x:v>
      </x:c>
      <x:c r="E379" s="19" t="str">
        <x:v>T2</x:v>
      </x:c>
      <x:c r="F379" s="19" t="str">
        <x:v>4号線</x:v>
      </x:c>
      <x:c r="G379" s="19" t="str">
        <x:v>候选已存在，组件待审核</x:v>
      </x:c>
      <x:c r="H379" s="19" t="str">
        <x:v>transport-node:6122fddf-bc72-5dcf-a005-9203879c69c9</x:v>
      </x:c>
      <x:c r="I379" s="18" t="str">
        <x:v>transport-hub-review:9f5aac64-9dc5-51f1-9bcf-c71f75c392d2</x:v>
      </x:c>
      <x:c r="J379" s="18" t="str">
        <x:v>否</x:v>
      </x:c>
    </x:row>
    <x:row r="380" ht="33" customHeight="1">
      <x:c r="A380" s="19" t="str">
        <x:v>日本橋</x:v>
      </x:c>
      <x:c r="B380" s="18" t="str">
        <x:v>日本橋</x:v>
      </x:c>
      <x:c r="C380" s="18" t="str">
        <x:v>東京地下鉄</x:v>
      </x:c>
      <x:c r="D380" s="18" t="str">
        <x:v>metro</x:v>
      </x:c>
      <x:c r="E380" s="19" t="str">
        <x:v>T1</x:v>
      </x:c>
      <x:c r="F380" s="19" t="str">
        <x:v>3号線銀座線
5号線東西線</x:v>
      </x:c>
      <x:c r="G380" s="19" t="str">
        <x:v>候选已存在，组件待审核</x:v>
      </x:c>
      <x:c r="H380" s="19" t="str">
        <x:v>transport-node:a760cb08-155b-5942-abc8-e986d0afe845</x:v>
      </x:c>
      <x:c r="I380" s="18" t="str">
        <x:v>transport-hub-review:9a6124c7-cefb-564c-9da5-af13958c33f9</x:v>
      </x:c>
      <x:c r="J380" s="18" t="str">
        <x:v>否</x:v>
      </x:c>
    </x:row>
    <x:row r="381" ht="28" customHeight="1">
      <x:c r="A381" s="19" t="str">
        <x:v>日本橋</x:v>
      </x:c>
      <x:c r="B381" s="18" t="str">
        <x:v>日本橋</x:v>
      </x:c>
      <x:c r="C381" s="18" t="str">
        <x:v>東京都</x:v>
      </x:c>
      <x:c r="D381" s="18" t="str">
        <x:v>metro</x:v>
      </x:c>
      <x:c r="E381" s="19" t="str">
        <x:v>T2</x:v>
      </x:c>
      <x:c r="F381" s="19" t="str">
        <x:v>1号線浅草線</x:v>
      </x:c>
      <x:c r="G381" s="19" t="str">
        <x:v>候选已存在，组件待审核</x:v>
      </x:c>
      <x:c r="H381" s="19" t="str">
        <x:v>transport-node:afa70716-8ea3-53bc-9f7f-445f03c8674a</x:v>
      </x:c>
      <x:c r="I381" s="18" t="str">
        <x:v>transport-hub-review:9a6124c7-cefb-564c-9da5-af13958c33f9</x:v>
      </x:c>
      <x:c r="J381" s="18" t="str">
        <x:v>否</x:v>
      </x:c>
    </x:row>
    <x:row r="382" ht="33" customHeight="1">
      <x:c r="A382" s="19" t="str">
        <x:v>日本橋・近鉄日本橋</x:v>
      </x:c>
      <x:c r="B382" s="18" t="str">
        <x:v>日本橋</x:v>
      </x:c>
      <x:c r="C382" s="18" t="str">
        <x:v>大阪市高速電気軌道</x:v>
      </x:c>
      <x:c r="D382" s="18" t="str">
        <x:v>metro</x:v>
      </x:c>
      <x:c r="E382" s="19" t="str">
        <x:v>T1</x:v>
      </x:c>
      <x:c r="F382" s="19" t="str">
        <x:v>5号線(千日前線)
6号線(堺筋線)</x:v>
      </x:c>
      <x:c r="G382" s="19" t="str">
        <x:v>候选已存在，组件待审核</x:v>
      </x:c>
      <x:c r="H382" s="19" t="str">
        <x:v>transport-node:621f678e-c646-5d1b-8307-26335ede74a2</x:v>
      </x:c>
      <x:c r="I382" s="18" t="str">
        <x:v>transport-hub-review:e75c060a-699e-5df7-822a-19d68e4de50a</x:v>
      </x:c>
      <x:c r="J382" s="18" t="str">
        <x:v>否</x:v>
      </x:c>
    </x:row>
    <x:row r="383" ht="28" customHeight="1">
      <x:c r="A383" s="19" t="str">
        <x:v>日本橋・近鉄日本橋</x:v>
      </x:c>
      <x:c r="B383" s="18" t="str">
        <x:v>近鉄日本橋</x:v>
      </x:c>
      <x:c r="C383" s="18" t="str">
        <x:v>近畿日本鉄道</x:v>
      </x:c>
      <x:c r="D383" s="18" t="str">
        <x:v>private_rail</x:v>
      </x:c>
      <x:c r="E383" s="19" t="str">
        <x:v>T2</x:v>
      </x:c>
      <x:c r="F383" s="19" t="str">
        <x:v>難波線</x:v>
      </x:c>
      <x:c r="G383" s="19" t="str">
        <x:v>候选已存在，组件待审核</x:v>
      </x:c>
      <x:c r="H383" s="19" t="str">
        <x:v>transport-node:03288eca-e765-5e47-83be-dcacbd627b4e</x:v>
      </x:c>
      <x:c r="I383" s="18" t="str">
        <x:v>transport-hub-review:e75c060a-699e-5df7-822a-19d68e4de50a</x:v>
      </x:c>
      <x:c r="J383" s="18" t="str">
        <x:v>否</x:v>
      </x:c>
    </x:row>
    <x:row r="384" ht="28" customHeight="1">
      <x:c r="A384" s="19" t="str">
        <x:v>拝島</x:v>
      </x:c>
      <x:c r="B384" s="18" t="str">
        <x:v>拝島</x:v>
      </x:c>
      <x:c r="C384" s="18" t="str">
        <x:v>西武鉄道</x:v>
      </x:c>
      <x:c r="D384" s="18" t="str">
        <x:v>private_rail</x:v>
      </x:c>
      <x:c r="E384" s="19" t="str">
        <x:v>T2</x:v>
      </x:c>
      <x:c r="F384" s="19" t="str">
        <x:v>拝島線</x:v>
      </x:c>
      <x:c r="G384" s="19" t="str">
        <x:v>候选已存在，组件待审核</x:v>
      </x:c>
      <x:c r="H384" s="19" t="str">
        <x:v>transport-node:8cb9c1d1-c4c2-5b21-99f2-1298e1f8fe5e</x:v>
      </x:c>
      <x:c r="I384" s="18" t="str">
        <x:v>transport-hub-review:5734665b-2298-5777-afc9-ac021678388c</x:v>
      </x:c>
      <x:c r="J384" s="18" t="str">
        <x:v>否</x:v>
      </x:c>
    </x:row>
    <x:row r="385" ht="47" customHeight="1">
      <x:c r="A385" s="19" t="str">
        <x:v>拝島</x:v>
      </x:c>
      <x:c r="B385" s="18" t="str">
        <x:v>拝島</x:v>
      </x:c>
      <x:c r="C385" s="18" t="str">
        <x:v>東日本旅客鉄道</x:v>
      </x:c>
      <x:c r="D385" s="18" t="str">
        <x:v>conventional_rail</x:v>
      </x:c>
      <x:c r="E385" s="19" t="str">
        <x:v>T1</x:v>
      </x:c>
      <x:c r="F385" s="19" t="str">
        <x:v>五日市線
八高線
青梅線</x:v>
      </x:c>
      <x:c r="G385" s="19" t="str">
        <x:v>候选已存在，组件待审核</x:v>
      </x:c>
      <x:c r="H385" s="19" t="str">
        <x:v>transport-node:b921f6fb-8bc8-5f0e-a9a0-bf6054644a5f</x:v>
      </x:c>
      <x:c r="I385" s="18" t="str">
        <x:v>transport-hub-review:5734665b-2298-5777-afc9-ac021678388c</x:v>
      </x:c>
      <x:c r="J385" s="18" t="str">
        <x:v>否</x:v>
      </x:c>
    </x:row>
    <x:row r="386" ht="28" customHeight="1">
      <x:c r="A386" s="19" t="str">
        <x:v>八丁堀</x:v>
      </x:c>
      <x:c r="B386" s="18" t="str">
        <x:v>八丁堀</x:v>
      </x:c>
      <x:c r="C386" s="18" t="str">
        <x:v>東京地下鉄</x:v>
      </x:c>
      <x:c r="D386" s="18" t="str">
        <x:v>metro</x:v>
      </x:c>
      <x:c r="E386" s="19" t="str">
        <x:v>T1</x:v>
      </x:c>
      <x:c r="F386" s="19" t="str">
        <x:v>2号線日比谷線</x:v>
      </x:c>
      <x:c r="G386" s="19" t="str">
        <x:v>候选已存在，组件待审核</x:v>
      </x:c>
      <x:c r="H386" s="19" t="str">
        <x:v>transport-node:38eaa6ec-7f19-5f86-8937-d52f0244d9d9</x:v>
      </x:c>
      <x:c r="I386" s="18" t="str">
        <x:v>transport-hub-review:9b9f01b6-0b9f-5f3c-8088-ec7072a5ad31</x:v>
      </x:c>
      <x:c r="J386" s="18" t="str">
        <x:v>否</x:v>
      </x:c>
    </x:row>
    <x:row r="387" ht="28" customHeight="1">
      <x:c r="A387" s="19" t="str">
        <x:v>八丁堀</x:v>
      </x:c>
      <x:c r="B387" s="18" t="str">
        <x:v>八丁堀</x:v>
      </x:c>
      <x:c r="C387" s="18" t="str">
        <x:v>東日本旅客鉄道</x:v>
      </x:c>
      <x:c r="D387" s="18" t="str">
        <x:v>conventional_rail</x:v>
      </x:c>
      <x:c r="E387" s="19" t="str">
        <x:v>T1</x:v>
      </x:c>
      <x:c r="F387" s="19" t="str">
        <x:v>京葉線</x:v>
      </x:c>
      <x:c r="G387" s="19" t="str">
        <x:v>候选已存在，组件待审核</x:v>
      </x:c>
      <x:c r="H387" s="19" t="str">
        <x:v>transport-node:973ea78f-945d-50a5-bcf5-a56d782b3339</x:v>
      </x:c>
      <x:c r="I387" s="18" t="str">
        <x:v>transport-hub-review:9b9f01b6-0b9f-5f3c-8088-ec7072a5ad31</x:v>
      </x:c>
      <x:c r="J387" s="18" t="str">
        <x:v>否</x:v>
      </x:c>
    </x:row>
    <x:row r="388" ht="47" customHeight="1">
      <x:c r="A388" s="19" t="str">
        <x:v>飯田橋</x:v>
      </x:c>
      <x:c r="B388" s="18" t="str">
        <x:v>飯田橋</x:v>
      </x:c>
      <x:c r="C388" s="18" t="str">
        <x:v>東京地下鉄</x:v>
      </x:c>
      <x:c r="D388" s="18" t="str">
        <x:v>metro</x:v>
      </x:c>
      <x:c r="E388" s="19" t="str">
        <x:v>T1</x:v>
      </x:c>
      <x:c r="F388" s="19" t="str">
        <x:v>5号線東西線
7号線南北線
8号線有楽町線</x:v>
      </x:c>
      <x:c r="G388" s="19" t="str">
        <x:v>候选已存在，组件待审核</x:v>
      </x:c>
      <x:c r="H388" s="19" t="str">
        <x:v>transport-node:154a4dd6-48bc-52f0-85ad-349347dbb4bc</x:v>
      </x:c>
      <x:c r="I388" s="18" t="str">
        <x:v>transport-hub-review:69756f5d-baec-55b1-b45f-28b30f410284</x:v>
      </x:c>
      <x:c r="J388" s="18" t="str">
        <x:v>否</x:v>
      </x:c>
    </x:row>
    <x:row r="389" ht="28" customHeight="1">
      <x:c r="A389" s="19" t="str">
        <x:v>飯田橋</x:v>
      </x:c>
      <x:c r="B389" s="18" t="str">
        <x:v>飯田橋</x:v>
      </x:c>
      <x:c r="C389" s="18" t="str">
        <x:v>東日本旅客鉄道</x:v>
      </x:c>
      <x:c r="D389" s="18" t="str">
        <x:v>conventional_rail</x:v>
      </x:c>
      <x:c r="E389" s="19" t="str">
        <x:v>T1</x:v>
      </x:c>
      <x:c r="F389" s="19" t="str">
        <x:v>中央線</x:v>
      </x:c>
      <x:c r="G389" s="19" t="str">
        <x:v>候选已存在，组件待审核</x:v>
      </x:c>
      <x:c r="H389" s="19" t="str">
        <x:v>transport-node:584dca41-f90d-55e6-b280-ae96d7d49860</x:v>
      </x:c>
      <x:c r="I389" s="18" t="str">
        <x:v>transport-hub-review:69756f5d-baec-55b1-b45f-28b30f410284</x:v>
      </x:c>
      <x:c r="J389" s="18" t="str">
        <x:v>否</x:v>
      </x:c>
    </x:row>
    <x:row r="390" ht="28" customHeight="1">
      <x:c r="A390" s="19" t="str">
        <x:v>飯田橋</x:v>
      </x:c>
      <x:c r="B390" s="18" t="str">
        <x:v>飯田橋</x:v>
      </x:c>
      <x:c r="C390" s="18" t="str">
        <x:v>東京都</x:v>
      </x:c>
      <x:c r="D390" s="18" t="str">
        <x:v>metro</x:v>
      </x:c>
      <x:c r="E390" s="19" t="str">
        <x:v>T2</x:v>
      </x:c>
      <x:c r="F390" s="19" t="str">
        <x:v>12号線大江戸線</x:v>
      </x:c>
      <x:c r="G390" s="19" t="str">
        <x:v>候选已存在，组件待审核</x:v>
      </x:c>
      <x:c r="H390" s="19" t="str">
        <x:v>transport-node:f7adde32-67f6-5bc9-b927-6ef5ebfd2ee9</x:v>
      </x:c>
      <x:c r="I390" s="18" t="str">
        <x:v>transport-hub-review:69756f5d-baec-55b1-b45f-28b30f410284</x:v>
      </x:c>
      <x:c r="J390" s="18" t="str">
        <x:v>否</x:v>
      </x:c>
    </x:row>
    <x:row r="391" ht="28" customHeight="1">
      <x:c r="A391" s="19" t="str">
        <x:v>肥後橋・渡辺橋</x:v>
      </x:c>
      <x:c r="B391" s="18" t="str">
        <x:v>肥後橋</x:v>
      </x:c>
      <x:c r="C391" s="18" t="str">
        <x:v>大阪市高速電気軌道</x:v>
      </x:c>
      <x:c r="D391" s="18" t="str">
        <x:v>metro</x:v>
      </x:c>
      <x:c r="E391" s="19" t="str">
        <x:v>T1</x:v>
      </x:c>
      <x:c r="F391" s="19" t="str">
        <x:v>3号線(四つ橋線)</x:v>
      </x:c>
      <x:c r="G391" s="19" t="str">
        <x:v>候选已存在，组件待审核</x:v>
      </x:c>
      <x:c r="H391" s="19" t="str">
        <x:v>transport-node:95c903f6-e4ab-5b49-93a1-2979879b5152</x:v>
      </x:c>
      <x:c r="I391" s="18" t="str">
        <x:v>transport-hub-review:002a6dc1-2e3a-5593-86d9-510006dbbbf6</x:v>
      </x:c>
      <x:c r="J391" s="18" t="str">
        <x:v>否</x:v>
      </x:c>
    </x:row>
    <x:row r="392" ht="28" customHeight="1">
      <x:c r="A392" s="19" t="str">
        <x:v>肥後橋・渡辺橋</x:v>
      </x:c>
      <x:c r="B392" s="18" t="str">
        <x:v>渡辺橋</x:v>
      </x:c>
      <x:c r="C392" s="18" t="str">
        <x:v>京阪電気鉄道</x:v>
      </x:c>
      <x:c r="D392" s="18" t="str">
        <x:v>private_rail</x:v>
      </x:c>
      <x:c r="E392" s="19" t="str">
        <x:v>T3</x:v>
      </x:c>
      <x:c r="F392" s="19" t="str">
        <x:v>中之島線</x:v>
      </x:c>
      <x:c r="G392" s="19" t="str">
        <x:v>候选已存在，组件待审核</x:v>
      </x:c>
      <x:c r="H392" s="19" t="str">
        <x:v>transport-node:c078b4e6-faef-5c16-83a4-d64397e13142</x:v>
      </x:c>
      <x:c r="I392" s="18" t="str">
        <x:v>transport-hub-review:002a6dc1-2e3a-5593-86d9-510006dbbbf6</x:v>
      </x:c>
      <x:c r="J392" s="18" t="str">
        <x:v>否</x:v>
      </x:c>
    </x:row>
    <x:row r="393" ht="28" customHeight="1">
      <x:c r="A393" s="19" t="str">
        <x:v>尾張一宮・名鉄一宮</x:v>
      </x:c>
      <x:c r="B393" s="18" t="str">
        <x:v>尾張一宮</x:v>
      </x:c>
      <x:c r="C393" s="18" t="str">
        <x:v>東海旅客鉄道</x:v>
      </x:c>
      <x:c r="D393" s="18" t="str">
        <x:v>conventional_rail</x:v>
      </x:c>
      <x:c r="E393" s="19" t="str">
        <x:v>T1</x:v>
      </x:c>
      <x:c r="F393" s="19" t="str">
        <x:v>東海道線</x:v>
      </x:c>
      <x:c r="G393" s="19" t="str">
        <x:v>候选已存在，组件待审核</x:v>
      </x:c>
      <x:c r="H393" s="19" t="str">
        <x:v>transport-node:903bed75-d948-5da2-9e0d-fdaa84122275</x:v>
      </x:c>
      <x:c r="I393" s="18" t="str">
        <x:v>transport-hub-review:637cdbb7-038a-56cd-a587-93000979a03f</x:v>
      </x:c>
      <x:c r="J393" s="18" t="str">
        <x:v>否</x:v>
      </x:c>
    </x:row>
    <x:row r="394" ht="33" customHeight="1">
      <x:c r="A394" s="19" t="str">
        <x:v>尾張一宮・名鉄一宮</x:v>
      </x:c>
      <x:c r="B394" s="18" t="str">
        <x:v>名鉄一宮</x:v>
      </x:c>
      <x:c r="C394" s="18" t="str">
        <x:v>名古屋鉄道</x:v>
      </x:c>
      <x:c r="D394" s="18" t="str">
        <x:v>private_rail</x:v>
      </x:c>
      <x:c r="E394" s="19" t="str">
        <x:v>T2</x:v>
      </x:c>
      <x:c r="F394" s="19" t="str">
        <x:v>名古屋本線
尾西線</x:v>
      </x:c>
      <x:c r="G394" s="19" t="str">
        <x:v>候选已存在，组件待审核</x:v>
      </x:c>
      <x:c r="H394" s="19" t="str">
        <x:v>transport-node:f5226fd7-66e6-517d-b7f4-b25f2f2cab07</x:v>
      </x:c>
      <x:c r="I394" s="18" t="str">
        <x:v>transport-hub-review:637cdbb7-038a-56cd-a587-93000979a03f</x:v>
      </x:c>
      <x:c r="J394" s="18" t="str">
        <x:v>否</x:v>
      </x:c>
    </x:row>
    <x:row r="395" ht="47" customHeight="1">
      <x:c r="A395" s="19" t="str">
        <x:v>表参道</x:v>
      </x:c>
      <x:c r="B395" s="18" t="str">
        <x:v>表参道</x:v>
      </x:c>
      <x:c r="C395" s="18" t="str">
        <x:v>東京地下鉄</x:v>
      </x:c>
      <x:c r="D395" s="18" t="str">
        <x:v>metro</x:v>
      </x:c>
      <x:c r="E395" s="19" t="str">
        <x:v>T1</x:v>
      </x:c>
      <x:c r="F395" s="19" t="str">
        <x:v>11号線半蔵門線
3号線銀座線
9号線千代田線</x:v>
      </x:c>
      <x:c r="G395" s="19" t="str">
        <x:v>候选已存在，组件待审核</x:v>
      </x:c>
      <x:c r="H395" s="19" t="str">
        <x:v>transport-node:0dc8465f-68de-55ec-ac1c-35178ac5e3b8</x:v>
      </x:c>
      <x:c r="I395" s="18" t="str">
        <x:v>transport-hub-review:4fbf4b7f-731c-5db0-b41d-a2fc3534bb63</x:v>
      </x:c>
      <x:c r="J395" s="18" t="str">
        <x:v>否</x:v>
      </x:c>
    </x:row>
    <x:row r="396" ht="28" customHeight="1">
      <x:c r="A396" s="19" t="str">
        <x:v>武蔵境</x:v>
      </x:c>
      <x:c r="B396" s="18" t="str">
        <x:v>武蔵境</x:v>
      </x:c>
      <x:c r="C396" s="18" t="str">
        <x:v>西武鉄道</x:v>
      </x:c>
      <x:c r="D396" s="18" t="str">
        <x:v>private_rail</x:v>
      </x:c>
      <x:c r="E396" s="19" t="str">
        <x:v>T2</x:v>
      </x:c>
      <x:c r="F396" s="19" t="str">
        <x:v>多摩川線</x:v>
      </x:c>
      <x:c r="G396" s="19" t="str">
        <x:v>候选已存在，组件待审核</x:v>
      </x:c>
      <x:c r="H396" s="19" t="str">
        <x:v>transport-node:1a60ba93-92b5-5e3e-b1e0-4325f719eed4</x:v>
      </x:c>
      <x:c r="I396" s="18" t="str">
        <x:v>transport-hub-review:22a88e87-be13-59db-ab56-053c62c9fe6c</x:v>
      </x:c>
      <x:c r="J396" s="18" t="str">
        <x:v>否</x:v>
      </x:c>
    </x:row>
    <x:row r="397" ht="28" customHeight="1">
      <x:c r="A397" s="19" t="str">
        <x:v>武蔵境</x:v>
      </x:c>
      <x:c r="B397" s="18" t="str">
        <x:v>武蔵境</x:v>
      </x:c>
      <x:c r="C397" s="18" t="str">
        <x:v>東日本旅客鉄道</x:v>
      </x:c>
      <x:c r="D397" s="18" t="str">
        <x:v>conventional_rail</x:v>
      </x:c>
      <x:c r="E397" s="19" t="str">
        <x:v>T1</x:v>
      </x:c>
      <x:c r="F397" s="19" t="str">
        <x:v>中央線</x:v>
      </x:c>
      <x:c r="G397" s="19" t="str">
        <x:v>候选已存在，组件待审核</x:v>
      </x:c>
      <x:c r="H397" s="19" t="str">
        <x:v>transport-node:daf4fe58-fdc9-5930-b12d-fcf5618eb64b</x:v>
      </x:c>
      <x:c r="I397" s="18" t="str">
        <x:v>transport-hub-review:22a88e87-be13-59db-ab56-053c62c9fe6c</x:v>
      </x:c>
      <x:c r="J397" s="18" t="str">
        <x:v>否</x:v>
      </x:c>
    </x:row>
    <x:row r="398" ht="33" customHeight="1">
      <x:c r="A398" s="19" t="str">
        <x:v>伏見</x:v>
      </x:c>
      <x:c r="B398" s="18" t="str">
        <x:v>伏見</x:v>
      </x:c>
      <x:c r="C398" s="18" t="str">
        <x:v>名古屋市</x:v>
      </x:c>
      <x:c r="D398" s="18" t="str">
        <x:v>metro</x:v>
      </x:c>
      <x:c r="E398" s="19" t="str">
        <x:v>T1</x:v>
      </x:c>
      <x:c r="F398" s="19" t="str">
        <x:v>1号線東山線
3号線鶴舞線</x:v>
      </x:c>
      <x:c r="G398" s="19" t="str">
        <x:v>候选已存在，组件待审核</x:v>
      </x:c>
      <x:c r="H398" s="19" t="str">
        <x:v>transport-node:3731a6b6-458e-5981-8884-e4ac442122bc</x:v>
      </x:c>
      <x:c r="I398" s="18" t="str">
        <x:v>transport-hub-review:1cebb3c8-8961-5b01-b9b6-2ff9f45d7df7</x:v>
      </x:c>
      <x:c r="J398" s="18" t="str">
        <x:v>否</x:v>
      </x:c>
    </x:row>
    <x:row r="399" ht="28" customHeight="1">
      <x:c r="A399" s="19" t="str">
        <x:v>分倍河原</x:v>
      </x:c>
      <x:c r="B399" s="18" t="str">
        <x:v>分倍河原</x:v>
      </x:c>
      <x:c r="C399" s="18" t="str">
        <x:v>京王電鉄</x:v>
      </x:c>
      <x:c r="D399" s="18" t="str">
        <x:v>private_rail</x:v>
      </x:c>
      <x:c r="E399" s="19" t="str">
        <x:v>T1</x:v>
      </x:c>
      <x:c r="F399" s="19" t="str">
        <x:v>京王線</x:v>
      </x:c>
      <x:c r="G399" s="19" t="str">
        <x:v>候选已存在，组件待审核</x:v>
      </x:c>
      <x:c r="H399" s="19" t="str">
        <x:v>transport-node:632294e7-ffc8-5e02-859f-53edceccf844</x:v>
      </x:c>
      <x:c r="I399" s="18" t="str">
        <x:v>transport-hub-review:f172a853-f9f2-5328-b4d0-0b809f7ee6e4</x:v>
      </x:c>
      <x:c r="J399" s="18" t="str">
        <x:v>否</x:v>
      </x:c>
    </x:row>
    <x:row r="400" ht="28" customHeight="1">
      <x:c r="A400" s="19" t="str">
        <x:v>分倍河原</x:v>
      </x:c>
      <x:c r="B400" s="18" t="str">
        <x:v>分倍河原</x:v>
      </x:c>
      <x:c r="C400" s="18" t="str">
        <x:v>東日本旅客鉄道</x:v>
      </x:c>
      <x:c r="D400" s="18" t="str">
        <x:v>conventional_rail</x:v>
      </x:c>
      <x:c r="E400" s="19" t="str">
        <x:v>T1</x:v>
      </x:c>
      <x:c r="F400" s="19" t="str">
        <x:v>南武線</x:v>
      </x:c>
      <x:c r="G400" s="19" t="str">
        <x:v>候选已存在，组件待审核</x:v>
      </x:c>
      <x:c r="H400" s="19" t="str">
        <x:v>transport-node:c49322fb-6283-573c-ae02-817ffd52e112</x:v>
      </x:c>
      <x:c r="I400" s="18" t="str">
        <x:v>transport-hub-review:f172a853-f9f2-5328-b4d0-0b809f7ee6e4</x:v>
      </x:c>
      <x:c r="J400" s="18" t="str">
        <x:v>否</x:v>
      </x:c>
    </x:row>
    <x:row r="401" ht="28" customHeight="1">
      <x:c r="A401" s="19" t="str">
        <x:v>弁天町</x:v>
      </x:c>
      <x:c r="B401" s="18" t="str">
        <x:v>弁天町</x:v>
      </x:c>
      <x:c r="C401" s="18" t="str">
        <x:v>大阪市高速電気軌道</x:v>
      </x:c>
      <x:c r="D401" s="18" t="str">
        <x:v>metro</x:v>
      </x:c>
      <x:c r="E401" s="19" t="str">
        <x:v>T2</x:v>
      </x:c>
      <x:c r="F401" s="19" t="str">
        <x:v>4号線(中央線)</x:v>
      </x:c>
      <x:c r="G401" s="19" t="str">
        <x:v>候选已存在，组件待审核</x:v>
      </x:c>
      <x:c r="H401" s="19" t="str">
        <x:v>transport-node:b3d80ce6-75b5-5237-bec9-7cb36d55514a</x:v>
      </x:c>
      <x:c r="I401" s="18" t="str">
        <x:v>transport-hub-review:eb0602f8-4871-5d61-a7f9-a188289a2842</x:v>
      </x:c>
      <x:c r="J401" s="18" t="str">
        <x:v>否</x:v>
      </x:c>
    </x:row>
    <x:row r="402" ht="28" customHeight="1">
      <x:c r="A402" s="19" t="str">
        <x:v>弁天町</x:v>
      </x:c>
      <x:c r="B402" s="18" t="str">
        <x:v>弁天町</x:v>
      </x:c>
      <x:c r="C402" s="18" t="str">
        <x:v>西日本旅客鉄道</x:v>
      </x:c>
      <x:c r="D402" s="18" t="str">
        <x:v>conventional_rail</x:v>
      </x:c>
      <x:c r="E402" s="19" t="str">
        <x:v>T1</x:v>
      </x:c>
      <x:c r="F402" s="19" t="str">
        <x:v>大阪環状線</x:v>
      </x:c>
      <x:c r="G402" s="19" t="str">
        <x:v>候选已存在，组件待审核</x:v>
      </x:c>
      <x:c r="H402" s="19" t="str">
        <x:v>transport-node:34bdcdcf-4dde-54d2-a7c2-5b16c4c6eda5</x:v>
      </x:c>
      <x:c r="I402" s="18" t="str">
        <x:v>transport-hub-review:eb0602f8-4871-5d61-a7f9-a188289a2842</x:v>
      </x:c>
      <x:c r="J402" s="18" t="str">
        <x:v>否</x:v>
      </x:c>
    </x:row>
    <x:row r="403" ht="28" customHeight="1">
      <x:c r="A403" s="19" t="str">
        <x:v>北浜</x:v>
      </x:c>
      <x:c r="B403" s="18" t="str">
        <x:v>北浜</x:v>
      </x:c>
      <x:c r="C403" s="18" t="str">
        <x:v>大阪市高速電気軌道</x:v>
      </x:c>
      <x:c r="D403" s="18" t="str">
        <x:v>metro</x:v>
      </x:c>
      <x:c r="E403" s="19" t="str">
        <x:v>T1</x:v>
      </x:c>
      <x:c r="F403" s="19" t="str">
        <x:v>6号線(堺筋線)</x:v>
      </x:c>
      <x:c r="G403" s="19" t="str">
        <x:v>候选已存在，组件待审核</x:v>
      </x:c>
      <x:c r="H403" s="19" t="str">
        <x:v>transport-node:0a0a41ed-bbb8-5faa-a75b-c23cd2db8a8a</x:v>
      </x:c>
      <x:c r="I403" s="18" t="str">
        <x:v>transport-hub-review:56eedd91-071a-5f28-aeea-64851d8f0484</x:v>
      </x:c>
      <x:c r="J403" s="18" t="str">
        <x:v>否</x:v>
      </x:c>
    </x:row>
    <x:row r="404" ht="28" customHeight="1">
      <x:c r="A404" s="19" t="str">
        <x:v>北浜</x:v>
      </x:c>
      <x:c r="B404" s="18" t="str">
        <x:v>北浜</x:v>
      </x:c>
      <x:c r="C404" s="18" t="str">
        <x:v>京阪電気鉄道</x:v>
      </x:c>
      <x:c r="D404" s="18" t="str">
        <x:v>private_rail</x:v>
      </x:c>
      <x:c r="E404" s="19" t="str">
        <x:v>T2</x:v>
      </x:c>
      <x:c r="F404" s="19" t="str">
        <x:v>京阪本線</x:v>
      </x:c>
      <x:c r="G404" s="19" t="str">
        <x:v>候选已存在，组件待审核</x:v>
      </x:c>
      <x:c r="H404" s="19" t="str">
        <x:v>transport-node:16925c98-28a9-5cdd-a719-cdeb9bf5ff7f</x:v>
      </x:c>
      <x:c r="I404" s="18" t="str">
        <x:v>transport-hub-review:56eedd91-071a-5f28-aeea-64851d8f0484</x:v>
      </x:c>
      <x:c r="J404" s="18" t="str">
        <x:v>否</x:v>
      </x:c>
    </x:row>
    <x:row r="405" ht="28" customHeight="1">
      <x:c r="A405" s="19" t="str">
        <x:v>本郷三丁目</x:v>
      </x:c>
      <x:c r="B405" s="18" t="str">
        <x:v>本郷三丁目</x:v>
      </x:c>
      <x:c r="C405" s="18" t="str">
        <x:v>東京地下鉄</x:v>
      </x:c>
      <x:c r="D405" s="18" t="str">
        <x:v>metro</x:v>
      </x:c>
      <x:c r="E405" s="19" t="str">
        <x:v>T1</x:v>
      </x:c>
      <x:c r="F405" s="19" t="str">
        <x:v>4号線丸ノ内線</x:v>
      </x:c>
      <x:c r="G405" s="19" t="str">
        <x:v>候选已存在，组件待审核</x:v>
      </x:c>
      <x:c r="H405" s="19" t="str">
        <x:v>transport-node:64bacb7c-dc52-5364-9697-f509c8e970cf</x:v>
      </x:c>
      <x:c r="I405" s="18" t="str">
        <x:v>transport-hub-review:4fe40333-8cf9-5f0f-bc4f-92ff447e47d1</x:v>
      </x:c>
      <x:c r="J405" s="18" t="str">
        <x:v>否</x:v>
      </x:c>
    </x:row>
    <x:row r="406" ht="28" customHeight="1">
      <x:c r="A406" s="19" t="str">
        <x:v>本郷三丁目</x:v>
      </x:c>
      <x:c r="B406" s="18" t="str">
        <x:v>本郷三丁目</x:v>
      </x:c>
      <x:c r="C406" s="18" t="str">
        <x:v>東京都</x:v>
      </x:c>
      <x:c r="D406" s="18" t="str">
        <x:v>metro</x:v>
      </x:c>
      <x:c r="E406" s="19" t="str">
        <x:v>T2</x:v>
      </x:c>
      <x:c r="F406" s="19" t="str">
        <x:v>12号線大江戸線</x:v>
      </x:c>
      <x:c r="G406" s="19" t="str">
        <x:v>候选已存在，组件待审核</x:v>
      </x:c>
      <x:c r="H406" s="19" t="str">
        <x:v>transport-node:739970b5-218c-502e-847b-2c2153dd140f</x:v>
      </x:c>
      <x:c r="I406" s="18" t="str">
        <x:v>transport-hub-review:4fe40333-8cf9-5f0f-bc4f-92ff447e47d1</x:v>
      </x:c>
      <x:c r="J406" s="18" t="str">
        <x:v>否</x:v>
      </x:c>
    </x:row>
    <x:row r="407" ht="28" customHeight="1">
      <x:c r="A407" s="19" t="str">
        <x:v>本八幡・京成八幡</x:v>
      </x:c>
      <x:c r="B407" s="18" t="str">
        <x:v>本八幡</x:v>
      </x:c>
      <x:c r="C407" s="18" t="str">
        <x:v>東日本旅客鉄道</x:v>
      </x:c>
      <x:c r="D407" s="18" t="str">
        <x:v>conventional_rail</x:v>
      </x:c>
      <x:c r="E407" s="19" t="str">
        <x:v>T1</x:v>
      </x:c>
      <x:c r="F407" s="19" t="str">
        <x:v>総武線</x:v>
      </x:c>
      <x:c r="G407" s="19" t="str">
        <x:v>候选已存在，组件待审核</x:v>
      </x:c>
      <x:c r="H407" s="19" t="str">
        <x:v>transport-node:0ddf5d47-53cf-510b-8816-5449fb9a7c17</x:v>
      </x:c>
      <x:c r="I407" s="18" t="str">
        <x:v>transport-hub-review:87ae561e-eb2c-51b3-9089-0b7e4e77eec1</x:v>
      </x:c>
      <x:c r="J407" s="18" t="str">
        <x:v>否</x:v>
      </x:c>
    </x:row>
    <x:row r="408" ht="28" customHeight="1">
      <x:c r="A408" s="19" t="str">
        <x:v>本八幡・京成八幡</x:v>
      </x:c>
      <x:c r="B408" s="18" t="str">
        <x:v>本八幡</x:v>
      </x:c>
      <x:c r="C408" s="18" t="str">
        <x:v>東京都</x:v>
      </x:c>
      <x:c r="D408" s="18" t="str">
        <x:v>metro</x:v>
      </x:c>
      <x:c r="E408" s="19" t="str">
        <x:v>T1</x:v>
      </x:c>
      <x:c r="F408" s="19" t="str">
        <x:v>10号線新宿線</x:v>
      </x:c>
      <x:c r="G408" s="19" t="str">
        <x:v>候选已存在，组件待审核</x:v>
      </x:c>
      <x:c r="H408" s="19" t="str">
        <x:v>transport-node:675b983f-e9b9-505f-9f83-13529f7606a5</x:v>
      </x:c>
      <x:c r="I408" s="18" t="str">
        <x:v>transport-hub-review:87ae561e-eb2c-51b3-9089-0b7e4e77eec1</x:v>
      </x:c>
      <x:c r="J408" s="18" t="str">
        <x:v>否</x:v>
      </x:c>
    </x:row>
    <x:row r="409" ht="28" customHeight="1">
      <x:c r="A409" s="19" t="str">
        <x:v>本八幡・京成八幡</x:v>
      </x:c>
      <x:c r="B409" s="18" t="str">
        <x:v>京成八幡</x:v>
      </x:c>
      <x:c r="C409" s="18" t="str">
        <x:v>京成電鉄</x:v>
      </x:c>
      <x:c r="D409" s="18" t="str">
        <x:v>private_rail</x:v>
      </x:c>
      <x:c r="E409" s="19" t="str">
        <x:v>T2</x:v>
      </x:c>
      <x:c r="F409" s="19" t="str">
        <x:v>本線</x:v>
      </x:c>
      <x:c r="G409" s="19" t="str">
        <x:v>候选已存在，组件待审核</x:v>
      </x:c>
      <x:c r="H409" s="19" t="str">
        <x:v>transport-node:29f2d192-18c8-52c6-ba51-897701e3bad9</x:v>
      </x:c>
      <x:c r="I409" s="18" t="str">
        <x:v>transport-hub-review:87ae561e-eb2c-51b3-9089-0b7e4e77eec1</x:v>
      </x:c>
      <x:c r="J409" s="18" t="str">
        <x:v>否</x:v>
      </x:c>
    </x:row>
    <x:row r="410" ht="33" customHeight="1">
      <x:c r="A410" s="19" t="str">
        <x:v>明大前</x:v>
      </x:c>
      <x:c r="B410" s="18" t="str">
        <x:v>明大前</x:v>
      </x:c>
      <x:c r="C410" s="18" t="str">
        <x:v>京王電鉄</x:v>
      </x:c>
      <x:c r="D410" s="18" t="str">
        <x:v>private_rail</x:v>
      </x:c>
      <x:c r="E410" s="19" t="str">
        <x:v>T1</x:v>
      </x:c>
      <x:c r="F410" s="19" t="str">
        <x:v>井の頭線
京王線</x:v>
      </x:c>
      <x:c r="G410" s="19" t="str">
        <x:v>候选已存在，组件待审核</x:v>
      </x:c>
      <x:c r="H410" s="19" t="str">
        <x:v>transport-node:8eafbf52-fe90-5736-a2e8-70b9c3fcfe98</x:v>
      </x:c>
      <x:c r="I410" s="18" t="str">
        <x:v>transport-hub-review:c7cb79fa-367b-5487-a7f4-af5803c541c1</x:v>
      </x:c>
      <x:c r="J410" s="18" t="str">
        <x:v>否</x:v>
      </x:c>
    </x:row>
    <x:row r="411" ht="28" customHeight="1">
      <x:c r="A411" s="19" t="str">
        <x:v>姪浜</x:v>
      </x:c>
      <x:c r="B411" s="18" t="str">
        <x:v>姪浜</x:v>
      </x:c>
      <x:c r="C411" s="18" t="str">
        <x:v>福岡市</x:v>
      </x:c>
      <x:c r="D411" s="18" t="str">
        <x:v>metro</x:v>
      </x:c>
      <x:c r="E411" s="19" t="str">
        <x:v>T1</x:v>
      </x:c>
      <x:c r="F411" s="19" t="str">
        <x:v>1号線(空港線)</x:v>
      </x:c>
      <x:c r="G411" s="19" t="str">
        <x:v>候选已存在，组件待审核</x:v>
      </x:c>
      <x:c r="H411" s="19" t="str">
        <x:v>transport-node:a7180949-b1e6-5fd3-a49f-dfe45ea691a8</x:v>
      </x:c>
      <x:c r="I411" s="18" t="str">
        <x:v>transport-hub-review:3b9fef4e-c20c-5421-a812-4208fd956bbd</x:v>
      </x:c>
      <x:c r="J411" s="18" t="str">
        <x:v>否</x:v>
      </x:c>
    </x:row>
    <x:row r="412" ht="28" customHeight="1">
      <x:c r="A412" s="19" t="str">
        <x:v>姪浜</x:v>
      </x:c>
      <x:c r="B412" s="18" t="str">
        <x:v>姪浜</x:v>
      </x:c>
      <x:c r="C412" s="18" t="str">
        <x:v>九州旅客鉄道</x:v>
      </x:c>
      <x:c r="D412" s="18" t="str">
        <x:v>conventional_rail</x:v>
      </x:c>
      <x:c r="E412" s="19" t="str">
        <x:v>null</x:v>
      </x:c>
      <x:c r="F412" s="19" t="str">
        <x:v>筑肥線</x:v>
      </x:c>
      <x:c r="G412" s="19" t="str">
        <x:v>候选已存在，组件待审核</x:v>
      </x:c>
      <x:c r="H412" s="19" t="str">
        <x:v>transport-node:7006c3a0-5873-55fb-9ef9-b97a61a0ac65</x:v>
      </x:c>
      <x:c r="I412" s="18" t="str">
        <x:v>transport-hub-review:3b9fef4e-c20c-5421-a812-4208fd956bbd</x:v>
      </x:c>
      <x:c r="J412" s="18" t="str">
        <x:v>否</x:v>
      </x:c>
    </x:row>
    <x:row r="413" ht="28" customHeight="1">
      <x:c r="A413" s="19" t="str">
        <x:v>門前仲町</x:v>
      </x:c>
      <x:c r="B413" s="18" t="str">
        <x:v>門前仲町</x:v>
      </x:c>
      <x:c r="C413" s="18" t="str">
        <x:v>東京地下鉄</x:v>
      </x:c>
      <x:c r="D413" s="18" t="str">
        <x:v>metro</x:v>
      </x:c>
      <x:c r="E413" s="19" t="str">
        <x:v>T1</x:v>
      </x:c>
      <x:c r="F413" s="19" t="str">
        <x:v>5号線東西線</x:v>
      </x:c>
      <x:c r="G413" s="19" t="str">
        <x:v>候选已存在，组件待审核</x:v>
      </x:c>
      <x:c r="H413" s="19" t="str">
        <x:v>transport-node:f4334264-9c7e-5cc1-b396-f4e816e64323</x:v>
      </x:c>
      <x:c r="I413" s="18" t="str">
        <x:v>transport-hub-review:b0aa2835-4759-5524-8622-1aae0a54b910</x:v>
      </x:c>
      <x:c r="J413" s="18" t="str">
        <x:v>否</x:v>
      </x:c>
    </x:row>
    <x:row r="414" ht="28" customHeight="1">
      <x:c r="A414" s="19" t="str">
        <x:v>門前仲町</x:v>
      </x:c>
      <x:c r="B414" s="18" t="str">
        <x:v>門前仲町</x:v>
      </x:c>
      <x:c r="C414" s="18" t="str">
        <x:v>東京都</x:v>
      </x:c>
      <x:c r="D414" s="18" t="str">
        <x:v>metro</x:v>
      </x:c>
      <x:c r="E414" s="19" t="str">
        <x:v>T2</x:v>
      </x:c>
      <x:c r="F414" s="19" t="str">
        <x:v>12号線大江戸線</x:v>
      </x:c>
      <x:c r="G414" s="19" t="str">
        <x:v>候选已存在，组件待审核</x:v>
      </x:c>
      <x:c r="H414" s="19" t="str">
        <x:v>transport-node:56cd82e5-1dbd-5b34-9512-7cd51a8c2737</x:v>
      </x:c>
      <x:c r="I414" s="18" t="str">
        <x:v>transport-hub-review:b0aa2835-4759-5524-8622-1aae0a54b910</x:v>
      </x:c>
      <x:c r="J414" s="18" t="str">
        <x:v>否</x:v>
      </x:c>
    </x:row>
    <x:row r="415" ht="28" customHeight="1">
      <x:c r="A415" s="19" t="str">
        <x:v>流山おおたかの森</x:v>
      </x:c>
      <x:c r="B415" s="18" t="str">
        <x:v>流山おおたかの森</x:v>
      </x:c>
      <x:c r="C415" s="18" t="str">
        <x:v>東武鉄道</x:v>
      </x:c>
      <x:c r="D415" s="18" t="str">
        <x:v>private_rail</x:v>
      </x:c>
      <x:c r="E415" s="19" t="str">
        <x:v>T1</x:v>
      </x:c>
      <x:c r="F415" s="19" t="str">
        <x:v>野田線</x:v>
      </x:c>
      <x:c r="G415" s="19" t="str">
        <x:v>候选已存在，组件待审核</x:v>
      </x:c>
      <x:c r="H415" s="19" t="str">
        <x:v>transport-node:b578e794-973a-53b7-aad5-251a40a884c2</x:v>
      </x:c>
      <x:c r="I415" s="18" t="str">
        <x:v>transport-hub-review:4928233a-8737-5cd8-b9e3-71c240212994</x:v>
      </x:c>
      <x:c r="J415" s="18" t="str">
        <x:v>否</x:v>
      </x:c>
    </x:row>
    <x:row r="416" ht="28" customHeight="1">
      <x:c r="A416" s="19" t="str">
        <x:v>流山おおたかの森</x:v>
      </x:c>
      <x:c r="B416" s="18" t="str">
        <x:v>流山おおたかの森</x:v>
      </x:c>
      <x:c r="C416" s="18" t="str">
        <x:v>首都圏新都市鉄道</x:v>
      </x:c>
      <x:c r="D416" s="18" t="str">
        <x:v>private_rail</x:v>
      </x:c>
      <x:c r="E416" s="19" t="str">
        <x:v>T1</x:v>
      </x:c>
      <x:c r="F416" s="19" t="str">
        <x:v>常磐新線</x:v>
      </x:c>
      <x:c r="G416" s="19" t="str">
        <x:v>候选已存在，组件待审核</x:v>
      </x:c>
      <x:c r="H416" s="19" t="str">
        <x:v>transport-node:829814d8-7c42-5b15-b802-1e613af124b3</x:v>
      </x:c>
      <x:c r="I416" s="18" t="str">
        <x:v>transport-hub-review:4928233a-8737-5cd8-b9e3-71c240212994</x:v>
      </x:c>
      <x:c r="J416" s="18" t="str">
        <x:v>否</x:v>
      </x:c>
    </x:row>
    <x:row r="417" ht="33" customHeight="1">
      <x:c r="A417" s="19" t="str">
        <x:v>溜池山王・国会議事堂前</x:v>
      </x:c>
      <x:c r="B417" s="18" t="str">
        <x:v>溜池山王</x:v>
      </x:c>
      <x:c r="C417" s="18" t="str">
        <x:v>東京地下鉄</x:v>
      </x:c>
      <x:c r="D417" s="18" t="str">
        <x:v>metro</x:v>
      </x:c>
      <x:c r="E417" s="19" t="str">
        <x:v>T1</x:v>
      </x:c>
      <x:c r="F417" s="19" t="str">
        <x:v>3号線銀座線
7号線南北線</x:v>
      </x:c>
      <x:c r="G417" s="19" t="str">
        <x:v>候选已存在，组件待审核</x:v>
      </x:c>
      <x:c r="H417" s="19" t="str">
        <x:v>transport-node:cd73f906-8308-5c75-8cf4-43d983ddec7a</x:v>
      </x:c>
      <x:c r="I417" s="18" t="str">
        <x:v>transport-hub-review:8efae5b1-0839-5990-9c13-e93ed3118e39</x:v>
      </x:c>
      <x:c r="J417" s="18" t="str">
        <x:v>否</x:v>
      </x:c>
    </x:row>
    <x:row r="418" ht="33" customHeight="1">
      <x:c r="A418" s="19" t="str">
        <x:v>溜池山王・国会議事堂前</x:v>
      </x:c>
      <x:c r="B418" s="18" t="str">
        <x:v>国会議事堂前</x:v>
      </x:c>
      <x:c r="C418" s="18" t="str">
        <x:v>東京地下鉄</x:v>
      </x:c>
      <x:c r="D418" s="18" t="str">
        <x:v>metro</x:v>
      </x:c>
      <x:c r="E418" s="19" t="str">
        <x:v>T2</x:v>
      </x:c>
      <x:c r="F418" s="19" t="str">
        <x:v>4号線丸ノ内線
9号線千代田線</x:v>
      </x:c>
      <x:c r="G418" s="19" t="str">
        <x:v>候选已存在，组件待审核</x:v>
      </x:c>
      <x:c r="H418" s="19" t="str">
        <x:v>transport-node:5ced7062-83be-5a94-8a79-e988fe6f5f0b</x:v>
      </x:c>
      <x:c r="I418" s="18" t="str">
        <x:v>transport-hub-review:8efae5b1-0839-5990-9c13-e93ed3118e39</x:v>
      </x:c>
      <x:c r="J418" s="18" t="str">
        <x:v>否</x:v>
      </x:c>
    </x:row>
    <x:row r="419" ht="47" customHeight="1">
      <x:c r="A419" s="19" t="str">
        <x:v>練馬</x:v>
      </x:c>
      <x:c r="B419" s="18" t="str">
        <x:v>練馬</x:v>
      </x:c>
      <x:c r="C419" s="18" t="str">
        <x:v>西武鉄道</x:v>
      </x:c>
      <x:c r="D419" s="18" t="str">
        <x:v>private_rail</x:v>
      </x:c>
      <x:c r="E419" s="19" t="str">
        <x:v>T1</x:v>
      </x:c>
      <x:c r="F419" s="19" t="str">
        <x:v>池袋線
西武有楽町線
豊島線</x:v>
      </x:c>
      <x:c r="G419" s="19" t="str">
        <x:v>候选已存在，组件待审核</x:v>
      </x:c>
      <x:c r="H419" s="19" t="str">
        <x:v>transport-node:9fa07429-7a3c-53a7-a3a0-db2cad145e34</x:v>
      </x:c>
      <x:c r="I419" s="18" t="str">
        <x:v>transport-hub-review:ff5c321d-663a-5910-87fd-ff022d88d50e</x:v>
      </x:c>
      <x:c r="J419" s="18" t="str">
        <x:v>否</x:v>
      </x:c>
    </x:row>
    <x:row r="420" ht="28" customHeight="1">
      <x:c r="A420" s="19" t="str">
        <x:v>練馬</x:v>
      </x:c>
      <x:c r="B420" s="18" t="str">
        <x:v>練馬</x:v>
      </x:c>
      <x:c r="C420" s="18" t="str">
        <x:v>東京都</x:v>
      </x:c>
      <x:c r="D420" s="18" t="str">
        <x:v>metro</x:v>
      </x:c>
      <x:c r="E420" s="19" t="str">
        <x:v>T1</x:v>
      </x:c>
      <x:c r="F420" s="19" t="str">
        <x:v>12号線大江戸線</x:v>
      </x:c>
      <x:c r="G420" s="19" t="str">
        <x:v>候选已存在，组件待审核</x:v>
      </x:c>
      <x:c r="H420" s="19" t="str">
        <x:v>transport-node:17aae77c-a29b-5e8b-95a2-ec28dc964eec</x:v>
      </x:c>
      <x:c r="I420" s="18" t="str">
        <x:v>transport-hub-review:ff5c321d-663a-5910-87fd-ff022d88d50e</x:v>
      </x:c>
      <x:c r="J420" s="18" t="str">
        <x:v>否</x:v>
      </x:c>
    </x:row>
    <x:row r="421" ht="28" customHeight="1">
      <x:c r="A421" s="19" t="str">
        <x:v>六本木</x:v>
      </x:c>
      <x:c r="B421" s="18" t="str">
        <x:v>六本木</x:v>
      </x:c>
      <x:c r="C421" s="18" t="str">
        <x:v>東京地下鉄</x:v>
      </x:c>
      <x:c r="D421" s="18" t="str">
        <x:v>metro</x:v>
      </x:c>
      <x:c r="E421" s="19" t="str">
        <x:v>T1</x:v>
      </x:c>
      <x:c r="F421" s="19" t="str">
        <x:v>2号線日比谷線</x:v>
      </x:c>
      <x:c r="G421" s="19" t="str">
        <x:v>候选已存在，组件待审核</x:v>
      </x:c>
      <x:c r="H421" s="19" t="str">
        <x:v>transport-node:524baff2-6255-52f3-8fc2-0426f895861f</x:v>
      </x:c>
      <x:c r="I421" s="18" t="str">
        <x:v>transport-hub-review:18d61ce3-89cb-5aaa-a558-e58a9a1e3e84</x:v>
      </x:c>
      <x:c r="J421" s="18" t="str">
        <x:v>否</x:v>
      </x:c>
    </x:row>
    <x:row r="422" ht="28" customHeight="1">
      <x:c r="A422" s="19" t="str">
        <x:v>六本木</x:v>
      </x:c>
      <x:c r="B422" s="18" t="str">
        <x:v>六本木</x:v>
      </x:c>
      <x:c r="C422" s="18" t="str">
        <x:v>東京都</x:v>
      </x:c>
      <x:c r="D422" s="18" t="str">
        <x:v>metro</x:v>
      </x:c>
      <x:c r="E422" s="19" t="str">
        <x:v>T1</x:v>
      </x:c>
      <x:c r="F422" s="19" t="str">
        <x:v>12号線大江戸線</x:v>
      </x:c>
      <x:c r="G422" s="19" t="str">
        <x:v>候选已存在，组件待审核</x:v>
      </x:c>
      <x:c r="H422" s="19" t="str">
        <x:v>transport-node:13ea294b-64fd-5fa9-a90f-9f32120a3276</x:v>
      </x:c>
      <x:c r="I422" s="18" t="str">
        <x:v>transport-hub-review:18d61ce3-89cb-5aaa-a558-e58a9a1e3e84</x:v>
      </x:c>
      <x:c r="J422" s="18" t="str">
        <x:v>否</x:v>
      </x:c>
    </x:row>
    <x:row r="423" ht="28" customHeight="1">
      <x:c r="A423" s="19" t="str">
        <x:v>コスモスクエア</x:v>
      </x:c>
      <x:c r="B423" s="18" t="str">
        <x:v>コスモスクエア</x:v>
      </x:c>
      <x:c r="C423" s="18" t="str">
        <x:v>大阪市高速電気軌道</x:v>
      </x:c>
      <x:c r="D423" s="18" t="str">
        <x:v>metro</x:v>
      </x:c>
      <x:c r="E423" s="19" t="str">
        <x:v>T2</x:v>
      </x:c>
      <x:c r="F423" s="19" t="str">
        <x:v>4号線(中央線)</x:v>
      </x:c>
      <x:c r="G423" s="19" t="str">
        <x:v>候选已存在，组件待审核</x:v>
      </x:c>
      <x:c r="H423" s="19" t="str">
        <x:v>transport-node:a81c1438-f36e-5e54-a707-2e72a8f43789</x:v>
      </x:c>
      <x:c r="I423" s="18" t="str">
        <x:v>transport-hub-review:be0d5534-6c38-573c-ad71-f477715e2b14</x:v>
      </x:c>
      <x:c r="J423" s="18" t="str">
        <x:v>否</x:v>
      </x:c>
    </x:row>
    <x:row r="424" ht="28" customHeight="1">
      <x:c r="A424" s="19" t="str">
        <x:v>コスモスクエア</x:v>
      </x:c>
      <x:c r="B424" s="18" t="str">
        <x:v>コスモスクエア</x:v>
      </x:c>
      <x:c r="C424" s="18" t="str">
        <x:v>大阪市高速電気軌道</x:v>
      </x:c>
      <x:c r="D424" s="18" t="str">
        <x:v>fixed_guideway</x:v>
      </x:c>
      <x:c r="E424" s="19" t="str">
        <x:v>null</x:v>
      </x:c>
      <x:c r="F424" s="19" t="str">
        <x:v>南港ポートタウン線</x:v>
      </x:c>
      <x:c r="G424" s="19" t="str">
        <x:v>候选已存在，组件待审核</x:v>
      </x:c>
      <x:c r="H424" s="19" t="str">
        <x:v>transport-node:79f3e20b-6bd8-5ae7-8d0f-f96f4920566d</x:v>
      </x:c>
      <x:c r="I424" s="18" t="str">
        <x:v>transport-hub-review:be0d5534-6c38-573c-ad71-f477715e2b14</x:v>
      </x:c>
      <x:c r="J424" s="18" t="str">
        <x:v>否</x:v>
      </x:c>
    </x:row>
    <x:row r="425" ht="28" customHeight="1">
      <x:c r="A425" s="19" t="str">
        <x:v>すすきの</x:v>
      </x:c>
      <x:c r="B425" s="18" t="str">
        <x:v>すすきの</x:v>
      </x:c>
      <x:c r="C425" s="18" t="str">
        <x:v>札幌市</x:v>
      </x:c>
      <x:c r="D425" s="18" t="str">
        <x:v>metro</x:v>
      </x:c>
      <x:c r="E425" s="19" t="str">
        <x:v>T2</x:v>
      </x:c>
      <x:c r="F425" s="19" t="str">
        <x:v>南北線</x:v>
      </x:c>
      <x:c r="G425" s="19" t="str">
        <x:v>候选已存在，组件待审核</x:v>
      </x:c>
      <x:c r="H425" s="19" t="str">
        <x:v>transport-node:1a4b90cc-3aea-5f3f-9fd8-59a7fd0635e3</x:v>
      </x:c>
      <x:c r="I425" s="18" t="str">
        <x:v>transport-hub-review:adcf37b5-db00-59d6-8503-e542fe151a53</x:v>
      </x:c>
      <x:c r="J425" s="18" t="str">
        <x:v>否</x:v>
      </x:c>
    </x:row>
    <x:row r="426" ht="33" customHeight="1">
      <x:c r="A426" s="19" t="str">
        <x:v>すすきの</x:v>
      </x:c>
      <x:c r="B426" s="18" t="str">
        <x:v>すすきの</x:v>
      </x:c>
      <x:c r="C426" s="18" t="str">
        <x:v>一般社団法人札幌市交通事業振興公社</x:v>
      </x:c>
      <x:c r="D426" s="18" t="str">
        <x:v>tram</x:v>
      </x:c>
      <x:c r="E426" s="19" t="str">
        <x:v>T3</x:v>
      </x:c>
      <x:c r="F426" s="19" t="str">
        <x:v>山鼻線
都心線</x:v>
      </x:c>
      <x:c r="G426" s="19" t="str">
        <x:v>候选已存在，组件待审核</x:v>
      </x:c>
      <x:c r="H426" s="19" t="str">
        <x:v>transport-node:c22af0fe-ee2e-5692-826e-c20d566e6bb0</x:v>
      </x:c>
      <x:c r="I426" s="18" t="str">
        <x:v>transport-hub-review:adcf37b5-db00-59d6-8503-e542fe151a53</x:v>
      </x:c>
      <x:c r="J426" s="18" t="str">
        <x:v>否</x:v>
      </x:c>
    </x:row>
    <x:row r="427" ht="28" customHeight="1">
      <x:c r="A427" s="19" t="str">
        <x:v>ドーム前千代崎・ドーム前</x:v>
      </x:c>
      <x:c r="B427" s="18" t="str">
        <x:v>ドーム前千代崎</x:v>
      </x:c>
      <x:c r="C427" s="18" t="str">
        <x:v>大阪市高速電気軌道</x:v>
      </x:c>
      <x:c r="D427" s="18" t="str">
        <x:v>metro</x:v>
      </x:c>
      <x:c r="E427" s="19" t="str">
        <x:v>T2</x:v>
      </x:c>
      <x:c r="F427" s="19" t="str">
        <x:v>7号線(長堀鶴見緑地線)</x:v>
      </x:c>
      <x:c r="G427" s="19" t="str">
        <x:v>候选已存在，组件待审核</x:v>
      </x:c>
      <x:c r="H427" s="19" t="str">
        <x:v>transport-node:d58859e0-1a64-58b1-a1ac-c7215310b22f</x:v>
      </x:c>
      <x:c r="I427" s="18" t="str">
        <x:v>transport-hub-review:3440e1e0-6b65-5267-a74e-92c58a4d076e</x:v>
      </x:c>
      <x:c r="J427" s="18" t="str">
        <x:v>否</x:v>
      </x:c>
    </x:row>
    <x:row r="428" ht="28" customHeight="1">
      <x:c r="A428" s="19" t="str">
        <x:v>ドーム前千代崎・ドーム前</x:v>
      </x:c>
      <x:c r="B428" s="18" t="str">
        <x:v>ドーム前</x:v>
      </x:c>
      <x:c r="C428" s="18" t="str">
        <x:v>阪神電気鉄道</x:v>
      </x:c>
      <x:c r="D428" s="18" t="str">
        <x:v>private_rail</x:v>
      </x:c>
      <x:c r="E428" s="19" t="str">
        <x:v>T2</x:v>
      </x:c>
      <x:c r="F428" s="19" t="str">
        <x:v>阪神なんば線</x:v>
      </x:c>
      <x:c r="G428" s="19" t="str">
        <x:v>候选已存在，组件待审核</x:v>
      </x:c>
      <x:c r="H428" s="19" t="str">
        <x:v>transport-node:85b6b83b-1077-5d34-b27f-37afb2bc07b7</x:v>
      </x:c>
      <x:c r="I428" s="18" t="str">
        <x:v>transport-hub-review:3440e1e0-6b65-5267-a74e-92c58a4d076e</x:v>
      </x:c>
      <x:c r="J428" s="18" t="str">
        <x:v>否</x:v>
      </x:c>
    </x:row>
    <x:row r="429" ht="28" customHeight="1">
      <x:c r="A429" s="19" t="str">
        <x:v>ナゴヤドーム前矢田</x:v>
      </x:c>
      <x:c r="B429" s="18" t="str">
        <x:v>ナゴヤドーム前矢田</x:v>
      </x:c>
      <x:c r="C429" s="18" t="str">
        <x:v>名古屋市</x:v>
      </x:c>
      <x:c r="D429" s="18" t="str">
        <x:v>metro</x:v>
      </x:c>
      <x:c r="E429" s="19" t="str">
        <x:v>T2</x:v>
      </x:c>
      <x:c r="F429" s="19" t="str">
        <x:v>4号線名城線</x:v>
      </x:c>
      <x:c r="G429" s="19" t="str">
        <x:v>候选已存在，组件待审核</x:v>
      </x:c>
      <x:c r="H429" s="19" t="str">
        <x:v>transport-node:32c56303-d088-53c9-a516-a7b7740d1b12</x:v>
      </x:c>
      <x:c r="I429" s="18" t="str">
        <x:v>transport-hub-review:5aa97137-51b7-5fd0-8a8f-5c600ff2f6f4</x:v>
      </x:c>
      <x:c r="J429" s="18" t="str">
        <x:v>否</x:v>
      </x:c>
    </x:row>
    <x:row r="430" ht="28" customHeight="1">
      <x:c r="A430" s="19" t="str">
        <x:v>ナゴヤドーム前矢田</x:v>
      </x:c>
      <x:c r="B430" s="18" t="str">
        <x:v>ナゴヤドーム前矢田</x:v>
      </x:c>
      <x:c r="C430" s="18" t="str">
        <x:v>名古屋ガイドウェイバス</x:v>
      </x:c>
      <x:c r="D430" s="18" t="str">
        <x:v>fixed_guideway</x:v>
      </x:c>
      <x:c r="E430" s="19" t="str">
        <x:v>T3</x:v>
      </x:c>
      <x:c r="F430" s="19" t="str">
        <x:v>ガイドウェイバス志段味線</x:v>
      </x:c>
      <x:c r="G430" s="19" t="str">
        <x:v>候选已存在，组件待审核</x:v>
      </x:c>
      <x:c r="H430" s="19" t="str">
        <x:v>transport-node:4de65118-cae9-5797-8178-3823405c3e69</x:v>
      </x:c>
      <x:c r="I430" s="18" t="str">
        <x:v>transport-hub-review:5aa97137-51b7-5fd0-8a8f-5c600ff2f6f4</x:v>
      </x:c>
      <x:c r="J430" s="18" t="str">
        <x:v>否</x:v>
      </x:c>
    </x:row>
    <x:row r="431" ht="33" customHeight="1">
      <x:c r="A431" s="19" t="str">
        <x:v>阿波座</x:v>
      </x:c>
      <x:c r="B431" s="18" t="str">
        <x:v>阿波座</x:v>
      </x:c>
      <x:c r="C431" s="18" t="str">
        <x:v>大阪市高速電気軌道</x:v>
      </x:c>
      <x:c r="D431" s="18" t="str">
        <x:v>metro</x:v>
      </x:c>
      <x:c r="E431" s="19" t="str">
        <x:v>T2</x:v>
      </x:c>
      <x:c r="F431" s="19" t="str">
        <x:v>4号線(中央線)
5号線(千日前線)</x:v>
      </x:c>
      <x:c r="G431" s="19" t="str">
        <x:v>候选已存在，组件待审核</x:v>
      </x:c>
      <x:c r="H431" s="19" t="str">
        <x:v>transport-node:27650172-3358-525d-b588-733354a058ac</x:v>
      </x:c>
      <x:c r="I431" s="18" t="str">
        <x:v>transport-hub-review:e23736d8-ea90-5968-83ad-a01aa8096b1d</x:v>
      </x:c>
      <x:c r="J431" s="18" t="str">
        <x:v>否</x:v>
      </x:c>
    </x:row>
    <x:row r="432" ht="28" customHeight="1">
      <x:c r="A432" s="19" t="str">
        <x:v>伊勢市</x:v>
      </x:c>
      <x:c r="B432" s="18" t="str">
        <x:v>伊勢市</x:v>
      </x:c>
      <x:c r="C432" s="18" t="str">
        <x:v>東海旅客鉄道</x:v>
      </x:c>
      <x:c r="D432" s="18" t="str">
        <x:v>conventional_rail</x:v>
      </x:c>
      <x:c r="E432" s="19" t="str">
        <x:v>null</x:v>
      </x:c>
      <x:c r="F432" s="19" t="str">
        <x:v>参宮線</x:v>
      </x:c>
      <x:c r="G432" s="19" t="str">
        <x:v>候选已存在，组件待审核</x:v>
      </x:c>
      <x:c r="H432" s="19" t="str">
        <x:v>transport-node:c4f07cc3-871e-5f1b-b635-4eb484441fb2</x:v>
      </x:c>
      <x:c r="I432" s="18" t="str">
        <x:v>transport-hub-review:367ceb13-25f3-5c01-8967-6860bfcf38aa</x:v>
      </x:c>
      <x:c r="J432" s="18" t="str">
        <x:v>否</x:v>
      </x:c>
    </x:row>
    <x:row r="433" ht="28" customHeight="1">
      <x:c r="A433" s="19" t="str">
        <x:v>伊勢市</x:v>
      </x:c>
      <x:c r="B433" s="18" t="str">
        <x:v>伊勢市</x:v>
      </x:c>
      <x:c r="C433" s="18" t="str">
        <x:v>近畿日本鉄道</x:v>
      </x:c>
      <x:c r="D433" s="18" t="str">
        <x:v>private_rail</x:v>
      </x:c>
      <x:c r="E433" s="19" t="str">
        <x:v>T2</x:v>
      </x:c>
      <x:c r="F433" s="19" t="str">
        <x:v>山田線</x:v>
      </x:c>
      <x:c r="G433" s="19" t="str">
        <x:v>候选已存在，组件待审核</x:v>
      </x:c>
      <x:c r="H433" s="19" t="str">
        <x:v>transport-node:25f11260-22ae-5c87-b70c-24f8aee6556e</x:v>
      </x:c>
      <x:c r="I433" s="18" t="str">
        <x:v>transport-hub-review:367ceb13-25f3-5c01-8967-6860bfcf38aa</x:v>
      </x:c>
      <x:c r="J433" s="18" t="str">
        <x:v>否</x:v>
      </x:c>
    </x:row>
    <x:row r="434" ht="28" customHeight="1">
      <x:c r="A434" s="19" t="str">
        <x:v>永山</x:v>
      </x:c>
      <x:c r="B434" s="18" t="str">
        <x:v>京王永山</x:v>
      </x:c>
      <x:c r="C434" s="18" t="str">
        <x:v>京王電鉄</x:v>
      </x:c>
      <x:c r="D434" s="18" t="str">
        <x:v>private_rail</x:v>
      </x:c>
      <x:c r="E434" s="19" t="str">
        <x:v>T2</x:v>
      </x:c>
      <x:c r="F434" s="19" t="str">
        <x:v>相模原線</x:v>
      </x:c>
      <x:c r="G434" s="19" t="str">
        <x:v>候选已存在，组件待审核</x:v>
      </x:c>
      <x:c r="H434" s="19" t="str">
        <x:v>transport-node:1f47878f-ec97-518e-89a8-49f91f64095d</x:v>
      </x:c>
      <x:c r="I434" s="18" t="str">
        <x:v>transport-hub-review:f0a76c74-ad31-5fae-91d6-c6b7da6e0a2e</x:v>
      </x:c>
      <x:c r="J434" s="18" t="str">
        <x:v>否</x:v>
      </x:c>
    </x:row>
    <x:row r="435" ht="28" customHeight="1">
      <x:c r="A435" s="19" t="str">
        <x:v>永山</x:v>
      </x:c>
      <x:c r="B435" s="18" t="str">
        <x:v>小田急永山</x:v>
      </x:c>
      <x:c r="C435" s="18" t="str">
        <x:v>小田急電鉄</x:v>
      </x:c>
      <x:c r="D435" s="18" t="str">
        <x:v>private_rail</x:v>
      </x:c>
      <x:c r="E435" s="19" t="str">
        <x:v>T2</x:v>
      </x:c>
      <x:c r="F435" s="19" t="str">
        <x:v>多摩線</x:v>
      </x:c>
      <x:c r="G435" s="19" t="str">
        <x:v>候选已存在，组件待审核</x:v>
      </x:c>
      <x:c r="H435" s="19" t="str">
        <x:v>transport-node:2e83ead0-9805-54cf-8fd8-40268cf592de</x:v>
      </x:c>
      <x:c r="I435" s="18" t="str">
        <x:v>transport-hub-review:f0a76c74-ad31-5fae-91d6-c6b7da6e0a2e</x:v>
      </x:c>
      <x:c r="J435" s="18" t="str">
        <x:v>否</x:v>
      </x:c>
    </x:row>
    <x:row r="436" ht="28" customHeight="1">
      <x:c r="A436" s="19" t="str">
        <x:v>下高井戸</x:v>
      </x:c>
      <x:c r="B436" s="18" t="str">
        <x:v>下高井戸</x:v>
      </x:c>
      <x:c r="C436" s="18" t="str">
        <x:v>京王電鉄</x:v>
      </x:c>
      <x:c r="D436" s="18" t="str">
        <x:v>private_rail</x:v>
      </x:c>
      <x:c r="E436" s="19" t="str">
        <x:v>T2</x:v>
      </x:c>
      <x:c r="F436" s="19" t="str">
        <x:v>京王線</x:v>
      </x:c>
      <x:c r="G436" s="19" t="str">
        <x:v>候选已存在，组件待审核</x:v>
      </x:c>
      <x:c r="H436" s="19" t="str">
        <x:v>transport-node:9affd101-56b9-5549-9eb2-a1220a128a54</x:v>
      </x:c>
      <x:c r="I436" s="18" t="str">
        <x:v>transport-hub-review:f5cd0b59-6549-5ff3-a9a6-cd804791e792</x:v>
      </x:c>
      <x:c r="J436" s="18" t="str">
        <x:v>否</x:v>
      </x:c>
    </x:row>
    <x:row r="437" ht="28" customHeight="1">
      <x:c r="A437" s="19" t="str">
        <x:v>下高井戸</x:v>
      </x:c>
      <x:c r="B437" s="18" t="str">
        <x:v>下高井戸</x:v>
      </x:c>
      <x:c r="C437" s="18" t="str">
        <x:v>東急電鉄</x:v>
      </x:c>
      <x:c r="D437" s="18" t="str">
        <x:v>tram</x:v>
      </x:c>
      <x:c r="E437" s="19" t="str">
        <x:v>T2</x:v>
      </x:c>
      <x:c r="F437" s="19" t="str">
        <x:v>世田谷線</x:v>
      </x:c>
      <x:c r="G437" s="19" t="str">
        <x:v>候选已存在，组件待审核</x:v>
      </x:c>
      <x:c r="H437" s="19" t="str">
        <x:v>transport-node:fc9d31a3-a893-5f78-b586-df0650504393</x:v>
      </x:c>
      <x:c r="I437" s="18" t="str">
        <x:v>transport-hub-review:f5cd0b59-6549-5ff3-a9a6-cd804791e792</x:v>
      </x:c>
      <x:c r="J437" s="18" t="str">
        <x:v>否</x:v>
      </x:c>
    </x:row>
    <x:row r="438" ht="28" customHeight="1">
      <x:c r="A438" s="19" t="str">
        <x:v>貝塚</x:v>
      </x:c>
      <x:c r="B438" s="18" t="str">
        <x:v>貝塚</x:v>
      </x:c>
      <x:c r="C438" s="18" t="str">
        <x:v>福岡市</x:v>
      </x:c>
      <x:c r="D438" s="18" t="str">
        <x:v>metro</x:v>
      </x:c>
      <x:c r="E438" s="19" t="str">
        <x:v>T2</x:v>
      </x:c>
      <x:c r="F438" s="19" t="str">
        <x:v>2号線(箱崎線)</x:v>
      </x:c>
      <x:c r="G438" s="19" t="str">
        <x:v>候选已存在，组件待审核</x:v>
      </x:c>
      <x:c r="H438" s="19" t="str">
        <x:v>transport-node:50d05e98-bf8f-5463-b944-1b8de15f452d</x:v>
      </x:c>
      <x:c r="I438" s="18" t="str">
        <x:v>transport-hub-review:21aad31b-9b8c-5977-984d-980d0cc4cbad</x:v>
      </x:c>
      <x:c r="J438" s="18" t="str">
        <x:v>否</x:v>
      </x:c>
    </x:row>
    <x:row r="439" ht="28" customHeight="1">
      <x:c r="A439" s="19" t="str">
        <x:v>貝塚</x:v>
      </x:c>
      <x:c r="B439" s="18" t="str">
        <x:v>貝塚</x:v>
      </x:c>
      <x:c r="C439" s="18" t="str">
        <x:v>西日本鉄道</x:v>
      </x:c>
      <x:c r="D439" s="18" t="str">
        <x:v>private_rail</x:v>
      </x:c>
      <x:c r="E439" s="19" t="str">
        <x:v>T2</x:v>
      </x:c>
      <x:c r="F439" s="19" t="str">
        <x:v>貝塚線</x:v>
      </x:c>
      <x:c r="G439" s="19" t="str">
        <x:v>候选已存在，组件待审核</x:v>
      </x:c>
      <x:c r="H439" s="19" t="str">
        <x:v>transport-node:72b57556-4a83-5a62-9866-0a84e7dd2aa9</x:v>
      </x:c>
      <x:c r="I439" s="18" t="str">
        <x:v>transport-hub-review:21aad31b-9b8c-5977-984d-980d0cc4cbad</x:v>
      </x:c>
      <x:c r="J439" s="18" t="str">
        <x:v>否</x:v>
      </x:c>
    </x:row>
    <x:row r="440" ht="47" customHeight="1">
      <x:c r="A440" s="19" t="str">
        <x:v>橿原神宮前</x:v>
      </x:c>
      <x:c r="B440" s="18" t="str">
        <x:v>橿原神宮前</x:v>
      </x:c>
      <x:c r="C440" s="18" t="str">
        <x:v>近畿日本鉄道</x:v>
      </x:c>
      <x:c r="D440" s="18" t="str">
        <x:v>private_rail</x:v>
      </x:c>
      <x:c r="E440" s="19" t="str">
        <x:v>T2</x:v>
      </x:c>
      <x:c r="F440" s="19" t="str">
        <x:v>南大阪線
吉野線
橿原線</x:v>
      </x:c>
      <x:c r="G440" s="19" t="str">
        <x:v>候选已存在，组件待审核</x:v>
      </x:c>
      <x:c r="H440" s="19" t="str">
        <x:v>transport-node:b31e0c2d-a0a5-5fbb-ab03-9aead4492198</x:v>
      </x:c>
      <x:c r="I440" s="18" t="str">
        <x:v>transport-hub-review:3013abdd-f9b3-5786-b0dc-d8027c59d4d8</x:v>
      </x:c>
      <x:c r="J440" s="18" t="str">
        <x:v>否</x:v>
      </x:c>
    </x:row>
    <x:row r="441" ht="33" customHeight="1">
      <x:c r="A441" s="19" t="str">
        <x:v>蒲生四丁目</x:v>
      </x:c>
      <x:c r="B441" s="18" t="str">
        <x:v>蒲生四丁目</x:v>
      </x:c>
      <x:c r="C441" s="18" t="str">
        <x:v>大阪市高速電気軌道</x:v>
      </x:c>
      <x:c r="D441" s="18" t="str">
        <x:v>metro</x:v>
      </x:c>
      <x:c r="E441" s="19" t="str">
        <x:v>T2</x:v>
      </x:c>
      <x:c r="F441" s="19" t="str">
        <x:v>7号線(長堀鶴見緑地線)
8号線(今里筋線)</x:v>
      </x:c>
      <x:c r="G441" s="19" t="str">
        <x:v>候选已存在，组件待审核</x:v>
      </x:c>
      <x:c r="H441" s="19" t="str">
        <x:v>transport-node:0c62c1c4-f832-5b9d-a1e7-ba889b4ae12e</x:v>
      </x:c>
      <x:c r="I441" s="18" t="str">
        <x:v>transport-hub-review:4bd410bb-0446-5c07-9350-78c4d9fd47f7</x:v>
      </x:c>
      <x:c r="J441" s="18" t="str">
        <x:v>否</x:v>
      </x:c>
    </x:row>
    <x:row r="442" ht="28" customHeight="1">
      <x:c r="A442" s="19" t="str">
        <x:v>関目成育・関目</x:v>
      </x:c>
      <x:c r="B442" s="18" t="str">
        <x:v>関目成育</x:v>
      </x:c>
      <x:c r="C442" s="18" t="str">
        <x:v>大阪市高速電気軌道</x:v>
      </x:c>
      <x:c r="D442" s="18" t="str">
        <x:v>metro</x:v>
      </x:c>
      <x:c r="E442" s="19" t="str">
        <x:v>T3</x:v>
      </x:c>
      <x:c r="F442" s="19" t="str">
        <x:v>8号線(今里筋線)</x:v>
      </x:c>
      <x:c r="G442" s="19" t="str">
        <x:v>候选已存在，组件待审核</x:v>
      </x:c>
      <x:c r="H442" s="19" t="str">
        <x:v>transport-node:0357737e-485f-5bd1-8069-be7289c68729</x:v>
      </x:c>
      <x:c r="I442" s="18" t="str">
        <x:v>transport-hub-review:65d11cc0-869c-548f-94cc-ac3987a34b34</x:v>
      </x:c>
      <x:c r="J442" s="18" t="str">
        <x:v>否</x:v>
      </x:c>
    </x:row>
    <x:row r="443" ht="28" customHeight="1">
      <x:c r="A443" s="19" t="str">
        <x:v>関目成育・関目</x:v>
      </x:c>
      <x:c r="B443" s="18" t="str">
        <x:v>関目</x:v>
      </x:c>
      <x:c r="C443" s="18" t="str">
        <x:v>京阪電気鉄道</x:v>
      </x:c>
      <x:c r="D443" s="18" t="str">
        <x:v>private_rail</x:v>
      </x:c>
      <x:c r="E443" s="19" t="str">
        <x:v>T2</x:v>
      </x:c>
      <x:c r="F443" s="19" t="str">
        <x:v>京阪本線</x:v>
      </x:c>
      <x:c r="G443" s="19" t="str">
        <x:v>候选已存在，组件待审核</x:v>
      </x:c>
      <x:c r="H443" s="19" t="str">
        <x:v>transport-node:6b0e07ef-22fd-564c-bd5e-49cc11f12733</x:v>
      </x:c>
      <x:c r="I443" s="18" t="str">
        <x:v>transport-hub-review:65d11cc0-869c-548f-94cc-ac3987a34b34</x:v>
      </x:c>
      <x:c r="J443" s="18" t="str">
        <x:v>否</x:v>
      </x:c>
    </x:row>
    <x:row r="444" ht="33" customHeight="1">
      <x:c r="A444" s="19" t="str">
        <x:v>丸の内</x:v>
      </x:c>
      <x:c r="B444" s="18" t="str">
        <x:v>丸の内</x:v>
      </x:c>
      <x:c r="C444" s="18" t="str">
        <x:v>名古屋市</x:v>
      </x:c>
      <x:c r="D444" s="18" t="str">
        <x:v>metro</x:v>
      </x:c>
      <x:c r="E444" s="19" t="str">
        <x:v>T2</x:v>
      </x:c>
      <x:c r="F444" s="19" t="str">
        <x:v>3号線鶴舞線
6号線桜通線</x:v>
      </x:c>
      <x:c r="G444" s="19" t="str">
        <x:v>候选已存在，组件待审核</x:v>
      </x:c>
      <x:c r="H444" s="19" t="str">
        <x:v>transport-node:dd962c7c-7fac-5328-9063-06b3fdb805d9</x:v>
      </x:c>
      <x:c r="I444" s="18" t="str">
        <x:v>transport-hub-review:d30709d0-2b2a-587d-bc53-dff2a66aa7ab</x:v>
      </x:c>
      <x:c r="J444" s="18" t="str">
        <x:v>否</x:v>
      </x:c>
    </x:row>
    <x:row r="445" ht="28" customHeight="1">
      <x:c r="A445" s="19" t="str">
        <x:v>玉川・JR野田</x:v>
      </x:c>
      <x:c r="B445" s="18" t="str">
        <x:v>玉川</x:v>
      </x:c>
      <x:c r="C445" s="18" t="str">
        <x:v>大阪市高速電気軌道</x:v>
      </x:c>
      <x:c r="D445" s="18" t="str">
        <x:v>metro</x:v>
      </x:c>
      <x:c r="E445" s="19" t="str">
        <x:v>T2</x:v>
      </x:c>
      <x:c r="F445" s="19" t="str">
        <x:v>5号線(千日前線)</x:v>
      </x:c>
      <x:c r="G445" s="19" t="str">
        <x:v>候选已存在，组件待审核</x:v>
      </x:c>
      <x:c r="H445" s="19" t="str">
        <x:v>transport-node:417b5435-181f-5959-bfdc-1c31af4014f1</x:v>
      </x:c>
      <x:c r="I445" s="18" t="str">
        <x:v>transport-hub-review:34c4587d-fcec-5757-9439-b931eda54612</x:v>
      </x:c>
      <x:c r="J445" s="18" t="str">
        <x:v>否</x:v>
      </x:c>
    </x:row>
    <x:row r="446" ht="28" customHeight="1">
      <x:c r="A446" s="19" t="str">
        <x:v>玉川・JR野田</x:v>
      </x:c>
      <x:c r="B446" s="18" t="str">
        <x:v>野田</x:v>
      </x:c>
      <x:c r="C446" s="18" t="str">
        <x:v>西日本旅客鉄道</x:v>
      </x:c>
      <x:c r="D446" s="18" t="str">
        <x:v>conventional_rail</x:v>
      </x:c>
      <x:c r="E446" s="19" t="str">
        <x:v>T2</x:v>
      </x:c>
      <x:c r="F446" s="19" t="str">
        <x:v>大阪環状線</x:v>
      </x:c>
      <x:c r="G446" s="19" t="str">
        <x:v>候选已存在，组件待审核</x:v>
      </x:c>
      <x:c r="H446" s="19" t="str">
        <x:v>transport-node:699bbb83-7fc1-5818-9cd4-da595f834f72</x:v>
      </x:c>
      <x:c r="I446" s="18" t="str">
        <x:v>transport-hub-review:34c4587d-fcec-5757-9439-b931eda54612</x:v>
      </x:c>
      <x:c r="J446" s="18" t="str">
        <x:v>否</x:v>
      </x:c>
    </x:row>
    <x:row r="447" ht="28" customHeight="1">
      <x:c r="A447" s="19" t="str">
        <x:v>玉川上水</x:v>
      </x:c>
      <x:c r="B447" s="18" t="str">
        <x:v>玉川上水</x:v>
      </x:c>
      <x:c r="C447" s="18" t="str">
        <x:v>西武鉄道</x:v>
      </x:c>
      <x:c r="D447" s="18" t="str">
        <x:v>private_rail</x:v>
      </x:c>
      <x:c r="E447" s="19" t="str">
        <x:v>T2</x:v>
      </x:c>
      <x:c r="F447" s="19" t="str">
        <x:v>拝島線</x:v>
      </x:c>
      <x:c r="G447" s="19" t="str">
        <x:v>候选已存在，组件待审核</x:v>
      </x:c>
      <x:c r="H447" s="19" t="str">
        <x:v>transport-node:13b15de3-99f1-51f0-95b9-c01db0e5fc8d</x:v>
      </x:c>
      <x:c r="I447" s="18" t="str">
        <x:v>transport-hub-review:c6e9bc99-5817-55a7-924e-5a2fede63b0f</x:v>
      </x:c>
      <x:c r="J447" s="18" t="str">
        <x:v>否</x:v>
      </x:c>
    </x:row>
    <x:row r="448" ht="28" customHeight="1">
      <x:c r="A448" s="19" t="str">
        <x:v>玉川上水</x:v>
      </x:c>
      <x:c r="B448" s="18" t="str">
        <x:v>玉川上水</x:v>
      </x:c>
      <x:c r="C448" s="18" t="str">
        <x:v>多摩都市モノレール</x:v>
      </x:c>
      <x:c r="D448" s="18" t="str">
        <x:v>fixed_guideway</x:v>
      </x:c>
      <x:c r="E448" s="19" t="str">
        <x:v>T2</x:v>
      </x:c>
      <x:c r="F448" s="19" t="str">
        <x:v>多摩都市モノレール線</x:v>
      </x:c>
      <x:c r="G448" s="19" t="str">
        <x:v>候选已存在，组件待审核</x:v>
      </x:c>
      <x:c r="H448" s="19" t="str">
        <x:v>transport-node:2ee94c6d-a307-53aa-be5d-a993f9405ab3</x:v>
      </x:c>
      <x:c r="I448" s="18" t="str">
        <x:v>transport-hub-review:c6e9bc99-5817-55a7-924e-5a2fede63b0f</x:v>
      </x:c>
      <x:c r="J448" s="18" t="str">
        <x:v>否</x:v>
      </x:c>
    </x:row>
    <x:row r="449" ht="28" customHeight="1">
      <x:c r="A449" s="19" t="str">
        <x:v>玉造</x:v>
      </x:c>
      <x:c r="B449" s="18" t="str">
        <x:v>玉造</x:v>
      </x:c>
      <x:c r="C449" s="18" t="str">
        <x:v>大阪市高速電気軌道</x:v>
      </x:c>
      <x:c r="D449" s="18" t="str">
        <x:v>metro</x:v>
      </x:c>
      <x:c r="E449" s="19" t="str">
        <x:v>T2</x:v>
      </x:c>
      <x:c r="F449" s="19" t="str">
        <x:v>7号線(長堀鶴見緑地線)</x:v>
      </x:c>
      <x:c r="G449" s="19" t="str">
        <x:v>候选已存在，组件待审核</x:v>
      </x:c>
      <x:c r="H449" s="19" t="str">
        <x:v>transport-node:d736cd1f-df38-504d-a319-0b6cefd963b8</x:v>
      </x:c>
      <x:c r="I449" s="18" t="str">
        <x:v>transport-hub-review:0648262e-a363-559d-9972-d97fb6ba91f1</x:v>
      </x:c>
      <x:c r="J449" s="18" t="str">
        <x:v>否</x:v>
      </x:c>
    </x:row>
    <x:row r="450" ht="28" customHeight="1">
      <x:c r="A450" s="19" t="str">
        <x:v>玉造</x:v>
      </x:c>
      <x:c r="B450" s="18" t="str">
        <x:v>玉造</x:v>
      </x:c>
      <x:c r="C450" s="18" t="str">
        <x:v>西日本旅客鉄道</x:v>
      </x:c>
      <x:c r="D450" s="18" t="str">
        <x:v>conventional_rail</x:v>
      </x:c>
      <x:c r="E450" s="19" t="str">
        <x:v>T2</x:v>
      </x:c>
      <x:c r="F450" s="19" t="str">
        <x:v>大阪環状線</x:v>
      </x:c>
      <x:c r="G450" s="19" t="str">
        <x:v>候选已存在，组件待审核</x:v>
      </x:c>
      <x:c r="H450" s="19" t="str">
        <x:v>transport-node:b142ced7-55c2-5d21-9a84-cf6e309d4f01</x:v>
      </x:c>
      <x:c r="I450" s="18" t="str">
        <x:v>transport-hub-review:0648262e-a363-559d-9972-d97fb6ba91f1</x:v>
      </x:c>
      <x:c r="J450" s="18" t="str">
        <x:v>否</x:v>
      </x:c>
    </x:row>
    <x:row r="451" ht="28" customHeight="1">
      <x:c r="A451" s="19" t="str">
        <x:v>金沢</x:v>
      </x:c>
      <x:c r="B451" s="18" t="str">
        <x:v>金沢</x:v>
      </x:c>
      <x:c r="C451" s="18" t="str">
        <x:v>西日本旅客鉄道</x:v>
      </x:c>
      <x:c r="D451" s="18" t="str">
        <x:v>shinkansen</x:v>
      </x:c>
      <x:c r="E451" s="19" t="str">
        <x:v>T2</x:v>
      </x:c>
      <x:c r="F451" s="19" t="str">
        <x:v>北陸新幹線</x:v>
      </x:c>
      <x:c r="G451" s="19" t="str">
        <x:v>候选已存在，组件待审核</x:v>
      </x:c>
      <x:c r="H451" s="19" t="str">
        <x:v>transport-node:01451e17-3669-5274-bfd1-f4052ab1f16e</x:v>
      </x:c>
      <x:c r="I451" s="18" t="str">
        <x:v>transport-hub-review:e94ce799-0b0c-5a46-9525-0896821b6bdc</x:v>
      </x:c>
      <x:c r="J451" s="18" t="str">
        <x:v>否</x:v>
      </x:c>
    </x:row>
    <x:row r="452" ht="28" customHeight="1">
      <x:c r="A452" s="19" t="str">
        <x:v>金沢</x:v>
      </x:c>
      <x:c r="B452" s="18" t="str">
        <x:v>金沢</x:v>
      </x:c>
      <x:c r="C452" s="18" t="str">
        <x:v>IRいしかわ鉄道</x:v>
      </x:c>
      <x:c r="D452" s="18" t="str">
        <x:v>private_rail</x:v>
      </x:c>
      <x:c r="E452" s="19" t="str">
        <x:v>T2</x:v>
      </x:c>
      <x:c r="F452" s="19" t="str">
        <x:v>IRいしかわ鉄道線</x:v>
      </x:c>
      <x:c r="G452" s="19" t="str">
        <x:v>候选已存在，组件待审核</x:v>
      </x:c>
      <x:c r="H452" s="19" t="str">
        <x:v>transport-node:a67b18bf-b56e-5bbb-8fe8-f61a58ac8107</x:v>
      </x:c>
      <x:c r="I452" s="18" t="str">
        <x:v>transport-hub-review:e94ce799-0b0c-5a46-9525-0896821b6bdc</x:v>
      </x:c>
      <x:c r="J452" s="18" t="str">
        <x:v>否</x:v>
      </x:c>
    </x:row>
    <x:row r="453" ht="28" customHeight="1">
      <x:c r="A453" s="19" t="str">
        <x:v>金沢</x:v>
      </x:c>
      <x:c r="B453" s="18" t="str">
        <x:v>北鉄金沢</x:v>
      </x:c>
      <x:c r="C453" s="18" t="str">
        <x:v>北陸鉄道</x:v>
      </x:c>
      <x:c r="D453" s="18" t="str">
        <x:v>private_rail</x:v>
      </x:c>
      <x:c r="E453" s="19" t="str">
        <x:v>T3</x:v>
      </x:c>
      <x:c r="F453" s="19" t="str">
        <x:v>浅野川線</x:v>
      </x:c>
      <x:c r="G453" s="19" t="str">
        <x:v>候选已存在，组件待审核</x:v>
      </x:c>
      <x:c r="H453" s="19" t="str">
        <x:v>transport-node:e4edaa4e-6146-531e-8504-b33ab38fb873</x:v>
      </x:c>
      <x:c r="I453" s="18" t="str">
        <x:v>transport-hub-review:e94ce799-0b0c-5a46-9525-0896821b6bdc</x:v>
      </x:c>
      <x:c r="J453" s="18" t="str">
        <x:v>否</x:v>
      </x:c>
    </x:row>
    <x:row r="454" ht="28" customHeight="1">
      <x:c r="A454" s="19" t="str">
        <x:v>九条</x:v>
      </x:c>
      <x:c r="B454" s="18" t="str">
        <x:v>九条</x:v>
      </x:c>
      <x:c r="C454" s="18" t="str">
        <x:v>大阪市高速電気軌道</x:v>
      </x:c>
      <x:c r="D454" s="18" t="str">
        <x:v>metro</x:v>
      </x:c>
      <x:c r="E454" s="19" t="str">
        <x:v>T2</x:v>
      </x:c>
      <x:c r="F454" s="19" t="str">
        <x:v>4号線(中央線)</x:v>
      </x:c>
      <x:c r="G454" s="19" t="str">
        <x:v>候选已存在，组件待审核</x:v>
      </x:c>
      <x:c r="H454" s="19" t="str">
        <x:v>transport-node:70c1a0f3-c5b8-5857-8e0d-6b893b9aa90d</x:v>
      </x:c>
      <x:c r="I454" s="18" t="str">
        <x:v>transport-hub-review:4983ecb9-2c8a-5bbf-b382-4abed8066d52</x:v>
      </x:c>
      <x:c r="J454" s="18" t="str">
        <x:v>否</x:v>
      </x:c>
    </x:row>
    <x:row r="455" ht="28" customHeight="1">
      <x:c r="A455" s="19" t="str">
        <x:v>九条</x:v>
      </x:c>
      <x:c r="B455" s="18" t="str">
        <x:v>九条</x:v>
      </x:c>
      <x:c r="C455" s="18" t="str">
        <x:v>阪神電気鉄道</x:v>
      </x:c>
      <x:c r="D455" s="18" t="str">
        <x:v>private_rail</x:v>
      </x:c>
      <x:c r="E455" s="19" t="str">
        <x:v>T2</x:v>
      </x:c>
      <x:c r="F455" s="19" t="str">
        <x:v>阪神なんば線</x:v>
      </x:c>
      <x:c r="G455" s="19" t="str">
        <x:v>候选已存在，组件待审核</x:v>
      </x:c>
      <x:c r="H455" s="19" t="str">
        <x:v>transport-node:981e3871-09ac-55bf-847f-5cee7ba05a15</x:v>
      </x:c>
      <x:c r="I455" s="18" t="str">
        <x:v>transport-hub-review:4983ecb9-2c8a-5bbf-b382-4abed8066d52</x:v>
      </x:c>
      <x:c r="J455" s="18" t="str">
        <x:v>否</x:v>
      </x:c>
    </x:row>
    <x:row r="456" ht="33" customHeight="1">
      <x:c r="A456" s="19" t="str">
        <x:v>熊本</x:v>
      </x:c>
      <x:c r="B456" s="18" t="str">
        <x:v>熊本</x:v>
      </x:c>
      <x:c r="C456" s="18" t="str">
        <x:v>九州旅客鉄道</x:v>
      </x:c>
      <x:c r="D456" s="18" t="str">
        <x:v>conventional_rail</x:v>
      </x:c>
      <x:c r="E456" s="19" t="str">
        <x:v>T2</x:v>
      </x:c>
      <x:c r="F456" s="19" t="str">
        <x:v>豊肥線
鹿児島線</x:v>
      </x:c>
      <x:c r="G456" s="19" t="str">
        <x:v>候选已存在，组件待审核</x:v>
      </x:c>
      <x:c r="H456" s="19" t="str">
        <x:v>transport-node:e8bfd7db-1615-51b8-a9fa-0de3cf7a861a</x:v>
      </x:c>
      <x:c r="I456" s="18" t="str">
        <x:v>transport-hub-review:3cf903cc-f1fd-5ad5-8a17-aa851434cdc8</x:v>
      </x:c>
      <x:c r="J456" s="18" t="str">
        <x:v>否</x:v>
      </x:c>
    </x:row>
    <x:row r="457" ht="28" customHeight="1">
      <x:c r="A457" s="19" t="str">
        <x:v>熊本</x:v>
      </x:c>
      <x:c r="B457" s="18" t="str">
        <x:v>熊本</x:v>
      </x:c>
      <x:c r="C457" s="18" t="str">
        <x:v>九州旅客鉄道</x:v>
      </x:c>
      <x:c r="D457" s="18" t="str">
        <x:v>shinkansen</x:v>
      </x:c>
      <x:c r="E457" s="19" t="str">
        <x:v>null</x:v>
      </x:c>
      <x:c r="F457" s="19" t="str">
        <x:v>九州新幹線</x:v>
      </x:c>
      <x:c r="G457" s="19" t="str">
        <x:v>候选已存在，组件待审核</x:v>
      </x:c>
      <x:c r="H457" s="19" t="str">
        <x:v>transport-node:03cdf592-8288-5aa7-a640-e89967a9c790</x:v>
      </x:c>
      <x:c r="I457" s="18" t="str">
        <x:v>transport-hub-review:3cf903cc-f1fd-5ad5-8a17-aa851434cdc8</x:v>
      </x:c>
      <x:c r="J457" s="18" t="str">
        <x:v>否</x:v>
      </x:c>
    </x:row>
    <x:row r="458" ht="33" customHeight="1">
      <x:c r="A458" s="19" t="str">
        <x:v>熊本</x:v>
      </x:c>
      <x:c r="B458" s="18" t="str">
        <x:v>熊本駅前</x:v>
      </x:c>
      <x:c r="C458" s="18" t="str">
        <x:v>熊本市</x:v>
      </x:c>
      <x:c r="D458" s="18" t="str">
        <x:v>tram</x:v>
      </x:c>
      <x:c r="E458" s="19" t="str">
        <x:v>T3</x:v>
      </x:c>
      <x:c r="F458" s="19" t="str">
        <x:v>幹線
田崎線</x:v>
      </x:c>
      <x:c r="G458" s="19" t="str">
        <x:v>候选已存在，组件待审核</x:v>
      </x:c>
      <x:c r="H458" s="19" t="str">
        <x:v>transport-node:534e973c-a47d-50b8-b311-49ad5dbc5533</x:v>
      </x:c>
      <x:c r="I458" s="18" t="str">
        <x:v>transport-hub-review:3cf903cc-f1fd-5ad5-8a17-aa851434cdc8</x:v>
      </x:c>
      <x:c r="J458" s="18" t="str">
        <x:v>否</x:v>
      </x:c>
    </x:row>
    <x:row r="459" ht="28" customHeight="1">
      <x:c r="A459" s="19" t="str">
        <x:v>桑名</x:v>
      </x:c>
      <x:c r="B459" s="18" t="str">
        <x:v>桑名</x:v>
      </x:c>
      <x:c r="C459" s="18" t="str">
        <x:v>東海旅客鉄道</x:v>
      </x:c>
      <x:c r="D459" s="18" t="str">
        <x:v>conventional_rail</x:v>
      </x:c>
      <x:c r="E459" s="19" t="str">
        <x:v>T2</x:v>
      </x:c>
      <x:c r="F459" s="19" t="str">
        <x:v>関西線</x:v>
      </x:c>
      <x:c r="G459" s="19" t="str">
        <x:v>候选已存在，组件待审核</x:v>
      </x:c>
      <x:c r="H459" s="19" t="str">
        <x:v>transport-node:5fa2f0f8-5753-5ff0-8b58-f8fc98b5615d</x:v>
      </x:c>
      <x:c r="I459" s="18" t="str">
        <x:v>transport-hub-review:925281f4-8da1-5f82-817e-aa0319c08a80</x:v>
      </x:c>
      <x:c r="J459" s="18" t="str">
        <x:v>否</x:v>
      </x:c>
    </x:row>
    <x:row r="460" ht="28" customHeight="1">
      <x:c r="A460" s="19" t="str">
        <x:v>桑名</x:v>
      </x:c>
      <x:c r="B460" s="18" t="str">
        <x:v>桑名</x:v>
      </x:c>
      <x:c r="C460" s="18" t="str">
        <x:v>近畿日本鉄道</x:v>
      </x:c>
      <x:c r="D460" s="18" t="str">
        <x:v>private_rail</x:v>
      </x:c>
      <x:c r="E460" s="19" t="str">
        <x:v>T2</x:v>
      </x:c>
      <x:c r="F460" s="19" t="str">
        <x:v>名古屋線</x:v>
      </x:c>
      <x:c r="G460" s="19" t="str">
        <x:v>候选已存在，组件待审核</x:v>
      </x:c>
      <x:c r="H460" s="19" t="str">
        <x:v>transport-node:37474979-6ca0-5c7d-8ed2-ad9ffdad13ba</x:v>
      </x:c>
      <x:c r="I460" s="18" t="str">
        <x:v>transport-hub-review:925281f4-8da1-5f82-817e-aa0319c08a80</x:v>
      </x:c>
      <x:c r="J460" s="18" t="str">
        <x:v>否</x:v>
      </x:c>
    </x:row>
    <x:row r="461" ht="28" customHeight="1">
      <x:c r="A461" s="19" t="str">
        <x:v>桑名</x:v>
      </x:c>
      <x:c r="B461" s="18" t="str">
        <x:v>桑名</x:v>
      </x:c>
      <x:c r="C461" s="18" t="str">
        <x:v>養老鉄道</x:v>
      </x:c>
      <x:c r="D461" s="18" t="str">
        <x:v>private_rail</x:v>
      </x:c>
      <x:c r="E461" s="19" t="str">
        <x:v>T3</x:v>
      </x:c>
      <x:c r="F461" s="19" t="str">
        <x:v>養老線</x:v>
      </x:c>
      <x:c r="G461" s="19" t="str">
        <x:v>候选已存在，组件待审核</x:v>
      </x:c>
      <x:c r="H461" s="19" t="str">
        <x:v>transport-node:9caf44c5-d22c-5789-9f83-ca5d99d5c2d1</x:v>
      </x:c>
      <x:c r="I461" s="18" t="str">
        <x:v>transport-hub-review:925281f4-8da1-5f82-817e-aa0319c08a80</x:v>
      </x:c>
      <x:c r="J461" s="18" t="str">
        <x:v>否</x:v>
      </x:c>
    </x:row>
    <x:row r="462" ht="28" customHeight="1">
      <x:c r="A462" s="19" t="str">
        <x:v>桑名</x:v>
      </x:c>
      <x:c r="B462" s="18" t="str">
        <x:v>西桑名</x:v>
      </x:c>
      <x:c r="C462" s="18" t="str">
        <x:v>三岐鉄道</x:v>
      </x:c>
      <x:c r="D462" s="18" t="str">
        <x:v>private_rail</x:v>
      </x:c>
      <x:c r="E462" s="19" t="str">
        <x:v>T3</x:v>
      </x:c>
      <x:c r="F462" s="19" t="str">
        <x:v>北勢線</x:v>
      </x:c>
      <x:c r="G462" s="19" t="str">
        <x:v>候选已存在，组件待审核</x:v>
      </x:c>
      <x:c r="H462" s="19" t="str">
        <x:v>transport-node:bb1fc446-0f93-57a4-958f-c248a35c83e9</x:v>
      </x:c>
      <x:c r="I462" s="18" t="str">
        <x:v>transport-hub-review:925281f4-8da1-5f82-817e-aa0319c08a80</x:v>
      </x:c>
      <x:c r="J462" s="18" t="str">
        <x:v>否</x:v>
      </x:c>
    </x:row>
    <x:row r="463" ht="28" customHeight="1">
      <x:c r="A463" s="19" t="str">
        <x:v>恵美須町</x:v>
      </x:c>
      <x:c r="B463" s="18" t="str">
        <x:v>恵美須町</x:v>
      </x:c>
      <x:c r="C463" s="18" t="str">
        <x:v>大阪市高速電気軌道</x:v>
      </x:c>
      <x:c r="D463" s="18" t="str">
        <x:v>metro</x:v>
      </x:c>
      <x:c r="E463" s="19" t="str">
        <x:v>T2</x:v>
      </x:c>
      <x:c r="F463" s="19" t="str">
        <x:v>6号線(堺筋線)</x:v>
      </x:c>
      <x:c r="G463" s="19" t="str">
        <x:v>候选已存在，组件待审核</x:v>
      </x:c>
      <x:c r="H463" s="19" t="str">
        <x:v>transport-node:6ae7a787-57f2-5928-a18b-dcee6fb40aa8</x:v>
      </x:c>
      <x:c r="I463" s="18" t="str">
        <x:v>transport-hub-review:3f691172-5577-5fe9-bf92-e7d4bb4d5697</x:v>
      </x:c>
      <x:c r="J463" s="18" t="str">
        <x:v>否</x:v>
      </x:c>
    </x:row>
    <x:row r="464" ht="28" customHeight="1">
      <x:c r="A464" s="19" t="str">
        <x:v>恵美須町</x:v>
      </x:c>
      <x:c r="B464" s="18" t="str">
        <x:v>恵美須町</x:v>
      </x:c>
      <x:c r="C464" s="18" t="str">
        <x:v>阪堺電気軌道</x:v>
      </x:c>
      <x:c r="D464" s="18" t="str">
        <x:v>tram</x:v>
      </x:c>
      <x:c r="E464" s="19" t="str">
        <x:v>T3</x:v>
      </x:c>
      <x:c r="F464" s="19" t="str">
        <x:v>阪堺線</x:v>
      </x:c>
      <x:c r="G464" s="19" t="str">
        <x:v>候选已存在，组件待审核</x:v>
      </x:c>
      <x:c r="H464" s="19" t="str">
        <x:v>transport-node:b6afffef-6b2f-5ead-90c4-451ceef67038</x:v>
      </x:c>
      <x:c r="I464" s="18" t="str">
        <x:v>transport-hub-review:3f691172-5577-5fe9-bf92-e7d4bb4d5697</x:v>
      </x:c>
      <x:c r="J464" s="18" t="str">
        <x:v>否</x:v>
      </x:c>
    </x:row>
    <x:row r="465" ht="28" customHeight="1">
      <x:c r="A465" s="19" t="str">
        <x:v>蛍池</x:v>
      </x:c>
      <x:c r="B465" s="18" t="str">
        <x:v>蛍池</x:v>
      </x:c>
      <x:c r="C465" s="18" t="str">
        <x:v>阪急電鉄</x:v>
      </x:c>
      <x:c r="D465" s="18" t="str">
        <x:v>private_rail</x:v>
      </x:c>
      <x:c r="E465" s="19" t="str">
        <x:v>T2</x:v>
      </x:c>
      <x:c r="F465" s="19" t="str">
        <x:v>宝塚線</x:v>
      </x:c>
      <x:c r="G465" s="19" t="str">
        <x:v>候选已存在，组件待审核</x:v>
      </x:c>
      <x:c r="H465" s="19" t="str">
        <x:v>transport-node:0775cb47-fc83-581f-a0f7-974726e559b9</x:v>
      </x:c>
      <x:c r="I465" s="18" t="str">
        <x:v>transport-hub-review:491be3de-fc07-5d29-b9fa-a646cbfa13b9</x:v>
      </x:c>
      <x:c r="J465" s="18" t="str">
        <x:v>否</x:v>
      </x:c>
    </x:row>
    <x:row r="466" ht="28" customHeight="1">
      <x:c r="A466" s="19" t="str">
        <x:v>蛍池</x:v>
      </x:c>
      <x:c r="B466" s="18" t="str">
        <x:v>蛍池</x:v>
      </x:c>
      <x:c r="C466" s="18" t="str">
        <x:v>大阪モノレール</x:v>
      </x:c>
      <x:c r="D466" s="18" t="str">
        <x:v>fixed_guideway</x:v>
      </x:c>
      <x:c r="E466" s="19" t="str">
        <x:v>T2</x:v>
      </x:c>
      <x:c r="F466" s="19" t="str">
        <x:v>大阪モノレール線</x:v>
      </x:c>
      <x:c r="G466" s="19" t="str">
        <x:v>候选已存在，组件待审核</x:v>
      </x:c>
      <x:c r="H466" s="19" t="str">
        <x:v>transport-node:f9b9bd31-54d2-53a6-a3fe-0bb2fa4888f6</x:v>
      </x:c>
      <x:c r="I466" s="18" t="str">
        <x:v>transport-hub-review:491be3de-fc07-5d29-b9fa-a646cbfa13b9</x:v>
      </x:c>
      <x:c r="J466" s="18" t="str">
        <x:v>否</x:v>
      </x:c>
    </x:row>
    <x:row r="467" ht="33" customHeight="1">
      <x:c r="A467" s="19" t="str">
        <x:v>御器所</x:v>
      </x:c>
      <x:c r="B467" s="18" t="str">
        <x:v>御器所</x:v>
      </x:c>
      <x:c r="C467" s="18" t="str">
        <x:v>名古屋市</x:v>
      </x:c>
      <x:c r="D467" s="18" t="str">
        <x:v>metro</x:v>
      </x:c>
      <x:c r="E467" s="19" t="str">
        <x:v>T2</x:v>
      </x:c>
      <x:c r="F467" s="19" t="str">
        <x:v>3号線鶴舞線
6号線桜通線</x:v>
      </x:c>
      <x:c r="G467" s="19" t="str">
        <x:v>候选已存在，组件待审核</x:v>
      </x:c>
      <x:c r="H467" s="19" t="str">
        <x:v>transport-node:5fcaf63a-3225-5119-a4ab-f2869b94ebb6</x:v>
      </x:c>
      <x:c r="I467" s="18" t="str">
        <x:v>transport-hub-review:699a1aba-d43e-5427-88ea-98471ae3332b</x:v>
      </x:c>
      <x:c r="J467" s="18" t="str">
        <x:v>否</x:v>
      </x:c>
    </x:row>
    <x:row r="468" ht="28" customHeight="1">
      <x:c r="A468" s="19" t="str">
        <x:v>厚木</x:v>
      </x:c>
      <x:c r="B468" s="18" t="str">
        <x:v>厚木</x:v>
      </x:c>
      <x:c r="C468" s="18" t="str">
        <x:v>小田急電鉄</x:v>
      </x:c>
      <x:c r="D468" s="18" t="str">
        <x:v>private_rail</x:v>
      </x:c>
      <x:c r="E468" s="19" t="str">
        <x:v>T2</x:v>
      </x:c>
      <x:c r="F468" s="19" t="str">
        <x:v>小田原線</x:v>
      </x:c>
      <x:c r="G468" s="19" t="str">
        <x:v>候选已存在，组件待审核</x:v>
      </x:c>
      <x:c r="H468" s="19" t="str">
        <x:v>transport-node:e42d781f-6317-5720-b9ca-f0d53e673755</x:v>
      </x:c>
      <x:c r="I468" s="18" t="str">
        <x:v>transport-hub-review:d9df3bf3-9a6c-599c-bc60-46f61cf5692d</x:v>
      </x:c>
      <x:c r="J468" s="18" t="str">
        <x:v>否</x:v>
      </x:c>
    </x:row>
    <x:row r="469" ht="28" customHeight="1">
      <x:c r="A469" s="19" t="str">
        <x:v>厚木</x:v>
      </x:c>
      <x:c r="B469" s="18" t="str">
        <x:v>厚木</x:v>
      </x:c>
      <x:c r="C469" s="18" t="str">
        <x:v>東日本旅客鉄道</x:v>
      </x:c>
      <x:c r="D469" s="18" t="str">
        <x:v>conventional_rail</x:v>
      </x:c>
      <x:c r="E469" s="19" t="str">
        <x:v>null</x:v>
      </x:c>
      <x:c r="F469" s="19" t="str">
        <x:v>相模線</x:v>
      </x:c>
      <x:c r="G469" s="19" t="str">
        <x:v>候选已存在，组件待审核</x:v>
      </x:c>
      <x:c r="H469" s="19" t="str">
        <x:v>transport-node:2037ab16-917d-522f-acc0-683fdfd8eba9</x:v>
      </x:c>
      <x:c r="I469" s="18" t="str">
        <x:v>transport-hub-review:d9df3bf3-9a6c-599c-bc60-46f61cf5692d</x:v>
      </x:c>
      <x:c r="J469" s="18" t="str">
        <x:v>否</x:v>
      </x:c>
    </x:row>
    <x:row r="470" ht="28" customHeight="1">
      <x:c r="A470" s="19" t="str">
        <x:v>高井田・高井田中央</x:v>
      </x:c>
      <x:c r="B470" s="18" t="str">
        <x:v>高井田</x:v>
      </x:c>
      <x:c r="C470" s="18" t="str">
        <x:v>大阪市高速電気軌道</x:v>
      </x:c>
      <x:c r="D470" s="18" t="str">
        <x:v>metro</x:v>
      </x:c>
      <x:c r="E470" s="19" t="str">
        <x:v>T2</x:v>
      </x:c>
      <x:c r="F470" s="19" t="str">
        <x:v>4号線(中央線)</x:v>
      </x:c>
      <x:c r="G470" s="19" t="str">
        <x:v>候选已存在，组件待审核</x:v>
      </x:c>
      <x:c r="H470" s="19" t="str">
        <x:v>transport-node:0e7d68d0-becf-5cff-92ea-dabe918c1d4e</x:v>
      </x:c>
      <x:c r="I470" s="18" t="str">
        <x:v>transport-hub-review:7c86288a-df43-543e-9831-b745a750b7a7</x:v>
      </x:c>
      <x:c r="J470" s="18" t="str">
        <x:v>否</x:v>
      </x:c>
    </x:row>
    <x:row r="471" ht="28" customHeight="1">
      <x:c r="A471" s="19" t="str">
        <x:v>高井田・高井田中央</x:v>
      </x:c>
      <x:c r="B471" s="18" t="str">
        <x:v>高井田中央</x:v>
      </x:c>
      <x:c r="C471" s="18" t="str">
        <x:v>西日本旅客鉄道</x:v>
      </x:c>
      <x:c r="D471" s="18" t="str">
        <x:v>conventional_rail</x:v>
      </x:c>
      <x:c r="E471" s="19" t="str">
        <x:v>T2</x:v>
      </x:c>
      <x:c r="F471" s="19" t="str">
        <x:v>おおさか東線</x:v>
      </x:c>
      <x:c r="G471" s="19" t="str">
        <x:v>候选已存在，组件待审核</x:v>
      </x:c>
      <x:c r="H471" s="19" t="str">
        <x:v>transport-node:d1614a57-6a6f-5054-b498-7f9367b6152e</x:v>
      </x:c>
      <x:c r="I471" s="18" t="str">
        <x:v>transport-hub-review:7c86288a-df43-543e-9831-b745a750b7a7</x:v>
      </x:c>
      <x:c r="J471" s="18" t="str">
        <x:v>否</x:v>
      </x:c>
    </x:row>
    <x:row r="472" ht="33" customHeight="1">
      <x:c r="A472" s="19" t="str">
        <x:v>高幡不動</x:v>
      </x:c>
      <x:c r="B472" s="18" t="str">
        <x:v>高幡不動</x:v>
      </x:c>
      <x:c r="C472" s="18" t="str">
        <x:v>京王電鉄</x:v>
      </x:c>
      <x:c r="D472" s="18" t="str">
        <x:v>private_rail</x:v>
      </x:c>
      <x:c r="E472" s="19" t="str">
        <x:v>T2</x:v>
      </x:c>
      <x:c r="F472" s="19" t="str">
        <x:v>京王線
動物園線</x:v>
      </x:c>
      <x:c r="G472" s="19" t="str">
        <x:v>候选已存在，组件待审核</x:v>
      </x:c>
      <x:c r="H472" s="19" t="str">
        <x:v>transport-node:feccb1f6-defb-53e5-81ce-6ebbce4f0a10</x:v>
      </x:c>
      <x:c r="I472" s="18" t="str">
        <x:v>transport-hub-review:dba2979c-6ae0-5c4f-8f00-193d0ea5df04</x:v>
      </x:c>
      <x:c r="J472" s="18" t="str">
        <x:v>否</x:v>
      </x:c>
    </x:row>
    <x:row r="473" ht="28" customHeight="1">
      <x:c r="A473" s="19" t="str">
        <x:v>高幡不動</x:v>
      </x:c>
      <x:c r="B473" s="18" t="str">
        <x:v>高幡不動</x:v>
      </x:c>
      <x:c r="C473" s="18" t="str">
        <x:v>多摩都市モノレール</x:v>
      </x:c>
      <x:c r="D473" s="18" t="str">
        <x:v>fixed_guideway</x:v>
      </x:c>
      <x:c r="E473" s="19" t="str">
        <x:v>T2</x:v>
      </x:c>
      <x:c r="F473" s="19" t="str">
        <x:v>多摩都市モノレール線</x:v>
      </x:c>
      <x:c r="G473" s="19" t="str">
        <x:v>候选已存在，组件待审核</x:v>
      </x:c>
      <x:c r="H473" s="19" t="str">
        <x:v>transport-node:ccee2a20-fd6e-5d48-9261-9864abcd900f</x:v>
      </x:c>
      <x:c r="I473" s="18" t="str">
        <x:v>transport-hub-review:dba2979c-6ae0-5c4f-8f00-193d0ea5df04</x:v>
      </x:c>
      <x:c r="J473" s="18" t="str">
        <x:v>否</x:v>
      </x:c>
    </x:row>
    <x:row r="474" ht="28" customHeight="1">
      <x:c r="A474" s="19" t="str">
        <x:v>豪徳寺・山下</x:v>
      </x:c>
      <x:c r="B474" s="18" t="str">
        <x:v>豪徳寺</x:v>
      </x:c>
      <x:c r="C474" s="18" t="str">
        <x:v>小田急電鉄</x:v>
      </x:c>
      <x:c r="D474" s="18" t="str">
        <x:v>private_rail</x:v>
      </x:c>
      <x:c r="E474" s="19" t="str">
        <x:v>T2</x:v>
      </x:c>
      <x:c r="F474" s="19" t="str">
        <x:v>小田原線</x:v>
      </x:c>
      <x:c r="G474" s="19" t="str">
        <x:v>候选已存在，组件待审核</x:v>
      </x:c>
      <x:c r="H474" s="19" t="str">
        <x:v>transport-node:05777e98-914e-5f0d-8eb0-0c7e9700f525</x:v>
      </x:c>
      <x:c r="I474" s="18" t="str">
        <x:v>transport-hub-review:471b1ab6-f1bf-5a5a-ba9c-f4a190e410cf</x:v>
      </x:c>
      <x:c r="J474" s="18" t="str">
        <x:v>否</x:v>
      </x:c>
    </x:row>
    <x:row r="475" ht="28" customHeight="1">
      <x:c r="A475" s="19" t="str">
        <x:v>豪徳寺・山下</x:v>
      </x:c>
      <x:c r="B475" s="18" t="str">
        <x:v>山下</x:v>
      </x:c>
      <x:c r="C475" s="18" t="str">
        <x:v>東急電鉄</x:v>
      </x:c>
      <x:c r="D475" s="18" t="str">
        <x:v>tram</x:v>
      </x:c>
      <x:c r="E475" s="19" t="str">
        <x:v>T3</x:v>
      </x:c>
      <x:c r="F475" s="19" t="str">
        <x:v>世田谷線</x:v>
      </x:c>
      <x:c r="G475" s="19" t="str">
        <x:v>候选已存在，组件待审核</x:v>
      </x:c>
      <x:c r="H475" s="19" t="str">
        <x:v>transport-node:d624e4c2-f8ce-5f4e-8c48-112c3a8a086d</x:v>
      </x:c>
      <x:c r="I475" s="18" t="str">
        <x:v>transport-hub-review:471b1ab6-f1bf-5a5a-ba9c-f4a190e410cf</x:v>
      </x:c>
      <x:c r="J475" s="18" t="str">
        <x:v>否</x:v>
      </x:c>
    </x:row>
    <x:row r="476" ht="33" customHeight="1">
      <x:c r="A476" s="19" t="str">
        <x:v>今池</x:v>
      </x:c>
      <x:c r="B476" s="18" t="str">
        <x:v>今池</x:v>
      </x:c>
      <x:c r="C476" s="18" t="str">
        <x:v>名古屋市</x:v>
      </x:c>
      <x:c r="D476" s="18" t="str">
        <x:v>metro</x:v>
      </x:c>
      <x:c r="E476" s="19" t="str">
        <x:v>T2</x:v>
      </x:c>
      <x:c r="F476" s="19" t="str">
        <x:v>1号線東山線
6号線桜通線</x:v>
      </x:c>
      <x:c r="G476" s="19" t="str">
        <x:v>候选已存在，组件待审核</x:v>
      </x:c>
      <x:c r="H476" s="19" t="str">
        <x:v>transport-node:a233949e-9ea5-51c0-92d9-2cb0089c9dac</x:v>
      </x:c>
      <x:c r="I476" s="18" t="str">
        <x:v>transport-hub-review:6f8519ee-6e8e-568f-9472-043bd5f3d672</x:v>
      </x:c>
      <x:c r="J476" s="18" t="str">
        <x:v>否</x:v>
      </x:c>
    </x:row>
    <x:row r="477" ht="28" customHeight="1">
      <x:c r="A477" s="19" t="str">
        <x:v>今津</x:v>
      </x:c>
      <x:c r="B477" s="18" t="str">
        <x:v>今津</x:v>
      </x:c>
      <x:c r="C477" s="18" t="str">
        <x:v>阪急電鉄</x:v>
      </x:c>
      <x:c r="D477" s="18" t="str">
        <x:v>private_rail</x:v>
      </x:c>
      <x:c r="E477" s="19" t="str">
        <x:v>T2</x:v>
      </x:c>
      <x:c r="F477" s="19" t="str">
        <x:v>今津線</x:v>
      </x:c>
      <x:c r="G477" s="19" t="str">
        <x:v>候选已存在，组件待审核</x:v>
      </x:c>
      <x:c r="H477" s="19" t="str">
        <x:v>transport-node:79f93045-909e-5695-8234-0bd615644e46</x:v>
      </x:c>
      <x:c r="I477" s="18" t="str">
        <x:v>transport-hub-review:ba53e8cd-e1a6-5c21-ad96-6872454cf93b</x:v>
      </x:c>
      <x:c r="J477" s="18" t="str">
        <x:v>否</x:v>
      </x:c>
    </x:row>
    <x:row r="478" ht="28" customHeight="1">
      <x:c r="A478" s="19" t="str">
        <x:v>今津</x:v>
      </x:c>
      <x:c r="B478" s="18" t="str">
        <x:v>今津</x:v>
      </x:c>
      <x:c r="C478" s="18" t="str">
        <x:v>阪神電気鉄道</x:v>
      </x:c>
      <x:c r="D478" s="18" t="str">
        <x:v>private_rail</x:v>
      </x:c>
      <x:c r="E478" s="19" t="str">
        <x:v>T2</x:v>
      </x:c>
      <x:c r="F478" s="19" t="str">
        <x:v>本線</x:v>
      </x:c>
      <x:c r="G478" s="19" t="str">
        <x:v>候选已存在，组件待审核</x:v>
      </x:c>
      <x:c r="H478" s="19" t="str">
        <x:v>transport-node:1df6f215-72cf-5405-9bd0-9b5de4ca96ea</x:v>
      </x:c>
      <x:c r="I478" s="18" t="str">
        <x:v>transport-hub-review:ba53e8cd-e1a6-5c21-ad96-6872454cf93b</x:v>
      </x:c>
      <x:c r="J478" s="18" t="str">
        <x:v>否</x:v>
      </x:c>
    </x:row>
    <x:row r="479" ht="33" customHeight="1">
      <x:c r="A479" s="19" t="str">
        <x:v>今里</x:v>
      </x:c>
      <x:c r="B479" s="18" t="str">
        <x:v>今里</x:v>
      </x:c>
      <x:c r="C479" s="18" t="str">
        <x:v>大阪市高速電気軌道</x:v>
      </x:c>
      <x:c r="D479" s="18" t="str">
        <x:v>metro</x:v>
      </x:c>
      <x:c r="E479" s="19" t="str">
        <x:v>T2</x:v>
      </x:c>
      <x:c r="F479" s="19" t="str">
        <x:v>5号線(千日前線)
8号線(今里筋線)</x:v>
      </x:c>
      <x:c r="G479" s="19" t="str">
        <x:v>候选已存在，组件待审核</x:v>
      </x:c>
      <x:c r="H479" s="19" t="str">
        <x:v>transport-node:855a1681-a3cb-5114-90ca-75c27a588fb0</x:v>
      </x:c>
      <x:c r="I479" s="18" t="str">
        <x:v>transport-hub-review:fbd737cd-e18c-5a16-8e1f-1fa01e77a70e</x:v>
      </x:c>
      <x:c r="J479" s="18" t="str">
        <x:v>否</x:v>
      </x:c>
    </x:row>
    <x:row r="480" ht="28" customHeight="1">
      <x:c r="A480" s="19" t="str">
        <x:v>砂田橋</x:v>
      </x:c>
      <x:c r="B480" s="18" t="str">
        <x:v>砂田橋</x:v>
      </x:c>
      <x:c r="C480" s="18" t="str">
        <x:v>名古屋市</x:v>
      </x:c>
      <x:c r="D480" s="18" t="str">
        <x:v>metro</x:v>
      </x:c>
      <x:c r="E480" s="19" t="str">
        <x:v>T2</x:v>
      </x:c>
      <x:c r="F480" s="19" t="str">
        <x:v>4号線名城線</x:v>
      </x:c>
      <x:c r="G480" s="19" t="str">
        <x:v>候选已存在，组件待审核</x:v>
      </x:c>
      <x:c r="H480" s="19" t="str">
        <x:v>transport-node:efa67c63-d900-5225-8421-59116d04d685</x:v>
      </x:c>
      <x:c r="I480" s="18" t="str">
        <x:v>transport-hub-review:6a5c94ac-7329-50f3-bfd3-98f439d65a03</x:v>
      </x:c>
      <x:c r="J480" s="18" t="str">
        <x:v>否</x:v>
      </x:c>
    </x:row>
    <x:row r="481" ht="28" customHeight="1">
      <x:c r="A481" s="19" t="str">
        <x:v>砂田橋</x:v>
      </x:c>
      <x:c r="B481" s="18" t="str">
        <x:v>砂田橋</x:v>
      </x:c>
      <x:c r="C481" s="18" t="str">
        <x:v>名古屋ガイドウェイバス</x:v>
      </x:c>
      <x:c r="D481" s="18" t="str">
        <x:v>fixed_guideway</x:v>
      </x:c>
      <x:c r="E481" s="19" t="str">
        <x:v>T3</x:v>
      </x:c>
      <x:c r="F481" s="19" t="str">
        <x:v>ガイドウェイバス志段味線</x:v>
      </x:c>
      <x:c r="G481" s="19" t="str">
        <x:v>候选已存在，组件待审核</x:v>
      </x:c>
      <x:c r="H481" s="19" t="str">
        <x:v>transport-node:51f31d61-b836-5899-b0e0-973ef8a75763</x:v>
      </x:c>
      <x:c r="I481" s="18" t="str">
        <x:v>transport-hub-review:6a5c94ac-7329-50f3-bfd3-98f439d65a03</x:v>
      </x:c>
      <x:c r="J481" s="18" t="str">
        <x:v>否</x:v>
      </x:c>
    </x:row>
    <x:row r="482" ht="28" customHeight="1">
      <x:c r="A482" s="19" t="str">
        <x:v>桜川・汐見橋</x:v>
      </x:c>
      <x:c r="B482" s="18" t="str">
        <x:v>桜川</x:v>
      </x:c>
      <x:c r="C482" s="18" t="str">
        <x:v>大阪市高速電気軌道</x:v>
      </x:c>
      <x:c r="D482" s="18" t="str">
        <x:v>metro</x:v>
      </x:c>
      <x:c r="E482" s="19" t="str">
        <x:v>T2</x:v>
      </x:c>
      <x:c r="F482" s="19" t="str">
        <x:v>5号線(千日前線)</x:v>
      </x:c>
      <x:c r="G482" s="19" t="str">
        <x:v>候选已存在，组件待审核</x:v>
      </x:c>
      <x:c r="H482" s="19" t="str">
        <x:v>transport-node:00dbf14e-1c55-5811-aa35-446e432a11d4</x:v>
      </x:c>
      <x:c r="I482" s="18" t="str">
        <x:v>transport-hub-review:6f5b664e-894b-5e33-993e-8d24c9c06d0e</x:v>
      </x:c>
      <x:c r="J482" s="18" t="str">
        <x:v>否</x:v>
      </x:c>
    </x:row>
    <x:row r="483" ht="28" customHeight="1">
      <x:c r="A483" s="19" t="str">
        <x:v>桜川・汐見橋</x:v>
      </x:c>
      <x:c r="B483" s="18" t="str">
        <x:v>桜川</x:v>
      </x:c>
      <x:c r="C483" s="18" t="str">
        <x:v>阪神電気鉄道</x:v>
      </x:c>
      <x:c r="D483" s="18" t="str">
        <x:v>private_rail</x:v>
      </x:c>
      <x:c r="E483" s="19" t="str">
        <x:v>T3</x:v>
      </x:c>
      <x:c r="F483" s="19" t="str">
        <x:v>阪神なんば線</x:v>
      </x:c>
      <x:c r="G483" s="19" t="str">
        <x:v>候选已存在，组件待审核</x:v>
      </x:c>
      <x:c r="H483" s="19" t="str">
        <x:v>transport-node:6517b7d8-2965-50ad-85aa-c322620e140e</x:v>
      </x:c>
      <x:c r="I483" s="18" t="str">
        <x:v>transport-hub-review:6f5b664e-894b-5e33-993e-8d24c9c06d0e</x:v>
      </x:c>
      <x:c r="J483" s="18" t="str">
        <x:v>否</x:v>
      </x:c>
    </x:row>
    <x:row r="484" ht="28" customHeight="1">
      <x:c r="A484" s="19" t="str">
        <x:v>桜川・汐見橋</x:v>
      </x:c>
      <x:c r="B484" s="18" t="str">
        <x:v>汐見橋</x:v>
      </x:c>
      <x:c r="C484" s="18" t="str">
        <x:v>南海電気鉄道</x:v>
      </x:c>
      <x:c r="D484" s="18" t="str">
        <x:v>private_rail</x:v>
      </x:c>
      <x:c r="E484" s="19" t="str">
        <x:v>T3</x:v>
      </x:c>
      <x:c r="F484" s="19" t="str">
        <x:v>高野線</x:v>
      </x:c>
      <x:c r="G484" s="19" t="str">
        <x:v>候选已存在，组件待审核</x:v>
      </x:c>
      <x:c r="H484" s="19" t="str">
        <x:v>transport-node:89b60bbb-e275-54f3-985c-294e1321683f</x:v>
      </x:c>
      <x:c r="I484" s="18" t="str">
        <x:v>transport-hub-review:6f5b664e-894b-5e33-993e-8d24c9c06d0e</x:v>
      </x:c>
      <x:c r="J484" s="18" t="str">
        <x:v>否</x:v>
      </x:c>
    </x:row>
    <x:row r="485" ht="28" customHeight="1">
      <x:c r="A485" s="19" t="str">
        <x:v>山田</x:v>
      </x:c>
      <x:c r="B485" s="18" t="str">
        <x:v>山田</x:v>
      </x:c>
      <x:c r="C485" s="18" t="str">
        <x:v>阪急電鉄</x:v>
      </x:c>
      <x:c r="D485" s="18" t="str">
        <x:v>private_rail</x:v>
      </x:c>
      <x:c r="E485" s="19" t="str">
        <x:v>T2</x:v>
      </x:c>
      <x:c r="F485" s="19" t="str">
        <x:v>千里線</x:v>
      </x:c>
      <x:c r="G485" s="19" t="str">
        <x:v>候选已存在，组件待审核</x:v>
      </x:c>
      <x:c r="H485" s="19" t="str">
        <x:v>transport-node:b7d57bb0-2a45-568e-8c7c-1c86530a5e63</x:v>
      </x:c>
      <x:c r="I485" s="18" t="str">
        <x:v>transport-hub-review:1f04dda0-ce47-515d-bde1-760d8be082e0</x:v>
      </x:c>
      <x:c r="J485" s="18" t="str">
        <x:v>否</x:v>
      </x:c>
    </x:row>
    <x:row r="486" ht="28" customHeight="1">
      <x:c r="A486" s="19" t="str">
        <x:v>山田</x:v>
      </x:c>
      <x:c r="B486" s="18" t="str">
        <x:v>山田</x:v>
      </x:c>
      <x:c r="C486" s="18" t="str">
        <x:v>大阪モノレール</x:v>
      </x:c>
      <x:c r="D486" s="18" t="str">
        <x:v>fixed_guideway</x:v>
      </x:c>
      <x:c r="E486" s="19" t="str">
        <x:v>T2</x:v>
      </x:c>
      <x:c r="F486" s="19" t="str">
        <x:v>大阪モノレール線</x:v>
      </x:c>
      <x:c r="G486" s="19" t="str">
        <x:v>候选已存在，组件待审核</x:v>
      </x:c>
      <x:c r="H486" s="19" t="str">
        <x:v>transport-node:cf4b954a-da74-5f3e-90ef-d37bcfd52428</x:v>
      </x:c>
      <x:c r="I486" s="18" t="str">
        <x:v>transport-hub-review:1f04dda0-ce47-515d-bde1-760d8be082e0</x:v>
      </x:c>
      <x:c r="J486" s="18" t="str">
        <x:v>否</x:v>
      </x:c>
    </x:row>
    <x:row r="487" ht="33" customHeight="1">
      <x:c r="A487" s="19" t="str">
        <x:v>鹿児島中央</x:v>
      </x:c>
      <x:c r="B487" s="18" t="str">
        <x:v>鹿児島中央</x:v>
      </x:c>
      <x:c r="C487" s="18" t="str">
        <x:v>九州旅客鉄道</x:v>
      </x:c>
      <x:c r="D487" s="18" t="str">
        <x:v>conventional_rail</x:v>
      </x:c>
      <x:c r="E487" s="19" t="str">
        <x:v>T2</x:v>
      </x:c>
      <x:c r="F487" s="19" t="str">
        <x:v>指宿枕崎線
鹿児島線</x:v>
      </x:c>
      <x:c r="G487" s="19" t="str">
        <x:v>候选已存在，组件待审核</x:v>
      </x:c>
      <x:c r="H487" s="19" t="str">
        <x:v>transport-node:8e212416-f401-52e3-b76c-ede3ea8408f6</x:v>
      </x:c>
      <x:c r="I487" s="18" t="str">
        <x:v>transport-hub-review:f2d1266d-1ec6-5e80-a016-f1b750050330</x:v>
      </x:c>
      <x:c r="J487" s="18" t="str">
        <x:v>否</x:v>
      </x:c>
    </x:row>
    <x:row r="488" ht="28" customHeight="1">
      <x:c r="A488" s="19" t="str">
        <x:v>鹿児島中央</x:v>
      </x:c>
      <x:c r="B488" s="18" t="str">
        <x:v>鹿児島中央</x:v>
      </x:c>
      <x:c r="C488" s="18" t="str">
        <x:v>九州旅客鉄道</x:v>
      </x:c>
      <x:c r="D488" s="18" t="str">
        <x:v>shinkansen</x:v>
      </x:c>
      <x:c r="E488" s="19" t="str">
        <x:v>null</x:v>
      </x:c>
      <x:c r="F488" s="19" t="str">
        <x:v>九州新幹線</x:v>
      </x:c>
      <x:c r="G488" s="19" t="str">
        <x:v>候选已存在，组件待审核</x:v>
      </x:c>
      <x:c r="H488" s="19" t="str">
        <x:v>transport-node:7f64001c-b0c3-5022-9bf7-090aa8e9b6b1</x:v>
      </x:c>
      <x:c r="I488" s="18" t="str">
        <x:v>transport-hub-review:f2d1266d-1ec6-5e80-a016-f1b750050330</x:v>
      </x:c>
      <x:c r="J488" s="18" t="str">
        <x:v>否</x:v>
      </x:c>
    </x:row>
    <x:row r="489" ht="33" customHeight="1">
      <x:c r="A489" s="19" t="str">
        <x:v>鹿児島中央</x:v>
      </x:c>
      <x:c r="B489" s="18" t="str">
        <x:v>鹿児島中央駅前</x:v>
      </x:c>
      <x:c r="C489" s="18" t="str">
        <x:v>鹿児島市</x:v>
      </x:c>
      <x:c r="D489" s="18" t="str">
        <x:v>tram</x:v>
      </x:c>
      <x:c r="E489" s="19" t="str">
        <x:v>T3</x:v>
      </x:c>
      <x:c r="F489" s="19" t="str">
        <x:v>唐湊線
第二期線</x:v>
      </x:c>
      <x:c r="G489" s="19" t="str">
        <x:v>候选已存在，组件待审核</x:v>
      </x:c>
      <x:c r="H489" s="19" t="str">
        <x:v>transport-node:722bd6d1-d279-542b-9ee5-dea888b1e132</x:v>
      </x:c>
      <x:c r="I489" s="18" t="str">
        <x:v>transport-hub-review:f2d1266d-1ec6-5e80-a016-f1b750050330</x:v>
      </x:c>
      <x:c r="J489" s="18" t="str">
        <x:v>否</x:v>
      </x:c>
    </x:row>
    <x:row r="490" ht="28" customHeight="1">
      <x:c r="A490" s="19" t="str">
        <x:v>鴫野</x:v>
      </x:c>
      <x:c r="B490" s="18" t="str">
        <x:v>鴫野</x:v>
      </x:c>
      <x:c r="C490" s="18" t="str">
        <x:v>大阪市高速電気軌道</x:v>
      </x:c>
      <x:c r="D490" s="18" t="str">
        <x:v>metro</x:v>
      </x:c>
      <x:c r="E490" s="19" t="str">
        <x:v>T2</x:v>
      </x:c>
      <x:c r="F490" s="19" t="str">
        <x:v>8号線(今里筋線)</x:v>
      </x:c>
      <x:c r="G490" s="19" t="str">
        <x:v>候选已存在，组件待审核</x:v>
      </x:c>
      <x:c r="H490" s="19" t="str">
        <x:v>transport-node:bd79f618-4ba9-5095-86b5-3e7885aeee9c</x:v>
      </x:c>
      <x:c r="I490" s="18" t="str">
        <x:v>transport-hub-review:1b421365-d4a1-5e92-837c-9c366f1765b5</x:v>
      </x:c>
      <x:c r="J490" s="18" t="str">
        <x:v>否</x:v>
      </x:c>
    </x:row>
    <x:row r="491" ht="33" customHeight="1">
      <x:c r="A491" s="19" t="str">
        <x:v>鴫野</x:v>
      </x:c>
      <x:c r="B491" s="18" t="str">
        <x:v>鴫野</x:v>
      </x:c>
      <x:c r="C491" s="18" t="str">
        <x:v>西日本旅客鉄道</x:v>
      </x:c>
      <x:c r="D491" s="18" t="str">
        <x:v>conventional_rail</x:v>
      </x:c>
      <x:c r="E491" s="19" t="str">
        <x:v>T2</x:v>
      </x:c>
      <x:c r="F491" s="19" t="str">
        <x:v>おおさか東線
片町線</x:v>
      </x:c>
      <x:c r="G491" s="19" t="str">
        <x:v>候选已存在，组件待审核</x:v>
      </x:c>
      <x:c r="H491" s="19" t="str">
        <x:v>transport-node:0f1d06d9-2ca4-566d-bdb3-84407c1b65fb</x:v>
      </x:c>
      <x:c r="I491" s="18" t="str">
        <x:v>transport-hub-review:1b421365-d4a1-5e92-837c-9c366f1765b5</x:v>
      </x:c>
      <x:c r="J491" s="18" t="str">
        <x:v>否</x:v>
      </x:c>
    </x:row>
    <x:row r="492" ht="28" customHeight="1">
      <x:c r="A492" s="19" t="str">
        <x:v>住之江公園</x:v>
      </x:c>
      <x:c r="B492" s="18" t="str">
        <x:v>住之江公園</x:v>
      </x:c>
      <x:c r="C492" s="18" t="str">
        <x:v>大阪市高速電気軌道</x:v>
      </x:c>
      <x:c r="D492" s="18" t="str">
        <x:v>metro</x:v>
      </x:c>
      <x:c r="E492" s="19" t="str">
        <x:v>T2</x:v>
      </x:c>
      <x:c r="F492" s="19" t="str">
        <x:v>3号線(四つ橋線)</x:v>
      </x:c>
      <x:c r="G492" s="19" t="str">
        <x:v>候选已存在，组件待审核</x:v>
      </x:c>
      <x:c r="H492" s="19" t="str">
        <x:v>transport-node:2034dfd9-e108-5b3f-bda3-3c6a836d7ce4</x:v>
      </x:c>
      <x:c r="I492" s="18" t="str">
        <x:v>transport-hub-review:defbce00-9199-5eef-90df-2c5a7ffc6c30</x:v>
      </x:c>
      <x:c r="J492" s="18" t="str">
        <x:v>否</x:v>
      </x:c>
    </x:row>
    <x:row r="493" ht="28" customHeight="1">
      <x:c r="A493" s="19" t="str">
        <x:v>住之江公園</x:v>
      </x:c>
      <x:c r="B493" s="18" t="str">
        <x:v>住之江公園</x:v>
      </x:c>
      <x:c r="C493" s="18" t="str">
        <x:v>大阪市高速電気軌道</x:v>
      </x:c>
      <x:c r="D493" s="18" t="str">
        <x:v>fixed_guideway</x:v>
      </x:c>
      <x:c r="E493" s="19" t="str">
        <x:v>null</x:v>
      </x:c>
      <x:c r="F493" s="19" t="str">
        <x:v>南港ポートタウン線</x:v>
      </x:c>
      <x:c r="G493" s="19" t="str">
        <x:v>候选已存在，组件待审核</x:v>
      </x:c>
      <x:c r="H493" s="19" t="str">
        <x:v>transport-node:6433f2b0-7116-5866-b28e-9ccbb52bb033</x:v>
      </x:c>
      <x:c r="I493" s="18" t="str">
        <x:v>transport-hub-review:defbce00-9199-5eef-90df-2c5a7ffc6c30</x:v>
      </x:c>
      <x:c r="J493" s="18" t="str">
        <x:v>否</x:v>
      </x:c>
    </x:row>
    <x:row r="494" ht="33" customHeight="1">
      <x:c r="A494" s="19" t="str">
        <x:v>小平</x:v>
      </x:c>
      <x:c r="B494" s="18" t="str">
        <x:v>小平</x:v>
      </x:c>
      <x:c r="C494" s="18" t="str">
        <x:v>西武鉄道</x:v>
      </x:c>
      <x:c r="D494" s="18" t="str">
        <x:v>private_rail</x:v>
      </x:c>
      <x:c r="E494" s="19" t="str">
        <x:v>T2</x:v>
      </x:c>
      <x:c r="F494" s="19" t="str">
        <x:v>拝島線
新宿線</x:v>
      </x:c>
      <x:c r="G494" s="19" t="str">
        <x:v>候选已存在，组件待审核</x:v>
      </x:c>
      <x:c r="H494" s="19" t="str">
        <x:v>transport-node:51b4add0-f6d2-5d2d-a5aa-9b2721a6d079</x:v>
      </x:c>
      <x:c r="I494" s="18" t="str">
        <x:v>transport-hub-review:f0689e03-1dc4-5635-aeae-a8a6476344ab</x:v>
      </x:c>
      <x:c r="J494" s="18" t="str">
        <x:v>否</x:v>
      </x:c>
    </x:row>
    <x:row r="495" ht="33" customHeight="1">
      <x:c r="A495" s="19" t="str">
        <x:v>松阪</x:v>
      </x:c>
      <x:c r="B495" s="18" t="str">
        <x:v>松阪</x:v>
      </x:c>
      <x:c r="C495" s="18" t="str">
        <x:v>東海旅客鉄道</x:v>
      </x:c>
      <x:c r="D495" s="18" t="str">
        <x:v>conventional_rail</x:v>
      </x:c>
      <x:c r="E495" s="19" t="str">
        <x:v>null</x:v>
      </x:c>
      <x:c r="F495" s="19" t="str">
        <x:v>名松線
紀勢線</x:v>
      </x:c>
      <x:c r="G495" s="19" t="str">
        <x:v>候选已存在，组件待审核</x:v>
      </x:c>
      <x:c r="H495" s="19" t="str">
        <x:v>transport-node:94772377-3b2e-58f2-96b1-edf43806055d</x:v>
      </x:c>
      <x:c r="I495" s="18" t="str">
        <x:v>transport-hub-review:a2f1a1ec-6cae-5231-9a2e-5142feebfd0b</x:v>
      </x:c>
      <x:c r="J495" s="18" t="str">
        <x:v>否</x:v>
      </x:c>
    </x:row>
    <x:row r="496" ht="28" customHeight="1">
      <x:c r="A496" s="19" t="str">
        <x:v>松阪</x:v>
      </x:c>
      <x:c r="B496" s="18" t="str">
        <x:v>松阪</x:v>
      </x:c>
      <x:c r="C496" s="18" t="str">
        <x:v>近畿日本鉄道</x:v>
      </x:c>
      <x:c r="D496" s="18" t="str">
        <x:v>private_rail</x:v>
      </x:c>
      <x:c r="E496" s="19" t="str">
        <x:v>T2</x:v>
      </x:c>
      <x:c r="F496" s="19" t="str">
        <x:v>山田線</x:v>
      </x:c>
      <x:c r="G496" s="19" t="str">
        <x:v>候选已存在，组件待审核</x:v>
      </x:c>
      <x:c r="H496" s="19" t="str">
        <x:v>transport-node:f62e000a-0d6f-526a-8a0e-af4d456ba9dc</x:v>
      </x:c>
      <x:c r="I496" s="18" t="str">
        <x:v>transport-hub-review:a2f1a1ec-6cae-5231-9a2e-5142feebfd0b</x:v>
      </x:c>
      <x:c r="J496" s="18" t="str">
        <x:v>否</x:v>
      </x:c>
    </x:row>
    <x:row r="497" ht="28" customHeight="1">
      <x:c r="A497" s="19" t="str">
        <x:v>上小田井</x:v>
      </x:c>
      <x:c r="B497" s="18" t="str">
        <x:v>上小田井</x:v>
      </x:c>
      <x:c r="C497" s="18" t="str">
        <x:v>名古屋市</x:v>
      </x:c>
      <x:c r="D497" s="18" t="str">
        <x:v>metro</x:v>
      </x:c>
      <x:c r="E497" s="19" t="str">
        <x:v>null</x:v>
      </x:c>
      <x:c r="F497" s="19" t="str">
        <x:v>3号線鶴舞線</x:v>
      </x:c>
      <x:c r="G497" s="19" t="str">
        <x:v>候选已存在，组件待审核</x:v>
      </x:c>
      <x:c r="H497" s="19" t="str">
        <x:v>transport-node:dc54c122-e7ac-5385-a3c6-98303c3f8ecb</x:v>
      </x:c>
      <x:c r="I497" s="18" t="str">
        <x:v>transport-hub-review:8c567c76-4a10-5e7f-ba6d-637f75d8aa8d</x:v>
      </x:c>
      <x:c r="J497" s="18" t="str">
        <x:v>否</x:v>
      </x:c>
    </x:row>
    <x:row r="498" ht="28" customHeight="1">
      <x:c r="A498" s="19" t="str">
        <x:v>上小田井</x:v>
      </x:c>
      <x:c r="B498" s="18" t="str">
        <x:v>上小田井</x:v>
      </x:c>
      <x:c r="C498" s="18" t="str">
        <x:v>名古屋鉄道</x:v>
      </x:c>
      <x:c r="D498" s="18" t="str">
        <x:v>private_rail</x:v>
      </x:c>
      <x:c r="E498" s="19" t="str">
        <x:v>T2</x:v>
      </x:c>
      <x:c r="F498" s="19" t="str">
        <x:v>犬山線</x:v>
      </x:c>
      <x:c r="G498" s="19" t="str">
        <x:v>候选已存在，组件待审核</x:v>
      </x:c>
      <x:c r="H498" s="19" t="str">
        <x:v>transport-node:b226e157-d2c9-557e-a389-1d70bb683886</x:v>
      </x:c>
      <x:c r="I498" s="18" t="str">
        <x:v>transport-hub-review:8c567c76-4a10-5e7f-ba6d-637f75d8aa8d</x:v>
      </x:c>
      <x:c r="J498" s="18" t="str">
        <x:v>否</x:v>
      </x:c>
    </x:row>
    <x:row r="499" ht="28" customHeight="1">
      <x:c r="A499" s="19" t="str">
        <x:v>新祝園・祝園</x:v>
      </x:c>
      <x:c r="B499" s="18" t="str">
        <x:v>新祝園</x:v>
      </x:c>
      <x:c r="C499" s="18" t="str">
        <x:v>近畿日本鉄道</x:v>
      </x:c>
      <x:c r="D499" s="18" t="str">
        <x:v>private_rail</x:v>
      </x:c>
      <x:c r="E499" s="19" t="str">
        <x:v>T2</x:v>
      </x:c>
      <x:c r="F499" s="19" t="str">
        <x:v>京都線</x:v>
      </x:c>
      <x:c r="G499" s="19" t="str">
        <x:v>候选已存在，组件待审核</x:v>
      </x:c>
      <x:c r="H499" s="19" t="str">
        <x:v>transport-node:8b078b7f-13ac-521a-82e8-260a34b2c843</x:v>
      </x:c>
      <x:c r="I499" s="18" t="str">
        <x:v>transport-hub-review:27ce8e98-b8fa-5c16-acc6-073d99a9e053</x:v>
      </x:c>
      <x:c r="J499" s="18" t="str">
        <x:v>否</x:v>
      </x:c>
    </x:row>
    <x:row r="500" ht="28" customHeight="1">
      <x:c r="A500" s="19" t="str">
        <x:v>新祝園・祝園</x:v>
      </x:c>
      <x:c r="B500" s="18" t="str">
        <x:v>祝園</x:v>
      </x:c>
      <x:c r="C500" s="18" t="str">
        <x:v>西日本旅客鉄道</x:v>
      </x:c>
      <x:c r="D500" s="18" t="str">
        <x:v>conventional_rail</x:v>
      </x:c>
      <x:c r="E500" s="19" t="str">
        <x:v>T3</x:v>
      </x:c>
      <x:c r="F500" s="19" t="str">
        <x:v>片町線</x:v>
      </x:c>
      <x:c r="G500" s="19" t="str">
        <x:v>候选已存在，组件待审核</x:v>
      </x:c>
      <x:c r="H500" s="19" t="str">
        <x:v>transport-node:e66b3834-1e35-5d36-8e0c-643a03f255e1</x:v>
      </x:c>
      <x:c r="I500" s="18" t="str">
        <x:v>transport-hub-review:27ce8e98-b8fa-5c16-acc6-073d99a9e053</x:v>
      </x:c>
      <x:c r="J500" s="18" t="str">
        <x:v>否</x:v>
      </x:c>
    </x:row>
    <x:row r="501" ht="28" customHeight="1">
      <x:c r="A501" s="19" t="str">
        <x:v>新松田・松田</x:v>
      </x:c>
      <x:c r="B501" s="18" t="str">
        <x:v>新松田</x:v>
      </x:c>
      <x:c r="C501" s="18" t="str">
        <x:v>小田急電鉄</x:v>
      </x:c>
      <x:c r="D501" s="18" t="str">
        <x:v>private_rail</x:v>
      </x:c>
      <x:c r="E501" s="19" t="str">
        <x:v>T2</x:v>
      </x:c>
      <x:c r="F501" s="19" t="str">
        <x:v>小田原線</x:v>
      </x:c>
      <x:c r="G501" s="19" t="str">
        <x:v>候选已存在，组件待审核</x:v>
      </x:c>
      <x:c r="H501" s="19" t="str">
        <x:v>transport-node:dd057d7c-fc75-5f2f-b070-d4e80294edb4</x:v>
      </x:c>
      <x:c r="I501" s="18" t="str">
        <x:v>transport-hub-review:314de6b8-d5e8-5f64-8d6e-eec4c9a88b9a</x:v>
      </x:c>
      <x:c r="J501" s="18" t="str">
        <x:v>否</x:v>
      </x:c>
    </x:row>
    <x:row r="502" ht="28" customHeight="1">
      <x:c r="A502" s="19" t="str">
        <x:v>新松田・松田</x:v>
      </x:c>
      <x:c r="B502" s="18" t="str">
        <x:v>松田</x:v>
      </x:c>
      <x:c r="C502" s="18" t="str">
        <x:v>東海旅客鉄道</x:v>
      </x:c>
      <x:c r="D502" s="18" t="str">
        <x:v>conventional_rail</x:v>
      </x:c>
      <x:c r="E502" s="19" t="str">
        <x:v>T3</x:v>
      </x:c>
      <x:c r="F502" s="19" t="str">
        <x:v>御殿場線</x:v>
      </x:c>
      <x:c r="G502" s="19" t="str">
        <x:v>候选已存在，组件待审核</x:v>
      </x:c>
      <x:c r="H502" s="19" t="str">
        <x:v>transport-node:b7302c86-79e3-5e65-b66b-068a19a8d356</x:v>
      </x:c>
      <x:c r="I502" s="18" t="str">
        <x:v>transport-hub-review:314de6b8-d5e8-5f64-8d6e-eec4c9a88b9a</x:v>
      </x:c>
      <x:c r="J502" s="18" t="str">
        <x:v>否</x:v>
      </x:c>
    </x:row>
    <x:row r="503" ht="33" customHeight="1">
      <x:c r="A503" s="19" t="str">
        <x:v>新瑞橋</x:v>
      </x:c>
      <x:c r="B503" s="18" t="str">
        <x:v>新瑞橋</x:v>
      </x:c>
      <x:c r="C503" s="18" t="str">
        <x:v>名古屋市</x:v>
      </x:c>
      <x:c r="D503" s="18" t="str">
        <x:v>metro</x:v>
      </x:c>
      <x:c r="E503" s="19" t="str">
        <x:v>T2</x:v>
      </x:c>
      <x:c r="F503" s="19" t="str">
        <x:v>4号線名城線
6号線桜通線</x:v>
      </x:c>
      <x:c r="G503" s="19" t="str">
        <x:v>候选已存在，组件待审核</x:v>
      </x:c>
      <x:c r="H503" s="19" t="str">
        <x:v>transport-node:b5844f96-407c-5f0f-97a8-697625150dbc</x:v>
      </x:c>
      <x:c r="I503" s="18" t="str">
        <x:v>transport-hub-review:1e29e307-f8e5-59e9-8c5f-df420a85caa7</x:v>
      </x:c>
      <x:c r="J503" s="18" t="str">
        <x:v>否</x:v>
      </x:c>
    </x:row>
    <x:row r="504" ht="47" customHeight="1">
      <x:c r="A504" s="19" t="str">
        <x:v>新長田</x:v>
      </x:c>
      <x:c r="B504" s="18" t="str">
        <x:v>新長田</x:v>
      </x:c>
      <x:c r="C504" s="18" t="str">
        <x:v>神戸市</x:v>
      </x:c>
      <x:c r="D504" s="18" t="str">
        <x:v>metro</x:v>
      </x:c>
      <x:c r="E504" s="19" t="str">
        <x:v>T2</x:v>
      </x:c>
      <x:c r="F504" s="19" t="str">
        <x:v>山手線
海岸線
西神線</x:v>
      </x:c>
      <x:c r="G504" s="19" t="str">
        <x:v>候选已存在，组件待审核</x:v>
      </x:c>
      <x:c r="H504" s="19" t="str">
        <x:v>transport-node:ccaf45da-3d18-5d4b-b4d5-c5f6054a2820</x:v>
      </x:c>
      <x:c r="I504" s="18" t="str">
        <x:v>transport-hub-review:b2e447e8-e0f3-5ba6-8c8a-5e49ffac0405</x:v>
      </x:c>
      <x:c r="J504" s="18" t="str">
        <x:v>否</x:v>
      </x:c>
    </x:row>
    <x:row r="505" ht="28" customHeight="1">
      <x:c r="A505" s="19" t="str">
        <x:v>新長田</x:v>
      </x:c>
      <x:c r="B505" s="18" t="str">
        <x:v>新長田</x:v>
      </x:c>
      <x:c r="C505" s="18" t="str">
        <x:v>西日本旅客鉄道</x:v>
      </x:c>
      <x:c r="D505" s="18" t="str">
        <x:v>conventional_rail</x:v>
      </x:c>
      <x:c r="E505" s="19" t="str">
        <x:v>T2</x:v>
      </x:c>
      <x:c r="F505" s="19" t="str">
        <x:v>山陽線</x:v>
      </x:c>
      <x:c r="G505" s="19" t="str">
        <x:v>候选已存在，组件待审核</x:v>
      </x:c>
      <x:c r="H505" s="19" t="str">
        <x:v>transport-node:6c873da1-f6ff-5f60-b321-8615756e3852</x:v>
      </x:c>
      <x:c r="I505" s="18" t="str">
        <x:v>transport-hub-review:b2e447e8-e0f3-5ba6-8c8a-5e49ffac0405</x:v>
      </x:c>
      <x:c r="J505" s="18" t="str">
        <x:v>否</x:v>
      </x:c>
    </x:row>
    <x:row r="506" ht="33" customHeight="1">
      <x:c r="A506" s="19" t="str">
        <x:v>森ノ宮</x:v>
      </x:c>
      <x:c r="B506" s="18" t="str">
        <x:v>森ノ宮</x:v>
      </x:c>
      <x:c r="C506" s="18" t="str">
        <x:v>大阪市高速電気軌道</x:v>
      </x:c>
      <x:c r="D506" s="18" t="str">
        <x:v>metro</x:v>
      </x:c>
      <x:c r="E506" s="19" t="str">
        <x:v>T2</x:v>
      </x:c>
      <x:c r="F506" s="19" t="str">
        <x:v>4号線(中央線)
7号線(長堀鶴見緑地線)</x:v>
      </x:c>
      <x:c r="G506" s="19" t="str">
        <x:v>候选已存在，组件待审核</x:v>
      </x:c>
      <x:c r="H506" s="19" t="str">
        <x:v>transport-node:feb7995f-e8f9-56a4-b8dd-56010c552c9b</x:v>
      </x:c>
      <x:c r="I506" s="18" t="str">
        <x:v>transport-hub-review:89c1ff9a-884a-5e29-8690-3b98546241ff</x:v>
      </x:c>
      <x:c r="J506" s="18" t="str">
        <x:v>否</x:v>
      </x:c>
    </x:row>
    <x:row r="507" ht="28" customHeight="1">
      <x:c r="A507" s="19" t="str">
        <x:v>森ノ宮</x:v>
      </x:c>
      <x:c r="B507" s="18" t="str">
        <x:v>森ノ宮</x:v>
      </x:c>
      <x:c r="C507" s="18" t="str">
        <x:v>西日本旅客鉄道</x:v>
      </x:c>
      <x:c r="D507" s="18" t="str">
        <x:v>conventional_rail</x:v>
      </x:c>
      <x:c r="E507" s="19" t="str">
        <x:v>T2</x:v>
      </x:c>
      <x:c r="F507" s="19" t="str">
        <x:v>大阪環状線</x:v>
      </x:c>
      <x:c r="G507" s="19" t="str">
        <x:v>候选已存在，组件待审核</x:v>
      </x:c>
      <x:c r="H507" s="19" t="str">
        <x:v>transport-node:bc414c29-6f0c-51cd-9a57-823dd54afad4</x:v>
      </x:c>
      <x:c r="I507" s="18" t="str">
        <x:v>transport-hub-review:89c1ff9a-884a-5e29-8690-3b98546241ff</x:v>
      </x:c>
      <x:c r="J507" s="18" t="str">
        <x:v>否</x:v>
      </x:c>
    </x:row>
    <x:row r="508" ht="28" customHeight="1">
      <x:c r="A508" s="19" t="str">
        <x:v>西院</x:v>
      </x:c>
      <x:c r="B508" s="18" t="str">
        <x:v>西院</x:v>
      </x:c>
      <x:c r="C508" s="18" t="str">
        <x:v>阪急電鉄</x:v>
      </x:c>
      <x:c r="D508" s="18" t="str">
        <x:v>private_rail</x:v>
      </x:c>
      <x:c r="E508" s="19" t="str">
        <x:v>T2</x:v>
      </x:c>
      <x:c r="F508" s="19" t="str">
        <x:v>京都線</x:v>
      </x:c>
      <x:c r="G508" s="19" t="str">
        <x:v>候选已存在，组件待审核</x:v>
      </x:c>
      <x:c r="H508" s="19" t="str">
        <x:v>transport-node:32c4d3fb-a25b-5acc-9454-eb902364f779</x:v>
      </x:c>
      <x:c r="I508" s="18" t="str">
        <x:v>transport-hub-review:953261f0-73ed-5708-b1c9-7de606da0518</x:v>
      </x:c>
      <x:c r="J508" s="18" t="str">
        <x:v>否</x:v>
      </x:c>
    </x:row>
    <x:row r="509" ht="28" customHeight="1">
      <x:c r="A509" s="19" t="str">
        <x:v>西院</x:v>
      </x:c>
      <x:c r="B509" s="18" t="str">
        <x:v>西院</x:v>
      </x:c>
      <x:c r="C509" s="18" t="str">
        <x:v>京福電気鉄道</x:v>
      </x:c>
      <x:c r="D509" s="18" t="str">
        <x:v>tram</x:v>
      </x:c>
      <x:c r="E509" s="19" t="str">
        <x:v>T3</x:v>
      </x:c>
      <x:c r="F509" s="19" t="str">
        <x:v>嵐山本線</x:v>
      </x:c>
      <x:c r="G509" s="19" t="str">
        <x:v>候选已存在，组件待审核</x:v>
      </x:c>
      <x:c r="H509" s="19" t="str">
        <x:v>transport-node:4efa5e12-212d-583f-bdc9-52d7d2def089</x:v>
      </x:c>
      <x:c r="I509" s="18" t="str">
        <x:v>transport-hub-review:953261f0-73ed-5708-b1c9-7de606da0518</x:v>
      </x:c>
      <x:c r="J509" s="18" t="str">
        <x:v>否</x:v>
      </x:c>
    </x:row>
    <x:row r="510" ht="33" customHeight="1">
      <x:c r="A510" s="19" t="str">
        <x:v>西所沢</x:v>
      </x:c>
      <x:c r="B510" s="18" t="str">
        <x:v>西所沢</x:v>
      </x:c>
      <x:c r="C510" s="18" t="str">
        <x:v>西武鉄道</x:v>
      </x:c>
      <x:c r="D510" s="18" t="str">
        <x:v>private_rail</x:v>
      </x:c>
      <x:c r="E510" s="19" t="str">
        <x:v>T2</x:v>
      </x:c>
      <x:c r="F510" s="19" t="str">
        <x:v>池袋線
狭山線</x:v>
      </x:c>
      <x:c r="G510" s="19" t="str">
        <x:v>候选已存在，组件待审核</x:v>
      </x:c>
      <x:c r="H510" s="19" t="str">
        <x:v>transport-node:80cf0645-18c7-543a-8c87-a79bd56ca252</x:v>
      </x:c>
      <x:c r="I510" s="18" t="str">
        <x:v>transport-hub-review:a2ad86a3-7c81-5904-95d2-a8f815ebff83</x:v>
      </x:c>
      <x:c r="J510" s="18" t="str">
        <x:v>否</x:v>
      </x:c>
    </x:row>
    <x:row r="511" ht="33" customHeight="1">
      <x:c r="A511" s="19" t="str">
        <x:v>西長堀</x:v>
      </x:c>
      <x:c r="B511" s="18" t="str">
        <x:v>西長堀</x:v>
      </x:c>
      <x:c r="C511" s="18" t="str">
        <x:v>大阪市高速電気軌道</x:v>
      </x:c>
      <x:c r="D511" s="18" t="str">
        <x:v>metro</x:v>
      </x:c>
      <x:c r="E511" s="19" t="str">
        <x:v>T2</x:v>
      </x:c>
      <x:c r="F511" s="19" t="str">
        <x:v>5号線(千日前線)
7号線(長堀鶴見緑地線)</x:v>
      </x:c>
      <x:c r="G511" s="19" t="str">
        <x:v>候选已存在，组件待审核</x:v>
      </x:c>
      <x:c r="H511" s="19" t="str">
        <x:v>transport-node:449a1438-87a0-50ce-bb65-b4daf76e3337</x:v>
      </x:c>
      <x:c r="I511" s="18" t="str">
        <x:v>transport-hub-review:32fbb01e-2799-5ca3-afcc-0415316bda71</x:v>
      </x:c>
      <x:c r="J511" s="18" t="str">
        <x:v>否</x:v>
      </x:c>
    </x:row>
    <x:row r="512" ht="28" customHeight="1">
      <x:c r="A512" s="19" t="str">
        <x:v>赤池</x:v>
      </x:c>
      <x:c r="B512" s="18" t="str">
        <x:v>赤池</x:v>
      </x:c>
      <x:c r="C512" s="18" t="str">
        <x:v>名古屋市</x:v>
      </x:c>
      <x:c r="D512" s="18" t="str">
        <x:v>metro</x:v>
      </x:c>
      <x:c r="E512" s="19" t="str">
        <x:v>T2</x:v>
      </x:c>
      <x:c r="F512" s="19" t="str">
        <x:v>3号線鶴舞線</x:v>
      </x:c>
      <x:c r="G512" s="19" t="str">
        <x:v>候选已存在，组件待审核</x:v>
      </x:c>
      <x:c r="H512" s="19" t="str">
        <x:v>transport-node:d4c6ae29-f23d-55e0-b09f-44ee25536f54</x:v>
      </x:c>
      <x:c r="I512" s="18" t="str">
        <x:v>transport-hub-review:126b4162-753d-5c94-a0ec-237e48d9dd04</x:v>
      </x:c>
      <x:c r="J512" s="18" t="str">
        <x:v>否</x:v>
      </x:c>
    </x:row>
    <x:row r="513" ht="28" customHeight="1">
      <x:c r="A513" s="19" t="str">
        <x:v>赤池</x:v>
      </x:c>
      <x:c r="B513" s="18" t="str">
        <x:v>赤池</x:v>
      </x:c>
      <x:c r="C513" s="18" t="str">
        <x:v>名古屋鉄道</x:v>
      </x:c>
      <x:c r="D513" s="18" t="str">
        <x:v>private_rail</x:v>
      </x:c>
      <x:c r="E513" s="19" t="str">
        <x:v>null</x:v>
      </x:c>
      <x:c r="F513" s="19" t="str">
        <x:v>豊田線</x:v>
      </x:c>
      <x:c r="G513" s="19" t="str">
        <x:v>候选已存在，组件待审核</x:v>
      </x:c>
      <x:c r="H513" s="19" t="str">
        <x:v>transport-node:bcd6e239-799a-5fca-9ae5-41478c95cf27</x:v>
      </x:c>
      <x:c r="I513" s="18" t="str">
        <x:v>transport-hub-review:126b4162-753d-5c94-a0ec-237e48d9dd04</x:v>
      </x:c>
      <x:c r="J513" s="18" t="str">
        <x:v>否</x:v>
      </x:c>
    </x:row>
    <x:row r="514" ht="33" customHeight="1">
      <x:c r="A514" s="19" t="str">
        <x:v>太子橋今市</x:v>
      </x:c>
      <x:c r="B514" s="18" t="str">
        <x:v>太子橋今市</x:v>
      </x:c>
      <x:c r="C514" s="18" t="str">
        <x:v>大阪市高速電気軌道</x:v>
      </x:c>
      <x:c r="D514" s="18" t="str">
        <x:v>metro</x:v>
      </x:c>
      <x:c r="E514" s="19" t="str">
        <x:v>T2</x:v>
      </x:c>
      <x:c r="F514" s="19" t="str">
        <x:v>2号線(谷町線)
8号線(今里筋線)</x:v>
      </x:c>
      <x:c r="G514" s="19" t="str">
        <x:v>候选已存在，组件待审核</x:v>
      </x:c>
      <x:c r="H514" s="19" t="str">
        <x:v>transport-node:943bca55-44f9-5662-bb51-7a7f59fe3dd6</x:v>
      </x:c>
      <x:c r="I514" s="18" t="str">
        <x:v>transport-hub-review:332dc417-8a7d-5d8c-a7a3-fa7b0d9c0393</x:v>
      </x:c>
      <x:c r="J514" s="18" t="str">
        <x:v>否</x:v>
      </x:c>
    </x:row>
    <x:row r="515" ht="28" customHeight="1">
      <x:c r="A515" s="19" t="str">
        <x:v>大宮・四条大宮</x:v>
      </x:c>
      <x:c r="B515" s="18" t="str">
        <x:v>大宮</x:v>
      </x:c>
      <x:c r="C515" s="18" t="str">
        <x:v>阪急電鉄</x:v>
      </x:c>
      <x:c r="D515" s="18" t="str">
        <x:v>private_rail</x:v>
      </x:c>
      <x:c r="E515" s="19" t="str">
        <x:v>T2</x:v>
      </x:c>
      <x:c r="F515" s="19" t="str">
        <x:v>京都線</x:v>
      </x:c>
      <x:c r="G515" s="19" t="str">
        <x:v>候选已存在，组件待审核</x:v>
      </x:c>
      <x:c r="H515" s="19" t="str">
        <x:v>transport-node:6b8a9b19-190c-52b3-8e3a-a72cc214a428</x:v>
      </x:c>
      <x:c r="I515" s="18" t="str">
        <x:v>transport-hub-review:b30b067a-338e-5b85-811a-497dbaa709b9</x:v>
      </x:c>
      <x:c r="J515" s="18" t="str">
        <x:v>否</x:v>
      </x:c>
    </x:row>
    <x:row r="516" ht="28" customHeight="1">
      <x:c r="A516" s="19" t="str">
        <x:v>大宮・四条大宮</x:v>
      </x:c>
      <x:c r="B516" s="18" t="str">
        <x:v>四条大宮</x:v>
      </x:c>
      <x:c r="C516" s="18" t="str">
        <x:v>京福電気鉄道</x:v>
      </x:c>
      <x:c r="D516" s="18" t="str">
        <x:v>tram</x:v>
      </x:c>
      <x:c r="E516" s="19" t="str">
        <x:v>T3</x:v>
      </x:c>
      <x:c r="F516" s="19" t="str">
        <x:v>嵐山本線</x:v>
      </x:c>
      <x:c r="G516" s="19" t="str">
        <x:v>候选已存在，组件待审核</x:v>
      </x:c>
      <x:c r="H516" s="19" t="str">
        <x:v>transport-node:c0f3edff-ff59-566c-aad1-c34e1bb62975</x:v>
      </x:c>
      <x:c r="I516" s="18" t="str">
        <x:v>transport-hub-review:b30b067a-338e-5b85-811a-497dbaa709b9</x:v>
      </x:c>
      <x:c r="J516" s="18" t="str">
        <x:v>否</x:v>
      </x:c>
    </x:row>
    <x:row r="517" ht="28" customHeight="1">
      <x:c r="A517" s="19" t="str">
        <x:v>大正</x:v>
      </x:c>
      <x:c r="B517" s="18" t="str">
        <x:v>大正</x:v>
      </x:c>
      <x:c r="C517" s="18" t="str">
        <x:v>大阪市高速電気軌道</x:v>
      </x:c>
      <x:c r="D517" s="18" t="str">
        <x:v>metro</x:v>
      </x:c>
      <x:c r="E517" s="19" t="str">
        <x:v>T2</x:v>
      </x:c>
      <x:c r="F517" s="19" t="str">
        <x:v>7号線(長堀鶴見緑地線)</x:v>
      </x:c>
      <x:c r="G517" s="19" t="str">
        <x:v>候选已存在，组件待审核</x:v>
      </x:c>
      <x:c r="H517" s="19" t="str">
        <x:v>transport-node:66346081-ce64-5994-bfe8-4e79087de437</x:v>
      </x:c>
      <x:c r="I517" s="18" t="str">
        <x:v>transport-hub-review:a6c4f76d-a4db-5593-831b-8f780f7fdde4</x:v>
      </x:c>
      <x:c r="J517" s="18" t="str">
        <x:v>否</x:v>
      </x:c>
    </x:row>
    <x:row r="518" ht="28" customHeight="1">
      <x:c r="A518" s="19" t="str">
        <x:v>大正</x:v>
      </x:c>
      <x:c r="B518" s="18" t="str">
        <x:v>大正</x:v>
      </x:c>
      <x:c r="C518" s="18" t="str">
        <x:v>西日本旅客鉄道</x:v>
      </x:c>
      <x:c r="D518" s="18" t="str">
        <x:v>conventional_rail</x:v>
      </x:c>
      <x:c r="E518" s="19" t="str">
        <x:v>T2</x:v>
      </x:c>
      <x:c r="F518" s="19" t="str">
        <x:v>大阪環状線</x:v>
      </x:c>
      <x:c r="G518" s="19" t="str">
        <x:v>候选已存在，组件待审核</x:v>
      </x:c>
      <x:c r="H518" s="19" t="str">
        <x:v>transport-node:d8662668-aa3b-5330-b36f-bb507066c9f1</x:v>
      </x:c>
      <x:c r="I518" s="18" t="str">
        <x:v>transport-hub-review:a6c4f76d-a4db-5593-831b-8f780f7fdde4</x:v>
      </x:c>
      <x:c r="J518" s="18" t="str">
        <x:v>否</x:v>
      </x:c>
    </x:row>
    <x:row r="519" ht="28" customHeight="1">
      <x:c r="A519" s="19" t="str">
        <x:v>大日</x:v>
      </x:c>
      <x:c r="B519" s="18" t="str">
        <x:v>大日</x:v>
      </x:c>
      <x:c r="C519" s="18" t="str">
        <x:v>大阪市高速電気軌道</x:v>
      </x:c>
      <x:c r="D519" s="18" t="str">
        <x:v>metro</x:v>
      </x:c>
      <x:c r="E519" s="19" t="str">
        <x:v>T2</x:v>
      </x:c>
      <x:c r="F519" s="19" t="str">
        <x:v>2号線(谷町線)</x:v>
      </x:c>
      <x:c r="G519" s="19" t="str">
        <x:v>候选已存在，组件待审核</x:v>
      </x:c>
      <x:c r="H519" s="19" t="str">
        <x:v>transport-node:fc529027-8727-5780-90b4-cef0c0dc70a3</x:v>
      </x:c>
      <x:c r="I519" s="18" t="str">
        <x:v>transport-hub-review:98cbf32b-972b-57fb-b406-492dd7de0f95</x:v>
      </x:c>
      <x:c r="J519" s="18" t="str">
        <x:v>否</x:v>
      </x:c>
    </x:row>
    <x:row r="520" ht="28" customHeight="1">
      <x:c r="A520" s="19" t="str">
        <x:v>大日</x:v>
      </x:c>
      <x:c r="B520" s="18" t="str">
        <x:v>大日</x:v>
      </x:c>
      <x:c r="C520" s="18" t="str">
        <x:v>大阪モノレール</x:v>
      </x:c>
      <x:c r="D520" s="18" t="str">
        <x:v>fixed_guideway</x:v>
      </x:c>
      <x:c r="E520" s="19" t="str">
        <x:v>T2</x:v>
      </x:c>
      <x:c r="F520" s="19" t="str">
        <x:v>大阪モノレール線</x:v>
      </x:c>
      <x:c r="G520" s="19" t="str">
        <x:v>候选已存在，组件待审核</x:v>
      </x:c>
      <x:c r="H520" s="19" t="str">
        <x:v>transport-node:357d111b-fa31-5099-8f84-f734bae42a61</x:v>
      </x:c>
      <x:c r="I520" s="18" t="str">
        <x:v>transport-hub-review:98cbf32b-972b-57fb-b406-492dd7de0f95</x:v>
      </x:c>
      <x:c r="J520" s="18" t="str">
        <x:v>否</x:v>
      </x:c>
    </x:row>
    <x:row r="521" ht="47" customHeight="1">
      <x:c r="A521" s="19" t="str">
        <x:v>大和西大寺</x:v>
      </x:c>
      <x:c r="B521" s="18" t="str">
        <x:v>大和西大寺</x:v>
      </x:c>
      <x:c r="C521" s="18" t="str">
        <x:v>近畿日本鉄道</x:v>
      </x:c>
      <x:c r="D521" s="18" t="str">
        <x:v>private_rail</x:v>
      </x:c>
      <x:c r="E521" s="19" t="str">
        <x:v>T2</x:v>
      </x:c>
      <x:c r="F521" s="19" t="str">
        <x:v>京都線
奈良線
橿原線</x:v>
      </x:c>
      <x:c r="G521" s="19" t="str">
        <x:v>候选已存在，组件待审核</x:v>
      </x:c>
      <x:c r="H521" s="19" t="str">
        <x:v>transport-node:f4f6e90a-d04c-586e-9ad9-44fef5a733a3</x:v>
      </x:c>
      <x:c r="I521" s="18" t="str">
        <x:v>transport-hub-review:01e04ad1-b35b-5928-9ec7-7d86809a6c03</x:v>
      </x:c>
      <x:c r="J521" s="18" t="str">
        <x:v>否</x:v>
      </x:c>
    </x:row>
    <x:row r="522" ht="33" customHeight="1">
      <x:c r="A522" s="19" t="str">
        <x:v>大和八木</x:v>
      </x:c>
      <x:c r="B522" s="18" t="str">
        <x:v>大和八木</x:v>
      </x:c>
      <x:c r="C522" s="18" t="str">
        <x:v>近畿日本鉄道</x:v>
      </x:c>
      <x:c r="D522" s="18" t="str">
        <x:v>private_rail</x:v>
      </x:c>
      <x:c r="E522" s="19" t="str">
        <x:v>T2</x:v>
      </x:c>
      <x:c r="F522" s="19" t="str">
        <x:v>大阪線
橿原線</x:v>
      </x:c>
      <x:c r="G522" s="19" t="str">
        <x:v>候选已存在，组件待审核</x:v>
      </x:c>
      <x:c r="H522" s="19" t="str">
        <x:v>transport-node:7ad850e6-748f-573e-8fc3-0ab3f1ae26db</x:v>
      </x:c>
      <x:c r="I522" s="18" t="str">
        <x:v>transport-hub-review:02583a98-f32a-5668-8381-65afcd258c41</x:v>
      </x:c>
      <x:c r="J522" s="18" t="str">
        <x:v>否</x:v>
      </x:c>
    </x:row>
    <x:row r="523" ht="28" customHeight="1">
      <x:c r="A523" s="19" t="str">
        <x:v>谷上</x:v>
      </x:c>
      <x:c r="B523" s="18" t="str">
        <x:v>谷上</x:v>
      </x:c>
      <x:c r="C523" s="18" t="str">
        <x:v>神戸市</x:v>
      </x:c>
      <x:c r="D523" s="18" t="str">
        <x:v>metro</x:v>
      </x:c>
      <x:c r="E523" s="19" t="str">
        <x:v>T2</x:v>
      </x:c>
      <x:c r="F523" s="19" t="str">
        <x:v>北神線</x:v>
      </x:c>
      <x:c r="G523" s="19" t="str">
        <x:v>候选已存在，组件待审核</x:v>
      </x:c>
      <x:c r="H523" s="19" t="str">
        <x:v>transport-node:539c1a2d-9fbe-533e-90c6-804c9ab3ca95</x:v>
      </x:c>
      <x:c r="I523" s="18" t="str">
        <x:v>transport-hub-review:f9669491-7037-53a6-bb66-b38d491fb349</x:v>
      </x:c>
      <x:c r="J523" s="18" t="str">
        <x:v>否</x:v>
      </x:c>
    </x:row>
    <x:row r="524" ht="28" customHeight="1">
      <x:c r="A524" s="19" t="str">
        <x:v>谷上</x:v>
      </x:c>
      <x:c r="B524" s="18" t="str">
        <x:v>谷上</x:v>
      </x:c>
      <x:c r="C524" s="18" t="str">
        <x:v>神戸電鉄</x:v>
      </x:c>
      <x:c r="D524" s="18" t="str">
        <x:v>private_rail</x:v>
      </x:c>
      <x:c r="E524" s="19" t="str">
        <x:v>null</x:v>
      </x:c>
      <x:c r="F524" s="19" t="str">
        <x:v>有馬線</x:v>
      </x:c>
      <x:c r="G524" s="19" t="str">
        <x:v>候选已存在，组件待审核</x:v>
      </x:c>
      <x:c r="H524" s="19" t="str">
        <x:v>transport-node:9cb12537-145b-5be7-b4a1-029e18d84dd0</x:v>
      </x:c>
      <x:c r="I524" s="18" t="str">
        <x:v>transport-hub-review:f9669491-7037-53a6-bb66-b38d491fb349</x:v>
      </x:c>
      <x:c r="J524" s="18" t="str">
        <x:v>否</x:v>
      </x:c>
    </x:row>
    <x:row r="525" ht="28" customHeight="1">
      <x:c r="A525" s="19" t="str">
        <x:v>丹波橋・近鉄丹波橋</x:v>
      </x:c>
      <x:c r="B525" s="18" t="str">
        <x:v>丹波橋</x:v>
      </x:c>
      <x:c r="C525" s="18" t="str">
        <x:v>京阪電気鉄道</x:v>
      </x:c>
      <x:c r="D525" s="18" t="str">
        <x:v>private_rail</x:v>
      </x:c>
      <x:c r="E525" s="19" t="str">
        <x:v>T2</x:v>
      </x:c>
      <x:c r="F525" s="19" t="str">
        <x:v>京阪本線</x:v>
      </x:c>
      <x:c r="G525" s="19" t="str">
        <x:v>候选已存在，组件待审核</x:v>
      </x:c>
      <x:c r="H525" s="19" t="str">
        <x:v>transport-node:c6bf6ef1-70ab-5124-9a8d-2b3f452903b8</x:v>
      </x:c>
      <x:c r="I525" s="18" t="str">
        <x:v>transport-hub-review:addfacc5-6548-5e0a-9143-09025440b308</x:v>
      </x:c>
      <x:c r="J525" s="18" t="str">
        <x:v>否</x:v>
      </x:c>
    </x:row>
    <x:row r="526" ht="28" customHeight="1">
      <x:c r="A526" s="19" t="str">
        <x:v>丹波橋・近鉄丹波橋</x:v>
      </x:c>
      <x:c r="B526" s="18" t="str">
        <x:v>近鉄丹波橋</x:v>
      </x:c>
      <x:c r="C526" s="18" t="str">
        <x:v>近畿日本鉄道</x:v>
      </x:c>
      <x:c r="D526" s="18" t="str">
        <x:v>private_rail</x:v>
      </x:c>
      <x:c r="E526" s="19" t="str">
        <x:v>T2</x:v>
      </x:c>
      <x:c r="F526" s="19" t="str">
        <x:v>京都線</x:v>
      </x:c>
      <x:c r="G526" s="19" t="str">
        <x:v>候选已存在，组件待审核</x:v>
      </x:c>
      <x:c r="H526" s="19" t="str">
        <x:v>transport-node:e07cbd22-b5d2-5ec1-9254-d3078453bf1e</x:v>
      </x:c>
      <x:c r="I526" s="18" t="str">
        <x:v>transport-hub-review:addfacc5-6548-5e0a-9143-09025440b308</x:v>
      </x:c>
      <x:c r="J526" s="18" t="str">
        <x:v>否</x:v>
      </x:c>
    </x:row>
    <x:row r="527" ht="28" customHeight="1">
      <x:c r="A527" s="19" t="str">
        <x:v>竹田</x:v>
      </x:c>
      <x:c r="B527" s="18" t="str">
        <x:v>竹田</x:v>
      </x:c>
      <x:c r="C527" s="18" t="str">
        <x:v>近畿日本鉄道</x:v>
      </x:c>
      <x:c r="D527" s="18" t="str">
        <x:v>private_rail</x:v>
      </x:c>
      <x:c r="E527" s="19" t="str">
        <x:v>null</x:v>
      </x:c>
      <x:c r="F527" s="19" t="str">
        <x:v>京都線</x:v>
      </x:c>
      <x:c r="G527" s="19" t="str">
        <x:v>候选已存在，组件待审核</x:v>
      </x:c>
      <x:c r="H527" s="19" t="str">
        <x:v>transport-node:3ce60782-b74d-59fa-b7b6-3b500de0ad50</x:v>
      </x:c>
      <x:c r="I527" s="18" t="str">
        <x:v>transport-hub-review:c035392c-64c6-5a2e-afbf-0a9a92456895</x:v>
      </x:c>
      <x:c r="J527" s="18" t="str">
        <x:v>否</x:v>
      </x:c>
    </x:row>
    <x:row r="528" ht="28" customHeight="1">
      <x:c r="A528" s="19" t="str">
        <x:v>竹田</x:v>
      </x:c>
      <x:c r="B528" s="18" t="str">
        <x:v>竹田</x:v>
      </x:c>
      <x:c r="C528" s="18" t="str">
        <x:v>京都市</x:v>
      </x:c>
      <x:c r="D528" s="18" t="str">
        <x:v>metro</x:v>
      </x:c>
      <x:c r="E528" s="19" t="str">
        <x:v>T2</x:v>
      </x:c>
      <x:c r="F528" s="19" t="str">
        <x:v>烏丸線</x:v>
      </x:c>
      <x:c r="G528" s="19" t="str">
        <x:v>候选已存在，组件待审核</x:v>
      </x:c>
      <x:c r="H528" s="19" t="str">
        <x:v>transport-node:8035c92c-1843-5455-bb48-a32acfcc5f74</x:v>
      </x:c>
      <x:c r="I528" s="18" t="str">
        <x:v>transport-hub-review:c035392c-64c6-5a2e-afbf-0a9a92456895</x:v>
      </x:c>
      <x:c r="J528" s="18" t="str">
        <x:v>否</x:v>
      </x:c>
    </x:row>
    <x:row r="529" ht="28" customHeight="1">
      <x:c r="A529" s="19" t="str">
        <x:v>中井</x:v>
      </x:c>
      <x:c r="B529" s="18" t="str">
        <x:v>中井</x:v>
      </x:c>
      <x:c r="C529" s="18" t="str">
        <x:v>西武鉄道</x:v>
      </x:c>
      <x:c r="D529" s="18" t="str">
        <x:v>private_rail</x:v>
      </x:c>
      <x:c r="E529" s="19" t="str">
        <x:v>T2</x:v>
      </x:c>
      <x:c r="F529" s="19" t="str">
        <x:v>新宿線</x:v>
      </x:c>
      <x:c r="G529" s="19" t="str">
        <x:v>候选已存在，组件待审核</x:v>
      </x:c>
      <x:c r="H529" s="19" t="str">
        <x:v>transport-node:8e8a412c-8b3b-5133-9061-908d3b1d28f4</x:v>
      </x:c>
      <x:c r="I529" s="18" t="str">
        <x:v>transport-hub-review:e4debfa2-1eec-5a7f-93f9-5e0319eacdea</x:v>
      </x:c>
      <x:c r="J529" s="18" t="str">
        <x:v>否</x:v>
      </x:c>
    </x:row>
    <x:row r="530" ht="28" customHeight="1">
      <x:c r="A530" s="19" t="str">
        <x:v>中井</x:v>
      </x:c>
      <x:c r="B530" s="18" t="str">
        <x:v>中井</x:v>
      </x:c>
      <x:c r="C530" s="18" t="str">
        <x:v>東京都</x:v>
      </x:c>
      <x:c r="D530" s="18" t="str">
        <x:v>metro</x:v>
      </x:c>
      <x:c r="E530" s="19" t="str">
        <x:v>T2</x:v>
      </x:c>
      <x:c r="F530" s="19" t="str">
        <x:v>12号線大江戸線</x:v>
      </x:c>
      <x:c r="G530" s="19" t="str">
        <x:v>候选已存在，组件待审核</x:v>
      </x:c>
      <x:c r="H530" s="19" t="str">
        <x:v>transport-node:98fa294f-c913-53a0-8a6a-1216410ee12a</x:v>
      </x:c>
      <x:c r="I530" s="18" t="str">
        <x:v>transport-hub-review:e4debfa2-1eec-5a7f-93f9-5e0319eacdea</x:v>
      </x:c>
      <x:c r="J530" s="18" t="str">
        <x:v>否</x:v>
      </x:c>
    </x:row>
    <x:row r="531" ht="28" customHeight="1">
      <x:c r="A531" s="19" t="str">
        <x:v>中延</x:v>
      </x:c>
      <x:c r="B531" s="18" t="str">
        <x:v>中延</x:v>
      </x:c>
      <x:c r="C531" s="18" t="str">
        <x:v>東急電鉄</x:v>
      </x:c>
      <x:c r="D531" s="18" t="str">
        <x:v>private_rail</x:v>
      </x:c>
      <x:c r="E531" s="19" t="str">
        <x:v>T2</x:v>
      </x:c>
      <x:c r="F531" s="19" t="str">
        <x:v>大井町線</x:v>
      </x:c>
      <x:c r="G531" s="19" t="str">
        <x:v>候选已存在，组件待审核</x:v>
      </x:c>
      <x:c r="H531" s="19" t="str">
        <x:v>transport-node:b9209a13-134a-58fd-bb0f-1aee8c73052b</x:v>
      </x:c>
      <x:c r="I531" s="18" t="str">
        <x:v>transport-hub-review:e0de91a2-07a2-5bd0-8de2-633b1c522bf6</x:v>
      </x:c>
      <x:c r="J531" s="18" t="str">
        <x:v>否</x:v>
      </x:c>
    </x:row>
    <x:row r="532" ht="28" customHeight="1">
      <x:c r="A532" s="19" t="str">
        <x:v>中延</x:v>
      </x:c>
      <x:c r="B532" s="18" t="str">
        <x:v>中延</x:v>
      </x:c>
      <x:c r="C532" s="18" t="str">
        <x:v>東京都</x:v>
      </x:c>
      <x:c r="D532" s="18" t="str">
        <x:v>metro</x:v>
      </x:c>
      <x:c r="E532" s="19" t="str">
        <x:v>T2</x:v>
      </x:c>
      <x:c r="F532" s="19" t="str">
        <x:v>1号線浅草線</x:v>
      </x:c>
      <x:c r="G532" s="19" t="str">
        <x:v>候选已存在，组件待审核</x:v>
      </x:c>
      <x:c r="H532" s="19" t="str">
        <x:v>transport-node:ba7cc0d8-e135-5402-ad6b-1920e1d9b076</x:v>
      </x:c>
      <x:c r="I532" s="18" t="str">
        <x:v>transport-hub-review:e0de91a2-07a2-5bd0-8de2-633b1c522bf6</x:v>
      </x:c>
      <x:c r="J532" s="18" t="str">
        <x:v>否</x:v>
      </x:c>
    </x:row>
    <x:row r="533" ht="33" customHeight="1">
      <x:c r="A533" s="19" t="str">
        <x:v>中洲川端</x:v>
      </x:c>
      <x:c r="B533" s="18" t="str">
        <x:v>中洲川端</x:v>
      </x:c>
      <x:c r="C533" s="18" t="str">
        <x:v>福岡市</x:v>
      </x:c>
      <x:c r="D533" s="18" t="str">
        <x:v>metro</x:v>
      </x:c>
      <x:c r="E533" s="19" t="str">
        <x:v>T2</x:v>
      </x:c>
      <x:c r="F533" s="19" t="str">
        <x:v>1号線(空港線)
2号線(箱崎線)</x:v>
      </x:c>
      <x:c r="G533" s="19" t="str">
        <x:v>候选已存在，组件待审核</x:v>
      </x:c>
      <x:c r="H533" s="19" t="str">
        <x:v>transport-node:94fa7805-185a-53b4-8795-9c1c07221a57</x:v>
      </x:c>
      <x:c r="I533" s="18" t="str">
        <x:v>transport-hub-review:69e0b990-2be0-5a68-ba67-fa9ddf7c9659</x:v>
      </x:c>
      <x:c r="J533" s="18" t="str">
        <x:v>否</x:v>
      </x:c>
    </x:row>
    <x:row r="534" ht="28" customHeight="1">
      <x:c r="A534" s="19" t="str">
        <x:v>長居</x:v>
      </x:c>
      <x:c r="B534" s="18" t="str">
        <x:v>長居</x:v>
      </x:c>
      <x:c r="C534" s="18" t="str">
        <x:v>大阪市高速電気軌道</x:v>
      </x:c>
      <x:c r="D534" s="18" t="str">
        <x:v>metro</x:v>
      </x:c>
      <x:c r="E534" s="19" t="str">
        <x:v>T2</x:v>
      </x:c>
      <x:c r="F534" s="19" t="str">
        <x:v>1号線(御堂筋線)</x:v>
      </x:c>
      <x:c r="G534" s="19" t="str">
        <x:v>候选已存在，组件待审核</x:v>
      </x:c>
      <x:c r="H534" s="19" t="str">
        <x:v>transport-node:52fab296-8a4d-5468-b5d7-7835d7a99939</x:v>
      </x:c>
      <x:c r="I534" s="18" t="str">
        <x:v>transport-hub-review:ec426ab1-8287-5338-94cc-3bcf87d62220</x:v>
      </x:c>
      <x:c r="J534" s="18" t="str">
        <x:v>否</x:v>
      </x:c>
    </x:row>
    <x:row r="535" ht="28" customHeight="1">
      <x:c r="A535" s="19" t="str">
        <x:v>長居</x:v>
      </x:c>
      <x:c r="B535" s="18" t="str">
        <x:v>長居</x:v>
      </x:c>
      <x:c r="C535" s="18" t="str">
        <x:v>西日本旅客鉄道</x:v>
      </x:c>
      <x:c r="D535" s="18" t="str">
        <x:v>conventional_rail</x:v>
      </x:c>
      <x:c r="E535" s="19" t="str">
        <x:v>T3</x:v>
      </x:c>
      <x:c r="F535" s="19" t="str">
        <x:v>阪和線</x:v>
      </x:c>
      <x:c r="G535" s="19" t="str">
        <x:v>候选已存在，组件待审核</x:v>
      </x:c>
      <x:c r="H535" s="19" t="str">
        <x:v>transport-node:f3ed039f-d90c-5804-a500-a817ccfbae56</x:v>
      </x:c>
      <x:c r="I535" s="18" t="str">
        <x:v>transport-hub-review:ec426ab1-8287-5338-94cc-3bcf87d62220</x:v>
      </x:c>
      <x:c r="J535" s="18" t="str">
        <x:v>否</x:v>
      </x:c>
    </x:row>
    <x:row r="536" ht="28" customHeight="1">
      <x:c r="A536" s="19" t="str">
        <x:v>長町</x:v>
      </x:c>
      <x:c r="B536" s="18" t="str">
        <x:v>長町</x:v>
      </x:c>
      <x:c r="C536" s="18" t="str">
        <x:v>東日本旅客鉄道</x:v>
      </x:c>
      <x:c r="D536" s="18" t="str">
        <x:v>conventional_rail</x:v>
      </x:c>
      <x:c r="E536" s="19" t="str">
        <x:v>T2</x:v>
      </x:c>
      <x:c r="F536" s="19" t="str">
        <x:v>東北線</x:v>
      </x:c>
      <x:c r="G536" s="19" t="str">
        <x:v>候选已存在，组件待审核</x:v>
      </x:c>
      <x:c r="H536" s="19" t="str">
        <x:v>transport-node:9de3819b-3327-5b79-aadf-ff2774d9317e</x:v>
      </x:c>
      <x:c r="I536" s="18" t="str">
        <x:v>transport-hub-review:36acd5b6-ab02-55fa-9f52-b4ee7cfcd33f</x:v>
      </x:c>
      <x:c r="J536" s="18" t="str">
        <x:v>否</x:v>
      </x:c>
    </x:row>
    <x:row r="537" ht="28" customHeight="1">
      <x:c r="A537" s="19" t="str">
        <x:v>長町</x:v>
      </x:c>
      <x:c r="B537" s="18" t="str">
        <x:v>長町</x:v>
      </x:c>
      <x:c r="C537" s="18" t="str">
        <x:v>仙台市</x:v>
      </x:c>
      <x:c r="D537" s="18" t="str">
        <x:v>metro</x:v>
      </x:c>
      <x:c r="E537" s="19" t="str">
        <x:v>T3</x:v>
      </x:c>
      <x:c r="F537" s="19" t="str">
        <x:v>南北線</x:v>
      </x:c>
      <x:c r="G537" s="19" t="str">
        <x:v>候选已存在，组件待审核</x:v>
      </x:c>
      <x:c r="H537" s="19" t="str">
        <x:v>transport-node:0f68bb86-3185-5df1-b137-4a31e2d18d89</x:v>
      </x:c>
      <x:c r="I537" s="18" t="str">
        <x:v>transport-hub-review:36acd5b6-ab02-55fa-9f52-b4ee7cfcd33f</x:v>
      </x:c>
      <x:c r="J537" s="18" t="str">
        <x:v>否</x:v>
      </x:c>
    </x:row>
    <x:row r="538" ht="28" customHeight="1">
      <x:c r="A538" s="19" t="str">
        <x:v>長田</x:v>
      </x:c>
      <x:c r="B538" s="18" t="str">
        <x:v>長田</x:v>
      </x:c>
      <x:c r="C538" s="18" t="str">
        <x:v>大阪市高速電気軌道</x:v>
      </x:c>
      <x:c r="D538" s="18" t="str">
        <x:v>metro</x:v>
      </x:c>
      <x:c r="E538" s="19" t="str">
        <x:v>T2</x:v>
      </x:c>
      <x:c r="F538" s="19" t="str">
        <x:v>4号線(中央線)</x:v>
      </x:c>
      <x:c r="G538" s="19" t="str">
        <x:v>候选已存在，组件待审核</x:v>
      </x:c>
      <x:c r="H538" s="19" t="str">
        <x:v>transport-node:d60f1ade-c851-51c8-b6eb-0135539477ee</x:v>
      </x:c>
      <x:c r="I538" s="18" t="str">
        <x:v>transport-hub-review:18275a82-4224-5246-ba22-169c73dcf464</x:v>
      </x:c>
      <x:c r="J538" s="18" t="str">
        <x:v>否</x:v>
      </x:c>
    </x:row>
    <x:row r="539" ht="28" customHeight="1">
      <x:c r="A539" s="19" t="str">
        <x:v>長田</x:v>
      </x:c>
      <x:c r="B539" s="18" t="str">
        <x:v>長田</x:v>
      </x:c>
      <x:c r="C539" s="18" t="str">
        <x:v>近畿日本鉄道</x:v>
      </x:c>
      <x:c r="D539" s="18" t="str">
        <x:v>private_rail</x:v>
      </x:c>
      <x:c r="E539" s="19" t="str">
        <x:v>null</x:v>
      </x:c>
      <x:c r="F539" s="19" t="str">
        <x:v>けいはんな線</x:v>
      </x:c>
      <x:c r="G539" s="19" t="str">
        <x:v>候选已存在，组件待审核</x:v>
      </x:c>
      <x:c r="H539" s="19" t="str">
        <x:v>transport-node:f960791b-775a-5e3f-8632-a9d2fbe924ef</x:v>
      </x:c>
      <x:c r="I539" s="18" t="str">
        <x:v>transport-hub-review:18275a82-4224-5246-ba22-169c73dcf464</x:v>
      </x:c>
      <x:c r="J539" s="18" t="str">
        <x:v>否</x:v>
      </x:c>
    </x:row>
    <x:row r="540" ht="28" customHeight="1">
      <x:c r="A540" s="19" t="str">
        <x:v>津</x:v>
      </x:c>
      <x:c r="B540" s="18" t="str">
        <x:v>津</x:v>
      </x:c>
      <x:c r="C540" s="18" t="str">
        <x:v>東海旅客鉄道</x:v>
      </x:c>
      <x:c r="D540" s="18" t="str">
        <x:v>conventional_rail</x:v>
      </x:c>
      <x:c r="E540" s="19" t="str">
        <x:v>null</x:v>
      </x:c>
      <x:c r="F540" s="19" t="str">
        <x:v>紀勢線</x:v>
      </x:c>
      <x:c r="G540" s="19" t="str">
        <x:v>候选已存在，组件待审核</x:v>
      </x:c>
      <x:c r="H540" s="19" t="str">
        <x:v>transport-node:4dbdddc3-8d05-59b6-af50-39724ec49d15</x:v>
      </x:c>
      <x:c r="I540" s="18" t="str">
        <x:v>transport-hub-review:4af1ea67-9b43-51e0-9f5c-ed504ee3a5b5</x:v>
      </x:c>
      <x:c r="J540" s="18" t="str">
        <x:v>否</x:v>
      </x:c>
    </x:row>
    <x:row r="541" ht="28" customHeight="1">
      <x:c r="A541" s="19" t="str">
        <x:v>津</x:v>
      </x:c>
      <x:c r="B541" s="18" t="str">
        <x:v>津</x:v>
      </x:c>
      <x:c r="C541" s="18" t="str">
        <x:v>近畿日本鉄道</x:v>
      </x:c>
      <x:c r="D541" s="18" t="str">
        <x:v>private_rail</x:v>
      </x:c>
      <x:c r="E541" s="19" t="str">
        <x:v>T2</x:v>
      </x:c>
      <x:c r="F541" s="19" t="str">
        <x:v>名古屋線</x:v>
      </x:c>
      <x:c r="G541" s="19" t="str">
        <x:v>候选已存在，组件待审核</x:v>
      </x:c>
      <x:c r="H541" s="19" t="str">
        <x:v>transport-node:df8790f9-2830-56fb-85dd-e4ade3157cb9</x:v>
      </x:c>
      <x:c r="I541" s="18" t="str">
        <x:v>transport-hub-review:4af1ea67-9b43-51e0-9f5c-ed504ee3a5b5</x:v>
      </x:c>
      <x:c r="J541" s="18" t="str">
        <x:v>否</x:v>
      </x:c>
    </x:row>
    <x:row r="542" ht="28" customHeight="1">
      <x:c r="A542" s="19" t="str">
        <x:v>津</x:v>
      </x:c>
      <x:c r="B542" s="18" t="str">
        <x:v>津</x:v>
      </x:c>
      <x:c r="C542" s="18" t="str">
        <x:v>伊勢鉄道</x:v>
      </x:c>
      <x:c r="D542" s="18" t="str">
        <x:v>private_rail</x:v>
      </x:c>
      <x:c r="E542" s="19" t="str">
        <x:v>null</x:v>
      </x:c>
      <x:c r="F542" s="19" t="str">
        <x:v>伊勢線</x:v>
      </x:c>
      <x:c r="G542" s="19" t="str">
        <x:v>候选已存在，组件待审核</x:v>
      </x:c>
      <x:c r="H542" s="19" t="str">
        <x:v>transport-node:c70ac394-a427-5da7-a3d4-6df843397936</x:v>
      </x:c>
      <x:c r="I542" s="18" t="str">
        <x:v>transport-hub-review:4af1ea67-9b43-51e0-9f5c-ed504ee3a5b5</x:v>
      </x:c>
      <x:c r="J542" s="18" t="str">
        <x:v>否</x:v>
      </x:c>
    </x:row>
    <x:row r="543" ht="28" customHeight="1">
      <x:c r="A543" s="19" t="str">
        <x:v>鶴舞</x:v>
      </x:c>
      <x:c r="B543" s="18" t="str">
        <x:v>鶴舞</x:v>
      </x:c>
      <x:c r="C543" s="18" t="str">
        <x:v>名古屋市</x:v>
      </x:c>
      <x:c r="D543" s="18" t="str">
        <x:v>metro</x:v>
      </x:c>
      <x:c r="E543" s="19" t="str">
        <x:v>T2</x:v>
      </x:c>
      <x:c r="F543" s="19" t="str">
        <x:v>3号線鶴舞線</x:v>
      </x:c>
      <x:c r="G543" s="19" t="str">
        <x:v>候选已存在，组件待审核</x:v>
      </x:c>
      <x:c r="H543" s="19" t="str">
        <x:v>transport-node:9c2a6390-b7c1-5f5c-be0b-0bacec06df60</x:v>
      </x:c>
      <x:c r="I543" s="18" t="str">
        <x:v>transport-hub-review:753bfae8-a006-50a8-b8a5-b2113b182843</x:v>
      </x:c>
      <x:c r="J543" s="18" t="str">
        <x:v>否</x:v>
      </x:c>
    </x:row>
    <x:row r="544" ht="28" customHeight="1">
      <x:c r="A544" s="19" t="str">
        <x:v>鶴舞</x:v>
      </x:c>
      <x:c r="B544" s="18" t="str">
        <x:v>鶴舞</x:v>
      </x:c>
      <x:c r="C544" s="18" t="str">
        <x:v>東海旅客鉄道</x:v>
      </x:c>
      <x:c r="D544" s="18" t="str">
        <x:v>conventional_rail</x:v>
      </x:c>
      <x:c r="E544" s="19" t="str">
        <x:v>T2</x:v>
      </x:c>
      <x:c r="F544" s="19" t="str">
        <x:v>中央線</x:v>
      </x:c>
      <x:c r="G544" s="19" t="str">
        <x:v>候选已存在，组件待审核</x:v>
      </x:c>
      <x:c r="H544" s="19" t="str">
        <x:v>transport-node:0552de9a-436d-5f6e-8154-787218c711ef</x:v>
      </x:c>
      <x:c r="I544" s="18" t="str">
        <x:v>transport-hub-review:753bfae8-a006-50a8-b8a5-b2113b182843</x:v>
      </x:c>
      <x:c r="J544" s="18" t="str">
        <x:v>否</x:v>
      </x:c>
    </x:row>
    <x:row r="545" ht="33" customHeight="1">
      <x:c r="A545" s="19" t="str">
        <x:v>天神橋筋六丁目</x:v>
      </x:c>
      <x:c r="B545" s="18" t="str">
        <x:v>天神橋筋六丁目</x:v>
      </x:c>
      <x:c r="C545" s="18" t="str">
        <x:v>大阪市高速電気軌道</x:v>
      </x:c>
      <x:c r="D545" s="18" t="str">
        <x:v>metro</x:v>
      </x:c>
      <x:c r="E545" s="19" t="str">
        <x:v>T2</x:v>
      </x:c>
      <x:c r="F545" s="19" t="str">
        <x:v>2号線(谷町線)
6号線(堺筋線)</x:v>
      </x:c>
      <x:c r="G545" s="19" t="str">
        <x:v>候选已存在，组件待审核</x:v>
      </x:c>
      <x:c r="H545" s="19" t="str">
        <x:v>transport-node:45b746bd-a40d-5e8d-bb07-1967f81ab61b</x:v>
      </x:c>
      <x:c r="I545" s="18" t="str">
        <x:v>transport-hub-review:11816d25-17bc-5419-86a1-7334395977ac</x:v>
      </x:c>
      <x:c r="J545" s="18" t="str">
        <x:v>否</x:v>
      </x:c>
    </x:row>
    <x:row r="546" ht="28" customHeight="1">
      <x:c r="A546" s="19" t="str">
        <x:v>天神橋筋六丁目</x:v>
      </x:c>
      <x:c r="B546" s="18" t="str">
        <x:v>天神橋筋六丁目</x:v>
      </x:c>
      <x:c r="C546" s="18" t="str">
        <x:v>阪急電鉄</x:v>
      </x:c>
      <x:c r="D546" s="18" t="str">
        <x:v>private_rail</x:v>
      </x:c>
      <x:c r="E546" s="19" t="str">
        <x:v>null</x:v>
      </x:c>
      <x:c r="F546" s="19" t="str">
        <x:v>千里線</x:v>
      </x:c>
      <x:c r="G546" s="19" t="str">
        <x:v>候选已存在，组件待审核</x:v>
      </x:c>
      <x:c r="H546" s="19" t="str">
        <x:v>transport-node:052fa935-a6b6-53f0-89b2-3ac49048f8b6</x:v>
      </x:c>
      <x:c r="I546" s="18" t="str">
        <x:v>transport-hub-review:11816d25-17bc-5419-86a1-7334395977ac</x:v>
      </x:c>
      <x:c r="J546" s="18" t="str">
        <x:v>否</x:v>
      </x:c>
    </x:row>
    <x:row r="547" ht="28" customHeight="1">
      <x:c r="A547" s="19" t="str">
        <x:v>東新宿</x:v>
      </x:c>
      <x:c r="B547" s="18" t="str">
        <x:v>東新宿</x:v>
      </x:c>
      <x:c r="C547" s="18" t="str">
        <x:v>東京地下鉄</x:v>
      </x:c>
      <x:c r="D547" s="18" t="str">
        <x:v>metro</x:v>
      </x:c>
      <x:c r="E547" s="19" t="str">
        <x:v>T2</x:v>
      </x:c>
      <x:c r="F547" s="19" t="str">
        <x:v>13号線副都心線</x:v>
      </x:c>
      <x:c r="G547" s="19" t="str">
        <x:v>候选已存在，组件待审核</x:v>
      </x:c>
      <x:c r="H547" s="19" t="str">
        <x:v>transport-node:59badb37-2ecd-5f38-a9fd-29e5752c6a98</x:v>
      </x:c>
      <x:c r="I547" s="18" t="str">
        <x:v>transport-hub-review:f252cb2f-92de-5cb2-8347-c68aca1d4e04</x:v>
      </x:c>
      <x:c r="J547" s="18" t="str">
        <x:v>否</x:v>
      </x:c>
    </x:row>
    <x:row r="548" ht="28" customHeight="1">
      <x:c r="A548" s="19" t="str">
        <x:v>東新宿</x:v>
      </x:c>
      <x:c r="B548" s="18" t="str">
        <x:v>東新宿</x:v>
      </x:c>
      <x:c r="C548" s="18" t="str">
        <x:v>東京都</x:v>
      </x:c>
      <x:c r="D548" s="18" t="str">
        <x:v>metro</x:v>
      </x:c>
      <x:c r="E548" s="19" t="str">
        <x:v>T2</x:v>
      </x:c>
      <x:c r="F548" s="19" t="str">
        <x:v>12号線大江戸線</x:v>
      </x:c>
      <x:c r="G548" s="19" t="str">
        <x:v>候选已存在，组件待审核</x:v>
      </x:c>
      <x:c r="H548" s="19" t="str">
        <x:v>transport-node:1bc89db7-29d2-5812-9208-f40612577e94</x:v>
      </x:c>
      <x:c r="I548" s="18" t="str">
        <x:v>transport-hub-review:f252cb2f-92de-5cb2-8347-c68aca1d4e04</x:v>
      </x:c>
      <x:c r="J548" s="18" t="str">
        <x:v>否</x:v>
      </x:c>
    </x:row>
    <x:row r="549" ht="47" customHeight="1">
      <x:c r="A549" s="19" t="str">
        <x:v>東村山</x:v>
      </x:c>
      <x:c r="B549" s="18" t="str">
        <x:v>東村山</x:v>
      </x:c>
      <x:c r="C549" s="18" t="str">
        <x:v>西武鉄道</x:v>
      </x:c>
      <x:c r="D549" s="18" t="str">
        <x:v>private_rail</x:v>
      </x:c>
      <x:c r="E549" s="19" t="str">
        <x:v>T2</x:v>
      </x:c>
      <x:c r="F549" s="19" t="str">
        <x:v>国分寺線
新宿線
西武園線</x:v>
      </x:c>
      <x:c r="G549" s="19" t="str">
        <x:v>候选已存在，组件待审核</x:v>
      </x:c>
      <x:c r="H549" s="19" t="str">
        <x:v>transport-node:5d9b45cb-dc30-573e-b193-e3de9554b465</x:v>
      </x:c>
      <x:c r="I549" s="18" t="str">
        <x:v>transport-hub-review:47be28b0-6851-576f-b586-bcb2598d7af6</x:v>
      </x:c>
      <x:c r="J549" s="18" t="str">
        <x:v>否</x:v>
      </x:c>
    </x:row>
    <x:row r="550" ht="28" customHeight="1">
      <x:c r="A550" s="19" t="str">
        <x:v>東飯能</x:v>
      </x:c>
      <x:c r="B550" s="18" t="str">
        <x:v>東飯能</x:v>
      </x:c>
      <x:c r="C550" s="18" t="str">
        <x:v>西武鉄道</x:v>
      </x:c>
      <x:c r="D550" s="18" t="str">
        <x:v>private_rail</x:v>
      </x:c>
      <x:c r="E550" s="19" t="str">
        <x:v>T3</x:v>
      </x:c>
      <x:c r="F550" s="19" t="str">
        <x:v>池袋線</x:v>
      </x:c>
      <x:c r="G550" s="19" t="str">
        <x:v>候选已存在，组件待审核</x:v>
      </x:c>
      <x:c r="H550" s="19" t="str">
        <x:v>transport-node:07f3aa83-0fbd-5b1b-9be7-c4240abc923a</x:v>
      </x:c>
      <x:c r="I550" s="18" t="str">
        <x:v>transport-hub-review:312d49a2-f2a7-53de-8742-8b7ff56b8076</x:v>
      </x:c>
      <x:c r="J550" s="18" t="str">
        <x:v>否</x:v>
      </x:c>
    </x:row>
    <x:row r="551" ht="28" customHeight="1">
      <x:c r="A551" s="19" t="str">
        <x:v>東飯能</x:v>
      </x:c>
      <x:c r="B551" s="18" t="str">
        <x:v>東飯能</x:v>
      </x:c>
      <x:c r="C551" s="18" t="str">
        <x:v>東日本旅客鉄道</x:v>
      </x:c>
      <x:c r="D551" s="18" t="str">
        <x:v>conventional_rail</x:v>
      </x:c>
      <x:c r="E551" s="19" t="str">
        <x:v>T2</x:v>
      </x:c>
      <x:c r="F551" s="19" t="str">
        <x:v>八高線</x:v>
      </x:c>
      <x:c r="G551" s="19" t="str">
        <x:v>候选已存在，组件待审核</x:v>
      </x:c>
      <x:c r="H551" s="19" t="str">
        <x:v>transport-node:43020676-4f21-57b8-a2fc-66e66d9490a9</x:v>
      </x:c>
      <x:c r="I551" s="18" t="str">
        <x:v>transport-hub-review:312d49a2-f2a7-53de-8742-8b7ff56b8076</x:v>
      </x:c>
      <x:c r="J551" s="18" t="str">
        <x:v>否</x:v>
      </x:c>
    </x:row>
    <x:row r="552" ht="33" customHeight="1">
      <x:c r="A552" s="19" t="str">
        <x:v>奈良</x:v>
      </x:c>
      <x:c r="B552" s="18" t="str">
        <x:v>奈良</x:v>
      </x:c>
      <x:c r="C552" s="18" t="str">
        <x:v>西日本旅客鉄道</x:v>
      </x:c>
      <x:c r="D552" s="18" t="str">
        <x:v>conventional_rail</x:v>
      </x:c>
      <x:c r="E552" s="19" t="str">
        <x:v>T2</x:v>
      </x:c>
      <x:c r="F552" s="19" t="str">
        <x:v>桜井線
関西線</x:v>
      </x:c>
      <x:c r="G552" s="19" t="str">
        <x:v>候选已存在，组件待审核</x:v>
      </x:c>
      <x:c r="H552" s="19" t="str">
        <x:v>transport-node:8d41d891-17f0-514f-b0af-ccc7624f8570</x:v>
      </x:c>
      <x:c r="I552" s="18" t="str">
        <x:v>transport-hub-review:6dfe15f9-1668-5999-a7b0-e8ccdd825a07</x:v>
      </x:c>
      <x:c r="J552" s="18" t="str">
        <x:v>否</x:v>
      </x:c>
    </x:row>
    <x:row r="553" ht="28" customHeight="1">
      <x:c r="A553" s="19" t="str">
        <x:v>南茨木</x:v>
      </x:c>
      <x:c r="B553" s="18" t="str">
        <x:v>南茨木</x:v>
      </x:c>
      <x:c r="C553" s="18" t="str">
        <x:v>阪急電鉄</x:v>
      </x:c>
      <x:c r="D553" s="18" t="str">
        <x:v>private_rail</x:v>
      </x:c>
      <x:c r="E553" s="19" t="str">
        <x:v>T2</x:v>
      </x:c>
      <x:c r="F553" s="19" t="str">
        <x:v>京都線</x:v>
      </x:c>
      <x:c r="G553" s="19" t="str">
        <x:v>候选已存在，组件待审核</x:v>
      </x:c>
      <x:c r="H553" s="19" t="str">
        <x:v>transport-node:694112d8-57ff-5a21-9805-23f896c67f74</x:v>
      </x:c>
      <x:c r="I553" s="18" t="str">
        <x:v>transport-hub-review:bba54431-0e59-5040-a684-568aa5b372b1</x:v>
      </x:c>
      <x:c r="J553" s="18" t="str">
        <x:v>否</x:v>
      </x:c>
    </x:row>
    <x:row r="554" ht="28" customHeight="1">
      <x:c r="A554" s="19" t="str">
        <x:v>南茨木</x:v>
      </x:c>
      <x:c r="B554" s="18" t="str">
        <x:v>南茨木</x:v>
      </x:c>
      <x:c r="C554" s="18" t="str">
        <x:v>大阪モノレール</x:v>
      </x:c>
      <x:c r="D554" s="18" t="str">
        <x:v>fixed_guideway</x:v>
      </x:c>
      <x:c r="E554" s="19" t="str">
        <x:v>T2</x:v>
      </x:c>
      <x:c r="F554" s="19" t="str">
        <x:v>大阪モノレール線</x:v>
      </x:c>
      <x:c r="G554" s="19" t="str">
        <x:v>候选已存在，组件待审核</x:v>
      </x:c>
      <x:c r="H554" s="19" t="str">
        <x:v>transport-node:5db8ee51-ab11-5b02-872e-24622a275478</x:v>
      </x:c>
      <x:c r="I554" s="18" t="str">
        <x:v>transport-hub-review:bba54431-0e59-5040-a684-568aa5b372b1</x:v>
      </x:c>
      <x:c r="J554" s="18" t="str">
        <x:v>否</x:v>
      </x:c>
    </x:row>
    <x:row r="555" ht="28" customHeight="1">
      <x:c r="A555" s="19" t="str">
        <x:v>南千住</x:v>
      </x:c>
      <x:c r="B555" s="18" t="str">
        <x:v>南千住</x:v>
      </x:c>
      <x:c r="C555" s="18" t="str">
        <x:v>東京地下鉄</x:v>
      </x:c>
      <x:c r="D555" s="18" t="str">
        <x:v>metro</x:v>
      </x:c>
      <x:c r="E555" s="19" t="str">
        <x:v>T2</x:v>
      </x:c>
      <x:c r="F555" s="19" t="str">
        <x:v>2号線日比谷線</x:v>
      </x:c>
      <x:c r="G555" s="19" t="str">
        <x:v>候选已存在，组件待审核</x:v>
      </x:c>
      <x:c r="H555" s="19" t="str">
        <x:v>transport-node:64644ac5-521b-5761-8c9e-1fa2510db9ff</x:v>
      </x:c>
      <x:c r="I555" s="18" t="str">
        <x:v>transport-hub-review:269d3f76-cf91-599e-9498-c5fcba99cade</x:v>
      </x:c>
      <x:c r="J555" s="18" t="str">
        <x:v>否</x:v>
      </x:c>
    </x:row>
    <x:row r="556" ht="28" customHeight="1">
      <x:c r="A556" s="19" t="str">
        <x:v>南千住</x:v>
      </x:c>
      <x:c r="B556" s="18" t="str">
        <x:v>南千住</x:v>
      </x:c>
      <x:c r="C556" s="18" t="str">
        <x:v>東日本旅客鉄道</x:v>
      </x:c>
      <x:c r="D556" s="18" t="str">
        <x:v>conventional_rail</x:v>
      </x:c>
      <x:c r="E556" s="19" t="str">
        <x:v>T2</x:v>
      </x:c>
      <x:c r="F556" s="19" t="str">
        <x:v>常磐線</x:v>
      </x:c>
      <x:c r="G556" s="19" t="str">
        <x:v>候选已存在，组件待审核</x:v>
      </x:c>
      <x:c r="H556" s="19" t="str">
        <x:v>transport-node:902fa6ee-4ee3-58b2-9d26-a282e2bb0644</x:v>
      </x:c>
      <x:c r="I556" s="18" t="str">
        <x:v>transport-hub-review:269d3f76-cf91-599e-9498-c5fcba99cade</x:v>
      </x:c>
      <x:c r="J556" s="18" t="str">
        <x:v>否</x:v>
      </x:c>
    </x:row>
    <x:row r="557" ht="28" customHeight="1">
      <x:c r="A557" s="19" t="str">
        <x:v>南千住</x:v>
      </x:c>
      <x:c r="B557" s="18" t="str">
        <x:v>南千住</x:v>
      </x:c>
      <x:c r="C557" s="18" t="str">
        <x:v>首都圏新都市鉄道</x:v>
      </x:c>
      <x:c r="D557" s="18" t="str">
        <x:v>private_rail</x:v>
      </x:c>
      <x:c r="E557" s="19" t="str">
        <x:v>T2</x:v>
      </x:c>
      <x:c r="F557" s="19" t="str">
        <x:v>常磐新線</x:v>
      </x:c>
      <x:c r="G557" s="19" t="str">
        <x:v>候选已存在，组件待审核</x:v>
      </x:c>
      <x:c r="H557" s="19" t="str">
        <x:v>transport-node:0f109057-a23c-5558-8859-1b9c62164e5e</x:v>
      </x:c>
      <x:c r="I557" s="18" t="str">
        <x:v>transport-hub-review:269d3f76-cf91-599e-9498-c5fcba99cade</x:v>
      </x:c>
      <x:c r="J557" s="18" t="str">
        <x:v>否</x:v>
      </x:c>
    </x:row>
    <x:row r="558" ht="28" customHeight="1">
      <x:c r="A558" s="19" t="str">
        <x:v>白金高輪</x:v>
      </x:c>
      <x:c r="B558" s="18" t="str">
        <x:v>白金高輪</x:v>
      </x:c>
      <x:c r="C558" s="18" t="str">
        <x:v>東京地下鉄</x:v>
      </x:c>
      <x:c r="D558" s="18" t="str">
        <x:v>metro</x:v>
      </x:c>
      <x:c r="E558" s="19" t="str">
        <x:v>T2</x:v>
      </x:c>
      <x:c r="F558" s="19" t="str">
        <x:v>7号線南北線</x:v>
      </x:c>
      <x:c r="G558" s="19" t="str">
        <x:v>候选已存在，组件待审核</x:v>
      </x:c>
      <x:c r="H558" s="19" t="str">
        <x:v>transport-node:51eedf60-5618-5343-a4e2-3cc97617bdb1</x:v>
      </x:c>
      <x:c r="I558" s="18" t="str">
        <x:v>transport-hub-review:572d517f-2290-5675-8485-80dcc7779b40</x:v>
      </x:c>
      <x:c r="J558" s="18" t="str">
        <x:v>否</x:v>
      </x:c>
    </x:row>
    <x:row r="559" ht="28" customHeight="1">
      <x:c r="A559" s="19" t="str">
        <x:v>白金高輪</x:v>
      </x:c>
      <x:c r="B559" s="18" t="str">
        <x:v>白金高輪</x:v>
      </x:c>
      <x:c r="C559" s="18" t="str">
        <x:v>東京都</x:v>
      </x:c>
      <x:c r="D559" s="18" t="str">
        <x:v>metro</x:v>
      </x:c>
      <x:c r="E559" s="19" t="str">
        <x:v>null</x:v>
      </x:c>
      <x:c r="F559" s="19" t="str">
        <x:v>6号線三田線</x:v>
      </x:c>
      <x:c r="G559" s="19" t="str">
        <x:v>候选已存在，组件待审核</x:v>
      </x:c>
      <x:c r="H559" s="19" t="str">
        <x:v>transport-node:a47ee2dd-2d6b-5a72-a375-07b2efe5ab4e</x:v>
      </x:c>
      <x:c r="I559" s="18" t="str">
        <x:v>transport-hub-review:572d517f-2290-5675-8485-80dcc7779b40</x:v>
      </x:c>
      <x:c r="J559" s="18" t="str">
        <x:v>否</x:v>
      </x:c>
    </x:row>
    <x:row r="560" ht="33" customHeight="1">
      <x:c r="A560" s="19" t="str">
        <x:v>八事</x:v>
      </x:c>
      <x:c r="B560" s="18" t="str">
        <x:v>八事</x:v>
      </x:c>
      <x:c r="C560" s="18" t="str">
        <x:v>名古屋市</x:v>
      </x:c>
      <x:c r="D560" s="18" t="str">
        <x:v>metro</x:v>
      </x:c>
      <x:c r="E560" s="19" t="str">
        <x:v>T2</x:v>
      </x:c>
      <x:c r="F560" s="19" t="str">
        <x:v>3号線鶴舞線
4号線名城線</x:v>
      </x:c>
      <x:c r="G560" s="19" t="str">
        <x:v>候选已存在，组件待审核</x:v>
      </x:c>
      <x:c r="H560" s="19" t="str">
        <x:v>transport-node:194aabcf-a985-5a67-97ea-7c1b6e99d08e</x:v>
      </x:c>
      <x:c r="I560" s="18" t="str">
        <x:v>transport-hub-review:624f002c-c461-508b-a52a-ef9454562f6c</x:v>
      </x:c>
      <x:c r="J560" s="18" t="str">
        <x:v>否</x:v>
      </x:c>
    </x:row>
    <x:row r="561" ht="28" customHeight="1">
      <x:c r="A561" s="19" t="str">
        <x:v>八田</x:v>
      </x:c>
      <x:c r="B561" s="18" t="str">
        <x:v>八田</x:v>
      </x:c>
      <x:c r="C561" s="18" t="str">
        <x:v>名古屋市</x:v>
      </x:c>
      <x:c r="D561" s="18" t="str">
        <x:v>metro</x:v>
      </x:c>
      <x:c r="E561" s="19" t="str">
        <x:v>T2</x:v>
      </x:c>
      <x:c r="F561" s="19" t="str">
        <x:v>1号線東山線</x:v>
      </x:c>
      <x:c r="G561" s="19" t="str">
        <x:v>候选已存在，组件待审核</x:v>
      </x:c>
      <x:c r="H561" s="19" t="str">
        <x:v>transport-node:6c920363-dad3-526c-b881-72c153dcaa3d</x:v>
      </x:c>
      <x:c r="I561" s="18" t="str">
        <x:v>transport-hub-review:944118a4-03cf-5340-bdc4-0899edefca20</x:v>
      </x:c>
      <x:c r="J561" s="18" t="str">
        <x:v>否</x:v>
      </x:c>
    </x:row>
    <x:row r="562" ht="28" customHeight="1">
      <x:c r="A562" s="19" t="str">
        <x:v>八田</x:v>
      </x:c>
      <x:c r="B562" s="18" t="str">
        <x:v>八田</x:v>
      </x:c>
      <x:c r="C562" s="18" t="str">
        <x:v>東海旅客鉄道</x:v>
      </x:c>
      <x:c r="D562" s="18" t="str">
        <x:v>conventional_rail</x:v>
      </x:c>
      <x:c r="E562" s="19" t="str">
        <x:v>T3</x:v>
      </x:c>
      <x:c r="F562" s="19" t="str">
        <x:v>関西線</x:v>
      </x:c>
      <x:c r="G562" s="19" t="str">
        <x:v>候选已存在，组件待审核</x:v>
      </x:c>
      <x:c r="H562" s="19" t="str">
        <x:v>transport-node:a3a33300-5fe3-598a-82f5-07d0b25c3739</x:v>
      </x:c>
      <x:c r="I562" s="18" t="str">
        <x:v>transport-hub-review:944118a4-03cf-5340-bdc4-0899edefca20</x:v>
      </x:c>
      <x:c r="J562" s="18" t="str">
        <x:v>否</x:v>
      </x:c>
    </x:row>
    <x:row r="563" ht="28" customHeight="1">
      <x:c r="A563" s="19" t="str">
        <x:v>八田</x:v>
      </x:c>
      <x:c r="B563" s="18" t="str">
        <x:v>近鉄八田</x:v>
      </x:c>
      <x:c r="C563" s="18" t="str">
        <x:v>近畿日本鉄道</x:v>
      </x:c>
      <x:c r="D563" s="18" t="str">
        <x:v>private_rail</x:v>
      </x:c>
      <x:c r="E563" s="19" t="str">
        <x:v>T3</x:v>
      </x:c>
      <x:c r="F563" s="19" t="str">
        <x:v>名古屋線</x:v>
      </x:c>
      <x:c r="G563" s="19" t="str">
        <x:v>候选已存在，组件待审核</x:v>
      </x:c>
      <x:c r="H563" s="19" t="str">
        <x:v>transport-node:5d10d961-ace8-5b8c-ba41-5aa70f0c6b33</x:v>
      </x:c>
      <x:c r="I563" s="18" t="str">
        <x:v>transport-hub-review:944118a4-03cf-5340-bdc4-0899edefca20</x:v>
      </x:c>
      <x:c r="J563" s="18" t="str">
        <x:v>否</x:v>
      </x:c>
    </x:row>
    <x:row r="564" ht="28" customHeight="1">
      <x:c r="A564" s="19" t="str">
        <x:v>板宿</x:v>
      </x:c>
      <x:c r="B564" s="18" t="str">
        <x:v>板宿</x:v>
      </x:c>
      <x:c r="C564" s="18" t="str">
        <x:v>神戸市</x:v>
      </x:c>
      <x:c r="D564" s="18" t="str">
        <x:v>metro</x:v>
      </x:c>
      <x:c r="E564" s="19" t="str">
        <x:v>T2</x:v>
      </x:c>
      <x:c r="F564" s="19" t="str">
        <x:v>西神線</x:v>
      </x:c>
      <x:c r="G564" s="19" t="str">
        <x:v>候选已存在，组件待审核</x:v>
      </x:c>
      <x:c r="H564" s="19" t="str">
        <x:v>transport-node:530cf85e-91df-5e13-973c-a0ef84f9b3ed</x:v>
      </x:c>
      <x:c r="I564" s="18" t="str">
        <x:v>transport-hub-review:3aa88ade-4473-5122-8c45-cff2575b8426</x:v>
      </x:c>
      <x:c r="J564" s="18" t="str">
        <x:v>否</x:v>
      </x:c>
    </x:row>
    <x:row r="565" ht="28" customHeight="1">
      <x:c r="A565" s="19" t="str">
        <x:v>板宿</x:v>
      </x:c>
      <x:c r="B565" s="18" t="str">
        <x:v>板宿</x:v>
      </x:c>
      <x:c r="C565" s="18" t="str">
        <x:v>山陽電気鉄道</x:v>
      </x:c>
      <x:c r="D565" s="18" t="str">
        <x:v>private_rail</x:v>
      </x:c>
      <x:c r="E565" s="19" t="str">
        <x:v>T2</x:v>
      </x:c>
      <x:c r="F565" s="19" t="str">
        <x:v>本線</x:v>
      </x:c>
      <x:c r="G565" s="19" t="str">
        <x:v>候选已存在，组件待审核</x:v>
      </x:c>
      <x:c r="H565" s="19" t="str">
        <x:v>transport-node:93d379df-1b5e-5b36-8399-79dbf625767e</x:v>
      </x:c>
      <x:c r="I565" s="18" t="str">
        <x:v>transport-hub-review:3aa88ade-4473-5122-8c45-cff2575b8426</x:v>
      </x:c>
      <x:c r="J565" s="18" t="str">
        <x:v>否</x:v>
      </x:c>
    </x:row>
    <x:row r="566" ht="33" customHeight="1">
      <x:c r="A566" s="19" t="str">
        <x:v>平安通</x:v>
      </x:c>
      <x:c r="B566" s="18" t="str">
        <x:v>平安通</x:v>
      </x:c>
      <x:c r="C566" s="18" t="str">
        <x:v>名古屋市</x:v>
      </x:c>
      <x:c r="D566" s="18" t="str">
        <x:v>metro</x:v>
      </x:c>
      <x:c r="E566" s="19" t="str">
        <x:v>T2</x:v>
      </x:c>
      <x:c r="F566" s="19" t="str">
        <x:v>2号線名城線
上飯田線</x:v>
      </x:c>
      <x:c r="G566" s="19" t="str">
        <x:v>候选已存在，组件待审核</x:v>
      </x:c>
      <x:c r="H566" s="19" t="str">
        <x:v>transport-node:a483e14d-b74f-59fa-a40f-789b3280ba54</x:v>
      </x:c>
      <x:c r="I566" s="18" t="str">
        <x:v>transport-hub-review:4b9f9ca8-9c59-5409-b3ba-d8ecfa2677db</x:v>
      </x:c>
      <x:c r="J566" s="18" t="str">
        <x:v>否</x:v>
      </x:c>
    </x:row>
    <x:row r="567" ht="33" customHeight="1">
      <x:c r="A567" s="19" t="str">
        <x:v>北野</x:v>
      </x:c>
      <x:c r="B567" s="18" t="str">
        <x:v>北野</x:v>
      </x:c>
      <x:c r="C567" s="18" t="str">
        <x:v>京王電鉄</x:v>
      </x:c>
      <x:c r="D567" s="18" t="str">
        <x:v>private_rail</x:v>
      </x:c>
      <x:c r="E567" s="19" t="str">
        <x:v>T2</x:v>
      </x:c>
      <x:c r="F567" s="19" t="str">
        <x:v>京王線
高尾線</x:v>
      </x:c>
      <x:c r="G567" s="19" t="str">
        <x:v>候选已存在，组件待审核</x:v>
      </x:c>
      <x:c r="H567" s="19" t="str">
        <x:v>transport-node:b731150a-4f24-5236-896d-26a91df48b17</x:v>
      </x:c>
      <x:c r="I567" s="18" t="str">
        <x:v>transport-hub-review:c0ec1e39-4db8-543b-81f3-cfd9c5135382</x:v>
      </x:c>
      <x:c r="J567" s="18" t="str">
        <x:v>否</x:v>
      </x:c>
    </x:row>
    <x:row r="568" ht="33" customHeight="1">
      <x:c r="A568" s="19" t="str">
        <x:v>本山</x:v>
      </x:c>
      <x:c r="B568" s="18" t="str">
        <x:v>本山</x:v>
      </x:c>
      <x:c r="C568" s="18" t="str">
        <x:v>名古屋市</x:v>
      </x:c>
      <x:c r="D568" s="18" t="str">
        <x:v>metro</x:v>
      </x:c>
      <x:c r="E568" s="19" t="str">
        <x:v>T2</x:v>
      </x:c>
      <x:c r="F568" s="19" t="str">
        <x:v>1号線東山線
4号線名城線</x:v>
      </x:c>
      <x:c r="G568" s="19" t="str">
        <x:v>候选已存在，组件待审核</x:v>
      </x:c>
      <x:c r="H568" s="19" t="str">
        <x:v>transport-node:7ea26167-76fd-59dd-ac18-04addca4e1d1</x:v>
      </x:c>
      <x:c r="I568" s="18" t="str">
        <x:v>transport-hub-review:cd13ed9f-4821-5fc4-80bb-a25f30eafc3c</x:v>
      </x:c>
      <x:c r="J568" s="18" t="str">
        <x:v>否</x:v>
      </x:c>
    </x:row>
    <x:row r="569" ht="28" customHeight="1">
      <x:c r="A569" s="19" t="str">
        <x:v>本通</x:v>
      </x:c>
      <x:c r="B569" s="18" t="str">
        <x:v>本通</x:v>
      </x:c>
      <x:c r="C569" s="18" t="str">
        <x:v>広島電鉄</x:v>
      </x:c>
      <x:c r="D569" s="18" t="str">
        <x:v>tram</x:v>
      </x:c>
      <x:c r="E569" s="19" t="str">
        <x:v>T3</x:v>
      </x:c>
      <x:c r="F569" s="19" t="str">
        <x:v>宇品線</x:v>
      </x:c>
      <x:c r="G569" s="19" t="str">
        <x:v>候选已存在，组件待审核</x:v>
      </x:c>
      <x:c r="H569" s="19" t="str">
        <x:v>transport-node:4dba049f-4f37-515d-a4e0-42274425f51d</x:v>
      </x:c>
      <x:c r="I569" s="18" t="str">
        <x:v>transport-hub-review:67f18111-f27f-50b6-ba8a-20b3b3bbf461</x:v>
      </x:c>
      <x:c r="J569" s="18" t="str">
        <x:v>否</x:v>
      </x:c>
    </x:row>
    <x:row r="570" ht="28" customHeight="1">
      <x:c r="A570" s="19" t="str">
        <x:v>本通</x:v>
      </x:c>
      <x:c r="B570" s="18" t="str">
        <x:v>本通</x:v>
      </x:c>
      <x:c r="C570" s="18" t="str">
        <x:v>広島高速交通</x:v>
      </x:c>
      <x:c r="D570" s="18" t="str">
        <x:v>fixed_guideway</x:v>
      </x:c>
      <x:c r="E570" s="19" t="str">
        <x:v>T2</x:v>
      </x:c>
      <x:c r="F570" s="19" t="str">
        <x:v>広島新交通1号線</x:v>
      </x:c>
      <x:c r="G570" s="19" t="str">
        <x:v>候选已存在，组件待审核</x:v>
      </x:c>
      <x:c r="H570" s="19" t="str">
        <x:v>transport-node:bf5fbf15-a931-5693-863e-10cee1a08b47</x:v>
      </x:c>
      <x:c r="I570" s="18" t="str">
        <x:v>transport-hub-review:67f18111-f27f-50b6-ba8a-20b3b3bbf461</x:v>
      </x:c>
      <x:c r="J570" s="18" t="str">
        <x:v>否</x:v>
      </x:c>
    </x:row>
    <x:row r="571" ht="28" customHeight="1">
      <x:c r="A571" s="19" t="str">
        <x:v>湊川公園・湊川</x:v>
      </x:c>
      <x:c r="B571" s="18" t="str">
        <x:v>湊川公園</x:v>
      </x:c>
      <x:c r="C571" s="18" t="str">
        <x:v>神戸市</x:v>
      </x:c>
      <x:c r="D571" s="18" t="str">
        <x:v>metro</x:v>
      </x:c>
      <x:c r="E571" s="19" t="str">
        <x:v>T2</x:v>
      </x:c>
      <x:c r="F571" s="19" t="str">
        <x:v>山手線</x:v>
      </x:c>
      <x:c r="G571" s="19" t="str">
        <x:v>候选已存在，组件待审核</x:v>
      </x:c>
      <x:c r="H571" s="19" t="str">
        <x:v>transport-node:f64fa64b-f098-5ddd-8257-626952e58711</x:v>
      </x:c>
      <x:c r="I571" s="18" t="str">
        <x:v>transport-hub-review:f5b39e24-1f29-5e16-a95e-7273ab855a2f</x:v>
      </x:c>
      <x:c r="J571" s="18" t="str">
        <x:v>否</x:v>
      </x:c>
    </x:row>
    <x:row r="572" ht="33" customHeight="1">
      <x:c r="A572" s="19" t="str">
        <x:v>湊川公園・湊川</x:v>
      </x:c>
      <x:c r="B572" s="18" t="str">
        <x:v>湊川</x:v>
      </x:c>
      <x:c r="C572" s="18" t="str">
        <x:v>神戸電鉄</x:v>
      </x:c>
      <x:c r="D572" s="18" t="str">
        <x:v>private_rail</x:v>
      </x:c>
      <x:c r="E572" s="19" t="str">
        <x:v>T3</x:v>
      </x:c>
      <x:c r="F572" s="19" t="str">
        <x:v>有馬線
神戸高速線</x:v>
      </x:c>
      <x:c r="G572" s="19" t="str">
        <x:v>候选已存在，组件待审核</x:v>
      </x:c>
      <x:c r="H572" s="19" t="str">
        <x:v>transport-node:07b20ade-d6d8-5149-b703-4d38e797eddf</x:v>
      </x:c>
      <x:c r="I572" s="18" t="str">
        <x:v>transport-hub-review:f5b39e24-1f29-5e16-a95e-7273ab855a2f</x:v>
      </x:c>
      <x:c r="J572" s="18" t="str">
        <x:v>否</x:v>
      </x:c>
    </x:row>
    <x:row r="573" ht="28" customHeight="1">
      <x:c r="A573" s="19" t="str">
        <x:v>野田阪神・海老江</x:v>
      </x:c>
      <x:c r="B573" s="18" t="str">
        <x:v>野田阪神</x:v>
      </x:c>
      <x:c r="C573" s="18" t="str">
        <x:v>大阪市高速電気軌道</x:v>
      </x:c>
      <x:c r="D573" s="18" t="str">
        <x:v>metro</x:v>
      </x:c>
      <x:c r="E573" s="19" t="str">
        <x:v>T2</x:v>
      </x:c>
      <x:c r="F573" s="19" t="str">
        <x:v>5号線(千日前線)</x:v>
      </x:c>
      <x:c r="G573" s="19" t="str">
        <x:v>候选已存在，组件待审核</x:v>
      </x:c>
      <x:c r="H573" s="19" t="str">
        <x:v>transport-node:20cbf65d-be19-58c6-9d0a-8e9cd3a2d43e</x:v>
      </x:c>
      <x:c r="I573" s="18" t="str">
        <x:v>transport-hub-review:6256b4d7-fe6b-501e-a6af-769d527fad18</x:v>
      </x:c>
      <x:c r="J573" s="18" t="str">
        <x:v>否</x:v>
      </x:c>
    </x:row>
    <x:row r="574" ht="28" customHeight="1">
      <x:c r="A574" s="19" t="str">
        <x:v>野田阪神・海老江</x:v>
      </x:c>
      <x:c r="B574" s="18" t="str">
        <x:v>海老江</x:v>
      </x:c>
      <x:c r="C574" s="18" t="str">
        <x:v>西日本旅客鉄道</x:v>
      </x:c>
      <x:c r="D574" s="18" t="str">
        <x:v>conventional_rail</x:v>
      </x:c>
      <x:c r="E574" s="19" t="str">
        <x:v>T2</x:v>
      </x:c>
      <x:c r="F574" s="19" t="str">
        <x:v>JR東西線</x:v>
      </x:c>
      <x:c r="G574" s="19" t="str">
        <x:v>候选已存在，组件待审核</x:v>
      </x:c>
      <x:c r="H574" s="19" t="str">
        <x:v>transport-node:8b46b1d6-415c-583f-a673-2f98a4aad10d</x:v>
      </x:c>
      <x:c r="I574" s="18" t="str">
        <x:v>transport-hub-review:6256b4d7-fe6b-501e-a6af-769d527fad18</x:v>
      </x:c>
      <x:c r="J574" s="18" t="str">
        <x:v>否</x:v>
      </x:c>
    </x:row>
    <x:row r="575" ht="28" customHeight="1">
      <x:c r="A575" s="19" t="str">
        <x:v>野田阪神・海老江</x:v>
      </x:c>
      <x:c r="B575" s="18" t="str">
        <x:v>野田</x:v>
      </x:c>
      <x:c r="C575" s="18" t="str">
        <x:v>阪神電気鉄道</x:v>
      </x:c>
      <x:c r="D575" s="18" t="str">
        <x:v>private_rail</x:v>
      </x:c>
      <x:c r="E575" s="19" t="str">
        <x:v>T2</x:v>
      </x:c>
      <x:c r="F575" s="19" t="str">
        <x:v>本線</x:v>
      </x:c>
      <x:c r="G575" s="19" t="str">
        <x:v>候选已存在，组件待审核</x:v>
      </x:c>
      <x:c r="H575" s="19" t="str">
        <x:v>transport-node:f07be1e8-3728-58b7-a7ad-81d193aa64c4</x:v>
      </x:c>
      <x:c r="I575" s="18" t="str">
        <x:v>transport-hub-review:6256b4d7-fe6b-501e-a6af-769d527fad18</x:v>
      </x:c>
      <x:c r="J575" s="18" t="str">
        <x:v>否</x:v>
      </x:c>
    </x:row>
    <x:row r="576" ht="28" customHeight="1">
      <x:c r="A576" s="19" t="str">
        <x:v>薬院</x:v>
      </x:c>
      <x:c r="B576" s="18" t="str">
        <x:v>薬院</x:v>
      </x:c>
      <x:c r="C576" s="18" t="str">
        <x:v>福岡市</x:v>
      </x:c>
      <x:c r="D576" s="18" t="str">
        <x:v>metro</x:v>
      </x:c>
      <x:c r="E576" s="19" t="str">
        <x:v>T2</x:v>
      </x:c>
      <x:c r="F576" s="19" t="str">
        <x:v>3号線(七隈線)</x:v>
      </x:c>
      <x:c r="G576" s="19" t="str">
        <x:v>候选已存在，组件待审核</x:v>
      </x:c>
      <x:c r="H576" s="19" t="str">
        <x:v>transport-node:cc0ee662-f989-5167-86ac-8167fdd8d0a6</x:v>
      </x:c>
      <x:c r="I576" s="18" t="str">
        <x:v>transport-hub-review:bef77706-84db-54f9-b167-1c965bd206ea</x:v>
      </x:c>
      <x:c r="J576" s="18" t="str">
        <x:v>否</x:v>
      </x:c>
    </x:row>
    <x:row r="577" ht="28" customHeight="1">
      <x:c r="A577" s="19" t="str">
        <x:v>薬院</x:v>
      </x:c>
      <x:c r="B577" s="18" t="str">
        <x:v>薬院</x:v>
      </x:c>
      <x:c r="C577" s="18" t="str">
        <x:v>西日本鉄道</x:v>
      </x:c>
      <x:c r="D577" s="18" t="str">
        <x:v>private_rail</x:v>
      </x:c>
      <x:c r="E577" s="19" t="str">
        <x:v>T2</x:v>
      </x:c>
      <x:c r="F577" s="19" t="str">
        <x:v>天神大牟田線</x:v>
      </x:c>
      <x:c r="G577" s="19" t="str">
        <x:v>候选已存在，组件待审核</x:v>
      </x:c>
      <x:c r="H577" s="19" t="str">
        <x:v>transport-node:48c8bfb3-75d5-568a-8b95-d612eb4959ef</x:v>
      </x:c>
      <x:c r="I577" s="18" t="str">
        <x:v>transport-hub-review:bef77706-84db-54f9-b167-1c965bd206ea</x:v>
      </x:c>
      <x:c r="J577" s="18" t="str">
        <x:v>否</x:v>
      </x:c>
    </x:row>
    <x:row r="578" ht="33" customHeight="1">
      <x:c r="A578" s="19" t="str">
        <x:v>緑橋</x:v>
      </x:c>
      <x:c r="B578" s="18" t="str">
        <x:v>緑橋</x:v>
      </x:c>
      <x:c r="C578" s="18" t="str">
        <x:v>大阪市高速電気軌道</x:v>
      </x:c>
      <x:c r="D578" s="18" t="str">
        <x:v>metro</x:v>
      </x:c>
      <x:c r="E578" s="19" t="str">
        <x:v>T2</x:v>
      </x:c>
      <x:c r="F578" s="19" t="str">
        <x:v>4号線(中央線)
8号線(今里筋線)</x:v>
      </x:c>
      <x:c r="G578" s="19" t="str">
        <x:v>候选已存在，组件待审核</x:v>
      </x:c>
      <x:c r="H578" s="19" t="str">
        <x:v>transport-node:6c7ba793-6be0-5155-9453-813fb3117135</x:v>
      </x:c>
      <x:c r="I578" s="18" t="str">
        <x:v>transport-hub-review:b495f336-9e44-566f-a3f4-471e7e6b9066</x:v>
      </x:c>
      <x:c r="J578" s="18" t="str">
        <x:v>否</x:v>
      </x:c>
    </x:row>
    <x:row r="579" ht="28" customHeight="1">
      <x:c r="A579" s="19" t="str">
        <x:v>和田岬</x:v>
      </x:c>
      <x:c r="B579" s="18" t="str">
        <x:v>和田岬</x:v>
      </x:c>
      <x:c r="C579" s="18" t="str">
        <x:v>西日本旅客鉄道</x:v>
      </x:c>
      <x:c r="D579" s="18" t="str">
        <x:v>conventional_rail</x:v>
      </x:c>
      <x:c r="E579" s="19" t="str">
        <x:v>T3</x:v>
      </x:c>
      <x:c r="F579" s="19" t="str">
        <x:v>山陽線</x:v>
      </x:c>
      <x:c r="G579" s="19" t="str">
        <x:v>候选已存在，组件待审核</x:v>
      </x:c>
      <x:c r="H579" s="19" t="str">
        <x:v>transport-node:129cffa8-7b20-5f26-bce7-728f6a0d5b77</x:v>
      </x:c>
      <x:c r="I579" s="18" t="str">
        <x:v>transport-hub-review:2c86c6d8-301c-542b-8946-ef76e35a4bd4</x:v>
      </x:c>
      <x:c r="J579" s="18" t="str">
        <x:v>否</x:v>
      </x:c>
    </x:row>
    <x:row r="580" ht="28" customHeight="1">
      <x:c r="A580" s="19" t="str">
        <x:v>和田岬</x:v>
      </x:c>
      <x:c r="B580" s="18" t="str">
        <x:v>和田岬</x:v>
      </x:c>
      <x:c r="C580" s="18" t="str">
        <x:v>神戸市</x:v>
      </x:c>
      <x:c r="D580" s="18" t="str">
        <x:v>metro</x:v>
      </x:c>
      <x:c r="E580" s="19" t="str">
        <x:v>T2</x:v>
      </x:c>
      <x:c r="F580" s="19" t="str">
        <x:v>海岸線</x:v>
      </x:c>
      <x:c r="G580" s="19" t="str">
        <x:v>候选已存在，组件待审核</x:v>
      </x:c>
      <x:c r="H580" s="19" t="str">
        <x:v>transport-node:4e697eff-5633-5fb9-84f6-cccfe29a1c00</x:v>
      </x:c>
      <x:c r="I580" s="18" t="str">
        <x:v>transport-hub-review:2c86c6d8-301c-542b-8946-ef76e35a4bd4</x:v>
      </x:c>
      <x:c r="J580" s="18" t="str">
        <x:v>否</x:v>
      </x:c>
    </x:row>
    <x:row r="581" ht="28" customHeight="1">
      <x:c r="A581" s="19" t="str">
        <x:v>上飯田</x:v>
      </x:c>
      <x:c r="B581" s="18" t="str">
        <x:v>上飯田</x:v>
      </x:c>
      <x:c r="C581" s="18" t="str">
        <x:v>名古屋市</x:v>
      </x:c>
      <x:c r="D581" s="18" t="str">
        <x:v>metro</x:v>
      </x:c>
      <x:c r="E581" s="19" t="str">
        <x:v>null</x:v>
      </x:c>
      <x:c r="F581" s="19" t="str">
        <x:v>上飯田線</x:v>
      </x:c>
      <x:c r="G581" s="19" t="str">
        <x:v>候选已存在，组件待审核</x:v>
      </x:c>
      <x:c r="H581" s="19" t="str">
        <x:v>transport-node:86e5d446-9d63-5348-ab34-2e5f9fbbccb5</x:v>
      </x:c>
      <x:c r="I581" s="18" t="str">
        <x:v>transport-hub-review:c5083c28-37d7-565e-bbc2-78257b56f982</x:v>
      </x:c>
      <x:c r="J581" s="18" t="str">
        <x:v>否</x:v>
      </x:c>
    </x:row>
    <x:row r="582" ht="28" customHeight="1">
      <x:c r="A582" s="19" t="str">
        <x:v>上飯田</x:v>
      </x:c>
      <x:c r="B582" s="18" t="str">
        <x:v>上飯田</x:v>
      </x:c>
      <x:c r="C582" s="18" t="str">
        <x:v>名古屋鉄道</x:v>
      </x:c>
      <x:c r="D582" s="18" t="str">
        <x:v>private_rail</x:v>
      </x:c>
      <x:c r="E582" s="19" t="str">
        <x:v>T3</x:v>
      </x:c>
      <x:c r="F582" s="19" t="str">
        <x:v>小牧線</x:v>
      </x:c>
      <x:c r="G582" s="19" t="str">
        <x:v>候选已存在，组件待审核</x:v>
      </x:c>
      <x:c r="H582" s="19" t="str">
        <x:v>transport-node:bee62e26-eb5d-5b7a-84a8-890a76131979</x:v>
      </x:c>
      <x:c r="I582" s="18" t="str">
        <x:v>transport-hub-review:c5083c28-37d7-565e-bbc2-78257b56f982</x:v>
      </x:c>
      <x:c r="J582" s="18" t="str">
        <x:v>否</x:v>
      </x:c>
    </x:row>
    <x:row r="583" ht="28" customHeight="1">
      <x:c r="A583" s="19" t="str">
        <x:v>大町</x:v>
      </x:c>
      <x:c r="B583" s="18" t="str">
        <x:v>大町</x:v>
      </x:c>
      <x:c r="C583" s="18" t="str">
        <x:v>西日本旅客鉄道</x:v>
      </x:c>
      <x:c r="D583" s="18" t="str">
        <x:v>conventional_rail</x:v>
      </x:c>
      <x:c r="E583" s="19" t="str">
        <x:v>T3</x:v>
      </x:c>
      <x:c r="F583" s="19" t="str">
        <x:v>可部線</x:v>
      </x:c>
      <x:c r="G583" s="19" t="str">
        <x:v>候选已存在，组件待审核</x:v>
      </x:c>
      <x:c r="H583" s="19" t="str">
        <x:v>transport-node:4702837e-8b91-56b8-be2e-10caba48d927</x:v>
      </x:c>
      <x:c r="I583" s="18" t="str">
        <x:v>transport-hub-review:23a995e1-3830-5576-b89d-f20c798c88cb</x:v>
      </x:c>
      <x:c r="J583" s="18" t="str">
        <x:v>否</x:v>
      </x:c>
    </x:row>
    <x:row r="584" ht="28" customHeight="1">
      <x:c r="A584" s="19" t="str">
        <x:v>大町</x:v>
      </x:c>
      <x:c r="B584" s="18" t="str">
        <x:v>大町</x:v>
      </x:c>
      <x:c r="C584" s="18" t="str">
        <x:v>広島高速交通</x:v>
      </x:c>
      <x:c r="D584" s="18" t="str">
        <x:v>fixed_guideway</x:v>
      </x:c>
      <x:c r="E584" s="19" t="str">
        <x:v>T3</x:v>
      </x:c>
      <x:c r="F584" s="19" t="str">
        <x:v>広島新交通1号線</x:v>
      </x:c>
      <x:c r="G584" s="19" t="str">
        <x:v>候选已存在，组件待审核</x:v>
      </x:c>
      <x:c r="H584" s="19" t="str">
        <x:v>transport-node:ec2851cf-c8e8-5c81-9eb2-bd753cbe086c</x:v>
      </x:c>
      <x:c r="I584" s="18" t="str">
        <x:v>transport-hub-review:23a995e1-3830-5576-b89d-f20c798c88cb</x:v>
      </x:c>
      <x:c r="J584" s="18" t="str">
        <x:v>否</x:v>
      </x:c>
    </x:row>
    <x:row r="585" ht="28" customHeight="1">
      <x:c r="A585" s="19" t="str">
        <x:v>鳥羽</x:v>
      </x:c>
      <x:c r="B585" s="18" t="str">
        <x:v>鳥羽</x:v>
      </x:c>
      <x:c r="C585" s="18" t="str">
        <x:v>東海旅客鉄道</x:v>
      </x:c>
      <x:c r="D585" s="18" t="str">
        <x:v>conventional_rail</x:v>
      </x:c>
      <x:c r="E585" s="19" t="str">
        <x:v>T3</x:v>
      </x:c>
      <x:c r="F585" s="19" t="str">
        <x:v>参宮線</x:v>
      </x:c>
      <x:c r="G585" s="19" t="str">
        <x:v>候选已存在，组件待审核</x:v>
      </x:c>
      <x:c r="H585" s="19" t="str">
        <x:v>transport-node:8b296299-cc24-5f4c-b814-347da304c944</x:v>
      </x:c>
      <x:c r="I585" s="18" t="str">
        <x:v>transport-hub-review:6e4f260b-1b31-5187-9957-2c92d6210a5c</x:v>
      </x:c>
      <x:c r="J585" s="18" t="str">
        <x:v>否</x:v>
      </x:c>
    </x:row>
    <x:row r="586" ht="33" customHeight="1">
      <x:c r="A586" s="19" t="str">
        <x:v>鳥羽</x:v>
      </x:c>
      <x:c r="B586" s="18" t="str">
        <x:v>鳥羽</x:v>
      </x:c>
      <x:c r="C586" s="18" t="str">
        <x:v>近畿日本鉄道</x:v>
      </x:c>
      <x:c r="D586" s="18" t="str">
        <x:v>private_rail</x:v>
      </x:c>
      <x:c r="E586" s="19" t="str">
        <x:v>T3</x:v>
      </x:c>
      <x:c r="F586" s="19" t="str">
        <x:v>志摩線
鳥羽線</x:v>
      </x:c>
      <x:c r="G586" s="19" t="str">
        <x:v>候选已存在，组件待审核</x:v>
      </x:c>
      <x:c r="H586" s="19" t="str">
        <x:v>transport-node:9fbe590f-116e-53a5-83d6-94131242f646</x:v>
      </x:c>
      <x:c r="I586" s="18" t="str">
        <x:v>transport-hub-review:6e4f260b-1b31-5187-9957-2c92d6210a5c</x:v>
      </x:c>
      <x:c r="J586" s="18" t="str">
        <x:v>否</x:v>
      </x:c>
    </x:row>
    <x:row r="587" ht="33" customHeight="1">
      <x:c r="A587" s="19" t="str">
        <x:v>萩山</x:v>
      </x:c>
      <x:c r="B587" s="18" t="str">
        <x:v>萩山</x:v>
      </x:c>
      <x:c r="C587" s="18" t="str">
        <x:v>西武鉄道</x:v>
      </x:c>
      <x:c r="D587" s="18" t="str">
        <x:v>private_rail</x:v>
      </x:c>
      <x:c r="E587" s="19" t="str">
        <x:v>T3</x:v>
      </x:c>
      <x:c r="F587" s="19" t="str">
        <x:v>多摩湖線
拝島線</x:v>
      </x:c>
      <x:c r="G587" s="19" t="str">
        <x:v>候选已存在，组件待审核</x:v>
      </x:c>
      <x:c r="H587" s="19" t="str">
        <x:v>transport-node:99057a2b-9968-5edb-9330-310011a7435f</x:v>
      </x:c>
      <x:c r="I587" s="18" t="str">
        <x:v>transport-hub-review:3088b69c-269b-5f9f-9481-2c9eb328e520</x:v>
      </x:c>
      <x:c r="J587" s="18" t="str">
        <x:v>否</x:v>
      </x:c>
    </x:row>
  </x:sheetData>
  <x:conditionalFormatting sqref="G6:G587">
    <x:cfRule type="containsText" dxfId="19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8fd1d0da16ce440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50" hidden="0" customWidth="1"/>
    <x:col min="3" max="3" width="100" hidden="0" customWidth="1"/>
    <x:col min="4" max="4" width="110" hidden="0" customWidth="1"/>
    <x:col min="5" max="5" width="68" hidden="0" customWidth="1"/>
    <x:col min="6" max="6" width="30" hidden="0" customWidth="1"/>
    <x:col min="7" max="7" width="17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4" t="str">
        <x:v>Hub 官方边界证据逐项明细</x:v>
      </x:c>
      <x:c r="B2" s="5"/>
      <x:c r="C2" s="5"/>
      <x:c r="D2" s="5"/>
      <x:c r="E2" s="5"/>
      <x:c r="F2" s="5"/>
      <x:c r="G2" s="5"/>
      <x:c r="H2" s="22"/>
    </x:row>
    <x:row r="3">
      <x:c r="A3" s="6" t="str">
        <x:v>每条对应官方车站换乘清单、联络出口或运营方说明。HTTP 原文可得时保留 SHA256；网页检索来源不伪造原文哈希。</x:v>
      </x:c>
      <x:c r="B3" s="2"/>
      <x:c r="C3" s="2"/>
      <x:c r="D3" s="2"/>
      <x:c r="E3" s="2"/>
      <x:c r="F3" s="2"/>
      <x:c r="G3" s="2"/>
    </x:row>
    <x:row r="4">
      <x:c r="A4" s="6" t="str">
        <x:v>来源：data/transport/nodes/task-084-b-v2-official-evidence/hub-interchange-definitions.jsonl</x:v>
      </x:c>
      <x:c r="B4" s="2"/>
      <x:c r="C4" s="2"/>
      <x:c r="D4" s="2"/>
      <x:c r="E4" s="2"/>
      <x:c r="F4" s="2"/>
      <x:c r="G4" s="2"/>
    </x:row>
    <x:row r="5" ht="34" customHeight="1">
      <x:c r="A5" s="15" t="str">
        <x:v>Hub 名称</x:v>
      </x:c>
      <x:c r="B5" s="16" t="str">
        <x:v>证据定位</x:v>
      </x:c>
      <x:c r="C5" s="16" t="str">
        <x:v>核实的边界事实</x:v>
      </x:c>
      <x:c r="D5" s="16" t="str">
        <x:v>官方来源 URL</x:v>
      </x:c>
      <x:c r="E5" s="16" t="str">
        <x:v>原文 SHA256</x:v>
      </x:c>
      <x:c r="F5" s="16" t="str">
        <x:v>读取方式</x:v>
      </x:c>
      <x:c r="G5" s="17" t="str">
        <x:v>读取日期</x:v>
      </x:c>
    </x:row>
    <x:row r="6" ht="28" customHeight="1">
      <x:c r="A6" s="19" t="str">
        <x:v>武蔵小杉</x:v>
      </x:c>
      <x:c r="B6" s="19" t="str">
        <x:v>#transfer / 乗り換え案内</x:v>
      </x:c>
      <x:c r="C6" s="19" t="str">
        <x:v>Official electric-rail transfer section confirms listed external rail connections.</x:v>
      </x:c>
      <x:c r="D6" s="19" t="str">
        <x:v>https://www.tokyu.co.jp/area/musashi-kosugi/station/</x:v>
      </x:c>
      <x:c r="E6" s="18" t="str">
        <x:v>836d4f3b1afd2e535bf5e21113270928354858f23e0345f178eeb62fc94fa11a</x:v>
      </x:c>
      <x:c r="F6" s="18" t="str">
        <x:v>PUBLIC_HTTP</x:v>
      </x:c>
      <x:c r="G6" s="23" t="n">
        <x:v>46295</x:v>
      </x:c>
    </x:row>
    <x:row r="7" ht="33" customHeight="1">
      <x:c r="A7" s="19" t="str">
        <x:v>武蔵小杉</x:v>
      </x:c>
      <x:c r="B7" s="19" t="str">
        <x:v>station page / 路線トップ</x:v>
      </x:c>
      <x:c r="C7" s="19" t="str">
        <x:v>Official station-specific served lines: 東横線, 目黒線. Supplement S12 source line labels without adding station components.</x:v>
      </x:c>
      <x:c r="D7" s="19" t="str">
        <x:v>https://www.tokyu.co.jp/area/musashi-kosugi/station/</x:v>
      </x:c>
      <x:c r="E7" s="18" t="str">
        <x:v>836d4f3b1afd2e535bf5e21113270928354858f23e0345f178eeb62fc94fa11a</x:v>
      </x:c>
      <x:c r="F7" s="18" t="str">
        <x:v>PUBLIC_HTTP</x:v>
      </x:c>
      <x:c r="G7" s="23" t="n">
        <x:v>46295</x:v>
      </x:c>
    </x:row>
    <x:row r="8" ht="33" customHeight="1">
      <x:c r="A8" s="19" t="str">
        <x:v>武蔵小杉</x:v>
      </x:c>
      <x:c r="B8" s="19" t="str">
        <x:v>武蔵小杉駅 / project description</x:v>
      </x:c>
      <x:c r="C8" s="19" t="str">
        <x:v>JR Nambu and Yokosuka areas are connected within the station; unify only JR conventional candidate observations, retain Tokyu separately.</x:v>
      </x:c>
      <x:c r="D8" s="19" t="str">
        <x:v>https://www.jred.co.jp/projects/p158.html</x:v>
      </x:c>
      <x:c r="E8" s="18"/>
      <x:c r="F8" s="18" t="str">
        <x:v>WEB_OFFICIAL_DOCUMENT</x:v>
      </x:c>
      <x:c r="G8" s="23" t="n">
        <x:v>46295</x:v>
      </x:c>
    </x:row>
    <x:row r="9" ht="28" customHeight="1">
      <x:c r="A9" s="19" t="str">
        <x:v>立川</x:v>
      </x:c>
      <x:c r="B9" s="19" t="str">
        <x:v>駅紹介 / 乗換案内</x:v>
      </x:c>
      <x:c r="C9" s="19" t="str">
        <x:v>South station is explicitly linked to JR Tachikawa by a pedestrian deck.</x:v>
      </x:c>
      <x:c r="D9" s="19" t="str">
        <x:v>https://www.tama-monorail.co.jp/monorail/station/tachikawa-minami/</x:v>
      </x:c>
      <x:c r="E9" s="18" t="str">
        <x:v>a42a076f22f5e79cc011e825960a344d8d51f6829fbb10d72ca99c27b1980ba0</x:v>
      </x:c>
      <x:c r="F9" s="18" t="str">
        <x:v>PUBLIC_HTTP</x:v>
      </x:c>
      <x:c r="G9" s="23" t="n">
        <x:v>46295</x:v>
      </x:c>
    </x:row>
    <x:row r="10" ht="28" customHeight="1">
      <x:c r="A10" s="19" t="str">
        <x:v>立川</x:v>
      </x:c>
      <x:c r="B10" s="19" t="str">
        <x:v>駅紹介 / 乗換案内</x:v>
      </x:c>
      <x:c r="C10" s="19" t="str">
        <x:v>North station explicitly described as the JR Tachikawa connecting station.</x:v>
      </x:c>
      <x:c r="D10" s="19" t="str">
        <x:v>https://www.tama-monorail.co.jp/monorail/station/tachikawa-kita/</x:v>
      </x:c>
      <x:c r="E10" s="18" t="str">
        <x:v>32546fe010cd397d940bbceb266912f4b73d17e8c556f31de13b15c707bdd581</x:v>
      </x:c>
      <x:c r="F10" s="18" t="str">
        <x:v>PUBLIC_HTTP</x:v>
      </x:c>
      <x:c r="G10" s="23" t="n">
        <x:v>46295</x:v>
      </x:c>
    </x:row>
    <x:row r="11" ht="28" customHeight="1">
      <x:c r="A11" s="19" t="str">
        <x:v>吉祥寺</x:v>
      </x:c>
      <x:c r="B11" s="19" t="str">
        <x:v>吉祥寺 / 乗換</x:v>
      </x:c>
      <x:c r="C11" s="19" t="str">
        <x:v>Official designated rail connection: 吉祥寺 / 京王電鉄, 吉祥寺 / 東日本旅客鉄道</x:v>
      </x:c>
      <x:c r="D11" s="19" t="str">
        <x:v>https://www.keio.co.jp/train/station/</x:v>
      </x:c>
      <x:c r="E11" s="18" t="str">
        <x:v>75899744ec6862e4fcef922a450a9d321af1598dbaba860d6168e02e1cd9f13b</x:v>
      </x:c>
      <x:c r="F11" s="18" t="str">
        <x:v>PUBLIC_HTTP</x:v>
      </x:c>
      <x:c r="G11" s="23" t="n">
        <x:v>46295</x:v>
      </x:c>
    </x:row>
    <x:row r="12" ht="28" customHeight="1">
      <x:c r="A12" s="19" t="str">
        <x:v>町田</x:v>
      </x:c>
      <x:c r="B12" s="19" t="str">
        <x:v>町田 / 他社線</x:v>
      </x:c>
      <x:c r="C12" s="19" t="str">
        <x:v>Official designated rail connection: 町田 / 小田急電鉄, 町田 / 東日本旅客鉄道</x:v>
      </x:c>
      <x:c r="D12" s="19" t="str">
        <x:v>https://www.odakyu.jp/station/</x:v>
      </x:c>
      <x:c r="E12" s="18" t="str">
        <x:v>3fcd48202f039aafc39eff1d54fce1c24df4cf8f7de13470fc46309e28afe8d4</x:v>
      </x:c>
      <x:c r="F12" s="18" t="str">
        <x:v>PUBLIC_HTTP</x:v>
      </x:c>
      <x:c r="G12" s="23" t="n">
        <x:v>46295</x:v>
      </x:c>
    </x:row>
    <x:row r="13" ht="28" customHeight="1">
      <x:c r="A13" s="19" t="str">
        <x:v>浜松町・大門</x:v>
      </x:c>
      <x:c r="B13" s="19" t="str">
        <x:v>乗り換え案内</x:v>
      </x:c>
      <x:c r="C13" s="19" t="str">
        <x:v>Official Daimon rail interchange with JR and Tokyo Monorail at Hamamatsucho.</x:v>
      </x:c>
      <x:c r="D13" s="19" t="str">
        <x:v>https://www.kotsu.metro.tokyo.jp/subway/stations/daimon.html</x:v>
      </x:c>
      <x:c r="E13" s="18"/>
      <x:c r="F13" s="18" t="str">
        <x:v>WEB_OFFICIAL_DOCUMENT</x:v>
      </x:c>
      <x:c r="G13" s="23" t="n">
        <x:v>46295</x:v>
      </x:c>
    </x:row>
    <x:row r="14" ht="28" customHeight="1">
      <x:c r="A14" s="19" t="str">
        <x:v>日暮里</x:v>
      </x:c>
      <x:c r="B14" s="19" t="str">
        <x:v>乗り換え案内</x:v>
      </x:c>
      <x:c r="C14" s="19" t="str">
        <x:v>Official Keisei station guide identifies JR and Nippori-Toneri Liner.</x:v>
      </x:c>
      <x:c r="D14" s="19" t="str">
        <x:v>https://new-www.keisei.co.jp/keisei/tetudou/accessj/nippori.php</x:v>
      </x:c>
      <x:c r="E14" s="18"/>
      <x:c r="F14" s="18" t="str">
        <x:v>WEB_OFFICIAL_DOCUMENT</x:v>
      </x:c>
      <x:c r="G14" s="23" t="n">
        <x:v>46295</x:v>
      </x:c>
    </x:row>
    <x:row r="15" ht="33" customHeight="1">
      <x:c r="A15" s="19" t="str">
        <x:v>金山</x:v>
      </x:c>
      <x:c r="B15" s="19" t="str">
        <x:v>他社線との連絡定期券の発売範囲 / 地下鉄 乗り換え駅</x:v>
      </x:c>
      <x:c r="C15" s="19" t="str">
        <x:v>City official connecting-ticket table explicitly names the transfer station and connecting railway.</x:v>
      </x:c>
      <x:c r="D15" s="19" t="str">
        <x:v>https://www.kotsu.city.nagoya.jp/rp/ticket/TRP0001550.htm</x:v>
      </x:c>
      <x:c r="E15" s="18" t="str">
        <x:v>072bd935c2969ea8c8e79335d4c0049ab6e22e6140bd5f9d276e1842019f7bb9</x:v>
      </x:c>
      <x:c r="F15" s="18" t="str">
        <x:v>PUBLIC_HTTP</x:v>
      </x:c>
      <x:c r="G15" s="23" t="n">
        <x:v>46295</x:v>
      </x:c>
    </x:row>
    <x:row r="16" ht="33" customHeight="1">
      <x:c r="A16" s="19" t="str">
        <x:v>大曽根</x:v>
      </x:c>
      <x:c r="B16" s="19" t="str">
        <x:v>他社線との連絡定期券の発売範囲 / 地下鉄 乗り換え駅</x:v>
      </x:c>
      <x:c r="C16" s="19" t="str">
        <x:v>City official connecting-ticket table explicitly names the transfer station and connecting railway.</x:v>
      </x:c>
      <x:c r="D16" s="19" t="str">
        <x:v>https://www.kotsu.city.nagoya.jp/rp/ticket/TRP0001550.htm</x:v>
      </x:c>
      <x:c r="E16" s="18" t="str">
        <x:v>072bd935c2969ea8c8e79335d4c0049ab6e22e6140bd5f9d276e1842019f7bb9</x:v>
      </x:c>
      <x:c r="F16" s="18" t="str">
        <x:v>PUBLIC_HTTP</x:v>
      </x:c>
      <x:c r="G16" s="23" t="n">
        <x:v>46295</x:v>
      </x:c>
    </x:row>
    <x:row r="17" ht="33" customHeight="1">
      <x:c r="A17" s="19" t="str">
        <x:v>新神戸</x:v>
      </x:c>
      <x:c r="B17" s="19" t="str">
        <x:v>西神・山手・北神 / 海岸線 / 換乘</x:v>
      </x:c>
      <x:c r="C17" s="19" t="str">
        <x:v>City subway table identifies the connected rail line at this station; different station names retained.</x:v>
      </x:c>
      <x:c r="D17" s="19" t="str">
        <x:v>https://kotsu.city.kobe.lg.jp/chinese-trad/cnt-subway-map/</x:v>
      </x:c>
      <x:c r="E17" s="18"/>
      <x:c r="F17" s="18" t="str">
        <x:v>WEB_OFFICIAL_DOCUMENT</x:v>
      </x:c>
      <x:c r="G17" s="23" t="n">
        <x:v>46295</x:v>
      </x:c>
    </x:row>
    <x:row r="18" ht="33" customHeight="1">
      <x:c r="A18" s="19" t="str">
        <x:v>天神・西鉄福岡・天神南</x:v>
      </x:c>
      <x:c r="B18" s="19" t="str">
        <x:v>路線図 / 駅時刻表 / connecting line labels</x:v>
      </x:c>
      <x:c r="C18" s="19" t="str">
        <x:v>Official subway route list identifies rail interchange; Tenjin and Tenjin-Minami both connect to Nishitetsu Fukuoka.</x:v>
      </x:c>
      <x:c r="D18" s="19" t="str">
        <x:v>https://subway.city.fukuoka.lg.jp/?lan=ja</x:v>
      </x:c>
      <x:c r="E18" s="18" t="str">
        <x:v>17daefaa3a5e4232694921711767b8925f604fa801819f33a72a5eaec28ce35f</x:v>
      </x:c>
      <x:c r="F18" s="18" t="str">
        <x:v>PUBLIC_HTTP</x:v>
      </x:c>
      <x:c r="G18" s="23" t="n">
        <x:v>46295</x:v>
      </x:c>
    </x:row>
    <x:row r="19" ht="28" customHeight="1">
      <x:c r="A19" s="19" t="str">
        <x:v>新札幌・新さっぽろ</x:v>
      </x:c>
      <x:c r="B19" s="19" t="str">
        <x:v>page 1 / exit 5 / JR新札幌駅</x:v>
      </x:c>
      <x:c r="C19" s="19" t="str">
        <x:v>Official station diagram identifies JR Shin-Sapporo at exit 5.</x:v>
      </x:c>
      <x:c r="D19" s="19" t="str">
        <x:v>https://www.city.sapporo.jp/st/subway/ekikonaizu/documents/shinsapporoekikounaizu.pdf</x:v>
      </x:c>
      <x:c r="E19" s="18" t="str">
        <x:v>97f5f949605cf0bb9b2d5860bf7a48f191681f7a09ece5aa364e1a15e1fac51f</x:v>
      </x:c>
      <x:c r="F19" s="18" t="str">
        <x:v>PUBLIC_HTTP</x:v>
      </x:c>
      <x:c r="G19" s="23" t="n">
        <x:v>46295</x:v>
      </x:c>
    </x:row>
    <x:row r="20" ht="33" customHeight="1">
      <x:c r="A20" s="19" t="str">
        <x:v>北仙台</x:v>
      </x:c>
      <x:c r="B20" s="19" t="str">
        <x:v>page 1 / JR駅 exit direction and station area inset</x:v>
      </x:c>
      <x:c r="C20" s="19" t="str">
        <x:v>City station exit map explicitly directs passengers to the connected JR station and shows the station area.</x:v>
      </x:c>
      <x:c r="D20" s="19" t="str">
        <x:v>https://www.kotsu.city.sendai.jp/assets/img/subway/station/kita-sendai/N06_kitasendai_24.pdf</x:v>
      </x:c>
      <x:c r="E20" s="18"/>
      <x:c r="F20" s="18" t="str">
        <x:v>WEB_OFFICIAL_DOCUMENT</x:v>
      </x:c>
      <x:c r="G20" s="23" t="n">
        <x:v>46295</x:v>
      </x:c>
    </x:row>
    <x:row r="21" ht="28" customHeight="1">
      <x:c r="A21" s="19" t="str">
        <x:v>新白島</x:v>
      </x:c>
      <x:c r="B21" s="19" t="str">
        <x:v>駅情報 / 乗換のご案内</x:v>
      </x:c>
      <x:c r="C21" s="19" t="str">
        <x:v>Astram station guide explicitly identifies the connecting JR station or Hiroden tram stop.</x:v>
      </x:c>
      <x:c r="D21" s="19" t="str">
        <x:v>https://www.astramline.co.jp/station/info.html?name=%E6%96%B0%E7%99%BD%E5%B3%B6</x:v>
      </x:c>
      <x:c r="E21" s="18"/>
      <x:c r="F21" s="18" t="str">
        <x:v>WEB_OFFICIAL_DOCUMENT</x:v>
      </x:c>
      <x:c r="G21" s="23" t="n">
        <x:v>46295</x:v>
      </x:c>
    </x:row>
    <x:row r="22" ht="28" customHeight="1">
      <x:c r="A22" s="19" t="str">
        <x:v>なんば・大阪難波</x:v>
      </x:c>
      <x:c r="B22" s="19" t="str">
        <x:v>stationBox_name / transferList_box</x:v>
      </x:c>
      <x:c r="C22" s="19" t="str">
        <x:v>Official transfer list: Y15なんば 四つ橋線, S16なんば 千日前線, JR線, 阪神線, 近鉄線, 南海線</x:v>
      </x:c>
      <x:c r="D22" s="19" t="str">
        <x:v>https://subway.osakametro.co.jp/station_guide/M/m20/index.php</x:v>
      </x:c>
      <x:c r="E22" s="18" t="str">
        <x:v>f6218dcef7773aaad1520f95e3049c6ed4e792c97678236c70401a920e1775b5</x:v>
      </x:c>
      <x:c r="F22" s="18" t="str">
        <x:v>PUBLIC_HTTP</x:v>
      </x:c>
      <x:c r="G22" s="23" t="n">
        <x:v>46295</x:v>
      </x:c>
    </x:row>
    <x:row r="23" ht="28" customHeight="1">
      <x:c r="A23" s="19" t="str">
        <x:v>なんば・大阪難波</x:v>
      </x:c>
      <x:c r="B23" s="19" t="str">
        <x:v>出口・周辺施設 / station area map</x:v>
      </x:c>
      <x:c r="C23" s="19" t="str">
        <x:v>Exit guide cross-check for the connected named stations; not a distance inference.</x:v>
      </x:c>
      <x:c r="D23" s="19" t="str">
        <x:v>https://subway.osakametro.co.jp/station_guide/M/m20/map.php</x:v>
      </x:c>
      <x:c r="E23" s="18" t="str">
        <x:v>1fb365c29963d17e8e9ea1046c9b88a78063328d11b63d7a9c2f86057c8d974e</x:v>
      </x:c>
      <x:c r="F23" s="18" t="str">
        <x:v>PUBLIC_HTTP</x:v>
      </x:c>
      <x:c r="G23" s="23" t="n">
        <x:v>46295</x:v>
      </x:c>
    </x:row>
    <x:row r="24" ht="28" customHeight="1">
      <x:c r="A24" s="19" t="str">
        <x:v>なんば・大阪難波</x:v>
      </x:c>
      <x:c r="B24" s="19" t="str">
        <x:v>stationBox_name / transferList_box</x:v>
      </x:c>
      <x:c r="C24" s="19" t="str">
        <x:v>Official transfer list: M20なんば 御堂筋線, Y15なんば 四つ橋線, JR線, 阪神線, 近鉄線, 南海線</x:v>
      </x:c>
      <x:c r="D24" s="19" t="str">
        <x:v>https://subway.osakametro.co.jp/station_guide/S/s16/index.php</x:v>
      </x:c>
      <x:c r="E24" s="18" t="str">
        <x:v>3c7115740dcfde150fce02f39fb14b6352821928c82942fea2da1885e98f3486</x:v>
      </x:c>
      <x:c r="F24" s="18" t="str">
        <x:v>PUBLIC_HTTP</x:v>
      </x:c>
      <x:c r="G24" s="23" t="n">
        <x:v>46295</x:v>
      </x:c>
    </x:row>
    <x:row r="25" ht="28" customHeight="1">
      <x:c r="A25" s="19" t="str">
        <x:v>なんば・大阪難波</x:v>
      </x:c>
      <x:c r="B25" s="19" t="str">
        <x:v>出口・周辺施設 / station area map</x:v>
      </x:c>
      <x:c r="C25" s="19" t="str">
        <x:v>Exit guide cross-check for the connected named stations; not a distance inference.</x:v>
      </x:c>
      <x:c r="D25" s="19" t="str">
        <x:v>https://subway.osakametro.co.jp/station_guide/S/s16/map.php</x:v>
      </x:c>
      <x:c r="E25" s="18" t="str">
        <x:v>409439489fb98e51e548cbc18375cc259851d137a20da1b448f9bbf1f4a7a762</x:v>
      </x:c>
      <x:c r="F25" s="18" t="str">
        <x:v>PUBLIC_HTTP</x:v>
      </x:c>
      <x:c r="G25" s="23" t="n">
        <x:v>46295</x:v>
      </x:c>
    </x:row>
    <x:row r="26" ht="28" customHeight="1">
      <x:c r="A26" s="19" t="str">
        <x:v>なんば・大阪難波</x:v>
      </x:c>
      <x:c r="B26" s="19" t="str">
        <x:v>stationBox_name / transferList_box</x:v>
      </x:c>
      <x:c r="C26" s="19" t="str">
        <x:v>Official transfer list: M20なんば 御堂筋線, S16なんば 千日前線, JR線, 阪神線, 近鉄線, 南海線</x:v>
      </x:c>
      <x:c r="D26" s="19" t="str">
        <x:v>https://subway.osakametro.co.jp/station_guide/Y/y15/index.php</x:v>
      </x:c>
      <x:c r="E26" s="18" t="str">
        <x:v>105522efdc19dbbd1fd9eeca94df2f852519c4c1ce697c2034f60b8e17155628</x:v>
      </x:c>
      <x:c r="F26" s="18" t="str">
        <x:v>PUBLIC_HTTP</x:v>
      </x:c>
      <x:c r="G26" s="23" t="n">
        <x:v>46295</x:v>
      </x:c>
    </x:row>
    <x:row r="27" ht="28" customHeight="1">
      <x:c r="A27" s="19" t="str">
        <x:v>なんば・大阪難波</x:v>
      </x:c>
      <x:c r="B27" s="19" t="str">
        <x:v>出口・周辺施設 / station area map</x:v>
      </x:c>
      <x:c r="C27" s="19" t="str">
        <x:v>Exit guide cross-check for the connected named stations; not a distance inference.</x:v>
      </x:c>
      <x:c r="D27" s="19" t="str">
        <x:v>https://subway.osakametro.co.jp/station_guide/Y/y15/map.php</x:v>
      </x:c>
      <x:c r="E27" s="18" t="str">
        <x:v>d20f6190c7c47218d11b09b2cd34bf9327e9a2d95ece80f0016f54a294cf7b56</x:v>
      </x:c>
      <x:c r="F27" s="18" t="str">
        <x:v>PUBLIC_HTTP</x:v>
      </x:c>
      <x:c r="G27" s="23" t="n">
        <x:v>46295</x:v>
      </x:c>
    </x:row>
    <x:row r="28" ht="33" customHeight="1">
      <x:c r="A28" s="19" t="str">
        <x:v>綾瀬</x:v>
      </x:c>
      <x:c r="B28" s="19" t="str">
        <x:v>のりかえ鉄道会社 / station transfer and exit guide</x:v>
      </x:c>
      <x:c r="C28" s="19" t="str">
        <x:v>Official transfer operators: JR東</x:v>
      </x:c>
      <x:c r="D28" s="19" t="str">
        <x:v>https://www.tokyometro.jp/station/ayase/index.html</x:v>
      </x:c>
      <x:c r="E28" s="18"/>
      <x:c r="F28" s="18" t="str">
        <x:v>WEB_OFFICIAL_DOCUMENT</x:v>
      </x:c>
      <x:c r="G28" s="23" t="n">
        <x:v>46295</x:v>
      </x:c>
    </x:row>
    <x:row r="29" ht="33" customHeight="1">
      <x:c r="A29" s="19" t="str">
        <x:v>栄・栄町</x:v>
      </x:c>
      <x:c r="B29" s="19" t="str">
        <x:v>他社線との連絡定期券の発売範囲 / 地下鉄 乗り換え駅</x:v>
      </x:c>
      <x:c r="C29" s="19" t="str">
        <x:v>City official connecting-ticket table explicitly names the transfer station and connecting railway.</x:v>
      </x:c>
      <x:c r="D29" s="19" t="str">
        <x:v>https://www.kotsu.city.nagoya.jp/rp/ticket/TRP0001550.htm</x:v>
      </x:c>
      <x:c r="E29" s="18" t="str">
        <x:v>072bd935c2969ea8c8e79335d4c0049ab6e22e6140bd5f9d276e1842019f7bb9</x:v>
      </x:c>
      <x:c r="F29" s="18" t="str">
        <x:v>PUBLIC_HTTP</x:v>
      </x:c>
      <x:c r="G29" s="23" t="n">
        <x:v>46295</x:v>
      </x:c>
    </x:row>
    <x:row r="30" ht="28" customHeight="1">
      <x:c r="A30" s="19" t="str">
        <x:v>押上・とうきょうスカイツリー</x:v>
      </x:c>
      <x:c r="B30" s="19" t="str">
        <x:v>のりかえ鉄道会社</x:v>
      </x:c>
      <x:c r="C30" s="19" t="str">
        <x:v>Oshiage lists Toei, Tobu and Keisei.</x:v>
      </x:c>
      <x:c r="D30" s="19" t="str">
        <x:v>https://www.tokyometro.jp/station/oshiage/index.html</x:v>
      </x:c>
      <x:c r="E30" s="18"/>
      <x:c r="F30" s="18" t="str">
        <x:v>WEB_OFFICIAL_DOCUMENT</x:v>
      </x:c>
      <x:c r="G30" s="23" t="n">
        <x:v>46295</x:v>
      </x:c>
    </x:row>
    <x:row r="31" ht="33" customHeight="1">
      <x:c r="A31" s="19" t="str">
        <x:v>押上・とうきょうスカイツリー</x:v>
      </x:c>
      <x:c r="B31" s="19" t="str">
        <x:v>乗り換え案内 / 鉄道</x:v>
      </x:c>
      <x:c r="C31" s="19" t="str">
        <x:v>Tokyo Skytree station lists Toei, Tokyo Metro and Keisei rail transfers; retain Skytree and Oshiage as different physical station components.</x:v>
      </x:c>
      <x:c r="D31" s="19" t="str">
        <x:v>https://www.tobu.co.jp/railway/guide/station/info/1103/</x:v>
      </x:c>
      <x:c r="E31" s="18" t="str">
        <x:v>09b6de2c3b791db7123158d931fc42d782a67462fb592c71a4d17d47f45d8cc2</x:v>
      </x:c>
      <x:c r="F31" s="18" t="str">
        <x:v>PUBLIC_HTTP</x:v>
      </x:c>
      <x:c r="G31" s="23" t="n">
        <x:v>46295</x:v>
      </x:c>
    </x:row>
    <x:row r="32" ht="33" customHeight="1">
      <x:c r="A32" s="19" t="str">
        <x:v>横浜</x:v>
      </x:c>
      <x:c r="B32" s="19" t="str">
        <x:v>KK37 横浜 / 乗り換え</x:v>
      </x:c>
      <x:c r="C32" s="19" t="str">
        <x:v>Keikyu Yokohama explicitly lists JR, Tokyu, Sotetsu, Yokohama subway and Minatomirai connections. Six operator components retained.</x:v>
      </x:c>
      <x:c r="D32" s="19" t="str">
        <x:v>https://www.keikyu.co.jp/ride/kakueki/</x:v>
      </x:c>
      <x:c r="E32" s="18" t="str">
        <x:v>cc0ff3be9b41af193e1acc9cb6e657e5a28f2231b50a9980dacedfea47e1bea0</x:v>
      </x:c>
      <x:c r="F32" s="18" t="str">
        <x:v>PUBLIC_HTTP</x:v>
      </x:c>
      <x:c r="G32" s="23" t="n">
        <x:v>46295</x:v>
      </x:c>
    </x:row>
    <x:row r="33" ht="28" customHeight="1">
      <x:c r="A33" s="19" t="str">
        <x:v>蒲田</x:v>
      </x:c>
      <x:c r="B33" s="19" t="str">
        <x:v>#transfer / 乗り換え案内</x:v>
      </x:c>
      <x:c r="C33" s="19" t="str">
        <x:v>Official electric-rail transfer section confirms listed external rail connections.</x:v>
      </x:c>
      <x:c r="D33" s="19" t="str">
        <x:v>https://www.tokyu.co.jp/area/kamata/station/</x:v>
      </x:c>
      <x:c r="E33" s="18" t="str">
        <x:v>019a69889e0842c75557c57d83acbf5472ae8bb7e66c23227d9edcf0905d5c47</x:v>
      </x:c>
      <x:c r="F33" s="18" t="str">
        <x:v>PUBLIC_HTTP</x:v>
      </x:c>
      <x:c r="G33" s="23" t="n">
        <x:v>46295</x:v>
      </x:c>
    </x:row>
    <x:row r="34" ht="33" customHeight="1">
      <x:c r="A34" s="19" t="str">
        <x:v>蒲田</x:v>
      </x:c>
      <x:c r="B34" s="19" t="str">
        <x:v>station page / 路線トップ</x:v>
      </x:c>
      <x:c r="C34" s="19" t="str">
        <x:v>Official station-specific served lines: 池上線, 東急多摩川線. Supplement S12 source line labels without adding station components.</x:v>
      </x:c>
      <x:c r="D34" s="19" t="str">
        <x:v>https://www.tokyu.co.jp/area/kamata/station/</x:v>
      </x:c>
      <x:c r="E34" s="18" t="str">
        <x:v>019a69889e0842c75557c57d83acbf5472ae8bb7e66c23227d9edcf0905d5c47</x:v>
      </x:c>
      <x:c r="F34" s="18" t="str">
        <x:v>PUBLIC_HTTP</x:v>
      </x:c>
      <x:c r="G34" s="23" t="n">
        <x:v>46295</x:v>
      </x:c>
    </x:row>
    <x:row r="35" ht="28" customHeight="1">
      <x:c r="A35" s="19" t="str">
        <x:v>京橋</x:v>
      </x:c>
      <x:c r="B35" s="19" t="str">
        <x:v>stationBox_name / transferList_box</x:v>
      </x:c>
      <x:c r="C35" s="19" t="str">
        <x:v>Official transfer list: JR線, 京阪線</x:v>
      </x:c>
      <x:c r="D35" s="19" t="str">
        <x:v>https://subway.osakametro.co.jp/station_guide/N/n22/index.php</x:v>
      </x:c>
      <x:c r="E35" s="18" t="str">
        <x:v>1efd64e38887da25a92f7ae1faf8ea8b038b1d8690e85bfd0275e7eab13bc415</x:v>
      </x:c>
      <x:c r="F35" s="18" t="str">
        <x:v>PUBLIC_HTTP</x:v>
      </x:c>
      <x:c r="G35" s="23" t="n">
        <x:v>46295</x:v>
      </x:c>
    </x:row>
    <x:row r="36" ht="28" customHeight="1">
      <x:c r="A36" s="19" t="str">
        <x:v>京橋</x:v>
      </x:c>
      <x:c r="B36" s="19" t="str">
        <x:v>出口・周辺施設 / station area map</x:v>
      </x:c>
      <x:c r="C36" s="19" t="str">
        <x:v>Exit guide cross-check for the connected named stations; not a distance inference.</x:v>
      </x:c>
      <x:c r="D36" s="19" t="str">
        <x:v>https://subway.osakametro.co.jp/station_guide/N/n22/map.php</x:v>
      </x:c>
      <x:c r="E36" s="18" t="str">
        <x:v>3e297dc7ab1359deb641fc7fdc82fdff7077ff8acd8e846d9f0385f57e72f4da</x:v>
      </x:c>
      <x:c r="F36" s="18" t="str">
        <x:v>PUBLIC_HTTP</x:v>
      </x:c>
      <x:c r="G36" s="23" t="n">
        <x:v>46295</x:v>
      </x:c>
    </x:row>
    <x:row r="37" ht="33" customHeight="1">
      <x:c r="A37" s="19" t="str">
        <x:v>京都</x:v>
      </x:c>
      <x:c r="B37" s="19" t="str">
        <x:v>2026-03-14 / のりかえ案内</x:v>
      </x:c>
      <x:c r="C37" s="19" t="str">
        <x:v>Kintetsu lists distinct routes to JR Shinkansen central gate, conventional west gate and Karasuma subway; four components share the station interchange.</x:v>
      </x:c>
      <x:c r="D37" s="19" t="str">
        <x:v>https://www.kintetsu.co.jp/soukatsu/kounai/kyoto.html</x:v>
      </x:c>
      <x:c r="E37" s="18"/>
      <x:c r="F37" s="18" t="str">
        <x:v>WEB_OFFICIAL_DOCUMENT</x:v>
      </x:c>
      <x:c r="G37" s="23" t="n">
        <x:v>46295</x:v>
      </x:c>
    </x:row>
    <x:row r="38" ht="33" customHeight="1">
      <x:c r="A38" s="19" t="str">
        <x:v>銀座</x:v>
      </x:c>
      <x:c r="B38" s="19" t="str">
        <x:v>駅について / のりかえ鉄道会社</x:v>
      </x:c>
      <x:c r="C38" s="19" t="str">
        <x:v>Official station served lines and named transfer operators; no union with nearby independent stations.</x:v>
      </x:c>
      <x:c r="D38" s="19" t="str">
        <x:v>https://www.tokyometro.jp/station/ginza/index.html</x:v>
      </x:c>
      <x:c r="E38" s="18"/>
      <x:c r="F38" s="18" t="str">
        <x:v>WEB_OFFICIAL_DOCUMENT</x:v>
      </x:c>
      <x:c r="G38" s="23" t="n">
        <x:v>46295</x:v>
      </x:c>
    </x:row>
    <x:row r="39" ht="33" customHeight="1">
      <x:c r="A39" s="19" t="str">
        <x:v>九段下</x:v>
      </x:c>
      <x:c r="B39" s="19" t="str">
        <x:v>駅について / のりかえ鉄道会社</x:v>
      </x:c>
      <x:c r="C39" s="19" t="str">
        <x:v>Official station served lines and named transfer operators; no union with nearby independent stations.</x:v>
      </x:c>
      <x:c r="D39" s="19" t="str">
        <x:v>https://www.tokyometro.jp/station/kudanshita/index.html</x:v>
      </x:c>
      <x:c r="E39" s="18"/>
      <x:c r="F39" s="18" t="str">
        <x:v>WEB_OFFICIAL_DOCUMENT</x:v>
      </x:c>
      <x:c r="G39" s="23" t="n">
        <x:v>46295</x:v>
      </x:c>
    </x:row>
    <x:row r="40" ht="33" customHeight="1">
      <x:c r="A40" s="19" t="str">
        <x:v>恵比寿</x:v>
      </x:c>
      <x:c r="B40" s="19" t="str">
        <x:v>のりかえ鉄道会社 / station transfer and exit guide</x:v>
      </x:c>
      <x:c r="C40" s="19" t="str">
        <x:v>Official transfer operators: JR東</x:v>
      </x:c>
      <x:c r="D40" s="19" t="str">
        <x:v>https://www.tokyometro.jp/station/ebisu/index.html</x:v>
      </x:c>
      <x:c r="E40" s="18"/>
      <x:c r="F40" s="18" t="str">
        <x:v>WEB_OFFICIAL_DOCUMENT</x:v>
      </x:c>
      <x:c r="G40" s="23" t="n">
        <x:v>46295</x:v>
      </x:c>
    </x:row>
    <x:row r="41" ht="28" customHeight="1">
      <x:c r="A41" s="19" t="str">
        <x:v>戸塚</x:v>
      </x:c>
      <x:c r="B41" s="19" t="str">
        <x:v>戸塚 / 他社線</x:v>
      </x:c>
      <x:c r="C41" s="19" t="str">
        <x:v>Yokohama Transportation Bureau station guide links JR transfer.</x:v>
      </x:c>
      <x:c r="D41" s="19" t="str">
        <x:v>https://navi.hamabus.city.yokohama.lg.jp/koutuu/smart/detail/Station?id=00002195</x:v>
      </x:c>
      <x:c r="E41" s="18"/>
      <x:c r="F41" s="18" t="str">
        <x:v>WEB_OFFICIAL_DOCUMENT</x:v>
      </x:c>
      <x:c r="G41" s="23" t="n">
        <x:v>46295</x:v>
      </x:c>
    </x:row>
    <x:row r="42" ht="28" customHeight="1">
      <x:c r="A42" s="19" t="str">
        <x:v>五反田</x:v>
      </x:c>
      <x:c r="B42" s="19" t="str">
        <x:v>#transfer / 乗り換え案内</x:v>
      </x:c>
      <x:c r="C42" s="19" t="str">
        <x:v>Official electric-rail transfer section confirms listed external rail connections.</x:v>
      </x:c>
      <x:c r="D42" s="19" t="str">
        <x:v>https://www.tokyu.co.jp/area/gotanda/station/</x:v>
      </x:c>
      <x:c r="E42" s="18" t="str">
        <x:v>91cfc351bd8231b75f464ddb382ff007f85d2082e9070304bfe7988f2d1ffb12</x:v>
      </x:c>
      <x:c r="F42" s="18" t="str">
        <x:v>PUBLIC_HTTP</x:v>
      </x:c>
      <x:c r="G42" s="23" t="n">
        <x:v>46295</x:v>
      </x:c>
    </x:row>
    <x:row r="43" ht="33" customHeight="1">
      <x:c r="A43" s="19" t="str">
        <x:v>高田馬場</x:v>
      </x:c>
      <x:c r="B43" s="19" t="str">
        <x:v>のりかえ鉄道会社 / station transfer and exit guide</x:v>
      </x:c>
      <x:c r="C43" s="19" t="str">
        <x:v>Official transfer operators: JR東, 西武</x:v>
      </x:c>
      <x:c r="D43" s="19" t="str">
        <x:v>https://www.tokyometro.jp/station/takadanobaba/index.html</x:v>
      </x:c>
      <x:c r="E43" s="18"/>
      <x:c r="F43" s="18" t="str">
        <x:v>WEB_OFFICIAL_DOCUMENT</x:v>
      </x:c>
      <x:c r="G43" s="23" t="n">
        <x:v>46295</x:v>
      </x:c>
    </x:row>
    <x:row r="44" ht="28" customHeight="1">
      <x:c r="A44" s="19" t="str">
        <x:v>国分寺</x:v>
      </x:c>
      <x:c r="B44" s="19" t="str">
        <x:v>国分寺 / 乗換</x:v>
      </x:c>
      <x:c r="C44" s="19" t="str">
        <x:v>Official designated rail connection: 国分寺 / 西武鉄道, 国分寺 / 東日本旅客鉄道</x:v>
      </x:c>
      <x:c r="D44" s="19" t="str">
        <x:v>https://www.seiburailway.jp/railway/station/</x:v>
      </x:c>
      <x:c r="E44" s="18" t="str">
        <x:v>a445fcabc9f8b568d947cc0bacc94cdc85f749133c2cfa490e01e3d4548b8130</x:v>
      </x:c>
      <x:c r="F44" s="18" t="str">
        <x:v>PUBLIC_HTTP</x:v>
      </x:c>
      <x:c r="G44" s="23" t="n">
        <x:v>46295</x:v>
      </x:c>
    </x:row>
    <x:row r="45" ht="33" customHeight="1">
      <x:c r="A45" s="19" t="str">
        <x:v>三ノ宮</x:v>
      </x:c>
      <x:c r="B45" s="19" t="str">
        <x:v>三宮 / 三宮・花時計前 / 換乘</x:v>
      </x:c>
      <x:c r="C45" s="19" t="str">
        <x:v>City official interchange table links JR, Hankyu, Hanshin, subway Sannomiya and Kaigan-line Sannomiya-Hanadokeimae. Port Liner remains a separate AGT component.</x:v>
      </x:c>
      <x:c r="D45" s="19" t="str">
        <x:v>https://kotsu.city.kobe.lg.jp/chinese-trad/cnt-subway-map/</x:v>
      </x:c>
      <x:c r="E45" s="18"/>
      <x:c r="F45" s="18" t="str">
        <x:v>WEB_OFFICIAL_DOCUMENT</x:v>
      </x:c>
      <x:c r="G45" s="23" t="n">
        <x:v>46295</x:v>
      </x:c>
    </x:row>
    <x:row r="46" ht="33" customHeight="1">
      <x:c r="A46" s="19" t="str">
        <x:v>三ノ宮</x:v>
      </x:c>
      <x:c r="B46" s="19" t="str">
        <x:v>三宮駅・三宮花時計前駅 / 乗り換え</x:v>
      </x:c>
      <x:c r="C46" s="19" t="str">
        <x:v>City prescribes the out-of-gate transfer between Sannomiya and Sannomiya-Hanadokeimae. Distinct stations retained as components.</x:v>
      </x:c>
      <x:c r="D46" s="19" t="str">
        <x:v>https://faq.city.kobe.lg.jp/faq/show/988?site_domain=default</x:v>
      </x:c>
      <x:c r="E46" s="18"/>
      <x:c r="F46" s="18" t="str">
        <x:v>WEB_OFFICIAL_DOCUMENT</x:v>
      </x:c>
      <x:c r="G46" s="23" t="n">
        <x:v>46295</x:v>
      </x:c>
    </x:row>
    <x:row r="47" ht="33" customHeight="1">
      <x:c r="A47" s="19" t="str">
        <x:v>秋葉原・岩本町</x:v>
      </x:c>
      <x:c r="B47" s="19" t="str">
        <x:v>のりかえ鉄道会社 / station transfer and exit guide</x:v>
      </x:c>
      <x:c r="C47" s="19" t="str">
        <x:v>Official transfer operators: JR東, TX, 都営</x:v>
      </x:c>
      <x:c r="D47" s="19" t="str">
        <x:v>https://www.tokyometro.jp/station/akihabara/index.html</x:v>
      </x:c>
      <x:c r="E47" s="18"/>
      <x:c r="F47" s="18" t="str">
        <x:v>WEB_OFFICIAL_DOCUMENT</x:v>
      </x:c>
      <x:c r="G47" s="23" t="n">
        <x:v>46295</x:v>
      </x:c>
    </x:row>
    <x:row r="48" ht="28" customHeight="1">
      <x:c r="A48" s="19" t="str">
        <x:v>秋葉原・岩本町</x:v>
      </x:c>
      <x:c r="B48" s="19" t="str">
        <x:v>乗換駅の追加指定</x:v>
      </x:c>
      <x:c r="C48" s="19" t="str">
        <x:v>Official designation of Iwamotocho / Akihabara as an interchange.</x:v>
      </x:c>
      <x:c r="D48" s="19" t="str">
        <x:v>https://www.kotsu.metro.tokyo.jp/newsevent/news/pdf/2011/sub_i_201111021_h_02.pdf</x:v>
      </x:c>
      <x:c r="E48" s="18"/>
      <x:c r="F48" s="18" t="str">
        <x:v>WEB_OFFICIAL_DOCUMENT</x:v>
      </x:c>
      <x:c r="G48" s="23" t="n">
        <x:v>46295</x:v>
      </x:c>
    </x:row>
    <x:row r="49" ht="28" customHeight="1">
      <x:c r="A49" s="19" t="str">
        <x:v>渋谷</x:v>
      </x:c>
      <x:c r="B49" s="19" t="str">
        <x:v>渋谷 / 乗換</x:v>
      </x:c>
      <x:c r="C49" s="19" t="str">
        <x:v>Official Keio Shibuya list connects JR, Metro and Tokyu.</x:v>
      </x:c>
      <x:c r="D49" s="19" t="str">
        <x:v>https://www.keio.co.jp/train/station/</x:v>
      </x:c>
      <x:c r="E49" s="18" t="str">
        <x:v>75899744ec6862e4fcef922a450a9d321af1598dbaba860d6168e02e1cd9f13b</x:v>
      </x:c>
      <x:c r="F49" s="18" t="str">
        <x:v>PUBLIC_HTTP</x:v>
      </x:c>
      <x:c r="G49" s="23" t="n">
        <x:v>46295</x:v>
      </x:c>
    </x:row>
    <x:row r="50" ht="33" customHeight="1">
      <x:c r="A50" s="19" t="str">
        <x:v>小竹向原</x:v>
      </x:c>
      <x:c r="B50" s="19" t="str">
        <x:v>駅について / のりかえ鉄道会社</x:v>
      </x:c>
      <x:c r="C50" s="19" t="str">
        <x:v>Official station served lines and named transfer operators; no union with nearby independent stations.</x:v>
      </x:c>
      <x:c r="D50" s="19" t="str">
        <x:v>https://www.tokyometro.jp/station/kotake-mukaihara/index.html</x:v>
      </x:c>
      <x:c r="E50" s="18"/>
      <x:c r="F50" s="18" t="str">
        <x:v>WEB_OFFICIAL_DOCUMENT</x:v>
      </x:c>
      <x:c r="G50" s="23" t="n">
        <x:v>46295</x:v>
      </x:c>
    </x:row>
    <x:row r="51" ht="33" customHeight="1">
      <x:c r="A51" s="19" t="str">
        <x:v>上野</x:v>
      </x:c>
      <x:c r="B51" s="19" t="str">
        <x:v>のりかえ鉄道会社 / 構内図</x:v>
      </x:c>
      <x:c r="C51" s="19" t="str">
        <x:v>Metro designates JR East and Keisei interchange. The separate Keisei-Ueno physical station is included with the complementary official underground-passage map.</x:v>
      </x:c>
      <x:c r="D51" s="19" t="str">
        <x:v>https://www.tokyometro.jp/station/ueno/index.html</x:v>
      </x:c>
      <x:c r="E51" s="18"/>
      <x:c r="F51" s="18" t="str">
        <x:v>WEB_OFFICIAL_DOCUMENT</x:v>
      </x:c>
      <x:c r="G51" s="23" t="n">
        <x:v>46295</x:v>
      </x:c>
    </x:row>
    <x:row r="52" ht="47" customHeight="1">
      <x:c r="A52" s="19" t="str">
        <x:v>上野</x:v>
      </x:c>
      <x:c r="B52" s="19" t="str">
        <x:v>p2 / 地下鉄方面連絡通路</x:v>
      </x:c>
      <x:c r="C52" s="19" t="str">
        <x:v>Keisei official station map labels the B1 underground passage toward the subway; Metro Ueno explicitly designates Keisei interchange. Keep Keisei-Ueno a distinct physical component in the documented connected interchange.</x:v>
      </x:c>
      <x:c r="D52" s="19" t="str">
        <x:v>https://www.keisei.co.jp/information/files/info/20180406_173203380209.pdf</x:v>
      </x:c>
      <x:c r="E52" s="18" t="str">
        <x:v>3f9091ddbe9547224ddae1f47f9ee347d8a30633f9562574c32c06350c6c965e</x:v>
      </x:c>
      <x:c r="F52" s="18" t="str">
        <x:v>PUBLIC_HTTP</x:v>
      </x:c>
      <x:c r="G52" s="23" t="n">
        <x:v>46295</x:v>
      </x:c>
    </x:row>
    <x:row r="53" ht="33" customHeight="1">
      <x:c r="A53" s="19" t="str">
        <x:v>新橋</x:v>
      </x:c>
      <x:c r="B53" s="19" t="str">
        <x:v>のりかえ鉄道会社 / station transfer and exit guide</x:v>
      </x:c>
      <x:c r="C53" s="19" t="str">
        <x:v>Official transfer operators: JR東, 都営, ゆりかもめ</x:v>
      </x:c>
      <x:c r="D53" s="19" t="str">
        <x:v>https://www.tokyometro.jp/station/shimbashi/index.html</x:v>
      </x:c>
      <x:c r="E53" s="18"/>
      <x:c r="F53" s="18" t="str">
        <x:v>WEB_OFFICIAL_DOCUMENT</x:v>
      </x:c>
      <x:c r="G53" s="23" t="n">
        <x:v>46295</x:v>
      </x:c>
    </x:row>
    <x:row r="54" ht="28" customHeight="1">
      <x:c r="A54" s="19" t="str">
        <x:v>新宿</x:v>
      </x:c>
      <x:c r="B54" s="19" t="str">
        <x:v>新宿 / 乗換</x:v>
      </x:c>
      <x:c r="C54" s="19" t="str">
        <x:v>Official Keio Shinjuku list connects JR, Odakyu, Metro and Toei.</x:v>
      </x:c>
      <x:c r="D54" s="19" t="str">
        <x:v>https://www.keio.co.jp/train/station/</x:v>
      </x:c>
      <x:c r="E54" s="18" t="str">
        <x:v>75899744ec6862e4fcef922a450a9d321af1598dbaba860d6168e02e1cd9f13b</x:v>
      </x:c>
      <x:c r="F54" s="18" t="str">
        <x:v>PUBLIC_HTTP</x:v>
      </x:c>
      <x:c r="G54" s="23" t="n">
        <x:v>46295</x:v>
      </x:c>
    </x:row>
    <x:row r="55" ht="33" customHeight="1">
      <x:c r="A55" s="19" t="str">
        <x:v>西船橋</x:v>
      </x:c>
      <x:c r="B55" s="19" t="str">
        <x:v>のりかえ鉄道会社 / station transfer and exit guide</x:v>
      </x:c>
      <x:c r="C55" s="19" t="str">
        <x:v>Official transfer operators: JR東, 東葉高速鉄道</x:v>
      </x:c>
      <x:c r="D55" s="19" t="str">
        <x:v>https://www.tokyometro.jp/station/nishi-funabashi/index.html</x:v>
      </x:c>
      <x:c r="E55" s="18"/>
      <x:c r="F55" s="18" t="str">
        <x:v>WEB_OFFICIAL_DOCUMENT</x:v>
      </x:c>
      <x:c r="G55" s="23" t="n">
        <x:v>46295</x:v>
      </x:c>
    </x:row>
    <x:row r="56" ht="28" customHeight="1">
      <x:c r="A56" s="19" t="str">
        <x:v>千葉</x:v>
      </x:c>
      <x:c r="B56" s="19" t="str">
        <x:v>他の交通機関 / 駅周辺案内</x:v>
      </x:c>
      <x:c r="C56" s="19" t="str">
        <x:v>Official station guide identifies JR East and Keisei rail connections.</x:v>
      </x:c>
      <x:c r="D56" s="19" t="str">
        <x:v>https://chiba-monorail.co.jp/index.php/info-timetable/station-info/chiba-station/</x:v>
      </x:c>
      <x:c r="E56" s="18" t="str">
        <x:v>c68e4d55e6bae14afd494cb5a854116cfae8f2671a4d3519bdbea12dbac2c26a</x:v>
      </x:c>
      <x:c r="F56" s="18" t="str">
        <x:v>PUBLIC_HTTP</x:v>
      </x:c>
      <x:c r="G56" s="23" t="n">
        <x:v>46295</x:v>
      </x:c>
    </x:row>
    <x:row r="57" ht="28" customHeight="1">
      <x:c r="A57" s="19" t="str">
        <x:v>川崎</x:v>
      </x:c>
      <x:c r="B57" s="19" t="str">
        <x:v>川崎 / served lines</x:v>
      </x:c>
      <x:c r="C57" s="19" t="str">
        <x:v>JR station serves Tokaido, Keihin-Tohoku and Nambu. Keikyu Kawasaki is not merged.</x:v>
      </x:c>
      <x:c r="D57" s="19" t="str">
        <x:v>https://timetables.jreast.co.jp/timetable/list0526.html</x:v>
      </x:c>
      <x:c r="E57" s="18"/>
      <x:c r="F57" s="18" t="str">
        <x:v>WEB_OFFICIAL_DOCUMENT</x:v>
      </x:c>
      <x:c r="G57" s="23" t="n">
        <x:v>46295</x:v>
      </x:c>
    </x:row>
    <x:row r="58" ht="28" customHeight="1">
      <x:c r="A58" s="19" t="str">
        <x:v>船橋</x:v>
      </x:c>
      <x:c r="B58" s="19" t="str">
        <x:v>乗り換え案内 / train鉄道</x:v>
      </x:c>
      <x:c r="C58" s="19" t="str">
        <x:v>Tobu Funabashi lists JR and Keisei rail interchange.</x:v>
      </x:c>
      <x:c r="D58" s="19" t="str">
        <x:v>https://www.tobu.co.jp/railway/guide/station/info/6412/</x:v>
      </x:c>
      <x:c r="E58" s="18" t="str">
        <x:v>20a775266685d3633a0b707e5b624b79e99bb5693c250d611af37dea96165b49</x:v>
      </x:c>
      <x:c r="F58" s="18" t="str">
        <x:v>PUBLIC_HTTP</x:v>
      </x:c>
      <x:c r="G58" s="23" t="n">
        <x:v>46295</x:v>
      </x:c>
    </x:row>
    <x:row r="59" ht="33" customHeight="1">
      <x:c r="A59" s="19" t="str">
        <x:v>代々木上原</x:v>
      </x:c>
      <x:c r="B59" s="19" t="str">
        <x:v>のりかえ鉄道会社 / station transfer and exit guide</x:v>
      </x:c>
      <x:c r="C59" s="19" t="str">
        <x:v>Official transfer operators: 小田急</x:v>
      </x:c>
      <x:c r="D59" s="19" t="str">
        <x:v>https://www.tokyometro.jp/station/yoyogi-uehara/index.html</x:v>
      </x:c>
      <x:c r="E59" s="18"/>
      <x:c r="F59" s="18" t="str">
        <x:v>WEB_OFFICIAL_DOCUMENT</x:v>
      </x:c>
      <x:c r="G59" s="23" t="n">
        <x:v>46295</x:v>
      </x:c>
    </x:row>
    <x:row r="60" ht="33" customHeight="1">
      <x:c r="A60" s="19" t="str">
        <x:v>大宮</x:v>
      </x:c>
      <x:c r="B60" s="19" t="str">
        <x:v>乗り換え案内 / 鉄道</x:v>
      </x:c>
      <x:c r="C60" s="19" t="str">
        <x:v>Tobu Omiya designates JR and New Shuttle interchange; JR conventional/Shinkansen retained separately.</x:v>
      </x:c>
      <x:c r="D60" s="19" t="str">
        <x:v>https://www.tobu.co.jp/railway/guide/station/info/6102/</x:v>
      </x:c>
      <x:c r="E60" s="18"/>
      <x:c r="F60" s="18" t="str">
        <x:v>WEB_OFFICIAL_DOCUMENT</x:v>
      </x:c>
      <x:c r="G60" s="23" t="n">
        <x:v>46295</x:v>
      </x:c>
    </x:row>
    <x:row r="61" ht="28" customHeight="1">
      <x:c r="A61" s="19" t="str">
        <x:v>大阪・梅田</x:v>
      </x:c>
      <x:c r="B61" s="19" t="str">
        <x:v>stationBox_name / transferList_box</x:v>
      </x:c>
      <x:c r="C61" s="19" t="str">
        <x:v>Official transfer list: T20東梅田 谷町線, Y11西梅田 四つ橋線, JR線, 阪急線, 阪神線</x:v>
      </x:c>
      <x:c r="D61" s="19" t="str">
        <x:v>https://subway.osakametro.co.jp/station_guide/M/m16/index.php</x:v>
      </x:c>
      <x:c r="E61" s="18" t="str">
        <x:v>b8e8a5449d7da0c0acbe29193ccd71399656e88981cd73e9fe71ddefc1ed3e11</x:v>
      </x:c>
      <x:c r="F61" s="18" t="str">
        <x:v>PUBLIC_HTTP</x:v>
      </x:c>
      <x:c r="G61" s="23" t="n">
        <x:v>46295</x:v>
      </x:c>
    </x:row>
    <x:row r="62" ht="28" customHeight="1">
      <x:c r="A62" s="19" t="str">
        <x:v>大阪・梅田</x:v>
      </x:c>
      <x:c r="B62" s="19" t="str">
        <x:v>出口・周辺施設 / station area map</x:v>
      </x:c>
      <x:c r="C62" s="19" t="str">
        <x:v>Exit guide cross-check for the connected named stations; not a distance inference.</x:v>
      </x:c>
      <x:c r="D62" s="19" t="str">
        <x:v>https://subway.osakametro.co.jp/station_guide/M/m16/map.php</x:v>
      </x:c>
      <x:c r="E62" s="18" t="str">
        <x:v>ecadb6bf18b8bfe6ee58732ad34ae3f468a1e1f8fd0cd602b9c56887eac30b95</x:v>
      </x:c>
      <x:c r="F62" s="18" t="str">
        <x:v>PUBLIC_HTTP</x:v>
      </x:c>
      <x:c r="G62" s="23" t="n">
        <x:v>46295</x:v>
      </x:c>
    </x:row>
    <x:row r="63" ht="28" customHeight="1">
      <x:c r="A63" s="19" t="str">
        <x:v>大阪・梅田</x:v>
      </x:c>
      <x:c r="B63" s="19" t="str">
        <x:v>stationBox_name / transferList_box</x:v>
      </x:c>
      <x:c r="C63" s="19" t="str">
        <x:v>Official transfer list: M16梅田 御堂筋線, Y11西梅田 四つ橋線, JR線, 阪急線, 阪神線</x:v>
      </x:c>
      <x:c r="D63" s="19" t="str">
        <x:v>https://subway.osakametro.co.jp/station_guide/T/t20/index.php</x:v>
      </x:c>
      <x:c r="E63" s="18" t="str">
        <x:v>a284f0e4bcf6df47b48d75db2ebbb859daf4d5bd63b2a1a325a0cebbf9442ccf</x:v>
      </x:c>
      <x:c r="F63" s="18" t="str">
        <x:v>PUBLIC_HTTP</x:v>
      </x:c>
      <x:c r="G63" s="23" t="n">
        <x:v>46295</x:v>
      </x:c>
    </x:row>
    <x:row r="64" ht="28" customHeight="1">
      <x:c r="A64" s="19" t="str">
        <x:v>大阪・梅田</x:v>
      </x:c>
      <x:c r="B64" s="19" t="str">
        <x:v>出口・周辺施設 / station area map</x:v>
      </x:c>
      <x:c r="C64" s="19" t="str">
        <x:v>Exit guide cross-check for the connected named stations; not a distance inference.</x:v>
      </x:c>
      <x:c r="D64" s="19" t="str">
        <x:v>https://subway.osakametro.co.jp/station_guide/T/t20/map.php</x:v>
      </x:c>
      <x:c r="E64" s="18" t="str">
        <x:v>feda836cfe9082c898f48b90803c2e74bf19fe5c79d901c493379f3cf495e543</x:v>
      </x:c>
      <x:c r="F64" s="18" t="str">
        <x:v>PUBLIC_HTTP</x:v>
      </x:c>
      <x:c r="G64" s="23" t="n">
        <x:v>46295</x:v>
      </x:c>
    </x:row>
    <x:row r="65" ht="28" customHeight="1">
      <x:c r="A65" s="19" t="str">
        <x:v>大阪・梅田</x:v>
      </x:c>
      <x:c r="B65" s="19" t="str">
        <x:v>stationBox_name / transferList_box</x:v>
      </x:c>
      <x:c r="C65" s="19" t="str">
        <x:v>Official transfer list: M16梅田 御堂筋線, T20東梅田 谷町線, JR線, 阪急線, 阪神線</x:v>
      </x:c>
      <x:c r="D65" s="19" t="str">
        <x:v>https://subway.osakametro.co.jp/station_guide/Y/y11/index.php</x:v>
      </x:c>
      <x:c r="E65" s="18" t="str">
        <x:v>4dcdacb45e2137f317e38153ebc17e80c51bb1209830c0085cced2899bb5daee</x:v>
      </x:c>
      <x:c r="F65" s="18" t="str">
        <x:v>PUBLIC_HTTP</x:v>
      </x:c>
      <x:c r="G65" s="23" t="n">
        <x:v>46295</x:v>
      </x:c>
    </x:row>
    <x:row r="66" ht="28" customHeight="1">
      <x:c r="A66" s="19" t="str">
        <x:v>大阪・梅田</x:v>
      </x:c>
      <x:c r="B66" s="19" t="str">
        <x:v>出口・周辺施設 / station area map</x:v>
      </x:c>
      <x:c r="C66" s="19" t="str">
        <x:v>Exit guide cross-check for the connected named stations; not a distance inference.</x:v>
      </x:c>
      <x:c r="D66" s="19" t="str">
        <x:v>https://subway.osakametro.co.jp/station_guide/Y/y11/map.php</x:v>
      </x:c>
      <x:c r="E66" s="18" t="str">
        <x:v>f3b81713540ada8e3d3adf61315fa83e2225544353c382247c066eaa5acea195</x:v>
      </x:c>
      <x:c r="F66" s="18" t="str">
        <x:v>PUBLIC_HTTP</x:v>
      </x:c>
      <x:c r="G66" s="23" t="n">
        <x:v>46295</x:v>
      </x:c>
    </x:row>
    <x:row r="67" ht="33" customHeight="1">
      <x:c r="A67" s="19" t="str">
        <x:v>大阪・梅田</x:v>
      </x:c>
      <x:c r="B67" s="19" t="str">
        <x:v>Transfer information / walking directions</x:v>
      </x:c>
      <x:c r="C67" s="19" t="str">
        <x:v>Hankyu officially documents connections to JR Osaka, Hanshin Osaka-Umeda and Metro Umeda; Metro Nishi-Umeda exit map also identifies JR Kitashinchi connection.</x:v>
      </x:c>
      <x:c r="D67" s="19" t="str">
        <x:v>https://www.hankyu.co.jp/globalsite-only/station/transit/osaka.html</x:v>
      </x:c>
      <x:c r="E67" s="18" t="str">
        <x:v>f9f8b69408229bb1cd26f601d861429115e3553cfd69ffdcf0f460cf6f15094a</x:v>
      </x:c>
      <x:c r="F67" s="18" t="str">
        <x:v>PUBLIC_HTTP</x:v>
      </x:c>
      <x:c r="G67" s="23" t="n">
        <x:v>46295</x:v>
      </x:c>
    </x:row>
    <x:row r="68" ht="28" customHeight="1">
      <x:c r="A68" s="19" t="str">
        <x:v>大崎</x:v>
      </x:c>
      <x:c r="B68" s="19" t="str">
        <x:v>大崎 / JR埼京線</x:v>
      </x:c>
      <x:c r="C68" s="19" t="str">
        <x:v>Official Rinkai route identifies Osaki connection and through operation with JR Saikyo.</x:v>
      </x:c>
      <x:c r="D68" s="19" t="str">
        <x:v>https://www.twr.co.jp/route/tabid/120/Default.aspx</x:v>
      </x:c>
      <x:c r="E68" s="18"/>
      <x:c r="F68" s="18" t="str">
        <x:v>WEB_OFFICIAL_DOCUMENT</x:v>
      </x:c>
      <x:c r="G68" s="23" t="n">
        <x:v>46295</x:v>
      </x:c>
    </x:row>
    <x:row r="69" ht="33" customHeight="1">
      <x:c r="A69" s="19" t="str">
        <x:v>大手町</x:v>
      </x:c>
      <x:c r="B69" s="19" t="str">
        <x:v>駅について / のりかえ鉄道会社</x:v>
      </x:c>
      <x:c r="C69" s="19" t="str">
        <x:v>Official station served lines and named transfer operators; no union with nearby independent stations.</x:v>
      </x:c>
      <x:c r="D69" s="19" t="str">
        <x:v>https://www.tokyometro.jp/station/otemachi/index.html</x:v>
      </x:c>
      <x:c r="E69" s="18"/>
      <x:c r="F69" s="18" t="str">
        <x:v>WEB_OFFICIAL_DOCUMENT</x:v>
      </x:c>
      <x:c r="G69" s="23" t="n">
        <x:v>46295</x:v>
      </x:c>
    </x:row>
    <x:row r="70" ht="28" customHeight="1">
      <x:c r="A70" s="19" t="str">
        <x:v>池袋</x:v>
      </x:c>
      <x:c r="B70" s="19" t="str">
        <x:v>のりかえ鉄道会社</x:v>
      </x:c>
      <x:c r="C70" s="19" t="str">
        <x:v>Metro official station guide lists JR East, Tobu and Seibu within the Ikebukuro interchange.</x:v>
      </x:c>
      <x:c r="D70" s="19" t="str">
        <x:v>https://www.tokyometro.jp/station/ikebukuro/index.html</x:v>
      </x:c>
      <x:c r="E70" s="18"/>
      <x:c r="F70" s="18" t="str">
        <x:v>WEB_OFFICIAL_DOCUMENT</x:v>
      </x:c>
      <x:c r="G70" s="23" t="n">
        <x:v>46295</x:v>
      </x:c>
    </x:row>
    <x:row r="71" ht="28" customHeight="1">
      <x:c r="A71" s="19" t="str">
        <x:v>池袋</x:v>
      </x:c>
      <x:c r="B71" s="19" t="str">
        <x:v>池袋駅 / 丸ノ内線・有楽町線・副都心線</x:v>
      </x:c>
      <x:c r="C71" s="19" t="str">
        <x:v>Operator publishes M25/Y09/F09 within one station and one station passenger total.</x:v>
      </x:c>
      <x:c r="D71" s="19" t="str">
        <x:v>https://www.tokyometro.jp/station/ikebukuro/index.html</x:v>
      </x:c>
      <x:c r="E71" s="18"/>
      <x:c r="F71" s="18" t="str">
        <x:v>WEB_OFFICIAL_DOCUMENT</x:v>
      </x:c>
      <x:c r="G71" s="23" t="n">
        <x:v>46295</x:v>
      </x:c>
    </x:row>
    <x:row r="72" ht="33" customHeight="1">
      <x:c r="A72" s="19" t="str">
        <x:v>池袋</x:v>
      </x:c>
      <x:c r="B72" s="19" t="str">
        <x:v>池袋駅 / 改札外乗換</x:v>
      </x:c>
      <x:c r="C72" s="19" t="str">
        <x:v>Official operator FAQ explicitly designates transfers among the three lines at Ikebukuro, including out-of-gate transfers.</x:v>
      </x:c>
      <x:c r="D72" s="19" t="str">
        <x:v>https://ssl.tokyometro.jp/support/faq_answer?faqno=OpenFAQ-000204&amp;lang=ja</x:v>
      </x:c>
      <x:c r="E72" s="18"/>
      <x:c r="F72" s="18" t="str">
        <x:v>WEB_OFFICIAL_DOCUMENT</x:v>
      </x:c>
      <x:c r="G72" s="23" t="n">
        <x:v>46295</x:v>
      </x:c>
    </x:row>
    <x:row r="73" ht="33" customHeight="1">
      <x:c r="A73" s="19" t="str">
        <x:v>中目黒</x:v>
      </x:c>
      <x:c r="B73" s="19" t="str">
        <x:v>のりかえ鉄道会社 / station transfer and exit guide</x:v>
      </x:c>
      <x:c r="C73" s="19" t="str">
        <x:v>Official transfer operators: 東急</x:v>
      </x:c>
      <x:c r="D73" s="19" t="str">
        <x:v>https://www.tokyometro.jp/station/naka-meguro/index.html</x:v>
      </x:c>
      <x:c r="E73" s="18"/>
      <x:c r="F73" s="18" t="str">
        <x:v>WEB_OFFICIAL_DOCUMENT</x:v>
      </x:c>
      <x:c r="G73" s="23" t="n">
        <x:v>46295</x:v>
      </x:c>
    </x:row>
    <x:row r="74" ht="33" customHeight="1">
      <x:c r="A74" s="19" t="str">
        <x:v>中野</x:v>
      </x:c>
      <x:c r="B74" s="19" t="str">
        <x:v>のりかえ鉄道会社 / station transfer and exit guide</x:v>
      </x:c>
      <x:c r="C74" s="19" t="str">
        <x:v>Official transfer operators: JR東</x:v>
      </x:c>
      <x:c r="D74" s="19" t="str">
        <x:v>https://www.tokyometro.jp/station/nakano/index.html</x:v>
      </x:c>
      <x:c r="E74" s="18"/>
      <x:c r="F74" s="18" t="str">
        <x:v>WEB_OFFICIAL_DOCUMENT</x:v>
      </x:c>
      <x:c r="G74" s="23" t="n">
        <x:v>46295</x:v>
      </x:c>
    </x:row>
    <x:row r="75" ht="28" customHeight="1">
      <x:c r="A75" s="19" t="str">
        <x:v>天王寺・大阪阿部野橋</x:v>
      </x:c>
      <x:c r="B75" s="19" t="str">
        <x:v>stationBox_name / transferList_box</x:v>
      </x:c>
      <x:c r="C75" s="19" t="str">
        <x:v>Official transfer list: T27天王寺 谷町線, いまざとライナー, JR線, 近鉄線, 阪堺線</x:v>
      </x:c>
      <x:c r="D75" s="19" t="str">
        <x:v>https://subway.osakametro.co.jp/station_guide/M/m23/index.php</x:v>
      </x:c>
      <x:c r="E75" s="18" t="str">
        <x:v>d1a441ae37acdbc7491a935d2d1d7554a3e7651a0a9e3c0af3de332f70d283c7</x:v>
      </x:c>
      <x:c r="F75" s="18" t="str">
        <x:v>PUBLIC_HTTP</x:v>
      </x:c>
      <x:c r="G75" s="23" t="n">
        <x:v>46295</x:v>
      </x:c>
    </x:row>
    <x:row r="76" ht="28" customHeight="1">
      <x:c r="A76" s="19" t="str">
        <x:v>天王寺・大阪阿部野橋</x:v>
      </x:c>
      <x:c r="B76" s="19" t="str">
        <x:v>出口・周辺施設 / station area map</x:v>
      </x:c>
      <x:c r="C76" s="19" t="str">
        <x:v>Exit guide cross-check for the connected named stations; not a distance inference.</x:v>
      </x:c>
      <x:c r="D76" s="19" t="str">
        <x:v>https://subway.osakametro.co.jp/station_guide/M/m23/map.php</x:v>
      </x:c>
      <x:c r="E76" s="18" t="str">
        <x:v>22041a9ba97d282268ec5075f69f55129e425f46ae89764058950503d2da3bfa</x:v>
      </x:c>
      <x:c r="F76" s="18" t="str">
        <x:v>PUBLIC_HTTP</x:v>
      </x:c>
      <x:c r="G76" s="23" t="n">
        <x:v>46295</x:v>
      </x:c>
    </x:row>
    <x:row r="77" ht="28" customHeight="1">
      <x:c r="A77" s="19" t="str">
        <x:v>天王寺・大阪阿部野橋</x:v>
      </x:c>
      <x:c r="B77" s="19" t="str">
        <x:v>stationBox_name / transferList_box</x:v>
      </x:c>
      <x:c r="C77" s="19" t="str">
        <x:v>Official transfer list: M23天王寺 御堂筋線, いまざとライナー, JR線, 近鉄線, 阪堺線</x:v>
      </x:c>
      <x:c r="D77" s="19" t="str">
        <x:v>https://subway.osakametro.co.jp/station_guide/T/t27/index.php</x:v>
      </x:c>
      <x:c r="E77" s="18" t="str">
        <x:v>472dfd8f877d5c645ac9c81ca198673083f862e6eeb71461b849746c853033b4</x:v>
      </x:c>
      <x:c r="F77" s="18" t="str">
        <x:v>PUBLIC_HTTP</x:v>
      </x:c>
      <x:c r="G77" s="23" t="n">
        <x:v>46295</x:v>
      </x:c>
    </x:row>
    <x:row r="78" ht="28" customHeight="1">
      <x:c r="A78" s="19" t="str">
        <x:v>天王寺・大阪阿部野橋</x:v>
      </x:c>
      <x:c r="B78" s="19" t="str">
        <x:v>出口・周辺施設 / station area map</x:v>
      </x:c>
      <x:c r="C78" s="19" t="str">
        <x:v>Exit guide cross-check for the connected named stations; not a distance inference.</x:v>
      </x:c>
      <x:c r="D78" s="19" t="str">
        <x:v>https://subway.osakametro.co.jp/station_guide/T/t27/map.php</x:v>
      </x:c>
      <x:c r="E78" s="18" t="str">
        <x:v>d0cccca94bbb845b4c28d06210a678b3d2404c47d43bbd3e75ed4f0b9006d74e</x:v>
      </x:c>
      <x:c r="F78" s="18" t="str">
        <x:v>PUBLIC_HTTP</x:v>
      </x:c>
      <x:c r="G78" s="23" t="n">
        <x:v>46295</x:v>
      </x:c>
    </x:row>
    <x:row r="79" ht="28" customHeight="1">
      <x:c r="A79" s="19" t="str">
        <x:v>田町・三田</x:v>
      </x:c>
      <x:c r="B79" s="19" t="str">
        <x:v>乗り換え案内 / JR線（田町）</x:v>
      </x:c>
      <x:c r="C79" s="19" t="str">
        <x:v>Official Toei Mita guide lists JR Yamanote and Keihin-Tohoku at Tamachi.</x:v>
      </x:c>
      <x:c r="D79" s="19" t="str">
        <x:v>https://www.kotsu.metro.tokyo.jp/subway/stations/mita.html</x:v>
      </x:c>
      <x:c r="E79" s="18"/>
      <x:c r="F79" s="18" t="str">
        <x:v>WEB_OFFICIAL_DOCUMENT</x:v>
      </x:c>
      <x:c r="G79" s="23" t="n">
        <x:v>46295</x:v>
      </x:c>
    </x:row>
    <x:row r="80" ht="33" customHeight="1">
      <x:c r="A80" s="19" t="str">
        <x:v>東京</x:v>
      </x:c>
      <x:c r="B80" s="19" t="str">
        <x:v>駅について / のりかえ鉄道会社</x:v>
      </x:c>
      <x:c r="C80" s="19" t="str">
        <x:v>Metro Tokyo lists JR East and JR Central connections. Retain JR East conventional/Shinkansen, JR Central Shinkansen and Metro; do not absorb the independent Otemachi scope.</x:v>
      </x:c>
      <x:c r="D80" s="19" t="str">
        <x:v>https://www.tokyometro.jp/station/tokyo/index.html</x:v>
      </x:c>
      <x:c r="E80" s="18"/>
      <x:c r="F80" s="18" t="str">
        <x:v>WEB_OFFICIAL_DOCUMENT</x:v>
      </x:c>
      <x:c r="G80" s="23" t="n">
        <x:v>46295</x:v>
      </x:c>
    </x:row>
    <x:row r="81" ht="33" customHeight="1">
      <x:c r="A81" s="19" t="str">
        <x:v>東京</x:v>
      </x:c>
      <x:c r="B81" s="19" t="str">
        <x:v>のりば案内 / 地下京葉</x:v>
      </x:c>
      <x:c r="C81" s="19" t="str">
        <x:v>JR East lists Keiyo and other conventional platforms under Tokyo station and publishes their interchange guidance.</x:v>
      </x:c>
      <x:c r="D81" s="19" t="str">
        <x:v>https://www.jreast.co.jp/estation/stations/1039.html</x:v>
      </x:c>
      <x:c r="E81" s="18"/>
      <x:c r="F81" s="18" t="str">
        <x:v>WEB_OFFICIAL_DOCUMENT</x:v>
      </x:c>
      <x:c r="G81" s="23" t="n">
        <x:v>46295</x:v>
      </x:c>
    </x:row>
    <x:row r="82" ht="28" customHeight="1">
      <x:c r="A82" s="19" t="str">
        <x:v>東京</x:v>
      </x:c>
      <x:c r="B82" s="19" t="str">
        <x:v>東京駅京葉線連絡通路</x:v>
      </x:c>
      <x:c r="C82" s="19" t="str">
        <x:v>JR East advertising subsidiary identifies the Tokyo station Keiyo connecting passage.</x:v>
      </x:c>
      <x:c r="D82" s="19" t="str">
        <x:v>https://www.jeki.co.jp/transit_ad/entry/?cat=st_media&amp;id=153</x:v>
      </x:c>
      <x:c r="E82" s="18"/>
      <x:c r="F82" s="18" t="str">
        <x:v>WEB_OFFICIAL_DOCUMENT</x:v>
      </x:c>
      <x:c r="G82" s="23" t="n">
        <x:v>46295</x:v>
      </x:c>
    </x:row>
    <x:row r="83" ht="28" customHeight="1">
      <x:c r="A83" s="19" t="str">
        <x:v>藤沢</x:v>
      </x:c>
      <x:c r="B83" s="19" t="str">
        <x:v>藤沢 / 他社線</x:v>
      </x:c>
      <x:c r="C83" s="19" t="str">
        <x:v>Official designated rail connection: 藤沢 / 小田急電鉄, 藤沢 / 東日本旅客鉄道, 藤沢 / 江ノ島電鉄</x:v>
      </x:c>
      <x:c r="D83" s="19" t="str">
        <x:v>https://www.odakyu.jp/station/</x:v>
      </x:c>
      <x:c r="E83" s="18" t="str">
        <x:v>3fcd48202f039aafc39eff1d54fce1c24df4cf8f7de13470fc46309e28afe8d4</x:v>
      </x:c>
      <x:c r="F83" s="18" t="str">
        <x:v>PUBLIC_HTTP</x:v>
      </x:c>
      <x:c r="G83" s="23" t="n">
        <x:v>46295</x:v>
      </x:c>
    </x:row>
    <x:row r="84" ht="28" customHeight="1">
      <x:c r="A84" s="19" t="str">
        <x:v>博多</x:v>
      </x:c>
      <x:c r="B84" s="19" t="str">
        <x:v>博多 / 乗換</x:v>
      </x:c>
      <x:c r="C84" s="19" t="str">
        <x:v>Official subway list identifies Shinkansen, JR conventional and both subway lines.</x:v>
      </x:c>
      <x:c r="D84" s="19" t="str">
        <x:v>https://subway.city.fukuoka.lg.jp/?lan=ja</x:v>
      </x:c>
      <x:c r="E84" s="18" t="str">
        <x:v>17daefaa3a5e4232694921711767b8925f604fa801819f33a72a5eaec28ce35f</x:v>
      </x:c>
      <x:c r="F84" s="18" t="str">
        <x:v>PUBLIC_HTTP</x:v>
      </x:c>
      <x:c r="G84" s="23" t="n">
        <x:v>46295</x:v>
      </x:c>
    </x:row>
    <x:row r="85" ht="28" customHeight="1">
      <x:c r="A85" s="19" t="str">
        <x:v>柏</x:v>
      </x:c>
      <x:c r="B85" s="19" t="str">
        <x:v>乗り換え案内 / train鉄道</x:v>
      </x:c>
      <x:c r="C85" s="19" t="str">
        <x:v>Tobu Kashiwa lists JR rail interchange.</x:v>
      </x:c>
      <x:c r="D85" s="19" t="str">
        <x:v>https://www.tobu.co.jp/railway/guide/station/info/6312/</x:v>
      </x:c>
      <x:c r="E85" s="18" t="str">
        <x:v>f5d5ea71b820c1f7cb2d441ba471257e168263e70d69add4dbfa945433eb9282</x:v>
      </x:c>
      <x:c r="F85" s="18" t="str">
        <x:v>PUBLIC_HTTP</x:v>
      </x:c>
      <x:c r="G85" s="23" t="n">
        <x:v>46295</x:v>
      </x:c>
    </x:row>
    <x:row r="86" ht="33" customHeight="1">
      <x:c r="A86" s="19" t="str">
        <x:v>品川</x:v>
      </x:c>
      <x:c r="B86" s="19" t="str">
        <x:v>KK01 品川 / 乗り換え</x:v>
      </x:c>
      <x:c r="C86" s="19" t="str">
        <x:v>Keikyu Shinagawa explicitly lists JR conventional lines and Tokaido Shinkansen. Dedicated JR transfer gate confirms the shared interchange.</x:v>
      </x:c>
      <x:c r="D86" s="19" t="str">
        <x:v>https://www.keikyu.co.jp/ride/kakueki/</x:v>
      </x:c>
      <x:c r="E86" s="18" t="str">
        <x:v>cc0ff3be9b41af193e1acc9cb6e657e5a28f2231b50a9980dacedfea47e1bea0</x:v>
      </x:c>
      <x:c r="F86" s="18" t="str">
        <x:v>PUBLIC_HTTP</x:v>
      </x:c>
      <x:c r="G86" s="23" t="n">
        <x:v>46295</x:v>
      </x:c>
    </x:row>
    <x:row r="87" ht="28" customHeight="1">
      <x:c r="A87" s="19" t="str">
        <x:v>品川</x:v>
      </x:c>
      <x:c r="B87" s="19" t="str">
        <x:v>JR線のりかえ改札</x:v>
      </x:c>
      <x:c r="C87" s="19" t="str">
        <x:v>Dedicated JR transfer gate relocated on 2025-03-12; rail connection remains.</x:v>
      </x:c>
      <x:c r="D87" s="19" t="str">
        <x:v>https://www.keikyu.co.jp/report/2024/report2025030302.html</x:v>
      </x:c>
      <x:c r="E87" s="18"/>
      <x:c r="F87" s="18" t="str">
        <x:v>WEB_OFFICIAL_DOCUMENT</x:v>
      </x:c>
      <x:c r="G87" s="23" t="n">
        <x:v>46295</x:v>
      </x:c>
    </x:row>
    <x:row r="88" ht="33" customHeight="1">
      <x:c r="A88" s="19" t="str">
        <x:v>豊洲</x:v>
      </x:c>
      <x:c r="B88" s="19" t="str">
        <x:v>のりかえ鉄道会社 / station transfer and exit guide</x:v>
      </x:c>
      <x:c r="C88" s="19" t="str">
        <x:v>Official transfer operators: ゆりかもめ</x:v>
      </x:c>
      <x:c r="D88" s="19" t="str">
        <x:v>https://www.tokyometro.jp/station/toyosu/index.html</x:v>
      </x:c>
      <x:c r="E88" s="18"/>
      <x:c r="F88" s="18" t="str">
        <x:v>WEB_OFFICIAL_DOCUMENT</x:v>
      </x:c>
      <x:c r="G88" s="23" t="n">
        <x:v>46295</x:v>
      </x:c>
    </x:row>
    <x:row r="89" ht="33" customHeight="1">
      <x:c r="A89" s="19" t="str">
        <x:v>北千住</x:v>
      </x:c>
      <x:c r="B89" s="19" t="str">
        <x:v>のりかえ鉄道会社 / station transfer and exit guide</x:v>
      </x:c>
      <x:c r="C89" s="19" t="str">
        <x:v>Official transfer operators: JR東, 東武, TX</x:v>
      </x:c>
      <x:c r="D89" s="19" t="str">
        <x:v>https://www.tokyometro.jp/station/kita-senju/index.html</x:v>
      </x:c>
      <x:c r="E89" s="18"/>
      <x:c r="F89" s="18" t="str">
        <x:v>WEB_OFFICIAL_DOCUMENT</x:v>
      </x:c>
      <x:c r="G89" s="23" t="n">
        <x:v>46295</x:v>
      </x:c>
    </x:row>
    <x:row r="90" ht="28" customHeight="1">
      <x:c r="A90" s="19" t="str">
        <x:v>本町</x:v>
      </x:c>
      <x:c r="B90" s="19" t="str">
        <x:v>stationBox_name / transferList_box</x:v>
      </x:c>
      <x:c r="C90" s="19" t="str">
        <x:v>Official transfer list: M18本町 御堂筋線, Y13本町 四つ橋線</x:v>
      </x:c>
      <x:c r="D90" s="19" t="str">
        <x:v>https://subway.osakametro.co.jp/station_guide/C/c16/index.php</x:v>
      </x:c>
      <x:c r="E90" s="18" t="str">
        <x:v>81da116b8125cd87ae53e4fb6dc9adf1ee69e217189982197142404fce2c2183</x:v>
      </x:c>
      <x:c r="F90" s="18" t="str">
        <x:v>PUBLIC_HTTP</x:v>
      </x:c>
      <x:c r="G90" s="23" t="n">
        <x:v>46295</x:v>
      </x:c>
    </x:row>
    <x:row r="91" ht="28" customHeight="1">
      <x:c r="A91" s="19" t="str">
        <x:v>本町</x:v>
      </x:c>
      <x:c r="B91" s="19" t="str">
        <x:v>stationBox_name / transferList_box</x:v>
      </x:c>
      <x:c r="C91" s="19" t="str">
        <x:v>Official transfer list: Y13本町 四つ橋線, C16本町 中央線</x:v>
      </x:c>
      <x:c r="D91" s="19" t="str">
        <x:v>https://subway.osakametro.co.jp/station_guide/M/m18/index.php</x:v>
      </x:c>
      <x:c r="E91" s="18" t="str">
        <x:v>4579fb2e609aae6be2e1dd380f6a9950239f843f488f0fac42266e9e35d73320</x:v>
      </x:c>
      <x:c r="F91" s="18" t="str">
        <x:v>PUBLIC_HTTP</x:v>
      </x:c>
      <x:c r="G91" s="23" t="n">
        <x:v>46295</x:v>
      </x:c>
    </x:row>
    <x:row r="92" ht="28" customHeight="1">
      <x:c r="A92" s="19" t="str">
        <x:v>本町</x:v>
      </x:c>
      <x:c r="B92" s="19" t="str">
        <x:v>stationBox_name / transferList_box</x:v>
      </x:c>
      <x:c r="C92" s="19" t="str">
        <x:v>Official transfer list: M18本町 御堂筋線, C16本町 中央線</x:v>
      </x:c>
      <x:c r="D92" s="19" t="str">
        <x:v>https://subway.osakametro.co.jp/station_guide/Y/y13/index.php</x:v>
      </x:c>
      <x:c r="E92" s="18" t="str">
        <x:v>e0fcf7d868bb835159d40182c5eec9e18a3e6fd9beee70e9497f525b82b4a1ce</x:v>
      </x:c>
      <x:c r="F92" s="18" t="str">
        <x:v>PUBLIC_HTTP</x:v>
      </x:c>
      <x:c r="G92" s="23" t="n">
        <x:v>46295</x:v>
      </x:c>
    </x:row>
    <x:row r="93" ht="33" customHeight="1">
      <x:c r="A93" s="19" t="str">
        <x:v>名古屋</x:v>
      </x:c>
      <x:c r="B93" s="19" t="str">
        <x:v>電車乗換案内</x:v>
      </x:c>
      <x:c r="C93" s="19" t="str">
        <x:v>Meitetsu Nagoya official rail interchange list identifies Shinkansen, JR conventional, municipal subway, Kintetsu and Aonami.</x:v>
      </x:c>
      <x:c r="D93" s="19" t="str">
        <x:v>https://www.meitetsu.co.jp/train/station_info/line01/station/1201.html</x:v>
      </x:c>
      <x:c r="E93" s="18"/>
      <x:c r="F93" s="18" t="str">
        <x:v>WEB_OFFICIAL_DOCUMENT</x:v>
      </x:c>
      <x:c r="G93" s="23" t="n">
        <x:v>46295</x:v>
      </x:c>
    </x:row>
    <x:row r="94" ht="33" customHeight="1">
      <x:c r="A94" s="19" t="str">
        <x:v>目黒</x:v>
      </x:c>
      <x:c r="B94" s="19" t="str">
        <x:v>のりかえ鉄道会社 / station transfer and exit guide</x:v>
      </x:c>
      <x:c r="C94" s="19" t="str">
        <x:v>Official transfer operators: JR東, 東急, 都営</x:v>
      </x:c>
      <x:c r="D94" s="19" t="str">
        <x:v>https://www.tokyometro.jp/station/meguro/index.html</x:v>
      </x:c>
      <x:c r="E94" s="18"/>
      <x:c r="F94" s="18" t="str">
        <x:v>WEB_OFFICIAL_DOCUMENT</x:v>
      </x:c>
      <x:c r="G94" s="23" t="n">
        <x:v>46295</x:v>
      </x:c>
    </x:row>
    <x:row r="95" ht="28" customHeight="1">
      <x:c r="A95" s="19" t="str">
        <x:v>目黒</x:v>
      </x:c>
      <x:c r="B95" s="19" t="str">
        <x:v>乗換案内 / 管理駅</x:v>
      </x:c>
      <x:c r="C95" s="19" t="str">
        <x:v>Toei Mita station; Tokyu-managed shared station, JR and Tokyu interchange.</x:v>
      </x:c>
      <x:c r="D95" s="19" t="str">
        <x:v>https://www.kotsu.metro.tokyo.jp/subway/stations/meguro.html</x:v>
      </x:c>
      <x:c r="E95" s="18"/>
      <x:c r="F95" s="18" t="str">
        <x:v>WEB_OFFICIAL_DOCUMENT</x:v>
      </x:c>
      <x:c r="G95" s="23" t="n">
        <x:v>46295</x:v>
      </x:c>
    </x:row>
    <x:row r="96" ht="33" customHeight="1">
      <x:c r="A96" s="19" t="str">
        <x:v>有楽町・日比谷</x:v>
      </x:c>
      <x:c r="B96" s="19" t="str">
        <x:v>のりかえ鉄道会社 / station transfer and exit guide</x:v>
      </x:c>
      <x:c r="C96" s="19" t="str">
        <x:v>Official transfer operators: JR東, Metro, 都営</x:v>
      </x:c>
      <x:c r="D96" s="19" t="str">
        <x:v>https://www.tokyometro.jp/station/yurakucho/index.html</x:v>
      </x:c>
      <x:c r="E96" s="18"/>
      <x:c r="F96" s="18" t="str">
        <x:v>WEB_OFFICIAL_DOCUMENT</x:v>
      </x:c>
      <x:c r="G96" s="23" t="n">
        <x:v>46295</x:v>
      </x:c>
    </x:row>
    <x:row r="97" ht="28" customHeight="1">
      <x:c r="A97" s="19" t="str">
        <x:v>有楽町・日比谷</x:v>
      </x:c>
      <x:c r="B97" s="19" t="str">
        <x:v>改札外乗換駅</x:v>
      </x:c>
      <x:c r="C97" s="19" t="str">
        <x:v>Official Hibiya / Yurakucho interchange pair.</x:v>
      </x:c>
      <x:c r="D97" s="19" t="str">
        <x:v>https://www.tokyometro.jp/ticket/guide/transfertime/index.html</x:v>
      </x:c>
      <x:c r="E97" s="18"/>
      <x:c r="F97" s="18" t="str">
        <x:v>WEB_OFFICIAL_DOCUMENT</x:v>
      </x:c>
      <x:c r="G97" s="23" t="n">
        <x:v>46295</x:v>
      </x:c>
    </x:row>
    <x:row r="98" ht="28" customHeight="1">
      <x:c r="A98" s="19" t="str">
        <x:v>淀屋橋</x:v>
      </x:c>
      <x:c r="B98" s="19" t="str">
        <x:v>stationBox_name / transferList_box</x:v>
      </x:c>
      <x:c r="C98" s="19" t="str">
        <x:v>Official transfer list: 京阪線</x:v>
      </x:c>
      <x:c r="D98" s="19" t="str">
        <x:v>https://subway.osakametro.co.jp/station_guide/M/m17/index.php</x:v>
      </x:c>
      <x:c r="E98" s="18" t="str">
        <x:v>727bb007a9ab59bb2f4b6a9bbae4b57259fa27371e5a81defd884f53e383064b</x:v>
      </x:c>
      <x:c r="F98" s="18" t="str">
        <x:v>PUBLIC_HTTP</x:v>
      </x:c>
      <x:c r="G98" s="23" t="n">
        <x:v>46295</x:v>
      </x:c>
    </x:row>
    <x:row r="99" ht="28" customHeight="1">
      <x:c r="A99" s="19" t="str">
        <x:v>淀屋橋</x:v>
      </x:c>
      <x:c r="B99" s="19" t="str">
        <x:v>出口・周辺施設 / station area map</x:v>
      </x:c>
      <x:c r="C99" s="19" t="str">
        <x:v>Exit guide cross-check for the connected named stations; not a distance inference.</x:v>
      </x:c>
      <x:c r="D99" s="19" t="str">
        <x:v>https://subway.osakametro.co.jp/station_guide/M/m17/map.php</x:v>
      </x:c>
      <x:c r="E99" s="18" t="str">
        <x:v>31ce9381b777a77ea03b019c9211bc1f9f779918f00486e4707e693b3ac19f36</x:v>
      </x:c>
      <x:c r="F99" s="18" t="str">
        <x:v>PUBLIC_HTTP</x:v>
      </x:c>
      <x:c r="G99" s="23" t="n">
        <x:v>46295</x:v>
      </x:c>
    </x:row>
    <x:row r="100" ht="33" customHeight="1">
      <x:c r="A100" s="19" t="str">
        <x:v>和光市</x:v>
      </x:c>
      <x:c r="B100" s="19" t="str">
        <x:v>駅について / のりかえ鉄道会社</x:v>
      </x:c>
      <x:c r="C100" s="19" t="str">
        <x:v>Official station served lines and named transfer operators; no union with nearby independent stations.</x:v>
      </x:c>
      <x:c r="D100" s="19" t="str">
        <x:v>https://www.tokyometro.jp/station/wakoshi/index.html</x:v>
      </x:c>
      <x:c r="E100" s="18"/>
      <x:c r="F100" s="18" t="str">
        <x:v>WEB_OFFICIAL_DOCUMENT</x:v>
      </x:c>
      <x:c r="G100" s="23" t="n">
        <x:v>46295</x:v>
      </x:c>
    </x:row>
    <x:row r="101" ht="28" customHeight="1">
      <x:c r="A101" s="19" t="str">
        <x:v>あざみ野</x:v>
      </x:c>
      <x:c r="B101" s="19" t="str">
        <x:v>#transfer / 乗り換え案内</x:v>
      </x:c>
      <x:c r="C101" s="19" t="str">
        <x:v>Official electric-rail transfer section confirms listed external rail connections.</x:v>
      </x:c>
      <x:c r="D101" s="19" t="str">
        <x:v>https://www.tokyu.co.jp/area/azamino/station/</x:v>
      </x:c>
      <x:c r="E101" s="18" t="str">
        <x:v>899f581f04d0af4e4a4353f71c3a6bf1b376b167f18bdf7389e29126bddd149e</x:v>
      </x:c>
      <x:c r="F101" s="18" t="str">
        <x:v>PUBLIC_HTTP</x:v>
      </x:c>
      <x:c r="G101" s="23" t="n">
        <x:v>46295</x:v>
      </x:c>
    </x:row>
    <x:row r="102" ht="28" customHeight="1">
      <x:c r="A102" s="19" t="str">
        <x:v>なかもず・中百舌鳥</x:v>
      </x:c>
      <x:c r="B102" s="19" t="str">
        <x:v>stationBox_name / transferList_box</x:v>
      </x:c>
      <x:c r="C102" s="19" t="str">
        <x:v>Official transfer list: 南海線</x:v>
      </x:c>
      <x:c r="D102" s="19" t="str">
        <x:v>https://subway.osakametro.co.jp/station_guide/M/m30/index.php</x:v>
      </x:c>
      <x:c r="E102" s="18" t="str">
        <x:v>a77a7c28fcc70a7b3d4eda03f7062a44acfe8d0fe8516d196403e8dd37754d4a</x:v>
      </x:c>
      <x:c r="F102" s="18" t="str">
        <x:v>PUBLIC_HTTP</x:v>
      </x:c>
      <x:c r="G102" s="23" t="n">
        <x:v>46295</x:v>
      </x:c>
    </x:row>
    <x:row r="103" ht="28" customHeight="1">
      <x:c r="A103" s="19" t="str">
        <x:v>なかもず・中百舌鳥</x:v>
      </x:c>
      <x:c r="B103" s="19" t="str">
        <x:v>出口・周辺施設 / station area map</x:v>
      </x:c>
      <x:c r="C103" s="19" t="str">
        <x:v>Exit guide cross-check for the connected named stations; not a distance inference.</x:v>
      </x:c>
      <x:c r="D103" s="19" t="str">
        <x:v>https://subway.osakametro.co.jp/station_guide/M/m30/map.php</x:v>
      </x:c>
      <x:c r="E103" s="18" t="str">
        <x:v>6895a07b7955f360c75b07898e665fea919371bf810c59d4a3c857149f990e2d</x:v>
      </x:c>
      <x:c r="F103" s="18" t="str">
        <x:v>PUBLIC_HTTP</x:v>
      </x:c>
      <x:c r="G103" s="23" t="n">
        <x:v>46295</x:v>
      </x:c>
    </x:row>
    <x:row r="104" ht="33" customHeight="1">
      <x:c r="A104" s="19" t="str">
        <x:v>烏丸・四条</x:v>
      </x:c>
      <x:c r="B104" s="19" t="str">
        <x:v>station list / 烏丸 / 乗換</x:v>
      </x:c>
      <x:c r="C104" s="19" t="str">
        <x:v>Operator explicitly lists interchange with the second operator. Station names remain distinct physical components.</x:v>
      </x:c>
      <x:c r="D104" s="19" t="str">
        <x:v>https://www.hankyu.co.jp/station/index.html</x:v>
      </x:c>
      <x:c r="E104" s="18" t="str">
        <x:v>66b4b162f04b6774b1e5e2a75c61d55a9a0c54d8c937caad2d77910c410a8c71</x:v>
      </x:c>
      <x:c r="F104" s="18" t="str">
        <x:v>PUBLIC_HTTP</x:v>
      </x:c>
      <x:c r="G104" s="23" t="n">
        <x:v>46295</x:v>
      </x:c>
    </x:row>
    <x:row r="105" ht="28" customHeight="1">
      <x:c r="A105" s="19" t="str">
        <x:v>烏丸御池</x:v>
      </x:c>
      <x:c r="B105" s="19" t="str">
        <x:v>駅案内 / 乗換</x:v>
      </x:c>
      <x:c r="C105" s="19" t="str">
        <x:v>Municipal guide names Karasuma and Tozai interchange at Karasuma-Oike.</x:v>
      </x:c>
      <x:c r="D105" s="19" t="str">
        <x:v>https://www2.city.kyoto.lg.jp/kotsu/tikadia/hyperdia/menu0135</x:v>
      </x:c>
      <x:c r="E105" s="18"/>
      <x:c r="F105" s="18" t="str">
        <x:v>WEB_OFFICIAL_DOCUMENT</x:v>
      </x:c>
      <x:c r="G105" s="23" t="n">
        <x:v>46295</x:v>
      </x:c>
    </x:row>
    <x:row r="106" ht="33" customHeight="1">
      <x:c r="A106" s="19" t="str">
        <x:v>王子・王子駅前</x:v>
      </x:c>
      <x:c r="B106" s="19" t="str">
        <x:v>のりかえ鉄道会社 / station transfer and exit guide</x:v>
      </x:c>
      <x:c r="C106" s="19" t="str">
        <x:v>Official transfer operators: JR東, 都営</x:v>
      </x:c>
      <x:c r="D106" s="19" t="str">
        <x:v>https://www.tokyometro.jp/station/oji/index.html</x:v>
      </x:c>
      <x:c r="E106" s="18"/>
      <x:c r="F106" s="18" t="str">
        <x:v>WEB_OFFICIAL_DOCUMENT</x:v>
      </x:c>
      <x:c r="G106" s="23" t="n">
        <x:v>46295</x:v>
      </x:c>
    </x:row>
    <x:row r="107" ht="33" customHeight="1">
      <x:c r="A107" s="19" t="str">
        <x:v>荻窪</x:v>
      </x:c>
      <x:c r="B107" s="19" t="str">
        <x:v>のりかえ鉄道会社 / station transfer and exit guide</x:v>
      </x:c>
      <x:c r="C107" s="19" t="str">
        <x:v>Official transfer operators: JR東</x:v>
      </x:c>
      <x:c r="D107" s="19" t="str">
        <x:v>https://www.tokyometro.jp/station/ogikubo/index.html</x:v>
      </x:c>
      <x:c r="E107" s="18"/>
      <x:c r="F107" s="18" t="str">
        <x:v>WEB_OFFICIAL_DOCUMENT</x:v>
      </x:c>
      <x:c r="G107" s="23" t="n">
        <x:v>46295</x:v>
      </x:c>
    </x:row>
    <x:row r="108" ht="28" customHeight="1">
      <x:c r="A108" s="19" t="str">
        <x:v>下北沢</x:v>
      </x:c>
      <x:c r="B108" s="19" t="str">
        <x:v>下北沢 / 乗換</x:v>
      </x:c>
      <x:c r="C108" s="19" t="str">
        <x:v>Official designated rail connection: 下北沢 / 京王電鉄, 下北沢 / 小田急電鉄</x:v>
      </x:c>
      <x:c r="D108" s="19" t="str">
        <x:v>https://www.keio.co.jp/train/station/</x:v>
      </x:c>
      <x:c r="E108" s="18" t="str">
        <x:v>75899744ec6862e4fcef922a450a9d321af1598dbaba860d6168e02e1cd9f13b</x:v>
      </x:c>
      <x:c r="F108" s="18" t="str">
        <x:v>PUBLIC_HTTP</x:v>
      </x:c>
      <x:c r="G108" s="23" t="n">
        <x:v>46295</x:v>
      </x:c>
    </x:row>
    <x:row r="109" ht="33" customHeight="1">
      <x:c r="A109" s="19" t="str">
        <x:v>霞ケ関</x:v>
      </x:c>
      <x:c r="B109" s="19" t="str">
        <x:v>駅について / のりかえ鉄道会社</x:v>
      </x:c>
      <x:c r="C109" s="19" t="str">
        <x:v>Official station served lines and named transfer operators; no union with nearby independent stations.</x:v>
      </x:c>
      <x:c r="D109" s="19" t="str">
        <x:v>https://www.tokyometro.jp/station/kasumigaseki/index.html</x:v>
      </x:c>
      <x:c r="E109" s="18"/>
      <x:c r="F109" s="18" t="str">
        <x:v>WEB_OFFICIAL_DOCUMENT</x:v>
      </x:c>
      <x:c r="G109" s="23" t="n">
        <x:v>46295</x:v>
      </x:c>
    </x:row>
    <x:row r="110" ht="28" customHeight="1">
      <x:c r="A110" s="19" t="str">
        <x:v>海老名</x:v>
      </x:c>
      <x:c r="B110" s="19" t="str">
        <x:v>海老名 / 他社線</x:v>
      </x:c>
      <x:c r="C110" s="19" t="str">
        <x:v>Official designated rail connection: 海老名 / 小田急電鉄, 海老名 / 相模鉄道, 海老名 / 東日本旅客鉄道</x:v>
      </x:c>
      <x:c r="D110" s="19" t="str">
        <x:v>https://www.odakyu.jp/station/</x:v>
      </x:c>
      <x:c r="E110" s="18" t="str">
        <x:v>3fcd48202f039aafc39eff1d54fce1c24df4cf8f7de13470fc46309e28afe8d4</x:v>
      </x:c>
      <x:c r="F110" s="18" t="str">
        <x:v>PUBLIC_HTTP</x:v>
      </x:c>
      <x:c r="G110" s="23" t="n">
        <x:v>46295</x:v>
      </x:c>
    </x:row>
    <x:row r="111" ht="28" customHeight="1">
      <x:c r="A111" s="19" t="str">
        <x:v>茅場町</x:v>
      </x:c>
      <x:c r="B111" s="19" t="str">
        <x:v>駅について / 日比谷線・東西線</x:v>
      </x:c>
      <x:c r="C111" s="19" t="str">
        <x:v>Official station guide identifies Hibiya and Tozai lines at one station.</x:v>
      </x:c>
      <x:c r="D111" s="19" t="str">
        <x:v>https://www.tokyometro.jp/station/kayabacho/index.html</x:v>
      </x:c>
      <x:c r="E111" s="18"/>
      <x:c r="F111" s="18" t="str">
        <x:v>WEB_OFFICIAL_DOCUMENT</x:v>
      </x:c>
      <x:c r="G111" s="23" t="n">
        <x:v>46295</x:v>
      </x:c>
    </x:row>
    <x:row r="112" ht="28" customHeight="1">
      <x:c r="A112" s="19" t="str">
        <x:v>亀戸</x:v>
      </x:c>
      <x:c r="B112" s="19" t="str">
        <x:v>乗り換え案内 / 鉄道</x:v>
      </x:c>
      <x:c r="C112" s="19" t="str">
        <x:v>Tobu official railway-transfer section names the connecting railway/station.</x:v>
      </x:c>
      <x:c r="D112" s="19" t="str">
        <x:v>https://www.tobu.co.jp/railway/guide/station/info/2106/</x:v>
      </x:c>
      <x:c r="E112" s="18" t="str">
        <x:v>f6471806c46115ab4fd043c7ce7bf99127ace4d5e1cbc2b5cfea435d20341649</x:v>
      </x:c>
      <x:c r="F112" s="18" t="str">
        <x:v>PUBLIC_HTTP</x:v>
      </x:c>
      <x:c r="G112" s="23" t="n">
        <x:v>46295</x:v>
      </x:c>
    </x:row>
    <x:row r="113" ht="28" customHeight="1">
      <x:c r="A113" s="19" t="str">
        <x:v>菊名</x:v>
      </x:c>
      <x:c r="B113" s="19" t="str">
        <x:v>#transfer / 乗り換え案内</x:v>
      </x:c>
      <x:c r="C113" s="19" t="str">
        <x:v>Official electric-rail transfer section confirms listed external rail connections.</x:v>
      </x:c>
      <x:c r="D113" s="19" t="str">
        <x:v>https://www.tokyu.co.jp/area/kikuna/station/</x:v>
      </x:c>
      <x:c r="E113" s="18" t="str">
        <x:v>4b515285563c9e464955f0846b4b219acd368d6271adabdea0c45a1c8a23a1f2</x:v>
      </x:c>
      <x:c r="F113" s="18" t="str">
        <x:v>PUBLIC_HTTP</x:v>
      </x:c>
      <x:c r="G113" s="23" t="n">
        <x:v>46295</x:v>
      </x:c>
    </x:row>
    <x:row r="114" ht="33" customHeight="1">
      <x:c r="A114" s="19" t="str">
        <x:v>久屋大通</x:v>
      </x:c>
      <x:c r="B114" s="19" t="str">
        <x:v>路線別 駅の情報 / 久屋大通</x:v>
      </x:c>
      <x:c r="C114" s="19" t="str">
        <x:v>City subway line index lists this station on connecting municipal lines; keep one operator/mode component.</x:v>
      </x:c>
      <x:c r="D114" s="19" t="str">
        <x:v>https://kotsu.city.nagoya.jp/rp/subway/</x:v>
      </x:c>
      <x:c r="E114" s="18" t="str">
        <x:v>4a7a532f756c832cebb37f6803768bd64c559063e3d2801f2f68ae533bbf4c6d</x:v>
      </x:c>
      <x:c r="F114" s="18" t="str">
        <x:v>PUBLIC_HTTP</x:v>
      </x:c>
      <x:c r="G114" s="23" t="n">
        <x:v>46295</x:v>
      </x:c>
    </x:row>
    <x:row r="115" ht="33" customHeight="1">
      <x:c r="A115" s="19" t="str">
        <x:v>京急蒲田</x:v>
      </x:c>
      <x:c r="B115" s="19" t="str">
        <x:v>駅案内 / 乗換</x:v>
      </x:c>
      <x:c r="C115" s="19" t="str">
        <x:v>Keikyu main and airport lines branch within the station. JR/Tokyu Kamata remains a separate Hub; no same-area union.</x:v>
      </x:c>
      <x:c r="D115" s="19" t="str">
        <x:v>https://www.keikyu.co.jp/ride/kakueki/KK11.html</x:v>
      </x:c>
      <x:c r="E115" s="18" t="str">
        <x:v>57d1072c3bc9d2279517fb04850ff52d311b0d7792aa317cdb8dc8cd0f46c764</x:v>
      </x:c>
      <x:c r="F115" s="18" t="str">
        <x:v>PUBLIC_HTTP</x:v>
      </x:c>
      <x:c r="G115" s="23" t="n">
        <x:v>46295</x:v>
      </x:c>
    </x:row>
    <x:row r="116" ht="33" customHeight="1">
      <x:c r="A116" s="19" t="str">
        <x:v>京都河原町・祇園四条</x:v>
      </x:c>
      <x:c r="B116" s="19" t="str">
        <x:v>station list / 京都河原町 / 乗換</x:v>
      </x:c>
      <x:c r="C116" s="19" t="str">
        <x:v>Operator explicitly lists interchange with the second operator. Station names remain distinct physical components.</x:v>
      </x:c>
      <x:c r="D116" s="19" t="str">
        <x:v>https://www.hankyu.co.jp/station/index.html</x:v>
      </x:c>
      <x:c r="E116" s="18" t="str">
        <x:v>66b4b162f04b6774b1e5e2a75c61d55a9a0c54d8c937caad2d77910c410a8c71</x:v>
      </x:c>
      <x:c r="F116" s="18" t="str">
        <x:v>PUBLIC_HTTP</x:v>
      </x:c>
      <x:c r="G116" s="23" t="n">
        <x:v>46295</x:v>
      </x:c>
    </x:row>
    <x:row r="117" ht="28" customHeight="1">
      <x:c r="A117" s="19" t="str">
        <x:v>橋本</x:v>
      </x:c>
      <x:c r="B117" s="19" t="str">
        <x:v>橋本 / JR 横浜線・相模線</x:v>
      </x:c>
      <x:c r="C117" s="19" t="str">
        <x:v>Official designated rail connection: 橋本 / 京王電鉄, 橋本 / 東日本旅客鉄道</x:v>
      </x:c>
      <x:c r="D117" s="19" t="str">
        <x:v>https://www.keio.co.jp/train/station/</x:v>
      </x:c>
      <x:c r="E117" s="18" t="str">
        <x:v>75899744ec6862e4fcef922a450a9d321af1598dbaba860d6168e02e1cd9f13b</x:v>
      </x:c>
      <x:c r="F117" s="18" t="str">
        <x:v>PUBLIC_HTTP</x:v>
      </x:c>
      <x:c r="G117" s="23" t="n">
        <x:v>46295</x:v>
      </x:c>
    </x:row>
    <x:row r="118" ht="33" customHeight="1">
      <x:c r="A118" s="19" t="str">
        <x:v>錦糸町</x:v>
      </x:c>
      <x:c r="B118" s="19" t="str">
        <x:v>のりかえ鉄道会社 / station transfer and exit guide</x:v>
      </x:c>
      <x:c r="C118" s="19" t="str">
        <x:v>Official transfer operators: JR東</x:v>
      </x:c>
      <x:c r="D118" s="19" t="str">
        <x:v>https://www.tokyometro.jp/station/kinshicho/index.html</x:v>
      </x:c>
      <x:c r="E118" s="18"/>
      <x:c r="F118" s="18" t="str">
        <x:v>WEB_OFFICIAL_DOCUMENT</x:v>
      </x:c>
      <x:c r="G118" s="23" t="n">
        <x:v>46295</x:v>
      </x:c>
    </x:row>
    <x:row r="119" ht="33" customHeight="1">
      <x:c r="A119" s="19" t="str">
        <x:v>金沢八景</x:v>
      </x:c>
      <x:c r="B119" s="19" t="str">
        <x:v>駅案内 / 乗換</x:v>
      </x:c>
      <x:c r="C119" s="19" t="str">
        <x:v>Keikyu documents the direct Seaside Line station connection completed in 2019. Keep separate operator/mode components.</x:v>
      </x:c>
      <x:c r="D119" s="19" t="str">
        <x:v>https://www.keikyu.co.jp/ride/kakueki/KK50.html</x:v>
      </x:c>
      <x:c r="E119" s="18" t="str">
        <x:v>9d825e765b230dd73d8cd4dc3e18a0317ee6d9add302f766bb5e0fb3cff1cc76</x:v>
      </x:c>
      <x:c r="F119" s="18" t="str">
        <x:v>PUBLIC_HTTP</x:v>
      </x:c>
      <x:c r="G119" s="23" t="n">
        <x:v>46295</x:v>
      </x:c>
    </x:row>
    <x:row r="120" ht="28" customHeight="1">
      <x:c r="A120" s="19" t="str">
        <x:v>月島</x:v>
      </x:c>
      <x:c r="B120" s="19" t="str">
        <x:v>のりかえ鉄道会社</x:v>
      </x:c>
      <x:c r="C120" s="19" t="str">
        <x:v>Metro official station page identifies the named connecting railway.</x:v>
      </x:c>
      <x:c r="D120" s="19" t="str">
        <x:v>https://www.tokyometro.jp/station/tsukishima/index.html</x:v>
      </x:c>
      <x:c r="E120" s="18"/>
      <x:c r="F120" s="18" t="str">
        <x:v>WEB_OFFICIAL_DOCUMENT</x:v>
      </x:c>
      <x:c r="G120" s="23" t="n">
        <x:v>46295</x:v>
      </x:c>
    </x:row>
    <x:row r="121" ht="28" customHeight="1">
      <x:c r="A121" s="19" t="str">
        <x:v>原宿・明治神宮前</x:v>
      </x:c>
      <x:c r="B121" s="19" t="str">
        <x:v>のりかえ鉄道会社</x:v>
      </x:c>
      <x:c r="C121" s="19" t="str">
        <x:v>Metro official guide identifies JR Harajuku interchange.</x:v>
      </x:c>
      <x:c r="D121" s="19" t="str">
        <x:v>https://www.tokyometro.jp/station/meiji-jingumae/index.html</x:v>
      </x:c>
      <x:c r="E121" s="18"/>
      <x:c r="F121" s="18" t="str">
        <x:v>WEB_OFFICIAL_DOCUMENT</x:v>
      </x:c>
      <x:c r="G121" s="23" t="n">
        <x:v>46295</x:v>
      </x:c>
    </x:row>
    <x:row r="122" ht="33" customHeight="1">
      <x:c r="A122" s="19" t="str">
        <x:v>後楽園・春日</x:v>
      </x:c>
      <x:c r="B122" s="19" t="str">
        <x:v>のりかえ鉄道会社 / station transfer and exit guide</x:v>
      </x:c>
      <x:c r="C122" s="19" t="str">
        <x:v>Official transfer operators: 都営</x:v>
      </x:c>
      <x:c r="D122" s="19" t="str">
        <x:v>https://www.tokyometro.jp/station/korakuen/index.html</x:v>
      </x:c>
      <x:c r="E122" s="18"/>
      <x:c r="F122" s="18" t="str">
        <x:v>WEB_OFFICIAL_DOCUMENT</x:v>
      </x:c>
      <x:c r="G122" s="23" t="n">
        <x:v>46295</x:v>
      </x:c>
    </x:row>
    <x:row r="123" ht="28" customHeight="1">
      <x:c r="A123" s="19" t="str">
        <x:v>後楽園・春日</x:v>
      </x:c>
      <x:c r="B123" s="19" t="str">
        <x:v>乗換案内</x:v>
      </x:c>
      <x:c r="C123" s="19" t="str">
        <x:v>Kasuga explicitly lists Korakuen Namboku and Marunouchi lines.</x:v>
      </x:c>
      <x:c r="D123" s="19" t="str">
        <x:v>https://www.kotsu.metro.tokyo.jp/subway/stations/kasuga.html</x:v>
      </x:c>
      <x:c r="E123" s="18"/>
      <x:c r="F123" s="18" t="str">
        <x:v>WEB_OFFICIAL_DOCUMENT</x:v>
      </x:c>
      <x:c r="G123" s="23" t="n">
        <x:v>46295</x:v>
      </x:c>
    </x:row>
    <x:row r="124" ht="47" customHeight="1">
      <x:c r="A124" s="19" t="str">
        <x:v>広島</x:v>
      </x:c>
      <x:c r="B124" s="19" t="str">
        <x:v>2025-08 工事だより / 駅ビル2階乗入れ</x:v>
      </x:c>
      <x:c r="C124" s="19" t="str">
        <x:v>Hiroden station moved into the JR station building second floor on 2025-08-03. JR conventional/Shinkansen and Hiroden tram share the rebuilt complex; FY2024 tram geometry requires relocation review.</x:v>
      </x:c>
      <x:c r="D124" s="19" t="str">
        <x:v>https://www.hiroden.co.jp/company/csr/pdf/hiroshimastation/news_202508.pdf</x:v>
      </x:c>
      <x:c r="E124" s="18"/>
      <x:c r="F124" s="18" t="str">
        <x:v>WEB_OFFICIAL_DOCUMENT</x:v>
      </x:c>
      <x:c r="G124" s="23" t="n">
        <x:v>46295</x:v>
      </x:c>
    </x:row>
    <x:row r="125" ht="28" customHeight="1">
      <x:c r="A125" s="19" t="str">
        <x:v>広島</x:v>
      </x:c>
      <x:c r="B125" s="19" t="str">
        <x:v>2026-06-05 / 構内図・のりば案内</x:v>
      </x:c>
      <x:c r="C125" s="19" t="str">
        <x:v>JR current map and platform list identify conventional and Shinkansen within one station.</x:v>
      </x:c>
      <x:c r="D125" s="19" t="str">
        <x:v>https://eki.jr-odekake.net/premises?id=0800613</x:v>
      </x:c>
      <x:c r="E125" s="18"/>
      <x:c r="F125" s="18" t="str">
        <x:v>WEB_OFFICIAL_DOCUMENT</x:v>
      </x:c>
      <x:c r="G125" s="23" t="n">
        <x:v>46295</x:v>
      </x:c>
    </x:row>
    <x:row r="126" ht="28" customHeight="1">
      <x:c r="A126" s="19" t="str">
        <x:v>江坂</x:v>
      </x:c>
      <x:c r="B126" s="19" t="str">
        <x:v>stationBox_name / transferList_box</x:v>
      </x:c>
      <x:c r="C126" s="19" t="str">
        <x:v>Official transfer list: 北大阪急行線(相互直通)</x:v>
      </x:c>
      <x:c r="D126" s="19" t="str">
        <x:v>https://subway.osakametro.co.jp/station_guide/M/m11/index.php</x:v>
      </x:c>
      <x:c r="E126" s="18" t="str">
        <x:v>f7eb1ccf5bcf39eed6361f72aa1acab2c81065a5fce7f021cd8f3ce62599aa55</x:v>
      </x:c>
      <x:c r="F126" s="18" t="str">
        <x:v>PUBLIC_HTTP</x:v>
      </x:c>
      <x:c r="G126" s="23" t="n">
        <x:v>46295</x:v>
      </x:c>
    </x:row>
    <x:row r="127" ht="28" customHeight="1">
      <x:c r="A127" s="19" t="str">
        <x:v>江坂</x:v>
      </x:c>
      <x:c r="B127" s="19" t="str">
        <x:v>出口・周辺施設 / station area map</x:v>
      </x:c>
      <x:c r="C127" s="19" t="str">
        <x:v>Exit guide cross-check for the connected named stations; not a distance inference.</x:v>
      </x:c>
      <x:c r="D127" s="19" t="str">
        <x:v>https://subway.osakametro.co.jp/station_guide/M/m11/map.php</x:v>
      </x:c>
      <x:c r="E127" s="18" t="str">
        <x:v>15329c2e6f430a29598ac58b1ac25ca72206d2deebc4c3b062e1ed1c5ecccf29</x:v>
      </x:c>
      <x:c r="F127" s="18" t="str">
        <x:v>PUBLIC_HTTP</x:v>
      </x:c>
      <x:c r="G127" s="23" t="n">
        <x:v>46295</x:v>
      </x:c>
    </x:row>
    <x:row r="128" ht="28" customHeight="1">
      <x:c r="A128" s="19" t="str">
        <x:v>溝の口・武蔵溝ノ口</x:v>
      </x:c>
      <x:c r="B128" s="19" t="str">
        <x:v>#transfer / JR 南武線</x:v>
      </x:c>
      <x:c r="C128" s="19" t="str">
        <x:v>Tokyu lists the JR Nambu connection; separate Tokyu and JR physical station names retained.</x:v>
      </x:c>
      <x:c r="D128" s="19" t="str">
        <x:v>https://www.tokyu.co.jp/area/mizonokuchi/station/</x:v>
      </x:c>
      <x:c r="E128" s="18" t="str">
        <x:v>f1d3259fe68dc4443d50b9bace17a37d875d0a530c2e308fbba2dc646ae07a2d</x:v>
      </x:c>
      <x:c r="F128" s="18" t="str">
        <x:v>PUBLIC_HTTP</x:v>
      </x:c>
      <x:c r="G128" s="23" t="n">
        <x:v>46295</x:v>
      </x:c>
    </x:row>
    <x:row r="129" ht="33" customHeight="1">
      <x:c r="A129" s="19" t="str">
        <x:v>溝の口・武蔵溝ノ口</x:v>
      </x:c>
      <x:c r="B129" s="19" t="str">
        <x:v>station page / 路線トップ</x:v>
      </x:c>
      <x:c r="C129" s="19" t="str">
        <x:v>Official station-specific served lines: 田園都市線, 大井町線. Supplement S12 source line labels without adding station components.</x:v>
      </x:c>
      <x:c r="D129" s="19" t="str">
        <x:v>https://www.tokyu.co.jp/area/mizonokuchi/station/</x:v>
      </x:c>
      <x:c r="E129" s="18" t="str">
        <x:v>f1d3259fe68dc4443d50b9bace17a37d875d0a530c2e308fbba2dc646ae07a2d</x:v>
      </x:c>
      <x:c r="F129" s="18" t="str">
        <x:v>PUBLIC_HTTP</x:v>
      </x:c>
      <x:c r="G129" s="23" t="n">
        <x:v>46295</x:v>
      </x:c>
    </x:row>
    <x:row r="130" ht="28" customHeight="1">
      <x:c r="A130" s="19" t="str">
        <x:v>高尾</x:v>
      </x:c>
      <x:c r="B130" s="19" t="str">
        <x:v>高尾 / 乗換</x:v>
      </x:c>
      <x:c r="C130" s="19" t="str">
        <x:v>Official designated rail connection: 高尾 / 京王電鉄, 高尾 / 東日本旅客鉄道</x:v>
      </x:c>
      <x:c r="D130" s="19" t="str">
        <x:v>https://www.keio.co.jp/train/station/</x:v>
      </x:c>
      <x:c r="E130" s="18" t="str">
        <x:v>75899744ec6862e4fcef922a450a9d321af1598dbaba860d6168e02e1cd9f13b</x:v>
      </x:c>
      <x:c r="F130" s="18" t="str">
        <x:v>PUBLIC_HTTP</x:v>
      </x:c>
      <x:c r="G130" s="23" t="n">
        <x:v>46295</x:v>
      </x:c>
    </x:row>
    <x:row r="131" ht="28" customHeight="1">
      <x:c r="A131" s="19" t="str">
        <x:v>堺筋本町</x:v>
      </x:c>
      <x:c r="B131" s="19" t="str">
        <x:v>stationBox_name / transferList_box</x:v>
      </x:c>
      <x:c r="C131" s="19" t="str">
        <x:v>Official transfer list: K15堺筋本町 堺筋線</x:v>
      </x:c>
      <x:c r="D131" s="19" t="str">
        <x:v>https://subway.osakametro.co.jp/station_guide/C/c17/index.php</x:v>
      </x:c>
      <x:c r="E131" s="18" t="str">
        <x:v>199290650ad50a6bde12a84ceaf6b7488b95a2e95568f3653f2c1025526b2d71</x:v>
      </x:c>
      <x:c r="F131" s="18" t="str">
        <x:v>PUBLIC_HTTP</x:v>
      </x:c>
      <x:c r="G131" s="23" t="n">
        <x:v>46295</x:v>
      </x:c>
    </x:row>
    <x:row r="132" ht="28" customHeight="1">
      <x:c r="A132" s="19" t="str">
        <x:v>堺筋本町</x:v>
      </x:c>
      <x:c r="B132" s="19" t="str">
        <x:v>stationBox_name / transferList_box</x:v>
      </x:c>
      <x:c r="C132" s="19" t="str">
        <x:v>Official transfer list: C17堺筋本町 中央線</x:v>
      </x:c>
      <x:c r="D132" s="19" t="str">
        <x:v>https://subway.osakametro.co.jp/station_guide/K/k15/index.php</x:v>
      </x:c>
      <x:c r="E132" s="18" t="str">
        <x:v>dc018250e88c0e4df722a3135adff43e1b04852f2b17feee7ab9b16bd250df42</x:v>
      </x:c>
      <x:c r="F132" s="18" t="str">
        <x:v>PUBLIC_HTTP</x:v>
      </x:c>
      <x:c r="G132" s="23" t="n">
        <x:v>46295</x:v>
      </x:c>
    </x:row>
    <x:row r="133" ht="33" customHeight="1">
      <x:c r="A133" s="19" t="str">
        <x:v>札幌</x:v>
      </x:c>
      <x:c r="B133" s="19" t="str">
        <x:v>さっぽろ駅 構内図 / JR札幌駅</x:v>
      </x:c>
      <x:c r="C133" s="19" t="str">
        <x:v>City station map locates JR Sapporo and Namboku/Toho subway within the connected station concourse. JR and municipal Metro stay separate.</x:v>
      </x:c>
      <x:c r="D133" s="19" t="str">
        <x:v>https://www.city.sapporo.jp/st/documents/sapporoshinzyuuhachituika.pdf</x:v>
      </x:c>
      <x:c r="E133" s="18" t="str">
        <x:v>f1aab6725e34f7a0090042cc56030cdd764f091ac1533062c674f6d450419a30</x:v>
      </x:c>
      <x:c r="F133" s="18" t="str">
        <x:v>PUBLIC_HTTP</x:v>
      </x:c>
      <x:c r="G133" s="23" t="n">
        <x:v>46295</x:v>
      </x:c>
    </x:row>
    <x:row r="134" ht="28" customHeight="1">
      <x:c r="A134" s="19" t="str">
        <x:v>三越前・新日本橋</x:v>
      </x:c>
      <x:c r="B134" s="19" t="str">
        <x:v>のりかえ鉄道会社 / 構内図</x:v>
      </x:c>
      <x:c r="C134" s="19" t="str">
        <x:v>Metro designates the JR connection at Shin-Nihombashi; retain separate station components.</x:v>
      </x:c>
      <x:c r="D134" s="19" t="str">
        <x:v>https://www.tokyometro.jp/station/mitsukoshimae/index.html</x:v>
      </x:c>
      <x:c r="E134" s="18"/>
      <x:c r="F134" s="18" t="str">
        <x:v>WEB_OFFICIAL_DOCUMENT</x:v>
      </x:c>
      <x:c r="G134" s="23" t="n">
        <x:v>46295</x:v>
      </x:c>
    </x:row>
    <x:row r="135" ht="33" customHeight="1">
      <x:c r="A135" s="19" t="str">
        <x:v>三島</x:v>
      </x:c>
      <x:c r="B135" s="19" t="str">
        <x:v>駅案内 / 乗換</x:v>
      </x:c>
      <x:c r="C135" s="19" t="str">
        <x:v>JR Central official station guide lists Shinkansen, Tokaido conventional and Izu-Hakone connection.</x:v>
      </x:c>
      <x:c r="D135" s="19" t="str">
        <x:v>https://railway.jr-central.co.jp/station-guide/shinkansen/mishima/index.html</x:v>
      </x:c>
      <x:c r="E135" s="18" t="str">
        <x:v>28d2da44be87a1454224de2c8eb4e1dace4548f932897e832bc79fb0f7b50b07</x:v>
      </x:c>
      <x:c r="F135" s="18" t="str">
        <x:v>PUBLIC_HTTP</x:v>
      </x:c>
      <x:c r="G135" s="23" t="n">
        <x:v>46295</x:v>
      </x:c>
    </x:row>
    <x:row r="136" ht="33" customHeight="1">
      <x:c r="A136" s="19" t="str">
        <x:v>四ツ谷</x:v>
      </x:c>
      <x:c r="B136" s="19" t="str">
        <x:v>のりかえ鉄道会社 / station transfer and exit guide</x:v>
      </x:c>
      <x:c r="C136" s="19" t="str">
        <x:v>Official transfer operators: JR東</x:v>
      </x:c>
      <x:c r="D136" s="19" t="str">
        <x:v>https://www.tokyometro.jp/station/yotsuya/index.html</x:v>
      </x:c>
      <x:c r="E136" s="18"/>
      <x:c r="F136" s="18" t="str">
        <x:v>WEB_OFFICIAL_DOCUMENT</x:v>
      </x:c>
      <x:c r="G136" s="23" t="n">
        <x:v>46295</x:v>
      </x:c>
    </x:row>
    <x:row r="137" ht="33" customHeight="1">
      <x:c r="A137" s="19" t="str">
        <x:v>市ケ谷</x:v>
      </x:c>
      <x:c r="B137" s="19" t="str">
        <x:v>のりかえ鉄道会社 / station transfer and exit guide</x:v>
      </x:c>
      <x:c r="C137" s="19" t="str">
        <x:v>Official transfer operators: JR東, 都営</x:v>
      </x:c>
      <x:c r="D137" s="19" t="str">
        <x:v>https://www.tokyometro.jp/station/ichigaya/index.html</x:v>
      </x:c>
      <x:c r="E137" s="18"/>
      <x:c r="F137" s="18" t="str">
        <x:v>WEB_OFFICIAL_DOCUMENT</x:v>
      </x:c>
      <x:c r="G137" s="23" t="n">
        <x:v>46295</x:v>
      </x:c>
    </x:row>
    <x:row r="138" ht="28" customHeight="1">
      <x:c r="A138" s="19" t="str">
        <x:v>住吉</x:v>
      </x:c>
      <x:c r="B138" s="19" t="str">
        <x:v>のりかえ鉄道会社</x:v>
      </x:c>
      <x:c r="C138" s="19" t="str">
        <x:v>Metro official station page identifies the named connecting railway.</x:v>
      </x:c>
      <x:c r="D138" s="19" t="str">
        <x:v>https://www.tokyometro.jp/station/sumiyoshi/index.html</x:v>
      </x:c>
      <x:c r="E138" s="18"/>
      <x:c r="F138" s="18" t="str">
        <x:v>WEB_OFFICIAL_DOCUMENT</x:v>
      </x:c>
      <x:c r="G138" s="23" t="n">
        <x:v>46295</x:v>
      </x:c>
    </x:row>
    <x:row r="139" ht="28" customHeight="1">
      <x:c r="A139" s="19" t="str">
        <x:v>所沢</x:v>
      </x:c>
      <x:c r="B139" s="19" t="str">
        <x:v>所沢 / 接続路線</x:v>
      </x:c>
      <x:c r="C139" s="19" t="str">
        <x:v>Official multi-line/branch interchange; shared operator/mode kept as a single component.</x:v>
      </x:c>
      <x:c r="D139" s="19" t="str">
        <x:v>https://www.seiburailway.jp/railway/station/</x:v>
      </x:c>
      <x:c r="E139" s="18" t="str">
        <x:v>a445fcabc9f8b568d947cc0bacc94cdc85f749133c2cfa490e01e3d4548b8130</x:v>
      </x:c>
      <x:c r="F139" s="18" t="str">
        <x:v>PUBLIC_HTTP</x:v>
      </x:c>
      <x:c r="G139" s="23" t="n">
        <x:v>46295</x:v>
      </x:c>
    </x:row>
    <x:row r="140" ht="33" customHeight="1">
      <x:c r="A140" s="19" t="str">
        <x:v>小倉</x:v>
      </x:c>
      <x:c r="B140" s="19" t="str">
        <x:v>小倉 / 乗り換え</x:v>
      </x:c>
      <x:c r="C140" s="19" t="str">
        <x:v>Monorail terminal explicitly connects with JR Kokura; conventional/Shinkansen remain different operators and modes.</x:v>
      </x:c>
      <x:c r="D140" s="19" t="str">
        <x:v>https://www.kitakyushu-monorail.co.jp/route/kokura.php</x:v>
      </x:c>
      <x:c r="E140" s="18"/>
      <x:c r="F140" s="18" t="str">
        <x:v>WEB_OFFICIAL_DOCUMENT</x:v>
      </x:c>
      <x:c r="G140" s="23" t="n">
        <x:v>46295</x:v>
      </x:c>
    </x:row>
    <x:row r="141" ht="28" customHeight="1">
      <x:c r="A141" s="19" t="str">
        <x:v>湘南台</x:v>
      </x:c>
      <x:c r="B141" s="19" t="str">
        <x:v>湘南台 / 他社線</x:v>
      </x:c>
      <x:c r="C141" s="19" t="str">
        <x:v>Official designated rail connection: 湘南台 / 小田急電鉄, 湘南台 / 相模鉄道, 湘南台 / 横浜市</x:v>
      </x:c>
      <x:c r="D141" s="19" t="str">
        <x:v>https://www.odakyu.jp/station/</x:v>
      </x:c>
      <x:c r="E141" s="18" t="str">
        <x:v>3fcd48202f039aafc39eff1d54fce1c24df4cf8f7de13470fc46309e28afe8d4</x:v>
      </x:c>
      <x:c r="F141" s="18" t="str">
        <x:v>PUBLIC_HTTP</x:v>
      </x:c>
      <x:c r="G141" s="23" t="n">
        <x:v>46295</x:v>
      </x:c>
    </x:row>
    <x:row r="142" ht="28" customHeight="1">
      <x:c r="A142" s="19" t="str">
        <x:v>上前津</x:v>
      </x:c>
      <x:c r="B142" s="19" t="str">
        <x:v>駅案内 / 乗換</x:v>
      </x:c>
      <x:c r="C142" s="19" t="str">
        <x:v>Official station guide maps Meijo and Tsurumai platforms in one municipal station component.</x:v>
      </x:c>
      <x:c r="D142" s="19" t="str">
        <x:v>https://www.kotsu.city.nagoya.jp/rp/reader/trp0001072.htm</x:v>
      </x:c>
      <x:c r="E142" s="18"/>
      <x:c r="F142" s="18" t="str">
        <x:v>WEB_OFFICIAL_DOCUMENT</x:v>
      </x:c>
      <x:c r="G142" s="23" t="n">
        <x:v>46295</x:v>
      </x:c>
    </x:row>
    <x:row r="143" ht="28" customHeight="1">
      <x:c r="A143" s="19" t="str">
        <x:v>上大岡</x:v>
      </x:c>
      <x:c r="B143" s="19" t="str">
        <x:v>駅案内 / 乗換</x:v>
      </x:c>
      <x:c r="C143" s="19" t="str">
        <x:v>Keikyu official station guide identifies Yokohama Blue Line transfer.</x:v>
      </x:c>
      <x:c r="D143" s="19" t="str">
        <x:v>https://www.keikyu.co.jp/ride/kakueki/KK44.html</x:v>
      </x:c>
      <x:c r="E143" s="18" t="str">
        <x:v>abefab2c297206d4230c6df1304e60ab7638c09451b402fe41526610929af192</x:v>
      </x:c>
      <x:c r="F143" s="18" t="str">
        <x:v>PUBLIC_HTTP</x:v>
      </x:c>
      <x:c r="G143" s="23" t="n">
        <x:v>46295</x:v>
      </x:c>
    </x:row>
    <x:row r="144" ht="28" customHeight="1">
      <x:c r="A144" s="19" t="str">
        <x:v>心斎橋・四ツ橋</x:v>
      </x:c>
      <x:c r="B144" s="19" t="str">
        <x:v>stationBox_name / transferList_box</x:v>
      </x:c>
      <x:c r="C144" s="19" t="str">
        <x:v>Official transfer list: Y14四ツ橋 四つ橋線, N15心斎橋 長堀鶴見緑地線</x:v>
      </x:c>
      <x:c r="D144" s="19" t="str">
        <x:v>https://subway.osakametro.co.jp/station_guide/M/m19/index.php</x:v>
      </x:c>
      <x:c r="E144" s="18" t="str">
        <x:v>219617c63982e9fddaa13b52994b899a360745456305e2a3352f92d78b0bfa04</x:v>
      </x:c>
      <x:c r="F144" s="18" t="str">
        <x:v>PUBLIC_HTTP</x:v>
      </x:c>
      <x:c r="G144" s="23" t="n">
        <x:v>46295</x:v>
      </x:c>
    </x:row>
    <x:row r="145" ht="28" customHeight="1">
      <x:c r="A145" s="19" t="str">
        <x:v>心斎橋・四ツ橋</x:v>
      </x:c>
      <x:c r="B145" s="19" t="str">
        <x:v>stationBox_name / transferList_box</x:v>
      </x:c>
      <x:c r="C145" s="19" t="str">
        <x:v>Official transfer list: M19心斎橋 御堂筋線, Y14四ツ橋 四つ橋線</x:v>
      </x:c>
      <x:c r="D145" s="19" t="str">
        <x:v>https://subway.osakametro.co.jp/station_guide/N/n15/index.php</x:v>
      </x:c>
      <x:c r="E145" s="18" t="str">
        <x:v>a771fcff131791176d1f4eb5adc018f317e9fbd86297006139b5e5726c84688c</x:v>
      </x:c>
      <x:c r="F145" s="18" t="str">
        <x:v>PUBLIC_HTTP</x:v>
      </x:c>
      <x:c r="G145" s="23" t="n">
        <x:v>46295</x:v>
      </x:c>
    </x:row>
    <x:row r="146" ht="28" customHeight="1">
      <x:c r="A146" s="19" t="str">
        <x:v>心斎橋・四ツ橋</x:v>
      </x:c>
      <x:c r="B146" s="19" t="str">
        <x:v>stationBox_name / transferList_box</x:v>
      </x:c>
      <x:c r="C146" s="19" t="str">
        <x:v>Official transfer list: M19心斎橋 御堂筋線, N15心斎橋 長堀鶴見緑地線</x:v>
      </x:c>
      <x:c r="D146" s="19" t="str">
        <x:v>https://subway.osakametro.co.jp/station_guide/Y/y14/index.php</x:v>
      </x:c>
      <x:c r="E146" s="18" t="str">
        <x:v>5f998ec2e55723e7df3180b3c5889dc7936e5bc1876c90b1b865c5280a0f52b6</x:v>
      </x:c>
      <x:c r="F146" s="18" t="str">
        <x:v>PUBLIC_HTTP</x:v>
      </x:c>
      <x:c r="G146" s="23" t="n">
        <x:v>46295</x:v>
      </x:c>
    </x:row>
    <x:row r="147" ht="28" customHeight="1">
      <x:c r="A147" s="19" t="str">
        <x:v>新越谷・南越谷</x:v>
      </x:c>
      <x:c r="B147" s="19" t="str">
        <x:v>乗り換え案内 / 鉄道</x:v>
      </x:c>
      <x:c r="C147" s="19" t="str">
        <x:v>Tobu official railway-transfer section names the connecting railway/station.</x:v>
      </x:c>
      <x:c r="D147" s="19" t="str">
        <x:v>https://www.tobu.co.jp/railway/guide/station/info/1408/</x:v>
      </x:c>
      <x:c r="E147" s="18" t="str">
        <x:v>91ac85be2fca17fae9b54ddf1b3dee2042fea4fac3bd47bc7f415efa85676ad5</x:v>
      </x:c>
      <x:c r="F147" s="18" t="str">
        <x:v>PUBLIC_HTTP</x:v>
      </x:c>
      <x:c r="G147" s="23" t="n">
        <x:v>46295</x:v>
      </x:c>
    </x:row>
    <x:row r="148" ht="33" customHeight="1">
      <x:c r="A148" s="19" t="str">
        <x:v>新横浜</x:v>
      </x:c>
      <x:c r="B148" s="19" t="str">
        <x:v>駅案内 / 乗換</x:v>
      </x:c>
      <x:c r="C148" s="19" t="str">
        <x:v>Sotetsu official station guide identifies Tokyu, JR and Yokohama subway at Shin-Yokohama. Keep five operator/mode components.</x:v>
      </x:c>
      <x:c r="D148" s="19" t="str">
        <x:v>https://www.sotetsu.co.jp/train/stations/shinyokohama/</x:v>
      </x:c>
      <x:c r="E148" s="18" t="str">
        <x:v>a44fab6493bc63090762aa9593b3e39d62267833a7bb880c36236807bbb5612b</x:v>
      </x:c>
      <x:c r="F148" s="18" t="str">
        <x:v>PUBLIC_HTTP</x:v>
      </x:c>
      <x:c r="G148" s="23" t="n">
        <x:v>46295</x:v>
      </x:c>
    </x:row>
    <x:row r="149" ht="28" customHeight="1">
      <x:c r="A149" s="19" t="str">
        <x:v>新横浜</x:v>
      </x:c>
      <x:c r="B149" s="19" t="str">
        <x:v>相鉄・東急からJRへの乗換案内</x:v>
      </x:c>
      <x:c r="C149" s="19" t="str">
        <x:v>Operator provides the station interchange route from Sotetsu/Tokyu to JR.</x:v>
      </x:c>
      <x:c r="D149" s="19" t="str">
        <x:v>https://cdn.sotetsu.co.jp/media/2023/news/train/info-train-2023-03-16-002.pdf</x:v>
      </x:c>
      <x:c r="E149" s="18"/>
      <x:c r="F149" s="18" t="str">
        <x:v>WEB_OFFICIAL_DOCUMENT</x:v>
      </x:c>
      <x:c r="G149" s="23" t="n">
        <x:v>46295</x:v>
      </x:c>
    </x:row>
    <x:row r="150" ht="33" customHeight="1">
      <x:c r="A150" s="19" t="str">
        <x:v>新宿三丁目</x:v>
      </x:c>
      <x:c r="B150" s="19" t="str">
        <x:v>のりかえ鉄道会社 / station transfer and exit guide</x:v>
      </x:c>
      <x:c r="C150" s="19" t="str">
        <x:v>Official transfer operators: 都営</x:v>
      </x:c>
      <x:c r="D150" s="19" t="str">
        <x:v>https://www.tokyometro.jp/station/shinjuku-sanchome/index.html</x:v>
      </x:c>
      <x:c r="E150" s="18"/>
      <x:c r="F150" s="18" t="str">
        <x:v>WEB_OFFICIAL_DOCUMENT</x:v>
      </x:c>
      <x:c r="G150" s="23" t="n">
        <x:v>46295</x:v>
      </x:c>
    </x:row>
    <x:row r="151" ht="28" customHeight="1">
      <x:c r="A151" s="19" t="str">
        <x:v>新大阪</x:v>
      </x:c>
      <x:c r="B151" s="19" t="str">
        <x:v>stationBox_name / transferList_box</x:v>
      </x:c>
      <x:c r="C151" s="19" t="str">
        <x:v>Official transfer list: JR線, 新幹線</x:v>
      </x:c>
      <x:c r="D151" s="19" t="str">
        <x:v>https://subway.osakametro.co.jp/station_guide/M/m13/index.php</x:v>
      </x:c>
      <x:c r="E151" s="18" t="str">
        <x:v>9e655a1cbde389c76a88b4927055fdf610f0ede23c2d68b7be53e8152685fd20</x:v>
      </x:c>
      <x:c r="F151" s="18" t="str">
        <x:v>PUBLIC_HTTP</x:v>
      </x:c>
      <x:c r="G151" s="23" t="n">
        <x:v>46295</x:v>
      </x:c>
    </x:row>
    <x:row r="152" ht="28" customHeight="1">
      <x:c r="A152" s="19" t="str">
        <x:v>新大阪</x:v>
      </x:c>
      <x:c r="B152" s="19" t="str">
        <x:v>出口・周辺施設 / station area map</x:v>
      </x:c>
      <x:c r="C152" s="19" t="str">
        <x:v>Exit guide cross-check for the connected named stations; not a distance inference.</x:v>
      </x:c>
      <x:c r="D152" s="19" t="str">
        <x:v>https://subway.osakametro.co.jp/station_guide/M/m13/map.php</x:v>
      </x:c>
      <x:c r="E152" s="18" t="str">
        <x:v>b0beb8a036d9195d7a2f38eafe366727f78a3f535cfa49e561331d3c16be85e1</x:v>
      </x:c>
      <x:c r="F152" s="18" t="str">
        <x:v>PUBLIC_HTTP</x:v>
      </x:c>
      <x:c r="G152" s="23" t="n">
        <x:v>46295</x:v>
      </x:c>
    </x:row>
    <x:row r="153" ht="28" customHeight="1">
      <x:c r="A153" s="19" t="str">
        <x:v>新百合ヶ丘</x:v>
      </x:c>
      <x:c r="B153" s="19" t="str">
        <x:v>新百合ヶ丘 / 路線</x:v>
      </x:c>
      <x:c r="C153" s="19" t="str">
        <x:v>Official branch interchange; aggregate lineRefs in one operator component.</x:v>
      </x:c>
      <x:c r="D153" s="19" t="str">
        <x:v>https://www.odakyu.jp/station/</x:v>
      </x:c>
      <x:c r="E153" s="18" t="str">
        <x:v>3fcd48202f039aafc39eff1d54fce1c24df4cf8f7de13470fc46309e28afe8d4</x:v>
      </x:c>
      <x:c r="F153" s="18" t="str">
        <x:v>PUBLIC_HTTP</x:v>
      </x:c>
      <x:c r="G153" s="23" t="n">
        <x:v>46295</x:v>
      </x:c>
    </x:row>
    <x:row r="154" ht="33" customHeight="1">
      <x:c r="A154" s="19" t="str">
        <x:v>新木場</x:v>
      </x:c>
      <x:c r="B154" s="19" t="str">
        <x:v>のりかえ鉄道会社 / station transfer and exit guide</x:v>
      </x:c>
      <x:c r="C154" s="19" t="str">
        <x:v>Official transfer operators: JR東, りんかい</x:v>
      </x:c>
      <x:c r="D154" s="19" t="str">
        <x:v>https://www.tokyometro.jp/station/shin-kiba/index.html</x:v>
      </x:c>
      <x:c r="E154" s="18"/>
      <x:c r="F154" s="18" t="str">
        <x:v>WEB_OFFICIAL_DOCUMENT</x:v>
      </x:c>
      <x:c r="G154" s="23" t="n">
        <x:v>46295</x:v>
      </x:c>
    </x:row>
    <x:row r="155" ht="33" customHeight="1">
      <x:c r="A155" s="19" t="str">
        <x:v>神戸・ハーバーランド</x:v>
      </x:c>
      <x:c r="B155" s="19" t="str">
        <x:v>西神・山手・北神 / 海岸線 / 換乘</x:v>
      </x:c>
      <x:c r="C155" s="19" t="str">
        <x:v>City subway table identifies the connected rail line at this station; different station names retained.</x:v>
      </x:c>
      <x:c r="D155" s="19" t="str">
        <x:v>https://kotsu.city.kobe.lg.jp/chinese-trad/cnt-subway-map/</x:v>
      </x:c>
      <x:c r="E155" s="18"/>
      <x:c r="F155" s="18" t="str">
        <x:v>WEB_OFFICIAL_DOCUMENT</x:v>
      </x:c>
      <x:c r="G155" s="23" t="n">
        <x:v>46295</x:v>
      </x:c>
    </x:row>
    <x:row r="156" ht="28" customHeight="1">
      <x:c r="A156" s="19" t="str">
        <x:v>神田</x:v>
      </x:c>
      <x:c r="B156" s="19" t="str">
        <x:v>のりかえ鉄道会社</x:v>
      </x:c>
      <x:c r="C156" s="19" t="str">
        <x:v>Metro official station page identifies the named connecting railway.</x:v>
      </x:c>
      <x:c r="D156" s="19" t="str">
        <x:v>https://www.tokyometro.jp/station/kanda/index.html</x:v>
      </x:c>
      <x:c r="E156" s="18"/>
      <x:c r="F156" s="18" t="str">
        <x:v>WEB_OFFICIAL_DOCUMENT</x:v>
      </x:c>
      <x:c r="G156" s="23" t="n">
        <x:v>46295</x:v>
      </x:c>
    </x:row>
    <x:row r="157" ht="33" customHeight="1">
      <x:c r="A157" s="19" t="str">
        <x:v>神保町</x:v>
      </x:c>
      <x:c r="B157" s="19" t="str">
        <x:v>駅について / のりかえ鉄道会社</x:v>
      </x:c>
      <x:c r="C157" s="19" t="str">
        <x:v>Official station served lines and named transfer operators; no union with nearby independent stations.</x:v>
      </x:c>
      <x:c r="D157" s="19" t="str">
        <x:v>https://www.tokyometro.jp/station/jimbocho/index.html</x:v>
      </x:c>
      <x:c r="E157" s="18"/>
      <x:c r="F157" s="18" t="str">
        <x:v>WEB_OFFICIAL_DOCUMENT</x:v>
      </x:c>
      <x:c r="G157" s="23" t="n">
        <x:v>46295</x:v>
      </x:c>
    </x:row>
    <x:row r="158" ht="33" customHeight="1">
      <x:c r="A158" s="19" t="str">
        <x:v>人形町・水天宮前</x:v>
      </x:c>
      <x:c r="B158" s="19" t="str">
        <x:v>のりかえ駅 / 水天宮前</x:v>
      </x:c>
      <x:c r="C158" s="19" t="str">
        <x:v>Operator-designated out-of-gate interchange pair plus Toei; pedestrian transfer, not one paid area.</x:v>
      </x:c>
      <x:c r="D158" s="19" t="str">
        <x:v>https://www.tokyometro.jp/station/ningyocho/index.html</x:v>
      </x:c>
      <x:c r="E158" s="18"/>
      <x:c r="F158" s="18" t="str">
        <x:v>WEB_OFFICIAL_DOCUMENT</x:v>
      </x:c>
      <x:c r="G158" s="23" t="n">
        <x:v>46295</x:v>
      </x:c>
    </x:row>
    <x:row r="159" ht="28" customHeight="1">
      <x:c r="A159" s="19" t="str">
        <x:v>水道橋</x:v>
      </x:c>
      <x:c r="B159" s="19" t="str">
        <x:v>乗り換え案内</x:v>
      </x:c>
      <x:c r="C159" s="19" t="str">
        <x:v>Toei official station guide designates the JR connection.</x:v>
      </x:c>
      <x:c r="D159" s="19" t="str">
        <x:v>https://www.kotsu.metro.tokyo.jp/subway/stations/suidobashi.html</x:v>
      </x:c>
      <x:c r="E159" s="18"/>
      <x:c r="F159" s="18" t="str">
        <x:v>WEB_OFFICIAL_DOCUMENT</x:v>
      </x:c>
      <x:c r="G159" s="23" t="n">
        <x:v>46295</x:v>
      </x:c>
    </x:row>
    <x:row r="160" ht="33" customHeight="1">
      <x:c r="A160" s="19" t="str">
        <x:v>清澄白河</x:v>
      </x:c>
      <x:c r="B160" s="19" t="str">
        <x:v>駅について / のりかえ鉄道会社</x:v>
      </x:c>
      <x:c r="C160" s="19" t="str">
        <x:v>Official station served lines and named transfer operators; no union with nearby independent stations.</x:v>
      </x:c>
      <x:c r="D160" s="19" t="str">
        <x:v>https://www.tokyometro.jp/station/kiyosumi-shirakawa/index.html</x:v>
      </x:c>
      <x:c r="E160" s="18"/>
      <x:c r="F160" s="18" t="str">
        <x:v>WEB_OFFICIAL_DOCUMENT</x:v>
      </x:c>
      <x:c r="G160" s="23" t="n">
        <x:v>46295</x:v>
      </x:c>
    </x:row>
    <x:row r="161" ht="28" customHeight="1">
      <x:c r="A161" s="19" t="str">
        <x:v>西中島南方・南方</x:v>
      </x:c>
      <x:c r="B161" s="19" t="str">
        <x:v>stationBox_name / transferList_box</x:v>
      </x:c>
      <x:c r="C161" s="19" t="str">
        <x:v>Official transfer list: 阪急線</x:v>
      </x:c>
      <x:c r="D161" s="19" t="str">
        <x:v>https://subway.osakametro.co.jp/station_guide/M/m14/index.php</x:v>
      </x:c>
      <x:c r="E161" s="18" t="str">
        <x:v>b9ce6806af45b5c37dbd2298b07cf086b50994425f102745058fe69e3cc7ca4e</x:v>
      </x:c>
      <x:c r="F161" s="18" t="str">
        <x:v>PUBLIC_HTTP</x:v>
      </x:c>
      <x:c r="G161" s="23" t="n">
        <x:v>46295</x:v>
      </x:c>
    </x:row>
    <x:row r="162" ht="28" customHeight="1">
      <x:c r="A162" s="19" t="str">
        <x:v>西中島南方・南方</x:v>
      </x:c>
      <x:c r="B162" s="19" t="str">
        <x:v>出口・周辺施設 / station area map</x:v>
      </x:c>
      <x:c r="C162" s="19" t="str">
        <x:v>Exit guide cross-check for the connected named stations; not a distance inference.</x:v>
      </x:c>
      <x:c r="D162" s="19" t="str">
        <x:v>https://subway.osakametro.co.jp/station_guide/M/m14/map.php</x:v>
      </x:c>
      <x:c r="E162" s="18" t="str">
        <x:v>e22cfe761c80388b60479cfe225f8aaaf6abbac4ff7e8d99d0edb5881fc27b11</x:v>
      </x:c>
      <x:c r="F162" s="18" t="str">
        <x:v>PUBLIC_HTTP</x:v>
      </x:c>
      <x:c r="G162" s="23" t="n">
        <x:v>46295</x:v>
      </x:c>
    </x:row>
    <x:row r="163" ht="33" customHeight="1">
      <x:c r="A163" s="19" t="str">
        <x:v>西日暮里</x:v>
      </x:c>
      <x:c r="B163" s="19" t="str">
        <x:v>のりかえ鉄道会社 / station transfer and exit guide</x:v>
      </x:c>
      <x:c r="C163" s="19" t="str">
        <x:v>Official transfer operators: JR東, 都営</x:v>
      </x:c>
      <x:c r="D163" s="19" t="str">
        <x:v>https://www.tokyometro.jp/station/nishi-nippori/index.html</x:v>
      </x:c>
      <x:c r="E163" s="18"/>
      <x:c r="F163" s="18" t="str">
        <x:v>WEB_OFFICIAL_DOCUMENT</x:v>
      </x:c>
      <x:c r="G163" s="23" t="n">
        <x:v>46295</x:v>
      </x:c>
    </x:row>
    <x:row r="164" ht="33" customHeight="1">
      <x:c r="A164" s="19" t="str">
        <x:v>青山一丁目</x:v>
      </x:c>
      <x:c r="B164" s="19" t="str">
        <x:v>のりかえ鉄道会社 / station transfer and exit guide</x:v>
      </x:c>
      <x:c r="C164" s="19" t="str">
        <x:v>Official transfer operators: 都営</x:v>
      </x:c>
      <x:c r="D164" s="19" t="str">
        <x:v>https://www.tokyometro.jp/station/aoyama-itchome/index.html</x:v>
      </x:c>
      <x:c r="E164" s="18"/>
      <x:c r="F164" s="18" t="str">
        <x:v>WEB_OFFICIAL_DOCUMENT</x:v>
      </x:c>
      <x:c r="G164" s="23" t="n">
        <x:v>46295</x:v>
      </x:c>
    </x:row>
    <x:row r="165" ht="33" customHeight="1">
      <x:c r="A165" s="19" t="str">
        <x:v>静岡</x:v>
      </x:c>
      <x:c r="B165" s="19" t="str">
        <x:v>駅案内 / 乗換</x:v>
      </x:c>
      <x:c r="C165" s="19" t="str">
        <x:v>JR Central guide maps conventional and Shinkansen within Shizuoka station. Shizuoka Railway Shin-Shizuoka is not absorbed into this physical station scope.</x:v>
      </x:c>
      <x:c r="D165" s="19" t="str">
        <x:v>https://railway.jr-central.co.jp/station-guide/shinkansen/shizuoka/index.html</x:v>
      </x:c>
      <x:c r="E165" s="18" t="str">
        <x:v>a34b8d18bf0ad29234ed70b22c57a80e03223fc2b2cb18b7bea20c5c624032ff</x:v>
      </x:c>
      <x:c r="F165" s="18" t="str">
        <x:v>PUBLIC_HTTP</x:v>
      </x:c>
      <x:c r="G165" s="23" t="n">
        <x:v>46295</x:v>
      </x:c>
    </x:row>
    <x:row r="166" ht="33" customHeight="1">
      <x:c r="A166" s="19" t="str">
        <x:v>赤羽岩淵</x:v>
      </x:c>
      <x:c r="B166" s="19" t="str">
        <x:v>駅について / のりかえ鉄道会社</x:v>
      </x:c>
      <x:c r="C166" s="19" t="str">
        <x:v>Official station served lines and named transfer operators; no union with nearby independent stations.</x:v>
      </x:c>
      <x:c r="D166" s="19" t="str">
        <x:v>https://www.tokyometro.jp/station/akabane-iwabuchi/index.html</x:v>
      </x:c>
      <x:c r="E166" s="18"/>
      <x:c r="F166" s="18" t="str">
        <x:v>WEB_OFFICIAL_DOCUMENT</x:v>
      </x:c>
      <x:c r="G166" s="23" t="n">
        <x:v>46295</x:v>
      </x:c>
    </x:row>
    <x:row r="167" ht="33" customHeight="1">
      <x:c r="A167" s="19" t="str">
        <x:v>赤坂見附・永田町</x:v>
      </x:c>
      <x:c r="B167" s="19" t="str">
        <x:v>のりかえ駅 / 永田町</x:v>
      </x:c>
      <x:c r="C167" s="19" t="str">
        <x:v>Metro explicitly designates Nagatacho as the transfer station; distinct physical components retained.</x:v>
      </x:c>
      <x:c r="D167" s="19" t="str">
        <x:v>https://www.tokyometro.jp/station/akasaka-mitsuke/index.html</x:v>
      </x:c>
      <x:c r="E167" s="18"/>
      <x:c r="F167" s="18" t="str">
        <x:v>WEB_OFFICIAL_DOCUMENT</x:v>
      </x:c>
      <x:c r="G167" s="23" t="n">
        <x:v>46295</x:v>
      </x:c>
    </x:row>
    <x:row r="168" ht="33" customHeight="1">
      <x:c r="A168" s="19" t="str">
        <x:v>仙台</x:v>
      </x:c>
      <x:c r="B168" s="19" t="str">
        <x:v>仙台駅乗り継ぎガイド / JR・地下鉄連絡通路</x:v>
      </x:c>
      <x:c r="C168" s="19" t="str">
        <x:v>Municipal transfer guide documents the JR/subway Sendai connection. JR conventional, Shinkansen and municipal subway remain separate.</x:v>
      </x:c>
      <x:c r="D168" s="19" t="str">
        <x:v>https://www.city.sendai.jp/kokyo/kurashi/machi/kotsu/annai/noritsugi.html</x:v>
      </x:c>
      <x:c r="E168" s="18" t="str">
        <x:v>eeebf1e6d5904d9897a5d74ff1978821e1b88cbd7674c0588583a2efde57f6a3</x:v>
      </x:c>
      <x:c r="F168" s="18" t="str">
        <x:v>PUBLIC_HTTP</x:v>
      </x:c>
      <x:c r="G168" s="23" t="n">
        <x:v>46295</x:v>
      </x:c>
    </x:row>
    <x:row r="169" ht="33" customHeight="1">
      <x:c r="A169" s="19" t="str">
        <x:v>仙台</x:v>
      </x:c>
      <x:c r="B169" s="19" t="str">
        <x:v>p7 / あおば通駅・JR仙石線のりかえ改札</x:v>
      </x:c>
      <x:c r="C169" s="19" t="str">
        <x:v>The 2026 municipal guide maps the JR Senseki Aoba-dori transfer gate to Sendai subway. Retain Aoba-dori and JR Sendai as distinct physical components.</x:v>
      </x:c>
      <x:c r="D169" s="19" t="str">
        <x:v>https://www.city.sendai.jp/kokyo/kurashi/machi/kotsu/annai/documents/noritsugi_r8_small.pdf</x:v>
      </x:c>
      <x:c r="E169" s="18" t="str">
        <x:v>b7087122a2b4e1804633ae18d606211125ca8f2664960b1471a59ee7b2c13a00</x:v>
      </x:c>
      <x:c r="F169" s="18" t="str">
        <x:v>PUBLIC_HTTP</x:v>
      </x:c>
      <x:c r="G169" s="23" t="n">
        <x:v>46295</x:v>
      </x:c>
    </x:row>
    <x:row r="170" ht="33" customHeight="1">
      <x:c r="A170" s="19" t="str">
        <x:v>千種</x:v>
      </x:c>
      <x:c r="B170" s="19" t="str">
        <x:v>他社線との連絡定期券の発売範囲 / 地下鉄 乗り換え駅</x:v>
      </x:c>
      <x:c r="C170" s="19" t="str">
        <x:v>City official connecting-ticket table explicitly names the transfer station and connecting railway.</x:v>
      </x:c>
      <x:c r="D170" s="19" t="str">
        <x:v>https://www.kotsu.city.nagoya.jp/rp/ticket/TRP0001550.htm</x:v>
      </x:c>
      <x:c r="E170" s="18" t="str">
        <x:v>072bd935c2969ea8c8e79335d4c0049ab6e22e6140bd5f9d276e1842019f7bb9</x:v>
      </x:c>
      <x:c r="F170" s="18" t="str">
        <x:v>PUBLIC_HTTP</x:v>
      </x:c>
      <x:c r="G170" s="23" t="n">
        <x:v>46295</x:v>
      </x:c>
    </x:row>
    <x:row r="171" ht="28" customHeight="1">
      <x:c r="A171" s="19" t="str">
        <x:v>川越</x:v>
      </x:c>
      <x:c r="B171" s="19" t="str">
        <x:v>乗り換え案内 / 鉄道</x:v>
      </x:c>
      <x:c r="C171" s="19" t="str">
        <x:v>Tobu official railway-transfer section names the connecting railway/station.</x:v>
      </x:c>
      <x:c r="D171" s="19" t="str">
        <x:v>https://www.tobu.co.jp/railway/guide/station/info/7315/</x:v>
      </x:c>
      <x:c r="E171" s="18" t="str">
        <x:v>8888a52859912fbb2d9a042f2e252e6c45fbf757016d6b08999eddd229975033</x:v>
      </x:c>
      <x:c r="F171" s="18" t="str">
        <x:v>PUBLIC_HTTP</x:v>
      </x:c>
      <x:c r="G171" s="23" t="n">
        <x:v>46295</x:v>
      </x:c>
    </x:row>
    <x:row r="172" ht="28" customHeight="1">
      <x:c r="A172" s="19" t="str">
        <x:v>扇町・天満</x:v>
      </x:c>
      <x:c r="B172" s="19" t="str">
        <x:v>stationBox_name / transferList_box</x:v>
      </x:c>
      <x:c r="C172" s="19" t="str">
        <x:v>Official transfer list: JR線</x:v>
      </x:c>
      <x:c r="D172" s="19" t="str">
        <x:v>https://subway.osakametro.co.jp/station_guide/K/k12/index.php</x:v>
      </x:c>
      <x:c r="E172" s="18" t="str">
        <x:v>f2cfe6d1dd35d2fd908154983339334603add4306465adf4481cbdb0ea2f1919</x:v>
      </x:c>
      <x:c r="F172" s="18" t="str">
        <x:v>PUBLIC_HTTP</x:v>
      </x:c>
      <x:c r="G172" s="23" t="n">
        <x:v>46295</x:v>
      </x:c>
    </x:row>
    <x:row r="173" ht="28" customHeight="1">
      <x:c r="A173" s="19" t="str">
        <x:v>扇町・天満</x:v>
      </x:c>
      <x:c r="B173" s="19" t="str">
        <x:v>出口・周辺施設 / station area map</x:v>
      </x:c>
      <x:c r="C173" s="19" t="str">
        <x:v>Exit guide cross-check for the connected named stations; not a distance inference.</x:v>
      </x:c>
      <x:c r="D173" s="19" t="str">
        <x:v>https://subway.osakametro.co.jp/station_guide/K/k12/map.php</x:v>
      </x:c>
      <x:c r="E173" s="18" t="str">
        <x:v>b2864384108d27b245d2afa4024cbedb5c58c5524032bda2a72c6898d1d4ceb5</x:v>
      </x:c>
      <x:c r="F173" s="18" t="str">
        <x:v>PUBLIC_HTTP</x:v>
      </x:c>
      <x:c r="G173" s="23" t="n">
        <x:v>46295</x:v>
      </x:c>
    </x:row>
    <x:row r="174" ht="33" customHeight="1">
      <x:c r="A174" s="19" t="str">
        <x:v>浅草</x:v>
      </x:c>
      <x:c r="B174" s="19" t="str">
        <x:v>のりかえ鉄道会社 / station transfer and exit guide</x:v>
      </x:c>
      <x:c r="C174" s="19" t="str">
        <x:v>Official transfer operators: 都営, 東武</x:v>
      </x:c>
      <x:c r="D174" s="19" t="str">
        <x:v>https://www.tokyometro.jp/station/asakusa/index.html</x:v>
      </x:c>
      <x:c r="E174" s="18"/>
      <x:c r="F174" s="18" t="str">
        <x:v>WEB_OFFICIAL_DOCUMENT</x:v>
      </x:c>
      <x:c r="G174" s="23" t="n">
        <x:v>46295</x:v>
      </x:c>
    </x:row>
    <x:row r="175" ht="28" customHeight="1">
      <x:c r="A175" s="19" t="str">
        <x:v>浅草橋</x:v>
      </x:c>
      <x:c r="B175" s="19" t="str">
        <x:v>乗り換え案内</x:v>
      </x:c>
      <x:c r="C175" s="19" t="str">
        <x:v>Toei official station guide designates the JR connection.</x:v>
      </x:c>
      <x:c r="D175" s="19" t="str">
        <x:v>https://www.kotsu.metro.tokyo.jp/subway/stations/asakusabashi.html</x:v>
      </x:c>
      <x:c r="E175" s="18"/>
      <x:c r="F175" s="18" t="str">
        <x:v>WEB_OFFICIAL_DOCUMENT</x:v>
      </x:c>
      <x:c r="G175" s="23" t="n">
        <x:v>46295</x:v>
      </x:c>
    </x:row>
    <x:row r="176" ht="28" customHeight="1">
      <x:c r="A176" s="19" t="str">
        <x:v>巣鴨</x:v>
      </x:c>
      <x:c r="B176" s="19" t="str">
        <x:v>乗り換え案内</x:v>
      </x:c>
      <x:c r="C176" s="19" t="str">
        <x:v>Toei official station guide designates the JR connection.</x:v>
      </x:c>
      <x:c r="D176" s="19" t="str">
        <x:v>https://www.kotsu.metro.tokyo.jp/subway/stations/sugamo.html</x:v>
      </x:c>
      <x:c r="E176" s="18"/>
      <x:c r="F176" s="18" t="str">
        <x:v>WEB_OFFICIAL_DOCUMENT</x:v>
      </x:c>
      <x:c r="G176" s="23" t="n">
        <x:v>46295</x:v>
      </x:c>
    </x:row>
    <x:row r="177" ht="28" customHeight="1">
      <x:c r="A177" s="19" t="str">
        <x:v>相模大野</x:v>
      </x:c>
      <x:c r="B177" s="19" t="str">
        <x:v>相模大野 / 路線</x:v>
      </x:c>
      <x:c r="C177" s="19" t="str">
        <x:v>Official branch interchange; aggregate lineRefs in one operator component.</x:v>
      </x:c>
      <x:c r="D177" s="19" t="str">
        <x:v>https://www.odakyu.jp/station/</x:v>
      </x:c>
      <x:c r="E177" s="18" t="str">
        <x:v>3fcd48202f039aafc39eff1d54fce1c24df4cf8f7de13470fc46309e28afe8d4</x:v>
      </x:c>
      <x:c r="F177" s="18" t="str">
        <x:v>PUBLIC_HTTP</x:v>
      </x:c>
      <x:c r="G177" s="23" t="n">
        <x:v>46295</x:v>
      </x:c>
    </x:row>
    <x:row r="178" ht="33" customHeight="1">
      <x:c r="A178" s="19" t="str">
        <x:v>多摩センター</x:v>
      </x:c>
      <x:c r="B178" s="19" t="str">
        <x:v>京王多摩センター / 他社線</x:v>
      </x:c>
      <x:c r="C178" s="19" t="str">
        <x:v>Official designated rail connection: 京王多摩センター / 京王電鉄, 小田急多摩センター / 小田急電鉄, 多摩センター / 多摩都市モノレール</x:v>
      </x:c>
      <x:c r="D178" s="19" t="str">
        <x:v>https://www.odakyu.jp/station/</x:v>
      </x:c>
      <x:c r="E178" s="18" t="str">
        <x:v>3fcd48202f039aafc39eff1d54fce1c24df4cf8f7de13470fc46309e28afe8d4</x:v>
      </x:c>
      <x:c r="F178" s="18" t="str">
        <x:v>PUBLIC_HTTP</x:v>
      </x:c>
      <x:c r="G178" s="23" t="n">
        <x:v>46295</x:v>
      </x:c>
    </x:row>
    <x:row r="179" ht="28" customHeight="1">
      <x:c r="A179" s="19" t="str">
        <x:v>代々木</x:v>
      </x:c>
      <x:c r="B179" s="19" t="str">
        <x:v>乗り換え案内</x:v>
      </x:c>
      <x:c r="C179" s="19" t="str">
        <x:v>Toei official station guide designates the JR connection.</x:v>
      </x:c>
      <x:c r="D179" s="19" t="str">
        <x:v>https://www.kotsu.metro.tokyo.jp/subway/stations/yoyogi.html</x:v>
      </x:c>
      <x:c r="E179" s="18"/>
      <x:c r="F179" s="18" t="str">
        <x:v>WEB_OFFICIAL_DOCUMENT</x:v>
      </x:c>
      <x:c r="G179" s="23" t="n">
        <x:v>46295</x:v>
      </x:c>
    </x:row>
    <x:row r="180" ht="28" customHeight="1">
      <x:c r="A180" s="19" t="str">
        <x:v>大井町</x:v>
      </x:c>
      <x:c r="B180" s="19" t="str">
        <x:v>#transfer / 乗り換え案内</x:v>
      </x:c>
      <x:c r="C180" s="19" t="str">
        <x:v>Official electric-rail transfer section confirms listed external rail connections.</x:v>
      </x:c>
      <x:c r="D180" s="19" t="str">
        <x:v>https://www.tokyu.co.jp/area/oimachi/station/</x:v>
      </x:c>
      <x:c r="E180" s="18" t="str">
        <x:v>0548908ec423c50913a128d90eeda90ec1d34aa47231cba7ffc031ea3306c189</x:v>
      </x:c>
      <x:c r="F180" s="18" t="str">
        <x:v>PUBLIC_HTTP</x:v>
      </x:c>
      <x:c r="G180" s="23" t="n">
        <x:v>46295</x:v>
      </x:c>
    </x:row>
    <x:row r="181" ht="33" customHeight="1">
      <x:c r="A181" s="19" t="str">
        <x:v>大通</x:v>
      </x:c>
      <x:c r="B181" s="19" t="str">
        <x:v>大通 / three lines and common station map</x:v>
      </x:c>
      <x:c r="C181" s="19" t="str">
        <x:v>Official station list groups Odori across the Tozai, Namboku and Toho lines with one shared station map.</x:v>
      </x:c>
      <x:c r="D181" s="19" t="str">
        <x:v>https://www.city.sapporo.jp/st/subway/ekikonaizu/ekikonaizu.html</x:v>
      </x:c>
      <x:c r="E181" s="18" t="str">
        <x:v>96ba0e56826a7ac38ab29833daf42e1b4b2ec278a06d6999bfb7a5cd7c99a851</x:v>
      </x:c>
      <x:c r="F181" s="18" t="str">
        <x:v>PUBLIC_HTTP</x:v>
      </x:c>
      <x:c r="G181" s="23" t="n">
        <x:v>46295</x:v>
      </x:c>
    </x:row>
    <x:row r="182" ht="28" customHeight="1">
      <x:c r="A182" s="19" t="str">
        <x:v>大和</x:v>
      </x:c>
      <x:c r="B182" s="19" t="str">
        <x:v>大和 / 他社線</x:v>
      </x:c>
      <x:c r="C182" s="19" t="str">
        <x:v>Official designated rail connection: 大和 / 小田急電鉄, 大和 / 相模鉄道</x:v>
      </x:c>
      <x:c r="D182" s="19" t="str">
        <x:v>https://www.odakyu.jp/station/</x:v>
      </x:c>
      <x:c r="E182" s="18" t="str">
        <x:v>3fcd48202f039aafc39eff1d54fce1c24df4cf8f7de13470fc46309e28afe8d4</x:v>
      </x:c>
      <x:c r="F182" s="18" t="str">
        <x:v>PUBLIC_HTTP</x:v>
      </x:c>
      <x:c r="G182" s="23" t="n">
        <x:v>46295</x:v>
      </x:c>
    </x:row>
    <x:row r="183" ht="28" customHeight="1">
      <x:c r="A183" s="19" t="str">
        <x:v>谷町九丁目・大阪上本町</x:v>
      </x:c>
      <x:c r="B183" s="19" t="str">
        <x:v>stationBox_name / transferList_box</x:v>
      </x:c>
      <x:c r="C183" s="19" t="str">
        <x:v>Official transfer list: T25谷町九丁目 谷町線, 近鉄線</x:v>
      </x:c>
      <x:c r="D183" s="19" t="str">
        <x:v>https://subway.osakametro.co.jp/station_guide/S/s18/index.php</x:v>
      </x:c>
      <x:c r="E183" s="18" t="str">
        <x:v>1e9fca8842a3094b6b7eb6f476a96c0333f07c08340e30d7bae8004ffca966b4</x:v>
      </x:c>
      <x:c r="F183" s="18" t="str">
        <x:v>PUBLIC_HTTP</x:v>
      </x:c>
      <x:c r="G183" s="23" t="n">
        <x:v>46295</x:v>
      </x:c>
    </x:row>
    <x:row r="184" ht="28" customHeight="1">
      <x:c r="A184" s="19" t="str">
        <x:v>谷町九丁目・大阪上本町</x:v>
      </x:c>
      <x:c r="B184" s="19" t="str">
        <x:v>出口・周辺施設 / station area map</x:v>
      </x:c>
      <x:c r="C184" s="19" t="str">
        <x:v>Exit guide cross-check for the connected named stations; not a distance inference.</x:v>
      </x:c>
      <x:c r="D184" s="19" t="str">
        <x:v>https://subway.osakametro.co.jp/station_guide/S/s18/map.php</x:v>
      </x:c>
      <x:c r="E184" s="18" t="str">
        <x:v>a823b4552ddbfcfa9a14d8818b26e85158c5fbf73c3430bffe30d83d6f18f67c</x:v>
      </x:c>
      <x:c r="F184" s="18" t="str">
        <x:v>PUBLIC_HTTP</x:v>
      </x:c>
      <x:c r="G184" s="23" t="n">
        <x:v>46295</x:v>
      </x:c>
    </x:row>
    <x:row r="185" ht="28" customHeight="1">
      <x:c r="A185" s="19" t="str">
        <x:v>谷町九丁目・大阪上本町</x:v>
      </x:c>
      <x:c r="B185" s="19" t="str">
        <x:v>stationBox_name / transferList_box</x:v>
      </x:c>
      <x:c r="C185" s="19" t="str">
        <x:v>Official transfer list: S18谷町九丁目 千日前線, 近鉄線</x:v>
      </x:c>
      <x:c r="D185" s="19" t="str">
        <x:v>https://subway.osakametro.co.jp/station_guide/T/t25/index.php</x:v>
      </x:c>
      <x:c r="E185" s="18" t="str">
        <x:v>ee92368d15b97ddeb55f315f4fa21ac93f8205bba11fd2ea0d28ab805105fb08</x:v>
      </x:c>
      <x:c r="F185" s="18" t="str">
        <x:v>PUBLIC_HTTP</x:v>
      </x:c>
      <x:c r="G185" s="23" t="n">
        <x:v>46295</x:v>
      </x:c>
    </x:row>
    <x:row r="186" ht="28" customHeight="1">
      <x:c r="A186" s="19" t="str">
        <x:v>谷町九丁目・大阪上本町</x:v>
      </x:c>
      <x:c r="B186" s="19" t="str">
        <x:v>出口・周辺施設 / station area map</x:v>
      </x:c>
      <x:c r="C186" s="19" t="str">
        <x:v>Exit guide cross-check for the connected named stations; not a distance inference.</x:v>
      </x:c>
      <x:c r="D186" s="19" t="str">
        <x:v>https://subway.osakametro.co.jp/station_guide/T/t25/map.php</x:v>
      </x:c>
      <x:c r="E186" s="18" t="str">
        <x:v>74d22058bfa7399f200b5d53ce4e56bd1052f83da884d75d26d219b778fc3450</x:v>
      </x:c>
      <x:c r="F186" s="18" t="str">
        <x:v>PUBLIC_HTTP</x:v>
      </x:c>
      <x:c r="G186" s="23" t="n">
        <x:v>46295</x:v>
      </x:c>
    </x:row>
    <x:row r="187" ht="28" customHeight="1">
      <x:c r="A187" s="19" t="str">
        <x:v>谷町四丁目</x:v>
      </x:c>
      <x:c r="B187" s="19" t="str">
        <x:v>stationBox_name / transferList_box</x:v>
      </x:c>
      <x:c r="C187" s="19" t="str">
        <x:v>Official transfer list: T23谷町四丁目 谷町線</x:v>
      </x:c>
      <x:c r="D187" s="19" t="str">
        <x:v>https://subway.osakametro.co.jp/station_guide/C/c18/index.php</x:v>
      </x:c>
      <x:c r="E187" s="18" t="str">
        <x:v>a1caa9262364a2fde3edd1112b380af839cc3f4fda807e48e7c0ff1dcbeed797</x:v>
      </x:c>
      <x:c r="F187" s="18" t="str">
        <x:v>PUBLIC_HTTP</x:v>
      </x:c>
      <x:c r="G187" s="23" t="n">
        <x:v>46295</x:v>
      </x:c>
    </x:row>
    <x:row r="188" ht="28" customHeight="1">
      <x:c r="A188" s="19" t="str">
        <x:v>谷町四丁目</x:v>
      </x:c>
      <x:c r="B188" s="19" t="str">
        <x:v>stationBox_name / transferList_box</x:v>
      </x:c>
      <x:c r="C188" s="19" t="str">
        <x:v>Official transfer list: C18谷町四丁目 中央線</x:v>
      </x:c>
      <x:c r="D188" s="19" t="str">
        <x:v>https://subway.osakametro.co.jp/station_guide/T/t23/index.php</x:v>
      </x:c>
      <x:c r="E188" s="18" t="str">
        <x:v>3d797dbee318a6cf846a3eb406d10925182df877784f1b7b8bf3005cc1353f16</x:v>
      </x:c>
      <x:c r="F188" s="18" t="str">
        <x:v>PUBLIC_HTTP</x:v>
      </x:c>
      <x:c r="G188" s="23" t="n">
        <x:v>46295</x:v>
      </x:c>
    </x:row>
    <x:row r="189" ht="28" customHeight="1">
      <x:c r="A189" s="19" t="str">
        <x:v>中央林間</x:v>
      </x:c>
      <x:c r="B189" s="19" t="str">
        <x:v>#transfer / 乗り換え案内</x:v>
      </x:c>
      <x:c r="C189" s="19" t="str">
        <x:v>Official electric-rail transfer section confirms listed external rail connections.</x:v>
      </x:c>
      <x:c r="D189" s="19" t="str">
        <x:v>https://www.tokyu.co.jp/area/chuo-rinkan/station/</x:v>
      </x:c>
      <x:c r="E189" s="18" t="str">
        <x:v>3fbac4c3b759656cf9237cbfdf6e9afd54dabb18c9bed891acfa7caf6ed07fe3</x:v>
      </x:c>
      <x:c r="F189" s="18" t="str">
        <x:v>PUBLIC_HTTP</x:v>
      </x:c>
      <x:c r="G189" s="23" t="n">
        <x:v>46295</x:v>
      </x:c>
    </x:row>
    <x:row r="190" ht="28" customHeight="1">
      <x:c r="A190" s="19" t="str">
        <x:v>中野坂上</x:v>
      </x:c>
      <x:c r="B190" s="19" t="str">
        <x:v>のりかえ鉄道会社</x:v>
      </x:c>
      <x:c r="C190" s="19" t="str">
        <x:v>Metro official station page identifies the named connecting railway.</x:v>
      </x:c>
      <x:c r="D190" s="19" t="str">
        <x:v>https://www.tokyometro.jp/station/nakano-sakaue/index.html</x:v>
      </x:c>
      <x:c r="E190" s="18"/>
      <x:c r="F190" s="18" t="str">
        <x:v>WEB_OFFICIAL_DOCUMENT</x:v>
      </x:c>
      <x:c r="G190" s="23" t="n">
        <x:v>46295</x:v>
      </x:c>
    </x:row>
    <x:row r="191" ht="28" customHeight="1">
      <x:c r="A191" s="19" t="str">
        <x:v>朝霞台・北朝霞</x:v>
      </x:c>
      <x:c r="B191" s="19" t="str">
        <x:v>乗り換え案内 / 鉄道</x:v>
      </x:c>
      <x:c r="C191" s="19" t="str">
        <x:v>Tobu official railway-transfer section names the connecting railway/station.</x:v>
      </x:c>
      <x:c r="D191" s="19" t="str">
        <x:v>https://www.tobu.co.jp/railway/guide/station/info/7307/</x:v>
      </x:c>
      <x:c r="E191" s="18" t="str">
        <x:v>04008946539a58c4c1d785f325678322b1b3a37833ad75b7f9fbf490cf5f6ccb</x:v>
      </x:c>
      <x:c r="F191" s="18" t="str">
        <x:v>PUBLIC_HTTP</x:v>
      </x:c>
      <x:c r="G191" s="23" t="n">
        <x:v>46295</x:v>
      </x:c>
    </x:row>
    <x:row r="192" ht="33" customHeight="1">
      <x:c r="A192" s="19" t="str">
        <x:v>町屋</x:v>
      </x:c>
      <x:c r="B192" s="19" t="str">
        <x:v>駅について / のりかえ鉄道会社</x:v>
      </x:c>
      <x:c r="C192" s="19" t="str">
        <x:v>Official station served lines and named transfer operators; no union with nearby independent stations.</x:v>
      </x:c>
      <x:c r="D192" s="19" t="str">
        <x:v>https://www.tokyometro.jp/station/machiya/index.html</x:v>
      </x:c>
      <x:c r="E192" s="18"/>
      <x:c r="F192" s="18" t="str">
        <x:v>WEB_OFFICIAL_DOCUMENT</x:v>
      </x:c>
      <x:c r="G192" s="23" t="n">
        <x:v>46295</x:v>
      </x:c>
    </x:row>
    <x:row r="193" ht="28" customHeight="1">
      <x:c r="A193" s="19" t="str">
        <x:v>調布</x:v>
      </x:c>
      <x:c r="B193" s="19" t="str">
        <x:v>調布 / 接続路線</x:v>
      </x:c>
      <x:c r="C193" s="19" t="str">
        <x:v>Official internal branch/line interchange; one operator/mode component retains all lineRefs.</x:v>
      </x:c>
      <x:c r="D193" s="19" t="str">
        <x:v>https://www.keio.co.jp/train/station/</x:v>
      </x:c>
      <x:c r="E193" s="18" t="str">
        <x:v>75899744ec6862e4fcef922a450a9d321af1598dbaba860d6168e02e1cd9f13b</x:v>
      </x:c>
      <x:c r="F193" s="18" t="str">
        <x:v>PUBLIC_HTTP</x:v>
      </x:c>
      <x:c r="G193" s="23" t="n">
        <x:v>46295</x:v>
      </x:c>
    </x:row>
    <x:row r="194" ht="28" customHeight="1">
      <x:c r="A194" s="19" t="str">
        <x:v>長堀橋</x:v>
      </x:c>
      <x:c r="B194" s="19" t="str">
        <x:v>stationBox_name / transferList_box</x:v>
      </x:c>
      <x:c r="C194" s="19" t="str">
        <x:v>Official transfer list: N16長堀橋 長堀鶴見緑地線</x:v>
      </x:c>
      <x:c r="D194" s="19" t="str">
        <x:v>https://subway.osakametro.co.jp/station_guide/K/k16/index.php</x:v>
      </x:c>
      <x:c r="E194" s="18" t="str">
        <x:v>c3daf7d852ad36908b32f6617a277b36e721dd8d8044afe389442cb71b7d5fc4</x:v>
      </x:c>
      <x:c r="F194" s="18" t="str">
        <x:v>PUBLIC_HTTP</x:v>
      </x:c>
      <x:c r="G194" s="23" t="n">
        <x:v>46295</x:v>
      </x:c>
    </x:row>
    <x:row r="195" ht="28" customHeight="1">
      <x:c r="A195" s="19" t="str">
        <x:v>長堀橋</x:v>
      </x:c>
      <x:c r="B195" s="19" t="str">
        <x:v>stationBox_name / transferList_box</x:v>
      </x:c>
      <x:c r="C195" s="19" t="str">
        <x:v>Official transfer list: K16長堀橋 堺筋線</x:v>
      </x:c>
      <x:c r="D195" s="19" t="str">
        <x:v>https://subway.osakametro.co.jp/station_guide/N/n16/index.php</x:v>
      </x:c>
      <x:c r="E195" s="18" t="str">
        <x:v>3e0c2b82fcd76834e403b1fb829d7e37a75b9c08ceb6ca423ff3f693a005f220</x:v>
      </x:c>
      <x:c r="F195" s="18" t="str">
        <x:v>PUBLIC_HTTP</x:v>
      </x:c>
      <x:c r="G195" s="23" t="n">
        <x:v>46295</x:v>
      </x:c>
    </x:row>
    <x:row r="196" ht="28" customHeight="1">
      <x:c r="A196" s="19" t="str">
        <x:v>鶴橋</x:v>
      </x:c>
      <x:c r="B196" s="19" t="str">
        <x:v>stationBox_name / transferList_box</x:v>
      </x:c>
      <x:c r="C196" s="19" t="str">
        <x:v>Official transfer list: JR線, 近鉄線</x:v>
      </x:c>
      <x:c r="D196" s="19" t="str">
        <x:v>https://subway.osakametro.co.jp/station_guide/S/s19/index.php</x:v>
      </x:c>
      <x:c r="E196" s="18" t="str">
        <x:v>b4e2c4de6accb238fb3086b19f44929a71fe6c1ea78bcfef8fbaaa4c3a5b8829</x:v>
      </x:c>
      <x:c r="F196" s="18" t="str">
        <x:v>PUBLIC_HTTP</x:v>
      </x:c>
      <x:c r="G196" s="23" t="n">
        <x:v>46295</x:v>
      </x:c>
    </x:row>
    <x:row r="197" ht="28" customHeight="1">
      <x:c r="A197" s="19" t="str">
        <x:v>鶴橋</x:v>
      </x:c>
      <x:c r="B197" s="19" t="str">
        <x:v>出口・周辺施設 / station area map</x:v>
      </x:c>
      <x:c r="C197" s="19" t="str">
        <x:v>Exit guide cross-check for the connected named stations; not a distance inference.</x:v>
      </x:c>
      <x:c r="D197" s="19" t="str">
        <x:v>https://subway.osakametro.co.jp/station_guide/S/s19/map.php</x:v>
      </x:c>
      <x:c r="E197" s="18" t="str">
        <x:v>6a592d842c43178575cabdf94981d9e213ce6223742d8c689ab88bc8b0a6a90f</x:v>
      </x:c>
      <x:c r="F197" s="18" t="str">
        <x:v>PUBLIC_HTTP</x:v>
      </x:c>
      <x:c r="G197" s="23" t="n">
        <x:v>46295</x:v>
      </x:c>
    </x:row>
    <x:row r="198" ht="28" customHeight="1">
      <x:c r="A198" s="19" t="str">
        <x:v>天下茶屋</x:v>
      </x:c>
      <x:c r="B198" s="19" t="str">
        <x:v>stationBox_name / transferList_box</x:v>
      </x:c>
      <x:c r="C198" s="19" t="str">
        <x:v>Official transfer list: 南海線</x:v>
      </x:c>
      <x:c r="D198" s="19" t="str">
        <x:v>https://subway.osakametro.co.jp/station_guide/K/k20/index.php</x:v>
      </x:c>
      <x:c r="E198" s="18" t="str">
        <x:v>f90fed6be49871ec76d20f7faa2e45c4dc49427627b39ec46c08c7ac0d059b72</x:v>
      </x:c>
      <x:c r="F198" s="18" t="str">
        <x:v>PUBLIC_HTTP</x:v>
      </x:c>
      <x:c r="G198" s="23" t="n">
        <x:v>46295</x:v>
      </x:c>
    </x:row>
    <x:row r="199" ht="28" customHeight="1">
      <x:c r="A199" s="19" t="str">
        <x:v>天下茶屋</x:v>
      </x:c>
      <x:c r="B199" s="19" t="str">
        <x:v>出口・周辺施設 / station area map</x:v>
      </x:c>
      <x:c r="C199" s="19" t="str">
        <x:v>Exit guide cross-check for the connected named stations; not a distance inference.</x:v>
      </x:c>
      <x:c r="D199" s="19" t="str">
        <x:v>https://subway.osakametro.co.jp/station_guide/K/k20/map.php</x:v>
      </x:c>
      <x:c r="E199" s="18" t="str">
        <x:v>563de82f4d7f390e61dbd8a84be330424245bdafd6164360d2842e669906660f</x:v>
      </x:c>
      <x:c r="F199" s="18" t="str">
        <x:v>PUBLIC_HTTP</x:v>
      </x:c>
      <x:c r="G199" s="23" t="n">
        <x:v>46295</x:v>
      </x:c>
    </x:row>
    <x:row r="200" ht="28" customHeight="1">
      <x:c r="A200" s="19" t="str">
        <x:v>天満橋</x:v>
      </x:c>
      <x:c r="B200" s="19" t="str">
        <x:v>stationBox_name / transferList_box</x:v>
      </x:c>
      <x:c r="C200" s="19" t="str">
        <x:v>Official transfer list: 京阪線</x:v>
      </x:c>
      <x:c r="D200" s="19" t="str">
        <x:v>https://subway.osakametro.co.jp/station_guide/T/t22/index.php</x:v>
      </x:c>
      <x:c r="E200" s="18" t="str">
        <x:v>f522bdce0d062a6bfbed79b505c3abd7824300f241dbdf72da06ea6641d882ba</x:v>
      </x:c>
      <x:c r="F200" s="18" t="str">
        <x:v>PUBLIC_HTTP</x:v>
      </x:c>
      <x:c r="G200" s="23" t="n">
        <x:v>46295</x:v>
      </x:c>
    </x:row>
    <x:row r="201" ht="28" customHeight="1">
      <x:c r="A201" s="19" t="str">
        <x:v>天満橋</x:v>
      </x:c>
      <x:c r="B201" s="19" t="str">
        <x:v>出口・周辺施設 / station area map</x:v>
      </x:c>
      <x:c r="C201" s="19" t="str">
        <x:v>Exit guide cross-check for the connected named stations; not a distance inference.</x:v>
      </x:c>
      <x:c r="D201" s="19" t="str">
        <x:v>https://subway.osakametro.co.jp/station_guide/T/t22/map.php</x:v>
      </x:c>
      <x:c r="E201" s="18" t="str">
        <x:v>5ee175299947694171a7158cfadcc7033dca6bbe10550c117f5ab32cae4df672</x:v>
      </x:c>
      <x:c r="F201" s="18" t="str">
        <x:v>PUBLIC_HTTP</x:v>
      </x:c>
      <x:c r="G201" s="23" t="n">
        <x:v>46295</x:v>
      </x:c>
    </x:row>
    <x:row r="202" ht="28" customHeight="1">
      <x:c r="A202" s="19" t="str">
        <x:v>登戸</x:v>
      </x:c>
      <x:c r="B202" s="19" t="str">
        <x:v>登戸 / 他社線</x:v>
      </x:c>
      <x:c r="C202" s="19" t="str">
        <x:v>Official designated rail connection: 登戸 / 小田急電鉄, 登戸 / 東日本旅客鉄道</x:v>
      </x:c>
      <x:c r="D202" s="19" t="str">
        <x:v>https://www.odakyu.jp/station/</x:v>
      </x:c>
      <x:c r="E202" s="18" t="str">
        <x:v>3fcd48202f039aafc39eff1d54fce1c24df4cf8f7de13470fc46309e28afe8d4</x:v>
      </x:c>
      <x:c r="F202" s="18" t="str">
        <x:v>PUBLIC_HTTP</x:v>
      </x:c>
      <x:c r="G202" s="23" t="n">
        <x:v>46295</x:v>
      </x:c>
    </x:row>
    <x:row r="203" ht="33" customHeight="1">
      <x:c r="A203" s="19" t="str">
        <x:v>東銀座</x:v>
      </x:c>
      <x:c r="B203" s="19" t="str">
        <x:v>駅について / のりかえ鉄道会社</x:v>
      </x:c>
      <x:c r="C203" s="19" t="str">
        <x:v>Official station served lines and named transfer operators; no union with nearby independent stations.</x:v>
      </x:c>
      <x:c r="D203" s="19" t="str">
        <x:v>https://www.tokyometro.jp/station/higashi-ginza/index.html</x:v>
      </x:c>
      <x:c r="E203" s="18"/>
      <x:c r="F203" s="18" t="str">
        <x:v>WEB_OFFICIAL_DOCUMENT</x:v>
      </x:c>
      <x:c r="G203" s="23" t="n">
        <x:v>46295</x:v>
      </x:c>
    </x:row>
    <x:row r="204" ht="28" customHeight="1">
      <x:c r="A204" s="19" t="str">
        <x:v>東中野</x:v>
      </x:c>
      <x:c r="B204" s="19" t="str">
        <x:v>乗り換え案内</x:v>
      </x:c>
      <x:c r="C204" s="19" t="str">
        <x:v>Toei official station guide designates the JR connection.</x:v>
      </x:c>
      <x:c r="D204" s="19" t="str">
        <x:v>https://www.kotsu.metro.tokyo.jp/subway/stations/higashi-nakano.html</x:v>
      </x:c>
      <x:c r="E204" s="18"/>
      <x:c r="F204" s="18" t="str">
        <x:v>WEB_OFFICIAL_DOCUMENT</x:v>
      </x:c>
      <x:c r="G204" s="23" t="n">
        <x:v>46295</x:v>
      </x:c>
    </x:row>
    <x:row r="205" ht="33" customHeight="1">
      <x:c r="A205" s="19" t="str">
        <x:v>藤が丘</x:v>
      </x:c>
      <x:c r="B205" s="19" t="str">
        <x:v>他社線との連絡定期券の発売範囲 / 地下鉄 乗り換え駅</x:v>
      </x:c>
      <x:c r="C205" s="19" t="str">
        <x:v>City official connecting-ticket table explicitly names the transfer station and connecting railway.</x:v>
      </x:c>
      <x:c r="D205" s="19" t="str">
        <x:v>https://www.kotsu.city.nagoya.jp/rp/ticket/TRP0001550.htm</x:v>
      </x:c>
      <x:c r="E205" s="18" t="str">
        <x:v>072bd935c2969ea8c8e79335d4c0049ab6e22e6140bd5f9d276e1842019f7bb9</x:v>
      </x:c>
      <x:c r="F205" s="18" t="str">
        <x:v>PUBLIC_HTTP</x:v>
      </x:c>
      <x:c r="G205" s="23" t="n">
        <x:v>46295</x:v>
      </x:c>
    </x:row>
    <x:row r="206" ht="28" customHeight="1">
      <x:c r="A206" s="19" t="str">
        <x:v>動物園前・新今宮</x:v>
      </x:c>
      <x:c r="B206" s="19" t="str">
        <x:v>stationBox_name / transferList_box</x:v>
      </x:c>
      <x:c r="C206" s="19" t="str">
        <x:v>Official transfer list: M22動物園前 御堂筋線, JR線, 阪堺線, 南海線</x:v>
      </x:c>
      <x:c r="D206" s="19" t="str">
        <x:v>https://subway.osakametro.co.jp/station_guide/K/k19/index.php</x:v>
      </x:c>
      <x:c r="E206" s="18" t="str">
        <x:v>291eb9cac0acddd6320716185ba09950bf02cd4cedb6738dc52b7bb85aa8dd5d</x:v>
      </x:c>
      <x:c r="F206" s="18" t="str">
        <x:v>PUBLIC_HTTP</x:v>
      </x:c>
      <x:c r="G206" s="23" t="n">
        <x:v>46295</x:v>
      </x:c>
    </x:row>
    <x:row r="207" ht="28" customHeight="1">
      <x:c r="A207" s="19" t="str">
        <x:v>動物園前・新今宮</x:v>
      </x:c>
      <x:c r="B207" s="19" t="str">
        <x:v>出口・周辺施設 / station area map</x:v>
      </x:c>
      <x:c r="C207" s="19" t="str">
        <x:v>Exit guide cross-check for the connected named stations; not a distance inference.</x:v>
      </x:c>
      <x:c r="D207" s="19" t="str">
        <x:v>https://subway.osakametro.co.jp/station_guide/K/k19/map.php</x:v>
      </x:c>
      <x:c r="E207" s="18" t="str">
        <x:v>a02284047d8457d2d549e23d6e7462e05754ec26fe2f85272b97a4cc9b6c8fa6</x:v>
      </x:c>
      <x:c r="F207" s="18" t="str">
        <x:v>PUBLIC_HTTP</x:v>
      </x:c>
      <x:c r="G207" s="23" t="n">
        <x:v>46295</x:v>
      </x:c>
    </x:row>
    <x:row r="208" ht="28" customHeight="1">
      <x:c r="A208" s="19" t="str">
        <x:v>動物園前・新今宮</x:v>
      </x:c>
      <x:c r="B208" s="19" t="str">
        <x:v>stationBox_name / transferList_box</x:v>
      </x:c>
      <x:c r="C208" s="19" t="str">
        <x:v>Official transfer list: K19動物園前 堺筋線, JR線, 阪堺線, 南海線</x:v>
      </x:c>
      <x:c r="D208" s="19" t="str">
        <x:v>https://subway.osakametro.co.jp/station_guide/M/m22/index.php</x:v>
      </x:c>
      <x:c r="E208" s="18" t="str">
        <x:v>527dc469b99c613cb670781bb486e4f43dd09ac032a3426bf0c2d5b5560d25b8</x:v>
      </x:c>
      <x:c r="F208" s="18" t="str">
        <x:v>PUBLIC_HTTP</x:v>
      </x:c>
      <x:c r="G208" s="23" t="n">
        <x:v>46295</x:v>
      </x:c>
    </x:row>
    <x:row r="209" ht="28" customHeight="1">
      <x:c r="A209" s="19" t="str">
        <x:v>動物園前・新今宮</x:v>
      </x:c>
      <x:c r="B209" s="19" t="str">
        <x:v>出口・周辺施設 / station area map</x:v>
      </x:c>
      <x:c r="C209" s="19" t="str">
        <x:v>Exit guide cross-check for the connected named stations; not a distance inference.</x:v>
      </x:c>
      <x:c r="D209" s="19" t="str">
        <x:v>https://subway.osakametro.co.jp/station_guide/M/m22/map.php</x:v>
      </x:c>
      <x:c r="E209" s="18" t="str">
        <x:v>8041be31b30f63f138400bc7aa165a347e0e2795ffedd3ba3c256773a8b6bbbb</x:v>
      </x:c>
      <x:c r="F209" s="18" t="str">
        <x:v>PUBLIC_HTTP</x:v>
      </x:c>
      <x:c r="G209" s="23" t="n">
        <x:v>46295</x:v>
      </x:c>
    </x:row>
    <x:row r="210" ht="28" customHeight="1">
      <x:c r="A210" s="19" t="str">
        <x:v>南森町・大阪天満宮</x:v>
      </x:c>
      <x:c r="B210" s="19" t="str">
        <x:v>stationBox_name / transferList_box</x:v>
      </x:c>
      <x:c r="C210" s="19" t="str">
        <x:v>Official transfer list: T21南森町 谷町線, JR線</x:v>
      </x:c>
      <x:c r="D210" s="19" t="str">
        <x:v>https://subway.osakametro.co.jp/station_guide/K/k13/index.php</x:v>
      </x:c>
      <x:c r="E210" s="18" t="str">
        <x:v>c77cc720f2e48c71082c237d49b953a405213f38824346796f37070df52124c8</x:v>
      </x:c>
      <x:c r="F210" s="18" t="str">
        <x:v>PUBLIC_HTTP</x:v>
      </x:c>
      <x:c r="G210" s="23" t="n">
        <x:v>46295</x:v>
      </x:c>
    </x:row>
    <x:row r="211" ht="28" customHeight="1">
      <x:c r="A211" s="19" t="str">
        <x:v>南森町・大阪天満宮</x:v>
      </x:c>
      <x:c r="B211" s="19" t="str">
        <x:v>出口・周辺施設 / station area map</x:v>
      </x:c>
      <x:c r="C211" s="19" t="str">
        <x:v>Exit guide cross-check for the connected named stations; not a distance inference.</x:v>
      </x:c>
      <x:c r="D211" s="19" t="str">
        <x:v>https://subway.osakametro.co.jp/station_guide/K/k13/map.php</x:v>
      </x:c>
      <x:c r="E211" s="18" t="str">
        <x:v>8b4474400a0f9d5aca5842bde6f9ac5f0c665fac3e6d8b5d8d8776e2c98058d0</x:v>
      </x:c>
      <x:c r="F211" s="18" t="str">
        <x:v>PUBLIC_HTTP</x:v>
      </x:c>
      <x:c r="G211" s="23" t="n">
        <x:v>46295</x:v>
      </x:c>
    </x:row>
    <x:row r="212" ht="28" customHeight="1">
      <x:c r="A212" s="19" t="str">
        <x:v>南森町・大阪天満宮</x:v>
      </x:c>
      <x:c r="B212" s="19" t="str">
        <x:v>stationBox_name / transferList_box</x:v>
      </x:c>
      <x:c r="C212" s="19" t="str">
        <x:v>Official transfer list: K13南森町 堺筋線, JR線</x:v>
      </x:c>
      <x:c r="D212" s="19" t="str">
        <x:v>https://subway.osakametro.co.jp/station_guide/T/t21/index.php</x:v>
      </x:c>
      <x:c r="E212" s="18" t="str">
        <x:v>c5e1458fbb42c9c79e648efe04299cb261b4c43302a313bab8aa97f47e3143c1</x:v>
      </x:c>
      <x:c r="F212" s="18" t="str">
        <x:v>PUBLIC_HTTP</x:v>
      </x:c>
      <x:c r="G212" s="23" t="n">
        <x:v>46295</x:v>
      </x:c>
    </x:row>
    <x:row r="213" ht="28" customHeight="1">
      <x:c r="A213" s="19" t="str">
        <x:v>南森町・大阪天満宮</x:v>
      </x:c>
      <x:c r="B213" s="19" t="str">
        <x:v>出口・周辺施設 / station area map</x:v>
      </x:c>
      <x:c r="C213" s="19" t="str">
        <x:v>Exit guide cross-check for the connected named stations; not a distance inference.</x:v>
      </x:c>
      <x:c r="D213" s="19" t="str">
        <x:v>https://subway.osakametro.co.jp/station_guide/T/t21/map.php</x:v>
      </x:c>
      <x:c r="E213" s="18" t="str">
        <x:v>2cb68a3c1da5eb38308fec5968a7aa2ec111de708e9fb1518fb1e1afe48c5e92</x:v>
      </x:c>
      <x:c r="F213" s="18" t="str">
        <x:v>PUBLIC_HTTP</x:v>
      </x:c>
      <x:c r="G213" s="23" t="n">
        <x:v>46295</x:v>
      </x:c>
    </x:row>
    <x:row r="214" ht="28" customHeight="1">
      <x:c r="A214" s="19" t="str">
        <x:v>南流山</x:v>
      </x:c>
      <x:c r="B214" s="19" t="str">
        <x:v>駅案内 / 乗換</x:v>
      </x:c>
      <x:c r="C214" s="19" t="str">
        <x:v>TX official guide names JR Musashino connection and maps exit A1 toward the JR south entrance.</x:v>
      </x:c>
      <x:c r="D214" s="19" t="str">
        <x:v>https://www.mir.co.jp/route_map/minami-nagareyama/</x:v>
      </x:c>
      <x:c r="E214" s="18" t="str">
        <x:v>2109fc76f9948dcd17c89965efbfd01ef53bd258c9b0647d4abd03a1feb5b8a6</x:v>
      </x:c>
      <x:c r="F214" s="18" t="str">
        <x:v>PUBLIC_HTTP</x:v>
      </x:c>
      <x:c r="G214" s="23" t="n">
        <x:v>46295</x:v>
      </x:c>
    </x:row>
    <x:row r="215" ht="28" customHeight="1">
      <x:c r="A215" s="19" t="str">
        <x:v>日吉</x:v>
      </x:c>
      <x:c r="B215" s="19" t="str">
        <x:v>#transfer / 乗り換え案内</x:v>
      </x:c>
      <x:c r="C215" s="19" t="str">
        <x:v>Official electric-rail transfer section confirms listed external rail connections.</x:v>
      </x:c>
      <x:c r="D215" s="19" t="str">
        <x:v>https://www.tokyu.co.jp/area/hiyoshi/station/</x:v>
      </x:c>
      <x:c r="E215" s="18" t="str">
        <x:v>eac0d6ac98da22bc3e1eeb87d445a62feafc714934595a1a00bf7bedc03e3650</x:v>
      </x:c>
      <x:c r="F215" s="18" t="str">
        <x:v>PUBLIC_HTTP</x:v>
      </x:c>
      <x:c r="G215" s="23" t="n">
        <x:v>46295</x:v>
      </x:c>
    </x:row>
    <x:row r="216" ht="33" customHeight="1">
      <x:c r="A216" s="19" t="str">
        <x:v>日吉</x:v>
      </x:c>
      <x:c r="B216" s="19" t="str">
        <x:v>station page / 路線トップ</x:v>
      </x:c>
      <x:c r="C216" s="19" t="str">
        <x:v>Official station-specific served lines: 東横線, 目黒線, 東急新横浜線. Supplement S12 source line labels without adding station components.</x:v>
      </x:c>
      <x:c r="D216" s="19" t="str">
        <x:v>https://www.tokyu.co.jp/area/hiyoshi/station/</x:v>
      </x:c>
      <x:c r="E216" s="18" t="str">
        <x:v>eac0d6ac98da22bc3e1eeb87d445a62feafc714934595a1a00bf7bedc03e3650</x:v>
      </x:c>
      <x:c r="F216" s="18" t="str">
        <x:v>PUBLIC_HTTP</x:v>
      </x:c>
      <x:c r="G216" s="23" t="n">
        <x:v>46295</x:v>
      </x:c>
    </x:row>
    <x:row r="217" ht="33" customHeight="1">
      <x:c r="A217" s="19" t="str">
        <x:v>日本橋</x:v>
      </x:c>
      <x:c r="B217" s="19" t="str">
        <x:v>駅について / のりかえ鉄道会社</x:v>
      </x:c>
      <x:c r="C217" s="19" t="str">
        <x:v>Official station served lines and named transfer operators; no union with nearby independent stations.</x:v>
      </x:c>
      <x:c r="D217" s="19" t="str">
        <x:v>https://www.tokyometro.jp/station/nihombashi/index.html</x:v>
      </x:c>
      <x:c r="E217" s="18"/>
      <x:c r="F217" s="18" t="str">
        <x:v>WEB_OFFICIAL_DOCUMENT</x:v>
      </x:c>
      <x:c r="G217" s="23" t="n">
        <x:v>46295</x:v>
      </x:c>
    </x:row>
    <x:row r="218" ht="28" customHeight="1">
      <x:c r="A218" s="19" t="str">
        <x:v>日本橋・近鉄日本橋</x:v>
      </x:c>
      <x:c r="B218" s="19" t="str">
        <x:v>stationBox_name / transferList_box</x:v>
      </x:c>
      <x:c r="C218" s="19" t="str">
        <x:v>Official transfer list: S17日本橋 千日前線, 近鉄線</x:v>
      </x:c>
      <x:c r="D218" s="19" t="str">
        <x:v>https://subway.osakametro.co.jp/station_guide/K/k17/index.php</x:v>
      </x:c>
      <x:c r="E218" s="18" t="str">
        <x:v>50719abc85d999e6574924aa04e9fe0b09a08f6ddd688259515540b9eb8c2553</x:v>
      </x:c>
      <x:c r="F218" s="18" t="str">
        <x:v>PUBLIC_HTTP</x:v>
      </x:c>
      <x:c r="G218" s="23" t="n">
        <x:v>46295</x:v>
      </x:c>
    </x:row>
    <x:row r="219" ht="28" customHeight="1">
      <x:c r="A219" s="19" t="str">
        <x:v>日本橋・近鉄日本橋</x:v>
      </x:c>
      <x:c r="B219" s="19" t="str">
        <x:v>出口・周辺施設 / station area map</x:v>
      </x:c>
      <x:c r="C219" s="19" t="str">
        <x:v>Exit guide cross-check for the connected named stations; not a distance inference.</x:v>
      </x:c>
      <x:c r="D219" s="19" t="str">
        <x:v>https://subway.osakametro.co.jp/station_guide/K/k17/map.php</x:v>
      </x:c>
      <x:c r="E219" s="18" t="str">
        <x:v>23dfd15afe14c1125dc8571a3ded7a4c54921c7a595648cec4eea7b00bfd483f</x:v>
      </x:c>
      <x:c r="F219" s="18" t="str">
        <x:v>PUBLIC_HTTP</x:v>
      </x:c>
      <x:c r="G219" s="23" t="n">
        <x:v>46295</x:v>
      </x:c>
    </x:row>
    <x:row r="220" ht="28" customHeight="1">
      <x:c r="A220" s="19" t="str">
        <x:v>日本橋・近鉄日本橋</x:v>
      </x:c>
      <x:c r="B220" s="19" t="str">
        <x:v>stationBox_name / transferList_box</x:v>
      </x:c>
      <x:c r="C220" s="19" t="str">
        <x:v>Official transfer list: K17日本橋 堺筋線, 近鉄線</x:v>
      </x:c>
      <x:c r="D220" s="19" t="str">
        <x:v>https://subway.osakametro.co.jp/station_guide/S/s17/index.php</x:v>
      </x:c>
      <x:c r="E220" s="18" t="str">
        <x:v>8b9b19541fadac622b5250f73f2898c5b15787bfffddb9be912c39cf6f781238</x:v>
      </x:c>
      <x:c r="F220" s="18" t="str">
        <x:v>PUBLIC_HTTP</x:v>
      </x:c>
      <x:c r="G220" s="23" t="n">
        <x:v>46295</x:v>
      </x:c>
    </x:row>
    <x:row r="221" ht="28" customHeight="1">
      <x:c r="A221" s="19" t="str">
        <x:v>日本橋・近鉄日本橋</x:v>
      </x:c>
      <x:c r="B221" s="19" t="str">
        <x:v>出口・周辺施設 / station area map</x:v>
      </x:c>
      <x:c r="C221" s="19" t="str">
        <x:v>Exit guide cross-check for the connected named stations; not a distance inference.</x:v>
      </x:c>
      <x:c r="D221" s="19" t="str">
        <x:v>https://subway.osakametro.co.jp/station_guide/S/s17/map.php</x:v>
      </x:c>
      <x:c r="E221" s="18" t="str">
        <x:v>0483433c8c4ff2f281876a173bea19fd117e154ac59fbf327ea0b633f7923025</x:v>
      </x:c>
      <x:c r="F221" s="18" t="str">
        <x:v>PUBLIC_HTTP</x:v>
      </x:c>
      <x:c r="G221" s="23" t="n">
        <x:v>46295</x:v>
      </x:c>
    </x:row>
    <x:row r="222" ht="28" customHeight="1">
      <x:c r="A222" s="19" t="str">
        <x:v>拝島</x:v>
      </x:c>
      <x:c r="B222" s="19" t="str">
        <x:v>拝島 / 乗換</x:v>
      </x:c>
      <x:c r="C222" s="19" t="str">
        <x:v>Official designated rail connection: 拝島 / 西武鉄道, 拝島 / 東日本旅客鉄道</x:v>
      </x:c>
      <x:c r="D222" s="19" t="str">
        <x:v>https://www.seiburailway.jp/railway/station/</x:v>
      </x:c>
      <x:c r="E222" s="18" t="str">
        <x:v>a445fcabc9f8b568d947cc0bacc94cdc85f749133c2cfa490e01e3d4548b8130</x:v>
      </x:c>
      <x:c r="F222" s="18" t="str">
        <x:v>PUBLIC_HTTP</x:v>
      </x:c>
      <x:c r="G222" s="23" t="n">
        <x:v>46295</x:v>
      </x:c>
    </x:row>
    <x:row r="223" ht="28" customHeight="1">
      <x:c r="A223" s="19" t="str">
        <x:v>八丁堀</x:v>
      </x:c>
      <x:c r="B223" s="19" t="str">
        <x:v>のりかえ鉄道会社</x:v>
      </x:c>
      <x:c r="C223" s="19" t="str">
        <x:v>Metro official station page identifies the named connecting railway.</x:v>
      </x:c>
      <x:c r="D223" s="19" t="str">
        <x:v>https://www.tokyometro.jp/station/hatchobori/index.html</x:v>
      </x:c>
      <x:c r="E223" s="18"/>
      <x:c r="F223" s="18" t="str">
        <x:v>WEB_OFFICIAL_DOCUMENT</x:v>
      </x:c>
      <x:c r="G223" s="23" t="n">
        <x:v>46295</x:v>
      </x:c>
    </x:row>
    <x:row r="224" ht="33" customHeight="1">
      <x:c r="A224" s="19" t="str">
        <x:v>飯田橋</x:v>
      </x:c>
      <x:c r="B224" s="19" t="str">
        <x:v>のりかえ鉄道会社 / station transfer and exit guide</x:v>
      </x:c>
      <x:c r="C224" s="19" t="str">
        <x:v>Official transfer operators: JR東, 都営</x:v>
      </x:c>
      <x:c r="D224" s="19" t="str">
        <x:v>https://www.tokyometro.jp/station/iidabashi/index.html</x:v>
      </x:c>
      <x:c r="E224" s="18"/>
      <x:c r="F224" s="18" t="str">
        <x:v>WEB_OFFICIAL_DOCUMENT</x:v>
      </x:c>
      <x:c r="G224" s="23" t="n">
        <x:v>46295</x:v>
      </x:c>
    </x:row>
    <x:row r="225" ht="28" customHeight="1">
      <x:c r="A225" s="19" t="str">
        <x:v>肥後橋・渡辺橋</x:v>
      </x:c>
      <x:c r="B225" s="19" t="str">
        <x:v>stationBox_name / transferList_box</x:v>
      </x:c>
      <x:c r="C225" s="19" t="str">
        <x:v>Official transfer list: 京阪線</x:v>
      </x:c>
      <x:c r="D225" s="19" t="str">
        <x:v>https://subway.osakametro.co.jp/station_guide/Y/y12/index.php</x:v>
      </x:c>
      <x:c r="E225" s="18" t="str">
        <x:v>7a7878c69b61faae0090ffa3d93c136f4c9fad1f671fe6c8c39c4f2b3b0a08d8</x:v>
      </x:c>
      <x:c r="F225" s="18" t="str">
        <x:v>PUBLIC_HTTP</x:v>
      </x:c>
      <x:c r="G225" s="23" t="n">
        <x:v>46295</x:v>
      </x:c>
    </x:row>
    <x:row r="226" ht="28" customHeight="1">
      <x:c r="A226" s="19" t="str">
        <x:v>肥後橋・渡辺橋</x:v>
      </x:c>
      <x:c r="B226" s="19" t="str">
        <x:v>出口・周辺施設 / station area map</x:v>
      </x:c>
      <x:c r="C226" s="19" t="str">
        <x:v>Exit guide cross-check for the connected named stations; not a distance inference.</x:v>
      </x:c>
      <x:c r="D226" s="19" t="str">
        <x:v>https://subway.osakametro.co.jp/station_guide/Y/y12/map.php</x:v>
      </x:c>
      <x:c r="E226" s="18" t="str">
        <x:v>e0d678585b16e12fc60f81bb281c809220b0e39ac5409bef8abf02cdc8cef313</x:v>
      </x:c>
      <x:c r="F226" s="18" t="str">
        <x:v>PUBLIC_HTTP</x:v>
      </x:c>
      <x:c r="G226" s="23" t="n">
        <x:v>46295</x:v>
      </x:c>
    </x:row>
    <x:row r="227" ht="33" customHeight="1">
      <x:c r="A227" s="19" t="str">
        <x:v>尾張一宮・名鉄一宮</x:v>
      </x:c>
      <x:c r="B227" s="19" t="str">
        <x:v>駅案内 / 乗換</x:v>
      </x:c>
      <x:c r="C227" s="19" t="str">
        <x:v>Meitetsu official station guide designates JR Tokaido connection. Physical station names remain distinct.</x:v>
      </x:c>
      <x:c r="D227" s="19" t="str">
        <x:v>https://www.meitetsu.co.jp/train/station_info/line10/station/1228.html</x:v>
      </x:c>
      <x:c r="E227" s="18" t="str">
        <x:v>50570b16be8eded15ffa77668447922aa6082b95889bc5423bc6846e3749232d</x:v>
      </x:c>
      <x:c r="F227" s="18" t="str">
        <x:v>PUBLIC_HTTP</x:v>
      </x:c>
      <x:c r="G227" s="23" t="n">
        <x:v>46295</x:v>
      </x:c>
    </x:row>
    <x:row r="228" ht="33" customHeight="1">
      <x:c r="A228" s="19" t="str">
        <x:v>表参道</x:v>
      </x:c>
      <x:c r="B228" s="19" t="str">
        <x:v>駅について / のりかえ鉄道会社</x:v>
      </x:c>
      <x:c r="C228" s="19" t="str">
        <x:v>Official station served lines and named transfer operators; no union with nearby independent stations.</x:v>
      </x:c>
      <x:c r="D228" s="19" t="str">
        <x:v>https://www.tokyometro.jp/station/omote-sando/index.html</x:v>
      </x:c>
      <x:c r="E228" s="18"/>
      <x:c r="F228" s="18" t="str">
        <x:v>WEB_OFFICIAL_DOCUMENT</x:v>
      </x:c>
      <x:c r="G228" s="23" t="n">
        <x:v>46295</x:v>
      </x:c>
    </x:row>
    <x:row r="229" ht="28" customHeight="1">
      <x:c r="A229" s="19" t="str">
        <x:v>武蔵境</x:v>
      </x:c>
      <x:c r="B229" s="19" t="str">
        <x:v>武蔵境 / 乗換</x:v>
      </x:c>
      <x:c r="C229" s="19" t="str">
        <x:v>Official designated rail connection: 武蔵境 / 西武鉄道, 武蔵境 / 東日本旅客鉄道</x:v>
      </x:c>
      <x:c r="D229" s="19" t="str">
        <x:v>https://www.seiburailway.jp/railway/station/</x:v>
      </x:c>
      <x:c r="E229" s="18" t="str">
        <x:v>a445fcabc9f8b568d947cc0bacc94cdc85f749133c2cfa490e01e3d4548b8130</x:v>
      </x:c>
      <x:c r="F229" s="18" t="str">
        <x:v>PUBLIC_HTTP</x:v>
      </x:c>
      <x:c r="G229" s="23" t="n">
        <x:v>46295</x:v>
      </x:c>
    </x:row>
    <x:row r="230" ht="33" customHeight="1">
      <x:c r="A230" s="19" t="str">
        <x:v>伏見</x:v>
      </x:c>
      <x:c r="B230" s="19" t="str">
        <x:v>路線別 駅の情報 / 伏見</x:v>
      </x:c>
      <x:c r="C230" s="19" t="str">
        <x:v>City subway line index lists this station on connecting municipal lines; keep one operator/mode component.</x:v>
      </x:c>
      <x:c r="D230" s="19" t="str">
        <x:v>https://kotsu.city.nagoya.jp/rp/subway/</x:v>
      </x:c>
      <x:c r="E230" s="18" t="str">
        <x:v>4a7a532f756c832cebb37f6803768bd64c559063e3d2801f2f68ae533bbf4c6d</x:v>
      </x:c>
      <x:c r="F230" s="18" t="str">
        <x:v>PUBLIC_HTTP</x:v>
      </x:c>
      <x:c r="G230" s="23" t="n">
        <x:v>46295</x:v>
      </x:c>
    </x:row>
    <x:row r="231" ht="28" customHeight="1">
      <x:c r="A231" s="19" t="str">
        <x:v>分倍河原</x:v>
      </x:c>
      <x:c r="B231" s="19" t="str">
        <x:v>分倍河原 / 乗換</x:v>
      </x:c>
      <x:c r="C231" s="19" t="str">
        <x:v>Official designated rail connection: 分倍河原 / 京王電鉄, 分倍河原 / 東日本旅客鉄道</x:v>
      </x:c>
      <x:c r="D231" s="19" t="str">
        <x:v>https://www.keio.co.jp/train/station/</x:v>
      </x:c>
      <x:c r="E231" s="18" t="str">
        <x:v>75899744ec6862e4fcef922a450a9d321af1598dbaba860d6168e02e1cd9f13b</x:v>
      </x:c>
      <x:c r="F231" s="18" t="str">
        <x:v>PUBLIC_HTTP</x:v>
      </x:c>
      <x:c r="G231" s="23" t="n">
        <x:v>46295</x:v>
      </x:c>
    </x:row>
    <x:row r="232" ht="28" customHeight="1">
      <x:c r="A232" s="19" t="str">
        <x:v>弁天町</x:v>
      </x:c>
      <x:c r="B232" s="19" t="str">
        <x:v>stationBox_name / transferList_box</x:v>
      </x:c>
      <x:c r="C232" s="19" t="str">
        <x:v>Official transfer list: JR線</x:v>
      </x:c>
      <x:c r="D232" s="19" t="str">
        <x:v>https://subway.osakametro.co.jp/station_guide/C/c13/index.php</x:v>
      </x:c>
      <x:c r="E232" s="18" t="str">
        <x:v>1d0f66ecdc35cb2e6d57d68a2e5db75fb067aedbd7e76117a7085519edf0a045</x:v>
      </x:c>
      <x:c r="F232" s="18" t="str">
        <x:v>PUBLIC_HTTP</x:v>
      </x:c>
      <x:c r="G232" s="23" t="n">
        <x:v>46295</x:v>
      </x:c>
    </x:row>
    <x:row r="233" ht="28" customHeight="1">
      <x:c r="A233" s="19" t="str">
        <x:v>弁天町</x:v>
      </x:c>
      <x:c r="B233" s="19" t="str">
        <x:v>出口・周辺施設 / station area map</x:v>
      </x:c>
      <x:c r="C233" s="19" t="str">
        <x:v>Exit guide cross-check for the connected named stations; not a distance inference.</x:v>
      </x:c>
      <x:c r="D233" s="19" t="str">
        <x:v>https://subway.osakametro.co.jp/station_guide/C/c13/map.php</x:v>
      </x:c>
      <x:c r="E233" s="18" t="str">
        <x:v>27be39d373bdd0e1d1ab673ccb811a20b2a3b642345192f1550d5861b5e33a6d</x:v>
      </x:c>
      <x:c r="F233" s="18" t="str">
        <x:v>PUBLIC_HTTP</x:v>
      </x:c>
      <x:c r="G233" s="23" t="n">
        <x:v>46295</x:v>
      </x:c>
    </x:row>
    <x:row r="234" ht="28" customHeight="1">
      <x:c r="A234" s="19" t="str">
        <x:v>北浜</x:v>
      </x:c>
      <x:c r="B234" s="19" t="str">
        <x:v>stationBox_name / transferList_box</x:v>
      </x:c>
      <x:c r="C234" s="19" t="str">
        <x:v>Official transfer list: 京阪線</x:v>
      </x:c>
      <x:c r="D234" s="19" t="str">
        <x:v>https://subway.osakametro.co.jp/station_guide/K/k14/index.php</x:v>
      </x:c>
      <x:c r="E234" s="18" t="str">
        <x:v>38f59ba5b75e903c747271b27113d79454fc9add5e2f105655850d610a678640</x:v>
      </x:c>
      <x:c r="F234" s="18" t="str">
        <x:v>PUBLIC_HTTP</x:v>
      </x:c>
      <x:c r="G234" s="23" t="n">
        <x:v>46295</x:v>
      </x:c>
    </x:row>
    <x:row r="235" ht="28" customHeight="1">
      <x:c r="A235" s="19" t="str">
        <x:v>北浜</x:v>
      </x:c>
      <x:c r="B235" s="19" t="str">
        <x:v>出口・周辺施設 / station area map</x:v>
      </x:c>
      <x:c r="C235" s="19" t="str">
        <x:v>Exit guide cross-check for the connected named stations; not a distance inference.</x:v>
      </x:c>
      <x:c r="D235" s="19" t="str">
        <x:v>https://subway.osakametro.co.jp/station_guide/K/k14/map.php</x:v>
      </x:c>
      <x:c r="E235" s="18" t="str">
        <x:v>5ed2e8d298c086591fc1025b8e3acb5c19be4134fb89b8db4505dc5f72fded13</x:v>
      </x:c>
      <x:c r="F235" s="18" t="str">
        <x:v>PUBLIC_HTTP</x:v>
      </x:c>
      <x:c r="G235" s="23" t="n">
        <x:v>46295</x:v>
      </x:c>
    </x:row>
    <x:row r="236" ht="28" customHeight="1">
      <x:c r="A236" s="19" t="str">
        <x:v>本郷三丁目</x:v>
      </x:c>
      <x:c r="B236" s="19" t="str">
        <x:v>のりかえ鉄道会社</x:v>
      </x:c>
      <x:c r="C236" s="19" t="str">
        <x:v>Metro official station page identifies the named connecting railway.</x:v>
      </x:c>
      <x:c r="D236" s="19" t="str">
        <x:v>https://www.tokyometro.jp/station/hongo-sanchome/index.html</x:v>
      </x:c>
      <x:c r="E236" s="18"/>
      <x:c r="F236" s="18" t="str">
        <x:v>WEB_OFFICIAL_DOCUMENT</x:v>
      </x:c>
      <x:c r="G236" s="23" t="n">
        <x:v>46295</x:v>
      </x:c>
    </x:row>
    <x:row r="237" ht="28" customHeight="1">
      <x:c r="A237" s="19" t="str">
        <x:v>本八幡・京成八幡</x:v>
      </x:c>
      <x:c r="B237" s="19" t="str">
        <x:v>乗り換え案内</x:v>
      </x:c>
      <x:c r="C237" s="19" t="str">
        <x:v>Toei names both JR Sobu and Keisei Yawata as interchange railways.</x:v>
      </x:c>
      <x:c r="D237" s="19" t="str">
        <x:v>https://www.kotsu.metro.tokyo.jp/subway/stations/motoyawata.html</x:v>
      </x:c>
      <x:c r="E237" s="18"/>
      <x:c r="F237" s="18" t="str">
        <x:v>WEB_OFFICIAL_DOCUMENT</x:v>
      </x:c>
      <x:c r="G237" s="23" t="n">
        <x:v>46295</x:v>
      </x:c>
    </x:row>
    <x:row r="238" ht="28" customHeight="1">
      <x:c r="A238" s="19" t="str">
        <x:v>明大前</x:v>
      </x:c>
      <x:c r="B238" s="19" t="str">
        <x:v>明大前 / 接続路線</x:v>
      </x:c>
      <x:c r="C238" s="19" t="str">
        <x:v>Official internal branch/line interchange; one operator/mode component retains all lineRefs.</x:v>
      </x:c>
      <x:c r="D238" s="19" t="str">
        <x:v>https://www.keio.co.jp/train/station/</x:v>
      </x:c>
      <x:c r="E238" s="18" t="str">
        <x:v>75899744ec6862e4fcef922a450a9d321af1598dbaba860d6168e02e1cd9f13b</x:v>
      </x:c>
      <x:c r="F238" s="18" t="str">
        <x:v>PUBLIC_HTTP</x:v>
      </x:c>
      <x:c r="G238" s="23" t="n">
        <x:v>46295</x:v>
      </x:c>
    </x:row>
    <x:row r="239" ht="33" customHeight="1">
      <x:c r="A239" s="19" t="str">
        <x:v>姪浜</x:v>
      </x:c>
      <x:c r="B239" s="19" t="str">
        <x:v>路線図 / 駅時刻表 / connecting line labels</x:v>
      </x:c>
      <x:c r="C239" s="19" t="str">
        <x:v>Official subway route list identifies rail interchange; Tenjin and Tenjin-Minami both connect to Nishitetsu Fukuoka.</x:v>
      </x:c>
      <x:c r="D239" s="19" t="str">
        <x:v>https://subway.city.fukuoka.lg.jp/?lan=ja</x:v>
      </x:c>
      <x:c r="E239" s="18" t="str">
        <x:v>17daefaa3a5e4232694921711767b8925f604fa801819f33a72a5eaec28ce35f</x:v>
      </x:c>
      <x:c r="F239" s="18" t="str">
        <x:v>PUBLIC_HTTP</x:v>
      </x:c>
      <x:c r="G239" s="23" t="n">
        <x:v>46295</x:v>
      </x:c>
    </x:row>
    <x:row r="240" ht="33" customHeight="1">
      <x:c r="A240" s="19" t="str">
        <x:v>門前仲町</x:v>
      </x:c>
      <x:c r="B240" s="19" t="str">
        <x:v>駅について / のりかえ鉄道会社</x:v>
      </x:c>
      <x:c r="C240" s="19" t="str">
        <x:v>Official station served lines and named transfer operators; no union with nearby independent stations.</x:v>
      </x:c>
      <x:c r="D240" s="19" t="str">
        <x:v>https://www.tokyometro.jp/station/monzen-nakacho/index.html</x:v>
      </x:c>
      <x:c r="E240" s="18"/>
      <x:c r="F240" s="18" t="str">
        <x:v>WEB_OFFICIAL_DOCUMENT</x:v>
      </x:c>
      <x:c r="G240" s="23" t="n">
        <x:v>46295</x:v>
      </x:c>
    </x:row>
    <x:row r="241" ht="28" customHeight="1">
      <x:c r="A241" s="19" t="str">
        <x:v>流山おおたかの森</x:v>
      </x:c>
      <x:c r="B241" s="19" t="str">
        <x:v>乗り換え案内 / 鉄道</x:v>
      </x:c>
      <x:c r="C241" s="19" t="str">
        <x:v>Tobu official railway-transfer section names the connecting railway/station.</x:v>
      </x:c>
      <x:c r="D241" s="19" t="str">
        <x:v>https://www.tobu.co.jp/railway/guide/station/info/6320/</x:v>
      </x:c>
      <x:c r="E241" s="18" t="str">
        <x:v>9e454b8659e819a81dcb0957d3267b3ce4b1046264ba7a8a3ac0f5f374baddf1</x:v>
      </x:c>
      <x:c r="F241" s="18" t="str">
        <x:v>PUBLIC_HTTP</x:v>
      </x:c>
      <x:c r="G241" s="23" t="n">
        <x:v>46295</x:v>
      </x:c>
    </x:row>
    <x:row r="242" ht="33" customHeight="1">
      <x:c r="A242" s="19" t="str">
        <x:v>溜池山王・国会議事堂前</x:v>
      </x:c>
      <x:c r="B242" s="19" t="str">
        <x:v>のりかえ駅</x:v>
      </x:c>
      <x:c r="C242" s="19" t="str">
        <x:v>Metro explicitly designates Kokkai-gijidomae as the connecting station. Separate station components retain respective lines.</x:v>
      </x:c>
      <x:c r="D242" s="19" t="str">
        <x:v>https://www.tokyometro.jp/station/tameike-sanno/index.html</x:v>
      </x:c>
      <x:c r="E242" s="18"/>
      <x:c r="F242" s="18" t="str">
        <x:v>WEB_OFFICIAL_DOCUMENT</x:v>
      </x:c>
      <x:c r="G242" s="23" t="n">
        <x:v>46295</x:v>
      </x:c>
    </x:row>
    <x:row r="243" ht="28" customHeight="1">
      <x:c r="A243" s="19" t="str">
        <x:v>練馬</x:v>
      </x:c>
      <x:c r="B243" s="19" t="str">
        <x:v>路線 / 他社線</x:v>
      </x:c>
      <x:c r="C243" s="19" t="str">
        <x:v>Seibu Ikebukuro, Yurakucho and Toshima lines; Toei Oedo connection.</x:v>
      </x:c>
      <x:c r="D243" s="19" t="str">
        <x:v>https://www.seiburailway.jp/railway/station/nerima/</x:v>
      </x:c>
      <x:c r="E243" s="18" t="str">
        <x:v>6527bc077c74a497a40826c368ac71b47c1626a9b69b6fc9c701d526dcb3ffb2</x:v>
      </x:c>
      <x:c r="F243" s="18" t="str">
        <x:v>PUBLIC_HTTP</x:v>
      </x:c>
      <x:c r="G243" s="23" t="n">
        <x:v>46295</x:v>
      </x:c>
    </x:row>
    <x:row r="244" ht="28" customHeight="1">
      <x:c r="A244" s="19" t="str">
        <x:v>六本木</x:v>
      </x:c>
      <x:c r="B244" s="19" t="str">
        <x:v>のりかえ鉄道会社</x:v>
      </x:c>
      <x:c r="C244" s="19" t="str">
        <x:v>Metro official station page identifies the named connecting railway.</x:v>
      </x:c>
      <x:c r="D244" s="19" t="str">
        <x:v>https://www.tokyometro.jp/station/roppongi/index.html</x:v>
      </x:c>
      <x:c r="E244" s="18"/>
      <x:c r="F244" s="18" t="str">
        <x:v>WEB_OFFICIAL_DOCUMENT</x:v>
      </x:c>
      <x:c r="G244" s="23" t="n">
        <x:v>46295</x:v>
      </x:c>
    </x:row>
    <x:row r="245" ht="28" customHeight="1">
      <x:c r="A245" s="19" t="str">
        <x:v>コスモスクエア</x:v>
      </x:c>
      <x:c r="B245" s="19" t="str">
        <x:v>stationBox_name / transferList_box</x:v>
      </x:c>
      <x:c r="C245" s="19" t="str">
        <x:v>Official transfer list: P09コスモスクエア ニュートラム</x:v>
      </x:c>
      <x:c r="D245" s="19" t="str">
        <x:v>https://subway.osakametro.co.jp/station_guide/C/c10/index.php</x:v>
      </x:c>
      <x:c r="E245" s="18" t="str">
        <x:v>2e84928fd96f2931715294a4be6a5b250ffe3a8af68f76470a1582340d4af731</x:v>
      </x:c>
      <x:c r="F245" s="18" t="str">
        <x:v>PUBLIC_HTTP</x:v>
      </x:c>
      <x:c r="G245" s="23" t="n">
        <x:v>46295</x:v>
      </x:c>
    </x:row>
    <x:row r="246" ht="28" customHeight="1">
      <x:c r="A246" s="19" t="str">
        <x:v>コスモスクエア</x:v>
      </x:c>
      <x:c r="B246" s="19" t="str">
        <x:v>stationBox_name / transferList_box</x:v>
      </x:c>
      <x:c r="C246" s="19" t="str">
        <x:v>Official transfer list: C10コスモスクエア 中央線</x:v>
      </x:c>
      <x:c r="D246" s="19" t="str">
        <x:v>https://subway.osakametro.co.jp/station_guide/P/p09/index.php</x:v>
      </x:c>
      <x:c r="E246" s="18" t="str">
        <x:v>e1ce637d342012918200770b9620a092280bf95b19a4d066c9249fc1b3d597bb</x:v>
      </x:c>
      <x:c r="F246" s="18" t="str">
        <x:v>PUBLIC_HTTP</x:v>
      </x:c>
      <x:c r="G246" s="23" t="n">
        <x:v>46295</x:v>
      </x:c>
    </x:row>
    <x:row r="247" ht="28" customHeight="1">
      <x:c r="A247" s="19" t="str">
        <x:v>すすきの</x:v>
      </x:c>
      <x:c r="B247" s="19" t="str">
        <x:v>page 1 / exits 2 and 4 / 市電すすきの停留所</x:v>
      </x:c>
      <x:c r="C247" s="19" t="str">
        <x:v>City map identifies the Susukino streetcar stop at exits 2 and 4.</x:v>
      </x:c>
      <x:c r="D247" s="19" t="str">
        <x:v>https://www.city.sapporo.jp/st/subway/ekikonaizu/documents/n08sususkino20240202.pdf</x:v>
      </x:c>
      <x:c r="E247" s="18" t="str">
        <x:v>2676fa046fdfa42949dd4d1be6643127115f5dbb910f015833571db9e7d296f0</x:v>
      </x:c>
      <x:c r="F247" s="18" t="str">
        <x:v>PUBLIC_HTTP</x:v>
      </x:c>
      <x:c r="G247" s="23" t="n">
        <x:v>46295</x:v>
      </x:c>
    </x:row>
    <x:row r="248" ht="28" customHeight="1">
      <x:c r="A248" s="19" t="str">
        <x:v>ドーム前千代崎・ドーム前</x:v>
      </x:c>
      <x:c r="B248" s="19" t="str">
        <x:v>stationBox_name / transferList_box</x:v>
      </x:c>
      <x:c r="C248" s="19" t="str">
        <x:v>Official transfer list: 阪神線</x:v>
      </x:c>
      <x:c r="D248" s="19" t="str">
        <x:v>https://subway.osakametro.co.jp/station_guide/N/n12/index.php</x:v>
      </x:c>
      <x:c r="E248" s="18" t="str">
        <x:v>77ffcf077ff0ae1ab750aa4077a5cbc5382078d2a44537065e1c0d2356fd993d</x:v>
      </x:c>
      <x:c r="F248" s="18" t="str">
        <x:v>PUBLIC_HTTP</x:v>
      </x:c>
      <x:c r="G248" s="23" t="n">
        <x:v>46295</x:v>
      </x:c>
    </x:row>
    <x:row r="249" ht="28" customHeight="1">
      <x:c r="A249" s="19" t="str">
        <x:v>ドーム前千代崎・ドーム前</x:v>
      </x:c>
      <x:c r="B249" s="19" t="str">
        <x:v>出口・周辺施設 / station area map</x:v>
      </x:c>
      <x:c r="C249" s="19" t="str">
        <x:v>Exit guide cross-check for the connected named stations; not a distance inference.</x:v>
      </x:c>
      <x:c r="D249" s="19" t="str">
        <x:v>https://subway.osakametro.co.jp/station_guide/N/n12/map.php</x:v>
      </x:c>
      <x:c r="E249" s="18" t="str">
        <x:v>740223f8eff5b5f6f8ae0c07e65768e38ae6314ff1a7b65c663b2abc553144d1</x:v>
      </x:c>
      <x:c r="F249" s="18" t="str">
        <x:v>PUBLIC_HTTP</x:v>
      </x:c>
      <x:c r="G249" s="23" t="n">
        <x:v>46295</x:v>
      </x:c>
    </x:row>
    <x:row r="250" ht="33" customHeight="1">
      <x:c r="A250" s="19" t="str">
        <x:v>ナゴヤドーム前矢田</x:v>
      </x:c>
      <x:c r="B250" s="19" t="str">
        <x:v>他社線との連絡定期券の発売範囲 / 地下鉄 乗り換え駅</x:v>
      </x:c>
      <x:c r="C250" s="19" t="str">
        <x:v>City official connecting-ticket table explicitly names the transfer station and connecting railway.</x:v>
      </x:c>
      <x:c r="D250" s="19" t="str">
        <x:v>https://www.kotsu.city.nagoya.jp/rp/ticket/TRP0001550.htm</x:v>
      </x:c>
      <x:c r="E250" s="18" t="str">
        <x:v>072bd935c2969ea8c8e79335d4c0049ab6e22e6140bd5f9d276e1842019f7bb9</x:v>
      </x:c>
      <x:c r="F250" s="18" t="str">
        <x:v>PUBLIC_HTTP</x:v>
      </x:c>
      <x:c r="G250" s="23" t="n">
        <x:v>46295</x:v>
      </x:c>
    </x:row>
    <x:row r="251" ht="28" customHeight="1">
      <x:c r="A251" s="19" t="str">
        <x:v>阿波座</x:v>
      </x:c>
      <x:c r="B251" s="19" t="str">
        <x:v>stationBox_name / transferList_box</x:v>
      </x:c>
      <x:c r="C251" s="19" t="str">
        <x:v>Official transfer list: S13阿波座 千日前線</x:v>
      </x:c>
      <x:c r="D251" s="19" t="str">
        <x:v>https://subway.osakametro.co.jp/station_guide/C/c15/index.php</x:v>
      </x:c>
      <x:c r="E251" s="18" t="str">
        <x:v>f99b44c831c013571fa4190778d7f261602a57a0f037ed2f4cdd8c77b3a334fe</x:v>
      </x:c>
      <x:c r="F251" s="18" t="str">
        <x:v>PUBLIC_HTTP</x:v>
      </x:c>
      <x:c r="G251" s="23" t="n">
        <x:v>46295</x:v>
      </x:c>
    </x:row>
    <x:row r="252" ht="28" customHeight="1">
      <x:c r="A252" s="19" t="str">
        <x:v>阿波座</x:v>
      </x:c>
      <x:c r="B252" s="19" t="str">
        <x:v>stationBox_name / transferList_box</x:v>
      </x:c>
      <x:c r="C252" s="19" t="str">
        <x:v>Official transfer list: C15阿波座 中央線</x:v>
      </x:c>
      <x:c r="D252" s="19" t="str">
        <x:v>https://subway.osakametro.co.jp/station_guide/S/s13/index.php</x:v>
      </x:c>
      <x:c r="E252" s="18" t="str">
        <x:v>d408c46c145731ec22fe775f60ea541d7e8fef99a1bba4cc7348aa4f3b166c16</x:v>
      </x:c>
      <x:c r="F252" s="18" t="str">
        <x:v>PUBLIC_HTTP</x:v>
      </x:c>
      <x:c r="G252" s="23" t="n">
        <x:v>46295</x:v>
      </x:c>
    </x:row>
    <x:row r="253" ht="28" customHeight="1">
      <x:c r="A253" s="19" t="str">
        <x:v>伊勢市</x:v>
      </x:c>
      <x:c r="B253" s="19" t="str">
        <x:v>伊勢市 / 乗換</x:v>
      </x:c>
      <x:c r="C253" s="19" t="str">
        <x:v>Official designated rail connection: 伊勢市 / 東海旅客鉄道, 伊勢市 / 近畿日本鉄道</x:v>
      </x:c>
      <x:c r="D253" s="19" t="str">
        <x:v>https://www.kintetsu.co.jp/station/</x:v>
      </x:c>
      <x:c r="E253" s="18" t="str">
        <x:v>250ca1f5ba58a24028666ad98867a1a3c6ddb564841e7a72d30c0f3231689160</x:v>
      </x:c>
      <x:c r="F253" s="18" t="str">
        <x:v>PUBLIC_HTTP</x:v>
      </x:c>
      <x:c r="G253" s="23" t="n">
        <x:v>46295</x:v>
      </x:c>
    </x:row>
    <x:row r="254" ht="28" customHeight="1">
      <x:c r="A254" s="19" t="str">
        <x:v>永山</x:v>
      </x:c>
      <x:c r="B254" s="19" t="str">
        <x:v>京王永山 / 他社線</x:v>
      </x:c>
      <x:c r="C254" s="19" t="str">
        <x:v>Official designated rail connection: 京王永山 / 京王電鉄, 小田急永山 / 小田急電鉄</x:v>
      </x:c>
      <x:c r="D254" s="19" t="str">
        <x:v>https://www.odakyu.jp/station/</x:v>
      </x:c>
      <x:c r="E254" s="18" t="str">
        <x:v>3fcd48202f039aafc39eff1d54fce1c24df4cf8f7de13470fc46309e28afe8d4</x:v>
      </x:c>
      <x:c r="F254" s="18" t="str">
        <x:v>PUBLIC_HTTP</x:v>
      </x:c>
      <x:c r="G254" s="23" t="n">
        <x:v>46295</x:v>
      </x:c>
    </x:row>
    <x:row r="255" ht="28" customHeight="1">
      <x:c r="A255" s="19" t="str">
        <x:v>下高井戸</x:v>
      </x:c>
      <x:c r="B255" s="19" t="str">
        <x:v>下高井戸 / 世田谷線</x:v>
      </x:c>
      <x:c r="C255" s="19" t="str">
        <x:v>Official designated rail connection: 下高井戸 / 京王電鉄, 下高井戸 / 東急電鉄</x:v>
      </x:c>
      <x:c r="D255" s="19" t="str">
        <x:v>https://www.keio.co.jp/train/station/</x:v>
      </x:c>
      <x:c r="E255" s="18" t="str">
        <x:v>75899744ec6862e4fcef922a450a9d321af1598dbaba860d6168e02e1cd9f13b</x:v>
      </x:c>
      <x:c r="F255" s="18" t="str">
        <x:v>PUBLIC_HTTP</x:v>
      </x:c>
      <x:c r="G255" s="23" t="n">
        <x:v>46295</x:v>
      </x:c>
    </x:row>
    <x:row r="256" ht="33" customHeight="1">
      <x:c r="A256" s="19" t="str">
        <x:v>貝塚</x:v>
      </x:c>
      <x:c r="B256" s="19" t="str">
        <x:v>路線図 / 駅時刻表 / connecting line labels</x:v>
      </x:c>
      <x:c r="C256" s="19" t="str">
        <x:v>Official subway route list identifies rail interchange; Tenjin and Tenjin-Minami both connect to Nishitetsu Fukuoka.</x:v>
      </x:c>
      <x:c r="D256" s="19" t="str">
        <x:v>https://subway.city.fukuoka.lg.jp/?lan=ja</x:v>
      </x:c>
      <x:c r="E256" s="18" t="str">
        <x:v>17daefaa3a5e4232694921711767b8925f604fa801819f33a72a5eaec28ce35f</x:v>
      </x:c>
      <x:c r="F256" s="18" t="str">
        <x:v>PUBLIC_HTTP</x:v>
      </x:c>
      <x:c r="G256" s="23" t="n">
        <x:v>46295</x:v>
      </x:c>
    </x:row>
    <x:row r="257" ht="33" customHeight="1">
      <x:c r="A257" s="19" t="str">
        <x:v>橿原神宮前</x:v>
      </x:c>
      <x:c r="B257" s="19" t="str">
        <x:v>橿原神宮前 / 接続路線</x:v>
      </x:c>
      <x:c r="C257" s="19" t="str">
        <x:v>Operator station list identifies connecting Kintetsu branches; preserve a single operator/mode component.</x:v>
      </x:c>
      <x:c r="D257" s="19" t="str">
        <x:v>https://www.kintetsu.co.jp/station/</x:v>
      </x:c>
      <x:c r="E257" s="18" t="str">
        <x:v>250ca1f5ba58a24028666ad98867a1a3c6ddb564841e7a72d30c0f3231689160</x:v>
      </x:c>
      <x:c r="F257" s="18" t="str">
        <x:v>PUBLIC_HTTP</x:v>
      </x:c>
      <x:c r="G257" s="23" t="n">
        <x:v>46295</x:v>
      </x:c>
    </x:row>
    <x:row r="258" ht="28" customHeight="1">
      <x:c r="A258" s="19" t="str">
        <x:v>蒲生四丁目</x:v>
      </x:c>
      <x:c r="B258" s="19" t="str">
        <x:v>stationBox_name / transferList_box</x:v>
      </x:c>
      <x:c r="C258" s="19" t="str">
        <x:v>Official transfer list: N23蒲生四丁目 長堀鶴見緑地線</x:v>
      </x:c>
      <x:c r="D258" s="19" t="str">
        <x:v>https://subway.osakametro.co.jp/station_guide/I/i18/index.php</x:v>
      </x:c>
      <x:c r="E258" s="18" t="str">
        <x:v>1bd70e1beba17a5f54db2ebb2993f70e5f03bfe47117ca4d001c9e57e0f3d441</x:v>
      </x:c>
      <x:c r="F258" s="18" t="str">
        <x:v>PUBLIC_HTTP</x:v>
      </x:c>
      <x:c r="G258" s="23" t="n">
        <x:v>46295</x:v>
      </x:c>
    </x:row>
    <x:row r="259" ht="28" customHeight="1">
      <x:c r="A259" s="19" t="str">
        <x:v>蒲生四丁目</x:v>
      </x:c>
      <x:c r="B259" s="19" t="str">
        <x:v>stationBox_name / transferList_box</x:v>
      </x:c>
      <x:c r="C259" s="19" t="str">
        <x:v>Official transfer list: I18蒲生四丁目 今里筋線</x:v>
      </x:c>
      <x:c r="D259" s="19" t="str">
        <x:v>https://subway.osakametro.co.jp/station_guide/N/n23/index.php</x:v>
      </x:c>
      <x:c r="E259" s="18" t="str">
        <x:v>0a3437e7900a9771ba9acfac8d38d19a55599b777466c1bfceec0ee8dab80700</x:v>
      </x:c>
      <x:c r="F259" s="18" t="str">
        <x:v>PUBLIC_HTTP</x:v>
      </x:c>
      <x:c r="G259" s="23" t="n">
        <x:v>46295</x:v>
      </x:c>
    </x:row>
    <x:row r="260" ht="28" customHeight="1">
      <x:c r="A260" s="19" t="str">
        <x:v>関目成育・関目</x:v>
      </x:c>
      <x:c r="B260" s="19" t="str">
        <x:v>stationBox_name / transferList_box</x:v>
      </x:c>
      <x:c r="C260" s="19" t="str">
        <x:v>Official transfer list: 京阪線</x:v>
      </x:c>
      <x:c r="D260" s="19" t="str">
        <x:v>https://subway.osakametro.co.jp/station_guide/I/i17/index.php</x:v>
      </x:c>
      <x:c r="E260" s="18" t="str">
        <x:v>0909accdf4d9ac6ea9afc899fbaf31d5e874cadfb7020c28d5a889b0471ff2c8</x:v>
      </x:c>
      <x:c r="F260" s="18" t="str">
        <x:v>PUBLIC_HTTP</x:v>
      </x:c>
      <x:c r="G260" s="23" t="n">
        <x:v>46295</x:v>
      </x:c>
    </x:row>
    <x:row r="261" ht="28" customHeight="1">
      <x:c r="A261" s="19" t="str">
        <x:v>関目成育・関目</x:v>
      </x:c>
      <x:c r="B261" s="19" t="str">
        <x:v>出口・周辺施設 / station area map</x:v>
      </x:c>
      <x:c r="C261" s="19" t="str">
        <x:v>Exit guide cross-check for the connected named stations; not a distance inference.</x:v>
      </x:c>
      <x:c r="D261" s="19" t="str">
        <x:v>https://subway.osakametro.co.jp/station_guide/I/i17/map.php</x:v>
      </x:c>
      <x:c r="E261" s="18" t="str">
        <x:v>bf3be6f9e09cfa2747ea486e21cca9346497d059b76f814333de2cf29ea70e15</x:v>
      </x:c>
      <x:c r="F261" s="18" t="str">
        <x:v>PUBLIC_HTTP</x:v>
      </x:c>
      <x:c r="G261" s="23" t="n">
        <x:v>46295</x:v>
      </x:c>
    </x:row>
    <x:row r="262" ht="33" customHeight="1">
      <x:c r="A262" s="19" t="str">
        <x:v>丸の内</x:v>
      </x:c>
      <x:c r="B262" s="19" t="str">
        <x:v>路線別 駅の情報 / 丸の内</x:v>
      </x:c>
      <x:c r="C262" s="19" t="str">
        <x:v>City subway line index lists this station on connecting municipal lines; keep one operator/mode component.</x:v>
      </x:c>
      <x:c r="D262" s="19" t="str">
        <x:v>https://kotsu.city.nagoya.jp/rp/subway/</x:v>
      </x:c>
      <x:c r="E262" s="18" t="str">
        <x:v>4a7a532f756c832cebb37f6803768bd64c559063e3d2801f2f68ae533bbf4c6d</x:v>
      </x:c>
      <x:c r="F262" s="18" t="str">
        <x:v>PUBLIC_HTTP</x:v>
      </x:c>
      <x:c r="G262" s="23" t="n">
        <x:v>46295</x:v>
      </x:c>
    </x:row>
    <x:row r="263" ht="28" customHeight="1">
      <x:c r="A263" s="19" t="str">
        <x:v>玉川・JR野田</x:v>
      </x:c>
      <x:c r="B263" s="19" t="str">
        <x:v>stationBox_name / transferList_box</x:v>
      </x:c>
      <x:c r="C263" s="19" t="str">
        <x:v>Official transfer list: JR線</x:v>
      </x:c>
      <x:c r="D263" s="19" t="str">
        <x:v>https://subway.osakametro.co.jp/station_guide/S/s12/index.php</x:v>
      </x:c>
      <x:c r="E263" s="18" t="str">
        <x:v>bdc117e9655191531cfa8201f98fb21df8bdc5a75eff4e0dc6ede205c9378ebb</x:v>
      </x:c>
      <x:c r="F263" s="18" t="str">
        <x:v>PUBLIC_HTTP</x:v>
      </x:c>
      <x:c r="G263" s="23" t="n">
        <x:v>46295</x:v>
      </x:c>
    </x:row>
    <x:row r="264" ht="28" customHeight="1">
      <x:c r="A264" s="19" t="str">
        <x:v>玉川・JR野田</x:v>
      </x:c>
      <x:c r="B264" s="19" t="str">
        <x:v>出口・周辺施設 / station area map</x:v>
      </x:c>
      <x:c r="C264" s="19" t="str">
        <x:v>Exit guide cross-check for the connected named stations; not a distance inference.</x:v>
      </x:c>
      <x:c r="D264" s="19" t="str">
        <x:v>https://subway.osakametro.co.jp/station_guide/S/s12/map.php</x:v>
      </x:c>
      <x:c r="E264" s="18" t="str">
        <x:v>87ae992daea6e4d7a3d1901a3a9ae8b4010b8adbb9e02cf984e511d5014eeac6</x:v>
      </x:c>
      <x:c r="F264" s="18" t="str">
        <x:v>PUBLIC_HTTP</x:v>
      </x:c>
      <x:c r="G264" s="23" t="n">
        <x:v>46295</x:v>
      </x:c>
    </x:row>
    <x:row r="265" ht="28" customHeight="1">
      <x:c r="A265" s="19" t="str">
        <x:v>玉川上水</x:v>
      </x:c>
      <x:c r="B265" s="19" t="str">
        <x:v>玉川上水 / 乗換</x:v>
      </x:c>
      <x:c r="C265" s="19" t="str">
        <x:v>Official designated rail connection: 玉川上水 / 西武鉄道, 玉川上水 / 多摩都市モノレール</x:v>
      </x:c>
      <x:c r="D265" s="19" t="str">
        <x:v>https://www.seiburailway.jp/railway/station/</x:v>
      </x:c>
      <x:c r="E265" s="18" t="str">
        <x:v>a445fcabc9f8b568d947cc0bacc94cdc85f749133c2cfa490e01e3d4548b8130</x:v>
      </x:c>
      <x:c r="F265" s="18" t="str">
        <x:v>PUBLIC_HTTP</x:v>
      </x:c>
      <x:c r="G265" s="23" t="n">
        <x:v>46295</x:v>
      </x:c>
    </x:row>
    <x:row r="266" ht="28" customHeight="1">
      <x:c r="A266" s="19" t="str">
        <x:v>玉造</x:v>
      </x:c>
      <x:c r="B266" s="19" t="str">
        <x:v>stationBox_name / transferList_box</x:v>
      </x:c>
      <x:c r="C266" s="19" t="str">
        <x:v>Official transfer list: JR線</x:v>
      </x:c>
      <x:c r="D266" s="19" t="str">
        <x:v>https://subway.osakametro.co.jp/station_guide/N/n19/index.php</x:v>
      </x:c>
      <x:c r="E266" s="18" t="str">
        <x:v>c42dbbf75174b647a29c06f9bebfbcbacf64365170bf9f47adaaa96114a885d9</x:v>
      </x:c>
      <x:c r="F266" s="18" t="str">
        <x:v>PUBLIC_HTTP</x:v>
      </x:c>
      <x:c r="G266" s="23" t="n">
        <x:v>46295</x:v>
      </x:c>
    </x:row>
    <x:row r="267" ht="28" customHeight="1">
      <x:c r="A267" s="19" t="str">
        <x:v>玉造</x:v>
      </x:c>
      <x:c r="B267" s="19" t="str">
        <x:v>出口・周辺施設 / station area map</x:v>
      </x:c>
      <x:c r="C267" s="19" t="str">
        <x:v>Exit guide cross-check for the connected named stations; not a distance inference.</x:v>
      </x:c>
      <x:c r="D267" s="19" t="str">
        <x:v>https://subway.osakametro.co.jp/station_guide/N/n19/map.php</x:v>
      </x:c>
      <x:c r="E267" s="18" t="str">
        <x:v>d9a065e3d5efef10eb10285fd0f53dd087cfaf95cfc4a59251ed4f5bd6a757f1</x:v>
      </x:c>
      <x:c r="F267" s="18" t="str">
        <x:v>PUBLIC_HTTP</x:v>
      </x:c>
      <x:c r="G267" s="23" t="n">
        <x:v>46295</x:v>
      </x:c>
    </x:row>
    <x:row r="268" ht="33" customHeight="1">
      <x:c r="A268" s="19" t="str">
        <x:v>金沢</x:v>
      </x:c>
      <x:c r="B268" s="19" t="str">
        <x:v>駅情報 / もてなしドーム地下</x:v>
      </x:c>
      <x:c r="C268" s="19" t="str">
        <x:v>Hokutetsu Kanazawa is beneath the Kanazawa east-exit Motenashi Dome; JR Shinkansen and IR conventional share the main station. Keep three operator/mode components.</x:v>
      </x:c>
      <x:c r="D268" s="19" t="str">
        <x:v>https://www.hokutetsu.co.jp/railway/asanogawasen/hokutetsukanazawa/</x:v>
      </x:c>
      <x:c r="E268" s="18"/>
      <x:c r="F268" s="18" t="str">
        <x:v>WEB_OFFICIAL_DOCUMENT</x:v>
      </x:c>
      <x:c r="G268" s="23" t="n">
        <x:v>46295</x:v>
      </x:c>
    </x:row>
    <x:row r="269" ht="28" customHeight="1">
      <x:c r="A269" s="19" t="str">
        <x:v>金沢</x:v>
      </x:c>
      <x:c r="B269" s="19" t="str">
        <x:v>p7 / 金沢駅 新幹線接続</x:v>
      </x:c>
      <x:c r="C269" s="19" t="str">
        <x:v>IR guide explicitly details Kanazawa station interchange with Hokuriku Shinkansen.</x:v>
      </x:c>
      <x:c r="D269" s="19" t="str">
        <x:v>https://www.ishikawa-railway.jp/uploads/media/BLbaqyJgVAA</x:v>
      </x:c>
      <x:c r="E269" s="18"/>
      <x:c r="F269" s="18" t="str">
        <x:v>WEB_OFFICIAL_DOCUMENT</x:v>
      </x:c>
      <x:c r="G269" s="23" t="n">
        <x:v>46295</x:v>
      </x:c>
    </x:row>
    <x:row r="270" ht="28" customHeight="1">
      <x:c r="A270" s="19" t="str">
        <x:v>九条</x:v>
      </x:c>
      <x:c r="B270" s="19" t="str">
        <x:v>stationBox_name / transferList_box</x:v>
      </x:c>
      <x:c r="C270" s="19" t="str">
        <x:v>Official transfer list: 阪神線</x:v>
      </x:c>
      <x:c r="D270" s="19" t="str">
        <x:v>https://subway.osakametro.co.jp/station_guide/C/c14/index.php</x:v>
      </x:c>
      <x:c r="E270" s="18" t="str">
        <x:v>3f7bedbbae89785f50ba1f0b897b5b24c5f73a473167520d4d97ec787e438b4d</x:v>
      </x:c>
      <x:c r="F270" s="18" t="str">
        <x:v>PUBLIC_HTTP</x:v>
      </x:c>
      <x:c r="G270" s="23" t="n">
        <x:v>46295</x:v>
      </x:c>
    </x:row>
    <x:row r="271" ht="28" customHeight="1">
      <x:c r="A271" s="19" t="str">
        <x:v>九条</x:v>
      </x:c>
      <x:c r="B271" s="19" t="str">
        <x:v>出口・周辺施設 / station area map</x:v>
      </x:c>
      <x:c r="C271" s="19" t="str">
        <x:v>Exit guide cross-check for the connected named stations; not a distance inference.</x:v>
      </x:c>
      <x:c r="D271" s="19" t="str">
        <x:v>https://subway.osakametro.co.jp/station_guide/C/c14/map.php</x:v>
      </x:c>
      <x:c r="E271" s="18" t="str">
        <x:v>d292d54273af6a8e3e4c66decfab81b433ff05d151a150ee0d6d67a8b6c2d091</x:v>
      </x:c>
      <x:c r="F271" s="18" t="str">
        <x:v>PUBLIC_HTTP</x:v>
      </x:c>
      <x:c r="G271" s="23" t="n">
        <x:v>46295</x:v>
      </x:c>
    </x:row>
    <x:row r="272" ht="33" customHeight="1">
      <x:c r="A272" s="19" t="str">
        <x:v>熊本</x:v>
      </x:c>
      <x:c r="B272" s="19" t="str">
        <x:v>熊本駅前 / JR熊本駅・九州新幹線</x:v>
      </x:c>
      <x:c r="C272" s="19" t="str">
        <x:v>City tram route map explicitly links Kumamoto-ekimae with JR Kumamoto, including Shinkansen. Tram stop remains a separate station-forecourt component.</x:v>
      </x:c>
      <x:c r="D272" s="19" t="str">
        <x:v>https://www.kotsu-kumamoto.jp/common/UploadFileDsp.aspx?c_id=56&amp;id=1228&amp;set_doc=1</x:v>
      </x:c>
      <x:c r="E272" s="18"/>
      <x:c r="F272" s="18" t="str">
        <x:v>WEB_OFFICIAL_DOCUMENT</x:v>
      </x:c>
      <x:c r="G272" s="23" t="n">
        <x:v>46295</x:v>
      </x:c>
    </x:row>
    <x:row r="273" ht="33" customHeight="1">
      <x:c r="A273" s="19" t="str">
        <x:v>桑名</x:v>
      </x:c>
      <x:c r="B273" s="19" t="str">
        <x:v>桑名 / 乗換</x:v>
      </x:c>
      <x:c r="C273" s="19" t="str">
        <x:v>Kintetsu station list explicitly names JR Kansai, Yoro Railway and Sangi Hokusei connections; Sangi physical station Nishikuwana remains separate.</x:v>
      </x:c>
      <x:c r="D273" s="19" t="str">
        <x:v>https://www.kintetsu.co.jp/station/</x:v>
      </x:c>
      <x:c r="E273" s="18" t="str">
        <x:v>250ca1f5ba58a24028666ad98867a1a3c6ddb564841e7a72d30c0f3231689160</x:v>
      </x:c>
      <x:c r="F273" s="18" t="str">
        <x:v>PUBLIC_HTTP</x:v>
      </x:c>
      <x:c r="G273" s="23" t="n">
        <x:v>46295</x:v>
      </x:c>
    </x:row>
    <x:row r="274" ht="28" customHeight="1">
      <x:c r="A274" s="19" t="str">
        <x:v>恵美須町</x:v>
      </x:c>
      <x:c r="B274" s="19" t="str">
        <x:v>stationBox_name / transferList_box</x:v>
      </x:c>
      <x:c r="C274" s="19" t="str">
        <x:v>Official transfer list: 阪堺線</x:v>
      </x:c>
      <x:c r="D274" s="19" t="str">
        <x:v>https://subway.osakametro.co.jp/station_guide/K/k18/index.php</x:v>
      </x:c>
      <x:c r="E274" s="18" t="str">
        <x:v>9d0c7029bb07f233dc57e7b8019fbde7cbbf8519e7c60c81c7744a9f49dd7ac1</x:v>
      </x:c>
      <x:c r="F274" s="18" t="str">
        <x:v>PUBLIC_HTTP</x:v>
      </x:c>
      <x:c r="G274" s="23" t="n">
        <x:v>46295</x:v>
      </x:c>
    </x:row>
    <x:row r="275" ht="28" customHeight="1">
      <x:c r="A275" s="19" t="str">
        <x:v>恵美須町</x:v>
      </x:c>
      <x:c r="B275" s="19" t="str">
        <x:v>出口・周辺施設 / station area map</x:v>
      </x:c>
      <x:c r="C275" s="19" t="str">
        <x:v>Exit guide cross-check for the connected named stations; not a distance inference.</x:v>
      </x:c>
      <x:c r="D275" s="19" t="str">
        <x:v>https://subway.osakametro.co.jp/station_guide/K/k18/map.php</x:v>
      </x:c>
      <x:c r="E275" s="18" t="str">
        <x:v>63328756241c8f3b326b94756435976f9e797d312c46e8479ba52e79057ca3c5</x:v>
      </x:c>
      <x:c r="F275" s="18" t="str">
        <x:v>PUBLIC_HTTP</x:v>
      </x:c>
      <x:c r="G275" s="23" t="n">
        <x:v>46295</x:v>
      </x:c>
    </x:row>
    <x:row r="276" ht="33" customHeight="1">
      <x:c r="A276" s="19" t="str">
        <x:v>蛍池</x:v>
      </x:c>
      <x:c r="B276" s="19" t="str">
        <x:v>station list / 蛍池 / 乗換</x:v>
      </x:c>
      <x:c r="C276" s="19" t="str">
        <x:v>Operator explicitly lists interchange with the second operator. Station names remain distinct physical components.</x:v>
      </x:c>
      <x:c r="D276" s="19" t="str">
        <x:v>https://www.hankyu.co.jp/station/index.html</x:v>
      </x:c>
      <x:c r="E276" s="18" t="str">
        <x:v>66b4b162f04b6774b1e5e2a75c61d55a9a0c54d8c937caad2d77910c410a8c71</x:v>
      </x:c>
      <x:c r="F276" s="18" t="str">
        <x:v>PUBLIC_HTTP</x:v>
      </x:c>
      <x:c r="G276" s="23" t="n">
        <x:v>46295</x:v>
      </x:c>
    </x:row>
    <x:row r="277" ht="33" customHeight="1">
      <x:c r="A277" s="19" t="str">
        <x:v>御器所</x:v>
      </x:c>
      <x:c r="B277" s="19" t="str">
        <x:v>路線別 駅の情報 / 御器所</x:v>
      </x:c>
      <x:c r="C277" s="19" t="str">
        <x:v>City subway line index lists this station on connecting municipal lines; keep one operator/mode component.</x:v>
      </x:c>
      <x:c r="D277" s="19" t="str">
        <x:v>https://kotsu.city.nagoya.jp/rp/subway/</x:v>
      </x:c>
      <x:c r="E277" s="18" t="str">
        <x:v>4a7a532f756c832cebb37f6803768bd64c559063e3d2801f2f68ae533bbf4c6d</x:v>
      </x:c>
      <x:c r="F277" s="18" t="str">
        <x:v>PUBLIC_HTTP</x:v>
      </x:c>
      <x:c r="G277" s="23" t="n">
        <x:v>46295</x:v>
      </x:c>
    </x:row>
    <x:row r="278" ht="28" customHeight="1">
      <x:c r="A278" s="19" t="str">
        <x:v>厚木</x:v>
      </x:c>
      <x:c r="B278" s="19" t="str">
        <x:v>厚木 / 他社線</x:v>
      </x:c>
      <x:c r="C278" s="19" t="str">
        <x:v>Official designated rail connection: 厚木 / 小田急電鉄, 厚木 / 東日本旅客鉄道</x:v>
      </x:c>
      <x:c r="D278" s="19" t="str">
        <x:v>https://www.odakyu.jp/station/</x:v>
      </x:c>
      <x:c r="E278" s="18" t="str">
        <x:v>3fcd48202f039aafc39eff1d54fce1c24df4cf8f7de13470fc46309e28afe8d4</x:v>
      </x:c>
      <x:c r="F278" s="18" t="str">
        <x:v>PUBLIC_HTTP</x:v>
      </x:c>
      <x:c r="G278" s="23" t="n">
        <x:v>46295</x:v>
      </x:c>
    </x:row>
    <x:row r="279" ht="28" customHeight="1">
      <x:c r="A279" s="19" t="str">
        <x:v>高井田・高井田中央</x:v>
      </x:c>
      <x:c r="B279" s="19" t="str">
        <x:v>stationBox_name / transferList_box</x:v>
      </x:c>
      <x:c r="C279" s="19" t="str">
        <x:v>Official transfer list: JR線</x:v>
      </x:c>
      <x:c r="D279" s="19" t="str">
        <x:v>https://subway.osakametro.co.jp/station_guide/C/c22/index.php</x:v>
      </x:c>
      <x:c r="E279" s="18" t="str">
        <x:v>1f1f6b4a235b3c79be3ab0b0741867c0f3df9717c5d3d1993ef7a4f6aa54949d</x:v>
      </x:c>
      <x:c r="F279" s="18" t="str">
        <x:v>PUBLIC_HTTP</x:v>
      </x:c>
      <x:c r="G279" s="23" t="n">
        <x:v>46295</x:v>
      </x:c>
    </x:row>
    <x:row r="280" ht="28" customHeight="1">
      <x:c r="A280" s="19" t="str">
        <x:v>高井田・高井田中央</x:v>
      </x:c>
      <x:c r="B280" s="19" t="str">
        <x:v>出口・周辺施設 / station area map</x:v>
      </x:c>
      <x:c r="C280" s="19" t="str">
        <x:v>Exit guide cross-check for the connected named stations; not a distance inference.</x:v>
      </x:c>
      <x:c r="D280" s="19" t="str">
        <x:v>https://subway.osakametro.co.jp/station_guide/C/c22/map.php</x:v>
      </x:c>
      <x:c r="E280" s="18" t="str">
        <x:v>2d214ef6e17602ee0ccbad6fbedf10a1049f3c784cc05b59e00235932ed886f1</x:v>
      </x:c>
      <x:c r="F280" s="18" t="str">
        <x:v>PUBLIC_HTTP</x:v>
      </x:c>
      <x:c r="G280" s="23" t="n">
        <x:v>46295</x:v>
      </x:c>
    </x:row>
    <x:row r="281" ht="28" customHeight="1">
      <x:c r="A281" s="19" t="str">
        <x:v>高幡不動</x:v>
      </x:c>
      <x:c r="B281" s="19" t="str">
        <x:v>高幡不動 / 乗換</x:v>
      </x:c>
      <x:c r="C281" s="19" t="str">
        <x:v>Official designated rail connection: 高幡不動 / 京王電鉄, 高幡不動 / 多摩都市モノレール</x:v>
      </x:c>
      <x:c r="D281" s="19" t="str">
        <x:v>https://www.keio.co.jp/train/station/</x:v>
      </x:c>
      <x:c r="E281" s="18" t="str">
        <x:v>75899744ec6862e4fcef922a450a9d321af1598dbaba860d6168e02e1cd9f13b</x:v>
      </x:c>
      <x:c r="F281" s="18" t="str">
        <x:v>PUBLIC_HTTP</x:v>
      </x:c>
      <x:c r="G281" s="23" t="n">
        <x:v>46295</x:v>
      </x:c>
    </x:row>
    <x:row r="282" ht="28" customHeight="1">
      <x:c r="A282" s="19" t="str">
        <x:v>豪徳寺・山下</x:v>
      </x:c>
      <x:c r="B282" s="19" t="str">
        <x:v>豪徳寺 / 他社線</x:v>
      </x:c>
      <x:c r="C282" s="19" t="str">
        <x:v>Official designated rail connection: 豪徳寺 / 小田急電鉄, 山下 / 東急電鉄</x:v>
      </x:c>
      <x:c r="D282" s="19" t="str">
        <x:v>https://www.odakyu.jp/station/</x:v>
      </x:c>
      <x:c r="E282" s="18" t="str">
        <x:v>3fcd48202f039aafc39eff1d54fce1c24df4cf8f7de13470fc46309e28afe8d4</x:v>
      </x:c>
      <x:c r="F282" s="18" t="str">
        <x:v>PUBLIC_HTTP</x:v>
      </x:c>
      <x:c r="G282" s="23" t="n">
        <x:v>46295</x:v>
      </x:c>
    </x:row>
    <x:row r="283" ht="33" customHeight="1">
      <x:c r="A283" s="19" t="str">
        <x:v>今池</x:v>
      </x:c>
      <x:c r="B283" s="19" t="str">
        <x:v>路線別 駅の情報 / 今池</x:v>
      </x:c>
      <x:c r="C283" s="19" t="str">
        <x:v>City subway line index lists this station on connecting municipal lines; keep one operator/mode component.</x:v>
      </x:c>
      <x:c r="D283" s="19" t="str">
        <x:v>https://kotsu.city.nagoya.jp/rp/subway/</x:v>
      </x:c>
      <x:c r="E283" s="18" t="str">
        <x:v>4a7a532f756c832cebb37f6803768bd64c559063e3d2801f2f68ae533bbf4c6d</x:v>
      </x:c>
      <x:c r="F283" s="18" t="str">
        <x:v>PUBLIC_HTTP</x:v>
      </x:c>
      <x:c r="G283" s="23" t="n">
        <x:v>46295</x:v>
      </x:c>
    </x:row>
    <x:row r="284" ht="33" customHeight="1">
      <x:c r="A284" s="19" t="str">
        <x:v>今津</x:v>
      </x:c>
      <x:c r="B284" s="19" t="str">
        <x:v>station list / 今津 / 乗換</x:v>
      </x:c>
      <x:c r="C284" s="19" t="str">
        <x:v>Operator explicitly lists interchange with the second operator. Station names remain distinct physical components.</x:v>
      </x:c>
      <x:c r="D284" s="19" t="str">
        <x:v>https://www.hankyu.co.jp/station/index.html</x:v>
      </x:c>
      <x:c r="E284" s="18" t="str">
        <x:v>66b4b162f04b6774b1e5e2a75c61d55a9a0c54d8c937caad2d77910c410a8c71</x:v>
      </x:c>
      <x:c r="F284" s="18" t="str">
        <x:v>PUBLIC_HTTP</x:v>
      </x:c>
      <x:c r="G284" s="23" t="n">
        <x:v>46295</x:v>
      </x:c>
    </x:row>
    <x:row r="285" ht="28" customHeight="1">
      <x:c r="A285" s="19" t="str">
        <x:v>今里</x:v>
      </x:c>
      <x:c r="B285" s="19" t="str">
        <x:v>stationBox_name / transferList_box</x:v>
      </x:c>
      <x:c r="C285" s="19" t="str">
        <x:v>Official transfer list: S20今里 千日前線, いまざとライナー</x:v>
      </x:c>
      <x:c r="D285" s="19" t="str">
        <x:v>https://subway.osakametro.co.jp/station_guide/I/i21/index.php</x:v>
      </x:c>
      <x:c r="E285" s="18" t="str">
        <x:v>c339c31994a1c8c7981ef166c7c498013d691f57bc61d1442cfb8fe300247bec</x:v>
      </x:c>
      <x:c r="F285" s="18" t="str">
        <x:v>PUBLIC_HTTP</x:v>
      </x:c>
      <x:c r="G285" s="23" t="n">
        <x:v>46295</x:v>
      </x:c>
    </x:row>
    <x:row r="286" ht="28" customHeight="1">
      <x:c r="A286" s="19" t="str">
        <x:v>今里</x:v>
      </x:c>
      <x:c r="B286" s="19" t="str">
        <x:v>出口・周辺施設 / station area map</x:v>
      </x:c>
      <x:c r="C286" s="19" t="str">
        <x:v>Exit guide cross-check for the connected named stations; not a distance inference.</x:v>
      </x:c>
      <x:c r="D286" s="19" t="str">
        <x:v>https://subway.osakametro.co.jp/station_guide/I/i21/map.php</x:v>
      </x:c>
      <x:c r="E286" s="18" t="str">
        <x:v>a749678a7ed1232f38babaa8d8a94df79ab90723638d81b5bebfc57be4e5b771</x:v>
      </x:c>
      <x:c r="F286" s="18" t="str">
        <x:v>PUBLIC_HTTP</x:v>
      </x:c>
      <x:c r="G286" s="23" t="n">
        <x:v>46295</x:v>
      </x:c>
    </x:row>
    <x:row r="287" ht="28" customHeight="1">
      <x:c r="A287" s="19" t="str">
        <x:v>今里</x:v>
      </x:c>
      <x:c r="B287" s="19" t="str">
        <x:v>stationBox_name / transferList_box</x:v>
      </x:c>
      <x:c r="C287" s="19" t="str">
        <x:v>Official transfer list: I21今里 今里筋線, いまざとライナー</x:v>
      </x:c>
      <x:c r="D287" s="19" t="str">
        <x:v>https://subway.osakametro.co.jp/station_guide/S/s20/index.php</x:v>
      </x:c>
      <x:c r="E287" s="18" t="str">
        <x:v>e187d82a486cca6eb9023b7877291ae0a9d0d7c432e9ef269ccef8b5e65c1f5d</x:v>
      </x:c>
      <x:c r="F287" s="18" t="str">
        <x:v>PUBLIC_HTTP</x:v>
      </x:c>
      <x:c r="G287" s="23" t="n">
        <x:v>46295</x:v>
      </x:c>
    </x:row>
    <x:row r="288" ht="28" customHeight="1">
      <x:c r="A288" s="19" t="str">
        <x:v>今里</x:v>
      </x:c>
      <x:c r="B288" s="19" t="str">
        <x:v>出口・周辺施設 / station area map</x:v>
      </x:c>
      <x:c r="C288" s="19" t="str">
        <x:v>Exit guide cross-check for the connected named stations; not a distance inference.</x:v>
      </x:c>
      <x:c r="D288" s="19" t="str">
        <x:v>https://subway.osakametro.co.jp/station_guide/S/s20/map.php</x:v>
      </x:c>
      <x:c r="E288" s="18" t="str">
        <x:v>f8d98f0b081cf3fcf5b746bfc4bc7266cf50cf5b4aa74599e2e80e872d36377b</x:v>
      </x:c>
      <x:c r="F288" s="18" t="str">
        <x:v>PUBLIC_HTTP</x:v>
      </x:c>
      <x:c r="G288" s="23" t="n">
        <x:v>46295</x:v>
      </x:c>
    </x:row>
    <x:row r="289" ht="33" customHeight="1">
      <x:c r="A289" s="19" t="str">
        <x:v>砂田橋</x:v>
      </x:c>
      <x:c r="B289" s="19" t="str">
        <x:v>他社線との連絡定期券の発売範囲 / 地下鉄 乗り換え駅</x:v>
      </x:c>
      <x:c r="C289" s="19" t="str">
        <x:v>City official connecting-ticket table explicitly names the transfer station and connecting railway.</x:v>
      </x:c>
      <x:c r="D289" s="19" t="str">
        <x:v>https://www.kotsu.city.nagoya.jp/rp/ticket/TRP0001550.htm</x:v>
      </x:c>
      <x:c r="E289" s="18" t="str">
        <x:v>072bd935c2969ea8c8e79335d4c0049ab6e22e6140bd5f9d276e1842019f7bb9</x:v>
      </x:c>
      <x:c r="F289" s="18" t="str">
        <x:v>PUBLIC_HTTP</x:v>
      </x:c>
      <x:c r="G289" s="23" t="n">
        <x:v>46295</x:v>
      </x:c>
    </x:row>
    <x:row r="290" ht="28" customHeight="1">
      <x:c r="A290" s="19" t="str">
        <x:v>桜川・汐見橋</x:v>
      </x:c>
      <x:c r="B290" s="19" t="str">
        <x:v>stationBox_name / transferList_box</x:v>
      </x:c>
      <x:c r="C290" s="19" t="str">
        <x:v>Official transfer list: 阪神線, 南海線</x:v>
      </x:c>
      <x:c r="D290" s="19" t="str">
        <x:v>https://subway.osakametro.co.jp/station_guide/S/s15/index.php</x:v>
      </x:c>
      <x:c r="E290" s="18" t="str">
        <x:v>c034f669beb5cc9dc65ded813a844c87c342612d4eed63607ab7bf35b28fed09</x:v>
      </x:c>
      <x:c r="F290" s="18" t="str">
        <x:v>PUBLIC_HTTP</x:v>
      </x:c>
      <x:c r="G290" s="23" t="n">
        <x:v>46295</x:v>
      </x:c>
    </x:row>
    <x:row r="291" ht="28" customHeight="1">
      <x:c r="A291" s="19" t="str">
        <x:v>桜川・汐見橋</x:v>
      </x:c>
      <x:c r="B291" s="19" t="str">
        <x:v>出口・周辺施設 / station area map</x:v>
      </x:c>
      <x:c r="C291" s="19" t="str">
        <x:v>Exit guide cross-check for the connected named stations; not a distance inference.</x:v>
      </x:c>
      <x:c r="D291" s="19" t="str">
        <x:v>https://subway.osakametro.co.jp/station_guide/S/s15/map.php</x:v>
      </x:c>
      <x:c r="E291" s="18" t="str">
        <x:v>472ed61a996587de1ac42a2322f0ae26de05edbd4a72ac15c0e37fbc9a846efc</x:v>
      </x:c>
      <x:c r="F291" s="18" t="str">
        <x:v>PUBLIC_HTTP</x:v>
      </x:c>
      <x:c r="G291" s="23" t="n">
        <x:v>46295</x:v>
      </x:c>
    </x:row>
    <x:row r="292" ht="33" customHeight="1">
      <x:c r="A292" s="19" t="str">
        <x:v>山田</x:v>
      </x:c>
      <x:c r="B292" s="19" t="str">
        <x:v>station list / 山田 / 乗換</x:v>
      </x:c>
      <x:c r="C292" s="19" t="str">
        <x:v>Operator explicitly lists interchange with the second operator. Station names remain distinct physical components.</x:v>
      </x:c>
      <x:c r="D292" s="19" t="str">
        <x:v>https://www.hankyu.co.jp/station/index.html</x:v>
      </x:c>
      <x:c r="E292" s="18" t="str">
        <x:v>66b4b162f04b6774b1e5e2a75c61d55a9a0c54d8c937caad2d77910c410a8c71</x:v>
      </x:c>
      <x:c r="F292" s="18" t="str">
        <x:v>PUBLIC_HTTP</x:v>
      </x:c>
      <x:c r="G292" s="23" t="n">
        <x:v>46295</x:v>
      </x:c>
    </x:row>
    <x:row r="293" ht="33" customHeight="1">
      <x:c r="A293" s="19" t="str">
        <x:v>鹿児島中央</x:v>
      </x:c>
      <x:c r="B293" s="19" t="str">
        <x:v>鹿児島中央駅 / 市電乗場への案内</x:v>
      </x:c>
      <x:c r="C293" s="19" t="str">
        <x:v>Municipal tourist transport guide gives the signed route from JR Kagoshima-Chuo to Kagoshima-Chuo-ekimae tram stop. Include designated station-forecourt transfer, not surrounding stops.</x:v>
      </x:c>
      <x:c r="D293" s="19" t="str">
        <x:v>https://www.kagoshima-yokanavi.jp/article/to-sakurajima</x:v>
      </x:c>
      <x:c r="E293" s="18"/>
      <x:c r="F293" s="18" t="str">
        <x:v>WEB_OFFICIAL_DOCUMENT</x:v>
      </x:c>
      <x:c r="G293" s="23" t="n">
        <x:v>46295</x:v>
      </x:c>
    </x:row>
    <x:row r="294" ht="28" customHeight="1">
      <x:c r="A294" s="19" t="str">
        <x:v>鴫野</x:v>
      </x:c>
      <x:c r="B294" s="19" t="str">
        <x:v>stationBox_name / transferList_box</x:v>
      </x:c>
      <x:c r="C294" s="19" t="str">
        <x:v>Official transfer list: JR線</x:v>
      </x:c>
      <x:c r="D294" s="19" t="str">
        <x:v>https://subway.osakametro.co.jp/station_guide/I/i19/index.php</x:v>
      </x:c>
      <x:c r="E294" s="18" t="str">
        <x:v>a51183164bb30a343622afbd3c155b06bd6a3448208883c00c206da8a148d7ab</x:v>
      </x:c>
      <x:c r="F294" s="18" t="str">
        <x:v>PUBLIC_HTTP</x:v>
      </x:c>
      <x:c r="G294" s="23" t="n">
        <x:v>46295</x:v>
      </x:c>
    </x:row>
    <x:row r="295" ht="28" customHeight="1">
      <x:c r="A295" s="19" t="str">
        <x:v>鴫野</x:v>
      </x:c>
      <x:c r="B295" s="19" t="str">
        <x:v>出口・周辺施設 / station area map</x:v>
      </x:c>
      <x:c r="C295" s="19" t="str">
        <x:v>Exit guide cross-check for the connected named stations; not a distance inference.</x:v>
      </x:c>
      <x:c r="D295" s="19" t="str">
        <x:v>https://subway.osakametro.co.jp/station_guide/I/i19/map.php</x:v>
      </x:c>
      <x:c r="E295" s="18" t="str">
        <x:v>2b0f5353160916da99813955ad234c786871afd8d641eccac7fb6adfad7ea26a</x:v>
      </x:c>
      <x:c r="F295" s="18" t="str">
        <x:v>PUBLIC_HTTP</x:v>
      </x:c>
      <x:c r="G295" s="23" t="n">
        <x:v>46295</x:v>
      </x:c>
    </x:row>
    <x:row r="296" ht="28" customHeight="1">
      <x:c r="A296" s="19" t="str">
        <x:v>住之江公園</x:v>
      </x:c>
      <x:c r="B296" s="19" t="str">
        <x:v>stationBox_name / transferList_box</x:v>
      </x:c>
      <x:c r="C296" s="19" t="str">
        <x:v>Official transfer list: Y21住之江公園 四つ橋線</x:v>
      </x:c>
      <x:c r="D296" s="19" t="str">
        <x:v>https://subway.osakametro.co.jp/station_guide/P/p18/index.php</x:v>
      </x:c>
      <x:c r="E296" s="18" t="str">
        <x:v>7f56d8ad6f89ebacdea4610c1acb0c8bb3f8b062be70cf1c4ce449896bc82586</x:v>
      </x:c>
      <x:c r="F296" s="18" t="str">
        <x:v>PUBLIC_HTTP</x:v>
      </x:c>
      <x:c r="G296" s="23" t="n">
        <x:v>46295</x:v>
      </x:c>
    </x:row>
    <x:row r="297" ht="28" customHeight="1">
      <x:c r="A297" s="19" t="str">
        <x:v>住之江公園</x:v>
      </x:c>
      <x:c r="B297" s="19" t="str">
        <x:v>stationBox_name / transferList_box</x:v>
      </x:c>
      <x:c r="C297" s="19" t="str">
        <x:v>Official transfer list: P18住之江公園 ニュートラム</x:v>
      </x:c>
      <x:c r="D297" s="19" t="str">
        <x:v>https://subway.osakametro.co.jp/station_guide/Y/y21/index.php</x:v>
      </x:c>
      <x:c r="E297" s="18" t="str">
        <x:v>c7c598f5f1d77a1e34c088578b3ef723d15a97326e474f8d03efc53bd9ebd21f</x:v>
      </x:c>
      <x:c r="F297" s="18" t="str">
        <x:v>PUBLIC_HTTP</x:v>
      </x:c>
      <x:c r="G297" s="23" t="n">
        <x:v>46295</x:v>
      </x:c>
    </x:row>
    <x:row r="298" ht="28" customHeight="1">
      <x:c r="A298" s="19" t="str">
        <x:v>小平</x:v>
      </x:c>
      <x:c r="B298" s="19" t="str">
        <x:v>小平 / 接続路線</x:v>
      </x:c>
      <x:c r="C298" s="19" t="str">
        <x:v>Official multi-line/branch interchange; shared operator/mode kept as a single component.</x:v>
      </x:c>
      <x:c r="D298" s="19" t="str">
        <x:v>https://www.seiburailway.jp/railway/station/</x:v>
      </x:c>
      <x:c r="E298" s="18" t="str">
        <x:v>a445fcabc9f8b568d947cc0bacc94cdc85f749133c2cfa490e01e3d4548b8130</x:v>
      </x:c>
      <x:c r="F298" s="18" t="str">
        <x:v>PUBLIC_HTTP</x:v>
      </x:c>
      <x:c r="G298" s="23" t="n">
        <x:v>46295</x:v>
      </x:c>
    </x:row>
    <x:row r="299" ht="28" customHeight="1">
      <x:c r="A299" s="19" t="str">
        <x:v>松阪</x:v>
      </x:c>
      <x:c r="B299" s="19" t="str">
        <x:v>松阪 / 乗換</x:v>
      </x:c>
      <x:c r="C299" s="19" t="str">
        <x:v>Official designated rail connection: 松阪 / 東海旅客鉄道, 松阪 / 近畿日本鉄道</x:v>
      </x:c>
      <x:c r="D299" s="19" t="str">
        <x:v>https://www.kintetsu.co.jp/station/</x:v>
      </x:c>
      <x:c r="E299" s="18" t="str">
        <x:v>250ca1f5ba58a24028666ad98867a1a3c6ddb564841e7a72d30c0f3231689160</x:v>
      </x:c>
      <x:c r="F299" s="18" t="str">
        <x:v>PUBLIC_HTTP</x:v>
      </x:c>
      <x:c r="G299" s="23" t="n">
        <x:v>46295</x:v>
      </x:c>
    </x:row>
    <x:row r="300" ht="33" customHeight="1">
      <x:c r="A300" s="19" t="str">
        <x:v>上小田井</x:v>
      </x:c>
      <x:c r="B300" s="19" t="str">
        <x:v>他社線との連絡定期券の発売範囲 / 地下鉄 乗り換え駅</x:v>
      </x:c>
      <x:c r="C300" s="19" t="str">
        <x:v>City official connecting-ticket table explicitly names the transfer station and connecting railway.</x:v>
      </x:c>
      <x:c r="D300" s="19" t="str">
        <x:v>https://www.kotsu.city.nagoya.jp/rp/ticket/TRP0001550.htm</x:v>
      </x:c>
      <x:c r="E300" s="18" t="str">
        <x:v>072bd935c2969ea8c8e79335d4c0049ab6e22e6140bd5f9d276e1842019f7bb9</x:v>
      </x:c>
      <x:c r="F300" s="18" t="str">
        <x:v>PUBLIC_HTTP</x:v>
      </x:c>
      <x:c r="G300" s="23" t="n">
        <x:v>46295</x:v>
      </x:c>
    </x:row>
    <x:row r="301" ht="28" customHeight="1">
      <x:c r="A301" s="19" t="str">
        <x:v>新祝園・祝園</x:v>
      </x:c>
      <x:c r="B301" s="19" t="str">
        <x:v>新祝園 / 乗換</x:v>
      </x:c>
      <x:c r="C301" s="19" t="str">
        <x:v>Official designated rail connection: 新祝園 / 近畿日本鉄道, 祝園 / 西日本旅客鉄道</x:v>
      </x:c>
      <x:c r="D301" s="19" t="str">
        <x:v>https://www.kintetsu.co.jp/station/</x:v>
      </x:c>
      <x:c r="E301" s="18" t="str">
        <x:v>250ca1f5ba58a24028666ad98867a1a3c6ddb564841e7a72d30c0f3231689160</x:v>
      </x:c>
      <x:c r="F301" s="18" t="str">
        <x:v>PUBLIC_HTTP</x:v>
      </x:c>
      <x:c r="G301" s="23" t="n">
        <x:v>46295</x:v>
      </x:c>
    </x:row>
    <x:row r="302" ht="28" customHeight="1">
      <x:c r="A302" s="19" t="str">
        <x:v>新松田・松田</x:v>
      </x:c>
      <x:c r="B302" s="19" t="str">
        <x:v>新松田 / 他社線</x:v>
      </x:c>
      <x:c r="C302" s="19" t="str">
        <x:v>Official designated rail connection: 新松田 / 小田急電鉄, 松田 / 東海旅客鉄道</x:v>
      </x:c>
      <x:c r="D302" s="19" t="str">
        <x:v>https://www.odakyu.jp/station/</x:v>
      </x:c>
      <x:c r="E302" s="18" t="str">
        <x:v>3fcd48202f039aafc39eff1d54fce1c24df4cf8f7de13470fc46309e28afe8d4</x:v>
      </x:c>
      <x:c r="F302" s="18" t="str">
        <x:v>PUBLIC_HTTP</x:v>
      </x:c>
      <x:c r="G302" s="23" t="n">
        <x:v>46295</x:v>
      </x:c>
    </x:row>
    <x:row r="303" ht="33" customHeight="1">
      <x:c r="A303" s="19" t="str">
        <x:v>新瑞橋</x:v>
      </x:c>
      <x:c r="B303" s="19" t="str">
        <x:v>路線別 駅の情報 / 新瑞橋</x:v>
      </x:c>
      <x:c r="C303" s="19" t="str">
        <x:v>City subway line index lists this station on connecting municipal lines; keep one operator/mode component.</x:v>
      </x:c>
      <x:c r="D303" s="19" t="str">
        <x:v>https://kotsu.city.nagoya.jp/rp/subway/</x:v>
      </x:c>
      <x:c r="E303" s="18" t="str">
        <x:v>4a7a532f756c832cebb37f6803768bd64c559063e3d2801f2f68ae533bbf4c6d</x:v>
      </x:c>
      <x:c r="F303" s="18" t="str">
        <x:v>PUBLIC_HTTP</x:v>
      </x:c>
      <x:c r="G303" s="23" t="n">
        <x:v>46295</x:v>
      </x:c>
    </x:row>
    <x:row r="304" ht="33" customHeight="1">
      <x:c r="A304" s="19" t="str">
        <x:v>新長田</x:v>
      </x:c>
      <x:c r="B304" s="19" t="str">
        <x:v>西神・山手・北神 / 海岸線 / 換乘</x:v>
      </x:c>
      <x:c r="C304" s="19" t="str">
        <x:v>City subway table identifies the connected rail line at this station; different station names retained.</x:v>
      </x:c>
      <x:c r="D304" s="19" t="str">
        <x:v>https://kotsu.city.kobe.lg.jp/chinese-trad/cnt-subway-map/</x:v>
      </x:c>
      <x:c r="E304" s="18"/>
      <x:c r="F304" s="18" t="str">
        <x:v>WEB_OFFICIAL_DOCUMENT</x:v>
      </x:c>
      <x:c r="G304" s="23" t="n">
        <x:v>46295</x:v>
      </x:c>
    </x:row>
    <x:row r="305" ht="28" customHeight="1">
      <x:c r="A305" s="19" t="str">
        <x:v>森ノ宮</x:v>
      </x:c>
      <x:c r="B305" s="19" t="str">
        <x:v>stationBox_name / transferList_box</x:v>
      </x:c>
      <x:c r="C305" s="19" t="str">
        <x:v>Official transfer list: N20森ノ宮 長堀鶴見緑地線, JR線</x:v>
      </x:c>
      <x:c r="D305" s="19" t="str">
        <x:v>https://subway.osakametro.co.jp/station_guide/C/c19/index.php</x:v>
      </x:c>
      <x:c r="E305" s="18" t="str">
        <x:v>1a16cb770327235eacf2358e4ae35cde69111f8d1a2a3c4eb4dc8bf1e45a741c</x:v>
      </x:c>
      <x:c r="F305" s="18" t="str">
        <x:v>PUBLIC_HTTP</x:v>
      </x:c>
      <x:c r="G305" s="23" t="n">
        <x:v>46295</x:v>
      </x:c>
    </x:row>
    <x:row r="306" ht="28" customHeight="1">
      <x:c r="A306" s="19" t="str">
        <x:v>森ノ宮</x:v>
      </x:c>
      <x:c r="B306" s="19" t="str">
        <x:v>出口・周辺施設 / station area map</x:v>
      </x:c>
      <x:c r="C306" s="19" t="str">
        <x:v>Exit guide cross-check for the connected named stations; not a distance inference.</x:v>
      </x:c>
      <x:c r="D306" s="19" t="str">
        <x:v>https://subway.osakametro.co.jp/station_guide/C/c19/map.php</x:v>
      </x:c>
      <x:c r="E306" s="18" t="str">
        <x:v>276ce2feab3f0dde2986c3ab39a5e815eea3721b963253705c6dc7331c3bed3f</x:v>
      </x:c>
      <x:c r="F306" s="18" t="str">
        <x:v>PUBLIC_HTTP</x:v>
      </x:c>
      <x:c r="G306" s="23" t="n">
        <x:v>46295</x:v>
      </x:c>
    </x:row>
    <x:row r="307" ht="28" customHeight="1">
      <x:c r="A307" s="19" t="str">
        <x:v>森ノ宮</x:v>
      </x:c>
      <x:c r="B307" s="19" t="str">
        <x:v>stationBox_name / transferList_box</x:v>
      </x:c>
      <x:c r="C307" s="19" t="str">
        <x:v>Official transfer list: C19森ノ宮 中央線, JR線</x:v>
      </x:c>
      <x:c r="D307" s="19" t="str">
        <x:v>https://subway.osakametro.co.jp/station_guide/N/n20/index.php</x:v>
      </x:c>
      <x:c r="E307" s="18" t="str">
        <x:v>06a17e3d3b03bd5e184b12ba28791c19338658b01464e3d6626bd8caf6408c7b</x:v>
      </x:c>
      <x:c r="F307" s="18" t="str">
        <x:v>PUBLIC_HTTP</x:v>
      </x:c>
      <x:c r="G307" s="23" t="n">
        <x:v>46295</x:v>
      </x:c>
    </x:row>
    <x:row r="308" ht="28" customHeight="1">
      <x:c r="A308" s="19" t="str">
        <x:v>森ノ宮</x:v>
      </x:c>
      <x:c r="B308" s="19" t="str">
        <x:v>出口・周辺施設 / station area map</x:v>
      </x:c>
      <x:c r="C308" s="19" t="str">
        <x:v>Exit guide cross-check for the connected named stations; not a distance inference.</x:v>
      </x:c>
      <x:c r="D308" s="19" t="str">
        <x:v>https://subway.osakametro.co.jp/station_guide/N/n20/map.php</x:v>
      </x:c>
      <x:c r="E308" s="18" t="str">
        <x:v>abe3a7192ea8ab8fbc90213d1a16c629c39edd17352fa4b22d42c7c6ca8f9a37</x:v>
      </x:c>
      <x:c r="F308" s="18" t="str">
        <x:v>PUBLIC_HTTP</x:v>
      </x:c>
      <x:c r="G308" s="23" t="n">
        <x:v>46295</x:v>
      </x:c>
    </x:row>
    <x:row r="309" ht="33" customHeight="1">
      <x:c r="A309" s="19" t="str">
        <x:v>西院</x:v>
      </x:c>
      <x:c r="B309" s="19" t="str">
        <x:v>station list / 西院 / 乗換</x:v>
      </x:c>
      <x:c r="C309" s="19" t="str">
        <x:v>Operator explicitly lists interchange with the second operator. Station names remain distinct physical components.</x:v>
      </x:c>
      <x:c r="D309" s="19" t="str">
        <x:v>https://www.hankyu.co.jp/station/index.html</x:v>
      </x:c>
      <x:c r="E309" s="18" t="str">
        <x:v>66b4b162f04b6774b1e5e2a75c61d55a9a0c54d8c937caad2d77910c410a8c71</x:v>
      </x:c>
      <x:c r="F309" s="18" t="str">
        <x:v>PUBLIC_HTTP</x:v>
      </x:c>
      <x:c r="G309" s="23" t="n">
        <x:v>46295</x:v>
      </x:c>
    </x:row>
    <x:row r="310" ht="28" customHeight="1">
      <x:c r="A310" s="19" t="str">
        <x:v>西所沢</x:v>
      </x:c>
      <x:c r="B310" s="19" t="str">
        <x:v>西所沢 / 接続路線</x:v>
      </x:c>
      <x:c r="C310" s="19" t="str">
        <x:v>Official multi-line/branch interchange; shared operator/mode kept as a single component.</x:v>
      </x:c>
      <x:c r="D310" s="19" t="str">
        <x:v>https://www.seiburailway.jp/railway/station/</x:v>
      </x:c>
      <x:c r="E310" s="18" t="str">
        <x:v>a445fcabc9f8b568d947cc0bacc94cdc85f749133c2cfa490e01e3d4548b8130</x:v>
      </x:c>
      <x:c r="F310" s="18" t="str">
        <x:v>PUBLIC_HTTP</x:v>
      </x:c>
      <x:c r="G310" s="23" t="n">
        <x:v>46295</x:v>
      </x:c>
    </x:row>
    <x:row r="311" ht="28" customHeight="1">
      <x:c r="A311" s="19" t="str">
        <x:v>西長堀</x:v>
      </x:c>
      <x:c r="B311" s="19" t="str">
        <x:v>stationBox_name / transferList_box</x:v>
      </x:c>
      <x:c r="C311" s="19" t="str">
        <x:v>Official transfer list: S14西長堀 千日前線</x:v>
      </x:c>
      <x:c r="D311" s="19" t="str">
        <x:v>https://subway.osakametro.co.jp/station_guide/N/n13/index.php</x:v>
      </x:c>
      <x:c r="E311" s="18" t="str">
        <x:v>b4190f6a897ebc810143a5cd0fa5c1bc6135c916cdd103cffac9dcf99c6462fe</x:v>
      </x:c>
      <x:c r="F311" s="18" t="str">
        <x:v>PUBLIC_HTTP</x:v>
      </x:c>
      <x:c r="G311" s="23" t="n">
        <x:v>46295</x:v>
      </x:c>
    </x:row>
    <x:row r="312" ht="28" customHeight="1">
      <x:c r="A312" s="19" t="str">
        <x:v>西長堀</x:v>
      </x:c>
      <x:c r="B312" s="19" t="str">
        <x:v>stationBox_name / transferList_box</x:v>
      </x:c>
      <x:c r="C312" s="19" t="str">
        <x:v>Official transfer list: N13西長堀 長堀鶴見緑地線</x:v>
      </x:c>
      <x:c r="D312" s="19" t="str">
        <x:v>https://subway.osakametro.co.jp/station_guide/S/s14/index.php</x:v>
      </x:c>
      <x:c r="E312" s="18" t="str">
        <x:v>d6df61a0a9198da5781fb3823f30b37a5911e2dd67dd636a68413d9a299e6504</x:v>
      </x:c>
      <x:c r="F312" s="18" t="str">
        <x:v>PUBLIC_HTTP</x:v>
      </x:c>
      <x:c r="G312" s="23" t="n">
        <x:v>46295</x:v>
      </x:c>
    </x:row>
    <x:row r="313" ht="33" customHeight="1">
      <x:c r="A313" s="19" t="str">
        <x:v>赤池</x:v>
      </x:c>
      <x:c r="B313" s="19" t="str">
        <x:v>他社線との連絡定期券の発売範囲 / 地下鉄 乗り換え駅</x:v>
      </x:c>
      <x:c r="C313" s="19" t="str">
        <x:v>City official connecting-ticket table explicitly names the transfer station and connecting railway.</x:v>
      </x:c>
      <x:c r="D313" s="19" t="str">
        <x:v>https://www.kotsu.city.nagoya.jp/rp/ticket/TRP0001550.htm</x:v>
      </x:c>
      <x:c r="E313" s="18" t="str">
        <x:v>072bd935c2969ea8c8e79335d4c0049ab6e22e6140bd5f9d276e1842019f7bb9</x:v>
      </x:c>
      <x:c r="F313" s="18" t="str">
        <x:v>PUBLIC_HTTP</x:v>
      </x:c>
      <x:c r="G313" s="23" t="n">
        <x:v>46295</x:v>
      </x:c>
    </x:row>
    <x:row r="314" ht="28" customHeight="1">
      <x:c r="A314" s="19" t="str">
        <x:v>太子橋今市</x:v>
      </x:c>
      <x:c r="B314" s="19" t="str">
        <x:v>stationBox_name / transferList_box</x:v>
      </x:c>
      <x:c r="C314" s="19" t="str">
        <x:v>Official transfer list: T13太子橋今市 谷町線</x:v>
      </x:c>
      <x:c r="D314" s="19" t="str">
        <x:v>https://subway.osakametro.co.jp/station_guide/I/i14/index.php</x:v>
      </x:c>
      <x:c r="E314" s="18" t="str">
        <x:v>c3a3d1d627c4e52e0fd62eef7859f880f3ddfa71a5505b14407b442d2af2ec7d</x:v>
      </x:c>
      <x:c r="F314" s="18" t="str">
        <x:v>PUBLIC_HTTP</x:v>
      </x:c>
      <x:c r="G314" s="23" t="n">
        <x:v>46295</x:v>
      </x:c>
    </x:row>
    <x:row r="315" ht="28" customHeight="1">
      <x:c r="A315" s="19" t="str">
        <x:v>太子橋今市</x:v>
      </x:c>
      <x:c r="B315" s="19" t="str">
        <x:v>stationBox_name / transferList_box</x:v>
      </x:c>
      <x:c r="C315" s="19" t="str">
        <x:v>Official transfer list: I14太子橋今市 今里筋線</x:v>
      </x:c>
      <x:c r="D315" s="19" t="str">
        <x:v>https://subway.osakametro.co.jp/station_guide/T/t13/index.php</x:v>
      </x:c>
      <x:c r="E315" s="18" t="str">
        <x:v>c810a1f4ae5628888ec9c4250320736deb8a4c5033697403994230a0aa472cb2</x:v>
      </x:c>
      <x:c r="F315" s="18" t="str">
        <x:v>PUBLIC_HTTP</x:v>
      </x:c>
      <x:c r="G315" s="23" t="n">
        <x:v>46295</x:v>
      </x:c>
    </x:row>
    <x:row r="316" ht="33" customHeight="1">
      <x:c r="A316" s="19" t="str">
        <x:v>大宮・四条大宮</x:v>
      </x:c>
      <x:c r="B316" s="19" t="str">
        <x:v>station list / 大宮 / 乗換</x:v>
      </x:c>
      <x:c r="C316" s="19" t="str">
        <x:v>Operator explicitly lists interchange with the second operator. Station names remain distinct physical components.</x:v>
      </x:c>
      <x:c r="D316" s="19" t="str">
        <x:v>https://www.hankyu.co.jp/station/index.html</x:v>
      </x:c>
      <x:c r="E316" s="18" t="str">
        <x:v>66b4b162f04b6774b1e5e2a75c61d55a9a0c54d8c937caad2d77910c410a8c71</x:v>
      </x:c>
      <x:c r="F316" s="18" t="str">
        <x:v>PUBLIC_HTTP</x:v>
      </x:c>
      <x:c r="G316" s="23" t="n">
        <x:v>46295</x:v>
      </x:c>
    </x:row>
    <x:row r="317" ht="28" customHeight="1">
      <x:c r="A317" s="19" t="str">
        <x:v>大正</x:v>
      </x:c>
      <x:c r="B317" s="19" t="str">
        <x:v>stationBox_name / transferList_box</x:v>
      </x:c>
      <x:c r="C317" s="19" t="str">
        <x:v>Official transfer list: JR線</x:v>
      </x:c>
      <x:c r="D317" s="19" t="str">
        <x:v>https://subway.osakametro.co.jp/station_guide/N/n11/index.php</x:v>
      </x:c>
      <x:c r="E317" s="18" t="str">
        <x:v>a057692d81596eddc968ece627e8ce360fb462583882ae683e87434e7147ec14</x:v>
      </x:c>
      <x:c r="F317" s="18" t="str">
        <x:v>PUBLIC_HTTP</x:v>
      </x:c>
      <x:c r="G317" s="23" t="n">
        <x:v>46295</x:v>
      </x:c>
    </x:row>
    <x:row r="318" ht="28" customHeight="1">
      <x:c r="A318" s="19" t="str">
        <x:v>大正</x:v>
      </x:c>
      <x:c r="B318" s="19" t="str">
        <x:v>出口・周辺施設 / station area map</x:v>
      </x:c>
      <x:c r="C318" s="19" t="str">
        <x:v>Exit guide cross-check for the connected named stations; not a distance inference.</x:v>
      </x:c>
      <x:c r="D318" s="19" t="str">
        <x:v>https://subway.osakametro.co.jp/station_guide/N/n11/map.php</x:v>
      </x:c>
      <x:c r="E318" s="18" t="str">
        <x:v>f16a739107c82eb3a435dc773c8f4c05eaa78f6d3086a9f149a06d44b831e380</x:v>
      </x:c>
      <x:c r="F318" s="18" t="str">
        <x:v>PUBLIC_HTTP</x:v>
      </x:c>
      <x:c r="G318" s="23" t="n">
        <x:v>46295</x:v>
      </x:c>
    </x:row>
    <x:row r="319" ht="28" customHeight="1">
      <x:c r="A319" s="19" t="str">
        <x:v>大日</x:v>
      </x:c>
      <x:c r="B319" s="19" t="str">
        <x:v>stationBox_name / transferList_box</x:v>
      </x:c>
      <x:c r="C319" s="19" t="str">
        <x:v>Official transfer list: 大阪モノレール</x:v>
      </x:c>
      <x:c r="D319" s="19" t="str">
        <x:v>https://subway.osakametro.co.jp/station_guide/T/t11/index.php</x:v>
      </x:c>
      <x:c r="E319" s="18" t="str">
        <x:v>22fe1c56eca313ccff837adaed8e539a156b5e84d16f3004cb1f37bfedd537c9</x:v>
      </x:c>
      <x:c r="F319" s="18" t="str">
        <x:v>PUBLIC_HTTP</x:v>
      </x:c>
      <x:c r="G319" s="23" t="n">
        <x:v>46295</x:v>
      </x:c>
    </x:row>
    <x:row r="320" ht="28" customHeight="1">
      <x:c r="A320" s="19" t="str">
        <x:v>大日</x:v>
      </x:c>
      <x:c r="B320" s="19" t="str">
        <x:v>出口・周辺施設 / station area map</x:v>
      </x:c>
      <x:c r="C320" s="19" t="str">
        <x:v>Exit guide cross-check for the connected named stations; not a distance inference.</x:v>
      </x:c>
      <x:c r="D320" s="19" t="str">
        <x:v>https://subway.osakametro.co.jp/station_guide/T/t11/map.php</x:v>
      </x:c>
      <x:c r="E320" s="18" t="str">
        <x:v>05f58aaf57930455c395a10afaf03cf07ca49ba590aa49107fe7ed405e86cd9e</x:v>
      </x:c>
      <x:c r="F320" s="18" t="str">
        <x:v>PUBLIC_HTTP</x:v>
      </x:c>
      <x:c r="G320" s="23" t="n">
        <x:v>46295</x:v>
      </x:c>
    </x:row>
    <x:row r="321" ht="33" customHeight="1">
      <x:c r="A321" s="19" t="str">
        <x:v>大和西大寺</x:v>
      </x:c>
      <x:c r="B321" s="19" t="str">
        <x:v>大和西大寺 / 接続路線</x:v>
      </x:c>
      <x:c r="C321" s="19" t="str">
        <x:v>Operator station list identifies connecting Kintetsu branches; preserve a single operator/mode component.</x:v>
      </x:c>
      <x:c r="D321" s="19" t="str">
        <x:v>https://www.kintetsu.co.jp/station/</x:v>
      </x:c>
      <x:c r="E321" s="18" t="str">
        <x:v>250ca1f5ba58a24028666ad98867a1a3c6ddb564841e7a72d30c0f3231689160</x:v>
      </x:c>
      <x:c r="F321" s="18" t="str">
        <x:v>PUBLIC_HTTP</x:v>
      </x:c>
      <x:c r="G321" s="23" t="n">
        <x:v>46295</x:v>
      </x:c>
    </x:row>
    <x:row r="322" ht="33" customHeight="1">
      <x:c r="A322" s="19" t="str">
        <x:v>大和八木</x:v>
      </x:c>
      <x:c r="B322" s="19" t="str">
        <x:v>大和八木 / 接続路線</x:v>
      </x:c>
      <x:c r="C322" s="19" t="str">
        <x:v>Operator station list identifies connecting Kintetsu branches; preserve a single operator/mode component.</x:v>
      </x:c>
      <x:c r="D322" s="19" t="str">
        <x:v>https://www.kintetsu.co.jp/station/</x:v>
      </x:c>
      <x:c r="E322" s="18" t="str">
        <x:v>250ca1f5ba58a24028666ad98867a1a3c6ddb564841e7a72d30c0f3231689160</x:v>
      </x:c>
      <x:c r="F322" s="18" t="str">
        <x:v>PUBLIC_HTTP</x:v>
      </x:c>
      <x:c r="G322" s="23" t="n">
        <x:v>46295</x:v>
      </x:c>
    </x:row>
    <x:row r="323" ht="33" customHeight="1">
      <x:c r="A323" s="19" t="str">
        <x:v>谷上</x:v>
      </x:c>
      <x:c r="B323" s="19" t="str">
        <x:v>西神・山手・北神 / 海岸線 / 換乘</x:v>
      </x:c>
      <x:c r="C323" s="19" t="str">
        <x:v>City subway table identifies the connected rail line at this station; different station names retained.</x:v>
      </x:c>
      <x:c r="D323" s="19" t="str">
        <x:v>https://kotsu.city.kobe.lg.jp/chinese-trad/cnt-subway-map/</x:v>
      </x:c>
      <x:c r="E323" s="18"/>
      <x:c r="F323" s="18" t="str">
        <x:v>WEB_OFFICIAL_DOCUMENT</x:v>
      </x:c>
      <x:c r="G323" s="23" t="n">
        <x:v>46295</x:v>
      </x:c>
    </x:row>
    <x:row r="324" ht="28" customHeight="1">
      <x:c r="A324" s="19" t="str">
        <x:v>丹波橋・近鉄丹波橋</x:v>
      </x:c>
      <x:c r="B324" s="19" t="str">
        <x:v>丹波橋 / 乗換</x:v>
      </x:c>
      <x:c r="C324" s="19" t="str">
        <x:v>Official designated rail connection: 丹波橋 / 京阪電気鉄道, 近鉄丹波橋 / 近畿日本鉄道</x:v>
      </x:c>
      <x:c r="D324" s="19" t="str">
        <x:v>https://www.kintetsu.co.jp/station/</x:v>
      </x:c>
      <x:c r="E324" s="18" t="str">
        <x:v>250ca1f5ba58a24028666ad98867a1a3c6ddb564841e7a72d30c0f3231689160</x:v>
      </x:c>
      <x:c r="F324" s="18" t="str">
        <x:v>PUBLIC_HTTP</x:v>
      </x:c>
      <x:c r="G324" s="23" t="n">
        <x:v>46295</x:v>
      </x:c>
    </x:row>
    <x:row r="325" ht="28" customHeight="1">
      <x:c r="A325" s="19" t="str">
        <x:v>竹田</x:v>
      </x:c>
      <x:c r="B325" s="19" t="str">
        <x:v>竹田 / 乗換</x:v>
      </x:c>
      <x:c r="C325" s="19" t="str">
        <x:v>Official designated rail connection: 竹田 / 近畿日本鉄道, 竹田 / 京都市</x:v>
      </x:c>
      <x:c r="D325" s="19" t="str">
        <x:v>https://www.kintetsu.co.jp/station/</x:v>
      </x:c>
      <x:c r="E325" s="18" t="str">
        <x:v>250ca1f5ba58a24028666ad98867a1a3c6ddb564841e7a72d30c0f3231689160</x:v>
      </x:c>
      <x:c r="F325" s="18" t="str">
        <x:v>PUBLIC_HTTP</x:v>
      </x:c>
      <x:c r="G325" s="23" t="n">
        <x:v>46295</x:v>
      </x:c>
    </x:row>
    <x:row r="326" ht="28" customHeight="1">
      <x:c r="A326" s="19" t="str">
        <x:v>中井</x:v>
      </x:c>
      <x:c r="B326" s="19" t="str">
        <x:v>中井 / 乗換</x:v>
      </x:c>
      <x:c r="C326" s="19" t="str">
        <x:v>Official designated rail connection: 中井 / 西武鉄道, 中井 / 東京都</x:v>
      </x:c>
      <x:c r="D326" s="19" t="str">
        <x:v>https://www.seiburailway.jp/railway/station/</x:v>
      </x:c>
      <x:c r="E326" s="18" t="str">
        <x:v>a445fcabc9f8b568d947cc0bacc94cdc85f749133c2cfa490e01e3d4548b8130</x:v>
      </x:c>
      <x:c r="F326" s="18" t="str">
        <x:v>PUBLIC_HTTP</x:v>
      </x:c>
      <x:c r="G326" s="23" t="n">
        <x:v>46295</x:v>
      </x:c>
    </x:row>
    <x:row r="327" ht="28" customHeight="1">
      <x:c r="A327" s="19" t="str">
        <x:v>中延</x:v>
      </x:c>
      <x:c r="B327" s="19" t="str">
        <x:v>#transfer / 乗り換え案内</x:v>
      </x:c>
      <x:c r="C327" s="19" t="str">
        <x:v>Official electric-rail transfer section confirms listed external rail connections.</x:v>
      </x:c>
      <x:c r="D327" s="19" t="str">
        <x:v>https://www.tokyu.co.jp/area/nakanobu/station/</x:v>
      </x:c>
      <x:c r="E327" s="18" t="str">
        <x:v>8ec1e7a9cf785d798362455b5a8d7468330cb6ef3599ec2b082d05c81e98e68a</x:v>
      </x:c>
      <x:c r="F327" s="18" t="str">
        <x:v>PUBLIC_HTTP</x:v>
      </x:c>
      <x:c r="G327" s="23" t="n">
        <x:v>46295</x:v>
      </x:c>
    </x:row>
    <x:row r="328" ht="33" customHeight="1">
      <x:c r="A328" s="19" t="str">
        <x:v>中洲川端</x:v>
      </x:c>
      <x:c r="B328" s="19" t="str">
        <x:v>路線図 / 駅時刻表 / connecting line labels</x:v>
      </x:c>
      <x:c r="C328" s="19" t="str">
        <x:v>Official subway route list identifies rail interchange; Tenjin and Tenjin-Minami both connect to Nishitetsu Fukuoka.</x:v>
      </x:c>
      <x:c r="D328" s="19" t="str">
        <x:v>https://subway.city.fukuoka.lg.jp/?lan=ja</x:v>
      </x:c>
      <x:c r="E328" s="18" t="str">
        <x:v>17daefaa3a5e4232694921711767b8925f604fa801819f33a72a5eaec28ce35f</x:v>
      </x:c>
      <x:c r="F328" s="18" t="str">
        <x:v>PUBLIC_HTTP</x:v>
      </x:c>
      <x:c r="G328" s="23" t="n">
        <x:v>46295</x:v>
      </x:c>
    </x:row>
    <x:row r="329" ht="28" customHeight="1">
      <x:c r="A329" s="19" t="str">
        <x:v>長居</x:v>
      </x:c>
      <x:c r="B329" s="19" t="str">
        <x:v>stationBox_name / transferList_box</x:v>
      </x:c>
      <x:c r="C329" s="19" t="str">
        <x:v>Official transfer list: いまざとライナー, JR線</x:v>
      </x:c>
      <x:c r="D329" s="19" t="str">
        <x:v>https://subway.osakametro.co.jp/station_guide/M/m26/index.php</x:v>
      </x:c>
      <x:c r="E329" s="18" t="str">
        <x:v>9170e4e7e7c87e700ca418b5c3d49981d21eb3edf3889256b2ff567999642d2b</x:v>
      </x:c>
      <x:c r="F329" s="18" t="str">
        <x:v>PUBLIC_HTTP</x:v>
      </x:c>
      <x:c r="G329" s="23" t="n">
        <x:v>46295</x:v>
      </x:c>
    </x:row>
    <x:row r="330" ht="28" customHeight="1">
      <x:c r="A330" s="19" t="str">
        <x:v>長居</x:v>
      </x:c>
      <x:c r="B330" s="19" t="str">
        <x:v>出口・周辺施設 / station area map</x:v>
      </x:c>
      <x:c r="C330" s="19" t="str">
        <x:v>Exit guide cross-check for the connected named stations; not a distance inference.</x:v>
      </x:c>
      <x:c r="D330" s="19" t="str">
        <x:v>https://subway.osakametro.co.jp/station_guide/M/m26/map.php</x:v>
      </x:c>
      <x:c r="E330" s="18" t="str">
        <x:v>727f5e6828dd2edfa454838344fa0ab0f27ea734b847949ebe61811ab8224ca8</x:v>
      </x:c>
      <x:c r="F330" s="18" t="str">
        <x:v>PUBLIC_HTTP</x:v>
      </x:c>
      <x:c r="G330" s="23" t="n">
        <x:v>46295</x:v>
      </x:c>
    </x:row>
    <x:row r="331" ht="33" customHeight="1">
      <x:c r="A331" s="19" t="str">
        <x:v>長町</x:v>
      </x:c>
      <x:c r="B331" s="19" t="str">
        <x:v>page 1 / JR駅 exit direction and station area inset</x:v>
      </x:c>
      <x:c r="C331" s="19" t="str">
        <x:v>City station exit map explicitly directs passengers to the connected JR station and shows the station area.</x:v>
      </x:c>
      <x:c r="D331" s="19" t="str">
        <x:v>https://www.kotsu.city.sendai.jp/subway/station/pdf/N15_%E9%95%B7%E7%94%BA.pdf</x:v>
      </x:c>
      <x:c r="E331" s="18"/>
      <x:c r="F331" s="18" t="str">
        <x:v>WEB_OFFICIAL_DOCUMENT</x:v>
      </x:c>
      <x:c r="G331" s="23" t="n">
        <x:v>46295</x:v>
      </x:c>
    </x:row>
    <x:row r="332" ht="28" customHeight="1">
      <x:c r="A332" s="19" t="str">
        <x:v>長田</x:v>
      </x:c>
      <x:c r="B332" s="19" t="str">
        <x:v>stationBox_name / transferList_box</x:v>
      </x:c>
      <x:c r="C332" s="19" t="str">
        <x:v>Official transfer list: 近鉄線(相互直通)</x:v>
      </x:c>
      <x:c r="D332" s="19" t="str">
        <x:v>https://subway.osakametro.co.jp/station_guide/C/c23/index.php</x:v>
      </x:c>
      <x:c r="E332" s="18" t="str">
        <x:v>b08b1b27b846e606eb284c7c743802192a4a654a97ff5c3fa92e1c7a9ba829f4</x:v>
      </x:c>
      <x:c r="F332" s="18" t="str">
        <x:v>PUBLIC_HTTP</x:v>
      </x:c>
      <x:c r="G332" s="23" t="n">
        <x:v>46295</x:v>
      </x:c>
    </x:row>
    <x:row r="333" ht="28" customHeight="1">
      <x:c r="A333" s="19" t="str">
        <x:v>長田</x:v>
      </x:c>
      <x:c r="B333" s="19" t="str">
        <x:v>出口・周辺施設 / station area map</x:v>
      </x:c>
      <x:c r="C333" s="19" t="str">
        <x:v>Exit guide cross-check for the connected named stations; not a distance inference.</x:v>
      </x:c>
      <x:c r="D333" s="19" t="str">
        <x:v>https://subway.osakametro.co.jp/station_guide/C/c23/map.php</x:v>
      </x:c>
      <x:c r="E333" s="18" t="str">
        <x:v>5fc00707d14178bfb3a694e770ea66f9c71ee1e126b6d876fb41491e76169230</x:v>
      </x:c>
      <x:c r="F333" s="18" t="str">
        <x:v>PUBLIC_HTTP</x:v>
      </x:c>
      <x:c r="G333" s="23" t="n">
        <x:v>46295</x:v>
      </x:c>
    </x:row>
    <x:row r="334" ht="28" customHeight="1">
      <x:c r="A334" s="19" t="str">
        <x:v>津</x:v>
      </x:c>
      <x:c r="B334" s="19" t="str">
        <x:v>津 / 乗換</x:v>
      </x:c>
      <x:c r="C334" s="19" t="str">
        <x:v>Official designated rail connection: 津 / 東海旅客鉄道, 津 / 近畿日本鉄道, 津 / 伊勢鉄道</x:v>
      </x:c>
      <x:c r="D334" s="19" t="str">
        <x:v>https://www.kintetsu.co.jp/station/</x:v>
      </x:c>
      <x:c r="E334" s="18" t="str">
        <x:v>250ca1f5ba58a24028666ad98867a1a3c6ddb564841e7a72d30c0f3231689160</x:v>
      </x:c>
      <x:c r="F334" s="18" t="str">
        <x:v>PUBLIC_HTTP</x:v>
      </x:c>
      <x:c r="G334" s="23" t="n">
        <x:v>46295</x:v>
      </x:c>
    </x:row>
    <x:row r="335" ht="33" customHeight="1">
      <x:c r="A335" s="19" t="str">
        <x:v>鶴舞</x:v>
      </x:c>
      <x:c r="B335" s="19" t="str">
        <x:v>他社線との連絡定期券の発売範囲 / 地下鉄 乗り換え駅</x:v>
      </x:c>
      <x:c r="C335" s="19" t="str">
        <x:v>City official connecting-ticket table explicitly names the transfer station and connecting railway.</x:v>
      </x:c>
      <x:c r="D335" s="19" t="str">
        <x:v>https://www.kotsu.city.nagoya.jp/rp/ticket/TRP0001550.htm</x:v>
      </x:c>
      <x:c r="E335" s="18" t="str">
        <x:v>072bd935c2969ea8c8e79335d4c0049ab6e22e6140bd5f9d276e1842019f7bb9</x:v>
      </x:c>
      <x:c r="F335" s="18" t="str">
        <x:v>PUBLIC_HTTP</x:v>
      </x:c>
      <x:c r="G335" s="23" t="n">
        <x:v>46295</x:v>
      </x:c>
    </x:row>
    <x:row r="336" ht="28" customHeight="1">
      <x:c r="A336" s="19" t="str">
        <x:v>天神橋筋六丁目</x:v>
      </x:c>
      <x:c r="B336" s="19" t="str">
        <x:v>stationBox_name / transferList_box</x:v>
      </x:c>
      <x:c r="C336" s="19" t="str">
        <x:v>Official transfer list: T18天神橋筋六丁目 谷町線, 阪急線(相互直通)</x:v>
      </x:c>
      <x:c r="D336" s="19" t="str">
        <x:v>https://subway.osakametro.co.jp/station_guide/K/k11/index.php</x:v>
      </x:c>
      <x:c r="E336" s="18" t="str">
        <x:v>d434a2790ce1cb1e922d5c28f9052920110ac4ee1897f8aabe9763438f3cfb97</x:v>
      </x:c>
      <x:c r="F336" s="18" t="str">
        <x:v>PUBLIC_HTTP</x:v>
      </x:c>
      <x:c r="G336" s="23" t="n">
        <x:v>46295</x:v>
      </x:c>
    </x:row>
    <x:row r="337" ht="28" customHeight="1">
      <x:c r="A337" s="19" t="str">
        <x:v>天神橋筋六丁目</x:v>
      </x:c>
      <x:c r="B337" s="19" t="str">
        <x:v>出口・周辺施設 / station area map</x:v>
      </x:c>
      <x:c r="C337" s="19" t="str">
        <x:v>Exit guide cross-check for the connected named stations; not a distance inference.</x:v>
      </x:c>
      <x:c r="D337" s="19" t="str">
        <x:v>https://subway.osakametro.co.jp/station_guide/K/k11/map.php</x:v>
      </x:c>
      <x:c r="E337" s="18" t="str">
        <x:v>baeefd2a1fa688f9bbdcf54bef1f43204e98e90779fb91a7e9cb33420f86d8b5</x:v>
      </x:c>
      <x:c r="F337" s="18" t="str">
        <x:v>PUBLIC_HTTP</x:v>
      </x:c>
      <x:c r="G337" s="23" t="n">
        <x:v>46295</x:v>
      </x:c>
    </x:row>
    <x:row r="338" ht="28" customHeight="1">
      <x:c r="A338" s="19" t="str">
        <x:v>天神橋筋六丁目</x:v>
      </x:c>
      <x:c r="B338" s="19" t="str">
        <x:v>stationBox_name / transferList_box</x:v>
      </x:c>
      <x:c r="C338" s="19" t="str">
        <x:v>Official transfer list: K11天神橋筋六丁目 堺筋線, 阪急線</x:v>
      </x:c>
      <x:c r="D338" s="19" t="str">
        <x:v>https://subway.osakametro.co.jp/station_guide/T/t18/index.php</x:v>
      </x:c>
      <x:c r="E338" s="18" t="str">
        <x:v>03484bd1d55cddbc5ee2682d8d63aa072b1a682c31cbd76647c93d4e8e480f54</x:v>
      </x:c>
      <x:c r="F338" s="18" t="str">
        <x:v>PUBLIC_HTTP</x:v>
      </x:c>
      <x:c r="G338" s="23" t="n">
        <x:v>46295</x:v>
      </x:c>
    </x:row>
    <x:row r="339" ht="28" customHeight="1">
      <x:c r="A339" s="19" t="str">
        <x:v>天神橋筋六丁目</x:v>
      </x:c>
      <x:c r="B339" s="19" t="str">
        <x:v>出口・周辺施設 / station area map</x:v>
      </x:c>
      <x:c r="C339" s="19" t="str">
        <x:v>Exit guide cross-check for the connected named stations; not a distance inference.</x:v>
      </x:c>
      <x:c r="D339" s="19" t="str">
        <x:v>https://subway.osakametro.co.jp/station_guide/T/t18/map.php</x:v>
      </x:c>
      <x:c r="E339" s="18" t="str">
        <x:v>e24d92a80d41cb089a2aef22d5be7056cf6bf0e170a4c8b2a1a91085ffedc7e1</x:v>
      </x:c>
      <x:c r="F339" s="18" t="str">
        <x:v>PUBLIC_HTTP</x:v>
      </x:c>
      <x:c r="G339" s="23" t="n">
        <x:v>46295</x:v>
      </x:c>
    </x:row>
    <x:row r="340" ht="33" customHeight="1">
      <x:c r="A340" s="19" t="str">
        <x:v>東新宿</x:v>
      </x:c>
      <x:c r="B340" s="19" t="str">
        <x:v>駅について / のりかえ鉄道会社</x:v>
      </x:c>
      <x:c r="C340" s="19" t="str">
        <x:v>Official station served lines and named transfer operators; no union with nearby independent stations.</x:v>
      </x:c>
      <x:c r="D340" s="19" t="str">
        <x:v>https://www.tokyometro.jp/station/higashi-shinjuku/index.html</x:v>
      </x:c>
      <x:c r="E340" s="18"/>
      <x:c r="F340" s="18" t="str">
        <x:v>WEB_OFFICIAL_DOCUMENT</x:v>
      </x:c>
      <x:c r="G340" s="23" t="n">
        <x:v>46295</x:v>
      </x:c>
    </x:row>
    <x:row r="341" ht="28" customHeight="1">
      <x:c r="A341" s="19" t="str">
        <x:v>東村山</x:v>
      </x:c>
      <x:c r="B341" s="19" t="str">
        <x:v>東村山 / 接続路線</x:v>
      </x:c>
      <x:c r="C341" s="19" t="str">
        <x:v>Official multi-line/branch interchange; shared operator/mode kept as a single component.</x:v>
      </x:c>
      <x:c r="D341" s="19" t="str">
        <x:v>https://www.seiburailway.jp/railway/station/</x:v>
      </x:c>
      <x:c r="E341" s="18" t="str">
        <x:v>a445fcabc9f8b568d947cc0bacc94cdc85f749133c2cfa490e01e3d4548b8130</x:v>
      </x:c>
      <x:c r="F341" s="18" t="str">
        <x:v>PUBLIC_HTTP</x:v>
      </x:c>
      <x:c r="G341" s="23" t="n">
        <x:v>46295</x:v>
      </x:c>
    </x:row>
    <x:row r="342" ht="28" customHeight="1">
      <x:c r="A342" s="19" t="str">
        <x:v>東飯能</x:v>
      </x:c>
      <x:c r="B342" s="19" t="str">
        <x:v>東飯能 / 乗換</x:v>
      </x:c>
      <x:c r="C342" s="19" t="str">
        <x:v>Official designated rail connection: 東飯能 / 西武鉄道, 東飯能 / 東日本旅客鉄道</x:v>
      </x:c>
      <x:c r="D342" s="19" t="str">
        <x:v>https://www.seiburailway.jp/railway/station/</x:v>
      </x:c>
      <x:c r="E342" s="18" t="str">
        <x:v>a445fcabc9f8b568d947cc0bacc94cdc85f749133c2cfa490e01e3d4548b8130</x:v>
      </x:c>
      <x:c r="F342" s="18" t="str">
        <x:v>PUBLIC_HTTP</x:v>
      </x:c>
      <x:c r="G342" s="23" t="n">
        <x:v>46295</x:v>
      </x:c>
    </x:row>
    <x:row r="343" ht="33" customHeight="1">
      <x:c r="A343" s="19" t="str">
        <x:v>奈良</x:v>
      </x:c>
      <x:c r="B343" s="19" t="str">
        <x:v>のりば案内 / 駅構内図</x:v>
      </x:c>
      <x:c r="C343" s="19" t="str">
        <x:v>JR Nara is the JR West conventional-line interchange (Yamatoji, Nara and Sakurai service). Kintetsu Nara is a separate station and is excluded from this Hub.</x:v>
      </x:c>
      <x:c r="D343" s="19" t="str">
        <x:v>https://eki.jr-odekake.net/premises?id=0620816</x:v>
      </x:c>
      <x:c r="E343" s="18"/>
      <x:c r="F343" s="18" t="str">
        <x:v>WEB_OFFICIAL_DOCUMENT</x:v>
      </x:c>
      <x:c r="G343" s="23" t="n">
        <x:v>46295</x:v>
      </x:c>
    </x:row>
    <x:row r="344" ht="33" customHeight="1">
      <x:c r="A344" s="19" t="str">
        <x:v>南茨木</x:v>
      </x:c>
      <x:c r="B344" s="19" t="str">
        <x:v>station list / 南茨木 / 乗換</x:v>
      </x:c>
      <x:c r="C344" s="19" t="str">
        <x:v>Operator explicitly lists interchange with the second operator. Station names remain distinct physical components.</x:v>
      </x:c>
      <x:c r="D344" s="19" t="str">
        <x:v>https://www.hankyu.co.jp/station/index.html</x:v>
      </x:c>
      <x:c r="E344" s="18" t="str">
        <x:v>66b4b162f04b6774b1e5e2a75c61d55a9a0c54d8c937caad2d77910c410a8c71</x:v>
      </x:c>
      <x:c r="F344" s="18" t="str">
        <x:v>PUBLIC_HTTP</x:v>
      </x:c>
      <x:c r="G344" s="23" t="n">
        <x:v>46295</x:v>
      </x:c>
    </x:row>
    <x:row r="345" ht="33" customHeight="1">
      <x:c r="A345" s="19" t="str">
        <x:v>南千住</x:v>
      </x:c>
      <x:c r="B345" s="19" t="str">
        <x:v>のりかえ鉄道会社 / station transfer and exit guide</x:v>
      </x:c>
      <x:c r="C345" s="19" t="str">
        <x:v>Official transfer operators: JR東, TX</x:v>
      </x:c>
      <x:c r="D345" s="19" t="str">
        <x:v>https://www.tokyometro.jp/station/minami-senju/index.html</x:v>
      </x:c>
      <x:c r="E345" s="18"/>
      <x:c r="F345" s="18" t="str">
        <x:v>WEB_OFFICIAL_DOCUMENT</x:v>
      </x:c>
      <x:c r="G345" s="23" t="n">
        <x:v>46295</x:v>
      </x:c>
    </x:row>
    <x:row r="346" ht="33" customHeight="1">
      <x:c r="A346" s="19" t="str">
        <x:v>白金高輪</x:v>
      </x:c>
      <x:c r="B346" s="19" t="str">
        <x:v>駅について / のりかえ鉄道会社</x:v>
      </x:c>
      <x:c r="C346" s="19" t="str">
        <x:v>Official station served lines and named transfer operators; no union with nearby independent stations.</x:v>
      </x:c>
      <x:c r="D346" s="19" t="str">
        <x:v>https://www.tokyometro.jp/station/shirokane-takanawa/index.html</x:v>
      </x:c>
      <x:c r="E346" s="18"/>
      <x:c r="F346" s="18" t="str">
        <x:v>WEB_OFFICIAL_DOCUMENT</x:v>
      </x:c>
      <x:c r="G346" s="23" t="n">
        <x:v>46295</x:v>
      </x:c>
    </x:row>
    <x:row r="347" ht="33" customHeight="1">
      <x:c r="A347" s="19" t="str">
        <x:v>八事</x:v>
      </x:c>
      <x:c r="B347" s="19" t="str">
        <x:v>路線別 駅の情報 / 八事</x:v>
      </x:c>
      <x:c r="C347" s="19" t="str">
        <x:v>City subway line index lists this station on connecting municipal lines; keep one operator/mode component.</x:v>
      </x:c>
      <x:c r="D347" s="19" t="str">
        <x:v>https://kotsu.city.nagoya.jp/rp/subway/</x:v>
      </x:c>
      <x:c r="E347" s="18" t="str">
        <x:v>4a7a532f756c832cebb37f6803768bd64c559063e3d2801f2f68ae533bbf4c6d</x:v>
      </x:c>
      <x:c r="F347" s="18" t="str">
        <x:v>PUBLIC_HTTP</x:v>
      </x:c>
      <x:c r="G347" s="23" t="n">
        <x:v>46295</x:v>
      </x:c>
    </x:row>
    <x:row r="348" ht="33" customHeight="1">
      <x:c r="A348" s="19" t="str">
        <x:v>八田</x:v>
      </x:c>
      <x:c r="B348" s="19" t="str">
        <x:v>他社線との連絡定期券の発売範囲 / 地下鉄 乗り換え駅</x:v>
      </x:c>
      <x:c r="C348" s="19" t="str">
        <x:v>City official connecting-ticket table explicitly names the transfer station and connecting railway.</x:v>
      </x:c>
      <x:c r="D348" s="19" t="str">
        <x:v>https://www.kotsu.city.nagoya.jp/rp/ticket/TRP0001550.htm</x:v>
      </x:c>
      <x:c r="E348" s="18" t="str">
        <x:v>072bd935c2969ea8c8e79335d4c0049ab6e22e6140bd5f9d276e1842019f7bb9</x:v>
      </x:c>
      <x:c r="F348" s="18" t="str">
        <x:v>PUBLIC_HTTP</x:v>
      </x:c>
      <x:c r="G348" s="23" t="n">
        <x:v>46295</x:v>
      </x:c>
    </x:row>
    <x:row r="349" ht="33" customHeight="1">
      <x:c r="A349" s="19" t="str">
        <x:v>八田</x:v>
      </x:c>
      <x:c r="B349" s="19" t="str">
        <x:v>近鉄八田 / 乗換</x:v>
      </x:c>
      <x:c r="C349" s="19" t="str">
        <x:v>Kintetsu Hatta explicitly lists the Higashiyama subway connection; the city table separately identifies JR Hatta.</x:v>
      </x:c>
      <x:c r="D349" s="19" t="str">
        <x:v>https://www.kintetsu.co.jp/station/</x:v>
      </x:c>
      <x:c r="E349" s="18" t="str">
        <x:v>250ca1f5ba58a24028666ad98867a1a3c6ddb564841e7a72d30c0f3231689160</x:v>
      </x:c>
      <x:c r="F349" s="18" t="str">
        <x:v>PUBLIC_HTTP</x:v>
      </x:c>
      <x:c r="G349" s="23" t="n">
        <x:v>46295</x:v>
      </x:c>
    </x:row>
    <x:row r="350" ht="33" customHeight="1">
      <x:c r="A350" s="19" t="str">
        <x:v>板宿</x:v>
      </x:c>
      <x:c r="B350" s="19" t="str">
        <x:v>西神・山手・北神 / 海岸線 / 換乘</x:v>
      </x:c>
      <x:c r="C350" s="19" t="str">
        <x:v>City subway table identifies the connected rail line at this station; different station names retained.</x:v>
      </x:c>
      <x:c r="D350" s="19" t="str">
        <x:v>https://kotsu.city.kobe.lg.jp/chinese-trad/cnt-subway-map/</x:v>
      </x:c>
      <x:c r="E350" s="18"/>
      <x:c r="F350" s="18" t="str">
        <x:v>WEB_OFFICIAL_DOCUMENT</x:v>
      </x:c>
      <x:c r="G350" s="23" t="n">
        <x:v>46295</x:v>
      </x:c>
    </x:row>
    <x:row r="351" ht="33" customHeight="1">
      <x:c r="A351" s="19" t="str">
        <x:v>平安通</x:v>
      </x:c>
      <x:c r="B351" s="19" t="str">
        <x:v>路線別 駅の情報 / 平安通</x:v>
      </x:c>
      <x:c r="C351" s="19" t="str">
        <x:v>City subway line index lists this station on connecting municipal lines; keep one operator/mode component.</x:v>
      </x:c>
      <x:c r="D351" s="19" t="str">
        <x:v>https://kotsu.city.nagoya.jp/rp/subway/</x:v>
      </x:c>
      <x:c r="E351" s="18" t="str">
        <x:v>4a7a532f756c832cebb37f6803768bd64c559063e3d2801f2f68ae533bbf4c6d</x:v>
      </x:c>
      <x:c r="F351" s="18" t="str">
        <x:v>PUBLIC_HTTP</x:v>
      </x:c>
      <x:c r="G351" s="23" t="n">
        <x:v>46295</x:v>
      </x:c>
    </x:row>
    <x:row r="352" ht="28" customHeight="1">
      <x:c r="A352" s="19" t="str">
        <x:v>北野</x:v>
      </x:c>
      <x:c r="B352" s="19" t="str">
        <x:v>北野 / 接続路線</x:v>
      </x:c>
      <x:c r="C352" s="19" t="str">
        <x:v>Official internal branch/line interchange; one operator/mode component retains all lineRefs.</x:v>
      </x:c>
      <x:c r="D352" s="19" t="str">
        <x:v>https://www.keio.co.jp/train/station/</x:v>
      </x:c>
      <x:c r="E352" s="18" t="str">
        <x:v>75899744ec6862e4fcef922a450a9d321af1598dbaba860d6168e02e1cd9f13b</x:v>
      </x:c>
      <x:c r="F352" s="18" t="str">
        <x:v>PUBLIC_HTTP</x:v>
      </x:c>
      <x:c r="G352" s="23" t="n">
        <x:v>46295</x:v>
      </x:c>
    </x:row>
    <x:row r="353" ht="33" customHeight="1">
      <x:c r="A353" s="19" t="str">
        <x:v>本山</x:v>
      </x:c>
      <x:c r="B353" s="19" t="str">
        <x:v>路線別 駅の情報 / 本山</x:v>
      </x:c>
      <x:c r="C353" s="19" t="str">
        <x:v>City subway line index lists this station on connecting municipal lines; keep one operator/mode component.</x:v>
      </x:c>
      <x:c r="D353" s="19" t="str">
        <x:v>https://kotsu.city.nagoya.jp/rp/subway/</x:v>
      </x:c>
      <x:c r="E353" s="18" t="str">
        <x:v>4a7a532f756c832cebb37f6803768bd64c559063e3d2801f2f68ae533bbf4c6d</x:v>
      </x:c>
      <x:c r="F353" s="18" t="str">
        <x:v>PUBLIC_HTTP</x:v>
      </x:c>
      <x:c r="G353" s="23" t="n">
        <x:v>46295</x:v>
      </x:c>
    </x:row>
    <x:row r="354" ht="28" customHeight="1">
      <x:c r="A354" s="19" t="str">
        <x:v>本通</x:v>
      </x:c>
      <x:c r="B354" s="19" t="str">
        <x:v>駅情報 / 乗換のご案内</x:v>
      </x:c>
      <x:c r="C354" s="19" t="str">
        <x:v>Astram station guide explicitly identifies the connecting JR station or Hiroden tram stop.</x:v>
      </x:c>
      <x:c r="D354" s="19" t="str">
        <x:v>https://www.astramline.co.jp/station/info.html?name=%E6%9C%AC%E9%80%9A</x:v>
      </x:c>
      <x:c r="E354" s="18"/>
      <x:c r="F354" s="18" t="str">
        <x:v>WEB_OFFICIAL_DOCUMENT</x:v>
      </x:c>
      <x:c r="G354" s="23" t="n">
        <x:v>46295</x:v>
      </x:c>
    </x:row>
    <x:row r="355" ht="33" customHeight="1">
      <x:c r="A355" s="19" t="str">
        <x:v>湊川公園・湊川</x:v>
      </x:c>
      <x:c r="B355" s="19" t="str">
        <x:v>西神・山手・北神 / 海岸線 / 換乘</x:v>
      </x:c>
      <x:c r="C355" s="19" t="str">
        <x:v>City subway table identifies the connected rail line at this station; different station names retained.</x:v>
      </x:c>
      <x:c r="D355" s="19" t="str">
        <x:v>https://kotsu.city.kobe.lg.jp/chinese-trad/cnt-subway-map/</x:v>
      </x:c>
      <x:c r="E355" s="18"/>
      <x:c r="F355" s="18" t="str">
        <x:v>WEB_OFFICIAL_DOCUMENT</x:v>
      </x:c>
      <x:c r="G355" s="23" t="n">
        <x:v>46295</x:v>
      </x:c>
    </x:row>
    <x:row r="356" ht="28" customHeight="1">
      <x:c r="A356" s="19" t="str">
        <x:v>野田阪神・海老江</x:v>
      </x:c>
      <x:c r="B356" s="19" t="str">
        <x:v>stationBox_name / transferList_box</x:v>
      </x:c>
      <x:c r="C356" s="19" t="str">
        <x:v>Official transfer list: JR線, 阪神線</x:v>
      </x:c>
      <x:c r="D356" s="19" t="str">
        <x:v>https://subway.osakametro.co.jp/station_guide/S/s11/index.php</x:v>
      </x:c>
      <x:c r="E356" s="18" t="str">
        <x:v>0c5bc0df4d30aa2d72e2a33ad497f66535e8f3444b6f39f221b141dcb09ef04a</x:v>
      </x:c>
      <x:c r="F356" s="18" t="str">
        <x:v>PUBLIC_HTTP</x:v>
      </x:c>
      <x:c r="G356" s="23" t="n">
        <x:v>46295</x:v>
      </x:c>
    </x:row>
    <x:row r="357" ht="28" customHeight="1">
      <x:c r="A357" s="19" t="str">
        <x:v>野田阪神・海老江</x:v>
      </x:c>
      <x:c r="B357" s="19" t="str">
        <x:v>出口・周辺施設 / station area map</x:v>
      </x:c>
      <x:c r="C357" s="19" t="str">
        <x:v>Exit guide cross-check for the connected named stations; not a distance inference.</x:v>
      </x:c>
      <x:c r="D357" s="19" t="str">
        <x:v>https://subway.osakametro.co.jp/station_guide/S/s11/map.php</x:v>
      </x:c>
      <x:c r="E357" s="18" t="str">
        <x:v>2c1a489a915db5f2748ad04e88d0717dafc7b7b0349c6f28cdf04e9392d4c23c</x:v>
      </x:c>
      <x:c r="F357" s="18" t="str">
        <x:v>PUBLIC_HTTP</x:v>
      </x:c>
      <x:c r="G357" s="23" t="n">
        <x:v>46295</x:v>
      </x:c>
    </x:row>
    <x:row r="358" ht="33" customHeight="1">
      <x:c r="A358" s="19" t="str">
        <x:v>薬院</x:v>
      </x:c>
      <x:c r="B358" s="19" t="str">
        <x:v>路線図 / 駅時刻表 / connecting line labels</x:v>
      </x:c>
      <x:c r="C358" s="19" t="str">
        <x:v>Official subway route list identifies rail interchange; Tenjin and Tenjin-Minami both connect to Nishitetsu Fukuoka.</x:v>
      </x:c>
      <x:c r="D358" s="19" t="str">
        <x:v>https://subway.city.fukuoka.lg.jp/?lan=ja</x:v>
      </x:c>
      <x:c r="E358" s="18" t="str">
        <x:v>17daefaa3a5e4232694921711767b8925f604fa801819f33a72a5eaec28ce35f</x:v>
      </x:c>
      <x:c r="F358" s="18" t="str">
        <x:v>PUBLIC_HTTP</x:v>
      </x:c>
      <x:c r="G358" s="23" t="n">
        <x:v>46295</x:v>
      </x:c>
    </x:row>
    <x:row r="359" ht="28" customHeight="1">
      <x:c r="A359" s="19" t="str">
        <x:v>緑橋</x:v>
      </x:c>
      <x:c r="B359" s="19" t="str">
        <x:v>stationBox_name / transferList_box</x:v>
      </x:c>
      <x:c r="C359" s="19" t="str">
        <x:v>Official transfer list: I20緑橋 今里筋線</x:v>
      </x:c>
      <x:c r="D359" s="19" t="str">
        <x:v>https://subway.osakametro.co.jp/station_guide/C/c20/index.php</x:v>
      </x:c>
      <x:c r="E359" s="18" t="str">
        <x:v>9cd5844653f4332434e440fa4fbccf8cdc71ab280dd13d91367c1254a32d88dd</x:v>
      </x:c>
      <x:c r="F359" s="18" t="str">
        <x:v>PUBLIC_HTTP</x:v>
      </x:c>
      <x:c r="G359" s="23" t="n">
        <x:v>46295</x:v>
      </x:c>
    </x:row>
    <x:row r="360" ht="28" customHeight="1">
      <x:c r="A360" s="19" t="str">
        <x:v>緑橋</x:v>
      </x:c>
      <x:c r="B360" s="19" t="str">
        <x:v>stationBox_name / transferList_box</x:v>
      </x:c>
      <x:c r="C360" s="19" t="str">
        <x:v>Official transfer list: C20緑橋 中央線</x:v>
      </x:c>
      <x:c r="D360" s="19" t="str">
        <x:v>https://subway.osakametro.co.jp/station_guide/I/i20/index.php</x:v>
      </x:c>
      <x:c r="E360" s="18" t="str">
        <x:v>2d25df14b8ddc2fd039d6885b4030de8571e4b37ff88ec96c71187fdcfe0c178</x:v>
      </x:c>
      <x:c r="F360" s="18" t="str">
        <x:v>PUBLIC_HTTP</x:v>
      </x:c>
      <x:c r="G360" s="23" t="n">
        <x:v>46295</x:v>
      </x:c>
    </x:row>
    <x:row r="361" ht="33" customHeight="1">
      <x:c r="A361" s="19" t="str">
        <x:v>和田岬</x:v>
      </x:c>
      <x:c r="B361" s="19" t="str">
        <x:v>西神・山手・北神 / 海岸線 / 換乘</x:v>
      </x:c>
      <x:c r="C361" s="19" t="str">
        <x:v>City subway table identifies the connected rail line at this station; different station names retained.</x:v>
      </x:c>
      <x:c r="D361" s="19" t="str">
        <x:v>https://kotsu.city.kobe.lg.jp/chinese-trad/cnt-subway-map/</x:v>
      </x:c>
      <x:c r="E361" s="18"/>
      <x:c r="F361" s="18" t="str">
        <x:v>WEB_OFFICIAL_DOCUMENT</x:v>
      </x:c>
      <x:c r="G361" s="23" t="n">
        <x:v>46295</x:v>
      </x:c>
    </x:row>
    <x:row r="362" ht="33" customHeight="1">
      <x:c r="A362" s="19" t="str">
        <x:v>上飯田</x:v>
      </x:c>
      <x:c r="B362" s="19" t="str">
        <x:v>他社線との連絡定期券の発売範囲 / 地下鉄 乗り換え駅</x:v>
      </x:c>
      <x:c r="C362" s="19" t="str">
        <x:v>City official connecting-ticket table explicitly names the transfer station and connecting railway.</x:v>
      </x:c>
      <x:c r="D362" s="19" t="str">
        <x:v>https://www.kotsu.city.nagoya.jp/rp/ticket/TRP0001550.htm</x:v>
      </x:c>
      <x:c r="E362" s="18" t="str">
        <x:v>072bd935c2969ea8c8e79335d4c0049ab6e22e6140bd5f9d276e1842019f7bb9</x:v>
      </x:c>
      <x:c r="F362" s="18" t="str">
        <x:v>PUBLIC_HTTP</x:v>
      </x:c>
      <x:c r="G362" s="23" t="n">
        <x:v>46295</x:v>
      </x:c>
    </x:row>
    <x:row r="363" ht="28" customHeight="1">
      <x:c r="A363" s="19" t="str">
        <x:v>大町</x:v>
      </x:c>
      <x:c r="B363" s="19" t="str">
        <x:v>駅情報 / 乗換のご案内</x:v>
      </x:c>
      <x:c r="C363" s="19" t="str">
        <x:v>Astram station guide explicitly identifies the connecting JR station or Hiroden tram stop.</x:v>
      </x:c>
      <x:c r="D363" s="19" t="str">
        <x:v>https://www.astramline.co.jp/station/info.html?name=%E5%A4%A7%E7%94%BA</x:v>
      </x:c>
      <x:c r="E363" s="18"/>
      <x:c r="F363" s="18" t="str">
        <x:v>WEB_OFFICIAL_DOCUMENT</x:v>
      </x:c>
      <x:c r="G363" s="23" t="n">
        <x:v>46295</x:v>
      </x:c>
    </x:row>
    <x:row r="364" ht="28" customHeight="1">
      <x:c r="A364" s="19" t="str">
        <x:v>鳥羽</x:v>
      </x:c>
      <x:c r="B364" s="19" t="str">
        <x:v>鳥羽 / 乗換</x:v>
      </x:c>
      <x:c r="C364" s="19" t="str">
        <x:v>Official designated rail connection: 鳥羽 / 東海旅客鉄道, 鳥羽 / 近畿日本鉄道</x:v>
      </x:c>
      <x:c r="D364" s="19" t="str">
        <x:v>https://www.kintetsu.co.jp/station/</x:v>
      </x:c>
      <x:c r="E364" s="18" t="str">
        <x:v>250ca1f5ba58a24028666ad98867a1a3c6ddb564841e7a72d30c0f3231689160</x:v>
      </x:c>
      <x:c r="F364" s="18" t="str">
        <x:v>PUBLIC_HTTP</x:v>
      </x:c>
      <x:c r="G364" s="23" t="n">
        <x:v>46295</x:v>
      </x:c>
    </x:row>
    <x:row r="365" ht="28" customHeight="1">
      <x:c r="A365" s="19" t="str">
        <x:v>萩山</x:v>
      </x:c>
      <x:c r="B365" s="19" t="str">
        <x:v>萩山 / 接続路線</x:v>
      </x:c>
      <x:c r="C365" s="19" t="str">
        <x:v>Official multi-line/branch interchange; shared operator/mode kept as a single component.</x:v>
      </x:c>
      <x:c r="D365" s="19" t="str">
        <x:v>https://www.seiburailway.jp/railway/station/</x:v>
      </x:c>
      <x:c r="E365" s="18" t="str">
        <x:v>a445fcabc9f8b568d947cc0bacc94cdc85f749133c2cfa490e01e3d4548b8130</x:v>
      </x:c>
      <x:c r="F365" s="18" t="str">
        <x:v>PUBLIC_HTTP</x:v>
      </x:c>
      <x:c r="G365" s="23" t="n">
        <x:v>46295</x:v>
      </x:c>
    </x:row>
  </x:sheetData>
  <x:pageMargins left="0.7" right="0.7" top="0.75" bottom="0.75" header="0.3" footer="0.3"/>
  <x:tableParts count="1">
    <x:tablePart xmlns:r="http://schemas.openxmlformats.org/officeDocument/2006/relationships" r:id="R668ac3761741453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3" hidden="0" customWidth="1"/>
    <x:col min="4" max="4" width="14" hidden="0" customWidth="1"/>
    <x:col min="5" max="5" width="47" hidden="0" customWidth="1"/>
    <x:col min="6" max="6" width="36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4" t="str">
        <x:v>高等级候选的 Hub 审核覆盖</x:v>
      </x:c>
      <x:c r="B2" s="5"/>
      <x:c r="C2" s="5"/>
      <x:c r="D2" s="5"/>
      <x:c r="E2" s="5"/>
      <x:c r="F2" s="5"/>
      <x:c r="G2" s="5"/>
      <x:c r="H2" s="22"/>
    </x:row>
    <x:row r="3">
      <x:c r="A3" s="6" t="str">
        <x:v>519 个 T0/T1 组件中，224 个尚未建立范围。全部 80 个拟 T0 已纳入范围，仍待组件及边界验收。</x:v>
      </x:c>
      <x:c r="B3" s="2"/>
      <x:c r="C3" s="2"/>
      <x:c r="D3" s="2"/>
      <x:c r="E3" s="2"/>
      <x:c r="F3" s="2"/>
      <x:c r="G3" s="2"/>
    </x:row>
    <x:row r="4">
      <x:c r="A4" s="6" t="str">
        <x:v>来源：data/transport/nodes/task-084-b-v2-amendment-review/high-tier-hub-coverage-gate.jsonl</x:v>
      </x:c>
      <x:c r="B4" s="2"/>
      <x:c r="C4" s="2"/>
      <x:c r="D4" s="2"/>
      <x:c r="E4" s="2"/>
      <x:c r="F4" s="2"/>
      <x:c r="G4" s="2"/>
    </x:row>
    <x:row r="5" ht="34" customHeight="1">
      <x:c r="A5" s="15" t="str">
        <x:v>站名</x:v>
      </x:c>
      <x:c r="B5" s="16" t="str">
        <x:v>运营方</x:v>
      </x:c>
      <x:c r="C5" s="16" t="str">
        <x:v>模式</x:v>
      </x:c>
      <x:c r="D5" s="16" t="str">
        <x:v>拟等级</x:v>
      </x:c>
      <x:c r="E5" s="16" t="str">
        <x:v>当前缺口状态</x:v>
      </x:c>
      <x:c r="F5" s="16" t="str">
        <x:v>已列审核范围</x:v>
      </x:c>
      <x:c r="G5" s="17" t="str">
        <x:v>候选组件 ID</x:v>
      </x:c>
    </x:row>
    <x:row r="6" ht="28" customHeight="1">
      <x:c r="A6" s="18" t="str">
        <x:v>あざみ野</x:v>
      </x:c>
      <x:c r="B6" s="18" t="str">
        <x:v>東急電鉄</x:v>
      </x:c>
      <x:c r="C6" s="18" t="str">
        <x:v>private_rail</x:v>
      </x:c>
      <x:c r="D6" s="18" t="str">
        <x:v>T1</x:v>
      </x:c>
      <x:c r="E6" s="19" t="str">
        <x:v>已有官方边界，组件待核</x:v>
      </x:c>
      <x:c r="F6" s="19" t="str">
        <x:v>あざみ野</x:v>
      </x:c>
      <x:c r="G6" s="18" t="str">
        <x:v>transport-node:f894d672-85dd-5125-b9a7-c938bffdaff4</x:v>
      </x:c>
    </x:row>
    <x:row r="7" ht="28" customHeight="1">
      <x:c r="A7" s="18" t="str">
        <x:v>さいたま新都心</x:v>
      </x:c>
      <x:c r="B7" s="18" t="str">
        <x:v>東日本旅客鉄道</x:v>
      </x:c>
      <x:c r="C7" s="18" t="str">
        <x:v>conventional_rail</x:v>
      </x:c>
      <x:c r="D7" s="18" t="str">
        <x:v>T1</x:v>
      </x:c>
      <x:c r="E7" s="19" t="str">
        <x:v>尚未建立 Hub 审核范围</x:v>
      </x:c>
      <x:c r="F7" s="19" t="str"/>
      <x:c r="G7" s="18" t="str">
        <x:v>transport-node:c6d3a205-28ea-5f67-b096-cdfeca7e1fe6</x:v>
      </x:c>
    </x:row>
    <x:row r="8" ht="28" customHeight="1">
      <x:c r="A8" s="18" t="str">
        <x:v>さっぽろ</x:v>
      </x:c>
      <x:c r="B8" s="18" t="str">
        <x:v>札幌市</x:v>
      </x:c>
      <x:c r="C8" s="18" t="str">
        <x:v>metro</x:v>
      </x:c>
      <x:c r="D8" s="18" t="str">
        <x:v>T1</x:v>
      </x:c>
      <x:c r="E8" s="19" t="str">
        <x:v>已有官方边界，组件待核</x:v>
      </x:c>
      <x:c r="F8" s="19" t="str">
        <x:v>札幌</x:v>
      </x:c>
      <x:c r="G8" s="18" t="str">
        <x:v>transport-node:3dddce3a-15dd-5d20-a731-caecbfdb75f4</x:v>
      </x:c>
    </x:row>
    <x:row r="9" ht="28" customHeight="1">
      <x:c r="A9" s="18" t="str">
        <x:v>せんげん台</x:v>
      </x:c>
      <x:c r="B9" s="18" t="str">
        <x:v>東武鉄道</x:v>
      </x:c>
      <x:c r="C9" s="18" t="str">
        <x:v>private_rail</x:v>
      </x:c>
      <x:c r="D9" s="18" t="str">
        <x:v>T1</x:v>
      </x:c>
      <x:c r="E9" s="19" t="str">
        <x:v>尚未建立 Hub 审核范围</x:v>
      </x:c>
      <x:c r="F9" s="19" t="str"/>
      <x:c r="G9" s="18" t="str">
        <x:v>transport-node:84cd1215-4d34-5924-a89f-7610251dd924</x:v>
      </x:c>
    </x:row>
    <x:row r="10" ht="28" customHeight="1">
      <x:c r="A10" s="18" t="str">
        <x:v>たまプラーザ</x:v>
      </x:c>
      <x:c r="B10" s="18" t="str">
        <x:v>東急電鉄</x:v>
      </x:c>
      <x:c r="C10" s="18" t="str">
        <x:v>private_rail</x:v>
      </x:c>
      <x:c r="D10" s="18" t="str">
        <x:v>T1</x:v>
      </x:c>
      <x:c r="E10" s="19" t="str">
        <x:v>尚未建立 Hub 审核范围</x:v>
      </x:c>
      <x:c r="F10" s="19" t="str"/>
      <x:c r="G10" s="18" t="str">
        <x:v>transport-node:1300fd39-acc3-5ef3-a57e-92b8267c9536</x:v>
      </x:c>
    </x:row>
    <x:row r="11" ht="28" customHeight="1">
      <x:c r="A11" s="18" t="str">
        <x:v>ひばりヶ丘</x:v>
      </x:c>
      <x:c r="B11" s="18" t="str">
        <x:v>西武鉄道</x:v>
      </x:c>
      <x:c r="C11" s="18" t="str">
        <x:v>private_rail</x:v>
      </x:c>
      <x:c r="D11" s="18" t="str">
        <x:v>T1</x:v>
      </x:c>
      <x:c r="E11" s="19" t="str">
        <x:v>尚未建立 Hub 审核范围</x:v>
      </x:c>
      <x:c r="F11" s="19" t="str"/>
      <x:c r="G11" s="18" t="str">
        <x:v>transport-node:85d52eed-f790-5c87-9b7e-7f206e6d76d3</x:v>
      </x:c>
    </x:row>
    <x:row r="12" ht="28" customHeight="1">
      <x:c r="A12" s="18" t="str">
        <x:v>ふじみ野</x:v>
      </x:c>
      <x:c r="B12" s="18" t="str">
        <x:v>東武鉄道</x:v>
      </x:c>
      <x:c r="C12" s="18" t="str">
        <x:v>private_rail</x:v>
      </x:c>
      <x:c r="D12" s="18" t="str">
        <x:v>T1</x:v>
      </x:c>
      <x:c r="E12" s="19" t="str">
        <x:v>尚未建立 Hub 审核范围</x:v>
      </x:c>
      <x:c r="F12" s="19" t="str"/>
      <x:c r="G12" s="18" t="str">
        <x:v>transport-node:af421e68-db4f-5197-8410-bc1113c49bd9</x:v>
      </x:c>
    </x:row>
    <x:row r="13" ht="28" customHeight="1">
      <x:c r="A13" s="18" t="str">
        <x:v>みなとみらい</x:v>
      </x:c>
      <x:c r="B13" s="18" t="str">
        <x:v>横浜高速鉄道</x:v>
      </x:c>
      <x:c r="C13" s="18" t="str">
        <x:v>private_rail</x:v>
      </x:c>
      <x:c r="D13" s="18" t="str">
        <x:v>T1</x:v>
      </x:c>
      <x:c r="E13" s="19" t="str">
        <x:v>尚未建立 Hub 审核范围</x:v>
      </x:c>
      <x:c r="F13" s="19" t="str"/>
      <x:c r="G13" s="18" t="str">
        <x:v>transport-node:0039173b-d993-5e1c-9fc2-bb4badd03903</x:v>
      </x:c>
    </x:row>
    <x:row r="14" ht="28" customHeight="1">
      <x:c r="A14" s="18" t="str">
        <x:v>モノレール浜松町</x:v>
      </x:c>
      <x:c r="B14" s="18" t="str">
        <x:v>東京モノレール</x:v>
      </x:c>
      <x:c r="C14" s="18" t="str">
        <x:v>fixed_guideway</x:v>
      </x:c>
      <x:c r="D14" s="18" t="str">
        <x:v>T1</x:v>
      </x:c>
      <x:c r="E14" s="19" t="str">
        <x:v>已有官方边界，组件待核</x:v>
      </x:c>
      <x:c r="F14" s="19" t="str">
        <x:v>浜松町・大門</x:v>
      </x:c>
      <x:c r="G14" s="18" t="str">
        <x:v>transport-node:ba9746c4-c5b1-508d-af0f-b53c36267121</x:v>
      </x:c>
    </x:row>
    <x:row r="15" ht="28" customHeight="1">
      <x:c r="A15" s="18" t="str">
        <x:v>ユニバーサルシティ</x:v>
      </x:c>
      <x:c r="B15" s="18" t="str">
        <x:v>西日本旅客鉄道</x:v>
      </x:c>
      <x:c r="C15" s="18" t="str">
        <x:v>conventional_rail</x:v>
      </x:c>
      <x:c r="D15" s="18" t="str">
        <x:v>T1</x:v>
      </x:c>
      <x:c r="E15" s="19" t="str">
        <x:v>尚未建立 Hub 审核范围</x:v>
      </x:c>
      <x:c r="F15" s="19" t="str"/>
      <x:c r="G15" s="18" t="str">
        <x:v>transport-node:d6d63ccf-1868-5f91-8dd8-0e49aff817d2</x:v>
      </x:c>
    </x:row>
    <x:row r="16" ht="28" customHeight="1">
      <x:c r="A16" s="18" t="str">
        <x:v>三ツ境</x:v>
      </x:c>
      <x:c r="B16" s="18" t="str">
        <x:v>相模鉄道</x:v>
      </x:c>
      <x:c r="C16" s="18" t="str">
        <x:v>private_rail</x:v>
      </x:c>
      <x:c r="D16" s="18" t="str">
        <x:v>T1</x:v>
      </x:c>
      <x:c r="E16" s="19" t="str">
        <x:v>尚未建立 Hub 审核范围</x:v>
      </x:c>
      <x:c r="F16" s="19" t="str"/>
      <x:c r="G16" s="18" t="str">
        <x:v>transport-node:12769a75-e699-5ff5-868f-8ef158d936c3</x:v>
      </x:c>
    </x:row>
    <x:row r="17" ht="28" customHeight="1">
      <x:c r="A17" s="18" t="str">
        <x:v>三ノ宮</x:v>
      </x:c>
      <x:c r="B17" s="18" t="str">
        <x:v>西日本旅客鉄道</x:v>
      </x:c>
      <x:c r="C17" s="18" t="str">
        <x:v>conventional_rail</x:v>
      </x:c>
      <x:c r="D17" s="18" t="str">
        <x:v>T0</x:v>
      </x:c>
      <x:c r="E17" s="19" t="str">
        <x:v>已有官方边界，组件待核</x:v>
      </x:c>
      <x:c r="F17" s="19" t="str">
        <x:v>三ノ宮</x:v>
      </x:c>
      <x:c r="G17" s="18" t="str">
        <x:v>transport-node:c442566a-4e17-5db5-a153-ea92231c423d</x:v>
      </x:c>
    </x:row>
    <x:row r="18" ht="28" customHeight="1">
      <x:c r="A18" s="18" t="str">
        <x:v>三宮</x:v>
      </x:c>
      <x:c r="B18" s="18" t="str">
        <x:v>神戸市</x:v>
      </x:c>
      <x:c r="C18" s="18" t="str">
        <x:v>metro</x:v>
      </x:c>
      <x:c r="D18" s="18" t="str">
        <x:v>T1</x:v>
      </x:c>
      <x:c r="E18" s="19" t="str">
        <x:v>已有官方边界，组件待核</x:v>
      </x:c>
      <x:c r="F18" s="19" t="str">
        <x:v>三ノ宮</x:v>
      </x:c>
      <x:c r="G18" s="18" t="str">
        <x:v>transport-node:5eff6373-6615-53d4-b017-7c420a1184ac</x:v>
      </x:c>
    </x:row>
    <x:row r="19" ht="28" customHeight="1">
      <x:c r="A19" s="18" t="str">
        <x:v>三宮</x:v>
      </x:c>
      <x:c r="B19" s="18" t="str">
        <x:v>神戸新交通</x:v>
      </x:c>
      <x:c r="C19" s="18" t="str">
        <x:v>fixed_guideway</x:v>
      </x:c>
      <x:c r="D19" s="18" t="str">
        <x:v>T1</x:v>
      </x:c>
      <x:c r="E19" s="19" t="str">
        <x:v>已有官方边界，组件待核</x:v>
      </x:c>
      <x:c r="F19" s="19" t="str">
        <x:v>三ノ宮</x:v>
      </x:c>
      <x:c r="G19" s="18" t="str">
        <x:v>transport-node:d7c94818-e1b3-5dbb-baf2-8f05cb2702a1</x:v>
      </x:c>
    </x:row>
    <x:row r="20" ht="28" customHeight="1">
      <x:c r="A20" s="18" t="str">
        <x:v>三島</x:v>
      </x:c>
      <x:c r="B20" s="18" t="str">
        <x:v>東海旅客鉄道</x:v>
      </x:c>
      <x:c r="C20" s="18" t="str">
        <x:v>conventional_rail</x:v>
      </x:c>
      <x:c r="D20" s="18" t="str">
        <x:v>T1</x:v>
      </x:c>
      <x:c r="E20" s="19" t="str">
        <x:v>已有官方边界，组件待核</x:v>
      </x:c>
      <x:c r="F20" s="19" t="str">
        <x:v>三島</x:v>
      </x:c>
      <x:c r="G20" s="18" t="str">
        <x:v>transport-node:4dc95cd4-74f2-53b7-93ca-b0d11225ab60</x:v>
      </x:c>
    </x:row>
    <x:row r="21" ht="28" customHeight="1">
      <x:c r="A21" s="18" t="str">
        <x:v>三田</x:v>
      </x:c>
      <x:c r="B21" s="18" t="str">
        <x:v>東京都</x:v>
      </x:c>
      <x:c r="C21" s="18" t="str">
        <x:v>metro</x:v>
      </x:c>
      <x:c r="D21" s="18" t="str">
        <x:v>T1</x:v>
      </x:c>
      <x:c r="E21" s="19" t="str">
        <x:v>已有官方边界，组件待核</x:v>
      </x:c>
      <x:c r="F21" s="19" t="str">
        <x:v>田町・三田</x:v>
      </x:c>
      <x:c r="G21" s="18" t="str">
        <x:v>transport-node:01119a57-6ae4-5453-9fc7-b76035c8b2da</x:v>
      </x:c>
    </x:row>
    <x:row r="22" ht="28" customHeight="1">
      <x:c r="A22" s="18" t="str">
        <x:v>三越前</x:v>
      </x:c>
      <x:c r="B22" s="18" t="str">
        <x:v>東京地下鉄</x:v>
      </x:c>
      <x:c r="C22" s="18" t="str">
        <x:v>metro</x:v>
      </x:c>
      <x:c r="D22" s="18" t="str">
        <x:v>T1</x:v>
      </x:c>
      <x:c r="E22" s="19" t="str">
        <x:v>已有官方边界，组件待核</x:v>
      </x:c>
      <x:c r="F22" s="19" t="str">
        <x:v>三越前・新日本橋</x:v>
      </x:c>
      <x:c r="G22" s="18" t="str">
        <x:v>transport-node:65937356-cd35-5a4a-92d8-58a931059bbb</x:v>
      </x:c>
    </x:row>
    <x:row r="23" ht="28" customHeight="1">
      <x:c r="A23" s="18" t="str">
        <x:v>三軒茶屋</x:v>
      </x:c>
      <x:c r="B23" s="18" t="str">
        <x:v>東急電鉄</x:v>
      </x:c>
      <x:c r="C23" s="18" t="str">
        <x:v>private_rail</x:v>
      </x:c>
      <x:c r="D23" s="18" t="str">
        <x:v>T1</x:v>
      </x:c>
      <x:c r="E23" s="19" t="str">
        <x:v>尚未建立 Hub 审核范围</x:v>
      </x:c>
      <x:c r="F23" s="19" t="str"/>
      <x:c r="G23" s="18" t="str">
        <x:v>transport-node:bd2084c0-d8d2-5edf-9fd1-e13c0c997748</x:v>
      </x:c>
    </x:row>
    <x:row r="24" ht="28" customHeight="1">
      <x:c r="A24" s="18" t="str">
        <x:v>三鷹</x:v>
      </x:c>
      <x:c r="B24" s="18" t="str">
        <x:v>東日本旅客鉄道</x:v>
      </x:c>
      <x:c r="C24" s="18" t="str">
        <x:v>conventional_rail</x:v>
      </x:c>
      <x:c r="D24" s="18" t="str">
        <x:v>T1</x:v>
      </x:c>
      <x:c r="E24" s="19" t="str">
        <x:v>尚未建立 Hub 审核范围</x:v>
      </x:c>
      <x:c r="F24" s="19" t="str"/>
      <x:c r="G24" s="18" t="str">
        <x:v>transport-node:14e09547-d30c-5eff-bbd6-30e42deb088a</x:v>
      </x:c>
    </x:row>
    <x:row r="25" ht="28" customHeight="1">
      <x:c r="A25" s="18" t="str">
        <x:v>上前津</x:v>
      </x:c>
      <x:c r="B25" s="18" t="str">
        <x:v>名古屋市</x:v>
      </x:c>
      <x:c r="C25" s="18" t="str">
        <x:v>metro</x:v>
      </x:c>
      <x:c r="D25" s="18" t="str">
        <x:v>T1</x:v>
      </x:c>
      <x:c r="E25" s="19" t="str">
        <x:v>已有官方边界，组件待核</x:v>
      </x:c>
      <x:c r="F25" s="19" t="str">
        <x:v>上前津</x:v>
      </x:c>
      <x:c r="G25" s="18" t="str">
        <x:v>transport-node:97e09de6-2d86-59e5-8e6e-df70b2c102ce</x:v>
      </x:c>
    </x:row>
    <x:row r="26" ht="28" customHeight="1">
      <x:c r="A26" s="18" t="str">
        <x:v>上大岡</x:v>
      </x:c>
      <x:c r="B26" s="18" t="str">
        <x:v>京浜急行電鉄</x:v>
      </x:c>
      <x:c r="C26" s="18" t="str">
        <x:v>private_rail</x:v>
      </x:c>
      <x:c r="D26" s="18" t="str">
        <x:v>T1</x:v>
      </x:c>
      <x:c r="E26" s="19" t="str">
        <x:v>已有官方边界，组件待核</x:v>
      </x:c>
      <x:c r="F26" s="19" t="str">
        <x:v>上大岡</x:v>
      </x:c>
      <x:c r="G26" s="18" t="str">
        <x:v>transport-node:10ce4879-071f-53e8-b1a2-080946c86502</x:v>
      </x:c>
    </x:row>
    <x:row r="27" ht="28" customHeight="1">
      <x:c r="A27" s="18" t="str">
        <x:v>上尾</x:v>
      </x:c>
      <x:c r="B27" s="18" t="str">
        <x:v>東日本旅客鉄道</x:v>
      </x:c>
      <x:c r="C27" s="18" t="str">
        <x:v>conventional_rail</x:v>
      </x:c>
      <x:c r="D27" s="18" t="str">
        <x:v>T1</x:v>
      </x:c>
      <x:c r="E27" s="19" t="str">
        <x:v>尚未建立 Hub 审核范围</x:v>
      </x:c>
      <x:c r="F27" s="19" t="str"/>
      <x:c r="G27" s="18" t="str">
        <x:v>transport-node:be3579cc-05a3-5676-a30d-80593e1afdc5</x:v>
      </x:c>
    </x:row>
    <x:row r="28" ht="28" customHeight="1">
      <x:c r="A28" s="18" t="str">
        <x:v>上板橋</x:v>
      </x:c>
      <x:c r="B28" s="18" t="str">
        <x:v>東武鉄道</x:v>
      </x:c>
      <x:c r="C28" s="18" t="str">
        <x:v>private_rail</x:v>
      </x:c>
      <x:c r="D28" s="18" t="str">
        <x:v>T1</x:v>
      </x:c>
      <x:c r="E28" s="19" t="str">
        <x:v>尚未建立 Hub 审核范围</x:v>
      </x:c>
      <x:c r="F28" s="19" t="str"/>
      <x:c r="G28" s="18" t="str">
        <x:v>transport-node:1f6300b2-30e9-5139-b7cd-a7ed5f78eae1</x:v>
      </x:c>
    </x:row>
    <x:row r="29" ht="28" customHeight="1">
      <x:c r="A29" s="18" t="str">
        <x:v>上福岡</x:v>
      </x:c>
      <x:c r="B29" s="18" t="str">
        <x:v>東武鉄道</x:v>
      </x:c>
      <x:c r="C29" s="18" t="str">
        <x:v>private_rail</x:v>
      </x:c>
      <x:c r="D29" s="18" t="str">
        <x:v>T1</x:v>
      </x:c>
      <x:c r="E29" s="19" t="str">
        <x:v>尚未建立 Hub 审核范围</x:v>
      </x:c>
      <x:c r="F29" s="19" t="str"/>
      <x:c r="G29" s="18" t="str">
        <x:v>transport-node:f486e24d-713d-56d6-a811-2b73c12a4760</x:v>
      </x:c>
    </x:row>
    <x:row r="30" ht="28" customHeight="1">
      <x:c r="A30" s="18" t="str">
        <x:v>上野</x:v>
      </x:c>
      <x:c r="B30" s="18" t="str">
        <x:v>東京地下鉄</x:v>
      </x:c>
      <x:c r="C30" s="18" t="str">
        <x:v>metro</x:v>
      </x:c>
      <x:c r="D30" s="18" t="str">
        <x:v>T1</x:v>
      </x:c>
      <x:c r="E30" s="19" t="str">
        <x:v>已有官方边界，组件待核</x:v>
      </x:c>
      <x:c r="F30" s="19" t="str">
        <x:v>上野</x:v>
      </x:c>
      <x:c r="G30" s="18" t="str">
        <x:v>transport-node:2b228db8-21f5-5adc-aad5-f79486ed788a</x:v>
      </x:c>
    </x:row>
    <x:row r="31" ht="28" customHeight="1">
      <x:c r="A31" s="18" t="str">
        <x:v>上野</x:v>
      </x:c>
      <x:c r="B31" s="18" t="str">
        <x:v>東日本旅客鉄道</x:v>
      </x:c>
      <x:c r="C31" s="18" t="str">
        <x:v>conventional_rail</x:v>
      </x:c>
      <x:c r="D31" s="18" t="str">
        <x:v>T0</x:v>
      </x:c>
      <x:c r="E31" s="19" t="str">
        <x:v>已有官方边界，组件待核</x:v>
      </x:c>
      <x:c r="F31" s="19" t="str">
        <x:v>上野</x:v>
      </x:c>
      <x:c r="G31" s="18" t="str">
        <x:v>transport-node:09929bc6-6d53-5549-803b-d457698499fd</x:v>
      </x:c>
    </x:row>
    <x:row r="32" ht="28" customHeight="1">
      <x:c r="A32" s="18" t="str">
        <x:v>下北沢</x:v>
      </x:c>
      <x:c r="B32" s="18" t="str">
        <x:v>京王電鉄</x:v>
      </x:c>
      <x:c r="C32" s="18" t="str">
        <x:v>private_rail</x:v>
      </x:c>
      <x:c r="D32" s="18" t="str">
        <x:v>T1</x:v>
      </x:c>
      <x:c r="E32" s="19" t="str">
        <x:v>已有官方边界，组件待核</x:v>
      </x:c>
      <x:c r="F32" s="19" t="str">
        <x:v>下北沢</x:v>
      </x:c>
      <x:c r="G32" s="18" t="str">
        <x:v>transport-node:cc63fdf9-389d-5583-a5e5-ae093e46d1b4</x:v>
      </x:c>
    </x:row>
    <x:row r="33" ht="28" customHeight="1">
      <x:c r="A33" s="18" t="str">
        <x:v>下北沢</x:v>
      </x:c>
      <x:c r="B33" s="18" t="str">
        <x:v>小田急電鉄</x:v>
      </x:c>
      <x:c r="C33" s="18" t="str">
        <x:v>private_rail</x:v>
      </x:c>
      <x:c r="D33" s="18" t="str">
        <x:v>T1</x:v>
      </x:c>
      <x:c r="E33" s="19" t="str">
        <x:v>已有官方边界，组件待核</x:v>
      </x:c>
      <x:c r="F33" s="19" t="str">
        <x:v>下北沢</x:v>
      </x:c>
      <x:c r="G33" s="18" t="str">
        <x:v>transport-node:70bf1834-c017-5c58-a6c0-8023c42df362</x:v>
      </x:c>
    </x:row>
    <x:row r="34" ht="28" customHeight="1">
      <x:c r="A34" s="18" t="str">
        <x:v>与野</x:v>
      </x:c>
      <x:c r="B34" s="18" t="str">
        <x:v>東日本旅客鉄道</x:v>
      </x:c>
      <x:c r="C34" s="18" t="str">
        <x:v>conventional_rail</x:v>
      </x:c>
      <x:c r="D34" s="18" t="str">
        <x:v>T1</x:v>
      </x:c>
      <x:c r="E34" s="19" t="str">
        <x:v>尚未建立 Hub 审核范围</x:v>
      </x:c>
      <x:c r="F34" s="19" t="str"/>
      <x:c r="G34" s="18" t="str">
        <x:v>transport-node:16578c71-e02e-5eb8-8f77-5e7de46032aa</x:v>
      </x:c>
    </x:row>
    <x:row r="35" ht="28" customHeight="1">
      <x:c r="A35" s="18" t="str">
        <x:v>両国</x:v>
      </x:c>
      <x:c r="B35" s="18" t="str">
        <x:v>東日本旅客鉄道</x:v>
      </x:c>
      <x:c r="C35" s="18" t="str">
        <x:v>conventional_rail</x:v>
      </x:c>
      <x:c r="D35" s="18" t="str">
        <x:v>T1</x:v>
      </x:c>
      <x:c r="E35" s="19" t="str">
        <x:v>尚未建立 Hub 审核范围</x:v>
      </x:c>
      <x:c r="F35" s="19" t="str"/>
      <x:c r="G35" s="18" t="str">
        <x:v>transport-node:404dfb74-2d95-540f-a6e9-0134d30efdbb</x:v>
      </x:c>
    </x:row>
    <x:row r="36" ht="28" customHeight="1">
      <x:c r="A36" s="18" t="str">
        <x:v>中央林間</x:v>
      </x:c>
      <x:c r="B36" s="18" t="str">
        <x:v>小田急電鉄</x:v>
      </x:c>
      <x:c r="C36" s="18" t="str">
        <x:v>private_rail</x:v>
      </x:c>
      <x:c r="D36" s="18" t="str">
        <x:v>T1</x:v>
      </x:c>
      <x:c r="E36" s="19" t="str">
        <x:v>已有官方边界，组件待核</x:v>
      </x:c>
      <x:c r="F36" s="19" t="str">
        <x:v>中央林間</x:v>
      </x:c>
      <x:c r="G36" s="18" t="str">
        <x:v>transport-node:87baf807-99a2-599c-b543-9255d5c0b162</x:v>
      </x:c>
    </x:row>
    <x:row r="37" ht="28" customHeight="1">
      <x:c r="A37" s="18" t="str">
        <x:v>中央林間</x:v>
      </x:c>
      <x:c r="B37" s="18" t="str">
        <x:v>東急電鉄</x:v>
      </x:c>
      <x:c r="C37" s="18" t="str">
        <x:v>private_rail</x:v>
      </x:c>
      <x:c r="D37" s="18" t="str">
        <x:v>T1</x:v>
      </x:c>
      <x:c r="E37" s="19" t="str">
        <x:v>已有官方边界，组件待核</x:v>
      </x:c>
      <x:c r="F37" s="19" t="str">
        <x:v>中央林間</x:v>
      </x:c>
      <x:c r="G37" s="18" t="str">
        <x:v>transport-node:096abaa2-6a6e-50b2-913f-577d2f832636</x:v>
      </x:c>
    </x:row>
    <x:row r="38" ht="28" customHeight="1">
      <x:c r="A38" s="18" t="str">
        <x:v>中山</x:v>
      </x:c>
      <x:c r="B38" s="18" t="str">
        <x:v>東日本旅客鉄道</x:v>
      </x:c>
      <x:c r="C38" s="18" t="str">
        <x:v>conventional_rail</x:v>
      </x:c>
      <x:c r="D38" s="18" t="str">
        <x:v>T1</x:v>
      </x:c>
      <x:c r="E38" s="19" t="str">
        <x:v>尚未建立 Hub 审核范围</x:v>
      </x:c>
      <x:c r="F38" s="19" t="str"/>
      <x:c r="G38" s="18" t="str">
        <x:v>transport-node:b34b1965-b9fa-54cd-ae28-b9d191d0ac0f</x:v>
      </x:c>
    </x:row>
    <x:row r="39" ht="28" customHeight="1">
      <x:c r="A39" s="18" t="str">
        <x:v>中百舌鳥</x:v>
      </x:c>
      <x:c r="B39" s="18" t="str">
        <x:v>大阪市高速電気軌道</x:v>
      </x:c>
      <x:c r="C39" s="18" t="str">
        <x:v>metro</x:v>
      </x:c>
      <x:c r="D39" s="18" t="str">
        <x:v>T1</x:v>
      </x:c>
      <x:c r="E39" s="19" t="str">
        <x:v>已有官方边界，组件待核</x:v>
      </x:c>
      <x:c r="F39" s="19" t="str">
        <x:v>なかもず・中百舌鳥</x:v>
      </x:c>
      <x:c r="G39" s="18" t="str">
        <x:v>transport-node:836231d0-ec70-5755-83ff-7ad3f3b14f59</x:v>
      </x:c>
    </x:row>
    <x:row r="40" ht="28" customHeight="1">
      <x:c r="A40" s="18" t="str">
        <x:v>中目黒</x:v>
      </x:c>
      <x:c r="B40" s="18" t="str">
        <x:v>東急電鉄</x:v>
      </x:c>
      <x:c r="C40" s="18" t="str">
        <x:v>private_rail</x:v>
      </x:c>
      <x:c r="D40" s="18" t="str">
        <x:v>T0</x:v>
      </x:c>
      <x:c r="E40" s="19" t="str">
        <x:v>已有官方边界，组件待核</x:v>
      </x:c>
      <x:c r="F40" s="19" t="str">
        <x:v>中目黒</x:v>
      </x:c>
      <x:c r="G40" s="18" t="str">
        <x:v>transport-node:8228763b-2f54-5f87-bfa8-4b8b051c3475</x:v>
      </x:c>
    </x:row>
    <x:row r="41" ht="28" customHeight="1">
      <x:c r="A41" s="18" t="str">
        <x:v>中野</x:v>
      </x:c>
      <x:c r="B41" s="18" t="str">
        <x:v>東日本旅客鉄道</x:v>
      </x:c>
      <x:c r="C41" s="18" t="str">
        <x:v>conventional_rail</x:v>
      </x:c>
      <x:c r="D41" s="18" t="str">
        <x:v>T0</x:v>
      </x:c>
      <x:c r="E41" s="19" t="str">
        <x:v>已有官方边界，组件待核</x:v>
      </x:c>
      <x:c r="F41" s="19" t="str">
        <x:v>中野</x:v>
      </x:c>
      <x:c r="G41" s="18" t="str">
        <x:v>transport-node:b0285fe5-f3dd-5cde-9703-34bc7696977d</x:v>
      </x:c>
    </x:row>
    <x:row r="42" ht="28" customHeight="1">
      <x:c r="A42" s="18" t="str">
        <x:v>中野坂上</x:v>
      </x:c>
      <x:c r="B42" s="18" t="str">
        <x:v>東京地下鉄</x:v>
      </x:c>
      <x:c r="C42" s="18" t="str">
        <x:v>metro</x:v>
      </x:c>
      <x:c r="D42" s="18" t="str">
        <x:v>T1</x:v>
      </x:c>
      <x:c r="E42" s="19" t="str">
        <x:v>已有官方边界，组件待核</x:v>
      </x:c>
      <x:c r="F42" s="19" t="str">
        <x:v>中野坂上</x:v>
      </x:c>
      <x:c r="G42" s="18" t="str">
        <x:v>transport-node:1aaadabb-fa15-50c5-b879-b3d1d6a48e72</x:v>
      </x:c>
    </x:row>
    <x:row r="43" ht="28" customHeight="1">
      <x:c r="A43" s="18" t="str">
        <x:v>久喜</x:v>
      </x:c>
      <x:c r="B43" s="18" t="str">
        <x:v>東日本旅客鉄道</x:v>
      </x:c>
      <x:c r="C43" s="18" t="str">
        <x:v>conventional_rail</x:v>
      </x:c>
      <x:c r="D43" s="18" t="str">
        <x:v>T1</x:v>
      </x:c>
      <x:c r="E43" s="19" t="str">
        <x:v>尚未建立 Hub 审核范围</x:v>
      </x:c>
      <x:c r="F43" s="19" t="str"/>
      <x:c r="G43" s="18" t="str">
        <x:v>transport-node:b4c50f41-309f-5a2a-84cd-b7eca10f05b5</x:v>
      </x:c>
    </x:row>
    <x:row r="44" ht="28" customHeight="1">
      <x:c r="A44" s="18" t="str">
        <x:v>久屋大通</x:v>
      </x:c>
      <x:c r="B44" s="18" t="str">
        <x:v>名古屋市</x:v>
      </x:c>
      <x:c r="C44" s="18" t="str">
        <x:v>metro</x:v>
      </x:c>
      <x:c r="D44" s="18" t="str">
        <x:v>T1</x:v>
      </x:c>
      <x:c r="E44" s="19" t="str">
        <x:v>已有官方边界，组件待核</x:v>
      </x:c>
      <x:c r="F44" s="19" t="str">
        <x:v>久屋大通</x:v>
      </x:c>
      <x:c r="G44" s="18" t="str">
        <x:v>transport-node:f9fa2eee-97e8-51fa-8e28-7e581035b3b5</x:v>
      </x:c>
    </x:row>
    <x:row r="45" ht="28" customHeight="1">
      <x:c r="A45" s="18" t="str">
        <x:v>九段下</x:v>
      </x:c>
      <x:c r="B45" s="18" t="str">
        <x:v>東京地下鉄</x:v>
      </x:c>
      <x:c r="C45" s="18" t="str">
        <x:v>metro</x:v>
      </x:c>
      <x:c r="D45" s="18" t="str">
        <x:v>T0</x:v>
      </x:c>
      <x:c r="E45" s="19" t="str">
        <x:v>已有官方边界，组件待核</x:v>
      </x:c>
      <x:c r="F45" s="19" t="str">
        <x:v>九段下</x:v>
      </x:c>
      <x:c r="G45" s="18" t="str">
        <x:v>transport-node:b5d13808-0a07-5d74-b77e-ff467f7fb275</x:v>
      </x:c>
    </x:row>
    <x:row r="46" ht="28" customHeight="1">
      <x:c r="A46" s="18" t="str">
        <x:v>亀戸</x:v>
      </x:c>
      <x:c r="B46" s="18" t="str">
        <x:v>東日本旅客鉄道</x:v>
      </x:c>
      <x:c r="C46" s="18" t="str">
        <x:v>conventional_rail</x:v>
      </x:c>
      <x:c r="D46" s="18" t="str">
        <x:v>T1</x:v>
      </x:c>
      <x:c r="E46" s="19" t="str">
        <x:v>已有官方边界，组件待核</x:v>
      </x:c>
      <x:c r="F46" s="19" t="str">
        <x:v>亀戸</x:v>
      </x:c>
      <x:c r="G46" s="18" t="str">
        <x:v>transport-node:8728d616-8830-5369-b7dc-8cf7cf094c54</x:v>
      </x:c>
    </x:row>
    <x:row r="47" ht="28" customHeight="1">
      <x:c r="A47" s="18" t="str">
        <x:v>亀有</x:v>
      </x:c>
      <x:c r="B47" s="18" t="str">
        <x:v>東日本旅客鉄道</x:v>
      </x:c>
      <x:c r="C47" s="18" t="str">
        <x:v>conventional_rail</x:v>
      </x:c>
      <x:c r="D47" s="18" t="str">
        <x:v>T1</x:v>
      </x:c>
      <x:c r="E47" s="19" t="str">
        <x:v>尚未建立 Hub 审核范围</x:v>
      </x:c>
      <x:c r="F47" s="19" t="str"/>
      <x:c r="G47" s="18" t="str">
        <x:v>transport-node:fd9b5cf4-bf79-541a-9c17-d669ebbe86f1</x:v>
      </x:c>
    </x:row>
    <x:row r="48" ht="28" customHeight="1">
      <x:c r="A48" s="18" t="str">
        <x:v>二俣川</x:v>
      </x:c>
      <x:c r="B48" s="18" t="str">
        <x:v>相模鉄道</x:v>
      </x:c>
      <x:c r="C48" s="18" t="str">
        <x:v>private_rail</x:v>
      </x:c>
      <x:c r="D48" s="18" t="str">
        <x:v>T1</x:v>
      </x:c>
      <x:c r="E48" s="19" t="str">
        <x:v>尚未建立 Hub 审核范围</x:v>
      </x:c>
      <x:c r="F48" s="19" t="str"/>
      <x:c r="G48" s="18" t="str">
        <x:v>transport-node:06841e25-a7bc-5b85-ab79-7bcaaf739352</x:v>
      </x:c>
    </x:row>
    <x:row r="49" ht="28" customHeight="1">
      <x:c r="A49" s="18" t="str">
        <x:v>二子玉川</x:v>
      </x:c>
      <x:c r="B49" s="18" t="str">
        <x:v>東急電鉄</x:v>
      </x:c>
      <x:c r="C49" s="18" t="str">
        <x:v>private_rail</x:v>
      </x:c>
      <x:c r="D49" s="18" t="str">
        <x:v>T1</x:v>
      </x:c>
      <x:c r="E49" s="19" t="str">
        <x:v>尚未建立 Hub 审核范围</x:v>
      </x:c>
      <x:c r="F49" s="19" t="str"/>
      <x:c r="G49" s="18" t="str">
        <x:v>transport-node:94751651-d16b-5b2e-9d54-c8d07bf7b66a</x:v>
      </x:c>
    </x:row>
    <x:row r="50" ht="28" customHeight="1">
      <x:c r="A50" s="18" t="str">
        <x:v>五反田</x:v>
      </x:c>
      <x:c r="B50" s="18" t="str">
        <x:v>東京都</x:v>
      </x:c>
      <x:c r="C50" s="18" t="str">
        <x:v>metro</x:v>
      </x:c>
      <x:c r="D50" s="18" t="str">
        <x:v>T1</x:v>
      </x:c>
      <x:c r="E50" s="19" t="str">
        <x:v>已有官方边界，组件待核</x:v>
      </x:c>
      <x:c r="F50" s="19" t="str">
        <x:v>五反田</x:v>
      </x:c>
      <x:c r="G50" s="18" t="str">
        <x:v>transport-node:45649088-565a-5126-9b3b-32ceb2d0a4e6</x:v>
      </x:c>
    </x:row>
    <x:row r="51" ht="28" customHeight="1">
      <x:c r="A51" s="18" t="str">
        <x:v>五反田</x:v>
      </x:c>
      <x:c r="B51" s="18" t="str">
        <x:v>東急電鉄</x:v>
      </x:c>
      <x:c r="C51" s="18" t="str">
        <x:v>private_rail</x:v>
      </x:c>
      <x:c r="D51" s="18" t="str">
        <x:v>T1</x:v>
      </x:c>
      <x:c r="E51" s="19" t="str">
        <x:v>已有官方边界，组件待核</x:v>
      </x:c>
      <x:c r="F51" s="19" t="str">
        <x:v>五反田</x:v>
      </x:c>
      <x:c r="G51" s="18" t="str">
        <x:v>transport-node:629dfb8f-7715-55f9-b586-a09cfe1401db</x:v>
      </x:c>
    </x:row>
    <x:row r="52" ht="28" customHeight="1">
      <x:c r="A52" s="18" t="str">
        <x:v>五反田</x:v>
      </x:c>
      <x:c r="B52" s="18" t="str">
        <x:v>東日本旅客鉄道</x:v>
      </x:c>
      <x:c r="C52" s="18" t="str">
        <x:v>conventional_rail</x:v>
      </x:c>
      <x:c r="D52" s="18" t="str">
        <x:v>T0</x:v>
      </x:c>
      <x:c r="E52" s="19" t="str">
        <x:v>已有官方边界，组件待核</x:v>
      </x:c>
      <x:c r="F52" s="19" t="str">
        <x:v>五反田</x:v>
      </x:c>
      <x:c r="G52" s="18" t="str">
        <x:v>transport-node:c66bef66-878d-597c-9c0d-942e30f48d27</x:v>
      </x:c>
    </x:row>
    <x:row r="53" ht="28" customHeight="1">
      <x:c r="A53" s="18" t="str">
        <x:v>京急川崎</x:v>
      </x:c>
      <x:c r="B53" s="18" t="str">
        <x:v>京浜急行電鉄</x:v>
      </x:c>
      <x:c r="C53" s="18" t="str">
        <x:v>private_rail</x:v>
      </x:c>
      <x:c r="D53" s="18" t="str">
        <x:v>T1</x:v>
      </x:c>
      <x:c r="E53" s="19" t="str">
        <x:v>尚未建立 Hub 审核范围</x:v>
      </x:c>
      <x:c r="F53" s="19" t="str"/>
      <x:c r="G53" s="18" t="str">
        <x:v>transport-node:5e32edf2-6382-54b0-8ec8-12ffa8d5641a</x:v>
      </x:c>
    </x:row>
    <x:row r="54" ht="28" customHeight="1">
      <x:c r="A54" s="18" t="str">
        <x:v>京急蒲田</x:v>
      </x:c>
      <x:c r="B54" s="18" t="str">
        <x:v>京浜急行電鉄</x:v>
      </x:c>
      <x:c r="C54" s="18" t="str">
        <x:v>private_rail</x:v>
      </x:c>
      <x:c r="D54" s="18" t="str">
        <x:v>T1</x:v>
      </x:c>
      <x:c r="E54" s="19" t="str">
        <x:v>已有官方边界，组件待核</x:v>
      </x:c>
      <x:c r="F54" s="19" t="str">
        <x:v>京急蒲田</x:v>
      </x:c>
      <x:c r="G54" s="18" t="str">
        <x:v>transport-node:b6e7c07f-e16a-5f65-81f5-6dd62f851780</x:v>
      </x:c>
    </x:row>
    <x:row r="55" ht="28" customHeight="1">
      <x:c r="A55" s="18" t="str">
        <x:v>京成津田沼</x:v>
      </x:c>
      <x:c r="B55" s="18" t="str">
        <x:v>京成電鉄</x:v>
      </x:c>
      <x:c r="C55" s="18" t="str">
        <x:v>private_rail</x:v>
      </x:c>
      <x:c r="D55" s="18" t="str">
        <x:v>T1</x:v>
      </x:c>
      <x:c r="E55" s="19" t="str">
        <x:v>尚未建立 Hub 审核范围</x:v>
      </x:c>
      <x:c r="F55" s="19" t="str"/>
      <x:c r="G55" s="18" t="str">
        <x:v>transport-node:33570fdc-8904-57ec-9efe-7aa0a2ae13e2</x:v>
      </x:c>
    </x:row>
    <x:row r="56" ht="28" customHeight="1">
      <x:c r="A56" s="18" t="str">
        <x:v>京成船橋</x:v>
      </x:c>
      <x:c r="B56" s="18" t="str">
        <x:v>京成電鉄</x:v>
      </x:c>
      <x:c r="C56" s="18" t="str">
        <x:v>private_rail</x:v>
      </x:c>
      <x:c r="D56" s="18" t="str">
        <x:v>T1</x:v>
      </x:c>
      <x:c r="E56" s="19" t="str">
        <x:v>已有官方边界，组件待核</x:v>
      </x:c>
      <x:c r="F56" s="19" t="str">
        <x:v>船橋</x:v>
      </x:c>
      <x:c r="G56" s="18" t="str">
        <x:v>transport-node:fcb1c126-0571-510a-b795-15e3fc584d77</x:v>
      </x:c>
    </x:row>
    <x:row r="57" ht="28" customHeight="1">
      <x:c r="A57" s="18" t="str">
        <x:v>京成高砂</x:v>
      </x:c>
      <x:c r="B57" s="18" t="str">
        <x:v>京成電鉄</x:v>
      </x:c>
      <x:c r="C57" s="18" t="str">
        <x:v>private_rail</x:v>
      </x:c>
      <x:c r="D57" s="18" t="str">
        <x:v>T1</x:v>
      </x:c>
      <x:c r="E57" s="19" t="str">
        <x:v>尚未建立 Hub 审核范围</x:v>
      </x:c>
      <x:c r="F57" s="19" t="str"/>
      <x:c r="G57" s="18" t="str">
        <x:v>transport-node:0b426df7-9a9d-5738-8472-6841472e9f2e</x:v>
      </x:c>
    </x:row>
    <x:row r="58" ht="28" customHeight="1">
      <x:c r="A58" s="18" t="str">
        <x:v>京橋</x:v>
      </x:c>
      <x:c r="B58" s="18" t="str">
        <x:v>京阪電気鉄道</x:v>
      </x:c>
      <x:c r="C58" s="18" t="str">
        <x:v>private_rail</x:v>
      </x:c>
      <x:c r="D58" s="18" t="str">
        <x:v>T1</x:v>
      </x:c>
      <x:c r="E58" s="19" t="str">
        <x:v>已有官方边界，组件待核</x:v>
      </x:c>
      <x:c r="F58" s="19" t="str">
        <x:v>京橋</x:v>
      </x:c>
      <x:c r="G58" s="18" t="str">
        <x:v>transport-node:ff1af0b4-2d6c-5ba3-af21-fa90b4eca9b2</x:v>
      </x:c>
    </x:row>
    <x:row r="59" ht="28" customHeight="1">
      <x:c r="A59" s="18" t="str">
        <x:v>京橋</x:v>
      </x:c>
      <x:c r="B59" s="18" t="str">
        <x:v>東京地下鉄</x:v>
      </x:c>
      <x:c r="C59" s="18" t="str">
        <x:v>metro</x:v>
      </x:c>
      <x:c r="D59" s="18" t="str">
        <x:v>T1</x:v>
      </x:c>
      <x:c r="E59" s="19" t="str">
        <x:v>尚未建立 Hub 审核范围</x:v>
      </x:c>
      <x:c r="F59" s="19" t="str"/>
      <x:c r="G59" s="18" t="str">
        <x:v>transport-node:3bee18cd-3901-5c7b-811b-22a6af2891ca</x:v>
      </x:c>
    </x:row>
    <x:row r="60" ht="28" customHeight="1">
      <x:c r="A60" s="18" t="str">
        <x:v>京橋</x:v>
      </x:c>
      <x:c r="B60" s="18" t="str">
        <x:v>西日本旅客鉄道</x:v>
      </x:c>
      <x:c r="C60" s="18" t="str">
        <x:v>conventional_rail</x:v>
      </x:c>
      <x:c r="D60" s="18" t="str">
        <x:v>T0</x:v>
      </x:c>
      <x:c r="E60" s="19" t="str">
        <x:v>已有官方边界，组件待核</x:v>
      </x:c>
      <x:c r="F60" s="19" t="str">
        <x:v>京橋</x:v>
      </x:c>
      <x:c r="G60" s="18" t="str">
        <x:v>transport-node:eceb3c43-3d00-56d7-b196-6545d7e33258</x:v>
      </x:c>
    </x:row>
    <x:row r="61" ht="28" customHeight="1">
      <x:c r="A61" s="18" t="str">
        <x:v>京王多摩センター</x:v>
      </x:c>
      <x:c r="B61" s="18" t="str">
        <x:v>京王電鉄</x:v>
      </x:c>
      <x:c r="C61" s="18" t="str">
        <x:v>private_rail</x:v>
      </x:c>
      <x:c r="D61" s="18" t="str">
        <x:v>T1</x:v>
      </x:c>
      <x:c r="E61" s="19" t="str">
        <x:v>已有官方边界，组件待核</x:v>
      </x:c>
      <x:c r="F61" s="19" t="str">
        <x:v>多摩センター</x:v>
      </x:c>
      <x:c r="G61" s="18" t="str">
        <x:v>transport-node:09f12895-9cea-5226-ac90-0f79e0094b75</x:v>
      </x:c>
    </x:row>
    <x:row r="62" ht="28" customHeight="1">
      <x:c r="A62" s="18" t="str">
        <x:v>京王稲田堤</x:v>
      </x:c>
      <x:c r="B62" s="18" t="str">
        <x:v>京王電鉄</x:v>
      </x:c>
      <x:c r="C62" s="18" t="str">
        <x:v>private_rail</x:v>
      </x:c>
      <x:c r="D62" s="18" t="str">
        <x:v>T1</x:v>
      </x:c>
      <x:c r="E62" s="19" t="str">
        <x:v>尚未建立 Hub 审核范围</x:v>
      </x:c>
      <x:c r="F62" s="19" t="str"/>
      <x:c r="G62" s="18" t="str">
        <x:v>transport-node:b7e81fc0-4ef0-50af-855d-8996070c703c</x:v>
      </x:c>
    </x:row>
    <x:row r="63" ht="28" customHeight="1">
      <x:c r="A63" s="18" t="str">
        <x:v>京都</x:v>
      </x:c>
      <x:c r="B63" s="18" t="str">
        <x:v>京都市</x:v>
      </x:c>
      <x:c r="C63" s="18" t="str">
        <x:v>metro</x:v>
      </x:c>
      <x:c r="D63" s="18" t="str">
        <x:v>T1</x:v>
      </x:c>
      <x:c r="E63" s="19" t="str">
        <x:v>已有官方边界，组件待核</x:v>
      </x:c>
      <x:c r="F63" s="19" t="str">
        <x:v>京都</x:v>
      </x:c>
      <x:c r="G63" s="18" t="str">
        <x:v>transport-node:5e51de85-cd37-5d05-90d2-8e2f67ebe5e4</x:v>
      </x:c>
    </x:row>
    <x:row r="64" ht="28" customHeight="1">
      <x:c r="A64" s="18" t="str">
        <x:v>京都</x:v>
      </x:c>
      <x:c r="B64" s="18" t="str">
        <x:v>東海旅客鉄道</x:v>
      </x:c>
      <x:c r="C64" s="18" t="str">
        <x:v>shinkansen</x:v>
      </x:c>
      <x:c r="D64" s="18" t="str">
        <x:v>T1</x:v>
      </x:c>
      <x:c r="E64" s="19" t="str">
        <x:v>已有官方边界，组件待核</x:v>
      </x:c>
      <x:c r="F64" s="19" t="str">
        <x:v>京都</x:v>
      </x:c>
      <x:c r="G64" s="18" t="str">
        <x:v>transport-node:dff8fb86-945e-5e85-be39-264aa07b9064</x:v>
      </x:c>
    </x:row>
    <x:row r="65" ht="28" customHeight="1">
      <x:c r="A65" s="18" t="str">
        <x:v>京都</x:v>
      </x:c>
      <x:c r="B65" s="18" t="str">
        <x:v>西日本旅客鉄道</x:v>
      </x:c>
      <x:c r="C65" s="18" t="str">
        <x:v>conventional_rail</x:v>
      </x:c>
      <x:c r="D65" s="18" t="str">
        <x:v>T0</x:v>
      </x:c>
      <x:c r="E65" s="19" t="str">
        <x:v>已有官方边界，组件待核</x:v>
      </x:c>
      <x:c r="F65" s="19" t="str">
        <x:v>京都</x:v>
      </x:c>
      <x:c r="G65" s="18" t="str">
        <x:v>transport-node:966ea408-4a7f-5295-b2a9-5b5f523971b0</x:v>
      </x:c>
    </x:row>
    <x:row r="66" ht="28" customHeight="1">
      <x:c r="A66" s="18" t="str">
        <x:v>京都</x:v>
      </x:c>
      <x:c r="B66" s="18" t="str">
        <x:v>近畿日本鉄道</x:v>
      </x:c>
      <x:c r="C66" s="18" t="str">
        <x:v>private_rail</x:v>
      </x:c>
      <x:c r="D66" s="18" t="str">
        <x:v>T1</x:v>
      </x:c>
      <x:c r="E66" s="19" t="str">
        <x:v>已有官方边界，组件待核</x:v>
      </x:c>
      <x:c r="F66" s="19" t="str">
        <x:v>京都</x:v>
      </x:c>
      <x:c r="G66" s="18" t="str">
        <x:v>transport-node:1b1ccd0e-18a4-5ef6-90d3-60d1dcb776ea</x:v>
      </x:c>
    </x:row>
    <x:row r="67" ht="28" customHeight="1">
      <x:c r="A67" s="18" t="str">
        <x:v>京都河原町</x:v>
      </x:c>
      <x:c r="B67" s="18" t="str">
        <x:v>阪急電鉄</x:v>
      </x:c>
      <x:c r="C67" s="18" t="str">
        <x:v>private_rail</x:v>
      </x:c>
      <x:c r="D67" s="18" t="str">
        <x:v>T1</x:v>
      </x:c>
      <x:c r="E67" s="19" t="str">
        <x:v>已有官方边界，组件待核</x:v>
      </x:c>
      <x:c r="F67" s="19" t="str">
        <x:v>京都河原町・祇園四条</x:v>
      </x:c>
      <x:c r="G67" s="18" t="str">
        <x:v>transport-node:d2a5d6a3-68be-59e0-bc3c-e7d86908d144</x:v>
      </x:c>
    </x:row>
    <x:row r="68" ht="28" customHeight="1">
      <x:c r="A68" s="18" t="str">
        <x:v>人形町</x:v>
      </x:c>
      <x:c r="B68" s="18" t="str">
        <x:v>東京地下鉄</x:v>
      </x:c>
      <x:c r="C68" s="18" t="str">
        <x:v>metro</x:v>
      </x:c>
      <x:c r="D68" s="18" t="str">
        <x:v>T1</x:v>
      </x:c>
      <x:c r="E68" s="19" t="str">
        <x:v>已有官方边界，组件待核</x:v>
      </x:c>
      <x:c r="F68" s="19" t="str">
        <x:v>人形町・水天宮前</x:v>
      </x:c>
      <x:c r="G68" s="18" t="str">
        <x:v>transport-node:2395befb-29c9-505d-986f-f1cd4660e2d4</x:v>
      </x:c>
    </x:row>
    <x:row r="69" ht="28" customHeight="1">
      <x:c r="A69" s="18" t="str">
        <x:v>仙台</x:v>
      </x:c>
      <x:c r="B69" s="18" t="str">
        <x:v>仙台市</x:v>
      </x:c>
      <x:c r="C69" s="18" t="str">
        <x:v>metro</x:v>
      </x:c>
      <x:c r="D69" s="18" t="str">
        <x:v>T1</x:v>
      </x:c>
      <x:c r="E69" s="19" t="str">
        <x:v>已有官方边界，组件待核</x:v>
      </x:c>
      <x:c r="F69" s="19" t="str">
        <x:v>仙台</x:v>
      </x:c>
      <x:c r="G69" s="18" t="str">
        <x:v>transport-node:fdc50ead-35ad-5cf1-aa8c-1bdd0464c361</x:v>
      </x:c>
    </x:row>
    <x:row r="70" ht="28" customHeight="1">
      <x:c r="A70" s="18" t="str">
        <x:v>仙台</x:v>
      </x:c>
      <x:c r="B70" s="18" t="str">
        <x:v>東日本旅客鉄道</x:v>
      </x:c>
      <x:c r="C70" s="18" t="str">
        <x:v>conventional_rail</x:v>
      </x:c>
      <x:c r="D70" s="18" t="str">
        <x:v>T1</x:v>
      </x:c>
      <x:c r="E70" s="19" t="str">
        <x:v>已有官方边界，组件待核</x:v>
      </x:c>
      <x:c r="F70" s="19" t="str">
        <x:v>仙台</x:v>
      </x:c>
      <x:c r="G70" s="18" t="str">
        <x:v>transport-node:abcbeb9a-2f10-57b7-bb75-1d10581e35d2</x:v>
      </x:c>
    </x:row>
    <x:row r="71" ht="28" customHeight="1">
      <x:c r="A71" s="18" t="str">
        <x:v>仙川</x:v>
      </x:c>
      <x:c r="B71" s="18" t="str">
        <x:v>京王電鉄</x:v>
      </x:c>
      <x:c r="C71" s="18" t="str">
        <x:v>private_rail</x:v>
      </x:c>
      <x:c r="D71" s="18" t="str">
        <x:v>T1</x:v>
      </x:c>
      <x:c r="E71" s="19" t="str">
        <x:v>尚未建立 Hub 审核范围</x:v>
      </x:c>
      <x:c r="F71" s="19" t="str"/>
      <x:c r="G71" s="18" t="str">
        <x:v>transport-node:6fd67080-17c4-5509-af01-2c795bdcd9e2</x:v>
      </x:c>
    </x:row>
    <x:row r="72" ht="28" customHeight="1">
      <x:c r="A72" s="18" t="str">
        <x:v>代々木</x:v>
      </x:c>
      <x:c r="B72" s="18" t="str">
        <x:v>東日本旅客鉄道</x:v>
      </x:c>
      <x:c r="C72" s="18" t="str">
        <x:v>conventional_rail</x:v>
      </x:c>
      <x:c r="D72" s="18" t="str">
        <x:v>T1</x:v>
      </x:c>
      <x:c r="E72" s="19" t="str">
        <x:v>已有官方边界，组件待核</x:v>
      </x:c>
      <x:c r="F72" s="19" t="str">
        <x:v>代々木</x:v>
      </x:c>
      <x:c r="G72" s="18" t="str">
        <x:v>transport-node:db19ed7a-bda5-500b-9fd1-cd883fbe70ed</x:v>
      </x:c>
    </x:row>
    <x:row r="73" ht="28" customHeight="1">
      <x:c r="A73" s="18" t="str">
        <x:v>代々木上原</x:v>
      </x:c>
      <x:c r="B73" s="18" t="str">
        <x:v>小田急電鉄</x:v>
      </x:c>
      <x:c r="C73" s="18" t="str">
        <x:v>private_rail</x:v>
      </x:c>
      <x:c r="D73" s="18" t="str">
        <x:v>T0</x:v>
      </x:c>
      <x:c r="E73" s="19" t="str">
        <x:v>已有官方边界，组件待核</x:v>
      </x:c>
      <x:c r="F73" s="19" t="str">
        <x:v>代々木上原</x:v>
      </x:c>
      <x:c r="G73" s="18" t="str">
        <x:v>transport-node:40d23c82-c395-5bb0-9e65-7ffb9db5867e</x:v>
      </x:c>
    </x:row>
    <x:row r="74" ht="28" customHeight="1">
      <x:c r="A74" s="18" t="str">
        <x:v>伏見</x:v>
      </x:c>
      <x:c r="B74" s="18" t="str">
        <x:v>名古屋市</x:v>
      </x:c>
      <x:c r="C74" s="18" t="str">
        <x:v>metro</x:v>
      </x:c>
      <x:c r="D74" s="18" t="str">
        <x:v>T1</x:v>
      </x:c>
      <x:c r="E74" s="19" t="str">
        <x:v>已有官方边界，组件待核</x:v>
      </x:c>
      <x:c r="F74" s="19" t="str">
        <x:v>伏見</x:v>
      </x:c>
      <x:c r="G74" s="18" t="str">
        <x:v>transport-node:3731a6b6-458e-5981-8884-e4ac442122bc</x:v>
      </x:c>
    </x:row>
    <x:row r="75" ht="28" customHeight="1">
      <x:c r="A75" s="18" t="str">
        <x:v>住吉</x:v>
      </x:c>
      <x:c r="B75" s="18" t="str">
        <x:v>東京地下鉄</x:v>
      </x:c>
      <x:c r="C75" s="18" t="str">
        <x:v>metro</x:v>
      </x:c>
      <x:c r="D75" s="18" t="str">
        <x:v>T1</x:v>
      </x:c>
      <x:c r="E75" s="19" t="str">
        <x:v>已有官方边界，组件待核</x:v>
      </x:c>
      <x:c r="F75" s="19" t="str">
        <x:v>住吉</x:v>
      </x:c>
      <x:c r="G75" s="18" t="str">
        <x:v>transport-node:1989516e-4f2c-5793-94bf-18ffc5d93326</x:v>
      </x:c>
    </x:row>
    <x:row r="76" ht="28" customHeight="1">
      <x:c r="A76" s="18" t="str">
        <x:v>住吉</x:v>
      </x:c>
      <x:c r="B76" s="18" t="str">
        <x:v>西日本旅客鉄道</x:v>
      </x:c>
      <x:c r="C76" s="18" t="str">
        <x:v>conventional_rail</x:v>
      </x:c>
      <x:c r="D76" s="18" t="str">
        <x:v>T1</x:v>
      </x:c>
      <x:c r="E76" s="19" t="str">
        <x:v>尚未建立 Hub 审核范围</x:v>
      </x:c>
      <x:c r="F76" s="19" t="str"/>
      <x:c r="G76" s="18" t="str">
        <x:v>transport-node:ea20f594-8483-5a30-aaf7-056263c82db5</x:v>
      </x:c>
    </x:row>
    <x:row r="77" ht="28" customHeight="1">
      <x:c r="A77" s="18" t="str">
        <x:v>住道</x:v>
      </x:c>
      <x:c r="B77" s="18" t="str">
        <x:v>西日本旅客鉄道</x:v>
      </x:c>
      <x:c r="C77" s="18" t="str">
        <x:v>conventional_rail</x:v>
      </x:c>
      <x:c r="D77" s="18" t="str">
        <x:v>T1</x:v>
      </x:c>
      <x:c r="E77" s="19" t="str">
        <x:v>尚未建立 Hub 审核范围</x:v>
      </x:c>
      <x:c r="F77" s="19" t="str"/>
      <x:c r="G77" s="18" t="str">
        <x:v>transport-node:d9c35d92-87b3-57e1-a97c-2b3d3739834a</x:v>
      </x:c>
    </x:row>
    <x:row r="78" ht="28" customHeight="1">
      <x:c r="A78" s="18" t="str">
        <x:v>保土ヶ谷</x:v>
      </x:c>
      <x:c r="B78" s="18" t="str">
        <x:v>東日本旅客鉄道</x:v>
      </x:c>
      <x:c r="C78" s="18" t="str">
        <x:v>conventional_rail</x:v>
      </x:c>
      <x:c r="D78" s="18" t="str">
        <x:v>T1</x:v>
      </x:c>
      <x:c r="E78" s="19" t="str">
        <x:v>尚未建立 Hub 审核范围</x:v>
      </x:c>
      <x:c r="F78" s="19" t="str"/>
      <x:c r="G78" s="18" t="str">
        <x:v>transport-node:6a6e67c9-1024-562d-88ec-30143e44b6d4</x:v>
      </x:c>
    </x:row>
    <x:row r="79" ht="28" customHeight="1">
      <x:c r="A79" s="18" t="str">
        <x:v>保谷</x:v>
      </x:c>
      <x:c r="B79" s="18" t="str">
        <x:v>西武鉄道</x:v>
      </x:c>
      <x:c r="C79" s="18" t="str">
        <x:v>private_rail</x:v>
      </x:c>
      <x:c r="D79" s="18" t="str">
        <x:v>T1</x:v>
      </x:c>
      <x:c r="E79" s="19" t="str">
        <x:v>尚未建立 Hub 审核范围</x:v>
      </x:c>
      <x:c r="F79" s="19" t="str"/>
      <x:c r="G79" s="18" t="str">
        <x:v>transport-node:b4f6bb8b-99b3-5ba4-b199-2417b44f8d0b</x:v>
      </x:c>
    </x:row>
    <x:row r="80" ht="28" customHeight="1">
      <x:c r="A80" s="18" t="str">
        <x:v>元住吉</x:v>
      </x:c>
      <x:c r="B80" s="18" t="str">
        <x:v>東急電鉄</x:v>
      </x:c>
      <x:c r="C80" s="18" t="str">
        <x:v>private_rail</x:v>
      </x:c>
      <x:c r="D80" s="18" t="str">
        <x:v>T1</x:v>
      </x:c>
      <x:c r="E80" s="19" t="str">
        <x:v>尚未建立 Hub 审核范围</x:v>
      </x:c>
      <x:c r="F80" s="19" t="str"/>
      <x:c r="G80" s="18" t="str">
        <x:v>transport-node:029ef9ce-a11f-5edc-86d6-c1dca12fb221</x:v>
      </x:c>
    </x:row>
    <x:row r="81" ht="28" customHeight="1">
      <x:c r="A81" s="18" t="str">
        <x:v>元町</x:v>
      </x:c>
      <x:c r="B81" s="18" t="str">
        <x:v>西日本旅客鉄道</x:v>
      </x:c>
      <x:c r="C81" s="18" t="str">
        <x:v>conventional_rail</x:v>
      </x:c>
      <x:c r="D81" s="18" t="str">
        <x:v>T1</x:v>
      </x:c>
      <x:c r="E81" s="19" t="str">
        <x:v>尚未建立 Hub 审核范围</x:v>
      </x:c>
      <x:c r="F81" s="19" t="str"/>
      <x:c r="G81" s="18" t="str">
        <x:v>transport-node:0aefa4b5-1af5-5a5f-afd8-f637086ae683</x:v>
      </x:c>
    </x:row>
    <x:row r="82" ht="28" customHeight="1">
      <x:c r="A82" s="18" t="str">
        <x:v>元町・中華街</x:v>
      </x:c>
      <x:c r="B82" s="18" t="str">
        <x:v>横浜高速鉄道</x:v>
      </x:c>
      <x:c r="C82" s="18" t="str">
        <x:v>private_rail</x:v>
      </x:c>
      <x:c r="D82" s="18" t="str">
        <x:v>T1</x:v>
      </x:c>
      <x:c r="E82" s="19" t="str">
        <x:v>尚未建立 Hub 审核范围</x:v>
      </x:c>
      <x:c r="F82" s="19" t="str"/>
      <x:c r="G82" s="18" t="str">
        <x:v>transport-node:5feb1952-10b6-536f-b46a-5cadde08e3e8</x:v>
      </x:c>
    </x:row>
    <x:row r="83" ht="28" customHeight="1">
      <x:c r="A83" s="18" t="str">
        <x:v>光が丘</x:v>
      </x:c>
      <x:c r="B83" s="18" t="str">
        <x:v>東京都</x:v>
      </x:c>
      <x:c r="C83" s="18" t="str">
        <x:v>metro</x:v>
      </x:c>
      <x:c r="D83" s="18" t="str">
        <x:v>T1</x:v>
      </x:c>
      <x:c r="E83" s="19" t="str">
        <x:v>尚未建立 Hub 审核范围</x:v>
      </x:c>
      <x:c r="F83" s="19" t="str"/>
      <x:c r="G83" s="18" t="str">
        <x:v>transport-node:8be550ab-e213-55b4-88de-32b107b44c86</x:v>
      </x:c>
    </x:row>
    <x:row r="84" ht="28" customHeight="1">
      <x:c r="A84" s="18" t="str">
        <x:v>八丁堀</x:v>
      </x:c>
      <x:c r="B84" s="18" t="str">
        <x:v>東京地下鉄</x:v>
      </x:c>
      <x:c r="C84" s="18" t="str">
        <x:v>metro</x:v>
      </x:c>
      <x:c r="D84" s="18" t="str">
        <x:v>T1</x:v>
      </x:c>
      <x:c r="E84" s="19" t="str">
        <x:v>已有官方边界，组件待核</x:v>
      </x:c>
      <x:c r="F84" s="19" t="str">
        <x:v>八丁堀</x:v>
      </x:c>
      <x:c r="G84" s="18" t="str">
        <x:v>transport-node:38eaa6ec-7f19-5f86-8937-d52f0244d9d9</x:v>
      </x:c>
    </x:row>
    <x:row r="85" ht="28" customHeight="1">
      <x:c r="A85" s="18" t="str">
        <x:v>八丁堀</x:v>
      </x:c>
      <x:c r="B85" s="18" t="str">
        <x:v>東日本旅客鉄道</x:v>
      </x:c>
      <x:c r="C85" s="18" t="str">
        <x:v>conventional_rail</x:v>
      </x:c>
      <x:c r="D85" s="18" t="str">
        <x:v>T1</x:v>
      </x:c>
      <x:c r="E85" s="19" t="str">
        <x:v>已有官方边界，组件待核</x:v>
      </x:c>
      <x:c r="F85" s="19" t="str">
        <x:v>八丁堀</x:v>
      </x:c>
      <x:c r="G85" s="18" t="str">
        <x:v>transport-node:973ea78f-945d-50a5-bcf5-a56d782b3339</x:v>
      </x:c>
    </x:row>
    <x:row r="86" ht="28" customHeight="1">
      <x:c r="A86" s="18" t="str">
        <x:v>八潮</x:v>
      </x:c>
      <x:c r="B86" s="18" t="str">
        <x:v>首都圏新都市鉄道</x:v>
      </x:c>
      <x:c r="C86" s="18" t="str">
        <x:v>private_rail</x:v>
      </x:c>
      <x:c r="D86" s="18" t="str">
        <x:v>T1</x:v>
      </x:c>
      <x:c r="E86" s="19" t="str">
        <x:v>尚未建立 Hub 审核范围</x:v>
      </x:c>
      <x:c r="F86" s="19" t="str"/>
      <x:c r="G86" s="18" t="str">
        <x:v>transport-node:76556541-e416-53c5-9fec-81dd1919b282</x:v>
      </x:c>
    </x:row>
    <x:row r="87" ht="28" customHeight="1">
      <x:c r="A87" s="18" t="str">
        <x:v>八王子</x:v>
      </x:c>
      <x:c r="B87" s="18" t="str">
        <x:v>東日本旅客鉄道</x:v>
      </x:c>
      <x:c r="C87" s="18" t="str">
        <x:v>conventional_rail</x:v>
      </x:c>
      <x:c r="D87" s="18" t="str">
        <x:v>T1</x:v>
      </x:c>
      <x:c r="E87" s="19" t="str">
        <x:v>尚未建立 Hub 审核范围</x:v>
      </x:c>
      <x:c r="F87" s="19" t="str"/>
      <x:c r="G87" s="18" t="str">
        <x:v>transport-node:c245614b-2157-5015-95b7-cdaca7489dfa</x:v>
      </x:c>
    </x:row>
    <x:row r="88" ht="28" customHeight="1">
      <x:c r="A88" s="18" t="str">
        <x:v>六本木</x:v>
      </x:c>
      <x:c r="B88" s="18" t="str">
        <x:v>東京地下鉄</x:v>
      </x:c>
      <x:c r="C88" s="18" t="str">
        <x:v>metro</x:v>
      </x:c>
      <x:c r="D88" s="18" t="str">
        <x:v>T1</x:v>
      </x:c>
      <x:c r="E88" s="19" t="str">
        <x:v>已有官方边界，组件待核</x:v>
      </x:c>
      <x:c r="F88" s="19" t="str">
        <x:v>六本木</x:v>
      </x:c>
      <x:c r="G88" s="18" t="str">
        <x:v>transport-node:524baff2-6255-52f3-8fc2-0426f895861f</x:v>
      </x:c>
    </x:row>
    <x:row r="89" ht="28" customHeight="1">
      <x:c r="A89" s="18" t="str">
        <x:v>六本木</x:v>
      </x:c>
      <x:c r="B89" s="18" t="str">
        <x:v>東京都</x:v>
      </x:c>
      <x:c r="C89" s="18" t="str">
        <x:v>metro</x:v>
      </x:c>
      <x:c r="D89" s="18" t="str">
        <x:v>T1</x:v>
      </x:c>
      <x:c r="E89" s="19" t="str">
        <x:v>已有官方边界，组件待核</x:v>
      </x:c>
      <x:c r="F89" s="19" t="str">
        <x:v>六本木</x:v>
      </x:c>
      <x:c r="G89" s="18" t="str">
        <x:v>transport-node:13ea294b-64fd-5fa9-a90f-9f32120a3276</x:v>
      </x:c>
    </x:row>
    <x:row r="90" ht="28" customHeight="1">
      <x:c r="A90" s="18" t="str">
        <x:v>六本木一丁目</x:v>
      </x:c>
      <x:c r="B90" s="18" t="str">
        <x:v>東京地下鉄</x:v>
      </x:c>
      <x:c r="C90" s="18" t="str">
        <x:v>metro</x:v>
      </x:c>
      <x:c r="D90" s="18" t="str">
        <x:v>T1</x:v>
      </x:c>
      <x:c r="E90" s="19" t="str">
        <x:v>尚未建立 Hub 审核范围</x:v>
      </x:c>
      <x:c r="F90" s="19" t="str"/>
      <x:c r="G90" s="18" t="str">
        <x:v>transport-node:b13dfd18-3d28-52b8-9ebf-d4ed378a10c9</x:v>
      </x:c>
    </x:row>
    <x:row r="91" ht="28" customHeight="1">
      <x:c r="A91" s="18" t="str">
        <x:v>六甲道</x:v>
      </x:c>
      <x:c r="B91" s="18" t="str">
        <x:v>西日本旅客鉄道</x:v>
      </x:c>
      <x:c r="C91" s="18" t="str">
        <x:v>conventional_rail</x:v>
      </x:c>
      <x:c r="D91" s="18" t="str">
        <x:v>T1</x:v>
      </x:c>
      <x:c r="E91" s="19" t="str">
        <x:v>尚未建立 Hub 审核范围</x:v>
      </x:c>
      <x:c r="F91" s="19" t="str"/>
      <x:c r="G91" s="18" t="str">
        <x:v>transport-node:74d834cf-a26e-5560-ade9-f7ef368fdb75</x:v>
      </x:c>
    </x:row>
    <x:row r="92" ht="28" customHeight="1">
      <x:c r="A92" s="18" t="str">
        <x:v>分倍河原</x:v>
      </x:c>
      <x:c r="B92" s="18" t="str">
        <x:v>京王電鉄</x:v>
      </x:c>
      <x:c r="C92" s="18" t="str">
        <x:v>private_rail</x:v>
      </x:c>
      <x:c r="D92" s="18" t="str">
        <x:v>T1</x:v>
      </x:c>
      <x:c r="E92" s="19" t="str">
        <x:v>已有官方边界，组件待核</x:v>
      </x:c>
      <x:c r="F92" s="19" t="str">
        <x:v>分倍河原</x:v>
      </x:c>
      <x:c r="G92" s="18" t="str">
        <x:v>transport-node:632294e7-ffc8-5e02-859f-53edceccf844</x:v>
      </x:c>
    </x:row>
    <x:row r="93" ht="28" customHeight="1">
      <x:c r="A93" s="18" t="str">
        <x:v>分倍河原</x:v>
      </x:c>
      <x:c r="B93" s="18" t="str">
        <x:v>東日本旅客鉄道</x:v>
      </x:c>
      <x:c r="C93" s="18" t="str">
        <x:v>conventional_rail</x:v>
      </x:c>
      <x:c r="D93" s="18" t="str">
        <x:v>T1</x:v>
      </x:c>
      <x:c r="E93" s="19" t="str">
        <x:v>已有官方边界，组件待核</x:v>
      </x:c>
      <x:c r="F93" s="19" t="str">
        <x:v>分倍河原</x:v>
      </x:c>
      <x:c r="G93" s="18" t="str">
        <x:v>transport-node:c49322fb-6283-573c-ae02-817ffd52e112</x:v>
      </x:c>
    </x:row>
    <x:row r="94" ht="28" customHeight="1">
      <x:c r="A94" s="18" t="str">
        <x:v>刈谷</x:v>
      </x:c>
      <x:c r="B94" s="18" t="str">
        <x:v>東海旅客鉄道</x:v>
      </x:c>
      <x:c r="C94" s="18" t="str">
        <x:v>conventional_rail</x:v>
      </x:c>
      <x:c r="D94" s="18" t="str">
        <x:v>T1</x:v>
      </x:c>
      <x:c r="E94" s="19" t="str">
        <x:v>尚未建立 Hub 审核范围</x:v>
      </x:c>
      <x:c r="F94" s="19" t="str"/>
      <x:c r="G94" s="18" t="str">
        <x:v>transport-node:5aa89f88-57c8-564a-8217-709af709be66</x:v>
      </x:c>
    </x:row>
    <x:row r="95" ht="28" customHeight="1">
      <x:c r="A95" s="18" t="str">
        <x:v>初台</x:v>
      </x:c>
      <x:c r="B95" s="18" t="str">
        <x:v>京王電鉄</x:v>
      </x:c>
      <x:c r="C95" s="18" t="str">
        <x:v>private_rail</x:v>
      </x:c>
      <x:c r="D95" s="18" t="str">
        <x:v>T1</x:v>
      </x:c>
      <x:c r="E95" s="19" t="str">
        <x:v>尚未建立 Hub 审核范围</x:v>
      </x:c>
      <x:c r="F95" s="19" t="str"/>
      <x:c r="G95" s="18" t="str">
        <x:v>transport-node:cd28b702-abea-5763-93da-355025eea909</x:v>
      </x:c>
    </x:row>
    <x:row r="96" ht="28" customHeight="1">
      <x:c r="A96" s="18" t="str">
        <x:v>勝どき</x:v>
      </x:c>
      <x:c r="B96" s="18" t="str">
        <x:v>東京都</x:v>
      </x:c>
      <x:c r="C96" s="18" t="str">
        <x:v>metro</x:v>
      </x:c>
      <x:c r="D96" s="18" t="str">
        <x:v>T1</x:v>
      </x:c>
      <x:c r="E96" s="19" t="str">
        <x:v>尚未建立 Hub 审核范围</x:v>
      </x:c>
      <x:c r="F96" s="19" t="str"/>
      <x:c r="G96" s="18" t="str">
        <x:v>transport-node:e910bade-3b42-53a6-946b-503843c89199</x:v>
      </x:c>
    </x:row>
    <x:row r="97" ht="28" customHeight="1">
      <x:c r="A97" s="18" t="str">
        <x:v>北千住</x:v>
      </x:c>
      <x:c r="B97" s="18" t="str">
        <x:v>東京地下鉄</x:v>
      </x:c>
      <x:c r="C97" s="18" t="str">
        <x:v>metro</x:v>
      </x:c>
      <x:c r="D97" s="18" t="str">
        <x:v>T0</x:v>
      </x:c>
      <x:c r="E97" s="19" t="str">
        <x:v>已有官方边界，组件待核</x:v>
      </x:c>
      <x:c r="F97" s="19" t="str">
        <x:v>北千住</x:v>
      </x:c>
      <x:c r="G97" s="18" t="str">
        <x:v>transport-node:1c7ef2fa-399b-5a8f-9f4b-367c48b4554f</x:v>
      </x:c>
    </x:row>
    <x:row r="98" ht="28" customHeight="1">
      <x:c r="A98" s="18" t="str">
        <x:v>北千住</x:v>
      </x:c>
      <x:c r="B98" s="18" t="str">
        <x:v>東日本旅客鉄道</x:v>
      </x:c>
      <x:c r="C98" s="18" t="str">
        <x:v>conventional_rail</x:v>
      </x:c>
      <x:c r="D98" s="18" t="str">
        <x:v>T0</x:v>
      </x:c>
      <x:c r="E98" s="19" t="str">
        <x:v>已有官方边界，组件待核</x:v>
      </x:c>
      <x:c r="F98" s="19" t="str">
        <x:v>北千住</x:v>
      </x:c>
      <x:c r="G98" s="18" t="str">
        <x:v>transport-node:02e3a8fa-065e-5604-b60a-572ff7a74018</x:v>
      </x:c>
    </x:row>
    <x:row r="99" ht="28" customHeight="1">
      <x:c r="A99" s="18" t="str">
        <x:v>北千住</x:v>
      </x:c>
      <x:c r="B99" s="18" t="str">
        <x:v>東武鉄道</x:v>
      </x:c>
      <x:c r="C99" s="18" t="str">
        <x:v>private_rail</x:v>
      </x:c>
      <x:c r="D99" s="18" t="str">
        <x:v>T0</x:v>
      </x:c>
      <x:c r="E99" s="19" t="str">
        <x:v>已有官方边界，组件待核</x:v>
      </x:c>
      <x:c r="F99" s="19" t="str">
        <x:v>北千住</x:v>
      </x:c>
      <x:c r="G99" s="18" t="str">
        <x:v>transport-node:390570ba-7dc1-5585-ad2e-98d2d52203c8</x:v>
      </x:c>
    </x:row>
    <x:row r="100" ht="28" customHeight="1">
      <x:c r="A100" s="18" t="str">
        <x:v>北千住</x:v>
      </x:c>
      <x:c r="B100" s="18" t="str">
        <x:v>首都圏新都市鉄道</x:v>
      </x:c>
      <x:c r="C100" s="18" t="str">
        <x:v>private_rail</x:v>
      </x:c>
      <x:c r="D100" s="18" t="str">
        <x:v>T1</x:v>
      </x:c>
      <x:c r="E100" s="19" t="str">
        <x:v>已有官方边界，组件待核</x:v>
      </x:c>
      <x:c r="F100" s="19" t="str">
        <x:v>北千住</x:v>
      </x:c>
      <x:c r="G100" s="18" t="str">
        <x:v>transport-node:6c706616-6abf-5686-ba59-a3cd186dba62</x:v>
      </x:c>
    </x:row>
    <x:row r="101" ht="28" customHeight="1">
      <x:c r="A101" s="18" t="str">
        <x:v>北新地</x:v>
      </x:c>
      <x:c r="B101" s="18" t="str">
        <x:v>西日本旅客鉄道</x:v>
      </x:c>
      <x:c r="C101" s="18" t="str">
        <x:v>conventional_rail</x:v>
      </x:c>
      <x:c r="D101" s="18" t="str">
        <x:v>T1</x:v>
      </x:c>
      <x:c r="E101" s="19" t="str">
        <x:v>已有官方边界，组件待核</x:v>
      </x:c>
      <x:c r="F101" s="19" t="str">
        <x:v>大阪・梅田</x:v>
      </x:c>
      <x:c r="G101" s="18" t="str">
        <x:v>transport-node:e104552f-4001-5796-a65a-09df9dac3425</x:v>
      </x:c>
    </x:row>
    <x:row r="102" ht="28" customHeight="1">
      <x:c r="A102" s="18" t="str">
        <x:v>北朝霞</x:v>
      </x:c>
      <x:c r="B102" s="18" t="str">
        <x:v>東日本旅客鉄道</x:v>
      </x:c>
      <x:c r="C102" s="18" t="str">
        <x:v>conventional_rail</x:v>
      </x:c>
      <x:c r="D102" s="18" t="str">
        <x:v>T1</x:v>
      </x:c>
      <x:c r="E102" s="19" t="str">
        <x:v>已有官方边界，组件待核</x:v>
      </x:c>
      <x:c r="F102" s="19" t="str">
        <x:v>朝霞台・北朝霞</x:v>
      </x:c>
      <x:c r="G102" s="18" t="str">
        <x:v>transport-node:94d5b4b1-c338-5534-b810-5026d9701ec7</x:v>
      </x:c>
    </x:row>
    <x:row r="103" ht="28" customHeight="1">
      <x:c r="A103" s="18" t="str">
        <x:v>北浜</x:v>
      </x:c>
      <x:c r="B103" s="18" t="str">
        <x:v>大阪市高速電気軌道</x:v>
      </x:c>
      <x:c r="C103" s="18" t="str">
        <x:v>metro</x:v>
      </x:c>
      <x:c r="D103" s="18" t="str">
        <x:v>T1</x:v>
      </x:c>
      <x:c r="E103" s="19" t="str">
        <x:v>已有官方边界，组件待核</x:v>
      </x:c>
      <x:c r="F103" s="19" t="str">
        <x:v>北浜</x:v>
      </x:c>
      <x:c r="G103" s="18" t="str">
        <x:v>transport-node:0a0a41ed-bbb8-5faa-a75b-c23cd2db8a8a</x:v>
      </x:c>
    </x:row>
    <x:row r="104" ht="28" customHeight="1">
      <x:c r="A104" s="18" t="str">
        <x:v>北浦和</x:v>
      </x:c>
      <x:c r="B104" s="18" t="str">
        <x:v>東日本旅客鉄道</x:v>
      </x:c>
      <x:c r="C104" s="18" t="str">
        <x:v>conventional_rail</x:v>
      </x:c>
      <x:c r="D104" s="18" t="str">
        <x:v>T1</x:v>
      </x:c>
      <x:c r="E104" s="19" t="str">
        <x:v>尚未建立 Hub 审核范围</x:v>
      </x:c>
      <x:c r="F104" s="19" t="str"/>
      <x:c r="G104" s="18" t="str">
        <x:v>transport-node:b5dc5e4e-a099-59c0-a85f-1aa661d8d0b3</x:v>
      </x:c>
    </x:row>
    <x:row r="105" ht="28" customHeight="1">
      <x:c r="A105" s="18" t="str">
        <x:v>十三</x:v>
      </x:c>
      <x:c r="B105" s="18" t="str">
        <x:v>阪急電鉄</x:v>
      </x:c>
      <x:c r="C105" s="18" t="str">
        <x:v>private_rail</x:v>
      </x:c>
      <x:c r="D105" s="18" t="str">
        <x:v>T1</x:v>
      </x:c>
      <x:c r="E105" s="19" t="str">
        <x:v>尚未建立 Hub 审核范围</x:v>
      </x:c>
      <x:c r="F105" s="19" t="str"/>
      <x:c r="G105" s="18" t="str">
        <x:v>transport-node:ed714553-5af7-5098-9f4d-ce5734cbec50</x:v>
      </x:c>
    </x:row>
    <x:row r="106" ht="28" customHeight="1">
      <x:c r="A106" s="18" t="str">
        <x:v>十条</x:v>
      </x:c>
      <x:c r="B106" s="18" t="str">
        <x:v>東日本旅客鉄道</x:v>
      </x:c>
      <x:c r="C106" s="18" t="str">
        <x:v>conventional_rail</x:v>
      </x:c>
      <x:c r="D106" s="18" t="str">
        <x:v>T1</x:v>
      </x:c>
      <x:c r="E106" s="19" t="str">
        <x:v>尚未建立 Hub 审核范围</x:v>
      </x:c>
      <x:c r="F106" s="19" t="str"/>
      <x:c r="G106" s="18" t="str">
        <x:v>transport-node:6b21aa6f-f9e9-5517-9f7f-5735bd0211ed</x:v>
      </x:c>
    </x:row>
    <x:row r="107" ht="28" customHeight="1">
      <x:c r="A107" s="18" t="str">
        <x:v>千歳烏山</x:v>
      </x:c>
      <x:c r="B107" s="18" t="str">
        <x:v>京王電鉄</x:v>
      </x:c>
      <x:c r="C107" s="18" t="str">
        <x:v>private_rail</x:v>
      </x:c>
      <x:c r="D107" s="18" t="str">
        <x:v>T1</x:v>
      </x:c>
      <x:c r="E107" s="19" t="str">
        <x:v>尚未建立 Hub 审核范围</x:v>
      </x:c>
      <x:c r="F107" s="19" t="str"/>
      <x:c r="G107" s="18" t="str">
        <x:v>transport-node:3e64bd0b-3301-5592-bdb8-55001e97d01b</x:v>
      </x:c>
    </x:row>
    <x:row r="108" ht="28" customHeight="1">
      <x:c r="A108" s="18" t="str">
        <x:v>千歳船橋</x:v>
      </x:c>
      <x:c r="B108" s="18" t="str">
        <x:v>小田急電鉄</x:v>
      </x:c>
      <x:c r="C108" s="18" t="str">
        <x:v>private_rail</x:v>
      </x:c>
      <x:c r="D108" s="18" t="str">
        <x:v>T1</x:v>
      </x:c>
      <x:c r="E108" s="19" t="str">
        <x:v>尚未建立 Hub 审核范围</x:v>
      </x:c>
      <x:c r="F108" s="19" t="str"/>
      <x:c r="G108" s="18" t="str">
        <x:v>transport-node:3ea91d55-43d0-52e6-9db3-5087a76f839d</x:v>
      </x:c>
    </x:row>
    <x:row r="109" ht="28" customHeight="1">
      <x:c r="A109" s="18" t="str">
        <x:v>千種</x:v>
      </x:c>
      <x:c r="B109" s="18" t="str">
        <x:v>東海旅客鉄道</x:v>
      </x:c>
      <x:c r="C109" s="18" t="str">
        <x:v>conventional_rail</x:v>
      </x:c>
      <x:c r="D109" s="18" t="str">
        <x:v>T1</x:v>
      </x:c>
      <x:c r="E109" s="19" t="str">
        <x:v>已有官方边界，组件待核</x:v>
      </x:c>
      <x:c r="F109" s="19" t="str">
        <x:v>千種</x:v>
      </x:c>
      <x:c r="G109" s="18" t="str">
        <x:v>transport-node:43aef148-67c2-5f46-9b07-d1ab242074aa</x:v>
      </x:c>
    </x:row>
    <x:row r="110" ht="28" customHeight="1">
      <x:c r="A110" s="18" t="str">
        <x:v>千葉</x:v>
      </x:c>
      <x:c r="B110" s="18" t="str">
        <x:v>東日本旅客鉄道</x:v>
      </x:c>
      <x:c r="C110" s="18" t="str">
        <x:v>conventional_rail</x:v>
      </x:c>
      <x:c r="D110" s="18" t="str">
        <x:v>T0</x:v>
      </x:c>
      <x:c r="E110" s="19" t="str">
        <x:v>已有官方边界，组件待核</x:v>
      </x:c>
      <x:c r="F110" s="19" t="str">
        <x:v>千葉</x:v>
      </x:c>
      <x:c r="G110" s="18" t="str">
        <x:v>transport-node:64c96958-db36-5b45-b651-7eba9719a4d8</x:v>
      </x:c>
    </x:row>
    <x:row r="111" ht="28" customHeight="1">
      <x:c r="A111" s="18" t="str">
        <x:v>千里中央</x:v>
      </x:c>
      <x:c r="B111" s="18" t="str">
        <x:v>北大阪急行電鉄</x:v>
      </x:c>
      <x:c r="C111" s="18" t="str">
        <x:v>private_rail</x:v>
      </x:c>
      <x:c r="D111" s="18" t="str">
        <x:v>T1</x:v>
      </x:c>
      <x:c r="E111" s="19" t="str">
        <x:v>尚未建立 Hub 审核范围</x:v>
      </x:c>
      <x:c r="F111" s="19" t="str"/>
      <x:c r="G111" s="18" t="str">
        <x:v>transport-node:30a94998-b769-534f-8588-8b468c696734</x:v>
      </x:c>
    </x:row>
    <x:row r="112" ht="28" customHeight="1">
      <x:c r="A112" s="18" t="str">
        <x:v>半蔵門</x:v>
      </x:c>
      <x:c r="B112" s="18" t="str">
        <x:v>東京地下鉄</x:v>
      </x:c>
      <x:c r="C112" s="18" t="str">
        <x:v>metro</x:v>
      </x:c>
      <x:c r="D112" s="18" t="str">
        <x:v>T1</x:v>
      </x:c>
      <x:c r="E112" s="19" t="str">
        <x:v>尚未建立 Hub 审核范围</x:v>
      </x:c>
      <x:c r="F112" s="19" t="str"/>
      <x:c r="G112" s="18" t="str">
        <x:v>transport-node:7bb26c65-d463-540d-be7f-237abde553a7</x:v>
      </x:c>
    </x:row>
    <x:row r="113" ht="28" customHeight="1">
      <x:c r="A113" s="18" t="str">
        <x:v>南大沢</x:v>
      </x:c>
      <x:c r="B113" s="18" t="str">
        <x:v>京王電鉄</x:v>
      </x:c>
      <x:c r="C113" s="18" t="str">
        <x:v>private_rail</x:v>
      </x:c>
      <x:c r="D113" s="18" t="str">
        <x:v>T1</x:v>
      </x:c>
      <x:c r="E113" s="19" t="str">
        <x:v>尚未建立 Hub 审核范围</x:v>
      </x:c>
      <x:c r="F113" s="19" t="str"/>
      <x:c r="G113" s="18" t="str">
        <x:v>transport-node:0445dd99-abaf-5dfd-8299-a092cdcbb9a2</x:v>
      </x:c>
    </x:row>
    <x:row r="114" ht="28" customHeight="1">
      <x:c r="A114" s="18" t="str">
        <x:v>南柏</x:v>
      </x:c>
      <x:c r="B114" s="18" t="str">
        <x:v>東日本旅客鉄道</x:v>
      </x:c>
      <x:c r="C114" s="18" t="str">
        <x:v>conventional_rail</x:v>
      </x:c>
      <x:c r="D114" s="18" t="str">
        <x:v>T1</x:v>
      </x:c>
      <x:c r="E114" s="19" t="str">
        <x:v>尚未建立 Hub 审核范围</x:v>
      </x:c>
      <x:c r="F114" s="19" t="str"/>
      <x:c r="G114" s="18" t="str">
        <x:v>transport-node:26e75d45-c98d-5c97-bbe4-d78c0ca374fc</x:v>
      </x:c>
    </x:row>
    <x:row r="115" ht="28" customHeight="1">
      <x:c r="A115" s="18" t="str">
        <x:v>南森町</x:v>
      </x:c>
      <x:c r="B115" s="18" t="str">
        <x:v>大阪市高速電気軌道</x:v>
      </x:c>
      <x:c r="C115" s="18" t="str">
        <x:v>metro</x:v>
      </x:c>
      <x:c r="D115" s="18" t="str">
        <x:v>T1</x:v>
      </x:c>
      <x:c r="E115" s="19" t="str">
        <x:v>已有官方边界，组件待核</x:v>
      </x:c>
      <x:c r="F115" s="19" t="str">
        <x:v>南森町・大阪天満宮</x:v>
      </x:c>
      <x:c r="G115" s="18" t="str">
        <x:v>transport-node:a66637e3-d28b-578a-bc27-ee971d8a61b8</x:v>
      </x:c>
    </x:row>
    <x:row r="116" ht="28" customHeight="1">
      <x:c r="A116" s="18" t="str">
        <x:v>南流山</x:v>
      </x:c>
      <x:c r="B116" s="18" t="str">
        <x:v>東日本旅客鉄道</x:v>
      </x:c>
      <x:c r="C116" s="18" t="str">
        <x:v>conventional_rail</x:v>
      </x:c>
      <x:c r="D116" s="18" t="str">
        <x:v>T1</x:v>
      </x:c>
      <x:c r="E116" s="19" t="str">
        <x:v>已有官方边界，组件待核</x:v>
      </x:c>
      <x:c r="F116" s="19" t="str">
        <x:v>南流山</x:v>
      </x:c>
      <x:c r="G116" s="18" t="str">
        <x:v>transport-node:1816f227-7c97-5c98-ad23-7fa613d62d6c</x:v>
      </x:c>
    </x:row>
    <x:row r="117" ht="28" customHeight="1">
      <x:c r="A117" s="18" t="str">
        <x:v>南流山</x:v>
      </x:c>
      <x:c r="B117" s="18" t="str">
        <x:v>首都圏新都市鉄道</x:v>
      </x:c>
      <x:c r="C117" s="18" t="str">
        <x:v>private_rail</x:v>
      </x:c>
      <x:c r="D117" s="18" t="str">
        <x:v>T1</x:v>
      </x:c>
      <x:c r="E117" s="19" t="str">
        <x:v>已有官方边界，组件待核</x:v>
      </x:c>
      <x:c r="F117" s="19" t="str">
        <x:v>南流山</x:v>
      </x:c>
      <x:c r="G117" s="18" t="str">
        <x:v>transport-node:4f863bbc-4432-5512-a9e1-33f596045918</x:v>
      </x:c>
    </x:row>
    <x:row r="118" ht="28" customHeight="1">
      <x:c r="A118" s="18" t="str">
        <x:v>南浦和</x:v>
      </x:c>
      <x:c r="B118" s="18" t="str">
        <x:v>東日本旅客鉄道</x:v>
      </x:c>
      <x:c r="C118" s="18" t="str">
        <x:v>conventional_rail</x:v>
      </x:c>
      <x:c r="D118" s="18" t="str">
        <x:v>T1</x:v>
      </x:c>
      <x:c r="E118" s="19" t="str">
        <x:v>尚未建立 Hub 审核范围</x:v>
      </x:c>
      <x:c r="F118" s="19" t="str"/>
      <x:c r="G118" s="18" t="str">
        <x:v>transport-node:ffc7dacd-e487-5094-b506-eb17fe11f5de</x:v>
      </x:c>
    </x:row>
    <x:row r="119" ht="28" customHeight="1">
      <x:c r="A119" s="18" t="str">
        <x:v>南砂町</x:v>
      </x:c>
      <x:c r="B119" s="18" t="str">
        <x:v>東京地下鉄</x:v>
      </x:c>
      <x:c r="C119" s="18" t="str">
        <x:v>metro</x:v>
      </x:c>
      <x:c r="D119" s="18" t="str">
        <x:v>T1</x:v>
      </x:c>
      <x:c r="E119" s="19" t="str">
        <x:v>尚未建立 Hub 审核范围</x:v>
      </x:c>
      <x:c r="F119" s="19" t="str"/>
      <x:c r="G119" s="18" t="str">
        <x:v>transport-node:0e5141cf-646a-5b45-9b3f-7437bd791471</x:v>
      </x:c>
    </x:row>
    <x:row r="120" ht="28" customHeight="1">
      <x:c r="A120" s="18" t="str">
        <x:v>南草津</x:v>
      </x:c>
      <x:c r="B120" s="18" t="str">
        <x:v>西日本旅客鉄道</x:v>
      </x:c>
      <x:c r="C120" s="18" t="str">
        <x:v>conventional_rail</x:v>
      </x:c>
      <x:c r="D120" s="18" t="str">
        <x:v>T1</x:v>
      </x:c>
      <x:c r="E120" s="19" t="str">
        <x:v>尚未建立 Hub 审核范围</x:v>
      </x:c>
      <x:c r="F120" s="19" t="str"/>
      <x:c r="G120" s="18" t="str">
        <x:v>transport-node:bbfedb59-c4de-57f0-a75e-9e42f30029af</x:v>
      </x:c>
    </x:row>
    <x:row r="121" ht="28" customHeight="1">
      <x:c r="A121" s="18" t="str">
        <x:v>南行徳</x:v>
      </x:c>
      <x:c r="B121" s="18" t="str">
        <x:v>東京地下鉄</x:v>
      </x:c>
      <x:c r="C121" s="18" t="str">
        <x:v>metro</x:v>
      </x:c>
      <x:c r="D121" s="18" t="str">
        <x:v>T1</x:v>
      </x:c>
      <x:c r="E121" s="19" t="str">
        <x:v>尚未建立 Hub 审核范围</x:v>
      </x:c>
      <x:c r="F121" s="19" t="str"/>
      <x:c r="G121" s="18" t="str">
        <x:v>transport-node:e1810678-112a-5eb0-b565-d6dbfb90a070</x:v>
      </x:c>
    </x:row>
    <x:row r="122" ht="28" customHeight="1">
      <x:c r="A122" s="18" t="str">
        <x:v>南越谷</x:v>
      </x:c>
      <x:c r="B122" s="18" t="str">
        <x:v>東日本旅客鉄道</x:v>
      </x:c>
      <x:c r="C122" s="18" t="str">
        <x:v>conventional_rail</x:v>
      </x:c>
      <x:c r="D122" s="18" t="str">
        <x:v>T1</x:v>
      </x:c>
      <x:c r="E122" s="19" t="str">
        <x:v>已有官方边界，组件待核</x:v>
      </x:c>
      <x:c r="F122" s="19" t="str">
        <x:v>新越谷・南越谷</x:v>
      </x:c>
      <x:c r="G122" s="18" t="str">
        <x:v>transport-node:b6113a55-618e-531c-bd1d-186013fe7751</x:v>
      </x:c>
    </x:row>
    <x:row r="123" ht="28" customHeight="1">
      <x:c r="A123" s="18" t="str">
        <x:v>博多</x:v>
      </x:c>
      <x:c r="B123" s="18" t="str">
        <x:v>九州旅客鉄道</x:v>
      </x:c>
      <x:c r="C123" s="18" t="str">
        <x:v>conventional_rail</x:v>
      </x:c>
      <x:c r="D123" s="18" t="str">
        <x:v>T0</x:v>
      </x:c>
      <x:c r="E123" s="19" t="str">
        <x:v>已有官方边界，组件待核</x:v>
      </x:c>
      <x:c r="F123" s="19" t="str">
        <x:v>博多</x:v>
      </x:c>
      <x:c r="G123" s="18" t="str">
        <x:v>transport-node:756e4392-b22a-51ad-9c15-b20cbb073845</x:v>
      </x:c>
    </x:row>
    <x:row r="124" ht="28" customHeight="1">
      <x:c r="A124" s="18" t="str">
        <x:v>博多</x:v>
      </x:c>
      <x:c r="B124" s="18" t="str">
        <x:v>福岡市</x:v>
      </x:c>
      <x:c r="C124" s="18" t="str">
        <x:v>metro</x:v>
      </x:c>
      <x:c r="D124" s="18" t="str">
        <x:v>T0</x:v>
      </x:c>
      <x:c r="E124" s="19" t="str">
        <x:v>已有官方边界，组件待核</x:v>
      </x:c>
      <x:c r="F124" s="19" t="str">
        <x:v>博多</x:v>
      </x:c>
      <x:c r="G124" s="18" t="str">
        <x:v>transport-node:4b42e5c0-1a10-572d-9ead-92f296808f7c</x:v>
      </x:c>
    </x:row>
    <x:row r="125" ht="28" customHeight="1">
      <x:c r="A125" s="18" t="str">
        <x:v>原宿</x:v>
      </x:c>
      <x:c r="B125" s="18" t="str">
        <x:v>東日本旅客鉄道</x:v>
      </x:c>
      <x:c r="C125" s="18" t="str">
        <x:v>conventional_rail</x:v>
      </x:c>
      <x:c r="D125" s="18" t="str">
        <x:v>T1</x:v>
      </x:c>
      <x:c r="E125" s="19" t="str">
        <x:v>已有官方边界，组件待核</x:v>
      </x:c>
      <x:c r="F125" s="19" t="str">
        <x:v>原宿・明治神宮前</x:v>
      </x:c>
      <x:c r="G125" s="18" t="str">
        <x:v>transport-node:227001e9-60e9-53b4-996d-d84b9244fe89</x:v>
      </x:c>
    </x:row>
    <x:row r="126" ht="28" customHeight="1">
      <x:c r="A126" s="18" t="str">
        <x:v>吉祥寺</x:v>
      </x:c>
      <x:c r="B126" s="18" t="str">
        <x:v>京王電鉄</x:v>
      </x:c>
      <x:c r="C126" s="18" t="str">
        <x:v>private_rail</x:v>
      </x:c>
      <x:c r="D126" s="18" t="str">
        <x:v>T1</x:v>
      </x:c>
      <x:c r="E126" s="19" t="str">
        <x:v>已有官方边界，组件待核</x:v>
      </x:c>
      <x:c r="F126" s="19" t="str">
        <x:v>吉祥寺</x:v>
      </x:c>
      <x:c r="G126" s="18" t="str">
        <x:v>transport-node:43b91901-0bb5-59ec-88f6-00bf35113b76</x:v>
      </x:c>
    </x:row>
    <x:row r="127" ht="28" customHeight="1">
      <x:c r="A127" s="18" t="str">
        <x:v>吉祥寺</x:v>
      </x:c>
      <x:c r="B127" s="18" t="str">
        <x:v>東日本旅客鉄道</x:v>
      </x:c>
      <x:c r="C127" s="18" t="str">
        <x:v>conventional_rail</x:v>
      </x:c>
      <x:c r="D127" s="18" t="str">
        <x:v>T0</x:v>
      </x:c>
      <x:c r="E127" s="19" t="str">
        <x:v>已有官方边界，组件待核</x:v>
      </x:c>
      <x:c r="F127" s="19" t="str">
        <x:v>吉祥寺</x:v>
      </x:c>
      <x:c r="G127" s="18" t="str">
        <x:v>transport-node:720db2fb-ba26-5cd6-b747-f6d3e0a8327f</x:v>
      </x:c>
    </x:row>
    <x:row r="128" ht="28" customHeight="1">
      <x:c r="A128" s="18" t="str">
        <x:v>名古屋</x:v>
      </x:c>
      <x:c r="B128" s="18" t="str">
        <x:v>名古屋市</x:v>
      </x:c>
      <x:c r="C128" s="18" t="str">
        <x:v>metro</x:v>
      </x:c>
      <x:c r="D128" s="18" t="str">
        <x:v>T0</x:v>
      </x:c>
      <x:c r="E128" s="19" t="str">
        <x:v>已有官方边界，组件待核</x:v>
      </x:c>
      <x:c r="F128" s="19" t="str">
        <x:v>名古屋</x:v>
      </x:c>
      <x:c r="G128" s="18" t="str">
        <x:v>transport-node:af99a908-c905-58d1-a529-9028b4d0a10d</x:v>
      </x:c>
    </x:row>
    <x:row r="129" ht="28" customHeight="1">
      <x:c r="A129" s="18" t="str">
        <x:v>名古屋</x:v>
      </x:c>
      <x:c r="B129" s="18" t="str">
        <x:v>東海旅客鉄道</x:v>
      </x:c>
      <x:c r="C129" s="18" t="str">
        <x:v>conventional_rail</x:v>
      </x:c>
      <x:c r="D129" s="18" t="str">
        <x:v>T0</x:v>
      </x:c>
      <x:c r="E129" s="19" t="str">
        <x:v>已有官方边界，组件待核</x:v>
      </x:c>
      <x:c r="F129" s="19" t="str">
        <x:v>名古屋</x:v>
      </x:c>
      <x:c r="G129" s="18" t="str">
        <x:v>transport-node:b1098fbf-9cee-52bd-a880-7052f6131fbb</x:v>
      </x:c>
    </x:row>
    <x:row r="130" ht="28" customHeight="1">
      <x:c r="A130" s="18" t="str">
        <x:v>名鉄名古屋</x:v>
      </x:c>
      <x:c r="B130" s="18" t="str">
        <x:v>名古屋鉄道</x:v>
      </x:c>
      <x:c r="C130" s="18" t="str">
        <x:v>private_rail</x:v>
      </x:c>
      <x:c r="D130" s="18" t="str">
        <x:v>T0</x:v>
      </x:c>
      <x:c r="E130" s="19" t="str">
        <x:v>已有官方边界，组件待核</x:v>
      </x:c>
      <x:c r="F130" s="19" t="str">
        <x:v>名古屋</x:v>
      </x:c>
      <x:c r="G130" s="18" t="str">
        <x:v>transport-node:ba298600-c64a-54e2-a4d1-19d533279f8b</x:v>
      </x:c>
    </x:row>
    <x:row r="131" ht="28" customHeight="1">
      <x:c r="A131" s="18" t="str">
        <x:v>向ヶ丘遊園</x:v>
      </x:c>
      <x:c r="B131" s="18" t="str">
        <x:v>小田急電鉄</x:v>
      </x:c>
      <x:c r="C131" s="18" t="str">
        <x:v>private_rail</x:v>
      </x:c>
      <x:c r="D131" s="18" t="str">
        <x:v>T1</x:v>
      </x:c>
      <x:c r="E131" s="19" t="str">
        <x:v>尚未建立 Hub 审核范围</x:v>
      </x:c>
      <x:c r="F131" s="19" t="str"/>
      <x:c r="G131" s="18" t="str">
        <x:v>transport-node:64b9c03a-0ac2-54a0-93a1-1aa5db6ab047</x:v>
      </x:c>
    </x:row>
    <x:row r="132" ht="28" customHeight="1">
      <x:c r="A132" s="18" t="str">
        <x:v>和光市</x:v>
      </x:c>
      <x:c r="B132" s="18" t="str">
        <x:v>東武鉄道</x:v>
      </x:c>
      <x:c r="C132" s="18" t="str">
        <x:v>private_rail</x:v>
      </x:c>
      <x:c r="D132" s="18" t="str">
        <x:v>T0</x:v>
      </x:c>
      <x:c r="E132" s="19" t="str">
        <x:v>已有官方边界，组件待核</x:v>
      </x:c>
      <x:c r="F132" s="19" t="str">
        <x:v>和光市</x:v>
      </x:c>
      <x:c r="G132" s="18" t="str">
        <x:v>transport-node:bd01bdac-4fe6-58a2-af6b-c31646022b15</x:v>
      </x:c>
    </x:row>
    <x:row r="133" ht="28" customHeight="1">
      <x:c r="A133" s="18" t="str">
        <x:v>品川</x:v>
      </x:c>
      <x:c r="B133" s="18" t="str">
        <x:v>京浜急行電鉄</x:v>
      </x:c>
      <x:c r="C133" s="18" t="str">
        <x:v>private_rail</x:v>
      </x:c>
      <x:c r="D133" s="18" t="str">
        <x:v>T0</x:v>
      </x:c>
      <x:c r="E133" s="19" t="str">
        <x:v>已有官方边界，组件待核</x:v>
      </x:c>
      <x:c r="F133" s="19" t="str">
        <x:v>品川</x:v>
      </x:c>
      <x:c r="G133" s="18" t="str">
        <x:v>transport-node:d82e7388-8510-589b-bdfe-dadbcb8e2e7f</x:v>
      </x:c>
    </x:row>
    <x:row r="134" ht="28" customHeight="1">
      <x:c r="A134" s="18" t="str">
        <x:v>品川</x:v>
      </x:c>
      <x:c r="B134" s="18" t="str">
        <x:v>東日本旅客鉄道</x:v>
      </x:c>
      <x:c r="C134" s="18" t="str">
        <x:v>conventional_rail</x:v>
      </x:c>
      <x:c r="D134" s="18" t="str">
        <x:v>T0</x:v>
      </x:c>
      <x:c r="E134" s="19" t="str">
        <x:v>已有官方边界，组件待核</x:v>
      </x:c>
      <x:c r="F134" s="19" t="str">
        <x:v>品川</x:v>
      </x:c>
      <x:c r="G134" s="18" t="str">
        <x:v>transport-node:95fe3463-50f3-543c-975f-9b81c5ef9522</x:v>
      </x:c>
    </x:row>
    <x:row r="135" ht="28" customHeight="1">
      <x:c r="A135" s="18" t="str">
        <x:v>品川</x:v>
      </x:c>
      <x:c r="B135" s="18" t="str">
        <x:v>東海旅客鉄道</x:v>
      </x:c>
      <x:c r="C135" s="18" t="str">
        <x:v>shinkansen</x:v>
      </x:c>
      <x:c r="D135" s="18" t="str">
        <x:v>T1</x:v>
      </x:c>
      <x:c r="E135" s="19" t="str">
        <x:v>已有官方边界，组件待核</x:v>
      </x:c>
      <x:c r="F135" s="19" t="str">
        <x:v>品川</x:v>
      </x:c>
      <x:c r="G135" s="18" t="str">
        <x:v>transport-node:4389b278-793b-5b40-81c9-642cb58c1d93</x:v>
      </x:c>
    </x:row>
    <x:row r="136" ht="28" customHeight="1">
      <x:c r="A136" s="18" t="str">
        <x:v>四ツ谷</x:v>
      </x:c>
      <x:c r="B136" s="18" t="str">
        <x:v>東京地下鉄</x:v>
      </x:c>
      <x:c r="C136" s="18" t="str">
        <x:v>metro</x:v>
      </x:c>
      <x:c r="D136" s="18" t="str">
        <x:v>T1</x:v>
      </x:c>
      <x:c r="E136" s="19" t="str">
        <x:v>已有官方边界，组件待核</x:v>
      </x:c>
      <x:c r="F136" s="19" t="str">
        <x:v>四ツ谷</x:v>
      </x:c>
      <x:c r="G136" s="18" t="str">
        <x:v>transport-node:60ff71a2-c631-5c22-8f19-e236a2c4f99e</x:v>
      </x:c>
    </x:row>
    <x:row r="137" ht="28" customHeight="1">
      <x:c r="A137" s="18" t="str">
        <x:v>四ツ谷</x:v>
      </x:c>
      <x:c r="B137" s="18" t="str">
        <x:v>東日本旅客鉄道</x:v>
      </x:c>
      <x:c r="C137" s="18" t="str">
        <x:v>conventional_rail</x:v>
      </x:c>
      <x:c r="D137" s="18" t="str">
        <x:v>T1</x:v>
      </x:c>
      <x:c r="E137" s="19" t="str">
        <x:v>已有官方边界，组件待核</x:v>
      </x:c>
      <x:c r="F137" s="19" t="str">
        <x:v>四ツ谷</x:v>
      </x:c>
      <x:c r="G137" s="18" t="str">
        <x:v>transport-node:8f1662d9-edda-5742-b65c-0b26594e906e</x:v>
      </x:c>
    </x:row>
    <x:row r="138" ht="28" customHeight="1">
      <x:c r="A138" s="18" t="str">
        <x:v>四条</x:v>
      </x:c>
      <x:c r="B138" s="18" t="str">
        <x:v>京都市</x:v>
      </x:c>
      <x:c r="C138" s="18" t="str">
        <x:v>metro</x:v>
      </x:c>
      <x:c r="D138" s="18" t="str">
        <x:v>T1</x:v>
      </x:c>
      <x:c r="E138" s="19" t="str">
        <x:v>已有官方边界，组件待核</x:v>
      </x:c>
      <x:c r="F138" s="19" t="str">
        <x:v>烏丸・四条</x:v>
      </x:c>
      <x:c r="G138" s="18" t="str">
        <x:v>transport-node:87c3c818-c300-5e3f-9096-ba9a267fd857</x:v>
      </x:c>
    </x:row>
    <x:row r="139" ht="28" customHeight="1">
      <x:c r="A139" s="18" t="str">
        <x:v>国分寺</x:v>
      </x:c>
      <x:c r="B139" s="18" t="str">
        <x:v>東日本旅客鉄道</x:v>
      </x:c>
      <x:c r="C139" s="18" t="str">
        <x:v>conventional_rail</x:v>
      </x:c>
      <x:c r="D139" s="18" t="str">
        <x:v>T0</x:v>
      </x:c>
      <x:c r="E139" s="19" t="str">
        <x:v>已有官方边界，组件待核</x:v>
      </x:c>
      <x:c r="F139" s="19" t="str">
        <x:v>国分寺</x:v>
      </x:c>
      <x:c r="G139" s="18" t="str">
        <x:v>transport-node:70d8d9e4-c60f-5fb7-b80f-cc5d3fcdca57</x:v>
      </x:c>
    </x:row>
    <x:row r="140" ht="28" customHeight="1">
      <x:c r="A140" s="18" t="str">
        <x:v>国分寺</x:v>
      </x:c>
      <x:c r="B140" s="18" t="str">
        <x:v>西武鉄道</x:v>
      </x:c>
      <x:c r="C140" s="18" t="str">
        <x:v>private_rail</x:v>
      </x:c>
      <x:c r="D140" s="18" t="str">
        <x:v>T1</x:v>
      </x:c>
      <x:c r="E140" s="19" t="str">
        <x:v>已有官方边界，组件待核</x:v>
      </x:c>
      <x:c r="F140" s="19" t="str">
        <x:v>国分寺</x:v>
      </x:c>
      <x:c r="G140" s="18" t="str">
        <x:v>transport-node:3e687503-3bbc-5c40-b0e1-872938aae52e</x:v>
      </x:c>
    </x:row>
    <x:row r="141" ht="28" customHeight="1">
      <x:c r="A141" s="18" t="str">
        <x:v>国立</x:v>
      </x:c>
      <x:c r="B141" s="18" t="str">
        <x:v>東日本旅客鉄道</x:v>
      </x:c>
      <x:c r="C141" s="18" t="str">
        <x:v>conventional_rail</x:v>
      </x:c>
      <x:c r="D141" s="18" t="str">
        <x:v>T1</x:v>
      </x:c>
      <x:c r="E141" s="19" t="str">
        <x:v>尚未建立 Hub 审核范围</x:v>
      </x:c>
      <x:c r="F141" s="19" t="str"/>
      <x:c r="G141" s="18" t="str">
        <x:v>transport-node:b62ffaf7-aa60-59e3-a823-f97a2e867949</x:v>
      </x:c>
    </x:row>
    <x:row r="142" ht="28" customHeight="1">
      <x:c r="A142" s="18" t="str">
        <x:v>国際展示場</x:v>
      </x:c>
      <x:c r="B142" s="18" t="str">
        <x:v>東京臨海高速鉄道</x:v>
      </x:c>
      <x:c r="C142" s="18" t="str">
        <x:v>private_rail</x:v>
      </x:c>
      <x:c r="D142" s="18" t="str">
        <x:v>T1</x:v>
      </x:c>
      <x:c r="E142" s="19" t="str">
        <x:v>尚未建立 Hub 审核范围</x:v>
      </x:c>
      <x:c r="F142" s="19" t="str"/>
      <x:c r="G142" s="18" t="str">
        <x:v>transport-node:308d1f22-653a-5549-8ed9-4424f6f14cf9</x:v>
      </x:c>
    </x:row>
    <x:row r="143" ht="28" customHeight="1">
      <x:c r="A143" s="18" t="str">
        <x:v>地下鉄成増</x:v>
      </x:c>
      <x:c r="B143" s="18" t="str">
        <x:v>東京地下鉄</x:v>
      </x:c>
      <x:c r="C143" s="18" t="str">
        <x:v>metro</x:v>
      </x:c>
      <x:c r="D143" s="18" t="str">
        <x:v>T1</x:v>
      </x:c>
      <x:c r="E143" s="19" t="str">
        <x:v>尚未建立 Hub 审核范围</x:v>
      </x:c>
      <x:c r="F143" s="19" t="str"/>
      <x:c r="G143" s="18" t="str">
        <x:v>transport-node:f12cdaa4-0426-586b-9cfd-e784f1c0a5d0</x:v>
      </x:c>
    </x:row>
    <x:row r="144" ht="28" customHeight="1">
      <x:c r="A144" s="18" t="str">
        <x:v>垂水</x:v>
      </x:c>
      <x:c r="B144" s="18" t="str">
        <x:v>西日本旅客鉄道</x:v>
      </x:c>
      <x:c r="C144" s="18" t="str">
        <x:v>conventional_rail</x:v>
      </x:c>
      <x:c r="D144" s="18" t="str">
        <x:v>T1</x:v>
      </x:c>
      <x:c r="E144" s="19" t="str">
        <x:v>尚未建立 Hub 审核范围</x:v>
      </x:c>
      <x:c r="F144" s="19" t="str"/>
      <x:c r="G144" s="18" t="str">
        <x:v>transport-node:4e210535-4240-5ba7-9526-74bc26ee6b4f</x:v>
      </x:c>
    </x:row>
    <x:row r="145" ht="28" customHeight="1">
      <x:c r="A145" s="18" t="str">
        <x:v>堺東</x:v>
      </x:c>
      <x:c r="B145" s="18" t="str">
        <x:v>南海電気鉄道</x:v>
      </x:c>
      <x:c r="C145" s="18" t="str">
        <x:v>private_rail</x:v>
      </x:c>
      <x:c r="D145" s="18" t="str">
        <x:v>T1</x:v>
      </x:c>
      <x:c r="E145" s="19" t="str">
        <x:v>尚未建立 Hub 审核范围</x:v>
      </x:c>
      <x:c r="F145" s="19" t="str"/>
      <x:c r="G145" s="18" t="str">
        <x:v>transport-node:c42fa712-4d73-5fe1-9f93-df28a3559a9b</x:v>
      </x:c>
    </x:row>
    <x:row r="146" ht="28" customHeight="1">
      <x:c r="A146" s="18" t="str">
        <x:v>堺筋本町</x:v>
      </x:c>
      <x:c r="B146" s="18" t="str">
        <x:v>大阪市高速電気軌道</x:v>
      </x:c>
      <x:c r="C146" s="18" t="str">
        <x:v>metro</x:v>
      </x:c>
      <x:c r="D146" s="18" t="str">
        <x:v>T1</x:v>
      </x:c>
      <x:c r="E146" s="19" t="str">
        <x:v>已有官方边界，组件待核</x:v>
      </x:c>
      <x:c r="F146" s="19" t="str">
        <x:v>堺筋本町</x:v>
      </x:c>
      <x:c r="G146" s="18" t="str">
        <x:v>transport-node:d0dde335-038a-54d5-aff4-8d657b3beaca</x:v>
      </x:c>
    </x:row>
    <x:row r="147" ht="28" customHeight="1">
      <x:c r="A147" s="18" t="str">
        <x:v>外苑前</x:v>
      </x:c>
      <x:c r="B147" s="18" t="str">
        <x:v>東京地下鉄</x:v>
      </x:c>
      <x:c r="C147" s="18" t="str">
        <x:v>metro</x:v>
      </x:c>
      <x:c r="D147" s="18" t="str">
        <x:v>T1</x:v>
      </x:c>
      <x:c r="E147" s="19" t="str">
        <x:v>尚未建立 Hub 审核范围</x:v>
      </x:c>
      <x:c r="F147" s="19" t="str"/>
      <x:c r="G147" s="18" t="str">
        <x:v>transport-node:279e7b53-5532-53be-b4b6-ac7590c434b5</x:v>
      </x:c>
    </x:row>
    <x:row r="148" ht="28" customHeight="1">
      <x:c r="A148" s="18" t="str">
        <x:v>大久保</x:v>
      </x:c>
      <x:c r="B148" s="18" t="str">
        <x:v>東日本旅客鉄道</x:v>
      </x:c>
      <x:c r="C148" s="18" t="str">
        <x:v>conventional_rail</x:v>
      </x:c>
      <x:c r="D148" s="18" t="str">
        <x:v>T1</x:v>
      </x:c>
      <x:c r="E148" s="19" t="str">
        <x:v>尚未建立 Hub 审核范围</x:v>
      </x:c>
      <x:c r="F148" s="19" t="str"/>
      <x:c r="G148" s="18" t="str">
        <x:v>transport-node:d36be1aa-09e0-5aee-81c3-96618787021e</x:v>
      </x:c>
    </x:row>
    <x:row r="149" ht="28" customHeight="1">
      <x:c r="A149" s="18" t="str">
        <x:v>大井町</x:v>
      </x:c>
      <x:c r="B149" s="18" t="str">
        <x:v>東京臨海高速鉄道</x:v>
      </x:c>
      <x:c r="C149" s="18" t="str">
        <x:v>private_rail</x:v>
      </x:c>
      <x:c r="D149" s="18" t="str">
        <x:v>T1</x:v>
      </x:c>
      <x:c r="E149" s="19" t="str">
        <x:v>已有官方边界，组件待核</x:v>
      </x:c>
      <x:c r="F149" s="19" t="str">
        <x:v>大井町</x:v>
      </x:c>
      <x:c r="G149" s="18" t="str">
        <x:v>transport-node:6fd8e4ae-23d8-55d1-9bfc-63d273b90e3a</x:v>
      </x:c>
    </x:row>
    <x:row r="150" ht="28" customHeight="1">
      <x:c r="A150" s="18" t="str">
        <x:v>大井町</x:v>
      </x:c>
      <x:c r="B150" s="18" t="str">
        <x:v>東急電鉄</x:v>
      </x:c>
      <x:c r="C150" s="18" t="str">
        <x:v>private_rail</x:v>
      </x:c>
      <x:c r="D150" s="18" t="str">
        <x:v>T1</x:v>
      </x:c>
      <x:c r="E150" s="19" t="str">
        <x:v>已有官方边界，组件待核</x:v>
      </x:c>
      <x:c r="F150" s="19" t="str">
        <x:v>大井町</x:v>
      </x:c>
      <x:c r="G150" s="18" t="str">
        <x:v>transport-node:4a22589b-9ccd-5b7b-8204-89ead51f1509</x:v>
      </x:c>
    </x:row>
    <x:row r="151" ht="28" customHeight="1">
      <x:c r="A151" s="18" t="str">
        <x:v>大井町</x:v>
      </x:c>
      <x:c r="B151" s="18" t="str">
        <x:v>東日本旅客鉄道</x:v>
      </x:c>
      <x:c r="C151" s="18" t="str">
        <x:v>conventional_rail</x:v>
      </x:c>
      <x:c r="D151" s="18" t="str">
        <x:v>T1</x:v>
      </x:c>
      <x:c r="E151" s="19" t="str">
        <x:v>已有官方边界，组件待核</x:v>
      </x:c>
      <x:c r="F151" s="19" t="str">
        <x:v>大井町</x:v>
      </x:c>
      <x:c r="G151" s="18" t="str">
        <x:v>transport-node:c62b5a6f-b990-58a9-976e-4ebee3808fae</x:v>
      </x:c>
    </x:row>
    <x:row r="152" ht="28" customHeight="1">
      <x:c r="A152" s="18" t="str">
        <x:v>大和</x:v>
      </x:c>
      <x:c r="B152" s="18" t="str">
        <x:v>小田急電鉄</x:v>
      </x:c>
      <x:c r="C152" s="18" t="str">
        <x:v>private_rail</x:v>
      </x:c>
      <x:c r="D152" s="18" t="str">
        <x:v>T1</x:v>
      </x:c>
      <x:c r="E152" s="19" t="str">
        <x:v>已有官方边界，组件待核</x:v>
      </x:c>
      <x:c r="F152" s="19" t="str">
        <x:v>大和</x:v>
      </x:c>
      <x:c r="G152" s="18" t="str">
        <x:v>transport-node:e41a956d-a922-5b7b-919c-fa3dfc3fb329</x:v>
      </x:c>
    </x:row>
    <x:row r="153" ht="28" customHeight="1">
      <x:c r="A153" s="18" t="str">
        <x:v>大和</x:v>
      </x:c>
      <x:c r="B153" s="18" t="str">
        <x:v>相模鉄道</x:v>
      </x:c>
      <x:c r="C153" s="18" t="str">
        <x:v>private_rail</x:v>
      </x:c>
      <x:c r="D153" s="18" t="str">
        <x:v>T1</x:v>
      </x:c>
      <x:c r="E153" s="19" t="str">
        <x:v>已有官方边界，组件待核</x:v>
      </x:c>
      <x:c r="F153" s="19" t="str">
        <x:v>大和</x:v>
      </x:c>
      <x:c r="G153" s="18" t="str">
        <x:v>transport-node:c4a75717-16ad-5685-82ec-82a670cfbcd7</x:v>
      </x:c>
    </x:row>
    <x:row r="154" ht="28" customHeight="1">
      <x:c r="A154" s="18" t="str">
        <x:v>大塚</x:v>
      </x:c>
      <x:c r="B154" s="18" t="str">
        <x:v>東日本旅客鉄道</x:v>
      </x:c>
      <x:c r="C154" s="18" t="str">
        <x:v>conventional_rail</x:v>
      </x:c>
      <x:c r="D154" s="18" t="str">
        <x:v>T1</x:v>
      </x:c>
      <x:c r="E154" s="19" t="str">
        <x:v>尚未建立 Hub 审核范围</x:v>
      </x:c>
      <x:c r="F154" s="19" t="str"/>
      <x:c r="G154" s="18" t="str">
        <x:v>transport-node:0403011e-ae38-5b6f-92b3-0fd3abc4de37</x:v>
      </x:c>
    </x:row>
    <x:row r="155" ht="28" customHeight="1">
      <x:c r="A155" s="18" t="str">
        <x:v>大宮</x:v>
      </x:c>
      <x:c r="B155" s="18" t="str">
        <x:v>東日本旅客鉄道</x:v>
      </x:c>
      <x:c r="C155" s="18" t="str">
        <x:v>conventional_rail</x:v>
      </x:c>
      <x:c r="D155" s="18" t="str">
        <x:v>T0</x:v>
      </x:c>
      <x:c r="E155" s="19" t="str">
        <x:v>已有官方边界，组件待核</x:v>
      </x:c>
      <x:c r="F155" s="19" t="str">
        <x:v>大宮</x:v>
      </x:c>
      <x:c r="G155" s="18" t="str">
        <x:v>transport-node:44af7ff3-0250-5814-8203-ab282ae6ac6d</x:v>
      </x:c>
    </x:row>
    <x:row r="156" ht="28" customHeight="1">
      <x:c r="A156" s="18" t="str">
        <x:v>大宮</x:v>
      </x:c>
      <x:c r="B156" s="18" t="str">
        <x:v>東武鉄道</x:v>
      </x:c>
      <x:c r="C156" s="18" t="str">
        <x:v>private_rail</x:v>
      </x:c>
      <x:c r="D156" s="18" t="str">
        <x:v>T1</x:v>
      </x:c>
      <x:c r="E156" s="19" t="str">
        <x:v>已有官方边界，组件待核</x:v>
      </x:c>
      <x:c r="F156" s="19" t="str">
        <x:v>大宮</x:v>
      </x:c>
      <x:c r="G156" s="18" t="str">
        <x:v>transport-node:288ac346-1508-540c-87bd-c56c6cdf6365</x:v>
      </x:c>
    </x:row>
    <x:row r="157" ht="28" customHeight="1">
      <x:c r="A157" s="18" t="str">
        <x:v>大崎</x:v>
      </x:c>
      <x:c r="B157" s="18" t="str">
        <x:v>東日本旅客鉄道</x:v>
      </x:c>
      <x:c r="C157" s="18" t="str">
        <x:v>conventional_rail</x:v>
      </x:c>
      <x:c r="D157" s="18" t="str">
        <x:v>T0</x:v>
      </x:c>
      <x:c r="E157" s="19" t="str">
        <x:v>已有官方边界，组件待核</x:v>
      </x:c>
      <x:c r="F157" s="19" t="str">
        <x:v>大崎</x:v>
      </x:c>
      <x:c r="G157" s="18" t="str">
        <x:v>transport-node:9c7a262f-1953-51f4-a9de-8efb9ff85ab7</x:v>
      </x:c>
    </x:row>
    <x:row r="158" ht="28" customHeight="1">
      <x:c r="A158" s="18" t="str">
        <x:v>大手町</x:v>
      </x:c>
      <x:c r="B158" s="18" t="str">
        <x:v>東京地下鉄</x:v>
      </x:c>
      <x:c r="C158" s="18" t="str">
        <x:v>metro</x:v>
      </x:c>
      <x:c r="D158" s="18" t="str">
        <x:v>T0</x:v>
      </x:c>
      <x:c r="E158" s="19" t="str">
        <x:v>已有官方边界，组件待核</x:v>
      </x:c>
      <x:c r="F158" s="19" t="str">
        <x:v>大手町</x:v>
      </x:c>
      <x:c r="G158" s="18" t="str">
        <x:v>transport-node:9cf00795-9ac1-50c2-8f70-ab4feb875e14</x:v>
      </x:c>
    </x:row>
    <x:row r="159" ht="28" customHeight="1">
      <x:c r="A159" s="18" t="str">
        <x:v>大手町</x:v>
      </x:c>
      <x:c r="B159" s="18" t="str">
        <x:v>東京都</x:v>
      </x:c>
      <x:c r="C159" s="18" t="str">
        <x:v>metro</x:v>
      </x:c>
      <x:c r="D159" s="18" t="str">
        <x:v>T1</x:v>
      </x:c>
      <x:c r="E159" s="19" t="str">
        <x:v>已有官方边界，组件待核</x:v>
      </x:c>
      <x:c r="F159" s="19" t="str">
        <x:v>大手町</x:v>
      </x:c>
      <x:c r="G159" s="18" t="str">
        <x:v>transport-node:516b1319-ceca-5ef9-b232-a2625b324410</x:v>
      </x:c>
    </x:row>
    <x:row r="160" ht="28" customHeight="1">
      <x:c r="A160" s="18" t="str">
        <x:v>大曽根</x:v>
      </x:c>
      <x:c r="B160" s="18" t="str">
        <x:v>東海旅客鉄道</x:v>
      </x:c>
      <x:c r="C160" s="18" t="str">
        <x:v>conventional_rail</x:v>
      </x:c>
      <x:c r="D160" s="18" t="str">
        <x:v>T1</x:v>
      </x:c>
      <x:c r="E160" s="19" t="str">
        <x:v>已有官方边界，组件待核</x:v>
      </x:c>
      <x:c r="F160" s="19" t="str">
        <x:v>大曽根</x:v>
      </x:c>
      <x:c r="G160" s="18" t="str">
        <x:v>transport-node:00756203-3145-5da7-ac4e-32d3600736d7</x:v>
      </x:c>
    </x:row>
    <x:row r="161" ht="28" customHeight="1">
      <x:c r="A161" s="18" t="str">
        <x:v>大森</x:v>
      </x:c>
      <x:c r="B161" s="18" t="str">
        <x:v>東日本旅客鉄道</x:v>
      </x:c>
      <x:c r="C161" s="18" t="str">
        <x:v>conventional_rail</x:v>
      </x:c>
      <x:c r="D161" s="18" t="str">
        <x:v>T1</x:v>
      </x:c>
      <x:c r="E161" s="19" t="str">
        <x:v>尚未建立 Hub 审核范围</x:v>
      </x:c>
      <x:c r="F161" s="19" t="str"/>
      <x:c r="G161" s="18" t="str">
        <x:v>transport-node:1f093a4f-9c95-5681-b3cc-d514ce6a4b34</x:v>
      </x:c>
    </x:row>
    <x:row r="162" ht="28" customHeight="1">
      <x:c r="A162" s="18" t="str">
        <x:v>大泉学園</x:v>
      </x:c>
      <x:c r="B162" s="18" t="str">
        <x:v>西武鉄道</x:v>
      </x:c>
      <x:c r="C162" s="18" t="str">
        <x:v>private_rail</x:v>
      </x:c>
      <x:c r="D162" s="18" t="str">
        <x:v>T1</x:v>
      </x:c>
      <x:c r="E162" s="19" t="str">
        <x:v>尚未建立 Hub 审核范围</x:v>
      </x:c>
      <x:c r="F162" s="19" t="str"/>
      <x:c r="G162" s="18" t="str">
        <x:v>transport-node:cd6e5757-82cb-52ac-bedd-5c7e10a3d3d8</x:v>
      </x:c>
    </x:row>
    <x:row r="163" ht="28" customHeight="1">
      <x:c r="A163" s="18" t="str">
        <x:v>大船</x:v>
      </x:c>
      <x:c r="B163" s="18" t="str">
        <x:v>東日本旅客鉄道</x:v>
      </x:c>
      <x:c r="C163" s="18" t="str">
        <x:v>conventional_rail</x:v>
      </x:c>
      <x:c r="D163" s="18" t="str">
        <x:v>T1</x:v>
      </x:c>
      <x:c r="E163" s="19" t="str">
        <x:v>尚未建立 Hub 审核范围</x:v>
      </x:c>
      <x:c r="F163" s="19" t="str"/>
      <x:c r="G163" s="18" t="str">
        <x:v>transport-node:434a9770-6df0-5681-bfa4-3b22ac1c7a16</x:v>
      </x:c>
    </x:row>
    <x:row r="164" ht="28" customHeight="1">
      <x:c r="A164" s="18" t="str">
        <x:v>大通</x:v>
      </x:c>
      <x:c r="B164" s="18" t="str">
        <x:v>札幌市</x:v>
      </x:c>
      <x:c r="C164" s="18" t="str">
        <x:v>metro</x:v>
      </x:c>
      <x:c r="D164" s="18" t="str">
        <x:v>T1</x:v>
      </x:c>
      <x:c r="E164" s="19" t="str">
        <x:v>已有官方边界，组件待核</x:v>
      </x:c>
      <x:c r="F164" s="19" t="str">
        <x:v>大通</x:v>
      </x:c>
      <x:c r="G164" s="18" t="str">
        <x:v>transport-node:6ba0c297-44c0-593e-96a5-1f0e66588649</x:v>
      </x:c>
    </x:row>
    <x:row r="165" ht="28" customHeight="1">
      <x:c r="A165" s="18" t="str">
        <x:v>大門</x:v>
      </x:c>
      <x:c r="B165" s="18" t="str">
        <x:v>東京都</x:v>
      </x:c>
      <x:c r="C165" s="18" t="str">
        <x:v>metro</x:v>
      </x:c>
      <x:c r="D165" s="18" t="str">
        <x:v>T1</x:v>
      </x:c>
      <x:c r="E165" s="19" t="str">
        <x:v>已有官方边界，组件待核</x:v>
      </x:c>
      <x:c r="F165" s="19" t="str">
        <x:v>浜松町・大門</x:v>
      </x:c>
      <x:c r="G165" s="18" t="str">
        <x:v>transport-node:af50f020-b2f9-534c-8933-5b0951ed814b</x:v>
      </x:c>
    </x:row>
    <x:row r="166" ht="28" customHeight="1">
      <x:c r="A166" s="18" t="str">
        <x:v>大阪</x:v>
      </x:c>
      <x:c r="B166" s="18" t="str">
        <x:v>西日本旅客鉄道</x:v>
      </x:c>
      <x:c r="C166" s="18" t="str">
        <x:v>conventional_rail</x:v>
      </x:c>
      <x:c r="D166" s="18" t="str">
        <x:v>T0</x:v>
      </x:c>
      <x:c r="E166" s="19" t="str">
        <x:v>已有官方边界，组件待核</x:v>
      </x:c>
      <x:c r="F166" s="19" t="str">
        <x:v>大阪・梅田</x:v>
      </x:c>
      <x:c r="G166" s="18" t="str">
        <x:v>transport-node:2ef60e02-6df3-5535-a8a9-8901626a9ee8</x:v>
      </x:c>
    </x:row>
    <x:row r="167" ht="28" customHeight="1">
      <x:c r="A167" s="18" t="str">
        <x:v>大阪上本町</x:v>
      </x:c>
      <x:c r="B167" s="18" t="str">
        <x:v>近畿日本鉄道</x:v>
      </x:c>
      <x:c r="C167" s="18" t="str">
        <x:v>private_rail</x:v>
      </x:c>
      <x:c r="D167" s="18" t="str">
        <x:v>T1</x:v>
      </x:c>
      <x:c r="E167" s="19" t="str">
        <x:v>已有官方边界，组件待核</x:v>
      </x:c>
      <x:c r="F167" s="19" t="str">
        <x:v>谷町九丁目・大阪上本町</x:v>
      </x:c>
      <x:c r="G167" s="18" t="str">
        <x:v>transport-node:3ceea07b-e2dc-5c9a-8d24-5d0069ceeb29</x:v>
      </x:c>
    </x:row>
    <x:row r="168" ht="28" customHeight="1">
      <x:c r="A168" s="18" t="str">
        <x:v>大阪梅田</x:v>
      </x:c>
      <x:c r="B168" s="18" t="str">
        <x:v>阪急電鉄</x:v>
      </x:c>
      <x:c r="C168" s="18" t="str">
        <x:v>private_rail</x:v>
      </x:c>
      <x:c r="D168" s="18" t="str">
        <x:v>T0</x:v>
      </x:c>
      <x:c r="E168" s="19" t="str">
        <x:v>已有官方边界，组件待核</x:v>
      </x:c>
      <x:c r="F168" s="19" t="str">
        <x:v>大阪・梅田</x:v>
      </x:c>
      <x:c r="G168" s="18" t="str">
        <x:v>transport-node:fad63bab-da5f-5325-b971-54089055836a</x:v>
      </x:c>
    </x:row>
    <x:row r="169" ht="28" customHeight="1">
      <x:c r="A169" s="18" t="str">
        <x:v>大阪梅田</x:v>
      </x:c>
      <x:c r="B169" s="18" t="str">
        <x:v>阪神電気鉄道</x:v>
      </x:c>
      <x:c r="C169" s="18" t="str">
        <x:v>private_rail</x:v>
      </x:c>
      <x:c r="D169" s="18" t="str">
        <x:v>T1</x:v>
      </x:c>
      <x:c r="E169" s="19" t="str">
        <x:v>已有官方边界，组件待核</x:v>
      </x:c>
      <x:c r="F169" s="19" t="str">
        <x:v>大阪・梅田</x:v>
      </x:c>
      <x:c r="G169" s="18" t="str">
        <x:v>transport-node:69a04810-484b-5ecd-ae0b-d4d18eaec452</x:v>
      </x:c>
    </x:row>
    <x:row r="170" ht="28" customHeight="1">
      <x:c r="A170" s="18" t="str">
        <x:v>大阪阿部野橋</x:v>
      </x:c>
      <x:c r="B170" s="18" t="str">
        <x:v>近畿日本鉄道</x:v>
      </x:c>
      <x:c r="C170" s="18" t="str">
        <x:v>private_rail</x:v>
      </x:c>
      <x:c r="D170" s="18" t="str">
        <x:v>T1</x:v>
      </x:c>
      <x:c r="E170" s="19" t="str">
        <x:v>已有官方边界，组件待核</x:v>
      </x:c>
      <x:c r="F170" s="19" t="str">
        <x:v>天王寺・大阪阿部野橋</x:v>
      </x:c>
      <x:c r="G170" s="18" t="str">
        <x:v>transport-node:787d9e24-83b6-57ed-9786-3c348003b214</x:v>
      </x:c>
    </x:row>
    <x:row r="171" ht="28" customHeight="1">
      <x:c r="A171" s="18" t="str">
        <x:v>大阪難波</x:v>
      </x:c>
      <x:c r="B171" s="18" t="str">
        <x:v>近畿日本鉄道</x:v>
      </x:c>
      <x:c r="C171" s="18" t="str">
        <x:v>private_rail</x:v>
      </x:c>
      <x:c r="D171" s="18" t="str">
        <x:v>T1</x:v>
      </x:c>
      <x:c r="E171" s="19" t="str">
        <x:v>已有官方边界，组件待核</x:v>
      </x:c>
      <x:c r="F171" s="19" t="str">
        <x:v>なんば・大阪難波</x:v>
      </x:c>
      <x:c r="G171" s="18" t="str">
        <x:v>transport-node:bb2bc91d-43c7-5d54-9ce0-8f8a5945f670</x:v>
      </x:c>
    </x:row>
    <x:row r="172" ht="28" customHeight="1">
      <x:c r="A172" s="18" t="str">
        <x:v>天下茶屋</x:v>
      </x:c>
      <x:c r="B172" s="18" t="str">
        <x:v>南海電気鉄道</x:v>
      </x:c>
      <x:c r="C172" s="18" t="str">
        <x:v>private_rail</x:v>
      </x:c>
      <x:c r="D172" s="18" t="str">
        <x:v>T1</x:v>
      </x:c>
      <x:c r="E172" s="19" t="str">
        <x:v>已有官方边界，组件待核</x:v>
      </x:c>
      <x:c r="F172" s="19" t="str">
        <x:v>天下茶屋</x:v>
      </x:c>
      <x:c r="G172" s="18" t="str">
        <x:v>transport-node:29b4a7e7-672e-55cb-b3c8-f0079c981e80</x:v>
      </x:c>
    </x:row>
    <x:row r="173" ht="28" customHeight="1">
      <x:c r="A173" s="18" t="str">
        <x:v>天下茶屋</x:v>
      </x:c>
      <x:c r="B173" s="18" t="str">
        <x:v>大阪市高速電気軌道</x:v>
      </x:c>
      <x:c r="C173" s="18" t="str">
        <x:v>metro</x:v>
      </x:c>
      <x:c r="D173" s="18" t="str">
        <x:v>T1</x:v>
      </x:c>
      <x:c r="E173" s="19" t="str">
        <x:v>已有官方边界，组件待核</x:v>
      </x:c>
      <x:c r="F173" s="19" t="str">
        <x:v>天下茶屋</x:v>
      </x:c>
      <x:c r="G173" s="18" t="str">
        <x:v>transport-node:7c9c73af-6677-59be-b58c-67ce8e9aaf1d</x:v>
      </x:c>
    </x:row>
    <x:row r="174" ht="28" customHeight="1">
      <x:c r="A174" s="18" t="str">
        <x:v>天満</x:v>
      </x:c>
      <x:c r="B174" s="18" t="str">
        <x:v>西日本旅客鉄道</x:v>
      </x:c>
      <x:c r="C174" s="18" t="str">
        <x:v>conventional_rail</x:v>
      </x:c>
      <x:c r="D174" s="18" t="str">
        <x:v>T1</x:v>
      </x:c>
      <x:c r="E174" s="19" t="str">
        <x:v>已有官方边界，组件待核</x:v>
      </x:c>
      <x:c r="F174" s="19" t="str">
        <x:v>扇町・天満</x:v>
      </x:c>
      <x:c r="G174" s="18" t="str">
        <x:v>transport-node:ebce482c-c88f-5063-82e3-d04d40b88539</x:v>
      </x:c>
    </x:row>
    <x:row r="175" ht="28" customHeight="1">
      <x:c r="A175" s="18" t="str">
        <x:v>天満橋</x:v>
      </x:c>
      <x:c r="B175" s="18" t="str">
        <x:v>大阪市高速電気軌道</x:v>
      </x:c>
      <x:c r="C175" s="18" t="str">
        <x:v>metro</x:v>
      </x:c>
      <x:c r="D175" s="18" t="str">
        <x:v>T1</x:v>
      </x:c>
      <x:c r="E175" s="19" t="str">
        <x:v>已有官方边界，组件待核</x:v>
      </x:c>
      <x:c r="F175" s="19" t="str">
        <x:v>天満橋</x:v>
      </x:c>
      <x:c r="G175" s="18" t="str">
        <x:v>transport-node:8fc5c26f-197c-5c8d-99c2-37efb118ef32</x:v>
      </x:c>
    </x:row>
    <x:row r="176" ht="28" customHeight="1">
      <x:c r="A176" s="18" t="str">
        <x:v>天王寺</x:v>
      </x:c>
      <x:c r="B176" s="18" t="str">
        <x:v>大阪市高速電気軌道</x:v>
      </x:c>
      <x:c r="C176" s="18" t="str">
        <x:v>metro</x:v>
      </x:c>
      <x:c r="D176" s="18" t="str">
        <x:v>T0</x:v>
      </x:c>
      <x:c r="E176" s="19" t="str">
        <x:v>已有官方边界，组件待核</x:v>
      </x:c>
      <x:c r="F176" s="19" t="str">
        <x:v>天王寺・大阪阿部野橋</x:v>
      </x:c>
      <x:c r="G176" s="18" t="str">
        <x:v>transport-node:7a9f1457-29c3-5ec1-b589-0462bf30082e</x:v>
      </x:c>
    </x:row>
    <x:row r="177" ht="28" customHeight="1">
      <x:c r="A177" s="18" t="str">
        <x:v>天王寺</x:v>
      </x:c>
      <x:c r="B177" s="18" t="str">
        <x:v>西日本旅客鉄道</x:v>
      </x:c>
      <x:c r="C177" s="18" t="str">
        <x:v>conventional_rail</x:v>
      </x:c>
      <x:c r="D177" s="18" t="str">
        <x:v>T0</x:v>
      </x:c>
      <x:c r="E177" s="19" t="str">
        <x:v>已有官方边界，组件待核</x:v>
      </x:c>
      <x:c r="F177" s="19" t="str">
        <x:v>天王寺・大阪阿部野橋</x:v>
      </x:c>
      <x:c r="G177" s="18" t="str">
        <x:v>transport-node:93a2ea5b-722d-5fd4-8985-1158da78962a</x:v>
      </x:c>
    </x:row>
    <x:row r="178" ht="28" customHeight="1">
      <x:c r="A178" s="18" t="str">
        <x:v>天神</x:v>
      </x:c>
      <x:c r="B178" s="18" t="str">
        <x:v>福岡市</x:v>
      </x:c>
      <x:c r="C178" s="18" t="str">
        <x:v>metro</x:v>
      </x:c>
      <x:c r="D178" s="18" t="str">
        <x:v>T1</x:v>
      </x:c>
      <x:c r="E178" s="19" t="str">
        <x:v>已有官方边界，组件待核</x:v>
      </x:c>
      <x:c r="F178" s="19" t="str">
        <x:v>天神・西鉄福岡・天神南</x:v>
      </x:c>
      <x:c r="G178" s="18" t="str">
        <x:v>transport-node:35f0fe15-dedc-585a-bb06-c3c2cbf2a853</x:v>
      </x:c>
    </x:row>
    <x:row r="179" ht="28" customHeight="1">
      <x:c r="A179" s="18" t="str">
        <x:v>妙典</x:v>
      </x:c>
      <x:c r="B179" s="18" t="str">
        <x:v>東京地下鉄</x:v>
      </x:c>
      <x:c r="C179" s="18" t="str">
        <x:v>metro</x:v>
      </x:c>
      <x:c r="D179" s="18" t="str">
        <x:v>T1</x:v>
      </x:c>
      <x:c r="E179" s="19" t="str">
        <x:v>尚未建立 Hub 审核范围</x:v>
      </x:c>
      <x:c r="F179" s="19" t="str"/>
      <x:c r="G179" s="18" t="str">
        <x:v>transport-node:28a218a0-4388-587d-a21d-f6919e1fcc06</x:v>
      </x:c>
    </x:row>
    <x:row r="180" ht="28" customHeight="1">
      <x:c r="A180" s="18" t="str">
        <x:v>姪浜</x:v>
      </x:c>
      <x:c r="B180" s="18" t="str">
        <x:v>福岡市</x:v>
      </x:c>
      <x:c r="C180" s="18" t="str">
        <x:v>metro</x:v>
      </x:c>
      <x:c r="D180" s="18" t="str">
        <x:v>T1</x:v>
      </x:c>
      <x:c r="E180" s="19" t="str">
        <x:v>已有官方边界，组件待核</x:v>
      </x:c>
      <x:c r="F180" s="19" t="str">
        <x:v>姪浜</x:v>
      </x:c>
      <x:c r="G180" s="18" t="str">
        <x:v>transport-node:a7180949-b1e6-5fd3-a49f-dfe45ea691a8</x:v>
      </x:c>
    </x:row>
    <x:row r="181" ht="28" customHeight="1">
      <x:c r="A181" s="18" t="str">
        <x:v>姫路</x:v>
      </x:c>
      <x:c r="B181" s="18" t="str">
        <x:v>西日本旅客鉄道</x:v>
      </x:c>
      <x:c r="C181" s="18" t="str">
        <x:v>conventional_rail</x:v>
      </x:c>
      <x:c r="D181" s="18" t="str">
        <x:v>T1</x:v>
      </x:c>
      <x:c r="E181" s="19" t="str">
        <x:v>尚未建立 Hub 审核范围</x:v>
      </x:c>
      <x:c r="F181" s="19" t="str"/>
      <x:c r="G181" s="18" t="str">
        <x:v>transport-node:4b9e1404-d9ae-533d-a302-305e0ff223a1</x:v>
      </x:c>
    </x:row>
    <x:row r="182" ht="28" customHeight="1">
      <x:c r="A182" s="18" t="str">
        <x:v>学芸大学</x:v>
      </x:c>
      <x:c r="B182" s="18" t="str">
        <x:v>東急電鉄</x:v>
      </x:c>
      <x:c r="C182" s="18" t="str">
        <x:v>private_rail</x:v>
      </x:c>
      <x:c r="D182" s="18" t="str">
        <x:v>T1</x:v>
      </x:c>
      <x:c r="E182" s="19" t="str">
        <x:v>尚未建立 Hub 审核范围</x:v>
      </x:c>
      <x:c r="F182" s="19" t="str"/>
      <x:c r="G182" s="18" t="str">
        <x:v>transport-node:cfbe78eb-cd46-52b3-92a7-13a676429c18</x:v>
      </x:c>
    </x:row>
    <x:row r="183" ht="28" customHeight="1">
      <x:c r="A183" s="18" t="str">
        <x:v>宇都宮</x:v>
      </x:c>
      <x:c r="B183" s="18" t="str">
        <x:v>東日本旅客鉄道</x:v>
      </x:c>
      <x:c r="C183" s="18" t="str">
        <x:v>conventional_rail</x:v>
      </x:c>
      <x:c r="D183" s="18" t="str">
        <x:v>T1</x:v>
      </x:c>
      <x:c r="E183" s="19" t="str">
        <x:v>尚未建立 Hub 审核范围</x:v>
      </x:c>
      <x:c r="F183" s="19" t="str"/>
      <x:c r="G183" s="18" t="str">
        <x:v>transport-node:674ab067-935a-5100-a6a2-32fbfebc14fa</x:v>
      </x:c>
    </x:row>
    <x:row r="184" ht="28" customHeight="1">
      <x:c r="A184" s="18" t="str">
        <x:v>小倉</x:v>
      </x:c>
      <x:c r="B184" s="18" t="str">
        <x:v>九州旅客鉄道</x:v>
      </x:c>
      <x:c r="C184" s="18" t="str">
        <x:v>conventional_rail</x:v>
      </x:c>
      <x:c r="D184" s="18" t="str">
        <x:v>T1</x:v>
      </x:c>
      <x:c r="E184" s="19" t="str">
        <x:v>已有官方边界，组件待核</x:v>
      </x:c>
      <x:c r="F184" s="19" t="str">
        <x:v>小倉</x:v>
      </x:c>
      <x:c r="G184" s="18" t="str">
        <x:v>transport-node:fb6211fc-af06-508d-95e3-d48873380d2c</x:v>
      </x:c>
    </x:row>
    <x:row r="185" ht="28" customHeight="1">
      <x:c r="A185" s="18" t="str">
        <x:v>小岩</x:v>
      </x:c>
      <x:c r="B185" s="18" t="str">
        <x:v>東日本旅客鉄道</x:v>
      </x:c>
      <x:c r="C185" s="18" t="str">
        <x:v>conventional_rail</x:v>
      </x:c>
      <x:c r="D185" s="18" t="str">
        <x:v>T1</x:v>
      </x:c>
      <x:c r="E185" s="19" t="str">
        <x:v>尚未建立 Hub 审核范围</x:v>
      </x:c>
      <x:c r="F185" s="19" t="str"/>
      <x:c r="G185" s="18" t="str">
        <x:v>transport-node:84d62ce8-11cb-5de6-8fa8-6ec546ad4c7e</x:v>
      </x:c>
    </x:row>
    <x:row r="186" ht="28" customHeight="1">
      <x:c r="A186" s="18" t="str">
        <x:v>小田原</x:v>
      </x:c>
      <x:c r="B186" s="18" t="str">
        <x:v>小田急電鉄</x:v>
      </x:c>
      <x:c r="C186" s="18" t="str">
        <x:v>private_rail</x:v>
      </x:c>
      <x:c r="D186" s="18" t="str">
        <x:v>T1</x:v>
      </x:c>
      <x:c r="E186" s="19" t="str">
        <x:v>尚未建立 Hub 审核范围</x:v>
      </x:c>
      <x:c r="F186" s="19" t="str"/>
      <x:c r="G186" s="18" t="str">
        <x:v>transport-node:3b0eea9d-0501-53eb-b14a-c311953137b7</x:v>
      </x:c>
    </x:row>
    <x:row r="187" ht="28" customHeight="1">
      <x:c r="A187" s="18" t="str">
        <x:v>小田原</x:v>
      </x:c>
      <x:c r="B187" s="18" t="str">
        <x:v>東日本旅客鉄道</x:v>
      </x:c>
      <x:c r="C187" s="18" t="str">
        <x:v>conventional_rail</x:v>
      </x:c>
      <x:c r="D187" s="18" t="str">
        <x:v>T1</x:v>
      </x:c>
      <x:c r="E187" s="19" t="str">
        <x:v>尚未建立 Hub 审核范围</x:v>
      </x:c>
      <x:c r="F187" s="19" t="str"/>
      <x:c r="G187" s="18" t="str">
        <x:v>transport-node:a0c2ffc9-a29a-51cb-aa2a-7079e8fbb645</x:v>
      </x:c>
    </x:row>
    <x:row r="188" ht="28" customHeight="1">
      <x:c r="A188" s="18" t="str">
        <x:v>小田急相模原</x:v>
      </x:c>
      <x:c r="B188" s="18" t="str">
        <x:v>小田急電鉄</x:v>
      </x:c>
      <x:c r="C188" s="18" t="str">
        <x:v>private_rail</x:v>
      </x:c>
      <x:c r="D188" s="18" t="str">
        <x:v>T1</x:v>
      </x:c>
      <x:c r="E188" s="19" t="str">
        <x:v>尚未建立 Hub 审核范围</x:v>
      </x:c>
      <x:c r="F188" s="19" t="str"/>
      <x:c r="G188" s="18" t="str">
        <x:v>transport-node:d6fbb3df-8968-5e9d-8133-d6509652d6fc</x:v>
      </x:c>
    </x:row>
    <x:row r="189" ht="28" customHeight="1">
      <x:c r="A189" s="18" t="str">
        <x:v>小竹向原</x:v>
      </x:c>
      <x:c r="B189" s="18" t="str">
        <x:v>東京地下鉄</x:v>
      </x:c>
      <x:c r="C189" s="18" t="str">
        <x:v>metro</x:v>
      </x:c>
      <x:c r="D189" s="18" t="str">
        <x:v>T0</x:v>
      </x:c>
      <x:c r="E189" s="19" t="str">
        <x:v>已有官方边界，组件待核</x:v>
      </x:c>
      <x:c r="F189" s="19" t="str">
        <x:v>小竹向原</x:v>
      </x:c>
      <x:c r="G189" s="18" t="str">
        <x:v>transport-node:4e298810-7cd9-5fce-936e-7e17f4b7f89b</x:v>
      </x:c>
    </x:row>
    <x:row r="190" ht="28" customHeight="1">
      <x:c r="A190" s="18" t="str">
        <x:v>尼崎</x:v>
      </x:c>
      <x:c r="B190" s="18" t="str">
        <x:v>西日本旅客鉄道</x:v>
      </x:c>
      <x:c r="C190" s="18" t="str">
        <x:v>conventional_rail</x:v>
      </x:c>
      <x:c r="D190" s="18" t="str">
        <x:v>T1</x:v>
      </x:c>
      <x:c r="E190" s="19" t="str">
        <x:v>尚未建立 Hub 审核范围</x:v>
      </x:c>
      <x:c r="F190" s="19" t="str"/>
      <x:c r="G190" s="18" t="str">
        <x:v>transport-node:2055a55a-71bc-59cf-a523-d8de7713d97c</x:v>
      </x:c>
    </x:row>
    <x:row r="191" ht="28" customHeight="1">
      <x:c r="A191" s="18" t="str">
        <x:v>尼崎</x:v>
      </x:c>
      <x:c r="B191" s="18" t="str">
        <x:v>阪神電気鉄道</x:v>
      </x:c>
      <x:c r="C191" s="18" t="str">
        <x:v>private_rail</x:v>
      </x:c>
      <x:c r="D191" s="18" t="str">
        <x:v>T1</x:v>
      </x:c>
      <x:c r="E191" s="19" t="str">
        <x:v>尚未建立 Hub 审核范围</x:v>
      </x:c>
      <x:c r="F191" s="19" t="str"/>
      <x:c r="G191" s="18" t="str">
        <x:v>transport-node:36f19c97-3e7f-5be5-b5c4-64f6d13a8739</x:v>
      </x:c>
    </x:row>
    <x:row r="192" ht="28" customHeight="1">
      <x:c r="A192" s="18" t="str">
        <x:v>尾張一宮</x:v>
      </x:c>
      <x:c r="B192" s="18" t="str">
        <x:v>東海旅客鉄道</x:v>
      </x:c>
      <x:c r="C192" s="18" t="str">
        <x:v>conventional_rail</x:v>
      </x:c>
      <x:c r="D192" s="18" t="str">
        <x:v>T1</x:v>
      </x:c>
      <x:c r="E192" s="19" t="str">
        <x:v>已有官方边界，组件待核</x:v>
      </x:c>
      <x:c r="F192" s="19" t="str">
        <x:v>尾張一宮・名鉄一宮</x:v>
      </x:c>
      <x:c r="G192" s="18" t="str">
        <x:v>transport-node:903bed75-d948-5da2-9e0d-fdaa84122275</x:v>
      </x:c>
    </x:row>
    <x:row r="193" ht="28" customHeight="1">
      <x:c r="A193" s="18" t="str">
        <x:v>山科</x:v>
      </x:c>
      <x:c r="B193" s="18" t="str">
        <x:v>西日本旅客鉄道</x:v>
      </x:c>
      <x:c r="C193" s="18" t="str">
        <x:v>conventional_rail</x:v>
      </x:c>
      <x:c r="D193" s="18" t="str">
        <x:v>T1</x:v>
      </x:c>
      <x:c r="E193" s="19" t="str">
        <x:v>尚未建立 Hub 审核范围</x:v>
      </x:c>
      <x:c r="F193" s="19" t="str"/>
      <x:c r="G193" s="18" t="str">
        <x:v>transport-node:c3505e6d-bd32-5070-885a-de95e6f96d25</x:v>
      </x:c>
    </x:row>
    <x:row r="194" ht="28" customHeight="1">
      <x:c r="A194" s="18" t="str">
        <x:v>岐阜</x:v>
      </x:c>
      <x:c r="B194" s="18" t="str">
        <x:v>東海旅客鉄道</x:v>
      </x:c>
      <x:c r="C194" s="18" t="str">
        <x:v>conventional_rail</x:v>
      </x:c>
      <x:c r="D194" s="18" t="str">
        <x:v>T1</x:v>
      </x:c>
      <x:c r="E194" s="19" t="str">
        <x:v>尚未建立 Hub 审核范围</x:v>
      </x:c>
      <x:c r="F194" s="19" t="str"/>
      <x:c r="G194" s="18" t="str">
        <x:v>transport-node:1b5bed43-c5cd-512f-aec2-bf57634c09f0</x:v>
      </x:c>
    </x:row>
    <x:row r="195" ht="28" customHeight="1">
      <x:c r="A195" s="18" t="str">
        <x:v>岡山</x:v>
      </x:c>
      <x:c r="B195" s="18" t="str">
        <x:v>西日本旅客鉄道</x:v>
      </x:c>
      <x:c r="C195" s="18" t="str">
        <x:v>conventional_rail</x:v>
      </x:c>
      <x:c r="D195" s="18" t="str">
        <x:v>T1</x:v>
      </x:c>
      <x:c r="E195" s="19" t="str">
        <x:v>尚未建立 Hub 审核范围</x:v>
      </x:c>
      <x:c r="F195" s="19" t="str"/>
      <x:c r="G195" s="18" t="str">
        <x:v>transport-node:87f72998-3d87-5f22-89d7-8a82e77a81ad</x:v>
      </x:c>
    </x:row>
    <x:row r="196" ht="28" customHeight="1">
      <x:c r="A196" s="18" t="str">
        <x:v>川口</x:v>
      </x:c>
      <x:c r="B196" s="18" t="str">
        <x:v>東日本旅客鉄道</x:v>
      </x:c>
      <x:c r="C196" s="18" t="str">
        <x:v>conventional_rail</x:v>
      </x:c>
      <x:c r="D196" s="18" t="str">
        <x:v>T1</x:v>
      </x:c>
      <x:c r="E196" s="19" t="str">
        <x:v>尚未建立 Hub 审核范围</x:v>
      </x:c>
      <x:c r="F196" s="19" t="str"/>
      <x:c r="G196" s="18" t="str">
        <x:v>transport-node:6104894b-22e5-5ede-84ca-fd86d8cbc289</x:v>
      </x:c>
    </x:row>
    <x:row r="197" ht="28" customHeight="1">
      <x:c r="A197" s="18" t="str">
        <x:v>川崎</x:v>
      </x:c>
      <x:c r="B197" s="18" t="str">
        <x:v>東日本旅客鉄道</x:v>
      </x:c>
      <x:c r="C197" s="18" t="str">
        <x:v>conventional_rail</x:v>
      </x:c>
      <x:c r="D197" s="18" t="str">
        <x:v>T0</x:v>
      </x:c>
      <x:c r="E197" s="19" t="str">
        <x:v>已有官方边界，组件待核</x:v>
      </x:c>
      <x:c r="F197" s="19" t="str">
        <x:v>川崎</x:v>
      </x:c>
      <x:c r="G197" s="18" t="str">
        <x:v>transport-node:ff0ff442-2faa-5485-936f-1e348b925594</x:v>
      </x:c>
    </x:row>
    <x:row r="198" ht="28" customHeight="1">
      <x:c r="A198" s="18" t="str">
        <x:v>川西能勢口</x:v>
      </x:c>
      <x:c r="B198" s="18" t="str">
        <x:v>阪急電鉄</x:v>
      </x:c>
      <x:c r="C198" s="18" t="str">
        <x:v>private_rail</x:v>
      </x:c>
      <x:c r="D198" s="18" t="str">
        <x:v>T1</x:v>
      </x:c>
      <x:c r="E198" s="19" t="str">
        <x:v>尚未建立 Hub 审核范围</x:v>
      </x:c>
      <x:c r="F198" s="19" t="str"/>
      <x:c r="G198" s="18" t="str">
        <x:v>transport-node:134170ea-0739-506e-81e3-47021ef69d53</x:v>
      </x:c>
    </x:row>
    <x:row r="199" ht="28" customHeight="1">
      <x:c r="A199" s="18" t="str">
        <x:v>川越</x:v>
      </x:c>
      <x:c r="B199" s="18" t="str">
        <x:v>東日本旅客鉄道</x:v>
      </x:c>
      <x:c r="C199" s="18" t="str">
        <x:v>conventional_rail</x:v>
      </x:c>
      <x:c r="D199" s="18" t="str">
        <x:v>T1</x:v>
      </x:c>
      <x:c r="E199" s="19" t="str">
        <x:v>已有官方边界，组件待核</x:v>
      </x:c>
      <x:c r="F199" s="19" t="str">
        <x:v>川越</x:v>
      </x:c>
      <x:c r="G199" s="18" t="str">
        <x:v>transport-node:467227e4-1d40-5ba3-8baa-82f74b33dfe6</x:v>
      </x:c>
    </x:row>
    <x:row r="200" ht="28" customHeight="1">
      <x:c r="A200" s="18" t="str">
        <x:v>川越</x:v>
      </x:c>
      <x:c r="B200" s="18" t="str">
        <x:v>東武鉄道</x:v>
      </x:c>
      <x:c r="C200" s="18" t="str">
        <x:v>private_rail</x:v>
      </x:c>
      <x:c r="D200" s="18" t="str">
        <x:v>T1</x:v>
      </x:c>
      <x:c r="E200" s="19" t="str">
        <x:v>已有官方边界，组件待核</x:v>
      </x:c>
      <x:c r="F200" s="19" t="str">
        <x:v>川越</x:v>
      </x:c>
      <x:c r="G200" s="18" t="str">
        <x:v>transport-node:02d9bf87-2c79-5a07-8ca8-97c973934be9</x:v>
      </x:c>
    </x:row>
    <x:row r="201" ht="28" customHeight="1">
      <x:c r="A201" s="18" t="str">
        <x:v>巣鴨</x:v>
      </x:c>
      <x:c r="B201" s="18" t="str">
        <x:v>東京都</x:v>
      </x:c>
      <x:c r="C201" s="18" t="str">
        <x:v>metro</x:v>
      </x:c>
      <x:c r="D201" s="18" t="str">
        <x:v>T1</x:v>
      </x:c>
      <x:c r="E201" s="19" t="str">
        <x:v>已有官方边界，组件待核</x:v>
      </x:c>
      <x:c r="F201" s="19" t="str">
        <x:v>巣鴨</x:v>
      </x:c>
      <x:c r="G201" s="18" t="str">
        <x:v>transport-node:58f486f1-ef41-5687-bffe-4ba33922f688</x:v>
      </x:c>
    </x:row>
    <x:row r="202" ht="28" customHeight="1">
      <x:c r="A202" s="18" t="str">
        <x:v>巣鴨</x:v>
      </x:c>
      <x:c r="B202" s="18" t="str">
        <x:v>東日本旅客鉄道</x:v>
      </x:c>
      <x:c r="C202" s="18" t="str">
        <x:v>conventional_rail</x:v>
      </x:c>
      <x:c r="D202" s="18" t="str">
        <x:v>T1</x:v>
      </x:c>
      <x:c r="E202" s="19" t="str">
        <x:v>已有官方边界，组件待核</x:v>
      </x:c>
      <x:c r="F202" s="19" t="str">
        <x:v>巣鴨</x:v>
      </x:c>
      <x:c r="G202" s="18" t="str">
        <x:v>transport-node:be5aee14-e90a-5e69-b519-ff263d5be1c0</x:v>
      </x:c>
    </x:row>
    <x:row r="203" ht="28" customHeight="1">
      <x:c r="A203" s="18" t="str">
        <x:v>市ヶ谷</x:v>
      </x:c>
      <x:c r="B203" s="18" t="str">
        <x:v>東京地下鉄</x:v>
      </x:c>
      <x:c r="C203" s="18" t="str">
        <x:v>metro</x:v>
      </x:c>
      <x:c r="D203" s="18" t="str">
        <x:v>T1</x:v>
      </x:c>
      <x:c r="E203" s="19" t="str">
        <x:v>已有官方边界，组件待核</x:v>
      </x:c>
      <x:c r="F203" s="19" t="str">
        <x:v>市ケ谷</x:v>
      </x:c>
      <x:c r="G203" s="18" t="str">
        <x:v>transport-node:b032434f-ab95-569e-b1ee-a0d0d8a6af40</x:v>
      </x:c>
    </x:row>
    <x:row r="204" ht="28" customHeight="1">
      <x:c r="A204" s="18" t="str">
        <x:v>市ヶ谷</x:v>
      </x:c>
      <x:c r="B204" s="18" t="str">
        <x:v>東日本旅客鉄道</x:v>
      </x:c>
      <x:c r="C204" s="18" t="str">
        <x:v>conventional_rail</x:v>
      </x:c>
      <x:c r="D204" s="18" t="str">
        <x:v>T1</x:v>
      </x:c>
      <x:c r="E204" s="19" t="str">
        <x:v>已有官方边界，组件待核</x:v>
      </x:c>
      <x:c r="F204" s="19" t="str">
        <x:v>市ケ谷</x:v>
      </x:c>
      <x:c r="G204" s="18" t="str">
        <x:v>transport-node:1e425af8-8da1-5f1f-844f-20add439e613</x:v>
      </x:c>
    </x:row>
    <x:row r="205" ht="28" customHeight="1">
      <x:c r="A205" s="18" t="str">
        <x:v>市川</x:v>
      </x:c>
      <x:c r="B205" s="18" t="str">
        <x:v>東日本旅客鉄道</x:v>
      </x:c>
      <x:c r="C205" s="18" t="str">
        <x:v>conventional_rail</x:v>
      </x:c>
      <x:c r="D205" s="18" t="str">
        <x:v>T1</x:v>
      </x:c>
      <x:c r="E205" s="19" t="str">
        <x:v>尚未建立 Hub 审核范围</x:v>
      </x:c>
      <x:c r="F205" s="19" t="str"/>
      <x:c r="G205" s="18" t="str">
        <x:v>transport-node:2c092284-4e83-5b06-9d97-526734e4a284</x:v>
      </x:c>
    </x:row>
    <x:row r="206" ht="28" customHeight="1">
      <x:c r="A206" s="18" t="str">
        <x:v>幕張本郷</x:v>
      </x:c>
      <x:c r="B206" s="18" t="str">
        <x:v>東日本旅客鉄道</x:v>
      </x:c>
      <x:c r="C206" s="18" t="str">
        <x:v>conventional_rail</x:v>
      </x:c>
      <x:c r="D206" s="18" t="str">
        <x:v>T1</x:v>
      </x:c>
      <x:c r="E206" s="19" t="str">
        <x:v>尚未建立 Hub 审核范围</x:v>
      </x:c>
      <x:c r="F206" s="19" t="str"/>
      <x:c r="G206" s="18" t="str">
        <x:v>transport-node:2e3a2a45-eb03-5ae0-baa2-3f770853b6d7</x:v>
      </x:c>
    </x:row>
    <x:row r="207" ht="28" customHeight="1">
      <x:c r="A207" s="18" t="str">
        <x:v>平井</x:v>
      </x:c>
      <x:c r="B207" s="18" t="str">
        <x:v>東日本旅客鉄道</x:v>
      </x:c>
      <x:c r="C207" s="18" t="str">
        <x:v>conventional_rail</x:v>
      </x:c>
      <x:c r="D207" s="18" t="str">
        <x:v>T1</x:v>
      </x:c>
      <x:c r="E207" s="19" t="str">
        <x:v>尚未建立 Hub 审核范围</x:v>
      </x:c>
      <x:c r="F207" s="19" t="str"/>
      <x:c r="G207" s="18" t="str">
        <x:v>transport-node:f2183b03-d05e-5fe6-a542-1c59602bdfb6</x:v>
      </x:c>
    </x:row>
    <x:row r="208" ht="28" customHeight="1">
      <x:c r="A208" s="18" t="str">
        <x:v>平塚</x:v>
      </x:c>
      <x:c r="B208" s="18" t="str">
        <x:v>東日本旅客鉄道</x:v>
      </x:c>
      <x:c r="C208" s="18" t="str">
        <x:v>conventional_rail</x:v>
      </x:c>
      <x:c r="D208" s="18" t="str">
        <x:v>T1</x:v>
      </x:c>
      <x:c r="E208" s="19" t="str">
        <x:v>尚未建立 Hub 审核范围</x:v>
      </x:c>
      <x:c r="F208" s="19" t="str"/>
      <x:c r="G208" s="18" t="str">
        <x:v>transport-node:388a17d0-76c4-5e4f-8ad2-7b5cf1572cda</x:v>
      </x:c>
    </x:row>
    <x:row r="209" ht="28" customHeight="1">
      <x:c r="A209" s="18" t="str">
        <x:v>広尾</x:v>
      </x:c>
      <x:c r="B209" s="18" t="str">
        <x:v>東京地下鉄</x:v>
      </x:c>
      <x:c r="C209" s="18" t="str">
        <x:v>metro</x:v>
      </x:c>
      <x:c r="D209" s="18" t="str">
        <x:v>T1</x:v>
      </x:c>
      <x:c r="E209" s="19" t="str">
        <x:v>尚未建立 Hub 审核范围</x:v>
      </x:c>
      <x:c r="F209" s="19" t="str"/>
      <x:c r="G209" s="18" t="str">
        <x:v>transport-node:498bf027-56c6-5bd7-a4e8-5454a73f613f</x:v>
      </x:c>
    </x:row>
    <x:row r="210" ht="28" customHeight="1">
      <x:c r="A210" s="18" t="str">
        <x:v>広島</x:v>
      </x:c>
      <x:c r="B210" s="18" t="str">
        <x:v>西日本旅客鉄道</x:v>
      </x:c>
      <x:c r="C210" s="18" t="str">
        <x:v>conventional_rail</x:v>
      </x:c>
      <x:c r="D210" s="18" t="str">
        <x:v>T1</x:v>
      </x:c>
      <x:c r="E210" s="19" t="str">
        <x:v>已有官方边界，组件待核</x:v>
      </x:c>
      <x:c r="F210" s="19" t="str">
        <x:v>広島</x:v>
      </x:c>
      <x:c r="G210" s="18" t="str">
        <x:v>transport-node:99f4ebcf-4e79-5646-a924-1560a3a95976</x:v>
      </x:c>
    </x:row>
    <x:row r="211" ht="28" customHeight="1">
      <x:c r="A211" s="18" t="str">
        <x:v>府中</x:v>
      </x:c>
      <x:c r="B211" s="18" t="str">
        <x:v>京王電鉄</x:v>
      </x:c>
      <x:c r="C211" s="18" t="str">
        <x:v>private_rail</x:v>
      </x:c>
      <x:c r="D211" s="18" t="str">
        <x:v>T1</x:v>
      </x:c>
      <x:c r="E211" s="19" t="str">
        <x:v>尚未建立 Hub 审核范围</x:v>
      </x:c>
      <x:c r="F211" s="19" t="str"/>
      <x:c r="G211" s="18" t="str">
        <x:v>transport-node:85ecaa6d-315c-5370-82b4-499659596431</x:v>
      </x:c>
    </x:row>
    <x:row r="212" ht="28" customHeight="1">
      <x:c r="A212" s="18" t="str">
        <x:v>弁天町</x:v>
      </x:c>
      <x:c r="B212" s="18" t="str">
        <x:v>西日本旅客鉄道</x:v>
      </x:c>
      <x:c r="C212" s="18" t="str">
        <x:v>conventional_rail</x:v>
      </x:c>
      <x:c r="D212" s="18" t="str">
        <x:v>T1</x:v>
      </x:c>
      <x:c r="E212" s="19" t="str">
        <x:v>已有官方边界，组件待核</x:v>
      </x:c>
      <x:c r="F212" s="19" t="str">
        <x:v>弁天町</x:v>
      </x:c>
      <x:c r="G212" s="18" t="str">
        <x:v>transport-node:34bdcdcf-4dde-54d2-a7c2-5b16c4c6eda5</x:v>
      </x:c>
    </x:row>
    <x:row r="213" ht="28" customHeight="1">
      <x:c r="A213" s="18" t="str">
        <x:v>後楽園</x:v>
      </x:c>
      <x:c r="B213" s="18" t="str">
        <x:v>東京地下鉄</x:v>
      </x:c>
      <x:c r="C213" s="18" t="str">
        <x:v>metro</x:v>
      </x:c>
      <x:c r="D213" s="18" t="str">
        <x:v>T1</x:v>
      </x:c>
      <x:c r="E213" s="19" t="str">
        <x:v>已有官方边界，组件待核</x:v>
      </x:c>
      <x:c r="F213" s="19" t="str">
        <x:v>後楽園・春日</x:v>
      </x:c>
      <x:c r="G213" s="18" t="str">
        <x:v>transport-node:0ef74000-d523-5d3c-8593-d93927534d41</x:v>
      </x:c>
    </x:row>
    <x:row r="214" ht="28" customHeight="1">
      <x:c r="A214" s="18" t="str">
        <x:v>御徒町</x:v>
      </x:c>
      <x:c r="B214" s="18" t="str">
        <x:v>東日本旅客鉄道</x:v>
      </x:c>
      <x:c r="C214" s="18" t="str">
        <x:v>conventional_rail</x:v>
      </x:c>
      <x:c r="D214" s="18" t="str">
        <x:v>T1</x:v>
      </x:c>
      <x:c r="E214" s="19" t="str">
        <x:v>尚未建立 Hub 审核范围</x:v>
      </x:c>
      <x:c r="F214" s="19" t="str"/>
      <x:c r="G214" s="18" t="str">
        <x:v>transport-node:0bfa5c3a-a3ae-5335-a9ba-0c5136869600</x:v>
      </x:c>
    </x:row>
    <x:row r="215" ht="28" customHeight="1">
      <x:c r="A215" s="18" t="str">
        <x:v>御茶ノ水</x:v>
      </x:c>
      <x:c r="B215" s="18" t="str">
        <x:v>東京地下鉄</x:v>
      </x:c>
      <x:c r="C215" s="18" t="str">
        <x:v>metro</x:v>
      </x:c>
      <x:c r="D215" s="18" t="str">
        <x:v>T1</x:v>
      </x:c>
      <x:c r="E215" s="19" t="str">
        <x:v>尚未建立 Hub 审核范围</x:v>
      </x:c>
      <x:c r="F215" s="19" t="str"/>
      <x:c r="G215" s="18" t="str">
        <x:v>transport-node:5eead8a8-9235-5111-973a-ad7edb818b6c</x:v>
      </x:c>
    </x:row>
    <x:row r="216" ht="28" customHeight="1">
      <x:c r="A216" s="18" t="str">
        <x:v>御茶ノ水</x:v>
      </x:c>
      <x:c r="B216" s="18" t="str">
        <x:v>東日本旅客鉄道</x:v>
      </x:c>
      <x:c r="C216" s="18" t="str">
        <x:v>conventional_rail</x:v>
      </x:c>
      <x:c r="D216" s="18" t="str">
        <x:v>T1</x:v>
      </x:c>
      <x:c r="E216" s="19" t="str">
        <x:v>尚未建立 Hub 审核范围</x:v>
      </x:c>
      <x:c r="F216" s="19" t="str"/>
      <x:c r="G216" s="18" t="str">
        <x:v>transport-node:53fa6ce3-ef67-5f5d-8fa3-f5298195e36b</x:v>
      </x:c>
    </x:row>
    <x:row r="217" ht="28" customHeight="1">
      <x:c r="A217" s="18" t="str">
        <x:v>心斎橋</x:v>
      </x:c>
      <x:c r="B217" s="18" t="str">
        <x:v>大阪市高速電気軌道</x:v>
      </x:c>
      <x:c r="C217" s="18" t="str">
        <x:v>metro</x:v>
      </x:c>
      <x:c r="D217" s="18" t="str">
        <x:v>T1</x:v>
      </x:c>
      <x:c r="E217" s="19" t="str">
        <x:v>已有官方边界，组件待核</x:v>
      </x:c>
      <x:c r="F217" s="19" t="str">
        <x:v>心斎橋・四ツ橋</x:v>
      </x:c>
      <x:c r="G217" s="18" t="str">
        <x:v>transport-node:5121fee0-3821-5b50-a02d-763daa3a479e</x:v>
      </x:c>
    </x:row>
    <x:row r="218" ht="28" customHeight="1">
      <x:c r="A218" s="18" t="str">
        <x:v>志木</x:v>
      </x:c>
      <x:c r="B218" s="18" t="str">
        <x:v>東武鉄道</x:v>
      </x:c>
      <x:c r="C218" s="18" t="str">
        <x:v>private_rail</x:v>
      </x:c>
      <x:c r="D218" s="18" t="str">
        <x:v>T1</x:v>
      </x:c>
      <x:c r="E218" s="19" t="str">
        <x:v>尚未建立 Hub 审核范围</x:v>
      </x:c>
      <x:c r="F218" s="19" t="str"/>
      <x:c r="G218" s="18" t="str">
        <x:v>transport-node:ce6c03c4-0fbd-5d66-9842-250c30f47905</x:v>
      </x:c>
    </x:row>
    <x:row r="219" ht="28" customHeight="1">
      <x:c r="A219" s="18" t="str">
        <x:v>恵比寿</x:v>
      </x:c>
      <x:c r="B219" s="18" t="str">
        <x:v>東京地下鉄</x:v>
      </x:c>
      <x:c r="C219" s="18" t="str">
        <x:v>metro</x:v>
      </x:c>
      <x:c r="D219" s="18" t="str">
        <x:v>T1</x:v>
      </x:c>
      <x:c r="E219" s="19" t="str">
        <x:v>已有官方边界，组件待核</x:v>
      </x:c>
      <x:c r="F219" s="19" t="str">
        <x:v>恵比寿</x:v>
      </x:c>
      <x:c r="G219" s="18" t="str">
        <x:v>transport-node:7975352b-f38d-509f-91b4-6317bd4e9a4e</x:v>
      </x:c>
    </x:row>
    <x:row r="220" ht="28" customHeight="1">
      <x:c r="A220" s="18" t="str">
        <x:v>恵比寿</x:v>
      </x:c>
      <x:c r="B220" s="18" t="str">
        <x:v>東日本旅客鉄道</x:v>
      </x:c>
      <x:c r="C220" s="18" t="str">
        <x:v>conventional_rail</x:v>
      </x:c>
      <x:c r="D220" s="18" t="str">
        <x:v>T0</x:v>
      </x:c>
      <x:c r="E220" s="19" t="str">
        <x:v>已有官方边界，组件待核</x:v>
      </x:c>
      <x:c r="F220" s="19" t="str">
        <x:v>恵比寿</x:v>
      </x:c>
      <x:c r="G220" s="18" t="str">
        <x:v>transport-node:c6a9421f-cdab-577f-ad22-eb9a3aadadfb</x:v>
      </x:c>
    </x:row>
    <x:row r="221" ht="28" customHeight="1">
      <x:c r="A221" s="18" t="str">
        <x:v>成城学園前</x:v>
      </x:c>
      <x:c r="B221" s="18" t="str">
        <x:v>小田急電鉄</x:v>
      </x:c>
      <x:c r="C221" s="18" t="str">
        <x:v>private_rail</x:v>
      </x:c>
      <x:c r="D221" s="18" t="str">
        <x:v>T1</x:v>
      </x:c>
      <x:c r="E221" s="19" t="str">
        <x:v>尚未建立 Hub 审核范围</x:v>
      </x:c>
      <x:c r="F221" s="19" t="str"/>
      <x:c r="G221" s="18" t="str">
        <x:v>transport-node:91022036-e215-53a7-8ccd-fd0db08b0461</x:v>
      </x:c>
    </x:row>
    <x:row r="222" ht="28" customHeight="1">
      <x:c r="A222" s="18" t="str">
        <x:v>成増</x:v>
      </x:c>
      <x:c r="B222" s="18" t="str">
        <x:v>東武鉄道</x:v>
      </x:c>
      <x:c r="C222" s="18" t="str">
        <x:v>private_rail</x:v>
      </x:c>
      <x:c r="D222" s="18" t="str">
        <x:v>T1</x:v>
      </x:c>
      <x:c r="E222" s="19" t="str">
        <x:v>尚未建立 Hub 审核范围</x:v>
      </x:c>
      <x:c r="F222" s="19" t="str"/>
      <x:c r="G222" s="18" t="str">
        <x:v>transport-node:bf2f43fd-a9b8-52ed-b7ef-27080447aba0</x:v>
      </x:c>
    </x:row>
    <x:row r="223" ht="28" customHeight="1">
      <x:c r="A223" s="18" t="str">
        <x:v>我孫子</x:v>
      </x:c>
      <x:c r="B223" s="18" t="str">
        <x:v>東日本旅客鉄道</x:v>
      </x:c>
      <x:c r="C223" s="18" t="str">
        <x:v>conventional_rail</x:v>
      </x:c>
      <x:c r="D223" s="18" t="str">
        <x:v>T1</x:v>
      </x:c>
      <x:c r="E223" s="19" t="str">
        <x:v>尚未建立 Hub 审核范围</x:v>
      </x:c>
      <x:c r="F223" s="19" t="str"/>
      <x:c r="G223" s="18" t="str">
        <x:v>transport-node:b0ea2105-34d6-5b56-ba1c-c5c1d77dba54</x:v>
      </x:c>
    </x:row>
    <x:row r="224" ht="28" customHeight="1">
      <x:c r="A224" s="18" t="str">
        <x:v>戸塚</x:v>
      </x:c>
      <x:c r="B224" s="18" t="str">
        <x:v>東日本旅客鉄道</x:v>
      </x:c>
      <x:c r="C224" s="18" t="str">
        <x:v>conventional_rail</x:v>
      </x:c>
      <x:c r="D224" s="18" t="str">
        <x:v>T0</x:v>
      </x:c>
      <x:c r="E224" s="19" t="str">
        <x:v>已有官方边界，组件待核</x:v>
      </x:c>
      <x:c r="F224" s="19" t="str">
        <x:v>戸塚</x:v>
      </x:c>
      <x:c r="G224" s="18" t="str">
        <x:v>transport-node:f40d6b11-4b80-5c22-b980-617c05acf829</x:v>
      </x:c>
    </x:row>
    <x:row r="225" ht="28" customHeight="1">
      <x:c r="A225" s="18" t="str">
        <x:v>戸田公園</x:v>
      </x:c>
      <x:c r="B225" s="18" t="str">
        <x:v>東日本旅客鉄道</x:v>
      </x:c>
      <x:c r="C225" s="18" t="str">
        <x:v>conventional_rail</x:v>
      </x:c>
      <x:c r="D225" s="18" t="str">
        <x:v>T1</x:v>
      </x:c>
      <x:c r="E225" s="19" t="str">
        <x:v>尚未建立 Hub 审核范围</x:v>
      </x:c>
      <x:c r="F225" s="19" t="str"/>
      <x:c r="G225" s="18" t="str">
        <x:v>transport-node:db7d3123-ba09-5877-be8b-33470ea1f69d</x:v>
      </x:c>
    </x:row>
    <x:row r="226" ht="28" customHeight="1">
      <x:c r="A226" s="18" t="str">
        <x:v>所沢</x:v>
      </x:c>
      <x:c r="B226" s="18" t="str">
        <x:v>西武鉄道</x:v>
      </x:c>
      <x:c r="C226" s="18" t="str">
        <x:v>private_rail</x:v>
      </x:c>
      <x:c r="D226" s="18" t="str">
        <x:v>T1</x:v>
      </x:c>
      <x:c r="E226" s="19" t="str">
        <x:v>已有官方边界，组件待核</x:v>
      </x:c>
      <x:c r="F226" s="19" t="str">
        <x:v>所沢</x:v>
      </x:c>
      <x:c r="G226" s="18" t="str">
        <x:v>transport-node:1f7c9b59-c4f2-5e7b-b9ae-d1f3cf64440b</x:v>
      </x:c>
    </x:row>
    <x:row r="227" ht="28" customHeight="1">
      <x:c r="A227" s="18" t="str">
        <x:v>押上</x:v>
      </x:c>
      <x:c r="B227" s="18" t="str">
        <x:v>京成電鉄</x:v>
      </x:c>
      <x:c r="C227" s="18" t="str">
        <x:v>private_rail</x:v>
      </x:c>
      <x:c r="D227" s="18" t="str">
        <x:v>T0</x:v>
      </x:c>
      <x:c r="E227" s="19" t="str">
        <x:v>已有官方边界，组件待核</x:v>
      </x:c>
      <x:c r="F227" s="19" t="str">
        <x:v>押上・とうきょうスカイツリー</x:v>
      </x:c>
      <x:c r="G227" s="18" t="str">
        <x:v>transport-node:9e3a915a-dd99-5727-b560-a1dbdbab07fb</x:v>
      </x:c>
    </x:row>
    <x:row r="228" ht="28" customHeight="1">
      <x:c r="A228" s="18" t="str">
        <x:v>押上</x:v>
      </x:c>
      <x:c r="B228" s="18" t="str">
        <x:v>東京地下鉄</x:v>
      </x:c>
      <x:c r="C228" s="18" t="str">
        <x:v>metro</x:v>
      </x:c>
      <x:c r="D228" s="18" t="str">
        <x:v>T1</x:v>
      </x:c>
      <x:c r="E228" s="19" t="str">
        <x:v>已有官方边界，组件待核</x:v>
      </x:c>
      <x:c r="F228" s="19" t="str">
        <x:v>押上・とうきょうスカイツリー</x:v>
      </x:c>
      <x:c r="G228" s="18" t="str">
        <x:v>transport-node:98f05af1-e47e-5d7f-8367-5b8b99e7f56c</x:v>
      </x:c>
    </x:row>
    <x:row r="229" ht="28" customHeight="1">
      <x:c r="A229" s="18" t="str">
        <x:v>押上</x:v>
      </x:c>
      <x:c r="B229" s="18" t="str">
        <x:v>東武鉄道</x:v>
      </x:c>
      <x:c r="C229" s="18" t="str">
        <x:v>private_rail</x:v>
      </x:c>
      <x:c r="D229" s="18" t="str">
        <x:v>T1</x:v>
      </x:c>
      <x:c r="E229" s="19" t="str">
        <x:v>已有官方边界，组件待核</x:v>
      </x:c>
      <x:c r="F229" s="19" t="str">
        <x:v>押上・とうきょうスカイツリー</x:v>
      </x:c>
      <x:c r="G229" s="18" t="str">
        <x:v>transport-node:49047f67-991e-5ce2-a06e-65eb379e64d9</x:v>
      </x:c>
    </x:row>
    <x:row r="230" ht="28" customHeight="1">
      <x:c r="A230" s="18" t="str">
        <x:v>拝島</x:v>
      </x:c>
      <x:c r="B230" s="18" t="str">
        <x:v>東日本旅客鉄道</x:v>
      </x:c>
      <x:c r="C230" s="18" t="str">
        <x:v>conventional_rail</x:v>
      </x:c>
      <x:c r="D230" s="18" t="str">
        <x:v>T1</x:v>
      </x:c>
      <x:c r="E230" s="19" t="str">
        <x:v>已有官方边界，组件待核</x:v>
      </x:c>
      <x:c r="F230" s="19" t="str">
        <x:v>拝島</x:v>
      </x:c>
      <x:c r="G230" s="18" t="str">
        <x:v>transport-node:b921f6fb-8bc8-5f0e-a9a0-bf6054644a5f</x:v>
      </x:c>
    </x:row>
    <x:row r="231" ht="28" customHeight="1">
      <x:c r="A231" s="18" t="str">
        <x:v>新今宮</x:v>
      </x:c>
      <x:c r="B231" s="18" t="str">
        <x:v>南海電気鉄道</x:v>
      </x:c>
      <x:c r="C231" s="18" t="str">
        <x:v>private_rail</x:v>
      </x:c>
      <x:c r="D231" s="18" t="str">
        <x:v>T1</x:v>
      </x:c>
      <x:c r="E231" s="19" t="str">
        <x:v>已有官方边界，组件待核</x:v>
      </x:c>
      <x:c r="F231" s="19" t="str">
        <x:v>動物園前・新今宮</x:v>
      </x:c>
      <x:c r="G231" s="18" t="str">
        <x:v>transport-node:7dbb07d7-33d6-544e-b664-d955496fb6dd</x:v>
      </x:c>
    </x:row>
    <x:row r="232" ht="28" customHeight="1">
      <x:c r="A232" s="18" t="str">
        <x:v>新今宮</x:v>
      </x:c>
      <x:c r="B232" s="18" t="str">
        <x:v>西日本旅客鉄道</x:v>
      </x:c>
      <x:c r="C232" s="18" t="str">
        <x:v>conventional_rail</x:v>
      </x:c>
      <x:c r="D232" s="18" t="str">
        <x:v>T1</x:v>
      </x:c>
      <x:c r="E232" s="19" t="str">
        <x:v>已有官方边界，组件待核</x:v>
      </x:c>
      <x:c r="F232" s="19" t="str">
        <x:v>動物園前・新今宮</x:v>
      </x:c>
      <x:c r="G232" s="18" t="str">
        <x:v>transport-node:e9f7439f-6550-5727-a39a-198ef5497982</x:v>
      </x:c>
    </x:row>
    <x:row r="233" ht="28" customHeight="1">
      <x:c r="A233" s="18" t="str">
        <x:v>新大久保</x:v>
      </x:c>
      <x:c r="B233" s="18" t="str">
        <x:v>東日本旅客鉄道</x:v>
      </x:c>
      <x:c r="C233" s="18" t="str">
        <x:v>conventional_rail</x:v>
      </x:c>
      <x:c r="D233" s="18" t="str">
        <x:v>T1</x:v>
      </x:c>
      <x:c r="E233" s="19" t="str">
        <x:v>尚未建立 Hub 审核范围</x:v>
      </x:c>
      <x:c r="F233" s="19" t="str"/>
      <x:c r="G233" s="18" t="str">
        <x:v>transport-node:89200fc7-d5e0-5971-a4c6-e16bb5383386</x:v>
      </x:c>
    </x:row>
    <x:row r="234" ht="28" customHeight="1">
      <x:c r="A234" s="18" t="str">
        <x:v>新大阪</x:v>
      </x:c>
      <x:c r="B234" s="18" t="str">
        <x:v>大阪市高速電気軌道</x:v>
      </x:c>
      <x:c r="C234" s="18" t="str">
        <x:v>metro</x:v>
      </x:c>
      <x:c r="D234" s="18" t="str">
        <x:v>T1</x:v>
      </x:c>
      <x:c r="E234" s="19" t="str">
        <x:v>已有官方边界，组件待核</x:v>
      </x:c>
      <x:c r="F234" s="19" t="str">
        <x:v>新大阪</x:v>
      </x:c>
      <x:c r="G234" s="18" t="str">
        <x:v>transport-node:5ac1a1f5-9b57-5081-9e54-92a8c824e06a</x:v>
      </x:c>
    </x:row>
    <x:row r="235" ht="28" customHeight="1">
      <x:c r="A235" s="18" t="str">
        <x:v>新大阪</x:v>
      </x:c>
      <x:c r="B235" s="18" t="str">
        <x:v>東海旅客鉄道</x:v>
      </x:c>
      <x:c r="C235" s="18" t="str">
        <x:v>shinkansen</x:v>
      </x:c>
      <x:c r="D235" s="18" t="str">
        <x:v>T1</x:v>
      </x:c>
      <x:c r="E235" s="19" t="str">
        <x:v>已有官方边界，组件待核</x:v>
      </x:c>
      <x:c r="F235" s="19" t="str">
        <x:v>新大阪</x:v>
      </x:c>
      <x:c r="G235" s="18" t="str">
        <x:v>transport-node:a5a535f3-e9a8-565e-9efe-ea70928ad8ef</x:v>
      </x:c>
    </x:row>
    <x:row r="236" ht="28" customHeight="1">
      <x:c r="A236" s="18" t="str">
        <x:v>新大阪</x:v>
      </x:c>
      <x:c r="B236" s="18" t="str">
        <x:v>西日本旅客鉄道</x:v>
      </x:c>
      <x:c r="C236" s="18" t="str">
        <x:v>conventional_rail</x:v>
      </x:c>
      <x:c r="D236" s="18" t="str">
        <x:v>T1</x:v>
      </x:c>
      <x:c r="E236" s="19" t="str">
        <x:v>已有官方边界，组件待核</x:v>
      </x:c>
      <x:c r="F236" s="19" t="str">
        <x:v>新大阪</x:v>
      </x:c>
      <x:c r="G236" s="18" t="str">
        <x:v>transport-node:0663cba4-444d-5601-ab9c-b6d7ef355aae</x:v>
      </x:c>
    </x:row>
    <x:row r="237" ht="28" customHeight="1">
      <x:c r="A237" s="18" t="str">
        <x:v>新宿</x:v>
      </x:c>
      <x:c r="B237" s="18" t="str">
        <x:v>京王電鉄</x:v>
      </x:c>
      <x:c r="C237" s="18" t="str">
        <x:v>private_rail</x:v>
      </x:c>
      <x:c r="D237" s="18" t="str">
        <x:v>T0</x:v>
      </x:c>
      <x:c r="E237" s="19" t="str">
        <x:v>已有官方边界，组件待核</x:v>
      </x:c>
      <x:c r="F237" s="19" t="str">
        <x:v>新宿</x:v>
      </x:c>
      <x:c r="G237" s="18" t="str">
        <x:v>transport-node:1e7633cc-c81b-523e-bb06-e3080f15aaf5</x:v>
      </x:c>
    </x:row>
    <x:row r="238" ht="28" customHeight="1">
      <x:c r="A238" s="18" t="str">
        <x:v>新宿</x:v>
      </x:c>
      <x:c r="B238" s="18" t="str">
        <x:v>小田急電鉄</x:v>
      </x:c>
      <x:c r="C238" s="18" t="str">
        <x:v>private_rail</x:v>
      </x:c>
      <x:c r="D238" s="18" t="str">
        <x:v>T0</x:v>
      </x:c>
      <x:c r="E238" s="19" t="str">
        <x:v>已有官方边界，组件待核</x:v>
      </x:c>
      <x:c r="F238" s="19" t="str">
        <x:v>新宿</x:v>
      </x:c>
      <x:c r="G238" s="18" t="str">
        <x:v>transport-node:e67331c3-59dc-5280-af05-62420f46372d</x:v>
      </x:c>
    </x:row>
    <x:row r="239" ht="28" customHeight="1">
      <x:c r="A239" s="18" t="str">
        <x:v>新宿</x:v>
      </x:c>
      <x:c r="B239" s="18" t="str">
        <x:v>東京地下鉄</x:v>
      </x:c>
      <x:c r="C239" s="18" t="str">
        <x:v>metro</x:v>
      </x:c>
      <x:c r="D239" s="18" t="str">
        <x:v>T1</x:v>
      </x:c>
      <x:c r="E239" s="19" t="str">
        <x:v>已有官方边界，组件待核</x:v>
      </x:c>
      <x:c r="F239" s="19" t="str">
        <x:v>新宿</x:v>
      </x:c>
      <x:c r="G239" s="18" t="str">
        <x:v>transport-node:2aa7d103-4f50-5a7a-9c5e-f3dde41e2819</x:v>
      </x:c>
    </x:row>
    <x:row r="240" ht="28" customHeight="1">
      <x:c r="A240" s="18" t="str">
        <x:v>新宿</x:v>
      </x:c>
      <x:c r="B240" s="18" t="str">
        <x:v>東日本旅客鉄道</x:v>
      </x:c>
      <x:c r="C240" s="18" t="str">
        <x:v>conventional_rail</x:v>
      </x:c>
      <x:c r="D240" s="18" t="str">
        <x:v>T0</x:v>
      </x:c>
      <x:c r="E240" s="19" t="str">
        <x:v>已有官方边界，组件待核</x:v>
      </x:c>
      <x:c r="F240" s="19" t="str">
        <x:v>新宿</x:v>
      </x:c>
      <x:c r="G240" s="18" t="str">
        <x:v>transport-node:89b07d95-ed68-5092-a531-07e2df74b03a</x:v>
      </x:c>
    </x:row>
    <x:row r="241" ht="28" customHeight="1">
      <x:c r="A241" s="18" t="str">
        <x:v>新宿三丁目</x:v>
      </x:c>
      <x:c r="B241" s="18" t="str">
        <x:v>東京地下鉄</x:v>
      </x:c>
      <x:c r="C241" s="18" t="str">
        <x:v>metro</x:v>
      </x:c>
      <x:c r="D241" s="18" t="str">
        <x:v>T1</x:v>
      </x:c>
      <x:c r="E241" s="19" t="str">
        <x:v>已有官方边界，组件待核</x:v>
      </x:c>
      <x:c r="F241" s="19" t="str">
        <x:v>新宿三丁目</x:v>
      </x:c>
      <x:c r="G241" s="18" t="str">
        <x:v>transport-node:86e4a472-b2ab-56fc-853a-764a853d9fb8</x:v>
      </x:c>
    </x:row>
    <x:row r="242" ht="28" customHeight="1">
      <x:c r="A242" s="18" t="str">
        <x:v>新小岩</x:v>
      </x:c>
      <x:c r="B242" s="18" t="str">
        <x:v>東日本旅客鉄道</x:v>
      </x:c>
      <x:c r="C242" s="18" t="str">
        <x:v>conventional_rail</x:v>
      </x:c>
      <x:c r="D242" s="18" t="str">
        <x:v>T1</x:v>
      </x:c>
      <x:c r="E242" s="19" t="str">
        <x:v>尚未建立 Hub 审核范围</x:v>
      </x:c>
      <x:c r="F242" s="19" t="str"/>
      <x:c r="G242" s="18" t="str">
        <x:v>transport-node:8d91b760-8603-502c-8c2d-cc9026ba45ee</x:v>
      </x:c>
    </x:row>
    <x:row r="243" ht="28" customHeight="1">
      <x:c r="A243" s="18" t="str">
        <x:v>新川崎</x:v>
      </x:c>
      <x:c r="B243" s="18" t="str">
        <x:v>東日本旅客鉄道</x:v>
      </x:c>
      <x:c r="C243" s="18" t="str">
        <x:v>conventional_rail</x:v>
      </x:c>
      <x:c r="D243" s="18" t="str">
        <x:v>T1</x:v>
      </x:c>
      <x:c r="E243" s="19" t="str">
        <x:v>尚未建立 Hub 审核范围</x:v>
      </x:c>
      <x:c r="F243" s="19" t="str"/>
      <x:c r="G243" s="18" t="str">
        <x:v>transport-node:c0cbc553-6076-5615-aa93-e0e3ad919ce4</x:v>
      </x:c>
    </x:row>
    <x:row r="244" ht="28" customHeight="1">
      <x:c r="A244" s="18" t="str">
        <x:v>新御茶ノ水</x:v>
      </x:c>
      <x:c r="B244" s="18" t="str">
        <x:v>東京地下鉄</x:v>
      </x:c>
      <x:c r="C244" s="18" t="str">
        <x:v>metro</x:v>
      </x:c>
      <x:c r="D244" s="18" t="str">
        <x:v>T1</x:v>
      </x:c>
      <x:c r="E244" s="19" t="str">
        <x:v>尚未建立 Hub 审核范围</x:v>
      </x:c>
      <x:c r="F244" s="19" t="str"/>
      <x:c r="G244" s="18" t="str">
        <x:v>transport-node:8101a647-4614-5a47-99cb-6f5f569d6860</x:v>
      </x:c>
    </x:row>
    <x:row r="245" ht="28" customHeight="1">
      <x:c r="A245" s="18" t="str">
        <x:v>新木場</x:v>
      </x:c>
      <x:c r="B245" s="18" t="str">
        <x:v>東京地下鉄</x:v>
      </x:c>
      <x:c r="C245" s="18" t="str">
        <x:v>metro</x:v>
      </x:c>
      <x:c r="D245" s="18" t="str">
        <x:v>T1</x:v>
      </x:c>
      <x:c r="E245" s="19" t="str">
        <x:v>已有官方边界，组件待核</x:v>
      </x:c>
      <x:c r="F245" s="19" t="str">
        <x:v>新木場</x:v>
      </x:c>
      <x:c r="G245" s="18" t="str">
        <x:v>transport-node:29061f55-92fc-53bb-b488-2e8ec002c417</x:v>
      </x:c>
    </x:row>
    <x:row r="246" ht="28" customHeight="1">
      <x:c r="A246" s="18" t="str">
        <x:v>新木場</x:v>
      </x:c>
      <x:c r="B246" s="18" t="str">
        <x:v>東京臨海高速鉄道</x:v>
      </x:c>
      <x:c r="C246" s="18" t="str">
        <x:v>private_rail</x:v>
      </x:c>
      <x:c r="D246" s="18" t="str">
        <x:v>T1</x:v>
      </x:c>
      <x:c r="E246" s="19" t="str">
        <x:v>已有官方边界，组件待核</x:v>
      </x:c>
      <x:c r="F246" s="19" t="str">
        <x:v>新木場</x:v>
      </x:c>
      <x:c r="G246" s="18" t="str">
        <x:v>transport-node:f4150a2f-1422-54d5-835c-4f572436851e</x:v>
      </x:c>
    </x:row>
    <x:row r="247" ht="28" customHeight="1">
      <x:c r="A247" s="18" t="str">
        <x:v>新木場</x:v>
      </x:c>
      <x:c r="B247" s="18" t="str">
        <x:v>東日本旅客鉄道</x:v>
      </x:c>
      <x:c r="C247" s="18" t="str">
        <x:v>conventional_rail</x:v>
      </x:c>
      <x:c r="D247" s="18" t="str">
        <x:v>T1</x:v>
      </x:c>
      <x:c r="E247" s="19" t="str">
        <x:v>已有官方边界，组件待核</x:v>
      </x:c>
      <x:c r="F247" s="19" t="str">
        <x:v>新木場</x:v>
      </x:c>
      <x:c r="G247" s="18" t="str">
        <x:v>transport-node:cab99a51-db87-5b9f-8fa6-cf510e73ef38</x:v>
      </x:c>
    </x:row>
    <x:row r="248" ht="28" customHeight="1">
      <x:c r="A248" s="18" t="str">
        <x:v>新杉田</x:v>
      </x:c>
      <x:c r="B248" s="18" t="str">
        <x:v>東日本旅客鉄道</x:v>
      </x:c>
      <x:c r="C248" s="18" t="str">
        <x:v>conventional_rail</x:v>
      </x:c>
      <x:c r="D248" s="18" t="str">
        <x:v>T1</x:v>
      </x:c>
      <x:c r="E248" s="19" t="str">
        <x:v>尚未建立 Hub 审核范围</x:v>
      </x:c>
      <x:c r="F248" s="19" t="str"/>
      <x:c r="G248" s="18" t="str">
        <x:v>transport-node:e0614225-e019-5797-b609-cb9dd9d875f0</x:v>
      </x:c>
    </x:row>
    <x:row r="249" ht="28" customHeight="1">
      <x:c r="A249" s="18" t="str">
        <x:v>新松戸</x:v>
      </x:c>
      <x:c r="B249" s="18" t="str">
        <x:v>東日本旅客鉄道</x:v>
      </x:c>
      <x:c r="C249" s="18" t="str">
        <x:v>conventional_rail</x:v>
      </x:c>
      <x:c r="D249" s="18" t="str">
        <x:v>T1</x:v>
      </x:c>
      <x:c r="E249" s="19" t="str">
        <x:v>尚未建立 Hub 审核范围</x:v>
      </x:c>
      <x:c r="F249" s="19" t="str"/>
      <x:c r="G249" s="18" t="str">
        <x:v>transport-node:ce84f910-8f51-5355-b745-58ef9589599f</x:v>
      </x:c>
    </x:row>
    <x:row r="250" ht="28" customHeight="1">
      <x:c r="A250" s="18" t="str">
        <x:v>新横浜</x:v>
      </x:c>
      <x:c r="B250" s="18" t="str">
        <x:v>東日本旅客鉄道</x:v>
      </x:c>
      <x:c r="C250" s="18" t="str">
        <x:v>conventional_rail</x:v>
      </x:c>
      <x:c r="D250" s="18" t="str">
        <x:v>T1</x:v>
      </x:c>
      <x:c r="E250" s="19" t="str">
        <x:v>已有官方边界，组件待核</x:v>
      </x:c>
      <x:c r="F250" s="19" t="str">
        <x:v>新横浜</x:v>
      </x:c>
      <x:c r="G250" s="18" t="str">
        <x:v>transport-node:7d84f593-2e09-55e7-810f-b3225cb7648e</x:v>
      </x:c>
    </x:row>
    <x:row r="251" ht="28" customHeight="1">
      <x:c r="A251" s="18" t="str">
        <x:v>新横浜</x:v>
      </x:c>
      <x:c r="B251" s="18" t="str">
        <x:v>東海旅客鉄道</x:v>
      </x:c>
      <x:c r="C251" s="18" t="str">
        <x:v>shinkansen</x:v>
      </x:c>
      <x:c r="D251" s="18" t="str">
        <x:v>T1</x:v>
      </x:c>
      <x:c r="E251" s="19" t="str">
        <x:v>已有官方边界，组件待核</x:v>
      </x:c>
      <x:c r="F251" s="19" t="str">
        <x:v>新横浜</x:v>
      </x:c>
      <x:c r="G251" s="18" t="str">
        <x:v>transport-node:7953012b-45a2-5383-8351-16241f2ca000</x:v>
      </x:c>
    </x:row>
    <x:row r="252" ht="28" customHeight="1">
      <x:c r="A252" s="18" t="str">
        <x:v>新横浜</x:v>
      </x:c>
      <x:c r="B252" s="18" t="str">
        <x:v>相模鉄道</x:v>
      </x:c>
      <x:c r="C252" s="18" t="str">
        <x:v>private_rail</x:v>
      </x:c>
      <x:c r="D252" s="18" t="str">
        <x:v>T1</x:v>
      </x:c>
      <x:c r="E252" s="19" t="str">
        <x:v>已有官方边界，组件待核</x:v>
      </x:c>
      <x:c r="F252" s="19" t="str">
        <x:v>新横浜</x:v>
      </x:c>
      <x:c r="G252" s="18" t="str">
        <x:v>transport-node:a01c7bd1-6ea7-5024-b83e-a2a4f2214782</x:v>
      </x:c>
    </x:row>
    <x:row r="253" ht="28" customHeight="1">
      <x:c r="A253" s="18" t="str">
        <x:v>新橋</x:v>
      </x:c>
      <x:c r="B253" s="18" t="str">
        <x:v>ゆりかもめ</x:v>
      </x:c>
      <x:c r="C253" s="18" t="str">
        <x:v>fixed_guideway</x:v>
      </x:c>
      <x:c r="D253" s="18" t="str">
        <x:v>T1</x:v>
      </x:c>
      <x:c r="E253" s="19" t="str">
        <x:v>已有官方边界，组件待核</x:v>
      </x:c>
      <x:c r="F253" s="19" t="str">
        <x:v>新橋</x:v>
      </x:c>
      <x:c r="G253" s="18" t="str">
        <x:v>transport-node:9cd723d9-3d15-5eaa-9fad-9a5429183295</x:v>
      </x:c>
    </x:row>
    <x:row r="254" ht="28" customHeight="1">
      <x:c r="A254" s="18" t="str">
        <x:v>新橋</x:v>
      </x:c>
      <x:c r="B254" s="18" t="str">
        <x:v>東京地下鉄</x:v>
      </x:c>
      <x:c r="C254" s="18" t="str">
        <x:v>metro</x:v>
      </x:c>
      <x:c r="D254" s="18" t="str">
        <x:v>T0</x:v>
      </x:c>
      <x:c r="E254" s="19" t="str">
        <x:v>已有官方边界，组件待核</x:v>
      </x:c>
      <x:c r="F254" s="19" t="str">
        <x:v>新橋</x:v>
      </x:c>
      <x:c r="G254" s="18" t="str">
        <x:v>transport-node:290b980d-b3d2-5827-a141-9afe59c39566</x:v>
      </x:c>
    </x:row>
    <x:row r="255" ht="28" customHeight="1">
      <x:c r="A255" s="18" t="str">
        <x:v>新橋</x:v>
      </x:c>
      <x:c r="B255" s="18" t="str">
        <x:v>東京都</x:v>
      </x:c>
      <x:c r="C255" s="18" t="str">
        <x:v>metro</x:v>
      </x:c>
      <x:c r="D255" s="18" t="str">
        <x:v>T1</x:v>
      </x:c>
      <x:c r="E255" s="19" t="str">
        <x:v>已有官方边界，组件待核</x:v>
      </x:c>
      <x:c r="F255" s="19" t="str">
        <x:v>新橋</x:v>
      </x:c>
      <x:c r="G255" s="18" t="str">
        <x:v>transport-node:b5aee220-62bc-57c3-83a6-8a3b70bbb44a</x:v>
      </x:c>
    </x:row>
    <x:row r="256" ht="28" customHeight="1">
      <x:c r="A256" s="18" t="str">
        <x:v>新橋</x:v>
      </x:c>
      <x:c r="B256" s="18" t="str">
        <x:v>東日本旅客鉄道</x:v>
      </x:c>
      <x:c r="C256" s="18" t="str">
        <x:v>conventional_rail</x:v>
      </x:c>
      <x:c r="D256" s="18" t="str">
        <x:v>T0</x:v>
      </x:c>
      <x:c r="E256" s="19" t="str">
        <x:v>已有官方边界，组件待核</x:v>
      </x:c>
      <x:c r="F256" s="19" t="str">
        <x:v>新橋</x:v>
      </x:c>
      <x:c r="G256" s="18" t="str">
        <x:v>transport-node:e26b0d4e-0899-5a05-aa89-a06ec37056ba</x:v>
      </x:c>
    </x:row>
    <x:row r="257" ht="28" customHeight="1">
      <x:c r="A257" s="18" t="str">
        <x:v>新津田沼</x:v>
      </x:c>
      <x:c r="B257" s="18" t="str">
        <x:v>新京成電鉄</x:v>
      </x:c>
      <x:c r="C257" s="18" t="str">
        <x:v>private_rail</x:v>
      </x:c>
      <x:c r="D257" s="18" t="str">
        <x:v>T1</x:v>
      </x:c>
      <x:c r="E257" s="19" t="str">
        <x:v>尚未建立 Hub 审核范围</x:v>
      </x:c>
      <x:c r="F257" s="19" t="str"/>
      <x:c r="G257" s="18" t="str">
        <x:v>transport-node:f1a3b1b1-3d86-5518-aefd-3ea13fcef709</x:v>
      </x:c>
    </x:row>
    <x:row r="258" ht="28" customHeight="1">
      <x:c r="A258" s="18" t="str">
        <x:v>新浦安</x:v>
      </x:c>
      <x:c r="B258" s="18" t="str">
        <x:v>東日本旅客鉄道</x:v>
      </x:c>
      <x:c r="C258" s="18" t="str">
        <x:v>conventional_rail</x:v>
      </x:c>
      <x:c r="D258" s="18" t="str">
        <x:v>T1</x:v>
      </x:c>
      <x:c r="E258" s="19" t="str">
        <x:v>尚未建立 Hub 审核范围</x:v>
      </x:c>
      <x:c r="F258" s="19" t="str"/>
      <x:c r="G258" s="18" t="str">
        <x:v>transport-node:9c6dbeb4-d305-59af-b79f-6d3e85884908</x:v>
      </x:c>
    </x:row>
    <x:row r="259" ht="28" customHeight="1">
      <x:c r="A259" s="18" t="str">
        <x:v>新潟</x:v>
      </x:c>
      <x:c r="B259" s="18" t="str">
        <x:v>東日本旅客鉄道</x:v>
      </x:c>
      <x:c r="C259" s="18" t="str">
        <x:v>conventional_rail</x:v>
      </x:c>
      <x:c r="D259" s="18" t="str">
        <x:v>T1</x:v>
      </x:c>
      <x:c r="E259" s="19" t="str">
        <x:v>尚未建立 Hub 审核范围</x:v>
      </x:c>
      <x:c r="F259" s="19" t="str"/>
      <x:c r="G259" s="18" t="str">
        <x:v>transport-node:33b4368b-a315-52a8-b1b0-71b7c18c2f4b</x:v>
      </x:c>
    </x:row>
    <x:row r="260" ht="28" customHeight="1">
      <x:c r="A260" s="18" t="str">
        <x:v>新百合ヶ丘</x:v>
      </x:c>
      <x:c r="B260" s="18" t="str">
        <x:v>小田急電鉄</x:v>
      </x:c>
      <x:c r="C260" s="18" t="str">
        <x:v>private_rail</x:v>
      </x:c>
      <x:c r="D260" s="18" t="str">
        <x:v>T1</x:v>
      </x:c>
      <x:c r="E260" s="19" t="str">
        <x:v>已有官方边界，组件待核</x:v>
      </x:c>
      <x:c r="F260" s="19" t="str">
        <x:v>新百合ヶ丘</x:v>
      </x:c>
      <x:c r="G260" s="18" t="str">
        <x:v>transport-node:7456262c-aff0-5bca-8003-206b666ba178</x:v>
      </x:c>
    </x:row>
    <x:row r="261" ht="28" customHeight="1">
      <x:c r="A261" s="18" t="str">
        <x:v>新秋津</x:v>
      </x:c>
      <x:c r="B261" s="18" t="str">
        <x:v>東日本旅客鉄道</x:v>
      </x:c>
      <x:c r="C261" s="18" t="str">
        <x:v>conventional_rail</x:v>
      </x:c>
      <x:c r="D261" s="18" t="str">
        <x:v>T1</x:v>
      </x:c>
      <x:c r="E261" s="19" t="str">
        <x:v>尚未建立 Hub 审核范围</x:v>
      </x:c>
      <x:c r="F261" s="19" t="str"/>
      <x:c r="G261" s="18" t="str">
        <x:v>transport-node:26296a64-cbfc-54d5-b350-854399c133b1</x:v>
      </x:c>
    </x:row>
    <x:row r="262" ht="28" customHeight="1">
      <x:c r="A262" s="18" t="str">
        <x:v>新越谷</x:v>
      </x:c>
      <x:c r="B262" s="18" t="str">
        <x:v>東武鉄道</x:v>
      </x:c>
      <x:c r="C262" s="18" t="str">
        <x:v>private_rail</x:v>
      </x:c>
      <x:c r="D262" s="18" t="str">
        <x:v>T1</x:v>
      </x:c>
      <x:c r="E262" s="19" t="str">
        <x:v>已有官方边界，组件待核</x:v>
      </x:c>
      <x:c r="F262" s="19" t="str">
        <x:v>新越谷・南越谷</x:v>
      </x:c>
      <x:c r="G262" s="18" t="str">
        <x:v>transport-node:8810a2d4-b343-54dd-90d7-6a6eb4ca0a95</x:v>
      </x:c>
    </x:row>
    <x:row r="263" ht="28" customHeight="1">
      <x:c r="A263" s="18" t="str">
        <x:v>日吉</x:v>
      </x:c>
      <x:c r="B263" s="18" t="str">
        <x:v>東急電鉄</x:v>
      </x:c>
      <x:c r="C263" s="18" t="str">
        <x:v>private_rail</x:v>
      </x:c>
      <x:c r="D263" s="18" t="str">
        <x:v>T1</x:v>
      </x:c>
      <x:c r="E263" s="19" t="str">
        <x:v>已有官方边界，组件待核</x:v>
      </x:c>
      <x:c r="F263" s="19" t="str">
        <x:v>日吉</x:v>
      </x:c>
      <x:c r="G263" s="18" t="str">
        <x:v>transport-node:e8f8f43c-51d0-57e9-83b2-510ea164d839</x:v>
      </x:c>
    </x:row>
    <x:row r="264" ht="28" customHeight="1">
      <x:c r="A264" s="18" t="str">
        <x:v>日暮里</x:v>
      </x:c>
      <x:c r="B264" s="18" t="str">
        <x:v>京成電鉄</x:v>
      </x:c>
      <x:c r="C264" s="18" t="str">
        <x:v>private_rail</x:v>
      </x:c>
      <x:c r="D264" s="18" t="str">
        <x:v>T1</x:v>
      </x:c>
      <x:c r="E264" s="19" t="str">
        <x:v>已有官方边界，组件待核</x:v>
      </x:c>
      <x:c r="F264" s="19" t="str">
        <x:v>日暮里</x:v>
      </x:c>
      <x:c r="G264" s="18" t="str">
        <x:v>transport-node:819c83c0-b88a-5b4b-a3fa-8a9673235d00</x:v>
      </x:c>
    </x:row>
    <x:row r="265" ht="28" customHeight="1">
      <x:c r="A265" s="18" t="str">
        <x:v>日暮里</x:v>
      </x:c>
      <x:c r="B265" s="18" t="str">
        <x:v>東日本旅客鉄道</x:v>
      </x:c>
      <x:c r="C265" s="18" t="str">
        <x:v>conventional_rail</x:v>
      </x:c>
      <x:c r="D265" s="18" t="str">
        <x:v>T0</x:v>
      </x:c>
      <x:c r="E265" s="19" t="str">
        <x:v>已有官方边界，组件待核</x:v>
      </x:c>
      <x:c r="F265" s="19" t="str">
        <x:v>日暮里</x:v>
      </x:c>
      <x:c r="G265" s="18" t="str">
        <x:v>transport-node:7f033fba-9de3-52f2-a033-85e2b5157bc9</x:v>
      </x:c>
    </x:row>
    <x:row r="266" ht="28" customHeight="1">
      <x:c r="A266" s="18" t="str">
        <x:v>日本橋</x:v>
      </x:c>
      <x:c r="B266" s="18" t="str">
        <x:v>大阪市高速電気軌道</x:v>
      </x:c>
      <x:c r="C266" s="18" t="str">
        <x:v>metro</x:v>
      </x:c>
      <x:c r="D266" s="18" t="str">
        <x:v>T1</x:v>
      </x:c>
      <x:c r="E266" s="19" t="str">
        <x:v>已有官方边界，组件待核</x:v>
      </x:c>
      <x:c r="F266" s="19" t="str">
        <x:v>日本橋・近鉄日本橋</x:v>
      </x:c>
      <x:c r="G266" s="18" t="str">
        <x:v>transport-node:621f678e-c646-5d1b-8307-26335ede74a2</x:v>
      </x:c>
    </x:row>
    <x:row r="267" ht="28" customHeight="1">
      <x:c r="A267" s="18" t="str">
        <x:v>日本橋</x:v>
      </x:c>
      <x:c r="B267" s="18" t="str">
        <x:v>東京地下鉄</x:v>
      </x:c>
      <x:c r="C267" s="18" t="str">
        <x:v>metro</x:v>
      </x:c>
      <x:c r="D267" s="18" t="str">
        <x:v>T1</x:v>
      </x:c>
      <x:c r="E267" s="19" t="str">
        <x:v>已有官方边界，组件待核</x:v>
      </x:c>
      <x:c r="F267" s="19" t="str">
        <x:v>日本橋</x:v>
      </x:c>
      <x:c r="G267" s="18" t="str">
        <x:v>transport-node:a760cb08-155b-5942-abc8-e986d0afe845</x:v>
      </x:c>
    </x:row>
    <x:row r="268" ht="28" customHeight="1">
      <x:c r="A268" s="18" t="str">
        <x:v>日比谷</x:v>
      </x:c>
      <x:c r="B268" s="18" t="str">
        <x:v>東京地下鉄</x:v>
      </x:c>
      <x:c r="C268" s="18" t="str">
        <x:v>metro</x:v>
      </x:c>
      <x:c r="D268" s="18" t="str">
        <x:v>T1</x:v>
      </x:c>
      <x:c r="E268" s="19" t="str">
        <x:v>已有官方边界，组件待核</x:v>
      </x:c>
      <x:c r="F268" s="19" t="str">
        <x:v>有楽町・日比谷</x:v>
      </x:c>
      <x:c r="G268" s="18" t="str">
        <x:v>transport-node:05ad20d4-2391-5506-ba24-fed4032ad8e3</x:v>
      </x:c>
    </x:row>
    <x:row r="269" ht="28" customHeight="1">
      <x:c r="A269" s="18" t="str">
        <x:v>早稲田</x:v>
      </x:c>
      <x:c r="B269" s="18" t="str">
        <x:v>東京地下鉄</x:v>
      </x:c>
      <x:c r="C269" s="18" t="str">
        <x:v>metro</x:v>
      </x:c>
      <x:c r="D269" s="18" t="str">
        <x:v>T1</x:v>
      </x:c>
      <x:c r="E269" s="19" t="str">
        <x:v>尚未建立 Hub 审核范围</x:v>
      </x:c>
      <x:c r="F269" s="19" t="str"/>
      <x:c r="G269" s="18" t="str">
        <x:v>transport-node:34d50f2c-1e31-5db3-87a3-8b007d8abf60</x:v>
      </x:c>
    </x:row>
    <x:row r="270" ht="28" customHeight="1">
      <x:c r="A270" s="18" t="str">
        <x:v>明大前</x:v>
      </x:c>
      <x:c r="B270" s="18" t="str">
        <x:v>京王電鉄</x:v>
      </x:c>
      <x:c r="C270" s="18" t="str">
        <x:v>private_rail</x:v>
      </x:c>
      <x:c r="D270" s="18" t="str">
        <x:v>T1</x:v>
      </x:c>
      <x:c r="E270" s="19" t="str">
        <x:v>已有官方边界，组件待核</x:v>
      </x:c>
      <x:c r="F270" s="19" t="str">
        <x:v>明大前</x:v>
      </x:c>
      <x:c r="G270" s="18" t="str">
        <x:v>transport-node:8eafbf52-fe90-5736-a2e8-70b9c3fcfe98</x:v>
      </x:c>
    </x:row>
    <x:row r="271" ht="28" customHeight="1">
      <x:c r="A271" s="18" t="str">
        <x:v>明治神宮前</x:v>
      </x:c>
      <x:c r="B271" s="18" t="str">
        <x:v>東京地下鉄</x:v>
      </x:c>
      <x:c r="C271" s="18" t="str">
        <x:v>metro</x:v>
      </x:c>
      <x:c r="D271" s="18" t="str">
        <x:v>T1</x:v>
      </x:c>
      <x:c r="E271" s="19" t="str">
        <x:v>已有官方边界，组件待核</x:v>
      </x:c>
      <x:c r="F271" s="19" t="str">
        <x:v>原宿・明治神宮前</x:v>
      </x:c>
      <x:c r="G271" s="18" t="str">
        <x:v>transport-node:28fff181-3d5b-5b73-a02b-c338099a443b</x:v>
      </x:c>
    </x:row>
    <x:row r="272" ht="28" customHeight="1">
      <x:c r="A272" s="18" t="str">
        <x:v>明石</x:v>
      </x:c>
      <x:c r="B272" s="18" t="str">
        <x:v>西日本旅客鉄道</x:v>
      </x:c>
      <x:c r="C272" s="18" t="str">
        <x:v>conventional_rail</x:v>
      </x:c>
      <x:c r="D272" s="18" t="str">
        <x:v>T1</x:v>
      </x:c>
      <x:c r="E272" s="19" t="str">
        <x:v>尚未建立 Hub 审核范围</x:v>
      </x:c>
      <x:c r="F272" s="19" t="str"/>
      <x:c r="G272" s="18" t="str">
        <x:v>transport-node:a679d940-5a63-5dd2-a4f6-6cc1f2a3dbd8</x:v>
      </x:c>
    </x:row>
    <x:row r="273" ht="28" customHeight="1">
      <x:c r="A273" s="18" t="str">
        <x:v>春日</x:v>
      </x:c>
      <x:c r="B273" s="18" t="str">
        <x:v>東京都</x:v>
      </x:c>
      <x:c r="C273" s="18" t="str">
        <x:v>metro</x:v>
      </x:c>
      <x:c r="D273" s="18" t="str">
        <x:v>T1</x:v>
      </x:c>
      <x:c r="E273" s="19" t="str">
        <x:v>已有官方边界，组件待核</x:v>
      </x:c>
      <x:c r="F273" s="19" t="str">
        <x:v>後楽園・春日</x:v>
      </x:c>
      <x:c r="G273" s="18" t="str">
        <x:v>transport-node:fb784d15-aee4-5dd2-9219-a082ebfba3d7</x:v>
      </x:c>
    </x:row>
    <x:row r="274" ht="28" customHeight="1">
      <x:c r="A274" s="18" t="str">
        <x:v>春日部</x:v>
      </x:c>
      <x:c r="B274" s="18" t="str">
        <x:v>東武鉄道</x:v>
      </x:c>
      <x:c r="C274" s="18" t="str">
        <x:v>private_rail</x:v>
      </x:c>
      <x:c r="D274" s="18" t="str">
        <x:v>T1</x:v>
      </x:c>
      <x:c r="E274" s="19" t="str">
        <x:v>尚未建立 Hub 审核范围</x:v>
      </x:c>
      <x:c r="F274" s="19" t="str"/>
      <x:c r="G274" s="18" t="str">
        <x:v>transport-node:b4de0503-57b0-5587-a4e0-8e1125f496aa</x:v>
      </x:c>
    </x:row>
    <x:row r="275" ht="28" customHeight="1">
      <x:c r="A275" s="18" t="str">
        <x:v>月島</x:v>
      </x:c>
      <x:c r="B275" s="18" t="str">
        <x:v>東京地下鉄</x:v>
      </x:c>
      <x:c r="C275" s="18" t="str">
        <x:v>metro</x:v>
      </x:c>
      <x:c r="D275" s="18" t="str">
        <x:v>T1</x:v>
      </x:c>
      <x:c r="E275" s="19" t="str">
        <x:v>已有官方边界，组件待核</x:v>
      </x:c>
      <x:c r="F275" s="19" t="str">
        <x:v>月島</x:v>
      </x:c>
      <x:c r="G275" s="18" t="str">
        <x:v>transport-node:02d6dbf5-7540-5dce-8546-5afc5d94abc5</x:v>
      </x:c>
    </x:row>
    <x:row r="276" ht="28" customHeight="1">
      <x:c r="A276" s="18" t="str">
        <x:v>有楽町</x:v>
      </x:c>
      <x:c r="B276" s="18" t="str">
        <x:v>東京地下鉄</x:v>
      </x:c>
      <x:c r="C276" s="18" t="str">
        <x:v>metro</x:v>
      </x:c>
      <x:c r="D276" s="18" t="str">
        <x:v>T1</x:v>
      </x:c>
      <x:c r="E276" s="19" t="str">
        <x:v>已有官方边界，组件待核</x:v>
      </x:c>
      <x:c r="F276" s="19" t="str">
        <x:v>有楽町・日比谷</x:v>
      </x:c>
      <x:c r="G276" s="18" t="str">
        <x:v>transport-node:9f12cb30-0853-5be4-8abf-4e9bc54991a4</x:v>
      </x:c>
    </x:row>
    <x:row r="277" ht="28" customHeight="1">
      <x:c r="A277" s="18" t="str">
        <x:v>有楽町</x:v>
      </x:c>
      <x:c r="B277" s="18" t="str">
        <x:v>東日本旅客鉄道</x:v>
      </x:c>
      <x:c r="C277" s="18" t="str">
        <x:v>conventional_rail</x:v>
      </x:c>
      <x:c r="D277" s="18" t="str">
        <x:v>T0</x:v>
      </x:c>
      <x:c r="E277" s="19" t="str">
        <x:v>已有官方边界，组件待核</x:v>
      </x:c>
      <x:c r="F277" s="19" t="str">
        <x:v>有楽町・日比谷</x:v>
      </x:c>
      <x:c r="G277" s="18" t="str">
        <x:v>transport-node:c3e6c869-0e40-5869-b6d8-76e59fbb4386</x:v>
      </x:c>
    </x:row>
    <x:row r="278" ht="28" customHeight="1">
      <x:c r="A278" s="18" t="str">
        <x:v>朝霞</x:v>
      </x:c>
      <x:c r="B278" s="18" t="str">
        <x:v>東武鉄道</x:v>
      </x:c>
      <x:c r="C278" s="18" t="str">
        <x:v>private_rail</x:v>
      </x:c>
      <x:c r="D278" s="18" t="str">
        <x:v>T1</x:v>
      </x:c>
      <x:c r="E278" s="19" t="str">
        <x:v>尚未建立 Hub 审核范围</x:v>
      </x:c>
      <x:c r="F278" s="19" t="str"/>
      <x:c r="G278" s="18" t="str">
        <x:v>transport-node:38be5789-8a53-56ed-9101-da60d88efd66</x:v>
      </x:c>
    </x:row>
    <x:row r="279" ht="28" customHeight="1">
      <x:c r="A279" s="18" t="str">
        <x:v>朝霞台</x:v>
      </x:c>
      <x:c r="B279" s="18" t="str">
        <x:v>東武鉄道</x:v>
      </x:c>
      <x:c r="C279" s="18" t="str">
        <x:v>private_rail</x:v>
      </x:c>
      <x:c r="D279" s="18" t="str">
        <x:v>T1</x:v>
      </x:c>
      <x:c r="E279" s="19" t="str">
        <x:v>已有官方边界，组件待核</x:v>
      </x:c>
      <x:c r="F279" s="19" t="str">
        <x:v>朝霞台・北朝霞</x:v>
      </x:c>
      <x:c r="G279" s="18" t="str">
        <x:v>transport-node:1147c523-2bbf-5901-a671-0c0036123b4e</x:v>
      </x:c>
    </x:row>
    <x:row r="280" ht="28" customHeight="1">
      <x:c r="A280" s="18" t="str">
        <x:v>木場</x:v>
      </x:c>
      <x:c r="B280" s="18" t="str">
        <x:v>東京地下鉄</x:v>
      </x:c>
      <x:c r="C280" s="18" t="str">
        <x:v>metro</x:v>
      </x:c>
      <x:c r="D280" s="18" t="str">
        <x:v>T1</x:v>
      </x:c>
      <x:c r="E280" s="19" t="str">
        <x:v>尚未建立 Hub 审核范围</x:v>
      </x:c>
      <x:c r="F280" s="19" t="str"/>
      <x:c r="G280" s="18" t="str">
        <x:v>transport-node:acf171da-ea71-577c-85cd-e1bb0b7066fe</x:v>
      </x:c>
    </x:row>
    <x:row r="281" ht="28" customHeight="1">
      <x:c r="A281" s="18" t="str">
        <x:v>本八幡</x:v>
      </x:c>
      <x:c r="B281" s="18" t="str">
        <x:v>東京都</x:v>
      </x:c>
      <x:c r="C281" s="18" t="str">
        <x:v>metro</x:v>
      </x:c>
      <x:c r="D281" s="18" t="str">
        <x:v>T1</x:v>
      </x:c>
      <x:c r="E281" s="19" t="str">
        <x:v>已有官方边界，组件待核</x:v>
      </x:c>
      <x:c r="F281" s="19" t="str">
        <x:v>本八幡・京成八幡</x:v>
      </x:c>
      <x:c r="G281" s="18" t="str">
        <x:v>transport-node:675b983f-e9b9-505f-9f83-13529f7606a5</x:v>
      </x:c>
    </x:row>
    <x:row r="282" ht="28" customHeight="1">
      <x:c r="A282" s="18" t="str">
        <x:v>本八幡</x:v>
      </x:c>
      <x:c r="B282" s="18" t="str">
        <x:v>東日本旅客鉄道</x:v>
      </x:c>
      <x:c r="C282" s="18" t="str">
        <x:v>conventional_rail</x:v>
      </x:c>
      <x:c r="D282" s="18" t="str">
        <x:v>T1</x:v>
      </x:c>
      <x:c r="E282" s="19" t="str">
        <x:v>已有官方边界，组件待核</x:v>
      </x:c>
      <x:c r="F282" s="19" t="str">
        <x:v>本八幡・京成八幡</x:v>
      </x:c>
      <x:c r="G282" s="18" t="str">
        <x:v>transport-node:0ddf5d47-53cf-510b-8816-5449fb9a7c17</x:v>
      </x:c>
    </x:row>
    <x:row r="283" ht="28" customHeight="1">
      <x:c r="A283" s="18" t="str">
        <x:v>本厚木</x:v>
      </x:c>
      <x:c r="B283" s="18" t="str">
        <x:v>小田急電鉄</x:v>
      </x:c>
      <x:c r="C283" s="18" t="str">
        <x:v>private_rail</x:v>
      </x:c>
      <x:c r="D283" s="18" t="str">
        <x:v>T1</x:v>
      </x:c>
      <x:c r="E283" s="19" t="str">
        <x:v>尚未建立 Hub 审核范围</x:v>
      </x:c>
      <x:c r="F283" s="19" t="str"/>
      <x:c r="G283" s="18" t="str">
        <x:v>transport-node:cbde6d57-356f-5f6f-b4fe-c82122fcbb56</x:v>
      </x:c>
    </x:row>
    <x:row r="284" ht="28" customHeight="1">
      <x:c r="A284" s="18" t="str">
        <x:v>本町</x:v>
      </x:c>
      <x:c r="B284" s="18" t="str">
        <x:v>大阪市高速電気軌道</x:v>
      </x:c>
      <x:c r="C284" s="18" t="str">
        <x:v>metro</x:v>
      </x:c>
      <x:c r="D284" s="18" t="str">
        <x:v>T0</x:v>
      </x:c>
      <x:c r="E284" s="19" t="str">
        <x:v>已有官方边界，组件待核</x:v>
      </x:c>
      <x:c r="F284" s="19" t="str">
        <x:v>本町</x:v>
      </x:c>
      <x:c r="G284" s="18" t="str">
        <x:v>transport-node:b8214529-d8ce-5231-bfbb-cf4f8a271d29</x:v>
      </x:c>
    </x:row>
    <x:row r="285" ht="28" customHeight="1">
      <x:c r="A285" s="18" t="str">
        <x:v>本郷三丁目</x:v>
      </x:c>
      <x:c r="B285" s="18" t="str">
        <x:v>東京地下鉄</x:v>
      </x:c>
      <x:c r="C285" s="18" t="str">
        <x:v>metro</x:v>
      </x:c>
      <x:c r="D285" s="18" t="str">
        <x:v>T1</x:v>
      </x:c>
      <x:c r="E285" s="19" t="str">
        <x:v>已有官方边界，组件待核</x:v>
      </x:c>
      <x:c r="F285" s="19" t="str">
        <x:v>本郷三丁目</x:v>
      </x:c>
      <x:c r="G285" s="18" t="str">
        <x:v>transport-node:64bacb7c-dc52-5364-9697-f509c8e970cf</x:v>
      </x:c>
    </x:row>
    <x:row r="286" ht="28" customHeight="1">
      <x:c r="A286" s="18" t="str">
        <x:v>札幌</x:v>
      </x:c>
      <x:c r="B286" s="18" t="str">
        <x:v>北海道旅客鉄道</x:v>
      </x:c>
      <x:c r="C286" s="18" t="str">
        <x:v>conventional_rail</x:v>
      </x:c>
      <x:c r="D286" s="18" t="str">
        <x:v>T1</x:v>
      </x:c>
      <x:c r="E286" s="19" t="str">
        <x:v>已有官方边界，组件待核</x:v>
      </x:c>
      <x:c r="F286" s="19" t="str">
        <x:v>札幌</x:v>
      </x:c>
      <x:c r="G286" s="18" t="str">
        <x:v>transport-node:52ea3ce8-faa8-5aa2-8aec-9d8f19ff18e4</x:v>
      </x:c>
    </x:row>
    <x:row r="287" ht="28" customHeight="1">
      <x:c r="A287" s="18" t="str">
        <x:v>東中野</x:v>
      </x:c>
      <x:c r="B287" s="18" t="str">
        <x:v>東日本旅客鉄道</x:v>
      </x:c>
      <x:c r="C287" s="18" t="str">
        <x:v>conventional_rail</x:v>
      </x:c>
      <x:c r="D287" s="18" t="str">
        <x:v>T1</x:v>
      </x:c>
      <x:c r="E287" s="19" t="str">
        <x:v>已有官方边界，组件待核</x:v>
      </x:c>
      <x:c r="F287" s="19" t="str">
        <x:v>東中野</x:v>
      </x:c>
      <x:c r="G287" s="18" t="str">
        <x:v>transport-node:34cd5ac6-7035-519f-843f-3099f369ace2</x:v>
      </x:c>
    </x:row>
    <x:row r="288" ht="28" customHeight="1">
      <x:c r="A288" s="18" t="str">
        <x:v>東久留米</x:v>
      </x:c>
      <x:c r="B288" s="18" t="str">
        <x:v>西武鉄道</x:v>
      </x:c>
      <x:c r="C288" s="18" t="str">
        <x:v>private_rail</x:v>
      </x:c>
      <x:c r="D288" s="18" t="str">
        <x:v>T1</x:v>
      </x:c>
      <x:c r="E288" s="19" t="str">
        <x:v>尚未建立 Hub 审核范围</x:v>
      </x:c>
      <x:c r="F288" s="19" t="str"/>
      <x:c r="G288" s="18" t="str">
        <x:v>transport-node:9a4177a4-e9ac-5d1f-ac48-5c0f8773364e</x:v>
      </x:c>
    </x:row>
    <x:row r="289" ht="28" customHeight="1">
      <x:c r="A289" s="18" t="str">
        <x:v>東京</x:v>
      </x:c>
      <x:c r="B289" s="18" t="str">
        <x:v>東京地下鉄</x:v>
      </x:c>
      <x:c r="C289" s="18" t="str">
        <x:v>metro</x:v>
      </x:c>
      <x:c r="D289" s="18" t="str">
        <x:v>T1</x:v>
      </x:c>
      <x:c r="E289" s="19" t="str">
        <x:v>已有官方边界，组件待核</x:v>
      </x:c>
      <x:c r="F289" s="19" t="str">
        <x:v>東京</x:v>
      </x:c>
      <x:c r="G289" s="18" t="str">
        <x:v>transport-node:d94eae8c-8103-5000-aafb-a4bc7d4b1fc6</x:v>
      </x:c>
    </x:row>
    <x:row r="290" ht="28" customHeight="1">
      <x:c r="A290" s="18" t="str">
        <x:v>東京</x:v>
      </x:c>
      <x:c r="B290" s="18" t="str">
        <x:v>東日本旅客鉄道</x:v>
      </x:c>
      <x:c r="C290" s="18" t="str">
        <x:v>conventional_rail</x:v>
      </x:c>
      <x:c r="D290" s="18" t="str">
        <x:v>T0</x:v>
      </x:c>
      <x:c r="E290" s="19" t="str">
        <x:v>已有官方边界，组件待核</x:v>
      </x:c>
      <x:c r="F290" s="19" t="str">
        <x:v>東京</x:v>
      </x:c>
      <x:c r="G290" s="18" t="str">
        <x:v>transport-node:f5e5010a-739c-5c0c-bfd6-3449c94b23db</x:v>
      </x:c>
    </x:row>
    <x:row r="291" ht="28" customHeight="1">
      <x:c r="A291" s="18" t="str">
        <x:v>東京</x:v>
      </x:c>
      <x:c r="B291" s="18" t="str">
        <x:v>東海旅客鉄道</x:v>
      </x:c>
      <x:c r="C291" s="18" t="str">
        <x:v>shinkansen</x:v>
      </x:c>
      <x:c r="D291" s="18" t="str">
        <x:v>T1</x:v>
      </x:c>
      <x:c r="E291" s="19" t="str">
        <x:v>已有官方边界，组件待核</x:v>
      </x:c>
      <x:c r="F291" s="19" t="str">
        <x:v>東京</x:v>
      </x:c>
      <x:c r="G291" s="18" t="str">
        <x:v>transport-node:dc3c27dd-aea2-5ad4-ad55-10698d06756d</x:v>
      </x:c>
    </x:row>
    <x:row r="292" ht="28" customHeight="1">
      <x:c r="A292" s="18" t="str">
        <x:v>東大宮</x:v>
      </x:c>
      <x:c r="B292" s="18" t="str">
        <x:v>東日本旅客鉄道</x:v>
      </x:c>
      <x:c r="C292" s="18" t="str">
        <x:v>conventional_rail</x:v>
      </x:c>
      <x:c r="D292" s="18" t="str">
        <x:v>T1</x:v>
      </x:c>
      <x:c r="E292" s="19" t="str">
        <x:v>尚未建立 Hub 审核范围</x:v>
      </x:c>
      <x:c r="F292" s="19" t="str"/>
      <x:c r="G292" s="18" t="str">
        <x:v>transport-node:c6429fe4-643f-53ae-9384-36b95a4b30b9</x:v>
      </x:c>
    </x:row>
    <x:row r="293" ht="28" customHeight="1">
      <x:c r="A293" s="18" t="str">
        <x:v>東小金井</x:v>
      </x:c>
      <x:c r="B293" s="18" t="str">
        <x:v>東日本旅客鉄道</x:v>
      </x:c>
      <x:c r="C293" s="18" t="str">
        <x:v>conventional_rail</x:v>
      </x:c>
      <x:c r="D293" s="18" t="str">
        <x:v>T1</x:v>
      </x:c>
      <x:c r="E293" s="19" t="str">
        <x:v>尚未建立 Hub 审核范围</x:v>
      </x:c>
      <x:c r="F293" s="19" t="str"/>
      <x:c r="G293" s="18" t="str">
        <x:v>transport-node:e8ed1075-4481-5d12-9900-9fad019a0a4a</x:v>
      </x:c>
    </x:row>
    <x:row r="294" ht="28" customHeight="1">
      <x:c r="A294" s="18" t="str">
        <x:v>東川口</x:v>
      </x:c>
      <x:c r="B294" s="18" t="str">
        <x:v>東日本旅客鉄道</x:v>
      </x:c>
      <x:c r="C294" s="18" t="str">
        <x:v>conventional_rail</x:v>
      </x:c>
      <x:c r="D294" s="18" t="str">
        <x:v>T1</x:v>
      </x:c>
      <x:c r="E294" s="19" t="str">
        <x:v>尚未建立 Hub 审核范围</x:v>
      </x:c>
      <x:c r="F294" s="19" t="str"/>
      <x:c r="G294" s="18" t="str">
        <x:v>transport-node:aeb9f94c-1d09-5301-84bc-a874a715b363</x:v>
      </x:c>
    </x:row>
    <x:row r="295" ht="28" customHeight="1">
      <x:c r="A295" s="18" t="str">
        <x:v>東戸塚</x:v>
      </x:c>
      <x:c r="B295" s="18" t="str">
        <x:v>東日本旅客鉄道</x:v>
      </x:c>
      <x:c r="C295" s="18" t="str">
        <x:v>conventional_rail</x:v>
      </x:c>
      <x:c r="D295" s="18" t="str">
        <x:v>T1</x:v>
      </x:c>
      <x:c r="E295" s="19" t="str">
        <x:v>尚未建立 Hub 审核范围</x:v>
      </x:c>
      <x:c r="F295" s="19" t="str"/>
      <x:c r="G295" s="18" t="str">
        <x:v>transport-node:e62de55d-9e83-5e60-a091-df59e9dbac04</x:v>
      </x:c>
    </x:row>
    <x:row r="296" ht="28" customHeight="1">
      <x:c r="A296" s="18" t="str">
        <x:v>東梅田</x:v>
      </x:c>
      <x:c r="B296" s="18" t="str">
        <x:v>大阪市高速電気軌道</x:v>
      </x:c>
      <x:c r="C296" s="18" t="str">
        <x:v>metro</x:v>
      </x:c>
      <x:c r="D296" s="18" t="str">
        <x:v>T1</x:v>
      </x:c>
      <x:c r="E296" s="19" t="str">
        <x:v>已有官方边界，组件待核</x:v>
      </x:c>
      <x:c r="F296" s="19" t="str">
        <x:v>大阪・梅田</x:v>
      </x:c>
      <x:c r="G296" s="18" t="str">
        <x:v>transport-node:85c36b5f-0e88-5b01-b2df-bc4627c58faa</x:v>
      </x:c>
    </x:row>
    <x:row r="297" ht="28" customHeight="1">
      <x:c r="A297" s="18" t="str">
        <x:v>東武練馬</x:v>
      </x:c>
      <x:c r="B297" s="18" t="str">
        <x:v>東武鉄道</x:v>
      </x:c>
      <x:c r="C297" s="18" t="str">
        <x:v>private_rail</x:v>
      </x:c>
      <x:c r="D297" s="18" t="str">
        <x:v>T1</x:v>
      </x:c>
      <x:c r="E297" s="19" t="str">
        <x:v>尚未建立 Hub 审核范围</x:v>
      </x:c>
      <x:c r="F297" s="19" t="str"/>
      <x:c r="G297" s="18" t="str">
        <x:v>transport-node:29f669b2-b5ba-598f-87f0-33f80f8ee4dc</x:v>
      </x:c>
    </x:row>
    <x:row r="298" ht="28" customHeight="1">
      <x:c r="A298" s="18" t="str">
        <x:v>東浦和</x:v>
      </x:c>
      <x:c r="B298" s="18" t="str">
        <x:v>東日本旅客鉄道</x:v>
      </x:c>
      <x:c r="C298" s="18" t="str">
        <x:v>conventional_rail</x:v>
      </x:c>
      <x:c r="D298" s="18" t="str">
        <x:v>T1</x:v>
      </x:c>
      <x:c r="E298" s="19" t="str">
        <x:v>尚未建立 Hub 审核范围</x:v>
      </x:c>
      <x:c r="F298" s="19" t="str"/>
      <x:c r="G298" s="18" t="str">
        <x:v>transport-node:71f6bb38-cd9e-521e-8acd-48e401811377</x:v>
      </x:c>
    </x:row>
    <x:row r="299" ht="28" customHeight="1">
      <x:c r="A299" s="18" t="str">
        <x:v>東神奈川</x:v>
      </x:c>
      <x:c r="B299" s="18" t="str">
        <x:v>東日本旅客鉄道</x:v>
      </x:c>
      <x:c r="C299" s="18" t="str">
        <x:v>conventional_rail</x:v>
      </x:c>
      <x:c r="D299" s="18" t="str">
        <x:v>T1</x:v>
      </x:c>
      <x:c r="E299" s="19" t="str">
        <x:v>尚未建立 Hub 审核范围</x:v>
      </x:c>
      <x:c r="F299" s="19" t="str"/>
      <x:c r="G299" s="18" t="str">
        <x:v>transport-node:8386ac2a-edd1-521c-8fcc-db1c2cda2b20</x:v>
      </x:c>
    </x:row>
    <x:row r="300" ht="28" customHeight="1">
      <x:c r="A300" s="18" t="str">
        <x:v>東銀座</x:v>
      </x:c>
      <x:c r="B300" s="18" t="str">
        <x:v>東京地下鉄</x:v>
      </x:c>
      <x:c r="C300" s="18" t="str">
        <x:v>metro</x:v>
      </x:c>
      <x:c r="D300" s="18" t="str">
        <x:v>T1</x:v>
      </x:c>
      <x:c r="E300" s="19" t="str">
        <x:v>已有官方边界，组件待核</x:v>
      </x:c>
      <x:c r="F300" s="19" t="str">
        <x:v>東銀座</x:v>
      </x:c>
      <x:c r="G300" s="18" t="str">
        <x:v>transport-node:88a95970-9ae3-5120-816c-7ed4cdd085f3</x:v>
      </x:c>
    </x:row>
    <x:row r="301" ht="28" customHeight="1">
      <x:c r="A301" s="18" t="str">
        <x:v>東銀座</x:v>
      </x:c>
      <x:c r="B301" s="18" t="str">
        <x:v>東京都</x:v>
      </x:c>
      <x:c r="C301" s="18" t="str">
        <x:v>metro</x:v>
      </x:c>
      <x:c r="D301" s="18" t="str">
        <x:v>T1</x:v>
      </x:c>
      <x:c r="E301" s="19" t="str">
        <x:v>已有官方边界，组件待核</x:v>
      </x:c>
      <x:c r="F301" s="19" t="str">
        <x:v>東銀座</x:v>
      </x:c>
      <x:c r="G301" s="18" t="str">
        <x:v>transport-node:837836dc-1da8-5313-bb75-65a4300785c0</x:v>
      </x:c>
    </x:row>
    <x:row r="302" ht="28" customHeight="1">
      <x:c r="A302" s="18" t="str">
        <x:v>東陽町</x:v>
      </x:c>
      <x:c r="B302" s="18" t="str">
        <x:v>東京地下鉄</x:v>
      </x:c>
      <x:c r="C302" s="18" t="str">
        <x:v>metro</x:v>
      </x:c>
      <x:c r="D302" s="18" t="str">
        <x:v>T1</x:v>
      </x:c>
      <x:c r="E302" s="19" t="str">
        <x:v>尚未建立 Hub 审核范围</x:v>
      </x:c>
      <x:c r="F302" s="19" t="str"/>
      <x:c r="G302" s="18" t="str">
        <x:v>transport-node:bf5cb8c3-5c3c-5edf-b857-efb39cdf4cc7</x:v>
      </x:c>
    </x:row>
    <x:row r="303" ht="28" customHeight="1">
      <x:c r="A303" s="18" t="str">
        <x:v>松戸</x:v>
      </x:c>
      <x:c r="B303" s="18" t="str">
        <x:v>新京成電鉄</x:v>
      </x:c>
      <x:c r="C303" s="18" t="str">
        <x:v>private_rail</x:v>
      </x:c>
      <x:c r="D303" s="18" t="str">
        <x:v>T1</x:v>
      </x:c>
      <x:c r="E303" s="19" t="str">
        <x:v>尚未建立 Hub 审核范围</x:v>
      </x:c>
      <x:c r="F303" s="19" t="str"/>
      <x:c r="G303" s="18" t="str">
        <x:v>transport-node:0581b84a-713c-574e-8478-09a484f40ac9</x:v>
      </x:c>
    </x:row>
    <x:row r="304" ht="28" customHeight="1">
      <x:c r="A304" s="18" t="str">
        <x:v>松戸</x:v>
      </x:c>
      <x:c r="B304" s="18" t="str">
        <x:v>東日本旅客鉄道</x:v>
      </x:c>
      <x:c r="C304" s="18" t="str">
        <x:v>conventional_rail</x:v>
      </x:c>
      <x:c r="D304" s="18" t="str">
        <x:v>T1</x:v>
      </x:c>
      <x:c r="E304" s="19" t="str">
        <x:v>尚未建立 Hub 审核范围</x:v>
      </x:c>
      <x:c r="F304" s="19" t="str"/>
      <x:c r="G304" s="18" t="str">
        <x:v>transport-node:939b0f91-eecc-5274-bf09-6b4388930aac</x:v>
      </x:c>
    </x:row>
    <x:row r="305" ht="28" customHeight="1">
      <x:c r="A305" s="18" t="str">
        <x:v>板橋</x:v>
      </x:c>
      <x:c r="B305" s="18" t="str">
        <x:v>東日本旅客鉄道</x:v>
      </x:c>
      <x:c r="C305" s="18" t="str">
        <x:v>conventional_rail</x:v>
      </x:c>
      <x:c r="D305" s="18" t="str">
        <x:v>T1</x:v>
      </x:c>
      <x:c r="E305" s="19" t="str">
        <x:v>尚未建立 Hub 审核范围</x:v>
      </x:c>
      <x:c r="F305" s="19" t="str"/>
      <x:c r="G305" s="18" t="str">
        <x:v>transport-node:1a28479f-9d6a-5c9c-b8ea-04d7c07eaceb</x:v>
      </x:c>
    </x:row>
    <x:row r="306" ht="28" customHeight="1">
      <x:c r="A306" s="18" t="str">
        <x:v>枚方市</x:v>
      </x:c>
      <x:c r="B306" s="18" t="str">
        <x:v>京阪電気鉄道</x:v>
      </x:c>
      <x:c r="C306" s="18" t="str">
        <x:v>private_rail</x:v>
      </x:c>
      <x:c r="D306" s="18" t="str">
        <x:v>T1</x:v>
      </x:c>
      <x:c r="E306" s="19" t="str">
        <x:v>尚未建立 Hub 审核范围</x:v>
      </x:c>
      <x:c r="F306" s="19" t="str"/>
      <x:c r="G306" s="18" t="str">
        <x:v>transport-node:7af95f7e-f40c-564e-9001-e6ffd0f9ddf4</x:v>
      </x:c>
    </x:row>
    <x:row r="307" ht="28" customHeight="1">
      <x:c r="A307" s="18" t="str">
        <x:v>柏</x:v>
      </x:c>
      <x:c r="B307" s="18" t="str">
        <x:v>東日本旅客鉄道</x:v>
      </x:c>
      <x:c r="C307" s="18" t="str">
        <x:v>conventional_rail</x:v>
      </x:c>
      <x:c r="D307" s="18" t="str">
        <x:v>T0</x:v>
      </x:c>
      <x:c r="E307" s="19" t="str">
        <x:v>已有官方边界，组件待核</x:v>
      </x:c>
      <x:c r="F307" s="19" t="str">
        <x:v>柏</x:v>
      </x:c>
      <x:c r="G307" s="18" t="str">
        <x:v>transport-node:0f93a4f9-bea6-5a64-85c8-71bc76e4e2d5</x:v>
      </x:c>
    </x:row>
    <x:row r="308" ht="28" customHeight="1">
      <x:c r="A308" s="18" t="str">
        <x:v>柏</x:v>
      </x:c>
      <x:c r="B308" s="18" t="str">
        <x:v>東武鉄道</x:v>
      </x:c>
      <x:c r="C308" s="18" t="str">
        <x:v>private_rail</x:v>
      </x:c>
      <x:c r="D308" s="18" t="str">
        <x:v>T1</x:v>
      </x:c>
      <x:c r="E308" s="19" t="str">
        <x:v>已有官方边界，组件待核</x:v>
      </x:c>
      <x:c r="F308" s="19" t="str">
        <x:v>柏</x:v>
      </x:c>
      <x:c r="G308" s="18" t="str">
        <x:v>transport-node:f7013ca6-dcad-5cdd-8d22-225ac8d4581e</x:v>
      </x:c>
    </x:row>
    <x:row r="309" ht="28" customHeight="1">
      <x:c r="A309" s="18" t="str">
        <x:v>栄</x:v>
      </x:c>
      <x:c r="B309" s="18" t="str">
        <x:v>名古屋市</x:v>
      </x:c>
      <x:c r="C309" s="18" t="str">
        <x:v>metro</x:v>
      </x:c>
      <x:c r="D309" s="18" t="str">
        <x:v>T0</x:v>
      </x:c>
      <x:c r="E309" s="19" t="str">
        <x:v>已有官方边界，组件待核</x:v>
      </x:c>
      <x:c r="F309" s="19" t="str">
        <x:v>栄・栄町</x:v>
      </x:c>
      <x:c r="G309" s="18" t="str">
        <x:v>transport-node:1ca11526-aca0-5d54-97d0-44708d9cf36a</x:v>
      </x:c>
    </x:row>
    <x:row r="310" ht="28" customHeight="1">
      <x:c r="A310" s="18" t="str">
        <x:v>桜新町</x:v>
      </x:c>
      <x:c r="B310" s="18" t="str">
        <x:v>東急電鉄</x:v>
      </x:c>
      <x:c r="C310" s="18" t="str">
        <x:v>private_rail</x:v>
      </x:c>
      <x:c r="D310" s="18" t="str">
        <x:v>T1</x:v>
      </x:c>
      <x:c r="E310" s="19" t="str">
        <x:v>尚未建立 Hub 审核范围</x:v>
      </x:c>
      <x:c r="F310" s="19" t="str"/>
      <x:c r="G310" s="18" t="str">
        <x:v>transport-node:4338a4f8-03fc-52e3-9303-4ad56f458cee</x:v>
      </x:c>
    </x:row>
    <x:row r="311" ht="28" customHeight="1">
      <x:c r="A311" s="18" t="str">
        <x:v>桜木町</x:v>
      </x:c>
      <x:c r="B311" s="18" t="str">
        <x:v>東日本旅客鉄道</x:v>
      </x:c>
      <x:c r="C311" s="18" t="str">
        <x:v>conventional_rail</x:v>
      </x:c>
      <x:c r="D311" s="18" t="str">
        <x:v>T1</x:v>
      </x:c>
      <x:c r="E311" s="19" t="str">
        <x:v>尚未建立 Hub 审核范围</x:v>
      </x:c>
      <x:c r="F311" s="19" t="str"/>
      <x:c r="G311" s="18" t="str">
        <x:v>transport-node:c5214927-5dda-569f-95ce-a164820832e6</x:v>
      </x:c>
    </x:row>
    <x:row r="312" ht="28" customHeight="1">
      <x:c r="A312" s="18" t="str">
        <x:v>梅田</x:v>
      </x:c>
      <x:c r="B312" s="18" t="str">
        <x:v>大阪市高速電気軌道</x:v>
      </x:c>
      <x:c r="C312" s="18" t="str">
        <x:v>metro</x:v>
      </x:c>
      <x:c r="D312" s="18" t="str">
        <x:v>T0</x:v>
      </x:c>
      <x:c r="E312" s="19" t="str">
        <x:v>已有官方边界，组件待核</x:v>
      </x:c>
      <x:c r="F312" s="19" t="str">
        <x:v>大阪・梅田</x:v>
      </x:c>
      <x:c r="G312" s="18" t="str">
        <x:v>transport-node:437f036e-b8cf-5e8e-a68c-a67fc7b9a7cf</x:v>
      </x:c>
    </x:row>
    <x:row r="313" ht="28" customHeight="1">
      <x:c r="A313" s="18" t="str">
        <x:v>森下</x:v>
      </x:c>
      <x:c r="B313" s="18" t="str">
        <x:v>東京都</x:v>
      </x:c>
      <x:c r="C313" s="18" t="str">
        <x:v>metro</x:v>
      </x:c>
      <x:c r="D313" s="18" t="str">
        <x:v>T1</x:v>
      </x:c>
      <x:c r="E313" s="19" t="str">
        <x:v>尚未建立 Hub 审核范围</x:v>
      </x:c>
      <x:c r="F313" s="19" t="str"/>
      <x:c r="G313" s="18" t="str">
        <x:v>transport-node:c8c9cd19-7927-5a3f-9071-952297dc5bbe</x:v>
      </x:c>
    </x:row>
    <x:row r="314" ht="28" customHeight="1">
      <x:c r="A314" s="18" t="str">
        <x:v>横浜</x:v>
      </x:c>
      <x:c r="B314" s="18" t="str">
        <x:v>京浜急行電鉄</x:v>
      </x:c>
      <x:c r="C314" s="18" t="str">
        <x:v>private_rail</x:v>
      </x:c>
      <x:c r="D314" s="18" t="str">
        <x:v>T0</x:v>
      </x:c>
      <x:c r="E314" s="19" t="str">
        <x:v>已有官方边界，组件待核</x:v>
      </x:c>
      <x:c r="F314" s="19" t="str">
        <x:v>横浜</x:v>
      </x:c>
      <x:c r="G314" s="18" t="str">
        <x:v>transport-node:bf678dbf-47c0-5c45-9bfc-ec780217121b</x:v>
      </x:c>
    </x:row>
    <x:row r="315" ht="28" customHeight="1">
      <x:c r="A315" s="18" t="str">
        <x:v>横浜</x:v>
      </x:c>
      <x:c r="B315" s="18" t="str">
        <x:v>東急電鉄</x:v>
      </x:c>
      <x:c r="C315" s="18" t="str">
        <x:v>private_rail</x:v>
      </x:c>
      <x:c r="D315" s="18" t="str">
        <x:v>T0</x:v>
      </x:c>
      <x:c r="E315" s="19" t="str">
        <x:v>已有官方边界，组件待核</x:v>
      </x:c>
      <x:c r="F315" s="19" t="str">
        <x:v>横浜</x:v>
      </x:c>
      <x:c r="G315" s="18" t="str">
        <x:v>transport-node:6ade422d-15dd-51d8-9573-ed3a7ea8f787</x:v>
      </x:c>
    </x:row>
    <x:row r="316" ht="28" customHeight="1">
      <x:c r="A316" s="18" t="str">
        <x:v>横浜</x:v>
      </x:c>
      <x:c r="B316" s="18" t="str">
        <x:v>東日本旅客鉄道</x:v>
      </x:c>
      <x:c r="C316" s="18" t="str">
        <x:v>conventional_rail</x:v>
      </x:c>
      <x:c r="D316" s="18" t="str">
        <x:v>T0</x:v>
      </x:c>
      <x:c r="E316" s="19" t="str">
        <x:v>已有官方边界，组件待核</x:v>
      </x:c>
      <x:c r="F316" s="19" t="str">
        <x:v>横浜</x:v>
      </x:c>
      <x:c r="G316" s="18" t="str">
        <x:v>transport-node:55b953b1-ed09-50c0-a500-4a1e77e2d01e</x:v>
      </x:c>
    </x:row>
    <x:row r="317" ht="28" customHeight="1">
      <x:c r="A317" s="18" t="str">
        <x:v>横浜</x:v>
      </x:c>
      <x:c r="B317" s="18" t="str">
        <x:v>横浜市</x:v>
      </x:c>
      <x:c r="C317" s="18" t="str">
        <x:v>metro</x:v>
      </x:c>
      <x:c r="D317" s="18" t="str">
        <x:v>T1</x:v>
      </x:c>
      <x:c r="E317" s="19" t="str">
        <x:v>已有官方边界，组件待核</x:v>
      </x:c>
      <x:c r="F317" s="19" t="str">
        <x:v>横浜</x:v>
      </x:c>
      <x:c r="G317" s="18" t="str">
        <x:v>transport-node:62724ba3-898f-581d-9d70-f0dac4adbddc</x:v>
      </x:c>
    </x:row>
    <x:row r="318" ht="28" customHeight="1">
      <x:c r="A318" s="18" t="str">
        <x:v>横浜</x:v>
      </x:c>
      <x:c r="B318" s="18" t="str">
        <x:v>相模鉄道</x:v>
      </x:c>
      <x:c r="C318" s="18" t="str">
        <x:v>private_rail</x:v>
      </x:c>
      <x:c r="D318" s="18" t="str">
        <x:v>T0</x:v>
      </x:c>
      <x:c r="E318" s="19" t="str">
        <x:v>已有官方边界，组件待核</x:v>
      </x:c>
      <x:c r="F318" s="19" t="str">
        <x:v>横浜</x:v>
      </x:c>
      <x:c r="G318" s="18" t="str">
        <x:v>transport-node:763251e7-de92-56cc-b55b-3c2495650766</x:v>
      </x:c>
    </x:row>
    <x:row r="319" ht="28" customHeight="1">
      <x:c r="A319" s="18" t="str">
        <x:v>横須賀中央</x:v>
      </x:c>
      <x:c r="B319" s="18" t="str">
        <x:v>京浜急行電鉄</x:v>
      </x:c>
      <x:c r="C319" s="18" t="str">
        <x:v>private_rail</x:v>
      </x:c>
      <x:c r="D319" s="18" t="str">
        <x:v>T1</x:v>
      </x:c>
      <x:c r="E319" s="19" t="str">
        <x:v>尚未建立 Hub 审核范围</x:v>
      </x:c>
      <x:c r="F319" s="19" t="str"/>
      <x:c r="G319" s="18" t="str">
        <x:v>transport-node:f66d6d5d-f049-5dda-bd0d-5c8ece453694</x:v>
      </x:c>
    </x:row>
    <x:row r="320" ht="28" customHeight="1">
      <x:c r="A320" s="18" t="str">
        <x:v>橋本</x:v>
      </x:c>
      <x:c r="B320" s="18" t="str">
        <x:v>京王電鉄</x:v>
      </x:c>
      <x:c r="C320" s="18" t="str">
        <x:v>private_rail</x:v>
      </x:c>
      <x:c r="D320" s="18" t="str">
        <x:v>T1</x:v>
      </x:c>
      <x:c r="E320" s="19" t="str">
        <x:v>已有官方边界，组件待核</x:v>
      </x:c>
      <x:c r="F320" s="19" t="str">
        <x:v>橋本</x:v>
      </x:c>
      <x:c r="G320" s="18" t="str">
        <x:v>transport-node:8d44b98d-f5f7-53ee-b7e6-10393e409a86</x:v>
      </x:c>
    </x:row>
    <x:row r="321" ht="28" customHeight="1">
      <x:c r="A321" s="18" t="str">
        <x:v>橋本</x:v>
      </x:c>
      <x:c r="B321" s="18" t="str">
        <x:v>東日本旅客鉄道</x:v>
      </x:c>
      <x:c r="C321" s="18" t="str">
        <x:v>conventional_rail</x:v>
      </x:c>
      <x:c r="D321" s="18" t="str">
        <x:v>T1</x:v>
      </x:c>
      <x:c r="E321" s="19" t="str">
        <x:v>已有官方边界，组件待核</x:v>
      </x:c>
      <x:c r="F321" s="19" t="str">
        <x:v>橋本</x:v>
      </x:c>
      <x:c r="G321" s="18" t="str">
        <x:v>transport-node:45010fc2-4dab-5a1b-b387-d07977ac2abb</x:v>
      </x:c>
    </x:row>
    <x:row r="322" ht="28" customHeight="1">
      <x:c r="A322" s="18" t="str">
        <x:v>武蔵中原</x:v>
      </x:c>
      <x:c r="B322" s="18" t="str">
        <x:v>東日本旅客鉄道</x:v>
      </x:c>
      <x:c r="C322" s="18" t="str">
        <x:v>conventional_rail</x:v>
      </x:c>
      <x:c r="D322" s="18" t="str">
        <x:v>T1</x:v>
      </x:c>
      <x:c r="E322" s="19" t="str">
        <x:v>尚未建立 Hub 审核范围</x:v>
      </x:c>
      <x:c r="F322" s="19" t="str"/>
      <x:c r="G322" s="18" t="str">
        <x:v>transport-node:e452ec1b-3f88-51db-babf-c045ea69f98f</x:v>
      </x:c>
    </x:row>
    <x:row r="323" ht="28" customHeight="1">
      <x:c r="A323" s="18" t="str">
        <x:v>武蔵境</x:v>
      </x:c>
      <x:c r="B323" s="18" t="str">
        <x:v>東日本旅客鉄道</x:v>
      </x:c>
      <x:c r="C323" s="18" t="str">
        <x:v>conventional_rail</x:v>
      </x:c>
      <x:c r="D323" s="18" t="str">
        <x:v>T1</x:v>
      </x:c>
      <x:c r="E323" s="19" t="str">
        <x:v>已有官方边界，组件待核</x:v>
      </x:c>
      <x:c r="F323" s="19" t="str">
        <x:v>武蔵境</x:v>
      </x:c>
      <x:c r="G323" s="18" t="str">
        <x:v>transport-node:daf4fe58-fdc9-5930-b12d-fcf5618eb64b</x:v>
      </x:c>
    </x:row>
    <x:row r="324" ht="28" customHeight="1">
      <x:c r="A324" s="18" t="str">
        <x:v>武蔵小山</x:v>
      </x:c>
      <x:c r="B324" s="18" t="str">
        <x:v>東急電鉄</x:v>
      </x:c>
      <x:c r="C324" s="18" t="str">
        <x:v>private_rail</x:v>
      </x:c>
      <x:c r="D324" s="18" t="str">
        <x:v>T1</x:v>
      </x:c>
      <x:c r="E324" s="19" t="str">
        <x:v>尚未建立 Hub 审核范围</x:v>
      </x:c>
      <x:c r="F324" s="19" t="str"/>
      <x:c r="G324" s="18" t="str">
        <x:v>transport-node:36390b80-2921-5b15-8bf8-cc1995732a40</x:v>
      </x:c>
    </x:row>
    <x:row r="325" ht="28" customHeight="1">
      <x:c r="A325" s="18" t="str">
        <x:v>武蔵小杉</x:v>
      </x:c>
      <x:c r="B325" s="18" t="str">
        <x:v>東急電鉄</x:v>
      </x:c>
      <x:c r="C325" s="18" t="str">
        <x:v>private_rail</x:v>
      </x:c>
      <x:c r="D325" s="18" t="str">
        <x:v>T0</x:v>
      </x:c>
      <x:c r="E325" s="19" t="str">
        <x:v>已有官方边界，组件待核</x:v>
      </x:c>
      <x:c r="F325" s="19" t="str">
        <x:v>武蔵小杉</x:v>
      </x:c>
      <x:c r="G325" s="18" t="str">
        <x:v>transport-node:45675db2-9181-5a4c-abc8-9b343bb334ea</x:v>
      </x:c>
    </x:row>
    <x:row r="326" ht="28" customHeight="1">
      <x:c r="A326" s="18" t="str">
        <x:v>武蔵小杉</x:v>
      </x:c>
      <x:c r="B326" s="18" t="str">
        <x:v>東日本旅客鉄道</x:v>
      </x:c>
      <x:c r="C326" s="18" t="str">
        <x:v>conventional_rail</x:v>
      </x:c>
      <x:c r="D326" s="18" t="str">
        <x:v>T0</x:v>
      </x:c>
      <x:c r="E326" s="19" t="str">
        <x:v>已有官方边界，组件待核</x:v>
      </x:c>
      <x:c r="F326" s="19" t="str">
        <x:v>武蔵小杉</x:v>
      </x:c>
      <x:c r="G326" s="18" t="str">
        <x:v>transport-node:4c65bd18-bdbc-5ceb-9b29-9ef1e5a0619b</x:v>
      </x:c>
    </x:row>
    <x:row r="327" ht="28" customHeight="1">
      <x:c r="A327" s="18" t="str">
        <x:v>武蔵小金井</x:v>
      </x:c>
      <x:c r="B327" s="18" t="str">
        <x:v>東日本旅客鉄道</x:v>
      </x:c>
      <x:c r="C327" s="18" t="str">
        <x:v>conventional_rail</x:v>
      </x:c>
      <x:c r="D327" s="18" t="str">
        <x:v>T1</x:v>
      </x:c>
      <x:c r="E327" s="19" t="str">
        <x:v>尚未建立 Hub 审核范围</x:v>
      </x:c>
      <x:c r="F327" s="19" t="str"/>
      <x:c r="G327" s="18" t="str">
        <x:v>transport-node:4239db45-7fda-5cad-9110-93d66f6bfc1b</x:v>
      </x:c>
    </x:row>
    <x:row r="328" ht="28" customHeight="1">
      <x:c r="A328" s="18" t="str">
        <x:v>武蔵新城</x:v>
      </x:c>
      <x:c r="B328" s="18" t="str">
        <x:v>東日本旅客鉄道</x:v>
      </x:c>
      <x:c r="C328" s="18" t="str">
        <x:v>conventional_rail</x:v>
      </x:c>
      <x:c r="D328" s="18" t="str">
        <x:v>T1</x:v>
      </x:c>
      <x:c r="E328" s="19" t="str">
        <x:v>尚未建立 Hub 审核范围</x:v>
      </x:c>
      <x:c r="F328" s="19" t="str"/>
      <x:c r="G328" s="18" t="str">
        <x:v>transport-node:4b66f645-37b3-51db-aac1-50f2e680aaaf</x:v>
      </x:c>
    </x:row>
    <x:row r="329" ht="28" customHeight="1">
      <x:c r="A329" s="18" t="str">
        <x:v>武蔵浦和</x:v>
      </x:c>
      <x:c r="B329" s="18" t="str">
        <x:v>東日本旅客鉄道</x:v>
      </x:c>
      <x:c r="C329" s="18" t="str">
        <x:v>conventional_rail</x:v>
      </x:c>
      <x:c r="D329" s="18" t="str">
        <x:v>T1</x:v>
      </x:c>
      <x:c r="E329" s="19" t="str">
        <x:v>尚未建立 Hub 审核范围</x:v>
      </x:c>
      <x:c r="F329" s="19" t="str"/>
      <x:c r="G329" s="18" t="str">
        <x:v>transport-node:e86d3399-1230-5120-8788-cb0dbfedced3</x:v>
      </x:c>
    </x:row>
    <x:row r="330" ht="28" customHeight="1">
      <x:c r="A330" s="18" t="str">
        <x:v>武蔵溝ノ口</x:v>
      </x:c>
      <x:c r="B330" s="18" t="str">
        <x:v>東日本旅客鉄道</x:v>
      </x:c>
      <x:c r="C330" s="18" t="str">
        <x:v>conventional_rail</x:v>
      </x:c>
      <x:c r="D330" s="18" t="str">
        <x:v>T1</x:v>
      </x:c>
      <x:c r="E330" s="19" t="str">
        <x:v>已有官方边界，组件待核</x:v>
      </x:c>
      <x:c r="F330" s="19" t="str">
        <x:v>溝の口・武蔵溝ノ口</x:v>
      </x:c>
      <x:c r="G330" s="18" t="str">
        <x:v>transport-node:bd301954-5414-5fac-8a38-b8b09783b761</x:v>
      </x:c>
    </x:row>
    <x:row r="331" ht="28" customHeight="1">
      <x:c r="A331" s="18" t="str">
        <x:v>水天宮前</x:v>
      </x:c>
      <x:c r="B331" s="18" t="str">
        <x:v>東京地下鉄</x:v>
      </x:c>
      <x:c r="C331" s="18" t="str">
        <x:v>metro</x:v>
      </x:c>
      <x:c r="D331" s="18" t="str">
        <x:v>T1</x:v>
      </x:c>
      <x:c r="E331" s="19" t="str">
        <x:v>已有官方边界，组件待核</x:v>
      </x:c>
      <x:c r="F331" s="19" t="str">
        <x:v>人形町・水天宮前</x:v>
      </x:c>
      <x:c r="G331" s="18" t="str">
        <x:v>transport-node:d0c03f83-055b-56dc-b7e3-d1a5aaa1f1da</x:v>
      </x:c>
    </x:row>
    <x:row r="332" ht="28" customHeight="1">
      <x:c r="A332" s="18" t="str">
        <x:v>水戸</x:v>
      </x:c>
      <x:c r="B332" s="18" t="str">
        <x:v>東日本旅客鉄道</x:v>
      </x:c>
      <x:c r="C332" s="18" t="str">
        <x:v>conventional_rail</x:v>
      </x:c>
      <x:c r="D332" s="18" t="str">
        <x:v>T1</x:v>
      </x:c>
      <x:c r="E332" s="19" t="str">
        <x:v>尚未建立 Hub 审核范围</x:v>
      </x:c>
      <x:c r="F332" s="19" t="str"/>
      <x:c r="G332" s="18" t="str">
        <x:v>transport-node:911abb0f-6d9d-55f3-8f0e-20f3530233c4</x:v>
      </x:c>
    </x:row>
    <x:row r="333" ht="28" customHeight="1">
      <x:c r="A333" s="18" t="str">
        <x:v>水道橋</x:v>
      </x:c>
      <x:c r="B333" s="18" t="str">
        <x:v>東日本旅客鉄道</x:v>
      </x:c>
      <x:c r="C333" s="18" t="str">
        <x:v>conventional_rail</x:v>
      </x:c>
      <x:c r="D333" s="18" t="str">
        <x:v>T1</x:v>
      </x:c>
      <x:c r="E333" s="19" t="str">
        <x:v>已有官方边界，组件待核</x:v>
      </x:c>
      <x:c r="F333" s="19" t="str">
        <x:v>水道橋</x:v>
      </x:c>
      <x:c r="G333" s="18" t="str">
        <x:v>transport-node:4d4604a3-db69-55db-9c27-b8cfbca3868a</x:v>
      </x:c>
    </x:row>
    <x:row r="334" ht="28" customHeight="1">
      <x:c r="A334" s="18" t="str">
        <x:v>永田町</x:v>
      </x:c>
      <x:c r="B334" s="18" t="str">
        <x:v>東京地下鉄</x:v>
      </x:c>
      <x:c r="C334" s="18" t="str">
        <x:v>metro</x:v>
      </x:c>
      <x:c r="D334" s="18" t="str">
        <x:v>T1</x:v>
      </x:c>
      <x:c r="E334" s="19" t="str">
        <x:v>已有官方边界，组件待核</x:v>
      </x:c>
      <x:c r="F334" s="19" t="str">
        <x:v>赤坂見附・永田町</x:v>
      </x:c>
      <x:c r="G334" s="18" t="str">
        <x:v>transport-node:e1952d70-ff8c-5235-9f10-9239b312dac4</x:v>
      </x:c>
    </x:row>
    <x:row r="335" ht="28" customHeight="1">
      <x:c r="A335" s="18" t="str">
        <x:v>江坂</x:v>
      </x:c>
      <x:c r="B335" s="18" t="str">
        <x:v>大阪市高速電気軌道</x:v>
      </x:c>
      <x:c r="C335" s="18" t="str">
        <x:v>metro</x:v>
      </x:c>
      <x:c r="D335" s="18" t="str">
        <x:v>T1</x:v>
      </x:c>
      <x:c r="E335" s="19" t="str">
        <x:v>已有官方边界，组件待核</x:v>
      </x:c>
      <x:c r="F335" s="19" t="str">
        <x:v>江坂</x:v>
      </x:c>
      <x:c r="G335" s="18" t="str">
        <x:v>transport-node:884fa71c-d31e-50a4-aa42-4644f505268d</x:v>
      </x:c>
    </x:row>
    <x:row r="336" ht="28" customHeight="1">
      <x:c r="A336" s="18" t="str">
        <x:v>池尻大橋</x:v>
      </x:c>
      <x:c r="B336" s="18" t="str">
        <x:v>東急電鉄</x:v>
      </x:c>
      <x:c r="C336" s="18" t="str">
        <x:v>private_rail</x:v>
      </x:c>
      <x:c r="D336" s="18" t="str">
        <x:v>T1</x:v>
      </x:c>
      <x:c r="E336" s="19" t="str">
        <x:v>尚未建立 Hub 审核范围</x:v>
      </x:c>
      <x:c r="F336" s="19" t="str"/>
      <x:c r="G336" s="18" t="str">
        <x:v>transport-node:f93fcc35-d6b7-5a7a-a0bf-e1de385e1e81</x:v>
      </x:c>
    </x:row>
    <x:row r="337" ht="28" customHeight="1">
      <x:c r="A337" s="18" t="str">
        <x:v>池袋</x:v>
      </x:c>
      <x:c r="B337" s="18" t="str">
        <x:v>東京地下鉄</x:v>
      </x:c>
      <x:c r="C337" s="18" t="str">
        <x:v>metro</x:v>
      </x:c>
      <x:c r="D337" s="18" t="str">
        <x:v>T0</x:v>
      </x:c>
      <x:c r="E337" s="19" t="str">
        <x:v>已有官方边界，组件待核</x:v>
      </x:c>
      <x:c r="F337" s="19" t="str">
        <x:v>池袋</x:v>
      </x:c>
      <x:c r="G337" s="18" t="str">
        <x:v>transport-node:4ca02af6-f068-57dd-ae7a-24f409143d60</x:v>
      </x:c>
    </x:row>
    <x:row r="338" ht="28" customHeight="1">
      <x:c r="A338" s="18" t="str">
        <x:v>池袋</x:v>
      </x:c>
      <x:c r="B338" s="18" t="str">
        <x:v>東日本旅客鉄道</x:v>
      </x:c>
      <x:c r="C338" s="18" t="str">
        <x:v>conventional_rail</x:v>
      </x:c>
      <x:c r="D338" s="18" t="str">
        <x:v>T0</x:v>
      </x:c>
      <x:c r="E338" s="19" t="str">
        <x:v>已有官方边界，组件待核</x:v>
      </x:c>
      <x:c r="F338" s="19" t="str">
        <x:v>池袋</x:v>
      </x:c>
      <x:c r="G338" s="18" t="str">
        <x:v>transport-node:e68658f5-4e44-5930-adde-4cf758ba7f0c</x:v>
      </x:c>
    </x:row>
    <x:row r="339" ht="28" customHeight="1">
      <x:c r="A339" s="18" t="str">
        <x:v>池袋</x:v>
      </x:c>
      <x:c r="B339" s="18" t="str">
        <x:v>東武鉄道</x:v>
      </x:c>
      <x:c r="C339" s="18" t="str">
        <x:v>private_rail</x:v>
      </x:c>
      <x:c r="D339" s="18" t="str">
        <x:v>T0</x:v>
      </x:c>
      <x:c r="E339" s="19" t="str">
        <x:v>已有官方边界，组件待核</x:v>
      </x:c>
      <x:c r="F339" s="19" t="str">
        <x:v>池袋</x:v>
      </x:c>
      <x:c r="G339" s="18" t="str">
        <x:v>transport-node:5665115e-6726-59df-9b08-f2ca202435c6</x:v>
      </x:c>
    </x:row>
    <x:row r="340" ht="28" customHeight="1">
      <x:c r="A340" s="18" t="str">
        <x:v>池袋</x:v>
      </x:c>
      <x:c r="B340" s="18" t="str">
        <x:v>西武鉄道</x:v>
      </x:c>
      <x:c r="C340" s="18" t="str">
        <x:v>private_rail</x:v>
      </x:c>
      <x:c r="D340" s="18" t="str">
        <x:v>T0</x:v>
      </x:c>
      <x:c r="E340" s="19" t="str">
        <x:v>已有官方边界，组件待核</x:v>
      </x:c>
      <x:c r="F340" s="19" t="str">
        <x:v>池袋</x:v>
      </x:c>
      <x:c r="G340" s="18" t="str">
        <x:v>transport-node:bfffffd3-3663-529d-bea1-1dca16f7ff20</x:v>
      </x:c>
    </x:row>
    <x:row r="341" ht="28" customHeight="1">
      <x:c r="A341" s="18" t="str">
        <x:v>津田沼</x:v>
      </x:c>
      <x:c r="B341" s="18" t="str">
        <x:v>東日本旅客鉄道</x:v>
      </x:c>
      <x:c r="C341" s="18" t="str">
        <x:v>conventional_rail</x:v>
      </x:c>
      <x:c r="D341" s="18" t="str">
        <x:v>T1</x:v>
      </x:c>
      <x:c r="E341" s="19" t="str">
        <x:v>尚未建立 Hub 审核范围</x:v>
      </x:c>
      <x:c r="F341" s="19" t="str"/>
      <x:c r="G341" s="18" t="str">
        <x:v>transport-node:da8c1f59-3eb7-5b7d-8789-a82553c279e4</x:v>
      </x:c>
    </x:row>
    <x:row r="342" ht="28" customHeight="1">
      <x:c r="A342" s="18" t="str">
        <x:v>流山おおたかの森</x:v>
      </x:c>
      <x:c r="B342" s="18" t="str">
        <x:v>東武鉄道</x:v>
      </x:c>
      <x:c r="C342" s="18" t="str">
        <x:v>private_rail</x:v>
      </x:c>
      <x:c r="D342" s="18" t="str">
        <x:v>T1</x:v>
      </x:c>
      <x:c r="E342" s="19" t="str">
        <x:v>已有官方边界，组件待核</x:v>
      </x:c>
      <x:c r="F342" s="19" t="str">
        <x:v>流山おおたかの森</x:v>
      </x:c>
      <x:c r="G342" s="18" t="str">
        <x:v>transport-node:b578e794-973a-53b7-aad5-251a40a884c2</x:v>
      </x:c>
    </x:row>
    <x:row r="343" ht="28" customHeight="1">
      <x:c r="A343" s="18" t="str">
        <x:v>流山おおたかの森</x:v>
      </x:c>
      <x:c r="B343" s="18" t="str">
        <x:v>首都圏新都市鉄道</x:v>
      </x:c>
      <x:c r="C343" s="18" t="str">
        <x:v>private_rail</x:v>
      </x:c>
      <x:c r="D343" s="18" t="str">
        <x:v>T1</x:v>
      </x:c>
      <x:c r="E343" s="19" t="str">
        <x:v>已有官方边界，组件待核</x:v>
      </x:c>
      <x:c r="F343" s="19" t="str">
        <x:v>流山おおたかの森</x:v>
      </x:c>
      <x:c r="G343" s="18" t="str">
        <x:v>transport-node:829814d8-7c42-5b15-b802-1e613af124b3</x:v>
      </x:c>
    </x:row>
    <x:row r="344" ht="28" customHeight="1">
      <x:c r="A344" s="18" t="str">
        <x:v>浅草</x:v>
      </x:c>
      <x:c r="B344" s="18" t="str">
        <x:v>東京地下鉄</x:v>
      </x:c>
      <x:c r="C344" s="18" t="str">
        <x:v>metro</x:v>
      </x:c>
      <x:c r="D344" s="18" t="str">
        <x:v>T1</x:v>
      </x:c>
      <x:c r="E344" s="19" t="str">
        <x:v>已有官方边界，组件待核</x:v>
      </x:c>
      <x:c r="F344" s="19" t="str">
        <x:v>浅草</x:v>
      </x:c>
      <x:c r="G344" s="18" t="str">
        <x:v>transport-node:609683d9-9ea5-54ea-9854-1564d292c74e</x:v>
      </x:c>
    </x:row>
    <x:row r="345" ht="28" customHeight="1">
      <x:c r="A345" s="18" t="str">
        <x:v>浅草</x:v>
      </x:c>
      <x:c r="B345" s="18" t="str">
        <x:v>東京都</x:v>
      </x:c>
      <x:c r="C345" s="18" t="str">
        <x:v>metro</x:v>
      </x:c>
      <x:c r="D345" s="18" t="str">
        <x:v>T1</x:v>
      </x:c>
      <x:c r="E345" s="19" t="str">
        <x:v>已有官方边界，组件待核</x:v>
      </x:c>
      <x:c r="F345" s="19" t="str">
        <x:v>浅草</x:v>
      </x:c>
      <x:c r="G345" s="18" t="str">
        <x:v>transport-node:3fb3071e-dd49-54e8-a598-032763393334</x:v>
      </x:c>
    </x:row>
    <x:row r="346" ht="28" customHeight="1">
      <x:c r="A346" s="18" t="str">
        <x:v>浅草橋</x:v>
      </x:c>
      <x:c r="B346" s="18" t="str">
        <x:v>東日本旅客鉄道</x:v>
      </x:c>
      <x:c r="C346" s="18" t="str">
        <x:v>conventional_rail</x:v>
      </x:c>
      <x:c r="D346" s="18" t="str">
        <x:v>T1</x:v>
      </x:c>
      <x:c r="E346" s="19" t="str">
        <x:v>已有官方边界，组件待核</x:v>
      </x:c>
      <x:c r="F346" s="19" t="str">
        <x:v>浅草橋</x:v>
      </x:c>
      <x:c r="G346" s="18" t="str">
        <x:v>transport-node:7346b547-dcb3-51e8-9a04-f47768ebb81d</x:v>
      </x:c>
    </x:row>
    <x:row r="347" ht="28" customHeight="1">
      <x:c r="A347" s="18" t="str">
        <x:v>浜松</x:v>
      </x:c>
      <x:c r="B347" s="18" t="str">
        <x:v>東海旅客鉄道</x:v>
      </x:c>
      <x:c r="C347" s="18" t="str">
        <x:v>conventional_rail</x:v>
      </x:c>
      <x:c r="D347" s="18" t="str">
        <x:v>T1</x:v>
      </x:c>
      <x:c r="E347" s="19" t="str">
        <x:v>尚未建立 Hub 审核范围</x:v>
      </x:c>
      <x:c r="F347" s="19" t="str"/>
      <x:c r="G347" s="18" t="str">
        <x:v>transport-node:4749b2f7-24e5-59db-92d5-c10f5663f76f</x:v>
      </x:c>
    </x:row>
    <x:row r="348" ht="28" customHeight="1">
      <x:c r="A348" s="18" t="str">
        <x:v>浜松町</x:v>
      </x:c>
      <x:c r="B348" s="18" t="str">
        <x:v>東日本旅客鉄道</x:v>
      </x:c>
      <x:c r="C348" s="18" t="str">
        <x:v>conventional_rail</x:v>
      </x:c>
      <x:c r="D348" s="18" t="str">
        <x:v>T0</x:v>
      </x:c>
      <x:c r="E348" s="19" t="str">
        <x:v>已有官方边界，组件待核</x:v>
      </x:c>
      <x:c r="F348" s="19" t="str">
        <x:v>浜松町・大門</x:v>
      </x:c>
      <x:c r="G348" s="18" t="str">
        <x:v>transport-node:d28ca941-f596-5102-b904-00db813ac340</x:v>
      </x:c>
    </x:row>
    <x:row r="349" ht="28" customHeight="1">
      <x:c r="A349" s="18" t="str">
        <x:v>浦和</x:v>
      </x:c>
      <x:c r="B349" s="18" t="str">
        <x:v>東日本旅客鉄道</x:v>
      </x:c>
      <x:c r="C349" s="18" t="str">
        <x:v>conventional_rail</x:v>
      </x:c>
      <x:c r="D349" s="18" t="str">
        <x:v>T1</x:v>
      </x:c>
      <x:c r="E349" s="19" t="str">
        <x:v>尚未建立 Hub 审核范围</x:v>
      </x:c>
      <x:c r="F349" s="19" t="str"/>
      <x:c r="G349" s="18" t="str">
        <x:v>transport-node:2df3776d-e526-5a1d-89d4-f4f85db80430</x:v>
      </x:c>
    </x:row>
    <x:row r="350" ht="28" customHeight="1">
      <x:c r="A350" s="18" t="str">
        <x:v>浦安</x:v>
      </x:c>
      <x:c r="B350" s="18" t="str">
        <x:v>東京地下鉄</x:v>
      </x:c>
      <x:c r="C350" s="18" t="str">
        <x:v>metro</x:v>
      </x:c>
      <x:c r="D350" s="18" t="str">
        <x:v>T1</x:v>
      </x:c>
      <x:c r="E350" s="19" t="str">
        <x:v>尚未建立 Hub 审核范围</x:v>
      </x:c>
      <x:c r="F350" s="19" t="str"/>
      <x:c r="G350" s="18" t="str">
        <x:v>transport-node:adcd35a1-a413-5533-b24f-c8c018b4bbcc</x:v>
      </x:c>
    </x:row>
    <x:row r="351" ht="28" customHeight="1">
      <x:c r="A351" s="18" t="str">
        <x:v>海浜幕張</x:v>
      </x:c>
      <x:c r="B351" s="18" t="str">
        <x:v>東日本旅客鉄道</x:v>
      </x:c>
      <x:c r="C351" s="18" t="str">
        <x:v>conventional_rail</x:v>
      </x:c>
      <x:c r="D351" s="18" t="str">
        <x:v>T1</x:v>
      </x:c>
      <x:c r="E351" s="19" t="str">
        <x:v>尚未建立 Hub 审核范围</x:v>
      </x:c>
      <x:c r="F351" s="19" t="str"/>
      <x:c r="G351" s="18" t="str">
        <x:v>transport-node:b549e4fa-75db-5fda-94e5-a1daca0a7793</x:v>
      </x:c>
    </x:row>
    <x:row r="352" ht="28" customHeight="1">
      <x:c r="A352" s="18" t="str">
        <x:v>海老名</x:v>
      </x:c>
      <x:c r="B352" s="18" t="str">
        <x:v>小田急電鉄</x:v>
      </x:c>
      <x:c r="C352" s="18" t="str">
        <x:v>private_rail</x:v>
      </x:c>
      <x:c r="D352" s="18" t="str">
        <x:v>T1</x:v>
      </x:c>
      <x:c r="E352" s="19" t="str">
        <x:v>已有官方边界，组件待核</x:v>
      </x:c>
      <x:c r="F352" s="19" t="str">
        <x:v>海老名</x:v>
      </x:c>
      <x:c r="G352" s="18" t="str">
        <x:v>transport-node:7771f3fe-73ac-571a-9579-28a8bfe67aad</x:v>
      </x:c>
    </x:row>
    <x:row r="353" ht="28" customHeight="1">
      <x:c r="A353" s="18" t="str">
        <x:v>海老名</x:v>
      </x:c>
      <x:c r="B353" s="18" t="str">
        <x:v>相模鉄道</x:v>
      </x:c>
      <x:c r="C353" s="18" t="str">
        <x:v>private_rail</x:v>
      </x:c>
      <x:c r="D353" s="18" t="str">
        <x:v>T1</x:v>
      </x:c>
      <x:c r="E353" s="19" t="str">
        <x:v>已有官方边界，组件待核</x:v>
      </x:c>
      <x:c r="F353" s="19" t="str">
        <x:v>海老名</x:v>
      </x:c>
      <x:c r="G353" s="18" t="str">
        <x:v>transport-node:934567d9-8d2b-5eba-8f39-42baf6b01cdc</x:v>
      </x:c>
    </x:row>
    <x:row r="354" ht="28" customHeight="1">
      <x:c r="A354" s="18" t="str">
        <x:v>淀屋橋</x:v>
      </x:c>
      <x:c r="B354" s="18" t="str">
        <x:v>京阪電気鉄道</x:v>
      </x:c>
      <x:c r="C354" s="18" t="str">
        <x:v>private_rail</x:v>
      </x:c>
      <x:c r="D354" s="18" t="str">
        <x:v>T1</x:v>
      </x:c>
      <x:c r="E354" s="19" t="str">
        <x:v>已有官方边界，组件待核</x:v>
      </x:c>
      <x:c r="F354" s="19" t="str">
        <x:v>淀屋橋</x:v>
      </x:c>
      <x:c r="G354" s="18" t="str">
        <x:v>transport-node:79f40988-6e90-5550-9af0-7e7faa0b7b07</x:v>
      </x:c>
    </x:row>
    <x:row r="355" ht="28" customHeight="1">
      <x:c r="A355" s="18" t="str">
        <x:v>淀屋橋</x:v>
      </x:c>
      <x:c r="B355" s="18" t="str">
        <x:v>大阪市高速電気軌道</x:v>
      </x:c>
      <x:c r="C355" s="18" t="str">
        <x:v>metro</x:v>
      </x:c>
      <x:c r="D355" s="18" t="str">
        <x:v>T0</x:v>
      </x:c>
      <x:c r="E355" s="19" t="str">
        <x:v>已有官方边界，组件待核</x:v>
      </x:c>
      <x:c r="F355" s="19" t="str">
        <x:v>淀屋橋</x:v>
      </x:c>
      <x:c r="G355" s="18" t="str">
        <x:v>transport-node:eb9763a9-be48-5cc1-8ded-09792114a357</x:v>
      </x:c>
    </x:row>
    <x:row r="356" ht="28" customHeight="1">
      <x:c r="A356" s="18" t="str">
        <x:v>淡路町</x:v>
      </x:c>
      <x:c r="B356" s="18" t="str">
        <x:v>東京地下鉄</x:v>
      </x:c>
      <x:c r="C356" s="18" t="str">
        <x:v>metro</x:v>
      </x:c>
      <x:c r="D356" s="18" t="str">
        <x:v>T1</x:v>
      </x:c>
      <x:c r="E356" s="19" t="str">
        <x:v>尚未建立 Hub 审核范围</x:v>
      </x:c>
      <x:c r="F356" s="19" t="str"/>
      <x:c r="G356" s="18" t="str">
        <x:v>transport-node:ecbb113a-7ae7-566d-b4d5-b2c0d9ba3918</x:v>
      </x:c>
    </x:row>
    <x:row r="357" ht="28" customHeight="1">
      <x:c r="A357" s="18" t="str">
        <x:v>淵野辺</x:v>
      </x:c>
      <x:c r="B357" s="18" t="str">
        <x:v>東日本旅客鉄道</x:v>
      </x:c>
      <x:c r="C357" s="18" t="str">
        <x:v>conventional_rail</x:v>
      </x:c>
      <x:c r="D357" s="18" t="str">
        <x:v>T1</x:v>
      </x:c>
      <x:c r="E357" s="19" t="str">
        <x:v>尚未建立 Hub 审核范围</x:v>
      </x:c>
      <x:c r="F357" s="19" t="str"/>
      <x:c r="G357" s="18" t="str">
        <x:v>transport-node:2e811af0-fe8a-5f2a-92ad-bea3c9c0033c</x:v>
      </x:c>
    </x:row>
    <x:row r="358" ht="28" customHeight="1">
      <x:c r="A358" s="18" t="str">
        <x:v>清澄白河</x:v>
      </x:c>
      <x:c r="B358" s="18" t="str">
        <x:v>東京地下鉄</x:v>
      </x:c>
      <x:c r="C358" s="18" t="str">
        <x:v>metro</x:v>
      </x:c>
      <x:c r="D358" s="18" t="str">
        <x:v>T1</x:v>
      </x:c>
      <x:c r="E358" s="19" t="str">
        <x:v>已有官方边界，组件待核</x:v>
      </x:c>
      <x:c r="F358" s="19" t="str">
        <x:v>清澄白河</x:v>
      </x:c>
      <x:c r="G358" s="18" t="str">
        <x:v>transport-node:09e616b2-c307-586a-ae08-9e9f5e75febb</x:v>
      </x:c>
    </x:row>
    <x:row r="359" ht="28" customHeight="1">
      <x:c r="A359" s="18" t="str">
        <x:v>清瀬</x:v>
      </x:c>
      <x:c r="B359" s="18" t="str">
        <x:v>西武鉄道</x:v>
      </x:c>
      <x:c r="C359" s="18" t="str">
        <x:v>private_rail</x:v>
      </x:c>
      <x:c r="D359" s="18" t="str">
        <x:v>T1</x:v>
      </x:c>
      <x:c r="E359" s="19" t="str">
        <x:v>尚未建立 Hub 审核范围</x:v>
      </x:c>
      <x:c r="F359" s="19" t="str"/>
      <x:c r="G359" s="18" t="str">
        <x:v>transport-node:48dd92f7-5160-503c-b965-5e2d1ee73cdd</x:v>
      </x:c>
    </x:row>
    <x:row r="360" ht="28" customHeight="1">
      <x:c r="A360" s="18" t="str">
        <x:v>渋谷</x:v>
      </x:c>
      <x:c r="B360" s="18" t="str">
        <x:v>京王電鉄</x:v>
      </x:c>
      <x:c r="C360" s="18" t="str">
        <x:v>private_rail</x:v>
      </x:c>
      <x:c r="D360" s="18" t="str">
        <x:v>T0</x:v>
      </x:c>
      <x:c r="E360" s="19" t="str">
        <x:v>已有官方边界，组件待核</x:v>
      </x:c>
      <x:c r="F360" s="19" t="str">
        <x:v>渋谷</x:v>
      </x:c>
      <x:c r="G360" s="18" t="str">
        <x:v>transport-node:80018604-f17b-5d35-a8aa-1a4cdac8f807</x:v>
      </x:c>
    </x:row>
    <x:row r="361" ht="28" customHeight="1">
      <x:c r="A361" s="18" t="str">
        <x:v>渋谷</x:v>
      </x:c>
      <x:c r="B361" s="18" t="str">
        <x:v>東京地下鉄</x:v>
      </x:c>
      <x:c r="C361" s="18" t="str">
        <x:v>metro</x:v>
      </x:c>
      <x:c r="D361" s="18" t="str">
        <x:v>T1</x:v>
      </x:c>
      <x:c r="E361" s="19" t="str">
        <x:v>已有官方边界，组件待核</x:v>
      </x:c>
      <x:c r="F361" s="19" t="str">
        <x:v>渋谷</x:v>
      </x:c>
      <x:c r="G361" s="18" t="str">
        <x:v>transport-node:997afcf7-4090-5964-9521-28a6256b6c58</x:v>
      </x:c>
    </x:row>
    <x:row r="362" ht="28" customHeight="1">
      <x:c r="A362" s="18" t="str">
        <x:v>渋谷</x:v>
      </x:c>
      <x:c r="B362" s="18" t="str">
        <x:v>東急電鉄</x:v>
      </x:c>
      <x:c r="C362" s="18" t="str">
        <x:v>private_rail</x:v>
      </x:c>
      <x:c r="D362" s="18" t="str">
        <x:v>T0</x:v>
      </x:c>
      <x:c r="E362" s="19" t="str">
        <x:v>已有官方边界，组件待核</x:v>
      </x:c>
      <x:c r="F362" s="19" t="str">
        <x:v>渋谷</x:v>
      </x:c>
      <x:c r="G362" s="18" t="str">
        <x:v>transport-node:7074cd95-698a-5143-8345-045066236c08</x:v>
      </x:c>
    </x:row>
    <x:row r="363" ht="28" customHeight="1">
      <x:c r="A363" s="18" t="str">
        <x:v>渋谷</x:v>
      </x:c>
      <x:c r="B363" s="18" t="str">
        <x:v>東日本旅客鉄道</x:v>
      </x:c>
      <x:c r="C363" s="18" t="str">
        <x:v>conventional_rail</x:v>
      </x:c>
      <x:c r="D363" s="18" t="str">
        <x:v>T0</x:v>
      </x:c>
      <x:c r="E363" s="19" t="str">
        <x:v>已有官方边界，组件待核</x:v>
      </x:c>
      <x:c r="F363" s="19" t="str">
        <x:v>渋谷</x:v>
      </x:c>
      <x:c r="G363" s="18" t="str">
        <x:v>transport-node:af5ceb52-306d-558a-8eb8-3e1a9a351952</x:v>
      </x:c>
    </x:row>
    <x:row r="364" ht="28" customHeight="1">
      <x:c r="A364" s="18" t="str">
        <x:v>港南台</x:v>
      </x:c>
      <x:c r="B364" s="18" t="str">
        <x:v>東日本旅客鉄道</x:v>
      </x:c>
      <x:c r="C364" s="18" t="str">
        <x:v>conventional_rail</x:v>
      </x:c>
      <x:c r="D364" s="18" t="str">
        <x:v>T1</x:v>
      </x:c>
      <x:c r="E364" s="19" t="str">
        <x:v>尚未建立 Hub 审核范围</x:v>
      </x:c>
      <x:c r="F364" s="19" t="str"/>
      <x:c r="G364" s="18" t="str">
        <x:v>transport-node:d6d69e93-69c6-5a27-ada2-da25133d65a6</x:v>
      </x:c>
    </x:row>
    <x:row r="365" ht="28" customHeight="1">
      <x:c r="A365" s="18" t="str">
        <x:v>湘南台</x:v>
      </x:c>
      <x:c r="B365" s="18" t="str">
        <x:v>小田急電鉄</x:v>
      </x:c>
      <x:c r="C365" s="18" t="str">
        <x:v>private_rail</x:v>
      </x:c>
      <x:c r="D365" s="18" t="str">
        <x:v>T1</x:v>
      </x:c>
      <x:c r="E365" s="19" t="str">
        <x:v>已有官方边界，组件待核</x:v>
      </x:c>
      <x:c r="F365" s="19" t="str">
        <x:v>湘南台</x:v>
      </x:c>
      <x:c r="G365" s="18" t="str">
        <x:v>transport-node:44e0ac9e-bc8a-57cb-80a8-8fbdd3034714</x:v>
      </x:c>
    </x:row>
    <x:row r="366" ht="28" customHeight="1">
      <x:c r="A366" s="18" t="str">
        <x:v>溜池山王</x:v>
      </x:c>
      <x:c r="B366" s="18" t="str">
        <x:v>東京地下鉄</x:v>
      </x:c>
      <x:c r="C366" s="18" t="str">
        <x:v>metro</x:v>
      </x:c>
      <x:c r="D366" s="18" t="str">
        <x:v>T1</x:v>
      </x:c>
      <x:c r="E366" s="19" t="str">
        <x:v>已有官方边界，组件待核</x:v>
      </x:c>
      <x:c r="F366" s="19" t="str">
        <x:v>溜池山王・国会議事堂前</x:v>
      </x:c>
      <x:c r="G366" s="18" t="str">
        <x:v>transport-node:cd73f906-8308-5c75-8cf4-43d983ddec7a</x:v>
      </x:c>
    </x:row>
    <x:row r="367" ht="28" customHeight="1">
      <x:c r="A367" s="18" t="str">
        <x:v>溝の口</x:v>
      </x:c>
      <x:c r="B367" s="18" t="str">
        <x:v>東急電鉄</x:v>
      </x:c>
      <x:c r="C367" s="18" t="str">
        <x:v>private_rail</x:v>
      </x:c>
      <x:c r="D367" s="18" t="str">
        <x:v>T1</x:v>
      </x:c>
      <x:c r="E367" s="19" t="str">
        <x:v>已有官方边界，组件待核</x:v>
      </x:c>
      <x:c r="F367" s="19" t="str">
        <x:v>溝の口・武蔵溝ノ口</x:v>
      </x:c>
      <x:c r="G367" s="18" t="str">
        <x:v>transport-node:f521cd74-cc5c-5d21-9b00-0236d5b4986d</x:v>
      </x:c>
    </x:row>
    <x:row r="368" ht="28" customHeight="1">
      <x:c r="A368" s="18" t="str">
        <x:v>烏丸</x:v>
      </x:c>
      <x:c r="B368" s="18" t="str">
        <x:v>阪急電鉄</x:v>
      </x:c>
      <x:c r="C368" s="18" t="str">
        <x:v>private_rail</x:v>
      </x:c>
      <x:c r="D368" s="18" t="str">
        <x:v>T1</x:v>
      </x:c>
      <x:c r="E368" s="19" t="str">
        <x:v>已有官方边界，组件待核</x:v>
      </x:c>
      <x:c r="F368" s="19" t="str">
        <x:v>烏丸・四条</x:v>
      </x:c>
      <x:c r="G368" s="18" t="str">
        <x:v>transport-node:258b1757-32c2-57ea-aad2-2a472707a06d</x:v>
      </x:c>
    </x:row>
    <x:row r="369" ht="28" customHeight="1">
      <x:c r="A369" s="18" t="str">
        <x:v>烏丸御池</x:v>
      </x:c>
      <x:c r="B369" s="18" t="str">
        <x:v>京都市</x:v>
      </x:c>
      <x:c r="C369" s="18" t="str">
        <x:v>metro</x:v>
      </x:c>
      <x:c r="D369" s="18" t="str">
        <x:v>T1</x:v>
      </x:c>
      <x:c r="E369" s="19" t="str">
        <x:v>已有官方边界，组件待核</x:v>
      </x:c>
      <x:c r="F369" s="19" t="str">
        <x:v>烏丸御池</x:v>
      </x:c>
      <x:c r="G369" s="18" t="str">
        <x:v>transport-node:5469bc2b-64d5-53a9-8699-dae1d3822a53</x:v>
      </x:c>
    </x:row>
    <x:row r="370" ht="28" customHeight="1">
      <x:c r="A370" s="18" t="str">
        <x:v>熊谷</x:v>
      </x:c>
      <x:c r="B370" s="18" t="str">
        <x:v>東日本旅客鉄道</x:v>
      </x:c>
      <x:c r="C370" s="18" t="str">
        <x:v>conventional_rail</x:v>
      </x:c>
      <x:c r="D370" s="18" t="str">
        <x:v>T1</x:v>
      </x:c>
      <x:c r="E370" s="19" t="str">
        <x:v>尚未建立 Hub 审核范围</x:v>
      </x:c>
      <x:c r="F370" s="19" t="str"/>
      <x:c r="G370" s="18" t="str">
        <x:v>transport-node:9551c78d-ffaf-5d9f-ae9d-be5d9a4ff962</x:v>
      </x:c>
    </x:row>
    <x:row r="371" ht="28" customHeight="1">
      <x:c r="A371" s="18" t="str">
        <x:v>獨協大学前</x:v>
      </x:c>
      <x:c r="B371" s="18" t="str">
        <x:v>東武鉄道</x:v>
      </x:c>
      <x:c r="C371" s="18" t="str">
        <x:v>private_rail</x:v>
      </x:c>
      <x:c r="D371" s="18" t="str">
        <x:v>T1</x:v>
      </x:c>
      <x:c r="E371" s="19" t="str">
        <x:v>尚未建立 Hub 审核范围</x:v>
      </x:c>
      <x:c r="F371" s="19" t="str"/>
      <x:c r="G371" s="18" t="str">
        <x:v>transport-node:ed1191e6-8bb1-5458-98ed-30e3cb1aba74</x:v>
      </x:c>
    </x:row>
    <x:row r="372" ht="28" customHeight="1">
      <x:c r="A372" s="18" t="str">
        <x:v>王子</x:v>
      </x:c>
      <x:c r="B372" s="18" t="str">
        <x:v>東京地下鉄</x:v>
      </x:c>
      <x:c r="C372" s="18" t="str">
        <x:v>metro</x:v>
      </x:c>
      <x:c r="D372" s="18" t="str">
        <x:v>T1</x:v>
      </x:c>
      <x:c r="E372" s="19" t="str">
        <x:v>已有官方边界，组件待核</x:v>
      </x:c>
      <x:c r="F372" s="19" t="str">
        <x:v>王子・王子駅前</x:v>
      </x:c>
      <x:c r="G372" s="18" t="str">
        <x:v>transport-node:5f4f1de3-be78-51d3-b20c-1fc7ea754a74</x:v>
      </x:c>
    </x:row>
    <x:row r="373" ht="28" customHeight="1">
      <x:c r="A373" s="18" t="str">
        <x:v>王子</x:v>
      </x:c>
      <x:c r="B373" s="18" t="str">
        <x:v>東日本旅客鉄道</x:v>
      </x:c>
      <x:c r="C373" s="18" t="str">
        <x:v>conventional_rail</x:v>
      </x:c>
      <x:c r="D373" s="18" t="str">
        <x:v>T1</x:v>
      </x:c>
      <x:c r="E373" s="19" t="str">
        <x:v>已有官方边界，组件待核</x:v>
      </x:c>
      <x:c r="F373" s="19" t="str">
        <x:v>王子・王子駅前</x:v>
      </x:c>
      <x:c r="G373" s="18" t="str">
        <x:v>transport-node:8f4536b4-6dcc-5932-accf-b1422903e195</x:v>
      </x:c>
    </x:row>
    <x:row r="374" ht="28" customHeight="1">
      <x:c r="A374" s="18" t="str">
        <x:v>瑞江</x:v>
      </x:c>
      <x:c r="B374" s="18" t="str">
        <x:v>東京都</x:v>
      </x:c>
      <x:c r="C374" s="18" t="str">
        <x:v>metro</x:v>
      </x:c>
      <x:c r="D374" s="18" t="str">
        <x:v>T1</x:v>
      </x:c>
      <x:c r="E374" s="19" t="str">
        <x:v>尚未建立 Hub 审核范围</x:v>
      </x:c>
      <x:c r="F374" s="19" t="str"/>
      <x:c r="G374" s="18" t="str">
        <x:v>transport-node:ebae635a-e8a8-514b-b88e-de1cbc883125</x:v>
      </x:c>
    </x:row>
    <x:row r="375" ht="28" customHeight="1">
      <x:c r="A375" s="18" t="str">
        <x:v>用賀</x:v>
      </x:c>
      <x:c r="B375" s="18" t="str">
        <x:v>東急電鉄</x:v>
      </x:c>
      <x:c r="C375" s="18" t="str">
        <x:v>private_rail</x:v>
      </x:c>
      <x:c r="D375" s="18" t="str">
        <x:v>T1</x:v>
      </x:c>
      <x:c r="E375" s="19" t="str">
        <x:v>尚未建立 Hub 审核范围</x:v>
      </x:c>
      <x:c r="F375" s="19" t="str"/>
      <x:c r="G375" s="18" t="str">
        <x:v>transport-node:edd70981-8408-5551-8ad9-884ddb414659</x:v>
      </x:c>
    </x:row>
    <x:row r="376" ht="28" customHeight="1">
      <x:c r="A376" s="18" t="str">
        <x:v>田無</x:v>
      </x:c>
      <x:c r="B376" s="18" t="str">
        <x:v>西武鉄道</x:v>
      </x:c>
      <x:c r="C376" s="18" t="str">
        <x:v>private_rail</x:v>
      </x:c>
      <x:c r="D376" s="18" t="str">
        <x:v>T1</x:v>
      </x:c>
      <x:c r="E376" s="19" t="str">
        <x:v>尚未建立 Hub 审核范围</x:v>
      </x:c>
      <x:c r="F376" s="19" t="str"/>
      <x:c r="G376" s="18" t="str">
        <x:v>transport-node:1ef7450b-f4ad-51d9-86c7-406e5774a1ba</x:v>
      </x:c>
    </x:row>
    <x:row r="377" ht="28" customHeight="1">
      <x:c r="A377" s="18" t="str">
        <x:v>田町</x:v>
      </x:c>
      <x:c r="B377" s="18" t="str">
        <x:v>東日本旅客鉄道</x:v>
      </x:c>
      <x:c r="C377" s="18" t="str">
        <x:v>conventional_rail</x:v>
      </x:c>
      <x:c r="D377" s="18" t="str">
        <x:v>T0</x:v>
      </x:c>
      <x:c r="E377" s="19" t="str">
        <x:v>已有官方边界，组件待核</x:v>
      </x:c>
      <x:c r="F377" s="19" t="str">
        <x:v>田町・三田</x:v>
      </x:c>
      <x:c r="G377" s="18" t="str">
        <x:v>transport-node:d6b24cd1-26b7-5ddb-8d9d-8bfd30c28ae2</x:v>
      </x:c>
    </x:row>
    <x:row r="378" ht="28" customHeight="1">
      <x:c r="A378" s="18" t="str">
        <x:v>田端</x:v>
      </x:c>
      <x:c r="B378" s="18" t="str">
        <x:v>東日本旅客鉄道</x:v>
      </x:c>
      <x:c r="C378" s="18" t="str">
        <x:v>conventional_rail</x:v>
      </x:c>
      <x:c r="D378" s="18" t="str">
        <x:v>T1</x:v>
      </x:c>
      <x:c r="E378" s="19" t="str">
        <x:v>尚未建立 Hub 审核范围</x:v>
      </x:c>
      <x:c r="F378" s="19" t="str"/>
      <x:c r="G378" s="18" t="str">
        <x:v>transport-node:957450fc-c070-5b33-ad4c-25fa22b13fa7</x:v>
      </x:c>
    </x:row>
    <x:row r="379" ht="28" customHeight="1">
      <x:c r="A379" s="18" t="str">
        <x:v>甲子園</x:v>
      </x:c>
      <x:c r="B379" s="18" t="str">
        <x:v>阪神電気鉄道</x:v>
      </x:c>
      <x:c r="C379" s="18" t="str">
        <x:v>private_rail</x:v>
      </x:c>
      <x:c r="D379" s="18" t="str">
        <x:v>T1</x:v>
      </x:c>
      <x:c r="E379" s="19" t="str">
        <x:v>尚未建立 Hub 审核范围</x:v>
      </x:c>
      <x:c r="F379" s="19" t="str"/>
      <x:c r="G379" s="18" t="str">
        <x:v>transport-node:b5ba13c6-306c-5891-a372-4573e2bff07a</x:v>
      </x:c>
    </x:row>
    <x:row r="380" ht="28" customHeight="1">
      <x:c r="A380" s="18" t="str">
        <x:v>町屋</x:v>
      </x:c>
      <x:c r="B380" s="18" t="str">
        <x:v>東京地下鉄</x:v>
      </x:c>
      <x:c r="C380" s="18" t="str">
        <x:v>metro</x:v>
      </x:c>
      <x:c r="D380" s="18" t="str">
        <x:v>T1</x:v>
      </x:c>
      <x:c r="E380" s="19" t="str">
        <x:v>已有官方边界，组件待核</x:v>
      </x:c>
      <x:c r="F380" s="19" t="str">
        <x:v>町屋</x:v>
      </x:c>
      <x:c r="G380" s="18" t="str">
        <x:v>transport-node:4f73d2f0-f853-554d-ac4e-8a2f9c5154c0</x:v>
      </x:c>
    </x:row>
    <x:row r="381" ht="28" customHeight="1">
      <x:c r="A381" s="18" t="str">
        <x:v>町田</x:v>
      </x:c>
      <x:c r="B381" s="18" t="str">
        <x:v>小田急電鉄</x:v>
      </x:c>
      <x:c r="C381" s="18" t="str">
        <x:v>private_rail</x:v>
      </x:c>
      <x:c r="D381" s="18" t="str">
        <x:v>T0</x:v>
      </x:c>
      <x:c r="E381" s="19" t="str">
        <x:v>已有官方边界，组件待核</x:v>
      </x:c>
      <x:c r="F381" s="19" t="str">
        <x:v>町田</x:v>
      </x:c>
      <x:c r="G381" s="18" t="str">
        <x:v>transport-node:993b1d33-2965-56bd-afa4-c045827a9a61</x:v>
      </x:c>
    </x:row>
    <x:row r="382" ht="28" customHeight="1">
      <x:c r="A382" s="18" t="str">
        <x:v>町田</x:v>
      </x:c>
      <x:c r="B382" s="18" t="str">
        <x:v>東日本旅客鉄道</x:v>
      </x:c>
      <x:c r="C382" s="18" t="str">
        <x:v>conventional_rail</x:v>
      </x:c>
      <x:c r="D382" s="18" t="str">
        <x:v>T0</x:v>
      </x:c>
      <x:c r="E382" s="19" t="str">
        <x:v>已有官方边界，组件待核</x:v>
      </x:c>
      <x:c r="F382" s="19" t="str">
        <x:v>町田</x:v>
      </x:c>
      <x:c r="G382" s="18" t="str">
        <x:v>transport-node:626c12c0-0c52-5571-bbb9-a0005e265a28</x:v>
      </x:c>
    </x:row>
    <x:row r="383" ht="28" customHeight="1">
      <x:c r="A383" s="18" t="str">
        <x:v>登戸</x:v>
      </x:c>
      <x:c r="B383" s="18" t="str">
        <x:v>小田急電鉄</x:v>
      </x:c>
      <x:c r="C383" s="18" t="str">
        <x:v>private_rail</x:v>
      </x:c>
      <x:c r="D383" s="18" t="str">
        <x:v>T1</x:v>
      </x:c>
      <x:c r="E383" s="19" t="str">
        <x:v>已有官方边界，组件待核</x:v>
      </x:c>
      <x:c r="F383" s="19" t="str">
        <x:v>登戸</x:v>
      </x:c>
      <x:c r="G383" s="18" t="str">
        <x:v>transport-node:c88b5d1a-c512-5f79-8471-1334bfe71fd8</x:v>
      </x:c>
    </x:row>
    <x:row r="384" ht="28" customHeight="1">
      <x:c r="A384" s="18" t="str">
        <x:v>登戸</x:v>
      </x:c>
      <x:c r="B384" s="18" t="str">
        <x:v>東日本旅客鉄道</x:v>
      </x:c>
      <x:c r="C384" s="18" t="str">
        <x:v>conventional_rail</x:v>
      </x:c>
      <x:c r="D384" s="18" t="str">
        <x:v>T1</x:v>
      </x:c>
      <x:c r="E384" s="19" t="str">
        <x:v>已有官方边界，组件待核</x:v>
      </x:c>
      <x:c r="F384" s="19" t="str">
        <x:v>登戸</x:v>
      </x:c>
      <x:c r="G384" s="18" t="str">
        <x:v>transport-node:016e8853-2d09-5208-b6a9-c13b844c529b</x:v>
      </x:c>
    </x:row>
    <x:row r="385" ht="28" customHeight="1">
      <x:c r="A385" s="18" t="str">
        <x:v>目白</x:v>
      </x:c>
      <x:c r="B385" s="18" t="str">
        <x:v>東日本旅客鉄道</x:v>
      </x:c>
      <x:c r="C385" s="18" t="str">
        <x:v>conventional_rail</x:v>
      </x:c>
      <x:c r="D385" s="18" t="str">
        <x:v>T1</x:v>
      </x:c>
      <x:c r="E385" s="19" t="str">
        <x:v>尚未建立 Hub 审核范围</x:v>
      </x:c>
      <x:c r="F385" s="19" t="str"/>
      <x:c r="G385" s="18" t="str">
        <x:v>transport-node:abb98360-91cf-5e55-9b34-d61a94b147bf</x:v>
      </x:c>
    </x:row>
    <x:row r="386" ht="28" customHeight="1">
      <x:c r="A386" s="18" t="str">
        <x:v>目黒</x:v>
      </x:c>
      <x:c r="B386" s="18" t="str">
        <x:v>東急電鉄</x:v>
      </x:c>
      <x:c r="C386" s="18" t="str">
        <x:v>private_rail</x:v>
      </x:c>
      <x:c r="D386" s="18" t="str">
        <x:v>T0</x:v>
      </x:c>
      <x:c r="E386" s="19" t="str">
        <x:v>已有官方边界，组件待核</x:v>
      </x:c>
      <x:c r="F386" s="19" t="str">
        <x:v>目黒</x:v>
      </x:c>
      <x:c r="G386" s="18" t="str">
        <x:v>transport-node:50907f30-6e7c-58e1-924d-bce04a919bdc</x:v>
      </x:c>
    </x:row>
    <x:row r="387" ht="28" customHeight="1">
      <x:c r="A387" s="18" t="str">
        <x:v>目黒</x:v>
      </x:c>
      <x:c r="B387" s="18" t="str">
        <x:v>東日本旅客鉄道</x:v>
      </x:c>
      <x:c r="C387" s="18" t="str">
        <x:v>conventional_rail</x:v>
      </x:c>
      <x:c r="D387" s="18" t="str">
        <x:v>T1</x:v>
      </x:c>
      <x:c r="E387" s="19" t="str">
        <x:v>已有官方边界，组件待核</x:v>
      </x:c>
      <x:c r="F387" s="19" t="str">
        <x:v>目黒</x:v>
      </x:c>
      <x:c r="G387" s="18" t="str">
        <x:v>transport-node:f22cd1ae-b3c5-5ab1-8e8d-262dbd84df01</x:v>
      </x:c>
    </x:row>
    <x:row r="388" ht="28" customHeight="1">
      <x:c r="A388" s="18" t="str">
        <x:v>相模原</x:v>
      </x:c>
      <x:c r="B388" s="18" t="str">
        <x:v>東日本旅客鉄道</x:v>
      </x:c>
      <x:c r="C388" s="18" t="str">
        <x:v>conventional_rail</x:v>
      </x:c>
      <x:c r="D388" s="18" t="str">
        <x:v>T1</x:v>
      </x:c>
      <x:c r="E388" s="19" t="str">
        <x:v>尚未建立 Hub 审核范围</x:v>
      </x:c>
      <x:c r="F388" s="19" t="str"/>
      <x:c r="G388" s="18" t="str">
        <x:v>transport-node:7eb2d076-2d17-5b75-b85a-c19514afc146</x:v>
      </x:c>
    </x:row>
    <x:row r="389" ht="28" customHeight="1">
      <x:c r="A389" s="18" t="str">
        <x:v>相模大野</x:v>
      </x:c>
      <x:c r="B389" s="18" t="str">
        <x:v>小田急電鉄</x:v>
      </x:c>
      <x:c r="C389" s="18" t="str">
        <x:v>private_rail</x:v>
      </x:c>
      <x:c r="D389" s="18" t="str">
        <x:v>T1</x:v>
      </x:c>
      <x:c r="E389" s="19" t="str">
        <x:v>已有官方边界，组件待核</x:v>
      </x:c>
      <x:c r="F389" s="19" t="str">
        <x:v>相模大野</x:v>
      </x:c>
      <x:c r="G389" s="18" t="str">
        <x:v>transport-node:f90deb5b-5aba-5f15-8b8e-a205bf03eb04</x:v>
      </x:c>
    </x:row>
    <x:row r="390" ht="28" customHeight="1">
      <x:c r="A390" s="18" t="str">
        <x:v>矢場町</x:v>
      </x:c>
      <x:c r="B390" s="18" t="str">
        <x:v>名古屋市</x:v>
      </x:c>
      <x:c r="C390" s="18" t="str">
        <x:v>metro</x:v>
      </x:c>
      <x:c r="D390" s="18" t="str">
        <x:v>T1</x:v>
      </x:c>
      <x:c r="E390" s="19" t="str">
        <x:v>尚未建立 Hub 审核范围</x:v>
      </x:c>
      <x:c r="F390" s="19" t="str"/>
      <x:c r="G390" s="18" t="str">
        <x:v>transport-node:14b3331f-d850-5f2a-91c1-df47408490fb</x:v>
      </x:c>
    </x:row>
    <x:row r="391" ht="28" customHeight="1">
      <x:c r="A391" s="18" t="str">
        <x:v>石川町</x:v>
      </x:c>
      <x:c r="B391" s="18" t="str">
        <x:v>東日本旅客鉄道</x:v>
      </x:c>
      <x:c r="C391" s="18" t="str">
        <x:v>conventional_rail</x:v>
      </x:c>
      <x:c r="D391" s="18" t="str">
        <x:v>T1</x:v>
      </x:c>
      <x:c r="E391" s="19" t="str">
        <x:v>尚未建立 Hub 审核范围</x:v>
      </x:c>
      <x:c r="F391" s="19" t="str"/>
      <x:c r="G391" s="18" t="str">
        <x:v>transport-node:2c65bc69-aef9-522c-9cdb-443fa2d4b60f</x:v>
      </x:c>
    </x:row>
    <x:row r="392" ht="28" customHeight="1">
      <x:c r="A392" s="18" t="str">
        <x:v>石神井公園</x:v>
      </x:c>
      <x:c r="B392" s="18" t="str">
        <x:v>西武鉄道</x:v>
      </x:c>
      <x:c r="C392" s="18" t="str">
        <x:v>private_rail</x:v>
      </x:c>
      <x:c r="D392" s="18" t="str">
        <x:v>T1</x:v>
      </x:c>
      <x:c r="E392" s="19" t="str">
        <x:v>尚未建立 Hub 审核范围</x:v>
      </x:c>
      <x:c r="F392" s="19" t="str"/>
      <x:c r="G392" s="18" t="str">
        <x:v>transport-node:b8a8e5f2-75fd-5f0c-8f7f-34ad9ac462f2</x:v>
      </x:c>
    </x:row>
    <x:row r="393" ht="28" customHeight="1">
      <x:c r="A393" s="18" t="str">
        <x:v>神保町</x:v>
      </x:c>
      <x:c r="B393" s="18" t="str">
        <x:v>東京地下鉄</x:v>
      </x:c>
      <x:c r="C393" s="18" t="str">
        <x:v>metro</x:v>
      </x:c>
      <x:c r="D393" s="18" t="str">
        <x:v>T1</x:v>
      </x:c>
      <x:c r="E393" s="19" t="str">
        <x:v>已有官方边界，组件待核</x:v>
      </x:c>
      <x:c r="F393" s="19" t="str">
        <x:v>神保町</x:v>
      </x:c>
      <x:c r="G393" s="18" t="str">
        <x:v>transport-node:845a2cfe-d113-5460-bad8-0c563276295b</x:v>
      </x:c>
    </x:row>
    <x:row r="394" ht="28" customHeight="1">
      <x:c r="A394" s="18" t="str">
        <x:v>神保町</x:v>
      </x:c>
      <x:c r="B394" s="18" t="str">
        <x:v>東京都</x:v>
      </x:c>
      <x:c r="C394" s="18" t="str">
        <x:v>metro</x:v>
      </x:c>
      <x:c r="D394" s="18" t="str">
        <x:v>T1</x:v>
      </x:c>
      <x:c r="E394" s="19" t="str">
        <x:v>已有官方边界，组件待核</x:v>
      </x:c>
      <x:c r="F394" s="19" t="str">
        <x:v>神保町</x:v>
      </x:c>
      <x:c r="G394" s="18" t="str">
        <x:v>transport-node:1e81685e-e33c-507c-9f55-a850aced074e</x:v>
      </x:c>
    </x:row>
    <x:row r="395" ht="28" customHeight="1">
      <x:c r="A395" s="18" t="str">
        <x:v>神戸</x:v>
      </x:c>
      <x:c r="B395" s="18" t="str">
        <x:v>西日本旅客鉄道</x:v>
      </x:c>
      <x:c r="C395" s="18" t="str">
        <x:v>conventional_rail</x:v>
      </x:c>
      <x:c r="D395" s="18" t="str">
        <x:v>T1</x:v>
      </x:c>
      <x:c r="E395" s="19" t="str">
        <x:v>已有官方边界，组件待核</x:v>
      </x:c>
      <x:c r="F395" s="19" t="str">
        <x:v>神戸・ハーバーランド</x:v>
      </x:c>
      <x:c r="G395" s="18" t="str">
        <x:v>transport-node:13de0a4c-67b3-5352-8e6b-15c02041c227</x:v>
      </x:c>
    </x:row>
    <x:row r="396" ht="28" customHeight="1">
      <x:c r="A396" s="18" t="str">
        <x:v>神戸三宮</x:v>
      </x:c>
      <x:c r="B396" s="18" t="str">
        <x:v>阪急電鉄</x:v>
      </x:c>
      <x:c r="C396" s="18" t="str">
        <x:v>private_rail</x:v>
      </x:c>
      <x:c r="D396" s="18" t="str">
        <x:v>T1</x:v>
      </x:c>
      <x:c r="E396" s="19" t="str">
        <x:v>已有官方边界，组件待核</x:v>
      </x:c>
      <x:c r="F396" s="19" t="str">
        <x:v>三ノ宮</x:v>
      </x:c>
      <x:c r="G396" s="18" t="str">
        <x:v>transport-node:fc375f81-db78-55d7-8cb1-bb3e76328fe1</x:v>
      </x:c>
    </x:row>
    <x:row r="397" ht="28" customHeight="1">
      <x:c r="A397" s="18" t="str">
        <x:v>神戸三宮</x:v>
      </x:c>
      <x:c r="B397" s="18" t="str">
        <x:v>阪神電気鉄道</x:v>
      </x:c>
      <x:c r="C397" s="18" t="str">
        <x:v>private_rail</x:v>
      </x:c>
      <x:c r="D397" s="18" t="str">
        <x:v>T1</x:v>
      </x:c>
      <x:c r="E397" s="19" t="str">
        <x:v>已有官方边界，组件待核</x:v>
      </x:c>
      <x:c r="F397" s="19" t="str">
        <x:v>三ノ宮</x:v>
      </x:c>
      <x:c r="G397" s="18" t="str">
        <x:v>transport-node:65156bcf-b723-53ad-9dc9-b04716bf6b0f</x:v>
      </x:c>
    </x:row>
    <x:row r="398" ht="28" customHeight="1">
      <x:c r="A398" s="18" t="str">
        <x:v>神田</x:v>
      </x:c>
      <x:c r="B398" s="18" t="str">
        <x:v>東京地下鉄</x:v>
      </x:c>
      <x:c r="C398" s="18" t="str">
        <x:v>metro</x:v>
      </x:c>
      <x:c r="D398" s="18" t="str">
        <x:v>T1</x:v>
      </x:c>
      <x:c r="E398" s="19" t="str">
        <x:v>已有官方边界，组件待核</x:v>
      </x:c>
      <x:c r="F398" s="19" t="str">
        <x:v>神田</x:v>
      </x:c>
      <x:c r="G398" s="18" t="str">
        <x:v>transport-node:0345ded4-872d-547c-b249-b2ca30584dac</x:v>
      </x:c>
    </x:row>
    <x:row r="399" ht="28" customHeight="1">
      <x:c r="A399" s="18" t="str">
        <x:v>神田</x:v>
      </x:c>
      <x:c r="B399" s="18" t="str">
        <x:v>東日本旅客鉄道</x:v>
      </x:c>
      <x:c r="C399" s="18" t="str">
        <x:v>conventional_rail</x:v>
      </x:c>
      <x:c r="D399" s="18" t="str">
        <x:v>T1</x:v>
      </x:c>
      <x:c r="E399" s="19" t="str">
        <x:v>已有官方边界，组件待核</x:v>
      </x:c>
      <x:c r="F399" s="19" t="str">
        <x:v>神田</x:v>
      </x:c>
      <x:c r="G399" s="18" t="str">
        <x:v>transport-node:796854df-1d8c-5af9-b61c-b3ffffccc706</x:v>
      </x:c>
    </x:row>
    <x:row r="400" ht="28" customHeight="1">
      <x:c r="A400" s="18" t="str">
        <x:v>神谷町</x:v>
      </x:c>
      <x:c r="B400" s="18" t="str">
        <x:v>東京地下鉄</x:v>
      </x:c>
      <x:c r="C400" s="18" t="str">
        <x:v>metro</x:v>
      </x:c>
      <x:c r="D400" s="18" t="str">
        <x:v>T1</x:v>
      </x:c>
      <x:c r="E400" s="19" t="str">
        <x:v>尚未建立 Hub 审核范围</x:v>
      </x:c>
      <x:c r="F400" s="19" t="str"/>
      <x:c r="G400" s="18" t="str">
        <x:v>transport-node:30d0db79-bd94-5e7c-b395-e7331ce1cea3</x:v>
      </x:c>
    </x:row>
    <x:row r="401" ht="28" customHeight="1">
      <x:c r="A401" s="18" t="str">
        <x:v>福岡空港</x:v>
      </x:c>
      <x:c r="B401" s="18" t="str">
        <x:v>福岡市</x:v>
      </x:c>
      <x:c r="C401" s="18" t="str">
        <x:v>metro</x:v>
      </x:c>
      <x:c r="D401" s="18" t="str">
        <x:v>T1</x:v>
      </x:c>
      <x:c r="E401" s="19" t="str">
        <x:v>尚未建立 Hub 审核范围</x:v>
      </x:c>
      <x:c r="F401" s="19" t="str"/>
      <x:c r="G401" s="18" t="str">
        <x:v>transport-node:77ce3771-37e7-578b-8df6-f7da85cfc745</x:v>
      </x:c>
    </x:row>
    <x:row r="402" ht="28" customHeight="1">
      <x:c r="A402" s="18" t="str">
        <x:v>福島</x:v>
      </x:c>
      <x:c r="B402" s="18" t="str">
        <x:v>西日本旅客鉄道</x:v>
      </x:c>
      <x:c r="C402" s="18" t="str">
        <x:v>conventional_rail</x:v>
      </x:c>
      <x:c r="D402" s="18" t="str">
        <x:v>T1</x:v>
      </x:c>
      <x:c r="E402" s="19" t="str">
        <x:v>尚未建立 Hub 审核范围</x:v>
      </x:c>
      <x:c r="F402" s="19" t="str"/>
      <x:c r="G402" s="18" t="str">
        <x:v>transport-node:dda94a48-80f8-5ecb-b2c2-15c688e6fd8b</x:v>
      </x:c>
    </x:row>
    <x:row r="403" ht="28" customHeight="1">
      <x:c r="A403" s="18" t="str">
        <x:v>秋津</x:v>
      </x:c>
      <x:c r="B403" s="18" t="str">
        <x:v>西武鉄道</x:v>
      </x:c>
      <x:c r="C403" s="18" t="str">
        <x:v>private_rail</x:v>
      </x:c>
      <x:c r="D403" s="18" t="str">
        <x:v>T1</x:v>
      </x:c>
      <x:c r="E403" s="19" t="str">
        <x:v>尚未建立 Hub 审核范围</x:v>
      </x:c>
      <x:c r="F403" s="19" t="str"/>
      <x:c r="G403" s="18" t="str">
        <x:v>transport-node:d577f989-1008-5a6a-9979-a4128f0f9884</x:v>
      </x:c>
    </x:row>
    <x:row r="404" ht="28" customHeight="1">
      <x:c r="A404" s="18" t="str">
        <x:v>秋葉原</x:v>
      </x:c>
      <x:c r="B404" s="18" t="str">
        <x:v>東京地下鉄</x:v>
      </x:c>
      <x:c r="C404" s="18" t="str">
        <x:v>metro</x:v>
      </x:c>
      <x:c r="D404" s="18" t="str">
        <x:v>T1</x:v>
      </x:c>
      <x:c r="E404" s="19" t="str">
        <x:v>已有官方边界，组件待核</x:v>
      </x:c>
      <x:c r="F404" s="19" t="str">
        <x:v>秋葉原・岩本町</x:v>
      </x:c>
      <x:c r="G404" s="18" t="str">
        <x:v>transport-node:24d0eb89-04cf-537f-88ba-4f2439e2dc31</x:v>
      </x:c>
    </x:row>
    <x:row r="405" ht="28" customHeight="1">
      <x:c r="A405" s="18" t="str">
        <x:v>秋葉原</x:v>
      </x:c>
      <x:c r="B405" s="18" t="str">
        <x:v>東日本旅客鉄道</x:v>
      </x:c>
      <x:c r="C405" s="18" t="str">
        <x:v>conventional_rail</x:v>
      </x:c>
      <x:c r="D405" s="18" t="str">
        <x:v>T0</x:v>
      </x:c>
      <x:c r="E405" s="19" t="str">
        <x:v>已有官方边界，组件待核</x:v>
      </x:c>
      <x:c r="F405" s="19" t="str">
        <x:v>秋葉原・岩本町</x:v>
      </x:c>
      <x:c r="G405" s="18" t="str">
        <x:v>transport-node:a15ebbd6-4f5e-5d9a-a657-6f9fe9157d81</x:v>
      </x:c>
    </x:row>
    <x:row r="406" ht="28" customHeight="1">
      <x:c r="A406" s="18" t="str">
        <x:v>秋葉原</x:v>
      </x:c>
      <x:c r="B406" s="18" t="str">
        <x:v>首都圏新都市鉄道</x:v>
      </x:c>
      <x:c r="C406" s="18" t="str">
        <x:v>private_rail</x:v>
      </x:c>
      <x:c r="D406" s="18" t="str">
        <x:v>T1</x:v>
      </x:c>
      <x:c r="E406" s="19" t="str">
        <x:v>已有官方边界，组件待核</x:v>
      </x:c>
      <x:c r="F406" s="19" t="str">
        <x:v>秋葉原・岩本町</x:v>
      </x:c>
      <x:c r="G406" s="18" t="str">
        <x:v>transport-node:a30373d3-796d-5c5c-ae48-bc4349410d1e</x:v>
      </x:c>
    </x:row>
    <x:row r="407" ht="28" customHeight="1">
      <x:c r="A407" s="18" t="str">
        <x:v>稲毛</x:v>
      </x:c>
      <x:c r="B407" s="18" t="str">
        <x:v>東日本旅客鉄道</x:v>
      </x:c>
      <x:c r="C407" s="18" t="str">
        <x:v>conventional_rail</x:v>
      </x:c>
      <x:c r="D407" s="18" t="str">
        <x:v>T1</x:v>
      </x:c>
      <x:c r="E407" s="19" t="str">
        <x:v>尚未建立 Hub 审核范围</x:v>
      </x:c>
      <x:c r="F407" s="19" t="str"/>
      <x:c r="G407" s="18" t="str">
        <x:v>transport-node:4e18fdb6-de03-5423-955d-ab9e2e316210</x:v>
      </x:c>
    </x:row>
    <x:row r="408" ht="28" customHeight="1">
      <x:c r="A408" s="18" t="str">
        <x:v>立川</x:v>
      </x:c>
      <x:c r="B408" s="18" t="str">
        <x:v>東日本旅客鉄道</x:v>
      </x:c>
      <x:c r="C408" s="18" t="str">
        <x:v>conventional_rail</x:v>
      </x:c>
      <x:c r="D408" s="18" t="str">
        <x:v>T0</x:v>
      </x:c>
      <x:c r="E408" s="19" t="str">
        <x:v>已有官方边界，组件待核</x:v>
      </x:c>
      <x:c r="F408" s="19" t="str">
        <x:v>立川</x:v>
      </x:c>
      <x:c r="G408" s="18" t="str">
        <x:v>transport-node:e367976f-6c38-5e3a-8677-1f89135471bd</x:v>
      </x:c>
    </x:row>
    <x:row r="409" ht="28" customHeight="1">
      <x:c r="A409" s="18" t="str">
        <x:v>竹ノ塚</x:v>
      </x:c>
      <x:c r="B409" s="18" t="str">
        <x:v>東武鉄道</x:v>
      </x:c>
      <x:c r="C409" s="18" t="str">
        <x:v>private_rail</x:v>
      </x:c>
      <x:c r="D409" s="18" t="str">
        <x:v>T1</x:v>
      </x:c>
      <x:c r="E409" s="19" t="str">
        <x:v>尚未建立 Hub 审核范围</x:v>
      </x:c>
      <x:c r="F409" s="19" t="str"/>
      <x:c r="G409" s="18" t="str">
        <x:v>transport-node:f2976d35-73db-5623-a143-9c6dceb646c2</x:v>
      </x:c>
    </x:row>
    <x:row r="410" ht="28" customHeight="1">
      <x:c r="A410" s="18" t="str">
        <x:v>笹塚</x:v>
      </x:c>
      <x:c r="B410" s="18" t="str">
        <x:v>京王電鉄</x:v>
      </x:c>
      <x:c r="C410" s="18" t="str">
        <x:v>private_rail</x:v>
      </x:c>
      <x:c r="D410" s="18" t="str">
        <x:v>T1</x:v>
      </x:c>
      <x:c r="E410" s="19" t="str">
        <x:v>尚未建立 Hub 审核范围</x:v>
      </x:c>
      <x:c r="F410" s="19" t="str"/>
      <x:c r="G410" s="18" t="str">
        <x:v>transport-node:beb78db7-626e-5a8e-8045-935a482e8922</x:v>
      </x:c>
    </x:row>
    <x:row r="411" ht="28" customHeight="1">
      <x:c r="A411" s="18" t="str">
        <x:v>築地</x:v>
      </x:c>
      <x:c r="B411" s="18" t="str">
        <x:v>東京地下鉄</x:v>
      </x:c>
      <x:c r="C411" s="18" t="str">
        <x:v>metro</x:v>
      </x:c>
      <x:c r="D411" s="18" t="str">
        <x:v>T1</x:v>
      </x:c>
      <x:c r="E411" s="19" t="str">
        <x:v>尚未建立 Hub 审核范围</x:v>
      </x:c>
      <x:c r="F411" s="19" t="str"/>
      <x:c r="G411" s="18" t="str">
        <x:v>transport-node:ef25573a-82df-5236-959f-55321118c9a3</x:v>
      </x:c>
    </x:row>
    <x:row r="412" ht="28" customHeight="1">
      <x:c r="A412" s="18" t="str">
        <x:v>経堂</x:v>
      </x:c>
      <x:c r="B412" s="18" t="str">
        <x:v>小田急電鉄</x:v>
      </x:c>
      <x:c r="C412" s="18" t="str">
        <x:v>private_rail</x:v>
      </x:c>
      <x:c r="D412" s="18" t="str">
        <x:v>T1</x:v>
      </x:c>
      <x:c r="E412" s="19" t="str">
        <x:v>尚未建立 Hub 审核范围</x:v>
      </x:c>
      <x:c r="F412" s="19" t="str"/>
      <x:c r="G412" s="18" t="str">
        <x:v>transport-node:fd8b7df5-e532-5c59-9244-e3ed2ddc37b6</x:v>
      </x:c>
    </x:row>
    <x:row r="413" ht="28" customHeight="1">
      <x:c r="A413" s="18" t="str">
        <x:v>綱島</x:v>
      </x:c>
      <x:c r="B413" s="18" t="str">
        <x:v>東急電鉄</x:v>
      </x:c>
      <x:c r="C413" s="18" t="str">
        <x:v>private_rail</x:v>
      </x:c>
      <x:c r="D413" s="18" t="str">
        <x:v>T1</x:v>
      </x:c>
      <x:c r="E413" s="19" t="str">
        <x:v>尚未建立 Hub 审核范围</x:v>
      </x:c>
      <x:c r="F413" s="19" t="str"/>
      <x:c r="G413" s="18" t="str">
        <x:v>transport-node:335fed7b-62d9-536d-ab67-c578149ec155</x:v>
      </x:c>
    </x:row>
    <x:row r="414" ht="28" customHeight="1">
      <x:c r="A414" s="18" t="str">
        <x:v>綾瀬</x:v>
      </x:c>
      <x:c r="B414" s="18" t="str">
        <x:v>東京地下鉄</x:v>
      </x:c>
      <x:c r="C414" s="18" t="str">
        <x:v>metro</x:v>
      </x:c>
      <x:c r="D414" s="18" t="str">
        <x:v>T0</x:v>
      </x:c>
      <x:c r="E414" s="19" t="str">
        <x:v>已有官方边界，组件待核</x:v>
      </x:c>
      <x:c r="F414" s="19" t="str">
        <x:v>綾瀬</x:v>
      </x:c>
      <x:c r="G414" s="18" t="str">
        <x:v>transport-node:be9a5bb1-746e-5284-b1fd-bd9932f964ce</x:v>
      </x:c>
    </x:row>
    <x:row r="415" ht="28" customHeight="1">
      <x:c r="A415" s="18" t="str">
        <x:v>練馬</x:v>
      </x:c>
      <x:c r="B415" s="18" t="str">
        <x:v>東京都</x:v>
      </x:c>
      <x:c r="C415" s="18" t="str">
        <x:v>metro</x:v>
      </x:c>
      <x:c r="D415" s="18" t="str">
        <x:v>T1</x:v>
      </x:c>
      <x:c r="E415" s="19" t="str">
        <x:v>已有官方边界，组件待核</x:v>
      </x:c>
      <x:c r="F415" s="19" t="str">
        <x:v>練馬</x:v>
      </x:c>
      <x:c r="G415" s="18" t="str">
        <x:v>transport-node:17aae77c-a29b-5e8b-95a2-ec28dc964eec</x:v>
      </x:c>
    </x:row>
    <x:row r="416" ht="28" customHeight="1">
      <x:c r="A416" s="18" t="str">
        <x:v>練馬</x:v>
      </x:c>
      <x:c r="B416" s="18" t="str">
        <x:v>西武鉄道</x:v>
      </x:c>
      <x:c r="C416" s="18" t="str">
        <x:v>private_rail</x:v>
      </x:c>
      <x:c r="D416" s="18" t="str">
        <x:v>T1</x:v>
      </x:c>
      <x:c r="E416" s="19" t="str">
        <x:v>已有官方边界，组件待核</x:v>
      </x:c>
      <x:c r="F416" s="19" t="str">
        <x:v>練馬</x:v>
      </x:c>
      <x:c r="G416" s="18" t="str">
        <x:v>transport-node:9fa07429-7a3c-53a7-a3a0-db2cad145e34</x:v>
      </x:c>
    </x:row>
    <x:row r="417" ht="28" customHeight="1">
      <x:c r="A417" s="18" t="str">
        <x:v>羽田空港第1・第2ターミナル</x:v>
      </x:c>
      <x:c r="B417" s="18" t="str">
        <x:v>京浜急行電鉄</x:v>
      </x:c>
      <x:c r="C417" s="18" t="str">
        <x:v>private_rail</x:v>
      </x:c>
      <x:c r="D417" s="18" t="str">
        <x:v>T1</x:v>
      </x:c>
      <x:c r="E417" s="19" t="str">
        <x:v>尚未建立 Hub 审核范围</x:v>
      </x:c>
      <x:c r="F417" s="19" t="str"/>
      <x:c r="G417" s="18" t="str">
        <x:v>transport-node:bf55d1d9-f26a-59dc-89d0-411d76053637</x:v>
      </x:c>
    </x:row>
    <x:row r="418" ht="28" customHeight="1">
      <x:c r="A418" s="18" t="str">
        <x:v>聖蹟桜ヶ丘</x:v>
      </x:c>
      <x:c r="B418" s="18" t="str">
        <x:v>京王電鉄</x:v>
      </x:c>
      <x:c r="C418" s="18" t="str">
        <x:v>private_rail</x:v>
      </x:c>
      <x:c r="D418" s="18" t="str">
        <x:v>T1</x:v>
      </x:c>
      <x:c r="E418" s="19" t="str">
        <x:v>尚未建立 Hub 审核范围</x:v>
      </x:c>
      <x:c r="F418" s="19" t="str"/>
      <x:c r="G418" s="18" t="str">
        <x:v>transport-node:269dd987-7430-50e0-a137-8709f3ef2cf6</x:v>
      </x:c>
    </x:row>
    <x:row r="419" ht="28" customHeight="1">
      <x:c r="A419" s="18" t="str">
        <x:v>肥後橋</x:v>
      </x:c>
      <x:c r="B419" s="18" t="str">
        <x:v>大阪市高速電気軌道</x:v>
      </x:c>
      <x:c r="C419" s="18" t="str">
        <x:v>metro</x:v>
      </x:c>
      <x:c r="D419" s="18" t="str">
        <x:v>T1</x:v>
      </x:c>
      <x:c r="E419" s="19" t="str">
        <x:v>已有官方边界，组件待核</x:v>
      </x:c>
      <x:c r="F419" s="19" t="str">
        <x:v>肥後橋・渡辺橋</x:v>
      </x:c>
      <x:c r="G419" s="18" t="str">
        <x:v>transport-node:95c903f6-e4ab-5b49-93a1-2979879b5152</x:v>
      </x:c>
    </x:row>
    <x:row r="420" ht="28" customHeight="1">
      <x:c r="A420" s="18" t="str">
        <x:v>自由が丘</x:v>
      </x:c>
      <x:c r="B420" s="18" t="str">
        <x:v>東急電鉄</x:v>
      </x:c>
      <x:c r="C420" s="18" t="str">
        <x:v>private_rail</x:v>
      </x:c>
      <x:c r="D420" s="18" t="str">
        <x:v>T1</x:v>
      </x:c>
      <x:c r="E420" s="19" t="str">
        <x:v>尚未建立 Hub 审核范围</x:v>
      </x:c>
      <x:c r="F420" s="19" t="str"/>
      <x:c r="G420" s="18" t="str">
        <x:v>transport-node:15fe9bda-de63-54bf-94ec-5caccfa92c2e</x:v>
      </x:c>
    </x:row>
    <x:row r="421" ht="28" customHeight="1">
      <x:c r="A421" s="18" t="str">
        <x:v>舞浜</x:v>
      </x:c>
      <x:c r="B421" s="18" t="str">
        <x:v>東日本旅客鉄道</x:v>
      </x:c>
      <x:c r="C421" s="18" t="str">
        <x:v>conventional_rail</x:v>
      </x:c>
      <x:c r="D421" s="18" t="str">
        <x:v>T1</x:v>
      </x:c>
      <x:c r="E421" s="19" t="str">
        <x:v>尚未建立 Hub 审核范围</x:v>
      </x:c>
      <x:c r="F421" s="19" t="str"/>
      <x:c r="G421" s="18" t="str">
        <x:v>transport-node:ff116e1b-dde4-5c33-8296-a9b0a386902b</x:v>
      </x:c>
    </x:row>
    <x:row r="422" ht="28" customHeight="1">
      <x:c r="A422" s="18" t="str">
        <x:v>船堀</x:v>
      </x:c>
      <x:c r="B422" s="18" t="str">
        <x:v>東京都</x:v>
      </x:c>
      <x:c r="C422" s="18" t="str">
        <x:v>metro</x:v>
      </x:c>
      <x:c r="D422" s="18" t="str">
        <x:v>T1</x:v>
      </x:c>
      <x:c r="E422" s="19" t="str">
        <x:v>尚未建立 Hub 审核范围</x:v>
      </x:c>
      <x:c r="F422" s="19" t="str"/>
      <x:c r="G422" s="18" t="str">
        <x:v>transport-node:b8e251ad-db0e-5fab-8255-2aab712742b9</x:v>
      </x:c>
    </x:row>
    <x:row r="423" ht="28" customHeight="1">
      <x:c r="A423" s="18" t="str">
        <x:v>船橋</x:v>
      </x:c>
      <x:c r="B423" s="18" t="str">
        <x:v>東日本旅客鉄道</x:v>
      </x:c>
      <x:c r="C423" s="18" t="str">
        <x:v>conventional_rail</x:v>
      </x:c>
      <x:c r="D423" s="18" t="str">
        <x:v>T0</x:v>
      </x:c>
      <x:c r="E423" s="19" t="str">
        <x:v>已有官方边界，组件待核</x:v>
      </x:c>
      <x:c r="F423" s="19" t="str">
        <x:v>船橋</x:v>
      </x:c>
      <x:c r="G423" s="18" t="str">
        <x:v>transport-node:14dd7856-90b2-5739-9cb9-81ab872da3d0</x:v>
      </x:c>
    </x:row>
    <x:row r="424" ht="28" customHeight="1">
      <x:c r="A424" s="18" t="str">
        <x:v>船橋</x:v>
      </x:c>
      <x:c r="B424" s="18" t="str">
        <x:v>東武鉄道</x:v>
      </x:c>
      <x:c r="C424" s="18" t="str">
        <x:v>private_rail</x:v>
      </x:c>
      <x:c r="D424" s="18" t="str">
        <x:v>T1</x:v>
      </x:c>
      <x:c r="E424" s="19" t="str">
        <x:v>已有官方边界，组件待核</x:v>
      </x:c>
      <x:c r="F424" s="19" t="str">
        <x:v>船橋</x:v>
      </x:c>
      <x:c r="G424" s="18" t="str">
        <x:v>transport-node:6e98e96a-fb1e-591f-ab39-747bd1342bec</x:v>
      </x:c>
    </x:row>
    <x:row r="425" ht="28" customHeight="1">
      <x:c r="A425" s="18" t="str">
        <x:v>花小金井</x:v>
      </x:c>
      <x:c r="B425" s="18" t="str">
        <x:v>西武鉄道</x:v>
      </x:c>
      <x:c r="C425" s="18" t="str">
        <x:v>private_rail</x:v>
      </x:c>
      <x:c r="D425" s="18" t="str">
        <x:v>T1</x:v>
      </x:c>
      <x:c r="E425" s="19" t="str">
        <x:v>尚未建立 Hub 审核范围</x:v>
      </x:c>
      <x:c r="F425" s="19" t="str"/>
      <x:c r="G425" s="18" t="str">
        <x:v>transport-node:e6d4f638-32d5-5141-bd9c-1bae6d7ad8da</x:v>
      </x:c>
    </x:row>
    <x:row r="426" ht="28" customHeight="1">
      <x:c r="A426" s="18" t="str">
        <x:v>茅ヶ崎</x:v>
      </x:c>
      <x:c r="B426" s="18" t="str">
        <x:v>東日本旅客鉄道</x:v>
      </x:c>
      <x:c r="C426" s="18" t="str">
        <x:v>conventional_rail</x:v>
      </x:c>
      <x:c r="D426" s="18" t="str">
        <x:v>T1</x:v>
      </x:c>
      <x:c r="E426" s="19" t="str">
        <x:v>尚未建立 Hub 审核范围</x:v>
      </x:c>
      <x:c r="F426" s="19" t="str"/>
      <x:c r="G426" s="18" t="str">
        <x:v>transport-node:b2a96155-102e-53c7-a7ed-5682d3556333</x:v>
      </x:c>
    </x:row>
    <x:row r="427" ht="28" customHeight="1">
      <x:c r="A427" s="18" t="str">
        <x:v>茅場町</x:v>
      </x:c>
      <x:c r="B427" s="18" t="str">
        <x:v>東京地下鉄</x:v>
      </x:c>
      <x:c r="C427" s="18" t="str">
        <x:v>metro</x:v>
      </x:c>
      <x:c r="D427" s="18" t="str">
        <x:v>T1</x:v>
      </x:c>
      <x:c r="E427" s="19" t="str">
        <x:v>已有官方边界，组件待核</x:v>
      </x:c>
      <x:c r="F427" s="19" t="str">
        <x:v>茅場町</x:v>
      </x:c>
      <x:c r="G427" s="18" t="str">
        <x:v>transport-node:28e3b324-2f73-5a9c-aede-e4ab5fc1ce6e</x:v>
      </x:c>
    </x:row>
    <x:row r="428" ht="28" customHeight="1">
      <x:c r="A428" s="18" t="str">
        <x:v>茗荷谷</x:v>
      </x:c>
      <x:c r="B428" s="18" t="str">
        <x:v>東京地下鉄</x:v>
      </x:c>
      <x:c r="C428" s="18" t="str">
        <x:v>metro</x:v>
      </x:c>
      <x:c r="D428" s="18" t="str">
        <x:v>T1</x:v>
      </x:c>
      <x:c r="E428" s="19" t="str">
        <x:v>尚未建立 Hub 审核范围</x:v>
      </x:c>
      <x:c r="F428" s="19" t="str"/>
      <x:c r="G428" s="18" t="str">
        <x:v>transport-node:17402ab8-770c-5510-a8bc-dbabd4e63bad</x:v>
      </x:c>
    </x:row>
    <x:row r="429" ht="28" customHeight="1">
      <x:c r="A429" s="18" t="str">
        <x:v>茨木</x:v>
      </x:c>
      <x:c r="B429" s="18" t="str">
        <x:v>西日本旅客鉄道</x:v>
      </x:c>
      <x:c r="C429" s="18" t="str">
        <x:v>conventional_rail</x:v>
      </x:c>
      <x:c r="D429" s="18" t="str">
        <x:v>T1</x:v>
      </x:c>
      <x:c r="E429" s="19" t="str">
        <x:v>尚未建立 Hub 审核范围</x:v>
      </x:c>
      <x:c r="F429" s="19" t="str"/>
      <x:c r="G429" s="18" t="str">
        <x:v>transport-node:a50e2c7b-ebe2-5ed8-9d7d-56d57deca82a</x:v>
      </x:c>
    </x:row>
    <x:row r="430" ht="28" customHeight="1">
      <x:c r="A430" s="18" t="str">
        <x:v>茨木市</x:v>
      </x:c>
      <x:c r="B430" s="18" t="str">
        <x:v>阪急電鉄</x:v>
      </x:c>
      <x:c r="C430" s="18" t="str">
        <x:v>private_rail</x:v>
      </x:c>
      <x:c r="D430" s="18" t="str">
        <x:v>T1</x:v>
      </x:c>
      <x:c r="E430" s="19" t="str">
        <x:v>尚未建立 Hub 审核范围</x:v>
      </x:c>
      <x:c r="F430" s="19" t="str"/>
      <x:c r="G430" s="18" t="str">
        <x:v>transport-node:5ad6e012-0f3d-59b1-8547-cc431862a68d</x:v>
      </x:c>
    </x:row>
    <x:row r="431" ht="28" customHeight="1">
      <x:c r="A431" s="18" t="str">
        <x:v>草加</x:v>
      </x:c>
      <x:c r="B431" s="18" t="str">
        <x:v>東武鉄道</x:v>
      </x:c>
      <x:c r="C431" s="18" t="str">
        <x:v>private_rail</x:v>
      </x:c>
      <x:c r="D431" s="18" t="str">
        <x:v>T1</x:v>
      </x:c>
      <x:c r="E431" s="19" t="str">
        <x:v>尚未建立 Hub 审核范围</x:v>
      </x:c>
      <x:c r="F431" s="19" t="str"/>
      <x:c r="G431" s="18" t="str">
        <x:v>transport-node:6a2ffe28-eee2-5312-a744-af3775fa6f23</x:v>
      </x:c>
    </x:row>
    <x:row r="432" ht="28" customHeight="1">
      <x:c r="A432" s="18" t="str">
        <x:v>草津</x:v>
      </x:c>
      <x:c r="B432" s="18" t="str">
        <x:v>西日本旅客鉄道</x:v>
      </x:c>
      <x:c r="C432" s="18" t="str">
        <x:v>conventional_rail</x:v>
      </x:c>
      <x:c r="D432" s="18" t="str">
        <x:v>T1</x:v>
      </x:c>
      <x:c r="E432" s="19" t="str">
        <x:v>尚未建立 Hub 审核范围</x:v>
      </x:c>
      <x:c r="F432" s="19" t="str"/>
      <x:c r="G432" s="18" t="str">
        <x:v>transport-node:a4fc7524-9e99-5312-812a-fb3655ac9d96</x:v>
      </x:c>
    </x:row>
    <x:row r="433" ht="28" customHeight="1">
      <x:c r="A433" s="18" t="str">
        <x:v>荻窪</x:v>
      </x:c>
      <x:c r="B433" s="18" t="str">
        <x:v>東京地下鉄</x:v>
      </x:c>
      <x:c r="C433" s="18" t="str">
        <x:v>metro</x:v>
      </x:c>
      <x:c r="D433" s="18" t="str">
        <x:v>T1</x:v>
      </x:c>
      <x:c r="E433" s="19" t="str">
        <x:v>已有官方边界，组件待核</x:v>
      </x:c>
      <x:c r="F433" s="19" t="str">
        <x:v>荻窪</x:v>
      </x:c>
      <x:c r="G433" s="18" t="str">
        <x:v>transport-node:9b1d92c5-032d-50df-ad6f-548977cbbf44</x:v>
      </x:c>
    </x:row>
    <x:row r="434" ht="28" customHeight="1">
      <x:c r="A434" s="18" t="str">
        <x:v>荻窪</x:v>
      </x:c>
      <x:c r="B434" s="18" t="str">
        <x:v>東日本旅客鉄道</x:v>
      </x:c>
      <x:c r="C434" s="18" t="str">
        <x:v>conventional_rail</x:v>
      </x:c>
      <x:c r="D434" s="18" t="str">
        <x:v>T1</x:v>
      </x:c>
      <x:c r="E434" s="19" t="str">
        <x:v>已有官方边界，组件待核</x:v>
      </x:c>
      <x:c r="F434" s="19" t="str">
        <x:v>荻窪</x:v>
      </x:c>
      <x:c r="G434" s="18" t="str">
        <x:v>transport-node:554b7089-d5b3-543d-9775-de2f0f13d9b9</x:v>
      </x:c>
    </x:row>
    <x:row r="435" ht="28" customHeight="1">
      <x:c r="A435" s="18" t="str">
        <x:v>菊名</x:v>
      </x:c>
      <x:c r="B435" s="18" t="str">
        <x:v>東急電鉄</x:v>
      </x:c>
      <x:c r="C435" s="18" t="str">
        <x:v>private_rail</x:v>
      </x:c>
      <x:c r="D435" s="18" t="str">
        <x:v>T1</x:v>
      </x:c>
      <x:c r="E435" s="19" t="str">
        <x:v>已有官方边界，组件待核</x:v>
      </x:c>
      <x:c r="F435" s="19" t="str">
        <x:v>菊名</x:v>
      </x:c>
      <x:c r="G435" s="18" t="str">
        <x:v>transport-node:9a10eec7-3ce1-5e3e-bfd7-5c0c1c91251d</x:v>
      </x:c>
    </x:row>
    <x:row r="436" ht="28" customHeight="1">
      <x:c r="A436" s="18" t="str">
        <x:v>菊名</x:v>
      </x:c>
      <x:c r="B436" s="18" t="str">
        <x:v>東日本旅客鉄道</x:v>
      </x:c>
      <x:c r="C436" s="18" t="str">
        <x:v>conventional_rail</x:v>
      </x:c>
      <x:c r="D436" s="18" t="str">
        <x:v>T1</x:v>
      </x:c>
      <x:c r="E436" s="19" t="str">
        <x:v>已有官方边界，组件待核</x:v>
      </x:c>
      <x:c r="F436" s="19" t="str">
        <x:v>菊名</x:v>
      </x:c>
      <x:c r="G436" s="18" t="str">
        <x:v>transport-node:78f96472-ec0a-55b4-867d-4f9f184e332f</x:v>
      </x:c>
    </x:row>
    <x:row r="437" ht="28" customHeight="1">
      <x:c r="A437" s="18" t="str">
        <x:v>葛西</x:v>
      </x:c>
      <x:c r="B437" s="18" t="str">
        <x:v>東京地下鉄</x:v>
      </x:c>
      <x:c r="C437" s="18" t="str">
        <x:v>metro</x:v>
      </x:c>
      <x:c r="D437" s="18" t="str">
        <x:v>T1</x:v>
      </x:c>
      <x:c r="E437" s="19" t="str">
        <x:v>尚未建立 Hub 审核范围</x:v>
      </x:c>
      <x:c r="F437" s="19" t="str"/>
      <x:c r="G437" s="18" t="str">
        <x:v>transport-node:98133273-3fe7-58c7-8c2b-52b788095359</x:v>
      </x:c>
    </x:row>
    <x:row r="438" ht="28" customHeight="1">
      <x:c r="A438" s="18" t="str">
        <x:v>蒲田</x:v>
      </x:c>
      <x:c r="B438" s="18" t="str">
        <x:v>東急電鉄</x:v>
      </x:c>
      <x:c r="C438" s="18" t="str">
        <x:v>private_rail</x:v>
      </x:c>
      <x:c r="D438" s="18" t="str">
        <x:v>T1</x:v>
      </x:c>
      <x:c r="E438" s="19" t="str">
        <x:v>已有官方边界，组件待核</x:v>
      </x:c>
      <x:c r="F438" s="19" t="str">
        <x:v>蒲田</x:v>
      </x:c>
      <x:c r="G438" s="18" t="str">
        <x:v>transport-node:f9cb6d48-f5f3-5860-9ae4-d6b94ff518f1</x:v>
      </x:c>
    </x:row>
    <x:row r="439" ht="28" customHeight="1">
      <x:c r="A439" s="18" t="str">
        <x:v>蒲田</x:v>
      </x:c>
      <x:c r="B439" s="18" t="str">
        <x:v>東日本旅客鉄道</x:v>
      </x:c>
      <x:c r="C439" s="18" t="str">
        <x:v>conventional_rail</x:v>
      </x:c>
      <x:c r="D439" s="18" t="str">
        <x:v>T0</x:v>
      </x:c>
      <x:c r="E439" s="19" t="str">
        <x:v>已有官方边界，组件待核</x:v>
      </x:c>
      <x:c r="F439" s="19" t="str">
        <x:v>蒲田</x:v>
      </x:c>
      <x:c r="G439" s="18" t="str">
        <x:v>transport-node:6c4ae01b-4ad3-5fea-a733-c33a72aed4ea</x:v>
      </x:c>
    </x:row>
    <x:row r="440" ht="28" customHeight="1">
      <x:c r="A440" s="18" t="str">
        <x:v>蕨</x:v>
      </x:c>
      <x:c r="B440" s="18" t="str">
        <x:v>東日本旅客鉄道</x:v>
      </x:c>
      <x:c r="C440" s="18" t="str">
        <x:v>conventional_rail</x:v>
      </x:c>
      <x:c r="D440" s="18" t="str">
        <x:v>T1</x:v>
      </x:c>
      <x:c r="E440" s="19" t="str">
        <x:v>尚未建立 Hub 审核范围</x:v>
      </x:c>
      <x:c r="F440" s="19" t="str"/>
      <x:c r="G440" s="18" t="str">
        <x:v>transport-node:fa5424cb-0069-54c3-8d71-c9b05488cccd</x:v>
      </x:c>
    </x:row>
    <x:row r="441" ht="28" customHeight="1">
      <x:c r="A441" s="18" t="str">
        <x:v>藤が丘</x:v>
      </x:c>
      <x:c r="B441" s="18" t="str">
        <x:v>名古屋市</x:v>
      </x:c>
      <x:c r="C441" s="18" t="str">
        <x:v>metro</x:v>
      </x:c>
      <x:c r="D441" s="18" t="str">
        <x:v>T1</x:v>
      </x:c>
      <x:c r="E441" s="19" t="str">
        <x:v>已有官方边界，组件待核</x:v>
      </x:c>
      <x:c r="F441" s="19" t="str">
        <x:v>藤が丘</x:v>
      </x:c>
      <x:c r="G441" s="18" t="str">
        <x:v>transport-node:a52f0947-ac49-58a8-be5f-c5872e070991</x:v>
      </x:c>
    </x:row>
    <x:row r="442" ht="28" customHeight="1">
      <x:c r="A442" s="18" t="str">
        <x:v>藤沢</x:v>
      </x:c>
      <x:c r="B442" s="18" t="str">
        <x:v>小田急電鉄</x:v>
      </x:c>
      <x:c r="C442" s="18" t="str">
        <x:v>private_rail</x:v>
      </x:c>
      <x:c r="D442" s="18" t="str">
        <x:v>T1</x:v>
      </x:c>
      <x:c r="E442" s="19" t="str">
        <x:v>已有官方边界，组件待核</x:v>
      </x:c>
      <x:c r="F442" s="19" t="str">
        <x:v>藤沢</x:v>
      </x:c>
      <x:c r="G442" s="18" t="str">
        <x:v>transport-node:fc525669-c12e-59e4-85c2-a26effca0b0e</x:v>
      </x:c>
    </x:row>
    <x:row r="443" ht="28" customHeight="1">
      <x:c r="A443" s="18" t="str">
        <x:v>藤沢</x:v>
      </x:c>
      <x:c r="B443" s="18" t="str">
        <x:v>東日本旅客鉄道</x:v>
      </x:c>
      <x:c r="C443" s="18" t="str">
        <x:v>conventional_rail</x:v>
      </x:c>
      <x:c r="D443" s="18" t="str">
        <x:v>T0</x:v>
      </x:c>
      <x:c r="E443" s="19" t="str">
        <x:v>已有官方边界，组件待核</x:v>
      </x:c>
      <x:c r="F443" s="19" t="str">
        <x:v>藤沢</x:v>
      </x:c>
      <x:c r="G443" s="18" t="str">
        <x:v>transport-node:ad2ac2e6-a3e2-50a9-bff1-c08c7f28b28e</x:v>
      </x:c>
    </x:row>
    <x:row r="444" ht="28" customHeight="1">
      <x:c r="A444" s="18" t="str">
        <x:v>蘇我</x:v>
      </x:c>
      <x:c r="B444" s="18" t="str">
        <x:v>東日本旅客鉄道</x:v>
      </x:c>
      <x:c r="C444" s="18" t="str">
        <x:v>conventional_rail</x:v>
      </x:c>
      <x:c r="D444" s="18" t="str">
        <x:v>T1</x:v>
      </x:c>
      <x:c r="E444" s="19" t="str">
        <x:v>尚未建立 Hub 审核范围</x:v>
      </x:c>
      <x:c r="F444" s="19" t="str"/>
      <x:c r="G444" s="18" t="str">
        <x:v>transport-node:3d01e8a4-0c90-5195-bfdf-17a33907b824</x:v>
      </x:c>
    </x:row>
    <x:row r="445" ht="28" customHeight="1">
      <x:c r="A445" s="18" t="str">
        <x:v>虎ノ門</x:v>
      </x:c>
      <x:c r="B445" s="18" t="str">
        <x:v>東京地下鉄</x:v>
      </x:c>
      <x:c r="C445" s="18" t="str">
        <x:v>metro</x:v>
      </x:c>
      <x:c r="D445" s="18" t="str">
        <x:v>T1</x:v>
      </x:c>
      <x:c r="E445" s="19" t="str">
        <x:v>尚未建立 Hub 审核范围</x:v>
      </x:c>
      <x:c r="F445" s="19" t="str"/>
      <x:c r="G445" s="18" t="str">
        <x:v>transport-node:2df7c1a7-7114-5598-80c4-affa2c3298a4</x:v>
      </x:c>
    </x:row>
    <x:row r="446" ht="28" customHeight="1">
      <x:c r="A446" s="18" t="str">
        <x:v>虎ノ門ヒルズ</x:v>
      </x:c>
      <x:c r="B446" s="18" t="str">
        <x:v>東京地下鉄</x:v>
      </x:c>
      <x:c r="C446" s="18" t="str">
        <x:v>metro</x:v>
      </x:c>
      <x:c r="D446" s="18" t="str">
        <x:v>T1</x:v>
      </x:c>
      <x:c r="E446" s="19" t="str">
        <x:v>尚未建立 Hub 审核范围</x:v>
      </x:c>
      <x:c r="F446" s="19" t="str"/>
      <x:c r="G446" s="18" t="str">
        <x:v>transport-node:882df26e-80e1-5438-a7a5-9a029ebe3b8a</x:v>
      </x:c>
    </x:row>
    <x:row r="447" ht="28" customHeight="1">
      <x:c r="A447" s="18" t="str">
        <x:v>行徳</x:v>
      </x:c>
      <x:c r="B447" s="18" t="str">
        <x:v>東京地下鉄</x:v>
      </x:c>
      <x:c r="C447" s="18" t="str">
        <x:v>metro</x:v>
      </x:c>
      <x:c r="D447" s="18" t="str">
        <x:v>T1</x:v>
      </x:c>
      <x:c r="E447" s="19" t="str">
        <x:v>尚未建立 Hub 审核范围</x:v>
      </x:c>
      <x:c r="F447" s="19" t="str"/>
      <x:c r="G447" s="18" t="str">
        <x:v>transport-node:e2859a97-04f8-5f70-9c95-8c7d534bc34c</x:v>
      </x:c>
    </x:row>
    <x:row r="448" ht="28" customHeight="1">
      <x:c r="A448" s="18" t="str">
        <x:v>表参道</x:v>
      </x:c>
      <x:c r="B448" s="18" t="str">
        <x:v>東京地下鉄</x:v>
      </x:c>
      <x:c r="C448" s="18" t="str">
        <x:v>metro</x:v>
      </x:c>
      <x:c r="D448" s="18" t="str">
        <x:v>T1</x:v>
      </x:c>
      <x:c r="E448" s="19" t="str">
        <x:v>已有官方边界，组件待核</x:v>
      </x:c>
      <x:c r="F448" s="19" t="str">
        <x:v>表参道</x:v>
      </x:c>
      <x:c r="G448" s="18" t="str">
        <x:v>transport-node:0dc8465f-68de-55ec-ac1c-35178ac5e3b8</x:v>
      </x:c>
    </x:row>
    <x:row r="449" ht="28" customHeight="1">
      <x:c r="A449" s="18" t="str">
        <x:v>西中島南方</x:v>
      </x:c>
      <x:c r="B449" s="18" t="str">
        <x:v>大阪市高速電気軌道</x:v>
      </x:c>
      <x:c r="C449" s="18" t="str">
        <x:v>metro</x:v>
      </x:c>
      <x:c r="D449" s="18" t="str">
        <x:v>T1</x:v>
      </x:c>
      <x:c r="E449" s="19" t="str">
        <x:v>已有官方边界，组件待核</x:v>
      </x:c>
      <x:c r="F449" s="19" t="str">
        <x:v>西中島南方・南方</x:v>
      </x:c>
      <x:c r="G449" s="18" t="str">
        <x:v>transport-node:072ce89a-b16e-5071-a30c-7a613a15fd74</x:v>
      </x:c>
    </x:row>
    <x:row r="450" ht="28" customHeight="1">
      <x:c r="A450" s="18" t="str">
        <x:v>西九条</x:v>
      </x:c>
      <x:c r="B450" s="18" t="str">
        <x:v>西日本旅客鉄道</x:v>
      </x:c>
      <x:c r="C450" s="18" t="str">
        <x:v>conventional_rail</x:v>
      </x:c>
      <x:c r="D450" s="18" t="str">
        <x:v>T1</x:v>
      </x:c>
      <x:c r="E450" s="19" t="str">
        <x:v>尚未建立 Hub 审核范围</x:v>
      </x:c>
      <x:c r="F450" s="19" t="str"/>
      <x:c r="G450" s="18" t="str">
        <x:v>transport-node:785eb566-fb89-5df1-aabb-efce74a9a4a1</x:v>
      </x:c>
    </x:row>
    <x:row r="451" ht="28" customHeight="1">
      <x:c r="A451" s="18" t="str">
        <x:v>西八王子</x:v>
      </x:c>
      <x:c r="B451" s="18" t="str">
        <x:v>東日本旅客鉄道</x:v>
      </x:c>
      <x:c r="C451" s="18" t="str">
        <x:v>conventional_rail</x:v>
      </x:c>
      <x:c r="D451" s="18" t="str">
        <x:v>T1</x:v>
      </x:c>
      <x:c r="E451" s="19" t="str">
        <x:v>尚未建立 Hub 审核范围</x:v>
      </x:c>
      <x:c r="F451" s="19" t="str"/>
      <x:c r="G451" s="18" t="str">
        <x:v>transport-node:610b1e02-0942-5ee8-a11f-663acfd2f22a</x:v>
      </x:c>
    </x:row>
    <x:row r="452" ht="28" customHeight="1">
      <x:c r="A452" s="18" t="str">
        <x:v>西国分寺</x:v>
      </x:c>
      <x:c r="B452" s="18" t="str">
        <x:v>東日本旅客鉄道</x:v>
      </x:c>
      <x:c r="C452" s="18" t="str">
        <x:v>conventional_rail</x:v>
      </x:c>
      <x:c r="D452" s="18" t="str">
        <x:v>T1</x:v>
      </x:c>
      <x:c r="E452" s="19" t="str">
        <x:v>尚未建立 Hub 审核范围</x:v>
      </x:c>
      <x:c r="F452" s="19" t="str"/>
      <x:c r="G452" s="18" t="str">
        <x:v>transport-node:d18e8376-c8ac-5bf1-a642-9d5c166c648a</x:v>
      </x:c>
    </x:row>
    <x:row r="453" ht="28" customHeight="1">
      <x:c r="A453" s="18" t="str">
        <x:v>西宮北口</x:v>
      </x:c>
      <x:c r="B453" s="18" t="str">
        <x:v>阪急電鉄</x:v>
      </x:c>
      <x:c r="C453" s="18" t="str">
        <x:v>private_rail</x:v>
      </x:c>
      <x:c r="D453" s="18" t="str">
        <x:v>T1</x:v>
      </x:c>
      <x:c r="E453" s="19" t="str">
        <x:v>尚未建立 Hub 审核范围</x:v>
      </x:c>
      <x:c r="F453" s="19" t="str"/>
      <x:c r="G453" s="18" t="str">
        <x:v>transport-node:ec2de7d5-4eef-52b6-932e-c7a1d42223de</x:v>
      </x:c>
    </x:row>
    <x:row r="454" ht="28" customHeight="1">
      <x:c r="A454" s="18" t="str">
        <x:v>西川口</x:v>
      </x:c>
      <x:c r="B454" s="18" t="str">
        <x:v>東日本旅客鉄道</x:v>
      </x:c>
      <x:c r="C454" s="18" t="str">
        <x:v>conventional_rail</x:v>
      </x:c>
      <x:c r="D454" s="18" t="str">
        <x:v>T1</x:v>
      </x:c>
      <x:c r="E454" s="19" t="str">
        <x:v>尚未建立 Hub 审核范围</x:v>
      </x:c>
      <x:c r="F454" s="19" t="str"/>
      <x:c r="G454" s="18" t="str">
        <x:v>transport-node:201b3414-3e9c-5af2-af06-6c7013559856</x:v>
      </x:c>
    </x:row>
    <x:row r="455" ht="28" customHeight="1">
      <x:c r="A455" s="18" t="str">
        <x:v>西新井</x:v>
      </x:c>
      <x:c r="B455" s="18" t="str">
        <x:v>東武鉄道</x:v>
      </x:c>
      <x:c r="C455" s="18" t="str">
        <x:v>private_rail</x:v>
      </x:c>
      <x:c r="D455" s="18" t="str">
        <x:v>T1</x:v>
      </x:c>
      <x:c r="E455" s="19" t="str">
        <x:v>尚未建立 Hub 审核范围</x:v>
      </x:c>
      <x:c r="F455" s="19" t="str"/>
      <x:c r="G455" s="18" t="str">
        <x:v>transport-node:93d8f17d-c69a-530e-aafc-f19f75d2281e</x:v>
      </x:c>
    </x:row>
    <x:row r="456" ht="28" customHeight="1">
      <x:c r="A456" s="18" t="str">
        <x:v>西新宿</x:v>
      </x:c>
      <x:c r="B456" s="18" t="str">
        <x:v>東京地下鉄</x:v>
      </x:c>
      <x:c r="C456" s="18" t="str">
        <x:v>metro</x:v>
      </x:c>
      <x:c r="D456" s="18" t="str">
        <x:v>T1</x:v>
      </x:c>
      <x:c r="E456" s="19" t="str">
        <x:v>尚未建立 Hub 审核范围</x:v>
      </x:c>
      <x:c r="F456" s="19" t="str"/>
      <x:c r="G456" s="18" t="str">
        <x:v>transport-node:36d3682f-68bb-5af6-967e-e05dd2d96fc2</x:v>
      </x:c>
    </x:row>
    <x:row r="457" ht="28" customHeight="1">
      <x:c r="A457" s="18" t="str">
        <x:v>西日暮里</x:v>
      </x:c>
      <x:c r="B457" s="18" t="str">
        <x:v>東京地下鉄</x:v>
      </x:c>
      <x:c r="C457" s="18" t="str">
        <x:v>metro</x:v>
      </x:c>
      <x:c r="D457" s="18" t="str">
        <x:v>T1</x:v>
      </x:c>
      <x:c r="E457" s="19" t="str">
        <x:v>已有官方边界，组件待核</x:v>
      </x:c>
      <x:c r="F457" s="19" t="str">
        <x:v>西日暮里</x:v>
      </x:c>
      <x:c r="G457" s="18" t="str">
        <x:v>transport-node:b37f9352-3f6f-5243-a24b-d90476422ca8</x:v>
      </x:c>
    </x:row>
    <x:row r="458" ht="28" customHeight="1">
      <x:c r="A458" s="18" t="str">
        <x:v>西日暮里</x:v>
      </x:c>
      <x:c r="B458" s="18" t="str">
        <x:v>東日本旅客鉄道</x:v>
      </x:c>
      <x:c r="C458" s="18" t="str">
        <x:v>conventional_rail</x:v>
      </x:c>
      <x:c r="D458" s="18" t="str">
        <x:v>T1</x:v>
      </x:c>
      <x:c r="E458" s="19" t="str">
        <x:v>已有官方边界，组件待核</x:v>
      </x:c>
      <x:c r="F458" s="19" t="str">
        <x:v>西日暮里</x:v>
      </x:c>
      <x:c r="G458" s="18" t="str">
        <x:v>transport-node:1259da7b-3086-5833-a39e-053102f34e7b</x:v>
      </x:c>
    </x:row>
    <x:row r="459" ht="28" customHeight="1">
      <x:c r="A459" s="18" t="str">
        <x:v>西明石</x:v>
      </x:c>
      <x:c r="B459" s="18" t="str">
        <x:v>西日本旅客鉄道</x:v>
      </x:c>
      <x:c r="C459" s="18" t="str">
        <x:v>conventional_rail</x:v>
      </x:c>
      <x:c r="D459" s="18" t="str">
        <x:v>T1</x:v>
      </x:c>
      <x:c r="E459" s="19" t="str">
        <x:v>尚未建立 Hub 审核范围</x:v>
      </x:c>
      <x:c r="F459" s="19" t="str"/>
      <x:c r="G459" s="18" t="str">
        <x:v>transport-node:a8d923cd-c9d8-5115-bf1f-a88ad0c01439</x:v>
      </x:c>
    </x:row>
    <x:row r="460" ht="28" customHeight="1">
      <x:c r="A460" s="18" t="str">
        <x:v>西梅田</x:v>
      </x:c>
      <x:c r="B460" s="18" t="str">
        <x:v>大阪市高速電気軌道</x:v>
      </x:c>
      <x:c r="C460" s="18" t="str">
        <x:v>metro</x:v>
      </x:c>
      <x:c r="D460" s="18" t="str">
        <x:v>T1</x:v>
      </x:c>
      <x:c r="E460" s="19" t="str">
        <x:v>已有官方边界，组件待核</x:v>
      </x:c>
      <x:c r="F460" s="19" t="str">
        <x:v>大阪・梅田</x:v>
      </x:c>
      <x:c r="G460" s="18" t="str">
        <x:v>transport-node:556b085d-b688-5d14-a37b-b323193bf161</x:v>
      </x:c>
    </x:row>
    <x:row r="461" ht="28" customHeight="1">
      <x:c r="A461" s="18" t="str">
        <x:v>西武新宿</x:v>
      </x:c>
      <x:c r="B461" s="18" t="str">
        <x:v>西武鉄道</x:v>
      </x:c>
      <x:c r="C461" s="18" t="str">
        <x:v>private_rail</x:v>
      </x:c>
      <x:c r="D461" s="18" t="str">
        <x:v>T1</x:v>
      </x:c>
      <x:c r="E461" s="19" t="str">
        <x:v>尚未建立 Hub 审核范围</x:v>
      </x:c>
      <x:c r="F461" s="19" t="str"/>
      <x:c r="G461" s="18" t="str">
        <x:v>transport-node:26c5d3dc-4a78-5f81-8d79-3d5546533fc3</x:v>
      </x:c>
    </x:row>
    <x:row r="462" ht="28" customHeight="1">
      <x:c r="A462" s="18" t="str">
        <x:v>西船橋</x:v>
      </x:c>
      <x:c r="B462" s="18" t="str">
        <x:v>東京地下鉄</x:v>
      </x:c>
      <x:c r="C462" s="18" t="str">
        <x:v>metro</x:v>
      </x:c>
      <x:c r="D462" s="18" t="str">
        <x:v>T0</x:v>
      </x:c>
      <x:c r="E462" s="19" t="str">
        <x:v>已有官方边界，组件待核</x:v>
      </x:c>
      <x:c r="F462" s="19" t="str">
        <x:v>西船橋</x:v>
      </x:c>
      <x:c r="G462" s="18" t="str">
        <x:v>transport-node:875b13b3-3e7f-5e29-a44d-bb350d51f2b1</x:v>
      </x:c>
    </x:row>
    <x:row r="463" ht="28" customHeight="1">
      <x:c r="A463" s="18" t="str">
        <x:v>西船橋</x:v>
      </x:c>
      <x:c r="B463" s="18" t="str">
        <x:v>東日本旅客鉄道</x:v>
      </x:c>
      <x:c r="C463" s="18" t="str">
        <x:v>conventional_rail</x:v>
      </x:c>
      <x:c r="D463" s="18" t="str">
        <x:v>T0</x:v>
      </x:c>
      <x:c r="E463" s="19" t="str">
        <x:v>已有官方边界，组件待核</x:v>
      </x:c>
      <x:c r="F463" s="19" t="str">
        <x:v>西船橋</x:v>
      </x:c>
      <x:c r="G463" s="18" t="str">
        <x:v>transport-node:5c5eeed3-074f-570d-aa03-f52a7665066f</x:v>
      </x:c>
    </x:row>
    <x:row r="464" ht="28" customHeight="1">
      <x:c r="A464" s="18" t="str">
        <x:v>西荻窪</x:v>
      </x:c>
      <x:c r="B464" s="18" t="str">
        <x:v>東日本旅客鉄道</x:v>
      </x:c>
      <x:c r="C464" s="18" t="str">
        <x:v>conventional_rail</x:v>
      </x:c>
      <x:c r="D464" s="18" t="str">
        <x:v>T1</x:v>
      </x:c>
      <x:c r="E464" s="19" t="str">
        <x:v>尚未建立 Hub 审核范围</x:v>
      </x:c>
      <x:c r="F464" s="19" t="str"/>
      <x:c r="G464" s="18" t="str">
        <x:v>transport-node:1c232402-6079-5b62-8255-2d5d02bd8eb3</x:v>
      </x:c>
    </x:row>
    <x:row r="465" ht="28" customHeight="1">
      <x:c r="A465" s="18" t="str">
        <x:v>西葛西</x:v>
      </x:c>
      <x:c r="B465" s="18" t="str">
        <x:v>東京地下鉄</x:v>
      </x:c>
      <x:c r="C465" s="18" t="str">
        <x:v>metro</x:v>
      </x:c>
      <x:c r="D465" s="18" t="str">
        <x:v>T1</x:v>
      </x:c>
      <x:c r="E465" s="19" t="str">
        <x:v>尚未建立 Hub 审核范围</x:v>
      </x:c>
      <x:c r="F465" s="19" t="str"/>
      <x:c r="G465" s="18" t="str">
        <x:v>transport-node:9bfc8c87-56ec-57f5-868f-1092209c0fd8</x:v>
      </x:c>
    </x:row>
    <x:row r="466" ht="28" customHeight="1">
      <x:c r="A466" s="18" t="str">
        <x:v>西鉄福岡（天神）</x:v>
      </x:c>
      <x:c r="B466" s="18" t="str">
        <x:v>西日本鉄道</x:v>
      </x:c>
      <x:c r="C466" s="18" t="str">
        <x:v>private_rail</x:v>
      </x:c>
      <x:c r="D466" s="18" t="str">
        <x:v>T1</x:v>
      </x:c>
      <x:c r="E466" s="19" t="str">
        <x:v>已有官方边界，组件待核</x:v>
      </x:c>
      <x:c r="F466" s="19" t="str">
        <x:v>天神・西鉄福岡・天神南</x:v>
      </x:c>
      <x:c r="G466" s="18" t="str">
        <x:v>transport-node:c4cd6e29-0e0c-5412-829c-2d872c4f0365</x:v>
      </x:c>
    </x:row>
    <x:row r="467" ht="28" customHeight="1">
      <x:c r="A467" s="18" t="str">
        <x:v>調布</x:v>
      </x:c>
      <x:c r="B467" s="18" t="str">
        <x:v>京王電鉄</x:v>
      </x:c>
      <x:c r="C467" s="18" t="str">
        <x:v>private_rail</x:v>
      </x:c>
      <x:c r="D467" s="18" t="str">
        <x:v>T1</x:v>
      </x:c>
      <x:c r="E467" s="19" t="str">
        <x:v>已有官方边界，组件待核</x:v>
      </x:c>
      <x:c r="F467" s="19" t="str">
        <x:v>調布</x:v>
      </x:c>
      <x:c r="G467" s="18" t="str">
        <x:v>transport-node:17e37ca0-2e29-517c-891f-8c72ebea1348</x:v>
      </x:c>
    </x:row>
    <x:row r="468" ht="28" customHeight="1">
      <x:c r="A468" s="18" t="str">
        <x:v>谷町九丁目</x:v>
      </x:c>
      <x:c r="B468" s="18" t="str">
        <x:v>大阪市高速電気軌道</x:v>
      </x:c>
      <x:c r="C468" s="18" t="str">
        <x:v>metro</x:v>
      </x:c>
      <x:c r="D468" s="18" t="str">
        <x:v>T1</x:v>
      </x:c>
      <x:c r="E468" s="19" t="str">
        <x:v>已有官方边界，组件待核</x:v>
      </x:c>
      <x:c r="F468" s="19" t="str">
        <x:v>谷町九丁目・大阪上本町</x:v>
      </x:c>
      <x:c r="G468" s="18" t="str">
        <x:v>transport-node:eb59bdfe-60f6-59c6-908d-da9944fde604</x:v>
      </x:c>
    </x:row>
    <x:row r="469" ht="28" customHeight="1">
      <x:c r="A469" s="18" t="str">
        <x:v>谷町四丁目</x:v>
      </x:c>
      <x:c r="B469" s="18" t="str">
        <x:v>大阪市高速電気軌道</x:v>
      </x:c>
      <x:c r="C469" s="18" t="str">
        <x:v>metro</x:v>
      </x:c>
      <x:c r="D469" s="18" t="str">
        <x:v>T1</x:v>
      </x:c>
      <x:c r="E469" s="19" t="str">
        <x:v>已有官方边界，组件待核</x:v>
      </x:c>
      <x:c r="F469" s="19" t="str">
        <x:v>谷町四丁目</x:v>
      </x:c>
      <x:c r="G469" s="18" t="str">
        <x:v>transport-node:15af036a-0f66-59f6-bc59-a1cde26e5015</x:v>
      </x:c>
    </x:row>
    <x:row r="470" ht="28" customHeight="1">
      <x:c r="A470" s="18" t="str">
        <x:v>豊橋</x:v>
      </x:c>
      <x:c r="B470" s="18" t="str">
        <x:v>東海旅客鉄道</x:v>
      </x:c>
      <x:c r="C470" s="18" t="str">
        <x:v>conventional_rail</x:v>
      </x:c>
      <x:c r="D470" s="18" t="str">
        <x:v>T1</x:v>
      </x:c>
      <x:c r="E470" s="19" t="str">
        <x:v>尚未建立 Hub 审核范围</x:v>
      </x:c>
      <x:c r="F470" s="19" t="str"/>
      <x:c r="G470" s="18" t="str">
        <x:v>transport-node:53d976b4-69b7-5e5f-b3c6-2a80823b7ee0</x:v>
      </x:c>
    </x:row>
    <x:row r="471" ht="28" customHeight="1">
      <x:c r="A471" s="18" t="str">
        <x:v>豊洲</x:v>
      </x:c>
      <x:c r="B471" s="18" t="str">
        <x:v>東京地下鉄</x:v>
      </x:c>
      <x:c r="C471" s="18" t="str">
        <x:v>metro</x:v>
      </x:c>
      <x:c r="D471" s="18" t="str">
        <x:v>T0</x:v>
      </x:c>
      <x:c r="E471" s="19" t="str">
        <x:v>已有官方边界，组件待核</x:v>
      </x:c>
      <x:c r="F471" s="19" t="str">
        <x:v>豊洲</x:v>
      </x:c>
      <x:c r="G471" s="18" t="str">
        <x:v>transport-node:c07a4010-30d8-5046-b414-f75a3c1b262c</x:v>
      </x:c>
    </x:row>
    <x:row r="472" ht="28" customHeight="1">
      <x:c r="A472" s="18" t="str">
        <x:v>豊田</x:v>
      </x:c>
      <x:c r="B472" s="18" t="str">
        <x:v>東日本旅客鉄道</x:v>
      </x:c>
      <x:c r="C472" s="18" t="str">
        <x:v>conventional_rail</x:v>
      </x:c>
      <x:c r="D472" s="18" t="str">
        <x:v>T1</x:v>
      </x:c>
      <x:c r="E472" s="19" t="str">
        <x:v>尚未建立 Hub 审核范围</x:v>
      </x:c>
      <x:c r="F472" s="19" t="str"/>
      <x:c r="G472" s="18" t="str">
        <x:v>transport-node:893c7fed-fb73-5abb-8245-cf0ca110f2ab</x:v>
      </x:c>
    </x:row>
    <x:row r="473" ht="28" customHeight="1">
      <x:c r="A473" s="18" t="str">
        <x:v>赤坂</x:v>
      </x:c>
      <x:c r="B473" s="18" t="str">
        <x:v>東京地下鉄</x:v>
      </x:c>
      <x:c r="C473" s="18" t="str">
        <x:v>metro</x:v>
      </x:c>
      <x:c r="D473" s="18" t="str">
        <x:v>T1</x:v>
      </x:c>
      <x:c r="E473" s="19" t="str">
        <x:v>尚未建立 Hub 审核范围</x:v>
      </x:c>
      <x:c r="F473" s="19" t="str"/>
      <x:c r="G473" s="18" t="str">
        <x:v>transport-node:887f073f-690e-51ad-b637-0f07d6480975</x:v>
      </x:c>
    </x:row>
    <x:row r="474" ht="28" customHeight="1">
      <x:c r="A474" s="18" t="str">
        <x:v>赤坂見附</x:v>
      </x:c>
      <x:c r="B474" s="18" t="str">
        <x:v>東京地下鉄</x:v>
      </x:c>
      <x:c r="C474" s="18" t="str">
        <x:v>metro</x:v>
      </x:c>
      <x:c r="D474" s="18" t="str">
        <x:v>T1</x:v>
      </x:c>
      <x:c r="E474" s="19" t="str">
        <x:v>已有官方边界，组件待核</x:v>
      </x:c>
      <x:c r="F474" s="19" t="str">
        <x:v>赤坂見附・永田町</x:v>
      </x:c>
      <x:c r="G474" s="18" t="str">
        <x:v>transport-node:bd63f2a5-cc5d-5f3b-a76e-ab67430dfa5f</x:v>
      </x:c>
    </x:row>
    <x:row r="475" ht="28" customHeight="1">
      <x:c r="A475" s="18" t="str">
        <x:v>赤羽</x:v>
      </x:c>
      <x:c r="B475" s="18" t="str">
        <x:v>東日本旅客鉄道</x:v>
      </x:c>
      <x:c r="C475" s="18" t="str">
        <x:v>conventional_rail</x:v>
      </x:c>
      <x:c r="D475" s="18" t="str">
        <x:v>T1</x:v>
      </x:c>
      <x:c r="E475" s="19" t="str">
        <x:v>尚未建立 Hub 审核范围</x:v>
      </x:c>
      <x:c r="F475" s="19" t="str"/>
      <x:c r="G475" s="18" t="str">
        <x:v>transport-node:96b38df7-cb30-52bf-b584-df98ede3b32b</x:v>
      </x:c>
    </x:row>
    <x:row r="476" ht="28" customHeight="1">
      <x:c r="A476" s="18" t="str">
        <x:v>赤羽岩淵</x:v>
      </x:c>
      <x:c r="B476" s="18" t="str">
        <x:v>東京地下鉄</x:v>
      </x:c>
      <x:c r="C476" s="18" t="str">
        <x:v>metro</x:v>
      </x:c>
      <x:c r="D476" s="18" t="str">
        <x:v>T1</x:v>
      </x:c>
      <x:c r="E476" s="19" t="str">
        <x:v>已有官方边界，组件待核</x:v>
      </x:c>
      <x:c r="F476" s="19" t="str">
        <x:v>赤羽岩淵</x:v>
      </x:c>
      <x:c r="G476" s="18" t="str">
        <x:v>transport-node:fabab716-5dbf-5f73-b60d-5e1809004638</x:v>
      </x:c>
    </x:row>
    <x:row r="477" ht="28" customHeight="1">
      <x:c r="A477" s="18" t="str">
        <x:v>越谷レイクタウン</x:v>
      </x:c>
      <x:c r="B477" s="18" t="str">
        <x:v>東日本旅客鉄道</x:v>
      </x:c>
      <x:c r="C477" s="18" t="str">
        <x:v>conventional_rail</x:v>
      </x:c>
      <x:c r="D477" s="18" t="str">
        <x:v>T1</x:v>
      </x:c>
      <x:c r="E477" s="19" t="str">
        <x:v>尚未建立 Hub 审核范围</x:v>
      </x:c>
      <x:c r="F477" s="19" t="str"/>
      <x:c r="G477" s="18" t="str">
        <x:v>transport-node:82f53760-f056-5f41-81c3-d127b943c9c0</x:v>
      </x:c>
    </x:row>
    <x:row r="478" ht="28" customHeight="1">
      <x:c r="A478" s="18" t="str">
        <x:v>辻堂</x:v>
      </x:c>
      <x:c r="B478" s="18" t="str">
        <x:v>東日本旅客鉄道</x:v>
      </x:c>
      <x:c r="C478" s="18" t="str">
        <x:v>conventional_rail</x:v>
      </x:c>
      <x:c r="D478" s="18" t="str">
        <x:v>T1</x:v>
      </x:c>
      <x:c r="E478" s="19" t="str">
        <x:v>尚未建立 Hub 审核范围</x:v>
      </x:c>
      <x:c r="F478" s="19" t="str"/>
      <x:c r="G478" s="18" t="str">
        <x:v>transport-node:a1c40205-0202-575e-8824-37841b4fa1cf</x:v>
      </x:c>
    </x:row>
    <x:row r="479" ht="28" customHeight="1">
      <x:c r="A479" s="18" t="str">
        <x:v>近鉄名古屋</x:v>
      </x:c>
      <x:c r="B479" s="18" t="str">
        <x:v>近畿日本鉄道</x:v>
      </x:c>
      <x:c r="C479" s="18" t="str">
        <x:v>private_rail</x:v>
      </x:c>
      <x:c r="D479" s="18" t="str">
        <x:v>T1</x:v>
      </x:c>
      <x:c r="E479" s="19" t="str">
        <x:v>已有官方边界，组件待核</x:v>
      </x:c>
      <x:c r="F479" s="19" t="str">
        <x:v>名古屋</x:v>
      </x:c>
      <x:c r="G479" s="18" t="str">
        <x:v>transport-node:8aad0ad4-6142-5fc7-8085-1248f3f6a77d</x:v>
      </x:c>
    </x:row>
    <x:row r="480" ht="28" customHeight="1">
      <x:c r="A480" s="18" t="str">
        <x:v>近鉄奈良</x:v>
      </x:c>
      <x:c r="B480" s="18" t="str">
        <x:v>近畿日本鉄道</x:v>
      </x:c>
      <x:c r="C480" s="18" t="str">
        <x:v>private_rail</x:v>
      </x:c>
      <x:c r="D480" s="18" t="str">
        <x:v>T1</x:v>
      </x:c>
      <x:c r="E480" s="19" t="str">
        <x:v>尚未建立 Hub 审核范围</x:v>
      </x:c>
      <x:c r="F480" s="19" t="str"/>
      <x:c r="G480" s="18" t="str">
        <x:v>transport-node:807ffe4c-83b6-5dab-b8d4-d0944dba4ad3</x:v>
      </x:c>
    </x:row>
    <x:row r="481" ht="28" customHeight="1">
      <x:c r="A481" s="18" t="str">
        <x:v>逗子</x:v>
      </x:c>
      <x:c r="B481" s="18" t="str">
        <x:v>東日本旅客鉄道</x:v>
      </x:c>
      <x:c r="C481" s="18" t="str">
        <x:v>conventional_rail</x:v>
      </x:c>
      <x:c r="D481" s="18" t="str">
        <x:v>T1</x:v>
      </x:c>
      <x:c r="E481" s="19" t="str">
        <x:v>尚未建立 Hub 审核范围</x:v>
      </x:c>
      <x:c r="F481" s="19" t="str"/>
      <x:c r="G481" s="18" t="str">
        <x:v>transport-node:0575d6aa-2caa-5db3-99b4-a46b320a2445</x:v>
      </x:c>
    </x:row>
    <x:row r="482" ht="28" customHeight="1">
      <x:c r="A482" s="18" t="str">
        <x:v>金山</x:v>
      </x:c>
      <x:c r="B482" s="18" t="str">
        <x:v>名古屋市</x:v>
      </x:c>
      <x:c r="C482" s="18" t="str">
        <x:v>metro</x:v>
      </x:c>
      <x:c r="D482" s="18" t="str">
        <x:v>T1</x:v>
      </x:c>
      <x:c r="E482" s="19" t="str">
        <x:v>已有官方边界，组件待核</x:v>
      </x:c>
      <x:c r="F482" s="19" t="str">
        <x:v>金山</x:v>
      </x:c>
      <x:c r="G482" s="18" t="str">
        <x:v>transport-node:c143e2a3-b7c1-5c8a-8d7a-4f50e46fff1f</x:v>
      </x:c>
    </x:row>
    <x:row r="483" ht="28" customHeight="1">
      <x:c r="A483" s="18" t="str">
        <x:v>金山</x:v>
      </x:c>
      <x:c r="B483" s="18" t="str">
        <x:v>名古屋鉄道</x:v>
      </x:c>
      <x:c r="C483" s="18" t="str">
        <x:v>private_rail</x:v>
      </x:c>
      <x:c r="D483" s="18" t="str">
        <x:v>T1</x:v>
      </x:c>
      <x:c r="E483" s="19" t="str">
        <x:v>已有官方边界，组件待核</x:v>
      </x:c>
      <x:c r="F483" s="19" t="str">
        <x:v>金山</x:v>
      </x:c>
      <x:c r="G483" s="18" t="str">
        <x:v>transport-node:5a5761e8-fed6-5c94-924e-de2401b3ef2d</x:v>
      </x:c>
    </x:row>
    <x:row r="484" ht="28" customHeight="1">
      <x:c r="A484" s="18" t="str">
        <x:v>金山</x:v>
      </x:c>
      <x:c r="B484" s="18" t="str">
        <x:v>東海旅客鉄道</x:v>
      </x:c>
      <x:c r="C484" s="18" t="str">
        <x:v>conventional_rail</x:v>
      </x:c>
      <x:c r="D484" s="18" t="str">
        <x:v>T1</x:v>
      </x:c>
      <x:c r="E484" s="19" t="str">
        <x:v>已有官方边界，组件待核</x:v>
      </x:c>
      <x:c r="F484" s="19" t="str">
        <x:v>金山</x:v>
      </x:c>
      <x:c r="G484" s="18" t="str">
        <x:v>transport-node:b64d40e6-715a-5a34-a03d-327db3fa845a</x:v>
      </x:c>
    </x:row>
    <x:row r="485" ht="28" customHeight="1">
      <x:c r="A485" s="18" t="str">
        <x:v>金沢八景</x:v>
      </x:c>
      <x:c r="B485" s="18" t="str">
        <x:v>京浜急行電鉄</x:v>
      </x:c>
      <x:c r="C485" s="18" t="str">
        <x:v>private_rail</x:v>
      </x:c>
      <x:c r="D485" s="18" t="str">
        <x:v>T1</x:v>
      </x:c>
      <x:c r="E485" s="19" t="str">
        <x:v>已有官方边界，组件待核</x:v>
      </x:c>
      <x:c r="F485" s="19" t="str">
        <x:v>金沢八景</x:v>
      </x:c>
      <x:c r="G485" s="18" t="str">
        <x:v>transport-node:43d1df67-7945-5044-a9ef-fc715a524f6a</x:v>
      </x:c>
    </x:row>
    <x:row r="486" ht="28" customHeight="1">
      <x:c r="A486" s="18" t="str">
        <x:v>金沢文庫</x:v>
      </x:c>
      <x:c r="B486" s="18" t="str">
        <x:v>京浜急行電鉄</x:v>
      </x:c>
      <x:c r="C486" s="18" t="str">
        <x:v>private_rail</x:v>
      </x:c>
      <x:c r="D486" s="18" t="str">
        <x:v>T1</x:v>
      </x:c>
      <x:c r="E486" s="19" t="str">
        <x:v>尚未建立 Hub 审核范围</x:v>
      </x:c>
      <x:c r="F486" s="19" t="str"/>
      <x:c r="G486" s="18" t="str">
        <x:v>transport-node:473249f2-3b1e-51ed-8f0c-2302ab1c8a25</x:v>
      </x:c>
    </x:row>
    <x:row r="487" ht="28" customHeight="1">
      <x:c r="A487" s="18" t="str">
        <x:v>金町</x:v>
      </x:c>
      <x:c r="B487" s="18" t="str">
        <x:v>東日本旅客鉄道</x:v>
      </x:c>
      <x:c r="C487" s="18" t="str">
        <x:v>conventional_rail</x:v>
      </x:c>
      <x:c r="D487" s="18" t="str">
        <x:v>T1</x:v>
      </x:c>
      <x:c r="E487" s="19" t="str">
        <x:v>尚未建立 Hub 审核范围</x:v>
      </x:c>
      <x:c r="F487" s="19" t="str"/>
      <x:c r="G487" s="18" t="str">
        <x:v>transport-node:9a0fef74-6024-546a-a2c5-8677a895b962</x:v>
      </x:c>
    </x:row>
    <x:row r="488" ht="28" customHeight="1">
      <x:c r="A488" s="18" t="str">
        <x:v>銀座</x:v>
      </x:c>
      <x:c r="B488" s="18" t="str">
        <x:v>東京地下鉄</x:v>
      </x:c>
      <x:c r="C488" s="18" t="str">
        <x:v>metro</x:v>
      </x:c>
      <x:c r="D488" s="18" t="str">
        <x:v>T0</x:v>
      </x:c>
      <x:c r="E488" s="19" t="str">
        <x:v>已有官方边界，组件待核</x:v>
      </x:c>
      <x:c r="F488" s="19" t="str">
        <x:v>銀座</x:v>
      </x:c>
      <x:c r="G488" s="18" t="str">
        <x:v>transport-node:586eff29-56a7-59b9-a0bc-d48099d7cca9</x:v>
      </x:c>
    </x:row>
    <x:row r="489" ht="28" customHeight="1">
      <x:c r="A489" s="18" t="str">
        <x:v>錦糸町</x:v>
      </x:c>
      <x:c r="B489" s="18" t="str">
        <x:v>東京地下鉄</x:v>
      </x:c>
      <x:c r="C489" s="18" t="str">
        <x:v>metro</x:v>
      </x:c>
      <x:c r="D489" s="18" t="str">
        <x:v>T1</x:v>
      </x:c>
      <x:c r="E489" s="19" t="str">
        <x:v>已有官方边界，组件待核</x:v>
      </x:c>
      <x:c r="F489" s="19" t="str">
        <x:v>錦糸町</x:v>
      </x:c>
      <x:c r="G489" s="18" t="str">
        <x:v>transport-node:0850e8f6-b98b-54e8-9bf7-e8f52a986ad7</x:v>
      </x:c>
    </x:row>
    <x:row r="490" ht="28" customHeight="1">
      <x:c r="A490" s="18" t="str">
        <x:v>錦糸町</x:v>
      </x:c>
      <x:c r="B490" s="18" t="str">
        <x:v>東日本旅客鉄道</x:v>
      </x:c>
      <x:c r="C490" s="18" t="str">
        <x:v>conventional_rail</x:v>
      </x:c>
      <x:c r="D490" s="18" t="str">
        <x:v>T1</x:v>
      </x:c>
      <x:c r="E490" s="19" t="str">
        <x:v>已有官方边界，组件待核</x:v>
      </x:c>
      <x:c r="F490" s="19" t="str">
        <x:v>錦糸町</x:v>
      </x:c>
      <x:c r="G490" s="18" t="str">
        <x:v>transport-node:1b6ef1f7-7a32-5816-95e8-2b2c86238d5b</x:v>
      </x:c>
    </x:row>
    <x:row r="491" ht="28" customHeight="1">
      <x:c r="A491" s="18" t="str">
        <x:v>鎌倉</x:v>
      </x:c>
      <x:c r="B491" s="18" t="str">
        <x:v>東日本旅客鉄道</x:v>
      </x:c>
      <x:c r="C491" s="18" t="str">
        <x:v>conventional_rail</x:v>
      </x:c>
      <x:c r="D491" s="18" t="str">
        <x:v>T1</x:v>
      </x:c>
      <x:c r="E491" s="19" t="str">
        <x:v>尚未建立 Hub 审核范围</x:v>
      </x:c>
      <x:c r="F491" s="19" t="str"/>
      <x:c r="G491" s="18" t="str">
        <x:v>transport-node:1180b146-f264-55f9-8ad8-8aaa454bb5fc</x:v>
      </x:c>
    </x:row>
    <x:row r="492" ht="28" customHeight="1">
      <x:c r="A492" s="18" t="str">
        <x:v>長堀橋</x:v>
      </x:c>
      <x:c r="B492" s="18" t="str">
        <x:v>大阪市高速電気軌道</x:v>
      </x:c>
      <x:c r="C492" s="18" t="str">
        <x:v>metro</x:v>
      </x:c>
      <x:c r="D492" s="18" t="str">
        <x:v>T1</x:v>
      </x:c>
      <x:c r="E492" s="19" t="str">
        <x:v>已有官方边界，组件待核</x:v>
      </x:c>
      <x:c r="F492" s="19" t="str">
        <x:v>長堀橋</x:v>
      </x:c>
      <x:c r="G492" s="18" t="str">
        <x:v>transport-node:1176d9b1-0eae-52bf-b584-defcbaea1b47</x:v>
      </x:c>
    </x:row>
    <x:row r="493" ht="28" customHeight="1">
      <x:c r="A493" s="18" t="str">
        <x:v>長津田</x:v>
      </x:c>
      <x:c r="B493" s="18" t="str">
        <x:v>東急電鉄</x:v>
      </x:c>
      <x:c r="C493" s="18" t="str">
        <x:v>private_rail</x:v>
      </x:c>
      <x:c r="D493" s="18" t="str">
        <x:v>T1</x:v>
      </x:c>
      <x:c r="E493" s="19" t="str">
        <x:v>尚未建立 Hub 审核范围</x:v>
      </x:c>
      <x:c r="F493" s="19" t="str"/>
      <x:c r="G493" s="18" t="str">
        <x:v>transport-node:ae6628d1-8aff-53fc-98b7-0b0a41265aa1</x:v>
      </x:c>
    </x:row>
    <x:row r="494" ht="28" customHeight="1">
      <x:c r="A494" s="18" t="str">
        <x:v>長津田</x:v>
      </x:c>
      <x:c r="B494" s="18" t="str">
        <x:v>東日本旅客鉄道</x:v>
      </x:c>
      <x:c r="C494" s="18" t="str">
        <x:v>conventional_rail</x:v>
      </x:c>
      <x:c r="D494" s="18" t="str">
        <x:v>T1</x:v>
      </x:c>
      <x:c r="E494" s="19" t="str">
        <x:v>尚未建立 Hub 审核范围</x:v>
      </x:c>
      <x:c r="F494" s="19" t="str"/>
      <x:c r="G494" s="18" t="str">
        <x:v>transport-node:3ae4954f-d99b-5e4b-a83f-b388c8cd38d6</x:v>
      </x:c>
    </x:row>
    <x:row r="495" ht="28" customHeight="1">
      <x:c r="A495" s="18" t="str">
        <x:v>門前仲町</x:v>
      </x:c>
      <x:c r="B495" s="18" t="str">
        <x:v>東京地下鉄</x:v>
      </x:c>
      <x:c r="C495" s="18" t="str">
        <x:v>metro</x:v>
      </x:c>
      <x:c r="D495" s="18" t="str">
        <x:v>T1</x:v>
      </x:c>
      <x:c r="E495" s="19" t="str">
        <x:v>已有官方边界，组件待核</x:v>
      </x:c>
      <x:c r="F495" s="19" t="str">
        <x:v>門前仲町</x:v>
      </x:c>
      <x:c r="G495" s="18" t="str">
        <x:v>transport-node:f4334264-9c7e-5cc1-b396-f4e816e64323</x:v>
      </x:c>
    </x:row>
    <x:row r="496" ht="28" customHeight="1">
      <x:c r="A496" s="18" t="str">
        <x:v>関内</x:v>
      </x:c>
      <x:c r="B496" s="18" t="str">
        <x:v>東日本旅客鉄道</x:v>
      </x:c>
      <x:c r="C496" s="18" t="str">
        <x:v>conventional_rail</x:v>
      </x:c>
      <x:c r="D496" s="18" t="str">
        <x:v>T1</x:v>
      </x:c>
      <x:c r="E496" s="19" t="str">
        <x:v>尚未建立 Hub 审核范围</x:v>
      </x:c>
      <x:c r="F496" s="19" t="str"/>
      <x:c r="G496" s="18" t="str">
        <x:v>transport-node:74bc158f-7748-583c-b40b-0a6117c91751</x:v>
      </x:c>
    </x:row>
    <x:row r="497" ht="28" customHeight="1">
      <x:c r="A497" s="18" t="str">
        <x:v>阿佐ヶ谷</x:v>
      </x:c>
      <x:c r="B497" s="18" t="str">
        <x:v>東日本旅客鉄道</x:v>
      </x:c>
      <x:c r="C497" s="18" t="str">
        <x:v>conventional_rail</x:v>
      </x:c>
      <x:c r="D497" s="18" t="str">
        <x:v>T1</x:v>
      </x:c>
      <x:c r="E497" s="19" t="str">
        <x:v>尚未建立 Hub 审核范围</x:v>
      </x:c>
      <x:c r="F497" s="19" t="str"/>
      <x:c r="G497" s="18" t="str">
        <x:v>transport-node:9e315ee4-e642-5411-871e-80baca570774</x:v>
      </x:c>
    </x:row>
    <x:row r="498" ht="28" customHeight="1">
      <x:c r="A498" s="18" t="str">
        <x:v>難波</x:v>
      </x:c>
      <x:c r="B498" s="18" t="str">
        <x:v>南海電気鉄道</x:v>
      </x:c>
      <x:c r="C498" s="18" t="str">
        <x:v>private_rail</x:v>
      </x:c>
      <x:c r="D498" s="18" t="str">
        <x:v>T0</x:v>
      </x:c>
      <x:c r="E498" s="19" t="str">
        <x:v>已有官方边界，组件待核</x:v>
      </x:c>
      <x:c r="F498" s="19" t="str">
        <x:v>なんば・大阪難波</x:v>
      </x:c>
      <x:c r="G498" s="18" t="str">
        <x:v>transport-node:a905f73a-5ae5-5e62-823a-b9607c01a91c</x:v>
      </x:c>
    </x:row>
    <x:row r="499" ht="28" customHeight="1">
      <x:c r="A499" s="18" t="str">
        <x:v>難波</x:v>
      </x:c>
      <x:c r="B499" s="18" t="str">
        <x:v>大阪市高速電気軌道</x:v>
      </x:c>
      <x:c r="C499" s="18" t="str">
        <x:v>metro</x:v>
      </x:c>
      <x:c r="D499" s="18" t="str">
        <x:v>T0</x:v>
      </x:c>
      <x:c r="E499" s="19" t="str">
        <x:v>已有官方边界，组件待核</x:v>
      </x:c>
      <x:c r="F499" s="19" t="str">
        <x:v>なんば・大阪難波</x:v>
      </x:c>
      <x:c r="G499" s="18" t="str">
        <x:v>transport-node:e41c8208-1590-5ffa-b581-b575412c39dd</x:v>
      </x:c>
    </x:row>
    <x:row r="500" ht="28" customHeight="1">
      <x:c r="A500" s="18" t="str">
        <x:v>霞ヶ関</x:v>
      </x:c>
      <x:c r="B500" s="18" t="str">
        <x:v>東京地下鉄</x:v>
      </x:c>
      <x:c r="C500" s="18" t="str">
        <x:v>metro</x:v>
      </x:c>
      <x:c r="D500" s="18" t="str">
        <x:v>T1</x:v>
      </x:c>
      <x:c r="E500" s="19" t="str">
        <x:v>已有官方边界，组件待核</x:v>
      </x:c>
      <x:c r="F500" s="19" t="str">
        <x:v>霞ケ関</x:v>
      </x:c>
      <x:c r="G500" s="18" t="str">
        <x:v>transport-node:351c3502-8e88-525c-b8d9-f88b249ffb9d</x:v>
      </x:c>
    </x:row>
    <x:row r="501" ht="28" customHeight="1">
      <x:c r="A501" s="18" t="str">
        <x:v>青山一丁目</x:v>
      </x:c>
      <x:c r="B501" s="18" t="str">
        <x:v>東京地下鉄</x:v>
      </x:c>
      <x:c r="C501" s="18" t="str">
        <x:v>metro</x:v>
      </x:c>
      <x:c r="D501" s="18" t="str">
        <x:v>T1</x:v>
      </x:c>
      <x:c r="E501" s="19" t="str">
        <x:v>已有官方边界，组件待核</x:v>
      </x:c>
      <x:c r="F501" s="19" t="str">
        <x:v>青山一丁目</x:v>
      </x:c>
      <x:c r="G501" s="18" t="str">
        <x:v>transport-node:23d24b23-5149-5deb-921b-0e68fa9fb11b</x:v>
      </x:c>
    </x:row>
    <x:row r="502" ht="28" customHeight="1">
      <x:c r="A502" s="18" t="str">
        <x:v>青葉台</x:v>
      </x:c>
      <x:c r="B502" s="18" t="str">
        <x:v>東急電鉄</x:v>
      </x:c>
      <x:c r="C502" s="18" t="str">
        <x:v>private_rail</x:v>
      </x:c>
      <x:c r="D502" s="18" t="str">
        <x:v>T1</x:v>
      </x:c>
      <x:c r="E502" s="19" t="str">
        <x:v>尚未建立 Hub 审核范围</x:v>
      </x:c>
      <x:c r="F502" s="19" t="str"/>
      <x:c r="G502" s="18" t="str">
        <x:v>transport-node:8982789b-3546-546d-a35c-bc8ffbf60b27</x:v>
      </x:c>
    </x:row>
    <x:row r="503" ht="28" customHeight="1">
      <x:c r="A503" s="18" t="str">
        <x:v>静岡</x:v>
      </x:c>
      <x:c r="B503" s="18" t="str">
        <x:v>東海旅客鉄道</x:v>
      </x:c>
      <x:c r="C503" s="18" t="str">
        <x:v>conventional_rail</x:v>
      </x:c>
      <x:c r="D503" s="18" t="str">
        <x:v>T1</x:v>
      </x:c>
      <x:c r="E503" s="19" t="str">
        <x:v>已有官方边界，组件待核</x:v>
      </x:c>
      <x:c r="F503" s="19" t="str">
        <x:v>静岡</x:v>
      </x:c>
      <x:c r="G503" s="18" t="str">
        <x:v>transport-node:0512f82e-d175-561c-8574-e1176256a5b2</x:v>
      </x:c>
    </x:row>
    <x:row r="504" ht="28" customHeight="1">
      <x:c r="A504" s="18" t="str">
        <x:v>飯田橋</x:v>
      </x:c>
      <x:c r="B504" s="18" t="str">
        <x:v>東京地下鉄</x:v>
      </x:c>
      <x:c r="C504" s="18" t="str">
        <x:v>metro</x:v>
      </x:c>
      <x:c r="D504" s="18" t="str">
        <x:v>T1</x:v>
      </x:c>
      <x:c r="E504" s="19" t="str">
        <x:v>已有官方边界，组件待核</x:v>
      </x:c>
      <x:c r="F504" s="19" t="str">
        <x:v>飯田橋</x:v>
      </x:c>
      <x:c r="G504" s="18" t="str">
        <x:v>transport-node:154a4dd6-48bc-52f0-85ad-349347dbb4bc</x:v>
      </x:c>
    </x:row>
    <x:row r="505" ht="28" customHeight="1">
      <x:c r="A505" s="18" t="str">
        <x:v>飯田橋</x:v>
      </x:c>
      <x:c r="B505" s="18" t="str">
        <x:v>東日本旅客鉄道</x:v>
      </x:c>
      <x:c r="C505" s="18" t="str">
        <x:v>conventional_rail</x:v>
      </x:c>
      <x:c r="D505" s="18" t="str">
        <x:v>T1</x:v>
      </x:c>
      <x:c r="E505" s="19" t="str">
        <x:v>已有官方边界，组件待核</x:v>
      </x:c>
      <x:c r="F505" s="19" t="str">
        <x:v>飯田橋</x:v>
      </x:c>
      <x:c r="G505" s="18" t="str">
        <x:v>transport-node:584dca41-f90d-55e6-b280-ae96d7d49860</x:v>
      </x:c>
    </x:row>
    <x:row r="506" ht="28" customHeight="1">
      <x:c r="A506" s="18" t="str">
        <x:v>馬喰町</x:v>
      </x:c>
      <x:c r="B506" s="18" t="str">
        <x:v>東日本旅客鉄道</x:v>
      </x:c>
      <x:c r="C506" s="18" t="str">
        <x:v>conventional_rail</x:v>
      </x:c>
      <x:c r="D506" s="18" t="str">
        <x:v>T1</x:v>
      </x:c>
      <x:c r="E506" s="19" t="str">
        <x:v>尚未建立 Hub 审核范围</x:v>
      </x:c>
      <x:c r="F506" s="19" t="str"/>
      <x:c r="G506" s="18" t="str">
        <x:v>transport-node:1710e86a-b9a7-5b66-beb6-419d07fa1e5d</x:v>
      </x:c>
    </x:row>
    <x:row r="507" ht="28" customHeight="1">
      <x:c r="A507" s="18" t="str">
        <x:v>駒沢大学</x:v>
      </x:c>
      <x:c r="B507" s="18" t="str">
        <x:v>東急電鉄</x:v>
      </x:c>
      <x:c r="C507" s="18" t="str">
        <x:v>private_rail</x:v>
      </x:c>
      <x:c r="D507" s="18" t="str">
        <x:v>T1</x:v>
      </x:c>
      <x:c r="E507" s="19" t="str">
        <x:v>尚未建立 Hub 审核范围</x:v>
      </x:c>
      <x:c r="F507" s="19" t="str"/>
      <x:c r="G507" s="18" t="str">
        <x:v>transport-node:b133fba4-8823-5a85-8a74-61025b0a7ac0</x:v>
      </x:c>
    </x:row>
    <x:row r="508" ht="28" customHeight="1">
      <x:c r="A508" s="18" t="str">
        <x:v>駒込</x:v>
      </x:c>
      <x:c r="B508" s="18" t="str">
        <x:v>東日本旅客鉄道</x:v>
      </x:c>
      <x:c r="C508" s="18" t="str">
        <x:v>conventional_rail</x:v>
      </x:c>
      <x:c r="D508" s="18" t="str">
        <x:v>T1</x:v>
      </x:c>
      <x:c r="E508" s="19" t="str">
        <x:v>尚未建立 Hub 审核范围</x:v>
      </x:c>
      <x:c r="F508" s="19" t="str"/>
      <x:c r="G508" s="18" t="str">
        <x:v>transport-node:e73f8019-acf0-5c0e-a533-c432b273ca81</x:v>
      </x:c>
    </x:row>
    <x:row r="509" ht="28" customHeight="1">
      <x:c r="A509" s="18" t="str">
        <x:v>高円寺</x:v>
      </x:c>
      <x:c r="B509" s="18" t="str">
        <x:v>東日本旅客鉄道</x:v>
      </x:c>
      <x:c r="C509" s="18" t="str">
        <x:v>conventional_rail</x:v>
      </x:c>
      <x:c r="D509" s="18" t="str">
        <x:v>T1</x:v>
      </x:c>
      <x:c r="E509" s="19" t="str">
        <x:v>尚未建立 Hub 审核范围</x:v>
      </x:c>
      <x:c r="F509" s="19" t="str"/>
      <x:c r="G509" s="18" t="str">
        <x:v>transport-node:912fa7f1-8f44-5fae-b7f1-918949f36e51</x:v>
      </x:c>
    </x:row>
    <x:row r="510" ht="28" customHeight="1">
      <x:c r="A510" s="18" t="str">
        <x:v>高尾</x:v>
      </x:c>
      <x:c r="B510" s="18" t="str">
        <x:v>東日本旅客鉄道</x:v>
      </x:c>
      <x:c r="C510" s="18" t="str">
        <x:v>conventional_rail</x:v>
      </x:c>
      <x:c r="D510" s="18" t="str">
        <x:v>T1</x:v>
      </x:c>
      <x:c r="E510" s="19" t="str">
        <x:v>已有官方边界，组件待核</x:v>
      </x:c>
      <x:c r="F510" s="19" t="str">
        <x:v>高尾</x:v>
      </x:c>
      <x:c r="G510" s="18" t="str">
        <x:v>transport-node:65b68ced-30bf-5f14-9659-defd94576440</x:v>
      </x:c>
    </x:row>
    <x:row r="511" ht="28" customHeight="1">
      <x:c r="A511" s="18" t="str">
        <x:v>高崎</x:v>
      </x:c>
      <x:c r="B511" s="18" t="str">
        <x:v>東日本旅客鉄道</x:v>
      </x:c>
      <x:c r="C511" s="18" t="str">
        <x:v>conventional_rail</x:v>
      </x:c>
      <x:c r="D511" s="18" t="str">
        <x:v>T1</x:v>
      </x:c>
      <x:c r="E511" s="19" t="str">
        <x:v>尚未建立 Hub 审核范围</x:v>
      </x:c>
      <x:c r="F511" s="19" t="str"/>
      <x:c r="G511" s="18" t="str">
        <x:v>transport-node:8c49fa74-961a-52dd-a105-683fade0b2e3</x:v>
      </x:c>
    </x:row>
    <x:row r="512" ht="28" customHeight="1">
      <x:c r="A512" s="18" t="str">
        <x:v>高槻</x:v>
      </x:c>
      <x:c r="B512" s="18" t="str">
        <x:v>西日本旅客鉄道</x:v>
      </x:c>
      <x:c r="C512" s="18" t="str">
        <x:v>conventional_rail</x:v>
      </x:c>
      <x:c r="D512" s="18" t="str">
        <x:v>T1</x:v>
      </x:c>
      <x:c r="E512" s="19" t="str">
        <x:v>尚未建立 Hub 审核范围</x:v>
      </x:c>
      <x:c r="F512" s="19" t="str"/>
      <x:c r="G512" s="18" t="str">
        <x:v>transport-node:e2732add-c1d8-56e3-881c-242dc2937150</x:v>
      </x:c>
    </x:row>
    <x:row r="513" ht="28" customHeight="1">
      <x:c r="A513" s="18" t="str">
        <x:v>高槻市</x:v>
      </x:c>
      <x:c r="B513" s="18" t="str">
        <x:v>阪急電鉄</x:v>
      </x:c>
      <x:c r="C513" s="18" t="str">
        <x:v>private_rail</x:v>
      </x:c>
      <x:c r="D513" s="18" t="str">
        <x:v>T1</x:v>
      </x:c>
      <x:c r="E513" s="19" t="str">
        <x:v>尚未建立 Hub 审核范围</x:v>
      </x:c>
      <x:c r="F513" s="19" t="str"/>
      <x:c r="G513" s="18" t="str">
        <x:v>transport-node:d971fc34-979d-56b6-b32e-a4db8926ea69</x:v>
      </x:c>
    </x:row>
    <x:row r="514" ht="28" customHeight="1">
      <x:c r="A514" s="18" t="str">
        <x:v>高田馬場</x:v>
      </x:c>
      <x:c r="B514" s="18" t="str">
        <x:v>東京地下鉄</x:v>
      </x:c>
      <x:c r="C514" s="18" t="str">
        <x:v>metro</x:v>
      </x:c>
      <x:c r="D514" s="18" t="str">
        <x:v>T1</x:v>
      </x:c>
      <x:c r="E514" s="19" t="str">
        <x:v>已有官方边界，组件待核</x:v>
      </x:c>
      <x:c r="F514" s="19" t="str">
        <x:v>高田馬場</x:v>
      </x:c>
      <x:c r="G514" s="18" t="str">
        <x:v>transport-node:4830faab-986d-5778-82f1-8416eb14b794</x:v>
      </x:c>
    </x:row>
    <x:row r="515" ht="28" customHeight="1">
      <x:c r="A515" s="18" t="str">
        <x:v>高田馬場</x:v>
      </x:c>
      <x:c r="B515" s="18" t="str">
        <x:v>東日本旅客鉄道</x:v>
      </x:c>
      <x:c r="C515" s="18" t="str">
        <x:v>conventional_rail</x:v>
      </x:c>
      <x:c r="D515" s="18" t="str">
        <x:v>T0</x:v>
      </x:c>
      <x:c r="E515" s="19" t="str">
        <x:v>已有官方边界，组件待核</x:v>
      </x:c>
      <x:c r="F515" s="19" t="str">
        <x:v>高田馬場</x:v>
      </x:c>
      <x:c r="G515" s="18" t="str">
        <x:v>transport-node:7424bc97-60b2-5c5c-81b8-011851f52840</x:v>
      </x:c>
    </x:row>
    <x:row r="516" ht="28" customHeight="1">
      <x:c r="A516" s="18" t="str">
        <x:v>高田馬場</x:v>
      </x:c>
      <x:c r="B516" s="18" t="str">
        <x:v>西武鉄道</x:v>
      </x:c>
      <x:c r="C516" s="18" t="str">
        <x:v>private_rail</x:v>
      </x:c>
      <x:c r="D516" s="18" t="str">
        <x:v>T0</x:v>
      </x:c>
      <x:c r="E516" s="19" t="str">
        <x:v>已有官方边界，组件待核</x:v>
      </x:c>
      <x:c r="F516" s="19" t="str">
        <x:v>高田馬場</x:v>
      </x:c>
      <x:c r="G516" s="18" t="str">
        <x:v>transport-node:f3b163a7-794a-5b73-8c04-057ba511adc9</x:v>
      </x:c>
    </x:row>
    <x:row r="517" ht="28" customHeight="1">
      <x:c r="A517" s="18" t="str">
        <x:v>鴨居</x:v>
      </x:c>
      <x:c r="B517" s="18" t="str">
        <x:v>東日本旅客鉄道</x:v>
      </x:c>
      <x:c r="C517" s="18" t="str">
        <x:v>conventional_rail</x:v>
      </x:c>
      <x:c r="D517" s="18" t="str">
        <x:v>T1</x:v>
      </x:c>
      <x:c r="E517" s="19" t="str">
        <x:v>尚未建立 Hub 审核范围</x:v>
      </x:c>
      <x:c r="F517" s="19" t="str"/>
      <x:c r="G517" s="18" t="str">
        <x:v>transport-node:6e0641e5-167f-5c3c-ae98-f51d71633d9a</x:v>
      </x:c>
    </x:row>
    <x:row r="518" ht="28" customHeight="1">
      <x:c r="A518" s="18" t="str">
        <x:v>鶴ヶ峰</x:v>
      </x:c>
      <x:c r="B518" s="18" t="str">
        <x:v>相模鉄道</x:v>
      </x:c>
      <x:c r="C518" s="18" t="str">
        <x:v>private_rail</x:v>
      </x:c>
      <x:c r="D518" s="18" t="str">
        <x:v>T1</x:v>
      </x:c>
      <x:c r="E518" s="19" t="str">
        <x:v>尚未建立 Hub 审核范围</x:v>
      </x:c>
      <x:c r="F518" s="19" t="str"/>
      <x:c r="G518" s="18" t="str">
        <x:v>transport-node:b33f9268-a02a-5f62-9231-734e254a65b4</x:v>
      </x:c>
    </x:row>
    <x:row r="519" ht="28" customHeight="1">
      <x:c r="A519" s="18" t="str">
        <x:v>鶴川</x:v>
      </x:c>
      <x:c r="B519" s="18" t="str">
        <x:v>小田急電鉄</x:v>
      </x:c>
      <x:c r="C519" s="18" t="str">
        <x:v>private_rail</x:v>
      </x:c>
      <x:c r="D519" s="18" t="str">
        <x:v>T1</x:v>
      </x:c>
      <x:c r="E519" s="19" t="str">
        <x:v>尚未建立 Hub 审核范围</x:v>
      </x:c>
      <x:c r="F519" s="19" t="str"/>
      <x:c r="G519" s="18" t="str">
        <x:v>transport-node:2b19ce0b-b466-504a-be9c-44b61fd54671</x:v>
      </x:c>
    </x:row>
    <x:row r="520" ht="28" customHeight="1">
      <x:c r="A520" s="18" t="str">
        <x:v>鶴橋</x:v>
      </x:c>
      <x:c r="B520" s="18" t="str">
        <x:v>西日本旅客鉄道</x:v>
      </x:c>
      <x:c r="C520" s="18" t="str">
        <x:v>conventional_rail</x:v>
      </x:c>
      <x:c r="D520" s="18" t="str">
        <x:v>T1</x:v>
      </x:c>
      <x:c r="E520" s="19" t="str">
        <x:v>已有官方边界，组件待核</x:v>
      </x:c>
      <x:c r="F520" s="19" t="str">
        <x:v>鶴橋</x:v>
      </x:c>
      <x:c r="G520" s="18" t="str">
        <x:v>transport-node:5425843b-cc66-540b-8141-6a3d4aa916fa</x:v>
      </x:c>
    </x:row>
    <x:row r="521" ht="28" customHeight="1">
      <x:c r="A521" s="18" t="str">
        <x:v>鶴橋</x:v>
      </x:c>
      <x:c r="B521" s="18" t="str">
        <x:v>近畿日本鉄道</x:v>
      </x:c>
      <x:c r="C521" s="18" t="str">
        <x:v>private_rail</x:v>
      </x:c>
      <x:c r="D521" s="18" t="str">
        <x:v>T1</x:v>
      </x:c>
      <x:c r="E521" s="19" t="str">
        <x:v>已有官方边界，组件待核</x:v>
      </x:c>
      <x:c r="F521" s="19" t="str">
        <x:v>鶴橋</x:v>
      </x:c>
      <x:c r="G521" s="18" t="str">
        <x:v>transport-node:eb3c461f-40c1-58a8-b489-21c14b5119ff</x:v>
      </x:c>
    </x:row>
    <x:row r="522" ht="28" customHeight="1">
      <x:c r="A522" s="18" t="str">
        <x:v>鶴見</x:v>
      </x:c>
      <x:c r="B522" s="18" t="str">
        <x:v>東日本旅客鉄道</x:v>
      </x:c>
      <x:c r="C522" s="18" t="str">
        <x:v>conventional_rail</x:v>
      </x:c>
      <x:c r="D522" s="18" t="str">
        <x:v>T1</x:v>
      </x:c>
      <x:c r="E522" s="19" t="str">
        <x:v>尚未建立 Hub 审核范围</x:v>
      </x:c>
      <x:c r="F522" s="19" t="str"/>
      <x:c r="G522" s="18" t="str">
        <x:v>transport-node:cc3ca3d6-7c28-5a59-ae98-d6ebd3e21013</x:v>
      </x:c>
    </x:row>
    <x:row r="523" ht="28" customHeight="1">
      <x:c r="A523" s="18" t="str">
        <x:v>鷺沼</x:v>
      </x:c>
      <x:c r="B523" s="18" t="str">
        <x:v>東急電鉄</x:v>
      </x:c>
      <x:c r="C523" s="18" t="str">
        <x:v>private_rail</x:v>
      </x:c>
      <x:c r="D523" s="18" t="str">
        <x:v>T1</x:v>
      </x:c>
      <x:c r="E523" s="19" t="str">
        <x:v>尚未建立 Hub 审核范围</x:v>
      </x:c>
      <x:c r="F523" s="19" t="str"/>
      <x:c r="G523" s="18" t="str">
        <x:v>transport-node:7dfdedec-c628-5b96-ab8e-98e06bc83db7</x:v>
      </x:c>
    </x:row>
    <x:row r="524" ht="28" customHeight="1">
      <x:c r="A524" s="18" t="str">
        <x:v>麹町</x:v>
      </x:c>
      <x:c r="B524" s="18" t="str">
        <x:v>東京地下鉄</x:v>
      </x:c>
      <x:c r="C524" s="18" t="str">
        <x:v>metro</x:v>
      </x:c>
      <x:c r="D524" s="18" t="str">
        <x:v>T1</x:v>
      </x:c>
      <x:c r="E524" s="19" t="str">
        <x:v>尚未建立 Hub 审核范围</x:v>
      </x:c>
      <x:c r="F524" s="19" t="str"/>
      <x:c r="G524" s="18" t="str">
        <x:v>transport-node:a545198a-76c9-5586-8ab2-854b89630bc5</x:v>
      </x:c>
    </x:row>
  </x:sheetData>
  <x:conditionalFormatting sqref="E6:E524">
    <x:cfRule type="containsText" dxfId="2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80c1e798483a4bf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22" hidden="0" customWidth="1"/>
    <x:col min="5" max="5" width="3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46" hidden="0" customWidth="1"/>
    <x:col min="11" max="11" width="17" hidden="0" customWidth="1"/>
    <x:col min="12" max="12" width="32" hidden="0" customWidth="1"/>
    <x:col min="13" max="13" width="100" hidden="0" customWidth="1"/>
    <x:col min="14" max="14" width="95" hidden="0" customWidth="1"/>
    <x:col min="15" max="15" width="60" hidden="0" customWidth="1"/>
    <x:col min="16" max="16" width="55" hidden="0" customWidth="1"/>
    <x:col min="17" max="17" width="60" hidden="0" customWidth="1"/>
    <x:col min="18" max="18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4" t="str">
        <x:v>新干线利用人数及来源口径</x:v>
      </x:c>
      <x:c r="B2" s="5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6" t="str">
        <x:v>108 个组件。乘车人数不倍增为乘降人数；站区 proxy 不作为独立新干线客流。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6" t="str">
        <x:v>来源：data/transport/nodes/task-084-b-v2-amendment-review/shinkansen-usage-review.jsonl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4" customHeight="1">
      <x:c r="A5" s="15" t="str">
        <x:v>站名</x:v>
      </x:c>
      <x:c r="B5" s="16" t="str">
        <x:v>运营方</x:v>
      </x:c>
      <x:c r="C5" s="16" t="str">
        <x:v>利用量</x:v>
      </x:c>
      <x:c r="D5" s="16" t="str">
        <x:v>单位</x:v>
      </x:c>
      <x:c r="E5" s="16" t="str">
        <x:v>指标类型</x:v>
      </x:c>
      <x:c r="F5" s="16" t="str">
        <x:v>拟等级</x:v>
      </x:c>
      <x:c r="G5" s="16" t="str">
        <x:v>人工定级审核</x:v>
      </x:c>
      <x:c r="H5" s="16" t="str">
        <x:v>fallback 顺序</x:v>
      </x:c>
      <x:c r="I5" s="16" t="str">
        <x:v>期间</x:v>
      </x:c>
      <x:c r="J5" s="16" t="str">
        <x:v>来源研究状态</x:v>
      </x:c>
      <x:c r="K5" s="16" t="str">
        <x:v>原 S12 值</x:v>
      </x:c>
      <x:c r="L5" s="16" t="str">
        <x:v>原 S12 指标</x:v>
      </x:c>
      <x:c r="M5" s="16" t="str">
        <x:v>官方定量来源</x:v>
      </x:c>
      <x:c r="N5" s="16" t="str">
        <x:v>源表定位</x:v>
      </x:c>
      <x:c r="O5" s="16" t="str">
        <x:v>统计范围</x:v>
      </x:c>
      <x:c r="P5" s="16" t="str">
        <x:v>数值精度</x:v>
      </x:c>
      <x:c r="Q5" s="16" t="str">
        <x:v>候选组件 ID</x:v>
      </x:c>
      <x:c r="R5" s="17" t="str">
        <x:v>人工审核原因</x:v>
      </x:c>
    </x:row>
    <x:row r="6" ht="28" customHeight="1">
      <x:c r="A6" s="18" t="str">
        <x:v>いわて沼宮内</x:v>
      </x:c>
      <x:c r="B6" s="18" t="str">
        <x:v>東日本旅客鉄道</x:v>
      </x:c>
      <x:c r="C6" s="20" t="n">
        <x:v>150</x:v>
      </x:c>
      <x:c r="D6" s="18" t="str">
        <x:v>persons/day</x:v>
      </x:c>
      <x:c r="E6" s="19" t="str">
        <x:v>DAILY_ENTRIES_EXITS</x:v>
      </x:c>
      <x:c r="F6" s="19" t="str">
        <x:v>T3</x:v>
      </x:c>
      <x:c r="G6" s="18" t="str">
        <x:v>否</x:v>
      </x:c>
      <x:c r="H6" s="20" t="n">
        <x:v>1</x:v>
      </x:c>
      <x:c r="I6" s="18" t="str">
        <x:v>FY2024</x:v>
      </x:c>
      <x:c r="J6" s="19" t="str">
        <x:v>S12_NUMERIC</x:v>
      </x:c>
      <x:c r="K6" s="20" t="n">
        <x:v>150</x:v>
      </x:c>
      <x:c r="L6" s="19" t="str">
        <x:v>DAILY_ENTRIES_EXITS</x:v>
      </x:c>
      <x:c r="M6" s="19" t="str">
        <x:v>https://nlftp.mlit.go.jp/ksj/gml/datalist/KsjTmplt-S12-2024.html</x:v>
      </x:c>
      <x:c r="N6" s="19"/>
      <x:c r="O6" s="19"/>
      <x:c r="P6" s="19"/>
      <x:c r="Q6" s="18" t="str">
        <x:v>transport-node:ac02da15-3621-58cb-aa0a-18898e72bf37</x:v>
      </x:c>
      <x:c r="R6" s="19"/>
    </x:row>
    <x:row r="7" ht="28" customHeight="1">
      <x:c r="A7" s="18" t="str">
        <x:v>くりこま高原</x:v>
      </x:c>
      <x:c r="B7" s="18" t="str">
        <x:v>東日本旅客鉄道</x:v>
      </x:c>
      <x:c r="C7" s="20" t="n">
        <x:v>1822</x:v>
      </x:c>
      <x:c r="D7" s="18" t="str">
        <x:v>persons/day</x:v>
      </x:c>
      <x:c r="E7" s="19" t="str">
        <x:v>DAILY_ENTRIES_EXITS</x:v>
      </x:c>
      <x:c r="F7" s="19" t="str">
        <x:v>T3</x:v>
      </x:c>
      <x:c r="G7" s="18" t="str">
        <x:v>否</x:v>
      </x:c>
      <x:c r="H7" s="20" t="n">
        <x:v>1</x:v>
      </x:c>
      <x:c r="I7" s="18" t="str">
        <x:v>FY2024</x:v>
      </x:c>
      <x:c r="J7" s="19" t="str">
        <x:v>S12_NUMERIC</x:v>
      </x:c>
      <x:c r="K7" s="20" t="n">
        <x:v>1822</x:v>
      </x:c>
      <x:c r="L7" s="19" t="str">
        <x:v>DAILY_ENTRIES_EXITS</x:v>
      </x:c>
      <x:c r="M7" s="19" t="str">
        <x:v>https://nlftp.mlit.go.jp/ksj/gml/datalist/KsjTmplt-S12-2024.html</x:v>
      </x:c>
      <x:c r="N7" s="19"/>
      <x:c r="O7" s="19"/>
      <x:c r="P7" s="19"/>
      <x:c r="Q7" s="18" t="str">
        <x:v>transport-node:fa5eb315-ac54-5011-9d3b-419d2b945e7e</x:v>
      </x:c>
      <x:c r="R7" s="19"/>
    </x:row>
    <x:row r="8" ht="28" customHeight="1">
      <x:c r="A8" s="18" t="str">
        <x:v>一ノ関</x:v>
      </x:c>
      <x:c r="B8" s="18" t="str">
        <x:v>東日本旅客鉄道</x:v>
      </x:c>
      <x:c r="C8" s="20" t="n">
        <x:v>2082</x:v>
      </x:c>
      <x:c r="D8" s="18" t="str">
        <x:v>boardings/day</x:v>
      </x:c>
      <x:c r="E8" s="19" t="str">
        <x:v>DAILY_SHINKANSEN_BOARDINGS</x:v>
      </x:c>
      <x:c r="F8" s="19"/>
      <x:c r="G8" s="18" t="str">
        <x:v>是</x:v>
      </x:c>
      <x:c r="H8" s="20" t="n">
        <x:v>2</x:v>
      </x:c>
      <x:c r="I8" s="18" t="str">
        <x:v>FY2024</x:v>
      </x:c>
      <x:c r="J8" s="19" t="str">
        <x:v>OFFICIAL_NUMERIC_MANUAL_METRIC_REVIEW</x:v>
      </x:c>
      <x:c r="K8" s="20"/>
      <x:c r="L8" s="19" t="str">
        <x:v>USAGE_DATA_UNAVAILABLE</x:v>
      </x:c>
      <x:c r="M8" s="19" t="str">
        <x:v>https://www.jreast.co.jp/company/data/passenger/2024_shinkansen.html/</x:v>
      </x:c>
      <x:c r="N8" s="19" t="str">
        <x:v>Shinkansen station table / daily total; web retrieval 2026-09-30</x:v>
      </x:c>
      <x:c r="O8" s="19" t="str">
        <x:v>OPERATOR_SHINKANSEN_COMPONENT</x:v>
      </x:c>
      <x:c r="P8" s="19" t="str">
        <x:v>published integer</x:v>
      </x:c>
      <x:c r="Q8" s="18" t="str">
        <x:v>transport-node:5b9d4ce7-46b5-542c-af2d-7fde9d1e5048</x:v>
      </x:c>
      <x:c r="R8" s="19" t="str">
        <x:v>Published boardings are not entries + exits; no doubling or automatic threshold conversion.</x:v>
      </x:c>
    </x:row>
    <x:row r="9" ht="28" customHeight="1">
      <x:c r="A9" s="18" t="str">
        <x:v>七戸十和田</x:v>
      </x:c>
      <x:c r="B9" s="18" t="str">
        <x:v>東日本旅客鉄道</x:v>
      </x:c>
      <x:c r="C9" s="20" t="n">
        <x:v>1434</x:v>
      </x:c>
      <x:c r="D9" s="18" t="str">
        <x:v>persons/day</x:v>
      </x:c>
      <x:c r="E9" s="19" t="str">
        <x:v>DAILY_ENTRIES_EXITS</x:v>
      </x:c>
      <x:c r="F9" s="19" t="str">
        <x:v>T3</x:v>
      </x:c>
      <x:c r="G9" s="18" t="str">
        <x:v>否</x:v>
      </x:c>
      <x:c r="H9" s="20" t="n">
        <x:v>1</x:v>
      </x:c>
      <x:c r="I9" s="18" t="str">
        <x:v>FY2024</x:v>
      </x:c>
      <x:c r="J9" s="19" t="str">
        <x:v>S12_NUMERIC</x:v>
      </x:c>
      <x:c r="K9" s="20" t="n">
        <x:v>1434</x:v>
      </x:c>
      <x:c r="L9" s="19" t="str">
        <x:v>DAILY_ENTRIES_EXITS</x:v>
      </x:c>
      <x:c r="M9" s="19" t="str">
        <x:v>https://nlftp.mlit.go.jp/ksj/gml/datalist/KsjTmplt-S12-2024.html</x:v>
      </x:c>
      <x:c r="N9" s="19"/>
      <x:c r="O9" s="19"/>
      <x:c r="P9" s="19"/>
      <x:c r="Q9" s="18" t="str">
        <x:v>transport-node:ddd9c52c-3531-5ad0-93b1-d104df45204a</x:v>
      </x:c>
      <x:c r="R9" s="19"/>
    </x:row>
    <x:row r="10" ht="28" customHeight="1">
      <x:c r="A10" s="18" t="str">
        <x:v>三原</x:v>
      </x:c>
      <x:c r="B10" s="18" t="str">
        <x:v>西日本旅客鉄道</x:v>
      </x:c>
      <x:c r="C10" s="20"/>
      <x:c r="D10" s="18"/>
      <x:c r="E10" s="19" t="str">
        <x:v>USAGE_DATA_UNAVAILABLE</x:v>
      </x:c>
      <x:c r="F10" s="19"/>
      <x:c r="G10" s="18" t="str">
        <x:v>是</x:v>
      </x:c>
      <x:c r="H10" s="20" t="n">
        <x:v>6</x:v>
      </x:c>
      <x:c r="I10" s="18" t="str">
        <x:v>FY2024</x:v>
      </x:c>
      <x:c r="J10" s="19" t="str">
        <x:v>ADDITIONAL_OFFICIAL_RESEARCH_REQUIRED</x:v>
      </x:c>
      <x:c r="K10" s="20"/>
      <x:c r="L10" s="19" t="str">
        <x:v>USAGE_DATA_UNAVAILABLE</x:v>
      </x:c>
      <x:c r="M10" s="19" t="str">
        <x:v>https://nlftp.mlit.go.jp/ksj/gml/datalist/KsjTmplt-S12-2024.html</x:v>
      </x:c>
      <x:c r="N10" s="19"/>
      <x:c r="O10" s="19"/>
      <x:c r="P10" s="19"/>
      <x:c r="Q10" s="18" t="str">
        <x:v>transport-node:2f3cd377-a4a4-5306-a8d4-c41c660ce506</x:v>
      </x:c>
      <x:c r="R10" s="19"/>
    </x:row>
    <x:row r="11" ht="28" customHeight="1">
      <x:c r="A11" s="18" t="str">
        <x:v>三島</x:v>
      </x:c>
      <x:c r="B11" s="18" t="str">
        <x:v>東海旅客鉄道</x:v>
      </x:c>
      <x:c r="C11" s="20"/>
      <x:c r="D11" s="18"/>
      <x:c r="E11" s="19" t="str">
        <x:v>USAGE_DATA_UNAVAILABLE</x:v>
      </x:c>
      <x:c r="F11" s="19"/>
      <x:c r="G11" s="18" t="str">
        <x:v>是</x:v>
      </x:c>
      <x:c r="H11" s="20" t="n">
        <x:v>6</x:v>
      </x:c>
      <x:c r="I11" s="18" t="str">
        <x:v>FY2024</x:v>
      </x:c>
      <x:c r="J11" s="19" t="str">
        <x:v>ADDITIONAL_OFFICIAL_RESEARCH_REQUIRED</x:v>
      </x:c>
      <x:c r="K11" s="20"/>
      <x:c r="L11" s="19" t="str">
        <x:v>USAGE_DATA_UNAVAILABLE</x:v>
      </x:c>
      <x:c r="M11" s="19" t="str">
        <x:v>https://nlftp.mlit.go.jp/ksj/gml/datalist/KsjTmplt-S12-2024.html</x:v>
      </x:c>
      <x:c r="N11" s="19"/>
      <x:c r="O11" s="19"/>
      <x:c r="P11" s="19"/>
      <x:c r="Q11" s="18" t="str">
        <x:v>transport-node:1f63e456-30af-5ed1-9525-29b15785b5ef</x:v>
      </x:c>
      <x:c r="R11" s="19"/>
    </x:row>
    <x:row r="12" ht="28" customHeight="1">
      <x:c r="A12" s="18" t="str">
        <x:v>三河安城</x:v>
      </x:c>
      <x:c r="B12" s="18" t="str">
        <x:v>東海旅客鉄道</x:v>
      </x:c>
      <x:c r="C12" s="20" t="n">
        <x:v>3621</x:v>
      </x:c>
      <x:c r="D12" s="18" t="str">
        <x:v>persons/day</x:v>
      </x:c>
      <x:c r="E12" s="19" t="str">
        <x:v>DAILY_ENTRIES_EXITS</x:v>
      </x:c>
      <x:c r="F12" s="19" t="str">
        <x:v>T3</x:v>
      </x:c>
      <x:c r="G12" s="18" t="str">
        <x:v>否</x:v>
      </x:c>
      <x:c r="H12" s="20" t="n">
        <x:v>1</x:v>
      </x:c>
      <x:c r="I12" s="18" t="str">
        <x:v>FY2024</x:v>
      </x:c>
      <x:c r="J12" s="19" t="str">
        <x:v>S12_NUMERIC</x:v>
      </x:c>
      <x:c r="K12" s="20" t="n">
        <x:v>3621</x:v>
      </x:c>
      <x:c r="L12" s="19" t="str">
        <x:v>DAILY_ENTRIES_EXITS</x:v>
      </x:c>
      <x:c r="M12" s="19" t="str">
        <x:v>https://nlftp.mlit.go.jp/ksj/gml/datalist/KsjTmplt-S12-2024.html</x:v>
      </x:c>
      <x:c r="N12" s="19"/>
      <x:c r="O12" s="19"/>
      <x:c r="P12" s="19"/>
      <x:c r="Q12" s="18" t="str">
        <x:v>transport-node:748700ae-fc0b-5d4a-bbea-11baeab8d488</x:v>
      </x:c>
      <x:c r="R12" s="19"/>
    </x:row>
    <x:row r="13" ht="28" customHeight="1">
      <x:c r="A13" s="18" t="str">
        <x:v>上毛高原</x:v>
      </x:c>
      <x:c r="B13" s="18" t="str">
        <x:v>東日本旅客鉄道</x:v>
      </x:c>
      <x:c r="C13" s="20" t="n">
        <x:v>1488</x:v>
      </x:c>
      <x:c r="D13" s="18" t="str">
        <x:v>persons/day</x:v>
      </x:c>
      <x:c r="E13" s="19" t="str">
        <x:v>DAILY_ENTRIES_EXITS</x:v>
      </x:c>
      <x:c r="F13" s="19" t="str">
        <x:v>T3</x:v>
      </x:c>
      <x:c r="G13" s="18" t="str">
        <x:v>否</x:v>
      </x:c>
      <x:c r="H13" s="20" t="n">
        <x:v>1</x:v>
      </x:c>
      <x:c r="I13" s="18" t="str">
        <x:v>FY2024</x:v>
      </x:c>
      <x:c r="J13" s="19" t="str">
        <x:v>S12_NUMERIC</x:v>
      </x:c>
      <x:c r="K13" s="20" t="n">
        <x:v>1488</x:v>
      </x:c>
      <x:c r="L13" s="19" t="str">
        <x:v>DAILY_ENTRIES_EXITS</x:v>
      </x:c>
      <x:c r="M13" s="19" t="str">
        <x:v>https://nlftp.mlit.go.jp/ksj/gml/datalist/KsjTmplt-S12-2024.html</x:v>
      </x:c>
      <x:c r="N13" s="19"/>
      <x:c r="O13" s="19"/>
      <x:c r="P13" s="19"/>
      <x:c r="Q13" s="18" t="str">
        <x:v>transport-node:1a3c7478-360a-5849-9b80-5fe6d7d532c3</x:v>
      </x:c>
      <x:c r="R13" s="19"/>
    </x:row>
    <x:row r="14" ht="28" customHeight="1">
      <x:c r="A14" s="18" t="str">
        <x:v>上田</x:v>
      </x:c>
      <x:c r="B14" s="18" t="str">
        <x:v>東日本旅客鉄道</x:v>
      </x:c>
      <x:c r="C14" s="20" t="n">
        <x:v>5600</x:v>
      </x:c>
      <x:c r="D14" s="18" t="str">
        <x:v>persons/day</x:v>
      </x:c>
      <x:c r="E14" s="19" t="str">
        <x:v>DAILY_ENTRIES_EXITS</x:v>
      </x:c>
      <x:c r="F14" s="19" t="str">
        <x:v>T3</x:v>
      </x:c>
      <x:c r="G14" s="18" t="str">
        <x:v>否</x:v>
      </x:c>
      <x:c r="H14" s="20" t="n">
        <x:v>1</x:v>
      </x:c>
      <x:c r="I14" s="18" t="str">
        <x:v>FY2024</x:v>
      </x:c>
      <x:c r="J14" s="19" t="str">
        <x:v>S12_NUMERIC</x:v>
      </x:c>
      <x:c r="K14" s="20" t="n">
        <x:v>5600</x:v>
      </x:c>
      <x:c r="L14" s="19" t="str">
        <x:v>DAILY_ENTRIES_EXITS</x:v>
      </x:c>
      <x:c r="M14" s="19" t="str">
        <x:v>https://nlftp.mlit.go.jp/ksj/gml/datalist/KsjTmplt-S12-2024.html</x:v>
      </x:c>
      <x:c r="N14" s="19"/>
      <x:c r="O14" s="19"/>
      <x:c r="P14" s="19"/>
      <x:c r="Q14" s="18" t="str">
        <x:v>transport-node:797b213f-8507-56d7-b426-597d0ee54c79</x:v>
      </x:c>
      <x:c r="R14" s="19"/>
    </x:row>
    <x:row r="15" ht="28" customHeight="1">
      <x:c r="A15" s="18" t="str">
        <x:v>上越妙高</x:v>
      </x:c>
      <x:c r="B15" s="18" t="str">
        <x:v>東日本旅客鉄道</x:v>
      </x:c>
      <x:c r="C15" s="20" t="n">
        <x:v>4136</x:v>
      </x:c>
      <x:c r="D15" s="18" t="str">
        <x:v>persons/day</x:v>
      </x:c>
      <x:c r="E15" s="19" t="str">
        <x:v>DAILY_ENTRIES_EXITS</x:v>
      </x:c>
      <x:c r="F15" s="19" t="str">
        <x:v>T3</x:v>
      </x:c>
      <x:c r="G15" s="18" t="str">
        <x:v>否</x:v>
      </x:c>
      <x:c r="H15" s="20" t="n">
        <x:v>1</x:v>
      </x:c>
      <x:c r="I15" s="18" t="str">
        <x:v>FY2024</x:v>
      </x:c>
      <x:c r="J15" s="19" t="str">
        <x:v>S12_NUMERIC</x:v>
      </x:c>
      <x:c r="K15" s="20" t="n">
        <x:v>4136</x:v>
      </x:c>
      <x:c r="L15" s="19" t="str">
        <x:v>DAILY_ENTRIES_EXITS</x:v>
      </x:c>
      <x:c r="M15" s="19" t="str">
        <x:v>https://nlftp.mlit.go.jp/ksj/gml/datalist/KsjTmplt-S12-2024.html</x:v>
      </x:c>
      <x:c r="N15" s="19"/>
      <x:c r="O15" s="19"/>
      <x:c r="P15" s="19"/>
      <x:c r="Q15" s="18" t="str">
        <x:v>transport-node:a8bc32ee-fba6-5ac8-a499-2d8e64d9acb1</x:v>
      </x:c>
      <x:c r="R15" s="19"/>
    </x:row>
    <x:row r="16" ht="28" customHeight="1">
      <x:c r="A16" s="18" t="str">
        <x:v>上越妙高</x:v>
      </x:c>
      <x:c r="B16" s="18" t="str">
        <x:v>西日本旅客鉄道</x:v>
      </x:c>
      <x:c r="C16" s="20"/>
      <x:c r="D16" s="18"/>
      <x:c r="E16" s="19" t="str">
        <x:v>USAGE_DATA_UNAVAILABLE</x:v>
      </x:c>
      <x:c r="F16" s="19"/>
      <x:c r="G16" s="18" t="str">
        <x:v>是</x:v>
      </x:c>
      <x:c r="H16" s="20" t="n">
        <x:v>6</x:v>
      </x:c>
      <x:c r="I16" s="18" t="str">
        <x:v>FY2024</x:v>
      </x:c>
      <x:c r="J16" s="19" t="str">
        <x:v>ADDITIONAL_OFFICIAL_RESEARCH_REQUIRED</x:v>
      </x:c>
      <x:c r="K16" s="20"/>
      <x:c r="L16" s="19" t="str">
        <x:v>USAGE_DATA_UNAVAILABLE</x:v>
      </x:c>
      <x:c r="M16" s="19" t="str">
        <x:v>https://nlftp.mlit.go.jp/ksj/gml/datalist/KsjTmplt-S12-2024.html</x:v>
      </x:c>
      <x:c r="N16" s="19"/>
      <x:c r="O16" s="19"/>
      <x:c r="P16" s="19"/>
      <x:c r="Q16" s="18" t="str">
        <x:v>transport-node:b6540568-67c5-5f51-b4b9-c369402f2f82</x:v>
      </x:c>
      <x:c r="R16" s="19"/>
    </x:row>
    <x:row r="17" ht="28" customHeight="1">
      <x:c r="A17" s="18" t="str">
        <x:v>上野</x:v>
      </x:c>
      <x:c r="B17" s="18" t="str">
        <x:v>東日本旅客鉄道</x:v>
      </x:c>
      <x:c r="C17" s="20" t="n">
        <x:v>12622</x:v>
      </x:c>
      <x:c r="D17" s="18" t="str">
        <x:v>boardings/day</x:v>
      </x:c>
      <x:c r="E17" s="19" t="str">
        <x:v>DAILY_SHINKANSEN_BOARDINGS</x:v>
      </x:c>
      <x:c r="F17" s="19"/>
      <x:c r="G17" s="18" t="str">
        <x:v>是</x:v>
      </x:c>
      <x:c r="H17" s="20" t="n">
        <x:v>2</x:v>
      </x:c>
      <x:c r="I17" s="18" t="str">
        <x:v>FY2024</x:v>
      </x:c>
      <x:c r="J17" s="19" t="str">
        <x:v>OFFICIAL_NUMERIC_MANUAL_METRIC_REVIEW</x:v>
      </x:c>
      <x:c r="K17" s="20"/>
      <x:c r="L17" s="19" t="str">
        <x:v>USAGE_DATA_UNAVAILABLE</x:v>
      </x:c>
      <x:c r="M17" s="19" t="str">
        <x:v>https://www.jreast.co.jp/company/data/passenger/2024_shinkansen.html/</x:v>
      </x:c>
      <x:c r="N17" s="19" t="str">
        <x:v>Shinkansen station table / daily total; web retrieval 2026-09-30</x:v>
      </x:c>
      <x:c r="O17" s="19" t="str">
        <x:v>OPERATOR_SHINKANSEN_COMPONENT</x:v>
      </x:c>
      <x:c r="P17" s="19" t="str">
        <x:v>published integer</x:v>
      </x:c>
      <x:c r="Q17" s="18" t="str">
        <x:v>transport-node:e389dcee-bad4-5376-8ae2-45b5cee54e2d</x:v>
      </x:c>
      <x:c r="R17" s="19" t="str">
        <x:v>Published boardings are not entries + exits; no doubling or automatic threshold conversion.</x:v>
      </x:c>
    </x:row>
    <x:row r="18" ht="28" customHeight="1">
      <x:c r="A18" s="18" t="str">
        <x:v>久留米</x:v>
      </x:c>
      <x:c r="B18" s="18" t="str">
        <x:v>九州旅客鉄道</x:v>
      </x:c>
      <x:c r="C18" s="20" t="n">
        <x:v>7404</x:v>
      </x:c>
      <x:c r="D18" s="18" t="str">
        <x:v>boardings/day</x:v>
      </x:c>
      <x:c r="E18" s="19" t="str">
        <x:v>STATION_COMPLEX_PROXY</x:v>
      </x:c>
      <x:c r="F18" s="19"/>
      <x:c r="G18" s="18" t="str">
        <x:v>是</x:v>
      </x:c>
      <x:c r="H18" s="20" t="n">
        <x:v>5</x:v>
      </x:c>
      <x:c r="I18" s="18" t="str">
        <x:v>FY2024</x:v>
      </x:c>
      <x:c r="J18" s="19" t="str">
        <x:v>OFFICIAL_NUMERIC_MANUAL_METRIC_REVIEW</x:v>
      </x:c>
      <x:c r="K18" s="20"/>
      <x:c r="L18" s="19" t="str">
        <x:v>USAGE_DATA_UNAVAILABLE</x:v>
      </x:c>
      <x:c r="M18" s="19" t="str">
        <x:v>https://www.jrkyushu.co.jp/company/info/data/pdf/2024ekibetsu.pdf</x:v>
      </x:c>
      <x:c r="N18" s="19" t="str">
        <x:v>pages 1-2 / station total; page 4 footnote explicitly combines conventional + Shinkansen</x:v>
      </x:c>
      <x:c r="O18" s="19" t="str">
        <x:v>SAME_OPERATOR_CONVENTIONAL_PLUS_SHINKANSEN</x:v>
      </x:c>
      <x:c r="P18" s="19" t="str">
        <x:v>published integer</x:v>
      </x:c>
      <x:c r="Q18" s="18" t="str">
        <x:v>transport-node:a5c4b3e4-97b2-5039-b78d-4c1a7fe299ee</x:v>
      </x:c>
      <x:c r="R18" s="19" t="str">
        <x:v>Published boardings are not entries + exits; no doubling or automatic threshold conversion.</x:v>
      </x:c>
    </x:row>
    <x:row r="19" ht="28" customHeight="1">
      <x:c r="A19" s="18" t="str">
        <x:v>二戸</x:v>
      </x:c>
      <x:c r="B19" s="18" t="str">
        <x:v>東日本旅客鉄道</x:v>
      </x:c>
      <x:c r="C19" s="20" t="n">
        <x:v>1438</x:v>
      </x:c>
      <x:c r="D19" s="18" t="str">
        <x:v>persons/day</x:v>
      </x:c>
      <x:c r="E19" s="19" t="str">
        <x:v>DAILY_ENTRIES_EXITS</x:v>
      </x:c>
      <x:c r="F19" s="19" t="str">
        <x:v>T3</x:v>
      </x:c>
      <x:c r="G19" s="18" t="str">
        <x:v>否</x:v>
      </x:c>
      <x:c r="H19" s="20" t="n">
        <x:v>1</x:v>
      </x:c>
      <x:c r="I19" s="18" t="str">
        <x:v>FY2024</x:v>
      </x:c>
      <x:c r="J19" s="19" t="str">
        <x:v>S12_NUMERIC</x:v>
      </x:c>
      <x:c r="K19" s="20" t="n">
        <x:v>1438</x:v>
      </x:c>
      <x:c r="L19" s="19" t="str">
        <x:v>DAILY_ENTRIES_EXITS</x:v>
      </x:c>
      <x:c r="M19" s="19" t="str">
        <x:v>https://nlftp.mlit.go.jp/ksj/gml/datalist/KsjTmplt-S12-2024.html</x:v>
      </x:c>
      <x:c r="N19" s="19"/>
      <x:c r="O19" s="19"/>
      <x:c r="P19" s="19"/>
      <x:c r="Q19" s="18" t="str">
        <x:v>transport-node:a7a61696-f433-5114-905f-b39297b125b2</x:v>
      </x:c>
      <x:c r="R19" s="19"/>
    </x:row>
    <x:row r="20" ht="28" customHeight="1">
      <x:c r="A20" s="18" t="str">
        <x:v>京都</x:v>
      </x:c>
      <x:c r="B20" s="18" t="str">
        <x:v>東海旅客鉄道</x:v>
      </x:c>
      <x:c r="C20" s="20" t="n">
        <x:v>83475</x:v>
      </x:c>
      <x:c r="D20" s="18" t="str">
        <x:v>persons/day</x:v>
      </x:c>
      <x:c r="E20" s="19" t="str">
        <x:v>DAILY_ENTRIES_EXITS</x:v>
      </x:c>
      <x:c r="F20" s="19" t="str">
        <x:v>T1</x:v>
      </x:c>
      <x:c r="G20" s="18" t="str">
        <x:v>否</x:v>
      </x:c>
      <x:c r="H20" s="20" t="n">
        <x:v>1</x:v>
      </x:c>
      <x:c r="I20" s="18" t="str">
        <x:v>FY2024</x:v>
      </x:c>
      <x:c r="J20" s="19" t="str">
        <x:v>S12_NUMERIC</x:v>
      </x:c>
      <x:c r="K20" s="20" t="n">
        <x:v>83475</x:v>
      </x:c>
      <x:c r="L20" s="19" t="str">
        <x:v>DAILY_ENTRIES_EXITS</x:v>
      </x:c>
      <x:c r="M20" s="19" t="str">
        <x:v>https://nlftp.mlit.go.jp/ksj/gml/datalist/KsjTmplt-S12-2024.html</x:v>
      </x:c>
      <x:c r="N20" s="19"/>
      <x:c r="O20" s="19"/>
      <x:c r="P20" s="19"/>
      <x:c r="Q20" s="18" t="str">
        <x:v>transport-node:dff8fb86-945e-5e85-be39-264aa07b9064</x:v>
      </x:c>
      <x:c r="R20" s="19"/>
    </x:row>
    <x:row r="21" ht="28" customHeight="1">
      <x:c r="A21" s="18" t="str">
        <x:v>仙台</x:v>
      </x:c>
      <x:c r="B21" s="18" t="str">
        <x:v>東日本旅客鉄道</x:v>
      </x:c>
      <x:c r="C21" s="20" t="n">
        <x:v>25769</x:v>
      </x:c>
      <x:c r="D21" s="18" t="str">
        <x:v>boardings/day</x:v>
      </x:c>
      <x:c r="E21" s="19" t="str">
        <x:v>DAILY_SHINKANSEN_BOARDINGS</x:v>
      </x:c>
      <x:c r="F21" s="19"/>
      <x:c r="G21" s="18" t="str">
        <x:v>是</x:v>
      </x:c>
      <x:c r="H21" s="20" t="n">
        <x:v>2</x:v>
      </x:c>
      <x:c r="I21" s="18" t="str">
        <x:v>FY2024</x:v>
      </x:c>
      <x:c r="J21" s="19" t="str">
        <x:v>OFFICIAL_NUMERIC_MANUAL_METRIC_REVIEW</x:v>
      </x:c>
      <x:c r="K21" s="20"/>
      <x:c r="L21" s="19" t="str">
        <x:v>USAGE_DATA_UNAVAILABLE</x:v>
      </x:c>
      <x:c r="M21" s="19" t="str">
        <x:v>https://www.jreast.co.jp/company/data/passenger/2024_shinkansen.html/</x:v>
      </x:c>
      <x:c r="N21" s="19" t="str">
        <x:v>Shinkansen station table / daily total; web retrieval 2026-09-30</x:v>
      </x:c>
      <x:c r="O21" s="19" t="str">
        <x:v>OPERATOR_SHINKANSEN_COMPONENT</x:v>
      </x:c>
      <x:c r="P21" s="19" t="str">
        <x:v>published integer</x:v>
      </x:c>
      <x:c r="Q21" s="18" t="str">
        <x:v>transport-node:a386a900-14d8-5095-b786-b3cb6aa402c3</x:v>
      </x:c>
      <x:c r="R21" s="19" t="str">
        <x:v>Published boardings are not entries + exits; no doubling or automatic threshold conversion.</x:v>
      </x:c>
    </x:row>
    <x:row r="22" ht="28" customHeight="1">
      <x:c r="A22" s="18" t="str">
        <x:v>佐久平</x:v>
      </x:c>
      <x:c r="B22" s="18" t="str">
        <x:v>東日本旅客鉄道</x:v>
      </x:c>
      <x:c r="C22" s="20" t="n">
        <x:v>2943</x:v>
      </x:c>
      <x:c r="D22" s="18" t="str">
        <x:v>boardings/day</x:v>
      </x:c>
      <x:c r="E22" s="19" t="str">
        <x:v>DAILY_SHINKANSEN_BOARDINGS</x:v>
      </x:c>
      <x:c r="F22" s="19"/>
      <x:c r="G22" s="18" t="str">
        <x:v>是</x:v>
      </x:c>
      <x:c r="H22" s="20" t="n">
        <x:v>2</x:v>
      </x:c>
      <x:c r="I22" s="18" t="str">
        <x:v>FY2024</x:v>
      </x:c>
      <x:c r="J22" s="19" t="str">
        <x:v>OFFICIAL_NUMERIC_MANUAL_METRIC_REVIEW</x:v>
      </x:c>
      <x:c r="K22" s="20"/>
      <x:c r="L22" s="19" t="str">
        <x:v>USAGE_DATA_UNAVAILABLE</x:v>
      </x:c>
      <x:c r="M22" s="19" t="str">
        <x:v>https://www.jreast.co.jp/company/data/passenger/2024_shinkansen.html/</x:v>
      </x:c>
      <x:c r="N22" s="19" t="str">
        <x:v>Shinkansen station table / daily total; web retrieval 2026-09-30</x:v>
      </x:c>
      <x:c r="O22" s="19" t="str">
        <x:v>OPERATOR_SHINKANSEN_COMPONENT</x:v>
      </x:c>
      <x:c r="P22" s="19" t="str">
        <x:v>published integer</x:v>
      </x:c>
      <x:c r="Q22" s="18" t="str">
        <x:v>transport-node:fb8749b4-5166-5445-8780-b0c07aa61371</x:v>
      </x:c>
      <x:c r="R22" s="19" t="str">
        <x:v>Published boardings are not entries + exits; no doubling or automatic threshold conversion.</x:v>
      </x:c>
    </x:row>
    <x:row r="23" ht="28" customHeight="1">
      <x:c r="A23" s="18" t="str">
        <x:v>八戸</x:v>
      </x:c>
      <x:c r="B23" s="18" t="str">
        <x:v>東日本旅客鉄道</x:v>
      </x:c>
      <x:c r="C23" s="20" t="n">
        <x:v>6696</x:v>
      </x:c>
      <x:c r="D23" s="18" t="str">
        <x:v>persons/day</x:v>
      </x:c>
      <x:c r="E23" s="19" t="str">
        <x:v>DAILY_ENTRIES_EXITS</x:v>
      </x:c>
      <x:c r="F23" s="19" t="str">
        <x:v>T3</x:v>
      </x:c>
      <x:c r="G23" s="18" t="str">
        <x:v>否</x:v>
      </x:c>
      <x:c r="H23" s="20" t="n">
        <x:v>1</x:v>
      </x:c>
      <x:c r="I23" s="18" t="str">
        <x:v>FY2024</x:v>
      </x:c>
      <x:c r="J23" s="19" t="str">
        <x:v>S12_NUMERIC</x:v>
      </x:c>
      <x:c r="K23" s="20" t="n">
        <x:v>6696</x:v>
      </x:c>
      <x:c r="L23" s="19" t="str">
        <x:v>DAILY_ENTRIES_EXITS</x:v>
      </x:c>
      <x:c r="M23" s="19" t="str">
        <x:v>https://nlftp.mlit.go.jp/ksj/gml/datalist/KsjTmplt-S12-2024.html</x:v>
      </x:c>
      <x:c r="N23" s="19"/>
      <x:c r="O23" s="19"/>
      <x:c r="P23" s="19"/>
      <x:c r="Q23" s="18" t="str">
        <x:v>transport-node:03dac815-1ccf-506f-a722-ea7aba09ae38</x:v>
      </x:c>
      <x:c r="R23" s="19"/>
    </x:row>
    <x:row r="24" ht="28" customHeight="1">
      <x:c r="A24" s="18" t="str">
        <x:v>出水</x:v>
      </x:c>
      <x:c r="B24" s="18" t="str">
        <x:v>九州旅客鉄道</x:v>
      </x:c>
      <x:c r="C24" s="20" t="n">
        <x:v>2308</x:v>
      </x:c>
      <x:c r="D24" s="18" t="str">
        <x:v>persons/day</x:v>
      </x:c>
      <x:c r="E24" s="19" t="str">
        <x:v>DAILY_ENTRIES_EXITS</x:v>
      </x:c>
      <x:c r="F24" s="19" t="str">
        <x:v>T3</x:v>
      </x:c>
      <x:c r="G24" s="18" t="str">
        <x:v>否</x:v>
      </x:c>
      <x:c r="H24" s="20" t="n">
        <x:v>1</x:v>
      </x:c>
      <x:c r="I24" s="18" t="str">
        <x:v>FY2024</x:v>
      </x:c>
      <x:c r="J24" s="19" t="str">
        <x:v>S12_NUMERIC</x:v>
      </x:c>
      <x:c r="K24" s="20" t="n">
        <x:v>2308</x:v>
      </x:c>
      <x:c r="L24" s="19" t="str">
        <x:v>DAILY_ENTRIES_EXITS</x:v>
      </x:c>
      <x:c r="M24" s="19" t="str">
        <x:v>https://nlftp.mlit.go.jp/ksj/gml/datalist/KsjTmplt-S12-2024.html</x:v>
      </x:c>
      <x:c r="N24" s="19"/>
      <x:c r="O24" s="19"/>
      <x:c r="P24" s="19"/>
      <x:c r="Q24" s="18" t="str">
        <x:v>transport-node:51b941e5-ecd2-5b20-af51-f70eab136ddd</x:v>
      </x:c>
      <x:c r="R24" s="19"/>
    </x:row>
    <x:row r="25" ht="28" customHeight="1">
      <x:c r="A25" s="18" t="str">
        <x:v>加賀温泉</x:v>
      </x:c>
      <x:c r="B25" s="18" t="str">
        <x:v>西日本旅客鉄道</x:v>
      </x:c>
      <x:c r="C25" s="20" t="n">
        <x:v>1344</x:v>
      </x:c>
      <x:c r="D25" s="18" t="str">
        <x:v>persons/day</x:v>
      </x:c>
      <x:c r="E25" s="19" t="str">
        <x:v>DAILY_ENTRIES_EXITS</x:v>
      </x:c>
      <x:c r="F25" s="19" t="str">
        <x:v>T3</x:v>
      </x:c>
      <x:c r="G25" s="18" t="str">
        <x:v>否</x:v>
      </x:c>
      <x:c r="H25" s="20" t="n">
        <x:v>1</x:v>
      </x:c>
      <x:c r="I25" s="18" t="str">
        <x:v>FY2024</x:v>
      </x:c>
      <x:c r="J25" s="19" t="str">
        <x:v>S12_NUMERIC</x:v>
      </x:c>
      <x:c r="K25" s="20" t="n">
        <x:v>1344</x:v>
      </x:c>
      <x:c r="L25" s="19" t="str">
        <x:v>DAILY_ENTRIES_EXITS</x:v>
      </x:c>
      <x:c r="M25" s="19" t="str">
        <x:v>https://nlftp.mlit.go.jp/ksj/gml/datalist/KsjTmplt-S12-2024.html</x:v>
      </x:c>
      <x:c r="N25" s="19"/>
      <x:c r="O25" s="19"/>
      <x:c r="P25" s="19"/>
      <x:c r="Q25" s="18" t="str">
        <x:v>transport-node:661a5192-2640-5d29-8422-341017e5ac86</x:v>
      </x:c>
      <x:c r="R25" s="19"/>
    </x:row>
    <x:row r="26" ht="28" customHeight="1">
      <x:c r="A26" s="18" t="str">
        <x:v>北上</x:v>
      </x:c>
      <x:c r="B26" s="18" t="str">
        <x:v>東日本旅客鉄道</x:v>
      </x:c>
      <x:c r="C26" s="20" t="n">
        <x:v>1425</x:v>
      </x:c>
      <x:c r="D26" s="18" t="str">
        <x:v>boardings/day</x:v>
      </x:c>
      <x:c r="E26" s="19" t="str">
        <x:v>DAILY_SHINKANSEN_BOARDINGS</x:v>
      </x:c>
      <x:c r="F26" s="19"/>
      <x:c r="G26" s="18" t="str">
        <x:v>是</x:v>
      </x:c>
      <x:c r="H26" s="20" t="n">
        <x:v>2</x:v>
      </x:c>
      <x:c r="I26" s="18" t="str">
        <x:v>FY2024</x:v>
      </x:c>
      <x:c r="J26" s="19" t="str">
        <x:v>OFFICIAL_NUMERIC_MANUAL_METRIC_REVIEW</x:v>
      </x:c>
      <x:c r="K26" s="20"/>
      <x:c r="L26" s="19" t="str">
        <x:v>USAGE_DATA_UNAVAILABLE</x:v>
      </x:c>
      <x:c r="M26" s="19" t="str">
        <x:v>https://www.jreast.co.jp/company/data/passenger/2024_shinkansen.html/</x:v>
      </x:c>
      <x:c r="N26" s="19" t="str">
        <x:v>Shinkansen station table / daily total; web retrieval 2026-09-30</x:v>
      </x:c>
      <x:c r="O26" s="19" t="str">
        <x:v>OPERATOR_SHINKANSEN_COMPONENT</x:v>
      </x:c>
      <x:c r="P26" s="19" t="str">
        <x:v>published integer</x:v>
      </x:c>
      <x:c r="Q26" s="18" t="str">
        <x:v>transport-node:e2f6a800-4df6-5df9-818c-a7a6036c5f15</x:v>
      </x:c>
      <x:c r="R26" s="19" t="str">
        <x:v>Published boardings are not entries + exits; no doubling or automatic threshold conversion.</x:v>
      </x:c>
    </x:row>
    <x:row r="27" ht="28" customHeight="1">
      <x:c r="A27" s="18" t="str">
        <x:v>博多</x:v>
      </x:c>
      <x:c r="B27" s="18" t="str">
        <x:v>九州旅客鉄道</x:v>
      </x:c>
      <x:c r="C27" s="20" t="n">
        <x:v>125462</x:v>
      </x:c>
      <x:c r="D27" s="18" t="str">
        <x:v>boardings/day</x:v>
      </x:c>
      <x:c r="E27" s="19" t="str">
        <x:v>STATION_COMPLEX_PROXY</x:v>
      </x:c>
      <x:c r="F27" s="19"/>
      <x:c r="G27" s="18" t="str">
        <x:v>是</x:v>
      </x:c>
      <x:c r="H27" s="20" t="n">
        <x:v>5</x:v>
      </x:c>
      <x:c r="I27" s="18" t="str">
        <x:v>FY2024</x:v>
      </x:c>
      <x:c r="J27" s="19" t="str">
        <x:v>OFFICIAL_NUMERIC_MANUAL_METRIC_REVIEW</x:v>
      </x:c>
      <x:c r="K27" s="20"/>
      <x:c r="L27" s="19" t="str">
        <x:v>USAGE_DATA_UNAVAILABLE</x:v>
      </x:c>
      <x:c r="M27" s="19" t="str">
        <x:v>https://www.jrkyushu.co.jp/company/info/data/pdf/2024ekibetsu.pdf</x:v>
      </x:c>
      <x:c r="N27" s="19" t="str">
        <x:v>pages 1-2 / station total; page 4 footnote explicitly combines conventional + Shinkansen</x:v>
      </x:c>
      <x:c r="O27" s="19" t="str">
        <x:v>SAME_OPERATOR_CONVENTIONAL_PLUS_SHINKANSEN</x:v>
      </x:c>
      <x:c r="P27" s="19" t="str">
        <x:v>published integer</x:v>
      </x:c>
      <x:c r="Q27" s="18" t="str">
        <x:v>transport-node:2ce9eca0-e509-5b61-a735-f22927d78e53</x:v>
      </x:c>
      <x:c r="R27" s="19" t="str">
        <x:v>Published boardings are not entries + exits; no doubling or automatic threshold conversion.</x:v>
      </x:c>
    </x:row>
    <x:row r="28" ht="28" customHeight="1">
      <x:c r="A28" s="18" t="str">
        <x:v>博多</x:v>
      </x:c>
      <x:c r="B28" s="18" t="str">
        <x:v>西日本旅客鉄道</x:v>
      </x:c>
      <x:c r="C28" s="20" t="n">
        <x:v>47262</x:v>
      </x:c>
      <x:c r="D28" s="18" t="str">
        <x:v>persons/day</x:v>
      </x:c>
      <x:c r="E28" s="19" t="str">
        <x:v>DAILY_ENTRIES_EXITS</x:v>
      </x:c>
      <x:c r="F28" s="19" t="str">
        <x:v>T2</x:v>
      </x:c>
      <x:c r="G28" s="18" t="str">
        <x:v>否</x:v>
      </x:c>
      <x:c r="H28" s="20" t="n">
        <x:v>1</x:v>
      </x:c>
      <x:c r="I28" s="18" t="str">
        <x:v>FY2024</x:v>
      </x:c>
      <x:c r="J28" s="19" t="str">
        <x:v>S12_NUMERIC</x:v>
      </x:c>
      <x:c r="K28" s="20" t="n">
        <x:v>47262</x:v>
      </x:c>
      <x:c r="L28" s="19" t="str">
        <x:v>DAILY_ENTRIES_EXITS</x:v>
      </x:c>
      <x:c r="M28" s="19" t="str">
        <x:v>https://nlftp.mlit.go.jp/ksj/gml/datalist/KsjTmplt-S12-2024.html</x:v>
      </x:c>
      <x:c r="N28" s="19"/>
      <x:c r="O28" s="19"/>
      <x:c r="P28" s="19"/>
      <x:c r="Q28" s="18" t="str">
        <x:v>transport-node:558b2a34-96db-5e04-88e1-a9b0da92999b</x:v>
      </x:c>
      <x:c r="R28" s="19"/>
    </x:row>
    <x:row r="29" ht="28" customHeight="1">
      <x:c r="A29" s="18" t="str">
        <x:v>厚狭</x:v>
      </x:c>
      <x:c r="B29" s="18" t="str">
        <x:v>西日本旅客鉄道</x:v>
      </x:c>
      <x:c r="C29" s="20"/>
      <x:c r="D29" s="18"/>
      <x:c r="E29" s="19" t="str">
        <x:v>USAGE_DATA_UNAVAILABLE</x:v>
      </x:c>
      <x:c r="F29" s="19"/>
      <x:c r="G29" s="18" t="str">
        <x:v>是</x:v>
      </x:c>
      <x:c r="H29" s="20" t="n">
        <x:v>6</x:v>
      </x:c>
      <x:c r="I29" s="18" t="str">
        <x:v>FY2024</x:v>
      </x:c>
      <x:c r="J29" s="19" t="str">
        <x:v>ADDITIONAL_OFFICIAL_RESEARCH_REQUIRED</x:v>
      </x:c>
      <x:c r="K29" s="20"/>
      <x:c r="L29" s="19" t="str">
        <x:v>USAGE_DATA_UNAVAILABLE</x:v>
      </x:c>
      <x:c r="M29" s="19" t="str">
        <x:v>https://nlftp.mlit.go.jp/ksj/gml/datalist/KsjTmplt-S12-2024.html</x:v>
      </x:c>
      <x:c r="N29" s="19"/>
      <x:c r="O29" s="19"/>
      <x:c r="P29" s="19"/>
      <x:c r="Q29" s="18" t="str">
        <x:v>transport-node:2602e3e2-27bb-5334-bac1-b4a1b2ba9670</x:v>
      </x:c>
      <x:c r="R29" s="19"/>
    </x:row>
    <x:row r="30" ht="28" customHeight="1">
      <x:c r="A30" s="18" t="str">
        <x:v>古川</x:v>
      </x:c>
      <x:c r="B30" s="18" t="str">
        <x:v>東日本旅客鉄道</x:v>
      </x:c>
      <x:c r="C30" s="20" t="n">
        <x:v>2724</x:v>
      </x:c>
      <x:c r="D30" s="18" t="str">
        <x:v>boardings/day</x:v>
      </x:c>
      <x:c r="E30" s="19" t="str">
        <x:v>DAILY_SHINKANSEN_BOARDINGS</x:v>
      </x:c>
      <x:c r="F30" s="19"/>
      <x:c r="G30" s="18" t="str">
        <x:v>是</x:v>
      </x:c>
      <x:c r="H30" s="20" t="n">
        <x:v>2</x:v>
      </x:c>
      <x:c r="I30" s="18" t="str">
        <x:v>FY2024</x:v>
      </x:c>
      <x:c r="J30" s="19" t="str">
        <x:v>OFFICIAL_NUMERIC_MANUAL_METRIC_REVIEW</x:v>
      </x:c>
      <x:c r="K30" s="20"/>
      <x:c r="L30" s="19" t="str">
        <x:v>USAGE_DATA_UNAVAILABLE</x:v>
      </x:c>
      <x:c r="M30" s="19" t="str">
        <x:v>https://www.jreast.co.jp/company/data/passenger/2024_shinkansen.html/</x:v>
      </x:c>
      <x:c r="N30" s="19" t="str">
        <x:v>Shinkansen station table / daily total; web retrieval 2026-09-30</x:v>
      </x:c>
      <x:c r="O30" s="19" t="str">
        <x:v>OPERATOR_SHINKANSEN_COMPONENT</x:v>
      </x:c>
      <x:c r="P30" s="19" t="str">
        <x:v>published integer</x:v>
      </x:c>
      <x:c r="Q30" s="18" t="str">
        <x:v>transport-node:6edb3c4b-2a73-5877-8976-c24189768750</x:v>
      </x:c>
      <x:c r="R30" s="19" t="str">
        <x:v>Published boardings are not entries + exits; no doubling or automatic threshold conversion.</x:v>
      </x:c>
    </x:row>
    <x:row r="31" ht="33" customHeight="1">
      <x:c r="A31" s="18" t="str">
        <x:v>名古屋</x:v>
      </x:c>
      <x:c r="B31" s="18" t="str">
        <x:v>東海旅客鉄道</x:v>
      </x:c>
      <x:c r="C31" s="20" t="n">
        <x:v>77000</x:v>
      </x:c>
      <x:c r="D31" s="18" t="str">
        <x:v>boardings/day</x:v>
      </x:c>
      <x:c r="E31" s="19" t="str">
        <x:v>DAILY_SHINKANSEN_BOARDINGS</x:v>
      </x:c>
      <x:c r="F31" s="19"/>
      <x:c r="G31" s="18" t="str">
        <x:v>是</x:v>
      </x:c>
      <x:c r="H31" s="20" t="n">
        <x:v>2</x:v>
      </x:c>
      <x:c r="I31" s="18" t="str">
        <x:v>FY2025</x:v>
      </x:c>
      <x:c r="J31" s="19" t="str">
        <x:v>OFFICIAL_NUMERIC_MANUAL_METRIC_REVIEW</x:v>
      </x:c>
      <x:c r="K31" s="20"/>
      <x:c r="L31" s="19" t="str">
        <x:v>USAGE_DATA_UNAVAILABLE</x:v>
      </x:c>
      <x:c r="M31" s="19" t="str">
        <x:v>https://company.jr-central.co.jp/ir/factsheets/_pdf/factsheets2026-02-03.pdf</x:v>
      </x:c>
      <x:c r="N31" s="19" t="str">
        <x:v>page 1 / FY2025 / parenthesized Shinkansen-only values</x:v>
      </x:c>
      <x:c r="O31" s="19" t="str">
        <x:v>OPERATOR_SHINKANSEN_COMPONENT</x:v>
      </x:c>
      <x:c r="P31" s="19" t="str">
        <x:v>rounded thousands, multiplied by 1000 for unit conversion only</x:v>
      </x:c>
      <x:c r="Q31" s="18" t="str">
        <x:v>transport-node:278a1fa1-79e4-517a-affb-4ef101eef00b</x:v>
      </x:c>
      <x:c r="R31" s="19" t="str">
        <x:v>Published boardings are not entries + exits; no doubling or automatic threshold conversion.</x:v>
      </x:c>
    </x:row>
    <x:row r="32" ht="28" customHeight="1">
      <x:c r="A32" s="18" t="str">
        <x:v>品川</x:v>
      </x:c>
      <x:c r="B32" s="18" t="str">
        <x:v>東海旅客鉄道</x:v>
      </x:c>
      <x:c r="C32" s="20" t="n">
        <x:v>75403</x:v>
      </x:c>
      <x:c r="D32" s="18" t="str">
        <x:v>persons/day</x:v>
      </x:c>
      <x:c r="E32" s="19" t="str">
        <x:v>DAILY_ENTRIES_EXITS</x:v>
      </x:c>
      <x:c r="F32" s="19" t="str">
        <x:v>T1</x:v>
      </x:c>
      <x:c r="G32" s="18" t="str">
        <x:v>否</x:v>
      </x:c>
      <x:c r="H32" s="20" t="n">
        <x:v>1</x:v>
      </x:c>
      <x:c r="I32" s="18" t="str">
        <x:v>FY2024</x:v>
      </x:c>
      <x:c r="J32" s="19" t="str">
        <x:v>S12_NUMERIC</x:v>
      </x:c>
      <x:c r="K32" s="20" t="n">
        <x:v>75403</x:v>
      </x:c>
      <x:c r="L32" s="19" t="str">
        <x:v>DAILY_ENTRIES_EXITS</x:v>
      </x:c>
      <x:c r="M32" s="19" t="str">
        <x:v>https://nlftp.mlit.go.jp/ksj/gml/datalist/KsjTmplt-S12-2024.html</x:v>
      </x:c>
      <x:c r="N32" s="19"/>
      <x:c r="O32" s="19"/>
      <x:c r="P32" s="19"/>
      <x:c r="Q32" s="18" t="str">
        <x:v>transport-node:4389b278-793b-5b40-81c9-642cb58c1d93</x:v>
      </x:c>
      <x:c r="R32" s="19"/>
    </x:row>
    <x:row r="33" ht="28" customHeight="1">
      <x:c r="A33" s="18" t="str">
        <x:v>大宮</x:v>
      </x:c>
      <x:c r="B33" s="18" t="str">
        <x:v>東日本旅客鉄道</x:v>
      </x:c>
      <x:c r="C33" s="20" t="n">
        <x:v>32143</x:v>
      </x:c>
      <x:c r="D33" s="18" t="str">
        <x:v>boardings/day</x:v>
      </x:c>
      <x:c r="E33" s="19" t="str">
        <x:v>DAILY_SHINKANSEN_BOARDINGS</x:v>
      </x:c>
      <x:c r="F33" s="19"/>
      <x:c r="G33" s="18" t="str">
        <x:v>是</x:v>
      </x:c>
      <x:c r="H33" s="20" t="n">
        <x:v>2</x:v>
      </x:c>
      <x:c r="I33" s="18" t="str">
        <x:v>FY2024</x:v>
      </x:c>
      <x:c r="J33" s="19" t="str">
        <x:v>OFFICIAL_NUMERIC_MANUAL_METRIC_REVIEW</x:v>
      </x:c>
      <x:c r="K33" s="20"/>
      <x:c r="L33" s="19" t="str">
        <x:v>USAGE_DATA_UNAVAILABLE</x:v>
      </x:c>
      <x:c r="M33" s="19" t="str">
        <x:v>https://www.jreast.co.jp/company/data/passenger/2024_shinkansen.html/</x:v>
      </x:c>
      <x:c r="N33" s="19" t="str">
        <x:v>Shinkansen station table / daily total; web retrieval 2026-09-30</x:v>
      </x:c>
      <x:c r="O33" s="19" t="str">
        <x:v>OPERATOR_SHINKANSEN_COMPONENT</x:v>
      </x:c>
      <x:c r="P33" s="19" t="str">
        <x:v>published integer</x:v>
      </x:c>
      <x:c r="Q33" s="18" t="str">
        <x:v>transport-node:9e608705-640b-5efe-80f3-5ce28cdbd6c2</x:v>
      </x:c>
      <x:c r="R33" s="19" t="str">
        <x:v>Published boardings are not entries + exits; no doubling or automatic threshold conversion.</x:v>
      </x:c>
    </x:row>
    <x:row r="34" ht="28" customHeight="1">
      <x:c r="A34" s="18" t="str">
        <x:v>奥津軽いまべつ</x:v>
      </x:c>
      <x:c r="B34" s="18" t="str">
        <x:v>北海道旅客鉄道</x:v>
      </x:c>
      <x:c r="C34" s="20" t="n">
        <x:v>40</x:v>
      </x:c>
      <x:c r="D34" s="18" t="str">
        <x:v>persons/day</x:v>
      </x:c>
      <x:c r="E34" s="19" t="str">
        <x:v>DAILY_ENTRIES_EXITS</x:v>
      </x:c>
      <x:c r="F34" s="19" t="str">
        <x:v>T3</x:v>
      </x:c>
      <x:c r="G34" s="18" t="str">
        <x:v>否</x:v>
      </x:c>
      <x:c r="H34" s="20" t="n">
        <x:v>1</x:v>
      </x:c>
      <x:c r="I34" s="18" t="str">
        <x:v>FY2024</x:v>
      </x:c>
      <x:c r="J34" s="19" t="str">
        <x:v>S12_NUMERIC</x:v>
      </x:c>
      <x:c r="K34" s="20" t="n">
        <x:v>40</x:v>
      </x:c>
      <x:c r="L34" s="19" t="str">
        <x:v>DAILY_ENTRIES_EXITS</x:v>
      </x:c>
      <x:c r="M34" s="19" t="str">
        <x:v>https://nlftp.mlit.go.jp/ksj/gml/datalist/KsjTmplt-S12-2024.html</x:v>
      </x:c>
      <x:c r="N34" s="19"/>
      <x:c r="O34" s="19"/>
      <x:c r="P34" s="19"/>
      <x:c r="Q34" s="18" t="str">
        <x:v>transport-node:58389fa4-e5c0-555d-8a5a-54adce87bc2a</x:v>
      </x:c>
      <x:c r="R34" s="19"/>
    </x:row>
    <x:row r="35" ht="28" customHeight="1">
      <x:c r="A35" s="18" t="str">
        <x:v>姫路</x:v>
      </x:c>
      <x:c r="B35" s="18" t="str">
        <x:v>西日本旅客鉄道</x:v>
      </x:c>
      <x:c r="C35" s="20" t="n">
        <x:v>51699</x:v>
      </x:c>
      <x:c r="D35" s="18" t="str">
        <x:v>boardings/day</x:v>
      </x:c>
      <x:c r="E35" s="19" t="str">
        <x:v>STATION_COMPLEX_PROXY</x:v>
      </x:c>
      <x:c r="F35" s="19"/>
      <x:c r="G35" s="18" t="str">
        <x:v>是</x:v>
      </x:c>
      <x:c r="H35" s="20" t="n">
        <x:v>5</x:v>
      </x:c>
      <x:c r="I35" s="18" t="str">
        <x:v>FY2025</x:v>
      </x:c>
      <x:c r="J35" s="19" t="str">
        <x:v>OFFICIAL_NUMERIC_MANUAL_METRIC_REVIEW</x:v>
      </x:c>
      <x:c r="K35" s="20"/>
      <x:c r="L35" s="19" t="str">
        <x:v>USAGE_DATA_UNAVAILABLE</x:v>
      </x:c>
      <x:c r="M35" s="19" t="str">
        <x:v>https://www.westjr.co.jp/company/info/issue/data/pdf/data2026_11.pdf</x:v>
      </x:c>
      <x:c r="N35" s="19" t="str">
        <x:v>PDF page 1 / printed page 88 / left passenger table, not right revenue table</x:v>
      </x:c>
      <x:c r="O35" s="19" t="str">
        <x:v>SAME_OPERATOR_STATION_TOTAL</x:v>
      </x:c>
      <x:c r="P35" s="19" t="str">
        <x:v>published integer</x:v>
      </x:c>
      <x:c r="Q35" s="18" t="str">
        <x:v>transport-node:bb8c16d0-3d3e-5e9c-9fd3-5ff933a50c60</x:v>
      </x:c>
      <x:c r="R35" s="19" t="str">
        <x:v>Published boardings are not entries + exits; no doubling or automatic threshold conversion.</x:v>
      </x:c>
    </x:row>
    <x:row r="36" ht="28" customHeight="1">
      <x:c r="A36" s="18" t="str">
        <x:v>嬉野温泉</x:v>
      </x:c>
      <x:c r="B36" s="18" t="str">
        <x:v>九州旅客鉄道</x:v>
      </x:c>
      <x:c r="C36" s="20" t="n">
        <x:v>257</x:v>
      </x:c>
      <x:c r="D36" s="18" t="str">
        <x:v>boardings/day</x:v>
      </x:c>
      <x:c r="E36" s="19" t="str">
        <x:v>DAILY_SHINKANSEN_BOARDINGS</x:v>
      </x:c>
      <x:c r="F36" s="19"/>
      <x:c r="G36" s="18" t="str">
        <x:v>是</x:v>
      </x:c>
      <x:c r="H36" s="20" t="n">
        <x:v>2</x:v>
      </x:c>
      <x:c r="I36" s="18" t="str">
        <x:v>FY2024</x:v>
      </x:c>
      <x:c r="J36" s="19" t="str">
        <x:v>OFFICIAL_NUMERIC_MANUAL_METRIC_REVIEW</x:v>
      </x:c>
      <x:c r="K36" s="20"/>
      <x:c r="L36" s="19" t="str">
        <x:v>USAGE_DATA_UNAVAILABLE</x:v>
      </x:c>
      <x:c r="M36" s="19" t="str">
        <x:v>https://www.jrkyushu.co.jp/company/info/data/pdf/2024ekibetsu.pdf</x:v>
      </x:c>
      <x:c r="N36" s="19" t="str">
        <x:v>page 4 / 西九州新幹線 / 嬉野温泉 (no conventional co-location)</x:v>
      </x:c>
      <x:c r="O36" s="19" t="str">
        <x:v>OPERATOR_SHINKANSEN_COMPONENT</x:v>
      </x:c>
      <x:c r="P36" s="19" t="str">
        <x:v>published integer</x:v>
      </x:c>
      <x:c r="Q36" s="18" t="str">
        <x:v>transport-node:8ee6f28d-20b8-55c4-bec9-89fc88e82ec5</x:v>
      </x:c>
      <x:c r="R36" s="19" t="str">
        <x:v>Published boardings are not entries + exits; no doubling or automatic threshold conversion.</x:v>
      </x:c>
    </x:row>
    <x:row r="37" ht="28" customHeight="1">
      <x:c r="A37" s="18" t="str">
        <x:v>宇都宮</x:v>
      </x:c>
      <x:c r="B37" s="18" t="str">
        <x:v>東日本旅客鉄道</x:v>
      </x:c>
      <x:c r="C37" s="20" t="n">
        <x:v>12592</x:v>
      </x:c>
      <x:c r="D37" s="18" t="str">
        <x:v>boardings/day</x:v>
      </x:c>
      <x:c r="E37" s="19" t="str">
        <x:v>DAILY_SHINKANSEN_BOARDINGS</x:v>
      </x:c>
      <x:c r="F37" s="19"/>
      <x:c r="G37" s="18" t="str">
        <x:v>是</x:v>
      </x:c>
      <x:c r="H37" s="20" t="n">
        <x:v>2</x:v>
      </x:c>
      <x:c r="I37" s="18" t="str">
        <x:v>FY2024</x:v>
      </x:c>
      <x:c r="J37" s="19" t="str">
        <x:v>OFFICIAL_NUMERIC_MANUAL_METRIC_REVIEW</x:v>
      </x:c>
      <x:c r="K37" s="20"/>
      <x:c r="L37" s="19" t="str">
        <x:v>USAGE_DATA_UNAVAILABLE</x:v>
      </x:c>
      <x:c r="M37" s="19" t="str">
        <x:v>https://www.jreast.co.jp/company/data/passenger/2024_shinkansen.html/</x:v>
      </x:c>
      <x:c r="N37" s="19" t="str">
        <x:v>Shinkansen station table / daily total; web retrieval 2026-09-30</x:v>
      </x:c>
      <x:c r="O37" s="19" t="str">
        <x:v>OPERATOR_SHINKANSEN_COMPONENT</x:v>
      </x:c>
      <x:c r="P37" s="19" t="str">
        <x:v>published integer</x:v>
      </x:c>
      <x:c r="Q37" s="18" t="str">
        <x:v>transport-node:55f6c579-b784-50e9-a327-9fba2fbcbf3a</x:v>
      </x:c>
      <x:c r="R37" s="19" t="str">
        <x:v>Published boardings are not entries + exits; no doubling or automatic threshold conversion.</x:v>
      </x:c>
    </x:row>
    <x:row r="38" ht="28" customHeight="1">
      <x:c r="A38" s="18" t="str">
        <x:v>安中榛名</x:v>
      </x:c>
      <x:c r="B38" s="18" t="str">
        <x:v>東日本旅客鉄道</x:v>
      </x:c>
      <x:c r="C38" s="20" t="n">
        <x:v>538</x:v>
      </x:c>
      <x:c r="D38" s="18" t="str">
        <x:v>persons/day</x:v>
      </x:c>
      <x:c r="E38" s="19" t="str">
        <x:v>DAILY_ENTRIES_EXITS</x:v>
      </x:c>
      <x:c r="F38" s="19" t="str">
        <x:v>T3</x:v>
      </x:c>
      <x:c r="G38" s="18" t="str">
        <x:v>否</x:v>
      </x:c>
      <x:c r="H38" s="20" t="n">
        <x:v>1</x:v>
      </x:c>
      <x:c r="I38" s="18" t="str">
        <x:v>FY2024</x:v>
      </x:c>
      <x:c r="J38" s="19" t="str">
        <x:v>S12_NUMERIC</x:v>
      </x:c>
      <x:c r="K38" s="20" t="n">
        <x:v>538</x:v>
      </x:c>
      <x:c r="L38" s="19" t="str">
        <x:v>DAILY_ENTRIES_EXITS</x:v>
      </x:c>
      <x:c r="M38" s="19" t="str">
        <x:v>https://nlftp.mlit.go.jp/ksj/gml/datalist/KsjTmplt-S12-2024.html</x:v>
      </x:c>
      <x:c r="N38" s="19"/>
      <x:c r="O38" s="19"/>
      <x:c r="P38" s="19"/>
      <x:c r="Q38" s="18" t="str">
        <x:v>transport-node:13a1cc93-9db9-5937-a3bc-6a4e031e0c8e</x:v>
      </x:c>
      <x:c r="R38" s="19"/>
    </x:row>
    <x:row r="39" ht="28" customHeight="1">
      <x:c r="A39" s="18" t="str">
        <x:v>富山</x:v>
      </x:c>
      <x:c r="B39" s="18" t="str">
        <x:v>西日本旅客鉄道</x:v>
      </x:c>
      <x:c r="C39" s="20" t="n">
        <x:v>17448</x:v>
      </x:c>
      <x:c r="D39" s="18" t="str">
        <x:v>persons/day</x:v>
      </x:c>
      <x:c r="E39" s="19" t="str">
        <x:v>DAILY_ENTRIES_EXITS</x:v>
      </x:c>
      <x:c r="F39" s="19" t="str">
        <x:v>T2</x:v>
      </x:c>
      <x:c r="G39" s="18" t="str">
        <x:v>否</x:v>
      </x:c>
      <x:c r="H39" s="20" t="n">
        <x:v>1</x:v>
      </x:c>
      <x:c r="I39" s="18" t="str">
        <x:v>FY2024</x:v>
      </x:c>
      <x:c r="J39" s="19" t="str">
        <x:v>S12_NUMERIC</x:v>
      </x:c>
      <x:c r="K39" s="20" t="n">
        <x:v>17448</x:v>
      </x:c>
      <x:c r="L39" s="19" t="str">
        <x:v>DAILY_ENTRIES_EXITS</x:v>
      </x:c>
      <x:c r="M39" s="19" t="str">
        <x:v>https://nlftp.mlit.go.jp/ksj/gml/datalist/KsjTmplt-S12-2024.html</x:v>
      </x:c>
      <x:c r="N39" s="19"/>
      <x:c r="O39" s="19"/>
      <x:c r="P39" s="19"/>
      <x:c r="Q39" s="18" t="str">
        <x:v>transport-node:4d8e99b5-a44e-5409-a7b5-a1eefbb0fa4e</x:v>
      </x:c>
      <x:c r="R39" s="19"/>
    </x:row>
    <x:row r="40" ht="28" customHeight="1">
      <x:c r="A40" s="18" t="str">
        <x:v>小倉</x:v>
      </x:c>
      <x:c r="B40" s="18" t="str">
        <x:v>西日本旅客鉄道</x:v>
      </x:c>
      <x:c r="C40" s="20" t="n">
        <x:v>24998</x:v>
      </x:c>
      <x:c r="D40" s="18" t="str">
        <x:v>persons/day</x:v>
      </x:c>
      <x:c r="E40" s="19" t="str">
        <x:v>DAILY_ENTRIES_EXITS</x:v>
      </x:c>
      <x:c r="F40" s="19" t="str">
        <x:v>T2</x:v>
      </x:c>
      <x:c r="G40" s="18" t="str">
        <x:v>否</x:v>
      </x:c>
      <x:c r="H40" s="20" t="n">
        <x:v>1</x:v>
      </x:c>
      <x:c r="I40" s="18" t="str">
        <x:v>FY2024</x:v>
      </x:c>
      <x:c r="J40" s="19" t="str">
        <x:v>S12_NUMERIC</x:v>
      </x:c>
      <x:c r="K40" s="20" t="n">
        <x:v>24998</x:v>
      </x:c>
      <x:c r="L40" s="19" t="str">
        <x:v>DAILY_ENTRIES_EXITS</x:v>
      </x:c>
      <x:c r="M40" s="19" t="str">
        <x:v>https://nlftp.mlit.go.jp/ksj/gml/datalist/KsjTmplt-S12-2024.html</x:v>
      </x:c>
      <x:c r="N40" s="19"/>
      <x:c r="O40" s="19"/>
      <x:c r="P40" s="19"/>
      <x:c r="Q40" s="18" t="str">
        <x:v>transport-node:a0ec01da-54c0-5b19-8fbb-549e49c684f7</x:v>
      </x:c>
      <x:c r="R40" s="19"/>
    </x:row>
    <x:row r="41" ht="28" customHeight="1">
      <x:c r="A41" s="18" t="str">
        <x:v>小山</x:v>
      </x:c>
      <x:c r="B41" s="18" t="str">
        <x:v>東日本旅客鉄道</x:v>
      </x:c>
      <x:c r="C41" s="20" t="n">
        <x:v>4271</x:v>
      </x:c>
      <x:c r="D41" s="18" t="str">
        <x:v>boardings/day</x:v>
      </x:c>
      <x:c r="E41" s="19" t="str">
        <x:v>DAILY_SHINKANSEN_BOARDINGS</x:v>
      </x:c>
      <x:c r="F41" s="19"/>
      <x:c r="G41" s="18" t="str">
        <x:v>是</x:v>
      </x:c>
      <x:c r="H41" s="20" t="n">
        <x:v>2</x:v>
      </x:c>
      <x:c r="I41" s="18" t="str">
        <x:v>FY2024</x:v>
      </x:c>
      <x:c r="J41" s="19" t="str">
        <x:v>OFFICIAL_NUMERIC_MANUAL_METRIC_REVIEW</x:v>
      </x:c>
      <x:c r="K41" s="20"/>
      <x:c r="L41" s="19" t="str">
        <x:v>USAGE_DATA_UNAVAILABLE</x:v>
      </x:c>
      <x:c r="M41" s="19" t="str">
        <x:v>https://www.jreast.co.jp/company/data/passenger/2024_shinkansen.html/</x:v>
      </x:c>
      <x:c r="N41" s="19" t="str">
        <x:v>Shinkansen station table / daily total; web retrieval 2026-09-30</x:v>
      </x:c>
      <x:c r="O41" s="19" t="str">
        <x:v>OPERATOR_SHINKANSEN_COMPONENT</x:v>
      </x:c>
      <x:c r="P41" s="19" t="str">
        <x:v>published integer</x:v>
      </x:c>
      <x:c r="Q41" s="18" t="str">
        <x:v>transport-node:1e235f73-4ed8-5c3a-a231-b46305088d7b</x:v>
      </x:c>
      <x:c r="R41" s="19" t="str">
        <x:v>Published boardings are not entries + exits; no doubling or automatic threshold conversion.</x:v>
      </x:c>
    </x:row>
    <x:row r="42" ht="28" customHeight="1">
      <x:c r="A42" s="18" t="str">
        <x:v>小松</x:v>
      </x:c>
      <x:c r="B42" s="18" t="str">
        <x:v>西日本旅客鉄道</x:v>
      </x:c>
      <x:c r="C42" s="20" t="n">
        <x:v>2308</x:v>
      </x:c>
      <x:c r="D42" s="18" t="str">
        <x:v>persons/day</x:v>
      </x:c>
      <x:c r="E42" s="19" t="str">
        <x:v>DAILY_ENTRIES_EXITS</x:v>
      </x:c>
      <x:c r="F42" s="19" t="str">
        <x:v>T3</x:v>
      </x:c>
      <x:c r="G42" s="18" t="str">
        <x:v>否</x:v>
      </x:c>
      <x:c r="H42" s="20" t="n">
        <x:v>1</x:v>
      </x:c>
      <x:c r="I42" s="18" t="str">
        <x:v>FY2024</x:v>
      </x:c>
      <x:c r="J42" s="19" t="str">
        <x:v>S12_NUMERIC</x:v>
      </x:c>
      <x:c r="K42" s="20" t="n">
        <x:v>2308</x:v>
      </x:c>
      <x:c r="L42" s="19" t="str">
        <x:v>DAILY_ENTRIES_EXITS</x:v>
      </x:c>
      <x:c r="M42" s="19" t="str">
        <x:v>https://nlftp.mlit.go.jp/ksj/gml/datalist/KsjTmplt-S12-2024.html</x:v>
      </x:c>
      <x:c r="N42" s="19"/>
      <x:c r="O42" s="19"/>
      <x:c r="P42" s="19"/>
      <x:c r="Q42" s="18" t="str">
        <x:v>transport-node:6fb3599c-0b69-5a85-92e6-97c60e238e58</x:v>
      </x:c>
      <x:c r="R42" s="19"/>
    </x:row>
    <x:row r="43" ht="28" customHeight="1">
      <x:c r="A43" s="18" t="str">
        <x:v>小田原</x:v>
      </x:c>
      <x:c r="B43" s="18" t="str">
        <x:v>東海旅客鉄道</x:v>
      </x:c>
      <x:c r="C43" s="20" t="n">
        <x:v>22528</x:v>
      </x:c>
      <x:c r="D43" s="18" t="str">
        <x:v>persons/day</x:v>
      </x:c>
      <x:c r="E43" s="19" t="str">
        <x:v>DAILY_ENTRIES_EXITS</x:v>
      </x:c>
      <x:c r="F43" s="19" t="str">
        <x:v>T2</x:v>
      </x:c>
      <x:c r="G43" s="18" t="str">
        <x:v>否</x:v>
      </x:c>
      <x:c r="H43" s="20" t="n">
        <x:v>1</x:v>
      </x:c>
      <x:c r="I43" s="18" t="str">
        <x:v>FY2024</x:v>
      </x:c>
      <x:c r="J43" s="19" t="str">
        <x:v>S12_NUMERIC</x:v>
      </x:c>
      <x:c r="K43" s="20" t="n">
        <x:v>22528</x:v>
      </x:c>
      <x:c r="L43" s="19" t="str">
        <x:v>DAILY_ENTRIES_EXITS</x:v>
      </x:c>
      <x:c r="M43" s="19" t="str">
        <x:v>https://nlftp.mlit.go.jp/ksj/gml/datalist/KsjTmplt-S12-2024.html</x:v>
      </x:c>
      <x:c r="N43" s="19"/>
      <x:c r="O43" s="19"/>
      <x:c r="P43" s="19"/>
      <x:c r="Q43" s="18" t="str">
        <x:v>transport-node:a3c4af67-520b-551d-9be8-70d3d5ce1008</x:v>
      </x:c>
      <x:c r="R43" s="19"/>
    </x:row>
    <x:row r="44" ht="28" customHeight="1">
      <x:c r="A44" s="18" t="str">
        <x:v>岐阜羽島</x:v>
      </x:c>
      <x:c r="B44" s="18" t="str">
        <x:v>東海旅客鉄道</x:v>
      </x:c>
      <x:c r="C44" s="20" t="n">
        <x:v>5927</x:v>
      </x:c>
      <x:c r="D44" s="18" t="str">
        <x:v>persons/day</x:v>
      </x:c>
      <x:c r="E44" s="19" t="str">
        <x:v>DAILY_ENTRIES_EXITS</x:v>
      </x:c>
      <x:c r="F44" s="19" t="str">
        <x:v>T3</x:v>
      </x:c>
      <x:c r="G44" s="18" t="str">
        <x:v>否</x:v>
      </x:c>
      <x:c r="H44" s="20" t="n">
        <x:v>1</x:v>
      </x:c>
      <x:c r="I44" s="18" t="str">
        <x:v>FY2024</x:v>
      </x:c>
      <x:c r="J44" s="19" t="str">
        <x:v>S12_NUMERIC</x:v>
      </x:c>
      <x:c r="K44" s="20" t="n">
        <x:v>5927</x:v>
      </x:c>
      <x:c r="L44" s="19" t="str">
        <x:v>DAILY_ENTRIES_EXITS</x:v>
      </x:c>
      <x:c r="M44" s="19" t="str">
        <x:v>https://nlftp.mlit.go.jp/ksj/gml/datalist/KsjTmplt-S12-2024.html</x:v>
      </x:c>
      <x:c r="N44" s="19"/>
      <x:c r="O44" s="19"/>
      <x:c r="P44" s="19"/>
      <x:c r="Q44" s="18" t="str">
        <x:v>transport-node:6c55ffc8-54f3-5f99-84f7-169d9aa954d6</x:v>
      </x:c>
      <x:c r="R44" s="19"/>
    </x:row>
    <x:row r="45" ht="28" customHeight="1">
      <x:c r="A45" s="18" t="str">
        <x:v>岡山</x:v>
      </x:c>
      <x:c r="B45" s="18" t="str">
        <x:v>西日本旅客鉄道</x:v>
      </x:c>
      <x:c r="C45" s="20" t="n">
        <x:v>70636</x:v>
      </x:c>
      <x:c r="D45" s="18" t="str">
        <x:v>boardings/day</x:v>
      </x:c>
      <x:c r="E45" s="19" t="str">
        <x:v>STATION_COMPLEX_PROXY</x:v>
      </x:c>
      <x:c r="F45" s="19"/>
      <x:c r="G45" s="18" t="str">
        <x:v>是</x:v>
      </x:c>
      <x:c r="H45" s="20" t="n">
        <x:v>5</x:v>
      </x:c>
      <x:c r="I45" s="18" t="str">
        <x:v>FY2025</x:v>
      </x:c>
      <x:c r="J45" s="19" t="str">
        <x:v>OFFICIAL_NUMERIC_MANUAL_METRIC_REVIEW</x:v>
      </x:c>
      <x:c r="K45" s="20"/>
      <x:c r="L45" s="19" t="str">
        <x:v>USAGE_DATA_UNAVAILABLE</x:v>
      </x:c>
      <x:c r="M45" s="19" t="str">
        <x:v>https://www.westjr.co.jp/company/info/issue/data/pdf/data2026_11.pdf</x:v>
      </x:c>
      <x:c r="N45" s="19" t="str">
        <x:v>PDF page 1 / printed page 88 / left passenger table, not right revenue table</x:v>
      </x:c>
      <x:c r="O45" s="19" t="str">
        <x:v>SAME_OPERATOR_STATION_TOTAL</x:v>
      </x:c>
      <x:c r="P45" s="19" t="str">
        <x:v>published integer</x:v>
      </x:c>
      <x:c r="Q45" s="18" t="str">
        <x:v>transport-node:7dd04717-15fc-5772-b4e2-2182a0f04727</x:v>
      </x:c>
      <x:c r="R45" s="19" t="str">
        <x:v>Published boardings are not entries + exits; no doubling or automatic threshold conversion.</x:v>
      </x:c>
    </x:row>
    <x:row r="46" ht="28" customHeight="1">
      <x:c r="A46" s="18" t="str">
        <x:v>川内</x:v>
      </x:c>
      <x:c r="B46" s="18" t="str">
        <x:v>九州旅客鉄道</x:v>
      </x:c>
      <x:c r="C46" s="20" t="n">
        <x:v>2792</x:v>
      </x:c>
      <x:c r="D46" s="18" t="str">
        <x:v>boardings/day</x:v>
      </x:c>
      <x:c r="E46" s="19" t="str">
        <x:v>STATION_COMPLEX_PROXY</x:v>
      </x:c>
      <x:c r="F46" s="19"/>
      <x:c r="G46" s="18" t="str">
        <x:v>是</x:v>
      </x:c>
      <x:c r="H46" s="20" t="n">
        <x:v>5</x:v>
      </x:c>
      <x:c r="I46" s="18" t="str">
        <x:v>FY2024</x:v>
      </x:c>
      <x:c r="J46" s="19" t="str">
        <x:v>OFFICIAL_NUMERIC_MANUAL_METRIC_REVIEW</x:v>
      </x:c>
      <x:c r="K46" s="20"/>
      <x:c r="L46" s="19" t="str">
        <x:v>USAGE_DATA_UNAVAILABLE</x:v>
      </x:c>
      <x:c r="M46" s="19" t="str">
        <x:v>https://www.jrkyushu.co.jp/company/info/data/pdf/2024ekibetsu.pdf</x:v>
      </x:c>
      <x:c r="N46" s="19" t="str">
        <x:v>pages 1-2 / station total; page 4 footnote explicitly combines conventional + Shinkansen</x:v>
      </x:c>
      <x:c r="O46" s="19" t="str">
        <x:v>SAME_OPERATOR_CONVENTIONAL_PLUS_SHINKANSEN</x:v>
      </x:c>
      <x:c r="P46" s="19" t="str">
        <x:v>published integer</x:v>
      </x:c>
      <x:c r="Q46" s="18" t="str">
        <x:v>transport-node:a98eee33-ebfd-5832-9ac6-fda8159ced18</x:v>
      </x:c>
      <x:c r="R46" s="19" t="str">
        <x:v>Published boardings are not entries + exits; no doubling or automatic threshold conversion.</x:v>
      </x:c>
    </x:row>
    <x:row r="47" ht="28" customHeight="1">
      <x:c r="A47" s="18" t="str">
        <x:v>広島</x:v>
      </x:c>
      <x:c r="B47" s="18" t="str">
        <x:v>西日本旅客鉄道</x:v>
      </x:c>
      <x:c r="C47" s="20" t="n">
        <x:v>83006</x:v>
      </x:c>
      <x:c r="D47" s="18" t="str">
        <x:v>boardings/day</x:v>
      </x:c>
      <x:c r="E47" s="19" t="str">
        <x:v>STATION_COMPLEX_PROXY</x:v>
      </x:c>
      <x:c r="F47" s="19"/>
      <x:c r="G47" s="18" t="str">
        <x:v>是</x:v>
      </x:c>
      <x:c r="H47" s="20" t="n">
        <x:v>5</x:v>
      </x:c>
      <x:c r="I47" s="18" t="str">
        <x:v>FY2025</x:v>
      </x:c>
      <x:c r="J47" s="19" t="str">
        <x:v>OFFICIAL_NUMERIC_MANUAL_METRIC_REVIEW</x:v>
      </x:c>
      <x:c r="K47" s="20"/>
      <x:c r="L47" s="19" t="str">
        <x:v>USAGE_DATA_UNAVAILABLE</x:v>
      </x:c>
      <x:c r="M47" s="19" t="str">
        <x:v>https://www.westjr.co.jp/company/info/issue/data/pdf/data2026_11.pdf</x:v>
      </x:c>
      <x:c r="N47" s="19" t="str">
        <x:v>PDF page 1 / printed page 88 / left passenger table, not right revenue table</x:v>
      </x:c>
      <x:c r="O47" s="19" t="str">
        <x:v>SAME_OPERATOR_STATION_TOTAL</x:v>
      </x:c>
      <x:c r="P47" s="19" t="str">
        <x:v>published integer</x:v>
      </x:c>
      <x:c r="Q47" s="18" t="str">
        <x:v>transport-node:7dd65747-efc7-5aae-bb74-ddbc4590a941</x:v>
      </x:c>
      <x:c r="R47" s="19" t="str">
        <x:v>Published boardings are not entries + exits; no doubling or automatic threshold conversion.</x:v>
      </x:c>
    </x:row>
    <x:row r="48" ht="28" customHeight="1">
      <x:c r="A48" s="18" t="str">
        <x:v>徳山</x:v>
      </x:c>
      <x:c r="B48" s="18" t="str">
        <x:v>西日本旅客鉄道</x:v>
      </x:c>
      <x:c r="C48" s="20"/>
      <x:c r="D48" s="18"/>
      <x:c r="E48" s="19" t="str">
        <x:v>USAGE_DATA_UNAVAILABLE</x:v>
      </x:c>
      <x:c r="F48" s="19"/>
      <x:c r="G48" s="18" t="str">
        <x:v>是</x:v>
      </x:c>
      <x:c r="H48" s="20" t="n">
        <x:v>6</x:v>
      </x:c>
      <x:c r="I48" s="18" t="str">
        <x:v>FY2024</x:v>
      </x:c>
      <x:c r="J48" s="19" t="str">
        <x:v>ADDITIONAL_OFFICIAL_RESEARCH_REQUIRED</x:v>
      </x:c>
      <x:c r="K48" s="20"/>
      <x:c r="L48" s="19" t="str">
        <x:v>USAGE_DATA_UNAVAILABLE</x:v>
      </x:c>
      <x:c r="M48" s="19" t="str">
        <x:v>https://nlftp.mlit.go.jp/ksj/gml/datalist/KsjTmplt-S12-2024.html</x:v>
      </x:c>
      <x:c r="N48" s="19"/>
      <x:c r="O48" s="19"/>
      <x:c r="P48" s="19"/>
      <x:c r="Q48" s="18" t="str">
        <x:v>transport-node:20789a72-4e5d-5060-a8a0-3f74b011a855</x:v>
      </x:c>
      <x:c r="R48" s="19"/>
    </x:row>
    <x:row r="49" ht="28" customHeight="1">
      <x:c r="A49" s="18" t="str">
        <x:v>掛川</x:v>
      </x:c>
      <x:c r="B49" s="18" t="str">
        <x:v>東海旅客鉄道</x:v>
      </x:c>
      <x:c r="C49" s="20"/>
      <x:c r="D49" s="18"/>
      <x:c r="E49" s="19" t="str">
        <x:v>USAGE_DATA_UNAVAILABLE</x:v>
      </x:c>
      <x:c r="F49" s="19"/>
      <x:c r="G49" s="18" t="str">
        <x:v>是</x:v>
      </x:c>
      <x:c r="H49" s="20" t="n">
        <x:v>6</x:v>
      </x:c>
      <x:c r="I49" s="18" t="str">
        <x:v>FY2024</x:v>
      </x:c>
      <x:c r="J49" s="19" t="str">
        <x:v>ADDITIONAL_OFFICIAL_RESEARCH_REQUIRED</x:v>
      </x:c>
      <x:c r="K49" s="20"/>
      <x:c r="L49" s="19" t="str">
        <x:v>USAGE_DATA_UNAVAILABLE</x:v>
      </x:c>
      <x:c r="M49" s="19" t="str">
        <x:v>https://nlftp.mlit.go.jp/ksj/gml/datalist/KsjTmplt-S12-2024.html</x:v>
      </x:c>
      <x:c r="N49" s="19"/>
      <x:c r="O49" s="19"/>
      <x:c r="P49" s="19"/>
      <x:c r="Q49" s="18" t="str">
        <x:v>transport-node:d7497207-3073-5803-b1a4-11f831c49463</x:v>
      </x:c>
      <x:c r="R49" s="19"/>
    </x:row>
    <x:row r="50" ht="28" customHeight="1">
      <x:c r="A50" s="18" t="str">
        <x:v>敦賀</x:v>
      </x:c>
      <x:c r="B50" s="18" t="str">
        <x:v>西日本旅客鉄道</x:v>
      </x:c>
      <x:c r="C50" s="20"/>
      <x:c r="D50" s="18"/>
      <x:c r="E50" s="19" t="str">
        <x:v>USAGE_DATA_UNAVAILABLE</x:v>
      </x:c>
      <x:c r="F50" s="19"/>
      <x:c r="G50" s="18" t="str">
        <x:v>是</x:v>
      </x:c>
      <x:c r="H50" s="20" t="n">
        <x:v>6</x:v>
      </x:c>
      <x:c r="I50" s="18" t="str">
        <x:v>FY2024</x:v>
      </x:c>
      <x:c r="J50" s="19" t="str">
        <x:v>ADDITIONAL_OFFICIAL_RESEARCH_REQUIRED</x:v>
      </x:c>
      <x:c r="K50" s="20"/>
      <x:c r="L50" s="19" t="str">
        <x:v>USAGE_DATA_UNAVAILABLE</x:v>
      </x:c>
      <x:c r="M50" s="19" t="str">
        <x:v>https://nlftp.mlit.go.jp/ksj/gml/datalist/KsjTmplt-S12-2024.html</x:v>
      </x:c>
      <x:c r="N50" s="19"/>
      <x:c r="O50" s="19"/>
      <x:c r="P50" s="19"/>
      <x:c r="Q50" s="18" t="str">
        <x:v>transport-node:d193fd5b-ae9e-5518-9f94-0610885e79fa</x:v>
      </x:c>
      <x:c r="R50" s="19"/>
    </x:row>
    <x:row r="51" ht="28" customHeight="1">
      <x:c r="A51" s="18" t="str">
        <x:v>新下関</x:v>
      </x:c>
      <x:c r="B51" s="18" t="str">
        <x:v>西日本旅客鉄道</x:v>
      </x:c>
      <x:c r="C51" s="20"/>
      <x:c r="D51" s="18"/>
      <x:c r="E51" s="19" t="str">
        <x:v>USAGE_DATA_UNAVAILABLE</x:v>
      </x:c>
      <x:c r="F51" s="19"/>
      <x:c r="G51" s="18" t="str">
        <x:v>是</x:v>
      </x:c>
      <x:c r="H51" s="20" t="n">
        <x:v>6</x:v>
      </x:c>
      <x:c r="I51" s="18" t="str">
        <x:v>FY2024</x:v>
      </x:c>
      <x:c r="J51" s="19" t="str">
        <x:v>ADDITIONAL_OFFICIAL_RESEARCH_REQUIRED</x:v>
      </x:c>
      <x:c r="K51" s="20"/>
      <x:c r="L51" s="19" t="str">
        <x:v>USAGE_DATA_UNAVAILABLE</x:v>
      </x:c>
      <x:c r="M51" s="19" t="str">
        <x:v>https://nlftp.mlit.go.jp/ksj/gml/datalist/KsjTmplt-S12-2024.html</x:v>
      </x:c>
      <x:c r="N51" s="19"/>
      <x:c r="O51" s="19"/>
      <x:c r="P51" s="19"/>
      <x:c r="Q51" s="18" t="str">
        <x:v>transport-node:c73bc1e1-64f1-546d-8442-9649aa9dd473</x:v>
      </x:c>
      <x:c r="R51" s="19"/>
    </x:row>
    <x:row r="52" ht="28" customHeight="1">
      <x:c r="A52" s="18" t="str">
        <x:v>新倉敷</x:v>
      </x:c>
      <x:c r="B52" s="18" t="str">
        <x:v>西日本旅客鉄道</x:v>
      </x:c>
      <x:c r="C52" s="20"/>
      <x:c r="D52" s="18"/>
      <x:c r="E52" s="19" t="str">
        <x:v>USAGE_DATA_UNAVAILABLE</x:v>
      </x:c>
      <x:c r="F52" s="19"/>
      <x:c r="G52" s="18" t="str">
        <x:v>是</x:v>
      </x:c>
      <x:c r="H52" s="20" t="n">
        <x:v>6</x:v>
      </x:c>
      <x:c r="I52" s="18" t="str">
        <x:v>FY2024</x:v>
      </x:c>
      <x:c r="J52" s="19" t="str">
        <x:v>ADDITIONAL_OFFICIAL_RESEARCH_REQUIRED</x:v>
      </x:c>
      <x:c r="K52" s="20"/>
      <x:c r="L52" s="19" t="str">
        <x:v>USAGE_DATA_UNAVAILABLE</x:v>
      </x:c>
      <x:c r="M52" s="19" t="str">
        <x:v>https://nlftp.mlit.go.jp/ksj/gml/datalist/KsjTmplt-S12-2024.html</x:v>
      </x:c>
      <x:c r="N52" s="19"/>
      <x:c r="O52" s="19"/>
      <x:c r="P52" s="19"/>
      <x:c r="Q52" s="18" t="str">
        <x:v>transport-node:06921f2b-ee65-5df4-8413-3e4c0376f438</x:v>
      </x:c>
      <x:c r="R52" s="19"/>
    </x:row>
    <x:row r="53" ht="28" customHeight="1">
      <x:c r="A53" s="18" t="str">
        <x:v>新八代</x:v>
      </x:c>
      <x:c r="B53" s="18" t="str">
        <x:v>九州旅客鉄道</x:v>
      </x:c>
      <x:c r="C53" s="20" t="n">
        <x:v>2130</x:v>
      </x:c>
      <x:c r="D53" s="18" t="str">
        <x:v>boardings/day</x:v>
      </x:c>
      <x:c r="E53" s="19" t="str">
        <x:v>STATION_COMPLEX_PROXY</x:v>
      </x:c>
      <x:c r="F53" s="19"/>
      <x:c r="G53" s="18" t="str">
        <x:v>是</x:v>
      </x:c>
      <x:c r="H53" s="20" t="n">
        <x:v>5</x:v>
      </x:c>
      <x:c r="I53" s="18" t="str">
        <x:v>FY2024</x:v>
      </x:c>
      <x:c r="J53" s="19" t="str">
        <x:v>OFFICIAL_NUMERIC_MANUAL_METRIC_REVIEW</x:v>
      </x:c>
      <x:c r="K53" s="20"/>
      <x:c r="L53" s="19" t="str">
        <x:v>USAGE_DATA_UNAVAILABLE</x:v>
      </x:c>
      <x:c r="M53" s="19" t="str">
        <x:v>https://www.jrkyushu.co.jp/company/info/data/pdf/2024ekibetsu.pdf</x:v>
      </x:c>
      <x:c r="N53" s="19" t="str">
        <x:v>pages 1-2 / station total; page 4 footnote explicitly combines conventional + Shinkansen</x:v>
      </x:c>
      <x:c r="O53" s="19" t="str">
        <x:v>SAME_OPERATOR_CONVENTIONAL_PLUS_SHINKANSEN</x:v>
      </x:c>
      <x:c r="P53" s="19" t="str">
        <x:v>published integer</x:v>
      </x:c>
      <x:c r="Q53" s="18" t="str">
        <x:v>transport-node:ceff2291-3bca-5453-acf3-b3616c6dee42</x:v>
      </x:c>
      <x:c r="R53" s="19" t="str">
        <x:v>Published boardings are not entries + exits; no doubling or automatic threshold conversion.</x:v>
      </x:c>
    </x:row>
    <x:row r="54" ht="28" customHeight="1">
      <x:c r="A54" s="18" t="str">
        <x:v>新函館北斗</x:v>
      </x:c>
      <x:c r="B54" s="18" t="str">
        <x:v>北海道旅客鉄道</x:v>
      </x:c>
      <x:c r="C54" s="20" t="n">
        <x:v>1494</x:v>
      </x:c>
      <x:c r="D54" s="18" t="str">
        <x:v>persons/day</x:v>
      </x:c>
      <x:c r="E54" s="19" t="str">
        <x:v>DAILY_ENTRIES_EXITS</x:v>
      </x:c>
      <x:c r="F54" s="19" t="str">
        <x:v>T3</x:v>
      </x:c>
      <x:c r="G54" s="18" t="str">
        <x:v>否</x:v>
      </x:c>
      <x:c r="H54" s="20" t="n">
        <x:v>1</x:v>
      </x:c>
      <x:c r="I54" s="18" t="str">
        <x:v>FY2024</x:v>
      </x:c>
      <x:c r="J54" s="19" t="str">
        <x:v>S12_NUMERIC</x:v>
      </x:c>
      <x:c r="K54" s="20" t="n">
        <x:v>1494</x:v>
      </x:c>
      <x:c r="L54" s="19" t="str">
        <x:v>DAILY_ENTRIES_EXITS</x:v>
      </x:c>
      <x:c r="M54" s="19" t="str">
        <x:v>https://nlftp.mlit.go.jp/ksj/gml/datalist/KsjTmplt-S12-2024.html</x:v>
      </x:c>
      <x:c r="N54" s="19"/>
      <x:c r="O54" s="19"/>
      <x:c r="P54" s="19"/>
      <x:c r="Q54" s="18" t="str">
        <x:v>transport-node:252a2045-2af3-50df-9b88-87f1abf73c9b</x:v>
      </x:c>
      <x:c r="R54" s="19"/>
    </x:row>
    <x:row r="55" ht="28" customHeight="1">
      <x:c r="A55" s="18" t="str">
        <x:v>新大村</x:v>
      </x:c>
      <x:c r="B55" s="18" t="str">
        <x:v>九州旅客鉄道</x:v>
      </x:c>
      <x:c r="C55" s="20" t="n">
        <x:v>943</x:v>
      </x:c>
      <x:c r="D55" s="18" t="str">
        <x:v>boardings/day</x:v>
      </x:c>
      <x:c r="E55" s="19" t="str">
        <x:v>STATION_COMPLEX_PROXY</x:v>
      </x:c>
      <x:c r="F55" s="19"/>
      <x:c r="G55" s="18" t="str">
        <x:v>是</x:v>
      </x:c>
      <x:c r="H55" s="20" t="n">
        <x:v>5</x:v>
      </x:c>
      <x:c r="I55" s="18" t="str">
        <x:v>FY2024</x:v>
      </x:c>
      <x:c r="J55" s="19" t="str">
        <x:v>OFFICIAL_NUMERIC_MANUAL_METRIC_REVIEW</x:v>
      </x:c>
      <x:c r="K55" s="20"/>
      <x:c r="L55" s="19" t="str">
        <x:v>USAGE_DATA_UNAVAILABLE</x:v>
      </x:c>
      <x:c r="M55" s="19" t="str">
        <x:v>https://www.jrkyushu.co.jp/company/info/data/pdf/2024ekibetsu.pdf</x:v>
      </x:c>
      <x:c r="N55" s="19" t="str">
        <x:v>pages 1-2 / station total; page 4 footnote explicitly combines conventional + Shinkansen</x:v>
      </x:c>
      <x:c r="O55" s="19" t="str">
        <x:v>SAME_OPERATOR_CONVENTIONAL_PLUS_SHINKANSEN</x:v>
      </x:c>
      <x:c r="P55" s="19" t="str">
        <x:v>published integer</x:v>
      </x:c>
      <x:c r="Q55" s="18" t="str">
        <x:v>transport-node:417a4b6d-615b-516d-af1f-422da9ac5427</x:v>
      </x:c>
      <x:c r="R55" s="19" t="str">
        <x:v>Published boardings are not entries + exits; no doubling or automatic threshold conversion.</x:v>
      </x:c>
    </x:row>
    <x:row r="56" ht="28" customHeight="1">
      <x:c r="A56" s="18" t="str">
        <x:v>新大牟田</x:v>
      </x:c>
      <x:c r="B56" s="18" t="str">
        <x:v>九州旅客鉄道</x:v>
      </x:c>
      <x:c r="C56" s="20" t="n">
        <x:v>1134</x:v>
      </x:c>
      <x:c r="D56" s="18" t="str">
        <x:v>persons/day</x:v>
      </x:c>
      <x:c r="E56" s="19" t="str">
        <x:v>DAILY_ENTRIES_EXITS</x:v>
      </x:c>
      <x:c r="F56" s="19" t="str">
        <x:v>T3</x:v>
      </x:c>
      <x:c r="G56" s="18" t="str">
        <x:v>否</x:v>
      </x:c>
      <x:c r="H56" s="20" t="n">
        <x:v>1</x:v>
      </x:c>
      <x:c r="I56" s="18" t="str">
        <x:v>FY2024</x:v>
      </x:c>
      <x:c r="J56" s="19" t="str">
        <x:v>S12_NUMERIC</x:v>
      </x:c>
      <x:c r="K56" s="20" t="n">
        <x:v>1134</x:v>
      </x:c>
      <x:c r="L56" s="19" t="str">
        <x:v>DAILY_ENTRIES_EXITS</x:v>
      </x:c>
      <x:c r="M56" s="19" t="str">
        <x:v>https://nlftp.mlit.go.jp/ksj/gml/datalist/KsjTmplt-S12-2024.html</x:v>
      </x:c>
      <x:c r="N56" s="19"/>
      <x:c r="O56" s="19"/>
      <x:c r="P56" s="19"/>
      <x:c r="Q56" s="18" t="str">
        <x:v>transport-node:f391f4ce-aad4-5275-9cdf-1aab8f86c13e</x:v>
      </x:c>
      <x:c r="R56" s="19"/>
    </x:row>
    <x:row r="57" ht="28" customHeight="1">
      <x:c r="A57" s="18" t="str">
        <x:v>新大阪</x:v>
      </x:c>
      <x:c r="B57" s="18" t="str">
        <x:v>東海旅客鉄道</x:v>
      </x:c>
      <x:c r="C57" s="20" t="n">
        <x:v>169417</x:v>
      </x:c>
      <x:c r="D57" s="18" t="str">
        <x:v>persons/day</x:v>
      </x:c>
      <x:c r="E57" s="19" t="str">
        <x:v>DAILY_ENTRIES_EXITS</x:v>
      </x:c>
      <x:c r="F57" s="19" t="str">
        <x:v>T1</x:v>
      </x:c>
      <x:c r="G57" s="18" t="str">
        <x:v>否</x:v>
      </x:c>
      <x:c r="H57" s="20" t="n">
        <x:v>1</x:v>
      </x:c>
      <x:c r="I57" s="18" t="str">
        <x:v>FY2024</x:v>
      </x:c>
      <x:c r="J57" s="19" t="str">
        <x:v>S12_NUMERIC</x:v>
      </x:c>
      <x:c r="K57" s="20" t="n">
        <x:v>169417</x:v>
      </x:c>
      <x:c r="L57" s="19" t="str">
        <x:v>DAILY_ENTRIES_EXITS</x:v>
      </x:c>
      <x:c r="M57" s="19" t="str">
        <x:v>https://nlftp.mlit.go.jp/ksj/gml/datalist/KsjTmplt-S12-2024.html</x:v>
      </x:c>
      <x:c r="N57" s="19"/>
      <x:c r="O57" s="19"/>
      <x:c r="P57" s="19"/>
      <x:c r="Q57" s="18" t="str">
        <x:v>transport-node:a5a535f3-e9a8-565e-9efe-ea70928ad8ef</x:v>
      </x:c>
      <x:c r="R57" s="19"/>
    </x:row>
    <x:row r="58" ht="28" customHeight="1">
      <x:c r="A58" s="18" t="str">
        <x:v>新大阪</x:v>
      </x:c>
      <x:c r="B58" s="18" t="str">
        <x:v>西日本旅客鉄道</x:v>
      </x:c>
      <x:c r="C58" s="20" t="n">
        <x:v>79582</x:v>
      </x:c>
      <x:c r="D58" s="18" t="str">
        <x:v>boardings/day</x:v>
      </x:c>
      <x:c r="E58" s="19" t="str">
        <x:v>STATION_COMPLEX_PROXY</x:v>
      </x:c>
      <x:c r="F58" s="19"/>
      <x:c r="G58" s="18" t="str">
        <x:v>是</x:v>
      </x:c>
      <x:c r="H58" s="20" t="n">
        <x:v>5</x:v>
      </x:c>
      <x:c r="I58" s="18" t="str">
        <x:v>FY2025</x:v>
      </x:c>
      <x:c r="J58" s="19" t="str">
        <x:v>OFFICIAL_NUMERIC_MANUAL_METRIC_REVIEW</x:v>
      </x:c>
      <x:c r="K58" s="20"/>
      <x:c r="L58" s="19" t="str">
        <x:v>USAGE_DATA_UNAVAILABLE</x:v>
      </x:c>
      <x:c r="M58" s="19" t="str">
        <x:v>https://www.westjr.co.jp/company/info/issue/data/pdf/data2026_11.pdf</x:v>
      </x:c>
      <x:c r="N58" s="19" t="str">
        <x:v>PDF page 1 / printed page 88 / left passenger table, not right revenue table</x:v>
      </x:c>
      <x:c r="O58" s="19" t="str">
        <x:v>SAME_OPERATOR_STATION_TOTAL</x:v>
      </x:c>
      <x:c r="P58" s="19" t="str">
        <x:v>published integer</x:v>
      </x:c>
      <x:c r="Q58" s="18" t="str">
        <x:v>transport-node:e080eaa8-222e-52cf-868c-eb4ab2213d91</x:v>
      </x:c>
      <x:c r="R58" s="19" t="str">
        <x:v>Published boardings are not entries + exits; no doubling or automatic threshold conversion.</x:v>
      </x:c>
    </x:row>
    <x:row r="59" ht="28" customHeight="1">
      <x:c r="A59" s="18" t="str">
        <x:v>新富士</x:v>
      </x:c>
      <x:c r="B59" s="18" t="str">
        <x:v>東海旅客鉄道</x:v>
      </x:c>
      <x:c r="C59" s="20" t="n">
        <x:v>8852</x:v>
      </x:c>
      <x:c r="D59" s="18" t="str">
        <x:v>persons/day</x:v>
      </x:c>
      <x:c r="E59" s="19" t="str">
        <x:v>DAILY_ENTRIES_EXITS</x:v>
      </x:c>
      <x:c r="F59" s="19" t="str">
        <x:v>T3</x:v>
      </x:c>
      <x:c r="G59" s="18" t="str">
        <x:v>否</x:v>
      </x:c>
      <x:c r="H59" s="20" t="n">
        <x:v>1</x:v>
      </x:c>
      <x:c r="I59" s="18" t="str">
        <x:v>FY2024</x:v>
      </x:c>
      <x:c r="J59" s="19" t="str">
        <x:v>S12_NUMERIC</x:v>
      </x:c>
      <x:c r="K59" s="20" t="n">
        <x:v>8852</x:v>
      </x:c>
      <x:c r="L59" s="19" t="str">
        <x:v>DAILY_ENTRIES_EXITS</x:v>
      </x:c>
      <x:c r="M59" s="19" t="str">
        <x:v>https://nlftp.mlit.go.jp/ksj/gml/datalist/KsjTmplt-S12-2024.html</x:v>
      </x:c>
      <x:c r="N59" s="19"/>
      <x:c r="O59" s="19"/>
      <x:c r="P59" s="19"/>
      <x:c r="Q59" s="18" t="str">
        <x:v>transport-node:10318077-4a91-5730-a04d-fd0bad33b282</x:v>
      </x:c>
      <x:c r="R59" s="19"/>
    </x:row>
    <x:row r="60" ht="28" customHeight="1">
      <x:c r="A60" s="18" t="str">
        <x:v>新尾道</x:v>
      </x:c>
      <x:c r="B60" s="18" t="str">
        <x:v>西日本旅客鉄道</x:v>
      </x:c>
      <x:c r="C60" s="20" t="n">
        <x:v>2008</x:v>
      </x:c>
      <x:c r="D60" s="18" t="str">
        <x:v>persons/day</x:v>
      </x:c>
      <x:c r="E60" s="19" t="str">
        <x:v>DAILY_ENTRIES_EXITS</x:v>
      </x:c>
      <x:c r="F60" s="19" t="str">
        <x:v>T3</x:v>
      </x:c>
      <x:c r="G60" s="18" t="str">
        <x:v>否</x:v>
      </x:c>
      <x:c r="H60" s="20" t="n">
        <x:v>1</x:v>
      </x:c>
      <x:c r="I60" s="18" t="str">
        <x:v>FY2024</x:v>
      </x:c>
      <x:c r="J60" s="19" t="str">
        <x:v>S12_NUMERIC</x:v>
      </x:c>
      <x:c r="K60" s="20" t="n">
        <x:v>2008</x:v>
      </x:c>
      <x:c r="L60" s="19" t="str">
        <x:v>DAILY_ENTRIES_EXITS</x:v>
      </x:c>
      <x:c r="M60" s="19" t="str">
        <x:v>https://nlftp.mlit.go.jp/ksj/gml/datalist/KsjTmplt-S12-2024.html</x:v>
      </x:c>
      <x:c r="N60" s="19"/>
      <x:c r="O60" s="19"/>
      <x:c r="P60" s="19"/>
      <x:c r="Q60" s="18" t="str">
        <x:v>transport-node:a53c148e-93e6-5d4a-827c-efdefe3b770f</x:v>
      </x:c>
      <x:c r="R60" s="19"/>
    </x:row>
    <x:row r="61" ht="28" customHeight="1">
      <x:c r="A61" s="18" t="str">
        <x:v>新山口</x:v>
      </x:c>
      <x:c r="B61" s="18" t="str">
        <x:v>西日本旅客鉄道</x:v>
      </x:c>
      <x:c r="C61" s="20"/>
      <x:c r="D61" s="18"/>
      <x:c r="E61" s="19" t="str">
        <x:v>USAGE_DATA_UNAVAILABLE</x:v>
      </x:c>
      <x:c r="F61" s="19"/>
      <x:c r="G61" s="18" t="str">
        <x:v>是</x:v>
      </x:c>
      <x:c r="H61" s="20" t="n">
        <x:v>6</x:v>
      </x:c>
      <x:c r="I61" s="18" t="str">
        <x:v>FY2024</x:v>
      </x:c>
      <x:c r="J61" s="19" t="str">
        <x:v>ADDITIONAL_OFFICIAL_RESEARCH_REQUIRED</x:v>
      </x:c>
      <x:c r="K61" s="20"/>
      <x:c r="L61" s="19" t="str">
        <x:v>USAGE_DATA_UNAVAILABLE</x:v>
      </x:c>
      <x:c r="M61" s="19" t="str">
        <x:v>https://nlftp.mlit.go.jp/ksj/gml/datalist/KsjTmplt-S12-2024.html</x:v>
      </x:c>
      <x:c r="N61" s="19"/>
      <x:c r="O61" s="19"/>
      <x:c r="P61" s="19"/>
      <x:c r="Q61" s="18" t="str">
        <x:v>transport-node:dc923fdb-2dcd-5591-9017-912fdbaca9ec</x:v>
      </x:c>
      <x:c r="R61" s="19"/>
    </x:row>
    <x:row r="62" ht="28" customHeight="1">
      <x:c r="A62" s="18" t="str">
        <x:v>新岩国</x:v>
      </x:c>
      <x:c r="B62" s="18" t="str">
        <x:v>西日本旅客鉄道</x:v>
      </x:c>
      <x:c r="C62" s="20" t="n">
        <x:v>1938</x:v>
      </x:c>
      <x:c r="D62" s="18" t="str">
        <x:v>persons/day</x:v>
      </x:c>
      <x:c r="E62" s="19" t="str">
        <x:v>DAILY_ENTRIES_EXITS</x:v>
      </x:c>
      <x:c r="F62" s="19" t="str">
        <x:v>T3</x:v>
      </x:c>
      <x:c r="G62" s="18" t="str">
        <x:v>否</x:v>
      </x:c>
      <x:c r="H62" s="20" t="n">
        <x:v>1</x:v>
      </x:c>
      <x:c r="I62" s="18" t="str">
        <x:v>FY2024</x:v>
      </x:c>
      <x:c r="J62" s="19" t="str">
        <x:v>S12_NUMERIC</x:v>
      </x:c>
      <x:c r="K62" s="20" t="n">
        <x:v>1938</x:v>
      </x:c>
      <x:c r="L62" s="19" t="str">
        <x:v>DAILY_ENTRIES_EXITS</x:v>
      </x:c>
      <x:c r="M62" s="19" t="str">
        <x:v>https://nlftp.mlit.go.jp/ksj/gml/datalist/KsjTmplt-S12-2024.html</x:v>
      </x:c>
      <x:c r="N62" s="19"/>
      <x:c r="O62" s="19"/>
      <x:c r="P62" s="19"/>
      <x:c r="Q62" s="18" t="str">
        <x:v>transport-node:f18bd458-c9d8-571f-976b-3e450f720b4f</x:v>
      </x:c>
      <x:c r="R62" s="19"/>
    </x:row>
    <x:row r="63" ht="28" customHeight="1">
      <x:c r="A63" s="18" t="str">
        <x:v>新横浜</x:v>
      </x:c>
      <x:c r="B63" s="18" t="str">
        <x:v>東海旅客鉄道</x:v>
      </x:c>
      <x:c r="C63" s="20" t="n">
        <x:v>71690</x:v>
      </x:c>
      <x:c r="D63" s="18" t="str">
        <x:v>persons/day</x:v>
      </x:c>
      <x:c r="E63" s="19" t="str">
        <x:v>DAILY_ENTRIES_EXITS</x:v>
      </x:c>
      <x:c r="F63" s="19" t="str">
        <x:v>T1</x:v>
      </x:c>
      <x:c r="G63" s="18" t="str">
        <x:v>否</x:v>
      </x:c>
      <x:c r="H63" s="20" t="n">
        <x:v>1</x:v>
      </x:c>
      <x:c r="I63" s="18" t="str">
        <x:v>FY2024</x:v>
      </x:c>
      <x:c r="J63" s="19" t="str">
        <x:v>S12_NUMERIC</x:v>
      </x:c>
      <x:c r="K63" s="20" t="n">
        <x:v>71690</x:v>
      </x:c>
      <x:c r="L63" s="19" t="str">
        <x:v>DAILY_ENTRIES_EXITS</x:v>
      </x:c>
      <x:c r="M63" s="19" t="str">
        <x:v>https://nlftp.mlit.go.jp/ksj/gml/datalist/KsjTmplt-S12-2024.html</x:v>
      </x:c>
      <x:c r="N63" s="19"/>
      <x:c r="O63" s="19"/>
      <x:c r="P63" s="19"/>
      <x:c r="Q63" s="18" t="str">
        <x:v>transport-node:7953012b-45a2-5383-8351-16241f2ca000</x:v>
      </x:c>
      <x:c r="R63" s="19"/>
    </x:row>
    <x:row r="64" ht="28" customHeight="1">
      <x:c r="A64" s="18" t="str">
        <x:v>新水俣</x:v>
      </x:c>
      <x:c r="B64" s="18" t="str">
        <x:v>九州旅客鉄道</x:v>
      </x:c>
      <x:c r="C64" s="20" t="n">
        <x:v>1054</x:v>
      </x:c>
      <x:c r="D64" s="18" t="str">
        <x:v>persons/day</x:v>
      </x:c>
      <x:c r="E64" s="19" t="str">
        <x:v>DAILY_ENTRIES_EXITS</x:v>
      </x:c>
      <x:c r="F64" s="19" t="str">
        <x:v>T3</x:v>
      </x:c>
      <x:c r="G64" s="18" t="str">
        <x:v>否</x:v>
      </x:c>
      <x:c r="H64" s="20" t="n">
        <x:v>1</x:v>
      </x:c>
      <x:c r="I64" s="18" t="str">
        <x:v>FY2024</x:v>
      </x:c>
      <x:c r="J64" s="19" t="str">
        <x:v>S12_NUMERIC</x:v>
      </x:c>
      <x:c r="K64" s="20" t="n">
        <x:v>1054</x:v>
      </x:c>
      <x:c r="L64" s="19" t="str">
        <x:v>DAILY_ENTRIES_EXITS</x:v>
      </x:c>
      <x:c r="M64" s="19" t="str">
        <x:v>https://nlftp.mlit.go.jp/ksj/gml/datalist/KsjTmplt-S12-2024.html</x:v>
      </x:c>
      <x:c r="N64" s="19"/>
      <x:c r="O64" s="19"/>
      <x:c r="P64" s="19"/>
      <x:c r="Q64" s="18" t="str">
        <x:v>transport-node:b2b74578-98e7-591d-a357-5b4aa82ade61</x:v>
      </x:c>
      <x:c r="R64" s="19"/>
    </x:row>
    <x:row r="65" ht="28" customHeight="1">
      <x:c r="A65" s="18" t="str">
        <x:v>新潟</x:v>
      </x:c>
      <x:c r="B65" s="18" t="str">
        <x:v>東日本旅客鉄道</x:v>
      </x:c>
      <x:c r="C65" s="20" t="n">
        <x:v>9471</x:v>
      </x:c>
      <x:c r="D65" s="18" t="str">
        <x:v>boardings/day</x:v>
      </x:c>
      <x:c r="E65" s="19" t="str">
        <x:v>DAILY_SHINKANSEN_BOARDINGS</x:v>
      </x:c>
      <x:c r="F65" s="19"/>
      <x:c r="G65" s="18" t="str">
        <x:v>是</x:v>
      </x:c>
      <x:c r="H65" s="20" t="n">
        <x:v>2</x:v>
      </x:c>
      <x:c r="I65" s="18" t="str">
        <x:v>FY2024</x:v>
      </x:c>
      <x:c r="J65" s="19" t="str">
        <x:v>OFFICIAL_NUMERIC_MANUAL_METRIC_REVIEW</x:v>
      </x:c>
      <x:c r="K65" s="20"/>
      <x:c r="L65" s="19" t="str">
        <x:v>USAGE_DATA_UNAVAILABLE</x:v>
      </x:c>
      <x:c r="M65" s="19" t="str">
        <x:v>https://www.jreast.co.jp/company/data/passenger/2024_shinkansen.html/</x:v>
      </x:c>
      <x:c r="N65" s="19" t="str">
        <x:v>Shinkansen station table / daily total; web retrieval 2026-09-30</x:v>
      </x:c>
      <x:c r="O65" s="19" t="str">
        <x:v>OPERATOR_SHINKANSEN_COMPONENT</x:v>
      </x:c>
      <x:c r="P65" s="19" t="str">
        <x:v>published integer</x:v>
      </x:c>
      <x:c r="Q65" s="18" t="str">
        <x:v>transport-node:95b05fc1-8022-5cd6-921c-d5afb9f5faa2</x:v>
      </x:c>
      <x:c r="R65" s="19" t="str">
        <x:v>Published boardings are not entries + exits; no doubling or automatic threshold conversion.</x:v>
      </x:c>
    </x:row>
    <x:row r="66" ht="28" customHeight="1">
      <x:c r="A66" s="18" t="str">
        <x:v>新玉名</x:v>
      </x:c>
      <x:c r="B66" s="18" t="str">
        <x:v>九州旅客鉄道</x:v>
      </x:c>
      <x:c r="C66" s="20" t="n">
        <x:v>1104</x:v>
      </x:c>
      <x:c r="D66" s="18" t="str">
        <x:v>persons/day</x:v>
      </x:c>
      <x:c r="E66" s="19" t="str">
        <x:v>DAILY_ENTRIES_EXITS</x:v>
      </x:c>
      <x:c r="F66" s="19" t="str">
        <x:v>T3</x:v>
      </x:c>
      <x:c r="G66" s="18" t="str">
        <x:v>否</x:v>
      </x:c>
      <x:c r="H66" s="20" t="n">
        <x:v>1</x:v>
      </x:c>
      <x:c r="I66" s="18" t="str">
        <x:v>FY2024</x:v>
      </x:c>
      <x:c r="J66" s="19" t="str">
        <x:v>S12_NUMERIC</x:v>
      </x:c>
      <x:c r="K66" s="20" t="n">
        <x:v>1104</x:v>
      </x:c>
      <x:c r="L66" s="19" t="str">
        <x:v>DAILY_ENTRIES_EXITS</x:v>
      </x:c>
      <x:c r="M66" s="19" t="str">
        <x:v>https://nlftp.mlit.go.jp/ksj/gml/datalist/KsjTmplt-S12-2024.html</x:v>
      </x:c>
      <x:c r="N66" s="19"/>
      <x:c r="O66" s="19"/>
      <x:c r="P66" s="19"/>
      <x:c r="Q66" s="18" t="str">
        <x:v>transport-node:cd471872-e3b0-5bc4-b358-ddce8bfeacd2</x:v>
      </x:c>
      <x:c r="R66" s="19"/>
    </x:row>
    <x:row r="67" ht="28" customHeight="1">
      <x:c r="A67" s="18" t="str">
        <x:v>新白河</x:v>
      </x:c>
      <x:c r="B67" s="18" t="str">
        <x:v>東日本旅客鉄道</x:v>
      </x:c>
      <x:c r="C67" s="20" t="n">
        <x:v>1955</x:v>
      </x:c>
      <x:c r="D67" s="18" t="str">
        <x:v>boardings/day</x:v>
      </x:c>
      <x:c r="E67" s="19" t="str">
        <x:v>DAILY_SHINKANSEN_BOARDINGS</x:v>
      </x:c>
      <x:c r="F67" s="19"/>
      <x:c r="G67" s="18" t="str">
        <x:v>是</x:v>
      </x:c>
      <x:c r="H67" s="20" t="n">
        <x:v>2</x:v>
      </x:c>
      <x:c r="I67" s="18" t="str">
        <x:v>FY2024</x:v>
      </x:c>
      <x:c r="J67" s="19" t="str">
        <x:v>OFFICIAL_NUMERIC_MANUAL_METRIC_REVIEW</x:v>
      </x:c>
      <x:c r="K67" s="20"/>
      <x:c r="L67" s="19" t="str">
        <x:v>USAGE_DATA_UNAVAILABLE</x:v>
      </x:c>
      <x:c r="M67" s="19" t="str">
        <x:v>https://www.jreast.co.jp/company/data/passenger/2024_shinkansen.html/</x:v>
      </x:c>
      <x:c r="N67" s="19" t="str">
        <x:v>Shinkansen station table / daily total; web retrieval 2026-09-30</x:v>
      </x:c>
      <x:c r="O67" s="19" t="str">
        <x:v>OPERATOR_SHINKANSEN_COMPONENT</x:v>
      </x:c>
      <x:c r="P67" s="19" t="str">
        <x:v>published integer</x:v>
      </x:c>
      <x:c r="Q67" s="18" t="str">
        <x:v>transport-node:6b9bbd2b-1a06-545c-8d9e-f137947f3905</x:v>
      </x:c>
      <x:c r="R67" s="19" t="str">
        <x:v>Published boardings are not entries + exits; no doubling or automatic threshold conversion.</x:v>
      </x:c>
    </x:row>
    <x:row r="68" ht="28" customHeight="1">
      <x:c r="A68" s="18" t="str">
        <x:v>新神戸</x:v>
      </x:c>
      <x:c r="B68" s="18" t="str">
        <x:v>西日本旅客鉄道</x:v>
      </x:c>
      <x:c r="C68" s="20" t="n">
        <x:v>20522</x:v>
      </x:c>
      <x:c r="D68" s="18" t="str">
        <x:v>persons/day</x:v>
      </x:c>
      <x:c r="E68" s="19" t="str">
        <x:v>DAILY_ENTRIES_EXITS</x:v>
      </x:c>
      <x:c r="F68" s="19" t="str">
        <x:v>T2</x:v>
      </x:c>
      <x:c r="G68" s="18" t="str">
        <x:v>否</x:v>
      </x:c>
      <x:c r="H68" s="20" t="n">
        <x:v>1</x:v>
      </x:c>
      <x:c r="I68" s="18" t="str">
        <x:v>FY2024</x:v>
      </x:c>
      <x:c r="J68" s="19" t="str">
        <x:v>S12_NUMERIC</x:v>
      </x:c>
      <x:c r="K68" s="20" t="n">
        <x:v>20522</x:v>
      </x:c>
      <x:c r="L68" s="19" t="str">
        <x:v>DAILY_ENTRIES_EXITS</x:v>
      </x:c>
      <x:c r="M68" s="19" t="str">
        <x:v>https://nlftp.mlit.go.jp/ksj/gml/datalist/KsjTmplt-S12-2024.html</x:v>
      </x:c>
      <x:c r="N68" s="19"/>
      <x:c r="O68" s="19"/>
      <x:c r="P68" s="19"/>
      <x:c r="Q68" s="18" t="str">
        <x:v>transport-node:d36d3208-3d50-522e-be5f-f83fcb70239b</x:v>
      </x:c>
      <x:c r="R68" s="19"/>
    </x:row>
    <x:row r="69" ht="28" customHeight="1">
      <x:c r="A69" s="18" t="str">
        <x:v>新花巻</x:v>
      </x:c>
      <x:c r="B69" s="18" t="str">
        <x:v>東日本旅客鉄道</x:v>
      </x:c>
      <x:c r="C69" s="20" t="n">
        <x:v>1522</x:v>
      </x:c>
      <x:c r="D69" s="18" t="str">
        <x:v>persons/day</x:v>
      </x:c>
      <x:c r="E69" s="19" t="str">
        <x:v>DAILY_ENTRIES_EXITS</x:v>
      </x:c>
      <x:c r="F69" s="19" t="str">
        <x:v>T3</x:v>
      </x:c>
      <x:c r="G69" s="18" t="str">
        <x:v>否</x:v>
      </x:c>
      <x:c r="H69" s="20" t="n">
        <x:v>1</x:v>
      </x:c>
      <x:c r="I69" s="18" t="str">
        <x:v>FY2024</x:v>
      </x:c>
      <x:c r="J69" s="19" t="str">
        <x:v>S12_NUMERIC</x:v>
      </x:c>
      <x:c r="K69" s="20" t="n">
        <x:v>1522</x:v>
      </x:c>
      <x:c r="L69" s="19" t="str">
        <x:v>DAILY_ENTRIES_EXITS</x:v>
      </x:c>
      <x:c r="M69" s="19" t="str">
        <x:v>https://nlftp.mlit.go.jp/ksj/gml/datalist/KsjTmplt-S12-2024.html</x:v>
      </x:c>
      <x:c r="N69" s="19"/>
      <x:c r="O69" s="19"/>
      <x:c r="P69" s="19"/>
      <x:c r="Q69" s="18" t="str">
        <x:v>transport-node:6f8075c2-a3e2-5c81-825a-9dd6c03e970a</x:v>
      </x:c>
      <x:c r="R69" s="19"/>
    </x:row>
    <x:row r="70" ht="28" customHeight="1">
      <x:c r="A70" s="18" t="str">
        <x:v>新青森</x:v>
      </x:c>
      <x:c r="B70" s="18" t="str">
        <x:v>北海道旅客鉄道</x:v>
      </x:c>
      <x:c r="C70" s="20"/>
      <x:c r="D70" s="18"/>
      <x:c r="E70" s="19" t="str">
        <x:v>USAGE_DATA_UNAVAILABLE</x:v>
      </x:c>
      <x:c r="F70" s="19"/>
      <x:c r="G70" s="18" t="str">
        <x:v>是</x:v>
      </x:c>
      <x:c r="H70" s="20" t="n">
        <x:v>6</x:v>
      </x:c>
      <x:c r="I70" s="18" t="str">
        <x:v>FY2024</x:v>
      </x:c>
      <x:c r="J70" s="19" t="str">
        <x:v>ADDITIONAL_OFFICIAL_RESEARCH_REQUIRED</x:v>
      </x:c>
      <x:c r="K70" s="20"/>
      <x:c r="L70" s="19" t="str">
        <x:v>USAGE_DATA_UNAVAILABLE</x:v>
      </x:c>
      <x:c r="M70" s="19" t="str">
        <x:v>https://nlftp.mlit.go.jp/ksj/gml/datalist/KsjTmplt-S12-2024.html</x:v>
      </x:c>
      <x:c r="N70" s="19"/>
      <x:c r="O70" s="19"/>
      <x:c r="P70" s="19"/>
      <x:c r="Q70" s="18" t="str">
        <x:v>transport-node:2dc79fda-943c-5f38-a459-d0bbcba37c0b</x:v>
      </x:c>
      <x:c r="R70" s="19"/>
    </x:row>
    <x:row r="71" ht="28" customHeight="1">
      <x:c r="A71" s="18" t="str">
        <x:v>新青森</x:v>
      </x:c>
      <x:c r="B71" s="18" t="str">
        <x:v>東日本旅客鉄道</x:v>
      </x:c>
      <x:c r="C71" s="20" t="n">
        <x:v>4696</x:v>
      </x:c>
      <x:c r="D71" s="18" t="str">
        <x:v>boardings/day</x:v>
      </x:c>
      <x:c r="E71" s="19" t="str">
        <x:v>DAILY_SHINKANSEN_BOARDINGS</x:v>
      </x:c>
      <x:c r="F71" s="19"/>
      <x:c r="G71" s="18" t="str">
        <x:v>是</x:v>
      </x:c>
      <x:c r="H71" s="20" t="n">
        <x:v>2</x:v>
      </x:c>
      <x:c r="I71" s="18" t="str">
        <x:v>FY2024</x:v>
      </x:c>
      <x:c r="J71" s="19" t="str">
        <x:v>OFFICIAL_NUMERIC_MANUAL_METRIC_REVIEW</x:v>
      </x:c>
      <x:c r="K71" s="20"/>
      <x:c r="L71" s="19" t="str">
        <x:v>USAGE_DATA_UNAVAILABLE</x:v>
      </x:c>
      <x:c r="M71" s="19" t="str">
        <x:v>https://www.jreast.co.jp/company/data/passenger/2024_shinkansen.html/</x:v>
      </x:c>
      <x:c r="N71" s="19" t="str">
        <x:v>Shinkansen station table / daily total; web retrieval 2026-09-30</x:v>
      </x:c>
      <x:c r="O71" s="19" t="str">
        <x:v>OPERATOR_SHINKANSEN_COMPONENT</x:v>
      </x:c>
      <x:c r="P71" s="19" t="str">
        <x:v>published integer</x:v>
      </x:c>
      <x:c r="Q71" s="18" t="str">
        <x:v>transport-node:1008d401-0ce4-5b6d-8109-7512a2236412</x:v>
      </x:c>
      <x:c r="R71" s="19" t="str">
        <x:v>Published boardings are not entries + exits; no doubling or automatic threshold conversion.</x:v>
      </x:c>
    </x:row>
    <x:row r="72" ht="28" customHeight="1">
      <x:c r="A72" s="18" t="str">
        <x:v>新高岡</x:v>
      </x:c>
      <x:c r="B72" s="18" t="str">
        <x:v>西日本旅客鉄道</x:v>
      </x:c>
      <x:c r="C72" s="20" t="n">
        <x:v>4576</x:v>
      </x:c>
      <x:c r="D72" s="18" t="str">
        <x:v>persons/day</x:v>
      </x:c>
      <x:c r="E72" s="19" t="str">
        <x:v>DAILY_ENTRIES_EXITS</x:v>
      </x:c>
      <x:c r="F72" s="19" t="str">
        <x:v>T3</x:v>
      </x:c>
      <x:c r="G72" s="18" t="str">
        <x:v>否</x:v>
      </x:c>
      <x:c r="H72" s="20" t="n">
        <x:v>1</x:v>
      </x:c>
      <x:c r="I72" s="18" t="str">
        <x:v>FY2024</x:v>
      </x:c>
      <x:c r="J72" s="19" t="str">
        <x:v>S12_NUMERIC</x:v>
      </x:c>
      <x:c r="K72" s="20" t="n">
        <x:v>4576</x:v>
      </x:c>
      <x:c r="L72" s="19" t="str">
        <x:v>DAILY_ENTRIES_EXITS</x:v>
      </x:c>
      <x:c r="M72" s="19" t="str">
        <x:v>https://nlftp.mlit.go.jp/ksj/gml/datalist/KsjTmplt-S12-2024.html</x:v>
      </x:c>
      <x:c r="N72" s="19"/>
      <x:c r="O72" s="19"/>
      <x:c r="P72" s="19"/>
      <x:c r="Q72" s="18" t="str">
        <x:v>transport-node:9946377d-47d6-540d-bb2e-59282c6b1c9c</x:v>
      </x:c>
      <x:c r="R72" s="19"/>
    </x:row>
    <x:row r="73" ht="28" customHeight="1">
      <x:c r="A73" s="18" t="str">
        <x:v>新鳥栖</x:v>
      </x:c>
      <x:c r="B73" s="18" t="str">
        <x:v>九州旅客鉄道</x:v>
      </x:c>
      <x:c r="C73" s="20" t="n">
        <x:v>2062</x:v>
      </x:c>
      <x:c r="D73" s="18" t="str">
        <x:v>boardings/day</x:v>
      </x:c>
      <x:c r="E73" s="19" t="str">
        <x:v>STATION_COMPLEX_PROXY</x:v>
      </x:c>
      <x:c r="F73" s="19"/>
      <x:c r="G73" s="18" t="str">
        <x:v>是</x:v>
      </x:c>
      <x:c r="H73" s="20" t="n">
        <x:v>5</x:v>
      </x:c>
      <x:c r="I73" s="18" t="str">
        <x:v>FY2024</x:v>
      </x:c>
      <x:c r="J73" s="19" t="str">
        <x:v>OFFICIAL_NUMERIC_MANUAL_METRIC_REVIEW</x:v>
      </x:c>
      <x:c r="K73" s="20"/>
      <x:c r="L73" s="19" t="str">
        <x:v>USAGE_DATA_UNAVAILABLE</x:v>
      </x:c>
      <x:c r="M73" s="19" t="str">
        <x:v>https://www.jrkyushu.co.jp/company/info/data/pdf/2024ekibetsu.pdf</x:v>
      </x:c>
      <x:c r="N73" s="19" t="str">
        <x:v>pages 1-2 / station total; page 4 footnote explicitly combines conventional + Shinkansen</x:v>
      </x:c>
      <x:c r="O73" s="19" t="str">
        <x:v>SAME_OPERATOR_CONVENTIONAL_PLUS_SHINKANSEN</x:v>
      </x:c>
      <x:c r="P73" s="19" t="str">
        <x:v>published integer</x:v>
      </x:c>
      <x:c r="Q73" s="18" t="str">
        <x:v>transport-node:1ab068ac-5b05-54da-b70e-affcc738c1f7</x:v>
      </x:c>
      <x:c r="R73" s="19" t="str">
        <x:v>Published boardings are not entries + exits; no doubling or automatic threshold conversion.</x:v>
      </x:c>
    </x:row>
    <x:row r="74" ht="28" customHeight="1">
      <x:c r="A74" s="18" t="str">
        <x:v>木古内</x:v>
      </x:c>
      <x:c r="B74" s="18" t="str">
        <x:v>北海道旅客鉄道</x:v>
      </x:c>
      <x:c r="C74" s="20" t="n">
        <x:v>62</x:v>
      </x:c>
      <x:c r="D74" s="18" t="str">
        <x:v>persons/day</x:v>
      </x:c>
      <x:c r="E74" s="19" t="str">
        <x:v>DAILY_ENTRIES_EXITS</x:v>
      </x:c>
      <x:c r="F74" s="19" t="str">
        <x:v>T3</x:v>
      </x:c>
      <x:c r="G74" s="18" t="str">
        <x:v>否</x:v>
      </x:c>
      <x:c r="H74" s="20" t="n">
        <x:v>1</x:v>
      </x:c>
      <x:c r="I74" s="18" t="str">
        <x:v>FY2024</x:v>
      </x:c>
      <x:c r="J74" s="19" t="str">
        <x:v>S12_NUMERIC</x:v>
      </x:c>
      <x:c r="K74" s="20" t="n">
        <x:v>62</x:v>
      </x:c>
      <x:c r="L74" s="19" t="str">
        <x:v>DAILY_ENTRIES_EXITS</x:v>
      </x:c>
      <x:c r="M74" s="19" t="str">
        <x:v>https://nlftp.mlit.go.jp/ksj/gml/datalist/KsjTmplt-S12-2024.html</x:v>
      </x:c>
      <x:c r="N74" s="19"/>
      <x:c r="O74" s="19"/>
      <x:c r="P74" s="19"/>
      <x:c r="Q74" s="18" t="str">
        <x:v>transport-node:8ee6f2fd-e04c-5a7f-8d0f-3f4f89bb4c9b</x:v>
      </x:c>
      <x:c r="R74" s="19"/>
    </x:row>
    <x:row r="75" ht="28" customHeight="1">
      <x:c r="A75" s="18" t="str">
        <x:v>本庄早稲田</x:v>
      </x:c>
      <x:c r="B75" s="18" t="str">
        <x:v>東日本旅客鉄道</x:v>
      </x:c>
      <x:c r="C75" s="20" t="n">
        <x:v>4024</x:v>
      </x:c>
      <x:c r="D75" s="18" t="str">
        <x:v>persons/day</x:v>
      </x:c>
      <x:c r="E75" s="19" t="str">
        <x:v>DAILY_ENTRIES_EXITS</x:v>
      </x:c>
      <x:c r="F75" s="19" t="str">
        <x:v>T3</x:v>
      </x:c>
      <x:c r="G75" s="18" t="str">
        <x:v>否</x:v>
      </x:c>
      <x:c r="H75" s="20" t="n">
        <x:v>1</x:v>
      </x:c>
      <x:c r="I75" s="18" t="str">
        <x:v>FY2024</x:v>
      </x:c>
      <x:c r="J75" s="19" t="str">
        <x:v>S12_NUMERIC</x:v>
      </x:c>
      <x:c r="K75" s="20" t="n">
        <x:v>4024</x:v>
      </x:c>
      <x:c r="L75" s="19" t="str">
        <x:v>DAILY_ENTRIES_EXITS</x:v>
      </x:c>
      <x:c r="M75" s="19" t="str">
        <x:v>https://nlftp.mlit.go.jp/ksj/gml/datalist/KsjTmplt-S12-2024.html</x:v>
      </x:c>
      <x:c r="N75" s="19"/>
      <x:c r="O75" s="19"/>
      <x:c r="P75" s="19"/>
      <x:c r="Q75" s="18" t="str">
        <x:v>transport-node:c11c5d6d-2184-5eb6-b48d-3ba65760ea5c</x:v>
      </x:c>
      <x:c r="R75" s="19"/>
    </x:row>
    <x:row r="76" ht="28" customHeight="1">
      <x:c r="A76" s="18" t="str">
        <x:v>東京</x:v>
      </x:c>
      <x:c r="B76" s="18" t="str">
        <x:v>東日本旅客鉄道</x:v>
      </x:c>
      <x:c r="C76" s="20" t="n">
        <x:v>70323</x:v>
      </x:c>
      <x:c r="D76" s="18" t="str">
        <x:v>boardings/day</x:v>
      </x:c>
      <x:c r="E76" s="19" t="str">
        <x:v>DAILY_SHINKANSEN_BOARDINGS</x:v>
      </x:c>
      <x:c r="F76" s="19"/>
      <x:c r="G76" s="18" t="str">
        <x:v>是</x:v>
      </x:c>
      <x:c r="H76" s="20" t="n">
        <x:v>2</x:v>
      </x:c>
      <x:c r="I76" s="18" t="str">
        <x:v>FY2024</x:v>
      </x:c>
      <x:c r="J76" s="19" t="str">
        <x:v>OFFICIAL_NUMERIC_MANUAL_METRIC_REVIEW</x:v>
      </x:c>
      <x:c r="K76" s="20"/>
      <x:c r="L76" s="19" t="str">
        <x:v>USAGE_DATA_UNAVAILABLE</x:v>
      </x:c>
      <x:c r="M76" s="19" t="str">
        <x:v>https://www.jreast.co.jp/company/data/passenger/2024_shinkansen.html/</x:v>
      </x:c>
      <x:c r="N76" s="19" t="str">
        <x:v>Shinkansen station table / daily total; web retrieval 2026-09-30</x:v>
      </x:c>
      <x:c r="O76" s="19" t="str">
        <x:v>OPERATOR_SHINKANSEN_COMPONENT</x:v>
      </x:c>
      <x:c r="P76" s="19" t="str">
        <x:v>published integer</x:v>
      </x:c>
      <x:c r="Q76" s="18" t="str">
        <x:v>transport-node:ba06e213-c876-5300-ab62-9937212a5045</x:v>
      </x:c>
      <x:c r="R76" s="19" t="str">
        <x:v>Published boardings are not entries + exits; no doubling or automatic threshold conversion.</x:v>
      </x:c>
    </x:row>
    <x:row r="77" ht="28" customHeight="1">
      <x:c r="A77" s="18" t="str">
        <x:v>東京</x:v>
      </x:c>
      <x:c r="B77" s="18" t="str">
        <x:v>東海旅客鉄道</x:v>
      </x:c>
      <x:c r="C77" s="20" t="n">
        <x:v>194244</x:v>
      </x:c>
      <x:c r="D77" s="18" t="str">
        <x:v>persons/day</x:v>
      </x:c>
      <x:c r="E77" s="19" t="str">
        <x:v>DAILY_ENTRIES_EXITS</x:v>
      </x:c>
      <x:c r="F77" s="19" t="str">
        <x:v>T1</x:v>
      </x:c>
      <x:c r="G77" s="18" t="str">
        <x:v>否</x:v>
      </x:c>
      <x:c r="H77" s="20" t="n">
        <x:v>1</x:v>
      </x:c>
      <x:c r="I77" s="18" t="str">
        <x:v>FY2024</x:v>
      </x:c>
      <x:c r="J77" s="19" t="str">
        <x:v>S12_NUMERIC</x:v>
      </x:c>
      <x:c r="K77" s="20" t="n">
        <x:v>194244</x:v>
      </x:c>
      <x:c r="L77" s="19" t="str">
        <x:v>DAILY_ENTRIES_EXITS</x:v>
      </x:c>
      <x:c r="M77" s="19" t="str">
        <x:v>https://nlftp.mlit.go.jp/ksj/gml/datalist/KsjTmplt-S12-2024.html</x:v>
      </x:c>
      <x:c r="N77" s="19"/>
      <x:c r="O77" s="19"/>
      <x:c r="P77" s="19"/>
      <x:c r="Q77" s="18" t="str">
        <x:v>transport-node:dc3c27dd-aea2-5ad4-ad55-10698d06756d</x:v>
      </x:c>
      <x:c r="R77" s="19"/>
    </x:row>
    <x:row r="78" ht="28" customHeight="1">
      <x:c r="A78" s="18" t="str">
        <x:v>東広島</x:v>
      </x:c>
      <x:c r="B78" s="18" t="str">
        <x:v>西日本旅客鉄道</x:v>
      </x:c>
      <x:c r="C78" s="20" t="n">
        <x:v>2532</x:v>
      </x:c>
      <x:c r="D78" s="18" t="str">
        <x:v>persons/day</x:v>
      </x:c>
      <x:c r="E78" s="19" t="str">
        <x:v>DAILY_ENTRIES_EXITS</x:v>
      </x:c>
      <x:c r="F78" s="19" t="str">
        <x:v>T3</x:v>
      </x:c>
      <x:c r="G78" s="18" t="str">
        <x:v>否</x:v>
      </x:c>
      <x:c r="H78" s="20" t="n">
        <x:v>1</x:v>
      </x:c>
      <x:c r="I78" s="18" t="str">
        <x:v>FY2024</x:v>
      </x:c>
      <x:c r="J78" s="19" t="str">
        <x:v>S12_NUMERIC</x:v>
      </x:c>
      <x:c r="K78" s="20" t="n">
        <x:v>2532</x:v>
      </x:c>
      <x:c r="L78" s="19" t="str">
        <x:v>DAILY_ENTRIES_EXITS</x:v>
      </x:c>
      <x:c r="M78" s="19" t="str">
        <x:v>https://nlftp.mlit.go.jp/ksj/gml/datalist/KsjTmplt-S12-2024.html</x:v>
      </x:c>
      <x:c r="N78" s="19"/>
      <x:c r="O78" s="19"/>
      <x:c r="P78" s="19"/>
      <x:c r="Q78" s="18" t="str">
        <x:v>transport-node:f4d85a53-c428-5ca3-9927-ff69053472d2</x:v>
      </x:c>
      <x:c r="R78" s="19"/>
    </x:row>
    <x:row r="79" ht="28" customHeight="1">
      <x:c r="A79" s="18" t="str">
        <x:v>武雄温泉</x:v>
      </x:c>
      <x:c r="B79" s="18" t="str">
        <x:v>九州旅客鉄道</x:v>
      </x:c>
      <x:c r="C79" s="20" t="n">
        <x:v>2080</x:v>
      </x:c>
      <x:c r="D79" s="18" t="str">
        <x:v>boardings/day</x:v>
      </x:c>
      <x:c r="E79" s="19" t="str">
        <x:v>STATION_COMPLEX_PROXY</x:v>
      </x:c>
      <x:c r="F79" s="19"/>
      <x:c r="G79" s="18" t="str">
        <x:v>是</x:v>
      </x:c>
      <x:c r="H79" s="20" t="n">
        <x:v>5</x:v>
      </x:c>
      <x:c r="I79" s="18" t="str">
        <x:v>FY2024</x:v>
      </x:c>
      <x:c r="J79" s="19" t="str">
        <x:v>OFFICIAL_NUMERIC_MANUAL_METRIC_REVIEW</x:v>
      </x:c>
      <x:c r="K79" s="20"/>
      <x:c r="L79" s="19" t="str">
        <x:v>USAGE_DATA_UNAVAILABLE</x:v>
      </x:c>
      <x:c r="M79" s="19" t="str">
        <x:v>https://www.jrkyushu.co.jp/company/info/data/pdf/2024ekibetsu.pdf</x:v>
      </x:c>
      <x:c r="N79" s="19" t="str">
        <x:v>pages 1-2 / station total; page 4 footnote explicitly combines conventional + Shinkansen</x:v>
      </x:c>
      <x:c r="O79" s="19" t="str">
        <x:v>SAME_OPERATOR_CONVENTIONAL_PLUS_SHINKANSEN</x:v>
      </x:c>
      <x:c r="P79" s="19" t="str">
        <x:v>published integer</x:v>
      </x:c>
      <x:c r="Q79" s="18" t="str">
        <x:v>transport-node:f58a8278-e50e-5ebf-9c9f-b162bee8a12f</x:v>
      </x:c>
      <x:c r="R79" s="19" t="str">
        <x:v>Published boardings are not entries + exits; no doubling or automatic threshold conversion.</x:v>
      </x:c>
    </x:row>
    <x:row r="80" ht="28" customHeight="1">
      <x:c r="A80" s="18" t="str">
        <x:v>水沢江刺</x:v>
      </x:c>
      <x:c r="B80" s="18" t="str">
        <x:v>東日本旅客鉄道</x:v>
      </x:c>
      <x:c r="C80" s="20" t="n">
        <x:v>1776</x:v>
      </x:c>
      <x:c r="D80" s="18" t="str">
        <x:v>persons/day</x:v>
      </x:c>
      <x:c r="E80" s="19" t="str">
        <x:v>DAILY_ENTRIES_EXITS</x:v>
      </x:c>
      <x:c r="F80" s="19" t="str">
        <x:v>T3</x:v>
      </x:c>
      <x:c r="G80" s="18" t="str">
        <x:v>否</x:v>
      </x:c>
      <x:c r="H80" s="20" t="n">
        <x:v>1</x:v>
      </x:c>
      <x:c r="I80" s="18" t="str">
        <x:v>FY2024</x:v>
      </x:c>
      <x:c r="J80" s="19" t="str">
        <x:v>S12_NUMERIC</x:v>
      </x:c>
      <x:c r="K80" s="20" t="n">
        <x:v>1776</x:v>
      </x:c>
      <x:c r="L80" s="19" t="str">
        <x:v>DAILY_ENTRIES_EXITS</x:v>
      </x:c>
      <x:c r="M80" s="19" t="str">
        <x:v>https://nlftp.mlit.go.jp/ksj/gml/datalist/KsjTmplt-S12-2024.html</x:v>
      </x:c>
      <x:c r="N80" s="19"/>
      <x:c r="O80" s="19"/>
      <x:c r="P80" s="19"/>
      <x:c r="Q80" s="18" t="str">
        <x:v>transport-node:bb3a8e23-c2d1-552b-8d08-a3c8fe7834be</x:v>
      </x:c>
      <x:c r="R80" s="19"/>
    </x:row>
    <x:row r="81" ht="33" customHeight="1">
      <x:c r="A81" s="18" t="str">
        <x:v>浜松</x:v>
      </x:c>
      <x:c r="B81" s="18" t="str">
        <x:v>東海旅客鉄道</x:v>
      </x:c>
      <x:c r="C81" s="20" t="n">
        <x:v>14000</x:v>
      </x:c>
      <x:c r="D81" s="18" t="str">
        <x:v>boardings/day</x:v>
      </x:c>
      <x:c r="E81" s="19" t="str">
        <x:v>DAILY_SHINKANSEN_BOARDINGS</x:v>
      </x:c>
      <x:c r="F81" s="19"/>
      <x:c r="G81" s="18" t="str">
        <x:v>是</x:v>
      </x:c>
      <x:c r="H81" s="20" t="n">
        <x:v>2</x:v>
      </x:c>
      <x:c r="I81" s="18" t="str">
        <x:v>FY2025</x:v>
      </x:c>
      <x:c r="J81" s="19" t="str">
        <x:v>OFFICIAL_NUMERIC_MANUAL_METRIC_REVIEW</x:v>
      </x:c>
      <x:c r="K81" s="20"/>
      <x:c r="L81" s="19" t="str">
        <x:v>USAGE_DATA_UNAVAILABLE</x:v>
      </x:c>
      <x:c r="M81" s="19" t="str">
        <x:v>https://company.jr-central.co.jp/ir/factsheets/_pdf/factsheets2026-02-03.pdf</x:v>
      </x:c>
      <x:c r="N81" s="19" t="str">
        <x:v>page 1 / FY2025 / parenthesized Shinkansen-only values</x:v>
      </x:c>
      <x:c r="O81" s="19" t="str">
        <x:v>OPERATOR_SHINKANSEN_COMPONENT</x:v>
      </x:c>
      <x:c r="P81" s="19" t="str">
        <x:v>rounded thousands, multiplied by 1000 for unit conversion only</x:v>
      </x:c>
      <x:c r="Q81" s="18" t="str">
        <x:v>transport-node:b2b72d1c-e577-5460-a224-3edcedbe0b79</x:v>
      </x:c>
      <x:c r="R81" s="19" t="str">
        <x:v>Published boardings are not entries + exits; no doubling or automatic threshold conversion.</x:v>
      </x:c>
    </x:row>
    <x:row r="82" ht="28" customHeight="1">
      <x:c r="A82" s="18" t="str">
        <x:v>浦佐</x:v>
      </x:c>
      <x:c r="B82" s="18" t="str">
        <x:v>東日本旅客鉄道</x:v>
      </x:c>
      <x:c r="C82" s="20" t="n">
        <x:v>758</x:v>
      </x:c>
      <x:c r="D82" s="18" t="str">
        <x:v>boardings/day</x:v>
      </x:c>
      <x:c r="E82" s="19" t="str">
        <x:v>DAILY_SHINKANSEN_BOARDINGS</x:v>
      </x:c>
      <x:c r="F82" s="19"/>
      <x:c r="G82" s="18" t="str">
        <x:v>是</x:v>
      </x:c>
      <x:c r="H82" s="20" t="n">
        <x:v>2</x:v>
      </x:c>
      <x:c r="I82" s="18" t="str">
        <x:v>FY2024</x:v>
      </x:c>
      <x:c r="J82" s="19" t="str">
        <x:v>OFFICIAL_NUMERIC_MANUAL_METRIC_REVIEW</x:v>
      </x:c>
      <x:c r="K82" s="20"/>
      <x:c r="L82" s="19" t="str">
        <x:v>USAGE_DATA_UNAVAILABLE</x:v>
      </x:c>
      <x:c r="M82" s="19" t="str">
        <x:v>https://www.jreast.co.jp/company/data/passenger/2024_shinkansen.html/</x:v>
      </x:c>
      <x:c r="N82" s="19" t="str">
        <x:v>Shinkansen station table / daily total; web retrieval 2026-09-30</x:v>
      </x:c>
      <x:c r="O82" s="19" t="str">
        <x:v>OPERATOR_SHINKANSEN_COMPONENT</x:v>
      </x:c>
      <x:c r="P82" s="19" t="str">
        <x:v>published integer</x:v>
      </x:c>
      <x:c r="Q82" s="18" t="str">
        <x:v>transport-node:47a3bf66-6ded-5457-bef0-38b1040e77a3</x:v>
      </x:c>
      <x:c r="R82" s="19" t="str">
        <x:v>Published boardings are not entries + exits; no doubling or automatic threshold conversion.</x:v>
      </x:c>
    </x:row>
    <x:row r="83" ht="28" customHeight="1">
      <x:c r="A83" s="18" t="str">
        <x:v>熊本</x:v>
      </x:c>
      <x:c r="B83" s="18" t="str">
        <x:v>九州旅客鉄道</x:v>
      </x:c>
      <x:c r="C83" s="20" t="n">
        <x:v>17226</x:v>
      </x:c>
      <x:c r="D83" s="18" t="str">
        <x:v>boardings/day</x:v>
      </x:c>
      <x:c r="E83" s="19" t="str">
        <x:v>STATION_COMPLEX_PROXY</x:v>
      </x:c>
      <x:c r="F83" s="19"/>
      <x:c r="G83" s="18" t="str">
        <x:v>是</x:v>
      </x:c>
      <x:c r="H83" s="20" t="n">
        <x:v>5</x:v>
      </x:c>
      <x:c r="I83" s="18" t="str">
        <x:v>FY2024</x:v>
      </x:c>
      <x:c r="J83" s="19" t="str">
        <x:v>OFFICIAL_NUMERIC_MANUAL_METRIC_REVIEW</x:v>
      </x:c>
      <x:c r="K83" s="20"/>
      <x:c r="L83" s="19" t="str">
        <x:v>USAGE_DATA_UNAVAILABLE</x:v>
      </x:c>
      <x:c r="M83" s="19" t="str">
        <x:v>https://www.jrkyushu.co.jp/company/info/data/pdf/2024ekibetsu.pdf</x:v>
      </x:c>
      <x:c r="N83" s="19" t="str">
        <x:v>pages 1-2 / station total; page 4 footnote explicitly combines conventional + Shinkansen</x:v>
      </x:c>
      <x:c r="O83" s="19" t="str">
        <x:v>SAME_OPERATOR_CONVENTIONAL_PLUS_SHINKANSEN</x:v>
      </x:c>
      <x:c r="P83" s="19" t="str">
        <x:v>published integer</x:v>
      </x:c>
      <x:c r="Q83" s="18" t="str">
        <x:v>transport-node:03cdf592-8288-5aa7-a640-e89967a9c790</x:v>
      </x:c>
      <x:c r="R83" s="19" t="str">
        <x:v>Published boardings are not entries + exits; no doubling or automatic threshold conversion.</x:v>
      </x:c>
    </x:row>
    <x:row r="84" ht="28" customHeight="1">
      <x:c r="A84" s="18" t="str">
        <x:v>熊谷</x:v>
      </x:c>
      <x:c r="B84" s="18" t="str">
        <x:v>東日本旅客鉄道</x:v>
      </x:c>
      <x:c r="C84" s="20" t="n">
        <x:v>3666</x:v>
      </x:c>
      <x:c r="D84" s="18" t="str">
        <x:v>boardings/day</x:v>
      </x:c>
      <x:c r="E84" s="19" t="str">
        <x:v>DAILY_SHINKANSEN_BOARDINGS</x:v>
      </x:c>
      <x:c r="F84" s="19"/>
      <x:c r="G84" s="18" t="str">
        <x:v>是</x:v>
      </x:c>
      <x:c r="H84" s="20" t="n">
        <x:v>2</x:v>
      </x:c>
      <x:c r="I84" s="18" t="str">
        <x:v>FY2024</x:v>
      </x:c>
      <x:c r="J84" s="19" t="str">
        <x:v>OFFICIAL_NUMERIC_MANUAL_METRIC_REVIEW</x:v>
      </x:c>
      <x:c r="K84" s="20"/>
      <x:c r="L84" s="19" t="str">
        <x:v>USAGE_DATA_UNAVAILABLE</x:v>
      </x:c>
      <x:c r="M84" s="19" t="str">
        <x:v>https://www.jreast.co.jp/company/data/passenger/2024_shinkansen.html/</x:v>
      </x:c>
      <x:c r="N84" s="19" t="str">
        <x:v>Shinkansen station table / daily total; web retrieval 2026-09-30</x:v>
      </x:c>
      <x:c r="O84" s="19" t="str">
        <x:v>OPERATOR_SHINKANSEN_COMPONENT</x:v>
      </x:c>
      <x:c r="P84" s="19" t="str">
        <x:v>published integer</x:v>
      </x:c>
      <x:c r="Q84" s="18" t="str">
        <x:v>transport-node:ed6071b9-d978-5577-b05a-509b668916f0</x:v>
      </x:c>
      <x:c r="R84" s="19" t="str">
        <x:v>Published boardings are not entries + exits; no doubling or automatic threshold conversion.</x:v>
      </x:c>
    </x:row>
    <x:row r="85" ht="28" customHeight="1">
      <x:c r="A85" s="18" t="str">
        <x:v>熱海</x:v>
      </x:c>
      <x:c r="B85" s="18" t="str">
        <x:v>東海旅客鉄道</x:v>
      </x:c>
      <x:c r="C85" s="20" t="n">
        <x:v>10226</x:v>
      </x:c>
      <x:c r="D85" s="18" t="str">
        <x:v>persons/day</x:v>
      </x:c>
      <x:c r="E85" s="19" t="str">
        <x:v>DAILY_ENTRIES_EXITS</x:v>
      </x:c>
      <x:c r="F85" s="19" t="str">
        <x:v>T2</x:v>
      </x:c>
      <x:c r="G85" s="18" t="str">
        <x:v>否</x:v>
      </x:c>
      <x:c r="H85" s="20" t="n">
        <x:v>1</x:v>
      </x:c>
      <x:c r="I85" s="18" t="str">
        <x:v>FY2024</x:v>
      </x:c>
      <x:c r="J85" s="19" t="str">
        <x:v>S12_NUMERIC</x:v>
      </x:c>
      <x:c r="K85" s="20" t="n">
        <x:v>10226</x:v>
      </x:c>
      <x:c r="L85" s="19" t="str">
        <x:v>DAILY_ENTRIES_EXITS</x:v>
      </x:c>
      <x:c r="M85" s="19" t="str">
        <x:v>https://nlftp.mlit.go.jp/ksj/gml/datalist/KsjTmplt-S12-2024.html</x:v>
      </x:c>
      <x:c r="N85" s="19"/>
      <x:c r="O85" s="19"/>
      <x:c r="P85" s="19"/>
      <x:c r="Q85" s="18" t="str">
        <x:v>transport-node:a8d6b1d0-1306-5389-bcbe-bc23d834c791</x:v>
      </x:c>
      <x:c r="R85" s="19"/>
    </x:row>
    <x:row r="86" ht="28" customHeight="1">
      <x:c r="A86" s="18" t="str">
        <x:v>燕三条</x:v>
      </x:c>
      <x:c r="B86" s="18" t="str">
        <x:v>東日本旅客鉄道</x:v>
      </x:c>
      <x:c r="C86" s="20" t="n">
        <x:v>1787</x:v>
      </x:c>
      <x:c r="D86" s="18" t="str">
        <x:v>boardings/day</x:v>
      </x:c>
      <x:c r="E86" s="19" t="str">
        <x:v>DAILY_SHINKANSEN_BOARDINGS</x:v>
      </x:c>
      <x:c r="F86" s="19"/>
      <x:c r="G86" s="18" t="str">
        <x:v>是</x:v>
      </x:c>
      <x:c r="H86" s="20" t="n">
        <x:v>2</x:v>
      </x:c>
      <x:c r="I86" s="18" t="str">
        <x:v>FY2024</x:v>
      </x:c>
      <x:c r="J86" s="19" t="str">
        <x:v>OFFICIAL_NUMERIC_MANUAL_METRIC_REVIEW</x:v>
      </x:c>
      <x:c r="K86" s="20"/>
      <x:c r="L86" s="19" t="str">
        <x:v>USAGE_DATA_UNAVAILABLE</x:v>
      </x:c>
      <x:c r="M86" s="19" t="str">
        <x:v>https://www.jreast.co.jp/company/data/passenger/2024_shinkansen.html/</x:v>
      </x:c>
      <x:c r="N86" s="19" t="str">
        <x:v>Shinkansen station table / daily total; web retrieval 2026-09-30</x:v>
      </x:c>
      <x:c r="O86" s="19" t="str">
        <x:v>OPERATOR_SHINKANSEN_COMPONENT</x:v>
      </x:c>
      <x:c r="P86" s="19" t="str">
        <x:v>published integer</x:v>
      </x:c>
      <x:c r="Q86" s="18" t="str">
        <x:v>transport-node:e9ff6cdc-4f3f-5e28-8a27-477b1dd34fc7</x:v>
      </x:c>
      <x:c r="R86" s="19" t="str">
        <x:v>Published boardings are not entries + exits; no doubling or automatic threshold conversion.</x:v>
      </x:c>
    </x:row>
    <x:row r="87" ht="28" customHeight="1">
      <x:c r="A87" s="18" t="str">
        <x:v>白石蔵王</x:v>
      </x:c>
      <x:c r="B87" s="18" t="str">
        <x:v>東日本旅客鉄道</x:v>
      </x:c>
      <x:c r="C87" s="20" t="n">
        <x:v>1728</x:v>
      </x:c>
      <x:c r="D87" s="18" t="str">
        <x:v>persons/day</x:v>
      </x:c>
      <x:c r="E87" s="19" t="str">
        <x:v>DAILY_ENTRIES_EXITS</x:v>
      </x:c>
      <x:c r="F87" s="19" t="str">
        <x:v>T3</x:v>
      </x:c>
      <x:c r="G87" s="18" t="str">
        <x:v>否</x:v>
      </x:c>
      <x:c r="H87" s="20" t="n">
        <x:v>1</x:v>
      </x:c>
      <x:c r="I87" s="18" t="str">
        <x:v>FY2024</x:v>
      </x:c>
      <x:c r="J87" s="19" t="str">
        <x:v>S12_NUMERIC</x:v>
      </x:c>
      <x:c r="K87" s="20" t="n">
        <x:v>1728</x:v>
      </x:c>
      <x:c r="L87" s="19" t="str">
        <x:v>DAILY_ENTRIES_EXITS</x:v>
      </x:c>
      <x:c r="M87" s="19" t="str">
        <x:v>https://nlftp.mlit.go.jp/ksj/gml/datalist/KsjTmplt-S12-2024.html</x:v>
      </x:c>
      <x:c r="N87" s="19"/>
      <x:c r="O87" s="19"/>
      <x:c r="P87" s="19"/>
      <x:c r="Q87" s="18" t="str">
        <x:v>transport-node:ac036c4a-679b-50c7-9b36-53eed32aff4b</x:v>
      </x:c>
      <x:c r="R87" s="19"/>
    </x:row>
    <x:row r="88" ht="28" customHeight="1">
      <x:c r="A88" s="18" t="str">
        <x:v>盛岡</x:v>
      </x:c>
      <x:c r="B88" s="18" t="str">
        <x:v>東日本旅客鉄道</x:v>
      </x:c>
      <x:c r="C88" s="20" t="n">
        <x:v>7430</x:v>
      </x:c>
      <x:c r="D88" s="18" t="str">
        <x:v>boardings/day</x:v>
      </x:c>
      <x:c r="E88" s="19" t="str">
        <x:v>DAILY_SHINKANSEN_BOARDINGS</x:v>
      </x:c>
      <x:c r="F88" s="19"/>
      <x:c r="G88" s="18" t="str">
        <x:v>是</x:v>
      </x:c>
      <x:c r="H88" s="20" t="n">
        <x:v>2</x:v>
      </x:c>
      <x:c r="I88" s="18" t="str">
        <x:v>FY2024</x:v>
      </x:c>
      <x:c r="J88" s="19" t="str">
        <x:v>OFFICIAL_NUMERIC_MANUAL_METRIC_REVIEW</x:v>
      </x:c>
      <x:c r="K88" s="20"/>
      <x:c r="L88" s="19" t="str">
        <x:v>USAGE_DATA_UNAVAILABLE</x:v>
      </x:c>
      <x:c r="M88" s="19" t="str">
        <x:v>https://www.jreast.co.jp/company/data/passenger/2024_shinkansen.html/</x:v>
      </x:c>
      <x:c r="N88" s="19" t="str">
        <x:v>Shinkansen station table / daily total; web retrieval 2026-09-30</x:v>
      </x:c>
      <x:c r="O88" s="19" t="str">
        <x:v>OPERATOR_SHINKANSEN_COMPONENT</x:v>
      </x:c>
      <x:c r="P88" s="19" t="str">
        <x:v>published integer</x:v>
      </x:c>
      <x:c r="Q88" s="18" t="str">
        <x:v>transport-node:75fed979-471e-5411-88b1-af5f236d04b4</x:v>
      </x:c>
      <x:c r="R88" s="19" t="str">
        <x:v>Published boardings are not entries + exits; no doubling or automatic threshold conversion.</x:v>
      </x:c>
    </x:row>
    <x:row r="89" ht="28" customHeight="1">
      <x:c r="A89" s="18" t="str">
        <x:v>相生</x:v>
      </x:c>
      <x:c r="B89" s="18" t="str">
        <x:v>西日本旅客鉄道</x:v>
      </x:c>
      <x:c r="C89" s="20"/>
      <x:c r="D89" s="18"/>
      <x:c r="E89" s="19" t="str">
        <x:v>USAGE_DATA_UNAVAILABLE</x:v>
      </x:c>
      <x:c r="F89" s="19"/>
      <x:c r="G89" s="18" t="str">
        <x:v>是</x:v>
      </x:c>
      <x:c r="H89" s="20" t="n">
        <x:v>6</x:v>
      </x:c>
      <x:c r="I89" s="18" t="str">
        <x:v>FY2024</x:v>
      </x:c>
      <x:c r="J89" s="19" t="str">
        <x:v>ADDITIONAL_OFFICIAL_RESEARCH_REQUIRED</x:v>
      </x:c>
      <x:c r="K89" s="20"/>
      <x:c r="L89" s="19" t="str">
        <x:v>USAGE_DATA_UNAVAILABLE</x:v>
      </x:c>
      <x:c r="M89" s="19" t="str">
        <x:v>https://nlftp.mlit.go.jp/ksj/gml/datalist/KsjTmplt-S12-2024.html</x:v>
      </x:c>
      <x:c r="N89" s="19"/>
      <x:c r="O89" s="19"/>
      <x:c r="P89" s="19"/>
      <x:c r="Q89" s="18" t="str">
        <x:v>transport-node:aa90bd55-084b-5600-aefd-6ec791fd28e3</x:v>
      </x:c>
      <x:c r="R89" s="19"/>
    </x:row>
    <x:row r="90" ht="28" customHeight="1">
      <x:c r="A90" s="18" t="str">
        <x:v>福井</x:v>
      </x:c>
      <x:c r="B90" s="18" t="str">
        <x:v>西日本旅客鉄道</x:v>
      </x:c>
      <x:c r="C90" s="20" t="n">
        <x:v>8606</x:v>
      </x:c>
      <x:c r="D90" s="18" t="str">
        <x:v>persons/day</x:v>
      </x:c>
      <x:c r="E90" s="19" t="str">
        <x:v>DAILY_ENTRIES_EXITS</x:v>
      </x:c>
      <x:c r="F90" s="19" t="str">
        <x:v>T3</x:v>
      </x:c>
      <x:c r="G90" s="18" t="str">
        <x:v>否</x:v>
      </x:c>
      <x:c r="H90" s="20" t="n">
        <x:v>1</x:v>
      </x:c>
      <x:c r="I90" s="18" t="str">
        <x:v>FY2024</x:v>
      </x:c>
      <x:c r="J90" s="19" t="str">
        <x:v>S12_NUMERIC</x:v>
      </x:c>
      <x:c r="K90" s="20" t="n">
        <x:v>8606</x:v>
      </x:c>
      <x:c r="L90" s="19" t="str">
        <x:v>DAILY_ENTRIES_EXITS</x:v>
      </x:c>
      <x:c r="M90" s="19" t="str">
        <x:v>https://nlftp.mlit.go.jp/ksj/gml/datalist/KsjTmplt-S12-2024.html</x:v>
      </x:c>
      <x:c r="N90" s="19"/>
      <x:c r="O90" s="19"/>
      <x:c r="P90" s="19"/>
      <x:c r="Q90" s="18" t="str">
        <x:v>transport-node:4b6cd30e-9c15-5aa9-bae7-0f78d124e309</x:v>
      </x:c>
      <x:c r="R90" s="19"/>
    </x:row>
    <x:row r="91" ht="28" customHeight="1">
      <x:c r="A91" s="18" t="str">
        <x:v>福山</x:v>
      </x:c>
      <x:c r="B91" s="18" t="str">
        <x:v>西日本旅客鉄道</x:v>
      </x:c>
      <x:c r="C91" s="20" t="n">
        <x:v>20665</x:v>
      </x:c>
      <x:c r="D91" s="18" t="str">
        <x:v>boardings/day</x:v>
      </x:c>
      <x:c r="E91" s="19" t="str">
        <x:v>STATION_COMPLEX_PROXY</x:v>
      </x:c>
      <x:c r="F91" s="19"/>
      <x:c r="G91" s="18" t="str">
        <x:v>是</x:v>
      </x:c>
      <x:c r="H91" s="20" t="n">
        <x:v>5</x:v>
      </x:c>
      <x:c r="I91" s="18" t="str">
        <x:v>FY2025</x:v>
      </x:c>
      <x:c r="J91" s="19" t="str">
        <x:v>OFFICIAL_NUMERIC_MANUAL_METRIC_REVIEW</x:v>
      </x:c>
      <x:c r="K91" s="20"/>
      <x:c r="L91" s="19" t="str">
        <x:v>USAGE_DATA_UNAVAILABLE</x:v>
      </x:c>
      <x:c r="M91" s="19" t="str">
        <x:v>https://www.westjr.co.jp/company/info/issue/data/pdf/data2026_11.pdf</x:v>
      </x:c>
      <x:c r="N91" s="19" t="str">
        <x:v>PDF page 1 / printed page 88 / left passenger table, not right revenue table</x:v>
      </x:c>
      <x:c r="O91" s="19" t="str">
        <x:v>SAME_OPERATOR_STATION_TOTAL</x:v>
      </x:c>
      <x:c r="P91" s="19" t="str">
        <x:v>published integer</x:v>
      </x:c>
      <x:c r="Q91" s="18" t="str">
        <x:v>transport-node:9edc7eef-11ed-5c83-a4a5-3e0a7a3ca67e</x:v>
      </x:c>
      <x:c r="R91" s="19" t="str">
        <x:v>Published boardings are not entries + exits; no doubling or automatic threshold conversion.</x:v>
      </x:c>
    </x:row>
    <x:row r="92" ht="28" customHeight="1">
      <x:c r="A92" s="18" t="str">
        <x:v>福島</x:v>
      </x:c>
      <x:c r="B92" s="18" t="str">
        <x:v>東日本旅客鉄道</x:v>
      </x:c>
      <x:c r="C92" s="20" t="n">
        <x:v>7017</x:v>
      </x:c>
      <x:c r="D92" s="18" t="str">
        <x:v>boardings/day</x:v>
      </x:c>
      <x:c r="E92" s="19" t="str">
        <x:v>DAILY_SHINKANSEN_BOARDINGS</x:v>
      </x:c>
      <x:c r="F92" s="19"/>
      <x:c r="G92" s="18" t="str">
        <x:v>是</x:v>
      </x:c>
      <x:c r="H92" s="20" t="n">
        <x:v>2</x:v>
      </x:c>
      <x:c r="I92" s="18" t="str">
        <x:v>FY2024</x:v>
      </x:c>
      <x:c r="J92" s="19" t="str">
        <x:v>OFFICIAL_NUMERIC_MANUAL_METRIC_REVIEW</x:v>
      </x:c>
      <x:c r="K92" s="20"/>
      <x:c r="L92" s="19" t="str">
        <x:v>USAGE_DATA_UNAVAILABLE</x:v>
      </x:c>
      <x:c r="M92" s="19" t="str">
        <x:v>https://www.jreast.co.jp/company/data/passenger/2024_shinkansen.html/</x:v>
      </x:c>
      <x:c r="N92" s="19" t="str">
        <x:v>Shinkansen station table / daily total; web retrieval 2026-09-30</x:v>
      </x:c>
      <x:c r="O92" s="19" t="str">
        <x:v>OPERATOR_SHINKANSEN_COMPONENT</x:v>
      </x:c>
      <x:c r="P92" s="19" t="str">
        <x:v>published integer</x:v>
      </x:c>
      <x:c r="Q92" s="18" t="str">
        <x:v>transport-node:9b96d310-fea9-522b-afa5-0f1bf4be5178</x:v>
      </x:c>
      <x:c r="R92" s="19" t="str">
        <x:v>Published boardings are not entries + exits; no doubling or automatic threshold conversion.</x:v>
      </x:c>
    </x:row>
    <x:row r="93" ht="28" customHeight="1">
      <x:c r="A93" s="18" t="str">
        <x:v>筑後船小屋</x:v>
      </x:c>
      <x:c r="B93" s="18" t="str">
        <x:v>九州旅客鉄道</x:v>
      </x:c>
      <x:c r="C93" s="20" t="n">
        <x:v>1221</x:v>
      </x:c>
      <x:c r="D93" s="18" t="str">
        <x:v>boardings/day</x:v>
      </x:c>
      <x:c r="E93" s="19" t="str">
        <x:v>STATION_COMPLEX_PROXY</x:v>
      </x:c>
      <x:c r="F93" s="19"/>
      <x:c r="G93" s="18" t="str">
        <x:v>是</x:v>
      </x:c>
      <x:c r="H93" s="20" t="n">
        <x:v>5</x:v>
      </x:c>
      <x:c r="I93" s="18" t="str">
        <x:v>FY2024</x:v>
      </x:c>
      <x:c r="J93" s="19" t="str">
        <x:v>OFFICIAL_NUMERIC_MANUAL_METRIC_REVIEW</x:v>
      </x:c>
      <x:c r="K93" s="20"/>
      <x:c r="L93" s="19" t="str">
        <x:v>USAGE_DATA_UNAVAILABLE</x:v>
      </x:c>
      <x:c r="M93" s="19" t="str">
        <x:v>https://www.jrkyushu.co.jp/company/info/data/pdf/2024ekibetsu.pdf</x:v>
      </x:c>
      <x:c r="N93" s="19" t="str">
        <x:v>pages 1-2 / station total; page 4 footnote explicitly combines conventional + Shinkansen</x:v>
      </x:c>
      <x:c r="O93" s="19" t="str">
        <x:v>SAME_OPERATOR_CONVENTIONAL_PLUS_SHINKANSEN</x:v>
      </x:c>
      <x:c r="P93" s="19" t="str">
        <x:v>published integer</x:v>
      </x:c>
      <x:c r="Q93" s="18" t="str">
        <x:v>transport-node:f0687bf3-e339-548f-93ad-4081f149aab5</x:v>
      </x:c>
      <x:c r="R93" s="19" t="str">
        <x:v>Published boardings are not entries + exits; no doubling or automatic threshold conversion.</x:v>
      </x:c>
    </x:row>
    <x:row r="94" ht="28" customHeight="1">
      <x:c r="A94" s="18" t="str">
        <x:v>米原</x:v>
      </x:c>
      <x:c r="B94" s="18" t="str">
        <x:v>東海旅客鉄道</x:v>
      </x:c>
      <x:c r="C94" s="20" t="n">
        <x:v>10805</x:v>
      </x:c>
      <x:c r="D94" s="18" t="str">
        <x:v>persons/day</x:v>
      </x:c>
      <x:c r="E94" s="19" t="str">
        <x:v>DAILY_ENTRIES_EXITS</x:v>
      </x:c>
      <x:c r="F94" s="19" t="str">
        <x:v>T2</x:v>
      </x:c>
      <x:c r="G94" s="18" t="str">
        <x:v>否</x:v>
      </x:c>
      <x:c r="H94" s="20" t="n">
        <x:v>1</x:v>
      </x:c>
      <x:c r="I94" s="18" t="str">
        <x:v>FY2024</x:v>
      </x:c>
      <x:c r="J94" s="19" t="str">
        <x:v>S12_NUMERIC</x:v>
      </x:c>
      <x:c r="K94" s="20" t="n">
        <x:v>10805</x:v>
      </x:c>
      <x:c r="L94" s="19" t="str">
        <x:v>DAILY_ENTRIES_EXITS</x:v>
      </x:c>
      <x:c r="M94" s="19" t="str">
        <x:v>https://nlftp.mlit.go.jp/ksj/gml/datalist/KsjTmplt-S12-2024.html</x:v>
      </x:c>
      <x:c r="N94" s="19"/>
      <x:c r="O94" s="19"/>
      <x:c r="P94" s="19"/>
      <x:c r="Q94" s="18" t="str">
        <x:v>transport-node:1ed880c9-4c9b-5ba4-b8ea-d65527c64857</x:v>
      </x:c>
      <x:c r="R94" s="19"/>
    </x:row>
    <x:row r="95" ht="28" customHeight="1">
      <x:c r="A95" s="18" t="str">
        <x:v>糸魚川</x:v>
      </x:c>
      <x:c r="B95" s="18" t="str">
        <x:v>西日本旅客鉄道</x:v>
      </x:c>
      <x:c r="C95" s="20" t="n">
        <x:v>1160</x:v>
      </x:c>
      <x:c r="D95" s="18" t="str">
        <x:v>persons/day</x:v>
      </x:c>
      <x:c r="E95" s="19" t="str">
        <x:v>DAILY_ENTRIES_EXITS</x:v>
      </x:c>
      <x:c r="F95" s="19" t="str">
        <x:v>T3</x:v>
      </x:c>
      <x:c r="G95" s="18" t="str">
        <x:v>否</x:v>
      </x:c>
      <x:c r="H95" s="20" t="n">
        <x:v>1</x:v>
      </x:c>
      <x:c r="I95" s="18" t="str">
        <x:v>FY2024</x:v>
      </x:c>
      <x:c r="J95" s="19" t="str">
        <x:v>S12_NUMERIC</x:v>
      </x:c>
      <x:c r="K95" s="20" t="n">
        <x:v>1160</x:v>
      </x:c>
      <x:c r="L95" s="19" t="str">
        <x:v>DAILY_ENTRIES_EXITS</x:v>
      </x:c>
      <x:c r="M95" s="19" t="str">
        <x:v>https://nlftp.mlit.go.jp/ksj/gml/datalist/KsjTmplt-S12-2024.html</x:v>
      </x:c>
      <x:c r="N95" s="19"/>
      <x:c r="O95" s="19"/>
      <x:c r="P95" s="19"/>
      <x:c r="Q95" s="18" t="str">
        <x:v>transport-node:8a3ec0cc-c1a5-5124-a48e-edd44a33549a</x:v>
      </x:c>
      <x:c r="R95" s="19"/>
    </x:row>
    <x:row r="96" ht="28" customHeight="1">
      <x:c r="A96" s="18" t="str">
        <x:v>芦原温泉</x:v>
      </x:c>
      <x:c r="B96" s="18" t="str">
        <x:v>西日本旅客鉄道</x:v>
      </x:c>
      <x:c r="C96" s="20" t="n">
        <x:v>1162</x:v>
      </x:c>
      <x:c r="D96" s="18" t="str">
        <x:v>persons/day</x:v>
      </x:c>
      <x:c r="E96" s="19" t="str">
        <x:v>DAILY_ENTRIES_EXITS</x:v>
      </x:c>
      <x:c r="F96" s="19" t="str">
        <x:v>T3</x:v>
      </x:c>
      <x:c r="G96" s="18" t="str">
        <x:v>否</x:v>
      </x:c>
      <x:c r="H96" s="20" t="n">
        <x:v>1</x:v>
      </x:c>
      <x:c r="I96" s="18" t="str">
        <x:v>FY2024</x:v>
      </x:c>
      <x:c r="J96" s="19" t="str">
        <x:v>S12_NUMERIC</x:v>
      </x:c>
      <x:c r="K96" s="20" t="n">
        <x:v>1162</x:v>
      </x:c>
      <x:c r="L96" s="19" t="str">
        <x:v>DAILY_ENTRIES_EXITS</x:v>
      </x:c>
      <x:c r="M96" s="19" t="str">
        <x:v>https://nlftp.mlit.go.jp/ksj/gml/datalist/KsjTmplt-S12-2024.html</x:v>
      </x:c>
      <x:c r="N96" s="19"/>
      <x:c r="O96" s="19"/>
      <x:c r="P96" s="19"/>
      <x:c r="Q96" s="18" t="str">
        <x:v>transport-node:e4e7d1c0-c728-53d9-973d-bf0f61a72fe2</x:v>
      </x:c>
      <x:c r="R96" s="19"/>
    </x:row>
    <x:row r="97" ht="28" customHeight="1">
      <x:c r="A97" s="18" t="str">
        <x:v>西明石</x:v>
      </x:c>
      <x:c r="B97" s="18" t="str">
        <x:v>西日本旅客鉄道</x:v>
      </x:c>
      <x:c r="C97" s="20" t="n">
        <x:v>34740</x:v>
      </x:c>
      <x:c r="D97" s="18" t="str">
        <x:v>boardings/day</x:v>
      </x:c>
      <x:c r="E97" s="19" t="str">
        <x:v>STATION_COMPLEX_PROXY</x:v>
      </x:c>
      <x:c r="F97" s="19"/>
      <x:c r="G97" s="18" t="str">
        <x:v>是</x:v>
      </x:c>
      <x:c r="H97" s="20" t="n">
        <x:v>5</x:v>
      </x:c>
      <x:c r="I97" s="18" t="str">
        <x:v>FY2025</x:v>
      </x:c>
      <x:c r="J97" s="19" t="str">
        <x:v>OFFICIAL_NUMERIC_MANUAL_METRIC_REVIEW</x:v>
      </x:c>
      <x:c r="K97" s="20"/>
      <x:c r="L97" s="19" t="str">
        <x:v>USAGE_DATA_UNAVAILABLE</x:v>
      </x:c>
      <x:c r="M97" s="19" t="str">
        <x:v>https://www.westjr.co.jp/company/info/issue/data/pdf/data2026_11.pdf</x:v>
      </x:c>
      <x:c r="N97" s="19" t="str">
        <x:v>PDF page 1 / printed page 88 / left passenger table, not right revenue table</x:v>
      </x:c>
      <x:c r="O97" s="19" t="str">
        <x:v>SAME_OPERATOR_STATION_TOTAL</x:v>
      </x:c>
      <x:c r="P97" s="19" t="str">
        <x:v>published integer</x:v>
      </x:c>
      <x:c r="Q97" s="18" t="str">
        <x:v>transport-node:d85e1430-bb41-58ff-a06a-cbadc413364d</x:v>
      </x:c>
      <x:c r="R97" s="19" t="str">
        <x:v>Published boardings are not entries + exits; no doubling or automatic threshold conversion.</x:v>
      </x:c>
    </x:row>
    <x:row r="98" ht="28" customHeight="1">
      <x:c r="A98" s="18" t="str">
        <x:v>諫早</x:v>
      </x:c>
      <x:c r="B98" s="18" t="str">
        <x:v>九州旅客鉄道</x:v>
      </x:c>
      <x:c r="C98" s="20" t="n">
        <x:v>5127</x:v>
      </x:c>
      <x:c r="D98" s="18" t="str">
        <x:v>boardings/day</x:v>
      </x:c>
      <x:c r="E98" s="19" t="str">
        <x:v>STATION_COMPLEX_PROXY</x:v>
      </x:c>
      <x:c r="F98" s="19"/>
      <x:c r="G98" s="18" t="str">
        <x:v>是</x:v>
      </x:c>
      <x:c r="H98" s="20" t="n">
        <x:v>5</x:v>
      </x:c>
      <x:c r="I98" s="18" t="str">
        <x:v>FY2024</x:v>
      </x:c>
      <x:c r="J98" s="19" t="str">
        <x:v>OFFICIAL_NUMERIC_MANUAL_METRIC_REVIEW</x:v>
      </x:c>
      <x:c r="K98" s="20"/>
      <x:c r="L98" s="19" t="str">
        <x:v>USAGE_DATA_UNAVAILABLE</x:v>
      </x:c>
      <x:c r="M98" s="19" t="str">
        <x:v>https://www.jrkyushu.co.jp/company/info/data/pdf/2024ekibetsu.pdf</x:v>
      </x:c>
      <x:c r="N98" s="19" t="str">
        <x:v>pages 1-2 / station total; page 4 footnote explicitly combines conventional + Shinkansen</x:v>
      </x:c>
      <x:c r="O98" s="19" t="str">
        <x:v>SAME_OPERATOR_CONVENTIONAL_PLUS_SHINKANSEN</x:v>
      </x:c>
      <x:c r="P98" s="19" t="str">
        <x:v>published integer</x:v>
      </x:c>
      <x:c r="Q98" s="18" t="str">
        <x:v>transport-node:ca31fbf7-3c8e-5caf-9842-5633173b9023</x:v>
      </x:c>
      <x:c r="R98" s="19" t="str">
        <x:v>Published boardings are not entries + exits; no doubling or automatic threshold conversion.</x:v>
      </x:c>
    </x:row>
    <x:row r="99" ht="28" customHeight="1">
      <x:c r="A99" s="18" t="str">
        <x:v>豊橋</x:v>
      </x:c>
      <x:c r="B99" s="18" t="str">
        <x:v>東海旅客鉄道</x:v>
      </x:c>
      <x:c r="C99" s="20"/>
      <x:c r="D99" s="18"/>
      <x:c r="E99" s="19" t="str">
        <x:v>USAGE_DATA_UNAVAILABLE</x:v>
      </x:c>
      <x:c r="F99" s="19"/>
      <x:c r="G99" s="18" t="str">
        <x:v>是</x:v>
      </x:c>
      <x:c r="H99" s="20" t="n">
        <x:v>6</x:v>
      </x:c>
      <x:c r="I99" s="18" t="str">
        <x:v>FY2024</x:v>
      </x:c>
      <x:c r="J99" s="19" t="str">
        <x:v>ADDITIONAL_OFFICIAL_RESEARCH_REQUIRED</x:v>
      </x:c>
      <x:c r="K99" s="20"/>
      <x:c r="L99" s="19" t="str">
        <x:v>USAGE_DATA_UNAVAILABLE</x:v>
      </x:c>
      <x:c r="M99" s="19" t="str">
        <x:v>https://nlftp.mlit.go.jp/ksj/gml/datalist/KsjTmplt-S12-2024.html</x:v>
      </x:c>
      <x:c r="N99" s="19"/>
      <x:c r="O99" s="19"/>
      <x:c r="P99" s="19"/>
      <x:c r="Q99" s="18" t="str">
        <x:v>transport-node:45115069-12bd-57e8-ab69-a13b7fcdf75d</x:v>
      </x:c>
      <x:c r="R99" s="19"/>
    </x:row>
    <x:row r="100" ht="28" customHeight="1">
      <x:c r="A100" s="18" t="str">
        <x:v>越前たけふ</x:v>
      </x:c>
      <x:c r="B100" s="18" t="str">
        <x:v>西日本旅客鉄道</x:v>
      </x:c>
      <x:c r="C100" s="20" t="n">
        <x:v>1126</x:v>
      </x:c>
      <x:c r="D100" s="18" t="str">
        <x:v>persons/day</x:v>
      </x:c>
      <x:c r="E100" s="19" t="str">
        <x:v>DAILY_ENTRIES_EXITS</x:v>
      </x:c>
      <x:c r="F100" s="19" t="str">
        <x:v>T3</x:v>
      </x:c>
      <x:c r="G100" s="18" t="str">
        <x:v>否</x:v>
      </x:c>
      <x:c r="H100" s="20" t="n">
        <x:v>1</x:v>
      </x:c>
      <x:c r="I100" s="18" t="str">
        <x:v>FY2024</x:v>
      </x:c>
      <x:c r="J100" s="19" t="str">
        <x:v>S12_NUMERIC</x:v>
      </x:c>
      <x:c r="K100" s="20" t="n">
        <x:v>1126</x:v>
      </x:c>
      <x:c r="L100" s="19" t="str">
        <x:v>DAILY_ENTRIES_EXITS</x:v>
      </x:c>
      <x:c r="M100" s="19" t="str">
        <x:v>https://nlftp.mlit.go.jp/ksj/gml/datalist/KsjTmplt-S12-2024.html</x:v>
      </x:c>
      <x:c r="N100" s="19"/>
      <x:c r="O100" s="19"/>
      <x:c r="P100" s="19"/>
      <x:c r="Q100" s="18" t="str">
        <x:v>transport-node:5ce38d83-4bc2-5a09-91f1-293a742c9cba</x:v>
      </x:c>
      <x:c r="R100" s="19"/>
    </x:row>
    <x:row r="101" ht="28" customHeight="1">
      <x:c r="A101" s="18" t="str">
        <x:v>越後湯沢</x:v>
      </x:c>
      <x:c r="B101" s="18" t="str">
        <x:v>東日本旅客鉄道</x:v>
      </x:c>
      <x:c r="C101" s="20" t="n">
        <x:v>3550</x:v>
      </x:c>
      <x:c r="D101" s="18" t="str">
        <x:v>boardings/day</x:v>
      </x:c>
      <x:c r="E101" s="19" t="str">
        <x:v>DAILY_SHINKANSEN_BOARDINGS</x:v>
      </x:c>
      <x:c r="F101" s="19"/>
      <x:c r="G101" s="18" t="str">
        <x:v>是</x:v>
      </x:c>
      <x:c r="H101" s="20" t="n">
        <x:v>2</x:v>
      </x:c>
      <x:c r="I101" s="18" t="str">
        <x:v>FY2024</x:v>
      </x:c>
      <x:c r="J101" s="19" t="str">
        <x:v>OFFICIAL_NUMERIC_MANUAL_METRIC_REVIEW</x:v>
      </x:c>
      <x:c r="K101" s="20"/>
      <x:c r="L101" s="19" t="str">
        <x:v>USAGE_DATA_UNAVAILABLE</x:v>
      </x:c>
      <x:c r="M101" s="19" t="str">
        <x:v>https://www.jreast.co.jp/company/data/passenger/2024_shinkansen.html/</x:v>
      </x:c>
      <x:c r="N101" s="19" t="str">
        <x:v>Shinkansen station table / daily total; web retrieval 2026-09-30</x:v>
      </x:c>
      <x:c r="O101" s="19" t="str">
        <x:v>OPERATOR_SHINKANSEN_COMPONENT</x:v>
      </x:c>
      <x:c r="P101" s="19" t="str">
        <x:v>published integer</x:v>
      </x:c>
      <x:c r="Q101" s="18" t="str">
        <x:v>transport-node:44d61002-d01b-50ca-ae6d-be3602e1d260</x:v>
      </x:c>
      <x:c r="R101" s="19" t="str">
        <x:v>Published boardings are not entries + exits; no doubling or automatic threshold conversion.</x:v>
      </x:c>
    </x:row>
    <x:row r="102" ht="28" customHeight="1">
      <x:c r="A102" s="18" t="str">
        <x:v>軽井沢</x:v>
      </x:c>
      <x:c r="B102" s="18" t="str">
        <x:v>東日本旅客鉄道</x:v>
      </x:c>
      <x:c r="C102" s="20" t="n">
        <x:v>9382</x:v>
      </x:c>
      <x:c r="D102" s="18" t="str">
        <x:v>persons/day</x:v>
      </x:c>
      <x:c r="E102" s="19" t="str">
        <x:v>DAILY_ENTRIES_EXITS</x:v>
      </x:c>
      <x:c r="F102" s="19" t="str">
        <x:v>T3</x:v>
      </x:c>
      <x:c r="G102" s="18" t="str">
        <x:v>否</x:v>
      </x:c>
      <x:c r="H102" s="20" t="n">
        <x:v>1</x:v>
      </x:c>
      <x:c r="I102" s="18" t="str">
        <x:v>FY2024</x:v>
      </x:c>
      <x:c r="J102" s="19" t="str">
        <x:v>S12_NUMERIC</x:v>
      </x:c>
      <x:c r="K102" s="20" t="n">
        <x:v>9382</x:v>
      </x:c>
      <x:c r="L102" s="19" t="str">
        <x:v>DAILY_ENTRIES_EXITS</x:v>
      </x:c>
      <x:c r="M102" s="19" t="str">
        <x:v>https://nlftp.mlit.go.jp/ksj/gml/datalist/KsjTmplt-S12-2024.html</x:v>
      </x:c>
      <x:c r="N102" s="19"/>
      <x:c r="O102" s="19"/>
      <x:c r="P102" s="19"/>
      <x:c r="Q102" s="18" t="str">
        <x:v>transport-node:666b7bf6-a74f-5aa2-930d-dd2f80672f5a</x:v>
      </x:c>
      <x:c r="R102" s="19"/>
    </x:row>
    <x:row r="103" ht="28" customHeight="1">
      <x:c r="A103" s="18" t="str">
        <x:v>那須塩原</x:v>
      </x:c>
      <x:c r="B103" s="18" t="str">
        <x:v>東日本旅客鉄道</x:v>
      </x:c>
      <x:c r="C103" s="20" t="n">
        <x:v>3288</x:v>
      </x:c>
      <x:c r="D103" s="18" t="str">
        <x:v>boardings/day</x:v>
      </x:c>
      <x:c r="E103" s="19" t="str">
        <x:v>DAILY_SHINKANSEN_BOARDINGS</x:v>
      </x:c>
      <x:c r="F103" s="19"/>
      <x:c r="G103" s="18" t="str">
        <x:v>是</x:v>
      </x:c>
      <x:c r="H103" s="20" t="n">
        <x:v>2</x:v>
      </x:c>
      <x:c r="I103" s="18" t="str">
        <x:v>FY2024</x:v>
      </x:c>
      <x:c r="J103" s="19" t="str">
        <x:v>OFFICIAL_NUMERIC_MANUAL_METRIC_REVIEW</x:v>
      </x:c>
      <x:c r="K103" s="20"/>
      <x:c r="L103" s="19" t="str">
        <x:v>USAGE_DATA_UNAVAILABLE</x:v>
      </x:c>
      <x:c r="M103" s="19" t="str">
        <x:v>https://www.jreast.co.jp/company/data/passenger/2024_shinkansen.html/</x:v>
      </x:c>
      <x:c r="N103" s="19" t="str">
        <x:v>Shinkansen station table / daily total; web retrieval 2026-09-30</x:v>
      </x:c>
      <x:c r="O103" s="19" t="str">
        <x:v>OPERATOR_SHINKANSEN_COMPONENT</x:v>
      </x:c>
      <x:c r="P103" s="19" t="str">
        <x:v>published integer</x:v>
      </x:c>
      <x:c r="Q103" s="18" t="str">
        <x:v>transport-node:f4a4ddec-ad46-59f9-8f8a-32eeee314ab6</x:v>
      </x:c>
      <x:c r="R103" s="19" t="str">
        <x:v>Published boardings are not entries + exits; no doubling or automatic threshold conversion.</x:v>
      </x:c>
    </x:row>
    <x:row r="104" ht="28" customHeight="1">
      <x:c r="A104" s="18" t="str">
        <x:v>郡山</x:v>
      </x:c>
      <x:c r="B104" s="18" t="str">
        <x:v>東日本旅客鉄道</x:v>
      </x:c>
      <x:c r="C104" s="20" t="n">
        <x:v>8484</x:v>
      </x:c>
      <x:c r="D104" s="18" t="str">
        <x:v>boardings/day</x:v>
      </x:c>
      <x:c r="E104" s="19" t="str">
        <x:v>DAILY_SHINKANSEN_BOARDINGS</x:v>
      </x:c>
      <x:c r="F104" s="19"/>
      <x:c r="G104" s="18" t="str">
        <x:v>是</x:v>
      </x:c>
      <x:c r="H104" s="20" t="n">
        <x:v>2</x:v>
      </x:c>
      <x:c r="I104" s="18" t="str">
        <x:v>FY2024</x:v>
      </x:c>
      <x:c r="J104" s="19" t="str">
        <x:v>OFFICIAL_NUMERIC_MANUAL_METRIC_REVIEW</x:v>
      </x:c>
      <x:c r="K104" s="20"/>
      <x:c r="L104" s="19" t="str">
        <x:v>USAGE_DATA_UNAVAILABLE</x:v>
      </x:c>
      <x:c r="M104" s="19" t="str">
        <x:v>https://www.jreast.co.jp/company/data/passenger/2024_shinkansen.html/</x:v>
      </x:c>
      <x:c r="N104" s="19" t="str">
        <x:v>Shinkansen station table / daily total; web retrieval 2026-09-30</x:v>
      </x:c>
      <x:c r="O104" s="19" t="str">
        <x:v>OPERATOR_SHINKANSEN_COMPONENT</x:v>
      </x:c>
      <x:c r="P104" s="19" t="str">
        <x:v>published integer</x:v>
      </x:c>
      <x:c r="Q104" s="18" t="str">
        <x:v>transport-node:1df81fee-0f06-5f2a-a13d-08401ff22848</x:v>
      </x:c>
      <x:c r="R104" s="19" t="str">
        <x:v>Published boardings are not entries + exits; no doubling or automatic threshold conversion.</x:v>
      </x:c>
    </x:row>
    <x:row r="105" ht="28" customHeight="1">
      <x:c r="A105" s="18" t="str">
        <x:v>金沢</x:v>
      </x:c>
      <x:c r="B105" s="18" t="str">
        <x:v>西日本旅客鉄道</x:v>
      </x:c>
      <x:c r="C105" s="20" t="n">
        <x:v>24612</x:v>
      </x:c>
      <x:c r="D105" s="18" t="str">
        <x:v>persons/day</x:v>
      </x:c>
      <x:c r="E105" s="19" t="str">
        <x:v>DAILY_ENTRIES_EXITS</x:v>
      </x:c>
      <x:c r="F105" s="19" t="str">
        <x:v>T2</x:v>
      </x:c>
      <x:c r="G105" s="18" t="str">
        <x:v>否</x:v>
      </x:c>
      <x:c r="H105" s="20" t="n">
        <x:v>1</x:v>
      </x:c>
      <x:c r="I105" s="18" t="str">
        <x:v>FY2024</x:v>
      </x:c>
      <x:c r="J105" s="19" t="str">
        <x:v>S12_NUMERIC</x:v>
      </x:c>
      <x:c r="K105" s="20" t="n">
        <x:v>24612</x:v>
      </x:c>
      <x:c r="L105" s="19" t="str">
        <x:v>DAILY_ENTRIES_EXITS</x:v>
      </x:c>
      <x:c r="M105" s="19" t="str">
        <x:v>https://nlftp.mlit.go.jp/ksj/gml/datalist/KsjTmplt-S12-2024.html</x:v>
      </x:c>
      <x:c r="N105" s="19"/>
      <x:c r="O105" s="19"/>
      <x:c r="P105" s="19"/>
      <x:c r="Q105" s="18" t="str">
        <x:v>transport-node:01451e17-3669-5274-bfd1-f4052ab1f16e</x:v>
      </x:c>
      <x:c r="R105" s="19"/>
    </x:row>
    <x:row r="106" ht="28" customHeight="1">
      <x:c r="A106" s="18" t="str">
        <x:v>長岡</x:v>
      </x:c>
      <x:c r="B106" s="18" t="str">
        <x:v>東日本旅客鉄道</x:v>
      </x:c>
      <x:c r="C106" s="20" t="n">
        <x:v>4449</x:v>
      </x:c>
      <x:c r="D106" s="18" t="str">
        <x:v>boardings/day</x:v>
      </x:c>
      <x:c r="E106" s="19" t="str">
        <x:v>DAILY_SHINKANSEN_BOARDINGS</x:v>
      </x:c>
      <x:c r="F106" s="19"/>
      <x:c r="G106" s="18" t="str">
        <x:v>是</x:v>
      </x:c>
      <x:c r="H106" s="20" t="n">
        <x:v>2</x:v>
      </x:c>
      <x:c r="I106" s="18" t="str">
        <x:v>FY2024</x:v>
      </x:c>
      <x:c r="J106" s="19" t="str">
        <x:v>OFFICIAL_NUMERIC_MANUAL_METRIC_REVIEW</x:v>
      </x:c>
      <x:c r="K106" s="20"/>
      <x:c r="L106" s="19" t="str">
        <x:v>USAGE_DATA_UNAVAILABLE</x:v>
      </x:c>
      <x:c r="M106" s="19" t="str">
        <x:v>https://www.jreast.co.jp/company/data/passenger/2024_shinkansen.html/</x:v>
      </x:c>
      <x:c r="N106" s="19" t="str">
        <x:v>Shinkansen station table / daily total; web retrieval 2026-09-30</x:v>
      </x:c>
      <x:c r="O106" s="19" t="str">
        <x:v>OPERATOR_SHINKANSEN_COMPONENT</x:v>
      </x:c>
      <x:c r="P106" s="19" t="str">
        <x:v>published integer</x:v>
      </x:c>
      <x:c r="Q106" s="18" t="str">
        <x:v>transport-node:21e66efb-b260-5c9d-b83e-5d1704e5657f</x:v>
      </x:c>
      <x:c r="R106" s="19" t="str">
        <x:v>Published boardings are not entries + exits; no doubling or automatic threshold conversion.</x:v>
      </x:c>
    </x:row>
    <x:row r="107" ht="28" customHeight="1">
      <x:c r="A107" s="18" t="str">
        <x:v>長崎</x:v>
      </x:c>
      <x:c r="B107" s="18" t="str">
        <x:v>九州旅客鉄道</x:v>
      </x:c>
      <x:c r="C107" s="20" t="n">
        <x:v>9492</x:v>
      </x:c>
      <x:c r="D107" s="18" t="str">
        <x:v>boardings/day</x:v>
      </x:c>
      <x:c r="E107" s="19" t="str">
        <x:v>STATION_COMPLEX_PROXY</x:v>
      </x:c>
      <x:c r="F107" s="19"/>
      <x:c r="G107" s="18" t="str">
        <x:v>是</x:v>
      </x:c>
      <x:c r="H107" s="20" t="n">
        <x:v>5</x:v>
      </x:c>
      <x:c r="I107" s="18" t="str">
        <x:v>FY2024</x:v>
      </x:c>
      <x:c r="J107" s="19" t="str">
        <x:v>OFFICIAL_NUMERIC_MANUAL_METRIC_REVIEW</x:v>
      </x:c>
      <x:c r="K107" s="20"/>
      <x:c r="L107" s="19" t="str">
        <x:v>USAGE_DATA_UNAVAILABLE</x:v>
      </x:c>
      <x:c r="M107" s="19" t="str">
        <x:v>https://www.jrkyushu.co.jp/company/info/data/pdf/2024ekibetsu.pdf</x:v>
      </x:c>
      <x:c r="N107" s="19" t="str">
        <x:v>pages 1-2 / station total; page 4 footnote explicitly combines conventional + Shinkansen</x:v>
      </x:c>
      <x:c r="O107" s="19" t="str">
        <x:v>SAME_OPERATOR_CONVENTIONAL_PLUS_SHINKANSEN</x:v>
      </x:c>
      <x:c r="P107" s="19" t="str">
        <x:v>published integer</x:v>
      </x:c>
      <x:c r="Q107" s="18" t="str">
        <x:v>transport-node:54598e55-3218-5d17-beb1-39a23a391d91</x:v>
      </x:c>
      <x:c r="R107" s="19" t="str">
        <x:v>Published boardings are not entries + exits; no doubling or automatic threshold conversion.</x:v>
      </x:c>
    </x:row>
    <x:row r="108" ht="28" customHeight="1">
      <x:c r="A108" s="18" t="str">
        <x:v>長野</x:v>
      </x:c>
      <x:c r="B108" s="18" t="str">
        <x:v>東日本旅客鉄道</x:v>
      </x:c>
      <x:c r="C108" s="20" t="n">
        <x:v>8428</x:v>
      </x:c>
      <x:c r="D108" s="18" t="str">
        <x:v>boardings/day</x:v>
      </x:c>
      <x:c r="E108" s="19" t="str">
        <x:v>DAILY_SHINKANSEN_BOARDINGS</x:v>
      </x:c>
      <x:c r="F108" s="19"/>
      <x:c r="G108" s="18" t="str">
        <x:v>是</x:v>
      </x:c>
      <x:c r="H108" s="20" t="n">
        <x:v>2</x:v>
      </x:c>
      <x:c r="I108" s="18" t="str">
        <x:v>FY2024</x:v>
      </x:c>
      <x:c r="J108" s="19" t="str">
        <x:v>OFFICIAL_NUMERIC_MANUAL_METRIC_REVIEW</x:v>
      </x:c>
      <x:c r="K108" s="20"/>
      <x:c r="L108" s="19" t="str">
        <x:v>USAGE_DATA_UNAVAILABLE</x:v>
      </x:c>
      <x:c r="M108" s="19" t="str">
        <x:v>https://www.jreast.co.jp/company/data/passenger/2024_shinkansen.html/</x:v>
      </x:c>
      <x:c r="N108" s="19" t="str">
        <x:v>Shinkansen station table / daily total; web retrieval 2026-09-30</x:v>
      </x:c>
      <x:c r="O108" s="19" t="str">
        <x:v>OPERATOR_SHINKANSEN_COMPONENT</x:v>
      </x:c>
      <x:c r="P108" s="19" t="str">
        <x:v>published integer</x:v>
      </x:c>
      <x:c r="Q108" s="18" t="str">
        <x:v>transport-node:fd60ec97-3798-5ef8-b125-2937fe666e73</x:v>
      </x:c>
      <x:c r="R108" s="19" t="str">
        <x:v>Published boardings are not entries + exits; no doubling or automatic threshold conversion.</x:v>
      </x:c>
    </x:row>
    <x:row r="109" ht="33" customHeight="1">
      <x:c r="A109" s="18" t="str">
        <x:v>静岡</x:v>
      </x:c>
      <x:c r="B109" s="18" t="str">
        <x:v>東海旅客鉄道</x:v>
      </x:c>
      <x:c r="C109" s="20" t="n">
        <x:v>21000</x:v>
      </x:c>
      <x:c r="D109" s="18" t="str">
        <x:v>boardings/day</x:v>
      </x:c>
      <x:c r="E109" s="19" t="str">
        <x:v>DAILY_SHINKANSEN_BOARDINGS</x:v>
      </x:c>
      <x:c r="F109" s="19"/>
      <x:c r="G109" s="18" t="str">
        <x:v>是</x:v>
      </x:c>
      <x:c r="H109" s="20" t="n">
        <x:v>2</x:v>
      </x:c>
      <x:c r="I109" s="18" t="str">
        <x:v>FY2025</x:v>
      </x:c>
      <x:c r="J109" s="19" t="str">
        <x:v>OFFICIAL_NUMERIC_MANUAL_METRIC_REVIEW</x:v>
      </x:c>
      <x:c r="K109" s="20"/>
      <x:c r="L109" s="19" t="str">
        <x:v>USAGE_DATA_UNAVAILABLE</x:v>
      </x:c>
      <x:c r="M109" s="19" t="str">
        <x:v>https://company.jr-central.co.jp/ir/factsheets/_pdf/factsheets2026-02-03.pdf</x:v>
      </x:c>
      <x:c r="N109" s="19" t="str">
        <x:v>page 1 / FY2025 / parenthesized Shinkansen-only values</x:v>
      </x:c>
      <x:c r="O109" s="19" t="str">
        <x:v>OPERATOR_SHINKANSEN_COMPONENT</x:v>
      </x:c>
      <x:c r="P109" s="19" t="str">
        <x:v>rounded thousands, multiplied by 1000 for unit conversion only</x:v>
      </x:c>
      <x:c r="Q109" s="18" t="str">
        <x:v>transport-node:b88f02e4-7d1d-5bcf-a3c3-22c92b807027</x:v>
      </x:c>
      <x:c r="R109" s="19" t="str">
        <x:v>Published boardings are not entries + exits; no doubling or automatic threshold conversion.</x:v>
      </x:c>
    </x:row>
    <x:row r="110" ht="28" customHeight="1">
      <x:c r="A110" s="18" t="str">
        <x:v>飯山</x:v>
      </x:c>
      <x:c r="B110" s="18" t="str">
        <x:v>東日本旅客鉄道</x:v>
      </x:c>
      <x:c r="C110" s="20" t="n">
        <x:v>713</x:v>
      </x:c>
      <x:c r="D110" s="18" t="str">
        <x:v>boardings/day</x:v>
      </x:c>
      <x:c r="E110" s="19" t="str">
        <x:v>DAILY_SHINKANSEN_BOARDINGS</x:v>
      </x:c>
      <x:c r="F110" s="19"/>
      <x:c r="G110" s="18" t="str">
        <x:v>是</x:v>
      </x:c>
      <x:c r="H110" s="20" t="n">
        <x:v>2</x:v>
      </x:c>
      <x:c r="I110" s="18" t="str">
        <x:v>FY2024</x:v>
      </x:c>
      <x:c r="J110" s="19" t="str">
        <x:v>OFFICIAL_NUMERIC_MANUAL_METRIC_REVIEW</x:v>
      </x:c>
      <x:c r="K110" s="20"/>
      <x:c r="L110" s="19" t="str">
        <x:v>USAGE_DATA_UNAVAILABLE</x:v>
      </x:c>
      <x:c r="M110" s="19" t="str">
        <x:v>https://www.jreast.co.jp/company/data/passenger/2024_shinkansen.html/</x:v>
      </x:c>
      <x:c r="N110" s="19" t="str">
        <x:v>Shinkansen station table / daily total; web retrieval 2026-09-30</x:v>
      </x:c>
      <x:c r="O110" s="19" t="str">
        <x:v>OPERATOR_SHINKANSEN_COMPONENT</x:v>
      </x:c>
      <x:c r="P110" s="19" t="str">
        <x:v>published integer</x:v>
      </x:c>
      <x:c r="Q110" s="18" t="str">
        <x:v>transport-node:82dbf1ef-7968-56c7-a93d-a6b35448c087</x:v>
      </x:c>
      <x:c r="R110" s="19" t="str">
        <x:v>Published boardings are not entries + exits; no doubling or automatic threshold conversion.</x:v>
      </x:c>
    </x:row>
    <x:row r="111" ht="28" customHeight="1">
      <x:c r="A111" s="18" t="str">
        <x:v>高崎</x:v>
      </x:c>
      <x:c r="B111" s="18" t="str">
        <x:v>東日本旅客鉄道</x:v>
      </x:c>
      <x:c r="C111" s="20" t="n">
        <x:v>13908</x:v>
      </x:c>
      <x:c r="D111" s="18" t="str">
        <x:v>boardings/day</x:v>
      </x:c>
      <x:c r="E111" s="19" t="str">
        <x:v>DAILY_SHINKANSEN_BOARDINGS</x:v>
      </x:c>
      <x:c r="F111" s="19"/>
      <x:c r="G111" s="18" t="str">
        <x:v>是</x:v>
      </x:c>
      <x:c r="H111" s="20" t="n">
        <x:v>2</x:v>
      </x:c>
      <x:c r="I111" s="18" t="str">
        <x:v>FY2024</x:v>
      </x:c>
      <x:c r="J111" s="19" t="str">
        <x:v>OFFICIAL_NUMERIC_MANUAL_METRIC_REVIEW</x:v>
      </x:c>
      <x:c r="K111" s="20"/>
      <x:c r="L111" s="19" t="str">
        <x:v>USAGE_DATA_UNAVAILABLE</x:v>
      </x:c>
      <x:c r="M111" s="19" t="str">
        <x:v>https://www.jreast.co.jp/company/data/passenger/2024_shinkansen.html/</x:v>
      </x:c>
      <x:c r="N111" s="19" t="str">
        <x:v>Shinkansen station table / daily total; web retrieval 2026-09-30</x:v>
      </x:c>
      <x:c r="O111" s="19" t="str">
        <x:v>OPERATOR_SHINKANSEN_COMPONENT</x:v>
      </x:c>
      <x:c r="P111" s="19" t="str">
        <x:v>published integer</x:v>
      </x:c>
      <x:c r="Q111" s="18" t="str">
        <x:v>transport-node:c0f4f0f0-b114-51bd-91cf-0d4914934f45</x:v>
      </x:c>
      <x:c r="R111" s="19" t="str">
        <x:v>Published boardings are not entries + exits; no doubling or automatic threshold conversion.</x:v>
      </x:c>
    </x:row>
    <x:row r="112" ht="28" customHeight="1">
      <x:c r="A112" s="18" t="str">
        <x:v>鹿児島中央</x:v>
      </x:c>
      <x:c r="B112" s="18" t="str">
        <x:v>九州旅客鉄道</x:v>
      </x:c>
      <x:c r="C112" s="20" t="n">
        <x:v>20083</x:v>
      </x:c>
      <x:c r="D112" s="18" t="str">
        <x:v>boardings/day</x:v>
      </x:c>
      <x:c r="E112" s="19" t="str">
        <x:v>STATION_COMPLEX_PROXY</x:v>
      </x:c>
      <x:c r="F112" s="19"/>
      <x:c r="G112" s="18" t="str">
        <x:v>是</x:v>
      </x:c>
      <x:c r="H112" s="20" t="n">
        <x:v>5</x:v>
      </x:c>
      <x:c r="I112" s="18" t="str">
        <x:v>FY2024</x:v>
      </x:c>
      <x:c r="J112" s="19" t="str">
        <x:v>OFFICIAL_NUMERIC_MANUAL_METRIC_REVIEW</x:v>
      </x:c>
      <x:c r="K112" s="20"/>
      <x:c r="L112" s="19" t="str">
        <x:v>USAGE_DATA_UNAVAILABLE</x:v>
      </x:c>
      <x:c r="M112" s="19" t="str">
        <x:v>https://www.jrkyushu.co.jp/company/info/data/pdf/2024ekibetsu.pdf</x:v>
      </x:c>
      <x:c r="N112" s="19" t="str">
        <x:v>pages 1-2 / station total; page 4 footnote explicitly combines conventional + Shinkansen</x:v>
      </x:c>
      <x:c r="O112" s="19" t="str">
        <x:v>SAME_OPERATOR_CONVENTIONAL_PLUS_SHINKANSEN</x:v>
      </x:c>
      <x:c r="P112" s="19" t="str">
        <x:v>published integer</x:v>
      </x:c>
      <x:c r="Q112" s="18" t="str">
        <x:v>transport-node:7f64001c-b0c3-5022-9bf7-090aa8e9b6b1</x:v>
      </x:c>
      <x:c r="R112" s="19" t="str">
        <x:v>Published boardings are not entries + exits; no doubling or automatic threshold conversion.</x:v>
      </x:c>
    </x:row>
    <x:row r="113" ht="28" customHeight="1">
      <x:c r="A113" s="18" t="str">
        <x:v>黒部宇奈月温泉</x:v>
      </x:c>
      <x:c r="B113" s="18" t="str">
        <x:v>西日本旅客鉄道</x:v>
      </x:c>
      <x:c r="C113" s="20" t="n">
        <x:v>1626</x:v>
      </x:c>
      <x:c r="D113" s="18" t="str">
        <x:v>persons/day</x:v>
      </x:c>
      <x:c r="E113" s="19" t="str">
        <x:v>DAILY_ENTRIES_EXITS</x:v>
      </x:c>
      <x:c r="F113" s="19" t="str">
        <x:v>T3</x:v>
      </x:c>
      <x:c r="G113" s="18" t="str">
        <x:v>否</x:v>
      </x:c>
      <x:c r="H113" s="20" t="n">
        <x:v>1</x:v>
      </x:c>
      <x:c r="I113" s="18" t="str">
        <x:v>FY2024</x:v>
      </x:c>
      <x:c r="J113" s="19" t="str">
        <x:v>S12_NUMERIC</x:v>
      </x:c>
      <x:c r="K113" s="20" t="n">
        <x:v>1626</x:v>
      </x:c>
      <x:c r="L113" s="19" t="str">
        <x:v>DAILY_ENTRIES_EXITS</x:v>
      </x:c>
      <x:c r="M113" s="19" t="str">
        <x:v>https://nlftp.mlit.go.jp/ksj/gml/datalist/KsjTmplt-S12-2024.html</x:v>
      </x:c>
      <x:c r="N113" s="19"/>
      <x:c r="O113" s="19"/>
      <x:c r="P113" s="19"/>
      <x:c r="Q113" s="18" t="str">
        <x:v>transport-node:66b7e851-df25-5b73-a188-77870efc7f4d</x:v>
      </x:c>
      <x:c r="R113" s="19"/>
    </x:row>
  </x:sheetData>
  <x:conditionalFormatting sqref="F6:F113">
    <x:cfRule type="containsText" dxfId="2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7790231869e3426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1" hidden="0" customWidth="1"/>
    <x:col min="2" max="2" width="25" hidden="0" customWidth="1"/>
    <x:col min="3" max="3" width="39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模式、运营方及 Hub / component 等级分布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各行按列明 scope 统计，不能跨维度相加。全部为候选或审核范围，非正式接收。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来源：data/transport/nodes/task-084-b-v2-amendment-review/tier-distributions.jsonl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实体范围</x:v>
      </x:c>
      <x:c r="B5" s="16" t="str">
        <x:v>统计维度</x:v>
      </x:c>
      <x:c r="C5" s="16" t="str">
        <x:v>分组</x:v>
      </x:c>
      <x:c r="D5" s="16" t="str">
        <x:v>总计</x:v>
      </x:c>
      <x:c r="E5" s="16" t="str">
        <x:v>T0</x:v>
      </x:c>
      <x:c r="F5" s="16" t="str">
        <x:v>T1</x:v>
      </x:c>
      <x:c r="G5" s="16" t="str">
        <x:v>T2</x:v>
      </x:c>
      <x:c r="H5" s="16" t="str">
        <x:v>T3</x:v>
      </x:c>
      <x:c r="I5" s="17" t="str">
        <x:v>待定级</x:v>
      </x:c>
    </x:row>
    <x:row r="6" ht="28" customHeight="1">
      <x:c r="A6" s="19" t="str">
        <x:v>RAIL_COMPONENT_CANDIDATE</x:v>
      </x:c>
      <x:c r="B6" s="18" t="str">
        <x:v>mode</x:v>
      </x:c>
      <x:c r="C6" s="19" t="str">
        <x:v>conventional_rail</x:v>
      </x:c>
      <x:c r="D6" s="20" t="n">
        <x:v>650</x:v>
      </x:c>
      <x:c r="E6" s="20" t="n">
        <x:v>40</x:v>
      </x:c>
      <x:c r="F6" s="20" t="n">
        <x:v>160</x:v>
      </x:c>
      <x:c r="G6" s="20" t="n">
        <x:v>433</x:v>
      </x:c>
      <x:c r="H6" s="20" t="n">
        <x:v>11</x:v>
      </x:c>
      <x:c r="I6" s="20" t="n">
        <x:v>6</x:v>
      </x:c>
    </x:row>
    <x:row r="7" ht="28" customHeight="1">
      <x:c r="A7" s="19" t="str">
        <x:v>RAIL_COMPONENT_CANDIDATE</x:v>
      </x:c>
      <x:c r="B7" s="18" t="str">
        <x:v>mode</x:v>
      </x:c>
      <x:c r="C7" s="19" t="str">
        <x:v>fixed_guideway</x:v>
      </x:c>
      <x:c r="D7" s="20" t="n">
        <x:v>78</x:v>
      </x:c>
      <x:c r="E7" s="20" t="n">
        <x:v>0</x:v>
      </x:c>
      <x:c r="F7" s="20" t="n">
        <x:v>3</x:v>
      </x:c>
      <x:c r="G7" s="20" t="n">
        <x:v>68</x:v>
      </x:c>
      <x:c r="H7" s="20" t="n">
        <x:v>5</x:v>
      </x:c>
      <x:c r="I7" s="20" t="n">
        <x:v>2</x:v>
      </x:c>
    </x:row>
    <x:row r="8" ht="28" customHeight="1">
      <x:c r="A8" s="19" t="str">
        <x:v>RAIL_COMPONENT_CANDIDATE</x:v>
      </x:c>
      <x:c r="B8" s="18" t="str">
        <x:v>mode</x:v>
      </x:c>
      <x:c r="C8" s="19" t="str">
        <x:v>metro</x:v>
      </x:c>
      <x:c r="D8" s="20" t="n">
        <x:v>540</x:v>
      </x:c>
      <x:c r="E8" s="20" t="n">
        <x:v>18</x:v>
      </x:c>
      <x:c r="F8" s="20" t="n">
        <x:v>125</x:v>
      </x:c>
      <x:c r="G8" s="20" t="n">
        <x:v>382</x:v>
      </x:c>
      <x:c r="H8" s="20" t="n">
        <x:v>3</x:v>
      </x:c>
      <x:c r="I8" s="20" t="n">
        <x:v>12</x:v>
      </x:c>
    </x:row>
    <x:row r="9" ht="28" customHeight="1">
      <x:c r="A9" s="19" t="str">
        <x:v>RAIL_COMPONENT_CANDIDATE</x:v>
      </x:c>
      <x:c r="B9" s="18" t="str">
        <x:v>mode</x:v>
      </x:c>
      <x:c r="C9" s="19" t="str">
        <x:v>private_rail</x:v>
      </x:c>
      <x:c r="D9" s="20" t="n">
        <x:v>876</x:v>
      </x:c>
      <x:c r="E9" s="20" t="n">
        <x:v>22</x:v>
      </x:c>
      <x:c r="F9" s="20" t="n">
        <x:v>146</x:v>
      </x:c>
      <x:c r="G9" s="20" t="n">
        <x:v>680</x:v>
      </x:c>
      <x:c r="H9" s="20" t="n">
        <x:v>13</x:v>
      </x:c>
      <x:c r="I9" s="20" t="n">
        <x:v>15</x:v>
      </x:c>
    </x:row>
    <x:row r="10" ht="28" customHeight="1">
      <x:c r="A10" s="19" t="str">
        <x:v>RAIL_COMPONENT_CANDIDATE</x:v>
      </x:c>
      <x:c r="B10" s="18" t="str">
        <x:v>mode</x:v>
      </x:c>
      <x:c r="C10" s="19" t="str">
        <x:v>shinkansen</x:v>
      </x:c>
      <x:c r="D10" s="20" t="n">
        <x:v>108</x:v>
      </x:c>
      <x:c r="E10" s="20" t="n">
        <x:v>0</x:v>
      </x:c>
      <x:c r="F10" s="20" t="n">
        <x:v>5</x:v>
      </x:c>
      <x:c r="G10" s="20" t="n">
        <x:v>8</x:v>
      </x:c>
      <x:c r="H10" s="20" t="n">
        <x:v>35</x:v>
      </x:c>
      <x:c r="I10" s="20" t="n">
        <x:v>60</x:v>
      </x:c>
    </x:row>
    <x:row r="11" ht="28" customHeight="1">
      <x:c r="A11" s="19" t="str">
        <x:v>RAIL_COMPONENT_CANDIDATE</x:v>
      </x:c>
      <x:c r="B11" s="18" t="str">
        <x:v>mode</x:v>
      </x:c>
      <x:c r="C11" s="19" t="str">
        <x:v>tram</x:v>
      </x:c>
      <x:c r="D11" s="20" t="n">
        <x:v>19</x:v>
      </x:c>
      <x:c r="E11" s="20" t="n">
        <x:v>0</x:v>
      </x:c>
      <x:c r="F11" s="20" t="n">
        <x:v>0</x:v>
      </x:c>
      <x:c r="G11" s="20" t="n">
        <x:v>8</x:v>
      </x:c>
      <x:c r="H11" s="20" t="n">
        <x:v>11</x:v>
      </x:c>
      <x:c r="I11" s="20" t="n">
        <x:v>0</x:v>
      </x:c>
    </x:row>
    <x:row r="12" ht="28" customHeight="1">
      <x:c r="A12" s="19" t="str">
        <x:v>RAIL_COMPONENT_CANDIDATE</x:v>
      </x:c>
      <x:c r="B12" s="18" t="str">
        <x:v>operator_family</x:v>
      </x:c>
      <x:c r="C12" s="19" t="str">
        <x:v>JR Central</x:v>
      </x:c>
      <x:c r="D12" s="20" t="n">
        <x:v>64</x:v>
      </x:c>
      <x:c r="E12" s="20" t="n">
        <x:v>1</x:v>
      </x:c>
      <x:c r="F12" s="20" t="n">
        <x:v>15</x:v>
      </x:c>
      <x:c r="G12" s="20" t="n">
        <x:v>33</x:v>
      </x:c>
      <x:c r="H12" s="20" t="n">
        <x:v>6</x:v>
      </x:c>
      <x:c r="I12" s="20" t="n">
        <x:v>9</x:v>
      </x:c>
    </x:row>
    <x:row r="13" ht="28" customHeight="1">
      <x:c r="A13" s="19" t="str">
        <x:v>RAIL_COMPONENT_CANDIDATE</x:v>
      </x:c>
      <x:c r="B13" s="18" t="str">
        <x:v>operator_family</x:v>
      </x:c>
      <x:c r="C13" s="19" t="str">
        <x:v>JR East</x:v>
      </x:c>
      <x:c r="D13" s="20" t="n">
        <x:v>386</x:v>
      </x:c>
      <x:c r="E13" s="20" t="n">
        <x:v>33</x:v>
      </x:c>
      <x:c r="F13" s="20" t="n">
        <x:v>122</x:v>
      </x:c>
      <x:c r="G13" s="20" t="n">
        <x:v>189</x:v>
      </x:c>
      <x:c r="H13" s="20" t="n">
        <x:v>15</x:v>
      </x:c>
      <x:c r="I13" s="20" t="n">
        <x:v>27</x:v>
      </x:c>
    </x:row>
    <x:row r="14" ht="28" customHeight="1">
      <x:c r="A14" s="19" t="str">
        <x:v>RAIL_COMPONENT_CANDIDATE</x:v>
      </x:c>
      <x:c r="B14" s="18" t="str">
        <x:v>operator_family</x:v>
      </x:c>
      <x:c r="C14" s="19" t="str">
        <x:v>JR Hokkaido</x:v>
      </x:c>
      <x:c r="D14" s="20" t="n">
        <x:v>18</x:v>
      </x:c>
      <x:c r="E14" s="20" t="n">
        <x:v>0</x:v>
      </x:c>
      <x:c r="F14" s="20" t="n">
        <x:v>1</x:v>
      </x:c>
      <x:c r="G14" s="20" t="n">
        <x:v>13</x:v>
      </x:c>
      <x:c r="H14" s="20" t="n">
        <x:v>3</x:v>
      </x:c>
      <x:c r="I14" s="20" t="n">
        <x:v>1</x:v>
      </x:c>
    </x:row>
    <x:row r="15" ht="28" customHeight="1">
      <x:c r="A15" s="19" t="str">
        <x:v>RAIL_COMPONENT_CANDIDATE</x:v>
      </x:c>
      <x:c r="B15" s="18" t="str">
        <x:v>operator_family</x:v>
      </x:c>
      <x:c r="C15" s="19" t="str">
        <x:v>JR Kyushu</x:v>
      </x:c>
      <x:c r="D15" s="20" t="n">
        <x:v>59</x:v>
      </x:c>
      <x:c r="E15" s="20" t="n">
        <x:v>1</x:v>
      </x:c>
      <x:c r="F15" s="20" t="n">
        <x:v>1</x:v>
      </x:c>
      <x:c r="G15" s="20" t="n">
        <x:v>38</x:v>
      </x:c>
      <x:c r="H15" s="20" t="n">
        <x:v>5</x:v>
      </x:c>
      <x:c r="I15" s="20" t="n">
        <x:v>14</x:v>
      </x:c>
    </x:row>
    <x:row r="16" ht="28" customHeight="1">
      <x:c r="A16" s="19" t="str">
        <x:v>RAIL_COMPONENT_CANDIDATE</x:v>
      </x:c>
      <x:c r="B16" s="18" t="str">
        <x:v>operator_family</x:v>
      </x:c>
      <x:c r="C16" s="19" t="str">
        <x:v>JR Shikoku</x:v>
      </x:c>
      <x:c r="D16" s="20" t="n">
        <x:v>3</x:v>
      </x:c>
      <x:c r="E16" s="20" t="n">
        <x:v>0</x:v>
      </x:c>
      <x:c r="F16" s="20" t="n">
        <x:v>0</x:v>
      </x:c>
      <x:c r="G16" s="20" t="n">
        <x:v>3</x:v>
      </x:c>
      <x:c r="H16" s="20" t="n">
        <x:v>0</x:v>
      </x:c>
      <x:c r="I16" s="20" t="n">
        <x:v>0</x:v>
      </x:c>
    </x:row>
    <x:row r="17" ht="28" customHeight="1">
      <x:c r="A17" s="19" t="str">
        <x:v>RAIL_COMPONENT_CANDIDATE</x:v>
      </x:c>
      <x:c r="B17" s="18" t="str">
        <x:v>operator_family</x:v>
      </x:c>
      <x:c r="C17" s="19" t="str">
        <x:v>JR West</x:v>
      </x:c>
      <x:c r="D17" s="20" t="n">
        <x:v>228</x:v>
      </x:c>
      <x:c r="E17" s="20" t="n">
        <x:v>5</x:v>
      </x:c>
      <x:c r="F17" s="20" t="n">
        <x:v>26</x:v>
      </x:c>
      <x:c r="G17" s="20" t="n">
        <x:v>165</x:v>
      </x:c>
      <x:c r="H17" s="20" t="n">
        <x:v>17</x:v>
      </x:c>
      <x:c r="I17" s="20" t="n">
        <x:v>15</x:v>
      </x:c>
    </x:row>
    <x:row r="18" ht="28" customHeight="1">
      <x:c r="A18" s="19" t="str">
        <x:v>RAIL_COMPONENT_CANDIDATE</x:v>
      </x:c>
      <x:c r="B18" s="18" t="str">
        <x:v>operator_family</x:v>
      </x:c>
      <x:c r="C18" s="19" t="str">
        <x:v>Municipal/Metro</x:v>
      </x:c>
      <x:c r="D18" s="20" t="n">
        <x:v>540</x:v>
      </x:c>
      <x:c r="E18" s="20" t="n">
        <x:v>18</x:v>
      </x:c>
      <x:c r="F18" s="20" t="n">
        <x:v>125</x:v>
      </x:c>
      <x:c r="G18" s="20" t="n">
        <x:v>382</x:v>
      </x:c>
      <x:c r="H18" s="20" t="n">
        <x:v>3</x:v>
      </x:c>
      <x:c r="I18" s="20" t="n">
        <x:v>12</x:v>
      </x:c>
    </x:row>
    <x:row r="19" ht="28" customHeight="1">
      <x:c r="A19" s="19" t="str">
        <x:v>RAIL_COMPONENT_CANDIDATE</x:v>
      </x:c>
      <x:c r="B19" s="18" t="str">
        <x:v>operator_family</x:v>
      </x:c>
      <x:c r="C19" s="19" t="str">
        <x:v>Private/Other</x:v>
      </x:c>
      <x:c r="D19" s="20" t="n">
        <x:v>973</x:v>
      </x:c>
      <x:c r="E19" s="20" t="n">
        <x:v>22</x:v>
      </x:c>
      <x:c r="F19" s="20" t="n">
        <x:v>149</x:v>
      </x:c>
      <x:c r="G19" s="20" t="n">
        <x:v>756</x:v>
      </x:c>
      <x:c r="H19" s="20" t="n">
        <x:v>29</x:v>
      </x:c>
      <x:c r="I19" s="20" t="n">
        <x:v>17</x:v>
      </x:c>
    </x:row>
    <x:row r="20" ht="28" customHeight="1">
      <x:c r="A20" s="19" t="str">
        <x:v>RAIL_COMPONENT_CANDIDATE</x:v>
      </x:c>
      <x:c r="B20" s="18" t="str">
        <x:v>operator</x:v>
      </x:c>
      <x:c r="C20" s="19" t="str">
        <x:v>IRいしかわ鉄道</x:v>
      </x:c>
      <x:c r="D20" s="20" t="n">
        <x:v>2</x:v>
      </x:c>
      <x:c r="E20" s="20" t="n">
        <x:v>0</x:v>
      </x:c>
      <x:c r="F20" s="20" t="n">
        <x:v>0</x:v>
      </x:c>
      <x:c r="G20" s="20" t="n">
        <x:v>2</x:v>
      </x:c>
      <x:c r="H20" s="20" t="n">
        <x:v>0</x:v>
      </x:c>
      <x:c r="I20" s="20" t="n">
        <x:v>0</x:v>
      </x:c>
    </x:row>
    <x:row r="21" ht="28" customHeight="1">
      <x:c r="A21" s="19" t="str">
        <x:v>RAIL_COMPONENT_CANDIDATE</x:v>
      </x:c>
      <x:c r="B21" s="18" t="str">
        <x:v>operator</x:v>
      </x:c>
      <x:c r="C21" s="19" t="str">
        <x:v>あいの風とやま鉄道</x:v>
      </x:c>
      <x:c r="D21" s="20" t="n">
        <x:v>2</x:v>
      </x:c>
      <x:c r="E21" s="20" t="n">
        <x:v>0</x:v>
      </x:c>
      <x:c r="F21" s="20" t="n">
        <x:v>0</x:v>
      </x:c>
      <x:c r="G21" s="20" t="n">
        <x:v>2</x:v>
      </x:c>
      <x:c r="H21" s="20" t="n">
        <x:v>0</x:v>
      </x:c>
      <x:c r="I21" s="20" t="n">
        <x:v>0</x:v>
      </x:c>
    </x:row>
    <x:row r="22" ht="28" customHeight="1">
      <x:c r="A22" s="19" t="str">
        <x:v>RAIL_COMPONENT_CANDIDATE</x:v>
      </x:c>
      <x:c r="B22" s="18" t="str">
        <x:v>operator</x:v>
      </x:c>
      <x:c r="C22" s="19" t="str">
        <x:v>ゆりかもめ</x:v>
      </x:c>
      <x:c r="D22" s="20" t="n">
        <x:v>7</x:v>
      </x:c>
      <x:c r="E22" s="20" t="n">
        <x:v>0</x:v>
      </x:c>
      <x:c r="F22" s="20" t="n">
        <x:v>1</x:v>
      </x:c>
      <x:c r="G22" s="20" t="n">
        <x:v>6</x:v>
      </x:c>
      <x:c r="H22" s="20" t="n">
        <x:v>0</x:v>
      </x:c>
      <x:c r="I22" s="20" t="n">
        <x:v>0</x:v>
      </x:c>
    </x:row>
    <x:row r="23" ht="28" customHeight="1">
      <x:c r="A23" s="19" t="str">
        <x:v>RAIL_COMPONENT_CANDIDATE</x:v>
      </x:c>
      <x:c r="B23" s="18" t="str">
        <x:v>operator</x:v>
      </x:c>
      <x:c r="C23" s="19" t="str">
        <x:v>ハピラインふくい</x:v>
      </x:c>
      <x:c r="D23" s="20" t="n">
        <x:v>1</x:v>
      </x:c>
      <x:c r="E23" s="20" t="n">
        <x:v>0</x:v>
      </x:c>
      <x:c r="F23" s="20" t="n">
        <x:v>0</x:v>
      </x:c>
      <x:c r="G23" s="20" t="n">
        <x:v>1</x:v>
      </x:c>
      <x:c r="H23" s="20" t="n">
        <x:v>0</x:v>
      </x:c>
      <x:c r="I23" s="20" t="n">
        <x:v>0</x:v>
      </x:c>
    </x:row>
    <x:row r="24" ht="28" customHeight="1">
      <x:c r="A24" s="19" t="str">
        <x:v>RAIL_COMPONENT_CANDIDATE</x:v>
      </x:c>
      <x:c r="B24" s="18" t="str">
        <x:v>operator</x:v>
      </x:c>
      <x:c r="C24" s="19" t="str">
        <x:v>一般社団法人札幌市交通事業振興公社</x:v>
      </x:c>
      <x:c r="D24" s="20" t="n">
        <x:v>2</x:v>
      </x:c>
      <x:c r="E24" s="20" t="n">
        <x:v>0</x:v>
      </x:c>
      <x:c r="F24" s="20" t="n">
        <x:v>0</x:v>
      </x:c>
      <x:c r="G24" s="20" t="n">
        <x:v>1</x:v>
      </x:c>
      <x:c r="H24" s="20" t="n">
        <x:v>1</x:v>
      </x:c>
      <x:c r="I24" s="20" t="n">
        <x:v>0</x:v>
      </x:c>
    </x:row>
    <x:row r="25" ht="28" customHeight="1">
      <x:c r="A25" s="19" t="str">
        <x:v>RAIL_COMPONENT_CANDIDATE</x:v>
      </x:c>
      <x:c r="B25" s="18" t="str">
        <x:v>operator</x:v>
      </x:c>
      <x:c r="C25" s="19" t="str">
        <x:v>三岐鉄道</x:v>
      </x:c>
      <x:c r="D25" s="20" t="n">
        <x:v>1</x:v>
      </x:c>
      <x:c r="E25" s="20" t="n">
        <x:v>0</x:v>
      </x:c>
      <x:c r="F25" s="20" t="n">
        <x:v>0</x:v>
      </x:c>
      <x:c r="G25" s="20" t="n">
        <x:v>0</x:v>
      </x:c>
      <x:c r="H25" s="20" t="n">
        <x:v>1</x:v>
      </x:c>
      <x:c r="I25" s="20" t="n">
        <x:v>0</x:v>
      </x:c>
    </x:row>
    <x:row r="26" ht="28" customHeight="1">
      <x:c r="A26" s="19" t="str">
        <x:v>RAIL_COMPONENT_CANDIDATE</x:v>
      </x:c>
      <x:c r="B26" s="18" t="str">
        <x:v>operator</x:v>
      </x:c>
      <x:c r="C26" s="19" t="str">
        <x:v>九州旅客鉄道</x:v>
      </x:c>
      <x:c r="D26" s="20" t="n">
        <x:v>59</x:v>
      </x:c>
      <x:c r="E26" s="20" t="n">
        <x:v>1</x:v>
      </x:c>
      <x:c r="F26" s="20" t="n">
        <x:v>1</x:v>
      </x:c>
      <x:c r="G26" s="20" t="n">
        <x:v>38</x:v>
      </x:c>
      <x:c r="H26" s="20" t="n">
        <x:v>5</x:v>
      </x:c>
      <x:c r="I26" s="20" t="n">
        <x:v>14</x:v>
      </x:c>
    </x:row>
    <x:row r="27" ht="28" customHeight="1">
      <x:c r="A27" s="19" t="str">
        <x:v>RAIL_COMPONENT_CANDIDATE</x:v>
      </x:c>
      <x:c r="B27" s="18" t="str">
        <x:v>operator</x:v>
      </x:c>
      <x:c r="C27" s="19" t="str">
        <x:v>京成電鉄</x:v>
      </x:c>
      <x:c r="D27" s="20" t="n">
        <x:v>39</x:v>
      </x:c>
      <x:c r="E27" s="20" t="n">
        <x:v>1</x:v>
      </x:c>
      <x:c r="F27" s="20" t="n">
        <x:v>4</x:v>
      </x:c>
      <x:c r="G27" s="20" t="n">
        <x:v>34</x:v>
      </x:c>
      <x:c r="H27" s="20" t="n">
        <x:v>0</x:v>
      </x:c>
      <x:c r="I27" s="20" t="n">
        <x:v>0</x:v>
      </x:c>
    </x:row>
    <x:row r="28" ht="28" customHeight="1">
      <x:c r="A28" s="19" t="str">
        <x:v>RAIL_COMPONENT_CANDIDATE</x:v>
      </x:c>
      <x:c r="B28" s="18" t="str">
        <x:v>operator</x:v>
      </x:c>
      <x:c r="C28" s="19" t="str">
        <x:v>京浜急行電鉄</x:v>
      </x:c>
      <x:c r="D28" s="20" t="n">
        <x:v>56</x:v>
      </x:c>
      <x:c r="E28" s="20" t="n">
        <x:v>2</x:v>
      </x:c>
      <x:c r="F28" s="20" t="n">
        <x:v>7</x:v>
      </x:c>
      <x:c r="G28" s="20" t="n">
        <x:v>47</x:v>
      </x:c>
      <x:c r="H28" s="20" t="n">
        <x:v>0</x:v>
      </x:c>
      <x:c r="I28" s="20" t="n">
        <x:v>0</x:v>
      </x:c>
    </x:row>
    <x:row r="29" ht="28" customHeight="1">
      <x:c r="A29" s="19" t="str">
        <x:v>RAIL_COMPONENT_CANDIDATE</x:v>
      </x:c>
      <x:c r="B29" s="18" t="str">
        <x:v>operator</x:v>
      </x:c>
      <x:c r="C29" s="19" t="str">
        <x:v>京王電鉄</x:v>
      </x:c>
      <x:c r="D29" s="20" t="n">
        <x:v>57</x:v>
      </x:c>
      <x:c r="E29" s="20" t="n">
        <x:v>2</x:v>
      </x:c>
      <x:c r="F29" s="20" t="n">
        <x:v>15</x:v>
      </x:c>
      <x:c r="G29" s="20" t="n">
        <x:v>40</x:v>
      </x:c>
      <x:c r="H29" s="20" t="n">
        <x:v>0</x:v>
      </x:c>
      <x:c r="I29" s="20" t="n">
        <x:v>0</x:v>
      </x:c>
    </x:row>
    <x:row r="30" ht="28" customHeight="1">
      <x:c r="A30" s="19" t="str">
        <x:v>RAIL_COMPONENT_CANDIDATE</x:v>
      </x:c>
      <x:c r="B30" s="18" t="str">
        <x:v>operator</x:v>
      </x:c>
      <x:c r="C30" s="19" t="str">
        <x:v>京福電気鉄道</x:v>
      </x:c>
      <x:c r="D30" s="20" t="n">
        <x:v>2</x:v>
      </x:c>
      <x:c r="E30" s="20" t="n">
        <x:v>0</x:v>
      </x:c>
      <x:c r="F30" s="20" t="n">
        <x:v>0</x:v>
      </x:c>
      <x:c r="G30" s="20" t="n">
        <x:v>0</x:v>
      </x:c>
      <x:c r="H30" s="20" t="n">
        <x:v>2</x:v>
      </x:c>
      <x:c r="I30" s="20" t="n">
        <x:v>0</x:v>
      </x:c>
    </x:row>
    <x:row r="31" ht="28" customHeight="1">
      <x:c r="A31" s="19" t="str">
        <x:v>RAIL_COMPONENT_CANDIDATE</x:v>
      </x:c>
      <x:c r="B31" s="18" t="str">
        <x:v>operator</x:v>
      </x:c>
      <x:c r="C31" s="19" t="str">
        <x:v>京都市</x:v>
      </x:c>
      <x:c r="D31" s="20" t="n">
        <x:v>24</x:v>
      </x:c>
      <x:c r="E31" s="20" t="n">
        <x:v>0</x:v>
      </x:c>
      <x:c r="F31" s="20" t="n">
        <x:v>3</x:v>
      </x:c>
      <x:c r="G31" s="20" t="n">
        <x:v>21</x:v>
      </x:c>
      <x:c r="H31" s="20" t="n">
        <x:v>0</x:v>
      </x:c>
      <x:c r="I31" s="20" t="n">
        <x:v>0</x:v>
      </x:c>
    </x:row>
    <x:row r="32" ht="28" customHeight="1">
      <x:c r="A32" s="19" t="str">
        <x:v>RAIL_COMPONENT_CANDIDATE</x:v>
      </x:c>
      <x:c r="B32" s="18" t="str">
        <x:v>operator</x:v>
      </x:c>
      <x:c r="C32" s="19" t="str">
        <x:v>京阪電気鉄道</x:v>
      </x:c>
      <x:c r="D32" s="20" t="n">
        <x:v>32</x:v>
      </x:c>
      <x:c r="E32" s="20" t="n">
        <x:v>0</x:v>
      </x:c>
      <x:c r="F32" s="20" t="n">
        <x:v>3</x:v>
      </x:c>
      <x:c r="G32" s="20" t="n">
        <x:v>28</x:v>
      </x:c>
      <x:c r="H32" s="20" t="n">
        <x:v>1</x:v>
      </x:c>
      <x:c r="I32" s="20" t="n">
        <x:v>0</x:v>
      </x:c>
    </x:row>
    <x:row r="33" ht="28" customHeight="1">
      <x:c r="A33" s="19" t="str">
        <x:v>RAIL_COMPONENT_CANDIDATE</x:v>
      </x:c>
      <x:c r="B33" s="18" t="str">
        <x:v>operator</x:v>
      </x:c>
      <x:c r="C33" s="19" t="str">
        <x:v>仙台市</x:v>
      </x:c>
      <x:c r="D33" s="20" t="n">
        <x:v>6</x:v>
      </x:c>
      <x:c r="E33" s="20" t="n">
        <x:v>0</x:v>
      </x:c>
      <x:c r="F33" s="20" t="n">
        <x:v>1</x:v>
      </x:c>
      <x:c r="G33" s="20" t="n">
        <x:v>3</x:v>
      </x:c>
      <x:c r="H33" s="20" t="n">
        <x:v>2</x:v>
      </x:c>
      <x:c r="I33" s="20" t="n">
        <x:v>0</x:v>
      </x:c>
    </x:row>
    <x:row r="34" ht="28" customHeight="1">
      <x:c r="A34" s="19" t="str">
        <x:v>RAIL_COMPONENT_CANDIDATE</x:v>
      </x:c>
      <x:c r="B34" s="18" t="str">
        <x:v>operator</x:v>
      </x:c>
      <x:c r="C34" s="19" t="str">
        <x:v>仙台空港鉄道</x:v>
      </x:c>
      <x:c r="D34" s="20" t="n">
        <x:v>1</x:v>
      </x:c>
      <x:c r="E34" s="20" t="n">
        <x:v>0</x:v>
      </x:c>
      <x:c r="F34" s="20" t="n">
        <x:v>0</x:v>
      </x:c>
      <x:c r="G34" s="20" t="n">
        <x:v>0</x:v>
      </x:c>
      <x:c r="H34" s="20" t="n">
        <x:v>1</x:v>
      </x:c>
      <x:c r="I34" s="20" t="n">
        <x:v>0</x:v>
      </x:c>
    </x:row>
    <x:row r="35" ht="28" customHeight="1">
      <x:c r="A35" s="19" t="str">
        <x:v>RAIL_COMPONENT_CANDIDATE</x:v>
      </x:c>
      <x:c r="B35" s="18" t="str">
        <x:v>operator</x:v>
      </x:c>
      <x:c r="C35" s="19" t="str">
        <x:v>伊予鉄道</x:v>
      </x:c>
      <x:c r="D35" s="20" t="n">
        <x:v>1</x:v>
      </x:c>
      <x:c r="E35" s="20" t="n">
        <x:v>0</x:v>
      </x:c>
      <x:c r="F35" s="20" t="n">
        <x:v>0</x:v>
      </x:c>
      <x:c r="G35" s="20" t="n">
        <x:v>1</x:v>
      </x:c>
      <x:c r="H35" s="20" t="n">
        <x:v>0</x:v>
      </x:c>
      <x:c r="I35" s="20" t="n">
        <x:v>0</x:v>
      </x:c>
    </x:row>
    <x:row r="36" ht="28" customHeight="1">
      <x:c r="A36" s="19" t="str">
        <x:v>RAIL_COMPONENT_CANDIDATE</x:v>
      </x:c>
      <x:c r="B36" s="18" t="str">
        <x:v>operator</x:v>
      </x:c>
      <x:c r="C36" s="19" t="str">
        <x:v>伊勢鉄道</x:v>
      </x:c>
      <x:c r="D36" s="20" t="n">
        <x:v>1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1</x:v>
      </x:c>
    </x:row>
    <x:row r="37" ht="28" customHeight="1">
      <x:c r="A37" s="19" t="str">
        <x:v>RAIL_COMPONENT_CANDIDATE</x:v>
      </x:c>
      <x:c r="B37" s="18" t="str">
        <x:v>operator</x:v>
      </x:c>
      <x:c r="C37" s="19" t="str">
        <x:v>伊豆箱根鉄道</x:v>
      </x:c>
      <x:c r="D37" s="20" t="n">
        <x:v>2</x:v>
      </x:c>
      <x:c r="E37" s="20" t="n">
        <x:v>0</x:v>
      </x:c>
      <x:c r="F37" s="20" t="n">
        <x:v>0</x:v>
      </x:c>
      <x:c r="G37" s="20" t="n">
        <x:v>2</x:v>
      </x:c>
      <x:c r="H37" s="20" t="n">
        <x:v>0</x:v>
      </x:c>
      <x:c r="I37" s="20" t="n">
        <x:v>0</x:v>
      </x:c>
    </x:row>
    <x:row r="38" ht="28" customHeight="1">
      <x:c r="A38" s="19" t="str">
        <x:v>RAIL_COMPONENT_CANDIDATE</x:v>
      </x:c>
      <x:c r="B38" s="18" t="str">
        <x:v>operator</x:v>
      </x:c>
      <x:c r="C38" s="19" t="str">
        <x:v>北九州高速鉄道</x:v>
      </x:c>
      <x:c r="D38" s="20" t="n">
        <x:v>1</x:v>
      </x:c>
      <x:c r="E38" s="20" t="n">
        <x:v>0</x:v>
      </x:c>
      <x:c r="F38" s="20" t="n">
        <x:v>0</x:v>
      </x:c>
      <x:c r="G38" s="20" t="n">
        <x:v>1</x:v>
      </x:c>
      <x:c r="H38" s="20" t="n">
        <x:v>0</x:v>
      </x:c>
      <x:c r="I38" s="20" t="n">
        <x:v>0</x:v>
      </x:c>
    </x:row>
    <x:row r="39" ht="28" customHeight="1">
      <x:c r="A39" s="19" t="str">
        <x:v>RAIL_COMPONENT_CANDIDATE</x:v>
      </x:c>
      <x:c r="B39" s="18" t="str">
        <x:v>operator</x:v>
      </x:c>
      <x:c r="C39" s="19" t="str">
        <x:v>北大阪急行電鉄</x:v>
      </x:c>
      <x:c r="D39" s="20" t="n">
        <x:v>6</x:v>
      </x:c>
      <x:c r="E39" s="20" t="n">
        <x:v>0</x:v>
      </x:c>
      <x:c r="F39" s="20" t="n">
        <x:v>1</x:v>
      </x:c>
      <x:c r="G39" s="20" t="n">
        <x:v>4</x:v>
      </x:c>
      <x:c r="H39" s="20" t="n">
        <x:v>0</x:v>
      </x:c>
      <x:c r="I39" s="20" t="n">
        <x:v>1</x:v>
      </x:c>
    </x:row>
    <x:row r="40" ht="28" customHeight="1">
      <x:c r="A40" s="19" t="str">
        <x:v>RAIL_COMPONENT_CANDIDATE</x:v>
      </x:c>
      <x:c r="B40" s="18" t="str">
        <x:v>operator</x:v>
      </x:c>
      <x:c r="C40" s="19" t="str">
        <x:v>北海道旅客鉄道</x:v>
      </x:c>
      <x:c r="D40" s="20" t="n">
        <x:v>18</x:v>
      </x:c>
      <x:c r="E40" s="20" t="n">
        <x:v>0</x:v>
      </x:c>
      <x:c r="F40" s="20" t="n">
        <x:v>1</x:v>
      </x:c>
      <x:c r="G40" s="20" t="n">
        <x:v>13</x:v>
      </x:c>
      <x:c r="H40" s="20" t="n">
        <x:v>3</x:v>
      </x:c>
      <x:c r="I40" s="20" t="n">
        <x:v>1</x:v>
      </x:c>
    </x:row>
    <x:row r="41" ht="28" customHeight="1">
      <x:c r="A41" s="19" t="str">
        <x:v>RAIL_COMPONENT_CANDIDATE</x:v>
      </x:c>
      <x:c r="B41" s="18" t="str">
        <x:v>operator</x:v>
      </x:c>
      <x:c r="C41" s="19" t="str">
        <x:v>北総鉄道</x:v>
      </x:c>
      <x:c r="D41" s="20" t="n">
        <x:v>5</x:v>
      </x:c>
      <x:c r="E41" s="20" t="n">
        <x:v>0</x:v>
      </x:c>
      <x:c r="F41" s="20" t="n">
        <x:v>0</x:v>
      </x:c>
      <x:c r="G41" s="20" t="n">
        <x:v>5</x:v>
      </x:c>
      <x:c r="H41" s="20" t="n">
        <x:v>0</x:v>
      </x:c>
      <x:c r="I41" s="20" t="n">
        <x:v>0</x:v>
      </x:c>
    </x:row>
    <x:row r="42" ht="28" customHeight="1">
      <x:c r="A42" s="19" t="str">
        <x:v>RAIL_COMPONENT_CANDIDATE</x:v>
      </x:c>
      <x:c r="B42" s="18" t="str">
        <x:v>operator</x:v>
      </x:c>
      <x:c r="C42" s="19" t="str">
        <x:v>北陸鉄道</x:v>
      </x:c>
      <x:c r="D42" s="20" t="n">
        <x:v>1</x:v>
      </x:c>
      <x:c r="E42" s="20" t="n">
        <x:v>0</x:v>
      </x:c>
      <x:c r="F42" s="20" t="n">
        <x:v>0</x:v>
      </x:c>
      <x:c r="G42" s="20" t="n">
        <x:v>0</x:v>
      </x:c>
      <x:c r="H42" s="20" t="n">
        <x:v>1</x:v>
      </x:c>
      <x:c r="I42" s="20" t="n">
        <x:v>0</x:v>
      </x:c>
    </x:row>
    <x:row r="43" ht="28" customHeight="1">
      <x:c r="A43" s="19" t="str">
        <x:v>RAIL_COMPONENT_CANDIDATE</x:v>
      </x:c>
      <x:c r="B43" s="18" t="str">
        <x:v>operator</x:v>
      </x:c>
      <x:c r="C43" s="19" t="str">
        <x:v>千葉都市モノレール</x:v>
      </x:c>
      <x:c r="D43" s="20" t="n">
        <x:v>3</x:v>
      </x:c>
      <x:c r="E43" s="20" t="n">
        <x:v>0</x:v>
      </x:c>
      <x:c r="F43" s="20" t="n">
        <x:v>0</x:v>
      </x:c>
      <x:c r="G43" s="20" t="n">
        <x:v>3</x:v>
      </x:c>
      <x:c r="H43" s="20" t="n">
        <x:v>0</x:v>
      </x:c>
      <x:c r="I43" s="20" t="n">
        <x:v>0</x:v>
      </x:c>
    </x:row>
    <x:row r="44" ht="28" customHeight="1">
      <x:c r="A44" s="19" t="str">
        <x:v>RAIL_COMPONENT_CANDIDATE</x:v>
      </x:c>
      <x:c r="B44" s="18" t="str">
        <x:v>operator</x:v>
      </x:c>
      <x:c r="C44" s="19" t="str">
        <x:v>南海電気鉄道</x:v>
      </x:c>
      <x:c r="D44" s="20" t="n">
        <x:v>28</x:v>
      </x:c>
      <x:c r="E44" s="20" t="n">
        <x:v>1</x:v>
      </x:c>
      <x:c r="F44" s="20" t="n">
        <x:v>3</x:v>
      </x:c>
      <x:c r="G44" s="20" t="n">
        <x:v>23</x:v>
      </x:c>
      <x:c r="H44" s="20" t="n">
        <x:v>1</x:v>
      </x:c>
      <x:c r="I44" s="20" t="n">
        <x:v>0</x:v>
      </x:c>
    </x:row>
    <x:row r="45" ht="28" customHeight="1">
      <x:c r="A45" s="19" t="str">
        <x:v>RAIL_COMPONENT_CANDIDATE</x:v>
      </x:c>
      <x:c r="B45" s="18" t="str">
        <x:v>operator</x:v>
      </x:c>
      <x:c r="C45" s="19" t="str">
        <x:v>叡山電鉄</x:v>
      </x:c>
      <x:c r="D45" s="20" t="n">
        <x:v>1</x:v>
      </x:c>
      <x:c r="E45" s="20" t="n">
        <x:v>0</x:v>
      </x:c>
      <x:c r="F45" s="20" t="n">
        <x:v>0</x:v>
      </x:c>
      <x:c r="G45" s="20" t="n">
        <x:v>1</x:v>
      </x:c>
      <x:c r="H45" s="20" t="n">
        <x:v>0</x:v>
      </x:c>
      <x:c r="I45" s="20" t="n">
        <x:v>0</x:v>
      </x:c>
    </x:row>
    <x:row r="46" ht="28" customHeight="1">
      <x:c r="A46" s="19" t="str">
        <x:v>RAIL_COMPONENT_CANDIDATE</x:v>
      </x:c>
      <x:c r="B46" s="18" t="str">
        <x:v>operator</x:v>
      </x:c>
      <x:c r="C46" s="19" t="str">
        <x:v>名古屋ガイドウェイバス</x:v>
      </x:c>
      <x:c r="D46" s="20" t="n">
        <x:v>3</x:v>
      </x:c>
      <x:c r="E46" s="20" t="n">
        <x:v>0</x:v>
      </x:c>
      <x:c r="F46" s="20" t="n">
        <x:v>0</x:v>
      </x:c>
      <x:c r="G46" s="20" t="n">
        <x:v>0</x:v>
      </x:c>
      <x:c r="H46" s="20" t="n">
        <x:v>3</x:v>
      </x:c>
      <x:c r="I46" s="20" t="n">
        <x:v>0</x:v>
      </x:c>
    </x:row>
    <x:row r="47" ht="28" customHeight="1">
      <x:c r="A47" s="19" t="str">
        <x:v>RAIL_COMPONENT_CANDIDATE</x:v>
      </x:c>
      <x:c r="B47" s="18" t="str">
        <x:v>operator</x:v>
      </x:c>
      <x:c r="C47" s="19" t="str">
        <x:v>名古屋市</x:v>
      </x:c>
      <x:c r="D47" s="20" t="n">
        <x:v>71</x:v>
      </x:c>
      <x:c r="E47" s="20" t="n">
        <x:v>2</x:v>
      </x:c>
      <x:c r="F47" s="20" t="n">
        <x:v>6</x:v>
      </x:c>
      <x:c r="G47" s="20" t="n">
        <x:v>61</x:v>
      </x:c>
      <x:c r="H47" s="20" t="n">
        <x:v>0</x:v>
      </x:c>
      <x:c r="I47" s="20" t="n">
        <x:v>2</x:v>
      </x:c>
    </x:row>
    <x:row r="48" ht="28" customHeight="1">
      <x:c r="A48" s="19" t="str">
        <x:v>RAIL_COMPONENT_CANDIDATE</x:v>
      </x:c>
      <x:c r="B48" s="18" t="str">
        <x:v>operator</x:v>
      </x:c>
      <x:c r="C48" s="19" t="str">
        <x:v>名古屋臨海高速鉄道</x:v>
      </x:c>
      <x:c r="D48" s="20" t="n">
        <x:v>1</x:v>
      </x:c>
      <x:c r="E48" s="20" t="n">
        <x:v>0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</x:row>
    <x:row r="49" ht="28" customHeight="1">
      <x:c r="A49" s="19" t="str">
        <x:v>RAIL_COMPONENT_CANDIDATE</x:v>
      </x:c>
      <x:c r="B49" s="18" t="str">
        <x:v>operator</x:v>
      </x:c>
      <x:c r="C49" s="19" t="str">
        <x:v>名古屋鉄道</x:v>
      </x:c>
      <x:c r="D49" s="20" t="n">
        <x:v>38</x:v>
      </x:c>
      <x:c r="E49" s="20" t="n">
        <x:v>1</x:v>
      </x:c>
      <x:c r="F49" s="20" t="n">
        <x:v>1</x:v>
      </x:c>
      <x:c r="G49" s="20" t="n">
        <x:v>34</x:v>
      </x:c>
      <x:c r="H49" s="20" t="n">
        <x:v>1</x:v>
      </x:c>
      <x:c r="I49" s="20" t="n">
        <x:v>1</x:v>
      </x:c>
    </x:row>
    <x:row r="50" ht="28" customHeight="1">
      <x:c r="A50" s="19" t="str">
        <x:v>RAIL_COMPONENT_CANDIDATE</x:v>
      </x:c>
      <x:c r="B50" s="18" t="str">
        <x:v>operator</x:v>
      </x:c>
      <x:c r="C50" s="19" t="str">
        <x:v>四国旅客鉄道</x:v>
      </x:c>
      <x:c r="D50" s="20" t="n">
        <x:v>3</x:v>
      </x:c>
      <x:c r="E50" s="20" t="n">
        <x:v>0</x:v>
      </x:c>
      <x:c r="F50" s="20" t="n">
        <x:v>0</x:v>
      </x:c>
      <x:c r="G50" s="20" t="n">
        <x:v>3</x:v>
      </x:c>
      <x:c r="H50" s="20" t="n">
        <x:v>0</x:v>
      </x:c>
      <x:c r="I50" s="20" t="n">
        <x:v>0</x:v>
      </x:c>
    </x:row>
    <x:row r="51" ht="28" customHeight="1">
      <x:c r="A51" s="19" t="str">
        <x:v>RAIL_COMPONENT_CANDIDATE</x:v>
      </x:c>
      <x:c r="B51" s="18" t="str">
        <x:v>operator</x:v>
      </x:c>
      <x:c r="C51" s="19" t="str">
        <x:v>埼玉新都市交通</x:v>
      </x:c>
      <x:c r="D51" s="20" t="n">
        <x:v>2</x:v>
      </x:c>
      <x:c r="E51" s="20" t="n">
        <x:v>0</x:v>
      </x:c>
      <x:c r="F51" s="20" t="n">
        <x:v>0</x:v>
      </x:c>
      <x:c r="G51" s="20" t="n">
        <x:v>2</x:v>
      </x:c>
      <x:c r="H51" s="20" t="n">
        <x:v>0</x:v>
      </x:c>
      <x:c r="I51" s="20" t="n">
        <x:v>0</x:v>
      </x:c>
    </x:row>
    <x:row r="52" ht="28" customHeight="1">
      <x:c r="A52" s="19" t="str">
        <x:v>RAIL_COMPONENT_CANDIDATE</x:v>
      </x:c>
      <x:c r="B52" s="18" t="str">
        <x:v>operator</x:v>
      </x:c>
      <x:c r="C52" s="19" t="str">
        <x:v>埼玉高速鉄道</x:v>
      </x:c>
      <x:c r="D52" s="20" t="n">
        <x:v>8</x:v>
      </x:c>
      <x:c r="E52" s="20" t="n">
        <x:v>0</x:v>
      </x:c>
      <x:c r="F52" s="20" t="n">
        <x:v>0</x:v>
      </x:c>
      <x:c r="G52" s="20" t="n">
        <x:v>7</x:v>
      </x:c>
      <x:c r="H52" s="20" t="n">
        <x:v>0</x:v>
      </x:c>
      <x:c r="I52" s="20" t="n">
        <x:v>1</x:v>
      </x:c>
    </x:row>
    <x:row r="53" ht="28" customHeight="1">
      <x:c r="A53" s="19" t="str">
        <x:v>RAIL_COMPONENT_CANDIDATE</x:v>
      </x:c>
      <x:c r="B53" s="18" t="str">
        <x:v>operator</x:v>
      </x:c>
      <x:c r="C53" s="19" t="str">
        <x:v>多摩都市モノレール</x:v>
      </x:c>
      <x:c r="D53" s="20" t="n">
        <x:v>8</x:v>
      </x:c>
      <x:c r="E53" s="20" t="n">
        <x:v>0</x:v>
      </x:c>
      <x:c r="F53" s="20" t="n">
        <x:v>0</x:v>
      </x:c>
      <x:c r="G53" s="20" t="n">
        <x:v>8</x:v>
      </x:c>
      <x:c r="H53" s="20" t="n">
        <x:v>0</x:v>
      </x:c>
      <x:c r="I53" s="20" t="n">
        <x:v>0</x:v>
      </x:c>
    </x:row>
    <x:row r="54" ht="28" customHeight="1">
      <x:c r="A54" s="19" t="str">
        <x:v>RAIL_COMPONENT_CANDIDATE</x:v>
      </x:c>
      <x:c r="B54" s="18" t="str">
        <x:v>operator</x:v>
      </x:c>
      <x:c r="C54" s="19" t="str">
        <x:v>大阪モノレール</x:v>
      </x:c>
      <x:c r="D54" s="20" t="n">
        <x:v>10</x:v>
      </x:c>
      <x:c r="E54" s="20" t="n">
        <x:v>0</x:v>
      </x:c>
      <x:c r="F54" s="20" t="n">
        <x:v>0</x:v>
      </x:c>
      <x:c r="G54" s="20" t="n">
        <x:v>10</x:v>
      </x:c>
      <x:c r="H54" s="20" t="n">
        <x:v>0</x:v>
      </x:c>
      <x:c r="I54" s="20" t="n">
        <x:v>0</x:v>
      </x:c>
    </x:row>
    <x:row r="55" ht="28" customHeight="1">
      <x:c r="A55" s="19" t="str">
        <x:v>RAIL_COMPONENT_CANDIDATE</x:v>
      </x:c>
      <x:c r="B55" s="18" t="str">
        <x:v>operator</x:v>
      </x:c>
      <x:c r="C55" s="19" t="str">
        <x:v>大阪市高速電気軌道</x:v>
      </x:c>
      <x:c r="D55" s="20" t="n">
        <x:v>96</x:v>
      </x:c>
      <x:c r="E55" s="20" t="n">
        <x:v>5</x:v>
      </x:c>
      <x:c r="F55" s="20" t="n">
        <x:v>17</x:v>
      </x:c>
      <x:c r="G55" s="20" t="n">
        <x:v>71</x:v>
      </x:c>
      <x:c r="H55" s="20" t="n">
        <x:v>1</x:v>
      </x:c>
      <x:c r="I55" s="20" t="n">
        <x:v>2</x:v>
      </x:c>
    </x:row>
    <x:row r="56" ht="28" customHeight="1">
      <x:c r="A56" s="19" t="str">
        <x:v>RAIL_COMPONENT_CANDIDATE</x:v>
      </x:c>
      <x:c r="B56" s="18" t="str">
        <x:v>operator</x:v>
      </x:c>
      <x:c r="C56" s="19" t="str">
        <x:v>小田急電鉄</x:v>
      </x:c>
      <x:c r="D56" s="20" t="n">
        <x:v>60</x:v>
      </x:c>
      <x:c r="E56" s="20" t="n">
        <x:v>3</x:v>
      </x:c>
      <x:c r="F56" s="20" t="n">
        <x:v>17</x:v>
      </x:c>
      <x:c r="G56" s="20" t="n">
        <x:v>40</x:v>
      </x:c>
      <x:c r="H56" s="20" t="n">
        <x:v>0</x:v>
      </x:c>
      <x:c r="I56" s="20" t="n">
        <x:v>0</x:v>
      </x:c>
    </x:row>
    <x:row r="57" ht="28" customHeight="1">
      <x:c r="A57" s="19" t="str">
        <x:v>RAIL_COMPONENT_CANDIDATE</x:v>
      </x:c>
      <x:c r="B57" s="18" t="str">
        <x:v>operator</x:v>
      </x:c>
      <x:c r="C57" s="19" t="str">
        <x:v>山陽電気鉄道</x:v>
      </x:c>
      <x:c r="D57" s="20" t="n">
        <x:v>3</x:v>
      </x:c>
      <x:c r="E57" s="20" t="n">
        <x:v>0</x:v>
      </x:c>
      <x:c r="F57" s="20" t="n">
        <x:v>0</x:v>
      </x:c>
      <x:c r="G57" s="20" t="n">
        <x:v>3</x:v>
      </x:c>
      <x:c r="H57" s="20" t="n">
        <x:v>0</x:v>
      </x:c>
      <x:c r="I57" s="20" t="n">
        <x:v>0</x:v>
      </x:c>
    </x:row>
    <x:row r="58" ht="28" customHeight="1">
      <x:c r="A58" s="19" t="str">
        <x:v>RAIL_COMPONENT_CANDIDATE</x:v>
      </x:c>
      <x:c r="B58" s="18" t="str">
        <x:v>operator</x:v>
      </x:c>
      <x:c r="C58" s="19" t="str">
        <x:v>広島電鉄</x:v>
      </x:c>
      <x:c r="D58" s="20" t="n">
        <x:v>3</x:v>
      </x:c>
      <x:c r="E58" s="20" t="n">
        <x:v>0</x:v>
      </x:c>
      <x:c r="F58" s="20" t="n">
        <x:v>0</x:v>
      </x:c>
      <x:c r="G58" s="20" t="n">
        <x:v>2</x:v>
      </x:c>
      <x:c r="H58" s="20" t="n">
        <x:v>1</x:v>
      </x:c>
      <x:c r="I58" s="20" t="n">
        <x:v>0</x:v>
      </x:c>
    </x:row>
    <x:row r="59" ht="28" customHeight="1">
      <x:c r="A59" s="19" t="str">
        <x:v>RAIL_COMPONENT_CANDIDATE</x:v>
      </x:c>
      <x:c r="B59" s="18" t="str">
        <x:v>operator</x:v>
      </x:c>
      <x:c r="C59" s="19" t="str">
        <x:v>広島高速交通</x:v>
      </x:c>
      <x:c r="D59" s="20" t="n">
        <x:v>4</x:v>
      </x:c>
      <x:c r="E59" s="20" t="n">
        <x:v>0</x:v>
      </x:c>
      <x:c r="F59" s="20" t="n">
        <x:v>0</x:v>
      </x:c>
      <x:c r="G59" s="20" t="n">
        <x:v>3</x:v>
      </x:c>
      <x:c r="H59" s="20" t="n">
        <x:v>1</x:v>
      </x:c>
      <x:c r="I59" s="20" t="n">
        <x:v>0</x:v>
      </x:c>
    </x:row>
    <x:row r="60" ht="28" customHeight="1">
      <x:c r="A60" s="19" t="str">
        <x:v>RAIL_COMPONENT_CANDIDATE</x:v>
      </x:c>
      <x:c r="B60" s="18" t="str">
        <x:v>operator</x:v>
      </x:c>
      <x:c r="C60" s="19" t="str">
        <x:v>愛知環状鉄道</x:v>
      </x:c>
      <x:c r="D60" s="20" t="n">
        <x:v>1</x:v>
      </x:c>
      <x:c r="E60" s="20" t="n">
        <x:v>0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</x:row>
    <x:row r="61" ht="28" customHeight="1">
      <x:c r="A61" s="19" t="str">
        <x:v>RAIL_COMPONENT_CANDIDATE</x:v>
      </x:c>
      <x:c r="B61" s="18" t="str">
        <x:v>operator</x:v>
      </x:c>
      <x:c r="C61" s="19" t="str">
        <x:v>愛知高速交通</x:v>
      </x:c>
      <x:c r="D61" s="20" t="n">
        <x:v>1</x:v>
      </x:c>
      <x:c r="E61" s="20" t="n">
        <x:v>0</x:v>
      </x:c>
      <x:c r="F61" s="20" t="n">
        <x:v>0</x:v>
      </x:c>
      <x:c r="G61" s="20" t="n">
        <x:v>1</x:v>
      </x:c>
      <x:c r="H61" s="20" t="n">
        <x:v>0</x:v>
      </x:c>
      <x:c r="I61" s="20" t="n">
        <x:v>0</x:v>
      </x:c>
    </x:row>
    <x:row r="62" ht="28" customHeight="1">
      <x:c r="A62" s="19" t="str">
        <x:v>RAIL_COMPONENT_CANDIDATE</x:v>
      </x:c>
      <x:c r="B62" s="18" t="str">
        <x:v>operator</x:v>
      </x:c>
      <x:c r="C62" s="19" t="str">
        <x:v>新京成電鉄</x:v>
      </x:c>
      <x:c r="D62" s="20" t="n">
        <x:v>15</x:v>
      </x:c>
      <x:c r="E62" s="20" t="n">
        <x:v>0</x:v>
      </x:c>
      <x:c r="F62" s="20" t="n">
        <x:v>2</x:v>
      </x:c>
      <x:c r="G62" s="20" t="n">
        <x:v>13</x:v>
      </x:c>
      <x:c r="H62" s="20" t="n">
        <x:v>0</x:v>
      </x:c>
      <x:c r="I62" s="20" t="n">
        <x:v>0</x:v>
      </x:c>
    </x:row>
    <x:row r="63" ht="28" customHeight="1">
      <x:c r="A63" s="19" t="str">
        <x:v>RAIL_COMPONENT_CANDIDATE</x:v>
      </x:c>
      <x:c r="B63" s="18" t="str">
        <x:v>operator</x:v>
      </x:c>
      <x:c r="C63" s="19" t="str">
        <x:v>札幌市</x:v>
      </x:c>
      <x:c r="D63" s="20" t="n">
        <x:v>44</x:v>
      </x:c>
      <x:c r="E63" s="20" t="n">
        <x:v>0</x:v>
      </x:c>
      <x:c r="F63" s="20" t="n">
        <x:v>2</x:v>
      </x:c>
      <x:c r="G63" s="20" t="n">
        <x:v>42</x:v>
      </x:c>
      <x:c r="H63" s="20" t="n">
        <x:v>0</x:v>
      </x:c>
      <x:c r="I63" s="20" t="n">
        <x:v>0</x:v>
      </x:c>
    </x:row>
    <x:row r="64" ht="28" customHeight="1">
      <x:c r="A64" s="19" t="str">
        <x:v>RAIL_COMPONENT_CANDIDATE</x:v>
      </x:c>
      <x:c r="B64" s="18" t="str">
        <x:v>operator</x:v>
      </x:c>
      <x:c r="C64" s="19" t="str">
        <x:v>東京モノレール</x:v>
      </x:c>
      <x:c r="D64" s="20" t="n">
        <x:v>8</x:v>
      </x:c>
      <x:c r="E64" s="20" t="n">
        <x:v>0</x:v>
      </x:c>
      <x:c r="F64" s="20" t="n">
        <x:v>1</x:v>
      </x:c>
      <x:c r="G64" s="20" t="n">
        <x:v>7</x:v>
      </x:c>
      <x:c r="H64" s="20" t="n">
        <x:v>0</x:v>
      </x:c>
      <x:c r="I64" s="20" t="n">
        <x:v>0</x:v>
      </x:c>
    </x:row>
    <x:row r="65" ht="28" customHeight="1">
      <x:c r="A65" s="19" t="str">
        <x:v>RAIL_COMPONENT_CANDIDATE</x:v>
      </x:c>
      <x:c r="B65" s="18" t="str">
        <x:v>operator</x:v>
      </x:c>
      <x:c r="C65" s="19" t="str">
        <x:v>東京地下鉄</x:v>
      </x:c>
      <x:c r="D65" s="20" t="n">
        <x:v>143</x:v>
      </x:c>
      <x:c r="E65" s="20" t="n">
        <x:v>10</x:v>
      </x:c>
      <x:c r="F65" s="20" t="n">
        <x:v>73</x:v>
      </x:c>
      <x:c r="G65" s="20" t="n">
        <x:v>55</x:v>
      </x:c>
      <x:c r="H65" s="20" t="n">
        <x:v>0</x:v>
      </x:c>
      <x:c r="I65" s="20" t="n">
        <x:v>5</x:v>
      </x:c>
    </x:row>
    <x:row r="66" ht="28" customHeight="1">
      <x:c r="A66" s="19" t="str">
        <x:v>RAIL_COMPONENT_CANDIDATE</x:v>
      </x:c>
      <x:c r="B66" s="18" t="str">
        <x:v>operator</x:v>
      </x:c>
      <x:c r="C66" s="19" t="str">
        <x:v>東京臨海高速鉄道</x:v>
      </x:c>
      <x:c r="D66" s="20" t="n">
        <x:v>8</x:v>
      </x:c>
      <x:c r="E66" s="20" t="n">
        <x:v>0</x:v>
      </x:c>
      <x:c r="F66" s="20" t="n">
        <x:v>3</x:v>
      </x:c>
      <x:c r="G66" s="20" t="n">
        <x:v>4</x:v>
      </x:c>
      <x:c r="H66" s="20" t="n">
        <x:v>0</x:v>
      </x:c>
      <x:c r="I66" s="20" t="n">
        <x:v>1</x:v>
      </x:c>
    </x:row>
    <x:row r="67" ht="28" customHeight="1">
      <x:c r="A67" s="19" t="str">
        <x:v>RAIL_COMPONENT_CANDIDATE</x:v>
      </x:c>
      <x:c r="B67" s="18" t="str">
        <x:v>operator</x:v>
      </x:c>
      <x:c r="C67" s="19" t="str">
        <x:v>東京都</x:v>
      </x:c>
      <x:c r="D67" s="20" t="n">
        <x:v>107</x:v>
      </x:c>
      <x:c r="E67" s="20" t="n">
        <x:v>0</x:v>
      </x:c>
      <x:c r="F67" s="20" t="n">
        <x:v>18</x:v>
      </x:c>
      <x:c r="G67" s="20" t="n">
        <x:v>82</x:v>
      </x:c>
      <x:c r="H67" s="20" t="n">
        <x:v>2</x:v>
      </x:c>
      <x:c r="I67" s="20" t="n">
        <x:v>5</x:v>
      </x:c>
    </x:row>
    <x:row r="68" ht="28" customHeight="1">
      <x:c r="A68" s="19" t="str">
        <x:v>RAIL_COMPONENT_CANDIDATE</x:v>
      </x:c>
      <x:c r="B68" s="18" t="str">
        <x:v>operator</x:v>
      </x:c>
      <x:c r="C68" s="19" t="str">
        <x:v>東急電鉄</x:v>
      </x:c>
      <x:c r="D68" s="20" t="n">
        <x:v>86</x:v>
      </x:c>
      <x:c r="E68" s="20" t="n">
        <x:v>5</x:v>
      </x:c>
      <x:c r="F68" s="20" t="n">
        <x:v>23</x:v>
      </x:c>
      <x:c r="G68" s="20" t="n">
        <x:v>56</x:v>
      </x:c>
      <x:c r="H68" s="20" t="n">
        <x:v>1</x:v>
      </x:c>
      <x:c r="I68" s="20" t="n">
        <x:v>1</x:v>
      </x:c>
    </x:row>
    <x:row r="69" ht="28" customHeight="1">
      <x:c r="A69" s="19" t="str">
        <x:v>RAIL_COMPONENT_CANDIDATE</x:v>
      </x:c>
      <x:c r="B69" s="18" t="str">
        <x:v>operator</x:v>
      </x:c>
      <x:c r="C69" s="19" t="str">
        <x:v>東日本旅客鉄道</x:v>
      </x:c>
      <x:c r="D69" s="20" t="n">
        <x:v>386</x:v>
      </x:c>
      <x:c r="E69" s="20" t="n">
        <x:v>33</x:v>
      </x:c>
      <x:c r="F69" s="20" t="n">
        <x:v>122</x:v>
      </x:c>
      <x:c r="G69" s="20" t="n">
        <x:v>189</x:v>
      </x:c>
      <x:c r="H69" s="20" t="n">
        <x:v>15</x:v>
      </x:c>
      <x:c r="I69" s="20" t="n">
        <x:v>27</x:v>
      </x:c>
    </x:row>
    <x:row r="70" ht="28" customHeight="1">
      <x:c r="A70" s="19" t="str">
        <x:v>RAIL_COMPONENT_CANDIDATE</x:v>
      </x:c>
      <x:c r="B70" s="18" t="str">
        <x:v>operator</x:v>
      </x:c>
      <x:c r="C70" s="19" t="str">
        <x:v>東武鉄道</x:v>
      </x:c>
      <x:c r="D70" s="20" t="n">
        <x:v>94</x:v>
      </x:c>
      <x:c r="E70" s="20" t="n">
        <x:v>3</x:v>
      </x:c>
      <x:c r="F70" s="20" t="n">
        <x:v>21</x:v>
      </x:c>
      <x:c r="G70" s="20" t="n">
        <x:v>69</x:v>
      </x:c>
      <x:c r="H70" s="20" t="n">
        <x:v>0</x:v>
      </x:c>
      <x:c r="I70" s="20" t="n">
        <x:v>1</x:v>
      </x:c>
    </x:row>
    <x:row r="71" ht="28" customHeight="1">
      <x:c r="A71" s="19" t="str">
        <x:v>RAIL_COMPONENT_CANDIDATE</x:v>
      </x:c>
      <x:c r="B71" s="18" t="str">
        <x:v>operator</x:v>
      </x:c>
      <x:c r="C71" s="19" t="str">
        <x:v>東海旅客鉄道</x:v>
      </x:c>
      <x:c r="D71" s="20" t="n">
        <x:v>64</x:v>
      </x:c>
      <x:c r="E71" s="20" t="n">
        <x:v>1</x:v>
      </x:c>
      <x:c r="F71" s="20" t="n">
        <x:v>15</x:v>
      </x:c>
      <x:c r="G71" s="20" t="n">
        <x:v>33</x:v>
      </x:c>
      <x:c r="H71" s="20" t="n">
        <x:v>6</x:v>
      </x:c>
      <x:c r="I71" s="20" t="n">
        <x:v>9</x:v>
      </x:c>
    </x:row>
    <x:row r="72" ht="28" customHeight="1">
      <x:c r="A72" s="19" t="str">
        <x:v>RAIL_COMPONENT_CANDIDATE</x:v>
      </x:c>
      <x:c r="B72" s="18" t="str">
        <x:v>operator</x:v>
      </x:c>
      <x:c r="C72" s="19" t="str">
        <x:v>東葉高速鉄道</x:v>
      </x:c>
      <x:c r="D72" s="20" t="n">
        <x:v>7</x:v>
      </x:c>
      <x:c r="E72" s="20" t="n">
        <x:v>0</x:v>
      </x:c>
      <x:c r="F72" s="20" t="n">
        <x:v>0</x:v>
      </x:c>
      <x:c r="G72" s="20" t="n">
        <x:v>6</x:v>
      </x:c>
      <x:c r="H72" s="20" t="n">
        <x:v>0</x:v>
      </x:c>
      <x:c r="I72" s="20" t="n">
        <x:v>1</x:v>
      </x:c>
    </x:row>
    <x:row r="73" ht="28" customHeight="1">
      <x:c r="A73" s="19" t="str">
        <x:v>RAIL_COMPONENT_CANDIDATE</x:v>
      </x:c>
      <x:c r="B73" s="18" t="str">
        <x:v>operator</x:v>
      </x:c>
      <x:c r="C73" s="19" t="str">
        <x:v>横浜シーサイドライン</x:v>
      </x:c>
      <x:c r="D73" s="20" t="n">
        <x:v>3</x:v>
      </x:c>
      <x:c r="E73" s="20" t="n">
        <x:v>0</x:v>
      </x:c>
      <x:c r="F73" s="20" t="n">
        <x:v>0</x:v>
      </x:c>
      <x:c r="G73" s="20" t="n">
        <x:v>3</x:v>
      </x:c>
      <x:c r="H73" s="20" t="n">
        <x:v>0</x:v>
      </x:c>
      <x:c r="I73" s="20" t="n">
        <x:v>0</x:v>
      </x:c>
    </x:row>
    <x:row r="74" ht="28" customHeight="1">
      <x:c r="A74" s="19" t="str">
        <x:v>RAIL_COMPONENT_CANDIDATE</x:v>
      </x:c>
      <x:c r="B74" s="18" t="str">
        <x:v>operator</x:v>
      </x:c>
      <x:c r="C74" s="19" t="str">
        <x:v>横浜市</x:v>
      </x:c>
      <x:c r="D74" s="20" t="n">
        <x:v>22</x:v>
      </x:c>
      <x:c r="E74" s="20" t="n">
        <x:v>0</x:v>
      </x:c>
      <x:c r="F74" s="20" t="n">
        <x:v>1</x:v>
      </x:c>
      <x:c r="G74" s="20" t="n">
        <x:v>21</x:v>
      </x:c>
      <x:c r="H74" s="20" t="n">
        <x:v>0</x:v>
      </x:c>
      <x:c r="I74" s="20" t="n">
        <x:v>0</x:v>
      </x:c>
    </x:row>
    <x:row r="75" ht="28" customHeight="1">
      <x:c r="A75" s="19" t="str">
        <x:v>RAIL_COMPONENT_CANDIDATE</x:v>
      </x:c>
      <x:c r="B75" s="18" t="str">
        <x:v>operator</x:v>
      </x:c>
      <x:c r="C75" s="19" t="str">
        <x:v>横浜高速鉄道</x:v>
      </x:c>
      <x:c r="D75" s="20" t="n">
        <x:v>6</x:v>
      </x:c>
      <x:c r="E75" s="20" t="n">
        <x:v>0</x:v>
      </x:c>
      <x:c r="F75" s="20" t="n">
        <x:v>2</x:v>
      </x:c>
      <x:c r="G75" s="20" t="n">
        <x:v>3</x:v>
      </x:c>
      <x:c r="H75" s="20" t="n">
        <x:v>0</x:v>
      </x:c>
      <x:c r="I75" s="20" t="n">
        <x:v>1</x:v>
      </x:c>
    </x:row>
    <x:row r="76" ht="28" customHeight="1">
      <x:c r="A76" s="19" t="str">
        <x:v>RAIL_COMPONENT_CANDIDATE</x:v>
      </x:c>
      <x:c r="B76" s="18" t="str">
        <x:v>operator</x:v>
      </x:c>
      <x:c r="C76" s="19" t="str">
        <x:v>江ノ島電鉄</x:v>
      </x:c>
      <x:c r="D76" s="20" t="n">
        <x:v>4</x:v>
      </x:c>
      <x:c r="E76" s="20" t="n">
        <x:v>0</x:v>
      </x:c>
      <x:c r="F76" s="20" t="n">
        <x:v>0</x:v>
      </x:c>
      <x:c r="G76" s="20" t="n">
        <x:v>4</x:v>
      </x:c>
      <x:c r="H76" s="20" t="n">
        <x:v>0</x:v>
      </x:c>
      <x:c r="I76" s="20" t="n">
        <x:v>0</x:v>
      </x:c>
    </x:row>
    <x:row r="77" ht="28" customHeight="1">
      <x:c r="A77" s="19" t="str">
        <x:v>RAIL_COMPONENT_CANDIDATE</x:v>
      </x:c>
      <x:c r="B77" s="18" t="str">
        <x:v>operator</x:v>
      </x:c>
      <x:c r="C77" s="19" t="str">
        <x:v>沖縄都市モノレール</x:v>
      </x:c>
      <x:c r="D77" s="20" t="n">
        <x:v>3</x:v>
      </x:c>
      <x:c r="E77" s="20" t="n">
        <x:v>0</x:v>
      </x:c>
      <x:c r="F77" s="20" t="n">
        <x:v>0</x:v>
      </x:c>
      <x:c r="G77" s="20" t="n">
        <x:v>3</x:v>
      </x:c>
      <x:c r="H77" s="20" t="n">
        <x:v>0</x:v>
      </x:c>
      <x:c r="I77" s="20" t="n">
        <x:v>0</x:v>
      </x:c>
    </x:row>
    <x:row r="78" ht="28" customHeight="1">
      <x:c r="A78" s="19" t="str">
        <x:v>RAIL_COMPONENT_CANDIDATE</x:v>
      </x:c>
      <x:c r="B78" s="18" t="str">
        <x:v>operator</x:v>
      </x:c>
      <x:c r="C78" s="19" t="str">
        <x:v>泉北高速鉄道</x:v>
      </x:c>
      <x:c r="D78" s="20" t="n">
        <x:v>5</x:v>
      </x:c>
      <x:c r="E78" s="20" t="n">
        <x:v>0</x:v>
      </x:c>
      <x:c r="F78" s="20" t="n">
        <x:v>0</x:v>
      </x:c>
      <x:c r="G78" s="20" t="n">
        <x:v>5</x:v>
      </x:c>
      <x:c r="H78" s="20" t="n">
        <x:v>0</x:v>
      </x:c>
      <x:c r="I78" s="20" t="n">
        <x:v>0</x:v>
      </x:c>
    </x:row>
    <x:row r="79" ht="28" customHeight="1">
      <x:c r="A79" s="19" t="str">
        <x:v>RAIL_COMPONENT_CANDIDATE</x:v>
      </x:c>
      <x:c r="B79" s="18" t="str">
        <x:v>operator</x:v>
      </x:c>
      <x:c r="C79" s="19" t="str">
        <x:v>湘南モノレール</x:v>
      </x:c>
      <x:c r="D79" s="20" t="n">
        <x:v>1</x:v>
      </x:c>
      <x:c r="E79" s="20" t="n">
        <x:v>0</x:v>
      </x:c>
      <x:c r="F79" s="20" t="n">
        <x:v>0</x:v>
      </x:c>
      <x:c r="G79" s="20" t="n">
        <x:v>1</x:v>
      </x:c>
      <x:c r="H79" s="20" t="n">
        <x:v>0</x:v>
      </x:c>
      <x:c r="I79" s="20" t="n">
        <x:v>0</x:v>
      </x:c>
    </x:row>
    <x:row r="80" ht="28" customHeight="1">
      <x:c r="A80" s="19" t="str">
        <x:v>RAIL_COMPONENT_CANDIDATE</x:v>
      </x:c>
      <x:c r="B80" s="18" t="str">
        <x:v>operator</x:v>
      </x:c>
      <x:c r="C80" s="19" t="str">
        <x:v>熊本市</x:v>
      </x:c>
      <x:c r="D80" s="20" t="n">
        <x:v>1</x:v>
      </x:c>
      <x:c r="E80" s="20" t="n">
        <x:v>0</x:v>
      </x:c>
      <x:c r="F80" s="20" t="n">
        <x:v>0</x:v>
      </x:c>
      <x:c r="G80" s="20" t="n">
        <x:v>0</x:v>
      </x:c>
      <x:c r="H80" s="20" t="n">
        <x:v>1</x:v>
      </x:c>
      <x:c r="I80" s="20" t="n">
        <x:v>0</x:v>
      </x:c>
    </x:row>
    <x:row r="81" ht="28" customHeight="1">
      <x:c r="A81" s="19" t="str">
        <x:v>RAIL_COMPONENT_CANDIDATE</x:v>
      </x:c>
      <x:c r="B81" s="18" t="str">
        <x:v>operator</x:v>
      </x:c>
      <x:c r="C81" s="19" t="str">
        <x:v>相模鉄道</x:v>
      </x:c>
      <x:c r="D81" s="20" t="n">
        <x:v>25</x:v>
      </x:c>
      <x:c r="E81" s="20" t="n">
        <x:v>1</x:v>
      </x:c>
      <x:c r="F81" s="20" t="n">
        <x:v>6</x:v>
      </x:c>
      <x:c r="G81" s="20" t="n">
        <x:v>18</x:v>
      </x:c>
      <x:c r="H81" s="20" t="n">
        <x:v>0</x:v>
      </x:c>
      <x:c r="I81" s="20" t="n">
        <x:v>0</x:v>
      </x:c>
    </x:row>
    <x:row r="82" ht="28" customHeight="1">
      <x:c r="A82" s="19" t="str">
        <x:v>RAIL_COMPONENT_CANDIDATE</x:v>
      </x:c>
      <x:c r="B82" s="18" t="str">
        <x:v>operator</x:v>
      </x:c>
      <x:c r="C82" s="19" t="str">
        <x:v>神戸市</x:v>
      </x:c>
      <x:c r="D82" s="20" t="n">
        <x:v>16</x:v>
      </x:c>
      <x:c r="E82" s="20" t="n">
        <x:v>0</x:v>
      </x:c>
      <x:c r="F82" s="20" t="n">
        <x:v>1</x:v>
      </x:c>
      <x:c r="G82" s="20" t="n">
        <x:v>15</x:v>
      </x:c>
      <x:c r="H82" s="20" t="n">
        <x:v>0</x:v>
      </x:c>
      <x:c r="I82" s="20" t="n">
        <x:v>0</x:v>
      </x:c>
    </x:row>
    <x:row r="83" ht="28" customHeight="1">
      <x:c r="A83" s="19" t="str">
        <x:v>RAIL_COMPONENT_CANDIDATE</x:v>
      </x:c>
      <x:c r="B83" s="18" t="str">
        <x:v>operator</x:v>
      </x:c>
      <x:c r="C83" s="19" t="str">
        <x:v>神戸新交通</x:v>
      </x:c>
      <x:c r="D83" s="20" t="n">
        <x:v>8</x:v>
      </x:c>
      <x:c r="E83" s="20" t="n">
        <x:v>0</x:v>
      </x:c>
      <x:c r="F83" s="20" t="n">
        <x:v>1</x:v>
      </x:c>
      <x:c r="G83" s="20" t="n">
        <x:v>6</x:v>
      </x:c>
      <x:c r="H83" s="20" t="n">
        <x:v>1</x:v>
      </x:c>
      <x:c r="I83" s="20" t="n">
        <x:v>0</x:v>
      </x:c>
    </x:row>
    <x:row r="84" ht="28" customHeight="1">
      <x:c r="A84" s="19" t="str">
        <x:v>RAIL_COMPONENT_CANDIDATE</x:v>
      </x:c>
      <x:c r="B84" s="18" t="str">
        <x:v>operator</x:v>
      </x:c>
      <x:c r="C84" s="19" t="str">
        <x:v>神戸電鉄</x:v>
      </x:c>
      <x:c r="D84" s="20" t="n">
        <x:v>4</x:v>
      </x:c>
      <x:c r="E84" s="20" t="n">
        <x:v>0</x:v>
      </x:c>
      <x:c r="F84" s="20" t="n">
        <x:v>0</x:v>
      </x:c>
      <x:c r="G84" s="20" t="n">
        <x:v>2</x:v>
      </x:c>
      <x:c r="H84" s="20" t="n">
        <x:v>1</x:v>
      </x:c>
      <x:c r="I84" s="20" t="n">
        <x:v>1</x:v>
      </x:c>
    </x:row>
    <x:row r="85" ht="28" customHeight="1">
      <x:c r="A85" s="19" t="str">
        <x:v>RAIL_COMPONENT_CANDIDATE</x:v>
      </x:c>
      <x:c r="B85" s="18" t="str">
        <x:v>operator</x:v>
      </x:c>
      <x:c r="C85" s="19" t="str">
        <x:v>福岡市</x:v>
      </x:c>
      <x:c r="D85" s="20" t="n">
        <x:v>24</x:v>
      </x:c>
      <x:c r="E85" s="20" t="n">
        <x:v>1</x:v>
      </x:c>
      <x:c r="F85" s="20" t="n">
        <x:v>3</x:v>
      </x:c>
      <x:c r="G85" s="20" t="n">
        <x:v>20</x:v>
      </x:c>
      <x:c r="H85" s="20" t="n">
        <x:v>0</x:v>
      </x:c>
      <x:c r="I85" s="20" t="n">
        <x:v>0</x:v>
      </x:c>
    </x:row>
    <x:row r="86" ht="28" customHeight="1">
      <x:c r="A86" s="19" t="str">
        <x:v>RAIL_COMPONENT_CANDIDATE</x:v>
      </x:c>
      <x:c r="B86" s="18" t="str">
        <x:v>operator</x:v>
      </x:c>
      <x:c r="C86" s="19" t="str">
        <x:v>秩父鉄道</x:v>
      </x:c>
      <x:c r="D86" s="20" t="n">
        <x:v>1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</x:row>
    <x:row r="87" ht="28" customHeight="1">
      <x:c r="A87" s="19" t="str">
        <x:v>RAIL_COMPONENT_CANDIDATE</x:v>
      </x:c>
      <x:c r="B87" s="18" t="str">
        <x:v>operator</x:v>
      </x:c>
      <x:c r="C87" s="19" t="str">
        <x:v>舞浜リゾートライン</x:v>
      </x:c>
      <x:c r="D87" s="20" t="n">
        <x:v>4</x:v>
      </x:c>
      <x:c r="E87" s="20" t="n">
        <x:v>0</x:v>
      </x:c>
      <x:c r="F87" s="20" t="n">
        <x:v>0</x:v>
      </x:c>
      <x:c r="G87" s="20" t="n">
        <x:v>4</x:v>
      </x:c>
      <x:c r="H87" s="20" t="n">
        <x:v>0</x:v>
      </x:c>
      <x:c r="I87" s="20" t="n">
        <x:v>0</x:v>
      </x:c>
    </x:row>
    <x:row r="88" ht="28" customHeight="1">
      <x:c r="A88" s="19" t="str">
        <x:v>RAIL_COMPONENT_CANDIDATE</x:v>
      </x:c>
      <x:c r="B88" s="18" t="str">
        <x:v>operator</x:v>
      </x:c>
      <x:c r="C88" s="19" t="str">
        <x:v>西日本旅客鉄道</x:v>
      </x:c>
      <x:c r="D88" s="20" t="n">
        <x:v>228</x:v>
      </x:c>
      <x:c r="E88" s="20" t="n">
        <x:v>5</x:v>
      </x:c>
      <x:c r="F88" s="20" t="n">
        <x:v>26</x:v>
      </x:c>
      <x:c r="G88" s="20" t="n">
        <x:v>165</x:v>
      </x:c>
      <x:c r="H88" s="20" t="n">
        <x:v>17</x:v>
      </x:c>
      <x:c r="I88" s="20" t="n">
        <x:v>15</x:v>
      </x:c>
    </x:row>
    <x:row r="89" ht="28" customHeight="1">
      <x:c r="A89" s="19" t="str">
        <x:v>RAIL_COMPONENT_CANDIDATE</x:v>
      </x:c>
      <x:c r="B89" s="18" t="str">
        <x:v>operator</x:v>
      </x:c>
      <x:c r="C89" s="19" t="str">
        <x:v>西日本鉄道</x:v>
      </x:c>
      <x:c r="D89" s="20" t="n">
        <x:v>15</x:v>
      </x:c>
      <x:c r="E89" s="20" t="n">
        <x:v>0</x:v>
      </x:c>
      <x:c r="F89" s="20" t="n">
        <x:v>1</x:v>
      </x:c>
      <x:c r="G89" s="20" t="n">
        <x:v>14</x:v>
      </x:c>
      <x:c r="H89" s="20" t="n">
        <x:v>0</x:v>
      </x:c>
      <x:c r="I89" s="20" t="n">
        <x:v>0</x:v>
      </x:c>
    </x:row>
    <x:row r="90" ht="28" customHeight="1">
      <x:c r="A90" s="19" t="str">
        <x:v>RAIL_COMPONENT_CANDIDATE</x:v>
      </x:c>
      <x:c r="B90" s="18" t="str">
        <x:v>operator</x:v>
      </x:c>
      <x:c r="C90" s="19" t="str">
        <x:v>西武鉄道</x:v>
      </x:c>
      <x:c r="D90" s="20" t="n">
        <x:v>68</x:v>
      </x:c>
      <x:c r="E90" s="20" t="n">
        <x:v>2</x:v>
      </x:c>
      <x:c r="F90" s="20" t="n">
        <x:v>13</x:v>
      </x:c>
      <x:c r="G90" s="20" t="n">
        <x:v>50</x:v>
      </x:c>
      <x:c r="H90" s="20" t="n">
        <x:v>2</x:v>
      </x:c>
      <x:c r="I90" s="20" t="n">
        <x:v>1</x:v>
      </x:c>
    </x:row>
    <x:row r="91" ht="28" customHeight="1">
      <x:c r="A91" s="19" t="str">
        <x:v>RAIL_COMPONENT_CANDIDATE</x:v>
      </x:c>
      <x:c r="B91" s="18" t="str">
        <x:v>operator</x:v>
      </x:c>
      <x:c r="C91" s="19" t="str">
        <x:v>豊橋鉄道</x:v>
      </x:c>
      <x:c r="D91" s="20" t="n">
        <x:v>1</x:v>
      </x:c>
      <x:c r="E91" s="20" t="n">
        <x:v>0</x:v>
      </x:c>
      <x:c r="F91" s="20" t="n">
        <x:v>0</x:v>
      </x:c>
      <x:c r="G91" s="20" t="n">
        <x:v>1</x:v>
      </x:c>
      <x:c r="H91" s="20" t="n">
        <x:v>0</x:v>
      </x:c>
      <x:c r="I91" s="20" t="n">
        <x:v>0</x:v>
      </x:c>
    </x:row>
    <x:row r="92" ht="28" customHeight="1">
      <x:c r="A92" s="19" t="str">
        <x:v>RAIL_COMPONENT_CANDIDATE</x:v>
      </x:c>
      <x:c r="B92" s="18" t="str">
        <x:v>operator</x:v>
      </x:c>
      <x:c r="C92" s="19" t="str">
        <x:v>近畿日本鉄道</x:v>
      </x:c>
      <x:c r="D92" s="20" t="n">
        <x:v>69</x:v>
      </x:c>
      <x:c r="E92" s="20" t="n">
        <x:v>0</x:v>
      </x:c>
      <x:c r="F92" s="20" t="n">
        <x:v>7</x:v>
      </x:c>
      <x:c r="G92" s="20" t="n">
        <x:v>58</x:v>
      </x:c>
      <x:c r="H92" s="20" t="n">
        <x:v>2</x:v>
      </x:c>
      <x:c r="I92" s="20" t="n">
        <x:v>2</x:v>
      </x:c>
    </x:row>
    <x:row r="93" ht="28" customHeight="1">
      <x:c r="A93" s="19" t="str">
        <x:v>RAIL_COMPONENT_CANDIDATE</x:v>
      </x:c>
      <x:c r="B93" s="18" t="str">
        <x:v>operator</x:v>
      </x:c>
      <x:c r="C93" s="19" t="str">
        <x:v>遠州鉄道</x:v>
      </x:c>
      <x:c r="D93" s="20" t="n">
        <x:v>1</x:v>
      </x:c>
      <x:c r="E93" s="20" t="n">
        <x:v>0</x:v>
      </x:c>
      <x:c r="F93" s="20" t="n">
        <x:v>0</x:v>
      </x:c>
      <x:c r="G93" s="20" t="n">
        <x:v>1</x:v>
      </x:c>
      <x:c r="H93" s="20" t="n">
        <x:v>0</x:v>
      </x:c>
      <x:c r="I93" s="20" t="n">
        <x:v>0</x:v>
      </x:c>
    </x:row>
    <x:row r="94" ht="28" customHeight="1">
      <x:c r="A94" s="19" t="str">
        <x:v>RAIL_COMPONENT_CANDIDATE</x:v>
      </x:c>
      <x:c r="B94" s="18" t="str">
        <x:v>operator</x:v>
      </x:c>
      <x:c r="C94" s="19" t="str">
        <x:v>関東鉄道</x:v>
      </x:c>
      <x:c r="D94" s="20" t="n">
        <x:v>2</x:v>
      </x:c>
      <x:c r="E94" s="20" t="n">
        <x:v>0</x:v>
      </x:c>
      <x:c r="F94" s="20" t="n">
        <x:v>0</x:v>
      </x:c>
      <x:c r="G94" s="20" t="n">
        <x:v>2</x:v>
      </x:c>
      <x:c r="H94" s="20" t="n">
        <x:v>0</x:v>
      </x:c>
      <x:c r="I94" s="20" t="n">
        <x:v>0</x:v>
      </x:c>
    </x:row>
    <x:row r="95" ht="28" customHeight="1">
      <x:c r="A95" s="19" t="str">
        <x:v>RAIL_COMPONENT_CANDIDATE</x:v>
      </x:c>
      <x:c r="B95" s="18" t="str">
        <x:v>operator</x:v>
      </x:c>
      <x:c r="C95" s="19" t="str">
        <x:v>阪堺電気軌道</x:v>
      </x:c>
      <x:c r="D95" s="20" t="n">
        <x:v>3</x:v>
      </x:c>
      <x:c r="E95" s="20" t="n">
        <x:v>0</x:v>
      </x:c>
      <x:c r="F95" s="20" t="n">
        <x:v>0</x:v>
      </x:c>
      <x:c r="G95" s="20" t="n">
        <x:v>1</x:v>
      </x:c>
      <x:c r="H95" s="20" t="n">
        <x:v>2</x:v>
      </x:c>
      <x:c r="I95" s="20" t="n">
        <x:v>0</x:v>
      </x:c>
    </x:row>
    <x:row r="96" ht="28" customHeight="1">
      <x:c r="A96" s="19" t="str">
        <x:v>RAIL_COMPONENT_CANDIDATE</x:v>
      </x:c>
      <x:c r="B96" s="18" t="str">
        <x:v>operator</x:v>
      </x:c>
      <x:c r="C96" s="19" t="str">
        <x:v>阪急電鉄</x:v>
      </x:c>
      <x:c r="D96" s="20" t="n">
        <x:v>66</x:v>
      </x:c>
      <x:c r="E96" s="20" t="n">
        <x:v>1</x:v>
      </x:c>
      <x:c r="F96" s="20" t="n">
        <x:v>8</x:v>
      </x:c>
      <x:c r="G96" s="20" t="n">
        <x:v>56</x:v>
      </x:c>
      <x:c r="H96" s="20" t="n">
        <x:v>0</x:v>
      </x:c>
      <x:c r="I96" s="20" t="n">
        <x:v>1</x:v>
      </x:c>
    </x:row>
    <x:row r="97" ht="28" customHeight="1">
      <x:c r="A97" s="19" t="str">
        <x:v>RAIL_COMPONENT_CANDIDATE</x:v>
      </x:c>
      <x:c r="B97" s="18" t="str">
        <x:v>operator</x:v>
      </x:c>
      <x:c r="C97" s="19" t="str">
        <x:v>阪神電気鉄道</x:v>
      </x:c>
      <x:c r="D97" s="20" t="n">
        <x:v>35</x:v>
      </x:c>
      <x:c r="E97" s="20" t="n">
        <x:v>0</x:v>
      </x:c>
      <x:c r="F97" s="20" t="n">
        <x:v>4</x:v>
      </x:c>
      <x:c r="G97" s="20" t="n">
        <x:v>29</x:v>
      </x:c>
      <x:c r="H97" s="20" t="n">
        <x:v>1</x:v>
      </x:c>
      <x:c r="I97" s="20" t="n">
        <x:v>1</x:v>
      </x:c>
    </x:row>
    <x:row r="98" ht="28" customHeight="1">
      <x:c r="A98" s="19" t="str">
        <x:v>RAIL_COMPONENT_CANDIDATE</x:v>
      </x:c>
      <x:c r="B98" s="18" t="str">
        <x:v>operator</x:v>
      </x:c>
      <x:c r="C98" s="19" t="str">
        <x:v>静岡鉄道</x:v>
      </x:c>
      <x:c r="D98" s="20" t="n">
        <x:v>1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</x:row>
    <x:row r="99" ht="28" customHeight="1">
      <x:c r="A99" s="19" t="str">
        <x:v>RAIL_COMPONENT_CANDIDATE</x:v>
      </x:c>
      <x:c r="B99" s="18" t="str">
        <x:v>operator</x:v>
      </x:c>
      <x:c r="C99" s="19" t="str">
        <x:v>養老鉄道</x:v>
      </x:c>
      <x:c r="D99" s="20" t="n">
        <x:v>1</x:v>
      </x:c>
      <x:c r="E99" s="20" t="n">
        <x:v>0</x:v>
      </x:c>
      <x:c r="F99" s="20" t="n">
        <x:v>0</x:v>
      </x:c>
      <x:c r="G99" s="20" t="n">
        <x:v>0</x:v>
      </x:c>
      <x:c r="H99" s="20" t="n">
        <x:v>1</x:v>
      </x:c>
      <x:c r="I99" s="20" t="n">
        <x:v>0</x:v>
      </x:c>
    </x:row>
    <x:row r="100" ht="28" customHeight="1">
      <x:c r="A100" s="19" t="str">
        <x:v>RAIL_COMPONENT_CANDIDATE</x:v>
      </x:c>
      <x:c r="B100" s="18" t="str">
        <x:v>operator</x:v>
      </x:c>
      <x:c r="C100" s="19" t="str">
        <x:v>首都圏新都市鉄道</x:v>
      </x:c>
      <x:c r="D100" s="20" t="n">
        <x:v>19</x:v>
      </x:c>
      <x:c r="E100" s="20" t="n">
        <x:v>0</x:v>
      </x:c>
      <x:c r="F100" s="20" t="n">
        <x:v>5</x:v>
      </x:c>
      <x:c r="G100" s="20" t="n">
        <x:v>14</x:v>
      </x:c>
      <x:c r="H100" s="20" t="n">
        <x:v>0</x:v>
      </x:c>
      <x:c r="I100" s="20" t="n">
        <x:v>0</x:v>
      </x:c>
    </x:row>
    <x:row r="101" ht="28" customHeight="1">
      <x:c r="A101" s="19" t="str">
        <x:v>RAIL_COMPONENT_CANDIDATE</x:v>
      </x:c>
      <x:c r="B101" s="18" t="str">
        <x:v>operator</x:v>
      </x:c>
      <x:c r="C101" s="19" t="str">
        <x:v>高松琴平電気鉄道</x:v>
      </x:c>
      <x:c r="D101" s="20" t="n">
        <x:v>2</x:v>
      </x:c>
      <x:c r="E101" s="20" t="n">
        <x:v>0</x:v>
      </x:c>
      <x:c r="F101" s="20" t="n">
        <x:v>0</x:v>
      </x:c>
      <x:c r="G101" s="20" t="n">
        <x:v>2</x:v>
      </x:c>
      <x:c r="H101" s="20" t="n">
        <x:v>0</x:v>
      </x:c>
      <x:c r="I101" s="20" t="n">
        <x:v>0</x:v>
      </x:c>
    </x:row>
    <x:row r="102" ht="28" customHeight="1">
      <x:c r="A102" s="19" t="str">
        <x:v>RAIL_COMPONENT_CANDIDATE</x:v>
      </x:c>
      <x:c r="B102" s="18" t="str">
        <x:v>operator</x:v>
      </x:c>
      <x:c r="C102" s="19" t="str">
        <x:v>鹿児島市</x:v>
      </x:c>
      <x:c r="D102" s="20" t="n">
        <x:v>1</x:v>
      </x:c>
      <x:c r="E102" s="20" t="n">
        <x:v>0</x:v>
      </x:c>
      <x:c r="F102" s="20" t="n">
        <x:v>0</x:v>
      </x:c>
      <x:c r="G102" s="20" t="n">
        <x:v>0</x:v>
      </x:c>
      <x:c r="H102" s="20" t="n">
        <x:v>1</x:v>
      </x:c>
      <x:c r="I102" s="20" t="n">
        <x:v>0</x:v>
      </x:c>
    </x:row>
    <x:row r="103" ht="28" customHeight="1">
      <x:c r="A103" s="19" t="str">
        <x:v>AIRPORT_PLANNING_CANDIDATE_PROPOSED_ONLY</x:v>
      </x:c>
      <x:c r="B103" s="18" t="str">
        <x:v>mode</x:v>
      </x:c>
      <x:c r="C103" s="19" t="str">
        <x:v>airport</x:v>
      </x:c>
      <x:c r="D103" s="20" t="n">
        <x:v>86</x:v>
      </x:c>
      <x:c r="E103" s="20" t="n">
        <x:v>8</x:v>
      </x:c>
      <x:c r="F103" s="20" t="n">
        <x:v>23</x:v>
      </x:c>
      <x:c r="G103" s="20" t="n">
        <x:v>37</x:v>
      </x:c>
      <x:c r="H103" s="20" t="n">
        <x:v>18</x:v>
      </x:c>
      <x:c r="I103" s="20" t="n">
        <x:v>0</x:v>
      </x:c>
    </x:row>
    <x:row r="104" ht="28" customHeight="1">
      <x:c r="A104" s="19" t="str">
        <x:v>BUS_SOURCE_REVIEW_RECORD_NOT_DEDUPED_FACILITY</x:v>
      </x:c>
      <x:c r="B104" s="18" t="str">
        <x:v>mode</x:v>
      </x:c>
      <x:c r="C104" s="19" t="str">
        <x:v>bus_terminal</x:v>
      </x:c>
      <x:c r="D104" s="20" t="n">
        <x:v>212</x:v>
      </x:c>
      <x:c r="E104" s="20" t="n">
        <x:v>1</x:v>
      </x:c>
      <x:c r="F104" s="20" t="n">
        <x:v>0</x:v>
      </x:c>
      <x:c r="G104" s="20" t="n">
        <x:v>0</x:v>
      </x:c>
      <x:c r="H104" s="20" t="n">
        <x:v>0</x:v>
      </x:c>
      <x:c r="I104" s="20" t="n">
        <x:v>211</x:v>
      </x:c>
    </x:row>
    <x:row r="105" ht="28" customHeight="1">
      <x:c r="A105" s="19" t="str">
        <x:v>HUB_BOUNDARY_REVIEW_SCOPE</x:v>
      </x:c>
      <x:c r="B105" s="18" t="str">
        <x:v>entity_layer</x:v>
      </x:c>
      <x:c r="C105" s="19" t="str">
        <x:v>Hub</x:v>
      </x:c>
      <x:c r="D105" s="20" t="n">
        <x:v>261</x:v>
      </x:c>
      <x:c r="E105" s="20" t="n">
        <x:v>55</x:v>
      </x:c>
      <x:c r="F105" s="20" t="n">
        <x:v>113</x:v>
      </x:c>
      <x:c r="G105" s="20" t="n">
        <x:v>88</x:v>
      </x:c>
      <x:c r="H105" s="20" t="n">
        <x:v>5</x:v>
      </x:c>
      <x:c r="I105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eea29262ed44ae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4" hidden="0" customWidth="1"/>
    <x:col min="4" max="4" width="24" hidden="0" customWidth="1"/>
    <x:col min="5" max="5" width="50" hidden="0" customWidth="1"/>
    <x:col min="6" max="6" width="60" hidden="0" customWidth="1"/>
    <x:col min="7" max="7" width="60" hidden="0" customWidth="1"/>
    <x:col min="8" max="8" width="46" hidden="0" customWidth="1"/>
    <x:col min="9" max="9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本轮候选模式更正与新增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逐条保留模式纠正及官方 Hub 补入的组件。未重绑正式已接收身份。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来源：data/transport/nodes/task-084-b-v2-amendment-review/candidate-revision-lineage.jsonl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站名</x:v>
      </x:c>
      <x:c r="B5" s="16" t="str">
        <x:v>运营方</x:v>
      </x:c>
      <x:c r="C5" s="16" t="str">
        <x:v>原模式</x:v>
      </x:c>
      <x:c r="D5" s="16" t="str">
        <x:v>本轮模式</x:v>
      </x:c>
      <x:c r="E5" s="16" t="str">
        <x:v>变更决定</x:v>
      </x:c>
      <x:c r="F5" s="16" t="str">
        <x:v>原候选 ID</x:v>
      </x:c>
      <x:c r="G5" s="16" t="str">
        <x:v>本轮候选 ID</x:v>
      </x:c>
      <x:c r="H5" s="16" t="str">
        <x:v>原版本</x:v>
      </x:c>
      <x:c r="I5" s="17" t="str">
        <x:v>正式身份重绑</x:v>
      </x:c>
    </x:row>
    <x:row r="6" ht="28" customHeight="1">
      <x:c r="A6" s="18" t="str">
        <x:v>さっぽろ</x:v>
      </x:c>
      <x:c r="B6" s="18" t="str">
        <x:v>札幌市</x:v>
      </x:c>
      <x:c r="C6" s="18" t="str">
        <x:v>fixed_guideway</x:v>
      </x:c>
      <x:c r="D6" s="18" t="str">
        <x:v>metro</x:v>
      </x:c>
      <x:c r="E6" s="19" t="str">
        <x:v>EXPLICIT_CANDIDATE_MODE_CORRECTION</x:v>
      </x:c>
      <x:c r="F6" s="18" t="str">
        <x:v>transport-node:7149abea-6e19-517e-ab27-6c1da8e3589a</x:v>
      </x:c>
      <x:c r="G6" s="18" t="str">
        <x:v>transport-node:3dddce3a-15dd-5d20-a731-caecbfdb75f4</x:v>
      </x:c>
      <x:c r="H6" s="18" t="str">
        <x:v>36d899d3899ba9ff292a27cfa2d43de8ce40674f</x:v>
      </x:c>
      <x:c r="I6" s="18" t="str">
        <x:v>否</x:v>
      </x:c>
    </x:row>
    <x:row r="7" ht="28" customHeight="1">
      <x:c r="A7" s="18" t="str">
        <x:v>すすきの</x:v>
      </x:c>
      <x:c r="B7" s="18" t="str">
        <x:v>一般社団法人札幌市交通事業振興公社</x:v>
      </x:c>
      <x:c r="C7" s="18"/>
      <x:c r="D7" s="18" t="str">
        <x:v>tram</x:v>
      </x:c>
      <x:c r="E7" s="19" t="str">
        <x:v>ADDED_OFFICIAL_HUB_COMPONENT_REVIEW</x:v>
      </x:c>
      <x:c r="F7" s="18"/>
      <x:c r="G7" s="18" t="str">
        <x:v>transport-node:c22af0fe-ee2e-5692-826e-c20d566e6bb0</x:v>
      </x:c>
      <x:c r="H7" s="18" t="str">
        <x:v>36d899d3899ba9ff292a27cfa2d43de8ce40674f</x:v>
      </x:c>
      <x:c r="I7" s="18" t="str">
        <x:v>否</x:v>
      </x:c>
    </x:row>
    <x:row r="8" ht="28" customHeight="1">
      <x:c r="A8" s="18" t="str">
        <x:v>すすきの</x:v>
      </x:c>
      <x:c r="B8" s="18" t="str">
        <x:v>札幌市</x:v>
      </x:c>
      <x:c r="C8" s="18" t="str">
        <x:v>fixed_guideway</x:v>
      </x:c>
      <x:c r="D8" s="18" t="str">
        <x:v>metro</x:v>
      </x:c>
      <x:c r="E8" s="19" t="str">
        <x:v>EXPLICIT_CANDIDATE_MODE_CORRECTION</x:v>
      </x:c>
      <x:c r="F8" s="18" t="str">
        <x:v>transport-node:17fea973-a225-53a3-8055-bf8db08844d5</x:v>
      </x:c>
      <x:c r="G8" s="18" t="str">
        <x:v>transport-node:1a4b90cc-3aea-5f3f-9fd8-59a7fd0635e3</x:v>
      </x:c>
      <x:c r="H8" s="18" t="str">
        <x:v>36d899d3899ba9ff292a27cfa2d43de8ce40674f</x:v>
      </x:c>
      <x:c r="I8" s="18" t="str">
        <x:v>否</x:v>
      </x:c>
    </x:row>
    <x:row r="9" ht="28" customHeight="1">
      <x:c r="A9" s="18" t="str">
        <x:v>とうきょうスカイツリー</x:v>
      </x:c>
      <x:c r="B9" s="18" t="str">
        <x:v>東武鉄道</x:v>
      </x:c>
      <x:c r="C9" s="18"/>
      <x:c r="D9" s="18" t="str">
        <x:v>private_rail</x:v>
      </x:c>
      <x:c r="E9" s="19" t="str">
        <x:v>ADDED_OFFICIAL_HUB_COMPONENT_REVIEW</x:v>
      </x:c>
      <x:c r="F9" s="18"/>
      <x:c r="G9" s="18" t="str">
        <x:v>transport-node:8f44c269-3917-5afa-a579-77a687fd3b81</x:v>
      </x:c>
      <x:c r="H9" s="18" t="str">
        <x:v>36d899d3899ba9ff292a27cfa2d43de8ce40674f</x:v>
      </x:c>
      <x:c r="I9" s="18" t="str">
        <x:v>否</x:v>
      </x:c>
    </x:row>
    <x:row r="10" ht="28" customHeight="1">
      <x:c r="A10" s="18" t="str">
        <x:v>ひばりが丘</x:v>
      </x:c>
      <x:c r="B10" s="18" t="str">
        <x:v>札幌市</x:v>
      </x:c>
      <x:c r="C10" s="18" t="str">
        <x:v>fixed_guideway</x:v>
      </x:c>
      <x:c r="D10" s="18" t="str">
        <x:v>metro</x:v>
      </x:c>
      <x:c r="E10" s="19" t="str">
        <x:v>EXPLICIT_CANDIDATE_MODE_CORRECTION</x:v>
      </x:c>
      <x:c r="F10" s="18" t="str">
        <x:v>transport-node:73ef2785-72c7-5b51-9d2d-4e6107dcce69</x:v>
      </x:c>
      <x:c r="G10" s="18" t="str">
        <x:v>transport-node:7dbe62e9-74e2-5947-a3a8-11615a6f20e0</x:v>
      </x:c>
      <x:c r="H10" s="18" t="str">
        <x:v>36d899d3899ba9ff292a27cfa2d43de8ce40674f</x:v>
      </x:c>
      <x:c r="I10" s="18" t="str">
        <x:v>否</x:v>
      </x:c>
    </x:row>
    <x:row r="11" ht="28" customHeight="1">
      <x:c r="A11" s="18" t="str">
        <x:v>コスモスクエア</x:v>
      </x:c>
      <x:c r="B11" s="18" t="str">
        <x:v>大阪市高速電気軌道</x:v>
      </x:c>
      <x:c r="C11" s="18"/>
      <x:c r="D11" s="18" t="str">
        <x:v>fixed_guideway</x:v>
      </x:c>
      <x:c r="E11" s="19" t="str">
        <x:v>ADDED_OFFICIAL_HUB_COMPONENT_REVIEW</x:v>
      </x:c>
      <x:c r="F11" s="18"/>
      <x:c r="G11" s="18" t="str">
        <x:v>transport-node:79f3e20b-6bd8-5ae7-8d0f-f96f4920566d</x:v>
      </x:c>
      <x:c r="H11" s="18" t="str">
        <x:v>36d899d3899ba9ff292a27cfa2d43de8ce40674f</x:v>
      </x:c>
      <x:c r="I11" s="18" t="str">
        <x:v>否</x:v>
      </x:c>
    </x:row>
    <x:row r="12" ht="28" customHeight="1">
      <x:c r="A12" s="18" t="str">
        <x:v>ナゴヤドーム前矢田</x:v>
      </x:c>
      <x:c r="B12" s="18" t="str">
        <x:v>名古屋ガイドウェイバス</x:v>
      </x:c>
      <x:c r="C12" s="18"/>
      <x:c r="D12" s="18" t="str">
        <x:v>fixed_guideway</x:v>
      </x:c>
      <x:c r="E12" s="19" t="str">
        <x:v>ADDED_OFFICIAL_HUB_COMPONENT_REVIEW</x:v>
      </x:c>
      <x:c r="F12" s="18"/>
      <x:c r="G12" s="18" t="str">
        <x:v>transport-node:4de65118-cae9-5797-8178-3823405c3e69</x:v>
      </x:c>
      <x:c r="H12" s="18" t="str">
        <x:v>36d899d3899ba9ff292a27cfa2d43de8ce40674f</x:v>
      </x:c>
      <x:c r="I12" s="18" t="str">
        <x:v>否</x:v>
      </x:c>
    </x:row>
    <x:row r="13" ht="28" customHeight="1">
      <x:c r="A13" s="18" t="str">
        <x:v>ハーバーランド</x:v>
      </x:c>
      <x:c r="B13" s="18" t="str">
        <x:v>神戸市</x:v>
      </x:c>
      <x:c r="C13" s="18" t="str">
        <x:v>private_rail</x:v>
      </x:c>
      <x:c r="D13" s="18" t="str">
        <x:v>metro</x:v>
      </x:c>
      <x:c r="E13" s="19" t="str">
        <x:v>EXPLICIT_CANDIDATE_MODE_CORRECTION</x:v>
      </x:c>
      <x:c r="F13" s="18" t="str">
        <x:v>transport-node:44a93182-050c-543e-a4c8-d80ea4707cfc</x:v>
      </x:c>
      <x:c r="G13" s="18" t="str">
        <x:v>transport-node:b4df321e-cf51-5062-8192-822fad367cb9</x:v>
      </x:c>
      <x:c r="H13" s="18" t="str">
        <x:v>36d899d3899ba9ff292a27cfa2d43de8ce40674f</x:v>
      </x:c>
      <x:c r="I13" s="18" t="str">
        <x:v>否</x:v>
      </x:c>
    </x:row>
    <x:row r="14" ht="28" customHeight="1">
      <x:c r="A14" s="18" t="str">
        <x:v>バスセンター前</x:v>
      </x:c>
      <x:c r="B14" s="18" t="str">
        <x:v>札幌市</x:v>
      </x:c>
      <x:c r="C14" s="18" t="str">
        <x:v>fixed_guideway</x:v>
      </x:c>
      <x:c r="D14" s="18" t="str">
        <x:v>metro</x:v>
      </x:c>
      <x:c r="E14" s="19" t="str">
        <x:v>EXPLICIT_CANDIDATE_MODE_CORRECTION</x:v>
      </x:c>
      <x:c r="F14" s="18" t="str">
        <x:v>transport-node:72f251f5-ad31-5f1b-a34a-288f068dd336</x:v>
      </x:c>
      <x:c r="G14" s="18" t="str">
        <x:v>transport-node:4b940243-158d-52eb-a4db-7705cc1afe45</x:v>
      </x:c>
      <x:c r="H14" s="18" t="str">
        <x:v>36d899d3899ba9ff292a27cfa2d43de8ce40674f</x:v>
      </x:c>
      <x:c r="I14" s="18" t="str">
        <x:v>否</x:v>
      </x:c>
    </x:row>
    <x:row r="15" ht="28" customHeight="1">
      <x:c r="A15" s="18" t="str">
        <x:v>三宮</x:v>
      </x:c>
      <x:c r="B15" s="18" t="str">
        <x:v>神戸市</x:v>
      </x:c>
      <x:c r="C15" s="18" t="str">
        <x:v>private_rail</x:v>
      </x:c>
      <x:c r="D15" s="18" t="str">
        <x:v>metro</x:v>
      </x:c>
      <x:c r="E15" s="19" t="str">
        <x:v>EXPLICIT_CANDIDATE_MODE_CORRECTION</x:v>
      </x:c>
      <x:c r="F15" s="18" t="str">
        <x:v>transport-node:6388152e-184d-5a46-946b-6fea84e432f4</x:v>
      </x:c>
      <x:c r="G15" s="18" t="str">
        <x:v>transport-node:5eff6373-6615-53d4-b017-7c420a1184ac</x:v>
      </x:c>
      <x:c r="H15" s="18" t="str">
        <x:v>36d899d3899ba9ff292a27cfa2d43de8ce40674f</x:v>
      </x:c>
      <x:c r="I15" s="18" t="str">
        <x:v>否</x:v>
      </x:c>
    </x:row>
    <x:row r="16" ht="28" customHeight="1">
      <x:c r="A16" s="18" t="str">
        <x:v>三宮・花時計前</x:v>
      </x:c>
      <x:c r="B16" s="18" t="str">
        <x:v>神戸市</x:v>
      </x:c>
      <x:c r="C16" s="18" t="str">
        <x:v>private_rail</x:v>
      </x:c>
      <x:c r="D16" s="18" t="str">
        <x:v>metro</x:v>
      </x:c>
      <x:c r="E16" s="19" t="str">
        <x:v>EXPLICIT_CANDIDATE_MODE_CORRECTION</x:v>
      </x:c>
      <x:c r="F16" s="18" t="str">
        <x:v>transport-node:18cb8645-63e5-5b85-9b99-f392661febab</x:v>
      </x:c>
      <x:c r="G16" s="18" t="str">
        <x:v>transport-node:416574e4-78a2-5ea4-afdc-612af883fc2b</x:v>
      </x:c>
      <x:c r="H16" s="18" t="str">
        <x:v>36d899d3899ba9ff292a27cfa2d43de8ce40674f</x:v>
      </x:c>
      <x:c r="I16" s="18" t="str">
        <x:v>否</x:v>
      </x:c>
    </x:row>
    <x:row r="17" ht="28" customHeight="1">
      <x:c r="A17" s="18" t="str">
        <x:v>三軒茶屋</x:v>
      </x:c>
      <x:c r="B17" s="18" t="str">
        <x:v>東急電鉄</x:v>
      </x:c>
      <x:c r="C17" s="18" t="str">
        <x:v>private_rail</x:v>
      </x:c>
      <x:c r="D17" s="18" t="str">
        <x:v>private_rail</x:v>
      </x:c>
      <x:c r="E17" s="19" t="str">
        <x:v>EXPLICIT_CANDIDATE_MODE_CORRECTION</x:v>
      </x:c>
      <x:c r="F17" s="18" t="str">
        <x:v>transport-node:53914c60-1a23-5a14-aa0d-96a664ae7f51</x:v>
      </x:c>
      <x:c r="G17" s="18" t="str">
        <x:v>transport-node:bd2084c0-d8d2-5edf-9fd1-e13c0c997748</x:v>
      </x:c>
      <x:c r="H17" s="18" t="str">
        <x:v>36d899d3899ba9ff292a27cfa2d43de8ce40674f</x:v>
      </x:c>
      <x:c r="I17" s="18" t="str">
        <x:v>否</x:v>
      </x:c>
    </x:row>
    <x:row r="18" ht="28" customHeight="1">
      <x:c r="A18" s="18" t="str">
        <x:v>三軒茶屋</x:v>
      </x:c>
      <x:c r="B18" s="18" t="str">
        <x:v>東急電鉄</x:v>
      </x:c>
      <x:c r="C18" s="18" t="str">
        <x:v>private_rail</x:v>
      </x:c>
      <x:c r="D18" s="18" t="str">
        <x:v>tram</x:v>
      </x:c>
      <x:c r="E18" s="19" t="str">
        <x:v>EXPLICIT_CANDIDATE_MODE_CORRECTION</x:v>
      </x:c>
      <x:c r="F18" s="18" t="str">
        <x:v>transport-node:341dddad-9c4d-5194-81f5-6712ffab3ad5</x:v>
      </x:c>
      <x:c r="G18" s="18" t="str">
        <x:v>transport-node:2bc582ad-1f6a-5e78-bb67-68f61a2fb140</x:v>
      </x:c>
      <x:c r="H18" s="18" t="str">
        <x:v>36d899d3899ba9ff292a27cfa2d43de8ce40674f</x:v>
      </x:c>
      <x:c r="I18" s="18" t="str">
        <x:v>否</x:v>
      </x:c>
    </x:row>
    <x:row r="19" ht="28" customHeight="1">
      <x:c r="A19" s="18" t="str">
        <x:v>上小田井</x:v>
      </x:c>
      <x:c r="B19" s="18" t="str">
        <x:v>名古屋市</x:v>
      </x:c>
      <x:c r="C19" s="18"/>
      <x:c r="D19" s="18" t="str">
        <x:v>metro</x:v>
      </x:c>
      <x:c r="E19" s="19" t="str">
        <x:v>ADDED_OFFICIAL_HUB_COMPONENT_REVIEW</x:v>
      </x:c>
      <x:c r="F19" s="18"/>
      <x:c r="G19" s="18" t="str">
        <x:v>transport-node:dc54c122-e7ac-5385-a3c6-98303c3f8ecb</x:v>
      </x:c>
      <x:c r="H19" s="18" t="str">
        <x:v>36d899d3899ba9ff292a27cfa2d43de8ce40674f</x:v>
      </x:c>
      <x:c r="I19" s="18" t="str">
        <x:v>否</x:v>
      </x:c>
    </x:row>
    <x:row r="20" ht="28" customHeight="1">
      <x:c r="A20" s="18" t="str">
        <x:v>上飯田</x:v>
      </x:c>
      <x:c r="B20" s="18" t="str">
        <x:v>名古屋市</x:v>
      </x:c>
      <x:c r="C20" s="18"/>
      <x:c r="D20" s="18" t="str">
        <x:v>metro</x:v>
      </x:c>
      <x:c r="E20" s="19" t="str">
        <x:v>ADDED_OFFICIAL_HUB_COMPONENT_REVIEW</x:v>
      </x:c>
      <x:c r="F20" s="18"/>
      <x:c r="G20" s="18" t="str">
        <x:v>transport-node:86e5d446-9d63-5348-ab34-2e5f9fbbccb5</x:v>
      </x:c>
      <x:c r="H20" s="18" t="str">
        <x:v>36d899d3899ba9ff292a27cfa2d43de8ce40674f</x:v>
      </x:c>
      <x:c r="I20" s="18" t="str">
        <x:v>否</x:v>
      </x:c>
    </x:row>
    <x:row r="21" ht="28" customHeight="1">
      <x:c r="A21" s="18" t="str">
        <x:v>上飯田</x:v>
      </x:c>
      <x:c r="B21" s="18" t="str">
        <x:v>名古屋鉄道</x:v>
      </x:c>
      <x:c r="C21" s="18"/>
      <x:c r="D21" s="18" t="str">
        <x:v>private_rail</x:v>
      </x:c>
      <x:c r="E21" s="19" t="str">
        <x:v>ADDED_OFFICIAL_HUB_COMPONENT_REVIEW</x:v>
      </x:c>
      <x:c r="F21" s="18"/>
      <x:c r="G21" s="18" t="str">
        <x:v>transport-node:bee62e26-eb5d-5b7a-84a8-890a76131979</x:v>
      </x:c>
      <x:c r="H21" s="18" t="str">
        <x:v>36d899d3899ba9ff292a27cfa2d43de8ce40674f</x:v>
      </x:c>
      <x:c r="I21" s="18" t="str">
        <x:v>否</x:v>
      </x:c>
    </x:row>
    <x:row r="22" ht="28" customHeight="1">
      <x:c r="A22" s="18" t="str">
        <x:v>下高井戸</x:v>
      </x:c>
      <x:c r="B22" s="18" t="str">
        <x:v>東急電鉄</x:v>
      </x:c>
      <x:c r="C22" s="18" t="str">
        <x:v>private_rail</x:v>
      </x:c>
      <x:c r="D22" s="18" t="str">
        <x:v>tram</x:v>
      </x:c>
      <x:c r="E22" s="19" t="str">
        <x:v>EXPLICIT_CANDIDATE_MODE_CORRECTION</x:v>
      </x:c>
      <x:c r="F22" s="18" t="str">
        <x:v>transport-node:6ca75ec5-3815-5591-825c-f47a338e5ede</x:v>
      </x:c>
      <x:c r="G22" s="18" t="str">
        <x:v>transport-node:fc9d31a3-a893-5f78-b586-df0650504393</x:v>
      </x:c>
      <x:c r="H22" s="18" t="str">
        <x:v>36d899d3899ba9ff292a27cfa2d43de8ce40674f</x:v>
      </x:c>
      <x:c r="I22" s="18" t="str">
        <x:v>否</x:v>
      </x:c>
    </x:row>
    <x:row r="23" ht="28" customHeight="1">
      <x:c r="A23" s="18" t="str">
        <x:v>中の島</x:v>
      </x:c>
      <x:c r="B23" s="18" t="str">
        <x:v>札幌市</x:v>
      </x:c>
      <x:c r="C23" s="18" t="str">
        <x:v>fixed_guideway</x:v>
      </x:c>
      <x:c r="D23" s="18" t="str">
        <x:v>metro</x:v>
      </x:c>
      <x:c r="E23" s="19" t="str">
        <x:v>EXPLICIT_CANDIDATE_MODE_CORRECTION</x:v>
      </x:c>
      <x:c r="F23" s="18" t="str">
        <x:v>transport-node:bd935826-1692-5cef-ace3-487349e7c1b3</x:v>
      </x:c>
      <x:c r="G23" s="18" t="str">
        <x:v>transport-node:fb6359a7-dc3a-56ba-bc53-0e646ebef3d5</x:v>
      </x:c>
      <x:c r="H23" s="18" t="str">
        <x:v>36d899d3899ba9ff292a27cfa2d43de8ce40674f</x:v>
      </x:c>
      <x:c r="I23" s="18" t="str">
        <x:v>否</x:v>
      </x:c>
    </x:row>
    <x:row r="24" ht="28" customHeight="1">
      <x:c r="A24" s="18" t="str">
        <x:v>中島公園</x:v>
      </x:c>
      <x:c r="B24" s="18" t="str">
        <x:v>札幌市</x:v>
      </x:c>
      <x:c r="C24" s="18" t="str">
        <x:v>fixed_guideway</x:v>
      </x:c>
      <x:c r="D24" s="18" t="str">
        <x:v>metro</x:v>
      </x:c>
      <x:c r="E24" s="19" t="str">
        <x:v>EXPLICIT_CANDIDATE_MODE_CORRECTION</x:v>
      </x:c>
      <x:c r="F24" s="18" t="str">
        <x:v>transport-node:f3a25f8d-c33d-5094-926d-a9ddcc3383f3</x:v>
      </x:c>
      <x:c r="G24" s="18" t="str">
        <x:v>transport-node:5d660ab7-ff4b-5898-85b9-e586eebc41b3</x:v>
      </x:c>
      <x:c r="H24" s="18" t="str">
        <x:v>36d899d3899ba9ff292a27cfa2d43de8ce40674f</x:v>
      </x:c>
      <x:c r="I24" s="18" t="str">
        <x:v>否</x:v>
      </x:c>
    </x:row>
    <x:row r="25" ht="28" customHeight="1">
      <x:c r="A25" s="18" t="str">
        <x:v>中目黒</x:v>
      </x:c>
      <x:c r="B25" s="18" t="str">
        <x:v>東京地下鉄</x:v>
      </x:c>
      <x:c r="C25" s="18"/>
      <x:c r="D25" s="18" t="str">
        <x:v>metro</x:v>
      </x:c>
      <x:c r="E25" s="19" t="str">
        <x:v>ADDED_OFFICIAL_HUB_COMPONENT_REVIEW</x:v>
      </x:c>
      <x:c r="F25" s="18"/>
      <x:c r="G25" s="18" t="str">
        <x:v>transport-node:a553a937-2ad8-5400-9c8a-ef34433dd96e</x:v>
      </x:c>
      <x:c r="H25" s="18" t="str">
        <x:v>36d899d3899ba9ff292a27cfa2d43de8ce40674f</x:v>
      </x:c>
      <x:c r="I25" s="18" t="str">
        <x:v>否</x:v>
      </x:c>
    </x:row>
    <x:row r="26" ht="28" customHeight="1">
      <x:c r="A26" s="18" t="str">
        <x:v>中野</x:v>
      </x:c>
      <x:c r="B26" s="18" t="str">
        <x:v>東京地下鉄</x:v>
      </x:c>
      <x:c r="C26" s="18"/>
      <x:c r="D26" s="18" t="str">
        <x:v>metro</x:v>
      </x:c>
      <x:c r="E26" s="19" t="str">
        <x:v>ADDED_OFFICIAL_HUB_COMPONENT_REVIEW</x:v>
      </x:c>
      <x:c r="F26" s="18"/>
      <x:c r="G26" s="18" t="str">
        <x:v>transport-node:7abfd143-b046-5a71-a0b8-81e65cddda7b</x:v>
      </x:c>
      <x:c r="H26" s="18" t="str">
        <x:v>36d899d3899ba9ff292a27cfa2d43de8ce40674f</x:v>
      </x:c>
      <x:c r="I26" s="18" t="str">
        <x:v>否</x:v>
      </x:c>
    </x:row>
    <x:row r="27" ht="28" customHeight="1">
      <x:c r="A27" s="18" t="str">
        <x:v>九段下</x:v>
      </x:c>
      <x:c r="B27" s="18" t="str">
        <x:v>東京都</x:v>
      </x:c>
      <x:c r="C27" s="18"/>
      <x:c r="D27" s="18" t="str">
        <x:v>metro</x:v>
      </x:c>
      <x:c r="E27" s="19" t="str">
        <x:v>ADDED_OFFICIAL_HUB_COMPONENT_REVIEW</x:v>
      </x:c>
      <x:c r="F27" s="18"/>
      <x:c r="G27" s="18" t="str">
        <x:v>transport-node:5cf6c6c7-cea6-5b14-b05b-637a06cfc633</x:v>
      </x:c>
      <x:c r="H27" s="18" t="str">
        <x:v>36d899d3899ba9ff292a27cfa2d43de8ce40674f</x:v>
      </x:c>
      <x:c r="I27" s="18" t="str">
        <x:v>否</x:v>
      </x:c>
    </x:row>
    <x:row r="28" ht="28" customHeight="1">
      <x:c r="A28" s="18" t="str">
        <x:v>二十四軒</x:v>
      </x:c>
      <x:c r="B28" s="18" t="str">
        <x:v>札幌市</x:v>
      </x:c>
      <x:c r="C28" s="18" t="str">
        <x:v>fixed_guideway</x:v>
      </x:c>
      <x:c r="D28" s="18" t="str">
        <x:v>metro</x:v>
      </x:c>
      <x:c r="E28" s="19" t="str">
        <x:v>EXPLICIT_CANDIDATE_MODE_CORRECTION</x:v>
      </x:c>
      <x:c r="F28" s="18" t="str">
        <x:v>transport-node:1eeb64bc-957c-53e2-88e3-31f1ffb72142</x:v>
      </x:c>
      <x:c r="G28" s="18" t="str">
        <x:v>transport-node:c7da20cf-d2ec-5ab1-90f1-8ee0abd28ff8</x:v>
      </x:c>
      <x:c r="H28" s="18" t="str">
        <x:v>36d899d3899ba9ff292a27cfa2d43de8ce40674f</x:v>
      </x:c>
      <x:c r="I28" s="18" t="str">
        <x:v>否</x:v>
      </x:c>
    </x:row>
    <x:row r="29" ht="28" customHeight="1">
      <x:c r="A29" s="18" t="str">
        <x:v>代々木上原</x:v>
      </x:c>
      <x:c r="B29" s="18" t="str">
        <x:v>東京地下鉄</x:v>
      </x:c>
      <x:c r="C29" s="18"/>
      <x:c r="D29" s="18" t="str">
        <x:v>metro</x:v>
      </x:c>
      <x:c r="E29" s="19" t="str">
        <x:v>ADDED_OFFICIAL_HUB_COMPONENT_REVIEW</x:v>
      </x:c>
      <x:c r="F29" s="18"/>
      <x:c r="G29" s="18" t="str">
        <x:v>transport-node:f96d8346-10d3-5c33-b91c-7d149adcd211</x:v>
      </x:c>
      <x:c r="H29" s="18" t="str">
        <x:v>36d899d3899ba9ff292a27cfa2d43de8ce40674f</x:v>
      </x:c>
      <x:c r="I29" s="18" t="str">
        <x:v>否</x:v>
      </x:c>
    </x:row>
    <x:row r="30" ht="28" customHeight="1">
      <x:c r="A30" s="18" t="str">
        <x:v>伊勢市</x:v>
      </x:c>
      <x:c r="B30" s="18" t="str">
        <x:v>東海旅客鉄道</x:v>
      </x:c>
      <x:c r="C30" s="18"/>
      <x:c r="D30" s="18" t="str">
        <x:v>conventional_rail</x:v>
      </x:c>
      <x:c r="E30" s="19" t="str">
        <x:v>ADDED_OFFICIAL_HUB_COMPONENT_REVIEW</x:v>
      </x:c>
      <x:c r="F30" s="18"/>
      <x:c r="G30" s="18" t="str">
        <x:v>transport-node:c4f07cc3-871e-5f1b-b635-4eb484441fb2</x:v>
      </x:c>
      <x:c r="H30" s="18" t="str">
        <x:v>36d899d3899ba9ff292a27cfa2d43de8ce40674f</x:v>
      </x:c>
      <x:c r="I30" s="18" t="str">
        <x:v>否</x:v>
      </x:c>
    </x:row>
    <x:row r="31" ht="28" customHeight="1">
      <x:c r="A31" s="18" t="str">
        <x:v>住之江公園</x:v>
      </x:c>
      <x:c r="B31" s="18" t="str">
        <x:v>大阪市高速電気軌道</x:v>
      </x:c>
      <x:c r="C31" s="18"/>
      <x:c r="D31" s="18" t="str">
        <x:v>fixed_guideway</x:v>
      </x:c>
      <x:c r="E31" s="19" t="str">
        <x:v>ADDED_OFFICIAL_HUB_COMPONENT_REVIEW</x:v>
      </x:c>
      <x:c r="F31" s="18"/>
      <x:c r="G31" s="18" t="str">
        <x:v>transport-node:6433f2b0-7116-5866-b28e-9ccbb52bb033</x:v>
      </x:c>
      <x:c r="H31" s="18" t="str">
        <x:v>36d899d3899ba9ff292a27cfa2d43de8ce40674f</x:v>
      </x:c>
      <x:c r="I31" s="18" t="str">
        <x:v>否</x:v>
      </x:c>
    </x:row>
    <x:row r="32" ht="28" customHeight="1">
      <x:c r="A32" s="18" t="str">
        <x:v>元町</x:v>
      </x:c>
      <x:c r="B32" s="18" t="str">
        <x:v>札幌市</x:v>
      </x:c>
      <x:c r="C32" s="18" t="str">
        <x:v>fixed_guideway</x:v>
      </x:c>
      <x:c r="D32" s="18" t="str">
        <x:v>metro</x:v>
      </x:c>
      <x:c r="E32" s="19" t="str">
        <x:v>EXPLICIT_CANDIDATE_MODE_CORRECTION</x:v>
      </x:c>
      <x:c r="F32" s="18" t="str">
        <x:v>transport-node:eec52970-8ca0-55bb-88da-8055b3086441</x:v>
      </x:c>
      <x:c r="G32" s="18" t="str">
        <x:v>transport-node:91d9471d-6e1a-50ac-bc6c-c55c33e8e61a</x:v>
      </x:c>
      <x:c r="H32" s="18" t="str">
        <x:v>36d899d3899ba9ff292a27cfa2d43de8ce40674f</x:v>
      </x:c>
      <x:c r="I32" s="18" t="str">
        <x:v>否</x:v>
      </x:c>
    </x:row>
    <x:row r="33" ht="28" customHeight="1">
      <x:c r="A33" s="18" t="str">
        <x:v>八田</x:v>
      </x:c>
      <x:c r="B33" s="18" t="str">
        <x:v>東海旅客鉄道</x:v>
      </x:c>
      <x:c r="C33" s="18"/>
      <x:c r="D33" s="18" t="str">
        <x:v>conventional_rail</x:v>
      </x:c>
      <x:c r="E33" s="19" t="str">
        <x:v>ADDED_OFFICIAL_HUB_COMPONENT_REVIEW</x:v>
      </x:c>
      <x:c r="F33" s="18"/>
      <x:c r="G33" s="18" t="str">
        <x:v>transport-node:a3a33300-5fe3-598a-82f5-07d0b25c3739</x:v>
      </x:c>
      <x:c r="H33" s="18" t="str">
        <x:v>36d899d3899ba9ff292a27cfa2d43de8ce40674f</x:v>
      </x:c>
      <x:c r="I33" s="18" t="str">
        <x:v>否</x:v>
      </x:c>
    </x:row>
    <x:row r="34" ht="28" customHeight="1">
      <x:c r="A34" s="18" t="str">
        <x:v>円山公園</x:v>
      </x:c>
      <x:c r="B34" s="18" t="str">
        <x:v>札幌市</x:v>
      </x:c>
      <x:c r="C34" s="18" t="str">
        <x:v>fixed_guideway</x:v>
      </x:c>
      <x:c r="D34" s="18" t="str">
        <x:v>metro</x:v>
      </x:c>
      <x:c r="E34" s="19" t="str">
        <x:v>EXPLICIT_CANDIDATE_MODE_CORRECTION</x:v>
      </x:c>
      <x:c r="F34" s="18" t="str">
        <x:v>transport-node:75ddb8f1-83e0-5f73-aa9f-6c620b46ac83</x:v>
      </x:c>
      <x:c r="G34" s="18" t="str">
        <x:v>transport-node:59dc347f-43bb-51be-8969-45d56a64de4e</x:v>
      </x:c>
      <x:c r="H34" s="18" t="str">
        <x:v>36d899d3899ba9ff292a27cfa2d43de8ce40674f</x:v>
      </x:c>
      <x:c r="I34" s="18" t="str">
        <x:v>否</x:v>
      </x:c>
    </x:row>
    <x:row r="35" ht="28" customHeight="1">
      <x:c r="A35" s="18" t="str">
        <x:v>北12条</x:v>
      </x:c>
      <x:c r="B35" s="18" t="str">
        <x:v>札幌市</x:v>
      </x:c>
      <x:c r="C35" s="18" t="str">
        <x:v>fixed_guideway</x:v>
      </x:c>
      <x:c r="D35" s="18" t="str">
        <x:v>metro</x:v>
      </x:c>
      <x:c r="E35" s="19" t="str">
        <x:v>EXPLICIT_CANDIDATE_MODE_CORRECTION</x:v>
      </x:c>
      <x:c r="F35" s="18" t="str">
        <x:v>transport-node:74ce6ad7-0e26-5acc-82da-58e6ff02d26e</x:v>
      </x:c>
      <x:c r="G35" s="18" t="str">
        <x:v>transport-node:9930b9a0-9dea-59b3-9f29-8f215febeb31</x:v>
      </x:c>
      <x:c r="H35" s="18" t="str">
        <x:v>36d899d3899ba9ff292a27cfa2d43de8ce40674f</x:v>
      </x:c>
      <x:c r="I35" s="18" t="str">
        <x:v>否</x:v>
      </x:c>
    </x:row>
    <x:row r="36" ht="28" customHeight="1">
      <x:c r="A36" s="18" t="str">
        <x:v>北18条</x:v>
      </x:c>
      <x:c r="B36" s="18" t="str">
        <x:v>札幌市</x:v>
      </x:c>
      <x:c r="C36" s="18" t="str">
        <x:v>fixed_guideway</x:v>
      </x:c>
      <x:c r="D36" s="18" t="str">
        <x:v>metro</x:v>
      </x:c>
      <x:c r="E36" s="19" t="str">
        <x:v>EXPLICIT_CANDIDATE_MODE_CORRECTION</x:v>
      </x:c>
      <x:c r="F36" s="18" t="str">
        <x:v>transport-node:704bbd2a-a5a0-5f56-a806-601acc8926de</x:v>
      </x:c>
      <x:c r="G36" s="18" t="str">
        <x:v>transport-node:d9f0dfa8-f75b-5826-afb4-0ab75b56f82a</x:v>
      </x:c>
      <x:c r="H36" s="18" t="str">
        <x:v>36d899d3899ba9ff292a27cfa2d43de8ce40674f</x:v>
      </x:c>
      <x:c r="I36" s="18" t="str">
        <x:v>否</x:v>
      </x:c>
    </x:row>
    <x:row r="37" ht="28" customHeight="1">
      <x:c r="A37" s="18" t="str">
        <x:v>北24条</x:v>
      </x:c>
      <x:c r="B37" s="18" t="str">
        <x:v>札幌市</x:v>
      </x:c>
      <x:c r="C37" s="18" t="str">
        <x:v>fixed_guideway</x:v>
      </x:c>
      <x:c r="D37" s="18" t="str">
        <x:v>metro</x:v>
      </x:c>
      <x:c r="E37" s="19" t="str">
        <x:v>EXPLICIT_CANDIDATE_MODE_CORRECTION</x:v>
      </x:c>
      <x:c r="F37" s="18" t="str">
        <x:v>transport-node:4475f90a-7c40-5145-88fa-5385f74433fb</x:v>
      </x:c>
      <x:c r="G37" s="18" t="str">
        <x:v>transport-node:4579dbca-17f5-59ea-b200-cf906298e0ba</x:v>
      </x:c>
      <x:c r="H37" s="18" t="str">
        <x:v>36d899d3899ba9ff292a27cfa2d43de8ce40674f</x:v>
      </x:c>
      <x:c r="I37" s="18" t="str">
        <x:v>否</x:v>
      </x:c>
    </x:row>
    <x:row r="38" ht="28" customHeight="1">
      <x:c r="A38" s="18" t="str">
        <x:v>北34条</x:v>
      </x:c>
      <x:c r="B38" s="18" t="str">
        <x:v>札幌市</x:v>
      </x:c>
      <x:c r="C38" s="18" t="str">
        <x:v>fixed_guideway</x:v>
      </x:c>
      <x:c r="D38" s="18" t="str">
        <x:v>metro</x:v>
      </x:c>
      <x:c r="E38" s="19" t="str">
        <x:v>EXPLICIT_CANDIDATE_MODE_CORRECTION</x:v>
      </x:c>
      <x:c r="F38" s="18" t="str">
        <x:v>transport-node:6c5e4496-d16e-5c54-b976-960c4eebfdb4</x:v>
      </x:c>
      <x:c r="G38" s="18" t="str">
        <x:v>transport-node:ce00eca1-6881-5033-bce8-7bb9a2bcbd3c</x:v>
      </x:c>
      <x:c r="H38" s="18" t="str">
        <x:v>36d899d3899ba9ff292a27cfa2d43de8ce40674f</x:v>
      </x:c>
      <x:c r="I38" s="18" t="str">
        <x:v>否</x:v>
      </x:c>
    </x:row>
    <x:row r="39" ht="28" customHeight="1">
      <x:c r="A39" s="18" t="str">
        <x:v>北仙台</x:v>
      </x:c>
      <x:c r="B39" s="18" t="str">
        <x:v>仙台市</x:v>
      </x:c>
      <x:c r="C39" s="18"/>
      <x:c r="D39" s="18" t="str">
        <x:v>metro</x:v>
      </x:c>
      <x:c r="E39" s="19" t="str">
        <x:v>ADDED_OFFICIAL_HUB_COMPONENT_REVIEW</x:v>
      </x:c>
      <x:c r="F39" s="18"/>
      <x:c r="G39" s="18" t="str">
        <x:v>transport-node:36e1e4e9-7e4c-57b5-8867-07358a8a45b8</x:v>
      </x:c>
      <x:c r="H39" s="18" t="str">
        <x:v>36d899d3899ba9ff292a27cfa2d43de8ce40674f</x:v>
      </x:c>
      <x:c r="I39" s="18" t="str">
        <x:v>否</x:v>
      </x:c>
    </x:row>
    <x:row r="40" ht="28" customHeight="1">
      <x:c r="A40" s="18" t="str">
        <x:v>北仙台</x:v>
      </x:c>
      <x:c r="B40" s="18" t="str">
        <x:v>東日本旅客鉄道</x:v>
      </x:c>
      <x:c r="C40" s="18"/>
      <x:c r="D40" s="18" t="str">
        <x:v>conventional_rail</x:v>
      </x:c>
      <x:c r="E40" s="19" t="str">
        <x:v>ADDED_OFFICIAL_HUB_COMPONENT_REVIEW</x:v>
      </x:c>
      <x:c r="F40" s="18"/>
      <x:c r="G40" s="18" t="str">
        <x:v>transport-node:a0d97045-075c-5219-bf82-4f72da82591a</x:v>
      </x:c>
      <x:c r="H40" s="18" t="str">
        <x:v>36d899d3899ba9ff292a27cfa2d43de8ce40674f</x:v>
      </x:c>
      <x:c r="I40" s="18" t="str">
        <x:v>否</x:v>
      </x:c>
    </x:row>
    <x:row r="41" ht="28" customHeight="1">
      <x:c r="A41" s="18" t="str">
        <x:v>北鉄金沢</x:v>
      </x:c>
      <x:c r="B41" s="18" t="str">
        <x:v>北陸鉄道</x:v>
      </x:c>
      <x:c r="C41" s="18"/>
      <x:c r="D41" s="18" t="str">
        <x:v>private_rail</x:v>
      </x:c>
      <x:c r="E41" s="19" t="str">
        <x:v>ADDED_OFFICIAL_HUB_COMPONENT_REVIEW</x:v>
      </x:c>
      <x:c r="F41" s="18"/>
      <x:c r="G41" s="18" t="str">
        <x:v>transport-node:e4edaa4e-6146-531e-8504-b33ab38fb873</x:v>
      </x:c>
      <x:c r="H41" s="18" t="str">
        <x:v>36d899d3899ba9ff292a27cfa2d43de8ce40674f</x:v>
      </x:c>
      <x:c r="I41" s="18" t="str">
        <x:v>否</x:v>
      </x:c>
    </x:row>
    <x:row r="42" ht="28" customHeight="1">
      <x:c r="A42" s="18" t="str">
        <x:v>南平岸</x:v>
      </x:c>
      <x:c r="B42" s="18" t="str">
        <x:v>札幌市</x:v>
      </x:c>
      <x:c r="C42" s="18" t="str">
        <x:v>fixed_guideway</x:v>
      </x:c>
      <x:c r="D42" s="18" t="str">
        <x:v>metro</x:v>
      </x:c>
      <x:c r="E42" s="19" t="str">
        <x:v>EXPLICIT_CANDIDATE_MODE_CORRECTION</x:v>
      </x:c>
      <x:c r="F42" s="18" t="str">
        <x:v>transport-node:3bd72b60-f56e-5961-aace-e132e8dbc916</x:v>
      </x:c>
      <x:c r="G42" s="18" t="str">
        <x:v>transport-node:d3afac41-20fa-5dc6-877e-a1dabb7fb6c5</x:v>
      </x:c>
      <x:c r="H42" s="18" t="str">
        <x:v>36d899d3899ba9ff292a27cfa2d43de8ce40674f</x:v>
      </x:c>
      <x:c r="I42" s="18" t="str">
        <x:v>否</x:v>
      </x:c>
    </x:row>
    <x:row r="43" ht="28" customHeight="1">
      <x:c r="A43" s="18" t="str">
        <x:v>南郷13丁目</x:v>
      </x:c>
      <x:c r="B43" s="18" t="str">
        <x:v>札幌市</x:v>
      </x:c>
      <x:c r="C43" s="18" t="str">
        <x:v>fixed_guideway</x:v>
      </x:c>
      <x:c r="D43" s="18" t="str">
        <x:v>metro</x:v>
      </x:c>
      <x:c r="E43" s="19" t="str">
        <x:v>EXPLICIT_CANDIDATE_MODE_CORRECTION</x:v>
      </x:c>
      <x:c r="F43" s="18" t="str">
        <x:v>transport-node:470b0079-6ea5-5b9d-920e-64a6f69f6498</x:v>
      </x:c>
      <x:c r="G43" s="18" t="str">
        <x:v>transport-node:2d0fa618-33ae-5683-9397-0df8b191066f</x:v>
      </x:c>
      <x:c r="H43" s="18" t="str">
        <x:v>36d899d3899ba9ff292a27cfa2d43de8ce40674f</x:v>
      </x:c>
      <x:c r="I43" s="18" t="str">
        <x:v>否</x:v>
      </x:c>
    </x:row>
    <x:row r="44" ht="28" customHeight="1">
      <x:c r="A44" s="18" t="str">
        <x:v>南郷18丁目</x:v>
      </x:c>
      <x:c r="B44" s="18" t="str">
        <x:v>札幌市</x:v>
      </x:c>
      <x:c r="C44" s="18" t="str">
        <x:v>fixed_guideway</x:v>
      </x:c>
      <x:c r="D44" s="18" t="str">
        <x:v>metro</x:v>
      </x:c>
      <x:c r="E44" s="19" t="str">
        <x:v>EXPLICIT_CANDIDATE_MODE_CORRECTION</x:v>
      </x:c>
      <x:c r="F44" s="18" t="str">
        <x:v>transport-node:b1b0c3ca-a816-57e9-a016-262625138495</x:v>
      </x:c>
      <x:c r="G44" s="18" t="str">
        <x:v>transport-node:2124d730-6a5c-518d-afda-0b64dae9131a</x:v>
      </x:c>
      <x:c r="H44" s="18" t="str">
        <x:v>36d899d3899ba9ff292a27cfa2d43de8ce40674f</x:v>
      </x:c>
      <x:c r="I44" s="18" t="str">
        <x:v>否</x:v>
      </x:c>
    </x:row>
    <x:row r="45" ht="28" customHeight="1">
      <x:c r="A45" s="18" t="str">
        <x:v>南郷7丁目</x:v>
      </x:c>
      <x:c r="B45" s="18" t="str">
        <x:v>札幌市</x:v>
      </x:c>
      <x:c r="C45" s="18" t="str">
        <x:v>fixed_guideway</x:v>
      </x:c>
      <x:c r="D45" s="18" t="str">
        <x:v>metro</x:v>
      </x:c>
      <x:c r="E45" s="19" t="str">
        <x:v>EXPLICIT_CANDIDATE_MODE_CORRECTION</x:v>
      </x:c>
      <x:c r="F45" s="18" t="str">
        <x:v>transport-node:2c0a387f-9ccd-5dff-85a4-5a896586ab11</x:v>
      </x:c>
      <x:c r="G45" s="18" t="str">
        <x:v>transport-node:15facbd8-a5e4-53a8-a412-9f77544bc792</x:v>
      </x:c>
      <x:c r="H45" s="18" t="str">
        <x:v>36d899d3899ba9ff292a27cfa2d43de8ce40674f</x:v>
      </x:c>
      <x:c r="I45" s="18" t="str">
        <x:v>否</x:v>
      </x:c>
    </x:row>
    <x:row r="46" ht="28" customHeight="1">
      <x:c r="A46" s="18" t="str">
        <x:v>厚木</x:v>
      </x:c>
      <x:c r="B46" s="18" t="str">
        <x:v>東日本旅客鉄道</x:v>
      </x:c>
      <x:c r="C46" s="18"/>
      <x:c r="D46" s="18" t="str">
        <x:v>conventional_rail</x:v>
      </x:c>
      <x:c r="E46" s="19" t="str">
        <x:v>ADDED_OFFICIAL_HUB_COMPONENT_REVIEW</x:v>
      </x:c>
      <x:c r="F46" s="18"/>
      <x:c r="G46" s="18" t="str">
        <x:v>transport-node:2037ab16-917d-522f-acc0-683fdfd8eba9</x:v>
      </x:c>
      <x:c r="H46" s="18" t="str">
        <x:v>36d899d3899ba9ff292a27cfa2d43de8ce40674f</x:v>
      </x:c>
      <x:c r="I46" s="18" t="str">
        <x:v>否</x:v>
      </x:c>
    </x:row>
    <x:row r="47" ht="28" customHeight="1">
      <x:c r="A47" s="18" t="str">
        <x:v>名谷</x:v>
      </x:c>
      <x:c r="B47" s="18" t="str">
        <x:v>神戸市</x:v>
      </x:c>
      <x:c r="C47" s="18" t="str">
        <x:v>private_rail</x:v>
      </x:c>
      <x:c r="D47" s="18" t="str">
        <x:v>metro</x:v>
      </x:c>
      <x:c r="E47" s="19" t="str">
        <x:v>EXPLICIT_CANDIDATE_MODE_CORRECTION</x:v>
      </x:c>
      <x:c r="F47" s="18" t="str">
        <x:v>transport-node:aa50f453-e7fc-5058-b9f0-c46d703d4dca</x:v>
      </x:c>
      <x:c r="G47" s="18" t="str">
        <x:v>transport-node:783ae599-4669-5fe0-9176-4a8ff622429b</x:v>
      </x:c>
      <x:c r="H47" s="18" t="str">
        <x:v>36d899d3899ba9ff292a27cfa2d43de8ce40674f</x:v>
      </x:c>
      <x:c r="I47" s="18" t="str">
        <x:v>否</x:v>
      </x:c>
    </x:row>
    <x:row r="48" ht="28" customHeight="1">
      <x:c r="A48" s="18" t="str">
        <x:v>和光市</x:v>
      </x:c>
      <x:c r="B48" s="18" t="str">
        <x:v>東京地下鉄</x:v>
      </x:c>
      <x:c r="C48" s="18"/>
      <x:c r="D48" s="18" t="str">
        <x:v>metro</x:v>
      </x:c>
      <x:c r="E48" s="19" t="str">
        <x:v>ADDED_OFFICIAL_HUB_COMPONENT_REVIEW</x:v>
      </x:c>
      <x:c r="F48" s="18"/>
      <x:c r="G48" s="18" t="str">
        <x:v>transport-node:4cb85824-3dfa-52a9-8f4a-fe8d52d599aa</x:v>
      </x:c>
      <x:c r="H48" s="18" t="str">
        <x:v>36d899d3899ba9ff292a27cfa2d43de8ce40674f</x:v>
      </x:c>
      <x:c r="I48" s="18" t="str">
        <x:v>否</x:v>
      </x:c>
    </x:row>
    <x:row r="49" ht="28" customHeight="1">
      <x:c r="A49" s="18" t="str">
        <x:v>和田岬</x:v>
      </x:c>
      <x:c r="B49" s="18" t="str">
        <x:v>神戸市</x:v>
      </x:c>
      <x:c r="C49" s="18" t="str">
        <x:v>private_rail</x:v>
      </x:c>
      <x:c r="D49" s="18" t="str">
        <x:v>metro</x:v>
      </x:c>
      <x:c r="E49" s="19" t="str">
        <x:v>EXPLICIT_CANDIDATE_MODE_CORRECTION</x:v>
      </x:c>
      <x:c r="F49" s="18" t="str">
        <x:v>transport-node:0ade14a9-50c4-56a6-ae62-3990a216ed94</x:v>
      </x:c>
      <x:c r="G49" s="18" t="str">
        <x:v>transport-node:4e697eff-5633-5fb9-84f6-cccfe29a1c00</x:v>
      </x:c>
      <x:c r="H49" s="18" t="str">
        <x:v>36d899d3899ba9ff292a27cfa2d43de8ce40674f</x:v>
      </x:c>
      <x:c r="I49" s="18" t="str">
        <x:v>否</x:v>
      </x:c>
    </x:row>
    <x:row r="50" ht="28" customHeight="1">
      <x:c r="A50" s="18" t="str">
        <x:v>和田岬</x:v>
      </x:c>
      <x:c r="B50" s="18" t="str">
        <x:v>西日本旅客鉄道</x:v>
      </x:c>
      <x:c r="C50" s="18"/>
      <x:c r="D50" s="18" t="str">
        <x:v>conventional_rail</x:v>
      </x:c>
      <x:c r="E50" s="19" t="str">
        <x:v>ADDED_OFFICIAL_HUB_COMPONENT_REVIEW</x:v>
      </x:c>
      <x:c r="F50" s="18"/>
      <x:c r="G50" s="18" t="str">
        <x:v>transport-node:129cffa8-7b20-5f26-bce7-728f6a0d5b77</x:v>
      </x:c>
      <x:c r="H50" s="18" t="str">
        <x:v>36d899d3899ba9ff292a27cfa2d43de8ce40674f</x:v>
      </x:c>
      <x:c r="I50" s="18" t="str">
        <x:v>否</x:v>
      </x:c>
    </x:row>
    <x:row r="51" ht="28" customHeight="1">
      <x:c r="A51" s="18" t="str">
        <x:v>四条大宮</x:v>
      </x:c>
      <x:c r="B51" s="18" t="str">
        <x:v>京福電気鉄道</x:v>
      </x:c>
      <x:c r="C51" s="18"/>
      <x:c r="D51" s="18" t="str">
        <x:v>tram</x:v>
      </x:c>
      <x:c r="E51" s="19" t="str">
        <x:v>ADDED_OFFICIAL_HUB_COMPONENT_REVIEW</x:v>
      </x:c>
      <x:c r="F51" s="18"/>
      <x:c r="G51" s="18" t="str">
        <x:v>transport-node:c0f3edff-ff59-566c-aad1-c34e1bb62975</x:v>
      </x:c>
      <x:c r="H51" s="18" t="str">
        <x:v>36d899d3899ba9ff292a27cfa2d43de8ce40674f</x:v>
      </x:c>
      <x:c r="I51" s="18" t="str">
        <x:v>否</x:v>
      </x:c>
    </x:row>
    <x:row r="52" ht="28" customHeight="1">
      <x:c r="A52" s="18" t="str">
        <x:v>大倉山</x:v>
      </x:c>
      <x:c r="B52" s="18" t="str">
        <x:v>神戸市</x:v>
      </x:c>
      <x:c r="C52" s="18" t="str">
        <x:v>private_rail</x:v>
      </x:c>
      <x:c r="D52" s="18" t="str">
        <x:v>metro</x:v>
      </x:c>
      <x:c r="E52" s="19" t="str">
        <x:v>EXPLICIT_CANDIDATE_MODE_CORRECTION</x:v>
      </x:c>
      <x:c r="F52" s="18" t="str">
        <x:v>transport-node:5e1c7c7f-7009-555e-a0b9-4be13bd951ed</x:v>
      </x:c>
      <x:c r="G52" s="18" t="str">
        <x:v>transport-node:ee19ffc7-a06b-5409-b972-428eb2042522</x:v>
      </x:c>
      <x:c r="H52" s="18" t="str">
        <x:v>36d899d3899ba9ff292a27cfa2d43de8ce40674f</x:v>
      </x:c>
      <x:c r="I52" s="18" t="str">
        <x:v>否</x:v>
      </x:c>
    </x:row>
    <x:row r="53" ht="28" customHeight="1">
      <x:c r="A53" s="18" t="str">
        <x:v>大崎</x:v>
      </x:c>
      <x:c r="B53" s="18" t="str">
        <x:v>東京臨海高速鉄道</x:v>
      </x:c>
      <x:c r="C53" s="18"/>
      <x:c r="D53" s="18" t="str">
        <x:v>private_rail</x:v>
      </x:c>
      <x:c r="E53" s="19" t="str">
        <x:v>ADDED_OFFICIAL_HUB_COMPONENT_REVIEW</x:v>
      </x:c>
      <x:c r="F53" s="18"/>
      <x:c r="G53" s="18" t="str">
        <x:v>transport-node:5d616652-cb8c-559e-84c6-288de1136b70</x:v>
      </x:c>
      <x:c r="H53" s="18" t="str">
        <x:v>36d899d3899ba9ff292a27cfa2d43de8ce40674f</x:v>
      </x:c>
      <x:c r="I53" s="18" t="str">
        <x:v>否</x:v>
      </x:c>
    </x:row>
    <x:row r="54" ht="28" customHeight="1">
      <x:c r="A54" s="18" t="str">
        <x:v>大曽根</x:v>
      </x:c>
      <x:c r="B54" s="18" t="str">
        <x:v>名古屋ガイドウェイバス</x:v>
      </x:c>
      <x:c r="C54" s="18"/>
      <x:c r="D54" s="18" t="str">
        <x:v>fixed_guideway</x:v>
      </x:c>
      <x:c r="E54" s="19" t="str">
        <x:v>ADDED_OFFICIAL_HUB_COMPONENT_REVIEW</x:v>
      </x:c>
      <x:c r="F54" s="18"/>
      <x:c r="G54" s="18" t="str">
        <x:v>transport-node:eee39276-a347-5fe1-ad77-06f2f493b12a</x:v>
      </x:c>
      <x:c r="H54" s="18" t="str">
        <x:v>36d899d3899ba9ff292a27cfa2d43de8ce40674f</x:v>
      </x:c>
      <x:c r="I54" s="18" t="str">
        <x:v>否</x:v>
      </x:c>
    </x:row>
    <x:row r="55" ht="28" customHeight="1">
      <x:c r="A55" s="18" t="str">
        <x:v>大町</x:v>
      </x:c>
      <x:c r="B55" s="18" t="str">
        <x:v>広島高速交通</x:v>
      </x:c>
      <x:c r="C55" s="18"/>
      <x:c r="D55" s="18" t="str">
        <x:v>fixed_guideway</x:v>
      </x:c>
      <x:c r="E55" s="19" t="str">
        <x:v>ADDED_OFFICIAL_HUB_COMPONENT_REVIEW</x:v>
      </x:c>
      <x:c r="F55" s="18"/>
      <x:c r="G55" s="18" t="str">
        <x:v>transport-node:ec2851cf-c8e8-5c81-9eb2-bd753cbe086c</x:v>
      </x:c>
      <x:c r="H55" s="18" t="str">
        <x:v>36d899d3899ba9ff292a27cfa2d43de8ce40674f</x:v>
      </x:c>
      <x:c r="I55" s="18" t="str">
        <x:v>否</x:v>
      </x:c>
    </x:row>
    <x:row r="56" ht="28" customHeight="1">
      <x:c r="A56" s="18" t="str">
        <x:v>大町</x:v>
      </x:c>
      <x:c r="B56" s="18" t="str">
        <x:v>西日本旅客鉄道</x:v>
      </x:c>
      <x:c r="C56" s="18"/>
      <x:c r="D56" s="18" t="str">
        <x:v>conventional_rail</x:v>
      </x:c>
      <x:c r="E56" s="19" t="str">
        <x:v>ADDED_OFFICIAL_HUB_COMPONENT_REVIEW</x:v>
      </x:c>
      <x:c r="F56" s="18"/>
      <x:c r="G56" s="18" t="str">
        <x:v>transport-node:4702837e-8b91-56b8-be2e-10caba48d927</x:v>
      </x:c>
      <x:c r="H56" s="18" t="str">
        <x:v>36d899d3899ba9ff292a27cfa2d43de8ce40674f</x:v>
      </x:c>
      <x:c r="I56" s="18" t="str">
        <x:v>否</x:v>
      </x:c>
    </x:row>
    <x:row r="57" ht="28" customHeight="1">
      <x:c r="A57" s="18" t="str">
        <x:v>大谷地</x:v>
      </x:c>
      <x:c r="B57" s="18" t="str">
        <x:v>札幌市</x:v>
      </x:c>
      <x:c r="C57" s="18" t="str">
        <x:v>fixed_guideway</x:v>
      </x:c>
      <x:c r="D57" s="18" t="str">
        <x:v>metro</x:v>
      </x:c>
      <x:c r="E57" s="19" t="str">
        <x:v>EXPLICIT_CANDIDATE_MODE_CORRECTION</x:v>
      </x:c>
      <x:c r="F57" s="18" t="str">
        <x:v>transport-node:254eb535-9410-538b-8427-d1b3a4608021</x:v>
      </x:c>
      <x:c r="G57" s="18" t="str">
        <x:v>transport-node:b913b353-94df-54d0-a7b2-4d5a96e40df5</x:v>
      </x:c>
      <x:c r="H57" s="18" t="str">
        <x:v>36d899d3899ba9ff292a27cfa2d43de8ce40674f</x:v>
      </x:c>
      <x:c r="I57" s="18" t="str">
        <x:v>否</x:v>
      </x:c>
    </x:row>
    <x:row r="58" ht="28" customHeight="1">
      <x:c r="A58" s="18" t="str">
        <x:v>大通</x:v>
      </x:c>
      <x:c r="B58" s="18" t="str">
        <x:v>札幌市</x:v>
      </x:c>
      <x:c r="C58" s="18" t="str">
        <x:v>fixed_guideway</x:v>
      </x:c>
      <x:c r="D58" s="18" t="str">
        <x:v>metro</x:v>
      </x:c>
      <x:c r="E58" s="19" t="str">
        <x:v>EXPLICIT_CANDIDATE_MODE_CORRECTION</x:v>
      </x:c>
      <x:c r="F58" s="18" t="str">
        <x:v>transport-node:fdbe47dd-d696-5a42-b658-51a222e4e30e</x:v>
      </x:c>
      <x:c r="G58" s="18" t="str">
        <x:v>transport-node:6ba0c297-44c0-593e-96a5-1f0e66588649</x:v>
      </x:c>
      <x:c r="H58" s="18" t="str">
        <x:v>36d899d3899ba9ff292a27cfa2d43de8ce40674f</x:v>
      </x:c>
      <x:c r="I58" s="18" t="str">
        <x:v>否</x:v>
      </x:c>
    </x:row>
    <x:row r="59" ht="28" customHeight="1">
      <x:c r="A59" s="18" t="str">
        <x:v>大阪難波</x:v>
      </x:c>
      <x:c r="B59" s="18" t="str">
        <x:v>阪神電気鉄道</x:v>
      </x:c>
      <x:c r="C59" s="18"/>
      <x:c r="D59" s="18" t="str">
        <x:v>private_rail</x:v>
      </x:c>
      <x:c r="E59" s="19" t="str">
        <x:v>ADDED_OFFICIAL_HUB_COMPONENT_REVIEW</x:v>
      </x:c>
      <x:c r="F59" s="18"/>
      <x:c r="G59" s="18" t="str">
        <x:v>transport-node:e62b6875-f208-5226-9df3-fb3f7a9c2189</x:v>
      </x:c>
      <x:c r="H59" s="18" t="str">
        <x:v>36d899d3899ba9ff292a27cfa2d43de8ce40674f</x:v>
      </x:c>
      <x:c r="I59" s="18" t="str">
        <x:v>否</x:v>
      </x:c>
    </x:row>
    <x:row r="60" ht="28" customHeight="1">
      <x:c r="A60" s="18" t="str">
        <x:v>天王寺駅前</x:v>
      </x:c>
      <x:c r="B60" s="18" t="str">
        <x:v>阪堺電気軌道</x:v>
      </x:c>
      <x:c r="C60" s="18" t="str">
        <x:v>private_rail</x:v>
      </x:c>
      <x:c r="D60" s="18" t="str">
        <x:v>tram</x:v>
      </x:c>
      <x:c r="E60" s="19" t="str">
        <x:v>EXPLICIT_CANDIDATE_MODE_CORRECTION</x:v>
      </x:c>
      <x:c r="F60" s="18" t="str">
        <x:v>transport-node:289ee188-e34b-5d9c-89fe-50470f66a0ef</x:v>
      </x:c>
      <x:c r="G60" s="18" t="str">
        <x:v>transport-node:59d9c53d-c606-58eb-b842-6184f2d6b3c2</x:v>
      </x:c>
      <x:c r="H60" s="18" t="str">
        <x:v>36d899d3899ba9ff292a27cfa2d43de8ce40674f</x:v>
      </x:c>
      <x:c r="I60" s="18" t="str">
        <x:v>否</x:v>
      </x:c>
    </x:row>
    <x:row r="61" ht="28" customHeight="1">
      <x:c r="A61" s="18" t="str">
        <x:v>天神橋筋六丁目</x:v>
      </x:c>
      <x:c r="B61" s="18" t="str">
        <x:v>阪急電鉄</x:v>
      </x:c>
      <x:c r="C61" s="18"/>
      <x:c r="D61" s="18" t="str">
        <x:v>private_rail</x:v>
      </x:c>
      <x:c r="E61" s="19" t="str">
        <x:v>ADDED_OFFICIAL_HUB_COMPONENT_REVIEW</x:v>
      </x:c>
      <x:c r="F61" s="18"/>
      <x:c r="G61" s="18" t="str">
        <x:v>transport-node:052fa935-a6b6-53f0-89b2-3ac49048f8b6</x:v>
      </x:c>
      <x:c r="H61" s="18" t="str">
        <x:v>36d899d3899ba9ff292a27cfa2d43de8ce40674f</x:v>
      </x:c>
      <x:c r="I61" s="18" t="str">
        <x:v>否</x:v>
      </x:c>
    </x:row>
    <x:row r="62" ht="28" customHeight="1">
      <x:c r="A62" s="18" t="str">
        <x:v>妙法寺</x:v>
      </x:c>
      <x:c r="B62" s="18" t="str">
        <x:v>神戸市</x:v>
      </x:c>
      <x:c r="C62" s="18" t="str">
        <x:v>private_rail</x:v>
      </x:c>
      <x:c r="D62" s="18" t="str">
        <x:v>metro</x:v>
      </x:c>
      <x:c r="E62" s="19" t="str">
        <x:v>EXPLICIT_CANDIDATE_MODE_CORRECTION</x:v>
      </x:c>
      <x:c r="F62" s="18" t="str">
        <x:v>transport-node:0167b6f0-578a-55b3-868a-f500a0d02621</x:v>
      </x:c>
      <x:c r="G62" s="18" t="str">
        <x:v>transport-node:2925b153-0f67-54e1-902c-4ca3675325d5</x:v>
      </x:c>
      <x:c r="H62" s="18" t="str">
        <x:v>36d899d3899ba9ff292a27cfa2d43de8ce40674f</x:v>
      </x:c>
      <x:c r="I62" s="18" t="str">
        <x:v>否</x:v>
      </x:c>
    </x:row>
    <x:row r="63" ht="28" customHeight="1">
      <x:c r="A63" s="18" t="str">
        <x:v>姪浜</x:v>
      </x:c>
      <x:c r="B63" s="18" t="str">
        <x:v>九州旅客鉄道</x:v>
      </x:c>
      <x:c r="C63" s="18"/>
      <x:c r="D63" s="18" t="str">
        <x:v>conventional_rail</x:v>
      </x:c>
      <x:c r="E63" s="19" t="str">
        <x:v>ADDED_OFFICIAL_HUB_COMPONENT_REVIEW</x:v>
      </x:c>
      <x:c r="F63" s="18"/>
      <x:c r="G63" s="18" t="str">
        <x:v>transport-node:7006c3a0-5873-55fb-9ef9-b97a61a0ac65</x:v>
      </x:c>
      <x:c r="H63" s="18" t="str">
        <x:v>36d899d3899ba9ff292a27cfa2d43de8ce40674f</x:v>
      </x:c>
      <x:c r="I63" s="18" t="str">
        <x:v>否</x:v>
      </x:c>
    </x:row>
    <x:row r="64" ht="28" customHeight="1">
      <x:c r="A64" s="18" t="str">
        <x:v>学園前</x:v>
      </x:c>
      <x:c r="B64" s="18" t="str">
        <x:v>札幌市</x:v>
      </x:c>
      <x:c r="C64" s="18" t="str">
        <x:v>fixed_guideway</x:v>
      </x:c>
      <x:c r="D64" s="18" t="str">
        <x:v>metro</x:v>
      </x:c>
      <x:c r="E64" s="19" t="str">
        <x:v>EXPLICIT_CANDIDATE_MODE_CORRECTION</x:v>
      </x:c>
      <x:c r="F64" s="18" t="str">
        <x:v>transport-node:d37a6a35-75dc-576f-8ec8-890dfc927154</x:v>
      </x:c>
      <x:c r="G64" s="18" t="str">
        <x:v>transport-node:a25516ca-58b3-5802-8410-1c2259d5eafd</x:v>
      </x:c>
      <x:c r="H64" s="18" t="str">
        <x:v>36d899d3899ba9ff292a27cfa2d43de8ce40674f</x:v>
      </x:c>
      <x:c r="I64" s="18" t="str">
        <x:v>否</x:v>
      </x:c>
    </x:row>
    <x:row r="65" ht="28" customHeight="1">
      <x:c r="A65" s="18" t="str">
        <x:v>学園都市</x:v>
      </x:c>
      <x:c r="B65" s="18" t="str">
        <x:v>神戸市</x:v>
      </x:c>
      <x:c r="C65" s="18" t="str">
        <x:v>private_rail</x:v>
      </x:c>
      <x:c r="D65" s="18" t="str">
        <x:v>metro</x:v>
      </x:c>
      <x:c r="E65" s="19" t="str">
        <x:v>EXPLICIT_CANDIDATE_MODE_CORRECTION</x:v>
      </x:c>
      <x:c r="F65" s="18" t="str">
        <x:v>transport-node:9c4b12e2-30ca-5ba7-9aab-053aa3d7f836</x:v>
      </x:c>
      <x:c r="G65" s="18" t="str">
        <x:v>transport-node:ce28ae14-591e-5d95-b975-82b6a44c7b6c</x:v>
      </x:c>
      <x:c r="H65" s="18" t="str">
        <x:v>36d899d3899ba9ff292a27cfa2d43de8ce40674f</x:v>
      </x:c>
      <x:c r="I65" s="18" t="str">
        <x:v>否</x:v>
      </x:c>
    </x:row>
    <x:row r="66" ht="28" customHeight="1">
      <x:c r="A66" s="18" t="str">
        <x:v>宮の沢</x:v>
      </x:c>
      <x:c r="B66" s="18" t="str">
        <x:v>札幌市</x:v>
      </x:c>
      <x:c r="C66" s="18" t="str">
        <x:v>fixed_guideway</x:v>
      </x:c>
      <x:c r="D66" s="18" t="str">
        <x:v>metro</x:v>
      </x:c>
      <x:c r="E66" s="19" t="str">
        <x:v>EXPLICIT_CANDIDATE_MODE_CORRECTION</x:v>
      </x:c>
      <x:c r="F66" s="18" t="str">
        <x:v>transport-node:d1c4c79e-8e52-545c-b226-8d16a8a16f0c</x:v>
      </x:c>
      <x:c r="G66" s="18" t="str">
        <x:v>transport-node:0d02e70b-6dec-5708-a0ab-dbab870e148c</x:v>
      </x:c>
      <x:c r="H66" s="18" t="str">
        <x:v>36d899d3899ba9ff292a27cfa2d43de8ce40674f</x:v>
      </x:c>
      <x:c r="I66" s="18" t="str">
        <x:v>否</x:v>
      </x:c>
    </x:row>
    <x:row r="67" ht="28" customHeight="1">
      <x:c r="A67" s="18" t="str">
        <x:v>小竹向原</x:v>
      </x:c>
      <x:c r="B67" s="18" t="str">
        <x:v>西武鉄道</x:v>
      </x:c>
      <x:c r="C67" s="18"/>
      <x:c r="D67" s="18" t="str">
        <x:v>private_rail</x:v>
      </x:c>
      <x:c r="E67" s="19" t="str">
        <x:v>ADDED_OFFICIAL_HUB_COMPONENT_REVIEW</x:v>
      </x:c>
      <x:c r="F67" s="18"/>
      <x:c r="G67" s="18" t="str">
        <x:v>transport-node:319cbbd4-e78f-5b92-a508-7a2a62e9e3d6</x:v>
      </x:c>
      <x:c r="H67" s="18" t="str">
        <x:v>36d899d3899ba9ff292a27cfa2d43de8ce40674f</x:v>
      </x:c>
      <x:c r="I67" s="18" t="str">
        <x:v>否</x:v>
      </x:c>
    </x:row>
    <x:row r="68" ht="28" customHeight="1">
      <x:c r="A68" s="18" t="str">
        <x:v>山下</x:v>
      </x:c>
      <x:c r="B68" s="18" t="str">
        <x:v>東急電鉄</x:v>
      </x:c>
      <x:c r="C68" s="18"/>
      <x:c r="D68" s="18" t="str">
        <x:v>tram</x:v>
      </x:c>
      <x:c r="E68" s="19" t="str">
        <x:v>ADDED_OFFICIAL_HUB_COMPONENT_REVIEW</x:v>
      </x:c>
      <x:c r="F68" s="18"/>
      <x:c r="G68" s="18" t="str">
        <x:v>transport-node:d624e4c2-f8ce-5f4e-8c48-112c3a8a086d</x:v>
      </x:c>
      <x:c r="H68" s="18" t="str">
        <x:v>36d899d3899ba9ff292a27cfa2d43de8ce40674f</x:v>
      </x:c>
      <x:c r="I68" s="18" t="str">
        <x:v>否</x:v>
      </x:c>
    </x:row>
    <x:row r="69" ht="28" customHeight="1">
      <x:c r="A69" s="18" t="str">
        <x:v>幌平橋</x:v>
      </x:c>
      <x:c r="B69" s="18" t="str">
        <x:v>札幌市</x:v>
      </x:c>
      <x:c r="C69" s="18" t="str">
        <x:v>fixed_guideway</x:v>
      </x:c>
      <x:c r="D69" s="18" t="str">
        <x:v>metro</x:v>
      </x:c>
      <x:c r="E69" s="19" t="str">
        <x:v>EXPLICIT_CANDIDATE_MODE_CORRECTION</x:v>
      </x:c>
      <x:c r="F69" s="18" t="str">
        <x:v>transport-node:de0aa307-5c22-5cd0-8dfa-488ceecd4752</x:v>
      </x:c>
      <x:c r="G69" s="18" t="str">
        <x:v>transport-node:cec3dec8-2ca6-5670-95b8-fb25f2c112d6</x:v>
      </x:c>
      <x:c r="H69" s="18" t="str">
        <x:v>36d899d3899ba9ff292a27cfa2d43de8ce40674f</x:v>
      </x:c>
      <x:c r="I69" s="18" t="str">
        <x:v>否</x:v>
      </x:c>
    </x:row>
    <x:row r="70" ht="28" customHeight="1">
      <x:c r="A70" s="18" t="str">
        <x:v>平安通</x:v>
      </x:c>
      <x:c r="B70" s="18" t="str">
        <x:v>名古屋市</x:v>
      </x:c>
      <x:c r="C70" s="18" t="str">
        <x:v>private_rail</x:v>
      </x:c>
      <x:c r="D70" s="18" t="str">
        <x:v>metro</x:v>
      </x:c>
      <x:c r="E70" s="19" t="str">
        <x:v>EXPLICIT_CANDIDATE_MODE_CORRECTION</x:v>
      </x:c>
      <x:c r="F70" s="18" t="str">
        <x:v>transport-node:14f20e46-929f-57e1-a33c-c9bd0b4e2b25</x:v>
      </x:c>
      <x:c r="G70" s="18" t="str">
        <x:v>transport-node:a483e14d-b74f-59fa-a40f-789b3280ba54</x:v>
      </x:c>
      <x:c r="H70" s="18" t="str">
        <x:v>36d899d3899ba9ff292a27cfa2d43de8ce40674f</x:v>
      </x:c>
      <x:c r="I70" s="18" t="str">
        <x:v>否</x:v>
      </x:c>
    </x:row>
    <x:row r="71" ht="28" customHeight="1">
      <x:c r="A71" s="18" t="str">
        <x:v>平岸</x:v>
      </x:c>
      <x:c r="B71" s="18" t="str">
        <x:v>札幌市</x:v>
      </x:c>
      <x:c r="C71" s="18" t="str">
        <x:v>fixed_guideway</x:v>
      </x:c>
      <x:c r="D71" s="18" t="str">
        <x:v>metro</x:v>
      </x:c>
      <x:c r="E71" s="19" t="str">
        <x:v>EXPLICIT_CANDIDATE_MODE_CORRECTION</x:v>
      </x:c>
      <x:c r="F71" s="18" t="str">
        <x:v>transport-node:4c24659d-42c1-5a2c-b953-7d8c7c46fda2</x:v>
      </x:c>
      <x:c r="G71" s="18" t="str">
        <x:v>transport-node:acf9a2ca-4f03-5c23-8341-5e162ed753f4</x:v>
      </x:c>
      <x:c r="H71" s="18" t="str">
        <x:v>36d899d3899ba9ff292a27cfa2d43de8ce40674f</x:v>
      </x:c>
      <x:c r="I71" s="18" t="str">
        <x:v>否</x:v>
      </x:c>
    </x:row>
    <x:row r="72" ht="28" customHeight="1">
      <x:c r="A72" s="18" t="str">
        <x:v>広島駅</x:v>
      </x:c>
      <x:c r="B72" s="18" t="str">
        <x:v>広島電鉄</x:v>
      </x:c>
      <x:c r="C72" s="18" t="str">
        <x:v>private_rail</x:v>
      </x:c>
      <x:c r="D72" s="18" t="str">
        <x:v>tram</x:v>
      </x:c>
      <x:c r="E72" s="19" t="str">
        <x:v>EXPLICIT_CANDIDATE_MODE_CORRECTION</x:v>
      </x:c>
      <x:c r="F72" s="18" t="str">
        <x:v>transport-node:a1cdede4-8f50-5452-86ff-b5a905fdd156</x:v>
      </x:c>
      <x:c r="G72" s="18" t="str">
        <x:v>transport-node:28242e2c-8393-5c2c-b884-f5d1783cfcfa</x:v>
      </x:c>
      <x:c r="H72" s="18" t="str">
        <x:v>36d899d3899ba9ff292a27cfa2d43de8ce40674f</x:v>
      </x:c>
      <x:c r="I72" s="18" t="str">
        <x:v>否</x:v>
      </x:c>
    </x:row>
    <x:row r="73" ht="28" customHeight="1">
      <x:c r="A73" s="18" t="str">
        <x:v>恵美須町</x:v>
      </x:c>
      <x:c r="B73" s="18" t="str">
        <x:v>阪堺電気軌道</x:v>
      </x:c>
      <x:c r="C73" s="18"/>
      <x:c r="D73" s="18" t="str">
        <x:v>tram</x:v>
      </x:c>
      <x:c r="E73" s="19" t="str">
        <x:v>ADDED_OFFICIAL_HUB_COMPONENT_REVIEW</x:v>
      </x:c>
      <x:c r="F73" s="18"/>
      <x:c r="G73" s="18" t="str">
        <x:v>transport-node:b6afffef-6b2f-5ead-90c4-451ceef67038</x:v>
      </x:c>
      <x:c r="H73" s="18" t="str">
        <x:v>36d899d3899ba9ff292a27cfa2d43de8ce40674f</x:v>
      </x:c>
      <x:c r="I73" s="18" t="str">
        <x:v>否</x:v>
      </x:c>
    </x:row>
    <x:row r="74" ht="28" customHeight="1">
      <x:c r="A74" s="18" t="str">
        <x:v>押上</x:v>
      </x:c>
      <x:c r="B74" s="18" t="str">
        <x:v>東京都</x:v>
      </x:c>
      <x:c r="C74" s="18"/>
      <x:c r="D74" s="18" t="str">
        <x:v>metro</x:v>
      </x:c>
      <x:c r="E74" s="19" t="str">
        <x:v>ADDED_OFFICIAL_HUB_COMPONENT_REVIEW</x:v>
      </x:c>
      <x:c r="F74" s="18"/>
      <x:c r="G74" s="18" t="str">
        <x:v>transport-node:8c77979d-1d3b-5bf3-8caf-897a38713074</x:v>
      </x:c>
      <x:c r="H74" s="18" t="str">
        <x:v>36d899d3899ba9ff292a27cfa2d43de8ce40674f</x:v>
      </x:c>
      <x:c r="I74" s="18" t="str">
        <x:v>否</x:v>
      </x:c>
    </x:row>
    <x:row r="75" ht="28" customHeight="1">
      <x:c r="A75" s="18" t="str">
        <x:v>新さっぽろ</x:v>
      </x:c>
      <x:c r="B75" s="18" t="str">
        <x:v>札幌市</x:v>
      </x:c>
      <x:c r="C75" s="18" t="str">
        <x:v>fixed_guideway</x:v>
      </x:c>
      <x:c r="D75" s="18" t="str">
        <x:v>metro</x:v>
      </x:c>
      <x:c r="E75" s="19" t="str">
        <x:v>EXPLICIT_CANDIDATE_MODE_CORRECTION</x:v>
      </x:c>
      <x:c r="F75" s="18" t="str">
        <x:v>transport-node:56f5efbc-4a7b-51eb-93d5-0c3f49c3de5b</x:v>
      </x:c>
      <x:c r="G75" s="18" t="str">
        <x:v>transport-node:bde00433-e495-58d4-9dc9-278e1966bddb</x:v>
      </x:c>
      <x:c r="H75" s="18" t="str">
        <x:v>36d899d3899ba9ff292a27cfa2d43de8ce40674f</x:v>
      </x:c>
      <x:c r="I75" s="18" t="str">
        <x:v>否</x:v>
      </x:c>
    </x:row>
    <x:row r="76" ht="28" customHeight="1">
      <x:c r="A76" s="18" t="str">
        <x:v>新今宮駅前</x:v>
      </x:c>
      <x:c r="B76" s="18" t="str">
        <x:v>阪堺電気軌道</x:v>
      </x:c>
      <x:c r="C76" s="18"/>
      <x:c r="D76" s="18" t="str">
        <x:v>tram</x:v>
      </x:c>
      <x:c r="E76" s="19" t="str">
        <x:v>ADDED_OFFICIAL_HUB_COMPONENT_REVIEW</x:v>
      </x:c>
      <x:c r="F76" s="18"/>
      <x:c r="G76" s="18" t="str">
        <x:v>transport-node:a43fbcd3-cb2b-543d-a2ec-503a575737dd</x:v>
      </x:c>
      <x:c r="H76" s="18" t="str">
        <x:v>36d899d3899ba9ff292a27cfa2d43de8ce40674f</x:v>
      </x:c>
      <x:c r="I76" s="18" t="str">
        <x:v>否</x:v>
      </x:c>
    </x:row>
    <x:row r="77" ht="28" customHeight="1">
      <x:c r="A77" s="18" t="str">
        <x:v>新宿</x:v>
      </x:c>
      <x:c r="B77" s="18" t="str">
        <x:v>東京都</x:v>
      </x:c>
      <x:c r="C77" s="18"/>
      <x:c r="D77" s="18" t="str">
        <x:v>metro</x:v>
      </x:c>
      <x:c r="E77" s="19" t="str">
        <x:v>ADDED_OFFICIAL_HUB_COMPONENT_REVIEW</x:v>
      </x:c>
      <x:c r="F77" s="18"/>
      <x:c r="G77" s="18" t="str">
        <x:v>transport-node:e2bcf079-978c-5205-aa58-d14bbf5f9e6c</x:v>
      </x:c>
      <x:c r="H77" s="18" t="str">
        <x:v>36d899d3899ba9ff292a27cfa2d43de8ce40674f</x:v>
      </x:c>
      <x:c r="I77" s="18" t="str">
        <x:v>否</x:v>
      </x:c>
    </x:row>
    <x:row r="78" ht="28" customHeight="1">
      <x:c r="A78" s="18" t="str">
        <x:v>新横浜</x:v>
      </x:c>
      <x:c r="B78" s="18" t="str">
        <x:v>東急電鉄</x:v>
      </x:c>
      <x:c r="C78" s="18"/>
      <x:c r="D78" s="18" t="str">
        <x:v>private_rail</x:v>
      </x:c>
      <x:c r="E78" s="19" t="str">
        <x:v>ADDED_OFFICIAL_HUB_COMPONENT_REVIEW</x:v>
      </x:c>
      <x:c r="F78" s="18"/>
      <x:c r="G78" s="18" t="str">
        <x:v>transport-node:f967d8aa-71c2-541e-9da3-212433d38474</x:v>
      </x:c>
      <x:c r="H78" s="18" t="str">
        <x:v>36d899d3899ba9ff292a27cfa2d43de8ce40674f</x:v>
      </x:c>
      <x:c r="I78" s="18" t="str">
        <x:v>否</x:v>
      </x:c>
    </x:row>
    <x:row r="79" ht="28" customHeight="1">
      <x:c r="A79" s="18" t="str">
        <x:v>新神戸</x:v>
      </x:c>
      <x:c r="B79" s="18" t="str">
        <x:v>神戸市</x:v>
      </x:c>
      <x:c r="C79" s="18" t="str">
        <x:v>private_rail</x:v>
      </x:c>
      <x:c r="D79" s="18" t="str">
        <x:v>metro</x:v>
      </x:c>
      <x:c r="E79" s="19" t="str">
        <x:v>EXPLICIT_CANDIDATE_MODE_CORRECTION</x:v>
      </x:c>
      <x:c r="F79" s="18" t="str">
        <x:v>transport-node:e3adf7ed-fd7e-54a8-83b7-e338d668d5f1</x:v>
      </x:c>
      <x:c r="G79" s="18" t="str">
        <x:v>transport-node:2fa47b6f-ed6b-5ca2-ab80-538eca4c209a</x:v>
      </x:c>
      <x:c r="H79" s="18" t="str">
        <x:v>36d899d3899ba9ff292a27cfa2d43de8ce40674f</x:v>
      </x:c>
      <x:c r="I79" s="18" t="str">
        <x:v>否</x:v>
      </x:c>
    </x:row>
    <x:row r="80" ht="28" customHeight="1">
      <x:c r="A80" s="18" t="str">
        <x:v>新道東</x:v>
      </x:c>
      <x:c r="B80" s="18" t="str">
        <x:v>札幌市</x:v>
      </x:c>
      <x:c r="C80" s="18" t="str">
        <x:v>fixed_guideway</x:v>
      </x:c>
      <x:c r="D80" s="18" t="str">
        <x:v>metro</x:v>
      </x:c>
      <x:c r="E80" s="19" t="str">
        <x:v>EXPLICIT_CANDIDATE_MODE_CORRECTION</x:v>
      </x:c>
      <x:c r="F80" s="18" t="str">
        <x:v>transport-node:1dc7bd14-27c9-5f2e-80d5-a2c50f707e84</x:v>
      </x:c>
      <x:c r="G80" s="18" t="str">
        <x:v>transport-node:118866e8-738f-50be-9cb0-0ab4832294fb</x:v>
      </x:c>
      <x:c r="H80" s="18" t="str">
        <x:v>36d899d3899ba9ff292a27cfa2d43de8ce40674f</x:v>
      </x:c>
      <x:c r="I80" s="18" t="str">
        <x:v>否</x:v>
      </x:c>
    </x:row>
    <x:row r="81" ht="28" customHeight="1">
      <x:c r="A81" s="18" t="str">
        <x:v>新長田</x:v>
      </x:c>
      <x:c r="B81" s="18" t="str">
        <x:v>神戸市</x:v>
      </x:c>
      <x:c r="C81" s="18" t="str">
        <x:v>private_rail</x:v>
      </x:c>
      <x:c r="D81" s="18" t="str">
        <x:v>metro</x:v>
      </x:c>
      <x:c r="E81" s="19" t="str">
        <x:v>EXPLICIT_CANDIDATE_MODE_CORRECTION</x:v>
      </x:c>
      <x:c r="F81" s="18" t="str">
        <x:v>transport-node:4dacb368-e0a4-57d8-b219-0d7df3eb9fdb</x:v>
      </x:c>
      <x:c r="G81" s="18" t="str">
        <x:v>transport-node:ccaf45da-3d18-5d4b-b4d5-c5f6054a2820</x:v>
      </x:c>
      <x:c r="H81" s="18" t="str">
        <x:v>36d899d3899ba9ff292a27cfa2d43de8ce40674f</x:v>
      </x:c>
      <x:c r="I81" s="18" t="str">
        <x:v>否</x:v>
      </x:c>
    </x:row>
    <x:row r="82" ht="28" customHeight="1">
      <x:c r="A82" s="18" t="str">
        <x:v>月寒中央</x:v>
      </x:c>
      <x:c r="B82" s="18" t="str">
        <x:v>札幌市</x:v>
      </x:c>
      <x:c r="C82" s="18" t="str">
        <x:v>fixed_guideway</x:v>
      </x:c>
      <x:c r="D82" s="18" t="str">
        <x:v>metro</x:v>
      </x:c>
      <x:c r="E82" s="19" t="str">
        <x:v>EXPLICIT_CANDIDATE_MODE_CORRECTION</x:v>
      </x:c>
      <x:c r="F82" s="18" t="str">
        <x:v>transport-node:cc142637-4b33-5bf8-83f2-474db8dd5a3d</x:v>
      </x:c>
      <x:c r="G82" s="18" t="str">
        <x:v>transport-node:ea3c9266-3976-5695-b4e8-cdcf27b46a44</x:v>
      </x:c>
      <x:c r="H82" s="18" t="str">
        <x:v>36d899d3899ba9ff292a27cfa2d43de8ce40674f</x:v>
      </x:c>
      <x:c r="I82" s="18" t="str">
        <x:v>否</x:v>
      </x:c>
    </x:row>
    <x:row r="83" ht="28" customHeight="1">
      <x:c r="A83" s="18" t="str">
        <x:v>本通</x:v>
      </x:c>
      <x:c r="B83" s="18" t="str">
        <x:v>広島電鉄</x:v>
      </x:c>
      <x:c r="C83" s="18"/>
      <x:c r="D83" s="18" t="str">
        <x:v>tram</x:v>
      </x:c>
      <x:c r="E83" s="19" t="str">
        <x:v>ADDED_OFFICIAL_HUB_COMPONENT_REVIEW</x:v>
      </x:c>
      <x:c r="F83" s="18"/>
      <x:c r="G83" s="18" t="str">
        <x:v>transport-node:4dba049f-4f37-515d-a4e0-42274425f51d</x:v>
      </x:c>
      <x:c r="H83" s="18" t="str">
        <x:v>36d899d3899ba9ff292a27cfa2d43de8ce40674f</x:v>
      </x:c>
      <x:c r="I83" s="18" t="str">
        <x:v>否</x:v>
      </x:c>
    </x:row>
    <x:row r="84" ht="28" customHeight="1">
      <x:c r="A84" s="18" t="str">
        <x:v>東区役所前</x:v>
      </x:c>
      <x:c r="B84" s="18" t="str">
        <x:v>札幌市</x:v>
      </x:c>
      <x:c r="C84" s="18" t="str">
        <x:v>fixed_guideway</x:v>
      </x:c>
      <x:c r="D84" s="18" t="str">
        <x:v>metro</x:v>
      </x:c>
      <x:c r="E84" s="19" t="str">
        <x:v>EXPLICIT_CANDIDATE_MODE_CORRECTION</x:v>
      </x:c>
      <x:c r="F84" s="18" t="str">
        <x:v>transport-node:856c4c79-ace7-5540-b9c8-f61f00471d3f</x:v>
      </x:c>
      <x:c r="G84" s="18" t="str">
        <x:v>transport-node:a6a7cc70-e331-58bd-82d7-b66feefa5d88</x:v>
      </x:c>
      <x:c r="H84" s="18" t="str">
        <x:v>36d899d3899ba9ff292a27cfa2d43de8ce40674f</x:v>
      </x:c>
      <x:c r="I84" s="18" t="str">
        <x:v>否</x:v>
      </x:c>
    </x:row>
    <x:row r="85" ht="28" customHeight="1">
      <x:c r="A85" s="18" t="str">
        <x:v>東札幌</x:v>
      </x:c>
      <x:c r="B85" s="18" t="str">
        <x:v>札幌市</x:v>
      </x:c>
      <x:c r="C85" s="18" t="str">
        <x:v>fixed_guideway</x:v>
      </x:c>
      <x:c r="D85" s="18" t="str">
        <x:v>metro</x:v>
      </x:c>
      <x:c r="E85" s="19" t="str">
        <x:v>EXPLICIT_CANDIDATE_MODE_CORRECTION</x:v>
      </x:c>
      <x:c r="F85" s="18" t="str">
        <x:v>transport-node:76a680ee-b617-5889-b389-a105011655b1</x:v>
      </x:c>
      <x:c r="G85" s="18" t="str">
        <x:v>transport-node:ab5a5b9b-965b-5bba-80c3-5c009eae209e</x:v>
      </x:c>
      <x:c r="H85" s="18" t="str">
        <x:v>36d899d3899ba9ff292a27cfa2d43de8ce40674f</x:v>
      </x:c>
      <x:c r="I85" s="18" t="str">
        <x:v>否</x:v>
      </x:c>
    </x:row>
    <x:row r="86" ht="28" customHeight="1">
      <x:c r="A86" s="18" t="str">
        <x:v>東飯能</x:v>
      </x:c>
      <x:c r="B86" s="18" t="str">
        <x:v>西武鉄道</x:v>
      </x:c>
      <x:c r="C86" s="18"/>
      <x:c r="D86" s="18" t="str">
        <x:v>private_rail</x:v>
      </x:c>
      <x:c r="E86" s="19" t="str">
        <x:v>ADDED_OFFICIAL_HUB_COMPONENT_REVIEW</x:v>
      </x:c>
      <x:c r="F86" s="18"/>
      <x:c r="G86" s="18" t="str">
        <x:v>transport-node:07f3aa83-0fbd-5b1b-9be7-c4240abc923a</x:v>
      </x:c>
      <x:c r="H86" s="18" t="str">
        <x:v>36d899d3899ba9ff292a27cfa2d43de8ce40674f</x:v>
      </x:c>
      <x:c r="I86" s="18" t="str">
        <x:v>否</x:v>
      </x:c>
    </x:row>
    <x:row r="87" ht="28" customHeight="1">
      <x:c r="A87" s="18" t="str">
        <x:v>松田</x:v>
      </x:c>
      <x:c r="B87" s="18" t="str">
        <x:v>東海旅客鉄道</x:v>
      </x:c>
      <x:c r="C87" s="18"/>
      <x:c r="D87" s="18" t="str">
        <x:v>conventional_rail</x:v>
      </x:c>
      <x:c r="E87" s="19" t="str">
        <x:v>ADDED_OFFICIAL_HUB_COMPONENT_REVIEW</x:v>
      </x:c>
      <x:c r="F87" s="18"/>
      <x:c r="G87" s="18" t="str">
        <x:v>transport-node:b7302c86-79e3-5e65-b66b-068a19a8d356</x:v>
      </x:c>
      <x:c r="H87" s="18" t="str">
        <x:v>36d899d3899ba9ff292a27cfa2d43de8ce40674f</x:v>
      </x:c>
      <x:c r="I87" s="18" t="str">
        <x:v>否</x:v>
      </x:c>
    </x:row>
    <x:row r="88" ht="28" customHeight="1">
      <x:c r="A88" s="18" t="str">
        <x:v>松阪</x:v>
      </x:c>
      <x:c r="B88" s="18" t="str">
        <x:v>東海旅客鉄道</x:v>
      </x:c>
      <x:c r="C88" s="18"/>
      <x:c r="D88" s="18" t="str">
        <x:v>conventional_rail</x:v>
      </x:c>
      <x:c r="E88" s="19" t="str">
        <x:v>ADDED_OFFICIAL_HUB_COMPONENT_REVIEW</x:v>
      </x:c>
      <x:c r="F88" s="18"/>
      <x:c r="G88" s="18" t="str">
        <x:v>transport-node:94772377-3b2e-58f2-96b1-edf43806055d</x:v>
      </x:c>
      <x:c r="H88" s="18" t="str">
        <x:v>36d899d3899ba9ff292a27cfa2d43de8ce40674f</x:v>
      </x:c>
      <x:c r="I88" s="18" t="str">
        <x:v>否</x:v>
      </x:c>
    </x:row>
    <x:row r="89" ht="28" customHeight="1">
      <x:c r="A89" s="18" t="str">
        <x:v>板宿</x:v>
      </x:c>
      <x:c r="B89" s="18" t="str">
        <x:v>神戸市</x:v>
      </x:c>
      <x:c r="C89" s="18" t="str">
        <x:v>private_rail</x:v>
      </x:c>
      <x:c r="D89" s="18" t="str">
        <x:v>metro</x:v>
      </x:c>
      <x:c r="E89" s="19" t="str">
        <x:v>EXPLICIT_CANDIDATE_MODE_CORRECTION</x:v>
      </x:c>
      <x:c r="F89" s="18" t="str">
        <x:v>transport-node:95b7afea-d587-546a-8936-7c8c04575f15</x:v>
      </x:c>
      <x:c r="G89" s="18" t="str">
        <x:v>transport-node:530cf85e-91df-5e13-973c-a0ef84f9b3ed</x:v>
      </x:c>
      <x:c r="H89" s="18" t="str">
        <x:v>36d899d3899ba9ff292a27cfa2d43de8ce40674f</x:v>
      </x:c>
      <x:c r="I89" s="18" t="str">
        <x:v>否</x:v>
      </x:c>
    </x:row>
    <x:row r="90" ht="28" customHeight="1">
      <x:c r="A90" s="18" t="str">
        <x:v>栄町</x:v>
      </x:c>
      <x:c r="B90" s="18" t="str">
        <x:v>札幌市</x:v>
      </x:c>
      <x:c r="C90" s="18" t="str">
        <x:v>fixed_guideway</x:v>
      </x:c>
      <x:c r="D90" s="18" t="str">
        <x:v>metro</x:v>
      </x:c>
      <x:c r="E90" s="19" t="str">
        <x:v>EXPLICIT_CANDIDATE_MODE_CORRECTION</x:v>
      </x:c>
      <x:c r="F90" s="18" t="str">
        <x:v>transport-node:7af74230-33bd-5463-ad5c-332b214e1a5b</x:v>
      </x:c>
      <x:c r="G90" s="18" t="str">
        <x:v>transport-node:cca3f7ec-96f2-5d27-a76e-ce940041b164</x:v>
      </x:c>
      <x:c r="H90" s="18" t="str">
        <x:v>36d899d3899ba9ff292a27cfa2d43de8ce40674f</x:v>
      </x:c>
      <x:c r="I90" s="18" t="str">
        <x:v>否</x:v>
      </x:c>
    </x:row>
    <x:row r="91" ht="28" customHeight="1">
      <x:c r="A91" s="18" t="str">
        <x:v>桑名</x:v>
      </x:c>
      <x:c r="B91" s="18" t="str">
        <x:v>養老鉄道</x:v>
      </x:c>
      <x:c r="C91" s="18"/>
      <x:c r="D91" s="18" t="str">
        <x:v>private_rail</x:v>
      </x:c>
      <x:c r="E91" s="19" t="str">
        <x:v>ADDED_OFFICIAL_HUB_COMPONENT_REVIEW</x:v>
      </x:c>
      <x:c r="F91" s="18"/>
      <x:c r="G91" s="18" t="str">
        <x:v>transport-node:9caf44c5-d22c-5789-9f83-ca5d99d5c2d1</x:v>
      </x:c>
      <x:c r="H91" s="18" t="str">
        <x:v>36d899d3899ba9ff292a27cfa2d43de8ce40674f</x:v>
      </x:c>
      <x:c r="I91" s="18" t="str">
        <x:v>否</x:v>
      </x:c>
    </x:row>
    <x:row r="92" ht="28" customHeight="1">
      <x:c r="A92" s="18" t="str">
        <x:v>桜川</x:v>
      </x:c>
      <x:c r="B92" s="18" t="str">
        <x:v>阪神電気鉄道</x:v>
      </x:c>
      <x:c r="C92" s="18"/>
      <x:c r="D92" s="18" t="str">
        <x:v>private_rail</x:v>
      </x:c>
      <x:c r="E92" s="19" t="str">
        <x:v>ADDED_OFFICIAL_HUB_COMPONENT_REVIEW</x:v>
      </x:c>
      <x:c r="F92" s="18"/>
      <x:c r="G92" s="18" t="str">
        <x:v>transport-node:6517b7d8-2965-50ad-85aa-c322620e140e</x:v>
      </x:c>
      <x:c r="H92" s="18" t="str">
        <x:v>36d899d3899ba9ff292a27cfa2d43de8ce40674f</x:v>
      </x:c>
      <x:c r="I92" s="18" t="str">
        <x:v>否</x:v>
      </x:c>
    </x:row>
    <x:row r="93" ht="28" customHeight="1">
      <x:c r="A93" s="18" t="str">
        <x:v>横浜</x:v>
      </x:c>
      <x:c r="B93" s="18" t="str">
        <x:v>横浜高速鉄道</x:v>
      </x:c>
      <x:c r="C93" s="18"/>
      <x:c r="D93" s="18" t="str">
        <x:v>private_rail</x:v>
      </x:c>
      <x:c r="E93" s="19" t="str">
        <x:v>ADDED_OFFICIAL_HUB_COMPONENT_REVIEW</x:v>
      </x:c>
      <x:c r="F93" s="18"/>
      <x:c r="G93" s="18" t="str">
        <x:v>transport-node:f98e6c23-c422-5496-894e-8be76e08a55d</x:v>
      </x:c>
      <x:c r="H93" s="18" t="str">
        <x:v>36d899d3899ba9ff292a27cfa2d43de8ce40674f</x:v>
      </x:c>
      <x:c r="I93" s="18" t="str">
        <x:v>否</x:v>
      </x:c>
    </x:row>
    <x:row r="94" ht="28" customHeight="1">
      <x:c r="A94" s="18" t="str">
        <x:v>汐見橋</x:v>
      </x:c>
      <x:c r="B94" s="18" t="str">
        <x:v>南海電気鉄道</x:v>
      </x:c>
      <x:c r="C94" s="18"/>
      <x:c r="D94" s="18" t="str">
        <x:v>private_rail</x:v>
      </x:c>
      <x:c r="E94" s="19" t="str">
        <x:v>ADDED_OFFICIAL_HUB_COMPONENT_REVIEW</x:v>
      </x:c>
      <x:c r="F94" s="18"/>
      <x:c r="G94" s="18" t="str">
        <x:v>transport-node:89b60bbb-e275-54f3-985c-294e1321683f</x:v>
      </x:c>
      <x:c r="H94" s="18" t="str">
        <x:v>36d899d3899ba9ff292a27cfa2d43de8ce40674f</x:v>
      </x:c>
      <x:c r="I94" s="18" t="str">
        <x:v>否</x:v>
      </x:c>
    </x:row>
    <x:row r="95" ht="28" customHeight="1">
      <x:c r="A95" s="18" t="str">
        <x:v>江坂</x:v>
      </x:c>
      <x:c r="B95" s="18" t="str">
        <x:v>北大阪急行電鉄</x:v>
      </x:c>
      <x:c r="C95" s="18"/>
      <x:c r="D95" s="18" t="str">
        <x:v>private_rail</x:v>
      </x:c>
      <x:c r="E95" s="19" t="str">
        <x:v>ADDED_OFFICIAL_HUB_COMPONENT_REVIEW</x:v>
      </x:c>
      <x:c r="F95" s="18"/>
      <x:c r="G95" s="18" t="str">
        <x:v>transport-node:32bb3bc0-157f-5aba-a607-a7a1b0bbe2bb</x:v>
      </x:c>
      <x:c r="H95" s="18" t="str">
        <x:v>36d899d3899ba9ff292a27cfa2d43de8ce40674f</x:v>
      </x:c>
      <x:c r="I95" s="18" t="str">
        <x:v>否</x:v>
      </x:c>
    </x:row>
    <x:row r="96" ht="28" customHeight="1">
      <x:c r="A96" s="18" t="str">
        <x:v>津</x:v>
      </x:c>
      <x:c r="B96" s="18" t="str">
        <x:v>伊勢鉄道</x:v>
      </x:c>
      <x:c r="C96" s="18"/>
      <x:c r="D96" s="18" t="str">
        <x:v>private_rail</x:v>
      </x:c>
      <x:c r="E96" s="19" t="str">
        <x:v>ADDED_OFFICIAL_HUB_COMPONENT_REVIEW</x:v>
      </x:c>
      <x:c r="F96" s="18"/>
      <x:c r="G96" s="18" t="str">
        <x:v>transport-node:c70ac394-a427-5da7-a3d4-6df843397936</x:v>
      </x:c>
      <x:c r="H96" s="18" t="str">
        <x:v>36d899d3899ba9ff292a27cfa2d43de8ce40674f</x:v>
      </x:c>
      <x:c r="I96" s="18" t="str">
        <x:v>否</x:v>
      </x:c>
    </x:row>
    <x:row r="97" ht="28" customHeight="1">
      <x:c r="A97" s="18" t="str">
        <x:v>津</x:v>
      </x:c>
      <x:c r="B97" s="18" t="str">
        <x:v>東海旅客鉄道</x:v>
      </x:c>
      <x:c r="C97" s="18"/>
      <x:c r="D97" s="18" t="str">
        <x:v>conventional_rail</x:v>
      </x:c>
      <x:c r="E97" s="19" t="str">
        <x:v>ADDED_OFFICIAL_HUB_COMPONENT_REVIEW</x:v>
      </x:c>
      <x:c r="F97" s="18"/>
      <x:c r="G97" s="18" t="str">
        <x:v>transport-node:4dbdddc3-8d05-59b6-af50-39724ec49d15</x:v>
      </x:c>
      <x:c r="H97" s="18" t="str">
        <x:v>36d899d3899ba9ff292a27cfa2d43de8ce40674f</x:v>
      </x:c>
      <x:c r="I97" s="18" t="str">
        <x:v>否</x:v>
      </x:c>
    </x:row>
    <x:row r="98" ht="28" customHeight="1">
      <x:c r="A98" s="18" t="str">
        <x:v>渡辺橋</x:v>
      </x:c>
      <x:c r="B98" s="18" t="str">
        <x:v>京阪電気鉄道</x:v>
      </x:c>
      <x:c r="C98" s="18"/>
      <x:c r="D98" s="18" t="str">
        <x:v>private_rail</x:v>
      </x:c>
      <x:c r="E98" s="19" t="str">
        <x:v>ADDED_OFFICIAL_HUB_COMPONENT_REVIEW</x:v>
      </x:c>
      <x:c r="F98" s="18"/>
      <x:c r="G98" s="18" t="str">
        <x:v>transport-node:c078b4e6-faef-5c16-83a4-d64397e13142</x:v>
      </x:c>
      <x:c r="H98" s="18" t="str">
        <x:v>36d899d3899ba9ff292a27cfa2d43de8ce40674f</x:v>
      </x:c>
      <x:c r="I98" s="18" t="str">
        <x:v>否</x:v>
      </x:c>
    </x:row>
    <x:row r="99" ht="28" customHeight="1">
      <x:c r="A99" s="18" t="str">
        <x:v>湊川</x:v>
      </x:c>
      <x:c r="B99" s="18" t="str">
        <x:v>神戸電鉄</x:v>
      </x:c>
      <x:c r="C99" s="18"/>
      <x:c r="D99" s="18" t="str">
        <x:v>private_rail</x:v>
      </x:c>
      <x:c r="E99" s="19" t="str">
        <x:v>ADDED_OFFICIAL_HUB_COMPONENT_REVIEW</x:v>
      </x:c>
      <x:c r="F99" s="18"/>
      <x:c r="G99" s="18" t="str">
        <x:v>transport-node:07b20ade-d6d8-5149-b703-4d38e797eddf</x:v>
      </x:c>
      <x:c r="H99" s="18" t="str">
        <x:v>36d899d3899ba9ff292a27cfa2d43de8ce40674f</x:v>
      </x:c>
      <x:c r="I99" s="18" t="str">
        <x:v>否</x:v>
      </x:c>
    </x:row>
    <x:row r="100" ht="28" customHeight="1">
      <x:c r="A100" s="18" t="str">
        <x:v>湊川公園</x:v>
      </x:c>
      <x:c r="B100" s="18" t="str">
        <x:v>神戸市</x:v>
      </x:c>
      <x:c r="C100" s="18" t="str">
        <x:v>private_rail</x:v>
      </x:c>
      <x:c r="D100" s="18" t="str">
        <x:v>metro</x:v>
      </x:c>
      <x:c r="E100" s="19" t="str">
        <x:v>EXPLICIT_CANDIDATE_MODE_CORRECTION</x:v>
      </x:c>
      <x:c r="F100" s="18" t="str">
        <x:v>transport-node:c5d79a28-3ee3-5309-9f3e-06209b04e3ef</x:v>
      </x:c>
      <x:c r="G100" s="18" t="str">
        <x:v>transport-node:f64fa64b-f098-5ddd-8257-626952e58711</x:v>
      </x:c>
      <x:c r="H100" s="18" t="str">
        <x:v>36d899d3899ba9ff292a27cfa2d43de8ce40674f</x:v>
      </x:c>
      <x:c r="I100" s="18" t="str">
        <x:v>否</x:v>
      </x:c>
    </x:row>
    <x:row r="101" ht="28" customHeight="1">
      <x:c r="A101" s="18" t="str">
        <x:v>澄川</x:v>
      </x:c>
      <x:c r="B101" s="18" t="str">
        <x:v>札幌市</x:v>
      </x:c>
      <x:c r="C101" s="18" t="str">
        <x:v>fixed_guideway</x:v>
      </x:c>
      <x:c r="D101" s="18" t="str">
        <x:v>metro</x:v>
      </x:c>
      <x:c r="E101" s="19" t="str">
        <x:v>EXPLICIT_CANDIDATE_MODE_CORRECTION</x:v>
      </x:c>
      <x:c r="F101" s="18" t="str">
        <x:v>transport-node:75e5d9e7-0ccc-533a-bce9-d8143f7f6974</x:v>
      </x:c>
      <x:c r="G101" s="18" t="str">
        <x:v>transport-node:fceca17a-e128-59b6-aaa1-02bdf1c69945</x:v>
      </x:c>
      <x:c r="H101" s="18" t="str">
        <x:v>36d899d3899ba9ff292a27cfa2d43de8ce40674f</x:v>
      </x:c>
      <x:c r="I101" s="18" t="str">
        <x:v>否</x:v>
      </x:c>
    </x:row>
    <x:row r="102" ht="28" customHeight="1">
      <x:c r="A102" s="18" t="str">
        <x:v>熊本駅前</x:v>
      </x:c>
      <x:c r="B102" s="18" t="str">
        <x:v>熊本市</x:v>
      </x:c>
      <x:c r="C102" s="18"/>
      <x:c r="D102" s="18" t="str">
        <x:v>tram</x:v>
      </x:c>
      <x:c r="E102" s="19" t="str">
        <x:v>ADDED_OFFICIAL_HUB_COMPONENT_REVIEW</x:v>
      </x:c>
      <x:c r="F102" s="18"/>
      <x:c r="G102" s="18" t="str">
        <x:v>transport-node:534e973c-a47d-50b8-b311-49ad5dbc5533</x:v>
      </x:c>
      <x:c r="H102" s="18" t="str">
        <x:v>36d899d3899ba9ff292a27cfa2d43de8ce40674f</x:v>
      </x:c>
      <x:c r="I102" s="18" t="str">
        <x:v>否</x:v>
      </x:c>
    </x:row>
    <x:row r="103" ht="28" customHeight="1">
      <x:c r="A103" s="18" t="str">
        <x:v>王子駅前</x:v>
      </x:c>
      <x:c r="B103" s="18" t="str">
        <x:v>東京都</x:v>
      </x:c>
      <x:c r="C103" s="18"/>
      <x:c r="D103" s="18" t="str">
        <x:v>tram</x:v>
      </x:c>
      <x:c r="E103" s="19" t="str">
        <x:v>ADDED_OFFICIAL_HUB_COMPONENT_REVIEW</x:v>
      </x:c>
      <x:c r="F103" s="18"/>
      <x:c r="G103" s="18" t="str">
        <x:v>transport-node:a5848bd4-900e-5d30-ab4e-aa2a49339b6d</x:v>
      </x:c>
      <x:c r="H103" s="18" t="str">
        <x:v>36d899d3899ba9ff292a27cfa2d43de8ce40674f</x:v>
      </x:c>
      <x:c r="I103" s="18" t="str">
        <x:v>否</x:v>
      </x:c>
    </x:row>
    <x:row r="104" ht="28" customHeight="1">
      <x:c r="A104" s="18" t="str">
        <x:v>琴似</x:v>
      </x:c>
      <x:c r="B104" s="18" t="str">
        <x:v>札幌市</x:v>
      </x:c>
      <x:c r="C104" s="18" t="str">
        <x:v>fixed_guideway</x:v>
      </x:c>
      <x:c r="D104" s="18" t="str">
        <x:v>metro</x:v>
      </x:c>
      <x:c r="E104" s="19" t="str">
        <x:v>EXPLICIT_CANDIDATE_MODE_CORRECTION</x:v>
      </x:c>
      <x:c r="F104" s="18" t="str">
        <x:v>transport-node:74fcc9bb-6fe4-5dae-aa6a-d7e6cc5ecd27</x:v>
      </x:c>
      <x:c r="G104" s="18" t="str">
        <x:v>transport-node:dbb0bd24-33ce-5a44-bbbe-eabce739b3a4</x:v>
      </x:c>
      <x:c r="H104" s="18" t="str">
        <x:v>36d899d3899ba9ff292a27cfa2d43de8ce40674f</x:v>
      </x:c>
      <x:c r="I104" s="18" t="str">
        <x:v>否</x:v>
      </x:c>
    </x:row>
    <x:row r="105" ht="28" customHeight="1">
      <x:c r="A105" s="18" t="str">
        <x:v>環状通東</x:v>
      </x:c>
      <x:c r="B105" s="18" t="str">
        <x:v>札幌市</x:v>
      </x:c>
      <x:c r="C105" s="18" t="str">
        <x:v>fixed_guideway</x:v>
      </x:c>
      <x:c r="D105" s="18" t="str">
        <x:v>metro</x:v>
      </x:c>
      <x:c r="E105" s="19" t="str">
        <x:v>EXPLICIT_CANDIDATE_MODE_CORRECTION</x:v>
      </x:c>
      <x:c r="F105" s="18" t="str">
        <x:v>transport-node:a8a2a4e2-5d3e-5ec8-adff-da443f8af02c</x:v>
      </x:c>
      <x:c r="G105" s="18" t="str">
        <x:v>transport-node:61e615a4-d690-5abe-be56-70d9f9242329</x:v>
      </x:c>
      <x:c r="H105" s="18" t="str">
        <x:v>36d899d3899ba9ff292a27cfa2d43de8ce40674f</x:v>
      </x:c>
      <x:c r="I105" s="18" t="str">
        <x:v>否</x:v>
      </x:c>
    </x:row>
    <x:row r="106" ht="28" customHeight="1">
      <x:c r="A106" s="18" t="str">
        <x:v>町屋駅前</x:v>
      </x:c>
      <x:c r="B106" s="18" t="str">
        <x:v>東京都</x:v>
      </x:c>
      <x:c r="C106" s="18"/>
      <x:c r="D106" s="18" t="str">
        <x:v>tram</x:v>
      </x:c>
      <x:c r="E106" s="19" t="str">
        <x:v>ADDED_OFFICIAL_HUB_COMPONENT_REVIEW</x:v>
      </x:c>
      <x:c r="F106" s="18"/>
      <x:c r="G106" s="18" t="str">
        <x:v>transport-node:439975e0-eda9-5a77-be69-4a429f264cb1</x:v>
      </x:c>
      <x:c r="H106" s="18" t="str">
        <x:v>36d899d3899ba9ff292a27cfa2d43de8ce40674f</x:v>
      </x:c>
      <x:c r="I106" s="18" t="str">
        <x:v>否</x:v>
      </x:c>
    </x:row>
    <x:row r="107" ht="28" customHeight="1">
      <x:c r="A107" s="18" t="str">
        <x:v>発寒南</x:v>
      </x:c>
      <x:c r="B107" s="18" t="str">
        <x:v>札幌市</x:v>
      </x:c>
      <x:c r="C107" s="18" t="str">
        <x:v>fixed_guideway</x:v>
      </x:c>
      <x:c r="D107" s="18" t="str">
        <x:v>metro</x:v>
      </x:c>
      <x:c r="E107" s="19" t="str">
        <x:v>EXPLICIT_CANDIDATE_MODE_CORRECTION</x:v>
      </x:c>
      <x:c r="F107" s="18" t="str">
        <x:v>transport-node:c0fae300-bd45-50cd-8192-a190ffa9ecc5</x:v>
      </x:c>
      <x:c r="G107" s="18" t="str">
        <x:v>transport-node:5de2dbb8-9b8a-5654-ac15-b629b4b77335</x:v>
      </x:c>
      <x:c r="H107" s="18" t="str">
        <x:v>36d899d3899ba9ff292a27cfa2d43de8ce40674f</x:v>
      </x:c>
      <x:c r="I107" s="18" t="str">
        <x:v>否</x:v>
      </x:c>
    </x:row>
    <x:row r="108" ht="28" customHeight="1">
      <x:c r="A108" s="18" t="str">
        <x:v>白石</x:v>
      </x:c>
      <x:c r="B108" s="18" t="str">
        <x:v>札幌市</x:v>
      </x:c>
      <x:c r="C108" s="18" t="str">
        <x:v>fixed_guideway</x:v>
      </x:c>
      <x:c r="D108" s="18" t="str">
        <x:v>metro</x:v>
      </x:c>
      <x:c r="E108" s="19" t="str">
        <x:v>EXPLICIT_CANDIDATE_MODE_CORRECTION</x:v>
      </x:c>
      <x:c r="F108" s="18" t="str">
        <x:v>transport-node:ef9eae43-6128-5f5f-98ae-08aeafc2bf21</x:v>
      </x:c>
      <x:c r="G108" s="18" t="str">
        <x:v>transport-node:3901a0e3-ca99-59a9-b3f1-f51b397c9940</x:v>
      </x:c>
      <x:c r="H108" s="18" t="str">
        <x:v>36d899d3899ba9ff292a27cfa2d43de8ce40674f</x:v>
      </x:c>
      <x:c r="I108" s="18" t="str">
        <x:v>否</x:v>
      </x:c>
    </x:row>
    <x:row r="109" ht="28" customHeight="1">
      <x:c r="A109" s="18" t="str">
        <x:v>白金高輪</x:v>
      </x:c>
      <x:c r="B109" s="18" t="str">
        <x:v>東京都</x:v>
      </x:c>
      <x:c r="C109" s="18"/>
      <x:c r="D109" s="18" t="str">
        <x:v>metro</x:v>
      </x:c>
      <x:c r="E109" s="19" t="str">
        <x:v>ADDED_OFFICIAL_HUB_COMPONENT_REVIEW</x:v>
      </x:c>
      <x:c r="F109" s="18"/>
      <x:c r="G109" s="18" t="str">
        <x:v>transport-node:a47ee2dd-2d6b-5a72-a375-07b2efe5ab4e</x:v>
      </x:c>
      <x:c r="H109" s="18" t="str">
        <x:v>36d899d3899ba9ff292a27cfa2d43de8ce40674f</x:v>
      </x:c>
      <x:c r="I109" s="18" t="str">
        <x:v>否</x:v>
      </x:c>
    </x:row>
    <x:row r="110" ht="28" customHeight="1">
      <x:c r="A110" s="18" t="str">
        <x:v>目黒</x:v>
      </x:c>
      <x:c r="B110" s="18" t="str">
        <x:v>東京地下鉄</x:v>
      </x:c>
      <x:c r="C110" s="18"/>
      <x:c r="D110" s="18" t="str">
        <x:v>metro</x:v>
      </x:c>
      <x:c r="E110" s="19" t="str">
        <x:v>ADDED_OFFICIAL_HUB_COMPONENT_REVIEW</x:v>
      </x:c>
      <x:c r="F110" s="18"/>
      <x:c r="G110" s="18" t="str">
        <x:v>transport-node:b6873e8b-1578-5042-9584-11fd765ab5f1</x:v>
      </x:c>
      <x:c r="H110" s="18" t="str">
        <x:v>36d899d3899ba9ff292a27cfa2d43de8ce40674f</x:v>
      </x:c>
      <x:c r="I110" s="18" t="str">
        <x:v>否</x:v>
      </x:c>
    </x:row>
    <x:row r="111" ht="28" customHeight="1">
      <x:c r="A111" s="18" t="str">
        <x:v>目黒</x:v>
      </x:c>
      <x:c r="B111" s="18" t="str">
        <x:v>東京都</x:v>
      </x:c>
      <x:c r="C111" s="18"/>
      <x:c r="D111" s="18" t="str">
        <x:v>metro</x:v>
      </x:c>
      <x:c r="E111" s="19" t="str">
        <x:v>ADDED_OFFICIAL_HUB_COMPONENT_REVIEW</x:v>
      </x:c>
      <x:c r="F111" s="18"/>
      <x:c r="G111" s="18" t="str">
        <x:v>transport-node:7819b680-755c-5bfa-96a0-861c1c5e443a</x:v>
      </x:c>
      <x:c r="H111" s="18" t="str">
        <x:v>36d899d3899ba9ff292a27cfa2d43de8ce40674f</x:v>
      </x:c>
      <x:c r="I111" s="18" t="str">
        <x:v>否</x:v>
      </x:c>
    </x:row>
    <x:row r="112" ht="28" customHeight="1">
      <x:c r="A112" s="18" t="str">
        <x:v>真駒内</x:v>
      </x:c>
      <x:c r="B112" s="18" t="str">
        <x:v>札幌市</x:v>
      </x:c>
      <x:c r="C112" s="18" t="str">
        <x:v>fixed_guideway</x:v>
      </x:c>
      <x:c r="D112" s="18" t="str">
        <x:v>metro</x:v>
      </x:c>
      <x:c r="E112" s="19" t="str">
        <x:v>EXPLICIT_CANDIDATE_MODE_CORRECTION</x:v>
      </x:c>
      <x:c r="F112" s="18" t="str">
        <x:v>transport-node:fa98f50d-fe0a-545a-b81b-73c31314d8c4</x:v>
      </x:c>
      <x:c r="G112" s="18" t="str">
        <x:v>transport-node:66c81434-9ce3-5fce-8e13-9c7e9ebbea63</x:v>
      </x:c>
      <x:c r="H112" s="18" t="str">
        <x:v>36d899d3899ba9ff292a27cfa2d43de8ce40674f</x:v>
      </x:c>
      <x:c r="I112" s="18" t="str">
        <x:v>否</x:v>
      </x:c>
    </x:row>
    <x:row r="113" ht="28" customHeight="1">
      <x:c r="A113" s="18" t="str">
        <x:v>砂田橋</x:v>
      </x:c>
      <x:c r="B113" s="18" t="str">
        <x:v>名古屋ガイドウェイバス</x:v>
      </x:c>
      <x:c r="C113" s="18"/>
      <x:c r="D113" s="18" t="str">
        <x:v>fixed_guideway</x:v>
      </x:c>
      <x:c r="E113" s="19" t="str">
        <x:v>ADDED_OFFICIAL_HUB_COMPONENT_REVIEW</x:v>
      </x:c>
      <x:c r="F113" s="18"/>
      <x:c r="G113" s="18" t="str">
        <x:v>transport-node:51f31d61-b836-5899-b0e0-973ef8a75763</x:v>
      </x:c>
      <x:c r="H113" s="18" t="str">
        <x:v>36d899d3899ba9ff292a27cfa2d43de8ce40674f</x:v>
      </x:c>
      <x:c r="I113" s="18" t="str">
        <x:v>否</x:v>
      </x:c>
    </x:row>
    <x:row r="114" ht="28" customHeight="1">
      <x:c r="A114" s="18" t="str">
        <x:v>祝園</x:v>
      </x:c>
      <x:c r="B114" s="18" t="str">
        <x:v>西日本旅客鉄道</x:v>
      </x:c>
      <x:c r="C114" s="18"/>
      <x:c r="D114" s="18" t="str">
        <x:v>conventional_rail</x:v>
      </x:c>
      <x:c r="E114" s="19" t="str">
        <x:v>ADDED_OFFICIAL_HUB_COMPONENT_REVIEW</x:v>
      </x:c>
      <x:c r="F114" s="18"/>
      <x:c r="G114" s="18" t="str">
        <x:v>transport-node:e66b3834-1e35-5d36-8e0c-643a03f255e1</x:v>
      </x:c>
      <x:c r="H114" s="18" t="str">
        <x:v>36d899d3899ba9ff292a27cfa2d43de8ce40674f</x:v>
      </x:c>
      <x:c r="I114" s="18" t="str">
        <x:v>否</x:v>
      </x:c>
    </x:row>
    <x:row r="115" ht="28" customHeight="1">
      <x:c r="A115" s="18" t="str">
        <x:v>福住</x:v>
      </x:c>
      <x:c r="B115" s="18" t="str">
        <x:v>札幌市</x:v>
      </x:c>
      <x:c r="C115" s="18" t="str">
        <x:v>fixed_guideway</x:v>
      </x:c>
      <x:c r="D115" s="18" t="str">
        <x:v>metro</x:v>
      </x:c>
      <x:c r="E115" s="19" t="str">
        <x:v>EXPLICIT_CANDIDATE_MODE_CORRECTION</x:v>
      </x:c>
      <x:c r="F115" s="18" t="str">
        <x:v>transport-node:1c80780c-a4d3-5294-98e6-a6ae42d25a2e</x:v>
      </x:c>
      <x:c r="G115" s="18" t="str">
        <x:v>transport-node:5ba659ae-c90b-51ef-a0d5-8cd6609a5c99</x:v>
      </x:c>
      <x:c r="H115" s="18" t="str">
        <x:v>36d899d3899ba9ff292a27cfa2d43de8ce40674f</x:v>
      </x:c>
      <x:c r="I115" s="18" t="str">
        <x:v>否</x:v>
      </x:c>
    </x:row>
    <x:row r="116" ht="28" customHeight="1">
      <x:c r="A116" s="18" t="str">
        <x:v>竹田</x:v>
      </x:c>
      <x:c r="B116" s="18" t="str">
        <x:v>近畿日本鉄道</x:v>
      </x:c>
      <x:c r="C116" s="18"/>
      <x:c r="D116" s="18" t="str">
        <x:v>private_rail</x:v>
      </x:c>
      <x:c r="E116" s="19" t="str">
        <x:v>ADDED_OFFICIAL_HUB_COMPONENT_REVIEW</x:v>
      </x:c>
      <x:c r="F116" s="18"/>
      <x:c r="G116" s="18" t="str">
        <x:v>transport-node:3ce60782-b74d-59fa-b7b6-3b500de0ad50</x:v>
      </x:c>
      <x:c r="H116" s="18" t="str">
        <x:v>36d899d3899ba9ff292a27cfa2d43de8ce40674f</x:v>
      </x:c>
      <x:c r="I116" s="18" t="str">
        <x:v>否</x:v>
      </x:c>
    </x:row>
    <x:row r="117" ht="28" customHeight="1">
      <x:c r="A117" s="18" t="str">
        <x:v>箕面船場阪大前</x:v>
      </x:c>
      <x:c r="B117" s="18" t="str">
        <x:v>北大阪急行電鉄</x:v>
      </x:c>
      <x:c r="C117" s="18" t="str">
        <x:v>private_rail</x:v>
      </x:c>
      <x:c r="D117" s="18" t="str">
        <x:v>tram</x:v>
      </x:c>
      <x:c r="E117" s="19" t="str">
        <x:v>EXPLICIT_CANDIDATE_MODE_CORRECTION</x:v>
      </x:c>
      <x:c r="F117" s="18" t="str">
        <x:v>transport-node:93484c13-02c9-538b-9c5d-d9a0f38193aa</x:v>
      </x:c>
      <x:c r="G117" s="18" t="str">
        <x:v>transport-node:41677ac5-2098-57cf-8069-6d972dec4903</x:v>
      </x:c>
      <x:c r="H117" s="18" t="str">
        <x:v>36d899d3899ba9ff292a27cfa2d43de8ce40674f</x:v>
      </x:c>
      <x:c r="I117" s="18" t="str">
        <x:v>否</x:v>
      </x:c>
    </x:row>
    <x:row r="118" ht="28" customHeight="1">
      <x:c r="A118" s="18" t="str">
        <x:v>箕面萱野</x:v>
      </x:c>
      <x:c r="B118" s="18" t="str">
        <x:v>北大阪急行電鉄</x:v>
      </x:c>
      <x:c r="C118" s="18" t="str">
        <x:v>private_rail</x:v>
      </x:c>
      <x:c r="D118" s="18" t="str">
        <x:v>tram</x:v>
      </x:c>
      <x:c r="E118" s="19" t="str">
        <x:v>EXPLICIT_CANDIDATE_MODE_CORRECTION</x:v>
      </x:c>
      <x:c r="F118" s="18" t="str">
        <x:v>transport-node:9f9ef592-182a-51ad-903c-cecb76fefa6e</x:v>
      </x:c>
      <x:c r="G118" s="18" t="str">
        <x:v>transport-node:e7f1b07d-c32a-5734-a2d6-1c81546900f3</x:v>
      </x:c>
      <x:c r="H118" s="18" t="str">
        <x:v>36d899d3899ba9ff292a27cfa2d43de8ce40674f</x:v>
      </x:c>
      <x:c r="I118" s="18" t="str">
        <x:v>否</x:v>
      </x:c>
    </x:row>
    <x:row r="119" ht="28" customHeight="1">
      <x:c r="A119" s="18" t="str">
        <x:v>紙屋町西</x:v>
      </x:c>
      <x:c r="B119" s="18" t="str">
        <x:v>広島電鉄</x:v>
      </x:c>
      <x:c r="C119" s="18" t="str">
        <x:v>private_rail</x:v>
      </x:c>
      <x:c r="D119" s="18" t="str">
        <x:v>tram</x:v>
      </x:c>
      <x:c r="E119" s="19" t="str">
        <x:v>EXPLICIT_CANDIDATE_MODE_CORRECTION</x:v>
      </x:c>
      <x:c r="F119" s="18" t="str">
        <x:v>transport-node:003d4e56-5d78-5dda-84b8-c466ca9b777b</x:v>
      </x:c>
      <x:c r="G119" s="18" t="str">
        <x:v>transport-node:37988c49-3b40-54da-bf74-dbfd26b70c70</x:v>
      </x:c>
      <x:c r="H119" s="18" t="str">
        <x:v>36d899d3899ba9ff292a27cfa2d43de8ce40674f</x:v>
      </x:c>
      <x:c r="I119" s="18" t="str">
        <x:v>否</x:v>
      </x:c>
    </x:row>
    <x:row r="120" ht="28" customHeight="1">
      <x:c r="A120" s="18" t="str">
        <x:v>綾瀬</x:v>
      </x:c>
      <x:c r="B120" s="18" t="str">
        <x:v>東日本旅客鉄道</x:v>
      </x:c>
      <x:c r="C120" s="18"/>
      <x:c r="D120" s="18" t="str">
        <x:v>conventional_rail</x:v>
      </x:c>
      <x:c r="E120" s="19" t="str">
        <x:v>ADDED_OFFICIAL_HUB_COMPONENT_REVIEW</x:v>
      </x:c>
      <x:c r="F120" s="18"/>
      <x:c r="G120" s="18" t="str">
        <x:v>transport-node:f48c90c1-9d01-5b6a-902e-64a1c91a769c</x:v>
      </x:c>
      <x:c r="H120" s="18" t="str">
        <x:v>36d899d3899ba9ff292a27cfa2d43de8ce40674f</x:v>
      </x:c>
      <x:c r="I120" s="18" t="str">
        <x:v>否</x:v>
      </x:c>
    </x:row>
    <x:row r="121" ht="28" customHeight="1">
      <x:c r="A121" s="18" t="str">
        <x:v>総合運動公園</x:v>
      </x:c>
      <x:c r="B121" s="18" t="str">
        <x:v>神戸市</x:v>
      </x:c>
      <x:c r="C121" s="18" t="str">
        <x:v>private_rail</x:v>
      </x:c>
      <x:c r="D121" s="18" t="str">
        <x:v>metro</x:v>
      </x:c>
      <x:c r="E121" s="19" t="str">
        <x:v>EXPLICIT_CANDIDATE_MODE_CORRECTION</x:v>
      </x:c>
      <x:c r="F121" s="18" t="str">
        <x:v>transport-node:c7b4ffb2-6898-585f-b188-220b674f232f</x:v>
      </x:c>
      <x:c r="G121" s="18" t="str">
        <x:v>transport-node:78ece2fc-b9bf-50c5-a796-372e458ccade</x:v>
      </x:c>
      <x:c r="H121" s="18" t="str">
        <x:v>36d899d3899ba9ff292a27cfa2d43de8ce40674f</x:v>
      </x:c>
      <x:c r="I121" s="18" t="str">
        <x:v>否</x:v>
      </x:c>
    </x:row>
    <x:row r="122" ht="28" customHeight="1">
      <x:c r="A122" s="18" t="str">
        <x:v>美園</x:v>
      </x:c>
      <x:c r="B122" s="18" t="str">
        <x:v>札幌市</x:v>
      </x:c>
      <x:c r="C122" s="18" t="str">
        <x:v>fixed_guideway</x:v>
      </x:c>
      <x:c r="D122" s="18" t="str">
        <x:v>metro</x:v>
      </x:c>
      <x:c r="E122" s="19" t="str">
        <x:v>EXPLICIT_CANDIDATE_MODE_CORRECTION</x:v>
      </x:c>
      <x:c r="F122" s="18" t="str">
        <x:v>transport-node:2066babf-5ab9-5e28-a382-5da6ecb0577b</x:v>
      </x:c>
      <x:c r="G122" s="18" t="str">
        <x:v>transport-node:4e4cd619-cea3-5ada-bcd4-c120cb9a1681</x:v>
      </x:c>
      <x:c r="H122" s="18" t="str">
        <x:v>36d899d3899ba9ff292a27cfa2d43de8ce40674f</x:v>
      </x:c>
      <x:c r="I122" s="18" t="str">
        <x:v>否</x:v>
      </x:c>
    </x:row>
    <x:row r="123" ht="28" customHeight="1">
      <x:c r="A123" s="18" t="str">
        <x:v>菊水</x:v>
      </x:c>
      <x:c r="B123" s="18" t="str">
        <x:v>札幌市</x:v>
      </x:c>
      <x:c r="C123" s="18" t="str">
        <x:v>fixed_guideway</x:v>
      </x:c>
      <x:c r="D123" s="18" t="str">
        <x:v>metro</x:v>
      </x:c>
      <x:c r="E123" s="19" t="str">
        <x:v>EXPLICIT_CANDIDATE_MODE_CORRECTION</x:v>
      </x:c>
      <x:c r="F123" s="18" t="str">
        <x:v>transport-node:9cc9f88b-b37e-5b22-ab40-c1f119b6969a</x:v>
      </x:c>
      <x:c r="G123" s="18" t="str">
        <x:v>transport-node:9e27584b-2cea-5799-91e8-2cf4a1a18561</x:v>
      </x:c>
      <x:c r="H123" s="18" t="str">
        <x:v>36d899d3899ba9ff292a27cfa2d43de8ce40674f</x:v>
      </x:c>
      <x:c r="I123" s="18" t="str">
        <x:v>否</x:v>
      </x:c>
    </x:row>
    <x:row r="124" ht="28" customHeight="1">
      <x:c r="A124" s="18" t="str">
        <x:v>萩山</x:v>
      </x:c>
      <x:c r="B124" s="18" t="str">
        <x:v>西武鉄道</x:v>
      </x:c>
      <x:c r="C124" s="18"/>
      <x:c r="D124" s="18" t="str">
        <x:v>private_rail</x:v>
      </x:c>
      <x:c r="E124" s="19" t="str">
        <x:v>ADDED_OFFICIAL_HUB_COMPONENT_REVIEW</x:v>
      </x:c>
      <x:c r="F124" s="18"/>
      <x:c r="G124" s="18" t="str">
        <x:v>transport-node:99057a2b-9968-5edb-9330-310011a7435f</x:v>
      </x:c>
      <x:c r="H124" s="18" t="str">
        <x:v>36d899d3899ba9ff292a27cfa2d43de8ce40674f</x:v>
      </x:c>
      <x:c r="I124" s="18" t="str">
        <x:v>否</x:v>
      </x:c>
    </x:row>
    <x:row r="125" ht="28" customHeight="1">
      <x:c r="A125" s="18" t="str">
        <x:v>西11丁目</x:v>
      </x:c>
      <x:c r="B125" s="18" t="str">
        <x:v>札幌市</x:v>
      </x:c>
      <x:c r="C125" s="18" t="str">
        <x:v>fixed_guideway</x:v>
      </x:c>
      <x:c r="D125" s="18" t="str">
        <x:v>metro</x:v>
      </x:c>
      <x:c r="E125" s="19" t="str">
        <x:v>EXPLICIT_CANDIDATE_MODE_CORRECTION</x:v>
      </x:c>
      <x:c r="F125" s="18" t="str">
        <x:v>transport-node:05855612-a56a-598d-9036-c83b602f8f07</x:v>
      </x:c>
      <x:c r="G125" s="18" t="str">
        <x:v>transport-node:63cce806-02db-5c57-8ae4-2c5a7e965dba</x:v>
      </x:c>
      <x:c r="H125" s="18" t="str">
        <x:v>36d899d3899ba9ff292a27cfa2d43de8ce40674f</x:v>
      </x:c>
      <x:c r="I125" s="18" t="str">
        <x:v>否</x:v>
      </x:c>
    </x:row>
    <x:row r="126" ht="28" customHeight="1">
      <x:c r="A126" s="18" t="str">
        <x:v>西18丁目</x:v>
      </x:c>
      <x:c r="B126" s="18" t="str">
        <x:v>札幌市</x:v>
      </x:c>
      <x:c r="C126" s="18" t="str">
        <x:v>fixed_guideway</x:v>
      </x:c>
      <x:c r="D126" s="18" t="str">
        <x:v>metro</x:v>
      </x:c>
      <x:c r="E126" s="19" t="str">
        <x:v>EXPLICIT_CANDIDATE_MODE_CORRECTION</x:v>
      </x:c>
      <x:c r="F126" s="18" t="str">
        <x:v>transport-node:ed7dff13-f5cf-5224-8a4f-b5777ac5403e</x:v>
      </x:c>
      <x:c r="G126" s="18" t="str">
        <x:v>transport-node:948498dc-ed04-5c5a-a03d-ed4b693ff2f9</x:v>
      </x:c>
      <x:c r="H126" s="18" t="str">
        <x:v>36d899d3899ba9ff292a27cfa2d43de8ce40674f</x:v>
      </x:c>
      <x:c r="I126" s="18" t="str">
        <x:v>否</x:v>
      </x:c>
    </x:row>
    <x:row r="127" ht="28" customHeight="1">
      <x:c r="A127" s="18" t="str">
        <x:v>西28丁目</x:v>
      </x:c>
      <x:c r="B127" s="18" t="str">
        <x:v>札幌市</x:v>
      </x:c>
      <x:c r="C127" s="18" t="str">
        <x:v>fixed_guideway</x:v>
      </x:c>
      <x:c r="D127" s="18" t="str">
        <x:v>metro</x:v>
      </x:c>
      <x:c r="E127" s="19" t="str">
        <x:v>EXPLICIT_CANDIDATE_MODE_CORRECTION</x:v>
      </x:c>
      <x:c r="F127" s="18" t="str">
        <x:v>transport-node:ff9ca992-77db-52f4-a8b8-6651dc0951f4</x:v>
      </x:c>
      <x:c r="G127" s="18" t="str">
        <x:v>transport-node:32ae1abb-ce59-504c-8e2a-c8aae06d63fa</x:v>
      </x:c>
      <x:c r="H127" s="18" t="str">
        <x:v>36d899d3899ba9ff292a27cfa2d43de8ce40674f</x:v>
      </x:c>
      <x:c r="I127" s="18" t="str">
        <x:v>否</x:v>
      </x:c>
    </x:row>
    <x:row r="128" ht="28" customHeight="1">
      <x:c r="A128" s="18" t="str">
        <x:v>西4丁目</x:v>
      </x:c>
      <x:c r="B128" s="18" t="str">
        <x:v>一般社団法人札幌市交通事業振興公社</x:v>
      </x:c>
      <x:c r="C128" s="18" t="str">
        <x:v>private_rail</x:v>
      </x:c>
      <x:c r="D128" s="18" t="str">
        <x:v>tram</x:v>
      </x:c>
      <x:c r="E128" s="19" t="str">
        <x:v>EXPLICIT_CANDIDATE_MODE_CORRECTION</x:v>
      </x:c>
      <x:c r="F128" s="18" t="str">
        <x:v>transport-node:084e8800-b992-5f56-8f58-7444c896fc90</x:v>
      </x:c>
      <x:c r="G128" s="18" t="str">
        <x:v>transport-node:e61ba0ad-05d6-5bef-8dd7-d4568f8a88dc</x:v>
      </x:c>
      <x:c r="H128" s="18" t="str">
        <x:v>36d899d3899ba9ff292a27cfa2d43de8ce40674f</x:v>
      </x:c>
      <x:c r="I128" s="18" t="str">
        <x:v>否</x:v>
      </x:c>
    </x:row>
    <x:row r="129" ht="28" customHeight="1">
      <x:c r="A129" s="18" t="str">
        <x:v>西桑名</x:v>
      </x:c>
      <x:c r="B129" s="18" t="str">
        <x:v>三岐鉄道</x:v>
      </x:c>
      <x:c r="C129" s="18"/>
      <x:c r="D129" s="18" t="str">
        <x:v>private_rail</x:v>
      </x:c>
      <x:c r="E129" s="19" t="str">
        <x:v>ADDED_OFFICIAL_HUB_COMPONENT_REVIEW</x:v>
      </x:c>
      <x:c r="F129" s="18"/>
      <x:c r="G129" s="18" t="str">
        <x:v>transport-node:bb1fc446-0f93-57a4-958f-c248a35c83e9</x:v>
      </x:c>
      <x:c r="H129" s="18" t="str">
        <x:v>36d899d3899ba9ff292a27cfa2d43de8ce40674f</x:v>
      </x:c>
      <x:c r="I129" s="18" t="str">
        <x:v>否</x:v>
      </x:c>
    </x:row>
    <x:row r="130" ht="28" customHeight="1">
      <x:c r="A130" s="18" t="str">
        <x:v>西神中央</x:v>
      </x:c>
      <x:c r="B130" s="18" t="str">
        <x:v>神戸市</x:v>
      </x:c>
      <x:c r="C130" s="18" t="str">
        <x:v>private_rail</x:v>
      </x:c>
      <x:c r="D130" s="18" t="str">
        <x:v>metro</x:v>
      </x:c>
      <x:c r="E130" s="19" t="str">
        <x:v>EXPLICIT_CANDIDATE_MODE_CORRECTION</x:v>
      </x:c>
      <x:c r="F130" s="18" t="str">
        <x:v>transport-node:16270b84-8dd7-5969-b2d4-9973de90a52d</x:v>
      </x:c>
      <x:c r="G130" s="18" t="str">
        <x:v>transport-node:f1075143-0b3a-5b1f-ae06-4dfca8c966bd</x:v>
      </x:c>
      <x:c r="H130" s="18" t="str">
        <x:v>36d899d3899ba9ff292a27cfa2d43de8ce40674f</x:v>
      </x:c>
      <x:c r="I130" s="18" t="str">
        <x:v>否</x:v>
      </x:c>
    </x:row>
    <x:row r="131" ht="28" customHeight="1">
      <x:c r="A131" s="18" t="str">
        <x:v>西神南</x:v>
      </x:c>
      <x:c r="B131" s="18" t="str">
        <x:v>神戸市</x:v>
      </x:c>
      <x:c r="C131" s="18" t="str">
        <x:v>private_rail</x:v>
      </x:c>
      <x:c r="D131" s="18" t="str">
        <x:v>metro</x:v>
      </x:c>
      <x:c r="E131" s="19" t="str">
        <x:v>EXPLICIT_CANDIDATE_MODE_CORRECTION</x:v>
      </x:c>
      <x:c r="F131" s="18" t="str">
        <x:v>transport-node:385de01b-0d73-55a5-b806-88083d9b629c</x:v>
      </x:c>
      <x:c r="G131" s="18" t="str">
        <x:v>transport-node:451f657a-6106-55e8-9716-3167909fbc2a</x:v>
      </x:c>
      <x:c r="H131" s="18" t="str">
        <x:v>36d899d3899ba9ff292a27cfa2d43de8ce40674f</x:v>
      </x:c>
      <x:c r="I131" s="18" t="str">
        <x:v>否</x:v>
      </x:c>
    </x:row>
    <x:row r="132" ht="28" customHeight="1">
      <x:c r="A132" s="18" t="str">
        <x:v>西船橋</x:v>
      </x:c>
      <x:c r="B132" s="18" t="str">
        <x:v>東葉高速鉄道</x:v>
      </x:c>
      <x:c r="C132" s="18"/>
      <x:c r="D132" s="18" t="str">
        <x:v>private_rail</x:v>
      </x:c>
      <x:c r="E132" s="19" t="str">
        <x:v>ADDED_OFFICIAL_HUB_COMPONENT_REVIEW</x:v>
      </x:c>
      <x:c r="F132" s="18"/>
      <x:c r="G132" s="18" t="str">
        <x:v>transport-node:2b451248-d14c-57c7-8858-b16cb289196d</x:v>
      </x:c>
      <x:c r="H132" s="18" t="str">
        <x:v>36d899d3899ba9ff292a27cfa2d43de8ce40674f</x:v>
      </x:c>
      <x:c r="I132" s="18" t="str">
        <x:v>否</x:v>
      </x:c>
    </x:row>
    <x:row r="133" ht="28" customHeight="1">
      <x:c r="A133" s="18" t="str">
        <x:v>西院</x:v>
      </x:c>
      <x:c r="B133" s="18" t="str">
        <x:v>京福電気鉄道</x:v>
      </x:c>
      <x:c r="C133" s="18"/>
      <x:c r="D133" s="18" t="str">
        <x:v>tram</x:v>
      </x:c>
      <x:c r="E133" s="19" t="str">
        <x:v>ADDED_OFFICIAL_HUB_COMPONENT_REVIEW</x:v>
      </x:c>
      <x:c r="F133" s="18"/>
      <x:c r="G133" s="18" t="str">
        <x:v>transport-node:4efa5e12-212d-583f-bdc9-52d7d2def089</x:v>
      </x:c>
      <x:c r="H133" s="18" t="str">
        <x:v>36d899d3899ba9ff292a27cfa2d43de8ce40674f</x:v>
      </x:c>
      <x:c r="I133" s="18" t="str">
        <x:v>否</x:v>
      </x:c>
    </x:row>
    <x:row r="134" ht="28" customHeight="1">
      <x:c r="A134" s="18" t="str">
        <x:v>谷上</x:v>
      </x:c>
      <x:c r="B134" s="18" t="str">
        <x:v>神戸市</x:v>
      </x:c>
      <x:c r="C134" s="18" t="str">
        <x:v>private_rail</x:v>
      </x:c>
      <x:c r="D134" s="18" t="str">
        <x:v>metro</x:v>
      </x:c>
      <x:c r="E134" s="19" t="str">
        <x:v>EXPLICIT_CANDIDATE_MODE_CORRECTION</x:v>
      </x:c>
      <x:c r="F134" s="18" t="str">
        <x:v>transport-node:e2ddcffc-d5aa-516d-9199-a7add7469821</x:v>
      </x:c>
      <x:c r="G134" s="18" t="str">
        <x:v>transport-node:539c1a2d-9fbe-533e-90c6-804c9ab3ca95</x:v>
      </x:c>
      <x:c r="H134" s="18" t="str">
        <x:v>36d899d3899ba9ff292a27cfa2d43de8ce40674f</x:v>
      </x:c>
      <x:c r="I134" s="18" t="str">
        <x:v>否</x:v>
      </x:c>
    </x:row>
    <x:row r="135" ht="28" customHeight="1">
      <x:c r="A135" s="18" t="str">
        <x:v>谷上</x:v>
      </x:c>
      <x:c r="B135" s="18" t="str">
        <x:v>神戸電鉄</x:v>
      </x:c>
      <x:c r="C135" s="18"/>
      <x:c r="D135" s="18" t="str">
        <x:v>private_rail</x:v>
      </x:c>
      <x:c r="E135" s="19" t="str">
        <x:v>ADDED_OFFICIAL_HUB_COMPONENT_REVIEW</x:v>
      </x:c>
      <x:c r="F135" s="18"/>
      <x:c r="G135" s="18" t="str">
        <x:v>transport-node:9cb12537-145b-5be7-b4a1-029e18d84dd0</x:v>
      </x:c>
      <x:c r="H135" s="18" t="str">
        <x:v>36d899d3899ba9ff292a27cfa2d43de8ce40674f</x:v>
      </x:c>
      <x:c r="I135" s="18" t="str">
        <x:v>否</x:v>
      </x:c>
    </x:row>
    <x:row r="136" ht="28" customHeight="1">
      <x:c r="A136" s="18" t="str">
        <x:v>豊平公園</x:v>
      </x:c>
      <x:c r="B136" s="18" t="str">
        <x:v>札幌市</x:v>
      </x:c>
      <x:c r="C136" s="18" t="str">
        <x:v>fixed_guideway</x:v>
      </x:c>
      <x:c r="D136" s="18" t="str">
        <x:v>metro</x:v>
      </x:c>
      <x:c r="E136" s="19" t="str">
        <x:v>EXPLICIT_CANDIDATE_MODE_CORRECTION</x:v>
      </x:c>
      <x:c r="F136" s="18" t="str">
        <x:v>transport-node:040f823a-17f8-5250-91d4-c73c22f3ff43</x:v>
      </x:c>
      <x:c r="G136" s="18" t="str">
        <x:v>transport-node:5069eaf9-8c2b-509e-8898-9bcc90dc9d21</x:v>
      </x:c>
      <x:c r="H136" s="18" t="str">
        <x:v>36d899d3899ba9ff292a27cfa2d43de8ce40674f</x:v>
      </x:c>
      <x:c r="I136" s="18" t="str">
        <x:v>否</x:v>
      </x:c>
    </x:row>
    <x:row r="137" ht="28" customHeight="1">
      <x:c r="A137" s="18" t="str">
        <x:v>豊水すすきの</x:v>
      </x:c>
      <x:c r="B137" s="18" t="str">
        <x:v>札幌市</x:v>
      </x:c>
      <x:c r="C137" s="18" t="str">
        <x:v>fixed_guideway</x:v>
      </x:c>
      <x:c r="D137" s="18" t="str">
        <x:v>metro</x:v>
      </x:c>
      <x:c r="E137" s="19" t="str">
        <x:v>EXPLICIT_CANDIDATE_MODE_CORRECTION</x:v>
      </x:c>
      <x:c r="F137" s="18" t="str">
        <x:v>transport-node:06a9c687-9532-5571-8994-c095216b9167</x:v>
      </x:c>
      <x:c r="G137" s="18" t="str">
        <x:v>transport-node:4665ddd5-d4e8-5707-86d6-b3021efd5ef2</x:v>
      </x:c>
      <x:c r="H137" s="18" t="str">
        <x:v>36d899d3899ba9ff292a27cfa2d43de8ce40674f</x:v>
      </x:c>
      <x:c r="I137" s="18" t="str">
        <x:v>否</x:v>
      </x:c>
    </x:row>
    <x:row r="138" ht="28" customHeight="1">
      <x:c r="A138" s="18" t="str">
        <x:v>赤池</x:v>
      </x:c>
      <x:c r="B138" s="18" t="str">
        <x:v>名古屋鉄道</x:v>
      </x:c>
      <x:c r="C138" s="18"/>
      <x:c r="D138" s="18" t="str">
        <x:v>private_rail</x:v>
      </x:c>
      <x:c r="E138" s="19" t="str">
        <x:v>ADDED_OFFICIAL_HUB_COMPONENT_REVIEW</x:v>
      </x:c>
      <x:c r="F138" s="18"/>
      <x:c r="G138" s="18" t="str">
        <x:v>transport-node:bcd6e239-799a-5fca-9ae5-41478c95cf27</x:v>
      </x:c>
      <x:c r="H138" s="18" t="str">
        <x:v>36d899d3899ba9ff292a27cfa2d43de8ce40674f</x:v>
      </x:c>
      <x:c r="I138" s="18" t="str">
        <x:v>否</x:v>
      </x:c>
    </x:row>
    <x:row r="139" ht="28" customHeight="1">
      <x:c r="A139" s="18" t="str">
        <x:v>赤羽岩淵</x:v>
      </x:c>
      <x:c r="B139" s="18" t="str">
        <x:v>埼玉高速鉄道</x:v>
      </x:c>
      <x:c r="C139" s="18"/>
      <x:c r="D139" s="18" t="str">
        <x:v>private_rail</x:v>
      </x:c>
      <x:c r="E139" s="19" t="str">
        <x:v>ADDED_OFFICIAL_HUB_COMPONENT_REVIEW</x:v>
      </x:c>
      <x:c r="F139" s="18"/>
      <x:c r="G139" s="18" t="str">
        <x:v>transport-node:3374ea3a-7d69-58fd-aff1-14237a9757c7</x:v>
      </x:c>
      <x:c r="H139" s="18" t="str">
        <x:v>36d899d3899ba9ff292a27cfa2d43de8ce40674f</x:v>
      </x:c>
      <x:c r="I139" s="18" t="str">
        <x:v>否</x:v>
      </x:c>
    </x:row>
    <x:row r="140" ht="28" customHeight="1">
      <x:c r="A140" s="18" t="str">
        <x:v>近鉄八田</x:v>
      </x:c>
      <x:c r="B140" s="18" t="str">
        <x:v>近畿日本鉄道</x:v>
      </x:c>
      <x:c r="C140" s="18"/>
      <x:c r="D140" s="18" t="str">
        <x:v>private_rail</x:v>
      </x:c>
      <x:c r="E140" s="19" t="str">
        <x:v>ADDED_OFFICIAL_HUB_COMPONENT_REVIEW</x:v>
      </x:c>
      <x:c r="F140" s="18"/>
      <x:c r="G140" s="18" t="str">
        <x:v>transport-node:5d10d961-ace8-5b8c-ba41-5aa70f0c6b33</x:v>
      </x:c>
      <x:c r="H140" s="18" t="str">
        <x:v>36d899d3899ba9ff292a27cfa2d43de8ce40674f</x:v>
      </x:c>
      <x:c r="I140" s="18" t="str">
        <x:v>否</x:v>
      </x:c>
    </x:row>
    <x:row r="141" ht="28" customHeight="1">
      <x:c r="A141" s="18" t="str">
        <x:v>長居</x:v>
      </x:c>
      <x:c r="B141" s="18" t="str">
        <x:v>西日本旅客鉄道</x:v>
      </x:c>
      <x:c r="C141" s="18"/>
      <x:c r="D141" s="18" t="str">
        <x:v>conventional_rail</x:v>
      </x:c>
      <x:c r="E141" s="19" t="str">
        <x:v>ADDED_OFFICIAL_HUB_COMPONENT_REVIEW</x:v>
      </x:c>
      <x:c r="F141" s="18"/>
      <x:c r="G141" s="18" t="str">
        <x:v>transport-node:f3ed039f-d90c-5804-a500-a817ccfbae56</x:v>
      </x:c>
      <x:c r="H141" s="18" t="str">
        <x:v>36d899d3899ba9ff292a27cfa2d43de8ce40674f</x:v>
      </x:c>
      <x:c r="I141" s="18" t="str">
        <x:v>否</x:v>
      </x:c>
    </x:row>
    <x:row r="142" ht="28" customHeight="1">
      <x:c r="A142" s="18" t="str">
        <x:v>長田</x:v>
      </x:c>
      <x:c r="B142" s="18" t="str">
        <x:v>近畿日本鉄道</x:v>
      </x:c>
      <x:c r="C142" s="18"/>
      <x:c r="D142" s="18" t="str">
        <x:v>private_rail</x:v>
      </x:c>
      <x:c r="E142" s="19" t="str">
        <x:v>ADDED_OFFICIAL_HUB_COMPONENT_REVIEW</x:v>
      </x:c>
      <x:c r="F142" s="18"/>
      <x:c r="G142" s="18" t="str">
        <x:v>transport-node:f960791b-775a-5e3f-8632-a9d2fbe924ef</x:v>
      </x:c>
      <x:c r="H142" s="18" t="str">
        <x:v>36d899d3899ba9ff292a27cfa2d43de8ce40674f</x:v>
      </x:c>
      <x:c r="I142" s="18" t="str">
        <x:v>否</x:v>
      </x:c>
    </x:row>
    <x:row r="143" ht="28" customHeight="1">
      <x:c r="A143" s="18" t="str">
        <x:v>長町</x:v>
      </x:c>
      <x:c r="B143" s="18" t="str">
        <x:v>仙台市</x:v>
      </x:c>
      <x:c r="C143" s="18"/>
      <x:c r="D143" s="18" t="str">
        <x:v>metro</x:v>
      </x:c>
      <x:c r="E143" s="19" t="str">
        <x:v>ADDED_OFFICIAL_HUB_COMPONENT_REVIEW</x:v>
      </x:c>
      <x:c r="F143" s="18"/>
      <x:c r="G143" s="18" t="str">
        <x:v>transport-node:0f68bb86-3185-5df1-b137-4a31e2d18d89</x:v>
      </x:c>
      <x:c r="H143" s="18" t="str">
        <x:v>36d899d3899ba9ff292a27cfa2d43de8ce40674f</x:v>
      </x:c>
      <x:c r="I143" s="18" t="str">
        <x:v>否</x:v>
      </x:c>
    </x:row>
    <x:row r="144" ht="28" customHeight="1">
      <x:c r="A144" s="18" t="str">
        <x:v>関目成育</x:v>
      </x:c>
      <x:c r="B144" s="18" t="str">
        <x:v>大阪市高速電気軌道</x:v>
      </x:c>
      <x:c r="C144" s="18"/>
      <x:c r="D144" s="18" t="str">
        <x:v>metro</x:v>
      </x:c>
      <x:c r="E144" s="19" t="str">
        <x:v>ADDED_OFFICIAL_HUB_COMPONENT_REVIEW</x:v>
      </x:c>
      <x:c r="F144" s="18"/>
      <x:c r="G144" s="18" t="str">
        <x:v>transport-node:0357737e-485f-5bd1-8069-be7289c68729</x:v>
      </x:c>
      <x:c r="H144" s="18" t="str">
        <x:v>36d899d3899ba9ff292a27cfa2d43de8ce40674f</x:v>
      </x:c>
      <x:c r="I144" s="18" t="str">
        <x:v>否</x:v>
      </x:c>
    </x:row>
    <x:row r="145" ht="28" customHeight="1">
      <x:c r="A145" s="18" t="str">
        <x:v>鳥羽</x:v>
      </x:c>
      <x:c r="B145" s="18" t="str">
        <x:v>東海旅客鉄道</x:v>
      </x:c>
      <x:c r="C145" s="18"/>
      <x:c r="D145" s="18" t="str">
        <x:v>conventional_rail</x:v>
      </x:c>
      <x:c r="E145" s="19" t="str">
        <x:v>ADDED_OFFICIAL_HUB_COMPONENT_REVIEW</x:v>
      </x:c>
      <x:c r="F145" s="18"/>
      <x:c r="G145" s="18" t="str">
        <x:v>transport-node:8b296299-cc24-5f4c-b814-347da304c944</x:v>
      </x:c>
      <x:c r="H145" s="18" t="str">
        <x:v>36d899d3899ba9ff292a27cfa2d43de8ce40674f</x:v>
      </x:c>
      <x:c r="I145" s="18" t="str">
        <x:v>否</x:v>
      </x:c>
    </x:row>
    <x:row r="146" ht="28" customHeight="1">
      <x:c r="A146" s="18" t="str">
        <x:v>鳥羽</x:v>
      </x:c>
      <x:c r="B146" s="18" t="str">
        <x:v>近畿日本鉄道</x:v>
      </x:c>
      <x:c r="C146" s="18"/>
      <x:c r="D146" s="18" t="str">
        <x:v>private_rail</x:v>
      </x:c>
      <x:c r="E146" s="19" t="str">
        <x:v>ADDED_OFFICIAL_HUB_COMPONENT_REVIEW</x:v>
      </x:c>
      <x:c r="F146" s="18"/>
      <x:c r="G146" s="18" t="str">
        <x:v>transport-node:9fbe590f-116e-53a5-83d6-94131242f646</x:v>
      </x:c>
      <x:c r="H146" s="18" t="str">
        <x:v>36d899d3899ba9ff292a27cfa2d43de8ce40674f</x:v>
      </x:c>
      <x:c r="I146" s="18" t="str">
        <x:v>否</x:v>
      </x:c>
    </x:row>
    <x:row r="147" ht="28" customHeight="1">
      <x:c r="A147" s="18" t="str">
        <x:v>鹿児島中央駅前</x:v>
      </x:c>
      <x:c r="B147" s="18" t="str">
        <x:v>鹿児島市</x:v>
      </x:c>
      <x:c r="C147" s="18"/>
      <x:c r="D147" s="18" t="str">
        <x:v>tram</x:v>
      </x:c>
      <x:c r="E147" s="19" t="str">
        <x:v>ADDED_OFFICIAL_HUB_COMPONENT_REVIEW</x:v>
      </x:c>
      <x:c r="F147" s="18"/>
      <x:c r="G147" s="18" t="str">
        <x:v>transport-node:722bd6d1-d279-542b-9ee5-dea888b1e132</x:v>
      </x:c>
      <x:c r="H147" s="18" t="str">
        <x:v>36d899d3899ba9ff292a27cfa2d43de8ce40674f</x:v>
      </x:c>
      <x:c r="I147" s="18" t="str">
        <x:v>否</x:v>
      </x:c>
    </x:row>
    <x:row r="148" ht="28" customHeight="1">
      <x:c r="A148" s="18" t="str">
        <x:v>麻生</x:v>
      </x:c>
      <x:c r="B148" s="18" t="str">
        <x:v>札幌市</x:v>
      </x:c>
      <x:c r="C148" s="18" t="str">
        <x:v>fixed_guideway</x:v>
      </x:c>
      <x:c r="D148" s="18" t="str">
        <x:v>metro</x:v>
      </x:c>
      <x:c r="E148" s="19" t="str">
        <x:v>EXPLICIT_CANDIDATE_MODE_CORRECTION</x:v>
      </x:c>
      <x:c r="F148" s="18" t="str">
        <x:v>transport-node:7eadea3e-de4b-5769-80f8-c07d06e8019c</x:v>
      </x:c>
      <x:c r="G148" s="18" t="str">
        <x:v>transport-node:d7445b07-8b33-5172-973e-f6a9e42f1191</x:v>
      </x:c>
      <x:c r="H148" s="18" t="str">
        <x:v>36d899d3899ba9ff292a27cfa2d43de8ce40674f</x:v>
      </x:c>
      <x:c r="I148" s="18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a5a6e04ccf834312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0" hidden="0" customWidth="1"/>
    <x:col min="2" max="2" width="60" hidden="0" customWidth="1"/>
    <x:col min="3" max="3" width="38" hidden="0" customWidth="1"/>
    <x:col min="4" max="4" width="85" hidden="0" customWidth="1"/>
    <x:col min="5" max="5" width="48" hidden="0" customWidth="1"/>
    <x:col min="6" max="6" width="90" hidden="0" customWidth="1"/>
    <x:col min="7" max="7" width="65" hidden="0" customWidth="1"/>
    <x:col min="8" max="8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4" t="str">
        <x:v>旧轨道身份与本轮候选对应</x:v>
      </x:c>
      <x:c r="B2" s="5"/>
      <x:c r="C2" s="5"/>
      <x:c r="D2" s="5"/>
      <x:c r="E2" s="5"/>
      <x:c r="F2" s="5"/>
      <x:c r="G2" s="5"/>
      <x:c r="H2" s="5"/>
    </x:row>
    <x:row r="3">
      <x:c r="A3" s="6" t="str">
        <x:v>179 个旧轨道 ID：123 复用候选、54 替代、2 待审核。</x:v>
      </x:c>
      <x:c r="B3" s="2"/>
      <x:c r="C3" s="2"/>
      <x:c r="D3" s="2"/>
      <x:c r="E3" s="2"/>
      <x:c r="F3" s="2"/>
      <x:c r="G3" s="2"/>
      <x:c r="H3" s="2"/>
    </x:row>
    <x:row r="4">
      <x:c r="A4" s="6" t="str">
        <x:v>来源：data/transport/nodes/task-084-b-v2-amendment-review/v1-rail-lineage-resolved.jsonl</x:v>
      </x:c>
      <x:c r="B4" s="2"/>
      <x:c r="C4" s="2"/>
      <x:c r="D4" s="2"/>
      <x:c r="E4" s="2"/>
      <x:c r="F4" s="2"/>
      <x:c r="G4" s="2"/>
      <x:c r="H4" s="2"/>
    </x:row>
    <x:row r="5" ht="34" customHeight="1">
      <x:c r="A5" s="15" t="str">
        <x:v>旧节点 ID</x:v>
      </x:c>
      <x:c r="B5" s="16" t="str">
        <x:v>新候选 ID</x:v>
      </x:c>
      <x:c r="C5" s="16" t="str">
        <x:v>判定</x:v>
      </x:c>
      <x:c r="D5" s="16" t="str">
        <x:v>理由</x:v>
      </x:c>
      <x:c r="E5" s="16" t="str">
        <x:v>旧线路</x:v>
      </x:c>
      <x:c r="F5" s="16" t="str">
        <x:v>旧来源引用</x:v>
      </x:c>
      <x:c r="G5" s="16" t="str">
        <x:v>归组前中间候选</x:v>
      </x:c>
      <x:c r="H5" s="17" t="str">
        <x:v>显式身份决定</x:v>
      </x:c>
    </x:row>
    <x:row r="6" ht="33" customHeight="1">
      <x:c r="A6" s="18" t="str">
        <x:v>transport-node:01451e17-3669-5274-bfd1-f4052ab1f16e</x:v>
      </x:c>
      <x:c r="B6" s="18" t="str">
        <x:v>transport-node:01451e17-3669-5274-bfd1-f4052ab1f16e</x:v>
      </x:c>
      <x:c r="C6" s="19" t="str">
        <x:v>REUSED_SAME_COMPONENT</x:v>
      </x:c>
      <x:c r="D6" s="19" t="str">
        <x:v>Single-line component confirmed by S12</x:v>
      </x:c>
      <x:c r="E6" s="19" t="str">
        <x:v>北陸新幹線</x:v>
      </x:c>
      <x:c r="F6" s="19" t="str">
        <x:v>{"field":"N02_005c","id":"002094","source":"MLIT N02 2025"}
{"field":"N02_005g","id":"002093","source":"MLIT N02 2025"}</x:v>
      </x:c>
      <x:c r="G6" s="18"/>
      <x:c r="H6" s="19"/>
    </x:row>
    <x:row r="7" ht="33" customHeight="1">
      <x:c r="A7" s="18" t="str">
        <x:v>transport-node:03b1ebe3-0aad-5f1a-a8fa-6d59324bd0f6</x:v>
      </x:c>
      <x:c r="B7" s="18" t="str">
        <x:v>transport-node:f5e5010a-739c-5c0c-bfd6-3449c94b23db</x:v>
      </x:c>
      <x:c r="C7" s="19" t="str">
        <x:v>SUPERSEDED_BY</x:v>
      </x:c>
      <x:c r="D7" s="19" t="str">
        <x:v>V1 line feature superseded by operator/station/mode component</x:v>
      </x:c>
      <x:c r="E7" s="19" t="str">
        <x:v>東海道線</x:v>
      </x:c>
      <x:c r="F7" s="19" t="str">
        <x:v>{"field":"N02_005c","id":"003770","source":"MLIT N02 2025"}
{"field":"N02_005g","id":"003766","source":"MLIT N02 2025"}</x:v>
      </x:c>
      <x:c r="G7" s="18"/>
      <x:c r="H7" s="19"/>
    </x:row>
    <x:row r="8" ht="33" customHeight="1">
      <x:c r="A8" s="18" t="str">
        <x:v>transport-node:03cdf592-8288-5aa7-a640-e89967a9c790</x:v>
      </x:c>
      <x:c r="B8" s="18" t="str">
        <x:v>transport-node:03cdf592-8288-5aa7-a640-e89967a9c790</x:v>
      </x:c>
      <x:c r="C8" s="19" t="str">
        <x:v>REUSED_SAME_COMPONENT</x:v>
      </x:c>
      <x:c r="D8" s="19" t="str">
        <x:v>Single-line component confirmed by S12</x:v>
      </x:c>
      <x:c r="E8" s="19" t="str">
        <x:v>九州新幹線</x:v>
      </x:c>
      <x:c r="F8" s="19" t="str">
        <x:v>{"field":"N02_005c","id":"009779","source":"MLIT N02 2025"}
{"field":"N02_005g","id":"009785","source":"MLIT N02 2025"}</x:v>
      </x:c>
      <x:c r="G8" s="18"/>
      <x:c r="H8" s="19"/>
    </x:row>
    <x:row r="9" ht="33" customHeight="1">
      <x:c r="A9" s="18" t="str">
        <x:v>transport-node:03dac815-1ccf-506f-a722-ea7aba09ae38</x:v>
      </x:c>
      <x:c r="B9" s="18" t="str">
        <x:v>transport-node:03dac815-1ccf-506f-a722-ea7aba09ae38</x:v>
      </x:c>
      <x:c r="C9" s="19" t="str">
        <x:v>REUSED_SAME_COMPONENT</x:v>
      </x:c>
      <x:c r="D9" s="19" t="str">
        <x:v>Single-line component confirmed by S12</x:v>
      </x:c>
      <x:c r="E9" s="19" t="str">
        <x:v>東北新幹線</x:v>
      </x:c>
      <x:c r="F9" s="19" t="str">
        <x:v>{"field":"N02_005c","id":"000625","source":"MLIT N02 2025"}
{"field":"N02_005g","id":"000626","source":"MLIT N02 2025"}</x:v>
      </x:c>
      <x:c r="G9" s="18"/>
      <x:c r="H9" s="19"/>
    </x:row>
    <x:row r="10" ht="33" customHeight="1">
      <x:c r="A10" s="18" t="str">
        <x:v>transport-node:06921f2b-ee65-5df4-8413-3e4c0376f438</x:v>
      </x:c>
      <x:c r="B10" s="18" t="str">
        <x:v>transport-node:06921f2b-ee65-5df4-8413-3e4c0376f438</x:v>
      </x:c>
      <x:c r="C10" s="19" t="str">
        <x:v>REUSED_SAME_COMPONENT</x:v>
      </x:c>
      <x:c r="D10" s="19" t="str">
        <x:v>Single-line component confirmed by S12</x:v>
      </x:c>
      <x:c r="E10" s="19" t="str">
        <x:v>山陽新幹線</x:v>
      </x:c>
      <x:c r="F10" s="19" t="str">
        <x:v>{"field":"N02_005c","id":"007697","source":"MLIT N02 2025"}
{"field":"N02_005g","id":"007697","source":"MLIT N02 2025"}</x:v>
      </x:c>
      <x:c r="G10" s="18"/>
      <x:c r="H10" s="19"/>
    </x:row>
    <x:row r="11" ht="33" customHeight="1">
      <x:c r="A11" s="18" t="str">
        <x:v>transport-node:084b300b-6ede-565a-a673-4d0caa10d8e8</x:v>
      </x:c>
      <x:c r="B11" s="18" t="str">
        <x:v>transport-node:2b228db8-21f5-5adc-aad5-f79486ed788a</x:v>
      </x:c>
      <x:c r="C11" s="19" t="str">
        <x:v>SUPERSEDED_BY</x:v>
      </x:c>
      <x:c r="D11" s="19" t="str">
        <x:v>V1 line feature superseded by operator/station/mode component</x:v>
      </x:c>
      <x:c r="E11" s="19" t="str">
        <x:v>3号線銀座線</x:v>
      </x:c>
      <x:c r="F11" s="19" t="str">
        <x:v>{"field":"N02_005c","id":"003515","source":"MLIT N02 2025"}
{"field":"N02_005g","id":"003505","source":"MLIT N02 2025"}</x:v>
      </x:c>
      <x:c r="G11" s="18"/>
      <x:c r="H11" s="19"/>
    </x:row>
    <x:row r="12" ht="33" customHeight="1">
      <x:c r="A12" s="18" t="str">
        <x:v>transport-node:0868e0bc-211b-5573-9330-fcfb19ce68a6</x:v>
      </x:c>
      <x:c r="B12" s="18" t="str">
        <x:v>transport-node:0663cba4-444d-5601-ab9c-b6d7ef355aae</x:v>
      </x:c>
      <x:c r="C12" s="19" t="str">
        <x:v>SUPERSEDED_BY</x:v>
      </x:c>
      <x:c r="D12" s="19" t="str">
        <x:v>V1 line feature superseded by operator/station/mode component</x:v>
      </x:c>
      <x:c r="E12" s="19" t="str">
        <x:v>おおさか東線</x:v>
      </x:c>
      <x:c r="F12" s="19" t="str">
        <x:v>{"field":"N02_005c","id":"006909","source":"MLIT N02 2025"}
{"field":"N02_005g","id":"006911","source":"MLIT N02 2025"}</x:v>
      </x:c>
      <x:c r="G12" s="18"/>
      <x:c r="H12" s="19"/>
    </x:row>
    <x:row r="13" ht="33" customHeight="1">
      <x:c r="A13" s="18" t="str">
        <x:v>transport-node:09929bc6-6d53-5549-803b-d457698499fd</x:v>
      </x:c>
      <x:c r="B13" s="18" t="str">
        <x:v>transport-node:09929bc6-6d53-5549-803b-d457698499fd</x:v>
      </x:c>
      <x:c r="C13" s="19" t="str">
        <x:v>REUSED_SAME_COMPONENT</x:v>
      </x:c>
      <x:c r="D13" s="19" t="str">
        <x:v>Single-line component confirmed by S12</x:v>
      </x:c>
      <x:c r="E13" s="19" t="str">
        <x:v>東北線</x:v>
      </x:c>
      <x:c r="F13" s="19" t="str">
        <x:v>{"field":"N02_005c","id":"003504","source":"MLIT N02 2025"}
{"field":"N02_005g","id":"003505","source":"MLIT N02 2025"}</x:v>
      </x:c>
      <x:c r="G13" s="18"/>
      <x:c r="H13" s="19"/>
    </x:row>
    <x:row r="14" ht="33" customHeight="1">
      <x:c r="A14" s="18" t="str">
        <x:v>transport-node:1008d401-0ce4-5b6d-8109-7512a2236412</x:v>
      </x:c>
      <x:c r="B14" s="18" t="str">
        <x:v>transport-node:1008d401-0ce4-5b6d-8109-7512a2236412</x:v>
      </x:c>
      <x:c r="C14" s="19" t="str">
        <x:v>REUSED_SAME_COMPONENT</x:v>
      </x:c>
      <x:c r="D14" s="19" t="str">
        <x:v>Single-line component confirmed by S12</x:v>
      </x:c>
      <x:c r="E14" s="19" t="str">
        <x:v>東北新幹線</x:v>
      </x:c>
      <x:c r="F14" s="19" t="str">
        <x:v>{"field":"N02_005c","id":"000531","source":"MLIT N02 2025"}
{"field":"N02_005g","id":"000531","source":"MLIT N02 2025"}</x:v>
      </x:c>
      <x:c r="G14" s="18"/>
      <x:c r="H14" s="19"/>
    </x:row>
    <x:row r="15" ht="33" customHeight="1">
      <x:c r="A15" s="18" t="str">
        <x:v>transport-node:10318077-4a91-5730-a04d-fd0bad33b282</x:v>
      </x:c>
      <x:c r="B15" s="18" t="str">
        <x:v>transport-node:10318077-4a91-5730-a04d-fd0bad33b282</x:v>
      </x:c>
      <x:c r="C15" s="19" t="str">
        <x:v>REUSED_SAME_COMPONENT</x:v>
      </x:c>
      <x:c r="D15" s="19" t="str">
        <x:v>Single-line component confirmed by S12</x:v>
      </x:c>
      <x:c r="E15" s="19" t="str">
        <x:v>東海道新幹線</x:v>
      </x:c>
      <x:c r="F15" s="19" t="str">
        <x:v>{"field":"N02_005c","id":"005554","source":"MLIT N02 2025"}
{"field":"N02_005g","id":"005554","source":"MLIT N02 2025"}</x:v>
      </x:c>
      <x:c r="G15" s="18"/>
      <x:c r="H15" s="19"/>
    </x:row>
    <x:row r="16" ht="33" customHeight="1">
      <x:c r="A16" s="18" t="str">
        <x:v>transport-node:11aa3a3e-2ac5-59cf-8a58-daab708d97d1</x:v>
      </x:c>
      <x:c r="B16" s="18" t="str">
        <x:v>transport-node:89b07d95-ed68-5092-a531-07e2df74b03a</x:v>
      </x:c>
      <x:c r="C16" s="19" t="str">
        <x:v>SUPERSEDED_BY</x:v>
      </x:c>
      <x:c r="D16" s="19" t="str">
        <x:v>V1 line feature superseded by operator/station/mode component</x:v>
      </x:c>
      <x:c r="E16" s="19" t="str">
        <x:v>中央線</x:v>
      </x:c>
      <x:c r="F16" s="19" t="str">
        <x:v>{"field":"N02_005c","id":"003693","source":"MLIT N02 2025"}
{"field":"N02_005g","id":"003700","source":"MLIT N02 2025"}</x:v>
      </x:c>
      <x:c r="G16" s="18"/>
      <x:c r="H16" s="19"/>
    </x:row>
    <x:row r="17" ht="33" customHeight="1">
      <x:c r="A17" s="18" t="str">
        <x:v>transport-node:13a1cc93-9db9-5937-a3bc-6a4e031e0c8e</x:v>
      </x:c>
      <x:c r="B17" s="18" t="str">
        <x:v>transport-node:13a1cc93-9db9-5937-a3bc-6a4e031e0c8e</x:v>
      </x:c>
      <x:c r="C17" s="19" t="str">
        <x:v>REUSED_SAME_COMPONENT</x:v>
      </x:c>
      <x:c r="D17" s="19" t="str">
        <x:v>Single-line component confirmed by S12</x:v>
      </x:c>
      <x:c r="E17" s="19" t="str">
        <x:v>北陸新幹線</x:v>
      </x:c>
      <x:c r="F17" s="19" t="str">
        <x:v>{"field":"N02_005c","id":"002328","source":"MLIT N02 2025"}
{"field":"N02_005g","id":"002328","source":"MLIT N02 2025"}</x:v>
      </x:c>
      <x:c r="G17" s="18"/>
      <x:c r="H17" s="19"/>
    </x:row>
    <x:row r="18" ht="28" customHeight="1">
      <x:c r="A18" s="18" t="str">
        <x:v>transport-node:159ba470-fdf2-5ab3-be89-4da776bc246d</x:v>
      </x:c>
      <x:c r="B18" s="18"/>
      <x:c r="C18" s="19" t="str">
        <x:v>REVIEW_REQUIRED</x:v>
      </x:c>
      <x:c r="D18" s="19" t="str">
        <x:v>No safe S12 station/operator/mode crosswalk; no silent rebind or rejection</x:v>
      </x:c>
      <x:c r="E18" s="19" t="str"/>
      <x:c r="F18" s="19" t="str"/>
      <x:c r="G18" s="18"/>
      <x:c r="H18" s="19"/>
    </x:row>
    <x:row r="19" ht="33" customHeight="1">
      <x:c r="A19" s="18" t="str">
        <x:v>transport-node:17f7f34f-51f4-5bf7-9795-9f1b28405cbb</x:v>
      </x:c>
      <x:c r="B19" s="18" t="str">
        <x:v>transport-node:fdc50ead-35ad-5cf1-aa8c-1bdd0464c361</x:v>
      </x:c>
      <x:c r="C19" s="19" t="str">
        <x:v>SUPERSEDED_BY</x:v>
      </x:c>
      <x:c r="D19" s="19" t="str">
        <x:v>V1 line feature superseded by operator/station/mode component</x:v>
      </x:c>
      <x:c r="E19" s="19" t="str">
        <x:v>南北線</x:v>
      </x:c>
      <x:c r="F19" s="19" t="str">
        <x:v>{"field":"N02_005c","id":"001183","source":"MLIT N02 2025"}
{"field":"N02_005g","id":"001177","source":"MLIT N02 2025"}</x:v>
      </x:c>
      <x:c r="G19" s="18"/>
      <x:c r="H19" s="19"/>
    </x:row>
    <x:row r="20" ht="33" customHeight="1">
      <x:c r="A20" s="18" t="str">
        <x:v>transport-node:1a3c7478-360a-5849-9b80-5fe6d7d532c3</x:v>
      </x:c>
      <x:c r="B20" s="18" t="str">
        <x:v>transport-node:1a3c7478-360a-5849-9b80-5fe6d7d532c3</x:v>
      </x:c>
      <x:c r="C20" s="19" t="str">
        <x:v>REUSED_SAME_COMPONENT</x:v>
      </x:c>
      <x:c r="D20" s="19" t="str">
        <x:v>Single-line component confirmed by S12</x:v>
      </x:c>
      <x:c r="E20" s="19" t="str">
        <x:v>上越新幹線</x:v>
      </x:c>
      <x:c r="F20" s="19" t="str">
        <x:v>{"field":"N02_005c","id":"001952","source":"MLIT N02 2025"}
{"field":"N02_005g","id":"001952","source":"MLIT N02 2025"}</x:v>
      </x:c>
      <x:c r="G20" s="18"/>
      <x:c r="H20" s="19"/>
    </x:row>
    <x:row r="21" ht="33" customHeight="1">
      <x:c r="A21" s="18" t="str">
        <x:v>transport-node:1ab068ac-5b05-54da-b70e-affcc738c1f7</x:v>
      </x:c>
      <x:c r="B21" s="18" t="str">
        <x:v>transport-node:1ab068ac-5b05-54da-b70e-affcc738c1f7</x:v>
      </x:c>
      <x:c r="C21" s="19" t="str">
        <x:v>REUSED_SAME_COMPONENT</x:v>
      </x:c>
      <x:c r="D21" s="19" t="str">
        <x:v>Single-line component confirmed by S12</x:v>
      </x:c>
      <x:c r="E21" s="19" t="str">
        <x:v>九州新幹線</x:v>
      </x:c>
      <x:c r="F21" s="19" t="str">
        <x:v>{"field":"N02_005c","id":"009331","source":"MLIT N02 2025"}
{"field":"N02_005g","id":"009331","source":"MLIT N02 2025"}</x:v>
      </x:c>
      <x:c r="G21" s="18"/>
      <x:c r="H21" s="19"/>
    </x:row>
    <x:row r="22" ht="33" customHeight="1">
      <x:c r="A22" s="18" t="str">
        <x:v>transport-node:1b1ccd0e-18a4-5ef6-90d3-60d1dcb776ea</x:v>
      </x:c>
      <x:c r="B22" s="18" t="str">
        <x:v>transport-node:1b1ccd0e-18a4-5ef6-90d3-60d1dcb776ea</x:v>
      </x:c>
      <x:c r="C22" s="19" t="str">
        <x:v>REUSED_SAME_COMPONENT</x:v>
      </x:c>
      <x:c r="D22" s="19" t="str">
        <x:v>Single-line component confirmed by S12</x:v>
      </x:c>
      <x:c r="E22" s="19" t="str">
        <x:v>京都線</x:v>
      </x:c>
      <x:c r="F22" s="19" t="str">
        <x:v>{"field":"N02_005c","id":"006084","source":"MLIT N02 2025"}
{"field":"N02_005g","id":"006079","source":"MLIT N02 2025"}</x:v>
      </x:c>
      <x:c r="G22" s="18"/>
      <x:c r="H22" s="19"/>
    </x:row>
    <x:row r="23" ht="33" customHeight="1">
      <x:c r="A23" s="18" t="str">
        <x:v>transport-node:1df81fee-0f06-5f2a-a13d-08401ff22848</x:v>
      </x:c>
      <x:c r="B23" s="18" t="str">
        <x:v>transport-node:1df81fee-0f06-5f2a-a13d-08401ff22848</x:v>
      </x:c>
      <x:c r="C23" s="19" t="str">
        <x:v>REUSED_SAME_COMPONENT</x:v>
      </x:c>
      <x:c r="D23" s="19" t="str">
        <x:v>Single-line component confirmed by S12</x:v>
      </x:c>
      <x:c r="E23" s="19" t="str">
        <x:v>東北新幹線</x:v>
      </x:c>
      <x:c r="F23" s="19" t="str">
        <x:v>{"field":"N02_005c","id":"001506","source":"MLIT N02 2025"}
{"field":"N02_005g","id":"001507","source":"MLIT N02 2025"}</x:v>
      </x:c>
      <x:c r="G23" s="18"/>
      <x:c r="H23" s="19"/>
    </x:row>
    <x:row r="24" ht="33" customHeight="1">
      <x:c r="A24" s="18" t="str">
        <x:v>transport-node:1e235f73-4ed8-5c3a-a231-b46305088d7b</x:v>
      </x:c>
      <x:c r="B24" s="18" t="str">
        <x:v>transport-node:1e235f73-4ed8-5c3a-a231-b46305088d7b</x:v>
      </x:c>
      <x:c r="C24" s="19" t="str">
        <x:v>REUSED_SAME_COMPONENT</x:v>
      </x:c>
      <x:c r="D24" s="19" t="str">
        <x:v>Single-line component confirmed by S12</x:v>
      </x:c>
      <x:c r="E24" s="19" t="str">
        <x:v>東北新幹線</x:v>
      </x:c>
      <x:c r="F24" s="19" t="str">
        <x:v>{"field":"N02_005c","id":"002406","source":"MLIT N02 2025"}
{"field":"N02_005g","id":"002407","source":"MLIT N02 2025"}</x:v>
      </x:c>
      <x:c r="G24" s="18"/>
      <x:c r="H24" s="19"/>
    </x:row>
    <x:row r="25" ht="33" customHeight="1">
      <x:c r="A25" s="18" t="str">
        <x:v>transport-node:1e7633cc-c81b-523e-bb06-e3080f15aaf5</x:v>
      </x:c>
      <x:c r="B25" s="18" t="str">
        <x:v>transport-node:1e7633cc-c81b-523e-bb06-e3080f15aaf5</x:v>
      </x:c>
      <x:c r="C25" s="19" t="str">
        <x:v>REUSED_SAME_COMPONENT</x:v>
      </x:c>
      <x:c r="D25" s="19" t="str">
        <x:v>Single-line component confirmed by S12</x:v>
      </x:c>
      <x:c r="E25" s="19" t="str">
        <x:v>京王線</x:v>
      </x:c>
      <x:c r="F25" s="19" t="str">
        <x:v>{"field":"N02_005c","id":"003700","source":"MLIT N02 2025"}
{"field":"N02_005g","id":"003700","source":"MLIT N02 2025"}</x:v>
      </x:c>
      <x:c r="G25" s="18"/>
      <x:c r="H25" s="19"/>
    </x:row>
    <x:row r="26" ht="33" customHeight="1">
      <x:c r="A26" s="18" t="str">
        <x:v>transport-node:1ed880c9-4c9b-5ba4-b8ea-d65527c64857</x:v>
      </x:c>
      <x:c r="B26" s="18" t="str">
        <x:v>transport-node:1ed880c9-4c9b-5ba4-b8ea-d65527c64857</x:v>
      </x:c>
      <x:c r="C26" s="19" t="str">
        <x:v>REUSED_SAME_COMPONENT</x:v>
      </x:c>
      <x:c r="D26" s="19" t="str">
        <x:v>Single-line component confirmed by S12</x:v>
      </x:c>
      <x:c r="E26" s="19" t="str">
        <x:v>東海道新幹線</x:v>
      </x:c>
      <x:c r="F26" s="19" t="str">
        <x:v>{"field":"N02_005c","id":"005073","source":"MLIT N02 2025"}
{"field":"N02_005g","id":"005075","source":"MLIT N02 2025"}</x:v>
      </x:c>
      <x:c r="G26" s="18"/>
      <x:c r="H26" s="19"/>
    </x:row>
    <x:row r="27" ht="33" customHeight="1">
      <x:c r="A27" s="18" t="str">
        <x:v>transport-node:1f63e456-30af-5ed1-9525-29b15785b5ef</x:v>
      </x:c>
      <x:c r="B27" s="18" t="str">
        <x:v>transport-node:1f63e456-30af-5ed1-9525-29b15785b5ef</x:v>
      </x:c>
      <x:c r="C27" s="19" t="str">
        <x:v>REUSED_SAME_COMPONENT</x:v>
      </x:c>
      <x:c r="D27" s="19" t="str">
        <x:v>Single-line component confirmed by S12</x:v>
      </x:c>
      <x:c r="E27" s="19" t="str">
        <x:v>東海道新幹線</x:v>
      </x:c>
      <x:c r="F27" s="19" t="str">
        <x:v>{"field":"N02_005c","id":"005600","source":"MLIT N02 2025"}
{"field":"N02_005g","id":"005601","source":"MLIT N02 2025"}</x:v>
      </x:c>
      <x:c r="G27" s="18"/>
      <x:c r="H27" s="19"/>
    </x:row>
    <x:row r="28" ht="33" customHeight="1">
      <x:c r="A28" s="18" t="str">
        <x:v>transport-node:20789a72-4e5d-5060-a8a0-3f74b011a855</x:v>
      </x:c>
      <x:c r="B28" s="18" t="str">
        <x:v>transport-node:20789a72-4e5d-5060-a8a0-3f74b011a855</x:v>
      </x:c>
      <x:c r="C28" s="19" t="str">
        <x:v>REUSED_SAME_COMPONENT</x:v>
      </x:c>
      <x:c r="D28" s="19" t="str">
        <x:v>Single-line component confirmed by S12</x:v>
      </x:c>
      <x:c r="E28" s="19" t="str">
        <x:v>山陽新幹線</x:v>
      </x:c>
      <x:c r="F28" s="19" t="str">
        <x:v>{"field":"N02_005c","id":"008530","source":"MLIT N02 2025"}
{"field":"N02_005g","id":"008529","source":"MLIT N02 2025"}</x:v>
      </x:c>
      <x:c r="G28" s="18"/>
      <x:c r="H28" s="19"/>
    </x:row>
    <x:row r="29" ht="33" customHeight="1">
      <x:c r="A29" s="18" t="str">
        <x:v>transport-node:21e66efb-b260-5c9d-b83e-5d1704e5657f</x:v>
      </x:c>
      <x:c r="B29" s="18" t="str">
        <x:v>transport-node:21e66efb-b260-5c9d-b83e-5d1704e5657f</x:v>
      </x:c>
      <x:c r="C29" s="19" t="str">
        <x:v>REUSED_SAME_COMPONENT</x:v>
      </x:c>
      <x:c r="D29" s="19" t="str">
        <x:v>Single-line component confirmed by S12</x:v>
      </x:c>
      <x:c r="E29" s="19" t="str">
        <x:v>上越新幹線</x:v>
      </x:c>
      <x:c r="F29" s="19" t="str">
        <x:v>{"field":"N02_005c","id":"001489","source":"MLIT N02 2025"}
{"field":"N02_005g","id":"001489","source":"MLIT N02 2025"}</x:v>
      </x:c>
      <x:c r="G29" s="18"/>
      <x:c r="H29" s="19"/>
    </x:row>
    <x:row r="30" ht="33" customHeight="1">
      <x:c r="A30" s="18" t="str">
        <x:v>transport-node:22d17e4a-c062-5e0e-a9d8-4ac565c5f612</x:v>
      </x:c>
      <x:c r="B30" s="18" t="str">
        <x:v>transport-node:abcbeb9a-2f10-57b7-bb75-1d10581e35d2</x:v>
      </x:c>
      <x:c r="C30" s="19" t="str">
        <x:v>SUPERSEDED_BY</x:v>
      </x:c>
      <x:c r="D30" s="19" t="str">
        <x:v>V1 line feature superseded by operator/station/mode component</x:v>
      </x:c>
      <x:c r="E30" s="19" t="str">
        <x:v>仙石線</x:v>
      </x:c>
      <x:c r="F30" s="19" t="str">
        <x:v>{"field":"N02_005c","id":"001179","source":"MLIT N02 2025"}
{"field":"N02_005g","id":"001177","source":"MLIT N02 2025"}</x:v>
      </x:c>
      <x:c r="G30" s="18"/>
      <x:c r="H30" s="19"/>
    </x:row>
    <x:row r="31" ht="33" customHeight="1">
      <x:c r="A31" s="18" t="str">
        <x:v>transport-node:252a2045-2af3-50df-9b88-87f1abf73c9b</x:v>
      </x:c>
      <x:c r="B31" s="18" t="str">
        <x:v>transport-node:252a2045-2af3-50df-9b88-87f1abf73c9b</x:v>
      </x:c>
      <x:c r="C31" s="19" t="str">
        <x:v>REUSED_SAME_COMPONENT</x:v>
      </x:c>
      <x:c r="D31" s="19" t="str">
        <x:v>Single-line component confirmed by S12</x:v>
      </x:c>
      <x:c r="E31" s="19" t="str">
        <x:v>北海道新幹線</x:v>
      </x:c>
      <x:c r="F31" s="19" t="str">
        <x:v>{"field":"N02_005c","id":"000430","source":"MLIT N02 2025"}
{"field":"N02_005g","id":"000429","source":"MLIT N02 2025"}</x:v>
      </x:c>
      <x:c r="G31" s="18"/>
      <x:c r="H31" s="19"/>
    </x:row>
    <x:row r="32" ht="33" customHeight="1">
      <x:c r="A32" s="18" t="str">
        <x:v>transport-node:2602e3e2-27bb-5334-bac1-b4a1b2ba9670</x:v>
      </x:c>
      <x:c r="B32" s="18" t="str">
        <x:v>transport-node:2602e3e2-27bb-5334-bac1-b4a1b2ba9670</x:v>
      </x:c>
      <x:c r="C32" s="19" t="str">
        <x:v>REUSED_SAME_COMPONENT</x:v>
      </x:c>
      <x:c r="D32" s="19" t="str">
        <x:v>Single-line component confirmed by S12</x:v>
      </x:c>
      <x:c r="E32" s="19" t="str">
        <x:v>山陽新幹線</x:v>
      </x:c>
      <x:c r="F32" s="19" t="str">
        <x:v>{"field":"N02_005c","id":"008528","source":"MLIT N02 2025"}
{"field":"N02_005g","id":"008524","source":"MLIT N02 2025"}</x:v>
      </x:c>
      <x:c r="G32" s="18"/>
      <x:c r="H32" s="19"/>
    </x:row>
    <x:row r="33" ht="33" customHeight="1">
      <x:c r="A33" s="18" t="str">
        <x:v>transport-node:278a1fa1-79e4-517a-affb-4ef101eef00b</x:v>
      </x:c>
      <x:c r="B33" s="18" t="str">
        <x:v>transport-node:278a1fa1-79e4-517a-affb-4ef101eef00b</x:v>
      </x:c>
      <x:c r="C33" s="19" t="str">
        <x:v>REUSED_SAME_COMPONENT</x:v>
      </x:c>
      <x:c r="D33" s="19" t="str">
        <x:v>Single-line component confirmed by S12</x:v>
      </x:c>
      <x:c r="E33" s="19" t="str">
        <x:v>東海道新幹線</x:v>
      </x:c>
      <x:c r="F33" s="19" t="str">
        <x:v>{"field":"N02_005c","id":"005456","source":"MLIT N02 2025"}
{"field":"N02_005g","id":"005451","source":"MLIT N02 2025"}</x:v>
      </x:c>
      <x:c r="G33" s="18"/>
      <x:c r="H33" s="19"/>
    </x:row>
    <x:row r="34" ht="33" customHeight="1">
      <x:c r="A34" s="18" t="str">
        <x:v>transport-node:288ac346-1508-540c-87bd-c56c6cdf6365</x:v>
      </x:c>
      <x:c r="B34" s="18" t="str">
        <x:v>transport-node:288ac346-1508-540c-87bd-c56c6cdf6365</x:v>
      </x:c>
      <x:c r="C34" s="19" t="str">
        <x:v>REUSED_SAME_COMPONENT</x:v>
      </x:c>
      <x:c r="D34" s="19" t="str">
        <x:v>Single-line component confirmed by S12</x:v>
      </x:c>
      <x:c r="E34" s="19" t="str">
        <x:v>野田線</x:v>
      </x:c>
      <x:c r="F34" s="19" t="str">
        <x:v>{"field":"N02_005c","id":"002907","source":"MLIT N02 2025"}
{"field":"N02_005g","id":"002914","source":"MLIT N02 2025"}</x:v>
      </x:c>
      <x:c r="G34" s="18"/>
      <x:c r="H34" s="19"/>
    </x:row>
    <x:row r="35" ht="33" customHeight="1">
      <x:c r="A35" s="18" t="str">
        <x:v>transport-node:2aa7d103-4f50-5a7a-9c5e-f3dde41e2819</x:v>
      </x:c>
      <x:c r="B35" s="18" t="str">
        <x:v>transport-node:2aa7d103-4f50-5a7a-9c5e-f3dde41e2819</x:v>
      </x:c>
      <x:c r="C35" s="19" t="str">
        <x:v>REUSED_SAME_COMPONENT</x:v>
      </x:c>
      <x:c r="D35" s="19" t="str">
        <x:v>Single-line component confirmed by S12</x:v>
      </x:c>
      <x:c r="E35" s="19" t="str">
        <x:v>4号線丸ノ内線</x:v>
      </x:c>
      <x:c r="F35" s="19" t="str">
        <x:v>{"field":"N02_005c","id":"003672","source":"MLIT N02 2025"}
{"field":"N02_005g","id":"003700","source":"MLIT N02 2025"}</x:v>
      </x:c>
      <x:c r="G35" s="18"/>
      <x:c r="H35" s="19"/>
    </x:row>
    <x:row r="36" ht="33" customHeight="1">
      <x:c r="A36" s="18" t="str">
        <x:v>transport-node:2ce9eca0-e509-5b61-a735-f22927d78e53</x:v>
      </x:c>
      <x:c r="B36" s="18" t="str">
        <x:v>transport-node:2ce9eca0-e509-5b61-a735-f22927d78e53</x:v>
      </x:c>
      <x:c r="C36" s="19" t="str">
        <x:v>REUSED_SAME_COMPONENT</x:v>
      </x:c>
      <x:c r="D36" s="19" t="str">
        <x:v>Single-line component confirmed by S12</x:v>
      </x:c>
      <x:c r="E36" s="19" t="str">
        <x:v>九州新幹線</x:v>
      </x:c>
      <x:c r="F36" s="19" t="str">
        <x:v>{"field":"N02_005c","id":"009033","source":"MLIT N02 2025"}
{"field":"N02_005g","id":"009033","source":"MLIT N02 2025"}</x:v>
      </x:c>
      <x:c r="G36" s="18"/>
      <x:c r="H36" s="19"/>
    </x:row>
    <x:row r="37" ht="33" customHeight="1">
      <x:c r="A37" s="18" t="str">
        <x:v>transport-node:2d6227f3-21d4-5c16-a254-da383b8ccc22</x:v>
      </x:c>
      <x:c r="B37" s="18" t="str">
        <x:v>transport-node:44af7ff3-0250-5814-8203-ab282ae6ac6d</x:v>
      </x:c>
      <x:c r="C37" s="19" t="str">
        <x:v>SUPERSEDED_BY</x:v>
      </x:c>
      <x:c r="D37" s="19" t="str">
        <x:v>V1 line feature superseded by operator/station/mode component</x:v>
      </x:c>
      <x:c r="E37" s="19" t="str">
        <x:v>川越線</x:v>
      </x:c>
      <x:c r="F37" s="19" t="str">
        <x:v>{"field":"N02_005c","id":"002916","source":"MLIT N02 2025"}
{"field":"N02_005g","id":"002914","source":"MLIT N02 2025"}</x:v>
      </x:c>
      <x:c r="G37" s="18"/>
      <x:c r="H37" s="19"/>
    </x:row>
    <x:row r="38" ht="33" customHeight="1">
      <x:c r="A38" s="18" t="str">
        <x:v>transport-node:2dc79fda-943c-5f38-a459-d0bbcba37c0b</x:v>
      </x:c>
      <x:c r="B38" s="18" t="str">
        <x:v>transport-node:2dc79fda-943c-5f38-a459-d0bbcba37c0b</x:v>
      </x:c>
      <x:c r="C38" s="19" t="str">
        <x:v>REUSED_SAME_COMPONENT</x:v>
      </x:c>
      <x:c r="D38" s="19" t="str">
        <x:v>Single-line component confirmed by S12</x:v>
      </x:c>
      <x:c r="E38" s="19" t="str">
        <x:v>北海道新幹線</x:v>
      </x:c>
      <x:c r="F38" s="19" t="str">
        <x:v>{"field":"N02_005c","id":"000532","source":"MLIT N02 2025"}
{"field":"N02_005g","id":"000531","source":"MLIT N02 2025"}</x:v>
      </x:c>
      <x:c r="G38" s="18"/>
      <x:c r="H38" s="19"/>
    </x:row>
    <x:row r="39" ht="33" customHeight="1">
      <x:c r="A39" s="18" t="str">
        <x:v>transport-node:2f3cd377-a4a4-5306-a8d4-c41c660ce506</x:v>
      </x:c>
      <x:c r="B39" s="18" t="str">
        <x:v>transport-node:2f3cd377-a4a4-5306-a8d4-c41c660ce506</x:v>
      </x:c>
      <x:c r="C39" s="19" t="str">
        <x:v>REUSED_SAME_COMPONENT</x:v>
      </x:c>
      <x:c r="D39" s="19" t="str">
        <x:v>Single-line component confirmed by S12</x:v>
      </x:c>
      <x:c r="E39" s="19" t="str">
        <x:v>山陽新幹線</x:v>
      </x:c>
      <x:c r="F39" s="19" t="str">
        <x:v>{"field":"N02_005c","id":"008017","source":"MLIT N02 2025"}
{"field":"N02_005g","id":"008019","source":"MLIT N02 2025"}</x:v>
      </x:c>
      <x:c r="G39" s="18"/>
      <x:c r="H39" s="19"/>
    </x:row>
    <x:row r="40" ht="33" customHeight="1">
      <x:c r="A40" s="18" t="str">
        <x:v>transport-node:34aab7c7-6390-53e3-9fcb-8d7695a1204a</x:v>
      </x:c>
      <x:c r="B40" s="18" t="str">
        <x:v>transport-node:55b953b1-ed09-50c0-a500-4a1e77e2d01e</x:v>
      </x:c>
      <x:c r="C40" s="19" t="str">
        <x:v>SUPERSEDED_BY</x:v>
      </x:c>
      <x:c r="D40" s="19" t="str">
        <x:v>V1 line feature superseded by operator/station/mode component</x:v>
      </x:c>
      <x:c r="E40" s="19" t="str">
        <x:v>東海道線</x:v>
      </x:c>
      <x:c r="F40" s="19" t="str">
        <x:v>{"field":"N02_005c","id":"004634","source":"MLIT N02 2025"}
{"field":"N02_005g","id":"004633","source":"MLIT N02 2025"}</x:v>
      </x:c>
      <x:c r="G40" s="18"/>
      <x:c r="H40" s="19"/>
    </x:row>
    <x:row r="41" ht="33" customHeight="1">
      <x:c r="A41" s="18" t="str">
        <x:v>transport-node:353537a4-105c-59cf-9552-46a25315c1a9</x:v>
      </x:c>
      <x:c r="B41" s="18" t="str">
        <x:v>transport-node:9e608705-640b-5efe-80f3-5ce28cdbd6c2</x:v>
      </x:c>
      <x:c r="C41" s="19" t="str">
        <x:v>SUPERSEDED_BY</x:v>
      </x:c>
      <x:c r="D41" s="19" t="str">
        <x:v>V1 line feature superseded by operator/station/mode component</x:v>
      </x:c>
      <x:c r="E41" s="19" t="str">
        <x:v>東北新幹線</x:v>
      </x:c>
      <x:c r="F41" s="19" t="str">
        <x:v>{"field":"N02_005c","id":"002915","source":"MLIT N02 2025"}
{"field":"N02_005g","id":"002914","source":"MLIT N02 2025"}</x:v>
      </x:c>
      <x:c r="G41" s="18"/>
      <x:c r="H41" s="19"/>
    </x:row>
    <x:row r="42" ht="33" customHeight="1">
      <x:c r="A42" s="18" t="str">
        <x:v>transport-node:3aaccc91-a939-5291-8298-ce875cb25d07</x:v>
      </x:c>
      <x:c r="B42" s="18" t="str">
        <x:v>transport-node:997afcf7-4090-5964-9521-28a6256b6c58</x:v>
      </x:c>
      <x:c r="C42" s="19" t="str">
        <x:v>SUPERSEDED_BY</x:v>
      </x:c>
      <x:c r="D42" s="19" t="str">
        <x:v>V1 line feature superseded by operator/station/mode component</x:v>
      </x:c>
      <x:c r="E42" s="19" t="str">
        <x:v>3号線銀座線</x:v>
      </x:c>
      <x:c r="F42" s="19" t="str">
        <x:v>{"field":"N02_005c","id":"003924","source":"MLIT N02 2025"}
{"field":"N02_005g","id":"003922","source":"MLIT N02 2025"}</x:v>
      </x:c>
      <x:c r="G42" s="18"/>
      <x:c r="H42" s="19"/>
    </x:row>
    <x:row r="43" ht="33" customHeight="1">
      <x:c r="A43" s="18" t="str">
        <x:v>transport-node:3ae5eb7e-f517-5f7b-8e5d-89e11677ebba</x:v>
      </x:c>
      <x:c r="B43" s="18" t="str">
        <x:v>transport-node:c0f4f0f0-b114-51bd-91cf-0d4914934f45</x:v>
      </x:c>
      <x:c r="C43" s="19" t="str">
        <x:v>SUPERSEDED_BY</x:v>
      </x:c>
      <x:c r="D43" s="19" t="str">
        <x:v>V1 line feature superseded by operator/station/mode component</x:v>
      </x:c>
      <x:c r="E43" s="19" t="str">
        <x:v>上越新幹線</x:v>
      </x:c>
      <x:c r="F43" s="19" t="str">
        <x:v>{"field":"N02_005c","id":"002386","source":"MLIT N02 2025"}
{"field":"N02_005g","id":"002389","source":"MLIT N02 2025"}</x:v>
      </x:c>
      <x:c r="G43" s="18"/>
      <x:c r="H43" s="19"/>
    </x:row>
    <x:row r="44" ht="33" customHeight="1">
      <x:c r="A44" s="18" t="str">
        <x:v>transport-node:3d2468b5-7c0f-5594-8310-37e066748215</x:v>
      </x:c>
      <x:c r="B44" s="18" t="str">
        <x:v>transport-node:44af7ff3-0250-5814-8203-ab282ae6ac6d</x:v>
      </x:c>
      <x:c r="C44" s="19" t="str">
        <x:v>SUPERSEDED_BY</x:v>
      </x:c>
      <x:c r="D44" s="19" t="str">
        <x:v>V1 line feature superseded by operator/station/mode component</x:v>
      </x:c>
      <x:c r="E44" s="19" t="str">
        <x:v>高崎線</x:v>
      </x:c>
      <x:c r="F44" s="19" t="str">
        <x:v>{"field":"N02_005c","id":"002913","source":"MLIT N02 2025"}
{"field":"N02_005g","id":"002914","source":"MLIT N02 2025"}</x:v>
      </x:c>
      <x:c r="G44" s="18"/>
      <x:c r="H44" s="19"/>
    </x:row>
    <x:row r="45" ht="33" customHeight="1">
      <x:c r="A45" s="18" t="str">
        <x:v>transport-node:40224a93-9975-50e0-a911-a44886bd3851</x:v>
      </x:c>
      <x:c r="B45" s="18" t="str">
        <x:v>transport-node:4ca02af6-f068-57dd-ae7a-24f409143d60</x:v>
      </x:c>
      <x:c r="C45" s="19" t="str">
        <x:v>SUPERSEDED_BY</x:v>
      </x:c>
      <x:c r="D45" s="19" t="str">
        <x:v>V1 line feature superseded by operator/station/mode component</x:v>
      </x:c>
      <x:c r="E45" s="19" t="str">
        <x:v>4号線丸ノ内線</x:v>
      </x:c>
      <x:c r="F45" s="19" t="str">
        <x:v>{"field":"N02_005c","id":"003389","source":"MLIT N02 2025"}
{"field":"N02_005g","id":"003390","source":"MLIT N02 2025"}</x:v>
      </x:c>
      <x:c r="G45" s="18" t="str">
        <x:v>transport-node:686ab245-2616-5ebc-b8ed-a371815cfe18</x:v>
      </x:c>
      <x:c r="H45" s="19" t="str">
        <x:v>池袋_EXPLICIT_STATION_COMPONENT_20260930</x:v>
      </x:c>
    </x:row>
    <x:row r="46" ht="33" customHeight="1">
      <x:c r="A46" s="18" t="str">
        <x:v>transport-node:417a4b6d-615b-516d-af1f-422da9ac5427</x:v>
      </x:c>
      <x:c r="B46" s="18" t="str">
        <x:v>transport-node:417a4b6d-615b-516d-af1f-422da9ac5427</x:v>
      </x:c>
      <x:c r="C46" s="19" t="str">
        <x:v>REUSED_SAME_COMPONENT</x:v>
      </x:c>
      <x:c r="D46" s="19" t="str">
        <x:v>Single-line component confirmed by S12</x:v>
      </x:c>
      <x:c r="E46" s="19" t="str">
        <x:v>西九州新幹線</x:v>
      </x:c>
      <x:c r="F46" s="19" t="str">
        <x:v>{"field":"N02_005c","id":"009648","source":"MLIT N02 2025"}
{"field":"N02_005g","id":"009648","source":"MLIT N02 2025"}</x:v>
      </x:c>
      <x:c r="G46" s="18"/>
      <x:c r="H46" s="19"/>
    </x:row>
    <x:row r="47" ht="33" customHeight="1">
      <x:c r="A47" s="18" t="str">
        <x:v>transport-node:437f036e-b8cf-5e8e-a68c-a67fc7b9a7cf</x:v>
      </x:c>
      <x:c r="B47" s="18" t="str">
        <x:v>transport-node:437f036e-b8cf-5e8e-a68c-a67fc7b9a7cf</x:v>
      </x:c>
      <x:c r="C47" s="19" t="str">
        <x:v>REUSED_SAME_COMPONENT</x:v>
      </x:c>
      <x:c r="D47" s="19" t="str">
        <x:v>Single-line component confirmed by S12</x:v>
      </x:c>
      <x:c r="E47" s="19" t="str">
        <x:v>1号線(御堂筋線)</x:v>
      </x:c>
      <x:c r="F47" s="19" t="str">
        <x:v>{"field":"N02_005c","id":"007065","source":"MLIT N02 2025"}
{"field":"N02_005g","id":"007065","source":"MLIT N02 2025"}</x:v>
      </x:c>
      <x:c r="G47" s="18"/>
      <x:c r="H47" s="19"/>
    </x:row>
    <x:row r="48" ht="33" customHeight="1">
      <x:c r="A48" s="18" t="str">
        <x:v>transport-node:4389b278-793b-5b40-81c9-642cb58c1d93</x:v>
      </x:c>
      <x:c r="B48" s="18" t="str">
        <x:v>transport-node:4389b278-793b-5b40-81c9-642cb58c1d93</x:v>
      </x:c>
      <x:c r="C48" s="19" t="str">
        <x:v>REUSED_SAME_COMPONENT</x:v>
      </x:c>
      <x:c r="D48" s="19" t="str">
        <x:v>Single-line component confirmed by S12</x:v>
      </x:c>
      <x:c r="E48" s="19" t="str">
        <x:v>東海道新幹線</x:v>
      </x:c>
      <x:c r="F48" s="19" t="str">
        <x:v>{"field":"N02_005c","id":"004092","source":"MLIT N02 2025"}
{"field":"N02_005g","id":"004095","source":"MLIT N02 2025"}</x:v>
      </x:c>
      <x:c r="G48" s="18"/>
      <x:c r="H48" s="19"/>
    </x:row>
    <x:row r="49" ht="33" customHeight="1">
      <x:c r="A49" s="18" t="str">
        <x:v>transport-node:4470d58d-59f7-5a2d-a286-a31a633b9e3b</x:v>
      </x:c>
      <x:c r="B49" s="18" t="str">
        <x:v>transport-node:f5e5010a-739c-5c0c-bfd6-3449c94b23db</x:v>
      </x:c>
      <x:c r="C49" s="19" t="str">
        <x:v>SUPERSEDED_BY</x:v>
      </x:c>
      <x:c r="D49" s="19" t="str">
        <x:v>V1 line feature superseded by operator/station/mode component</x:v>
      </x:c>
      <x:c r="E49" s="19" t="str">
        <x:v>総武線</x:v>
      </x:c>
      <x:c r="F49" s="19" t="str">
        <x:v>{"field":"N02_005c","id":"003760","source":"MLIT N02 2025"}
{"field":"N02_005g","id":"003766","source":"MLIT N02 2025"}</x:v>
      </x:c>
      <x:c r="G49" s="18"/>
      <x:c r="H49" s="19"/>
    </x:row>
    <x:row r="50" ht="33" customHeight="1">
      <x:c r="A50" s="18" t="str">
        <x:v>transport-node:44d61002-d01b-50ca-ae6d-be3602e1d260</x:v>
      </x:c>
      <x:c r="B50" s="18" t="str">
        <x:v>transport-node:44d61002-d01b-50ca-ae6d-be3602e1d260</x:v>
      </x:c>
      <x:c r="C50" s="19" t="str">
        <x:v>REUSED_SAME_COMPONENT</x:v>
      </x:c>
      <x:c r="D50" s="19" t="str">
        <x:v>Single-line component confirmed by S12</x:v>
      </x:c>
      <x:c r="E50" s="19" t="str">
        <x:v>上越新幹線</x:v>
      </x:c>
      <x:c r="F50" s="19" t="str">
        <x:v>{"field":"N02_005c","id":"001718","source":"MLIT N02 2025"}
{"field":"N02_005g","id":"001717","source":"MLIT N02 2025"}</x:v>
      </x:c>
      <x:c r="G50" s="18"/>
      <x:c r="H50" s="19"/>
    </x:row>
    <x:row r="51" ht="33" customHeight="1">
      <x:c r="A51" s="18" t="str">
        <x:v>transport-node:45115069-12bd-57e8-ab69-a13b7fcdf75d</x:v>
      </x:c>
      <x:c r="B51" s="18" t="str">
        <x:v>transport-node:45115069-12bd-57e8-ab69-a13b7fcdf75d</x:v>
      </x:c>
      <x:c r="C51" s="19" t="str">
        <x:v>REUSED_SAME_COMPONENT</x:v>
      </x:c>
      <x:c r="D51" s="19" t="str">
        <x:v>Single-line component confirmed by S12</x:v>
      </x:c>
      <x:c r="E51" s="19" t="str">
        <x:v>東海道新幹線</x:v>
      </x:c>
      <x:c r="F51" s="19" t="str">
        <x:v>{"field":"N02_005c","id":"006783","source":"MLIT N02 2025"}
{"field":"N02_005g","id":"006786","source":"MLIT N02 2025"}</x:v>
      </x:c>
      <x:c r="G51" s="18"/>
      <x:c r="H51" s="19"/>
    </x:row>
    <x:row r="52" ht="33" customHeight="1">
      <x:c r="A52" s="18" t="str">
        <x:v>transport-node:4615b6d1-4cd9-5036-ac87-a64ba23b1c20</x:v>
      </x:c>
      <x:c r="B52" s="18" t="str">
        <x:v>transport-node:8e212416-f401-52e3-b76c-ede3ea8408f6</x:v>
      </x:c>
      <x:c r="C52" s="19" t="str">
        <x:v>SUPERSEDED_BY</x:v>
      </x:c>
      <x:c r="D52" s="19" t="str">
        <x:v>V1 line feature superseded by operator/station/mode component</x:v>
      </x:c>
      <x:c r="E52" s="19" t="str">
        <x:v>鹿児島線</x:v>
      </x:c>
      <x:c r="F52" s="19" t="str">
        <x:v>{"field":"N02_005c","id":"010048","source":"MLIT N02 2025"}
{"field":"N02_005g","id":"010047","source":"MLIT N02 2025"}</x:v>
      </x:c>
      <x:c r="G52" s="18"/>
      <x:c r="H52" s="19"/>
    </x:row>
    <x:row r="53" ht="33" customHeight="1">
      <x:c r="A53" s="18" t="str">
        <x:v>transport-node:47a3bf66-6ded-5457-bef0-38b1040e77a3</x:v>
      </x:c>
      <x:c r="B53" s="18" t="str">
        <x:v>transport-node:47a3bf66-6ded-5457-bef0-38b1040e77a3</x:v>
      </x:c>
      <x:c r="C53" s="19" t="str">
        <x:v>REUSED_SAME_COMPONENT</x:v>
      </x:c>
      <x:c r="D53" s="19" t="str">
        <x:v>Single-line component confirmed by S12</x:v>
      </x:c>
      <x:c r="E53" s="19" t="str">
        <x:v>上越新幹線</x:v>
      </x:c>
      <x:c r="F53" s="19" t="str">
        <x:v>{"field":"N02_005c","id":"001603","source":"MLIT N02 2025"}
{"field":"N02_005g","id":"001603","source":"MLIT N02 2025"}</x:v>
      </x:c>
      <x:c r="G53" s="18"/>
      <x:c r="H53" s="19"/>
    </x:row>
    <x:row r="54" ht="33" customHeight="1">
      <x:c r="A54" s="18" t="str">
        <x:v>transport-node:4a4629d1-9843-5364-b84b-1e3e30c6e9e8</x:v>
      </x:c>
      <x:c r="B54" s="18" t="str">
        <x:v>transport-node:997afcf7-4090-5964-9521-28a6256b6c58</x:v>
      </x:c>
      <x:c r="C54" s="19" t="str">
        <x:v>SUPERSEDED_BY</x:v>
      </x:c>
      <x:c r="D54" s="19" t="str">
        <x:v>V1 line feature superseded by operator/station/mode component</x:v>
      </x:c>
      <x:c r="E54" s="19" t="str">
        <x:v>11号線半蔵門線</x:v>
      </x:c>
      <x:c r="F54" s="19" t="str">
        <x:v>{"field":"N02_005c","id":"003922","source":"MLIT N02 2025"}
{"field":"N02_005g","id":"003922","source":"MLIT N02 2025"}</x:v>
      </x:c>
      <x:c r="G54" s="18"/>
      <x:c r="H54" s="19"/>
    </x:row>
    <x:row r="55" ht="33" customHeight="1">
      <x:c r="A55" s="18" t="str">
        <x:v>transport-node:4ac54808-7cd6-522a-9be1-32a6f97757a0</x:v>
      </x:c>
      <x:c r="B55" s="18" t="str">
        <x:v>transport-node:9e608705-640b-5efe-80f3-5ce28cdbd6c2</x:v>
      </x:c>
      <x:c r="C55" s="19" t="str">
        <x:v>SUPERSEDED_BY</x:v>
      </x:c>
      <x:c r="D55" s="19" t="str">
        <x:v>V1 line feature superseded by operator/station/mode component</x:v>
      </x:c>
      <x:c r="E55" s="19" t="str">
        <x:v>上越新幹線</x:v>
      </x:c>
      <x:c r="F55" s="19" t="str">
        <x:v>{"field":"N02_005c","id":"002914","source":"MLIT N02 2025"}
{"field":"N02_005g","id":"002914","source":"MLIT N02 2025"}</x:v>
      </x:c>
      <x:c r="G55" s="18"/>
      <x:c r="H55" s="19"/>
    </x:row>
    <x:row r="56" ht="33" customHeight="1">
      <x:c r="A56" s="18" t="str">
        <x:v>transport-node:4b6cd30e-9c15-5aa9-bae7-0f78d124e309</x:v>
      </x:c>
      <x:c r="B56" s="18" t="str">
        <x:v>transport-node:4b6cd30e-9c15-5aa9-bae7-0f78d124e309</x:v>
      </x:c>
      <x:c r="C56" s="19" t="str">
        <x:v>REUSED_SAME_COMPONENT</x:v>
      </x:c>
      <x:c r="D56" s="19" t="str">
        <x:v>Single-line component confirmed by S12</x:v>
      </x:c>
      <x:c r="E56" s="19" t="str">
        <x:v>北陸新幹線</x:v>
      </x:c>
      <x:c r="F56" s="19" t="str">
        <x:v>{"field":"N02_005c","id":"010179","source":"MLIT N02 2025"}
{"field":"N02_005g","id":"002688","source":"MLIT N02 2025"}</x:v>
      </x:c>
      <x:c r="G56" s="18"/>
      <x:c r="H56" s="19"/>
    </x:row>
    <x:row r="57" ht="33" customHeight="1">
      <x:c r="A57" s="18" t="str">
        <x:v>transport-node:4d8e99b5-a44e-5409-a7b5-a1eefbb0fa4e</x:v>
      </x:c>
      <x:c r="B57" s="18" t="str">
        <x:v>transport-node:4d8e99b5-a44e-5409-a7b5-a1eefbb0fa4e</x:v>
      </x:c>
      <x:c r="C57" s="19" t="str">
        <x:v>REUSED_SAME_COMPONENT</x:v>
      </x:c>
      <x:c r="D57" s="19" t="str">
        <x:v>Single-line component confirmed by S12</x:v>
      </x:c>
      <x:c r="E57" s="19" t="str">
        <x:v>北陸新幹線</x:v>
      </x:c>
      <x:c r="F57" s="19" t="str">
        <x:v>{"field":"N02_005c","id":"001927","source":"MLIT N02 2025"}
{"field":"N02_005g","id":"001925","source":"MLIT N02 2025"}</x:v>
      </x:c>
      <x:c r="G57" s="18"/>
      <x:c r="H57" s="19"/>
    </x:row>
    <x:row r="58" ht="33" customHeight="1">
      <x:c r="A58" s="18" t="str">
        <x:v>transport-node:4f74f9a1-3cd1-5f73-bdbf-25eef4065bb2</x:v>
      </x:c>
      <x:c r="B58" s="18" t="str">
        <x:v>transport-node:2ef60e02-6df3-5535-a8a9-8901626a9ee8</x:v>
      </x:c>
      <x:c r="C58" s="19" t="str">
        <x:v>SUPERSEDED_BY</x:v>
      </x:c>
      <x:c r="D58" s="19" t="str">
        <x:v>V1 line feature superseded by operator/station/mode component</x:v>
      </x:c>
      <x:c r="E58" s="19" t="str">
        <x:v>東海道線</x:v>
      </x:c>
      <x:c r="F58" s="19" t="str">
        <x:v>{"field":"N02_005c","id":"007068","source":"MLIT N02 2025"}
{"field":"N02_005g","id":"007068","source":"MLIT N02 2025"}</x:v>
      </x:c>
      <x:c r="G58" s="18"/>
      <x:c r="H58" s="19"/>
    </x:row>
    <x:row r="59" ht="33" customHeight="1">
      <x:c r="A59" s="18" t="str">
        <x:v>transport-node:51b941e5-ecd2-5b20-af51-f70eab136ddd</x:v>
      </x:c>
      <x:c r="B59" s="18" t="str">
        <x:v>transport-node:51b941e5-ecd2-5b20-af51-f70eab136ddd</x:v>
      </x:c>
      <x:c r="C59" s="19" t="str">
        <x:v>REUSED_SAME_COMPONENT</x:v>
      </x:c>
      <x:c r="D59" s="19" t="str">
        <x:v>Single-line component confirmed by S12</x:v>
      </x:c>
      <x:c r="E59" s="19" t="str">
        <x:v>九州新幹線</x:v>
      </x:c>
      <x:c r="F59" s="19" t="str">
        <x:v>{"field":"N02_005c","id":"009929","source":"MLIT N02 2025"}
{"field":"N02_005g","id":"009929","source":"MLIT N02 2025"}</x:v>
      </x:c>
      <x:c r="G59" s="18"/>
      <x:c r="H59" s="19"/>
    </x:row>
    <x:row r="60" ht="33" customHeight="1">
      <x:c r="A60" s="18" t="str">
        <x:v>transport-node:51d298d3-391b-5d36-96aa-a17df331fcdc</x:v>
      </x:c>
      <x:c r="B60" s="18" t="str">
        <x:v>transport-node:af99a908-c905-58d1-a529-9028b4d0a10d</x:v>
      </x:c>
      <x:c r="C60" s="19" t="str">
        <x:v>SUPERSEDED_BY</x:v>
      </x:c>
      <x:c r="D60" s="19" t="str">
        <x:v>V1 line feature superseded by operator/station/mode component</x:v>
      </x:c>
      <x:c r="E60" s="19" t="str">
        <x:v>6号線桜通線</x:v>
      </x:c>
      <x:c r="F60" s="19" t="str">
        <x:v>{"field":"N02_005c","id":"005451","source":"MLIT N02 2025"}
{"field":"N02_005g","id":"005451","source":"MLIT N02 2025"}</x:v>
      </x:c>
      <x:c r="G60" s="18"/>
      <x:c r="H60" s="19"/>
    </x:row>
    <x:row r="61" ht="33" customHeight="1">
      <x:c r="A61" s="18" t="str">
        <x:v>transport-node:52ea3ce8-faa8-5aa2-8aec-9d8f19ff18e4</x:v>
      </x:c>
      <x:c r="B61" s="18" t="str">
        <x:v>transport-node:52ea3ce8-faa8-5aa2-8aec-9d8f19ff18e4</x:v>
      </x:c>
      <x:c r="C61" s="19" t="str">
        <x:v>REUSED_SAME_COMPONENT</x:v>
      </x:c>
      <x:c r="D61" s="19" t="str">
        <x:v>Single-line component confirmed by S12</x:v>
      </x:c>
      <x:c r="E61" s="19" t="str">
        <x:v>函館線</x:v>
      </x:c>
      <x:c r="F61" s="19" t="str">
        <x:v>{"field":"N02_005c","id":"000227","source":"MLIT N02 2025"}
{"field":"N02_005g","id":"000227","source":"MLIT N02 2025"}</x:v>
      </x:c>
      <x:c r="G61" s="18"/>
      <x:c r="H61" s="19"/>
    </x:row>
    <x:row r="62" ht="33" customHeight="1">
      <x:c r="A62" s="18" t="str">
        <x:v>transport-node:54598e55-3218-5d17-beb1-39a23a391d91</x:v>
      </x:c>
      <x:c r="B62" s="18" t="str">
        <x:v>transport-node:54598e55-3218-5d17-beb1-39a23a391d91</x:v>
      </x:c>
      <x:c r="C62" s="19" t="str">
        <x:v>REUSED_SAME_COMPONENT</x:v>
      </x:c>
      <x:c r="D62" s="19" t="str">
        <x:v>Single-line component confirmed by S12</x:v>
      </x:c>
      <x:c r="E62" s="19" t="str">
        <x:v>西九州新幹線</x:v>
      </x:c>
      <x:c r="F62" s="19" t="str">
        <x:v>{"field":"N02_005c","id":"009822","source":"MLIT N02 2025"}
{"field":"N02_005g","id":"009822","source":"MLIT N02 2025"}</x:v>
      </x:c>
      <x:c r="G62" s="18"/>
      <x:c r="H62" s="19"/>
    </x:row>
    <x:row r="63" ht="33" customHeight="1">
      <x:c r="A63" s="18" t="str">
        <x:v>transport-node:548f0ac4-8513-598b-a22d-418a21423cf6</x:v>
      </x:c>
      <x:c r="B63" s="18" t="str">
        <x:v>transport-node:2ef60e02-6df3-5535-a8a9-8901626a9ee8</x:v>
      </x:c>
      <x:c r="C63" s="19" t="str">
        <x:v>SUPERSEDED_BY</x:v>
      </x:c>
      <x:c r="D63" s="19" t="str">
        <x:v>V1 line feature superseded by operator/station/mode component</x:v>
      </x:c>
      <x:c r="E63" s="19" t="str">
        <x:v>大阪環状線</x:v>
      </x:c>
      <x:c r="F63" s="19" t="str">
        <x:v>{"field":"N02_005c","id":"007069","source":"MLIT N02 2025"}
{"field":"N02_005g","id":"007068","source":"MLIT N02 2025"}</x:v>
      </x:c>
      <x:c r="G63" s="18"/>
      <x:c r="H63" s="19"/>
    </x:row>
    <x:row r="64" ht="33" customHeight="1">
      <x:c r="A64" s="18" t="str">
        <x:v>transport-node:558b2a34-96db-5e04-88e1-a9b0da92999b</x:v>
      </x:c>
      <x:c r="B64" s="18" t="str">
        <x:v>transport-node:558b2a34-96db-5e04-88e1-a9b0da92999b</x:v>
      </x:c>
      <x:c r="C64" s="19" t="str">
        <x:v>REUSED_SAME_COMPONENT</x:v>
      </x:c>
      <x:c r="D64" s="19" t="str">
        <x:v>Single-line component confirmed by S12</x:v>
      </x:c>
      <x:c r="E64" s="19" t="str">
        <x:v>山陽新幹線</x:v>
      </x:c>
      <x:c r="F64" s="19" t="str">
        <x:v>{"field":"N02_005c","id":"009034","source":"MLIT N02 2025"}
{"field":"N02_005g","id":"009033","source":"MLIT N02 2025"}</x:v>
      </x:c>
      <x:c r="G64" s="18"/>
      <x:c r="H64" s="19"/>
    </x:row>
    <x:row r="65" ht="33" customHeight="1">
      <x:c r="A65" s="18" t="str">
        <x:v>transport-node:55f6c579-b784-50e9-a327-9fba2fbcbf3a</x:v>
      </x:c>
      <x:c r="B65" s="18" t="str">
        <x:v>transport-node:55f6c579-b784-50e9-a327-9fba2fbcbf3a</x:v>
      </x:c>
      <x:c r="C65" s="19" t="str">
        <x:v>REUSED_SAME_COMPONENT</x:v>
      </x:c>
      <x:c r="D65" s="19" t="str">
        <x:v>Single-line component confirmed by S12</x:v>
      </x:c>
      <x:c r="E65" s="19" t="str">
        <x:v>東北新幹線</x:v>
      </x:c>
      <x:c r="F65" s="19" t="str">
        <x:v>{"field":"N02_005c","id":"002115","source":"MLIT N02 2025"}
{"field":"N02_005g","id":"002113","source":"MLIT N02 2025"}</x:v>
      </x:c>
      <x:c r="G65" s="18"/>
      <x:c r="H65" s="19"/>
    </x:row>
    <x:row r="66" ht="33" customHeight="1">
      <x:c r="A66" s="18" t="str">
        <x:v>transport-node:58389fa4-e5c0-555d-8a5a-54adce87bc2a</x:v>
      </x:c>
      <x:c r="B66" s="18" t="str">
        <x:v>transport-node:58389fa4-e5c0-555d-8a5a-54adce87bc2a</x:v>
      </x:c>
      <x:c r="C66" s="19" t="str">
        <x:v>REUSED_SAME_COMPONENT</x:v>
      </x:c>
      <x:c r="D66" s="19" t="str">
        <x:v>Single-line component confirmed by S12</x:v>
      </x:c>
      <x:c r="E66" s="19" t="str">
        <x:v>北海道新幹線</x:v>
      </x:c>
      <x:c r="F66" s="19" t="str">
        <x:v>{"field":"N02_005c","id":"000491","source":"MLIT N02 2025"}
{"field":"N02_005g","id":"000491","source":"MLIT N02 2025"}</x:v>
      </x:c>
      <x:c r="G66" s="18"/>
      <x:c r="H66" s="19"/>
    </x:row>
    <x:row r="67" ht="33" customHeight="1">
      <x:c r="A67" s="18" t="str">
        <x:v>transport-node:5ac1a1f5-9b57-5081-9e54-92a8c824e06a</x:v>
      </x:c>
      <x:c r="B67" s="18" t="str">
        <x:v>transport-node:5ac1a1f5-9b57-5081-9e54-92a8c824e06a</x:v>
      </x:c>
      <x:c r="C67" s="19" t="str">
        <x:v>REUSED_SAME_COMPONENT</x:v>
      </x:c>
      <x:c r="D67" s="19" t="str">
        <x:v>Single-line component confirmed by S12</x:v>
      </x:c>
      <x:c r="E67" s="19" t="str">
        <x:v>1号線(御堂筋線)</x:v>
      </x:c>
      <x:c r="F67" s="19" t="str">
        <x:v>{"field":"N02_005c","id":"006914","source":"MLIT N02 2025"}
{"field":"N02_005g","id":"006911","source":"MLIT N02 2025"}</x:v>
      </x:c>
      <x:c r="G67" s="18"/>
      <x:c r="H67" s="19"/>
    </x:row>
    <x:row r="68" ht="33" customHeight="1">
      <x:c r="A68" s="18" t="str">
        <x:v>transport-node:5b0b46e7-714a-5300-813e-20604fba2b31</x:v>
      </x:c>
      <x:c r="B68" s="18" t="str">
        <x:v>transport-node:44af7ff3-0250-5814-8203-ab282ae6ac6d</x:v>
      </x:c>
      <x:c r="C68" s="19" t="str">
        <x:v>SUPERSEDED_BY</x:v>
      </x:c>
      <x:c r="D68" s="19" t="str">
        <x:v>V1 line feature superseded by operator/station/mode component</x:v>
      </x:c>
      <x:c r="E68" s="19" t="str">
        <x:v>東北線</x:v>
      </x:c>
      <x:c r="F68" s="19" t="str">
        <x:v>{"field":"N02_005c","id":"002912","source":"MLIT N02 2025"}
{"field":"N02_005g","id":"002914","source":"MLIT N02 2025"}</x:v>
      </x:c>
      <x:c r="G68" s="18"/>
      <x:c r="H68" s="19"/>
    </x:row>
    <x:row r="69" ht="33" customHeight="1">
      <x:c r="A69" s="18" t="str">
        <x:v>transport-node:5b9d4ce7-46b5-542c-af2d-7fde9d1e5048</x:v>
      </x:c>
      <x:c r="B69" s="18" t="str">
        <x:v>transport-node:5b9d4ce7-46b5-542c-af2d-7fde9d1e5048</x:v>
      </x:c>
      <x:c r="C69" s="19" t="str">
        <x:v>REUSED_SAME_COMPONENT</x:v>
      </x:c>
      <x:c r="D69" s="19" t="str">
        <x:v>Single-line component confirmed by S12</x:v>
      </x:c>
      <x:c r="E69" s="19" t="str">
        <x:v>東北新幹線</x:v>
      </x:c>
      <x:c r="F69" s="19" t="str">
        <x:v>{"field":"N02_005c","id":"000977","source":"MLIT N02 2025"}
{"field":"N02_005g","id":"000975","source":"MLIT N02 2025"}</x:v>
      </x:c>
      <x:c r="G69" s="18"/>
      <x:c r="H69" s="19"/>
    </x:row>
    <x:row r="70" ht="33" customHeight="1">
      <x:c r="A70" s="18" t="str">
        <x:v>transport-node:5ce38d83-4bc2-5a09-91f1-293a742c9cba</x:v>
      </x:c>
      <x:c r="B70" s="18" t="str">
        <x:v>transport-node:5ce38d83-4bc2-5a09-91f1-293a742c9cba</x:v>
      </x:c>
      <x:c r="C70" s="19" t="str">
        <x:v>REUSED_SAME_COMPONENT</x:v>
      </x:c>
      <x:c r="D70" s="19" t="str">
        <x:v>Single-line component confirmed by S12</x:v>
      </x:c>
      <x:c r="E70" s="19" t="str">
        <x:v>北陸新幹線</x:v>
      </x:c>
      <x:c r="F70" s="19" t="str">
        <x:v>{"field":"N02_005c","id":"010180","source":"MLIT N02 2025"}
{"field":"N02_005g","id":"010180","source":"MLIT N02 2025"}</x:v>
      </x:c>
      <x:c r="G70" s="18"/>
      <x:c r="H70" s="19"/>
    </x:row>
    <x:row r="71" ht="33" customHeight="1">
      <x:c r="A71" s="18" t="str">
        <x:v>transport-node:5e51de85-cd37-5d05-90d2-8e2f67ebe5e4</x:v>
      </x:c>
      <x:c r="B71" s="18" t="str">
        <x:v>transport-node:5e51de85-cd37-5d05-90d2-8e2f67ebe5e4</x:v>
      </x:c>
      <x:c r="C71" s="19" t="str">
        <x:v>REUSED_SAME_COMPONENT</x:v>
      </x:c>
      <x:c r="D71" s="19" t="str">
        <x:v>Single-line component confirmed by S12</x:v>
      </x:c>
      <x:c r="E71" s="19" t="str">
        <x:v>烏丸線</x:v>
      </x:c>
      <x:c r="F71" s="19" t="str">
        <x:v>{"field":"N02_005c","id":"006074","source":"MLIT N02 2025"}
{"field":"N02_005g","id":"006079","source":"MLIT N02 2025"}</x:v>
      </x:c>
      <x:c r="G71" s="18"/>
      <x:c r="H71" s="19"/>
    </x:row>
    <x:row r="72" ht="33" customHeight="1">
      <x:c r="A72" s="18" t="str">
        <x:v>transport-node:62724ba3-898f-581d-9d70-f0dac4adbddc</x:v>
      </x:c>
      <x:c r="B72" s="18" t="str">
        <x:v>transport-node:62724ba3-898f-581d-9d70-f0dac4adbddc</x:v>
      </x:c>
      <x:c r="C72" s="19" t="str">
        <x:v>REUSED_SAME_COMPONENT</x:v>
      </x:c>
      <x:c r="D72" s="19" t="str">
        <x:v>Single-line component confirmed by S12</x:v>
      </x:c>
      <x:c r="E72" s="19" t="str">
        <x:v>3号線</x:v>
      </x:c>
      <x:c r="F72" s="19" t="str">
        <x:v>{"field":"N02_005c","id":"004636","source":"MLIT N02 2025"}
{"field":"N02_005g","id":"004633","source":"MLIT N02 2025"}</x:v>
      </x:c>
      <x:c r="G72" s="18"/>
      <x:c r="H72" s="19"/>
    </x:row>
    <x:row r="73" ht="33" customHeight="1">
      <x:c r="A73" s="18" t="str">
        <x:v>transport-node:661a5192-2640-5d29-8422-341017e5ac86</x:v>
      </x:c>
      <x:c r="B73" s="18" t="str">
        <x:v>transport-node:661a5192-2640-5d29-8422-341017e5ac86</x:v>
      </x:c>
      <x:c r="C73" s="19" t="str">
        <x:v>REUSED_SAME_COMPONENT</x:v>
      </x:c>
      <x:c r="D73" s="19" t="str">
        <x:v>Single-line component confirmed by S12</x:v>
      </x:c>
      <x:c r="E73" s="19" t="str">
        <x:v>北陸新幹線</x:v>
      </x:c>
      <x:c r="F73" s="19" t="str">
        <x:v>{"field":"N02_005c","id":"010177","source":"MLIT N02 2025"}
{"field":"N02_005g","id":"002392","source":"MLIT N02 2025"}</x:v>
      </x:c>
      <x:c r="G73" s="18"/>
      <x:c r="H73" s="19"/>
    </x:row>
    <x:row r="74" ht="33" customHeight="1">
      <x:c r="A74" s="18" t="str">
        <x:v>transport-node:666b7bf6-a74f-5aa2-930d-dd2f80672f5a</x:v>
      </x:c>
      <x:c r="B74" s="18" t="str">
        <x:v>transport-node:666b7bf6-a74f-5aa2-930d-dd2f80672f5a</x:v>
      </x:c>
      <x:c r="C74" s="19" t="str">
        <x:v>REUSED_SAME_COMPONENT</x:v>
      </x:c>
      <x:c r="D74" s="19" t="str">
        <x:v>Single-line component confirmed by S12</x:v>
      </x:c>
      <x:c r="E74" s="19" t="str">
        <x:v>北陸新幹線</x:v>
      </x:c>
      <x:c r="F74" s="19" t="str">
        <x:v>{"field":"N02_005c","id":"002362","source":"MLIT N02 2025"}
{"field":"N02_005g","id":"002361","source":"MLIT N02 2025"}</x:v>
      </x:c>
      <x:c r="G74" s="18"/>
      <x:c r="H74" s="19"/>
    </x:row>
    <x:row r="75" ht="33" customHeight="1">
      <x:c r="A75" s="18" t="str">
        <x:v>transport-node:66b7e851-df25-5b73-a188-77870efc7f4d</x:v>
      </x:c>
      <x:c r="B75" s="18" t="str">
        <x:v>transport-node:66b7e851-df25-5b73-a188-77870efc7f4d</x:v>
      </x:c>
      <x:c r="C75" s="19" t="str">
        <x:v>REUSED_SAME_COMPONENT</x:v>
      </x:c>
      <x:c r="D75" s="19" t="str">
        <x:v>Single-line component confirmed by S12</x:v>
      </x:c>
      <x:c r="E75" s="19" t="str">
        <x:v>北陸新幹線</x:v>
      </x:c>
      <x:c r="F75" s="19" t="str">
        <x:v>{"field":"N02_005c","id":"001742","source":"MLIT N02 2025"}
{"field":"N02_005g","id":"001742","source":"MLIT N02 2025"}</x:v>
      </x:c>
      <x:c r="G75" s="18"/>
      <x:c r="H75" s="19"/>
    </x:row>
    <x:row r="76" ht="33" customHeight="1">
      <x:c r="A76" s="18" t="str">
        <x:v>transport-node:6b9bbd2b-1a06-545c-8d9e-f137947f3905</x:v>
      </x:c>
      <x:c r="B76" s="18" t="str">
        <x:v>transport-node:6b9bbd2b-1a06-545c-8d9e-f137947f3905</x:v>
      </x:c>
      <x:c r="C76" s="19" t="str">
        <x:v>REUSED_SAME_COMPONENT</x:v>
      </x:c>
      <x:c r="D76" s="19" t="str">
        <x:v>Single-line component confirmed by S12</x:v>
      </x:c>
      <x:c r="E76" s="19" t="str">
        <x:v>東北新幹線</x:v>
      </x:c>
      <x:c r="F76" s="19" t="str">
        <x:v>{"field":"N02_005c","id":"001629","source":"MLIT N02 2025"}
{"field":"N02_005g","id":"001629","source":"MLIT N02 2025"}</x:v>
      </x:c>
      <x:c r="G76" s="18"/>
      <x:c r="H76" s="19"/>
    </x:row>
    <x:row r="77" ht="33" customHeight="1">
      <x:c r="A77" s="18" t="str">
        <x:v>transport-node:6c55ffc8-54f3-5f99-84f7-169d9aa954d6</x:v>
      </x:c>
      <x:c r="B77" s="18" t="str">
        <x:v>transport-node:6c55ffc8-54f3-5f99-84f7-169d9aa954d6</x:v>
      </x:c>
      <x:c r="C77" s="19" t="str">
        <x:v>REUSED_SAME_COMPONENT</x:v>
      </x:c>
      <x:c r="D77" s="19" t="str">
        <x:v>Single-line component confirmed by S12</x:v>
      </x:c>
      <x:c r="E77" s="19" t="str">
        <x:v>東海道新幹線</x:v>
      </x:c>
      <x:c r="F77" s="19" t="str">
        <x:v>{"field":"N02_005c","id":"005065","source":"MLIT N02 2025"}
{"field":"N02_005g","id":"005065","source":"MLIT N02 2025"}</x:v>
      </x:c>
      <x:c r="G77" s="18"/>
      <x:c r="H77" s="19"/>
    </x:row>
    <x:row r="78" ht="33" customHeight="1">
      <x:c r="A78" s="18" t="str">
        <x:v>transport-node:6dbb237f-e918-5de0-a082-4690d3629ade</x:v>
      </x:c>
      <x:c r="B78" s="18" t="str">
        <x:v>transport-node:4ca02af6-f068-57dd-ae7a-24f409143d60</x:v>
      </x:c>
      <x:c r="C78" s="19" t="str">
        <x:v>SUPERSEDED_BY</x:v>
      </x:c>
      <x:c r="D78" s="19" t="str">
        <x:v>V1 line feature superseded by operator/station/mode component</x:v>
      </x:c>
      <x:c r="E78" s="19" t="str">
        <x:v>13号線副都心線</x:v>
      </x:c>
      <x:c r="F78" s="19" t="str">
        <x:v>{"field":"N02_005c","id":"003379","source":"MLIT N02 2025"}
{"field":"N02_005g","id":"003379","source":"MLIT N02 2025"}</x:v>
      </x:c>
      <x:c r="G78" s="18" t="str">
        <x:v>transport-node:686ab245-2616-5ebc-b8ed-a371815cfe18</x:v>
      </x:c>
      <x:c r="H78" s="19" t="str">
        <x:v>池袋_EXPLICIT_STATION_COMPONENT_20260930</x:v>
      </x:c>
    </x:row>
    <x:row r="79" ht="33" customHeight="1">
      <x:c r="A79" s="18" t="str">
        <x:v>transport-node:6edb3c4b-2a73-5877-8976-c24189768750</x:v>
      </x:c>
      <x:c r="B79" s="18" t="str">
        <x:v>transport-node:6edb3c4b-2a73-5877-8976-c24189768750</x:v>
      </x:c>
      <x:c r="C79" s="19" t="str">
        <x:v>REUSED_SAME_COMPONENT</x:v>
      </x:c>
      <x:c r="D79" s="19" t="str">
        <x:v>Single-line component confirmed by S12</x:v>
      </x:c>
      <x:c r="E79" s="19" t="str">
        <x:v>東北新幹線</x:v>
      </x:c>
      <x:c r="F79" s="19" t="str">
        <x:v>{"field":"N02_005c","id":"001052","source":"MLIT N02 2025"}
{"field":"N02_005g","id":"001052","source":"MLIT N02 2025"}</x:v>
      </x:c>
      <x:c r="G79" s="18"/>
      <x:c r="H79" s="19"/>
    </x:row>
    <x:row r="80" ht="33" customHeight="1">
      <x:c r="A80" s="18" t="str">
        <x:v>transport-node:6f8075c2-a3e2-5c81-825a-9dd6c03e970a</x:v>
      </x:c>
      <x:c r="B80" s="18" t="str">
        <x:v>transport-node:6f8075c2-a3e2-5c81-825a-9dd6c03e970a</x:v>
      </x:c>
      <x:c r="C80" s="19" t="str">
        <x:v>REUSED_SAME_COMPONENT</x:v>
      </x:c>
      <x:c r="D80" s="19" t="str">
        <x:v>Single-line component confirmed by S12</x:v>
      </x:c>
      <x:c r="E80" s="19" t="str">
        <x:v>東北新幹線</x:v>
      </x:c>
      <x:c r="F80" s="19" t="str">
        <x:v>{"field":"N02_005c","id":"000863","source":"MLIT N02 2025"}
{"field":"N02_005g","id":"000863","source":"MLIT N02 2025"}</x:v>
      </x:c>
      <x:c r="G80" s="18"/>
      <x:c r="H80" s="19"/>
    </x:row>
    <x:row r="81" ht="33" customHeight="1">
      <x:c r="A81" s="18" t="str">
        <x:v>transport-node:6fb3599c-0b69-5a85-92e6-97c60e238e58</x:v>
      </x:c>
      <x:c r="B81" s="18" t="str">
        <x:v>transport-node:6fb3599c-0b69-5a85-92e6-97c60e238e58</x:v>
      </x:c>
      <x:c r="C81" s="19" t="str">
        <x:v>REUSED_SAME_COMPONENT</x:v>
      </x:c>
      <x:c r="D81" s="19" t="str">
        <x:v>Single-line component confirmed by S12</x:v>
      </x:c>
      <x:c r="E81" s="19" t="str">
        <x:v>北陸新幹線</x:v>
      </x:c>
      <x:c r="F81" s="19" t="str">
        <x:v>{"field":"N02_005c","id":"010176","source":"MLIT N02 2025"}
{"field":"N02_005g","id":"002267","source":"MLIT N02 2025"}</x:v>
      </x:c>
      <x:c r="G81" s="18"/>
      <x:c r="H81" s="19"/>
    </x:row>
    <x:row r="82" ht="28" customHeight="1">
      <x:c r="A82" s="18" t="str">
        <x:v>transport-node:74680065-8d78-516a-b322-f0e328867289</x:v>
      </x:c>
      <x:c r="B82" s="18"/>
      <x:c r="C82" s="19" t="str">
        <x:v>REVIEW_REQUIRED</x:v>
      </x:c>
      <x:c r="D82" s="19" t="str">
        <x:v>No safe S12 station/operator/mode crosswalk; no silent rebind or rejection</x:v>
      </x:c>
      <x:c r="E82" s="19" t="str"/>
      <x:c r="F82" s="19" t="str"/>
      <x:c r="G82" s="18"/>
      <x:c r="H82" s="19"/>
    </x:row>
    <x:row r="83" ht="33" customHeight="1">
      <x:c r="A83" s="18" t="str">
        <x:v>transport-node:748700ae-fc0b-5d4a-bbea-11baeab8d488</x:v>
      </x:c>
      <x:c r="B83" s="18" t="str">
        <x:v>transport-node:748700ae-fc0b-5d4a-bbea-11baeab8d488</x:v>
      </x:c>
      <x:c r="C83" s="19" t="str">
        <x:v>REUSED_SAME_COMPONENT</x:v>
      </x:c>
      <x:c r="D83" s="19" t="str">
        <x:v>Single-line component confirmed by S12</x:v>
      </x:c>
      <x:c r="E83" s="19" t="str">
        <x:v>東海道新幹線</x:v>
      </x:c>
      <x:c r="F83" s="19" t="str">
        <x:v>{"field":"N02_005c","id":"006138","source":"MLIT N02 2025"}
{"field":"N02_005g","id":"006133","source":"MLIT N02 2025"}</x:v>
      </x:c>
      <x:c r="G83" s="18"/>
      <x:c r="H83" s="19"/>
    </x:row>
    <x:row r="84" ht="33" customHeight="1">
      <x:c r="A84" s="18" t="str">
        <x:v>transport-node:75367af9-decf-5eab-8ec2-fa4cb49b583f</x:v>
      </x:c>
      <x:c r="B84" s="18" t="str">
        <x:v>transport-node:55b953b1-ed09-50c0-a500-4a1e77e2d01e</x:v>
      </x:c>
      <x:c r="C84" s="19" t="str">
        <x:v>SUPERSEDED_BY</x:v>
      </x:c>
      <x:c r="D84" s="19" t="str">
        <x:v>V1 line feature superseded by operator/station/mode component</x:v>
      </x:c>
      <x:c r="E84" s="19" t="str">
        <x:v>根岸線</x:v>
      </x:c>
      <x:c r="F84" s="19" t="str">
        <x:v>{"field":"N02_005c","id":"004635","source":"MLIT N02 2025"}
{"field":"N02_005g","id":"004633","source":"MLIT N02 2025"}</x:v>
      </x:c>
      <x:c r="G84" s="18"/>
      <x:c r="H84" s="19"/>
    </x:row>
    <x:row r="85" ht="33" customHeight="1">
      <x:c r="A85" s="18" t="str">
        <x:v>transport-node:756e4392-b22a-51ad-9c15-b20cbb073845</x:v>
      </x:c>
      <x:c r="B85" s="18" t="str">
        <x:v>transport-node:756e4392-b22a-51ad-9c15-b20cbb073845</x:v>
      </x:c>
      <x:c r="C85" s="19" t="str">
        <x:v>REUSED_SAME_COMPONENT</x:v>
      </x:c>
      <x:c r="D85" s="19" t="str">
        <x:v>Single-line component confirmed by S12</x:v>
      </x:c>
      <x:c r="E85" s="19" t="str">
        <x:v>鹿児島線</x:v>
      </x:c>
      <x:c r="F85" s="19" t="str">
        <x:v>{"field":"N02_005c","id":"009030","source":"MLIT N02 2025"}
{"field":"N02_005g","id":"009033","source":"MLIT N02 2025"}</x:v>
      </x:c>
      <x:c r="G85" s="18"/>
      <x:c r="H85" s="19"/>
    </x:row>
    <x:row r="86" ht="33" customHeight="1">
      <x:c r="A86" s="18" t="str">
        <x:v>transport-node:75c3ed32-6023-567a-bce2-9621423fa046</x:v>
      </x:c>
      <x:c r="B86" s="18" t="str">
        <x:v>transport-node:4b42e5c0-1a10-572d-9ead-92f296808f7c</x:v>
      </x:c>
      <x:c r="C86" s="19" t="str">
        <x:v>SUPERSEDED_BY</x:v>
      </x:c>
      <x:c r="D86" s="19" t="str">
        <x:v>V1 line feature superseded by operator/station/mode component</x:v>
      </x:c>
      <x:c r="E86" s="19" t="str">
        <x:v>1号線(空港線)</x:v>
      </x:c>
      <x:c r="F86" s="19" t="str">
        <x:v>{"field":"N02_005c","id":"009029","source":"MLIT N02 2025"}
{"field":"N02_005g","id":"009033","source":"MLIT N02 2025"}</x:v>
      </x:c>
      <x:c r="G86" s="18"/>
      <x:c r="H86" s="19"/>
    </x:row>
    <x:row r="87" ht="33" customHeight="1">
      <x:c r="A87" s="18" t="str">
        <x:v>transport-node:75fed979-471e-5411-88b1-af5f236d04b4</x:v>
      </x:c>
      <x:c r="B87" s="18" t="str">
        <x:v>transport-node:75fed979-471e-5411-88b1-af5f236d04b4</x:v>
      </x:c>
      <x:c r="C87" s="19" t="str">
        <x:v>REUSED_SAME_COMPONENT</x:v>
      </x:c>
      <x:c r="D87" s="19" t="str">
        <x:v>Single-line component confirmed by S12</x:v>
      </x:c>
      <x:c r="E87" s="19" t="str">
        <x:v>東北新幹線</x:v>
      </x:c>
      <x:c r="F87" s="19" t="str">
        <x:v>{"field":"N02_005c","id":"000790","source":"MLIT N02 2025"}
{"field":"N02_005g","id":"000792","source":"MLIT N02 2025"}</x:v>
      </x:c>
      <x:c r="G87" s="18"/>
      <x:c r="H87" s="19"/>
    </x:row>
    <x:row r="88" ht="33" customHeight="1">
      <x:c r="A88" s="18" t="str">
        <x:v>transport-node:769be09c-c7a1-5732-8187-bd9d7ca1adc4</x:v>
      </x:c>
      <x:c r="B88" s="18" t="str">
        <x:v>transport-node:b1098fbf-9cee-52bd-a880-7052f6131fbb</x:v>
      </x:c>
      <x:c r="C88" s="19" t="str">
        <x:v>SUPERSEDED_BY</x:v>
      </x:c>
      <x:c r="D88" s="19" t="str">
        <x:v>V1 line feature superseded by operator/station/mode component</x:v>
      </x:c>
      <x:c r="E88" s="19" t="str">
        <x:v>中央線</x:v>
      </x:c>
      <x:c r="F88" s="19" t="str">
        <x:v>{"field":"N02_005c","id":"005447","source":"MLIT N02 2025"}
{"field":"N02_005g","id":"005451","source":"MLIT N02 2025"}</x:v>
      </x:c>
      <x:c r="G88" s="18"/>
      <x:c r="H88" s="19"/>
    </x:row>
    <x:row r="89" ht="33" customHeight="1">
      <x:c r="A89" s="18" t="str">
        <x:v>transport-node:76b6eedb-37c4-5885-a5bd-2d621075841a</x:v>
      </x:c>
      <x:c r="B89" s="18" t="str">
        <x:v>transport-node:af99a908-c905-58d1-a529-9028b4d0a10d</x:v>
      </x:c>
      <x:c r="C89" s="19" t="str">
        <x:v>SUPERSEDED_BY</x:v>
      </x:c>
      <x:c r="D89" s="19" t="str">
        <x:v>V1 line feature superseded by operator/station/mode component</x:v>
      </x:c>
      <x:c r="E89" s="19" t="str">
        <x:v>1号線東山線</x:v>
      </x:c>
      <x:c r="F89" s="19" t="str">
        <x:v>{"field":"N02_005c","id":"005444","source":"MLIT N02 2025"}
{"field":"N02_005g","id":"005451","source":"MLIT N02 2025"}</x:v>
      </x:c>
      <x:c r="G89" s="18"/>
      <x:c r="H89" s="19"/>
    </x:row>
    <x:row r="90" ht="33" customHeight="1">
      <x:c r="A90" s="18" t="str">
        <x:v>transport-node:7702030d-d4e2-5abf-a2dd-5a6a041e21fc</x:v>
      </x:c>
      <x:c r="B90" s="18" t="str">
        <x:v>transport-node:89b07d95-ed68-5092-a531-07e2df74b03a</x:v>
      </x:c>
      <x:c r="C90" s="19" t="str">
        <x:v>SUPERSEDED_BY</x:v>
      </x:c>
      <x:c r="D90" s="19" t="str">
        <x:v>V1 line feature superseded by operator/station/mode component</x:v>
      </x:c>
      <x:c r="E90" s="19" t="str">
        <x:v>山手線</x:v>
      </x:c>
      <x:c r="F90" s="19" t="str">
        <x:v>{"field":"N02_005c","id":"003701","source":"MLIT N02 2025"}
{"field":"N02_005g","id":"003700","source":"MLIT N02 2025"}</x:v>
      </x:c>
      <x:c r="G90" s="18"/>
      <x:c r="H90" s="19"/>
    </x:row>
    <x:row r="91" ht="33" customHeight="1">
      <x:c r="A91" s="18" t="str">
        <x:v>transport-node:7771aa55-a26f-5ed8-bf1e-b84391442ec6</x:v>
      </x:c>
      <x:c r="B91" s="18" t="str">
        <x:v>transport-node:2b228db8-21f5-5adc-aad5-f79486ed788a</x:v>
      </x:c>
      <x:c r="C91" s="19" t="str">
        <x:v>SUPERSEDED_BY</x:v>
      </x:c>
      <x:c r="D91" s="19" t="str">
        <x:v>V1 line feature superseded by operator/station/mode component</x:v>
      </x:c>
      <x:c r="E91" s="19" t="str">
        <x:v>2号線日比谷線</x:v>
      </x:c>
      <x:c r="F91" s="19" t="str">
        <x:v>{"field":"N02_005c","id":"003517","source":"MLIT N02 2025"}
{"field":"N02_005g","id":"003505","source":"MLIT N02 2025"}</x:v>
      </x:c>
      <x:c r="G91" s="18"/>
      <x:c r="H91" s="19"/>
    </x:row>
    <x:row r="92" ht="33" customHeight="1">
      <x:c r="A92" s="18" t="str">
        <x:v>transport-node:781db804-05e9-5743-b2e9-3e0b65a17820</x:v>
      </x:c>
      <x:c r="B92" s="18" t="str">
        <x:v>transport-node:8e212416-f401-52e3-b76c-ede3ea8408f6</x:v>
      </x:c>
      <x:c r="C92" s="19" t="str">
        <x:v>SUPERSEDED_BY</x:v>
      </x:c>
      <x:c r="D92" s="19" t="str">
        <x:v>V1 line feature superseded by operator/station/mode component</x:v>
      </x:c>
      <x:c r="E92" s="19" t="str">
        <x:v>指宿枕崎線</x:v>
      </x:c>
      <x:c r="F92" s="19" t="str">
        <x:v>{"field":"N02_005c","id":"010047","source":"MLIT N02 2025"}
{"field":"N02_005g","id":"010047","source":"MLIT N02 2025"}</x:v>
      </x:c>
      <x:c r="G92" s="18"/>
      <x:c r="H92" s="19"/>
    </x:row>
    <x:row r="93" ht="33" customHeight="1">
      <x:c r="A93" s="18" t="str">
        <x:v>transport-node:7953012b-45a2-5383-8351-16241f2ca000</x:v>
      </x:c>
      <x:c r="B93" s="18" t="str">
        <x:v>transport-node:7953012b-45a2-5383-8351-16241f2ca000</x:v>
      </x:c>
      <x:c r="C93" s="19" t="str">
        <x:v>REUSED_SAME_COMPONENT</x:v>
      </x:c>
      <x:c r="D93" s="19" t="str">
        <x:v>Single-line component confirmed by S12</x:v>
      </x:c>
      <x:c r="E93" s="19" t="str">
        <x:v>東海道新幹線</x:v>
      </x:c>
      <x:c r="F93" s="19" t="str">
        <x:v>{"field":"N02_005c","id":"004501","source":"MLIT N02 2025"}
{"field":"N02_005g","id":"004501","source":"MLIT N02 2025"}</x:v>
      </x:c>
      <x:c r="G93" s="18"/>
      <x:c r="H93" s="19"/>
    </x:row>
    <x:row r="94" ht="33" customHeight="1">
      <x:c r="A94" s="18" t="str">
        <x:v>transport-node:797b213f-8507-56d7-b426-597d0ee54c79</x:v>
      </x:c>
      <x:c r="B94" s="18" t="str">
        <x:v>transport-node:797b213f-8507-56d7-b426-597d0ee54c79</x:v>
      </x:c>
      <x:c r="C94" s="19" t="str">
        <x:v>REUSED_SAME_COMPONENT</x:v>
      </x:c>
      <x:c r="D94" s="19" t="str">
        <x:v>Single-line component confirmed by S12</x:v>
      </x:c>
      <x:c r="E94" s="19" t="str">
        <x:v>北陸新幹線</x:v>
      </x:c>
      <x:c r="F94" s="19" t="str">
        <x:v>{"field":"N02_005c","id":"002273","source":"MLIT N02 2025"}
{"field":"N02_005g","id":"002275","source":"MLIT N02 2025"}</x:v>
      </x:c>
      <x:c r="G94" s="18"/>
      <x:c r="H94" s="19"/>
    </x:row>
    <x:row r="95" ht="33" customHeight="1">
      <x:c r="A95" s="18" t="str">
        <x:v>transport-node:7a762509-cf40-503d-a2f9-ed7605f15ce0</x:v>
      </x:c>
      <x:c r="B95" s="18" t="str">
        <x:v>transport-node:abcbeb9a-2f10-57b7-bb75-1d10581e35d2</x:v>
      </x:c>
      <x:c r="C95" s="19" t="str">
        <x:v>SUPERSEDED_BY</x:v>
      </x:c>
      <x:c r="D95" s="19" t="str">
        <x:v>V1 line feature superseded by operator/station/mode component</x:v>
      </x:c>
      <x:c r="E95" s="19" t="str">
        <x:v>仙山線</x:v>
      </x:c>
      <x:c r="F95" s="19" t="str">
        <x:v>{"field":"N02_005c","id":"001181","source":"MLIT N02 2025"}
{"field":"N02_005g","id":"001177","source":"MLIT N02 2025"}</x:v>
      </x:c>
      <x:c r="G95" s="18"/>
      <x:c r="H95" s="19"/>
    </x:row>
    <x:row r="96" ht="33" customHeight="1">
      <x:c r="A96" s="18" t="str">
        <x:v>transport-node:7ad08ae3-f892-5371-af41-bdb5054af089</x:v>
      </x:c>
      <x:c r="B96" s="18" t="str">
        <x:v>transport-node:966ea408-4a7f-5295-b2a9-5b5f523971b0</x:v>
      </x:c>
      <x:c r="C96" s="19" t="str">
        <x:v>SUPERSEDED_BY</x:v>
      </x:c>
      <x:c r="D96" s="19" t="str">
        <x:v>V1 line feature superseded by operator/station/mode component</x:v>
      </x:c>
      <x:c r="E96" s="19" t="str">
        <x:v>山陰線</x:v>
      </x:c>
      <x:c r="F96" s="19" t="str">
        <x:v>{"field":"N02_005c","id":"006076","source":"MLIT N02 2025"}
{"field":"N02_005g","id":"006079","source":"MLIT N02 2025"}</x:v>
      </x:c>
      <x:c r="G96" s="18"/>
      <x:c r="H96" s="19"/>
    </x:row>
    <x:row r="97" ht="33" customHeight="1">
      <x:c r="A97" s="18" t="str">
        <x:v>transport-node:7dd04717-15fc-5772-b4e2-2182a0f04727</x:v>
      </x:c>
      <x:c r="B97" s="18" t="str">
        <x:v>transport-node:7dd04717-15fc-5772-b4e2-2182a0f04727</x:v>
      </x:c>
      <x:c r="C97" s="19" t="str">
        <x:v>REUSED_SAME_COMPONENT</x:v>
      </x:c>
      <x:c r="D97" s="19" t="str">
        <x:v>Single-line component confirmed by S12</x:v>
      </x:c>
      <x:c r="E97" s="19" t="str">
        <x:v>山陽新幹線</x:v>
      </x:c>
      <x:c r="F97" s="19" t="str">
        <x:v>{"field":"N02_005c","id":"007329","source":"MLIT N02 2025"}
{"field":"N02_005g","id":"007310","source":"MLIT N02 2025"}</x:v>
      </x:c>
      <x:c r="G97" s="18"/>
      <x:c r="H97" s="19"/>
    </x:row>
    <x:row r="98" ht="33" customHeight="1">
      <x:c r="A98" s="18" t="str">
        <x:v>transport-node:7dd65747-efc7-5aae-bb74-ddbc4590a941</x:v>
      </x:c>
      <x:c r="B98" s="18" t="str">
        <x:v>transport-node:7dd65747-efc7-5aae-bb74-ddbc4590a941</x:v>
      </x:c>
      <x:c r="C98" s="19" t="str">
        <x:v>REUSED_SAME_COMPONENT</x:v>
      </x:c>
      <x:c r="D98" s="19" t="str">
        <x:v>Single-line component confirmed by S12</x:v>
      </x:c>
      <x:c r="E98" s="19" t="str">
        <x:v>山陽新幹線</x:v>
      </x:c>
      <x:c r="F98" s="19" t="str">
        <x:v>{"field":"N02_005c","id":"008025","source":"MLIT N02 2025"}
{"field":"N02_005g","id":"008029","source":"MLIT N02 2025"}</x:v>
      </x:c>
      <x:c r="G98" s="18"/>
      <x:c r="H98" s="19"/>
    </x:row>
    <x:row r="99" ht="33" customHeight="1">
      <x:c r="A99" s="18" t="str">
        <x:v>transport-node:7f64001c-b0c3-5022-9bf7-090aa8e9b6b1</x:v>
      </x:c>
      <x:c r="B99" s="18" t="str">
        <x:v>transport-node:7f64001c-b0c3-5022-9bf7-090aa8e9b6b1</x:v>
      </x:c>
      <x:c r="C99" s="19" t="str">
        <x:v>REUSED_SAME_COMPONENT</x:v>
      </x:c>
      <x:c r="D99" s="19" t="str">
        <x:v>Single-line component confirmed by S12</x:v>
      </x:c>
      <x:c r="E99" s="19" t="str">
        <x:v>九州新幹線</x:v>
      </x:c>
      <x:c r="F99" s="19" t="str">
        <x:v>{"field":"N02_005c","id":"010049","source":"MLIT N02 2025"}
{"field":"N02_005g","id":"010047","source":"MLIT N02 2025"}</x:v>
      </x:c>
      <x:c r="G99" s="18"/>
      <x:c r="H99" s="19"/>
    </x:row>
    <x:row r="100" ht="33" customHeight="1">
      <x:c r="A100" s="18" t="str">
        <x:v>transport-node:82dbf1ef-7968-56c7-a93d-a6b35448c087</x:v>
      </x:c>
      <x:c r="B100" s="18" t="str">
        <x:v>transport-node:82dbf1ef-7968-56c7-a93d-a6b35448c087</x:v>
      </x:c>
      <x:c r="C100" s="19" t="str">
        <x:v>REUSED_SAME_COMPONENT</x:v>
      </x:c>
      <x:c r="D100" s="19" t="str">
        <x:v>Single-line component confirmed by S12</x:v>
      </x:c>
      <x:c r="E100" s="19" t="str">
        <x:v>北陸新幹線</x:v>
      </x:c>
      <x:c r="F100" s="19" t="str">
        <x:v>{"field":"N02_005c","id":"001770","source":"MLIT N02 2025"}
{"field":"N02_005g","id":"001769","source":"MLIT N02 2025"}</x:v>
      </x:c>
      <x:c r="G100" s="18"/>
      <x:c r="H100" s="19"/>
    </x:row>
    <x:row r="101" ht="33" customHeight="1">
      <x:c r="A101" s="18" t="str">
        <x:v>transport-node:882c97fa-14bf-5ada-a6d9-9247bc92c64a</x:v>
      </x:c>
      <x:c r="B101" s="18" t="str">
        <x:v>transport-node:0663cba4-444d-5601-ab9c-b6d7ef355aae</x:v>
      </x:c>
      <x:c r="C101" s="19" t="str">
        <x:v>SUPERSEDED_BY</x:v>
      </x:c>
      <x:c r="D101" s="19" t="str">
        <x:v>V1 line feature superseded by operator/station/mode component</x:v>
      </x:c>
      <x:c r="E101" s="19" t="str">
        <x:v>東海道線</x:v>
      </x:c>
      <x:c r="F101" s="19" t="str">
        <x:v>{"field":"N02_005c","id":"006910","source":"MLIT N02 2025"}
{"field":"N02_005g","id":"006911","source":"MLIT N02 2025"}</x:v>
      </x:c>
      <x:c r="G101" s="18"/>
      <x:c r="H101" s="19"/>
    </x:row>
    <x:row r="102" ht="33" customHeight="1">
      <x:c r="A102" s="18" t="str">
        <x:v>transport-node:8a3ec0cc-c1a5-5124-a48e-edd44a33549a</x:v>
      </x:c>
      <x:c r="B102" s="18" t="str">
        <x:v>transport-node:8a3ec0cc-c1a5-5124-a48e-edd44a33549a</x:v>
      </x:c>
      <x:c r="C102" s="19" t="str">
        <x:v>REUSED_SAME_COMPONENT</x:v>
      </x:c>
      <x:c r="D102" s="19" t="str">
        <x:v>Single-line component confirmed by S12</x:v>
      </x:c>
      <x:c r="E102" s="19" t="str">
        <x:v>北陸新幹線</x:v>
      </x:c>
      <x:c r="F102" s="19" t="str">
        <x:v>{"field":"N02_005c","id":"001668","source":"MLIT N02 2025"}
{"field":"N02_005g","id":"001666","source":"MLIT N02 2025"}</x:v>
      </x:c>
      <x:c r="G102" s="18"/>
      <x:c r="H102" s="19"/>
    </x:row>
    <x:row r="103" ht="33" customHeight="1">
      <x:c r="A103" s="18" t="str">
        <x:v>transport-node:8ee6f28d-20b8-55c4-bec9-89fc88e82ec5</x:v>
      </x:c>
      <x:c r="B103" s="18" t="str">
        <x:v>transport-node:8ee6f28d-20b8-55c4-bec9-89fc88e82ec5</x:v>
      </x:c>
      <x:c r="C103" s="19" t="str">
        <x:v>REUSED_SAME_COMPONENT</x:v>
      </x:c>
      <x:c r="D103" s="19" t="str">
        <x:v>Single-line component confirmed by S12</x:v>
      </x:c>
      <x:c r="E103" s="19" t="str">
        <x:v>西九州新幹線</x:v>
      </x:c>
      <x:c r="F103" s="19" t="str">
        <x:v>{"field":"N02_005c","id":"009578","source":"MLIT N02 2025"}
{"field":"N02_005g","id":"009578","source":"MLIT N02 2025"}</x:v>
      </x:c>
      <x:c r="G103" s="18"/>
      <x:c r="H103" s="19"/>
    </x:row>
    <x:row r="104" ht="33" customHeight="1">
      <x:c r="A104" s="18" t="str">
        <x:v>transport-node:8ee6f2fd-e04c-5a7f-8d0f-3f4f89bb4c9b</x:v>
      </x:c>
      <x:c r="B104" s="18" t="str">
        <x:v>transport-node:8ee6f2fd-e04c-5a7f-8d0f-3f4f89bb4c9b</x:v>
      </x:c>
      <x:c r="C104" s="19" t="str">
        <x:v>REUSED_SAME_COMPONENT</x:v>
      </x:c>
      <x:c r="D104" s="19" t="str">
        <x:v>Single-line component confirmed by S12</x:v>
      </x:c>
      <x:c r="E104" s="19" t="str">
        <x:v>北海道新幹線</x:v>
      </x:c>
      <x:c r="F104" s="19" t="str">
        <x:v>{"field":"N02_005c","id":"000476","source":"MLIT N02 2025"}
{"field":"N02_005g","id":"000477","source":"MLIT N02 2025"}</x:v>
      </x:c>
      <x:c r="G104" s="18"/>
      <x:c r="H104" s="19"/>
    </x:row>
    <x:row r="105" ht="33" customHeight="1">
      <x:c r="A105" s="18" t="str">
        <x:v>transport-node:9340eff7-4f98-55a6-be01-44bfacd0babb</x:v>
      </x:c>
      <x:c r="B105" s="18" t="str">
        <x:v>transport-node:c0f4f0f0-b114-51bd-91cf-0d4914934f45</x:v>
      </x:c>
      <x:c r="C105" s="19" t="str">
        <x:v>SUPERSEDED_BY</x:v>
      </x:c>
      <x:c r="D105" s="19" t="str">
        <x:v>V1 line feature superseded by operator/station/mode component</x:v>
      </x:c>
      <x:c r="E105" s="19" t="str">
        <x:v>北陸新幹線</x:v>
      </x:c>
      <x:c r="F105" s="19" t="str">
        <x:v>{"field":"N02_005c","id":"002387","source":"MLIT N02 2025"}
{"field":"N02_005g","id":"002389","source":"MLIT N02 2025"}</x:v>
      </x:c>
      <x:c r="G105" s="18"/>
      <x:c r="H105" s="19"/>
    </x:row>
    <x:row r="106" ht="33" customHeight="1">
      <x:c r="A106" s="18" t="str">
        <x:v>transport-node:936071bf-7c95-5f9c-954b-2b2109e126c2</x:v>
      </x:c>
      <x:c r="B106" s="18" t="str">
        <x:v>transport-node:4b42e5c0-1a10-572d-9ead-92f296808f7c</x:v>
      </x:c>
      <x:c r="C106" s="19" t="str">
        <x:v>SUPERSEDED_BY</x:v>
      </x:c>
      <x:c r="D106" s="19" t="str">
        <x:v>V1 line feature superseded by operator/station/mode component</x:v>
      </x:c>
      <x:c r="E106" s="19" t="str">
        <x:v>3号線(七隈線)</x:v>
      </x:c>
      <x:c r="F106" s="19" t="str">
        <x:v>{"field":"N02_005c","id":"010163","source":"MLIT N02 2025"}
{"field":"N02_005g","id":"009033","source":"MLIT N02 2025"}</x:v>
      </x:c>
      <x:c r="G106" s="18"/>
      <x:c r="H106" s="19"/>
    </x:row>
    <x:row r="107" ht="33" customHeight="1">
      <x:c r="A107" s="18" t="str">
        <x:v>transport-node:95b05fc1-8022-5cd6-921c-d5afb9f5faa2</x:v>
      </x:c>
      <x:c r="B107" s="18" t="str">
        <x:v>transport-node:95b05fc1-8022-5cd6-921c-d5afb9f5faa2</x:v>
      </x:c>
      <x:c r="C107" s="19" t="str">
        <x:v>REUSED_SAME_COMPONENT</x:v>
      </x:c>
      <x:c r="D107" s="19" t="str">
        <x:v>Single-line component confirmed by S12</x:v>
      </x:c>
      <x:c r="E107" s="19" t="str">
        <x:v>上越新幹線</x:v>
      </x:c>
      <x:c r="F107" s="19" t="str">
        <x:v>{"field":"N02_005c","id":"001300","source":"MLIT N02 2025"}
{"field":"N02_005g","id":"001296","source":"MLIT N02 2025"}</x:v>
      </x:c>
      <x:c r="G107" s="18"/>
      <x:c r="H107" s="19"/>
    </x:row>
    <x:row r="108" ht="33" customHeight="1">
      <x:c r="A108" s="18" t="str">
        <x:v>transport-node:98906211-a1b2-5875-b429-aceb10abd093</x:v>
      </x:c>
      <x:c r="B108" s="18" t="str">
        <x:v>transport-node:8d41d891-17f0-514f-b0af-ccc7624f8570</x:v>
      </x:c>
      <x:c r="C108" s="19" t="str">
        <x:v>SUPERSEDED_BY</x:v>
      </x:c>
      <x:c r="D108" s="19" t="str">
        <x:v>V1 line feature superseded by operator/station/mode component</x:v>
      </x:c>
      <x:c r="E108" s="19" t="str">
        <x:v>関西線</x:v>
      </x:c>
      <x:c r="F108" s="19" t="str">
        <x:v>{"field":"N02_005c","id":"007210","source":"MLIT N02 2025"}
{"field":"N02_005g","id":"007210","source":"MLIT N02 2025"}</x:v>
      </x:c>
      <x:c r="G108" s="18"/>
      <x:c r="H108" s="19"/>
    </x:row>
    <x:row r="109" ht="33" customHeight="1">
      <x:c r="A109" s="18" t="str">
        <x:v>transport-node:9946377d-47d6-540d-bb2e-59282c6b1c9c</x:v>
      </x:c>
      <x:c r="B109" s="18" t="str">
        <x:v>transport-node:9946377d-47d6-540d-bb2e-59282c6b1c9c</x:v>
      </x:c>
      <x:c r="C109" s="19" t="str">
        <x:v>REUSED_SAME_COMPONENT</x:v>
      </x:c>
      <x:c r="D109" s="19" t="str">
        <x:v>Single-line component confirmed by S12</x:v>
      </x:c>
      <x:c r="E109" s="19" t="str">
        <x:v>北陸新幹線</x:v>
      </x:c>
      <x:c r="F109" s="19" t="str">
        <x:v>{"field":"N02_005c","id":"001886","source":"MLIT N02 2025"}
{"field":"N02_005g","id":"001886","source":"MLIT N02 2025"}</x:v>
      </x:c>
      <x:c r="G109" s="18"/>
      <x:c r="H109" s="19"/>
    </x:row>
    <x:row r="110" ht="33" customHeight="1">
      <x:c r="A110" s="18" t="str">
        <x:v>transport-node:9b96d310-fea9-522b-afa5-0f1bf4be5178</x:v>
      </x:c>
      <x:c r="B110" s="18" t="str">
        <x:v>transport-node:9b96d310-fea9-522b-afa5-0f1bf4be5178</x:v>
      </x:c>
      <x:c r="C110" s="19" t="str">
        <x:v>REUSED_SAME_COMPONENT</x:v>
      </x:c>
      <x:c r="D110" s="19" t="str">
        <x:v>Single-line component confirmed by S12</x:v>
      </x:c>
      <x:c r="E110" s="19" t="str">
        <x:v>東北新幹線</x:v>
      </x:c>
      <x:c r="F110" s="19" t="str">
        <x:v>{"field":"N02_005c","id":"001374","source":"MLIT N02 2025"}
{"field":"N02_005g","id":"001373","source":"MLIT N02 2025"}</x:v>
      </x:c>
      <x:c r="G110" s="18"/>
      <x:c r="H110" s="19"/>
    </x:row>
    <x:row r="111" ht="33" customHeight="1">
      <x:c r="A111" s="18" t="str">
        <x:v>transport-node:9edc7eef-11ed-5c83-a4a5-3e0a7a3ca67e</x:v>
      </x:c>
      <x:c r="B111" s="18" t="str">
        <x:v>transport-node:9edc7eef-11ed-5c83-a4a5-3e0a7a3ca67e</x:v>
      </x:c>
      <x:c r="C111" s="19" t="str">
        <x:v>REUSED_SAME_COMPONENT</x:v>
      </x:c>
      <x:c r="D111" s="19" t="str">
        <x:v>Single-line component confirmed by S12</x:v>
      </x:c>
      <x:c r="E111" s="19" t="str">
        <x:v>山陽新幹線</x:v>
      </x:c>
      <x:c r="F111" s="19" t="str">
        <x:v>{"field":"N02_005c","id":"007864","source":"MLIT N02 2025"}
{"field":"N02_005g","id":"007862","source":"MLIT N02 2025"}</x:v>
      </x:c>
      <x:c r="G111" s="18"/>
      <x:c r="H111" s="19"/>
    </x:row>
    <x:row r="112" ht="33" customHeight="1">
      <x:c r="A112" s="18" t="str">
        <x:v>transport-node:9fc65deb-910f-5686-ba26-102962d17565</x:v>
      </x:c>
      <x:c r="B112" s="18" t="str">
        <x:v>transport-node:7074cd95-698a-5143-8345-045066236c08</x:v>
      </x:c>
      <x:c r="C112" s="19" t="str">
        <x:v>SUPERSEDED_BY</x:v>
      </x:c>
      <x:c r="D112" s="19" t="str">
        <x:v>V1 line feature superseded by operator/station/mode component</x:v>
      </x:c>
      <x:c r="E112" s="19" t="str">
        <x:v>東横線</x:v>
      </x:c>
      <x:c r="F112" s="19" t="str">
        <x:v>{"field":"N02_005c","id":"003926","source":"MLIT N02 2025"}
{"field":"N02_005g","id":"003922","source":"MLIT N02 2025"}</x:v>
      </x:c>
      <x:c r="G112" s="18"/>
      <x:c r="H112" s="19"/>
    </x:row>
    <x:row r="113" ht="33" customHeight="1">
      <x:c r="A113" s="18" t="str">
        <x:v>transport-node:a0ec01da-54c0-5b19-8fbb-549e49c684f7</x:v>
      </x:c>
      <x:c r="B113" s="18" t="str">
        <x:v>transport-node:a0ec01da-54c0-5b19-8fbb-549e49c684f7</x:v>
      </x:c>
      <x:c r="C113" s="19" t="str">
        <x:v>REUSED_SAME_COMPONENT</x:v>
      </x:c>
      <x:c r="D113" s="19" t="str">
        <x:v>Single-line component confirmed by S12</x:v>
      </x:c>
      <x:c r="E113" s="19" t="str">
        <x:v>山陽新幹線</x:v>
      </x:c>
      <x:c r="F113" s="19" t="str">
        <x:v>{"field":"N02_005c","id":"008682","source":"MLIT N02 2025"}
{"field":"N02_005g","id":"008684","source":"MLIT N02 2025"}</x:v>
      </x:c>
      <x:c r="G113" s="18"/>
      <x:c r="H113" s="19"/>
    </x:row>
    <x:row r="114" ht="33" customHeight="1">
      <x:c r="A114" s="18" t="str">
        <x:v>transport-node:a357e81b-ce21-55df-b1c0-c2e23a030ade</x:v>
      </x:c>
      <x:c r="B114" s="18" t="str">
        <x:v>transport-node:abcbeb9a-2f10-57b7-bb75-1d10581e35d2</x:v>
      </x:c>
      <x:c r="C114" s="19" t="str">
        <x:v>SUPERSEDED_BY</x:v>
      </x:c>
      <x:c r="D114" s="19" t="str">
        <x:v>V1 line feature superseded by operator/station/mode component</x:v>
      </x:c>
      <x:c r="E114" s="19" t="str">
        <x:v>東北線</x:v>
      </x:c>
      <x:c r="F114" s="19" t="str">
        <x:v>{"field":"N02_005c","id":"001182","source":"MLIT N02 2025"}
{"field":"N02_005g","id":"001177","source":"MLIT N02 2025"}</x:v>
      </x:c>
      <x:c r="G114" s="18"/>
      <x:c r="H114" s="19"/>
    </x:row>
    <x:row r="115" ht="33" customHeight="1">
      <x:c r="A115" s="18" t="str">
        <x:v>transport-node:a386a900-14d8-5095-b786-b3cb6aa402c3</x:v>
      </x:c>
      <x:c r="B115" s="18" t="str">
        <x:v>transport-node:a386a900-14d8-5095-b786-b3cb6aa402c3</x:v>
      </x:c>
      <x:c r="C115" s="19" t="str">
        <x:v>REUSED_SAME_COMPONENT</x:v>
      </x:c>
      <x:c r="D115" s="19" t="str">
        <x:v>Single-line component confirmed by S12</x:v>
      </x:c>
      <x:c r="E115" s="19" t="str">
        <x:v>東北新幹線</x:v>
      </x:c>
      <x:c r="F115" s="19" t="str">
        <x:v>{"field":"N02_005c","id":"001177","source":"MLIT N02 2025"}
{"field":"N02_005g","id":"001177","source":"MLIT N02 2025"}</x:v>
      </x:c>
      <x:c r="G115" s="18"/>
      <x:c r="H115" s="19"/>
    </x:row>
    <x:row r="116" ht="33" customHeight="1">
      <x:c r="A116" s="18" t="str">
        <x:v>transport-node:a3c4af67-520b-551d-9be8-70d3d5ce1008</x:v>
      </x:c>
      <x:c r="B116" s="18" t="str">
        <x:v>transport-node:a3c4af67-520b-551d-9be8-70d3d5ce1008</x:v>
      </x:c>
      <x:c r="C116" s="19" t="str">
        <x:v>REUSED_SAME_COMPONENT</x:v>
      </x:c>
      <x:c r="D116" s="19" t="str">
        <x:v>Single-line component confirmed by S12</x:v>
      </x:c>
      <x:c r="E116" s="19" t="str">
        <x:v>東海道新幹線</x:v>
      </x:c>
      <x:c r="F116" s="19" t="str">
        <x:v>{"field":"N02_005c","id":"005217","source":"MLIT N02 2025"}
{"field":"N02_005g","id":"005215","source":"MLIT N02 2025"}</x:v>
      </x:c>
      <x:c r="G116" s="18"/>
      <x:c r="H116" s="19"/>
    </x:row>
    <x:row r="117" ht="33" customHeight="1">
      <x:c r="A117" s="18" t="str">
        <x:v>transport-node:a53c148e-93e6-5d4a-827c-efdefe3b770f</x:v>
      </x:c>
      <x:c r="B117" s="18" t="str">
        <x:v>transport-node:a53c148e-93e6-5d4a-827c-efdefe3b770f</x:v>
      </x:c>
      <x:c r="C117" s="19" t="str">
        <x:v>REUSED_SAME_COMPONENT</x:v>
      </x:c>
      <x:c r="D117" s="19" t="str">
        <x:v>Single-line component confirmed by S12</x:v>
      </x:c>
      <x:c r="E117" s="19" t="str">
        <x:v>山陽新幹線</x:v>
      </x:c>
      <x:c r="F117" s="19" t="str">
        <x:v>{"field":"N02_005c","id":"007969","source":"MLIT N02 2025"}
{"field":"N02_005g","id":"007969","source":"MLIT N02 2025"}</x:v>
      </x:c>
      <x:c r="G117" s="18"/>
      <x:c r="H117" s="19"/>
    </x:row>
    <x:row r="118" ht="33" customHeight="1">
      <x:c r="A118" s="18" t="str">
        <x:v>transport-node:a5a535f3-e9a8-565e-9efe-ea70928ad8ef</x:v>
      </x:c>
      <x:c r="B118" s="18" t="str">
        <x:v>transport-node:a5a535f3-e9a8-565e-9efe-ea70928ad8ef</x:v>
      </x:c>
      <x:c r="C118" s="19" t="str">
        <x:v>REUSED_SAME_COMPONENT</x:v>
      </x:c>
      <x:c r="D118" s="19" t="str">
        <x:v>Single-line component confirmed by S12</x:v>
      </x:c>
      <x:c r="E118" s="19" t="str">
        <x:v>東海道新幹線</x:v>
      </x:c>
      <x:c r="F118" s="19" t="str">
        <x:v>{"field":"N02_005c","id":"006912","source":"MLIT N02 2025"}
{"field":"N02_005g","id":"006911","source":"MLIT N02 2025"}</x:v>
      </x:c>
      <x:c r="G118" s="18"/>
      <x:c r="H118" s="19"/>
    </x:row>
    <x:row r="119" ht="33" customHeight="1">
      <x:c r="A119" s="18" t="str">
        <x:v>transport-node:a5c4b3e4-97b2-5039-b78d-4c1a7fe299ee</x:v>
      </x:c>
      <x:c r="B119" s="18" t="str">
        <x:v>transport-node:a5c4b3e4-97b2-5039-b78d-4c1a7fe299ee</x:v>
      </x:c>
      <x:c r="C119" s="19" t="str">
        <x:v>REUSED_SAME_COMPONENT</x:v>
      </x:c>
      <x:c r="D119" s="19" t="str">
        <x:v>Single-line component confirmed by S12</x:v>
      </x:c>
      <x:c r="E119" s="19" t="str">
        <x:v>九州新幹線</x:v>
      </x:c>
      <x:c r="F119" s="19" t="str">
        <x:v>{"field":"N02_005c","id":"009385","source":"MLIT N02 2025"}
{"field":"N02_005g","id":"009383","source":"MLIT N02 2025"}</x:v>
      </x:c>
      <x:c r="G119" s="18"/>
      <x:c r="H119" s="19"/>
    </x:row>
    <x:row r="120" ht="33" customHeight="1">
      <x:c r="A120" s="18" t="str">
        <x:v>transport-node:a67b18bf-b56e-5bbb-8fe8-f61a58ac8107</x:v>
      </x:c>
      <x:c r="B120" s="18" t="str">
        <x:v>transport-node:a67b18bf-b56e-5bbb-8fe8-f61a58ac8107</x:v>
      </x:c>
      <x:c r="C120" s="19" t="str">
        <x:v>REUSED_SAME_COMPONENT</x:v>
      </x:c>
      <x:c r="D120" s="19" t="str">
        <x:v>Single-line component confirmed by S12</x:v>
      </x:c>
      <x:c r="E120" s="19" t="str">
        <x:v>IRいしかわ鉄道線</x:v>
      </x:c>
      <x:c r="F120" s="19" t="str">
        <x:v>{"field":"N02_005c","id":"002093","source":"MLIT N02 2025"}
{"field":"N02_005g","id":"002093","source":"MLIT N02 2025"}</x:v>
      </x:c>
      <x:c r="G120" s="18"/>
      <x:c r="H120" s="19"/>
    </x:row>
    <x:row r="121" ht="33" customHeight="1">
      <x:c r="A121" s="18" t="str">
        <x:v>transport-node:a7107f6f-1205-533e-9eb7-67efd5132c9f</x:v>
      </x:c>
      <x:c r="B121" s="18" t="str">
        <x:v>transport-node:e8bfd7db-1615-51b8-a9fa-0de3cf7a861a</x:v>
      </x:c>
      <x:c r="C121" s="19" t="str">
        <x:v>SUPERSEDED_BY</x:v>
      </x:c>
      <x:c r="D121" s="19" t="str">
        <x:v>V1 line feature superseded by operator/station/mode component</x:v>
      </x:c>
      <x:c r="E121" s="19" t="str">
        <x:v>鹿児島線</x:v>
      </x:c>
      <x:c r="F121" s="19" t="str">
        <x:v>{"field":"N02_005c","id":"009785","source":"MLIT N02 2025"}
{"field":"N02_005g","id":"009785","source":"MLIT N02 2025"}</x:v>
      </x:c>
      <x:c r="G121" s="18"/>
      <x:c r="H121" s="19"/>
    </x:row>
    <x:row r="122" ht="33" customHeight="1">
      <x:c r="A122" s="18" t="str">
        <x:v>transport-node:a7a61696-f433-5114-905f-b39297b125b2</x:v>
      </x:c>
      <x:c r="B122" s="18" t="str">
        <x:v>transport-node:a7a61696-f433-5114-905f-b39297b125b2</x:v>
      </x:c>
      <x:c r="C122" s="19" t="str">
        <x:v>REUSED_SAME_COMPONENT</x:v>
      </x:c>
      <x:c r="D122" s="19" t="str">
        <x:v>Single-line component confirmed by S12</x:v>
      </x:c>
      <x:c r="E122" s="19" t="str">
        <x:v>東北新幹線</x:v>
      </x:c>
      <x:c r="F122" s="19" t="str">
        <x:v>{"field":"N02_005c","id":"000669","source":"MLIT N02 2025"}
{"field":"N02_005g","id":"000668","source":"MLIT N02 2025"}</x:v>
      </x:c>
      <x:c r="G122" s="18"/>
      <x:c r="H122" s="19"/>
    </x:row>
    <x:row r="123" ht="33" customHeight="1">
      <x:c r="A123" s="18" t="str">
        <x:v>transport-node:a80a45bc-599a-5817-9a0e-649faf53b4c4</x:v>
      </x:c>
      <x:c r="B123" s="18" t="str">
        <x:v>transport-node:8d41d891-17f0-514f-b0af-ccc7624f8570</x:v>
      </x:c>
      <x:c r="C123" s="19" t="str">
        <x:v>SUPERSEDED_BY</x:v>
      </x:c>
      <x:c r="D123" s="19" t="str">
        <x:v>V1 line feature superseded by operator/station/mode component</x:v>
      </x:c>
      <x:c r="E123" s="19" t="str">
        <x:v>桜井線</x:v>
      </x:c>
      <x:c r="F123" s="19" t="str">
        <x:v>{"field":"N02_005c","id":"007211","source":"MLIT N02 2025"}
{"field":"N02_005g","id":"007210","source":"MLIT N02 2025"}</x:v>
      </x:c>
      <x:c r="G123" s="18"/>
      <x:c r="H123" s="19"/>
    </x:row>
    <x:row r="124" ht="33" customHeight="1">
      <x:c r="A124" s="18" t="str">
        <x:v>transport-node:a8bc32ee-fba6-5ac8-a499-2d8e64d9acb1</x:v>
      </x:c>
      <x:c r="B124" s="18" t="str">
        <x:v>transport-node:a8bc32ee-fba6-5ac8-a499-2d8e64d9acb1</x:v>
      </x:c>
      <x:c r="C124" s="19" t="str">
        <x:v>REUSED_SAME_COMPONENT</x:v>
      </x:c>
      <x:c r="D124" s="19" t="str">
        <x:v>Single-line component confirmed by S12</x:v>
      </x:c>
      <x:c r="E124" s="19" t="str">
        <x:v>北陸新幹線</x:v>
      </x:c>
      <x:c r="F124" s="19" t="str">
        <x:v>{"field":"N02_005c","id":"001644","source":"MLIT N02 2025"}
{"field":"N02_005g","id":"001643","source":"MLIT N02 2025"}</x:v>
      </x:c>
      <x:c r="G124" s="18"/>
      <x:c r="H124" s="19"/>
    </x:row>
    <x:row r="125" ht="33" customHeight="1">
      <x:c r="A125" s="18" t="str">
        <x:v>transport-node:a8d6b1d0-1306-5389-bcbe-bc23d834c791</x:v>
      </x:c>
      <x:c r="B125" s="18" t="str">
        <x:v>transport-node:a8d6b1d0-1306-5389-bcbe-bc23d834c791</x:v>
      </x:c>
      <x:c r="C125" s="19" t="str">
        <x:v>REUSED_SAME_COMPONENT</x:v>
      </x:c>
      <x:c r="D125" s="19" t="str">
        <x:v>Single-line component confirmed by S12</x:v>
      </x:c>
      <x:c r="E125" s="19" t="str">
        <x:v>東海道新幹線</x:v>
      </x:c>
      <x:c r="F125" s="19" t="str">
        <x:v>{"field":"N02_005c","id":"005684","source":"MLIT N02 2025"}
{"field":"N02_005g","id":"005685","source":"MLIT N02 2025"}</x:v>
      </x:c>
      <x:c r="G125" s="18"/>
      <x:c r="H125" s="19"/>
    </x:row>
    <x:row r="126" ht="33" customHeight="1">
      <x:c r="A126" s="18" t="str">
        <x:v>transport-node:a98eee33-ebfd-5832-9ac6-fda8159ced18</x:v>
      </x:c>
      <x:c r="B126" s="18" t="str">
        <x:v>transport-node:a98eee33-ebfd-5832-9ac6-fda8159ced18</x:v>
      </x:c>
      <x:c r="C126" s="19" t="str">
        <x:v>REUSED_SAME_COMPONENT</x:v>
      </x:c>
      <x:c r="D126" s="19" t="str">
        <x:v>Single-line component confirmed by S12</x:v>
      </x:c>
      <x:c r="E126" s="19" t="str">
        <x:v>九州新幹線</x:v>
      </x:c>
      <x:c r="F126" s="19" t="str">
        <x:v>{"field":"N02_005c","id":"009986","source":"MLIT N02 2025"}
{"field":"N02_005g","id":"009984","source":"MLIT N02 2025"}</x:v>
      </x:c>
      <x:c r="G126" s="18"/>
      <x:c r="H126" s="19"/>
    </x:row>
    <x:row r="127" ht="33" customHeight="1">
      <x:c r="A127" s="18" t="str">
        <x:v>transport-node:aa90bd55-084b-5600-aefd-6ec791fd28e3</x:v>
      </x:c>
      <x:c r="B127" s="18" t="str">
        <x:v>transport-node:aa90bd55-084b-5600-aefd-6ec791fd28e3</x:v>
      </x:c>
      <x:c r="C127" s="19" t="str">
        <x:v>REUSED_SAME_COMPONENT</x:v>
      </x:c>
      <x:c r="D127" s="19" t="str">
        <x:v>Single-line component confirmed by S12</x:v>
      </x:c>
      <x:c r="E127" s="19" t="str">
        <x:v>山陽新幹線</x:v>
      </x:c>
      <x:c r="F127" s="19" t="str">
        <x:v>{"field":"N02_005c","id":"006552","source":"MLIT N02 2025"}
{"field":"N02_005g","id":"006554","source":"MLIT N02 2025"}</x:v>
      </x:c>
      <x:c r="G127" s="18"/>
      <x:c r="H127" s="19"/>
    </x:row>
    <x:row r="128" ht="33" customHeight="1">
      <x:c r="A128" s="18" t="str">
        <x:v>transport-node:ac02da15-3621-58cb-aa0a-18898e72bf37</x:v>
      </x:c>
      <x:c r="B128" s="18" t="str">
        <x:v>transport-node:ac02da15-3621-58cb-aa0a-18898e72bf37</x:v>
      </x:c>
      <x:c r="C128" s="19" t="str">
        <x:v>REUSED_SAME_COMPONENT</x:v>
      </x:c>
      <x:c r="D128" s="19" t="str">
        <x:v>Single-line component confirmed by S12</x:v>
      </x:c>
      <x:c r="E128" s="19" t="str">
        <x:v>東北新幹線</x:v>
      </x:c>
      <x:c r="F128" s="19" t="str">
        <x:v>{"field":"N02_005c","id":"000733","source":"MLIT N02 2025"}
{"field":"N02_005g","id":"000733","source":"MLIT N02 2025"}</x:v>
      </x:c>
      <x:c r="G128" s="18"/>
      <x:c r="H128" s="19"/>
    </x:row>
    <x:row r="129" ht="33" customHeight="1">
      <x:c r="A129" s="18" t="str">
        <x:v>transport-node:ac036c4a-679b-50c7-9b36-53eed32aff4b</x:v>
      </x:c>
      <x:c r="B129" s="18" t="str">
        <x:v>transport-node:ac036c4a-679b-50c7-9b36-53eed32aff4b</x:v>
      </x:c>
      <x:c r="C129" s="19" t="str">
        <x:v>REUSED_SAME_COMPONENT</x:v>
      </x:c>
      <x:c r="D129" s="19" t="str">
        <x:v>Single-line component confirmed by S12</x:v>
      </x:c>
      <x:c r="E129" s="19" t="str">
        <x:v>東北新幹線</x:v>
      </x:c>
      <x:c r="F129" s="19" t="str">
        <x:v>{"field":"N02_005c","id":"001272","source":"MLIT N02 2025"}
{"field":"N02_005g","id":"001272","source":"MLIT N02 2025"}</x:v>
      </x:c>
      <x:c r="G129" s="18"/>
      <x:c r="H129" s="19"/>
    </x:row>
    <x:row r="130" ht="33" customHeight="1">
      <x:c r="A130" s="18" t="str">
        <x:v>transport-node:af5ceb52-306d-558a-8eb8-3e1a9a351952</x:v>
      </x:c>
      <x:c r="B130" s="18" t="str">
        <x:v>transport-node:af5ceb52-306d-558a-8eb8-3e1a9a351952</x:v>
      </x:c>
      <x:c r="C130" s="19" t="str">
        <x:v>REUSED_SAME_COMPONENT</x:v>
      </x:c>
      <x:c r="D130" s="19" t="str">
        <x:v>Single-line component confirmed by S12</x:v>
      </x:c>
      <x:c r="E130" s="19" t="str">
        <x:v>山手線</x:v>
      </x:c>
      <x:c r="F130" s="19" t="str">
        <x:v>{"field":"N02_005c","id":"003932","source":"MLIT N02 2025"}
{"field":"N02_005g","id":"003922","source":"MLIT N02 2025"}</x:v>
      </x:c>
      <x:c r="G130" s="18"/>
      <x:c r="H130" s="19"/>
    </x:row>
    <x:row r="131" ht="33" customHeight="1">
      <x:c r="A131" s="18" t="str">
        <x:v>transport-node:b2b72d1c-e577-5460-a224-3edcedbe0b79</x:v>
      </x:c>
      <x:c r="B131" s="18" t="str">
        <x:v>transport-node:b2b72d1c-e577-5460-a224-3edcedbe0b79</x:v>
      </x:c>
      <x:c r="C131" s="19" t="str">
        <x:v>REUSED_SAME_COMPONENT</x:v>
      </x:c>
      <x:c r="D131" s="19" t="str">
        <x:v>Single-line component confirmed by S12</x:v>
      </x:c>
      <x:c r="E131" s="19" t="str">
        <x:v>東海道新幹線</x:v>
      </x:c>
      <x:c r="F131" s="19" t="str">
        <x:v>{"field":"N02_005c","id":"007060","source":"MLIT N02 2025"}
{"field":"N02_005g","id":"007059","source":"MLIT N02 2025"}</x:v>
      </x:c>
      <x:c r="G131" s="18"/>
      <x:c r="H131" s="19"/>
    </x:row>
    <x:row r="132" ht="33" customHeight="1">
      <x:c r="A132" s="18" t="str">
        <x:v>transport-node:b2b74578-98e7-591d-a357-5b4aa82ade61</x:v>
      </x:c>
      <x:c r="B132" s="18" t="str">
        <x:v>transport-node:b2b74578-98e7-591d-a357-5b4aa82ade61</x:v>
      </x:c>
      <x:c r="C132" s="19" t="str">
        <x:v>REUSED_SAME_COMPONENT</x:v>
      </x:c>
      <x:c r="D132" s="19" t="str">
        <x:v>Single-line component confirmed by S12</x:v>
      </x:c>
      <x:c r="E132" s="19" t="str">
        <x:v>九州新幹線</x:v>
      </x:c>
      <x:c r="F132" s="19" t="str">
        <x:v>{"field":"N02_005c","id":"009919","source":"MLIT N02 2025"}
{"field":"N02_005g","id":"009918","source":"MLIT N02 2025"}</x:v>
      </x:c>
      <x:c r="G132" s="18"/>
      <x:c r="H132" s="19"/>
    </x:row>
    <x:row r="133" ht="33" customHeight="1">
      <x:c r="A133" s="18" t="str">
        <x:v>transport-node:b6540568-67c5-5f51-b4b9-c369402f2f82</x:v>
      </x:c>
      <x:c r="B133" s="18" t="str">
        <x:v>transport-node:b6540568-67c5-5f51-b4b9-c369402f2f82</x:v>
      </x:c>
      <x:c r="C133" s="19" t="str">
        <x:v>REUSED_SAME_COMPONENT</x:v>
      </x:c>
      <x:c r="D133" s="19" t="str">
        <x:v>Single-line component confirmed by S12</x:v>
      </x:c>
      <x:c r="E133" s="19" t="str">
        <x:v>北陸新幹線</x:v>
      </x:c>
      <x:c r="F133" s="19" t="str">
        <x:v>{"field":"N02_005c","id":"001643","source":"MLIT N02 2025"}
{"field":"N02_005g","id":"001643","source":"MLIT N02 2025"}</x:v>
      </x:c>
      <x:c r="G133" s="18"/>
      <x:c r="H133" s="19"/>
    </x:row>
    <x:row r="134" ht="33" customHeight="1">
      <x:c r="A134" s="18" t="str">
        <x:v>transport-node:b7306bf9-f9eb-503f-af9f-696a1b63f2b5</x:v>
      </x:c>
      <x:c r="B134" s="18" t="str">
        <x:v>transport-node:f5e5010a-739c-5c0c-bfd6-3449c94b23db</x:v>
      </x:c>
      <x:c r="C134" s="19" t="str">
        <x:v>SUPERSEDED_BY</x:v>
      </x:c>
      <x:c r="D134" s="19" t="str">
        <x:v>V1 line feature superseded by operator/station/mode component</x:v>
      </x:c>
      <x:c r="E134" s="19" t="str">
        <x:v>東北線</x:v>
      </x:c>
      <x:c r="F134" s="19" t="str">
        <x:v>{"field":"N02_005c","id":"003766","source":"MLIT N02 2025"}
{"field":"N02_005g","id":"003766","source":"MLIT N02 2025"}</x:v>
      </x:c>
      <x:c r="G134" s="18"/>
      <x:c r="H134" s="19"/>
    </x:row>
    <x:row r="135" ht="33" customHeight="1">
      <x:c r="A135" s="18" t="str">
        <x:v>transport-node:b88f02e4-7d1d-5bcf-a3c3-22c92b807027</x:v>
      </x:c>
      <x:c r="B135" s="18" t="str">
        <x:v>transport-node:b88f02e4-7d1d-5bcf-a3c3-22c92b807027</x:v>
      </x:c>
      <x:c r="C135" s="19" t="str">
        <x:v>REUSED_SAME_COMPONENT</x:v>
      </x:c>
      <x:c r="D135" s="19" t="str">
        <x:v>Single-line component confirmed by S12</x:v>
      </x:c>
      <x:c r="E135" s="19" t="str">
        <x:v>東海道新幹線</x:v>
      </x:c>
      <x:c r="F135" s="19" t="str">
        <x:v>{"field":"N02_005c","id":"006129","source":"MLIT N02 2025"}
{"field":"N02_005g","id":"006128","source":"MLIT N02 2025"}</x:v>
      </x:c>
      <x:c r="G135" s="18"/>
      <x:c r="H135" s="19"/>
    </x:row>
    <x:row r="136" ht="33" customHeight="1">
      <x:c r="A136" s="18" t="str">
        <x:v>transport-node:ba06e213-c876-5300-ab62-9937212a5045</x:v>
      </x:c>
      <x:c r="B136" s="18" t="str">
        <x:v>transport-node:ba06e213-c876-5300-ab62-9937212a5045</x:v>
      </x:c>
      <x:c r="C136" s="19" t="str">
        <x:v>REUSED_SAME_COMPONENT</x:v>
      </x:c>
      <x:c r="D136" s="19" t="str">
        <x:v>Single-line component confirmed by S12</x:v>
      </x:c>
      <x:c r="E136" s="19" t="str">
        <x:v>東北新幹線</x:v>
      </x:c>
      <x:c r="F136" s="19" t="str">
        <x:v>{"field":"N02_005c","id":"003769","source":"MLIT N02 2025"}
{"field":"N02_005g","id":"003766","source":"MLIT N02 2025"}</x:v>
      </x:c>
      <x:c r="G136" s="18"/>
      <x:c r="H136" s="19"/>
    </x:row>
    <x:row r="137" ht="33" customHeight="1">
      <x:c r="A137" s="18" t="str">
        <x:v>transport-node:bb3a8e23-c2d1-552b-8d08-a3c8fe7834be</x:v>
      </x:c>
      <x:c r="B137" s="18" t="str">
        <x:v>transport-node:bb3a8e23-c2d1-552b-8d08-a3c8fe7834be</x:v>
      </x:c>
      <x:c r="C137" s="19" t="str">
        <x:v>REUSED_SAME_COMPONENT</x:v>
      </x:c>
      <x:c r="D137" s="19" t="str">
        <x:v>Single-line component confirmed by S12</x:v>
      </x:c>
      <x:c r="E137" s="19" t="str">
        <x:v>東北新幹線</x:v>
      </x:c>
      <x:c r="F137" s="19" t="str">
        <x:v>{"field":"N02_005c","id":"000942","source":"MLIT N02 2025"}
{"field":"N02_005g","id":"000942","source":"MLIT N02 2025"}</x:v>
      </x:c>
      <x:c r="G137" s="18"/>
      <x:c r="H137" s="19"/>
    </x:row>
    <x:row r="138" ht="33" customHeight="1">
      <x:c r="A138" s="18" t="str">
        <x:v>transport-node:bb8c16d0-3d3e-5e9c-9fd3-5ff933a50c60</x:v>
      </x:c>
      <x:c r="B138" s="18" t="str">
        <x:v>transport-node:bb8c16d0-3d3e-5e9c-9fd3-5ff933a50c60</x:v>
      </x:c>
      <x:c r="C138" s="19" t="str">
        <x:v>REUSED_SAME_COMPONENT</x:v>
      </x:c>
      <x:c r="D138" s="19" t="str">
        <x:v>Single-line component confirmed by S12</x:v>
      </x:c>
      <x:c r="E138" s="19" t="str">
        <x:v>山陽新幹線</x:v>
      </x:c>
      <x:c r="F138" s="19" t="str">
        <x:v>{"field":"N02_005c","id":"006511","source":"MLIT N02 2025"}
{"field":"N02_005g","id":"006509","source":"MLIT N02 2025"}</x:v>
      </x:c>
      <x:c r="G138" s="18"/>
      <x:c r="H138" s="19"/>
    </x:row>
    <x:row r="139" ht="33" customHeight="1">
      <x:c r="A139" s="18" t="str">
        <x:v>transport-node:bf8574b1-090e-5801-943c-d7421077b94f</x:v>
      </x:c>
      <x:c r="B139" s="18" t="str">
        <x:v>transport-node:966ea408-4a7f-5295-b2a9-5b5f523971b0</x:v>
      </x:c>
      <x:c r="C139" s="19" t="str">
        <x:v>SUPERSEDED_BY</x:v>
      </x:c>
      <x:c r="D139" s="19" t="str">
        <x:v>V1 line feature superseded by operator/station/mode component</x:v>
      </x:c>
      <x:c r="E139" s="19" t="str">
        <x:v>東海道線</x:v>
      </x:c>
      <x:c r="F139" s="19" t="str">
        <x:v>{"field":"N02_005c","id":"006077","source":"MLIT N02 2025"}
{"field":"N02_005g","id":"006079","source":"MLIT N02 2025"}</x:v>
      </x:c>
      <x:c r="G139" s="18"/>
      <x:c r="H139" s="19"/>
    </x:row>
    <x:row r="140" ht="33" customHeight="1">
      <x:c r="A140" s="18" t="str">
        <x:v>transport-node:bfffffd3-3663-529d-bea1-1dca16f7ff20</x:v>
      </x:c>
      <x:c r="B140" s="18" t="str">
        <x:v>transport-node:bfffffd3-3663-529d-bea1-1dca16f7ff20</x:v>
      </x:c>
      <x:c r="C140" s="19" t="str">
        <x:v>REUSED_SAME_COMPONENT</x:v>
      </x:c>
      <x:c r="D140" s="19" t="str">
        <x:v>Single-line component confirmed by S12</x:v>
      </x:c>
      <x:c r="E140" s="19" t="str">
        <x:v>池袋線</x:v>
      </x:c>
      <x:c r="F140" s="19" t="str">
        <x:v>{"field":"N02_005c","id":"003418","source":"MLIT N02 2025"}
{"field":"N02_005g","id":"003390","source":"MLIT N02 2025"}</x:v>
      </x:c>
      <x:c r="G140" s="18"/>
      <x:c r="H140" s="19"/>
    </x:row>
    <x:row r="141" ht="33" customHeight="1">
      <x:c r="A141" s="18" t="str">
        <x:v>transport-node:c11c5d6d-2184-5eb6-b48d-3ba65760ea5c</x:v>
      </x:c>
      <x:c r="B141" s="18" t="str">
        <x:v>transport-node:c11c5d6d-2184-5eb6-b48d-3ba65760ea5c</x:v>
      </x:c>
      <x:c r="C141" s="19" t="str">
        <x:v>REUSED_SAME_COMPONENT</x:v>
      </x:c>
      <x:c r="D141" s="19" t="str">
        <x:v>Single-line component confirmed by S12</x:v>
      </x:c>
      <x:c r="E141" s="19" t="str">
        <x:v>上越新幹線</x:v>
      </x:c>
      <x:c r="F141" s="19" t="str">
        <x:v>{"field":"N02_005c","id":"002525","source":"MLIT N02 2025"}
{"field":"N02_005g","id":"002525","source":"MLIT N02 2025"}</x:v>
      </x:c>
      <x:c r="G141" s="18"/>
      <x:c r="H141" s="19"/>
    </x:row>
    <x:row r="142" ht="33" customHeight="1">
      <x:c r="A142" s="18" t="str">
        <x:v>transport-node:c442566a-4e17-5db5-a153-ea92231c423d</x:v>
      </x:c>
      <x:c r="B142" s="18" t="str">
        <x:v>transport-node:c442566a-4e17-5db5-a153-ea92231c423d</x:v>
      </x:c>
      <x:c r="C142" s="19" t="str">
        <x:v>REUSED_SAME_COMPONENT</x:v>
      </x:c>
      <x:c r="D142" s="19" t="str">
        <x:v>Single-line component confirmed by S12</x:v>
      </x:c>
      <x:c r="E142" s="19" t="str">
        <x:v>東海道線</x:v>
      </x:c>
      <x:c r="F142" s="19" t="str">
        <x:v>{"field":"N02_005c","id":"007105","source":"MLIT N02 2025"}
{"field":"N02_005g","id":"007105","source":"MLIT N02 2025"}</x:v>
      </x:c>
      <x:c r="G142" s="18"/>
      <x:c r="H142" s="19"/>
    </x:row>
    <x:row r="143" ht="33" customHeight="1">
      <x:c r="A143" s="18" t="str">
        <x:v>transport-node:c631ffd1-cee5-56ff-b877-b08f778f228b</x:v>
      </x:c>
      <x:c r="B143" s="18" t="str">
        <x:v>transport-node:997afcf7-4090-5964-9521-28a6256b6c58</x:v>
      </x:c>
      <x:c r="C143" s="19" t="str">
        <x:v>SUPERSEDED_BY</x:v>
      </x:c>
      <x:c r="D143" s="19" t="str">
        <x:v>V1 line feature superseded by operator/station/mode component</x:v>
      </x:c>
      <x:c r="E143" s="19" t="str">
        <x:v>13号線副都心線</x:v>
      </x:c>
      <x:c r="F143" s="19" t="str">
        <x:v>{"field":"N02_005c","id":"003925","source":"MLIT N02 2025"}
{"field":"N02_005g","id":"003922","source":"MLIT N02 2025"}</x:v>
      </x:c>
      <x:c r="G143" s="18"/>
      <x:c r="H143" s="19"/>
    </x:row>
    <x:row r="144" ht="33" customHeight="1">
      <x:c r="A144" s="18" t="str">
        <x:v>transport-node:c6b9ae7b-aa06-5502-b1b5-ee0e086735bd</x:v>
      </x:c>
      <x:c r="B144" s="18" t="str">
        <x:v>transport-node:4ca02af6-f068-57dd-ae7a-24f409143d60</x:v>
      </x:c>
      <x:c r="C144" s="19" t="str">
        <x:v>SUPERSEDED_BY</x:v>
      </x:c>
      <x:c r="D144" s="19" t="str">
        <x:v>V1 line feature superseded by operator/station/mode component</x:v>
      </x:c>
      <x:c r="E144" s="19" t="str">
        <x:v>8号線有楽町線</x:v>
      </x:c>
      <x:c r="F144" s="19" t="str">
        <x:v>{"field":"N02_005c","id":"003400","source":"MLIT N02 2025"}
{"field":"N02_005g","id":"003390","source":"MLIT N02 2025"}</x:v>
      </x:c>
      <x:c r="G144" s="18" t="str">
        <x:v>transport-node:686ab245-2616-5ebc-b8ed-a371815cfe18</x:v>
      </x:c>
      <x:c r="H144" s="19" t="str">
        <x:v>池袋_EXPLICIT_STATION_COMPONENT_20260930</x:v>
      </x:c>
    </x:row>
    <x:row r="145" ht="33" customHeight="1">
      <x:c r="A145" s="18" t="str">
        <x:v>transport-node:c73bc1e1-64f1-546d-8442-9649aa9dd473</x:v>
      </x:c>
      <x:c r="B145" s="18" t="str">
        <x:v>transport-node:c73bc1e1-64f1-546d-8442-9649aa9dd473</x:v>
      </x:c>
      <x:c r="C145" s="19" t="str">
        <x:v>REUSED_SAME_COMPONENT</x:v>
      </x:c>
      <x:c r="D145" s="19" t="str">
        <x:v>Single-line component confirmed by S12</x:v>
      </x:c>
      <x:c r="E145" s="19" t="str">
        <x:v>山陽新幹線</x:v>
      </x:c>
      <x:c r="F145" s="19" t="str">
        <x:v>{"field":"N02_005c","id":"008577","source":"MLIT N02 2025"}
{"field":"N02_005g","id":"008577","source":"MLIT N02 2025"}</x:v>
      </x:c>
      <x:c r="G145" s="18"/>
      <x:c r="H145" s="19"/>
    </x:row>
    <x:row r="146" ht="33" customHeight="1">
      <x:c r="A146" s="18" t="str">
        <x:v>transport-node:ca31fbf7-3c8e-5caf-9842-5633173b9023</x:v>
      </x:c>
      <x:c r="B146" s="18" t="str">
        <x:v>transport-node:ca31fbf7-3c8e-5caf-9842-5633173b9023</x:v>
      </x:c>
      <x:c r="C146" s="19" t="str">
        <x:v>REUSED_SAME_COMPONENT</x:v>
      </x:c>
      <x:c r="D146" s="19" t="str">
        <x:v>Single-line component confirmed by S12</x:v>
      </x:c>
      <x:c r="E146" s="19" t="str">
        <x:v>西九州新幹線</x:v>
      </x:c>
      <x:c r="F146" s="19" t="str">
        <x:v>{"field":"N02_005c","id":"009694","source":"MLIT N02 2025"}
{"field":"N02_005g","id":"009695","source":"MLIT N02 2025"}</x:v>
      </x:c>
      <x:c r="G146" s="18"/>
      <x:c r="H146" s="19"/>
    </x:row>
    <x:row r="147" ht="33" customHeight="1">
      <x:c r="A147" s="18" t="str">
        <x:v>transport-node:cd471872-e3b0-5bc4-b358-ddce8bfeacd2</x:v>
      </x:c>
      <x:c r="B147" s="18" t="str">
        <x:v>transport-node:cd471872-e3b0-5bc4-b358-ddce8bfeacd2</x:v>
      </x:c>
      <x:c r="C147" s="19" t="str">
        <x:v>REUSED_SAME_COMPONENT</x:v>
      </x:c>
      <x:c r="D147" s="19" t="str">
        <x:v>Single-line component confirmed by S12</x:v>
      </x:c>
      <x:c r="E147" s="19" t="str">
        <x:v>九州新幹線</x:v>
      </x:c>
      <x:c r="F147" s="19" t="str">
        <x:v>{"field":"N02_005c","id":"009638","source":"MLIT N02 2025"}
{"field":"N02_005g","id":"009638","source":"MLIT N02 2025"}</x:v>
      </x:c>
      <x:c r="G147" s="18"/>
      <x:c r="H147" s="19"/>
    </x:row>
    <x:row r="148" ht="33" customHeight="1">
      <x:c r="A148" s="18" t="str">
        <x:v>transport-node:ceff2291-3bca-5453-acf3-b3616c6dee42</x:v>
      </x:c>
      <x:c r="B148" s="18" t="str">
        <x:v>transport-node:ceff2291-3bca-5453-acf3-b3616c6dee42</x:v>
      </x:c>
      <x:c r="C148" s="19" t="str">
        <x:v>REUSED_SAME_COMPONENT</x:v>
      </x:c>
      <x:c r="D148" s="19" t="str">
        <x:v>Single-line component confirmed by S12</x:v>
      </x:c>
      <x:c r="E148" s="19" t="str">
        <x:v>九州新幹線</x:v>
      </x:c>
      <x:c r="F148" s="19" t="str">
        <x:v>{"field":"N02_005c","id":"009870","source":"MLIT N02 2025"}
{"field":"N02_005g","id":"009869","source":"MLIT N02 2025"}</x:v>
      </x:c>
      <x:c r="G148" s="18"/>
      <x:c r="H148" s="19"/>
    </x:row>
    <x:row r="149" ht="33" customHeight="1">
      <x:c r="A149" s="18" t="str">
        <x:v>transport-node:d193fd5b-ae9e-5518-9f94-0610885e79fa</x:v>
      </x:c>
      <x:c r="B149" s="18" t="str">
        <x:v>transport-node:d193fd5b-ae9e-5518-9f94-0610885e79fa</x:v>
      </x:c>
      <x:c r="C149" s="19" t="str">
        <x:v>REUSED_SAME_COMPONENT</x:v>
      </x:c>
      <x:c r="D149" s="19" t="str">
        <x:v>Single-line component confirmed by S12</x:v>
      </x:c>
      <x:c r="E149" s="19" t="str">
        <x:v>北陸新幹線</x:v>
      </x:c>
      <x:c r="F149" s="19" t="str">
        <x:v>{"field":"N02_005c","id":"010181","source":"MLIT N02 2025"}
{"field":"N02_005g","id":"010186","source":"MLIT N02 2025"}</x:v>
      </x:c>
      <x:c r="G149" s="18"/>
      <x:c r="H149" s="19"/>
    </x:row>
    <x:row r="150" ht="33" customHeight="1">
      <x:c r="A150" s="18" t="str">
        <x:v>transport-node:d36d3208-3d50-522e-be5f-f83fcb70239b</x:v>
      </x:c>
      <x:c r="B150" s="18" t="str">
        <x:v>transport-node:d36d3208-3d50-522e-be5f-f83fcb70239b</x:v>
      </x:c>
      <x:c r="C150" s="19" t="str">
        <x:v>REUSED_SAME_COMPONENT</x:v>
      </x:c>
      <x:c r="D150" s="19" t="str">
        <x:v>Single-line component confirmed by S12</x:v>
      </x:c>
      <x:c r="E150" s="19" t="str">
        <x:v>山陽新幹線</x:v>
      </x:c>
      <x:c r="F150" s="19" t="str">
        <x:v>{"field":"N02_005c","id":"007039","source":"MLIT N02 2025"}
{"field":"N02_005g","id":"007054","source":"MLIT N02 2025"}</x:v>
      </x:c>
      <x:c r="G150" s="18"/>
      <x:c r="H150" s="19"/>
    </x:row>
    <x:row r="151" ht="33" customHeight="1">
      <x:c r="A151" s="18" t="str">
        <x:v>transport-node:d714517e-a2d4-5e75-8197-6cfa2d46e2b4</x:v>
      </x:c>
      <x:c r="B151" s="18" t="str">
        <x:v>transport-node:e8bfd7db-1615-51b8-a9fa-0de3cf7a861a</x:v>
      </x:c>
      <x:c r="C151" s="19" t="str">
        <x:v>SUPERSEDED_BY</x:v>
      </x:c>
      <x:c r="D151" s="19" t="str">
        <x:v>V1 line feature superseded by operator/station/mode component</x:v>
      </x:c>
      <x:c r="E151" s="19" t="str">
        <x:v>豊肥線</x:v>
      </x:c>
      <x:c r="F151" s="19" t="str">
        <x:v>{"field":"N02_005c","id":"009786","source":"MLIT N02 2025"}
{"field":"N02_005g","id":"009785","source":"MLIT N02 2025"}</x:v>
      </x:c>
      <x:c r="G151" s="18"/>
      <x:c r="H151" s="19"/>
    </x:row>
    <x:row r="152" ht="33" customHeight="1">
      <x:c r="A152" s="18" t="str">
        <x:v>transport-node:d7497207-3073-5803-b1a4-11f831c49463</x:v>
      </x:c>
      <x:c r="B152" s="18" t="str">
        <x:v>transport-node:d7497207-3073-5803-b1a4-11f831c49463</x:v>
      </x:c>
      <x:c r="C152" s="19" t="str">
        <x:v>REUSED_SAME_COMPONENT</x:v>
      </x:c>
      <x:c r="D152" s="19" t="str">
        <x:v>Single-line component confirmed by S12</x:v>
      </x:c>
      <x:c r="E152" s="19" t="str">
        <x:v>東海道新幹線</x:v>
      </x:c>
      <x:c r="F152" s="19" t="str">
        <x:v>{"field":"N02_005c","id":"006748","source":"MLIT N02 2025"}
{"field":"N02_005g","id":"006746","source":"MLIT N02 2025"}</x:v>
      </x:c>
      <x:c r="G152" s="18"/>
      <x:c r="H152" s="19"/>
    </x:row>
    <x:row r="153" ht="33" customHeight="1">
      <x:c r="A153" s="18" t="str">
        <x:v>transport-node:d85e1430-bb41-58ff-a06a-cbadc413364d</x:v>
      </x:c>
      <x:c r="B153" s="18" t="str">
        <x:v>transport-node:d85e1430-bb41-58ff-a06a-cbadc413364d</x:v>
      </x:c>
      <x:c r="C153" s="19" t="str">
        <x:v>REUSED_SAME_COMPONENT</x:v>
      </x:c>
      <x:c r="D153" s="19" t="str">
        <x:v>Single-line component confirmed by S12</x:v>
      </x:c>
      <x:c r="E153" s="19" t="str">
        <x:v>山陽新幹線</x:v>
      </x:c>
      <x:c r="F153" s="19" t="str">
        <x:v>{"field":"N02_005c","id":"007307","source":"MLIT N02 2025"}
{"field":"N02_005g","id":"007307","source":"MLIT N02 2025"}</x:v>
      </x:c>
      <x:c r="G153" s="18"/>
      <x:c r="H153" s="19"/>
    </x:row>
    <x:row r="154" ht="33" customHeight="1">
      <x:c r="A154" s="18" t="str">
        <x:v>transport-node:d94eae8c-8103-5000-aafb-a4bc7d4b1fc6</x:v>
      </x:c>
      <x:c r="B154" s="18" t="str">
        <x:v>transport-node:d94eae8c-8103-5000-aafb-a4bc7d4b1fc6</x:v>
      </x:c>
      <x:c r="C154" s="19" t="str">
        <x:v>REUSED_SAME_COMPONENT</x:v>
      </x:c>
      <x:c r="D154" s="19" t="str">
        <x:v>Single-line component confirmed by S12</x:v>
      </x:c>
      <x:c r="E154" s="19" t="str">
        <x:v>4号線丸ノ内線</x:v>
      </x:c>
      <x:c r="F154" s="19" t="str">
        <x:v>{"field":"N02_005c","id":"003758","source":"MLIT N02 2025"}
{"field":"N02_005g","id":"003766","source":"MLIT N02 2025"}</x:v>
      </x:c>
      <x:c r="G154" s="18"/>
      <x:c r="H154" s="19"/>
    </x:row>
    <x:row r="155" ht="33" customHeight="1">
      <x:c r="A155" s="18" t="str">
        <x:v>transport-node:d9652d10-5fb6-5e5b-9a19-398d9b339be5</x:v>
      </x:c>
      <x:c r="B155" s="18" t="str">
        <x:v>transport-node:b1098fbf-9cee-52bd-a880-7052f6131fbb</x:v>
      </x:c>
      <x:c r="C155" s="19" t="str">
        <x:v>SUPERSEDED_BY</x:v>
      </x:c>
      <x:c r="D155" s="19" t="str">
        <x:v>V1 line feature superseded by operator/station/mode component</x:v>
      </x:c>
      <x:c r="E155" s="19" t="str">
        <x:v>東海道線</x:v>
      </x:c>
      <x:c r="F155" s="19" t="str">
        <x:v>{"field":"N02_005c","id":"005448","source":"MLIT N02 2025"}
{"field":"N02_005g","id":"005451","source":"MLIT N02 2025"}</x:v>
      </x:c>
      <x:c r="G155" s="18"/>
      <x:c r="H155" s="19"/>
    </x:row>
    <x:row r="156" ht="33" customHeight="1">
      <x:c r="A156" s="18" t="str">
        <x:v>transport-node:dc3c27dd-aea2-5ad4-ad55-10698d06756d</x:v>
      </x:c>
      <x:c r="B156" s="18" t="str">
        <x:v>transport-node:dc3c27dd-aea2-5ad4-ad55-10698d06756d</x:v>
      </x:c>
      <x:c r="C156" s="19" t="str">
        <x:v>REUSED_SAME_COMPONENT</x:v>
      </x:c>
      <x:c r="D156" s="19" t="str">
        <x:v>Single-line component confirmed by S12</x:v>
      </x:c>
      <x:c r="E156" s="19" t="str">
        <x:v>東海道新幹線</x:v>
      </x:c>
      <x:c r="F156" s="19" t="str">
        <x:v>{"field":"N02_005c","id":"003768","source":"MLIT N02 2025"}
{"field":"N02_005g","id":"003766","source":"MLIT N02 2025"}</x:v>
      </x:c>
      <x:c r="G156" s="18"/>
      <x:c r="H156" s="19"/>
    </x:row>
    <x:row r="157" ht="33" customHeight="1">
      <x:c r="A157" s="18" t="str">
        <x:v>transport-node:dc923fdb-2dcd-5591-9017-912fdbaca9ec</x:v>
      </x:c>
      <x:c r="B157" s="18" t="str">
        <x:v>transport-node:dc923fdb-2dcd-5591-9017-912fdbaca9ec</x:v>
      </x:c>
      <x:c r="C157" s="19" t="str">
        <x:v>REUSED_SAME_COMPONENT</x:v>
      </x:c>
      <x:c r="D157" s="19" t="str">
        <x:v>Single-line component confirmed by S12</x:v>
      </x:c>
      <x:c r="E157" s="19" t="str">
        <x:v>山陽新幹線</x:v>
      </x:c>
      <x:c r="F157" s="19" t="str">
        <x:v>{"field":"N02_005c","id":"008479","source":"MLIT N02 2025"}
{"field":"N02_005g","id":"008476","source":"MLIT N02 2025"}</x:v>
      </x:c>
      <x:c r="G157" s="18"/>
      <x:c r="H157" s="19"/>
    </x:row>
    <x:row r="158" ht="33" customHeight="1">
      <x:c r="A158" s="18" t="str">
        <x:v>transport-node:ddd9c52c-3531-5ad0-93b1-d104df45204a</x:v>
      </x:c>
      <x:c r="B158" s="18" t="str">
        <x:v>transport-node:ddd9c52c-3531-5ad0-93b1-d104df45204a</x:v>
      </x:c>
      <x:c r="C158" s="19" t="str">
        <x:v>REUSED_SAME_COMPONENT</x:v>
      </x:c>
      <x:c r="D158" s="19" t="str">
        <x:v>Single-line component confirmed by S12</x:v>
      </x:c>
      <x:c r="E158" s="19" t="str">
        <x:v>東北新幹線</x:v>
      </x:c>
      <x:c r="F158" s="19" t="str">
        <x:v>{"field":"N02_005c","id":"000561","source":"MLIT N02 2025"}
{"field":"N02_005g","id":"000561","source":"MLIT N02 2025"}</x:v>
      </x:c>
      <x:c r="G158" s="18"/>
      <x:c r="H158" s="19"/>
    </x:row>
    <x:row r="159" ht="33" customHeight="1">
      <x:c r="A159" s="18" t="str">
        <x:v>transport-node:dff8fb86-945e-5e85-be39-264aa07b9064</x:v>
      </x:c>
      <x:c r="B159" s="18" t="str">
        <x:v>transport-node:dff8fb86-945e-5e85-be39-264aa07b9064</x:v>
      </x:c>
      <x:c r="C159" s="19" t="str">
        <x:v>REUSED_SAME_COMPONENT</x:v>
      </x:c>
      <x:c r="D159" s="19" t="str">
        <x:v>Single-line component confirmed by S12</x:v>
      </x:c>
      <x:c r="E159" s="19" t="str">
        <x:v>東海道新幹線</x:v>
      </x:c>
      <x:c r="F159" s="19" t="str">
        <x:v>{"field":"N02_005c","id":"006083","source":"MLIT N02 2025"}
{"field":"N02_005g","id":"006079","source":"MLIT N02 2025"}</x:v>
      </x:c>
      <x:c r="G159" s="18"/>
      <x:c r="H159" s="19"/>
    </x:row>
    <x:row r="160" ht="33" customHeight="1">
      <x:c r="A160" s="18" t="str">
        <x:v>transport-node:e080eaa8-222e-52cf-868c-eb4ab2213d91</x:v>
      </x:c>
      <x:c r="B160" s="18" t="str">
        <x:v>transport-node:e080eaa8-222e-52cf-868c-eb4ab2213d91</x:v>
      </x:c>
      <x:c r="C160" s="19" t="str">
        <x:v>REUSED_SAME_COMPONENT</x:v>
      </x:c>
      <x:c r="D160" s="19" t="str">
        <x:v>Single-line component confirmed by S12</x:v>
      </x:c>
      <x:c r="E160" s="19" t="str">
        <x:v>山陽新幹線</x:v>
      </x:c>
      <x:c r="F160" s="19" t="str">
        <x:v>{"field":"N02_005c","id":"006911","source":"MLIT N02 2025"}
{"field":"N02_005g","id":"006911","source":"MLIT N02 2025"}</x:v>
      </x:c>
      <x:c r="G160" s="18"/>
      <x:c r="H160" s="19"/>
    </x:row>
    <x:row r="161" ht="33" customHeight="1">
      <x:c r="A161" s="18" t="str">
        <x:v>transport-node:e09755d3-1220-5d7c-a252-a1f9109cc43b</x:v>
      </x:c>
      <x:c r="B161" s="18" t="str">
        <x:v>transport-node:e68658f5-4e44-5930-adde-4cf758ba7f0c</x:v>
      </x:c>
      <x:c r="C161" s="19" t="str">
        <x:v>SUPERSEDED_BY</x:v>
      </x:c>
      <x:c r="D161" s="19" t="str">
        <x:v>V1 line feature superseded by operator/station/mode component</x:v>
      </x:c>
      <x:c r="E161" s="19" t="str">
        <x:v>山手線</x:v>
      </x:c>
      <x:c r="F161" s="19" t="str">
        <x:v>{"field":"N02_005c","id":"003390","source":"MLIT N02 2025"}
{"field":"N02_005g","id":"003390","source":"MLIT N02 2025"}</x:v>
      </x:c>
      <x:c r="G161" s="18"/>
      <x:c r="H161" s="19"/>
    </x:row>
    <x:row r="162" ht="33" customHeight="1">
      <x:c r="A162" s="18" t="str">
        <x:v>transport-node:e104387f-c00b-56ff-8c46-734e23ecce72</x:v>
      </x:c>
      <x:c r="B162" s="18" t="str">
        <x:v>transport-node:f5e5010a-739c-5c0c-bfd6-3449c94b23db</x:v>
      </x:c>
      <x:c r="C162" s="19" t="str">
        <x:v>SUPERSEDED_BY</x:v>
      </x:c>
      <x:c r="D162" s="19" t="str">
        <x:v>V1 line feature superseded by operator/station/mode component</x:v>
      </x:c>
      <x:c r="E162" s="19" t="str">
        <x:v>京葉線</x:v>
      </x:c>
      <x:c r="F162" s="19" t="str">
        <x:v>{"field":"N02_005c","id":"003785","source":"MLIT N02 2025"}
{"field":"N02_005g","id":"003785","source":"MLIT N02 2025"}</x:v>
      </x:c>
      <x:c r="G162" s="18"/>
      <x:c r="H162" s="19"/>
    </x:row>
    <x:row r="163" ht="33" customHeight="1">
      <x:c r="A163" s="18" t="str">
        <x:v>transport-node:e2f6a800-4df6-5df9-818c-a7a6036c5f15</x:v>
      </x:c>
      <x:c r="B163" s="18" t="str">
        <x:v>transport-node:e2f6a800-4df6-5df9-818c-a7a6036c5f15</x:v>
      </x:c>
      <x:c r="C163" s="19" t="str">
        <x:v>REUSED_SAME_COMPONENT</x:v>
      </x:c>
      <x:c r="D163" s="19" t="str">
        <x:v>Single-line component confirmed by S12</x:v>
      </x:c>
      <x:c r="E163" s="19" t="str">
        <x:v>東北新幹線</x:v>
      </x:c>
      <x:c r="F163" s="19" t="str">
        <x:v>{"field":"N02_005c","id":"000911","source":"MLIT N02 2025"}
{"field":"N02_005g","id":"000912","source":"MLIT N02 2025"}</x:v>
      </x:c>
      <x:c r="G163" s="18"/>
      <x:c r="H163" s="19"/>
    </x:row>
    <x:row r="164" ht="33" customHeight="1">
      <x:c r="A164" s="18" t="str">
        <x:v>transport-node:e30dd941-03d7-58e9-aafe-526e9c9e9119</x:v>
      </x:c>
      <x:c r="B164" s="18" t="str">
        <x:v>transport-node:966ea408-4a7f-5295-b2a9-5b5f523971b0</x:v>
      </x:c>
      <x:c r="C164" s="19" t="str">
        <x:v>SUPERSEDED_BY</x:v>
      </x:c>
      <x:c r="D164" s="19" t="str">
        <x:v>V1 line feature superseded by operator/station/mode component</x:v>
      </x:c>
      <x:c r="E164" s="19" t="str">
        <x:v>奈良線</x:v>
      </x:c>
      <x:c r="F164" s="19" t="str">
        <x:v>{"field":"N02_005c","id":"006079","source":"MLIT N02 2025"}
{"field":"N02_005g","id":"006079","source":"MLIT N02 2025"}</x:v>
      </x:c>
      <x:c r="G164" s="18"/>
      <x:c r="H164" s="19"/>
    </x:row>
    <x:row r="165" ht="33" customHeight="1">
      <x:c r="A165" s="18" t="str">
        <x:v>transport-node:e389dcee-bad4-5376-8ae2-45b5cee54e2d</x:v>
      </x:c>
      <x:c r="B165" s="18" t="str">
        <x:v>transport-node:e389dcee-bad4-5376-8ae2-45b5cee54e2d</x:v>
      </x:c>
      <x:c r="C165" s="19" t="str">
        <x:v>REUSED_SAME_COMPONENT</x:v>
      </x:c>
      <x:c r="D165" s="19" t="str">
        <x:v>Single-line component confirmed by S12</x:v>
      </x:c>
      <x:c r="E165" s="19" t="str">
        <x:v>東北新幹線</x:v>
      </x:c>
      <x:c r="F165" s="19" t="str">
        <x:v>{"field":"N02_005c","id":"003505","source":"MLIT N02 2025"}
{"field":"N02_005g","id":"003505","source":"MLIT N02 2025"}</x:v>
      </x:c>
      <x:c r="G165" s="18"/>
      <x:c r="H165" s="19"/>
    </x:row>
    <x:row r="166" ht="33" customHeight="1">
      <x:c r="A166" s="18" t="str">
        <x:v>transport-node:e4e7d1c0-c728-53d9-973d-bf0f61a72fe2</x:v>
      </x:c>
      <x:c r="B166" s="18" t="str">
        <x:v>transport-node:e4e7d1c0-c728-53d9-973d-bf0f61a72fe2</x:v>
      </x:c>
      <x:c r="C166" s="19" t="str">
        <x:v>REUSED_SAME_COMPONENT</x:v>
      </x:c>
      <x:c r="D166" s="19" t="str">
        <x:v>Single-line component confirmed by S12</x:v>
      </x:c>
      <x:c r="E166" s="19" t="str">
        <x:v>北陸新幹線</x:v>
      </x:c>
      <x:c r="F166" s="19" t="str">
        <x:v>{"field":"N02_005c","id":"010178","source":"MLIT N02 2025"}
{"field":"N02_005g","id":"002529","source":"MLIT N02 2025"}</x:v>
      </x:c>
      <x:c r="G166" s="18"/>
      <x:c r="H166" s="19"/>
    </x:row>
    <x:row r="167" ht="33" customHeight="1">
      <x:c r="A167" s="18" t="str">
        <x:v>transport-node:e67331c3-59dc-5280-af05-62420f46372d</x:v>
      </x:c>
      <x:c r="B167" s="18" t="str">
        <x:v>transport-node:e67331c3-59dc-5280-af05-62420f46372d</x:v>
      </x:c>
      <x:c r="C167" s="19" t="str">
        <x:v>REUSED_SAME_COMPONENT</x:v>
      </x:c>
      <x:c r="D167" s="19" t="str">
        <x:v>Single-line component confirmed by S12</x:v>
      </x:c>
      <x:c r="E167" s="19" t="str">
        <x:v>小田原線</x:v>
      </x:c>
      <x:c r="F167" s="19" t="str">
        <x:v>{"field":"N02_005c","id":"003683","source":"MLIT N02 2025"}
{"field":"N02_005g","id":"003700","source":"MLIT N02 2025"}</x:v>
      </x:c>
      <x:c r="G167" s="18"/>
      <x:c r="H167" s="19"/>
    </x:row>
    <x:row r="168" ht="33" customHeight="1">
      <x:c r="A168" s="18" t="str">
        <x:v>transport-node:e7b28419-eb9f-5dbe-b6f5-d2dbb9576913</x:v>
      </x:c>
      <x:c r="B168" s="18" t="str">
        <x:v>transport-node:99f4ebcf-4e79-5646-a924-1560a3a95976</x:v>
      </x:c>
      <x:c r="C168" s="19" t="str">
        <x:v>SUPERSEDED_BY</x:v>
      </x:c>
      <x:c r="D168" s="19" t="str">
        <x:v>V1 line feature superseded by operator/station/mode component</x:v>
      </x:c>
      <x:c r="E168" s="19" t="str">
        <x:v>芸備線</x:v>
      </x:c>
      <x:c r="F168" s="19" t="str">
        <x:v>{"field":"N02_005c","id":"008029","source":"MLIT N02 2025"}
{"field":"N02_005g","id":"008029","source":"MLIT N02 2025"}</x:v>
      </x:c>
      <x:c r="G168" s="18"/>
      <x:c r="H168" s="19"/>
    </x:row>
    <x:row r="169" ht="33" customHeight="1">
      <x:c r="A169" s="18" t="str">
        <x:v>transport-node:e8bb7cd3-3a53-5030-aefc-4d8a09bc9a6a</x:v>
      </x:c>
      <x:c r="B169" s="18" t="str">
        <x:v>transport-node:e68658f5-4e44-5930-adde-4cf758ba7f0c</x:v>
      </x:c>
      <x:c r="C169" s="19" t="str">
        <x:v>SUPERSEDED_BY</x:v>
      </x:c>
      <x:c r="D169" s="19" t="str">
        <x:v>V1 line feature superseded by operator/station/mode component</x:v>
      </x:c>
      <x:c r="E169" s="19" t="str">
        <x:v>赤羽線</x:v>
      </x:c>
      <x:c r="F169" s="19" t="str">
        <x:v>{"field":"N02_005c","id":"003391","source":"MLIT N02 2025"}
{"field":"N02_005g","id":"003390","source":"MLIT N02 2025"}</x:v>
      </x:c>
      <x:c r="G169" s="18"/>
      <x:c r="H169" s="19"/>
    </x:row>
    <x:row r="170" ht="33" customHeight="1">
      <x:c r="A170" s="18" t="str">
        <x:v>transport-node:e9ff6cdc-4f3f-5e28-8a27-477b1dd34fc7</x:v>
      </x:c>
      <x:c r="B170" s="18" t="str">
        <x:v>transport-node:e9ff6cdc-4f3f-5e28-8a27-477b1dd34fc7</x:v>
      </x:c>
      <x:c r="C170" s="19" t="str">
        <x:v>REUSED_SAME_COMPONENT</x:v>
      </x:c>
      <x:c r="D170" s="19" t="str">
        <x:v>Single-line component confirmed by S12</x:v>
      </x:c>
      <x:c r="E170" s="19" t="str">
        <x:v>上越新幹線</x:v>
      </x:c>
      <x:c r="F170" s="19" t="str">
        <x:v>{"field":"N02_005c","id":"001407","source":"MLIT N02 2025"}
{"field":"N02_005g","id":"001406","source":"MLIT N02 2025"}</x:v>
      </x:c>
      <x:c r="G170" s="18"/>
      <x:c r="H170" s="19"/>
    </x:row>
    <x:row r="171" ht="33" customHeight="1">
      <x:c r="A171" s="18" t="str">
        <x:v>transport-node:ed6071b9-d978-5577-b05a-509b668916f0</x:v>
      </x:c>
      <x:c r="B171" s="18" t="str">
        <x:v>transport-node:ed6071b9-d978-5577-b05a-509b668916f0</x:v>
      </x:c>
      <x:c r="C171" s="19" t="str">
        <x:v>REUSED_SAME_COMPONENT</x:v>
      </x:c>
      <x:c r="D171" s="19" t="str">
        <x:v>Single-line component confirmed by S12</x:v>
      </x:c>
      <x:c r="E171" s="19" t="str">
        <x:v>上越新幹線</x:v>
      </x:c>
      <x:c r="F171" s="19" t="str">
        <x:v>{"field":"N02_005c","id":"002589","source":"MLIT N02 2025"}
{"field":"N02_005g","id":"002589","source":"MLIT N02 2025"}</x:v>
      </x:c>
      <x:c r="G171" s="18"/>
      <x:c r="H171" s="19"/>
    </x:row>
    <x:row r="172" ht="33" customHeight="1">
      <x:c r="A172" s="18" t="str">
        <x:v>transport-node:f0687bf3-e339-548f-93ad-4081f149aab5</x:v>
      </x:c>
      <x:c r="B172" s="18" t="str">
        <x:v>transport-node:f0687bf3-e339-548f-93ad-4081f149aab5</x:v>
      </x:c>
      <x:c r="C172" s="19" t="str">
        <x:v>REUSED_SAME_COMPONENT</x:v>
      </x:c>
      <x:c r="D172" s="19" t="str">
        <x:v>Single-line component confirmed by S12</x:v>
      </x:c>
      <x:c r="E172" s="19" t="str">
        <x:v>九州新幹線</x:v>
      </x:c>
      <x:c r="F172" s="19" t="str">
        <x:v>{"field":"N02_005c","id":"009547","source":"MLIT N02 2025"}
{"field":"N02_005g","id":"009546","source":"MLIT N02 2025"}</x:v>
      </x:c>
      <x:c r="G172" s="18"/>
      <x:c r="H172" s="19"/>
    </x:row>
    <x:row r="173" ht="33" customHeight="1">
      <x:c r="A173" s="18" t="str">
        <x:v>transport-node:f18bd458-c9d8-571f-976b-3e450f720b4f</x:v>
      </x:c>
      <x:c r="B173" s="18" t="str">
        <x:v>transport-node:f18bd458-c9d8-571f-976b-3e450f720b4f</x:v>
      </x:c>
      <x:c r="C173" s="19" t="str">
        <x:v>REUSED_SAME_COMPONENT</x:v>
      </x:c>
      <x:c r="D173" s="19" t="str">
        <x:v>Single-line component confirmed by S12</x:v>
      </x:c>
      <x:c r="E173" s="19" t="str">
        <x:v>山陽新幹線</x:v>
      </x:c>
      <x:c r="F173" s="19" t="str">
        <x:v>{"field":"N02_005c","id":"008430","source":"MLIT N02 2025"}
{"field":"N02_005g","id":"008430","source":"MLIT N02 2025"}</x:v>
      </x:c>
      <x:c r="G173" s="18"/>
      <x:c r="H173" s="19"/>
    </x:row>
    <x:row r="174" ht="33" customHeight="1">
      <x:c r="A174" s="18" t="str">
        <x:v>transport-node:f1bcc33c-4c93-5a4b-83f0-5decec5c1cbd</x:v>
      </x:c>
      <x:c r="B174" s="18" t="str">
        <x:v>transport-node:7074cd95-698a-5143-8345-045066236c08</x:v>
      </x:c>
      <x:c r="C174" s="19" t="str">
        <x:v>SUPERSEDED_BY</x:v>
      </x:c>
      <x:c r="D174" s="19" t="str">
        <x:v>V1 line feature superseded by operator/station/mode component</x:v>
      </x:c>
      <x:c r="E174" s="19" t="str">
        <x:v>田園都市線</x:v>
      </x:c>
      <x:c r="F174" s="19" t="str">
        <x:v>{"field":"N02_005c","id":"003923","source":"MLIT N02 2025"}
{"field":"N02_005g","id":"003922","source":"MLIT N02 2025"}</x:v>
      </x:c>
      <x:c r="G174" s="18"/>
      <x:c r="H174" s="19"/>
    </x:row>
    <x:row r="175" ht="33" customHeight="1">
      <x:c r="A175" s="18" t="str">
        <x:v>transport-node:f244aa2e-1d10-501e-aa7c-2c5240fe5cda</x:v>
      </x:c>
      <x:c r="B175" s="18" t="str">
        <x:v>transport-node:99f4ebcf-4e79-5646-a924-1560a3a95976</x:v>
      </x:c>
      <x:c r="C175" s="19" t="str">
        <x:v>SUPERSEDED_BY</x:v>
      </x:c>
      <x:c r="D175" s="19" t="str">
        <x:v>V1 line feature superseded by operator/station/mode component</x:v>
      </x:c>
      <x:c r="E175" s="19" t="str">
        <x:v>山陽線</x:v>
      </x:c>
      <x:c r="F175" s="19" t="str">
        <x:v>{"field":"N02_005c","id":"008031","source":"MLIT N02 2025"}
{"field":"N02_005g","id":"008029","source":"MLIT N02 2025"}</x:v>
      </x:c>
      <x:c r="G175" s="18"/>
      <x:c r="H175" s="19"/>
    </x:row>
    <x:row r="176" ht="33" customHeight="1">
      <x:c r="A176" s="18" t="str">
        <x:v>transport-node:f391f4ce-aad4-5275-9cdf-1aab8f86c13e</x:v>
      </x:c>
      <x:c r="B176" s="18" t="str">
        <x:v>transport-node:f391f4ce-aad4-5275-9cdf-1aab8f86c13e</x:v>
      </x:c>
      <x:c r="C176" s="19" t="str">
        <x:v>REUSED_SAME_COMPONENT</x:v>
      </x:c>
      <x:c r="D176" s="19" t="str">
        <x:v>Single-line component confirmed by S12</x:v>
      </x:c>
      <x:c r="E176" s="19" t="str">
        <x:v>九州新幹線</x:v>
      </x:c>
      <x:c r="F176" s="19" t="str">
        <x:v>{"field":"N02_005c","id":"009591","source":"MLIT N02 2025"}
{"field":"N02_005g","id":"009591","source":"MLIT N02 2025"}</x:v>
      </x:c>
      <x:c r="G176" s="18"/>
      <x:c r="H176" s="19"/>
    </x:row>
    <x:row r="177" ht="33" customHeight="1">
      <x:c r="A177" s="18" t="str">
        <x:v>transport-node:f4a4ddec-ad46-59f9-8f8a-32eeee314ab6</x:v>
      </x:c>
      <x:c r="B177" s="18" t="str">
        <x:v>transport-node:f4a4ddec-ad46-59f9-8f8a-32eeee314ab6</x:v>
      </x:c>
      <x:c r="C177" s="19" t="str">
        <x:v>REUSED_SAME_COMPONENT</x:v>
      </x:c>
      <x:c r="D177" s="19" t="str">
        <x:v>Single-line component confirmed by S12</x:v>
      </x:c>
      <x:c r="E177" s="19" t="str">
        <x:v>東北新幹線</x:v>
      </x:c>
      <x:c r="F177" s="19" t="str">
        <x:v>{"field":"N02_005c","id":"001720","source":"MLIT N02 2025"}
{"field":"N02_005g","id":"001720","source":"MLIT N02 2025"}</x:v>
      </x:c>
      <x:c r="G177" s="18"/>
      <x:c r="H177" s="19"/>
    </x:row>
    <x:row r="178" ht="33" customHeight="1">
      <x:c r="A178" s="18" t="str">
        <x:v>transport-node:f4d85a53-c428-5ca3-9927-ff69053472d2</x:v>
      </x:c>
      <x:c r="B178" s="18" t="str">
        <x:v>transport-node:f4d85a53-c428-5ca3-9927-ff69053472d2</x:v>
      </x:c>
      <x:c r="C178" s="19" t="str">
        <x:v>REUSED_SAME_COMPONENT</x:v>
      </x:c>
      <x:c r="D178" s="19" t="str">
        <x:v>Single-line component confirmed by S12</x:v>
      </x:c>
      <x:c r="E178" s="19" t="str">
        <x:v>山陽新幹線</x:v>
      </x:c>
      <x:c r="F178" s="19" t="str">
        <x:v>{"field":"N02_005c","id":"008080","source":"MLIT N02 2025"}
{"field":"N02_005g","id":"008080","source":"MLIT N02 2025"}</x:v>
      </x:c>
      <x:c r="G178" s="18"/>
      <x:c r="H178" s="19"/>
    </x:row>
    <x:row r="179" ht="33" customHeight="1">
      <x:c r="A179" s="18" t="str">
        <x:v>transport-node:f58a8278-e50e-5ebf-9c9f-b162bee8a12f</x:v>
      </x:c>
      <x:c r="B179" s="18" t="str">
        <x:v>transport-node:f58a8278-e50e-5ebf-9c9f-b162bee8a12f</x:v>
      </x:c>
      <x:c r="C179" s="19" t="str">
        <x:v>REUSED_SAME_COMPONENT</x:v>
      </x:c>
      <x:c r="D179" s="19" t="str">
        <x:v>Single-line component confirmed by S12</x:v>
      </x:c>
      <x:c r="E179" s="19" t="str">
        <x:v>西九州新幹線</x:v>
      </x:c>
      <x:c r="F179" s="19" t="str">
        <x:v>{"field":"N02_005c","id":"009521","source":"MLIT N02 2025"}
{"field":"N02_005g","id":"009518","source":"MLIT N02 2025"}</x:v>
      </x:c>
      <x:c r="G179" s="18"/>
      <x:c r="H179" s="19"/>
    </x:row>
    <x:row r="180" ht="33" customHeight="1">
      <x:c r="A180" s="18" t="str">
        <x:v>transport-node:f829b921-150c-5368-9ffa-70119b07fbd0</x:v>
      </x:c>
      <x:c r="B180" s="18" t="str">
        <x:v>transport-node:b1098fbf-9cee-52bd-a880-7052f6131fbb</x:v>
      </x:c>
      <x:c r="C180" s="19" t="str">
        <x:v>SUPERSEDED_BY</x:v>
      </x:c>
      <x:c r="D180" s="19" t="str">
        <x:v>V1 line feature superseded by operator/station/mode component</x:v>
      </x:c>
      <x:c r="E180" s="19" t="str">
        <x:v>関西線</x:v>
      </x:c>
      <x:c r="F180" s="19" t="str">
        <x:v>{"field":"N02_005c","id":"005449","source":"MLIT N02 2025"}
{"field":"N02_005g","id":"005451","source":"MLIT N02 2025"}</x:v>
      </x:c>
      <x:c r="G180" s="18"/>
      <x:c r="H180" s="19"/>
    </x:row>
    <x:row r="181" ht="33" customHeight="1">
      <x:c r="A181" s="18" t="str">
        <x:v>transport-node:fa5eb315-ac54-5011-9d3b-419d2b945e7e</x:v>
      </x:c>
      <x:c r="B181" s="18" t="str">
        <x:v>transport-node:fa5eb315-ac54-5011-9d3b-419d2b945e7e</x:v>
      </x:c>
      <x:c r="C181" s="19" t="str">
        <x:v>REUSED_SAME_COMPONENT</x:v>
      </x:c>
      <x:c r="D181" s="19" t="str">
        <x:v>Single-line component confirmed by S12</x:v>
      </x:c>
      <x:c r="E181" s="19" t="str">
        <x:v>東北新幹線</x:v>
      </x:c>
      <x:c r="F181" s="19" t="str">
        <x:v>{"field":"N02_005c","id":"001011","source":"MLIT N02 2025"}
{"field":"N02_005g","id":"001011","source":"MLIT N02 2025"}</x:v>
      </x:c>
      <x:c r="G181" s="18"/>
      <x:c r="H181" s="19"/>
    </x:row>
    <x:row r="182" ht="33" customHeight="1">
      <x:c r="A182" s="18" t="str">
        <x:v>transport-node:fb8749b4-5166-5445-8780-b0c07aa61371</x:v>
      </x:c>
      <x:c r="B182" s="18" t="str">
        <x:v>transport-node:fb8749b4-5166-5445-8780-b0c07aa61371</x:v>
      </x:c>
      <x:c r="C182" s="19" t="str">
        <x:v>REUSED_SAME_COMPONENT</x:v>
      </x:c>
      <x:c r="D182" s="19" t="str">
        <x:v>Single-line component confirmed by S12</x:v>
      </x:c>
      <x:c r="E182" s="19" t="str">
        <x:v>北陸新幹線</x:v>
      </x:c>
      <x:c r="F182" s="19" t="str">
        <x:v>{"field":"N02_005c","id":"002451","source":"MLIT N02 2025"}
{"field":"N02_005g","id":"002451","source":"MLIT N02 2025"}</x:v>
      </x:c>
      <x:c r="G182" s="18"/>
      <x:c r="H182" s="19"/>
    </x:row>
    <x:row r="183" ht="33" customHeight="1">
      <x:c r="A183" s="18" t="str">
        <x:v>transport-node:fd60ec97-3798-5ef8-b125-2937fe666e73</x:v>
      </x:c>
      <x:c r="B183" s="18" t="str">
        <x:v>transport-node:fd60ec97-3798-5ef8-b125-2937fe666e73</x:v>
      </x:c>
      <x:c r="C183" s="19" t="str">
        <x:v>REUSED_SAME_COMPONENT</x:v>
      </x:c>
      <x:c r="D183" s="19" t="str">
        <x:v>Single-line component confirmed by S12</x:v>
      </x:c>
      <x:c r="E183" s="19" t="str">
        <x:v>北陸新幹線</x:v>
      </x:c>
      <x:c r="F183" s="19" t="str">
        <x:v>{"field":"N02_005c","id":"002034","source":"MLIT N02 2025"}
{"field":"N02_005g","id":"002031","source":"MLIT N02 2025"}</x:v>
      </x:c>
      <x:c r="G183" s="18"/>
      <x:c r="H183" s="19"/>
    </x:row>
    <x:row r="184" ht="33" customHeight="1">
      <x:c r="A184" s="18" t="str">
        <x:v>transport-node:ffe41b05-aab4-5748-b6af-fef081c4e626</x:v>
      </x:c>
      <x:c r="B184" s="18" t="str">
        <x:v>transport-node:fdc50ead-35ad-5cf1-aa8c-1bdd0464c361</x:v>
      </x:c>
      <x:c r="C184" s="19" t="str">
        <x:v>SUPERSEDED_BY</x:v>
      </x:c>
      <x:c r="D184" s="19" t="str">
        <x:v>V1 line feature superseded by operator/station/mode component</x:v>
      </x:c>
      <x:c r="E184" s="19" t="str">
        <x:v>東西線</x:v>
      </x:c>
      <x:c r="F184" s="19" t="str">
        <x:v>{"field":"N02_005c","id":"001180","source":"MLIT N02 2025"}
{"field":"N02_005g","id":"001177","source":"MLIT N02 2025"}</x:v>
      </x:c>
      <x:c r="G184" s="18"/>
      <x:c r="H184" s="19"/>
    </x:row>
  </x:sheetData>
  <x:pageMargins left="0.7" right="0.7" top="0.75" bottom="0.75" header="0.3" footer="0.3"/>
  <x:tableParts count="1">
    <x:tablePart xmlns:r="http://schemas.openxmlformats.org/officeDocument/2006/relationships" r:id="Rd62527d6346d416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1" hidden="0" customWidth="1"/>
    <x:col min="2" max="2" width="67" hidden="0" customWidth="1"/>
    <x:col min="3" max="3" width="42" hidden="0" customWidth="1"/>
    <x:col min="4" max="4" width="38" hidden="0" customWidth="1"/>
    <x:col min="5" max="5" width="90" hidden="0" customWidth="1"/>
    <x:col min="6" max="6" width="100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NAVITIME 全国发现原始记录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191 个 discovery ID；不得把发现地址、坐标或客流作为官方结论。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来源：data/transport/nodes/task-084-b-v2-bus-discovery/navitime-discovered-candidates.jsonl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发现名称</x:v>
      </x:c>
      <x:c r="B5" s="16" t="str">
        <x:v>发现地址</x:v>
      </x:c>
      <x:c r="C5" s="16" t="str">
        <x:v>发现 ID</x:v>
      </x:c>
      <x:c r="D5" s="16" t="str">
        <x:v>物理身份状态</x:v>
      </x:c>
      <x:c r="E5" s="16" t="str">
        <x:v>发现 URL</x:v>
      </x:c>
      <x:c r="F5" s="16" t="str">
        <x:v>来源分类页</x:v>
      </x:c>
      <x:c r="G5" s="16" t="str">
        <x:v>身份授权</x:v>
      </x:c>
      <x:c r="H5" s="16" t="str">
        <x:v>坐标授权</x:v>
      </x:c>
      <x:c r="I5" s="17" t="str">
        <x:v>客流授权</x:v>
      </x:c>
    </x:row>
    <x:row r="6" ht="33" customHeight="1">
      <x:c r="A6" s="19" t="str">
        <x:v>下川町バスターミナル合同センター</x:v>
      </x:c>
      <x:c r="B6" s="19" t="str">
        <x:v>北海道上川郡下川町共栄町6</x:v>
      </x:c>
      <x:c r="C6" s="18" t="str">
        <x:v>navitime:00011-010197849</x:v>
      </x:c>
      <x:c r="D6" s="19" t="str">
        <x:v>官方身份待审核</x:v>
      </x:c>
      <x:c r="E6" s="19" t="str">
        <x:v>https://www.navitime.co.jp/poi?spot=00011-010197849</x:v>
      </x:c>
      <x:c r="F6" s="19" t="str">
        <x:v>https://www.navitime.co.jp/category/0815/01/?page=2
https://www.navitime.co.jp/category/0815/?page=12</x:v>
      </x:c>
      <x:c r="G6" s="18" t="str">
        <x:v>否</x:v>
      </x:c>
      <x:c r="H6" s="18" t="str">
        <x:v>否</x:v>
      </x:c>
      <x:c r="I6" s="18" t="str">
        <x:v>否</x:v>
      </x:c>
    </x:row>
    <x:row r="7" ht="33" customHeight="1">
      <x:c r="A7" s="19" t="str">
        <x:v>仙台市交通局 旭ケ丘バスターミナル</x:v>
      </x:c>
      <x:c r="B7" s="19" t="str">
        <x:v>宮城県仙台市青葉区旭ケ丘3丁目25-15</x:v>
      </x:c>
      <x:c r="C7" s="18" t="str">
        <x:v>navitime:00011-010378466</x:v>
      </x:c>
      <x:c r="D7" s="19" t="str">
        <x:v>官方身份待审核</x:v>
      </x:c>
      <x:c r="E7" s="19" t="str">
        <x:v>https://www.navitime.co.jp/poi?spot=00011-010378466</x:v>
      </x:c>
      <x:c r="F7" s="19" t="str">
        <x:v>https://www.navitime.co.jp/category/0815/04/
https://www.navitime.co.jp/category/0815/?page=12</x:v>
      </x:c>
      <x:c r="G7" s="18" t="str">
        <x:v>否</x:v>
      </x:c>
      <x:c r="H7" s="18" t="str">
        <x:v>否</x:v>
      </x:c>
      <x:c r="I7" s="18" t="str">
        <x:v>否</x:v>
      </x:c>
    </x:row>
    <x:row r="8" ht="33" customHeight="1">
      <x:c r="A8" s="19" t="str">
        <x:v>大阪シティエアターミナル OCATバスターミナル</x:v>
      </x:c>
      <x:c r="B8" s="19" t="str">
        <x:v>大阪府大阪市浪速区湊町1丁目4-1</x:v>
      </x:c>
      <x:c r="C8" s="18" t="str">
        <x:v>navitime:00011-060222795</x:v>
      </x:c>
      <x:c r="D8" s="19" t="str">
        <x:v>官方身份待审核</x:v>
      </x:c>
      <x:c r="E8" s="19" t="str">
        <x:v>https://www.navitime.co.jp/poi?spot=00011-060222795</x:v>
      </x:c>
      <x:c r="F8" s="19" t="str">
        <x:v>https://www.navitime.co.jp/category/0815/27/
https://www.navitime.co.jp/category/0815/?page=2</x:v>
      </x:c>
      <x:c r="G8" s="18" t="str">
        <x:v>否</x:v>
      </x:c>
      <x:c r="H8" s="18" t="str">
        <x:v>否</x:v>
      </x:c>
      <x:c r="I8" s="18" t="str">
        <x:v>否</x:v>
      </x:c>
    </x:row>
    <x:row r="9" ht="33" customHeight="1">
      <x:c r="A9" s="19" t="str">
        <x:v>相生代替バスターミナル</x:v>
      </x:c>
      <x:c r="B9" s="19" t="str">
        <x:v>徳島県那賀郡那賀町延野字王子原108-1</x:v>
      </x:c>
      <x:c r="C9" s="18" t="str">
        <x:v>navitime:00011-070421377</x:v>
      </x:c>
      <x:c r="D9" s="19" t="str">
        <x:v>官方身份待审核</x:v>
      </x:c>
      <x:c r="E9" s="19" t="str">
        <x:v>https://www.navitime.co.jp/poi?spot=00011-070421377</x:v>
      </x:c>
      <x:c r="F9" s="19" t="str">
        <x:v>https://www.navitime.co.jp/category/0815/36/
https://www.navitime.co.jp/category/0815/?page=12</x:v>
      </x:c>
      <x:c r="G9" s="18" t="str">
        <x:v>否</x:v>
      </x:c>
      <x:c r="H9" s="18" t="str">
        <x:v>否</x:v>
      </x:c>
      <x:c r="I9" s="18" t="str">
        <x:v>否</x:v>
      </x:c>
    </x:row>
    <x:row r="10" ht="33" customHeight="1">
      <x:c r="A10" s="19" t="str">
        <x:v>昭和バス 唐津バスセンター</x:v>
      </x:c>
      <x:c r="B10" s="19" t="str">
        <x:v>佐賀県唐津市南城内1-1</x:v>
      </x:c>
      <x:c r="C10" s="18" t="str">
        <x:v>navitime:00011-080923439</x:v>
      </x:c>
      <x:c r="D10" s="19" t="str">
        <x:v>官方身份待审核</x:v>
      </x:c>
      <x:c r="E10" s="19" t="str">
        <x:v>https://www.navitime.co.jp/poi?spot=00011-080923439</x:v>
      </x:c>
      <x:c r="F10" s="19" t="str">
        <x:v>https://www.navitime.co.jp/category/0815/41/
https://www.navitime.co.jp/category/0815/?page=13</x:v>
      </x:c>
      <x:c r="G10" s="18" t="str">
        <x:v>否</x:v>
      </x:c>
      <x:c r="H10" s="18" t="str">
        <x:v>否</x:v>
      </x:c>
      <x:c r="I10" s="18" t="str">
        <x:v>否</x:v>
      </x:c>
    </x:row>
    <x:row r="11" ht="33" customHeight="1">
      <x:c r="A11" s="19" t="str">
        <x:v>広域生活バス広瀬バスターミナル</x:v>
      </x:c>
      <x:c r="B11" s="19" t="str">
        <x:v>島根県安来市広瀬町広瀬1006</x:v>
      </x:c>
      <x:c r="C11" s="18" t="str">
        <x:v>navitime:00011-100075347</x:v>
      </x:c>
      <x:c r="D11" s="19" t="str">
        <x:v>官方身份待审核</x:v>
      </x:c>
      <x:c r="E11" s="19" t="str">
        <x:v>https://www.navitime.co.jp/poi?spot=00011-100075347</x:v>
      </x:c>
      <x:c r="F11" s="19" t="str">
        <x:v>https://www.navitime.co.jp/category/0815/32/
https://www.navitime.co.jp/category/0815/?page=13</x:v>
      </x:c>
      <x:c r="G11" s="18" t="str">
        <x:v>否</x:v>
      </x:c>
      <x:c r="H11" s="18" t="str">
        <x:v>否</x:v>
      </x:c>
      <x:c r="I11" s="18" t="str">
        <x:v>否</x:v>
      </x:c>
    </x:row>
    <x:row r="12" ht="33" customHeight="1">
      <x:c r="A12" s="19" t="str">
        <x:v>中村まちバスセンター</x:v>
      </x:c>
      <x:c r="B12" s="19" t="str">
        <x:v>高知県四万十市中村大橋通7丁目11-6</x:v>
      </x:c>
      <x:c r="C12" s="18" t="str">
        <x:v>navitime:00011-100440428</x:v>
      </x:c>
      <x:c r="D12" s="19" t="str">
        <x:v>官方身份待审核</x:v>
      </x:c>
      <x:c r="E12" s="19" t="str">
        <x:v>https://www.navitime.co.jp/poi?spot=00011-100440428</x:v>
      </x:c>
      <x:c r="F12" s="19" t="str">
        <x:v>https://www.navitime.co.jp/category/0815/39/
https://www.navitime.co.jp/category/0815/?page=13</x:v>
      </x:c>
      <x:c r="G12" s="18" t="str">
        <x:v>否</x:v>
      </x:c>
      <x:c r="H12" s="18" t="str">
        <x:v>否</x:v>
      </x:c>
      <x:c r="I12" s="18" t="str">
        <x:v>否</x:v>
      </x:c>
    </x:row>
    <x:row r="13" ht="33" customHeight="1">
      <x:c r="A13" s="19" t="str">
        <x:v>御殿場プレミアムアウトレット 団体バスターミナル</x:v>
      </x:c>
      <x:c r="B13" s="19" t="str">
        <x:v>静岡県御殿場市深沢2839-1</x:v>
      </x:c>
      <x:c r="C13" s="18" t="str">
        <x:v>navitime:02022-10008487</x:v>
      </x:c>
      <x:c r="D13" s="19" t="str">
        <x:v>官方身份待审核</x:v>
      </x:c>
      <x:c r="E13" s="19" t="str">
        <x:v>https://www.navitime.co.jp/poi?spot=02022-10008487</x:v>
      </x:c>
      <x:c r="F13" s="19" t="str">
        <x:v>https://www.navitime.co.jp/category/0815/22/
https://www.navitime.co.jp/category/0815/?page=6</x:v>
      </x:c>
      <x:c r="G13" s="18" t="str">
        <x:v>否</x:v>
      </x:c>
      <x:c r="H13" s="18" t="str">
        <x:v>否</x:v>
      </x:c>
      <x:c r="I13" s="18" t="str">
        <x:v>否</x:v>
      </x:c>
    </x:row>
    <x:row r="14" ht="33" customHeight="1">
      <x:c r="A14" s="19" t="str">
        <x:v>都庁大型車駐車場内 観光バス乗り場(集合場所)</x:v>
      </x:c>
      <x:c r="B14" s="19" t="str">
        <x:v>東京都新宿区西新宿2</x:v>
      </x:c>
      <x:c r="C14" s="18" t="str">
        <x:v>navitime:02022-10008871</x:v>
      </x:c>
      <x:c r="D14" s="19" t="str">
        <x:v>官方身份待审核</x:v>
      </x:c>
      <x:c r="E14" s="19" t="str">
        <x:v>https://www.navitime.co.jp/poi?spot=02022-10008871</x:v>
      </x:c>
      <x:c r="F14" s="19" t="str">
        <x:v>https://www.navitime.co.jp/category/0815/13/
https://www.navitime.co.jp/category/0815/?page=2</x:v>
      </x:c>
      <x:c r="G14" s="18" t="str">
        <x:v>否</x:v>
      </x:c>
      <x:c r="H14" s="18" t="str">
        <x:v>否</x:v>
      </x:c>
      <x:c r="I14" s="18" t="str">
        <x:v>否</x:v>
      </x:c>
    </x:row>
    <x:row r="15" ht="33" customHeight="1">
      <x:c r="A15" s="19" t="str">
        <x:v>盛岡バスセンター</x:v>
      </x:c>
      <x:c r="B15" s="19" t="str">
        <x:v>岩手県盛岡市中ノ橋通1-9-22</x:v>
      </x:c>
      <x:c r="C15" s="18" t="str">
        <x:v>navitime:02022-10009055</x:v>
      </x:c>
      <x:c r="D15" s="19" t="str">
        <x:v>官方身份待审核</x:v>
      </x:c>
      <x:c r="E15" s="19" t="str">
        <x:v>https://www.navitime.co.jp/poi?spot=02022-10009055</x:v>
      </x:c>
      <x:c r="F15" s="19" t="str">
        <x:v>https://www.navitime.co.jp/category/0815/03/
https://www.navitime.co.jp/category/0815/?page=2</x:v>
      </x:c>
      <x:c r="G15" s="18" t="str">
        <x:v>否</x:v>
      </x:c>
      <x:c r="H15" s="18" t="str">
        <x:v>否</x:v>
      </x:c>
      <x:c r="I15" s="18" t="str">
        <x:v>否</x:v>
      </x:c>
    </x:row>
    <x:row r="16" ht="33" customHeight="1">
      <x:c r="A16" s="19" t="str">
        <x:v>川崎市観光用バス乗降場(小川町・1番乗降場)</x:v>
      </x:c>
      <x:c r="B16" s="19" t="str">
        <x:v>神奈川県川崎市川崎区小川町8</x:v>
      </x:c>
      <x:c r="C16" s="18" t="str">
        <x:v>navitime:02022-10011503</x:v>
      </x:c>
      <x:c r="D16" s="19" t="str">
        <x:v>官方身份待审核</x:v>
      </x:c>
      <x:c r="E16" s="19" t="str">
        <x:v>https://www.navitime.co.jp/poi?spot=02022-10011503</x:v>
      </x:c>
      <x:c r="F16" s="19" t="str">
        <x:v>https://www.navitime.co.jp/category/0815/14/
https://www.navitime.co.jp/category/0815/?page=9</x:v>
      </x:c>
      <x:c r="G16" s="18" t="str">
        <x:v>否</x:v>
      </x:c>
      <x:c r="H16" s="18" t="str">
        <x:v>否</x:v>
      </x:c>
      <x:c r="I16" s="18" t="str">
        <x:v>否</x:v>
      </x:c>
    </x:row>
    <x:row r="17" ht="33" customHeight="1">
      <x:c r="A17" s="19" t="str">
        <x:v>金沢駅西広場団体バス乗降場</x:v>
      </x:c>
      <x:c r="B17" s="19" t="str">
        <x:v>石川県金沢市広岡1丁目802</x:v>
      </x:c>
      <x:c r="C17" s="18" t="str">
        <x:v>navitime:02022-10017305</x:v>
      </x:c>
      <x:c r="D17" s="19" t="str">
        <x:v>官方身份待审核</x:v>
      </x:c>
      <x:c r="E17" s="19" t="str">
        <x:v>https://www.navitime.co.jp/poi?spot=02022-10017305</x:v>
      </x:c>
      <x:c r="F17" s="19" t="str">
        <x:v>https://www.navitime.co.jp/category/0815/17/
https://www.navitime.co.jp/category/0815/?page=9</x:v>
      </x:c>
      <x:c r="G17" s="18" t="str">
        <x:v>否</x:v>
      </x:c>
      <x:c r="H17" s="18" t="str">
        <x:v>否</x:v>
      </x:c>
      <x:c r="I17" s="18" t="str">
        <x:v>否</x:v>
      </x:c>
    </x:row>
    <x:row r="18" ht="33" customHeight="1">
      <x:c r="A18" s="19" t="str">
        <x:v>宗谷バス札幌営業所(千歳)</x:v>
      </x:c>
      <x:c r="B18" s="19" t="str">
        <x:v>北海道千歳市清流2-5-1</x:v>
      </x:c>
      <x:c r="C18" s="18" t="str">
        <x:v>navitime:02022-10018756</x:v>
      </x:c>
      <x:c r="D18" s="19" t="str">
        <x:v>官方身份待审核</x:v>
      </x:c>
      <x:c r="E18" s="19" t="str">
        <x:v>https://www.navitime.co.jp/poi?spot=02022-10018756</x:v>
      </x:c>
      <x:c r="F18" s="19" t="str">
        <x:v>https://www.navitime.co.jp/category/0815/01/
https://www.navitime.co.jp/category/0815/?page=9</x:v>
      </x:c>
      <x:c r="G18" s="18" t="str">
        <x:v>否</x:v>
      </x:c>
      <x:c r="H18" s="18" t="str">
        <x:v>否</x:v>
      </x:c>
      <x:c r="I18" s="18" t="str">
        <x:v>否</x:v>
      </x:c>
    </x:row>
    <x:row r="19" ht="33" customHeight="1">
      <x:c r="A19" s="19" t="str">
        <x:v>丸ノ内鍛冶橋駐車場 高速バス乗り場</x:v>
      </x:c>
      <x:c r="B19" s="19" t="str">
        <x:v>東京都千代田区丸ノ内3-8-2</x:v>
      </x:c>
      <x:c r="C19" s="18" t="str">
        <x:v>navitime:02022-10020825</x:v>
      </x:c>
      <x:c r="D19" s="19" t="str">
        <x:v>官方身份待审核</x:v>
      </x:c>
      <x:c r="E19" s="19" t="str">
        <x:v>https://www.navitime.co.jp/poi?spot=02022-10020825</x:v>
      </x:c>
      <x:c r="F19" s="19" t="str">
        <x:v>https://www.navitime.co.jp/category/0815/13/
https://www.navitime.co.jp/category/0815/?page=3</x:v>
      </x:c>
      <x:c r="G19" s="18" t="str">
        <x:v>否</x:v>
      </x:c>
      <x:c r="H19" s="18" t="str">
        <x:v>否</x:v>
      </x:c>
      <x:c r="I19" s="18" t="str">
        <x:v>否</x:v>
      </x:c>
    </x:row>
    <x:row r="20" ht="33" customHeight="1">
      <x:c r="A20" s="19" t="str">
        <x:v>大阪駅JR高速バスターミナル</x:v>
      </x:c>
      <x:c r="B20" s="19" t="str">
        <x:v>大阪府大阪市北区梅田3-1-3</x:v>
      </x:c>
      <x:c r="C20" s="18" t="str">
        <x:v>navitime:02022-10021186</x:v>
      </x:c>
      <x:c r="D20" s="19" t="str">
        <x:v>官方身份待审核</x:v>
      </x:c>
      <x:c r="E20" s="19" t="str">
        <x:v>https://www.navitime.co.jp/poi?spot=02022-10021186</x:v>
      </x:c>
      <x:c r="F20" s="19" t="str">
        <x:v>https://www.navitime.co.jp/category/0815/
https://www.navitime.co.jp/category/0815/27/</x:v>
      </x:c>
      <x:c r="G20" s="18" t="str">
        <x:v>否</x:v>
      </x:c>
      <x:c r="H20" s="18" t="str">
        <x:v>否</x:v>
      </x:c>
      <x:c r="I20" s="18" t="str">
        <x:v>否</x:v>
      </x:c>
    </x:row>
    <x:row r="21" ht="33" customHeight="1">
      <x:c r="A21" s="19" t="str">
        <x:v>【予約制】名古屋駅太閤通口 貸切バス乗車場 Aバース</x:v>
      </x:c>
      <x:c r="B21" s="19" t="str">
        <x:v>愛知県名古屋市中村区椿町7</x:v>
      </x:c>
      <x:c r="C21" s="18" t="str">
        <x:v>navitime:02022-10022117</x:v>
      </x:c>
      <x:c r="D21" s="19" t="str">
        <x:v>官方身份待审核</x:v>
      </x:c>
      <x:c r="E21" s="19" t="str">
        <x:v>https://www.navitime.co.jp/poi?spot=02022-10022117</x:v>
      </x:c>
      <x:c r="F21" s="19" t="str">
        <x:v>https://www.navitime.co.jp/category/0815/23/
https://www.navitime.co.jp/category/0815/?page=6</x:v>
      </x:c>
      <x:c r="G21" s="18" t="str">
        <x:v>否</x:v>
      </x:c>
      <x:c r="H21" s="18" t="str">
        <x:v>否</x:v>
      </x:c>
      <x:c r="I21" s="18" t="str">
        <x:v>否</x:v>
      </x:c>
    </x:row>
    <x:row r="22" ht="33" customHeight="1">
      <x:c r="A22" s="19" t="str">
        <x:v>【予約制】名古屋駅太閤通口 貸切バス乗車場 Bバース</x:v>
      </x:c>
      <x:c r="B22" s="19" t="str">
        <x:v>愛知県名古屋市中村区名駅1丁目1</x:v>
      </x:c>
      <x:c r="C22" s="18" t="str">
        <x:v>navitime:02022-10022118</x:v>
      </x:c>
      <x:c r="D22" s="19" t="str">
        <x:v>官方身份待审核</x:v>
      </x:c>
      <x:c r="E22" s="19" t="str">
        <x:v>https://www.navitime.co.jp/poi?spot=02022-10022118</x:v>
      </x:c>
      <x:c r="F22" s="19" t="str">
        <x:v>https://www.navitime.co.jp/category/0815/23/
https://www.navitime.co.jp/category/0815/?page=9</x:v>
      </x:c>
      <x:c r="G22" s="18" t="str">
        <x:v>否</x:v>
      </x:c>
      <x:c r="H22" s="18" t="str">
        <x:v>否</x:v>
      </x:c>
      <x:c r="I22" s="18" t="str">
        <x:v>否</x:v>
      </x:c>
    </x:row>
    <x:row r="23" ht="33" customHeight="1">
      <x:c r="A23" s="19" t="str">
        <x:v>大阪市 日本橋観光バス乗降スペース</x:v>
      </x:c>
      <x:c r="B23" s="19" t="str">
        <x:v>大阪府大阪市中央区道頓堀1丁目1</x:v>
      </x:c>
      <x:c r="C23" s="18" t="str">
        <x:v>navitime:02022-10022119</x:v>
      </x:c>
      <x:c r="D23" s="19" t="str">
        <x:v>官方身份待审核</x:v>
      </x:c>
      <x:c r="E23" s="19" t="str">
        <x:v>https://www.navitime.co.jp/poi?spot=02022-10022119</x:v>
      </x:c>
      <x:c r="F23" s="19" t="str">
        <x:v>https://www.navitime.co.jp/category/0815/27/
https://www.navitime.co.jp/category/0815/?page=6</x:v>
      </x:c>
      <x:c r="G23" s="18" t="str">
        <x:v>否</x:v>
      </x:c>
      <x:c r="H23" s="18" t="str">
        <x:v>否</x:v>
      </x:c>
      <x:c r="I23" s="18" t="str">
        <x:v>否</x:v>
      </x:c>
    </x:row>
    <x:row r="24" ht="33" customHeight="1">
      <x:c r="A24" s="19" t="str">
        <x:v>東京ディズニーランド・バスターミナル・イースト</x:v>
      </x:c>
      <x:c r="B24" s="19" t="str">
        <x:v>千葉県浦安市舞浜</x:v>
      </x:c>
      <x:c r="C24" s="18" t="str">
        <x:v>navitime:02022-10022976</x:v>
      </x:c>
      <x:c r="D24" s="19" t="str">
        <x:v>官方身份待审核</x:v>
      </x:c>
      <x:c r="E24" s="19" t="str">
        <x:v>https://www.navitime.co.jp/poi?spot=02022-10022976</x:v>
      </x:c>
      <x:c r="F24" s="19" t="str">
        <x:v>https://www.navitime.co.jp/category/0815/12/
https://www.navitime.co.jp/category/0815/?page=5</x:v>
      </x:c>
      <x:c r="G24" s="18" t="str">
        <x:v>否</x:v>
      </x:c>
      <x:c r="H24" s="18" t="str">
        <x:v>否</x:v>
      </x:c>
      <x:c r="I24" s="18" t="str">
        <x:v>否</x:v>
      </x:c>
    </x:row>
    <x:row r="25" ht="33" customHeight="1">
      <x:c r="A25" s="19" t="str">
        <x:v>東京ディズニーランド・バスターミナル・ウエスト</x:v>
      </x:c>
      <x:c r="B25" s="19" t="str">
        <x:v>千葉県浦安市舞浜</x:v>
      </x:c>
      <x:c r="C25" s="18" t="str">
        <x:v>navitime:02022-10022977</x:v>
      </x:c>
      <x:c r="D25" s="19" t="str">
        <x:v>官方身份待审核</x:v>
      </x:c>
      <x:c r="E25" s="19" t="str">
        <x:v>https://www.navitime.co.jp/poi?spot=02022-10022977</x:v>
      </x:c>
      <x:c r="F25" s="19" t="str">
        <x:v>https://www.navitime.co.jp/category/0815/12/
https://www.navitime.co.jp/category/0815/?page=5</x:v>
      </x:c>
      <x:c r="G25" s="18" t="str">
        <x:v>否</x:v>
      </x:c>
      <x:c r="H25" s="18" t="str">
        <x:v>否</x:v>
      </x:c>
      <x:c r="I25" s="18" t="str">
        <x:v>否</x:v>
      </x:c>
    </x:row>
    <x:row r="26" ht="33" customHeight="1">
      <x:c r="A26" s="19" t="str">
        <x:v>東京ディズニーランド・バスターミナル・サウス</x:v>
      </x:c>
      <x:c r="B26" s="19" t="str">
        <x:v>千葉県浦安市舞浜</x:v>
      </x:c>
      <x:c r="C26" s="18" t="str">
        <x:v>navitime:02022-10022978</x:v>
      </x:c>
      <x:c r="D26" s="19" t="str">
        <x:v>官方身份待审核</x:v>
      </x:c>
      <x:c r="E26" s="19" t="str">
        <x:v>https://www.navitime.co.jp/poi?spot=02022-10022978</x:v>
      </x:c>
      <x:c r="F26" s="19" t="str">
        <x:v>https://www.navitime.co.jp/category/0815/12/
https://www.navitime.co.jp/category/0815/?page=9</x:v>
      </x:c>
      <x:c r="G26" s="18" t="str">
        <x:v>否</x:v>
      </x:c>
      <x:c r="H26" s="18" t="str">
        <x:v>否</x:v>
      </x:c>
      <x:c r="I26" s="18" t="str">
        <x:v>否</x:v>
      </x:c>
    </x:row>
    <x:row r="27" ht="33" customHeight="1">
      <x:c r="A27" s="19" t="str">
        <x:v>東京ディズニーランド・バスターミナル・ノース</x:v>
      </x:c>
      <x:c r="B27" s="19" t="str">
        <x:v>千葉県浦安市舞浜</x:v>
      </x:c>
      <x:c r="C27" s="18" t="str">
        <x:v>navitime:02022-10022979</x:v>
      </x:c>
      <x:c r="D27" s="19" t="str">
        <x:v>官方身份待审核</x:v>
      </x:c>
      <x:c r="E27" s="19" t="str">
        <x:v>https://www.navitime.co.jp/poi?spot=02022-10022979</x:v>
      </x:c>
      <x:c r="F27" s="19" t="str">
        <x:v>https://www.navitime.co.jp/category/0815/12/
https://www.navitime.co.jp/category/0815/?page=9</x:v>
      </x:c>
      <x:c r="G27" s="18" t="str">
        <x:v>否</x:v>
      </x:c>
      <x:c r="H27" s="18" t="str">
        <x:v>否</x:v>
      </x:c>
      <x:c r="I27" s="18" t="str">
        <x:v>否</x:v>
      </x:c>
    </x:row>
    <x:row r="28" ht="33" customHeight="1">
      <x:c r="A28" s="19" t="str">
        <x:v>横浜駅西口貸切バス乗降場</x:v>
      </x:c>
      <x:c r="B28" s="19" t="str">
        <x:v>神奈川県横浜市西区北幸1-5</x:v>
      </x:c>
      <x:c r="C28" s="18" t="str">
        <x:v>navitime:02022-10022980</x:v>
      </x:c>
      <x:c r="D28" s="19" t="str">
        <x:v>官方身份待审核</x:v>
      </x:c>
      <x:c r="E28" s="19" t="str">
        <x:v>https://www.navitime.co.jp/poi?spot=02022-10022980</x:v>
      </x:c>
      <x:c r="F28" s="19" t="str">
        <x:v>https://www.navitime.co.jp/category/0815/14/
https://www.navitime.co.jp/category/0815/?page=9</x:v>
      </x:c>
      <x:c r="G28" s="18" t="str">
        <x:v>否</x:v>
      </x:c>
      <x:c r="H28" s="18" t="str">
        <x:v>否</x:v>
      </x:c>
      <x:c r="I28" s="18" t="str">
        <x:v>否</x:v>
      </x:c>
    </x:row>
    <x:row r="29" ht="33" customHeight="1">
      <x:c r="A29" s="19" t="str">
        <x:v>横浜駅東口スカイビル(YCAT)前停留所</x:v>
      </x:c>
      <x:c r="B29" s="19" t="str">
        <x:v>神奈川県横浜市西区高島2-19</x:v>
      </x:c>
      <x:c r="C29" s="18" t="str">
        <x:v>navitime:02022-10022982</x:v>
      </x:c>
      <x:c r="D29" s="19" t="str">
        <x:v>官方身份待审核</x:v>
      </x:c>
      <x:c r="E29" s="19" t="str">
        <x:v>https://www.navitime.co.jp/poi?spot=02022-10022982</x:v>
      </x:c>
      <x:c r="F29" s="19" t="str">
        <x:v>https://www.navitime.co.jp/category/0815/14/
https://www.navitime.co.jp/category/0815/?page=4</x:v>
      </x:c>
      <x:c r="G29" s="18" t="str">
        <x:v>否</x:v>
      </x:c>
      <x:c r="H29" s="18" t="str">
        <x:v>否</x:v>
      </x:c>
      <x:c r="I29" s="18" t="str">
        <x:v>否</x:v>
      </x:c>
    </x:row>
    <x:row r="30" ht="33" customHeight="1">
      <x:c r="A30" s="19" t="str">
        <x:v>広島駅新幹線口広場バス乗降場(広島駅バスバース)</x:v>
      </x:c>
      <x:c r="B30" s="19" t="str">
        <x:v>広島県広島市南区松原町1</x:v>
      </x:c>
      <x:c r="C30" s="18" t="str">
        <x:v>navitime:02022-10022983</x:v>
      </x:c>
      <x:c r="D30" s="19" t="str">
        <x:v>官方身份待审核</x:v>
      </x:c>
      <x:c r="E30" s="19" t="str">
        <x:v>https://www.navitime.co.jp/poi?spot=02022-10022983</x:v>
      </x:c>
      <x:c r="F30" s="19" t="str">
        <x:v>https://www.navitime.co.jp/category/0815/34/
https://www.navitime.co.jp/category/0815/?page=4</x:v>
      </x:c>
      <x:c r="G30" s="18" t="str">
        <x:v>否</x:v>
      </x:c>
      <x:c r="H30" s="18" t="str">
        <x:v>否</x:v>
      </x:c>
      <x:c r="I30" s="18" t="str">
        <x:v>否</x:v>
      </x:c>
    </x:row>
    <x:row r="31" ht="33" customHeight="1">
      <x:c r="A31" s="19" t="str">
        <x:v>岡山駅西口貸切バスバース</x:v>
      </x:c>
      <x:c r="B31" s="19" t="str">
        <x:v>岡山県岡山市北区駅元町</x:v>
      </x:c>
      <x:c r="C31" s="18" t="str">
        <x:v>navitime:02022-10022984</x:v>
      </x:c>
      <x:c r="D31" s="19" t="str">
        <x:v>官方身份待审核</x:v>
      </x:c>
      <x:c r="E31" s="19" t="str">
        <x:v>https://www.navitime.co.jp/poi?spot=02022-10022984</x:v>
      </x:c>
      <x:c r="F31" s="19" t="str">
        <x:v>https://www.navitime.co.jp/category/0815/33/
https://www.navitime.co.jp/category/0815/?page=6</x:v>
      </x:c>
      <x:c r="G31" s="18" t="str">
        <x:v>否</x:v>
      </x:c>
      <x:c r="H31" s="18" t="str">
        <x:v>否</x:v>
      </x:c>
      <x:c r="I31" s="18" t="str">
        <x:v>否</x:v>
      </x:c>
    </x:row>
    <x:row r="32" ht="33" customHeight="1">
      <x:c r="A32" s="19" t="str">
        <x:v>札幌駅北口駅前広場バスバース</x:v>
      </x:c>
      <x:c r="B32" s="19" t="str">
        <x:v>北海道札幌市北区北7条西3丁目</x:v>
      </x:c>
      <x:c r="C32" s="18" t="str">
        <x:v>navitime:02022-10023414</x:v>
      </x:c>
      <x:c r="D32" s="19" t="str">
        <x:v>官方身份待审核</x:v>
      </x:c>
      <x:c r="E32" s="19" t="str">
        <x:v>https://www.navitime.co.jp/poi?spot=02022-10023414</x:v>
      </x:c>
      <x:c r="F32" s="19" t="str">
        <x:v>https://www.navitime.co.jp/category/0815/01/?page=2
https://www.navitime.co.jp/category/0815/?page=9</x:v>
      </x:c>
      <x:c r="G32" s="18" t="str">
        <x:v>否</x:v>
      </x:c>
      <x:c r="H32" s="18" t="str">
        <x:v>否</x:v>
      </x:c>
      <x:c r="I32" s="18" t="str">
        <x:v>否</x:v>
      </x:c>
    </x:row>
    <x:row r="33" ht="33" customHeight="1">
      <x:c r="A33" s="19" t="str">
        <x:v>渋谷マークシティ高速バス乗り場</x:v>
      </x:c>
      <x:c r="B33" s="19" t="str">
        <x:v>東京都渋谷区道玄坂2丁目7-3</x:v>
      </x:c>
      <x:c r="C33" s="18" t="str">
        <x:v>navitime:02022-10035000</x:v>
      </x:c>
      <x:c r="D33" s="19" t="str">
        <x:v>官方身份待审核</x:v>
      </x:c>
      <x:c r="E33" s="19" t="str">
        <x:v>https://www.navitime.co.jp/poi?spot=02022-10035000</x:v>
      </x:c>
      <x:c r="F33" s="19" t="str">
        <x:v>https://www.navitime.co.jp/category/0815/13/?page=2
https://www.navitime.co.jp/category/0815/?page=4</x:v>
      </x:c>
      <x:c r="G33" s="18" t="str">
        <x:v>否</x:v>
      </x:c>
      <x:c r="H33" s="18" t="str">
        <x:v>否</x:v>
      </x:c>
      <x:c r="I33" s="18" t="str">
        <x:v>否</x:v>
      </x:c>
    </x:row>
    <x:row r="34" ht="33" customHeight="1">
      <x:c r="A34" s="19" t="str">
        <x:v>町田バスセンター</x:v>
      </x:c>
      <x:c r="B34" s="19" t="str">
        <x:v>東京都町田市森野1丁目15</x:v>
      </x:c>
      <x:c r="C34" s="18" t="str">
        <x:v>navitime:02022-10035001</x:v>
      </x:c>
      <x:c r="D34" s="19" t="str">
        <x:v>官方身份待审核</x:v>
      </x:c>
      <x:c r="E34" s="19" t="str">
        <x:v>https://www.navitime.co.jp/poi?spot=02022-10035001</x:v>
      </x:c>
      <x:c r="F34" s="19" t="str">
        <x:v>https://www.navitime.co.jp/category/0815/13/?page=2
https://www.navitime.co.jp/category/0815/?page=4</x:v>
      </x:c>
      <x:c r="G34" s="18" t="str">
        <x:v>否</x:v>
      </x:c>
      <x:c r="H34" s="18" t="str">
        <x:v>否</x:v>
      </x:c>
      <x:c r="I34" s="18" t="str">
        <x:v>否</x:v>
      </x:c>
    </x:row>
    <x:row r="35" ht="33" customHeight="1">
      <x:c r="A35" s="19" t="str">
        <x:v>バスステーション広島駅北口</x:v>
      </x:c>
      <x:c r="B35" s="19" t="str">
        <x:v>広島県広島市東区二葉の里3丁目5-7 GRANODE広島 1階</x:v>
      </x:c>
      <x:c r="C35" s="18" t="str">
        <x:v>navitime:02022-10035006</x:v>
      </x:c>
      <x:c r="D35" s="19" t="str">
        <x:v>官方身份待审核</x:v>
      </x:c>
      <x:c r="E35" s="19" t="str">
        <x:v>https://www.navitime.co.jp/poi?spot=02022-10035006</x:v>
      </x:c>
      <x:c r="F35" s="19" t="str">
        <x:v>https://www.navitime.co.jp/category/0815/34/
https://www.navitime.co.jp/category/0815/?page=9</x:v>
      </x:c>
      <x:c r="G35" s="18" t="str">
        <x:v>否</x:v>
      </x:c>
      <x:c r="H35" s="18" t="str">
        <x:v>否</x:v>
      </x:c>
      <x:c r="I35" s="18" t="str">
        <x:v>否</x:v>
      </x:c>
    </x:row>
    <x:row r="36" ht="33" customHeight="1">
      <x:c r="A36" s="19" t="str">
        <x:v>バスターミナル東京八重洲 地下B</x:v>
      </x:c>
      <x:c r="B36" s="19" t="str">
        <x:v>東京都中央区八重洲2-2-1 東京ミッドタウン八重洲内</x:v>
      </x:c>
      <x:c r="C36" s="18" t="str">
        <x:v>navitime:02022-10035028</x:v>
      </x:c>
      <x:c r="D36" s="19" t="str">
        <x:v>官方身份待审核</x:v>
      </x:c>
      <x:c r="E36" s="19" t="str">
        <x:v>https://www.navitime.co.jp/poi?spot=02022-10035028</x:v>
      </x:c>
      <x:c r="F36" s="19" t="str">
        <x:v>https://www.navitime.co.jp/category/0815/
https://www.navitime.co.jp/category/0815/13/</x:v>
      </x:c>
      <x:c r="G36" s="18" t="str">
        <x:v>否</x:v>
      </x:c>
      <x:c r="H36" s="18" t="str">
        <x:v>否</x:v>
      </x:c>
      <x:c r="I36" s="18" t="str">
        <x:v>否</x:v>
      </x:c>
    </x:row>
    <x:row r="37" ht="33" customHeight="1">
      <x:c r="A37" s="19" t="str">
        <x:v>京都駅八条口 貸切バス乗降場</x:v>
      </x:c>
      <x:c r="B37" s="19" t="str">
        <x:v>京都府京都市南区東九条西山王町</x:v>
      </x:c>
      <x:c r="C37" s="18" t="str">
        <x:v>navitime:02022-10035495</x:v>
      </x:c>
      <x:c r="D37" s="19" t="str">
        <x:v>官方身份待审核</x:v>
      </x:c>
      <x:c r="E37" s="19" t="str">
        <x:v>https://www.navitime.co.jp/poi?spot=02022-10035495</x:v>
      </x:c>
      <x:c r="F37" s="19" t="str">
        <x:v>https://www.navitime.co.jp/category/0815/26/
https://www.navitime.co.jp/category/0815/?page=3</x:v>
      </x:c>
      <x:c r="G37" s="18" t="str">
        <x:v>否</x:v>
      </x:c>
      <x:c r="H37" s="18" t="str">
        <x:v>否</x:v>
      </x:c>
      <x:c r="I37" s="18" t="str">
        <x:v>否</x:v>
      </x:c>
    </x:row>
    <x:row r="38" ht="33" customHeight="1">
      <x:c r="A38" s="19" t="str">
        <x:v>善通寺インターバスターミナル</x:v>
      </x:c>
      <x:c r="B38" s="19" t="str">
        <x:v>香川県善通寺市原田町</x:v>
      </x:c>
      <x:c r="C38" s="18" t="str">
        <x:v>navitime:02022-10040034</x:v>
      </x:c>
      <x:c r="D38" s="19" t="str">
        <x:v>官方身份待审核</x:v>
      </x:c>
      <x:c r="E38" s="19" t="str">
        <x:v>https://www.navitime.co.jp/poi?spot=02022-10040034</x:v>
      </x:c>
      <x:c r="F38" s="19" t="str">
        <x:v>https://www.navitime.co.jp/category/0815/37/
https://www.navitime.co.jp/category/0815/?page=9</x:v>
      </x:c>
      <x:c r="G38" s="18" t="str">
        <x:v>否</x:v>
      </x:c>
      <x:c r="H38" s="18" t="str">
        <x:v>否</x:v>
      </x:c>
      <x:c r="I38" s="18" t="str">
        <x:v>否</x:v>
      </x:c>
    </x:row>
    <x:row r="39" ht="33" customHeight="1">
      <x:c r="A39" s="19" t="str">
        <x:v>中標津バスターミナル</x:v>
      </x:c>
      <x:c r="B39" s="19" t="str">
        <x:v>北海道標津郡中標津町東2条南2-1</x:v>
      </x:c>
      <x:c r="C39" s="18" t="str">
        <x:v>navitime:02022-10047080</x:v>
      </x:c>
      <x:c r="D39" s="19" t="str">
        <x:v>官方身份待审核</x:v>
      </x:c>
      <x:c r="E39" s="19" t="str">
        <x:v>https://www.navitime.co.jp/poi?spot=02022-10047080</x:v>
      </x:c>
      <x:c r="F39" s="19" t="str">
        <x:v>https://www.navitime.co.jp/category/0815/01/
https://www.navitime.co.jp/category/0815/?page=5</x:v>
      </x:c>
      <x:c r="G39" s="18" t="str">
        <x:v>否</x:v>
      </x:c>
      <x:c r="H39" s="18" t="str">
        <x:v>否</x:v>
      </x:c>
      <x:c r="I39" s="18" t="str">
        <x:v>否</x:v>
      </x:c>
    </x:row>
    <x:row r="40" ht="33" customHeight="1">
      <x:c r="A40" s="19" t="str">
        <x:v>羽田空港第1ターミナル バス降車場</x:v>
      </x:c>
      <x:c r="B40" s="19" t="str">
        <x:v>東京都大田区羽田空港3丁目3 2階</x:v>
      </x:c>
      <x:c r="C40" s="18" t="str">
        <x:v>navitime:02022-10048867</x:v>
      </x:c>
      <x:c r="D40" s="19" t="str">
        <x:v>官方身份待审核</x:v>
      </x:c>
      <x:c r="E40" s="19" t="str">
        <x:v>https://www.navitime.co.jp/poi?spot=02022-10048867</x:v>
      </x:c>
      <x:c r="F40" s="19" t="str">
        <x:v>https://www.navitime.co.jp/category/0815/13/
https://www.navitime.co.jp/category/0815/?page=2</x:v>
      </x:c>
      <x:c r="G40" s="18" t="str">
        <x:v>否</x:v>
      </x:c>
      <x:c r="H40" s="18" t="str">
        <x:v>否</x:v>
      </x:c>
      <x:c r="I40" s="18" t="str">
        <x:v>否</x:v>
      </x:c>
    </x:row>
    <x:row r="41" ht="33" customHeight="1">
      <x:c r="A41" s="19" t="str">
        <x:v>羽田空港第2ターミナル バス降車場</x:v>
      </x:c>
      <x:c r="B41" s="19" t="str">
        <x:v>東京都大田区羽田空港3丁目3 2階出発階</x:v>
      </x:c>
      <x:c r="C41" s="18" t="str">
        <x:v>navitime:02022-10048870</x:v>
      </x:c>
      <x:c r="D41" s="19" t="str">
        <x:v>官方身份待审核</x:v>
      </x:c>
      <x:c r="E41" s="19" t="str">
        <x:v>https://www.navitime.co.jp/poi?spot=02022-10048870</x:v>
      </x:c>
      <x:c r="F41" s="19" t="str">
        <x:v>https://www.navitime.co.jp/category/0815/
https://www.navitime.co.jp/category/0815/13/</x:v>
      </x:c>
      <x:c r="G41" s="18" t="str">
        <x:v>否</x:v>
      </x:c>
      <x:c r="H41" s="18" t="str">
        <x:v>否</x:v>
      </x:c>
      <x:c r="I41" s="18" t="str">
        <x:v>否</x:v>
      </x:c>
    </x:row>
    <x:row r="42" ht="33" customHeight="1">
      <x:c r="A42" s="19" t="str">
        <x:v>羽田空港第2ターミナル 貸切バス乗り場</x:v>
      </x:c>
      <x:c r="B42" s="19" t="str">
        <x:v>東京都大田区羽田空港3丁目3 2階出発階</x:v>
      </x:c>
      <x:c r="C42" s="18" t="str">
        <x:v>navitime:02022-10048871</x:v>
      </x:c>
      <x:c r="D42" s="19" t="str">
        <x:v>官方身份待审核</x:v>
      </x:c>
      <x:c r="E42" s="19" t="str">
        <x:v>https://www.navitime.co.jp/poi?spot=02022-10048871</x:v>
      </x:c>
      <x:c r="F42" s="19" t="str">
        <x:v>https://www.navitime.co.jp/category/0815/13/?page=3
https://www.navitime.co.jp/category/0815/?page=10</x:v>
      </x:c>
      <x:c r="G42" s="18" t="str">
        <x:v>否</x:v>
      </x:c>
      <x:c r="H42" s="18" t="str">
        <x:v>否</x:v>
      </x:c>
      <x:c r="I42" s="18" t="str">
        <x:v>否</x:v>
      </x:c>
    </x:row>
    <x:row r="43" ht="33" customHeight="1">
      <x:c r="A43" s="19" t="str">
        <x:v>羽田空港第3ターミナル バス降車場</x:v>
      </x:c>
      <x:c r="B43" s="19" t="str">
        <x:v>東京都大田区羽田空港2丁目6</x:v>
      </x:c>
      <x:c r="C43" s="18" t="str">
        <x:v>navitime:02022-10048872</x:v>
      </x:c>
      <x:c r="D43" s="19" t="str">
        <x:v>官方身份待审核</x:v>
      </x:c>
      <x:c r="E43" s="19" t="str">
        <x:v>https://www.navitime.co.jp/poi?spot=02022-10048872</x:v>
      </x:c>
      <x:c r="F43" s="19" t="str">
        <x:v>https://www.navitime.co.jp/category/0815/13/
https://www.navitime.co.jp/category/0815/?page=2</x:v>
      </x:c>
      <x:c r="G43" s="18" t="str">
        <x:v>否</x:v>
      </x:c>
      <x:c r="H43" s="18" t="str">
        <x:v>否</x:v>
      </x:c>
      <x:c r="I43" s="18" t="str">
        <x:v>否</x:v>
      </x:c>
    </x:row>
    <x:row r="44" ht="33" customHeight="1">
      <x:c r="A44" s="19" t="str">
        <x:v>北野 観光バス乗降車場</x:v>
      </x:c>
      <x:c r="B44" s="19" t="str">
        <x:v>兵庫県神戸市中央区中山手通2丁目20-4</x:v>
      </x:c>
      <x:c r="C44" s="18" t="str">
        <x:v>navitime:02022-10048923</x:v>
      </x:c>
      <x:c r="D44" s="19" t="str">
        <x:v>官方身份待审核</x:v>
      </x:c>
      <x:c r="E44" s="19" t="str">
        <x:v>https://www.navitime.co.jp/poi?spot=02022-10048923</x:v>
      </x:c>
      <x:c r="F44" s="19" t="str">
        <x:v>https://www.navitime.co.jp/category/0815/28/
https://www.navitime.co.jp/category/0815/?page=10</x:v>
      </x:c>
      <x:c r="G44" s="18" t="str">
        <x:v>否</x:v>
      </x:c>
      <x:c r="H44" s="18" t="str">
        <x:v>否</x:v>
      </x:c>
      <x:c r="I44" s="18" t="str">
        <x:v>否</x:v>
      </x:c>
    </x:row>
    <x:row r="45" ht="33" customHeight="1">
      <x:c r="A45" s="19" t="str">
        <x:v>元町地区貸切バス乗降場</x:v>
      </x:c>
      <x:c r="B45" s="19" t="str">
        <x:v>兵庫県神戸市中央区元町通2丁目8-14</x:v>
      </x:c>
      <x:c r="C45" s="18" t="str">
        <x:v>navitime:02022-10048924</x:v>
      </x:c>
      <x:c r="D45" s="19" t="str">
        <x:v>官方身份待审核</x:v>
      </x:c>
      <x:c r="E45" s="19" t="str">
        <x:v>https://www.navitime.co.jp/poi?spot=02022-10048924</x:v>
      </x:c>
      <x:c r="F45" s="19" t="str">
        <x:v>https://www.navitime.co.jp/category/0815/28/
https://www.navitime.co.jp/category/0815/?page=10</x:v>
      </x:c>
      <x:c r="G45" s="18" t="str">
        <x:v>否</x:v>
      </x:c>
      <x:c r="H45" s="18" t="str">
        <x:v>否</x:v>
      </x:c>
      <x:c r="I45" s="18" t="str">
        <x:v>否</x:v>
      </x:c>
    </x:row>
    <x:row r="46" ht="33" customHeight="1">
      <x:c r="A46" s="19" t="str">
        <x:v>岐阜駅北口駅前広場 団体バス乗降場</x:v>
      </x:c>
      <x:c r="B46" s="19" t="str">
        <x:v>岐阜県岐阜市橋本町1丁目100</x:v>
      </x:c>
      <x:c r="C46" s="18" t="str">
        <x:v>navitime:02022-10050944</x:v>
      </x:c>
      <x:c r="D46" s="19" t="str">
        <x:v>官方身份待审核</x:v>
      </x:c>
      <x:c r="E46" s="19" t="str">
        <x:v>https://www.navitime.co.jp/poi?spot=02022-10050944</x:v>
      </x:c>
      <x:c r="F46" s="19" t="str">
        <x:v>https://www.navitime.co.jp/category/0815/21/
https://www.navitime.co.jp/category/0815/?page=10</x:v>
      </x:c>
      <x:c r="G46" s="18" t="str">
        <x:v>否</x:v>
      </x:c>
      <x:c r="H46" s="18" t="str">
        <x:v>否</x:v>
      </x:c>
      <x:c r="I46" s="18" t="str">
        <x:v>否</x:v>
      </x:c>
    </x:row>
    <x:row r="47" ht="33" customHeight="1">
      <x:c r="A47" s="19" t="str">
        <x:v>おうらバスターミナル</x:v>
      </x:c>
      <x:c r="B47" s="19" t="str">
        <x:v>群馬県邑楽郡邑楽町狸塚</x:v>
      </x:c>
      <x:c r="C47" s="18" t="str">
        <x:v>navitime:02022-10056258</x:v>
      </x:c>
      <x:c r="D47" s="19" t="str">
        <x:v>官方身份待审核</x:v>
      </x:c>
      <x:c r="E47" s="19" t="str">
        <x:v>https://www.navitime.co.jp/poi?spot=02022-10056258</x:v>
      </x:c>
      <x:c r="F47" s="19" t="str">
        <x:v>https://www.navitime.co.jp/category/0815/10/
https://www.navitime.co.jp/category/0815/?page=10</x:v>
      </x:c>
      <x:c r="G47" s="18" t="str">
        <x:v>否</x:v>
      </x:c>
      <x:c r="H47" s="18" t="str">
        <x:v>否</x:v>
      </x:c>
      <x:c r="I47" s="18" t="str">
        <x:v>否</x:v>
      </x:c>
    </x:row>
    <x:row r="48" ht="33" customHeight="1">
      <x:c r="A48" s="19" t="str">
        <x:v>お旅駐車場 観光バス乗降場</x:v>
      </x:c>
      <x:c r="B48" s="19" t="str">
        <x:v>滋賀県長浜市南呉服町10</x:v>
      </x:c>
      <x:c r="C48" s="18" t="str">
        <x:v>navitime:02022-10057072</x:v>
      </x:c>
      <x:c r="D48" s="19" t="str">
        <x:v>官方身份待审核</x:v>
      </x:c>
      <x:c r="E48" s="19" t="str">
        <x:v>https://www.navitime.co.jp/poi?spot=02022-10057072</x:v>
      </x:c>
      <x:c r="F48" s="19" t="str">
        <x:v>https://www.navitime.co.jp/category/0815/25/
https://www.navitime.co.jp/category/0815/?page=10</x:v>
      </x:c>
      <x:c r="G48" s="18" t="str">
        <x:v>否</x:v>
      </x:c>
      <x:c r="H48" s="18" t="str">
        <x:v>否</x:v>
      </x:c>
      <x:c r="I48" s="18" t="str">
        <x:v>否</x:v>
      </x:c>
    </x:row>
    <x:row r="49" ht="33" customHeight="1">
      <x:c r="A49" s="19" t="str">
        <x:v>銀座六丁目バス乗降所</x:v>
      </x:c>
      <x:c r="B49" s="19" t="str">
        <x:v>東京都中央区銀座6丁目10番先から同12番先(三原通り)</x:v>
      </x:c>
      <x:c r="C49" s="18" t="str">
        <x:v>navitime:02022-10060646</x:v>
      </x:c>
      <x:c r="D49" s="19" t="str">
        <x:v>官方身份待审核</x:v>
      </x:c>
      <x:c r="E49" s="19" t="str">
        <x:v>https://www.navitime.co.jp/poi?spot=02022-10060646</x:v>
      </x:c>
      <x:c r="F49" s="19" t="str">
        <x:v>https://www.navitime.co.jp/category/0815/13/?page=2
https://www.navitime.co.jp/category/0815/?page=4</x:v>
      </x:c>
      <x:c r="G49" s="18" t="str">
        <x:v>否</x:v>
      </x:c>
      <x:c r="H49" s="18" t="str">
        <x:v>否</x:v>
      </x:c>
      <x:c r="I49" s="18" t="str">
        <x:v>否</x:v>
      </x:c>
    </x:row>
    <x:row r="50" ht="33" customHeight="1">
      <x:c r="A50" s="19" t="str">
        <x:v>リナシティかのやバス待合所</x:v>
      </x:c>
      <x:c r="B50" s="19" t="str">
        <x:v>鹿児島県鹿屋市大手町1-1 リナシティかのや(鹿屋市市民交流センター)1F</x:v>
      </x:c>
      <x:c r="C50" s="18" t="str">
        <x:v>navitime:02022-10061331</x:v>
      </x:c>
      <x:c r="D50" s="19" t="str">
        <x:v>官方身份待审核</x:v>
      </x:c>
      <x:c r="E50" s="19" t="str">
        <x:v>https://www.navitime.co.jp/poi?spot=02022-10061331</x:v>
      </x:c>
      <x:c r="F50" s="19" t="str">
        <x:v>https://www.navitime.co.jp/category/0815/46/
https://www.navitime.co.jp/category/0815/?page=10</x:v>
      </x:c>
      <x:c r="G50" s="18" t="str">
        <x:v>否</x:v>
      </x:c>
      <x:c r="H50" s="18" t="str">
        <x:v>否</x:v>
      </x:c>
      <x:c r="I50" s="18" t="str">
        <x:v>否</x:v>
      </x:c>
    </x:row>
    <x:row r="51" ht="33" customHeight="1">
      <x:c r="A51" s="19" t="str">
        <x:v>夢洲乗降場</x:v>
      </x:c>
      <x:c r="B51" s="19" t="str">
        <x:v>大阪府大阪市此花区夢洲中 夢洲第2交通ターミナル内</x:v>
      </x:c>
      <x:c r="C51" s="18" t="str">
        <x:v>navitime:02022-10069718</x:v>
      </x:c>
      <x:c r="D51" s="19" t="str">
        <x:v>官方身份待审核</x:v>
      </x:c>
      <x:c r="E51" s="19" t="str">
        <x:v>https://www.navitime.co.jp/poi?spot=02022-10069718</x:v>
      </x:c>
      <x:c r="F51" s="19" t="str">
        <x:v>https://www.navitime.co.jp/category/0815/27/
https://www.navitime.co.jp/category/0815/?page=10</x:v>
      </x:c>
      <x:c r="G51" s="18" t="str">
        <x:v>否</x:v>
      </x:c>
      <x:c r="H51" s="18" t="str">
        <x:v>否</x:v>
      </x:c>
      <x:c r="I51" s="18" t="str">
        <x:v>否</x:v>
      </x:c>
    </x:row>
    <x:row r="52" ht="33" customHeight="1">
      <x:c r="A52" s="19" t="str">
        <x:v>舞洲待機場</x:v>
      </x:c>
      <x:c r="B52" s="19" t="str">
        <x:v>大阪府大阪市此花区北港緑地2 舞洲P&amp;R駐車場B内</x:v>
      </x:c>
      <x:c r="C52" s="18" t="str">
        <x:v>navitime:02022-10069719</x:v>
      </x:c>
      <x:c r="D52" s="19" t="str">
        <x:v>官方身份待审核</x:v>
      </x:c>
      <x:c r="E52" s="19" t="str">
        <x:v>https://www.navitime.co.jp/poi?spot=02022-10069719</x:v>
      </x:c>
      <x:c r="F52" s="19" t="str">
        <x:v>https://www.navitime.co.jp/category/0815/27/
https://www.navitime.co.jp/category/0815/?page=10</x:v>
      </x:c>
      <x:c r="G52" s="18" t="str">
        <x:v>否</x:v>
      </x:c>
      <x:c r="H52" s="18" t="str">
        <x:v>否</x:v>
      </x:c>
      <x:c r="I52" s="18" t="str">
        <x:v>否</x:v>
      </x:c>
    </x:row>
    <x:row r="53" ht="33" customHeight="1">
      <x:c r="A53" s="19" t="str">
        <x:v>神戸駅前バス整理場</x:v>
      </x:c>
      <x:c r="B53" s="19" t="str">
        <x:v>兵庫県神戸市中央区東川崎町1-2</x:v>
      </x:c>
      <x:c r="C53" s="18" t="str">
        <x:v>navitime:02022-10069720</x:v>
      </x:c>
      <x:c r="D53" s="19" t="str">
        <x:v>官方身份待审核</x:v>
      </x:c>
      <x:c r="E53" s="19" t="str">
        <x:v>https://www.navitime.co.jp/poi?spot=02022-10069720</x:v>
      </x:c>
      <x:c r="F53" s="19" t="str">
        <x:v>https://www.navitime.co.jp/category/0815/28/
https://www.navitime.co.jp/category/0815/?page=10</x:v>
      </x:c>
      <x:c r="G53" s="18" t="str">
        <x:v>否</x:v>
      </x:c>
      <x:c r="H53" s="18" t="str">
        <x:v>否</x:v>
      </x:c>
      <x:c r="I53" s="18" t="str">
        <x:v>否</x:v>
      </x:c>
    </x:row>
    <x:row r="54" ht="33" customHeight="1">
      <x:c r="A54" s="19" t="str">
        <x:v>アクトシティ南バスのりば</x:v>
      </x:c>
      <x:c r="B54" s="19" t="str">
        <x:v>静岡県浜松市中央区砂山町</x:v>
      </x:c>
      <x:c r="C54" s="18" t="str">
        <x:v>navitime:02022-10078368</x:v>
      </x:c>
      <x:c r="D54" s="19" t="str">
        <x:v>官方身份待审核</x:v>
      </x:c>
      <x:c r="E54" s="19" t="str">
        <x:v>https://www.navitime.co.jp/poi?spot=02022-10078368</x:v>
      </x:c>
      <x:c r="F54" s="19" t="str">
        <x:v>https://www.navitime.co.jp/category/0815/22/
https://www.navitime.co.jp/category/0815/?page=10</x:v>
      </x:c>
      <x:c r="G54" s="18" t="str">
        <x:v>否</x:v>
      </x:c>
      <x:c r="H54" s="18" t="str">
        <x:v>否</x:v>
      </x:c>
      <x:c r="I54" s="18" t="str">
        <x:v>否</x:v>
      </x:c>
    </x:row>
    <x:row r="55" ht="33" customHeight="1">
      <x:c r="A55" s="19" t="str">
        <x:v>鹿児島銀行前観光バス乗降所</x:v>
      </x:c>
      <x:c r="B55" s="19" t="str">
        <x:v>鹿児島県鹿児島市泉町3</x:v>
      </x:c>
      <x:c r="C55" s="18" t="str">
        <x:v>navitime:02022-10079151</x:v>
      </x:c>
      <x:c r="D55" s="19" t="str">
        <x:v>官方身份待审核</x:v>
      </x:c>
      <x:c r="E55" s="19" t="str">
        <x:v>https://www.navitime.co.jp/poi?spot=02022-10079151</x:v>
      </x:c>
      <x:c r="F55" s="19" t="str">
        <x:v>https://www.navitime.co.jp/category/0815/46/
https://www.navitime.co.jp/category/0815/?page=10</x:v>
      </x:c>
      <x:c r="G55" s="18" t="str">
        <x:v>否</x:v>
      </x:c>
      <x:c r="H55" s="18" t="str">
        <x:v>否</x:v>
      </x:c>
      <x:c r="I55" s="18" t="str">
        <x:v>否</x:v>
      </x:c>
    </x:row>
    <x:row r="56" ht="33" customHeight="1">
      <x:c r="A56" s="19" t="str">
        <x:v>清水渓流広場 バス乗降場</x:v>
      </x:c>
      <x:c r="B56" s="19" t="str">
        <x:v>千葉県君津市笹1954-17</x:v>
      </x:c>
      <x:c r="C56" s="18" t="str">
        <x:v>navitime:02022-10079558</x:v>
      </x:c>
      <x:c r="D56" s="19" t="str">
        <x:v>官方身份待审核</x:v>
      </x:c>
      <x:c r="E56" s="19" t="str">
        <x:v>https://www.navitime.co.jp/poi?spot=02022-10079558</x:v>
      </x:c>
      <x:c r="F56" s="19" t="str">
        <x:v>https://www.navitime.co.jp/category/0815/12/
https://www.navitime.co.jp/category/0815/?page=10</x:v>
      </x:c>
      <x:c r="G56" s="18" t="str">
        <x:v>否</x:v>
      </x:c>
      <x:c r="H56" s="18" t="str">
        <x:v>否</x:v>
      </x:c>
      <x:c r="I56" s="18" t="str">
        <x:v>否</x:v>
      </x:c>
    </x:row>
    <x:row r="57" ht="33" customHeight="1">
      <x:c r="A57" s="19" t="str">
        <x:v>中部国際空港セントレア第1ターミナル 団体バス降車場</x:v>
      </x:c>
      <x:c r="B57" s="19" t="str">
        <x:v>愛知県常滑市セントレア1 中部国際空港セントレア第1ターミナルビル1F</x:v>
      </x:c>
      <x:c r="C57" s="18" t="str">
        <x:v>navitime:02022-10081993</x:v>
      </x:c>
      <x:c r="D57" s="19" t="str">
        <x:v>官方身份待审核</x:v>
      </x:c>
      <x:c r="E57" s="19" t="str">
        <x:v>https://www.navitime.co.jp/poi?spot=02022-10081993</x:v>
      </x:c>
      <x:c r="F57" s="19" t="str">
        <x:v>https://www.navitime.co.jp/category/0815/23/
https://www.navitime.co.jp/category/0815/?page=10</x:v>
      </x:c>
      <x:c r="G57" s="18" t="str">
        <x:v>否</x:v>
      </x:c>
      <x:c r="H57" s="18" t="str">
        <x:v>否</x:v>
      </x:c>
      <x:c r="I57" s="18" t="str">
        <x:v>否</x:v>
      </x:c>
    </x:row>
    <x:row r="58" ht="33" customHeight="1">
      <x:c r="A58" s="19" t="str">
        <x:v>中部国際空港セントレア第2ターミナル 団体バスのりば2</x:v>
      </x:c>
      <x:c r="B58" s="19" t="str">
        <x:v>愛知県常滑市セントレア5</x:v>
      </x:c>
      <x:c r="C58" s="18" t="str">
        <x:v>navitime:02022-10081995</x:v>
      </x:c>
      <x:c r="D58" s="19" t="str">
        <x:v>官方身份待审核</x:v>
      </x:c>
      <x:c r="E58" s="19" t="str">
        <x:v>https://www.navitime.co.jp/poi?spot=02022-10081995</x:v>
      </x:c>
      <x:c r="F58" s="19" t="str">
        <x:v>https://www.navitime.co.jp/category/0815/23/
https://www.navitime.co.jp/category/0815/?page=10</x:v>
      </x:c>
      <x:c r="G58" s="18" t="str">
        <x:v>否</x:v>
      </x:c>
      <x:c r="H58" s="18" t="str">
        <x:v>否</x:v>
      </x:c>
      <x:c r="I58" s="18" t="str">
        <x:v>否</x:v>
      </x:c>
    </x:row>
    <x:row r="59" ht="33" customHeight="1">
      <x:c r="A59" s="19" t="str">
        <x:v>月島観光バス乗降場</x:v>
      </x:c>
      <x:c r="B59" s="19" t="str">
        <x:v>東京都中央区月島1-3</x:v>
      </x:c>
      <x:c r="C59" s="18" t="str">
        <x:v>navitime:02022-10083148</x:v>
      </x:c>
      <x:c r="D59" s="19" t="str">
        <x:v>官方身份待审核</x:v>
      </x:c>
      <x:c r="E59" s="19" t="str">
        <x:v>https://www.navitime.co.jp/poi?spot=02022-10083148</x:v>
      </x:c>
      <x:c r="F59" s="19" t="str">
        <x:v>https://www.navitime.co.jp/category/0815/13/?page=3
https://www.navitime.co.jp/category/0815/?page=11</x:v>
      </x:c>
      <x:c r="G59" s="18" t="str">
        <x:v>否</x:v>
      </x:c>
      <x:c r="H59" s="18" t="str">
        <x:v>否</x:v>
      </x:c>
      <x:c r="I59" s="18" t="str">
        <x:v>否</x:v>
      </x:c>
    </x:row>
    <x:row r="60" ht="33" customHeight="1">
      <x:c r="A60" s="19" t="str">
        <x:v>USJ高速バス乗降場</x:v>
      </x:c>
      <x:c r="B60" s="19" t="str">
        <x:v>大阪府大阪市此花区桜島2丁目1</x:v>
      </x:c>
      <x:c r="C60" s="18" t="str">
        <x:v>navitime:02022-10091708</x:v>
      </x:c>
      <x:c r="D60" s="19" t="str">
        <x:v>官方身份待审核</x:v>
      </x:c>
      <x:c r="E60" s="19" t="str">
        <x:v>https://www.navitime.co.jp/poi?spot=02022-10091708</x:v>
      </x:c>
      <x:c r="F60" s="19" t="str">
        <x:v>https://www.navitime.co.jp/category/0815/27/
https://www.navitime.co.jp/category/0815/?page=11</x:v>
      </x:c>
      <x:c r="G60" s="18" t="str">
        <x:v>否</x:v>
      </x:c>
      <x:c r="H60" s="18" t="str">
        <x:v>否</x:v>
      </x:c>
      <x:c r="I60" s="18" t="str">
        <x:v>否</x:v>
      </x:c>
    </x:row>
    <x:row r="61" ht="33" customHeight="1">
      <x:c r="A61" s="19" t="str">
        <x:v>神戸三宮(高架商店街前)高速バス乗り場 Cバース</x:v>
      </x:c>
      <x:c r="B61" s="19" t="str">
        <x:v>兵庫県神戸市中央区北長狭通2丁目30</x:v>
      </x:c>
      <x:c r="C61" s="18" t="str">
        <x:v>navitime:02022-10091711</x:v>
      </x:c>
      <x:c r="D61" s="19" t="str">
        <x:v>官方身份待审核</x:v>
      </x:c>
      <x:c r="E61" s="19" t="str">
        <x:v>https://www.navitime.co.jp/poi?spot=02022-10091711</x:v>
      </x:c>
      <x:c r="F61" s="19" t="str">
        <x:v>https://www.navitime.co.jp/category/0815/28/
https://www.navitime.co.jp/category/0815/?page=11</x:v>
      </x:c>
      <x:c r="G61" s="18" t="str">
        <x:v>否</x:v>
      </x:c>
      <x:c r="H61" s="18" t="str">
        <x:v>否</x:v>
      </x:c>
      <x:c r="I61" s="18" t="str">
        <x:v>否</x:v>
      </x:c>
    </x:row>
    <x:row r="62" ht="33" customHeight="1">
      <x:c r="A62" s="19" t="str">
        <x:v>関西国際空港第1ターミナルビル 団体バス乗降場(北)</x:v>
      </x:c>
      <x:c r="B62" s="19" t="str">
        <x:v>大阪府泉南郡田尻町泉州空港中 第1ターミナルビル1F</x:v>
      </x:c>
      <x:c r="C62" s="18" t="str">
        <x:v>navitime:02022-10091729</x:v>
      </x:c>
      <x:c r="D62" s="19" t="str">
        <x:v>官方身份待审核</x:v>
      </x:c>
      <x:c r="E62" s="19" t="str">
        <x:v>https://www.navitime.co.jp/poi?spot=02022-10091729</x:v>
      </x:c>
      <x:c r="F62" s="19" t="str">
        <x:v>https://www.navitime.co.jp/category/0815/27/
https://www.navitime.co.jp/category/0815/?page=11</x:v>
      </x:c>
      <x:c r="G62" s="18" t="str">
        <x:v>否</x:v>
      </x:c>
      <x:c r="H62" s="18" t="str">
        <x:v>否</x:v>
      </x:c>
      <x:c r="I62" s="18" t="str">
        <x:v>否</x:v>
      </x:c>
    </x:row>
    <x:row r="63" ht="33" customHeight="1">
      <x:c r="A63" s="19" t="str">
        <x:v>関西国際空港第1ターミナルビル 団体バス乗降場(南)</x:v>
      </x:c>
      <x:c r="B63" s="19" t="str">
        <x:v>大阪府泉南郡田尻町泉州空港中 第1ターミナルビル1F</x:v>
      </x:c>
      <x:c r="C63" s="18" t="str">
        <x:v>navitime:02022-10091730</x:v>
      </x:c>
      <x:c r="D63" s="19" t="str">
        <x:v>官方身份待审核</x:v>
      </x:c>
      <x:c r="E63" s="19" t="str">
        <x:v>https://www.navitime.co.jp/poi?spot=02022-10091730</x:v>
      </x:c>
      <x:c r="F63" s="19" t="str">
        <x:v>https://www.navitime.co.jp/category/0815/27/
https://www.navitime.co.jp/category/0815/?page=11</x:v>
      </x:c>
      <x:c r="G63" s="18" t="str">
        <x:v>否</x:v>
      </x:c>
      <x:c r="H63" s="18" t="str">
        <x:v>否</x:v>
      </x:c>
      <x:c r="I63" s="18" t="str">
        <x:v>否</x:v>
      </x:c>
    </x:row>
    <x:row r="64" ht="33" customHeight="1">
      <x:c r="A64" s="19" t="str">
        <x:v>関西国際空港第2ターミナルビル 団体バス降車場</x:v>
      </x:c>
      <x:c r="B64" s="19" t="str">
        <x:v>大阪府泉南郡田尻町泉州空港中 第2ターミナルビル1F</x:v>
      </x:c>
      <x:c r="C64" s="18" t="str">
        <x:v>navitime:02022-10091731</x:v>
      </x:c>
      <x:c r="D64" s="19" t="str">
        <x:v>官方身份待审核</x:v>
      </x:c>
      <x:c r="E64" s="19" t="str">
        <x:v>https://www.navitime.co.jp/poi?spot=02022-10091731</x:v>
      </x:c>
      <x:c r="F64" s="19" t="str">
        <x:v>https://www.navitime.co.jp/category/0815/27/
https://www.navitime.co.jp/category/0815/?page=5</x:v>
      </x:c>
      <x:c r="G64" s="18" t="str">
        <x:v>否</x:v>
      </x:c>
      <x:c r="H64" s="18" t="str">
        <x:v>否</x:v>
      </x:c>
      <x:c r="I64" s="18" t="str">
        <x:v>否</x:v>
      </x:c>
    </x:row>
    <x:row r="65" ht="33" customHeight="1">
      <x:c r="A65" s="19" t="str">
        <x:v>倉敷駅北口観光バス乗降場</x:v>
      </x:c>
      <x:c r="B65" s="19" t="str">
        <x:v>岡山県倉敷市寿町13</x:v>
      </x:c>
      <x:c r="C65" s="18" t="str">
        <x:v>navitime:02022-10092229</x:v>
      </x:c>
      <x:c r="D65" s="19" t="str">
        <x:v>官方身份待审核</x:v>
      </x:c>
      <x:c r="E65" s="19" t="str">
        <x:v>https://www.navitime.co.jp/poi?spot=02022-10092229</x:v>
      </x:c>
      <x:c r="F65" s="19" t="str">
        <x:v>https://www.navitime.co.jp/category/0815/33/
https://www.navitime.co.jp/category/0815/?page=11</x:v>
      </x:c>
      <x:c r="G65" s="18" t="str">
        <x:v>否</x:v>
      </x:c>
      <x:c r="H65" s="18" t="str">
        <x:v>否</x:v>
      </x:c>
      <x:c r="I65" s="18" t="str">
        <x:v>否</x:v>
      </x:c>
    </x:row>
    <x:row r="66" ht="33" customHeight="1">
      <x:c r="A66" s="19" t="str">
        <x:v>倉敷駅南口観光バス乗降場</x:v>
      </x:c>
      <x:c r="B66" s="19" t="str">
        <x:v>岡山県倉敷市阿知1丁目7-2</x:v>
      </x:c>
      <x:c r="C66" s="18" t="str">
        <x:v>navitime:02022-10092230</x:v>
      </x:c>
      <x:c r="D66" s="19" t="str">
        <x:v>官方身份待审核</x:v>
      </x:c>
      <x:c r="E66" s="19" t="str">
        <x:v>https://www.navitime.co.jp/poi?spot=02022-10092230</x:v>
      </x:c>
      <x:c r="F66" s="19" t="str">
        <x:v>https://www.navitime.co.jp/category/0815/33/
https://www.navitime.co.jp/category/0815/?page=11</x:v>
      </x:c>
      <x:c r="G66" s="18" t="str">
        <x:v>否</x:v>
      </x:c>
      <x:c r="H66" s="18" t="str">
        <x:v>否</x:v>
      </x:c>
      <x:c r="I66" s="18" t="str">
        <x:v>否</x:v>
      </x:c>
    </x:row>
    <x:row r="67" ht="33" customHeight="1">
      <x:c r="A67" s="19" t="str">
        <x:v>中央バス札幌ターミナル</x:v>
      </x:c>
      <x:c r="B67" s="19" t="str">
        <x:v>北海道札幌市中央区大通東1-3</x:v>
      </x:c>
      <x:c r="C67" s="18" t="str">
        <x:v>navitime:02022-10100196</x:v>
      </x:c>
      <x:c r="D67" s="19" t="str">
        <x:v>官方身份待审核</x:v>
      </x:c>
      <x:c r="E67" s="19" t="str">
        <x:v>https://www.navitime.co.jp/poi?spot=02022-10100196</x:v>
      </x:c>
      <x:c r="F67" s="19" t="str">
        <x:v>https://www.navitime.co.jp/category/0815/01/
https://www.navitime.co.jp/category/0815/?page=3</x:v>
      </x:c>
      <x:c r="G67" s="18" t="str">
        <x:v>否</x:v>
      </x:c>
      <x:c r="H67" s="18" t="str">
        <x:v>否</x:v>
      </x:c>
      <x:c r="I67" s="18" t="str">
        <x:v>否</x:v>
      </x:c>
    </x:row>
    <x:row r="68" ht="33" customHeight="1">
      <x:c r="A68" s="19" t="str">
        <x:v>福岡空港 国際線 団体バス乗り場</x:v>
      </x:c>
      <x:c r="B68" s="19" t="str">
        <x:v>福岡県福岡市博多区雀居</x:v>
      </x:c>
      <x:c r="C68" s="18" t="str">
        <x:v>navitime:02022-10109069</x:v>
      </x:c>
      <x:c r="D68" s="19" t="str">
        <x:v>官方身份待审核</x:v>
      </x:c>
      <x:c r="E68" s="19" t="str">
        <x:v>https://www.navitime.co.jp/poi?spot=02022-10109069</x:v>
      </x:c>
      <x:c r="F68" s="19" t="str">
        <x:v>https://www.navitime.co.jp/category/0815/40/
https://www.navitime.co.jp/category/0815/?page=11</x:v>
      </x:c>
      <x:c r="G68" s="18" t="str">
        <x:v>否</x:v>
      </x:c>
      <x:c r="H68" s="18" t="str">
        <x:v>否</x:v>
      </x:c>
      <x:c r="I68" s="18" t="str">
        <x:v>否</x:v>
      </x:c>
    </x:row>
    <x:row r="69" ht="33" customHeight="1">
      <x:c r="A69" s="19" t="str">
        <x:v>福岡空港 国内線 団体バス乗り場</x:v>
      </x:c>
      <x:c r="B69" s="19" t="str">
        <x:v>福岡県福岡市博多区上臼井</x:v>
      </x:c>
      <x:c r="C69" s="18" t="str">
        <x:v>navitime:02022-10109070</x:v>
      </x:c>
      <x:c r="D69" s="19" t="str">
        <x:v>官方身份待审核</x:v>
      </x:c>
      <x:c r="E69" s="19" t="str">
        <x:v>https://www.navitime.co.jp/poi?spot=02022-10109070</x:v>
      </x:c>
      <x:c r="F69" s="19" t="str">
        <x:v>https://www.navitime.co.jp/category/0815/40/
https://www.navitime.co.jp/category/0815/?page=11</x:v>
      </x:c>
      <x:c r="G69" s="18" t="str">
        <x:v>否</x:v>
      </x:c>
      <x:c r="H69" s="18" t="str">
        <x:v>否</x:v>
      </x:c>
      <x:c r="I69" s="18" t="str">
        <x:v>否</x:v>
      </x:c>
    </x:row>
    <x:row r="70" ht="33" customHeight="1">
      <x:c r="A70" s="19" t="str">
        <x:v>三保松原 観光バス乗降場</x:v>
      </x:c>
      <x:c r="B70" s="19" t="str">
        <x:v>静岡県静岡市清水区三保松原町7</x:v>
      </x:c>
      <x:c r="C70" s="18" t="str">
        <x:v>navitime:02022-10110999</x:v>
      </x:c>
      <x:c r="D70" s="19" t="str">
        <x:v>官方身份待审核</x:v>
      </x:c>
      <x:c r="E70" s="19" t="str">
        <x:v>https://www.navitime.co.jp/poi?spot=02022-10110999</x:v>
      </x:c>
      <x:c r="F70" s="19" t="str">
        <x:v>https://www.navitime.co.jp/category/0815/22/
https://www.navitime.co.jp/category/0815/?page=11</x:v>
      </x:c>
      <x:c r="G70" s="18" t="str">
        <x:v>否</x:v>
      </x:c>
      <x:c r="H70" s="18" t="str">
        <x:v>否</x:v>
      </x:c>
      <x:c r="I70" s="18" t="str">
        <x:v>否</x:v>
      </x:c>
    </x:row>
    <x:row r="71" ht="33" customHeight="1">
      <x:c r="A71" s="19" t="str">
        <x:v>神戸空港第1ターミナルビル 観光バス乗降場</x:v>
      </x:c>
      <x:c r="B71" s="19" t="str">
        <x:v>兵庫県神戸市中央区神戸空港3</x:v>
      </x:c>
      <x:c r="C71" s="18" t="str">
        <x:v>navitime:02022-10114061</x:v>
      </x:c>
      <x:c r="D71" s="19" t="str">
        <x:v>官方身份待审核</x:v>
      </x:c>
      <x:c r="E71" s="19" t="str">
        <x:v>https://www.navitime.co.jp/poi?spot=02022-10114061</x:v>
      </x:c>
      <x:c r="F71" s="19" t="str">
        <x:v>https://www.navitime.co.jp/category/0815/28/
https://www.navitime.co.jp/category/0815/?page=4</x:v>
      </x:c>
      <x:c r="G71" s="18" t="str">
        <x:v>否</x:v>
      </x:c>
      <x:c r="H71" s="18" t="str">
        <x:v>否</x:v>
      </x:c>
      <x:c r="I71" s="18" t="str">
        <x:v>否</x:v>
      </x:c>
    </x:row>
    <x:row r="72" ht="33" customHeight="1">
      <x:c r="A72" s="19" t="str">
        <x:v>神戸空港第2ターミナルビル 観光バス乗降場</x:v>
      </x:c>
      <x:c r="B72" s="19" t="str">
        <x:v>兵庫県神戸市中央区神戸空港1</x:v>
      </x:c>
      <x:c r="C72" s="18" t="str">
        <x:v>navitime:02022-10114062</x:v>
      </x:c>
      <x:c r="D72" s="19" t="str">
        <x:v>官方身份待审核</x:v>
      </x:c>
      <x:c r="E72" s="19" t="str">
        <x:v>https://www.navitime.co.jp/poi?spot=02022-10114062</x:v>
      </x:c>
      <x:c r="F72" s="19" t="str">
        <x:v>https://www.navitime.co.jp/category/0815/28/
https://www.navitime.co.jp/category/0815/?page=11</x:v>
      </x:c>
      <x:c r="G72" s="18" t="str">
        <x:v>否</x:v>
      </x:c>
      <x:c r="H72" s="18" t="str">
        <x:v>否</x:v>
      </x:c>
      <x:c r="I72" s="18" t="str">
        <x:v>否</x:v>
      </x:c>
    </x:row>
    <x:row r="73" ht="33" customHeight="1">
      <x:c r="A73" s="19" t="str">
        <x:v>さわんどバスターミナル</x:v>
      </x:c>
      <x:c r="B73" s="19" t="str">
        <x:v>長野県松本市安曇4466-52</x:v>
      </x:c>
      <x:c r="C73" s="18" t="str">
        <x:v>navitime:02022-10114569</x:v>
      </x:c>
      <x:c r="D73" s="19" t="str">
        <x:v>官方身份待审核</x:v>
      </x:c>
      <x:c r="E73" s="19" t="str">
        <x:v>https://www.navitime.co.jp/poi?spot=02022-10114569</x:v>
      </x:c>
      <x:c r="F73" s="19" t="str">
        <x:v>https://www.navitime.co.jp/category/0815/
https://www.navitime.co.jp/category/0815/20/</x:v>
      </x:c>
      <x:c r="G73" s="18" t="str">
        <x:v>否</x:v>
      </x:c>
      <x:c r="H73" s="18" t="str">
        <x:v>否</x:v>
      </x:c>
      <x:c r="I73" s="18" t="str">
        <x:v>否</x:v>
      </x:c>
    </x:row>
    <x:row r="74" ht="33" customHeight="1">
      <x:c r="A74" s="19" t="str">
        <x:v>バスターミナル東京八重洲 地下A</x:v>
      </x:c>
      <x:c r="B74" s="19" t="str">
        <x:v>東京都中央区八重洲1-6-1 トフロムヤエス B1F</x:v>
      </x:c>
      <x:c r="C74" s="18" t="str">
        <x:v>navitime:02022-10117677</x:v>
      </x:c>
      <x:c r="D74" s="19" t="str">
        <x:v>官方身份待审核</x:v>
      </x:c>
      <x:c r="E74" s="19" t="str">
        <x:v>https://www.navitime.co.jp/poi?spot=02022-10117677</x:v>
      </x:c>
      <x:c r="F74" s="19" t="str">
        <x:v>https://www.navitime.co.jp/category/0815/13/
https://www.navitime.co.jp/category/0815/?page=2</x:v>
      </x:c>
      <x:c r="G74" s="18" t="str">
        <x:v>否</x:v>
      </x:c>
      <x:c r="H74" s="18" t="str">
        <x:v>否</x:v>
      </x:c>
      <x:c r="I74" s="18" t="str">
        <x:v>否</x:v>
      </x:c>
    </x:row>
    <x:row r="75" ht="33" customHeight="1">
      <x:c r="A75" s="19" t="str">
        <x:v>リバーウォーク北九州 観光バス降車場</x:v>
      </x:c>
      <x:c r="B75" s="19" t="str">
        <x:v>福岡県北九州市小倉北区室町1丁目1-1</x:v>
      </x:c>
      <x:c r="C75" s="18" t="str">
        <x:v>navitime:02022-10127376</x:v>
      </x:c>
      <x:c r="D75" s="19" t="str">
        <x:v>官方身份待审核</x:v>
      </x:c>
      <x:c r="E75" s="19" t="str">
        <x:v>https://www.navitime.co.jp/poi?spot=02022-10127376</x:v>
      </x:c>
      <x:c r="F75" s="19" t="str">
        <x:v>https://www.navitime.co.jp/category/0815/40/
https://www.navitime.co.jp/category/0815/?page=11</x:v>
      </x:c>
      <x:c r="G75" s="18" t="str">
        <x:v>否</x:v>
      </x:c>
      <x:c r="H75" s="18" t="str">
        <x:v>否</x:v>
      </x:c>
      <x:c r="I75" s="18" t="str">
        <x:v>否</x:v>
      </x:c>
    </x:row>
    <x:row r="76" ht="33" customHeight="1">
      <x:c r="A76" s="19" t="str">
        <x:v>伏見通 大須観音駅付近 観光バス乗降場</x:v>
      </x:c>
      <x:c r="B76" s="19" t="str">
        <x:v>愛知県名古屋市中区大須2丁目23-36</x:v>
      </x:c>
      <x:c r="C76" s="18" t="str">
        <x:v>navitime:02022-10127408</x:v>
      </x:c>
      <x:c r="D76" s="19" t="str">
        <x:v>官方身份待审核</x:v>
      </x:c>
      <x:c r="E76" s="19" t="str">
        <x:v>https://www.navitime.co.jp/poi?spot=02022-10127408</x:v>
      </x:c>
      <x:c r="F76" s="19" t="str">
        <x:v>https://www.navitime.co.jp/category/0815/23/
https://www.navitime.co.jp/category/0815/?page=11</x:v>
      </x:c>
      <x:c r="G76" s="18" t="str">
        <x:v>否</x:v>
      </x:c>
      <x:c r="H76" s="18" t="str">
        <x:v>否</x:v>
      </x:c>
      <x:c r="I76" s="18" t="str">
        <x:v>否</x:v>
      </x:c>
    </x:row>
    <x:row r="77" ht="33" customHeight="1">
      <x:c r="A77" s="19" t="str">
        <x:v>明石ほんまち三白館北側 観光バス乗降場</x:v>
      </x:c>
      <x:c r="B77" s="19" t="str">
        <x:v>兵庫県明石市本町1丁目14-18</x:v>
      </x:c>
      <x:c r="C77" s="18" t="str">
        <x:v>navitime:02022-10132120</x:v>
      </x:c>
      <x:c r="D77" s="19" t="str">
        <x:v>官方身份待审核</x:v>
      </x:c>
      <x:c r="E77" s="19" t="str">
        <x:v>https://www.navitime.co.jp/poi?spot=02022-10132120</x:v>
      </x:c>
      <x:c r="F77" s="19" t="str">
        <x:v>https://www.navitime.co.jp/category/0815/28/
https://www.navitime.co.jp/category/0815/?page=11</x:v>
      </x:c>
      <x:c r="G77" s="18" t="str">
        <x:v>否</x:v>
      </x:c>
      <x:c r="H77" s="18" t="str">
        <x:v>否</x:v>
      </x:c>
      <x:c r="I77" s="18" t="str">
        <x:v>否</x:v>
      </x:c>
    </x:row>
    <x:row r="78" ht="33" customHeight="1">
      <x:c r="A78" s="19" t="str">
        <x:v>明石銀座通り 観光バス乗降場</x:v>
      </x:c>
      <x:c r="B78" s="19" t="str">
        <x:v>兵庫県明石市桜町14-18</x:v>
      </x:c>
      <x:c r="C78" s="18" t="str">
        <x:v>navitime:02022-10132400</x:v>
      </x:c>
      <x:c r="D78" s="19" t="str">
        <x:v>官方身份待审核</x:v>
      </x:c>
      <x:c r="E78" s="19" t="str">
        <x:v>https://www.navitime.co.jp/poi?spot=02022-10132400</x:v>
      </x:c>
      <x:c r="F78" s="19" t="str">
        <x:v>https://www.navitime.co.jp/category/0815/28/
https://www.navitime.co.jp/category/0815/?page=11</x:v>
      </x:c>
      <x:c r="G78" s="18" t="str">
        <x:v>否</x:v>
      </x:c>
      <x:c r="H78" s="18" t="str">
        <x:v>否</x:v>
      </x:c>
      <x:c r="I78" s="18" t="str">
        <x:v>否</x:v>
      </x:c>
    </x:row>
    <x:row r="79" ht="33" customHeight="1">
      <x:c r="A79" s="19" t="str">
        <x:v>海部観光株式会社徳島駅前営業所 バスオアシス</x:v>
      </x:c>
      <x:c r="B79" s="19" t="str">
        <x:v>徳島県徳島市一番町2-18</x:v>
      </x:c>
      <x:c r="C79" s="18" t="str">
        <x:v>navitime:02022-10133331</x:v>
      </x:c>
      <x:c r="D79" s="19" t="str">
        <x:v>官方身份待审核</x:v>
      </x:c>
      <x:c r="E79" s="19" t="str">
        <x:v>https://www.navitime.co.jp/poi?spot=02022-10133331</x:v>
      </x:c>
      <x:c r="F79" s="19" t="str">
        <x:v>https://www.navitime.co.jp/category/0815/36/
https://www.navitime.co.jp/category/0815/?page=12</x:v>
      </x:c>
      <x:c r="G79" s="18" t="str">
        <x:v>否</x:v>
      </x:c>
      <x:c r="H79" s="18" t="str">
        <x:v>否</x:v>
      </x:c>
      <x:c r="I79" s="18" t="str">
        <x:v>否</x:v>
      </x:c>
    </x:row>
    <x:row r="80" ht="33" customHeight="1">
      <x:c r="A80" s="19" t="str">
        <x:v>近鉄上本町バスターミナル</x:v>
      </x:c>
      <x:c r="B80" s="19" t="str">
        <x:v>大阪府大阪市天王寺区上本町6-1-55内</x:v>
      </x:c>
      <x:c r="C80" s="18" t="str">
        <x:v>navitime:02022-10134996</x:v>
      </x:c>
      <x:c r="D80" s="19" t="str">
        <x:v>官方身份待审核</x:v>
      </x:c>
      <x:c r="E80" s="19" t="str">
        <x:v>https://www.navitime.co.jp/poi?spot=02022-10134996</x:v>
      </x:c>
      <x:c r="F80" s="19" t="str">
        <x:v>https://www.navitime.co.jp/category/0815/27/
https://www.navitime.co.jp/category/0815/?page=12</x:v>
      </x:c>
      <x:c r="G80" s="18" t="str">
        <x:v>否</x:v>
      </x:c>
      <x:c r="H80" s="18" t="str">
        <x:v>否</x:v>
      </x:c>
      <x:c r="I80" s="18" t="str">
        <x:v>否</x:v>
      </x:c>
    </x:row>
    <x:row r="81" ht="33" customHeight="1">
      <x:c r="A81" s="19" t="str">
        <x:v>ららぽーと福岡 観光バス乗降場</x:v>
      </x:c>
      <x:c r="B81" s="19" t="str">
        <x:v>福岡県福岡市博多区那珂6丁目23-1 ららぽーと福岡バスターミナル内</x:v>
      </x:c>
      <x:c r="C81" s="18" t="str">
        <x:v>navitime:02022-10135924</x:v>
      </x:c>
      <x:c r="D81" s="19" t="str">
        <x:v>官方身份待审核</x:v>
      </x:c>
      <x:c r="E81" s="19" t="str">
        <x:v>https://www.navitime.co.jp/poi?spot=02022-10135924</x:v>
      </x:c>
      <x:c r="F81" s="19" t="str">
        <x:v>https://www.navitime.co.jp/category/0815/40/
https://www.navitime.co.jp/category/0815/?page=12</x:v>
      </x:c>
      <x:c r="G81" s="18" t="str">
        <x:v>否</x:v>
      </x:c>
      <x:c r="H81" s="18" t="str">
        <x:v>否</x:v>
      </x:c>
      <x:c r="I81" s="18" t="str">
        <x:v>否</x:v>
      </x:c>
    </x:row>
    <x:row r="82" ht="33" customHeight="1">
      <x:c r="A82" s="19" t="str">
        <x:v>海老名駅西側送迎バス発着所</x:v>
      </x:c>
      <x:c r="B82" s="19" t="str">
        <x:v>神奈川県海老名市上郷750</x:v>
      </x:c>
      <x:c r="C82" s="18" t="str">
        <x:v>navitime:02022-10140760</x:v>
      </x:c>
      <x:c r="D82" s="19" t="str">
        <x:v>官方身份待审核</x:v>
      </x:c>
      <x:c r="E82" s="19" t="str">
        <x:v>https://www.navitime.co.jp/poi?spot=02022-10140760</x:v>
      </x:c>
      <x:c r="F82" s="19" t="str">
        <x:v>https://www.navitime.co.jp/category/0815/14/
https://www.navitime.co.jp/category/0815/?page=12</x:v>
      </x:c>
      <x:c r="G82" s="18" t="str">
        <x:v>否</x:v>
      </x:c>
      <x:c r="H82" s="18" t="str">
        <x:v>否</x:v>
      </x:c>
      <x:c r="I82" s="18" t="str">
        <x:v>否</x:v>
      </x:c>
    </x:row>
    <x:row r="83" ht="33" customHeight="1">
      <x:c r="A83" s="19" t="str">
        <x:v>はとバス 新宿駅東口乗り場</x:v>
      </x:c>
      <x:c r="B83" s="19" t="str">
        <x:v>東京都新宿区新宿3-38-1</x:v>
      </x:c>
      <x:c r="C83" s="18" t="str">
        <x:v>navitime:02022-1026464</x:v>
      </x:c>
      <x:c r="D83" s="19" t="str">
        <x:v>官方身份待审核</x:v>
      </x:c>
      <x:c r="E83" s="19" t="str">
        <x:v>https://www.navitime.co.jp/poi?spot=02022-1026464</x:v>
      </x:c>
      <x:c r="F83" s="19" t="str">
        <x:v>https://www.navitime.co.jp/category/0815/13/?page=2
https://www.navitime.co.jp/category/0815/?page=4</x:v>
      </x:c>
      <x:c r="G83" s="18" t="str">
        <x:v>否</x:v>
      </x:c>
      <x:c r="H83" s="18" t="str">
        <x:v>否</x:v>
      </x:c>
      <x:c r="I83" s="18" t="str">
        <x:v>否</x:v>
      </x:c>
    </x:row>
    <x:row r="84" ht="33" customHeight="1">
      <x:c r="A84" s="19" t="str">
        <x:v>宮交バスセンター</x:v>
      </x:c>
      <x:c r="B84" s="19" t="str">
        <x:v>宮崎県宮崎市大淀4-6-28 宮交シティ 1F</x:v>
      </x:c>
      <x:c r="C84" s="18" t="str">
        <x:v>navitime:02022-1040915</x:v>
      </x:c>
      <x:c r="D84" s="19" t="str">
        <x:v>官方身份待审核</x:v>
      </x:c>
      <x:c r="E84" s="19" t="str">
        <x:v>https://www.navitime.co.jp/poi?spot=02022-1040915</x:v>
      </x:c>
      <x:c r="F84" s="19" t="str">
        <x:v>https://www.navitime.co.jp/category/0815/45/
https://www.navitime.co.jp/category/0815/?page=12</x:v>
      </x:c>
      <x:c r="G84" s="18" t="str">
        <x:v>否</x:v>
      </x:c>
      <x:c r="H84" s="18" t="str">
        <x:v>否</x:v>
      </x:c>
      <x:c r="I84" s="18" t="str">
        <x:v>否</x:v>
      </x:c>
    </x:row>
    <x:row r="85" ht="33" customHeight="1">
      <x:c r="A85" s="19" t="str">
        <x:v>ユメリアバスパーク</x:v>
      </x:c>
      <x:c r="B85" s="19" t="str">
        <x:v>長野県長野市栗田 JR長野駅東口</x:v>
      </x:c>
      <x:c r="C85" s="18" t="str">
        <x:v>navitime:02022-1143600</x:v>
      </x:c>
      <x:c r="D85" s="19" t="str">
        <x:v>官方身份待审核</x:v>
      </x:c>
      <x:c r="E85" s="19" t="str">
        <x:v>https://www.navitime.co.jp/poi?spot=02022-1143600</x:v>
      </x:c>
      <x:c r="F85" s="19" t="str">
        <x:v>https://www.navitime.co.jp/category/0815/20/
https://www.navitime.co.jp/category/0815/?page=12</x:v>
      </x:c>
      <x:c r="G85" s="18" t="str">
        <x:v>否</x:v>
      </x:c>
      <x:c r="H85" s="18" t="str">
        <x:v>否</x:v>
      </x:c>
      <x:c r="I85" s="18" t="str">
        <x:v>否</x:v>
      </x:c>
    </x:row>
    <x:row r="86" ht="33" customHeight="1">
      <x:c r="A86" s="19" t="str">
        <x:v>高山濃飛バスセンター</x:v>
      </x:c>
      <x:c r="B86" s="19" t="str">
        <x:v>岐阜県高山市花里町6-65</x:v>
      </x:c>
      <x:c r="C86" s="18" t="str">
        <x:v>navitime:02022-1151040</x:v>
      </x:c>
      <x:c r="D86" s="19" t="str">
        <x:v>官方身份待审核</x:v>
      </x:c>
      <x:c r="E86" s="19" t="str">
        <x:v>https://www.navitime.co.jp/poi?spot=02022-1151040</x:v>
      </x:c>
      <x:c r="F86" s="19" t="str">
        <x:v>https://www.navitime.co.jp/category/0815/21/
https://www.navitime.co.jp/category/0815/?page=3</x:v>
      </x:c>
      <x:c r="G86" s="18" t="str">
        <x:v>否</x:v>
      </x:c>
      <x:c r="H86" s="18" t="str">
        <x:v>否</x:v>
      </x:c>
      <x:c r="I86" s="18" t="str">
        <x:v>否</x:v>
      </x:c>
    </x:row>
    <x:row r="87" ht="33" customHeight="1">
      <x:c r="A87" s="19" t="str">
        <x:v>WILLER(ウィラー) バスターミナル大阪梅田</x:v>
      </x:c>
      <x:c r="B87" s="19" t="str">
        <x:v>大阪府大阪市北区大淀中1-1-88 梅田スカイビルタワーイースト 1F</x:v>
      </x:c>
      <x:c r="C87" s="18" t="str">
        <x:v>navitime:02022-123858</x:v>
      </x:c>
      <x:c r="D87" s="19" t="str">
        <x:v>官方身份待审核</x:v>
      </x:c>
      <x:c r="E87" s="19" t="str">
        <x:v>https://www.navitime.co.jp/poi?spot=02022-123858</x:v>
      </x:c>
      <x:c r="F87" s="19" t="str">
        <x:v>https://www.navitime.co.jp/category/0815/27/
https://www.navitime.co.jp/category/0815/?page=2</x:v>
      </x:c>
      <x:c r="G87" s="18" t="str">
        <x:v>否</x:v>
      </x:c>
      <x:c r="H87" s="18" t="str">
        <x:v>否</x:v>
      </x:c>
      <x:c r="I87" s="18" t="str">
        <x:v>否</x:v>
      </x:c>
    </x:row>
    <x:row r="88" ht="33" customHeight="1">
      <x:c r="A88" s="19" t="str">
        <x:v>中央アルプス駒ケ岳ロープウェイ菅の台バスセンター</x:v>
      </x:c>
      <x:c r="B88" s="19" t="str">
        <x:v>長野県駒ケ根市赤穂759-489</x:v>
      </x:c>
      <x:c r="C88" s="18" t="str">
        <x:v>navitime:02022-1248445</x:v>
      </x:c>
      <x:c r="D88" s="19" t="str">
        <x:v>官方身份待审核</x:v>
      </x:c>
      <x:c r="E88" s="19" t="str">
        <x:v>https://www.navitime.co.jp/poi?spot=02022-1248445</x:v>
      </x:c>
      <x:c r="F88" s="19" t="str">
        <x:v>https://www.navitime.co.jp/category/0815/20/
https://www.navitime.co.jp/category/0815/?page=2</x:v>
      </x:c>
      <x:c r="G88" s="18" t="str">
        <x:v>否</x:v>
      </x:c>
      <x:c r="H88" s="18" t="str">
        <x:v>否</x:v>
      </x:c>
      <x:c r="I88" s="18" t="str">
        <x:v>否</x:v>
      </x:c>
    </x:row>
    <x:row r="89" ht="33" customHeight="1">
      <x:c r="A89" s="19" t="str">
        <x:v>水郷潮来バスターミナル</x:v>
      </x:c>
      <x:c r="B89" s="19" t="str">
        <x:v>茨城県潮来市延方3707-2</x:v>
      </x:c>
      <x:c r="C89" s="18" t="str">
        <x:v>navitime:02022-1285032</x:v>
      </x:c>
      <x:c r="D89" s="19" t="str">
        <x:v>官方身份待审核</x:v>
      </x:c>
      <x:c r="E89" s="19" t="str">
        <x:v>https://www.navitime.co.jp/poi?spot=02022-1285032</x:v>
      </x:c>
      <x:c r="F89" s="19" t="str">
        <x:v>https://www.navitime.co.jp/category/0815/08/
https://www.navitime.co.jp/category/0815/?page=3</x:v>
      </x:c>
      <x:c r="G89" s="18" t="str">
        <x:v>否</x:v>
      </x:c>
      <x:c r="H89" s="18" t="str">
        <x:v>否</x:v>
      </x:c>
      <x:c r="I89" s="18" t="str">
        <x:v>否</x:v>
      </x:c>
    </x:row>
    <x:row r="90" ht="33" customHeight="1">
      <x:c r="A90" s="19" t="str">
        <x:v>白川郷バスターミナル</x:v>
      </x:c>
      <x:c r="B90" s="19" t="str">
        <x:v>岐阜県大野郡白川村荻町1086</x:v>
      </x:c>
      <x:c r="C90" s="18" t="str">
        <x:v>navitime:02022-1295403</x:v>
      </x:c>
      <x:c r="D90" s="19" t="str">
        <x:v>官方身份待审核</x:v>
      </x:c>
      <x:c r="E90" s="19" t="str">
        <x:v>https://www.navitime.co.jp/poi?spot=02022-1295403</x:v>
      </x:c>
      <x:c r="F90" s="19" t="str">
        <x:v>https://www.navitime.co.jp/category/0815/21/
https://www.navitime.co.jp/category/0815/?page=5</x:v>
      </x:c>
      <x:c r="G90" s="18" t="str">
        <x:v>否</x:v>
      </x:c>
      <x:c r="H90" s="18" t="str">
        <x:v>否</x:v>
      </x:c>
      <x:c r="I90" s="18" t="str">
        <x:v>否</x:v>
      </x:c>
    </x:row>
    <x:row r="91" ht="33" customHeight="1">
      <x:c r="A91" s="19" t="str">
        <x:v>大崎駅西口バスターミナル</x:v>
      </x:c>
      <x:c r="B91" s="19" t="str">
        <x:v>東京都品川区大崎2-10-1</x:v>
      </x:c>
      <x:c r="C91" s="18" t="str">
        <x:v>navitime:02022-1323465</x:v>
      </x:c>
      <x:c r="D91" s="19" t="str">
        <x:v>官方身份待审核</x:v>
      </x:c>
      <x:c r="E91" s="19" t="str">
        <x:v>https://www.navitime.co.jp/poi?spot=02022-1323465</x:v>
      </x:c>
      <x:c r="F91" s="19" t="str">
        <x:v>https://www.navitime.co.jp/category/0815/13/?page=2
https://www.navitime.co.jp/category/0815/?page=5</x:v>
      </x:c>
      <x:c r="G91" s="18" t="str">
        <x:v>否</x:v>
      </x:c>
      <x:c r="H91" s="18" t="str">
        <x:v>否</x:v>
      </x:c>
      <x:c r="I91" s="18" t="str">
        <x:v>否</x:v>
      </x:c>
    </x:row>
    <x:row r="92" ht="33" customHeight="1">
      <x:c r="A92" s="19" t="str">
        <x:v>木更津金田バスターミナル</x:v>
      </x:c>
      <x:c r="B92" s="19" t="str">
        <x:v>千葉県木更津市瓜倉225</x:v>
      </x:c>
      <x:c r="C92" s="18" t="str">
        <x:v>navitime:02022-1325767</x:v>
      </x:c>
      <x:c r="D92" s="19" t="str">
        <x:v>官方身份待审核</x:v>
      </x:c>
      <x:c r="E92" s="19" t="str">
        <x:v>https://www.navitime.co.jp/poi?spot=02022-1325767</x:v>
      </x:c>
      <x:c r="F92" s="19" t="str">
        <x:v>https://www.navitime.co.jp/category/0815/12/
https://www.navitime.co.jp/category/0815/?page=2</x:v>
      </x:c>
      <x:c r="G92" s="18" t="str">
        <x:v>否</x:v>
      </x:c>
      <x:c r="H92" s="18" t="str">
        <x:v>否</x:v>
      </x:c>
      <x:c r="I92" s="18" t="str">
        <x:v>否</x:v>
      </x:c>
    </x:row>
    <x:row r="93" ht="33" customHeight="1">
      <x:c r="A93" s="19" t="str">
        <x:v>お台場SKY(スカイ)ツーリストインフォメーション</x:v>
      </x:c>
      <x:c r="B93" s="19" t="str">
        <x:v>東京都江東区青海1-2-1 東京テレポート駅ロータリー</x:v>
      </x:c>
      <x:c r="C93" s="18" t="str">
        <x:v>navitime:02022-1347854</x:v>
      </x:c>
      <x:c r="D93" s="19" t="str">
        <x:v>官方身份待审核</x:v>
      </x:c>
      <x:c r="E93" s="19" t="str">
        <x:v>https://www.navitime.co.jp/poi?spot=02022-1347854</x:v>
      </x:c>
      <x:c r="F93" s="19" t="str">
        <x:v>https://www.navitime.co.jp/category/0815/13/?page=2
https://www.navitime.co.jp/category/0815/?page=6</x:v>
      </x:c>
      <x:c r="G93" s="18" t="str">
        <x:v>否</x:v>
      </x:c>
      <x:c r="H93" s="18" t="str">
        <x:v>否</x:v>
      </x:c>
      <x:c r="I93" s="18" t="str">
        <x:v>否</x:v>
      </x:c>
    </x:row>
    <x:row r="94" ht="33" customHeight="1">
      <x:c r="A94" s="19" t="str">
        <x:v>奈良公園バスターミナル</x:v>
      </x:c>
      <x:c r="B94" s="19" t="str">
        <x:v>奈良県奈良市登大路町76</x:v>
      </x:c>
      <x:c r="C94" s="18" t="str">
        <x:v>navitime:02022-1380771</x:v>
      </x:c>
      <x:c r="D94" s="19" t="str">
        <x:v>官方身份待审核</x:v>
      </x:c>
      <x:c r="E94" s="19" t="str">
        <x:v>https://www.navitime.co.jp/poi?spot=02022-1380771</x:v>
      </x:c>
      <x:c r="F94" s="19" t="str">
        <x:v>https://www.navitime.co.jp/category/0815/29/
https://www.navitime.co.jp/category/0815/?page=2</x:v>
      </x:c>
      <x:c r="G94" s="18" t="str">
        <x:v>否</x:v>
      </x:c>
      <x:c r="H94" s="18" t="str">
        <x:v>否</x:v>
      </x:c>
      <x:c r="I94" s="18" t="str">
        <x:v>否</x:v>
      </x:c>
    </x:row>
    <x:row r="95" ht="33" customHeight="1">
      <x:c r="A95" s="19" t="str">
        <x:v>町田ターミナルプラザ バスターミナル</x:v>
      </x:c>
      <x:c r="B95" s="19" t="str">
        <x:v>東京都町田市原町田3-1-4 町田ターミナルプラザ1F</x:v>
      </x:c>
      <x:c r="C95" s="18" t="str">
        <x:v>navitime:02022-1380772</x:v>
      </x:c>
      <x:c r="D95" s="19" t="str">
        <x:v>官方身份待审核</x:v>
      </x:c>
      <x:c r="E95" s="19" t="str">
        <x:v>https://www.navitime.co.jp/poi?spot=02022-1380772</x:v>
      </x:c>
      <x:c r="F95" s="19" t="str">
        <x:v>https://www.navitime.co.jp/category/0815/13/?page=2
https://www.navitime.co.jp/category/0815/?page=6</x:v>
      </x:c>
      <x:c r="G95" s="18" t="str">
        <x:v>否</x:v>
      </x:c>
      <x:c r="H95" s="18" t="str">
        <x:v>否</x:v>
      </x:c>
      <x:c r="I95" s="18" t="str">
        <x:v>否</x:v>
      </x:c>
    </x:row>
    <x:row r="96" ht="33" customHeight="1">
      <x:c r="A96" s="19" t="str">
        <x:v>豊洲市場完全予約制観光バス乗降場</x:v>
      </x:c>
      <x:c r="B96" s="19" t="str">
        <x:v>東京都江東区豊洲6丁目6街区</x:v>
      </x:c>
      <x:c r="C96" s="18" t="str">
        <x:v>navitime:02022-1380773</x:v>
      </x:c>
      <x:c r="D96" s="19" t="str">
        <x:v>官方身份待审核</x:v>
      </x:c>
      <x:c r="E96" s="19" t="str">
        <x:v>https://www.navitime.co.jp/poi?spot=02022-1380773</x:v>
      </x:c>
      <x:c r="F96" s="19" t="str">
        <x:v>https://www.navitime.co.jp/category/0815/13/?page=3
https://www.navitime.co.jp/category/0815/?page=12</x:v>
      </x:c>
      <x:c r="G96" s="18" t="str">
        <x:v>否</x:v>
      </x:c>
      <x:c r="H96" s="18" t="str">
        <x:v>否</x:v>
      </x:c>
      <x:c r="I96" s="18" t="str">
        <x:v>否</x:v>
      </x:c>
    </x:row>
    <x:row r="97" ht="33" customHeight="1">
      <x:c r="A97" s="19" t="str">
        <x:v>阿蘇山上ターミナル</x:v>
      </x:c>
      <x:c r="B97" s="19" t="str">
        <x:v>熊本県阿蘇市黒川808-5</x:v>
      </x:c>
      <x:c r="C97" s="18" t="str">
        <x:v>navitime:02022-1390798</x:v>
      </x:c>
      <x:c r="D97" s="19" t="str">
        <x:v>官方身份待审核</x:v>
      </x:c>
      <x:c r="E97" s="19" t="str">
        <x:v>https://www.navitime.co.jp/poi?spot=02022-1390798</x:v>
      </x:c>
      <x:c r="F97" s="19" t="str">
        <x:v>https://www.navitime.co.jp/category/0815/43/
https://www.navitime.co.jp/category/0815/?page=3</x:v>
      </x:c>
      <x:c r="G97" s="18" t="str">
        <x:v>否</x:v>
      </x:c>
      <x:c r="H97" s="18" t="str">
        <x:v>否</x:v>
      </x:c>
      <x:c r="I97" s="18" t="str">
        <x:v>否</x:v>
      </x:c>
    </x:row>
    <x:row r="98" ht="33" customHeight="1">
      <x:c r="A98" s="19" t="str">
        <x:v>伊丹空港バス乗り場</x:v>
      </x:c>
      <x:c r="B98" s="19" t="str">
        <x:v>大阪府豊中市蛍池西町3-555</x:v>
      </x:c>
      <x:c r="C98" s="18" t="str">
        <x:v>navitime:02022-1391564</x:v>
      </x:c>
      <x:c r="D98" s="19" t="str">
        <x:v>官方身份待审核</x:v>
      </x:c>
      <x:c r="E98" s="19" t="str">
        <x:v>https://www.navitime.co.jp/poi?spot=02022-1391564</x:v>
      </x:c>
      <x:c r="F98" s="19" t="str">
        <x:v>https://www.navitime.co.jp/category/0815/
https://www.navitime.co.jp/category/0815/28/</x:v>
      </x:c>
      <x:c r="G98" s="18" t="str">
        <x:v>否</x:v>
      </x:c>
      <x:c r="H98" s="18" t="str">
        <x:v>否</x:v>
      </x:c>
      <x:c r="I98" s="18" t="str">
        <x:v>否</x:v>
      </x:c>
    </x:row>
    <x:row r="99" ht="33" customHeight="1">
      <x:c r="A99" s="19" t="str">
        <x:v>仙台駅東口さくらターミナル</x:v>
      </x:c>
      <x:c r="B99" s="19" t="str">
        <x:v>宮城県仙台市宮城野区榴岡2-5-11</x:v>
      </x:c>
      <x:c r="C99" s="18" t="str">
        <x:v>navitime:02022-1423968</x:v>
      </x:c>
      <x:c r="D99" s="19" t="str">
        <x:v>官方身份待审核</x:v>
      </x:c>
      <x:c r="E99" s="19" t="str">
        <x:v>https://www.navitime.co.jp/poi?spot=02022-1423968</x:v>
      </x:c>
      <x:c r="F99" s="19" t="str">
        <x:v>https://www.navitime.co.jp/category/0815/04/
https://www.navitime.co.jp/category/0815/?page=12</x:v>
      </x:c>
      <x:c r="G99" s="18" t="str">
        <x:v>否</x:v>
      </x:c>
      <x:c r="H99" s="18" t="str">
        <x:v>否</x:v>
      </x:c>
      <x:c r="I99" s="18" t="str">
        <x:v>否</x:v>
      </x:c>
    </x:row>
    <x:row r="100" ht="33" customHeight="1">
      <x:c r="A100" s="19" t="str">
        <x:v>BUSTLE(バァスル)海老名</x:v>
      </x:c>
      <x:c r="B100" s="19" t="str">
        <x:v>神奈川県海老名市中央2丁目3</x:v>
      </x:c>
      <x:c r="C100" s="18" t="str">
        <x:v>navitime:02022-1457640</x:v>
      </x:c>
      <x:c r="D100" s="19" t="str">
        <x:v>官方身份待审核</x:v>
      </x:c>
      <x:c r="E100" s="19" t="str">
        <x:v>https://www.navitime.co.jp/poi?spot=02022-1457640</x:v>
      </x:c>
      <x:c r="F100" s="19" t="str">
        <x:v>https://www.navitime.co.jp/category/0815/14/
https://www.navitime.co.jp/category/0815/?page=12</x:v>
      </x:c>
      <x:c r="G100" s="18" t="str">
        <x:v>否</x:v>
      </x:c>
      <x:c r="H100" s="18" t="str">
        <x:v>否</x:v>
      </x:c>
      <x:c r="I100" s="18" t="str">
        <x:v>否</x:v>
      </x:c>
    </x:row>
    <x:row r="101" ht="33" customHeight="1">
      <x:c r="A101" s="19" t="str">
        <x:v>【予約制】二天門乗車場(二天門通り)</x:v>
      </x:c>
      <x:c r="B101" s="19" t="str">
        <x:v>東京都台東区花川戸1丁目14</x:v>
      </x:c>
      <x:c r="C101" s="18" t="str">
        <x:v>navitime:02022-1457641</x:v>
      </x:c>
      <x:c r="D101" s="19" t="str">
        <x:v>官方身份待审核</x:v>
      </x:c>
      <x:c r="E101" s="19" t="str">
        <x:v>https://www.navitime.co.jp/poi?spot=02022-1457641</x:v>
      </x:c>
      <x:c r="F101" s="19" t="str">
        <x:v>https://www.navitime.co.jp/category/0815/13/?page=3
https://www.navitime.co.jp/category/0815/?page=12</x:v>
      </x:c>
      <x:c r="G101" s="18" t="str">
        <x:v>否</x:v>
      </x:c>
      <x:c r="H101" s="18" t="str">
        <x:v>否</x:v>
      </x:c>
      <x:c r="I101" s="18" t="str">
        <x:v>否</x:v>
      </x:c>
    </x:row>
    <x:row r="102" ht="33" customHeight="1">
      <x:c r="A102" s="19" t="str">
        <x:v>【予約制】東武浅草駅乗車場(江戸通り)</x:v>
      </x:c>
      <x:c r="B102" s="19" t="str">
        <x:v>東京都台東区花川戸1-4先</x:v>
      </x:c>
      <x:c r="C102" s="18" t="str">
        <x:v>navitime:02022-1457642</x:v>
      </x:c>
      <x:c r="D102" s="19" t="str">
        <x:v>官方身份待审核</x:v>
      </x:c>
      <x:c r="E102" s="19" t="str">
        <x:v>https://www.navitime.co.jp/poi?spot=02022-1457642</x:v>
      </x:c>
      <x:c r="F102" s="19" t="str">
        <x:v>https://www.navitime.co.jp/category/0815/13/?page=2
https://www.navitime.co.jp/category/0815/?page=4</x:v>
      </x:c>
      <x:c r="G102" s="18" t="str">
        <x:v>否</x:v>
      </x:c>
      <x:c r="H102" s="18" t="str">
        <x:v>否</x:v>
      </x:c>
      <x:c r="I102" s="18" t="str">
        <x:v>否</x:v>
      </x:c>
    </x:row>
    <x:row r="103" ht="33" customHeight="1">
      <x:c r="A103" s="19" t="str">
        <x:v>雷門通り降車場</x:v>
      </x:c>
      <x:c r="B103" s="19" t="str">
        <x:v>東京都台東区雷門1丁目14</x:v>
      </x:c>
      <x:c r="C103" s="18" t="str">
        <x:v>navitime:02022-1457643</x:v>
      </x:c>
      <x:c r="D103" s="19" t="str">
        <x:v>官方身份待审核</x:v>
      </x:c>
      <x:c r="E103" s="19" t="str">
        <x:v>https://www.navitime.co.jp/poi?spot=02022-1457643</x:v>
      </x:c>
      <x:c r="F103" s="19" t="str">
        <x:v>https://www.navitime.co.jp/category/0815/13/?page=2
https://www.navitime.co.jp/category/0815/?page=5</x:v>
      </x:c>
      <x:c r="G103" s="18" t="str">
        <x:v>否</x:v>
      </x:c>
      <x:c r="H103" s="18" t="str">
        <x:v>否</x:v>
      </x:c>
      <x:c r="I103" s="18" t="str">
        <x:v>否</x:v>
      </x:c>
    </x:row>
    <x:row r="104" ht="33" customHeight="1">
      <x:c r="A104" s="19" t="str">
        <x:v>国際通り降車場</x:v>
      </x:c>
      <x:c r="B104" s="19" t="str">
        <x:v>東京都台東区浅草1丁目43</x:v>
      </x:c>
      <x:c r="C104" s="18" t="str">
        <x:v>navitime:02022-1457644</x:v>
      </x:c>
      <x:c r="D104" s="19" t="str">
        <x:v>官方身份待审核</x:v>
      </x:c>
      <x:c r="E104" s="19" t="str">
        <x:v>https://www.navitime.co.jp/poi?spot=02022-1457644</x:v>
      </x:c>
      <x:c r="F104" s="19" t="str">
        <x:v>https://www.navitime.co.jp/category/0815/13/
https://www.navitime.co.jp/category/0815/?page=3</x:v>
      </x:c>
      <x:c r="G104" s="18" t="str">
        <x:v>否</x:v>
      </x:c>
      <x:c r="H104" s="18" t="str">
        <x:v>否</x:v>
      </x:c>
      <x:c r="I104" s="18" t="str">
        <x:v>否</x:v>
      </x:c>
    </x:row>
    <x:row r="105" ht="33" customHeight="1">
      <x:c r="A105" s="19" t="str">
        <x:v>言問通り降車場</x:v>
      </x:c>
      <x:c r="B105" s="19" t="str">
        <x:v>東京都台東区花川戸2丁目20</x:v>
      </x:c>
      <x:c r="C105" s="18" t="str">
        <x:v>navitime:02022-1457645</x:v>
      </x:c>
      <x:c r="D105" s="19" t="str">
        <x:v>官方身份待审核</x:v>
      </x:c>
      <x:c r="E105" s="19" t="str">
        <x:v>https://www.navitime.co.jp/poi?spot=02022-1457645</x:v>
      </x:c>
      <x:c r="F105" s="19" t="str">
        <x:v>https://www.navitime.co.jp/category/0815/13/
https://www.navitime.co.jp/category/0815/?page=3</x:v>
      </x:c>
      <x:c r="G105" s="18" t="str">
        <x:v>否</x:v>
      </x:c>
      <x:c r="H105" s="18" t="str">
        <x:v>否</x:v>
      </x:c>
      <x:c r="I105" s="18" t="str">
        <x:v>否</x:v>
      </x:c>
    </x:row>
    <x:row r="106" ht="33" customHeight="1">
      <x:c r="A106" s="19" t="str">
        <x:v>八景島シーパラダイス 団体バス発着所</x:v>
      </x:c>
      <x:c r="B106" s="19" t="str">
        <x:v>神奈川県横浜市金沢区八景島</x:v>
      </x:c>
      <x:c r="C106" s="18" t="str">
        <x:v>navitime:02022-1457646</x:v>
      </x:c>
      <x:c r="D106" s="19" t="str">
        <x:v>官方身份待审核</x:v>
      </x:c>
      <x:c r="E106" s="19" t="str">
        <x:v>https://www.navitime.co.jp/poi?spot=02022-1457646</x:v>
      </x:c>
      <x:c r="F106" s="19" t="str">
        <x:v>https://www.navitime.co.jp/category/0815/14/
https://www.navitime.co.jp/category/0815/?page=12</x:v>
      </x:c>
      <x:c r="G106" s="18" t="str">
        <x:v>否</x:v>
      </x:c>
      <x:c r="H106" s="18" t="str">
        <x:v>否</x:v>
      </x:c>
      <x:c r="I106" s="18" t="str">
        <x:v>否</x:v>
      </x:c>
    </x:row>
    <x:row r="107" ht="33" customHeight="1">
      <x:c r="A107" s="19" t="str">
        <x:v>海老名駅東口企業送迎車両ターミナル&lt;e-CAT&gt;</x:v>
      </x:c>
      <x:c r="B107" s="19" t="str">
        <x:v>神奈川県海老名市中央1丁目14-26</x:v>
      </x:c>
      <x:c r="C107" s="18" t="str">
        <x:v>navitime:02022-1457647</x:v>
      </x:c>
      <x:c r="D107" s="19" t="str">
        <x:v>官方身份待审核</x:v>
      </x:c>
      <x:c r="E107" s="19" t="str">
        <x:v>https://www.navitime.co.jp/poi?spot=02022-1457647</x:v>
      </x:c>
      <x:c r="F107" s="19" t="str">
        <x:v>https://www.navitime.co.jp/category/0815/14/
https://www.navitime.co.jp/category/0815/?page=12</x:v>
      </x:c>
      <x:c r="G107" s="18" t="str">
        <x:v>否</x:v>
      </x:c>
      <x:c r="H107" s="18" t="str">
        <x:v>否</x:v>
      </x:c>
      <x:c r="I107" s="18" t="str">
        <x:v>否</x:v>
      </x:c>
    </x:row>
    <x:row r="108" ht="33" customHeight="1">
      <x:c r="A108" s="19" t="str">
        <x:v>名古屋駅バスターミナル</x:v>
      </x:c>
      <x:c r="B108" s="19" t="str">
        <x:v>愛知県名古屋市中村区名駅1-1-4 JRゲートタワー 1F</x:v>
      </x:c>
      <x:c r="C108" s="18" t="str">
        <x:v>navitime:02022-1488534</x:v>
      </x:c>
      <x:c r="D108" s="19" t="str">
        <x:v>官方身份待审核</x:v>
      </x:c>
      <x:c r="E108" s="19" t="str">
        <x:v>https://www.navitime.co.jp/poi?spot=02022-1488534</x:v>
      </x:c>
      <x:c r="F108" s="19" t="str">
        <x:v>https://www.navitime.co.jp/category/0815/23/
https://www.navitime.co.jp/category/0815/?page=3</x:v>
      </x:c>
      <x:c r="G108" s="18" t="str">
        <x:v>否</x:v>
      </x:c>
      <x:c r="H108" s="18" t="str">
        <x:v>否</x:v>
      </x:c>
      <x:c r="I108" s="18" t="str">
        <x:v>否</x:v>
      </x:c>
    </x:row>
    <x:row r="109" ht="33" customHeight="1">
      <x:c r="A109" s="19" t="str">
        <x:v>名鉄バスセンター</x:v>
      </x:c>
      <x:c r="B109" s="19" t="str">
        <x:v>愛知県名古屋市中村区名駅1-2-4</x:v>
      </x:c>
      <x:c r="C109" s="18" t="str">
        <x:v>navitime:02022-16401</x:v>
      </x:c>
      <x:c r="D109" s="19" t="str">
        <x:v>官方身份待审核</x:v>
      </x:c>
      <x:c r="E109" s="19" t="str">
        <x:v>https://www.navitime.co.jp/poi?spot=02022-16401</x:v>
      </x:c>
      <x:c r="F109" s="19" t="str">
        <x:v>https://www.navitime.co.jp/category/0815/
https://www.navitime.co.jp/category/0815/23/</x:v>
      </x:c>
      <x:c r="G109" s="18" t="str">
        <x:v>否</x:v>
      </x:c>
      <x:c r="H109" s="18" t="str">
        <x:v>否</x:v>
      </x:c>
      <x:c r="I109" s="18" t="str">
        <x:v>否</x:v>
      </x:c>
    </x:row>
    <x:row r="110" ht="33" customHeight="1">
      <x:c r="A110" s="19" t="str">
        <x:v>上高地バスターミナル</x:v>
      </x:c>
      <x:c r="B110" s="19" t="str">
        <x:v>長野県松本市</x:v>
      </x:c>
      <x:c r="C110" s="18" t="str">
        <x:v>navitime:02022-54209</x:v>
      </x:c>
      <x:c r="D110" s="19" t="str">
        <x:v>官方身份待审核</x:v>
      </x:c>
      <x:c r="E110" s="19" t="str">
        <x:v>https://www.navitime.co.jp/poi?spot=02022-54209</x:v>
      </x:c>
      <x:c r="F110" s="19" t="str">
        <x:v>https://www.navitime.co.jp/category/0815/
https://www.navitime.co.jp/category/0815/20/</x:v>
      </x:c>
      <x:c r="G110" s="18" t="str">
        <x:v>否</x:v>
      </x:c>
      <x:c r="H110" s="18" t="str">
        <x:v>否</x:v>
      </x:c>
      <x:c r="I110" s="18" t="str">
        <x:v>否</x:v>
      </x:c>
    </x:row>
    <x:row r="111" ht="33" customHeight="1">
      <x:c r="A111" s="19" t="str">
        <x:v>渋谷駅バスターミナル</x:v>
      </x:c>
      <x:c r="B111" s="19" t="str">
        <x:v>東京都渋谷区道玄坂1-1</x:v>
      </x:c>
      <x:c r="C111" s="18" t="str">
        <x:v>navitime:02300-1000561</x:v>
      </x:c>
      <x:c r="D111" s="19" t="str">
        <x:v>官方身份待审核</x:v>
      </x:c>
      <x:c r="E111" s="19" t="str">
        <x:v>https://www.navitime.co.jp/poi?spot=02300-1000561</x:v>
      </x:c>
      <x:c r="F111" s="19" t="str">
        <x:v>https://www.navitime.co.jp/category/0815/13/?page=2
https://www.navitime.co.jp/category/0815/?page=6</x:v>
      </x:c>
      <x:c r="G111" s="18" t="str">
        <x:v>否</x:v>
      </x:c>
      <x:c r="H111" s="18" t="str">
        <x:v>否</x:v>
      </x:c>
      <x:c r="I111" s="18" t="str">
        <x:v>否</x:v>
      </x:c>
    </x:row>
    <x:row r="112" ht="33" customHeight="1">
      <x:c r="A112" s="19" t="str">
        <x:v>池上駅前バスターミナル</x:v>
      </x:c>
      <x:c r="B112" s="19" t="str">
        <x:v>東京都大田区池上6丁目</x:v>
      </x:c>
      <x:c r="C112" s="18" t="str">
        <x:v>navitime:02300-1000562</x:v>
      </x:c>
      <x:c r="D112" s="19" t="str">
        <x:v>官方身份待审核</x:v>
      </x:c>
      <x:c r="E112" s="19" t="str">
        <x:v>https://www.navitime.co.jp/poi?spot=02300-1000562</x:v>
      </x:c>
      <x:c r="F112" s="19" t="str">
        <x:v>https://www.navitime.co.jp/category/0815/13/?page=2
https://www.navitime.co.jp/category/0815/?page=6</x:v>
      </x:c>
      <x:c r="G112" s="18" t="str">
        <x:v>否</x:v>
      </x:c>
      <x:c r="H112" s="18" t="str">
        <x:v>否</x:v>
      </x:c>
      <x:c r="I112" s="18" t="str">
        <x:v>否</x:v>
      </x:c>
    </x:row>
    <x:row r="113" ht="33" customHeight="1">
      <x:c r="A113" s="19" t="str">
        <x:v>サンシャインバスターミナル</x:v>
      </x:c>
      <x:c r="B113" s="19" t="str">
        <x:v>東京都豊島区東池袋3-1-4</x:v>
      </x:c>
      <x:c r="C113" s="18" t="str">
        <x:v>navitime:02300-1000563</x:v>
      </x:c>
      <x:c r="D113" s="19" t="str">
        <x:v>官方身份待审核</x:v>
      </x:c>
      <x:c r="E113" s="19" t="str">
        <x:v>https://www.navitime.co.jp/poi?spot=02300-1000563</x:v>
      </x:c>
      <x:c r="F113" s="19" t="str">
        <x:v>https://www.navitime.co.jp/category/0815/13/
https://www.navitime.co.jp/category/0815/?page=2</x:v>
      </x:c>
      <x:c r="G113" s="18" t="str">
        <x:v>否</x:v>
      </x:c>
      <x:c r="H113" s="18" t="str">
        <x:v>否</x:v>
      </x:c>
      <x:c r="I113" s="18" t="str">
        <x:v>否</x:v>
      </x:c>
    </x:row>
    <x:row r="114" ht="33" customHeight="1">
      <x:c r="A114" s="19" t="str">
        <x:v>新札幌バスターミナル</x:v>
      </x:c>
      <x:c r="B114" s="19" t="str">
        <x:v>北海道札幌市厚別区厚別中央二条5丁目493-67</x:v>
      </x:c>
      <x:c r="C114" s="18" t="str">
        <x:v>navitime:02300-1000564</x:v>
      </x:c>
      <x:c r="D114" s="19" t="str">
        <x:v>官方身份待审核</x:v>
      </x:c>
      <x:c r="E114" s="19" t="str">
        <x:v>https://www.navitime.co.jp/poi?spot=02300-1000564</x:v>
      </x:c>
      <x:c r="F114" s="19" t="str">
        <x:v>https://www.navitime.co.jp/category/0815/01/
https://www.navitime.co.jp/category/0815/?page=3</x:v>
      </x:c>
      <x:c r="G114" s="18" t="str">
        <x:v>否</x:v>
      </x:c>
      <x:c r="H114" s="18" t="str">
        <x:v>否</x:v>
      </x:c>
      <x:c r="I114" s="18" t="str">
        <x:v>否</x:v>
      </x:c>
    </x:row>
    <x:row r="115" ht="33" customHeight="1">
      <x:c r="A115" s="19" t="str">
        <x:v>白石バスターミナル</x:v>
      </x:c>
      <x:c r="B115" s="19" t="str">
        <x:v>北海道札幌市白石区東札幌二条6丁目</x:v>
      </x:c>
      <x:c r="C115" s="18" t="str">
        <x:v>navitime:02300-1000565</x:v>
      </x:c>
      <x:c r="D115" s="19" t="str">
        <x:v>官方身份待审核</x:v>
      </x:c>
      <x:c r="E115" s="19" t="str">
        <x:v>https://www.navitime.co.jp/poi?spot=02300-1000565</x:v>
      </x:c>
      <x:c r="F115" s="19" t="str">
        <x:v>https://www.navitime.co.jp/category/0815/01/
https://www.navitime.co.jp/category/0815/?page=6</x:v>
      </x:c>
      <x:c r="G115" s="18" t="str">
        <x:v>否</x:v>
      </x:c>
      <x:c r="H115" s="18" t="str">
        <x:v>否</x:v>
      </x:c>
      <x:c r="I115" s="18" t="str">
        <x:v>否</x:v>
      </x:c>
    </x:row>
    <x:row r="116" ht="33" customHeight="1">
      <x:c r="A116" s="19" t="str">
        <x:v>宮の沢バスターミナル</x:v>
      </x:c>
      <x:c r="B116" s="19" t="str">
        <x:v>北海道札幌市西区宮の沢1条1-17</x:v>
      </x:c>
      <x:c r="C116" s="18" t="str">
        <x:v>navitime:02300-1000566</x:v>
      </x:c>
      <x:c r="D116" s="19" t="str">
        <x:v>官方身份待审核</x:v>
      </x:c>
      <x:c r="E116" s="19" t="str">
        <x:v>https://www.navitime.co.jp/poi?spot=02300-1000566</x:v>
      </x:c>
      <x:c r="F116" s="19" t="str">
        <x:v>https://www.navitime.co.jp/category/0815/01/
https://www.navitime.co.jp/category/0815/?page=5</x:v>
      </x:c>
      <x:c r="G116" s="18" t="str">
        <x:v>否</x:v>
      </x:c>
      <x:c r="H116" s="18" t="str">
        <x:v>否</x:v>
      </x:c>
      <x:c r="I116" s="18" t="str">
        <x:v>否</x:v>
      </x:c>
    </x:row>
    <x:row r="117" ht="33" customHeight="1">
      <x:c r="A117" s="19" t="str">
        <x:v>麻生バスターミナル</x:v>
      </x:c>
      <x:c r="B117" s="19" t="str">
        <x:v>北海道札幌市北区北39条西4</x:v>
      </x:c>
      <x:c r="C117" s="18" t="str">
        <x:v>navitime:02300-1000567</x:v>
      </x:c>
      <x:c r="D117" s="19" t="str">
        <x:v>官方身份待审核</x:v>
      </x:c>
      <x:c r="E117" s="19" t="str">
        <x:v>https://www.navitime.co.jp/poi?spot=02300-1000567</x:v>
      </x:c>
      <x:c r="F117" s="19" t="str">
        <x:v>https://www.navitime.co.jp/category/0815/01/
https://www.navitime.co.jp/category/0815/?page=6</x:v>
      </x:c>
      <x:c r="G117" s="18" t="str">
        <x:v>否</x:v>
      </x:c>
      <x:c r="H117" s="18" t="str">
        <x:v>否</x:v>
      </x:c>
      <x:c r="I117" s="18" t="str">
        <x:v>否</x:v>
      </x:c>
    </x:row>
    <x:row r="118" ht="33" customHeight="1">
      <x:c r="A118" s="19" t="str">
        <x:v>小樽バスターミナル</x:v>
      </x:c>
      <x:c r="B118" s="19" t="str">
        <x:v>北海道小樽市稲穂2-22-10</x:v>
      </x:c>
      <x:c r="C118" s="18" t="str">
        <x:v>navitime:02300-1000568</x:v>
      </x:c>
      <x:c r="D118" s="19" t="str">
        <x:v>官方身份待审核</x:v>
      </x:c>
      <x:c r="E118" s="19" t="str">
        <x:v>https://www.navitime.co.jp/poi?spot=02300-1000568</x:v>
      </x:c>
      <x:c r="F118" s="19" t="str">
        <x:v>https://www.navitime.co.jp/category/0815/01/
https://www.navitime.co.jp/category/0815/?page=6</x:v>
      </x:c>
      <x:c r="G118" s="18" t="str">
        <x:v>否</x:v>
      </x:c>
      <x:c r="H118" s="18" t="str">
        <x:v>否</x:v>
      </x:c>
      <x:c r="I118" s="18" t="str">
        <x:v>否</x:v>
      </x:c>
    </x:row>
    <x:row r="119" ht="33" customHeight="1">
      <x:c r="A119" s="19" t="str">
        <x:v>岩内バスターミナル</x:v>
      </x:c>
      <x:c r="B119" s="19" t="str">
        <x:v>北海道岩内郡岩内町字万代22</x:v>
      </x:c>
      <x:c r="C119" s="18" t="str">
        <x:v>navitime:02300-1000570</x:v>
      </x:c>
      <x:c r="D119" s="19" t="str">
        <x:v>官方身份待审核</x:v>
      </x:c>
      <x:c r="E119" s="19" t="str">
        <x:v>https://www.navitime.co.jp/poi?spot=02300-1000570</x:v>
      </x:c>
      <x:c r="F119" s="19" t="str">
        <x:v>https://www.navitime.co.jp/category/0815/01/
https://www.navitime.co.jp/category/0815/?page=4</x:v>
      </x:c>
      <x:c r="G119" s="18" t="str">
        <x:v>否</x:v>
      </x:c>
      <x:c r="H119" s="18" t="str">
        <x:v>否</x:v>
      </x:c>
      <x:c r="I119" s="18" t="str">
        <x:v>否</x:v>
      </x:c>
    </x:row>
    <x:row r="120" ht="33" customHeight="1">
      <x:c r="A120" s="19" t="str">
        <x:v>函館駅前バスターミナル</x:v>
      </x:c>
      <x:c r="B120" s="19" t="str">
        <x:v>北海道函館市若松町12-11</x:v>
      </x:c>
      <x:c r="C120" s="18" t="str">
        <x:v>navitime:02300-1000573</x:v>
      </x:c>
      <x:c r="D120" s="19" t="str">
        <x:v>官方身份待审核</x:v>
      </x:c>
      <x:c r="E120" s="19" t="str">
        <x:v>https://www.navitime.co.jp/poi?spot=02300-1000573</x:v>
      </x:c>
      <x:c r="F120" s="19" t="str">
        <x:v>https://www.navitime.co.jp/category/0815/01/
https://www.navitime.co.jp/category/0815/?page=6</x:v>
      </x:c>
      <x:c r="G120" s="18" t="str">
        <x:v>否</x:v>
      </x:c>
      <x:c r="H120" s="18" t="str">
        <x:v>否</x:v>
      </x:c>
      <x:c r="I120" s="18" t="str">
        <x:v>否</x:v>
      </x:c>
    </x:row>
    <x:row r="121" ht="33" customHeight="1">
      <x:c r="A121" s="19" t="str">
        <x:v>釧路駅前バスターミナル</x:v>
      </x:c>
      <x:c r="B121" s="19" t="str">
        <x:v>北海道釧路市末広町14-1-2 釧路駅前複合ビル内</x:v>
      </x:c>
      <x:c r="C121" s="18" t="str">
        <x:v>navitime:02300-1000574</x:v>
      </x:c>
      <x:c r="D121" s="19" t="str">
        <x:v>官方身份待审核</x:v>
      </x:c>
      <x:c r="E121" s="19" t="str">
        <x:v>https://www.navitime.co.jp/poi?spot=02300-1000574</x:v>
      </x:c>
      <x:c r="F121" s="19" t="str">
        <x:v>https://www.navitime.co.jp/category/0815/01/
https://www.navitime.co.jp/category/0815/?page=5</x:v>
      </x:c>
      <x:c r="G121" s="18" t="str">
        <x:v>否</x:v>
      </x:c>
      <x:c r="H121" s="18" t="str">
        <x:v>否</x:v>
      </x:c>
      <x:c r="I121" s="18" t="str">
        <x:v>否</x:v>
      </x:c>
    </x:row>
    <x:row r="122" ht="33" customHeight="1">
      <x:c r="A122" s="19" t="str">
        <x:v>十和田湖バスターミナル</x:v>
      </x:c>
      <x:c r="B122" s="19" t="str">
        <x:v>青森県十和田市大字奥瀬字十和田湖畔休屋</x:v>
      </x:c>
      <x:c r="C122" s="18" t="str">
        <x:v>navitime:02300-1000576</x:v>
      </x:c>
      <x:c r="D122" s="19" t="str">
        <x:v>官方身份待审核</x:v>
      </x:c>
      <x:c r="E122" s="19" t="str">
        <x:v>https://www.navitime.co.jp/poi?spot=02300-1000576</x:v>
      </x:c>
      <x:c r="F122" s="19" t="str">
        <x:v>https://www.navitime.co.jp/category/0815/02/
https://www.navitime.co.jp/category/0815/?page=6</x:v>
      </x:c>
      <x:c r="G122" s="18" t="str">
        <x:v>否</x:v>
      </x:c>
      <x:c r="H122" s="18" t="str">
        <x:v>否</x:v>
      </x:c>
      <x:c r="I122" s="18" t="str">
        <x:v>否</x:v>
      </x:c>
    </x:row>
    <x:row r="123" ht="33" customHeight="1">
      <x:c r="A123" s="19" t="str">
        <x:v>むつバスターミナル</x:v>
      </x:c>
      <x:c r="B123" s="19" t="str">
        <x:v>青森県むつ市柳町1丁目2-20</x:v>
      </x:c>
      <x:c r="C123" s="18" t="str">
        <x:v>navitime:02300-1000577</x:v>
      </x:c>
      <x:c r="D123" s="19" t="str">
        <x:v>官方身份待审核</x:v>
      </x:c>
      <x:c r="E123" s="19" t="str">
        <x:v>https://www.navitime.co.jp/poi?spot=02300-1000577</x:v>
      </x:c>
      <x:c r="F123" s="19" t="str">
        <x:v>https://www.navitime.co.jp/category/0815/02/
https://www.navitime.co.jp/category/0815/?page=7</x:v>
      </x:c>
      <x:c r="G123" s="18" t="str">
        <x:v>否</x:v>
      </x:c>
      <x:c r="H123" s="18" t="str">
        <x:v>否</x:v>
      </x:c>
      <x:c r="I123" s="18" t="str">
        <x:v>否</x:v>
      </x:c>
    </x:row>
    <x:row r="124" ht="33" customHeight="1">
      <x:c r="A124" s="19" t="str">
        <x:v>盛岡駅東口バスターミナル</x:v>
      </x:c>
      <x:c r="B124" s="19" t="str">
        <x:v>岩手県盛岡市盛岡駅前通1</x:v>
      </x:c>
      <x:c r="C124" s="18" t="str">
        <x:v>navitime:02300-1000578</x:v>
      </x:c>
      <x:c r="D124" s="19" t="str">
        <x:v>官方身份待审核</x:v>
      </x:c>
      <x:c r="E124" s="19" t="str">
        <x:v>https://www.navitime.co.jp/poi?spot=02300-1000578</x:v>
      </x:c>
      <x:c r="F124" s="19" t="str">
        <x:v>https://www.navitime.co.jp/category/0815/03/
https://www.navitime.co.jp/category/0815/?page=4</x:v>
      </x:c>
      <x:c r="G124" s="18" t="str">
        <x:v>否</x:v>
      </x:c>
      <x:c r="H124" s="18" t="str">
        <x:v>否</x:v>
      </x:c>
      <x:c r="I124" s="18" t="str">
        <x:v>否</x:v>
      </x:c>
    </x:row>
    <x:row r="125" ht="33" customHeight="1">
      <x:c r="A125" s="19" t="str">
        <x:v>盛岡駅西口バスターミナル</x:v>
      </x:c>
      <x:c r="B125" s="19" t="str">
        <x:v>岩手県盛岡市盛岡駅西通2</x:v>
      </x:c>
      <x:c r="C125" s="18" t="str">
        <x:v>navitime:02300-1000579</x:v>
      </x:c>
      <x:c r="D125" s="19" t="str">
        <x:v>官方身份待审核</x:v>
      </x:c>
      <x:c r="E125" s="19" t="str">
        <x:v>https://www.navitime.co.jp/poi?spot=02300-1000579</x:v>
      </x:c>
      <x:c r="F125" s="19" t="str">
        <x:v>https://www.navitime.co.jp/category/0815/03/
https://www.navitime.co.jp/category/0815/?page=3</x:v>
      </x:c>
      <x:c r="G125" s="18" t="str">
        <x:v>否</x:v>
      </x:c>
      <x:c r="H125" s="18" t="str">
        <x:v>否</x:v>
      </x:c>
      <x:c r="I125" s="18" t="str">
        <x:v>否</x:v>
      </x:c>
    </x:row>
    <x:row r="126" ht="33" customHeight="1">
      <x:c r="A126" s="19" t="str">
        <x:v>西部サービスセンターバスターミナル</x:v>
      </x:c>
      <x:c r="B126" s="19" t="str">
        <x:v>秋田県秋田市新屋扇町13-34</x:v>
      </x:c>
      <x:c r="C126" s="18" t="str">
        <x:v>navitime:02300-1000580</x:v>
      </x:c>
      <x:c r="D126" s="19" t="str">
        <x:v>官方身份待审核</x:v>
      </x:c>
      <x:c r="E126" s="19" t="str">
        <x:v>https://www.navitime.co.jp/poi?spot=02300-1000580</x:v>
      </x:c>
      <x:c r="F126" s="19" t="str">
        <x:v>https://www.navitime.co.jp/category/0815/05/
https://www.navitime.co.jp/category/0815/?page=7</x:v>
      </x:c>
      <x:c r="G126" s="18" t="str">
        <x:v>否</x:v>
      </x:c>
      <x:c r="H126" s="18" t="str">
        <x:v>否</x:v>
      </x:c>
      <x:c r="I126" s="18" t="str">
        <x:v>否</x:v>
      </x:c>
    </x:row>
    <x:row r="127" ht="33" customHeight="1">
      <x:c r="A127" s="19" t="str">
        <x:v>エスモールバスセンター</x:v>
      </x:c>
      <x:c r="B127" s="19" t="str">
        <x:v>山形県鶴岡市錦町2-21</x:v>
      </x:c>
      <x:c r="C127" s="18" t="str">
        <x:v>navitime:02300-1000583</x:v>
      </x:c>
      <x:c r="D127" s="19" t="str">
        <x:v>官方身份待审核</x:v>
      </x:c>
      <x:c r="E127" s="19" t="str">
        <x:v>https://www.navitime.co.jp/poi?spot=02300-1000583</x:v>
      </x:c>
      <x:c r="F127" s="19" t="str">
        <x:v>https://www.navitime.co.jp/category/0815/06/
https://www.navitime.co.jp/category/0815/?page=7</x:v>
      </x:c>
      <x:c r="G127" s="18" t="str">
        <x:v>否</x:v>
      </x:c>
      <x:c r="H127" s="18" t="str">
        <x:v>否</x:v>
      </x:c>
      <x:c r="I127" s="18" t="str">
        <x:v>否</x:v>
      </x:c>
    </x:row>
    <x:row r="128" ht="33" customHeight="1">
      <x:c r="A128" s="19" t="str">
        <x:v>筑波山口バスターミナル</x:v>
      </x:c>
      <x:c r="B128" s="19" t="str">
        <x:v>茨城県つくば市沼田</x:v>
      </x:c>
      <x:c r="C128" s="18" t="str">
        <x:v>navitime:02300-1000585</x:v>
      </x:c>
      <x:c r="D128" s="19" t="str">
        <x:v>官方身份待审核</x:v>
      </x:c>
      <x:c r="E128" s="19" t="str">
        <x:v>https://www.navitime.co.jp/poi?spot=02300-1000585</x:v>
      </x:c>
      <x:c r="F128" s="19" t="str">
        <x:v>https://www.navitime.co.jp/category/0815/08/
https://www.navitime.co.jp/category/0815/?page=4</x:v>
      </x:c>
      <x:c r="G128" s="18" t="str">
        <x:v>否</x:v>
      </x:c>
      <x:c r="H128" s="18" t="str">
        <x:v>否</x:v>
      </x:c>
      <x:c r="I128" s="18" t="str">
        <x:v>否</x:v>
      </x:c>
    </x:row>
    <x:row r="129" ht="33" customHeight="1">
      <x:c r="A129" s="19" t="str">
        <x:v>岩井バスターミナル</x:v>
      </x:c>
      <x:c r="B129" s="19" t="str">
        <x:v>茨城県坂東市鵠戸</x:v>
      </x:c>
      <x:c r="C129" s="18" t="str">
        <x:v>navitime:02300-1000586</x:v>
      </x:c>
      <x:c r="D129" s="19" t="str">
        <x:v>官方身份待审核</x:v>
      </x:c>
      <x:c r="E129" s="19" t="str">
        <x:v>https://www.navitime.co.jp/poi?spot=02300-1000586</x:v>
      </x:c>
      <x:c r="F129" s="19" t="str">
        <x:v>https://www.navitime.co.jp/category/0815/08/
https://www.navitime.co.jp/category/0815/?page=7</x:v>
      </x:c>
      <x:c r="G129" s="18" t="str">
        <x:v>否</x:v>
      </x:c>
      <x:c r="H129" s="18" t="str">
        <x:v>否</x:v>
      </x:c>
      <x:c r="I129" s="18" t="str">
        <x:v>否</x:v>
      </x:c>
    </x:row>
    <x:row r="130" ht="33" customHeight="1">
      <x:c r="A130" s="19" t="str">
        <x:v>草津温泉バスターミナル</x:v>
      </x:c>
      <x:c r="B130" s="19" t="str">
        <x:v>群馬県吾妻郡草津町草津28</x:v>
      </x:c>
      <x:c r="C130" s="18" t="str">
        <x:v>navitime:02300-1000589</x:v>
      </x:c>
      <x:c r="D130" s="19" t="str">
        <x:v>官方身份待审核</x:v>
      </x:c>
      <x:c r="E130" s="19" t="str">
        <x:v>https://www.navitime.co.jp/poi?spot=02300-1000589</x:v>
      </x:c>
      <x:c r="F130" s="19" t="str">
        <x:v>https://www.navitime.co.jp/category/0815/
https://www.navitime.co.jp/category/0815/10/</x:v>
      </x:c>
      <x:c r="G130" s="18" t="str">
        <x:v>否</x:v>
      </x:c>
      <x:c r="H130" s="18" t="str">
        <x:v>否</x:v>
      </x:c>
      <x:c r="I130" s="18" t="str">
        <x:v>否</x:v>
      </x:c>
    </x:row>
    <x:row r="131" ht="33" customHeight="1">
      <x:c r="A131" s="19" t="str">
        <x:v>万代シテイバスセンター</x:v>
      </x:c>
      <x:c r="B131" s="19" t="str">
        <x:v>新潟県新潟市中央区万代1-6-1 万代シテイバスセンタービル内</x:v>
      </x:c>
      <x:c r="C131" s="18" t="str">
        <x:v>navitime:02300-1000592</x:v>
      </x:c>
      <x:c r="D131" s="19" t="str">
        <x:v>官方身份待审核</x:v>
      </x:c>
      <x:c r="E131" s="19" t="str">
        <x:v>https://www.navitime.co.jp/poi?spot=02300-1000592</x:v>
      </x:c>
      <x:c r="F131" s="19" t="str">
        <x:v>https://www.navitime.co.jp/category/0815/
https://www.navitime.co.jp/category/0815/15/</x:v>
      </x:c>
      <x:c r="G131" s="18" t="str">
        <x:v>否</x:v>
      </x:c>
      <x:c r="H131" s="18" t="str">
        <x:v>否</x:v>
      </x:c>
      <x:c r="I131" s="18" t="str">
        <x:v>否</x:v>
      </x:c>
    </x:row>
    <x:row r="132" ht="33" customHeight="1">
      <x:c r="A132" s="19" t="str">
        <x:v>織田バスターミナルセンター</x:v>
      </x:c>
      <x:c r="B132" s="19" t="str">
        <x:v>福井県丹生郡越前町織田</x:v>
      </x:c>
      <x:c r="C132" s="18" t="str">
        <x:v>navitime:02300-1000595</x:v>
      </x:c>
      <x:c r="D132" s="19" t="str">
        <x:v>官方身份待审核</x:v>
      </x:c>
      <x:c r="E132" s="19" t="str">
        <x:v>https://www.navitime.co.jp/poi?spot=02300-1000595</x:v>
      </x:c>
      <x:c r="F132" s="19" t="str">
        <x:v>https://www.navitime.co.jp/category/0815/18/
https://www.navitime.co.jp/category/0815/?page=7</x:v>
      </x:c>
      <x:c r="G132" s="18" t="str">
        <x:v>否</x:v>
      </x:c>
      <x:c r="H132" s="18" t="str">
        <x:v>否</x:v>
      </x:c>
      <x:c r="I132" s="18" t="str">
        <x:v>否</x:v>
      </x:c>
    </x:row>
    <x:row r="133" ht="33" customHeight="1">
      <x:c r="A133" s="19" t="str">
        <x:v>旭日丘バスターミナル</x:v>
      </x:c>
      <x:c r="B133" s="19" t="str">
        <x:v>山梨県南都留郡山中湖村平野506</x:v>
      </x:c>
      <x:c r="C133" s="18" t="str">
        <x:v>navitime:02300-1000596</x:v>
      </x:c>
      <x:c r="D133" s="19" t="str">
        <x:v>官方身份待审核</x:v>
      </x:c>
      <x:c r="E133" s="19" t="str">
        <x:v>https://www.navitime.co.jp/poi?spot=02300-1000596</x:v>
      </x:c>
      <x:c r="F133" s="19" t="str">
        <x:v>https://www.navitime.co.jp/category/0815/19/
https://www.navitime.co.jp/category/0815/?page=7</x:v>
      </x:c>
      <x:c r="G133" s="18" t="str">
        <x:v>否</x:v>
      </x:c>
      <x:c r="H133" s="18" t="str">
        <x:v>否</x:v>
      </x:c>
      <x:c r="I133" s="18" t="str">
        <x:v>否</x:v>
      </x:c>
    </x:row>
    <x:row r="134" ht="33" customHeight="1">
      <x:c r="A134" s="19" t="str">
        <x:v>富士急ハイランドバスターミナル</x:v>
      </x:c>
      <x:c r="B134" s="19" t="str">
        <x:v>山梨県富士吉田市新西原5</x:v>
      </x:c>
      <x:c r="C134" s="18" t="str">
        <x:v>navitime:02300-1000597</x:v>
      </x:c>
      <x:c r="D134" s="19" t="str">
        <x:v>官方身份待审核</x:v>
      </x:c>
      <x:c r="E134" s="19" t="str">
        <x:v>https://www.navitime.co.jp/poi?spot=02300-1000597</x:v>
      </x:c>
      <x:c r="F134" s="19" t="str">
        <x:v>https://www.navitime.co.jp/category/0815/19/
https://www.navitime.co.jp/category/0815/?page=7</x:v>
      </x:c>
      <x:c r="G134" s="18" t="str">
        <x:v>否</x:v>
      </x:c>
      <x:c r="H134" s="18" t="str">
        <x:v>否</x:v>
      </x:c>
      <x:c r="I134" s="18" t="str">
        <x:v>否</x:v>
      </x:c>
    </x:row>
    <x:row r="135" ht="33" customHeight="1">
      <x:c r="A135" s="19" t="str">
        <x:v>甲府駅バスターミナル</x:v>
      </x:c>
      <x:c r="B135" s="19" t="str">
        <x:v>山梨県甲府市丸の内1</x:v>
      </x:c>
      <x:c r="C135" s="18" t="str">
        <x:v>navitime:02300-1000598</x:v>
      </x:c>
      <x:c r="D135" s="19" t="str">
        <x:v>官方身份待审核</x:v>
      </x:c>
      <x:c r="E135" s="19" t="str">
        <x:v>https://www.navitime.co.jp/poi?spot=02300-1000598</x:v>
      </x:c>
      <x:c r="F135" s="19" t="str">
        <x:v>https://www.navitime.co.jp/category/0815/19/
https://www.navitime.co.jp/category/0815/?page=4</x:v>
      </x:c>
      <x:c r="G135" s="18" t="str">
        <x:v>否</x:v>
      </x:c>
      <x:c r="H135" s="18" t="str">
        <x:v>否</x:v>
      </x:c>
      <x:c r="I135" s="18" t="str">
        <x:v>否</x:v>
      </x:c>
    </x:row>
    <x:row r="136" ht="33" customHeight="1">
      <x:c r="A136" s="19" t="str">
        <x:v>名鉄一宮駅バスターミナル</x:v>
      </x:c>
      <x:c r="B136" s="19" t="str">
        <x:v>愛知県一宮市新生1</x:v>
      </x:c>
      <x:c r="C136" s="18" t="str">
        <x:v>navitime:02300-1000600</x:v>
      </x:c>
      <x:c r="D136" s="19" t="str">
        <x:v>官方身份待审核</x:v>
      </x:c>
      <x:c r="E136" s="19" t="str">
        <x:v>https://www.navitime.co.jp/poi?spot=02300-1000600</x:v>
      </x:c>
      <x:c r="F136" s="19" t="str">
        <x:v>https://www.navitime.co.jp/category/0815/23/
https://www.navitime.co.jp/category/0815/?page=7</x:v>
      </x:c>
      <x:c r="G136" s="18" t="str">
        <x:v>否</x:v>
      </x:c>
      <x:c r="H136" s="18" t="str">
        <x:v>否</x:v>
      </x:c>
      <x:c r="I136" s="18" t="str">
        <x:v>否</x:v>
      </x:c>
    </x:row>
    <x:row r="137" ht="33" customHeight="1">
      <x:c r="A137" s="19" t="str">
        <x:v>JR岐阜駅バスターミナル</x:v>
      </x:c>
      <x:c r="B137" s="19" t="str">
        <x:v>岐阜県岐阜市橋本町1</x:v>
      </x:c>
      <x:c r="C137" s="18" t="str">
        <x:v>navitime:02300-1000602</x:v>
      </x:c>
      <x:c r="D137" s="19" t="str">
        <x:v>官方身份待审核</x:v>
      </x:c>
      <x:c r="E137" s="19" t="str">
        <x:v>https://www.navitime.co.jp/poi?spot=02300-1000602</x:v>
      </x:c>
      <x:c r="F137" s="19" t="str">
        <x:v>https://www.navitime.co.jp/category/0815/21/
https://www.navitime.co.jp/category/0815/?page=4</x:v>
      </x:c>
      <x:c r="G137" s="18" t="str">
        <x:v>否</x:v>
      </x:c>
      <x:c r="H137" s="18" t="str">
        <x:v>否</x:v>
      </x:c>
      <x:c r="I137" s="18" t="str">
        <x:v>否</x:v>
      </x:c>
    </x:row>
    <x:row r="138" ht="33" customHeight="1">
      <x:c r="A138" s="19" t="str">
        <x:v>北方バスターミナル</x:v>
      </x:c>
      <x:c r="B138" s="19" t="str">
        <x:v>岐阜県本巣郡北方町北方</x:v>
      </x:c>
      <x:c r="C138" s="18" t="str">
        <x:v>navitime:02300-1000604</x:v>
      </x:c>
      <x:c r="D138" s="19" t="str">
        <x:v>官方身份待审核</x:v>
      </x:c>
      <x:c r="E138" s="19" t="str">
        <x:v>https://www.navitime.co.jp/poi?spot=02300-1000604</x:v>
      </x:c>
      <x:c r="F138" s="19" t="str">
        <x:v>https://www.navitime.co.jp/category/0815/21/
https://www.navitime.co.jp/category/0815/?page=7</x:v>
      </x:c>
      <x:c r="G138" s="18" t="str">
        <x:v>否</x:v>
      </x:c>
      <x:c r="H138" s="18" t="str">
        <x:v>否</x:v>
      </x:c>
      <x:c r="I138" s="18" t="str">
        <x:v>否</x:v>
      </x:c>
    </x:row>
    <x:row r="139" ht="33" customHeight="1">
      <x:c r="A139" s="19" t="str">
        <x:v>表町バスセンター</x:v>
      </x:c>
      <x:c r="B139" s="19" t="str">
        <x:v>岡山県岡山市北区表町2</x:v>
      </x:c>
      <x:c r="C139" s="18" t="str">
        <x:v>navitime:02300-1000607</x:v>
      </x:c>
      <x:c r="D139" s="19" t="str">
        <x:v>官方身份待审核</x:v>
      </x:c>
      <x:c r="E139" s="19" t="str">
        <x:v>https://www.navitime.co.jp/poi?spot=02300-1000607</x:v>
      </x:c>
      <x:c r="F139" s="19" t="str">
        <x:v>https://www.navitime.co.jp/category/0815/33/
https://www.navitime.co.jp/category/0815/?page=7</x:v>
      </x:c>
      <x:c r="G139" s="18" t="str">
        <x:v>否</x:v>
      </x:c>
      <x:c r="H139" s="18" t="str">
        <x:v>否</x:v>
      </x:c>
      <x:c r="I139" s="18" t="str">
        <x:v>否</x:v>
      </x:c>
    </x:row>
    <x:row r="140" ht="33" customHeight="1">
      <x:c r="A140" s="19" t="str">
        <x:v>西大寺バスセンター</x:v>
      </x:c>
      <x:c r="B140" s="19" t="str">
        <x:v>岡山県岡山市東区西大寺上1</x:v>
      </x:c>
      <x:c r="C140" s="18" t="str">
        <x:v>navitime:02300-1000608</x:v>
      </x:c>
      <x:c r="D140" s="19" t="str">
        <x:v>官方身份待审核</x:v>
      </x:c>
      <x:c r="E140" s="19" t="str">
        <x:v>https://www.navitime.co.jp/poi?spot=02300-1000608</x:v>
      </x:c>
      <x:c r="F140" s="19" t="str">
        <x:v>https://www.navitime.co.jp/category/0815/33/
https://www.navitime.co.jp/category/0815/?page=5</x:v>
      </x:c>
      <x:c r="G140" s="18" t="str">
        <x:v>否</x:v>
      </x:c>
      <x:c r="H140" s="18" t="str">
        <x:v>否</x:v>
      </x:c>
      <x:c r="I140" s="18" t="str">
        <x:v>否</x:v>
      </x:c>
    </x:row>
    <x:row r="141" ht="33" customHeight="1">
      <x:c r="A141" s="19" t="str">
        <x:v>津山広域バスセンター</x:v>
      </x:c>
      <x:c r="B141" s="19" t="str">
        <x:v>岡山県津山市南町1</x:v>
      </x:c>
      <x:c r="C141" s="18" t="str">
        <x:v>navitime:02300-1000609</x:v>
      </x:c>
      <x:c r="D141" s="19" t="str">
        <x:v>官方身份待审核</x:v>
      </x:c>
      <x:c r="E141" s="19" t="str">
        <x:v>https://www.navitime.co.jp/poi?spot=02300-1000609</x:v>
      </x:c>
      <x:c r="F141" s="19" t="str">
        <x:v>https://www.navitime.co.jp/category/0815/33/
https://www.navitime.co.jp/category/0815/?page=7</x:v>
      </x:c>
      <x:c r="G141" s="18" t="str">
        <x:v>否</x:v>
      </x:c>
      <x:c r="H141" s="18" t="str">
        <x:v>否</x:v>
      </x:c>
      <x:c r="I141" s="18" t="str">
        <x:v>否</x:v>
      </x:c>
    </x:row>
    <x:row r="142" ht="33" customHeight="1">
      <x:c r="A142" s="19" t="str">
        <x:v>道の駅クロスロードみつぎバスターミナル</x:v>
      </x:c>
      <x:c r="B142" s="19" t="str">
        <x:v>広島県尾道市御調町大田33</x:v>
      </x:c>
      <x:c r="C142" s="18" t="str">
        <x:v>navitime:02300-1000610</x:v>
      </x:c>
      <x:c r="D142" s="19" t="str">
        <x:v>官方身份待审核</x:v>
      </x:c>
      <x:c r="E142" s="19" t="str">
        <x:v>https://www.navitime.co.jp/poi?spot=02300-1000610</x:v>
      </x:c>
      <x:c r="F142" s="19" t="str">
        <x:v>https://www.navitime.co.jp/category/0815/34/
https://www.navitime.co.jp/category/0815/?page=7</x:v>
      </x:c>
      <x:c r="G142" s="18" t="str">
        <x:v>否</x:v>
      </x:c>
      <x:c r="H142" s="18" t="str">
        <x:v>否</x:v>
      </x:c>
      <x:c r="I142" s="18" t="str">
        <x:v>否</x:v>
      </x:c>
    </x:row>
    <x:row r="143" ht="33" customHeight="1">
      <x:c r="A143" s="19" t="str">
        <x:v>道の駅瑞穂バスターミナル(田所道の駅)</x:v>
      </x:c>
      <x:c r="B143" s="19" t="str">
        <x:v>島根県邑智郡邑南町下田所260-3</x:v>
      </x:c>
      <x:c r="C143" s="18" t="str">
        <x:v>navitime:02300-1000612</x:v>
      </x:c>
      <x:c r="D143" s="19" t="str">
        <x:v>官方身份待审核</x:v>
      </x:c>
      <x:c r="E143" s="19" t="str">
        <x:v>https://www.navitime.co.jp/poi?spot=02300-1000612</x:v>
      </x:c>
      <x:c r="F143" s="19" t="str">
        <x:v>https://www.navitime.co.jp/category/0815/32/
https://www.navitime.co.jp/category/0815/?page=7</x:v>
      </x:c>
      <x:c r="G143" s="18" t="str">
        <x:v>否</x:v>
      </x:c>
      <x:c r="H143" s="18" t="str">
        <x:v>否</x:v>
      </x:c>
      <x:c r="I143" s="18" t="str">
        <x:v>否</x:v>
      </x:c>
    </x:row>
    <x:row r="144" ht="33" customHeight="1">
      <x:c r="A144" s="19" t="str">
        <x:v>道の駅シルクウェイにちはらバスターミナル(日原(道の駅))</x:v>
      </x:c>
      <x:c r="B144" s="19" t="str">
        <x:v>島根県鹿足郡津和野町池村1997-4</x:v>
      </x:c>
      <x:c r="C144" s="18" t="str">
        <x:v>navitime:02300-1000613</x:v>
      </x:c>
      <x:c r="D144" s="19" t="str">
        <x:v>官方身份待审核</x:v>
      </x:c>
      <x:c r="E144" s="19" t="str">
        <x:v>https://www.navitime.co.jp/poi?spot=02300-1000613</x:v>
      </x:c>
      <x:c r="F144" s="19" t="str">
        <x:v>https://www.navitime.co.jp/category/0815/32/
https://www.navitime.co.jp/category/0815/?page=7</x:v>
      </x:c>
      <x:c r="G144" s="18" t="str">
        <x:v>否</x:v>
      </x:c>
      <x:c r="H144" s="18" t="str">
        <x:v>否</x:v>
      </x:c>
      <x:c r="I144" s="18" t="str">
        <x:v>否</x:v>
      </x:c>
    </x:row>
    <x:row r="145" ht="33" customHeight="1">
      <x:c r="A145" s="19" t="str">
        <x:v>宇部中央バス停(バスターミナル)</x:v>
      </x:c>
      <x:c r="B145" s="19" t="str">
        <x:v>山口県宇部市中央町2</x:v>
      </x:c>
      <x:c r="C145" s="18" t="str">
        <x:v>navitime:02300-1000614</x:v>
      </x:c>
      <x:c r="D145" s="19" t="str">
        <x:v>官方身份待审核</x:v>
      </x:c>
      <x:c r="E145" s="19" t="str">
        <x:v>https://www.navitime.co.jp/poi?spot=02300-1000614</x:v>
      </x:c>
      <x:c r="F145" s="19" t="str">
        <x:v>https://www.navitime.co.jp/category/0815/35/
https://www.navitime.co.jp/category/0815/?page=7</x:v>
      </x:c>
      <x:c r="G145" s="18" t="str">
        <x:v>否</x:v>
      </x:c>
      <x:c r="H145" s="18" t="str">
        <x:v>否</x:v>
      </x:c>
      <x:c r="I145" s="18" t="str">
        <x:v>否</x:v>
      </x:c>
    </x:row>
    <x:row r="146" ht="33" customHeight="1">
      <x:c r="A146" s="19" t="str">
        <x:v>高松駅前バスターミナル</x:v>
      </x:c>
      <x:c r="B146" s="19" t="str">
        <x:v>香川県高松市浜ノ町</x:v>
      </x:c>
      <x:c r="C146" s="18" t="str">
        <x:v>navitime:02300-1000616</x:v>
      </x:c>
      <x:c r="D146" s="19" t="str">
        <x:v>官方身份待审核</x:v>
      </x:c>
      <x:c r="E146" s="19" t="str">
        <x:v>https://www.navitime.co.jp/poi?spot=02300-1000616</x:v>
      </x:c>
      <x:c r="F146" s="19" t="str">
        <x:v>https://www.navitime.co.jp/category/0815/37/
https://www.navitime.co.jp/category/0815/?page=3</x:v>
      </x:c>
      <x:c r="G146" s="18" t="str">
        <x:v>否</x:v>
      </x:c>
      <x:c r="H146" s="18" t="str">
        <x:v>否</x:v>
      </x:c>
      <x:c r="I146" s="18" t="str">
        <x:v>否</x:v>
      </x:c>
    </x:row>
    <x:row r="147" ht="33" customHeight="1">
      <x:c r="A147" s="19" t="str">
        <x:v>南国交通バスターミナル(鹿児島中央ターミナル)</x:v>
      </x:c>
      <x:c r="B147" s="19" t="str">
        <x:v>鹿児島県鹿児島市中央町11 鹿児島中央ターミナルビル1F</x:v>
      </x:c>
      <x:c r="C147" s="18" t="str">
        <x:v>navitime:02300-1000620</x:v>
      </x:c>
      <x:c r="D147" s="19" t="str">
        <x:v>官方身份待审核</x:v>
      </x:c>
      <x:c r="E147" s="19" t="str">
        <x:v>https://www.navitime.co.jp/poi?spot=02300-1000620</x:v>
      </x:c>
      <x:c r="F147" s="19" t="str">
        <x:v>https://www.navitime.co.jp/category/0815/46/
https://www.navitime.co.jp/category/0815/?page=8</x:v>
      </x:c>
      <x:c r="G147" s="18" t="str">
        <x:v>否</x:v>
      </x:c>
      <x:c r="H147" s="18" t="str">
        <x:v>否</x:v>
      </x:c>
      <x:c r="I147" s="18" t="str">
        <x:v>否</x:v>
      </x:c>
    </x:row>
    <x:row r="148" ht="33" customHeight="1">
      <x:c r="A148" s="19" t="str">
        <x:v>読谷バスターミナル</x:v>
      </x:c>
      <x:c r="B148" s="19" t="str">
        <x:v>沖縄県中頭郡読谷村瀬名波621-3</x:v>
      </x:c>
      <x:c r="C148" s="18" t="str">
        <x:v>navitime:02300-1000622</x:v>
      </x:c>
      <x:c r="D148" s="19" t="str">
        <x:v>官方身份待审核</x:v>
      </x:c>
      <x:c r="E148" s="19" t="str">
        <x:v>https://www.navitime.co.jp/poi?spot=02300-1000622</x:v>
      </x:c>
      <x:c r="F148" s="19" t="str">
        <x:v>https://www.navitime.co.jp/category/0815/47/
https://www.navitime.co.jp/category/0815/?page=8</x:v>
      </x:c>
      <x:c r="G148" s="18" t="str">
        <x:v>否</x:v>
      </x:c>
      <x:c r="H148" s="18" t="str">
        <x:v>否</x:v>
      </x:c>
      <x:c r="I148" s="18" t="str">
        <x:v>否</x:v>
      </x:c>
    </x:row>
    <x:row r="149" ht="33" customHeight="1">
      <x:c r="A149" s="19" t="str">
        <x:v>屋慶名バスターミナル</x:v>
      </x:c>
      <x:c r="B149" s="19" t="str">
        <x:v>沖縄県うるま市与那城屋慶名467-25</x:v>
      </x:c>
      <x:c r="C149" s="18" t="str">
        <x:v>navitime:02300-1000623</x:v>
      </x:c>
      <x:c r="D149" s="19" t="str">
        <x:v>官方身份待审核</x:v>
      </x:c>
      <x:c r="E149" s="19" t="str">
        <x:v>https://www.navitime.co.jp/poi?spot=02300-1000623</x:v>
      </x:c>
      <x:c r="F149" s="19" t="str">
        <x:v>https://www.navitime.co.jp/category/0815/47/
https://www.navitime.co.jp/category/0815/?page=8</x:v>
      </x:c>
      <x:c r="G149" s="18" t="str">
        <x:v>否</x:v>
      </x:c>
      <x:c r="H149" s="18" t="str">
        <x:v>否</x:v>
      </x:c>
      <x:c r="I149" s="18" t="str">
        <x:v>否</x:v>
      </x:c>
    </x:row>
    <x:row r="150" ht="33" customHeight="1">
      <x:c r="A150" s="19" t="str">
        <x:v>具志川バスターミナル</x:v>
      </x:c>
      <x:c r="B150" s="19" t="str">
        <x:v>沖縄県うるま市字田場1784</x:v>
      </x:c>
      <x:c r="C150" s="18" t="str">
        <x:v>navitime:02300-1000624</x:v>
      </x:c>
      <x:c r="D150" s="19" t="str">
        <x:v>官方身份待审核</x:v>
      </x:c>
      <x:c r="E150" s="19" t="str">
        <x:v>https://www.navitime.co.jp/poi?spot=02300-1000624</x:v>
      </x:c>
      <x:c r="F150" s="19" t="str">
        <x:v>https://www.navitime.co.jp/category/0815/47/
https://www.navitime.co.jp/category/0815/?page=8</x:v>
      </x:c>
      <x:c r="G150" s="18" t="str">
        <x:v>否</x:v>
      </x:c>
      <x:c r="H150" s="18" t="str">
        <x:v>否</x:v>
      </x:c>
      <x:c r="I150" s="18" t="str">
        <x:v>否</x:v>
      </x:c>
    </x:row>
    <x:row r="151" ht="33" customHeight="1">
      <x:c r="A151" s="19" t="str">
        <x:v>糸満バスターミナル</x:v>
      </x:c>
      <x:c r="B151" s="19" t="str">
        <x:v>沖縄県糸満市字糸満2276-2、2274-2</x:v>
      </x:c>
      <x:c r="C151" s="18" t="str">
        <x:v>navitime:02300-1000625</x:v>
      </x:c>
      <x:c r="D151" s="19" t="str">
        <x:v>官方身份待审核</x:v>
      </x:c>
      <x:c r="E151" s="19" t="str">
        <x:v>https://www.navitime.co.jp/poi?spot=02300-1000625</x:v>
      </x:c>
      <x:c r="F151" s="19" t="str">
        <x:v>https://www.navitime.co.jp/category/0815/47/
https://www.navitime.co.jp/category/0815/?page=8</x:v>
      </x:c>
      <x:c r="G151" s="18" t="str">
        <x:v>否</x:v>
      </x:c>
      <x:c r="H151" s="18" t="str">
        <x:v>否</x:v>
      </x:c>
      <x:c r="I151" s="18" t="str">
        <x:v>否</x:v>
      </x:c>
    </x:row>
    <x:row r="152" ht="33" customHeight="1">
      <x:c r="A152" s="19" t="str">
        <x:v>百名バスターミナル</x:v>
      </x:c>
      <x:c r="B152" s="19" t="str">
        <x:v>沖縄県南城市玉城字百名772-1</x:v>
      </x:c>
      <x:c r="C152" s="18" t="str">
        <x:v>navitime:02300-1000626</x:v>
      </x:c>
      <x:c r="D152" s="19" t="str">
        <x:v>官方身份待审核</x:v>
      </x:c>
      <x:c r="E152" s="19" t="str">
        <x:v>https://www.navitime.co.jp/poi?spot=02300-1000626</x:v>
      </x:c>
      <x:c r="F152" s="19" t="str">
        <x:v>https://www.navitime.co.jp/category/0815/47/
https://www.navitime.co.jp/category/0815/?page=8</x:v>
      </x:c>
      <x:c r="G152" s="18" t="str">
        <x:v>否</x:v>
      </x:c>
      <x:c r="H152" s="18" t="str">
        <x:v>否</x:v>
      </x:c>
      <x:c r="I152" s="18" t="str">
        <x:v>否</x:v>
      </x:c>
    </x:row>
    <x:row r="153" ht="33" customHeight="1">
      <x:c r="A153" s="19" t="str">
        <x:v>石垣バスターミナル</x:v>
      </x:c>
      <x:c r="B153" s="19" t="str">
        <x:v>沖縄県石垣市美崎町</x:v>
      </x:c>
      <x:c r="C153" s="18" t="str">
        <x:v>navitime:02300-1000627</x:v>
      </x:c>
      <x:c r="D153" s="19" t="str">
        <x:v>官方身份待审核</x:v>
      </x:c>
      <x:c r="E153" s="19" t="str">
        <x:v>https://www.navitime.co.jp/poi?spot=02300-1000627</x:v>
      </x:c>
      <x:c r="F153" s="19" t="str">
        <x:v>https://www.navitime.co.jp/category/0815/47/
https://www.navitime.co.jp/category/0815/?page=4</x:v>
      </x:c>
      <x:c r="G153" s="18" t="str">
        <x:v>否</x:v>
      </x:c>
      <x:c r="H153" s="18" t="str">
        <x:v>否</x:v>
      </x:c>
      <x:c r="I153" s="18" t="str">
        <x:v>否</x:v>
      </x:c>
    </x:row>
    <x:row r="154" ht="33" customHeight="1">
      <x:c r="A154" s="19" t="str">
        <x:v>札幌駅バスターミナル</x:v>
      </x:c>
      <x:c r="B154" s="19" t="str">
        <x:v>北海道札幌市中央区北5条西2丁目</x:v>
      </x:c>
      <x:c r="C154" s="18" t="str">
        <x:v>navitime:02300-1007720</x:v>
      </x:c>
      <x:c r="D154" s="19" t="str">
        <x:v>官方身份待审核</x:v>
      </x:c>
      <x:c r="E154" s="19" t="str">
        <x:v>https://www.navitime.co.jp/poi?spot=02300-1007720</x:v>
      </x:c>
      <x:c r="F154" s="19" t="str">
        <x:v>https://www.navitime.co.jp/category/0815/01/
https://www.navitime.co.jp/category/0815/?page=5</x:v>
      </x:c>
      <x:c r="G154" s="18" t="str">
        <x:v>否</x:v>
      </x:c>
      <x:c r="H154" s="18" t="str">
        <x:v>否</x:v>
      </x:c>
      <x:c r="I154" s="18" t="str">
        <x:v>否</x:v>
      </x:c>
    </x:row>
    <x:row r="155" ht="33" customHeight="1">
      <x:c r="A155" s="19" t="str">
        <x:v>苫小牧駅前バスターミナル</x:v>
      </x:c>
      <x:c r="B155" s="19" t="str">
        <x:v>北海道苫小牧市表町5-10-11</x:v>
      </x:c>
      <x:c r="C155" s="18" t="str">
        <x:v>navitime:02300-1007721</x:v>
      </x:c>
      <x:c r="D155" s="19" t="str">
        <x:v>官方身份待审核</x:v>
      </x:c>
      <x:c r="E155" s="19" t="str">
        <x:v>https://www.navitime.co.jp/poi?spot=02300-1007721</x:v>
      </x:c>
      <x:c r="F155" s="19" t="str">
        <x:v>https://www.navitime.co.jp/category/0815/01/
https://www.navitime.co.jp/category/0815/?page=8</x:v>
      </x:c>
      <x:c r="G155" s="18" t="str">
        <x:v>否</x:v>
      </x:c>
      <x:c r="H155" s="18" t="str">
        <x:v>否</x:v>
      </x:c>
      <x:c r="I155" s="18" t="str">
        <x:v>否</x:v>
      </x:c>
    </x:row>
    <x:row r="156" ht="33" customHeight="1">
      <x:c r="A156" s="19" t="str">
        <x:v>福住バスターミナル</x:v>
      </x:c>
      <x:c r="B156" s="19" t="str">
        <x:v>北海道札幌市豊平区福住二条1-2</x:v>
      </x:c>
      <x:c r="C156" s="18" t="str">
        <x:v>navitime:02300-1007722</x:v>
      </x:c>
      <x:c r="D156" s="19" t="str">
        <x:v>官方身份待审核</x:v>
      </x:c>
      <x:c r="E156" s="19" t="str">
        <x:v>https://www.navitime.co.jp/poi?spot=02300-1007722</x:v>
      </x:c>
      <x:c r="F156" s="19" t="str">
        <x:v>https://www.navitime.co.jp/category/0815/01/
https://www.navitime.co.jp/category/0815/?page=5</x:v>
      </x:c>
      <x:c r="G156" s="18" t="str">
        <x:v>否</x:v>
      </x:c>
      <x:c r="H156" s="18" t="str">
        <x:v>否</x:v>
      </x:c>
      <x:c r="I156" s="18" t="str">
        <x:v>否</x:v>
      </x:c>
    </x:row>
    <x:row r="157" ht="33" customHeight="1">
      <x:c r="A157" s="19" t="str">
        <x:v>ラピアバスセンター</x:v>
      </x:c>
      <x:c r="B157" s="19" t="str">
        <x:v>青森県八戸市江陽5-5-21</x:v>
      </x:c>
      <x:c r="C157" s="18" t="str">
        <x:v>navitime:02300-1007743</x:v>
      </x:c>
      <x:c r="D157" s="19" t="str">
        <x:v>官方身份待审核</x:v>
      </x:c>
      <x:c r="E157" s="19" t="str">
        <x:v>https://www.navitime.co.jp/poi?spot=02300-1007743</x:v>
      </x:c>
      <x:c r="F157" s="19" t="str">
        <x:v>https://www.navitime.co.jp/category/0815/02/
https://www.navitime.co.jp/category/0815/?page=5</x:v>
      </x:c>
      <x:c r="G157" s="18" t="str">
        <x:v>否</x:v>
      </x:c>
      <x:c r="H157" s="18" t="str">
        <x:v>否</x:v>
      </x:c>
      <x:c r="I157" s="18" t="str">
        <x:v>否</x:v>
      </x:c>
    </x:row>
    <x:row r="158" ht="33" customHeight="1">
      <x:c r="A158" s="19" t="str">
        <x:v>大杉平バスセンター</x:v>
      </x:c>
      <x:c r="B158" s="19" t="str">
        <x:v>青森県八戸市大字糠塚字大杉平1-1</x:v>
      </x:c>
      <x:c r="C158" s="18" t="str">
        <x:v>navitime:02300-1007744</x:v>
      </x:c>
      <x:c r="D158" s="19" t="str">
        <x:v>官方身份待审核</x:v>
      </x:c>
      <x:c r="E158" s="19" t="str">
        <x:v>https://www.navitime.co.jp/poi?spot=02300-1007744</x:v>
      </x:c>
      <x:c r="F158" s="19" t="str">
        <x:v>https://www.navitime.co.jp/category/0815/02/
https://www.navitime.co.jp/category/0815/?page=8</x:v>
      </x:c>
      <x:c r="G158" s="18" t="str">
        <x:v>否</x:v>
      </x:c>
      <x:c r="H158" s="18" t="str">
        <x:v>否</x:v>
      </x:c>
      <x:c r="I158" s="18" t="str">
        <x:v>否</x:v>
      </x:c>
    </x:row>
    <x:row r="159" ht="33" customHeight="1">
      <x:c r="A159" s="19" t="str">
        <x:v>寒河江バスターミナル</x:v>
      </x:c>
      <x:c r="B159" s="19" t="str">
        <x:v>山形県寒河江市本町1-1-18</x:v>
      </x:c>
      <x:c r="C159" s="18" t="str">
        <x:v>navitime:02300-1007745</x:v>
      </x:c>
      <x:c r="D159" s="19" t="str">
        <x:v>官方身份待审核</x:v>
      </x:c>
      <x:c r="E159" s="19" t="str">
        <x:v>https://www.navitime.co.jp/poi?spot=02300-1007745</x:v>
      </x:c>
      <x:c r="F159" s="19" t="str">
        <x:v>https://www.navitime.co.jp/category/0815/06/
https://www.navitime.co.jp/category/0815/?page=8</x:v>
      </x:c>
      <x:c r="G159" s="18" t="str">
        <x:v>否</x:v>
      </x:c>
      <x:c r="H159" s="18" t="str">
        <x:v>否</x:v>
      </x:c>
      <x:c r="I159" s="18" t="str">
        <x:v>否</x:v>
      </x:c>
    </x:row>
    <x:row r="160" ht="33" customHeight="1">
      <x:c r="A160" s="19" t="str">
        <x:v>品川バスターミナル</x:v>
      </x:c>
      <x:c r="B160" s="19" t="str">
        <x:v>東京都港区高輪3-24</x:v>
      </x:c>
      <x:c r="C160" s="18" t="str">
        <x:v>navitime:02300-1007747</x:v>
      </x:c>
      <x:c r="D160" s="19" t="str">
        <x:v>官方身份待审核</x:v>
      </x:c>
      <x:c r="E160" s="19" t="str">
        <x:v>https://www.navitime.co.jp/poi?spot=02300-1007747</x:v>
      </x:c>
      <x:c r="F160" s="19" t="str">
        <x:v>https://www.navitime.co.jp/category/0815/13/?page=2
https://www.navitime.co.jp/category/0815/?page=8</x:v>
      </x:c>
      <x:c r="G160" s="18" t="str">
        <x:v>否</x:v>
      </x:c>
      <x:c r="H160" s="18" t="str">
        <x:v>否</x:v>
      </x:c>
      <x:c r="I160" s="18" t="str">
        <x:v>否</x:v>
      </x:c>
    </x:row>
    <x:row r="161" ht="33" customHeight="1">
      <x:c r="A161" s="19" t="str">
        <x:v>柏駅西口バスターミナル</x:v>
      </x:c>
      <x:c r="B161" s="19" t="str">
        <x:v>千葉県柏市旭町1-1-21</x:v>
      </x:c>
      <x:c r="C161" s="18" t="str">
        <x:v>navitime:02300-1007748</x:v>
      </x:c>
      <x:c r="D161" s="19" t="str">
        <x:v>官方身份待审核</x:v>
      </x:c>
      <x:c r="E161" s="19" t="str">
        <x:v>https://www.navitime.co.jp/poi?spot=02300-1007748</x:v>
      </x:c>
      <x:c r="F161" s="19" t="str">
        <x:v>https://www.navitime.co.jp/category/0815/12/
https://www.navitime.co.jp/category/0815/?page=3</x:v>
      </x:c>
      <x:c r="G161" s="18" t="str">
        <x:v>否</x:v>
      </x:c>
      <x:c r="H161" s="18" t="str">
        <x:v>否</x:v>
      </x:c>
      <x:c r="I161" s="18" t="str">
        <x:v>否</x:v>
      </x:c>
    </x:row>
    <x:row r="162" ht="33" customHeight="1">
      <x:c r="A162" s="19" t="str">
        <x:v>君津バスターミナル</x:v>
      </x:c>
      <x:c r="B162" s="19" t="str">
        <x:v>千葉県君津市三直</x:v>
      </x:c>
      <x:c r="C162" s="18" t="str">
        <x:v>navitime:02300-1007749</x:v>
      </x:c>
      <x:c r="D162" s="19" t="str">
        <x:v>官方身份待审核</x:v>
      </x:c>
      <x:c r="E162" s="19" t="str">
        <x:v>https://www.navitime.co.jp/poi?spot=02300-1007749</x:v>
      </x:c>
      <x:c r="F162" s="19" t="str">
        <x:v>https://www.navitime.co.jp/category/0815/12/
https://www.navitime.co.jp/category/0815/?page=3</x:v>
      </x:c>
      <x:c r="G162" s="18" t="str">
        <x:v>否</x:v>
      </x:c>
      <x:c r="H162" s="18" t="str">
        <x:v>否</x:v>
      </x:c>
      <x:c r="I162" s="18" t="str">
        <x:v>否</x:v>
      </x:c>
    </x:row>
    <x:row r="163" ht="33" customHeight="1">
      <x:c r="A163" s="19" t="str">
        <x:v>新都市バスターミナル</x:v>
      </x:c>
      <x:c r="B163" s="19" t="str">
        <x:v>栃木県佐野市越名町</x:v>
      </x:c>
      <x:c r="C163" s="18" t="str">
        <x:v>navitime:02300-1007781</x:v>
      </x:c>
      <x:c r="D163" s="19" t="str">
        <x:v>官方身份待审核</x:v>
      </x:c>
      <x:c r="E163" s="19" t="str">
        <x:v>https://www.navitime.co.jp/poi?spot=02300-1007781</x:v>
      </x:c>
      <x:c r="F163" s="19" t="str">
        <x:v>https://www.navitime.co.jp/category/0815/09/
https://www.navitime.co.jp/category/0815/?page=8</x:v>
      </x:c>
      <x:c r="G163" s="18" t="str">
        <x:v>否</x:v>
      </x:c>
      <x:c r="H163" s="18" t="str">
        <x:v>否</x:v>
      </x:c>
      <x:c r="I163" s="18" t="str">
        <x:v>否</x:v>
      </x:c>
    </x:row>
    <x:row r="164" ht="33" customHeight="1">
      <x:c r="A164" s="19" t="str">
        <x:v>伊那バスターミナル</x:v>
      </x:c>
      <x:c r="B164" s="19" t="str">
        <x:v>長野県伊那市西町4870</x:v>
      </x:c>
      <x:c r="C164" s="18" t="str">
        <x:v>navitime:02300-1007782</x:v>
      </x:c>
      <x:c r="D164" s="19" t="str">
        <x:v>官方身份待审核</x:v>
      </x:c>
      <x:c r="E164" s="19" t="str">
        <x:v>https://www.navitime.co.jp/poi?spot=02300-1007782</x:v>
      </x:c>
      <x:c r="F164" s="19" t="str">
        <x:v>https://www.navitime.co.jp/category/0815/20/
https://www.navitime.co.jp/category/0815/?page=5</x:v>
      </x:c>
      <x:c r="G164" s="18" t="str">
        <x:v>否</x:v>
      </x:c>
      <x:c r="H164" s="18" t="str">
        <x:v>否</x:v>
      </x:c>
      <x:c r="I164" s="18" t="str">
        <x:v>否</x:v>
      </x:c>
    </x:row>
    <x:row r="165" ht="33" customHeight="1">
      <x:c r="A165" s="19" t="str">
        <x:v>長野バスターミナル</x:v>
      </x:c>
      <x:c r="B165" s="19" t="str">
        <x:v>長野県長野市中御所</x:v>
      </x:c>
      <x:c r="C165" s="18" t="str">
        <x:v>navitime:02300-1007783</x:v>
      </x:c>
      <x:c r="D165" s="19" t="str">
        <x:v>官方身份待审核</x:v>
      </x:c>
      <x:c r="E165" s="19" t="str">
        <x:v>https://www.navitime.co.jp/poi?spot=02300-1007783</x:v>
      </x:c>
      <x:c r="F165" s="19" t="str">
        <x:v>https://www.navitime.co.jp/category/0815/20/
https://www.navitime.co.jp/category/0815/?page=8</x:v>
      </x:c>
      <x:c r="G165" s="18" t="str">
        <x:v>否</x:v>
      </x:c>
      <x:c r="H165" s="18" t="str">
        <x:v>否</x:v>
      </x:c>
      <x:c r="I165" s="18" t="str">
        <x:v>否</x:v>
      </x:c>
    </x:row>
    <x:row r="166" ht="33" customHeight="1">
      <x:c r="A166" s="19" t="str">
        <x:v>松本バスターミナル</x:v>
      </x:c>
      <x:c r="B166" s="19" t="str">
        <x:v>長野県松本市深志1</x:v>
      </x:c>
      <x:c r="C166" s="18" t="str">
        <x:v>navitime:02300-1007785</x:v>
      </x:c>
      <x:c r="D166" s="19" t="str">
        <x:v>官方身份待审核</x:v>
      </x:c>
      <x:c r="E166" s="19" t="str">
        <x:v>https://www.navitime.co.jp/poi?spot=02300-1007785</x:v>
      </x:c>
      <x:c r="F166" s="19" t="str">
        <x:v>https://www.navitime.co.jp/category/0815/20/
https://www.navitime.co.jp/category/0815/?page=5</x:v>
      </x:c>
      <x:c r="G166" s="18" t="str">
        <x:v>否</x:v>
      </x:c>
      <x:c r="H166" s="18" t="str">
        <x:v>否</x:v>
      </x:c>
      <x:c r="I166" s="18" t="str">
        <x:v>否</x:v>
      </x:c>
    </x:row>
    <x:row r="167" ht="33" customHeight="1">
      <x:c r="A167" s="19" t="str">
        <x:v>三宮バスターミナル</x:v>
      </x:c>
      <x:c r="B167" s="19" t="str">
        <x:v>兵庫県神戸市中央区雲井通7丁目</x:v>
      </x:c>
      <x:c r="C167" s="18" t="str">
        <x:v>navitime:02300-1007786</x:v>
      </x:c>
      <x:c r="D167" s="19" t="str">
        <x:v>官方身份待审核</x:v>
      </x:c>
      <x:c r="E167" s="19" t="str">
        <x:v>https://www.navitime.co.jp/poi?spot=02300-1007786</x:v>
      </x:c>
      <x:c r="F167" s="19" t="str">
        <x:v>https://www.navitime.co.jp/category/0815/
https://www.navitime.co.jp/category/0815/28/</x:v>
      </x:c>
      <x:c r="G167" s="18" t="str">
        <x:v>否</x:v>
      </x:c>
      <x:c r="H167" s="18" t="str">
        <x:v>否</x:v>
      </x:c>
      <x:c r="I167" s="18" t="str">
        <x:v>否</x:v>
      </x:c>
    </x:row>
    <x:row r="168" ht="33" customHeight="1">
      <x:c r="A168" s="19" t="str">
        <x:v>広島バスセンター</x:v>
      </x:c>
      <x:c r="B168" s="19" t="str">
        <x:v>広島県広島市中区基町6-27</x:v>
      </x:c>
      <x:c r="C168" s="18" t="str">
        <x:v>navitime:02300-1007787</x:v>
      </x:c>
      <x:c r="D168" s="19" t="str">
        <x:v>官方身份待审核</x:v>
      </x:c>
      <x:c r="E168" s="19" t="str">
        <x:v>https://www.navitime.co.jp/poi?spot=02300-1007787</x:v>
      </x:c>
      <x:c r="F168" s="19" t="str">
        <x:v>https://www.navitime.co.jp/category/0815/
https://www.navitime.co.jp/category/0815/34/</x:v>
      </x:c>
      <x:c r="G168" s="18" t="str">
        <x:v>否</x:v>
      </x:c>
      <x:c r="H168" s="18" t="str">
        <x:v>否</x:v>
      </x:c>
      <x:c r="I168" s="18" t="str">
        <x:v>否</x:v>
      </x:c>
    </x:row>
    <x:row r="169" ht="33" customHeight="1">
      <x:c r="A169" s="19" t="str">
        <x:v>久留米バスセンターターミナル</x:v>
      </x:c>
      <x:c r="B169" s="19" t="str">
        <x:v>福岡県久留米市東町</x:v>
      </x:c>
      <x:c r="C169" s="18" t="str">
        <x:v>navitime:02300-1007788</x:v>
      </x:c>
      <x:c r="D169" s="19" t="str">
        <x:v>官方身份待审核</x:v>
      </x:c>
      <x:c r="E169" s="19" t="str">
        <x:v>https://www.navitime.co.jp/poi?spot=02300-1007788</x:v>
      </x:c>
      <x:c r="F169" s="19" t="str">
        <x:v>https://www.navitime.co.jp/category/0815/40/
https://www.navitime.co.jp/category/0815/?page=8</x:v>
      </x:c>
      <x:c r="G169" s="18" t="str">
        <x:v>否</x:v>
      </x:c>
      <x:c r="H169" s="18" t="str">
        <x:v>否</x:v>
      </x:c>
      <x:c r="I169" s="18" t="str">
        <x:v>否</x:v>
      </x:c>
    </x:row>
    <x:row r="170" ht="33" customHeight="1">
      <x:c r="A170" s="19" t="str">
        <x:v>日田バスセンター</x:v>
      </x:c>
      <x:c r="B170" s="19" t="str">
        <x:v>大分県日田市元町18-1</x:v>
      </x:c>
      <x:c r="C170" s="18" t="str">
        <x:v>navitime:02300-1007789</x:v>
      </x:c>
      <x:c r="D170" s="19" t="str">
        <x:v>官方身份待审核</x:v>
      </x:c>
      <x:c r="E170" s="19" t="str">
        <x:v>https://www.navitime.co.jp/poi?spot=02300-1007789</x:v>
      </x:c>
      <x:c r="F170" s="19" t="str">
        <x:v>https://www.navitime.co.jp/category/0815/44/
https://www.navitime.co.jp/category/0815/?page=6</x:v>
      </x:c>
      <x:c r="G170" s="18" t="str">
        <x:v>否</x:v>
      </x:c>
      <x:c r="H170" s="18" t="str">
        <x:v>否</x:v>
      </x:c>
      <x:c r="I170" s="18" t="str">
        <x:v>否</x:v>
      </x:c>
    </x:row>
    <x:row r="171" ht="33" customHeight="1">
      <x:c r="A171" s="19" t="str">
        <x:v>横浜駅東口バスターミナル</x:v>
      </x:c>
      <x:c r="B171" s="19" t="str">
        <x:v>神奈川県横浜市西区高島2-18-1 そごう横浜店1F</x:v>
      </x:c>
      <x:c r="C171" s="18" t="str">
        <x:v>navitime:02300-1007998</x:v>
      </x:c>
      <x:c r="D171" s="19" t="str">
        <x:v>官方身份待审核</x:v>
      </x:c>
      <x:c r="E171" s="19" t="str">
        <x:v>https://www.navitime.co.jp/poi?spot=02300-1007998</x:v>
      </x:c>
      <x:c r="F171" s="19" t="str">
        <x:v>https://www.navitime.co.jp/category/0815/14/
https://www.navitime.co.jp/category/0815/?page=3</x:v>
      </x:c>
      <x:c r="G171" s="18" t="str">
        <x:v>否</x:v>
      </x:c>
      <x:c r="H171" s="18" t="str">
        <x:v>否</x:v>
      </x:c>
      <x:c r="I171" s="18" t="str">
        <x:v>否</x:v>
      </x:c>
    </x:row>
    <x:row r="172" ht="33" customHeight="1">
      <x:c r="A172" s="19" t="str">
        <x:v>横浜駅西口バスターミナル</x:v>
      </x:c>
      <x:c r="B172" s="19" t="str">
        <x:v>神奈川県横浜市西区南幸1丁目</x:v>
      </x:c>
      <x:c r="C172" s="18" t="str">
        <x:v>navitime:02300-1007999</x:v>
      </x:c>
      <x:c r="D172" s="19" t="str">
        <x:v>官方身份待审核</x:v>
      </x:c>
      <x:c r="E172" s="19" t="str">
        <x:v>https://www.navitime.co.jp/poi?spot=02300-1007999</x:v>
      </x:c>
      <x:c r="F172" s="19" t="str">
        <x:v>https://www.navitime.co.jp/category/0815/14/
https://www.navitime.co.jp/category/0815/?page=2</x:v>
      </x:c>
      <x:c r="G172" s="18" t="str">
        <x:v>否</x:v>
      </x:c>
      <x:c r="H172" s="18" t="str">
        <x:v>否</x:v>
      </x:c>
      <x:c r="I172" s="18" t="str">
        <x:v>否</x:v>
      </x:c>
    </x:row>
    <x:row r="173" ht="33" customHeight="1">
      <x:c r="A173" s="19" t="str">
        <x:v>横浜駅西口第2バス乗り場</x:v>
      </x:c>
      <x:c r="B173" s="19" t="str">
        <x:v>神奈川県横浜市西区北幸1</x:v>
      </x:c>
      <x:c r="C173" s="18" t="str">
        <x:v>navitime:02300-1008002</x:v>
      </x:c>
      <x:c r="D173" s="19" t="str">
        <x:v>官方身份待审核</x:v>
      </x:c>
      <x:c r="E173" s="19" t="str">
        <x:v>https://www.navitime.co.jp/poi?spot=02300-1008002</x:v>
      </x:c>
      <x:c r="F173" s="19" t="str">
        <x:v>https://www.navitime.co.jp/category/0815/14/
https://www.navitime.co.jp/category/0815/?page=8</x:v>
      </x:c>
      <x:c r="G173" s="18" t="str">
        <x:v>否</x:v>
      </x:c>
      <x:c r="H173" s="18" t="str">
        <x:v>否</x:v>
      </x:c>
      <x:c r="I173" s="18" t="str">
        <x:v>否</x:v>
      </x:c>
    </x:row>
    <x:row r="174" ht="33" customHeight="1">
      <x:c r="A174" s="19" t="str">
        <x:v>渋谷駅東口バスターミナル</x:v>
      </x:c>
      <x:c r="B174" s="19" t="str">
        <x:v>東京都渋谷区渋谷2</x:v>
      </x:c>
      <x:c r="C174" s="18" t="str">
        <x:v>navitime:02300-1008043</x:v>
      </x:c>
      <x:c r="D174" s="19" t="str">
        <x:v>官方身份待审核</x:v>
      </x:c>
      <x:c r="E174" s="19" t="str">
        <x:v>https://www.navitime.co.jp/poi?spot=02300-1008043</x:v>
      </x:c>
      <x:c r="F174" s="19" t="str">
        <x:v>https://www.navitime.co.jp/category/0815/13/?page=2
https://www.navitime.co.jp/category/0815/?page=8</x:v>
      </x:c>
      <x:c r="G174" s="18" t="str">
        <x:v>否</x:v>
      </x:c>
      <x:c r="H174" s="18" t="str">
        <x:v>否</x:v>
      </x:c>
      <x:c r="I174" s="18" t="str">
        <x:v>否</x:v>
      </x:c>
    </x:row>
    <x:row r="175" ht="33" customHeight="1">
      <x:c r="A175" s="19" t="str">
        <x:v>新橋駅バスターミナル</x:v>
      </x:c>
      <x:c r="B175" s="19" t="str">
        <x:v>東京都港区新橋2丁目</x:v>
      </x:c>
      <x:c r="C175" s="18" t="str">
        <x:v>navitime:02300-1008048</x:v>
      </x:c>
      <x:c r="D175" s="19" t="str">
        <x:v>官方身份待审核</x:v>
      </x:c>
      <x:c r="E175" s="19" t="str">
        <x:v>https://www.navitime.co.jp/poi?spot=02300-1008048</x:v>
      </x:c>
      <x:c r="F175" s="19" t="str">
        <x:v>https://www.navitime.co.jp/category/0815/13/?page=2
https://www.navitime.co.jp/category/0815/?page=9</x:v>
      </x:c>
      <x:c r="G175" s="18" t="str">
        <x:v>否</x:v>
      </x:c>
      <x:c r="H175" s="18" t="str">
        <x:v>否</x:v>
      </x:c>
      <x:c r="I175" s="18" t="str">
        <x:v>否</x:v>
      </x:c>
    </x:row>
    <x:row r="176" ht="33" customHeight="1">
      <x:c r="A176" s="19" t="str">
        <x:v>東京駅丸の内南口バスターミナル</x:v>
      </x:c>
      <x:c r="B176" s="19" t="str">
        <x:v>東京都千代田区丸の内1-9-1</x:v>
      </x:c>
      <x:c r="C176" s="18" t="str">
        <x:v>navitime:02300-1008110</x:v>
      </x:c>
      <x:c r="D176" s="19" t="str">
        <x:v>官方身份待审核</x:v>
      </x:c>
      <x:c r="E176" s="19" t="str">
        <x:v>https://www.navitime.co.jp/poi?spot=02300-1008110</x:v>
      </x:c>
      <x:c r="F176" s="19" t="str">
        <x:v>https://www.navitime.co.jp/category/0815/
https://www.navitime.co.jp/category/0815/13/</x:v>
      </x:c>
      <x:c r="G176" s="18" t="str">
        <x:v>否</x:v>
      </x:c>
      <x:c r="H176" s="18" t="str">
        <x:v>否</x:v>
      </x:c>
      <x:c r="I176" s="18" t="str">
        <x:v>否</x:v>
      </x:c>
    </x:row>
    <x:row r="177" ht="33" customHeight="1">
      <x:c r="A177" s="19" t="str">
        <x:v>東京駅八重洲南口 JR高速バスターミナル バスのりば</x:v>
      </x:c>
      <x:c r="B177" s="19" t="str">
        <x:v>東京都千代田区丸の内1-9-1 東京駅八重洲中央口・南口</x:v>
      </x:c>
      <x:c r="C177" s="18" t="str">
        <x:v>navitime:02300-1008111</x:v>
      </x:c>
      <x:c r="D177" s="19" t="str">
        <x:v>官方身份待审核</x:v>
      </x:c>
      <x:c r="E177" s="19" t="str">
        <x:v>https://www.navitime.co.jp/poi?spot=02300-1008111</x:v>
      </x:c>
      <x:c r="F177" s="19" t="str">
        <x:v>https://www.navitime.co.jp/category/0815/
https://www.navitime.co.jp/category/0815/13/</x:v>
      </x:c>
      <x:c r="G177" s="18" t="str">
        <x:v>否</x:v>
      </x:c>
      <x:c r="H177" s="18" t="str">
        <x:v>否</x:v>
      </x:c>
      <x:c r="I177" s="18" t="str">
        <x:v>否</x:v>
      </x:c>
    </x:row>
    <x:row r="178" ht="33" customHeight="1">
      <x:c r="A178" s="19" t="str">
        <x:v>東京駅八重洲南口バスターミナル</x:v>
      </x:c>
      <x:c r="B178" s="19" t="str">
        <x:v>東京都千代田区丸の内1-9-1</x:v>
      </x:c>
      <x:c r="C178" s="18" t="str">
        <x:v>navitime:02300-1008112</x:v>
      </x:c>
      <x:c r="D178" s="19" t="str">
        <x:v>官方身份待审核</x:v>
      </x:c>
      <x:c r="E178" s="19" t="str">
        <x:v>https://www.navitime.co.jp/poi?spot=02300-1008112</x:v>
      </x:c>
      <x:c r="F178" s="19" t="str">
        <x:v>https://www.navitime.co.jp/category/0815/
https://www.navitime.co.jp/category/0815/13/</x:v>
      </x:c>
      <x:c r="G178" s="18" t="str">
        <x:v>否</x:v>
      </x:c>
      <x:c r="H178" s="18" t="str">
        <x:v>否</x:v>
      </x:c>
      <x:c r="I178" s="18" t="str">
        <x:v>否</x:v>
      </x:c>
    </x:row>
    <x:row r="179" ht="33" customHeight="1">
      <x:c r="A179" s="19" t="str">
        <x:v>東京駅丸の内北口バスターミナル</x:v>
      </x:c>
      <x:c r="B179" s="19" t="str">
        <x:v>東京都千代田区丸の内1-9-1</x:v>
      </x:c>
      <x:c r="C179" s="18" t="str">
        <x:v>navitime:02300-1008114</x:v>
      </x:c>
      <x:c r="D179" s="19" t="str">
        <x:v>官方身份待审核</x:v>
      </x:c>
      <x:c r="E179" s="19" t="str">
        <x:v>https://www.navitime.co.jp/poi?spot=02300-1008114</x:v>
      </x:c>
      <x:c r="F179" s="19" t="str">
        <x:v>https://www.navitime.co.jp/category/0815/13/?page=2
https://www.navitime.co.jp/category/0815/?page=4</x:v>
      </x:c>
      <x:c r="G179" s="18" t="str">
        <x:v>否</x:v>
      </x:c>
      <x:c r="H179" s="18" t="str">
        <x:v>否</x:v>
      </x:c>
      <x:c r="I179" s="18" t="str">
        <x:v>否</x:v>
      </x:c>
    </x:row>
    <x:row r="180" ht="33" customHeight="1">
      <x:c r="A180" s="19" t="str">
        <x:v>大宮駅西口バスターミナル</x:v>
      </x:c>
      <x:c r="B180" s="19" t="str">
        <x:v>埼玉県さいたま市大宮区桜木町1丁目</x:v>
      </x:c>
      <x:c r="C180" s="18" t="str">
        <x:v>navitime:02300-1008321</x:v>
      </x:c>
      <x:c r="D180" s="19" t="str">
        <x:v>官方身份待审核</x:v>
      </x:c>
      <x:c r="E180" s="19" t="str">
        <x:v>https://www.navitime.co.jp/poi?spot=02300-1008321</x:v>
      </x:c>
      <x:c r="F180" s="19" t="str">
        <x:v>https://www.navitime.co.jp/category/0815/11/
https://www.navitime.co.jp/category/0815/?page=2</x:v>
      </x:c>
      <x:c r="G180" s="18" t="str">
        <x:v>否</x:v>
      </x:c>
      <x:c r="H180" s="18" t="str">
        <x:v>否</x:v>
      </x:c>
      <x:c r="I180" s="18" t="str">
        <x:v>否</x:v>
      </x:c>
    </x:row>
    <x:row r="181" ht="33" customHeight="1">
      <x:c r="A181" s="19" t="str">
        <x:v>大宮駅東口バスターミナル</x:v>
      </x:c>
      <x:c r="B181" s="19" t="str">
        <x:v>埼玉県さいたま市大宮区大門町1丁目</x:v>
      </x:c>
      <x:c r="C181" s="18" t="str">
        <x:v>navitime:02300-1008322</x:v>
      </x:c>
      <x:c r="D181" s="19" t="str">
        <x:v>官方身份待审核</x:v>
      </x:c>
      <x:c r="E181" s="19" t="str">
        <x:v>https://www.navitime.co.jp/poi?spot=02300-1008322</x:v>
      </x:c>
      <x:c r="F181" s="19" t="str">
        <x:v>https://www.navitime.co.jp/category/0815/11/
https://www.navitime.co.jp/category/0815/?page=2</x:v>
      </x:c>
      <x:c r="G181" s="18" t="str">
        <x:v>否</x:v>
      </x:c>
      <x:c r="H181" s="18" t="str">
        <x:v>否</x:v>
      </x:c>
      <x:c r="I181" s="18" t="str">
        <x:v>否</x:v>
      </x:c>
    </x:row>
    <x:row r="182" ht="33" customHeight="1">
      <x:c r="A182" s="19" t="str">
        <x:v>新宿駅西口バスターミナル・バス乗り場</x:v>
      </x:c>
      <x:c r="B182" s="19" t="str">
        <x:v>東京都新宿区西新宿1丁目</x:v>
      </x:c>
      <x:c r="C182" s="18" t="str">
        <x:v>navitime:02300-1008443</x:v>
      </x:c>
      <x:c r="D182" s="19" t="str">
        <x:v>官方身份待审核</x:v>
      </x:c>
      <x:c r="E182" s="19" t="str">
        <x:v>https://www.navitime.co.jp/poi?spot=02300-1008443</x:v>
      </x:c>
      <x:c r="F182" s="19" t="str">
        <x:v>https://www.navitime.co.jp/category/0815/13/
https://www.navitime.co.jp/category/0815/?page=2</x:v>
      </x:c>
      <x:c r="G182" s="18" t="str">
        <x:v>否</x:v>
      </x:c>
      <x:c r="H182" s="18" t="str">
        <x:v>否</x:v>
      </x:c>
      <x:c r="I182" s="18" t="str">
        <x:v>否</x:v>
      </x:c>
    </x:row>
    <x:row r="183" ht="33" customHeight="1">
      <x:c r="A183" s="19" t="str">
        <x:v>バスタ新宿</x:v>
      </x:c>
      <x:c r="B183" s="19" t="str">
        <x:v>東京都渋谷区千駄ヶ谷5-24-55</x:v>
      </x:c>
      <x:c r="C183" s="18" t="str">
        <x:v>navitime:02301-1404524</x:v>
      </x:c>
      <x:c r="D183" s="19" t="str">
        <x:v>官方身份待审核</x:v>
      </x:c>
      <x:c r="E183" s="19" t="str">
        <x:v>https://www.navitime.co.jp/poi?spot=02301-1404524</x:v>
      </x:c>
      <x:c r="F183" s="19" t="str">
        <x:v>https://www.navitime.co.jp/category/0815/
https://www.navitime.co.jp/category/0815/13/</x:v>
      </x:c>
      <x:c r="G183" s="18" t="str">
        <x:v>否</x:v>
      </x:c>
      <x:c r="H183" s="18" t="str">
        <x:v>否</x:v>
      </x:c>
      <x:c r="I183" s="18" t="str">
        <x:v>否</x:v>
      </x:c>
    </x:row>
    <x:row r="184" ht="33" customHeight="1">
      <x:c r="A184" s="19" t="str">
        <x:v>兼吉バス待合所</x:v>
      </x:c>
      <x:c r="B184" s="19" t="str">
        <x:v>広島県尾道市向島町兼吉</x:v>
      </x:c>
      <x:c r="C184" s="18" t="str">
        <x:v>navitime:02301-t1986</x:v>
      </x:c>
      <x:c r="D184" s="19" t="str">
        <x:v>官方身份待审核</x:v>
      </x:c>
      <x:c r="E184" s="19" t="str">
        <x:v>https://www.navitime.co.jp/poi?spot=02301-t1986</x:v>
      </x:c>
      <x:c r="F184" s="19" t="str">
        <x:v>https://www.navitime.co.jp/category/0815/34/
https://www.navitime.co.jp/category/0815/?page=6</x:v>
      </x:c>
      <x:c r="G184" s="18" t="str">
        <x:v>否</x:v>
      </x:c>
      <x:c r="H184" s="18" t="str">
        <x:v>否</x:v>
      </x:c>
      <x:c r="I184" s="18" t="str">
        <x:v>否</x:v>
      </x:c>
    </x:row>
    <x:row r="185" ht="33" customHeight="1">
      <x:c r="A185" s="19" t="str">
        <x:v>神姫バス案内所 イオンモール神戸北店</x:v>
      </x:c>
      <x:c r="B185" s="19" t="str">
        <x:v>兵庫県神戸市北区上津台8-1-1</x:v>
      </x:c>
      <x:c r="C185" s="18" t="str">
        <x:v>navitime:06410-00306065064</x:v>
      </x:c>
      <x:c r="D185" s="19" t="str">
        <x:v>官方身份待审核</x:v>
      </x:c>
      <x:c r="E185" s="19" t="str">
        <x:v>https://www.navitime.co.jp/poi?spot=06410-00306065064</x:v>
      </x:c>
      <x:c r="F185" s="19" t="str">
        <x:v>https://www.navitime.co.jp/category/0815/28/
https://www.navitime.co.jp/category/0815/?page=9</x:v>
      </x:c>
      <x:c r="G185" s="18" t="str">
        <x:v>否</x:v>
      </x:c>
      <x:c r="H185" s="18" t="str">
        <x:v>否</x:v>
      </x:c>
      <x:c r="I185" s="18" t="str">
        <x:v>否</x:v>
      </x:c>
    </x:row>
    <x:row r="186" ht="33" customHeight="1">
      <x:c r="A186" s="19" t="str">
        <x:v>高速バスチケットセンター イオンモール徳島店</x:v>
      </x:c>
      <x:c r="B186" s="19" t="str">
        <x:v>徳島県徳島市南末広町4番1号</x:v>
      </x:c>
      <x:c r="C186" s="18" t="str">
        <x:v>navitime:06410-00785787716</x:v>
      </x:c>
      <x:c r="D186" s="19" t="str">
        <x:v>官方身份待审核</x:v>
      </x:c>
      <x:c r="E186" s="19" t="str">
        <x:v>https://www.navitime.co.jp/poi?spot=06410-00785787716</x:v>
      </x:c>
      <x:c r="F186" s="19" t="str">
        <x:v>https://www.navitime.co.jp/category/0815/36/
https://www.navitime.co.jp/category/0815/?page=9</x:v>
      </x:c>
      <x:c r="G186" s="18" t="str">
        <x:v>否</x:v>
      </x:c>
      <x:c r="H186" s="18" t="str">
        <x:v>否</x:v>
      </x:c>
      <x:c r="I186" s="18" t="str">
        <x:v>否</x:v>
      </x:c>
    </x:row>
    <x:row r="187" ht="33" customHeight="1">
      <x:c r="A187" s="19" t="str">
        <x:v>徳島バス高速バスチケット売場 ゆめタウン徳島店</x:v>
      </x:c>
      <x:c r="B187" s="19" t="str">
        <x:v>徳島県板野郡藍住町奥野字東中須88-1</x:v>
      </x:c>
      <x:c r="C187" s="18" t="str">
        <x:v>navitime:06424-00998364536</x:v>
      </x:c>
      <x:c r="D187" s="19" t="str">
        <x:v>官方身份待审核</x:v>
      </x:c>
      <x:c r="E187" s="19" t="str">
        <x:v>https://www.navitime.co.jp/poi?spot=06424-00998364536</x:v>
      </x:c>
      <x:c r="F187" s="19" t="str">
        <x:v>https://www.navitime.co.jp/category/0815/36/
https://www.navitime.co.jp/category/0815/?page=9</x:v>
      </x:c>
      <x:c r="G187" s="18" t="str">
        <x:v>否</x:v>
      </x:c>
      <x:c r="H187" s="18" t="str">
        <x:v>否</x:v>
      </x:c>
      <x:c r="I187" s="18" t="str">
        <x:v>否</x:v>
      </x:c>
    </x:row>
    <x:row r="188" ht="33" customHeight="1">
      <x:c r="A188" s="19" t="str">
        <x:v>全但バス 豊岡駅前出張所</x:v>
      </x:c>
      <x:c r="B188" s="19" t="str">
        <x:v>兵庫県豊岡市大手町4-5</x:v>
      </x:c>
      <x:c r="C188" s="18" t="str">
        <x:v>navitime:20073-1</x:v>
      </x:c>
      <x:c r="D188" s="19" t="str">
        <x:v>官方身份待审核</x:v>
      </x:c>
      <x:c r="E188" s="19" t="str">
        <x:v>https://www.navitime.co.jp/poi?spot=20073-1</x:v>
      </x:c>
      <x:c r="F188" s="19" t="str">
        <x:v>https://www.navitime.co.jp/category/0815/28/
https://www.navitime.co.jp/category/0815/?page=13</x:v>
      </x:c>
      <x:c r="G188" s="18" t="str">
        <x:v>否</x:v>
      </x:c>
      <x:c r="H188" s="18" t="str">
        <x:v>否</x:v>
      </x:c>
      <x:c r="I188" s="18" t="str">
        <x:v>否</x:v>
      </x:c>
    </x:row>
    <x:row r="189" ht="33" customHeight="1">
      <x:c r="A189" s="19" t="str">
        <x:v>和歌山バス案内所 乗車券発売所 キーノ和歌山店</x:v>
      </x:c>
      <x:c r="B189" s="19" t="str">
        <x:v>和歌山県和歌山市東蔵前丁39</x:v>
      </x:c>
      <x:c r="C189" s="18" t="str">
        <x:v>navitime:20084-3</x:v>
      </x:c>
      <x:c r="D189" s="19" t="str">
        <x:v>官方身份待审核</x:v>
      </x:c>
      <x:c r="E189" s="19" t="str">
        <x:v>https://www.navitime.co.jp/poi?spot=20084-3</x:v>
      </x:c>
      <x:c r="F189" s="19" t="str">
        <x:v>https://www.navitime.co.jp/category/0815/30/
https://www.navitime.co.jp/category/0815/?page=13</x:v>
      </x:c>
      <x:c r="G189" s="18" t="str">
        <x:v>否</x:v>
      </x:c>
      <x:c r="H189" s="18" t="str">
        <x:v>否</x:v>
      </x:c>
      <x:c r="I189" s="18" t="str">
        <x:v>否</x:v>
      </x:c>
    </x:row>
    <x:row r="190" ht="33" customHeight="1">
      <x:c r="A190" s="19" t="str">
        <x:v>京急バス ウィング上大岡店</x:v>
      </x:c>
      <x:c r="B190" s="19" t="str">
        <x:v>神奈川県横浜市港南区上大岡西1-6-1</x:v>
      </x:c>
      <x:c r="C190" s="18" t="str">
        <x:v>navitime:20228-43</x:v>
      </x:c>
      <x:c r="D190" s="19" t="str">
        <x:v>官方身份待审核</x:v>
      </x:c>
      <x:c r="E190" s="19" t="str">
        <x:v>https://www.navitime.co.jp/poi?spot=20228-43</x:v>
      </x:c>
      <x:c r="F190" s="19" t="str">
        <x:v>https://www.navitime.co.jp/category/0815/14/
https://www.navitime.co.jp/category/0815/?page=13</x:v>
      </x:c>
      <x:c r="G190" s="18" t="str">
        <x:v>否</x:v>
      </x:c>
      <x:c r="H190" s="18" t="str">
        <x:v>否</x:v>
      </x:c>
      <x:c r="I190" s="18" t="str">
        <x:v>否</x:v>
      </x:c>
    </x:row>
    <x:row r="191" ht="33" customHeight="1">
      <x:c r="A191" s="19" t="str">
        <x:v>西側入口待合室 入善コスモタウン店</x:v>
      </x:c>
      <x:c r="B191" s="19" t="str">
        <x:v>富山県下新川郡入善町椚山1336</x:v>
      </x:c>
      <x:c r="C191" s="18" t="str">
        <x:v>navitime:20682-36</x:v>
      </x:c>
      <x:c r="D191" s="19" t="str">
        <x:v>官方身份待审核</x:v>
      </x:c>
      <x:c r="E191" s="19" t="str">
        <x:v>https://www.navitime.co.jp/poi?spot=20682-36</x:v>
      </x:c>
      <x:c r="F191" s="19" t="str">
        <x:v>https://www.navitime.co.jp/category/0815/16/
https://www.navitime.co.jp/category/0815/?page=13</x:v>
      </x:c>
      <x:c r="G191" s="18" t="str">
        <x:v>否</x:v>
      </x:c>
      <x:c r="H191" s="18" t="str">
        <x:v>否</x:v>
      </x:c>
      <x:c r="I191" s="18" t="str">
        <x:v>否</x:v>
      </x:c>
    </x:row>
    <x:row r="192" ht="33" customHeight="1">
      <x:c r="A192" s="19" t="str">
        <x:v>SAKURA BUS SQUARE リンクス梅田店</x:v>
      </x:c>
      <x:c r="B192" s="19" t="str">
        <x:v>大阪府大阪市北区大深町1-1</x:v>
      </x:c>
      <x:c r="C192" s="18" t="str">
        <x:v>navitime:20683-80</x:v>
      </x:c>
      <x:c r="D192" s="19" t="str">
        <x:v>官方身份待审核</x:v>
      </x:c>
      <x:c r="E192" s="19" t="str">
        <x:v>https://www.navitime.co.jp/poi?spot=20683-80</x:v>
      </x:c>
      <x:c r="F192" s="19" t="str">
        <x:v>https://www.navitime.co.jp/category/0815/27/
https://www.navitime.co.jp/category/0815/?page=13</x:v>
      </x:c>
      <x:c r="G192" s="18" t="str">
        <x:v>否</x:v>
      </x:c>
      <x:c r="H192" s="18" t="str">
        <x:v>否</x:v>
      </x:c>
      <x:c r="I192" s="18" t="str">
        <x:v>否</x:v>
      </x:c>
    </x:row>
    <x:row r="193" ht="33" customHeight="1">
      <x:c r="A193" s="19" t="str">
        <x:v>小田急バス案内所 アトレヴィ三鷹店</x:v>
      </x:c>
      <x:c r="B193" s="19" t="str">
        <x:v>東京都三鷹市下連雀3-46-1</x:v>
      </x:c>
      <x:c r="C193" s="18" t="str">
        <x:v>navitime:20753-4</x:v>
      </x:c>
      <x:c r="D193" s="19" t="str">
        <x:v>官方身份待审核</x:v>
      </x:c>
      <x:c r="E193" s="19" t="str">
        <x:v>https://www.navitime.co.jp/poi?spot=20753-4</x:v>
      </x:c>
      <x:c r="F193" s="19" t="str">
        <x:v>https://www.navitime.co.jp/category/0815/13/?page=3
https://www.navitime.co.jp/category/0815/?page=13</x:v>
      </x:c>
      <x:c r="G193" s="18" t="str">
        <x:v>否</x:v>
      </x:c>
      <x:c r="H193" s="18" t="str">
        <x:v>否</x:v>
      </x:c>
      <x:c r="I193" s="18" t="str">
        <x:v>否</x:v>
      </x:c>
    </x:row>
    <x:row r="194" ht="33" customHeight="1">
      <x:c r="A194" s="19" t="str">
        <x:v>ジェイ・アール北海道バス バスチケットセンター デュオ</x:v>
      </x:c>
      <x:c r="B194" s="19" t="str">
        <x:v>北海道札幌市厚別区厚別中央2条5-7-2</x:v>
      </x:c>
      <x:c r="C194" s="18" t="str">
        <x:v>navitime:20772-54</x:v>
      </x:c>
      <x:c r="D194" s="19" t="str">
        <x:v>官方身份待审核</x:v>
      </x:c>
      <x:c r="E194" s="19" t="str">
        <x:v>https://www.navitime.co.jp/poi?spot=20772-54</x:v>
      </x:c>
      <x:c r="F194" s="19" t="str">
        <x:v>https://www.navitime.co.jp/category/0815/01/?page=2
https://www.navitime.co.jp/category/0815/?page=13</x:v>
      </x:c>
      <x:c r="G194" s="18" t="str">
        <x:v>否</x:v>
      </x:c>
      <x:c r="H194" s="18" t="str">
        <x:v>否</x:v>
      </x:c>
      <x:c r="I194" s="18" t="str">
        <x:v>否</x:v>
      </x:c>
    </x:row>
    <x:row r="195" ht="33" customHeight="1">
      <x:c r="A195" s="19" t="str">
        <x:v>宮交シティバスセンター 宮交シティ店</x:v>
      </x:c>
      <x:c r="B195" s="19" t="str">
        <x:v>宮崎県宮崎市大淀4-6-28</x:v>
      </x:c>
      <x:c r="C195" s="18" t="str">
        <x:v>navitime:20939-58</x:v>
      </x:c>
      <x:c r="D195" s="19" t="str">
        <x:v>官方身份待审核</x:v>
      </x:c>
      <x:c r="E195" s="19" t="str">
        <x:v>https://www.navitime.co.jp/poi?spot=20939-58</x:v>
      </x:c>
      <x:c r="F195" s="19" t="str">
        <x:v>https://www.navitime.co.jp/category/0815/45/
https://www.navitime.co.jp/category/0815/?page=13</x:v>
      </x:c>
      <x:c r="G195" s="18" t="str">
        <x:v>否</x:v>
      </x:c>
      <x:c r="H195" s="18" t="str">
        <x:v>否</x:v>
      </x:c>
      <x:c r="I195" s="18" t="str">
        <x:v>否</x:v>
      </x:c>
    </x:row>
    <x:row r="196" ht="33" customHeight="1">
      <x:c r="A196" s="19" t="str">
        <x:v>道南バス株式会社 洞爺湖温泉ターミナル</x:v>
      </x:c>
      <x:c r="B196" s="19" t="str">
        <x:v>北海道虻田郡洞爺湖町洞爺湖温泉</x:v>
      </x:c>
      <x:c r="C196" s="18" t="str">
        <x:v>navitime:91001-ani00854</x:v>
      </x:c>
      <x:c r="D196" s="19" t="str">
        <x:v>官方身份待审核</x:v>
      </x:c>
      <x:c r="E196" s="19" t="str">
        <x:v>https://www.navitime.co.jp/poi?spot=91001-ani00854</x:v>
      </x:c>
      <x:c r="F196" s="19" t="str">
        <x:v>https://www.navitime.co.jp/category/0815/01/
https://www.navitime.co.jp/category/0815/?page=9</x:v>
      </x:c>
      <x:c r="G196" s="18" t="str">
        <x:v>否</x:v>
      </x:c>
      <x:c r="H196" s="18" t="str">
        <x:v>否</x:v>
      </x:c>
      <x:c r="I196" s="18" t="str">
        <x:v>否</x:v>
      </x:c>
    </x:row>
  </x:sheetData>
  <x:conditionalFormatting sqref="D6:D196">
    <x:cfRule type="containsText" dxfId="22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7f7dc5637674fc1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41" hidden="0" customWidth="1"/>
    <x:col min="4" max="4" width="15" hidden="0" customWidth="1"/>
    <x:col min="5" max="5" width="19" hidden="0" customWidth="1"/>
    <x:col min="6" max="6" width="90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4" t="str">
        <x:v>47 都道府县分类遍历状态</x:v>
      </x:c>
      <x:c r="B2" s="5"/>
      <x:c r="C2" s="5"/>
      <x:c r="D2" s="5"/>
      <x:c r="E2" s="5"/>
      <x:c r="F2" s="5"/>
      <x:c r="G2" s="22"/>
      <x:c r="H2" s="22"/>
    </x:row>
    <x:row r="3">
      <x:c r="A3" s="6" t="str">
        <x:v>42 个活跃入口已遍历；5 个无入口。不以无入口推断当地无巴士终端。</x:v>
      </x:c>
      <x:c r="B3" s="2"/>
      <x:c r="C3" s="2"/>
      <x:c r="D3" s="2"/>
      <x:c r="E3" s="2"/>
      <x:c r="F3" s="2"/>
    </x:row>
    <x:row r="4">
      <x:c r="A4" s="6" t="str">
        <x:v>来源：data/transport/nodes/task-084-b-v2-bus-discovery/navitime-prefecture-coverage.jsonl</x:v>
      </x:c>
      <x:c r="B4" s="2"/>
      <x:c r="C4" s="2"/>
      <x:c r="D4" s="2"/>
      <x:c r="E4" s="2"/>
      <x:c r="F4" s="2"/>
    </x:row>
    <x:row r="5" ht="34" customHeight="1">
      <x:c r="A5" s="15" t="str">
        <x:v>都道府县</x:v>
      </x:c>
      <x:c r="B5" s="16" t="str">
        <x:v>代码</x:v>
      </x:c>
      <x:c r="C5" s="16" t="str">
        <x:v>遍历状态</x:v>
      </x:c>
      <x:c r="D5" s="16" t="str">
        <x:v>页面数</x:v>
      </x:c>
      <x:c r="E5" s="16" t="str">
        <x:v>发现记录数</x:v>
      </x:c>
      <x:c r="F5" s="17" t="str">
        <x:v>NAVITIME 入口</x:v>
      </x:c>
    </x:row>
    <x:row r="6" ht="28" customHeight="1">
      <x:c r="A6" s="18" t="str">
        <x:v>北海道</x:v>
      </x:c>
      <x:c r="B6" s="18" t="str">
        <x:v>01</x:v>
      </x:c>
      <x:c r="C6" s="19" t="str">
        <x:v>已遍历至末页</x:v>
      </x:c>
      <x:c r="D6" s="20" t="n">
        <x:v>2</x:v>
      </x:c>
      <x:c r="E6" s="20" t="n">
        <x:v>18</x:v>
      </x:c>
      <x:c r="F6" s="19" t="str">
        <x:v>https://www.navitime.co.jp/category/0815/01/</x:v>
      </x:c>
    </x:row>
    <x:row r="7" ht="28" customHeight="1">
      <x:c r="A7" s="18" t="str">
        <x:v>青森県</x:v>
      </x:c>
      <x:c r="B7" s="18" t="str">
        <x:v>02</x:v>
      </x:c>
      <x:c r="C7" s="19" t="str">
        <x:v>已遍历至末页</x:v>
      </x:c>
      <x:c r="D7" s="20" t="n">
        <x:v>1</x:v>
      </x:c>
      <x:c r="E7" s="20" t="n">
        <x:v>4</x:v>
      </x:c>
      <x:c r="F7" s="19" t="str">
        <x:v>https://www.navitime.co.jp/category/0815/02/</x:v>
      </x:c>
    </x:row>
    <x:row r="8" ht="28" customHeight="1">
      <x:c r="A8" s="18" t="str">
        <x:v>岩手県</x:v>
      </x:c>
      <x:c r="B8" s="18" t="str">
        <x:v>03</x:v>
      </x:c>
      <x:c r="C8" s="19" t="str">
        <x:v>已遍历至末页</x:v>
      </x:c>
      <x:c r="D8" s="20" t="n">
        <x:v>1</x:v>
      </x:c>
      <x:c r="E8" s="20" t="n">
        <x:v>3</x:v>
      </x:c>
      <x:c r="F8" s="19" t="str">
        <x:v>https://www.navitime.co.jp/category/0815/03/</x:v>
      </x:c>
    </x:row>
    <x:row r="9" ht="28" customHeight="1">
      <x:c r="A9" s="18" t="str">
        <x:v>宮城県</x:v>
      </x:c>
      <x:c r="B9" s="18" t="str">
        <x:v>04</x:v>
      </x:c>
      <x:c r="C9" s="19" t="str">
        <x:v>已遍历至末页</x:v>
      </x:c>
      <x:c r="D9" s="20" t="n">
        <x:v>1</x:v>
      </x:c>
      <x:c r="E9" s="20" t="n">
        <x:v>2</x:v>
      </x:c>
      <x:c r="F9" s="19" t="str">
        <x:v>https://www.navitime.co.jp/category/0815/04/</x:v>
      </x:c>
    </x:row>
    <x:row r="10" ht="28" customHeight="1">
      <x:c r="A10" s="18" t="str">
        <x:v>秋田県</x:v>
      </x:c>
      <x:c r="B10" s="18" t="str">
        <x:v>05</x:v>
      </x:c>
      <x:c r="C10" s="19" t="str">
        <x:v>已遍历至末页</x:v>
      </x:c>
      <x:c r="D10" s="20" t="n">
        <x:v>1</x:v>
      </x:c>
      <x:c r="E10" s="20" t="n">
        <x:v>1</x:v>
      </x:c>
      <x:c r="F10" s="19" t="str">
        <x:v>https://www.navitime.co.jp/category/0815/05/</x:v>
      </x:c>
    </x:row>
    <x:row r="11" ht="28" customHeight="1">
      <x:c r="A11" s="18" t="str">
        <x:v>山形県</x:v>
      </x:c>
      <x:c r="B11" s="18" t="str">
        <x:v>06</x:v>
      </x:c>
      <x:c r="C11" s="19" t="str">
        <x:v>已遍历至末页</x:v>
      </x:c>
      <x:c r="D11" s="20" t="n">
        <x:v>1</x:v>
      </x:c>
      <x:c r="E11" s="20" t="n">
        <x:v>2</x:v>
      </x:c>
      <x:c r="F11" s="19" t="str">
        <x:v>https://www.navitime.co.jp/category/0815/06/</x:v>
      </x:c>
    </x:row>
    <x:row r="12" ht="33" customHeight="1">
      <x:c r="A12" s="18" t="str">
        <x:v>福島県</x:v>
      </x:c>
      <x:c r="B12" s="18" t="str">
        <x:v>07</x:v>
      </x:c>
      <x:c r="C12" s="19" t="str">
        <x:v>NO_ACTIVE_PREFECTURE_LINK_ON_ROOT_NOT_PROOF_OF_NO_TERMINALS</x:v>
      </x:c>
      <x:c r="D12" s="20" t="n">
        <x:v>0</x:v>
      </x:c>
      <x:c r="E12" s="20" t="n">
        <x:v>0</x:v>
      </x:c>
      <x:c r="F12" s="19"/>
    </x:row>
    <x:row r="13" ht="28" customHeight="1">
      <x:c r="A13" s="18" t="str">
        <x:v>茨城県</x:v>
      </x:c>
      <x:c r="B13" s="18" t="str">
        <x:v>08</x:v>
      </x:c>
      <x:c r="C13" s="19" t="str">
        <x:v>已遍历至末页</x:v>
      </x:c>
      <x:c r="D13" s="20" t="n">
        <x:v>1</x:v>
      </x:c>
      <x:c r="E13" s="20" t="n">
        <x:v>3</x:v>
      </x:c>
      <x:c r="F13" s="19" t="str">
        <x:v>https://www.navitime.co.jp/category/0815/08/</x:v>
      </x:c>
    </x:row>
    <x:row r="14" ht="28" customHeight="1">
      <x:c r="A14" s="18" t="str">
        <x:v>栃木県</x:v>
      </x:c>
      <x:c r="B14" s="18" t="str">
        <x:v>09</x:v>
      </x:c>
      <x:c r="C14" s="19" t="str">
        <x:v>已遍历至末页</x:v>
      </x:c>
      <x:c r="D14" s="20" t="n">
        <x:v>1</x:v>
      </x:c>
      <x:c r="E14" s="20" t="n">
        <x:v>1</x:v>
      </x:c>
      <x:c r="F14" s="19" t="str">
        <x:v>https://www.navitime.co.jp/category/0815/09/</x:v>
      </x:c>
    </x:row>
    <x:row r="15" ht="28" customHeight="1">
      <x:c r="A15" s="18" t="str">
        <x:v>群馬県</x:v>
      </x:c>
      <x:c r="B15" s="18" t="str">
        <x:v>10</x:v>
      </x:c>
      <x:c r="C15" s="19" t="str">
        <x:v>已遍历至末页</x:v>
      </x:c>
      <x:c r="D15" s="20" t="n">
        <x:v>1</x:v>
      </x:c>
      <x:c r="E15" s="20" t="n">
        <x:v>2</x:v>
      </x:c>
      <x:c r="F15" s="19" t="str">
        <x:v>https://www.navitime.co.jp/category/0815/10/</x:v>
      </x:c>
    </x:row>
    <x:row r="16" ht="28" customHeight="1">
      <x:c r="A16" s="18" t="str">
        <x:v>埼玉県</x:v>
      </x:c>
      <x:c r="B16" s="18" t="str">
        <x:v>11</x:v>
      </x:c>
      <x:c r="C16" s="19" t="str">
        <x:v>已遍历至末页</x:v>
      </x:c>
      <x:c r="D16" s="20" t="n">
        <x:v>1</x:v>
      </x:c>
      <x:c r="E16" s="20" t="n">
        <x:v>2</x:v>
      </x:c>
      <x:c r="F16" s="19" t="str">
        <x:v>https://www.navitime.co.jp/category/0815/11/</x:v>
      </x:c>
    </x:row>
    <x:row r="17" ht="28" customHeight="1">
      <x:c r="A17" s="18" t="str">
        <x:v>千葉県</x:v>
      </x:c>
      <x:c r="B17" s="18" t="str">
        <x:v>12</x:v>
      </x:c>
      <x:c r="C17" s="19" t="str">
        <x:v>已遍历至末页</x:v>
      </x:c>
      <x:c r="D17" s="20" t="n">
        <x:v>1</x:v>
      </x:c>
      <x:c r="E17" s="20" t="n">
        <x:v>8</x:v>
      </x:c>
      <x:c r="F17" s="19" t="str">
        <x:v>https://www.navitime.co.jp/category/0815/12/</x:v>
      </x:c>
    </x:row>
    <x:row r="18" ht="28" customHeight="1">
      <x:c r="A18" s="18" t="str">
        <x:v>東京都</x:v>
      </x:c>
      <x:c r="B18" s="18" t="str">
        <x:v>13</x:v>
      </x:c>
      <x:c r="C18" s="19" t="str">
        <x:v>已遍历至末页</x:v>
      </x:c>
      <x:c r="D18" s="20" t="n">
        <x:v>3</x:v>
      </x:c>
      <x:c r="E18" s="20" t="n">
        <x:v>35</x:v>
      </x:c>
      <x:c r="F18" s="19" t="str">
        <x:v>https://www.navitime.co.jp/category/0815/13/</x:v>
      </x:c>
    </x:row>
    <x:row r="19" ht="28" customHeight="1">
      <x:c r="A19" s="18" t="str">
        <x:v>神奈川県</x:v>
      </x:c>
      <x:c r="B19" s="18" t="str">
        <x:v>14</x:v>
      </x:c>
      <x:c r="C19" s="19" t="str">
        <x:v>已遍历至末页</x:v>
      </x:c>
      <x:c r="D19" s="20" t="n">
        <x:v>1</x:v>
      </x:c>
      <x:c r="E19" s="20" t="n">
        <x:v>11</x:v>
      </x:c>
      <x:c r="F19" s="19" t="str">
        <x:v>https://www.navitime.co.jp/category/0815/14/</x:v>
      </x:c>
    </x:row>
    <x:row r="20" ht="28" customHeight="1">
      <x:c r="A20" s="18" t="str">
        <x:v>新潟県</x:v>
      </x:c>
      <x:c r="B20" s="18" t="str">
        <x:v>15</x:v>
      </x:c>
      <x:c r="C20" s="19" t="str">
        <x:v>已遍历至末页</x:v>
      </x:c>
      <x:c r="D20" s="20" t="n">
        <x:v>1</x:v>
      </x:c>
      <x:c r="E20" s="20" t="n">
        <x:v>1</x:v>
      </x:c>
      <x:c r="F20" s="19" t="str">
        <x:v>https://www.navitime.co.jp/category/0815/15/</x:v>
      </x:c>
    </x:row>
    <x:row r="21" ht="28" customHeight="1">
      <x:c r="A21" s="18" t="str">
        <x:v>富山県</x:v>
      </x:c>
      <x:c r="B21" s="18" t="str">
        <x:v>16</x:v>
      </x:c>
      <x:c r="C21" s="19" t="str">
        <x:v>已遍历至末页</x:v>
      </x:c>
      <x:c r="D21" s="20" t="n">
        <x:v>1</x:v>
      </x:c>
      <x:c r="E21" s="20" t="n">
        <x:v>1</x:v>
      </x:c>
      <x:c r="F21" s="19" t="str">
        <x:v>https://www.navitime.co.jp/category/0815/16/</x:v>
      </x:c>
    </x:row>
    <x:row r="22" ht="28" customHeight="1">
      <x:c r="A22" s="18" t="str">
        <x:v>石川県</x:v>
      </x:c>
      <x:c r="B22" s="18" t="str">
        <x:v>17</x:v>
      </x:c>
      <x:c r="C22" s="19" t="str">
        <x:v>已遍历至末页</x:v>
      </x:c>
      <x:c r="D22" s="20" t="n">
        <x:v>1</x:v>
      </x:c>
      <x:c r="E22" s="20" t="n">
        <x:v>1</x:v>
      </x:c>
      <x:c r="F22" s="19" t="str">
        <x:v>https://www.navitime.co.jp/category/0815/17/</x:v>
      </x:c>
    </x:row>
    <x:row r="23" ht="28" customHeight="1">
      <x:c r="A23" s="18" t="str">
        <x:v>福井県</x:v>
      </x:c>
      <x:c r="B23" s="18" t="str">
        <x:v>18</x:v>
      </x:c>
      <x:c r="C23" s="19" t="str">
        <x:v>已遍历至末页</x:v>
      </x:c>
      <x:c r="D23" s="20" t="n">
        <x:v>1</x:v>
      </x:c>
      <x:c r="E23" s="20" t="n">
        <x:v>1</x:v>
      </x:c>
      <x:c r="F23" s="19" t="str">
        <x:v>https://www.navitime.co.jp/category/0815/18/</x:v>
      </x:c>
    </x:row>
    <x:row r="24" ht="28" customHeight="1">
      <x:c r="A24" s="18" t="str">
        <x:v>山梨県</x:v>
      </x:c>
      <x:c r="B24" s="18" t="str">
        <x:v>19</x:v>
      </x:c>
      <x:c r="C24" s="19" t="str">
        <x:v>已遍历至末页</x:v>
      </x:c>
      <x:c r="D24" s="20" t="n">
        <x:v>1</x:v>
      </x:c>
      <x:c r="E24" s="20" t="n">
        <x:v>3</x:v>
      </x:c>
      <x:c r="F24" s="19" t="str">
        <x:v>https://www.navitime.co.jp/category/0815/19/</x:v>
      </x:c>
    </x:row>
    <x:row r="25" ht="28" customHeight="1">
      <x:c r="A25" s="18" t="str">
        <x:v>長野県</x:v>
      </x:c>
      <x:c r="B25" s="18" t="str">
        <x:v>20</x:v>
      </x:c>
      <x:c r="C25" s="19" t="str">
        <x:v>已遍历至末页</x:v>
      </x:c>
      <x:c r="D25" s="20" t="n">
        <x:v>1</x:v>
      </x:c>
      <x:c r="E25" s="20" t="n">
        <x:v>7</x:v>
      </x:c>
      <x:c r="F25" s="19" t="str">
        <x:v>https://www.navitime.co.jp/category/0815/20/</x:v>
      </x:c>
    </x:row>
    <x:row r="26" ht="28" customHeight="1">
      <x:c r="A26" s="18" t="str">
        <x:v>岐阜県</x:v>
      </x:c>
      <x:c r="B26" s="18" t="str">
        <x:v>21</x:v>
      </x:c>
      <x:c r="C26" s="19" t="str">
        <x:v>已遍历至末页</x:v>
      </x:c>
      <x:c r="D26" s="20" t="n">
        <x:v>1</x:v>
      </x:c>
      <x:c r="E26" s="20" t="n">
        <x:v>5</x:v>
      </x:c>
      <x:c r="F26" s="19" t="str">
        <x:v>https://www.navitime.co.jp/category/0815/21/</x:v>
      </x:c>
    </x:row>
    <x:row r="27" ht="28" customHeight="1">
      <x:c r="A27" s="18" t="str">
        <x:v>静岡県</x:v>
      </x:c>
      <x:c r="B27" s="18" t="str">
        <x:v>22</x:v>
      </x:c>
      <x:c r="C27" s="19" t="str">
        <x:v>已遍历至末页</x:v>
      </x:c>
      <x:c r="D27" s="20" t="n">
        <x:v>1</x:v>
      </x:c>
      <x:c r="E27" s="20" t="n">
        <x:v>3</x:v>
      </x:c>
      <x:c r="F27" s="19" t="str">
        <x:v>https://www.navitime.co.jp/category/0815/22/</x:v>
      </x:c>
    </x:row>
    <x:row r="28" ht="28" customHeight="1">
      <x:c r="A28" s="18" t="str">
        <x:v>愛知県</x:v>
      </x:c>
      <x:c r="B28" s="18" t="str">
        <x:v>23</x:v>
      </x:c>
      <x:c r="C28" s="19" t="str">
        <x:v>已遍历至末页</x:v>
      </x:c>
      <x:c r="D28" s="20" t="n">
        <x:v>1</x:v>
      </x:c>
      <x:c r="E28" s="20" t="n">
        <x:v>8</x:v>
      </x:c>
      <x:c r="F28" s="19" t="str">
        <x:v>https://www.navitime.co.jp/category/0815/23/</x:v>
      </x:c>
    </x:row>
    <x:row r="29" ht="33" customHeight="1">
      <x:c r="A29" s="18" t="str">
        <x:v>三重県</x:v>
      </x:c>
      <x:c r="B29" s="18" t="str">
        <x:v>24</x:v>
      </x:c>
      <x:c r="C29" s="19" t="str">
        <x:v>NO_ACTIVE_PREFECTURE_LINK_ON_ROOT_NOT_PROOF_OF_NO_TERMINALS</x:v>
      </x:c>
      <x:c r="D29" s="20" t="n">
        <x:v>0</x:v>
      </x:c>
      <x:c r="E29" s="20" t="n">
        <x:v>0</x:v>
      </x:c>
      <x:c r="F29" s="19"/>
    </x:row>
    <x:row r="30" ht="28" customHeight="1">
      <x:c r="A30" s="18" t="str">
        <x:v>滋賀県</x:v>
      </x:c>
      <x:c r="B30" s="18" t="str">
        <x:v>25</x:v>
      </x:c>
      <x:c r="C30" s="19" t="str">
        <x:v>已遍历至末页</x:v>
      </x:c>
      <x:c r="D30" s="20" t="n">
        <x:v>1</x:v>
      </x:c>
      <x:c r="E30" s="20" t="n">
        <x:v>1</x:v>
      </x:c>
      <x:c r="F30" s="19" t="str">
        <x:v>https://www.navitime.co.jp/category/0815/25/</x:v>
      </x:c>
    </x:row>
    <x:row r="31" ht="28" customHeight="1">
      <x:c r="A31" s="18" t="str">
        <x:v>京都府</x:v>
      </x:c>
      <x:c r="B31" s="18" t="str">
        <x:v>26</x:v>
      </x:c>
      <x:c r="C31" s="19" t="str">
        <x:v>已遍历至末页</x:v>
      </x:c>
      <x:c r="D31" s="20" t="n">
        <x:v>1</x:v>
      </x:c>
      <x:c r="E31" s="20" t="n">
        <x:v>1</x:v>
      </x:c>
      <x:c r="F31" s="19" t="str">
        <x:v>https://www.navitime.co.jp/category/0815/26/</x:v>
      </x:c>
    </x:row>
    <x:row r="32" ht="28" customHeight="1">
      <x:c r="A32" s="18" t="str">
        <x:v>大阪府</x:v>
      </x:c>
      <x:c r="B32" s="18" t="str">
        <x:v>27</x:v>
      </x:c>
      <x:c r="C32" s="19" t="str">
        <x:v>已遍历至末页</x:v>
      </x:c>
      <x:c r="D32" s="20" t="n">
        <x:v>1</x:v>
      </x:c>
      <x:c r="E32" s="20" t="n">
        <x:v>12</x:v>
      </x:c>
      <x:c r="F32" s="19" t="str">
        <x:v>https://www.navitime.co.jp/category/0815/27/</x:v>
      </x:c>
    </x:row>
    <x:row r="33" ht="28" customHeight="1">
      <x:c r="A33" s="18" t="str">
        <x:v>兵庫県</x:v>
      </x:c>
      <x:c r="B33" s="18" t="str">
        <x:v>28</x:v>
      </x:c>
      <x:c r="C33" s="19" t="str">
        <x:v>已遍历至末页</x:v>
      </x:c>
      <x:c r="D33" s="20" t="n">
        <x:v>1</x:v>
      </x:c>
      <x:c r="E33" s="20" t="n">
        <x:v>12</x:v>
      </x:c>
      <x:c r="F33" s="19" t="str">
        <x:v>https://www.navitime.co.jp/category/0815/28/</x:v>
      </x:c>
    </x:row>
    <x:row r="34" ht="28" customHeight="1">
      <x:c r="A34" s="18" t="str">
        <x:v>奈良県</x:v>
      </x:c>
      <x:c r="B34" s="18" t="str">
        <x:v>29</x:v>
      </x:c>
      <x:c r="C34" s="19" t="str">
        <x:v>已遍历至末页</x:v>
      </x:c>
      <x:c r="D34" s="20" t="n">
        <x:v>1</x:v>
      </x:c>
      <x:c r="E34" s="20" t="n">
        <x:v>1</x:v>
      </x:c>
      <x:c r="F34" s="19" t="str">
        <x:v>https://www.navitime.co.jp/category/0815/29/</x:v>
      </x:c>
    </x:row>
    <x:row r="35" ht="28" customHeight="1">
      <x:c r="A35" s="18" t="str">
        <x:v>和歌山県</x:v>
      </x:c>
      <x:c r="B35" s="18" t="str">
        <x:v>30</x:v>
      </x:c>
      <x:c r="C35" s="19" t="str">
        <x:v>已遍历至末页</x:v>
      </x:c>
      <x:c r="D35" s="20" t="n">
        <x:v>1</x:v>
      </x:c>
      <x:c r="E35" s="20" t="n">
        <x:v>1</x:v>
      </x:c>
      <x:c r="F35" s="19" t="str">
        <x:v>https://www.navitime.co.jp/category/0815/30/</x:v>
      </x:c>
    </x:row>
    <x:row r="36" ht="33" customHeight="1">
      <x:c r="A36" s="18" t="str">
        <x:v>鳥取県</x:v>
      </x:c>
      <x:c r="B36" s="18" t="str">
        <x:v>31</x:v>
      </x:c>
      <x:c r="C36" s="19" t="str">
        <x:v>NO_ACTIVE_PREFECTURE_LINK_ON_ROOT_NOT_PROOF_OF_NO_TERMINALS</x:v>
      </x:c>
      <x:c r="D36" s="20" t="n">
        <x:v>0</x:v>
      </x:c>
      <x:c r="E36" s="20" t="n">
        <x:v>0</x:v>
      </x:c>
      <x:c r="F36" s="19"/>
    </x:row>
    <x:row r="37" ht="28" customHeight="1">
      <x:c r="A37" s="18" t="str">
        <x:v>島根県</x:v>
      </x:c>
      <x:c r="B37" s="18" t="str">
        <x:v>32</x:v>
      </x:c>
      <x:c r="C37" s="19" t="str">
        <x:v>已遍历至末页</x:v>
      </x:c>
      <x:c r="D37" s="20" t="n">
        <x:v>1</x:v>
      </x:c>
      <x:c r="E37" s="20" t="n">
        <x:v>3</x:v>
      </x:c>
      <x:c r="F37" s="19" t="str">
        <x:v>https://www.navitime.co.jp/category/0815/32/</x:v>
      </x:c>
    </x:row>
    <x:row r="38" ht="28" customHeight="1">
      <x:c r="A38" s="18" t="str">
        <x:v>岡山県</x:v>
      </x:c>
      <x:c r="B38" s="18" t="str">
        <x:v>33</x:v>
      </x:c>
      <x:c r="C38" s="19" t="str">
        <x:v>已遍历至末页</x:v>
      </x:c>
      <x:c r="D38" s="20" t="n">
        <x:v>1</x:v>
      </x:c>
      <x:c r="E38" s="20" t="n">
        <x:v>6</x:v>
      </x:c>
      <x:c r="F38" s="19" t="str">
        <x:v>https://www.navitime.co.jp/category/0815/33/</x:v>
      </x:c>
    </x:row>
    <x:row r="39" ht="28" customHeight="1">
      <x:c r="A39" s="18" t="str">
        <x:v>広島県</x:v>
      </x:c>
      <x:c r="B39" s="18" t="str">
        <x:v>34</x:v>
      </x:c>
      <x:c r="C39" s="19" t="str">
        <x:v>已遍历至末页</x:v>
      </x:c>
      <x:c r="D39" s="20" t="n">
        <x:v>1</x:v>
      </x:c>
      <x:c r="E39" s="20" t="n">
        <x:v>5</x:v>
      </x:c>
      <x:c r="F39" s="19" t="str">
        <x:v>https://www.navitime.co.jp/category/0815/34/</x:v>
      </x:c>
    </x:row>
    <x:row r="40" ht="28" customHeight="1">
      <x:c r="A40" s="18" t="str">
        <x:v>山口県</x:v>
      </x:c>
      <x:c r="B40" s="18" t="str">
        <x:v>35</x:v>
      </x:c>
      <x:c r="C40" s="19" t="str">
        <x:v>已遍历至末页</x:v>
      </x:c>
      <x:c r="D40" s="20" t="n">
        <x:v>1</x:v>
      </x:c>
      <x:c r="E40" s="20" t="n">
        <x:v>1</x:v>
      </x:c>
      <x:c r="F40" s="19" t="str">
        <x:v>https://www.navitime.co.jp/category/0815/35/</x:v>
      </x:c>
    </x:row>
    <x:row r="41" ht="28" customHeight="1">
      <x:c r="A41" s="18" t="str">
        <x:v>徳島県</x:v>
      </x:c>
      <x:c r="B41" s="18" t="str">
        <x:v>36</x:v>
      </x:c>
      <x:c r="C41" s="19" t="str">
        <x:v>已遍历至末页</x:v>
      </x:c>
      <x:c r="D41" s="20" t="n">
        <x:v>1</x:v>
      </x:c>
      <x:c r="E41" s="20" t="n">
        <x:v>4</x:v>
      </x:c>
      <x:c r="F41" s="19" t="str">
        <x:v>https://www.navitime.co.jp/category/0815/36/</x:v>
      </x:c>
    </x:row>
    <x:row r="42" ht="28" customHeight="1">
      <x:c r="A42" s="18" t="str">
        <x:v>香川県</x:v>
      </x:c>
      <x:c r="B42" s="18" t="str">
        <x:v>37</x:v>
      </x:c>
      <x:c r="C42" s="19" t="str">
        <x:v>已遍历至末页</x:v>
      </x:c>
      <x:c r="D42" s="20" t="n">
        <x:v>1</x:v>
      </x:c>
      <x:c r="E42" s="20" t="n">
        <x:v>2</x:v>
      </x:c>
      <x:c r="F42" s="19" t="str">
        <x:v>https://www.navitime.co.jp/category/0815/37/</x:v>
      </x:c>
    </x:row>
    <x:row r="43" ht="33" customHeight="1">
      <x:c r="A43" s="18" t="str">
        <x:v>愛媛県</x:v>
      </x:c>
      <x:c r="B43" s="18" t="str">
        <x:v>38</x:v>
      </x:c>
      <x:c r="C43" s="19" t="str">
        <x:v>NO_ACTIVE_PREFECTURE_LINK_ON_ROOT_NOT_PROOF_OF_NO_TERMINALS</x:v>
      </x:c>
      <x:c r="D43" s="20" t="n">
        <x:v>0</x:v>
      </x:c>
      <x:c r="E43" s="20" t="n">
        <x:v>0</x:v>
      </x:c>
      <x:c r="F43" s="19"/>
    </x:row>
    <x:row r="44" ht="28" customHeight="1">
      <x:c r="A44" s="18" t="str">
        <x:v>高知県</x:v>
      </x:c>
      <x:c r="B44" s="18" t="str">
        <x:v>39</x:v>
      </x:c>
      <x:c r="C44" s="19" t="str">
        <x:v>已遍历至末页</x:v>
      </x:c>
      <x:c r="D44" s="20" t="n">
        <x:v>1</x:v>
      </x:c>
      <x:c r="E44" s="20" t="n">
        <x:v>1</x:v>
      </x:c>
      <x:c r="F44" s="19" t="str">
        <x:v>https://www.navitime.co.jp/category/0815/39/</x:v>
      </x:c>
    </x:row>
    <x:row r="45" ht="28" customHeight="1">
      <x:c r="A45" s="18" t="str">
        <x:v>福岡県</x:v>
      </x:c>
      <x:c r="B45" s="18" t="str">
        <x:v>40</x:v>
      </x:c>
      <x:c r="C45" s="19" t="str">
        <x:v>已遍历至末页</x:v>
      </x:c>
      <x:c r="D45" s="20" t="n">
        <x:v>1</x:v>
      </x:c>
      <x:c r="E45" s="20" t="n">
        <x:v>5</x:v>
      </x:c>
      <x:c r="F45" s="19" t="str">
        <x:v>https://www.navitime.co.jp/category/0815/40/</x:v>
      </x:c>
    </x:row>
    <x:row r="46" ht="28" customHeight="1">
      <x:c r="A46" s="18" t="str">
        <x:v>佐賀県</x:v>
      </x:c>
      <x:c r="B46" s="18" t="str">
        <x:v>41</x:v>
      </x:c>
      <x:c r="C46" s="19" t="str">
        <x:v>已遍历至末页</x:v>
      </x:c>
      <x:c r="D46" s="20" t="n">
        <x:v>1</x:v>
      </x:c>
      <x:c r="E46" s="20" t="n">
        <x:v>1</x:v>
      </x:c>
      <x:c r="F46" s="19" t="str">
        <x:v>https://www.navitime.co.jp/category/0815/41/</x:v>
      </x:c>
    </x:row>
    <x:row r="47" ht="33" customHeight="1">
      <x:c r="A47" s="18" t="str">
        <x:v>長崎県</x:v>
      </x:c>
      <x:c r="B47" s="18" t="str">
        <x:v>42</x:v>
      </x:c>
      <x:c r="C47" s="19" t="str">
        <x:v>NO_ACTIVE_PREFECTURE_LINK_ON_ROOT_NOT_PROOF_OF_NO_TERMINALS</x:v>
      </x:c>
      <x:c r="D47" s="20" t="n">
        <x:v>0</x:v>
      </x:c>
      <x:c r="E47" s="20" t="n">
        <x:v>0</x:v>
      </x:c>
      <x:c r="F47" s="19"/>
    </x:row>
    <x:row r="48" ht="28" customHeight="1">
      <x:c r="A48" s="18" t="str">
        <x:v>熊本県</x:v>
      </x:c>
      <x:c r="B48" s="18" t="str">
        <x:v>43</x:v>
      </x:c>
      <x:c r="C48" s="19" t="str">
        <x:v>已遍历至末页</x:v>
      </x:c>
      <x:c r="D48" s="20" t="n">
        <x:v>1</x:v>
      </x:c>
      <x:c r="E48" s="20" t="n">
        <x:v>1</x:v>
      </x:c>
      <x:c r="F48" s="19" t="str">
        <x:v>https://www.navitime.co.jp/category/0815/43/</x:v>
      </x:c>
    </x:row>
    <x:row r="49" ht="28" customHeight="1">
      <x:c r="A49" s="18" t="str">
        <x:v>大分県</x:v>
      </x:c>
      <x:c r="B49" s="18" t="str">
        <x:v>44</x:v>
      </x:c>
      <x:c r="C49" s="19" t="str">
        <x:v>已遍历至末页</x:v>
      </x:c>
      <x:c r="D49" s="20" t="n">
        <x:v>1</x:v>
      </x:c>
      <x:c r="E49" s="20" t="n">
        <x:v>1</x:v>
      </x:c>
      <x:c r="F49" s="19" t="str">
        <x:v>https://www.navitime.co.jp/category/0815/44/</x:v>
      </x:c>
    </x:row>
    <x:row r="50" ht="28" customHeight="1">
      <x:c r="A50" s="18" t="str">
        <x:v>宮崎県</x:v>
      </x:c>
      <x:c r="B50" s="18" t="str">
        <x:v>45</x:v>
      </x:c>
      <x:c r="C50" s="19" t="str">
        <x:v>已遍历至末页</x:v>
      </x:c>
      <x:c r="D50" s="20" t="n">
        <x:v>1</x:v>
      </x:c>
      <x:c r="E50" s="20" t="n">
        <x:v>2</x:v>
      </x:c>
      <x:c r="F50" s="19" t="str">
        <x:v>https://www.navitime.co.jp/category/0815/45/</x:v>
      </x:c>
    </x:row>
    <x:row r="51" ht="28" customHeight="1">
      <x:c r="A51" s="18" t="str">
        <x:v>鹿児島県</x:v>
      </x:c>
      <x:c r="B51" s="18" t="str">
        <x:v>46</x:v>
      </x:c>
      <x:c r="C51" s="19" t="str">
        <x:v>已遍历至末页</x:v>
      </x:c>
      <x:c r="D51" s="20" t="n">
        <x:v>1</x:v>
      </x:c>
      <x:c r="E51" s="20" t="n">
        <x:v>3</x:v>
      </x:c>
      <x:c r="F51" s="19" t="str">
        <x:v>https://www.navitime.co.jp/category/0815/46/</x:v>
      </x:c>
    </x:row>
    <x:row r="52" ht="28" customHeight="1">
      <x:c r="A52" s="18" t="str">
        <x:v>沖縄県</x:v>
      </x:c>
      <x:c r="B52" s="18" t="str">
        <x:v>47</x:v>
      </x:c>
      <x:c r="C52" s="19" t="str">
        <x:v>已遍历至末页</x:v>
      </x:c>
      <x:c r="D52" s="20" t="n">
        <x:v>1</x:v>
      </x:c>
      <x:c r="E52" s="20" t="n">
        <x:v>6</x:v>
      </x:c>
      <x:c r="F52" s="19" t="str">
        <x:v>https://www.navitime.co.jp/category/0815/47/</x:v>
      </x:c>
    </x:row>
  </x:sheetData>
  <x:pageMargins left="0.7" right="0.7" top="0.75" bottom="0.75" header="0.3" footer="0.3"/>
  <x:tableParts count="1">
    <x:tablePart xmlns:r="http://schemas.openxmlformats.org/officeDocument/2006/relationships" r:id="R53d05fffc101430a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0" hidden="0" customWidth="1"/>
    <x:col min="2" max="2" width="19" hidden="0" customWidth="1"/>
    <x:col min="3" max="3" width="100" hidden="0" customWidth="1"/>
    <x:col min="4" max="4" width="70" hidden="0" customWidth="1"/>
  </x:cols>
  <x:sheetData>
    <x:row r="1">
      <x:c r="A1" s="2"/>
      <x:c r="B1" s="2"/>
      <x:c r="C1" s="2"/>
      <x:c r="D1" s="2"/>
    </x:row>
    <x:row r="2" ht="27" customHeight="1">
      <x:c r="A2" s="4" t="str">
        <x:v>NAVITIME 全国与分县分页回执</x:v>
      </x:c>
      <x:c r="B2" s="5"/>
      <x:c r="C2" s="5"/>
      <x:c r="D2" s="5"/>
      <x:c r="E2" s="22"/>
      <x:c r="F2" s="22"/>
      <x:c r="G2" s="22"/>
      <x:c r="H2" s="22"/>
    </x:row>
    <x:row r="3">
      <x:c r="A3" s="6" t="str">
        <x:v>58 个公开分类页。全国结果 ID 集合已与分县结果集合校验一致。</x:v>
      </x:c>
      <x:c r="B3" s="2"/>
      <x:c r="C3" s="2"/>
      <x:c r="D3" s="2"/>
    </x:row>
    <x:row r="4">
      <x:c r="A4" s="6" t="str">
        <x:v>来源：data/transport/nodes/task-084-b-v2-bus-discovery/navitime-page-receipts.jsonl</x:v>
      </x:c>
      <x:c r="B4" s="2"/>
      <x:c r="C4" s="2"/>
      <x:c r="D4" s="2"/>
    </x:row>
    <x:row r="5" ht="34" customHeight="1">
      <x:c r="A5" s="15" t="str">
        <x:v>页面 URL</x:v>
      </x:c>
      <x:c r="B5" s="16" t="str">
        <x:v>本页记录数</x:v>
      </x:c>
      <x:c r="C5" s="16" t="str">
        <x:v>下一页 URL</x:v>
      </x:c>
      <x:c r="D5" s="17" t="str">
        <x:v>源页面 SHA256</x:v>
      </x:c>
    </x:row>
    <x:row r="6" ht="28" customHeight="1">
      <x:c r="A6" s="19" t="str">
        <x:v>https://www.navitime.co.jp/category/0815/</x:v>
      </x:c>
      <x:c r="B6" s="20" t="n">
        <x:v>15</x:v>
      </x:c>
      <x:c r="C6" s="19" t="str">
        <x:v>https://www.navitime.co.jp/category/0815/?page=2</x:v>
      </x:c>
      <x:c r="D6" s="18" t="str">
        <x:v>667a608eb526d4e0a384ccd1a61d28e3aabbbd18da3ba583d414e1b83e22f180</x:v>
      </x:c>
    </x:row>
    <x:row r="7" ht="28" customHeight="1">
      <x:c r="A7" s="19" t="str">
        <x:v>https://www.navitime.co.jp/category/0815/01/</x:v>
      </x:c>
      <x:c r="B7" s="20" t="n">
        <x:v>15</x:v>
      </x:c>
      <x:c r="C7" s="19" t="str">
        <x:v>https://www.navitime.co.jp/category/0815/01/?page=2</x:v>
      </x:c>
      <x:c r="D7" s="18" t="str">
        <x:v>1541e043b934d5209809a41ff70dca3cc74211703f61483d0da2d270d14bbe5b</x:v>
      </x:c>
    </x:row>
    <x:row r="8" ht="28" customHeight="1">
      <x:c r="A8" s="19" t="str">
        <x:v>https://www.navitime.co.jp/category/0815/01/?page=2</x:v>
      </x:c>
      <x:c r="B8" s="20" t="n">
        <x:v>3</x:v>
      </x:c>
      <x:c r="C8" s="19"/>
      <x:c r="D8" s="18" t="str">
        <x:v>8c83ed1d9c6598f87ebd324f59bc54100c3855b17c56a3d9d8fbddd5534ba92a</x:v>
      </x:c>
    </x:row>
    <x:row r="9" ht="28" customHeight="1">
      <x:c r="A9" s="19" t="str">
        <x:v>https://www.navitime.co.jp/category/0815/02/</x:v>
      </x:c>
      <x:c r="B9" s="20" t="n">
        <x:v>4</x:v>
      </x:c>
      <x:c r="C9" s="19"/>
      <x:c r="D9" s="18" t="str">
        <x:v>cdc7d52d94d5fd0c536ae431945a9018f3957fb57d034128e2a2b1e96adafe5f</x:v>
      </x:c>
    </x:row>
    <x:row r="10" ht="28" customHeight="1">
      <x:c r="A10" s="19" t="str">
        <x:v>https://www.navitime.co.jp/category/0815/03/</x:v>
      </x:c>
      <x:c r="B10" s="20" t="n">
        <x:v>3</x:v>
      </x:c>
      <x:c r="C10" s="19"/>
      <x:c r="D10" s="18" t="str">
        <x:v>907e25c5ae5c4c94a1464855de23def468989f3fd6b291f7116d4629169695d0</x:v>
      </x:c>
    </x:row>
    <x:row r="11" ht="28" customHeight="1">
      <x:c r="A11" s="19" t="str">
        <x:v>https://www.navitime.co.jp/category/0815/04/</x:v>
      </x:c>
      <x:c r="B11" s="20" t="n">
        <x:v>2</x:v>
      </x:c>
      <x:c r="C11" s="19"/>
      <x:c r="D11" s="18" t="str">
        <x:v>e3925256b29349b9fcc2350e5f762f33a796df0fb156efb50b40f76112259fce</x:v>
      </x:c>
    </x:row>
    <x:row r="12" ht="28" customHeight="1">
      <x:c r="A12" s="19" t="str">
        <x:v>https://www.navitime.co.jp/category/0815/05/</x:v>
      </x:c>
      <x:c r="B12" s="20" t="n">
        <x:v>1</x:v>
      </x:c>
      <x:c r="C12" s="19"/>
      <x:c r="D12" s="18" t="str">
        <x:v>5f3ecc6c62b6b9f7468a4e8f44732ae11fbb1cc661c2295476bb36a4160096e3</x:v>
      </x:c>
    </x:row>
    <x:row r="13" ht="28" customHeight="1">
      <x:c r="A13" s="19" t="str">
        <x:v>https://www.navitime.co.jp/category/0815/06/</x:v>
      </x:c>
      <x:c r="B13" s="20" t="n">
        <x:v>2</x:v>
      </x:c>
      <x:c r="C13" s="19"/>
      <x:c r="D13" s="18" t="str">
        <x:v>2698074445c9dad0a1c709fa21d35780994ce73eb3937d73c019b0873f183111</x:v>
      </x:c>
    </x:row>
    <x:row r="14" ht="28" customHeight="1">
      <x:c r="A14" s="19" t="str">
        <x:v>https://www.navitime.co.jp/category/0815/08/</x:v>
      </x:c>
      <x:c r="B14" s="20" t="n">
        <x:v>3</x:v>
      </x:c>
      <x:c r="C14" s="19"/>
      <x:c r="D14" s="18" t="str">
        <x:v>83186b578831eb85dc044449b8c5e78408bfcb155cb88a0da9bde400c9d71758</x:v>
      </x:c>
    </x:row>
    <x:row r="15" ht="28" customHeight="1">
      <x:c r="A15" s="19" t="str">
        <x:v>https://www.navitime.co.jp/category/0815/09/</x:v>
      </x:c>
      <x:c r="B15" s="20" t="n">
        <x:v>1</x:v>
      </x:c>
      <x:c r="C15" s="19"/>
      <x:c r="D15" s="18" t="str">
        <x:v>f1d166fbebc48770e3183e076b812afb41038d4ce927a40e17130cd37bbf0013</x:v>
      </x:c>
    </x:row>
    <x:row r="16" ht="28" customHeight="1">
      <x:c r="A16" s="19" t="str">
        <x:v>https://www.navitime.co.jp/category/0815/10/</x:v>
      </x:c>
      <x:c r="B16" s="20" t="n">
        <x:v>2</x:v>
      </x:c>
      <x:c r="C16" s="19"/>
      <x:c r="D16" s="18" t="str">
        <x:v>2870eb1c85449904b9d733f79cd3983357e00080628701ccc3ab97e5889c7fb3</x:v>
      </x:c>
    </x:row>
    <x:row r="17" ht="28" customHeight="1">
      <x:c r="A17" s="19" t="str">
        <x:v>https://www.navitime.co.jp/category/0815/11/</x:v>
      </x:c>
      <x:c r="B17" s="20" t="n">
        <x:v>2</x:v>
      </x:c>
      <x:c r="C17" s="19"/>
      <x:c r="D17" s="18" t="str">
        <x:v>0396bcaf7b473ef52e59cbfb6fb19aa68e97b9d2a72dedce6af94b93b5c698a9</x:v>
      </x:c>
    </x:row>
    <x:row r="18" ht="28" customHeight="1">
      <x:c r="A18" s="19" t="str">
        <x:v>https://www.navitime.co.jp/category/0815/12/</x:v>
      </x:c>
      <x:c r="B18" s="20" t="n">
        <x:v>8</x:v>
      </x:c>
      <x:c r="C18" s="19"/>
      <x:c r="D18" s="18" t="str">
        <x:v>4691e91801e61ede0ce9417c154317e7a9f55f16d34a840c4a835c8f7d5ab5a8</x:v>
      </x:c>
    </x:row>
    <x:row r="19" ht="28" customHeight="1">
      <x:c r="A19" s="19" t="str">
        <x:v>https://www.navitime.co.jp/category/0815/13/</x:v>
      </x:c>
      <x:c r="B19" s="20" t="n">
        <x:v>15</x:v>
      </x:c>
      <x:c r="C19" s="19" t="str">
        <x:v>https://www.navitime.co.jp/category/0815/13/?page=2</x:v>
      </x:c>
      <x:c r="D19" s="18" t="str">
        <x:v>f6617fe8053b6bc8fabc9b7e40947c01268bf7d82936458cee75acd99dcc5a82</x:v>
      </x:c>
    </x:row>
    <x:row r="20" ht="28" customHeight="1">
      <x:c r="A20" s="19" t="str">
        <x:v>https://www.navitime.co.jp/category/0815/13/?page=2</x:v>
      </x:c>
      <x:c r="B20" s="20" t="n">
        <x:v>15</x:v>
      </x:c>
      <x:c r="C20" s="19" t="str">
        <x:v>https://www.navitime.co.jp/category/0815/13/?page=3</x:v>
      </x:c>
      <x:c r="D20" s="18" t="str">
        <x:v>f54a1e4403e1eef632a449ffe2e6917c018a561cf643a0cd8ecde4cd9e3eb601</x:v>
      </x:c>
    </x:row>
    <x:row r="21" ht="28" customHeight="1">
      <x:c r="A21" s="19" t="str">
        <x:v>https://www.navitime.co.jp/category/0815/13/?page=3</x:v>
      </x:c>
      <x:c r="B21" s="20" t="n">
        <x:v>5</x:v>
      </x:c>
      <x:c r="C21" s="19"/>
      <x:c r="D21" s="18" t="str">
        <x:v>123600384fe7df3873c22e29cd0e46ceae13721ee8bfcbed3199d842a8b6ea8f</x:v>
      </x:c>
    </x:row>
    <x:row r="22" ht="28" customHeight="1">
      <x:c r="A22" s="19" t="str">
        <x:v>https://www.navitime.co.jp/category/0815/14/</x:v>
      </x:c>
      <x:c r="B22" s="20" t="n">
        <x:v>11</x:v>
      </x:c>
      <x:c r="C22" s="19"/>
      <x:c r="D22" s="18" t="str">
        <x:v>30300d7cbbfb72fee017dd24ef7a6bc26965b809faa07156db885a2709b6d299</x:v>
      </x:c>
    </x:row>
    <x:row r="23" ht="28" customHeight="1">
      <x:c r="A23" s="19" t="str">
        <x:v>https://www.navitime.co.jp/category/0815/15/</x:v>
      </x:c>
      <x:c r="B23" s="20" t="n">
        <x:v>1</x:v>
      </x:c>
      <x:c r="C23" s="19"/>
      <x:c r="D23" s="18" t="str">
        <x:v>42066adf8203f1bae7ee6b681b45aab81a14fe97e141aa93ef4d0112f44d9d38</x:v>
      </x:c>
    </x:row>
    <x:row r="24" ht="28" customHeight="1">
      <x:c r="A24" s="19" t="str">
        <x:v>https://www.navitime.co.jp/category/0815/16/</x:v>
      </x:c>
      <x:c r="B24" s="20" t="n">
        <x:v>1</x:v>
      </x:c>
      <x:c r="C24" s="19"/>
      <x:c r="D24" s="18" t="str">
        <x:v>5488730abf2695f23d167c23ebad87486cc7333c77c2aa6a6b7ec07c1da5f080</x:v>
      </x:c>
    </x:row>
    <x:row r="25" ht="28" customHeight="1">
      <x:c r="A25" s="19" t="str">
        <x:v>https://www.navitime.co.jp/category/0815/17/</x:v>
      </x:c>
      <x:c r="B25" s="20" t="n">
        <x:v>1</x:v>
      </x:c>
      <x:c r="C25" s="19"/>
      <x:c r="D25" s="18" t="str">
        <x:v>3cb752d8033ad40164b08ede42ce6ce092ec80d9a242c225d0feed7db7d4bd7e</x:v>
      </x:c>
    </x:row>
    <x:row r="26" ht="28" customHeight="1">
      <x:c r="A26" s="19" t="str">
        <x:v>https://www.navitime.co.jp/category/0815/18/</x:v>
      </x:c>
      <x:c r="B26" s="20" t="n">
        <x:v>1</x:v>
      </x:c>
      <x:c r="C26" s="19"/>
      <x:c r="D26" s="18" t="str">
        <x:v>5eb4b77593fee025c2841d0a041e03679eec36f7e4c53df24d6c80c9a862a972</x:v>
      </x:c>
    </x:row>
    <x:row r="27" ht="28" customHeight="1">
      <x:c r="A27" s="19" t="str">
        <x:v>https://www.navitime.co.jp/category/0815/19/</x:v>
      </x:c>
      <x:c r="B27" s="20" t="n">
        <x:v>3</x:v>
      </x:c>
      <x:c r="C27" s="19"/>
      <x:c r="D27" s="18" t="str">
        <x:v>fd1a705b9b2e93b6200f9529603b492a6044a2281a883447138cb5d477b4d498</x:v>
      </x:c>
    </x:row>
    <x:row r="28" ht="28" customHeight="1">
      <x:c r="A28" s="19" t="str">
        <x:v>https://www.navitime.co.jp/category/0815/20/</x:v>
      </x:c>
      <x:c r="B28" s="20" t="n">
        <x:v>7</x:v>
      </x:c>
      <x:c r="C28" s="19"/>
      <x:c r="D28" s="18" t="str">
        <x:v>f252d606d82195381ee8122789220999bf53428741a11a5f144b174ea8a57405</x:v>
      </x:c>
    </x:row>
    <x:row r="29" ht="28" customHeight="1">
      <x:c r="A29" s="19" t="str">
        <x:v>https://www.navitime.co.jp/category/0815/21/</x:v>
      </x:c>
      <x:c r="B29" s="20" t="n">
        <x:v>5</x:v>
      </x:c>
      <x:c r="C29" s="19"/>
      <x:c r="D29" s="18" t="str">
        <x:v>9e455a4c8addfa6b84284f19324784d64efedaa9d074ac539172b36d57783076</x:v>
      </x:c>
    </x:row>
    <x:row r="30" ht="28" customHeight="1">
      <x:c r="A30" s="19" t="str">
        <x:v>https://www.navitime.co.jp/category/0815/22/</x:v>
      </x:c>
      <x:c r="B30" s="20" t="n">
        <x:v>3</x:v>
      </x:c>
      <x:c r="C30" s="19"/>
      <x:c r="D30" s="18" t="str">
        <x:v>00f113ad76e854ea757924204c5088aee8c7d46891cf5d2afc25959dfb9cf3ae</x:v>
      </x:c>
    </x:row>
    <x:row r="31" ht="28" customHeight="1">
      <x:c r="A31" s="19" t="str">
        <x:v>https://www.navitime.co.jp/category/0815/23/</x:v>
      </x:c>
      <x:c r="B31" s="20" t="n">
        <x:v>8</x:v>
      </x:c>
      <x:c r="C31" s="19"/>
      <x:c r="D31" s="18" t="str">
        <x:v>4b7555400cd904e7cb352c9a59a1d668f2f68ca14fad599afc9110017908e4b7</x:v>
      </x:c>
    </x:row>
    <x:row r="32" ht="28" customHeight="1">
      <x:c r="A32" s="19" t="str">
        <x:v>https://www.navitime.co.jp/category/0815/25/</x:v>
      </x:c>
      <x:c r="B32" s="20" t="n">
        <x:v>1</x:v>
      </x:c>
      <x:c r="C32" s="19"/>
      <x:c r="D32" s="18" t="str">
        <x:v>c80174a88900aef6dd09bedacb75db6d576e4fea00f50c600b17bccdb66c6853</x:v>
      </x:c>
    </x:row>
    <x:row r="33" ht="28" customHeight="1">
      <x:c r="A33" s="19" t="str">
        <x:v>https://www.navitime.co.jp/category/0815/26/</x:v>
      </x:c>
      <x:c r="B33" s="20" t="n">
        <x:v>1</x:v>
      </x:c>
      <x:c r="C33" s="19"/>
      <x:c r="D33" s="18" t="str">
        <x:v>e5957aa1d27bdb7b8b24d347a858796e27ae32c5ca8ac2c29983468f3fdad4c6</x:v>
      </x:c>
    </x:row>
    <x:row r="34" ht="28" customHeight="1">
      <x:c r="A34" s="19" t="str">
        <x:v>https://www.navitime.co.jp/category/0815/27/</x:v>
      </x:c>
      <x:c r="B34" s="20" t="n">
        <x:v>12</x:v>
      </x:c>
      <x:c r="C34" s="19"/>
      <x:c r="D34" s="18" t="str">
        <x:v>a9db27bf8423b6a7da9f02369efd7909c79726a6c461e5bdde234b9b03407a76</x:v>
      </x:c>
    </x:row>
    <x:row r="35" ht="28" customHeight="1">
      <x:c r="A35" s="19" t="str">
        <x:v>https://www.navitime.co.jp/category/0815/28/</x:v>
      </x:c>
      <x:c r="B35" s="20" t="n">
        <x:v>12</x:v>
      </x:c>
      <x:c r="C35" s="19"/>
      <x:c r="D35" s="18" t="str">
        <x:v>65f438f50f08c726d89397396fbd069f322983bf81361e18de0ee97bf3c4c149</x:v>
      </x:c>
    </x:row>
    <x:row r="36" ht="28" customHeight="1">
      <x:c r="A36" s="19" t="str">
        <x:v>https://www.navitime.co.jp/category/0815/29/</x:v>
      </x:c>
      <x:c r="B36" s="20" t="n">
        <x:v>1</x:v>
      </x:c>
      <x:c r="C36" s="19"/>
      <x:c r="D36" s="18" t="str">
        <x:v>9a94500cf851b1be1753b3c97d400bc3c53c519b2462153c7ee7a4c9a5b05b0a</x:v>
      </x:c>
    </x:row>
    <x:row r="37" ht="28" customHeight="1">
      <x:c r="A37" s="19" t="str">
        <x:v>https://www.navitime.co.jp/category/0815/30/</x:v>
      </x:c>
      <x:c r="B37" s="20" t="n">
        <x:v>1</x:v>
      </x:c>
      <x:c r="C37" s="19"/>
      <x:c r="D37" s="18" t="str">
        <x:v>ae7d5c9f53ed7673aec95670efe59721c311d6dc11f485e5119b1b32aa71ade8</x:v>
      </x:c>
    </x:row>
    <x:row r="38" ht="28" customHeight="1">
      <x:c r="A38" s="19" t="str">
        <x:v>https://www.navitime.co.jp/category/0815/32/</x:v>
      </x:c>
      <x:c r="B38" s="20" t="n">
        <x:v>3</x:v>
      </x:c>
      <x:c r="C38" s="19"/>
      <x:c r="D38" s="18" t="str">
        <x:v>bd3a9f2825eeb30914a1deb530538a341eef1c52d3149f1c381e680b4236e8a8</x:v>
      </x:c>
    </x:row>
    <x:row r="39" ht="28" customHeight="1">
      <x:c r="A39" s="19" t="str">
        <x:v>https://www.navitime.co.jp/category/0815/33/</x:v>
      </x:c>
      <x:c r="B39" s="20" t="n">
        <x:v>6</x:v>
      </x:c>
      <x:c r="C39" s="19"/>
      <x:c r="D39" s="18" t="str">
        <x:v>3a04df2e29d0823f8ec12e577a7121e717978ecb68f0544ff53c3d7fe367830f</x:v>
      </x:c>
    </x:row>
    <x:row r="40" ht="28" customHeight="1">
      <x:c r="A40" s="19" t="str">
        <x:v>https://www.navitime.co.jp/category/0815/34/</x:v>
      </x:c>
      <x:c r="B40" s="20" t="n">
        <x:v>5</x:v>
      </x:c>
      <x:c r="C40" s="19"/>
      <x:c r="D40" s="18" t="str">
        <x:v>90606600f5faf99251a6173e6a8b45972e5170f354e3069baf4f98bcb33e0767</x:v>
      </x:c>
    </x:row>
    <x:row r="41" ht="28" customHeight="1">
      <x:c r="A41" s="19" t="str">
        <x:v>https://www.navitime.co.jp/category/0815/35/</x:v>
      </x:c>
      <x:c r="B41" s="20" t="n">
        <x:v>1</x:v>
      </x:c>
      <x:c r="C41" s="19"/>
      <x:c r="D41" s="18" t="str">
        <x:v>663cd893883a886a1c40b64c840776b654e2f92046310fb48a69d43c43467153</x:v>
      </x:c>
    </x:row>
    <x:row r="42" ht="28" customHeight="1">
      <x:c r="A42" s="19" t="str">
        <x:v>https://www.navitime.co.jp/category/0815/36/</x:v>
      </x:c>
      <x:c r="B42" s="20" t="n">
        <x:v>4</x:v>
      </x:c>
      <x:c r="C42" s="19"/>
      <x:c r="D42" s="18" t="str">
        <x:v>f47cbb1f9dc75aba28461dbe36d115def7d573034f5a86d8510370c8718a4f79</x:v>
      </x:c>
    </x:row>
    <x:row r="43" ht="28" customHeight="1">
      <x:c r="A43" s="19" t="str">
        <x:v>https://www.navitime.co.jp/category/0815/37/</x:v>
      </x:c>
      <x:c r="B43" s="20" t="n">
        <x:v>2</x:v>
      </x:c>
      <x:c r="C43" s="19"/>
      <x:c r="D43" s="18" t="str">
        <x:v>f287a085fe4968866c1c7f4cd30714d9b81a9951c4ac14793bfa09339467775d</x:v>
      </x:c>
    </x:row>
    <x:row r="44" ht="28" customHeight="1">
      <x:c r="A44" s="19" t="str">
        <x:v>https://www.navitime.co.jp/category/0815/39/</x:v>
      </x:c>
      <x:c r="B44" s="20" t="n">
        <x:v>1</x:v>
      </x:c>
      <x:c r="C44" s="19"/>
      <x:c r="D44" s="18" t="str">
        <x:v>69c5dbf4d9ceb82e41da88ea5de4ffe10e616a5eed4eca303c6b59190c5bc275</x:v>
      </x:c>
    </x:row>
    <x:row r="45" ht="28" customHeight="1">
      <x:c r="A45" s="19" t="str">
        <x:v>https://www.navitime.co.jp/category/0815/40/</x:v>
      </x:c>
      <x:c r="B45" s="20" t="n">
        <x:v>5</x:v>
      </x:c>
      <x:c r="C45" s="19"/>
      <x:c r="D45" s="18" t="str">
        <x:v>558cb31e612258f9813b0174fafe4451897fe23df39dcac31599c5ffb09c2abc</x:v>
      </x:c>
    </x:row>
    <x:row r="46" ht="28" customHeight="1">
      <x:c r="A46" s="19" t="str">
        <x:v>https://www.navitime.co.jp/category/0815/41/</x:v>
      </x:c>
      <x:c r="B46" s="20" t="n">
        <x:v>1</x:v>
      </x:c>
      <x:c r="C46" s="19"/>
      <x:c r="D46" s="18" t="str">
        <x:v>6c015c9b694ef530f346fa14d50d2a8d3b2f6b8cd3ffd22ef4b8a1e1dc61008d</x:v>
      </x:c>
    </x:row>
    <x:row r="47" ht="28" customHeight="1">
      <x:c r="A47" s="19" t="str">
        <x:v>https://www.navitime.co.jp/category/0815/43/</x:v>
      </x:c>
      <x:c r="B47" s="20" t="n">
        <x:v>1</x:v>
      </x:c>
      <x:c r="C47" s="19"/>
      <x:c r="D47" s="18" t="str">
        <x:v>6f8094dd1e903e01ff0e6a37ff637b99fbdc81451292f6f3b244ccc86323426f</x:v>
      </x:c>
    </x:row>
    <x:row r="48" ht="28" customHeight="1">
      <x:c r="A48" s="19" t="str">
        <x:v>https://www.navitime.co.jp/category/0815/44/</x:v>
      </x:c>
      <x:c r="B48" s="20" t="n">
        <x:v>1</x:v>
      </x:c>
      <x:c r="C48" s="19"/>
      <x:c r="D48" s="18" t="str">
        <x:v>61ebf04b15d3a102fc186337505764b73ad2d2be17adcb9b6d4152825937d42f</x:v>
      </x:c>
    </x:row>
    <x:row r="49" ht="28" customHeight="1">
      <x:c r="A49" s="19" t="str">
        <x:v>https://www.navitime.co.jp/category/0815/45/</x:v>
      </x:c>
      <x:c r="B49" s="20" t="n">
        <x:v>2</x:v>
      </x:c>
      <x:c r="C49" s="19"/>
      <x:c r="D49" s="18" t="str">
        <x:v>cdedd9d8fd3cc7a217a5f85d36a99fd6df6eac4b58776022b6996c5e4ee03f9f</x:v>
      </x:c>
    </x:row>
    <x:row r="50" ht="28" customHeight="1">
      <x:c r="A50" s="19" t="str">
        <x:v>https://www.navitime.co.jp/category/0815/46/</x:v>
      </x:c>
      <x:c r="B50" s="20" t="n">
        <x:v>3</x:v>
      </x:c>
      <x:c r="C50" s="19"/>
      <x:c r="D50" s="18" t="str">
        <x:v>c1f0322e277eb62d8e471b1cf78ed2bddabb3f25df1de58b648da46d7a631b56</x:v>
      </x:c>
    </x:row>
    <x:row r="51" ht="28" customHeight="1">
      <x:c r="A51" s="19" t="str">
        <x:v>https://www.navitime.co.jp/category/0815/47/</x:v>
      </x:c>
      <x:c r="B51" s="20" t="n">
        <x:v>6</x:v>
      </x:c>
      <x:c r="C51" s="19"/>
      <x:c r="D51" s="18" t="str">
        <x:v>a9497fff9cd7f9b694b8ef0b8323f4f2c80e6ca2457feb639723d24fdc56cadd</x:v>
      </x:c>
    </x:row>
    <x:row r="52" ht="28" customHeight="1">
      <x:c r="A52" s="19" t="str">
        <x:v>https://www.navitime.co.jp/category/0815/?page=10</x:v>
      </x:c>
      <x:c r="B52" s="20" t="n">
        <x:v>15</x:v>
      </x:c>
      <x:c r="C52" s="19" t="str">
        <x:v>https://www.navitime.co.jp/category/0815/?page=11</x:v>
      </x:c>
      <x:c r="D52" s="18" t="str">
        <x:v>f754ae889929a37e1eb6b1ef208d7573cc2cde87687d96b5c1f222c2f3a58bcb</x:v>
      </x:c>
    </x:row>
    <x:row r="53" ht="28" customHeight="1">
      <x:c r="A53" s="19" t="str">
        <x:v>https://www.navitime.co.jp/category/0815/?page=11</x:v>
      </x:c>
      <x:c r="B53" s="20" t="n">
        <x:v>15</x:v>
      </x:c>
      <x:c r="C53" s="19" t="str">
        <x:v>https://www.navitime.co.jp/category/0815/?page=12</x:v>
      </x:c>
      <x:c r="D53" s="18" t="str">
        <x:v>1f1877966998223e88b61ff0b60faa2e54131c6e5f448e2a3a9275a489f313ec</x:v>
      </x:c>
    </x:row>
    <x:row r="54" ht="28" customHeight="1">
      <x:c r="A54" s="19" t="str">
        <x:v>https://www.navitime.co.jp/category/0815/?page=12</x:v>
      </x:c>
      <x:c r="B54" s="20" t="n">
        <x:v>15</x:v>
      </x:c>
      <x:c r="C54" s="19" t="str">
        <x:v>https://www.navitime.co.jp/category/0815/?page=13</x:v>
      </x:c>
      <x:c r="D54" s="18" t="str">
        <x:v>958f73abbe458544d3b6ed09cc3d0e88e675e7fa15396a89f1373dcdca2de88e</x:v>
      </x:c>
    </x:row>
    <x:row r="55" ht="28" customHeight="1">
      <x:c r="A55" s="19" t="str">
        <x:v>https://www.navitime.co.jp/category/0815/?page=13</x:v>
      </x:c>
      <x:c r="B55" s="20" t="n">
        <x:v>11</x:v>
      </x:c>
      <x:c r="C55" s="19"/>
      <x:c r="D55" s="18" t="str">
        <x:v>fe7f2b7ff10b75ee83a816f0274ce01715e9838c56c8b3b3a103c46232da390f</x:v>
      </x:c>
    </x:row>
    <x:row r="56" ht="28" customHeight="1">
      <x:c r="A56" s="19" t="str">
        <x:v>https://www.navitime.co.jp/category/0815/?page=2</x:v>
      </x:c>
      <x:c r="B56" s="20" t="n">
        <x:v>15</x:v>
      </x:c>
      <x:c r="C56" s="19" t="str">
        <x:v>https://www.navitime.co.jp/category/0815/?page=3</x:v>
      </x:c>
      <x:c r="D56" s="18" t="str">
        <x:v>fabd28ac0025138b8be69f3525a17ea855a07fa134fc71d1729d760c54e26fb7</x:v>
      </x:c>
    </x:row>
    <x:row r="57" ht="28" customHeight="1">
      <x:c r="A57" s="19" t="str">
        <x:v>https://www.navitime.co.jp/category/0815/?page=3</x:v>
      </x:c>
      <x:c r="B57" s="20" t="n">
        <x:v>15</x:v>
      </x:c>
      <x:c r="C57" s="19" t="str">
        <x:v>https://www.navitime.co.jp/category/0815/?page=4</x:v>
      </x:c>
      <x:c r="D57" s="18" t="str">
        <x:v>f8bf5792eae718f2c686c71654f9c1712dd870900faedb154593308df1b0644f</x:v>
      </x:c>
    </x:row>
    <x:row r="58" ht="28" customHeight="1">
      <x:c r="A58" s="19" t="str">
        <x:v>https://www.navitime.co.jp/category/0815/?page=4</x:v>
      </x:c>
      <x:c r="B58" s="20" t="n">
        <x:v>15</x:v>
      </x:c>
      <x:c r="C58" s="19" t="str">
        <x:v>https://www.navitime.co.jp/category/0815/?page=5</x:v>
      </x:c>
      <x:c r="D58" s="18" t="str">
        <x:v>0d2fee099c6c6dbb6f92a4fb0fd7b2064db4e43802a151bd0b8d090ce081f859</x:v>
      </x:c>
    </x:row>
    <x:row r="59" ht="28" customHeight="1">
      <x:c r="A59" s="19" t="str">
        <x:v>https://www.navitime.co.jp/category/0815/?page=5</x:v>
      </x:c>
      <x:c r="B59" s="20" t="n">
        <x:v>15</x:v>
      </x:c>
      <x:c r="C59" s="19" t="str">
        <x:v>https://www.navitime.co.jp/category/0815/?page=6</x:v>
      </x:c>
      <x:c r="D59" s="18" t="str">
        <x:v>02f5a56fad7531504ffdb1656559c9060389dd1fae855e0f1cfd00142f3e9df7</x:v>
      </x:c>
    </x:row>
    <x:row r="60" ht="28" customHeight="1">
      <x:c r="A60" s="19" t="str">
        <x:v>https://www.navitime.co.jp/category/0815/?page=6</x:v>
      </x:c>
      <x:c r="B60" s="20" t="n">
        <x:v>15</x:v>
      </x:c>
      <x:c r="C60" s="19" t="str">
        <x:v>https://www.navitime.co.jp/category/0815/?page=7</x:v>
      </x:c>
      <x:c r="D60" s="18" t="str">
        <x:v>5543a28fec71a78e1471baadea3af1e33bb9d12b282e3400bb0cdb1ee84c6d82</x:v>
      </x:c>
    </x:row>
    <x:row r="61" ht="28" customHeight="1">
      <x:c r="A61" s="19" t="str">
        <x:v>https://www.navitime.co.jp/category/0815/?page=7</x:v>
      </x:c>
      <x:c r="B61" s="20" t="n">
        <x:v>15</x:v>
      </x:c>
      <x:c r="C61" s="19" t="str">
        <x:v>https://www.navitime.co.jp/category/0815/?page=8</x:v>
      </x:c>
      <x:c r="D61" s="18" t="str">
        <x:v>079fc4375a4d75bf0abd4314d8c1665376a218483ce2826facc632ffe29c3910</x:v>
      </x:c>
    </x:row>
    <x:row r="62" ht="28" customHeight="1">
      <x:c r="A62" s="19" t="str">
        <x:v>https://www.navitime.co.jp/category/0815/?page=8</x:v>
      </x:c>
      <x:c r="B62" s="20" t="n">
        <x:v>15</x:v>
      </x:c>
      <x:c r="C62" s="19" t="str">
        <x:v>https://www.navitime.co.jp/category/0815/?page=9</x:v>
      </x:c>
      <x:c r="D62" s="18" t="str">
        <x:v>eb78a32fbfdfc76bbe0ecb30ce17534382c5ad7f6b523e9e52e8f5b41f455d23</x:v>
      </x:c>
    </x:row>
    <x:row r="63" ht="28" customHeight="1">
      <x:c r="A63" s="19" t="str">
        <x:v>https://www.navitime.co.jp/category/0815/?page=9</x:v>
      </x:c>
      <x:c r="B63" s="20" t="n">
        <x:v>15</x:v>
      </x:c>
      <x:c r="C63" s="19" t="str">
        <x:v>https://www.navitime.co.jp/category/0815/?page=10</x:v>
      </x:c>
      <x:c r="D63" s="18" t="str">
        <x:v>4e5bd178647e3ff4dadb59ea6b1805cc707ef4dc47bf2f2daed992a3e47e246e</x:v>
      </x:c>
    </x:row>
  </x:sheetData>
  <x:pageMargins left="0.7" right="0.7" top="0.75" bottom="0.75" header="0.3" footer="0.3"/>
  <x:tableParts count="1">
    <x:tablePart xmlns:r="http://schemas.openxmlformats.org/officeDocument/2006/relationships" r:id="R8c629a9720dd427e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5" hidden="0" customWidth="1"/>
    <x:col min="2" max="2" width="20" hidden="0" customWidth="1"/>
    <x:col min="3" max="3" width="17" hidden="0" customWidth="1"/>
    <x:col min="4" max="4" width="18" hidden="0" customWidth="1"/>
    <x:col min="5" max="5" width="16" hidden="0" customWidth="1"/>
    <x:col min="6" max="6" width="105" hidden="0" customWidth="1"/>
    <x:col min="7" max="7" width="70" hidden="0" customWidth="1"/>
    <x:col min="8" max="8" width="10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4" t="str">
        <x:v>官方证据 URL 获取记录</x:v>
      </x:c>
      <x:c r="B2" s="5"/>
      <x:c r="C2" s="5"/>
      <x:c r="D2" s="5"/>
      <x:c r="E2" s="5"/>
      <x:c r="F2" s="5"/>
      <x:c r="G2" s="5"/>
      <x:c r="H2" s="5"/>
    </x:row>
    <x:row r="3">
      <x:c r="A3" s="6" t="str">
        <x:v>72 个 URL：63 获取成功、9 获取失败。获取成功不等于字段验证或授权通过。</x:v>
      </x:c>
      <x:c r="B3" s="2"/>
      <x:c r="C3" s="2"/>
      <x:c r="D3" s="2"/>
      <x:c r="E3" s="2"/>
      <x:c r="F3" s="2"/>
      <x:c r="G3" s="2"/>
      <x:c r="H3" s="2"/>
    </x:row>
    <x:row r="4">
      <x:c r="A4" s="6" t="str">
        <x:v>来源：data/transport/nodes/task-084-b-v2-official-evidence/official-url-retrievals.jsonl</x:v>
      </x:c>
      <x:c r="B4" s="2"/>
      <x:c r="C4" s="2"/>
      <x:c r="D4" s="2"/>
      <x:c r="E4" s="2"/>
      <x:c r="F4" s="2"/>
      <x:c r="G4" s="2"/>
      <x:c r="H4" s="2"/>
    </x:row>
    <x:row r="5" ht="34" customHeight="1">
      <x:c r="A5" s="15" t="str">
        <x:v>官方 URL</x:v>
      </x:c>
      <x:c r="B5" s="16" t="str">
        <x:v>获取状态</x:v>
      </x:c>
      <x:c r="C5" s="16" t="str">
        <x:v>HTTP 状态</x:v>
      </x:c>
      <x:c r="D5" s="16" t="str">
        <x:v>字节数</x:v>
      </x:c>
      <x:c r="E5" s="16" t="str">
        <x:v>获取日期</x:v>
      </x:c>
      <x:c r="F5" s="16" t="str">
        <x:v>最终 URL</x:v>
      </x:c>
      <x:c r="G5" s="16" t="str">
        <x:v>源文件 SHA256</x:v>
      </x:c>
      <x:c r="H5" s="17" t="str">
        <x:v>失败原因</x:v>
      </x:c>
    </x:row>
    <x:row r="6" ht="28" customHeight="1">
      <x:c r="A6" s="19" t="str">
        <x:v>https://amami-airport.co.jp/access</x:v>
      </x:c>
      <x:c r="B6" s="19" t="str">
        <x:v>已获取</x:v>
      </x:c>
      <x:c r="C6" s="20" t="n">
        <x:v>200</x:v>
      </x:c>
      <x:c r="D6" s="20" t="n">
        <x:v>77257</x:v>
      </x:c>
      <x:c r="E6" s="23" t="n">
        <x:v>46295</x:v>
      </x:c>
      <x:c r="F6" s="19" t="str">
        <x:v>https://amami-airport.co.jp/access</x:v>
      </x:c>
      <x:c r="G6" s="18" t="str">
        <x:v>3913b063fabc90b03830fef9a8569591803c6fe0bff51bff077870d6de7897c7</x:v>
      </x:c>
      <x:c r="H6" s="19"/>
    </x:row>
    <x:row r="7" ht="28" customHeight="1">
      <x:c r="A7" s="19" t="str">
        <x:v>https://bt-tokyoyaesu.com/</x:v>
      </x:c>
      <x:c r="B7" s="19" t="str">
        <x:v>已获取</x:v>
      </x:c>
      <x:c r="C7" s="20" t="n">
        <x:v>200</x:v>
      </x:c>
      <x:c r="D7" s="20" t="n">
        <x:v>227209</x:v>
      </x:c>
      <x:c r="E7" s="23" t="n">
        <x:v>46295</x:v>
      </x:c>
      <x:c r="F7" s="19" t="str">
        <x:v>https://bt-tokyoyaesu.com/</x:v>
      </x:c>
      <x:c r="G7" s="18" t="str">
        <x:v>251eb8dfaca102fbbdd5e42af1f684b4927ca603e1ab78c6c8f1e40c57ce8ec6</x:v>
      </x:c>
      <x:c r="H7" s="19"/>
    </x:row>
    <x:row r="8" ht="28" customHeight="1">
      <x:c r="A8" s="19" t="str">
        <x:v>https://company.jr-central.co.jp/ir/factsheets/_pdf/factsheets2026-02-03.pdf</x:v>
      </x:c>
      <x:c r="B8" s="19" t="str">
        <x:v>已获取</x:v>
      </x:c>
      <x:c r="C8" s="20" t="n">
        <x:v>200</x:v>
      </x:c>
      <x:c r="D8" s="20" t="n">
        <x:v>49932</x:v>
      </x:c>
      <x:c r="E8" s="23" t="n">
        <x:v>46295</x:v>
      </x:c>
      <x:c r="F8" s="19" t="str">
        <x:v>https://company.jr-central.co.jp/ir/factsheets/_pdf/factsheets2026-02-03.pdf</x:v>
      </x:c>
      <x:c r="G8" s="18" t="str">
        <x:v>3578cb75af1164da4959955a47f7ba566018c619c8d696349d1417e54ee93883</x:v>
      </x:c>
      <x:c r="H8" s="19"/>
    </x:row>
    <x:row r="9" ht="28" customHeight="1">
      <x:c r="A9" s="19" t="str">
        <x:v>https://hachijoapo.net/access</x:v>
      </x:c>
      <x:c r="B9" s="19" t="str">
        <x:v>已获取</x:v>
      </x:c>
      <x:c r="C9" s="20" t="n">
        <x:v>200</x:v>
      </x:c>
      <x:c r="D9" s="20" t="n">
        <x:v>38951</x:v>
      </x:c>
      <x:c r="E9" s="23" t="n">
        <x:v>46295</x:v>
      </x:c>
      <x:c r="F9" s="19" t="str">
        <x:v>https://hachijoapo.net/access</x:v>
      </x:c>
      <x:c r="G9" s="18" t="str">
        <x:v>04484e07e61c756acd81c5e762d79788de34c591e6b86606cea109d99106e8c4</x:v>
      </x:c>
      <x:c r="H9" s="19"/>
    </x:row>
    <x:row r="10" ht="33" customHeight="1">
      <x:c r="A10" s="19" t="str">
        <x:v>https://info.keihanbus.jp/highway/stop/kyoto-hachijo/</x:v>
      </x:c>
      <x:c r="B10" s="19" t="str">
        <x:v>获取失败</x:v>
      </x:c>
      <x:c r="C10" s="20"/>
      <x:c r="D10" s="20"/>
      <x:c r="E10" s="23" t="n">
        <x:v>46295</x:v>
      </x:c>
      <x:c r="F10" s="19"/>
      <x:c r="G10" s="18"/>
      <x:c r="H10" s="19" t="str">
        <x:v>&lt;urlopen error [SSL: CERTIFICATE_VERIFY_FAILED] certificate verify failed: Hostname mismatch, certificate is not valid for 'info.keihanbus.jp'. (_ssl.c:1010)&gt;</x:v>
      </x:c>
    </x:row>
    <x:row r="11" ht="28" customHeight="1">
      <x:c r="A11" s="19" t="str">
        <x:v>https://meitetsu-bus.co.jp/rosen/meibc</x:v>
      </x:c>
      <x:c r="B11" s="19" t="str">
        <x:v>已获取</x:v>
      </x:c>
      <x:c r="C11" s="20" t="n">
        <x:v>200</x:v>
      </x:c>
      <x:c r="D11" s="20" t="n">
        <x:v>24962</x:v>
      </x:c>
      <x:c r="E11" s="23" t="n">
        <x:v>46295</x:v>
      </x:c>
      <x:c r="F11" s="19" t="str">
        <x:v>https://meitetsu-bus.co.jp/rosen/meibc</x:v>
      </x:c>
      <x:c r="G11" s="18" t="str">
        <x:v>205e6def05a7abcb753987144ce0b89fb7858b2e47b5b81957dc059950130fa3</x:v>
      </x:c>
      <x:c r="H11" s="19"/>
    </x:row>
    <x:row r="12" ht="28" customHeight="1">
      <x:c r="A12" s="19" t="str">
        <x:v>https://miyakoap.co.jp/bus-taxi/</x:v>
      </x:c>
      <x:c r="B12" s="19" t="str">
        <x:v>已获取</x:v>
      </x:c>
      <x:c r="C12" s="20" t="n">
        <x:v>200</x:v>
      </x:c>
      <x:c r="D12" s="20" t="n">
        <x:v>235865</x:v>
      </x:c>
      <x:c r="E12" s="23" t="n">
        <x:v>46295</x:v>
      </x:c>
      <x:c r="F12" s="19" t="str">
        <x:v>https://miyakoap.co.jp/bus-taxi/</x:v>
      </x:c>
      <x:c r="G12" s="18" t="str">
        <x:v>baf8c2b47766e6035e4a4e743341fab0973702af4c3f6bb8aaaf8dadb3b6a6ed</x:v>
      </x:c>
      <x:c r="H12" s="19"/>
    </x:row>
    <x:row r="13" ht="28" customHeight="1">
      <x:c r="A13" s="19" t="str">
        <x:v>https://town.nakatane.kagoshima.jp/kikaku/kurashi/kotsu/kuko-noriai-taxi_nakatane.html</x:v>
      </x:c>
      <x:c r="B13" s="19" t="str">
        <x:v>已获取</x:v>
      </x:c>
      <x:c r="C13" s="20" t="n">
        <x:v>200</x:v>
      </x:c>
      <x:c r="D13" s="20" t="n">
        <x:v>19827</x:v>
      </x:c>
      <x:c r="E13" s="23" t="n">
        <x:v>46295</x:v>
      </x:c>
      <x:c r="F13" s="19" t="str">
        <x:v>https://town.nakatane.kagoshima.jp/kikaku/kurashi/kotsu/kuko-noriai-taxi_nakatane.html</x:v>
      </x:c>
      <x:c r="G13" s="18" t="str">
        <x:v>d147feb8149a9484561f62fa19d35f822376ddd1f6c3a38130ca41674959298e</x:v>
      </x:c>
      <x:c r="H13" s="19"/>
    </x:row>
    <x:row r="14" ht="28" customHeight="1">
      <x:c r="A14" s="19" t="str">
        <x:v>https://tsushima-airport.co.jp/transportration</x:v>
      </x:c>
      <x:c r="B14" s="19" t="str">
        <x:v>已获取</x:v>
      </x:c>
      <x:c r="C14" s="20" t="n">
        <x:v>200</x:v>
      </x:c>
      <x:c r="D14" s="20" t="n">
        <x:v>34118</x:v>
      </x:c>
      <x:c r="E14" s="23" t="n">
        <x:v>46295</x:v>
      </x:c>
      <x:c r="F14" s="19" t="str">
        <x:v>https://tsushima-airport.co.jp/transportration</x:v>
      </x:c>
      <x:c r="G14" s="18" t="str">
        <x:v>c8b04ce635a2602414fd810a1eb9a62cfbfebecd49f3733ab00e8b370e56e1bb</x:v>
      </x:c>
      <x:c r="H14" s="19"/>
    </x:row>
    <x:row r="15" ht="28" customHeight="1">
      <x:c r="A15" s="19" t="str">
        <x:v>https://welcome-yonaguni.jp/access/</x:v>
      </x:c>
      <x:c r="B15" s="19" t="str">
        <x:v>已获取</x:v>
      </x:c>
      <x:c r="C15" s="20" t="n">
        <x:v>200</x:v>
      </x:c>
      <x:c r="D15" s="20" t="n">
        <x:v>30280</x:v>
      </x:c>
      <x:c r="E15" s="23" t="n">
        <x:v>46295</x:v>
      </x:c>
      <x:c r="F15" s="19" t="str">
        <x:v>https://welcome-yonaguni.jp/access/</x:v>
      </x:c>
      <x:c r="G15" s="18" t="str">
        <x:v>ee70deaa010e3c9fdc5421c8ea6fc0ff208d178f56098cee23495a96e084f267</x:v>
      </x:c>
      <x:c r="H15" s="19"/>
    </x:row>
    <x:row r="16" ht="28" customHeight="1">
      <x:c r="A16" s="19" t="str">
        <x:v>https://www.akita-airport.com/pages/access</x:v>
      </x:c>
      <x:c r="B16" s="19" t="str">
        <x:v>已获取</x:v>
      </x:c>
      <x:c r="C16" s="20" t="n">
        <x:v>200</x:v>
      </x:c>
      <x:c r="D16" s="20" t="n">
        <x:v>37036</x:v>
      </x:c>
      <x:c r="E16" s="23" t="n">
        <x:v>46295</x:v>
      </x:c>
      <x:c r="F16" s="19" t="str">
        <x:v>https://www.akita-airport.com/pages/access</x:v>
      </x:c>
      <x:c r="G16" s="18" t="str">
        <x:v>8127de254f43616a911f4883c5874a91a20c22223e4c756a2dc39394598e0d2c</x:v>
      </x:c>
      <x:c r="H16" s="19"/>
    </x:row>
    <x:row r="17" ht="28" customHeight="1">
      <x:c r="A17" s="19" t="str">
        <x:v>https://www.aomori-airport.co.jp/access/timetable_bus</x:v>
      </x:c>
      <x:c r="B17" s="19" t="str">
        <x:v>已获取</x:v>
      </x:c>
      <x:c r="C17" s="20" t="n">
        <x:v>200</x:v>
      </x:c>
      <x:c r="D17" s="20" t="n">
        <x:v>40436</x:v>
      </x:c>
      <x:c r="E17" s="23" t="n">
        <x:v>46295</x:v>
      </x:c>
      <x:c r="F17" s="19" t="str">
        <x:v>https://www.aomori-airport.co.jp/access/timetable_bus</x:v>
      </x:c>
      <x:c r="G17" s="18" t="str">
        <x:v>3ab12200767483a403601ec6fba105fcef328be3fa1a75a4ec11ee9d4c1980f1</x:v>
      </x:c>
      <x:c r="H17" s="19"/>
    </x:row>
    <x:row r="18" ht="28" customHeight="1">
      <x:c r="A18" s="19" t="str">
        <x:v>https://www.centrair.jp/access/train.html</x:v>
      </x:c>
      <x:c r="B18" s="19" t="str">
        <x:v>获取失败</x:v>
      </x:c>
      <x:c r="C18" s="20"/>
      <x:c r="D18" s="20"/>
      <x:c r="E18" s="23" t="n">
        <x:v>46295</x:v>
      </x:c>
      <x:c r="F18" s="19"/>
      <x:c r="G18" s="18"/>
      <x:c r="H18" s="19" t="str">
        <x:v>HTTP Error 403: Forbidden</x:v>
      </x:c>
    </x:row>
    <x:row r="19" ht="28" customHeight="1">
      <x:c r="A19" s="19" t="str">
        <x:v>https://www.city.sapporo.jp/sogokotsu/kasetsubus.html</x:v>
      </x:c>
      <x:c r="B19" s="19" t="str">
        <x:v>已获取</x:v>
      </x:c>
      <x:c r="C19" s="20" t="n">
        <x:v>200</x:v>
      </x:c>
      <x:c r="D19" s="20" t="n">
        <x:v>37925</x:v>
      </x:c>
      <x:c r="E19" s="23" t="n">
        <x:v>46295</x:v>
      </x:c>
      <x:c r="F19" s="19" t="str">
        <x:v>https://www.city.sapporo.jp/sogokotsu/kasetsubus.html</x:v>
      </x:c>
      <x:c r="G19" s="18" t="str">
        <x:v>4f37f04e74d89f85183b9568d611ad694fde0911f32dc926ab039726f7c61a11</x:v>
      </x:c>
      <x:c r="H19" s="19"/>
    </x:row>
    <x:row r="20" ht="28" customHeight="1">
      <x:c r="A20" s="19" t="str">
        <x:v>https://www.city.sapporo.jp/sogokotsu/kasetsubus/kasetsu_faq.html</x:v>
      </x:c>
      <x:c r="B20" s="19" t="str">
        <x:v>已获取</x:v>
      </x:c>
      <x:c r="C20" s="20" t="n">
        <x:v>200</x:v>
      </x:c>
      <x:c r="D20" s="20" t="n">
        <x:v>29518</x:v>
      </x:c>
      <x:c r="E20" s="23" t="n">
        <x:v>46295</x:v>
      </x:c>
      <x:c r="F20" s="19" t="str">
        <x:v>https://www.city.sapporo.jp/sogokotsu/kasetsubus/kasetsu_faq.html</x:v>
      </x:c>
      <x:c r="G20" s="18" t="str">
        <x:v>b82bab5bc3ab300bcf956331ecb0ae7249c78123627df4daf0a6974c9c872bb3</x:v>
      </x:c>
      <x:c r="H20" s="19"/>
    </x:row>
    <x:row r="21" ht="28" customHeight="1">
      <x:c r="A21" s="19" t="str">
        <x:v>https://www.fukuoka-airport.jp/access/subway.html</x:v>
      </x:c>
      <x:c r="B21" s="19" t="str">
        <x:v>已获取</x:v>
      </x:c>
      <x:c r="C21" s="20" t="n">
        <x:v>200</x:v>
      </x:c>
      <x:c r="D21" s="20" t="n">
        <x:v>53039</x:v>
      </x:c>
      <x:c r="E21" s="23" t="n">
        <x:v>46295</x:v>
      </x:c>
      <x:c r="F21" s="19" t="str">
        <x:v>https://www.fukuoka-airport.jp/access/subway.html</x:v>
      </x:c>
      <x:c r="G21" s="18" t="str">
        <x:v>338c901656a40f501d8d7e058a27a6993c3ec0bf22910da193fe1e2bec133c7a</x:v>
      </x:c>
      <x:c r="H21" s="19"/>
    </x:row>
    <x:row r="22" ht="28" customHeight="1">
      <x:c r="A22" s="19" t="str">
        <x:v>https://www.h-bt.jp/access/</x:v>
      </x:c>
      <x:c r="B22" s="19" t="str">
        <x:v>已获取</x:v>
      </x:c>
      <x:c r="C22" s="20" t="n">
        <x:v>200</x:v>
      </x:c>
      <x:c r="D22" s="20" t="n">
        <x:v>18313</x:v>
      </x:c>
      <x:c r="E22" s="23" t="n">
        <x:v>46295</x:v>
      </x:c>
      <x:c r="F22" s="19" t="str">
        <x:v>https://www.h-bt.jp/access/</x:v>
      </x:c>
      <x:c r="G22" s="18" t="str">
        <x:v>d3cf2157fe24103d715a9d48de9c0fccfe51d67aec560e43b4d3b88ad3d3c593</x:v>
      </x:c>
      <x:c r="H22" s="19"/>
    </x:row>
    <x:row r="23" ht="28" customHeight="1">
      <x:c r="A23" s="19" t="str">
        <x:v>https://www.h-buscenter.com/</x:v>
      </x:c>
      <x:c r="B23" s="19" t="str">
        <x:v>已获取</x:v>
      </x:c>
      <x:c r="C23" s="20" t="n">
        <x:v>200</x:v>
      </x:c>
      <x:c r="D23" s="20" t="n">
        <x:v>10212</x:v>
      </x:c>
      <x:c r="E23" s="23" t="n">
        <x:v>46295</x:v>
      </x:c>
      <x:c r="F23" s="19" t="str">
        <x:v>https://www.h-buscenter.com/</x:v>
      </x:c>
      <x:c r="G23" s="18" t="str">
        <x:v>063938b1e9f0c14f3eee77011aa10239bda5ec51eb3b9f05cad62be0c4a7a0a6</x:v>
      </x:c>
      <x:c r="H23" s="19"/>
    </x:row>
    <x:row r="24" ht="28" customHeight="1">
      <x:c r="A24" s="19" t="str">
        <x:v>https://www.hankyu-kankobus.co.jp/highway/map/post/</x:v>
      </x:c>
      <x:c r="B24" s="19" t="str">
        <x:v>已获取</x:v>
      </x:c>
      <x:c r="C24" s="20" t="n">
        <x:v>200</x:v>
      </x:c>
      <x:c r="D24" s="20" t="n">
        <x:v>27361</x:v>
      </x:c>
      <x:c r="E24" s="23" t="n">
        <x:v>46295</x:v>
      </x:c>
      <x:c r="F24" s="19" t="str">
        <x:v>https://www.hankyu-kankobus.co.jp/highway/map/post/</x:v>
      </x:c>
      <x:c r="G24" s="18" t="str">
        <x:v>f2164fa731882d17e762425d8f39f107b18354934cd7de58f90b00cbdcd7ec4f</x:v>
      </x:c>
      <x:c r="H24" s="19"/>
    </x:row>
    <x:row r="25" ht="28" customHeight="1">
      <x:c r="A25" s="19" t="str">
        <x:v>https://www.hij.airport.jp/access/index.html</x:v>
      </x:c>
      <x:c r="B25" s="19" t="str">
        <x:v>已获取</x:v>
      </x:c>
      <x:c r="C25" s="20" t="n">
        <x:v>200</x:v>
      </x:c>
      <x:c r="D25" s="20" t="n">
        <x:v>71853</x:v>
      </x:c>
      <x:c r="E25" s="23" t="n">
        <x:v>46295</x:v>
      </x:c>
      <x:c r="F25" s="19" t="str">
        <x:v>https://www.hij.airport.jp/access/index.html</x:v>
      </x:c>
      <x:c r="G25" s="18" t="str">
        <x:v>7c33817b63607b5dbe40cfa20607949d0b4f499ee5b2a466b0020140a500ebde</x:v>
      </x:c>
      <x:c r="H25" s="19"/>
    </x:row>
    <x:row r="26" ht="28" customHeight="1">
      <x:c r="A26" s="19" t="str">
        <x:v>https://www.hokkaido-airports.com/ja/asahikawa/access/bus/</x:v>
      </x:c>
      <x:c r="B26" s="19" t="str">
        <x:v>已获取</x:v>
      </x:c>
      <x:c r="C26" s="20" t="n">
        <x:v>200</x:v>
      </x:c>
      <x:c r="D26" s="20" t="n">
        <x:v>49810</x:v>
      </x:c>
      <x:c r="E26" s="23" t="n">
        <x:v>46295</x:v>
      </x:c>
      <x:c r="F26" s="19" t="str">
        <x:v>https://www.hokkaido-airports.com/ja/asahikawa/access/bus/</x:v>
      </x:c>
      <x:c r="G26" s="18" t="str">
        <x:v>2e345b351db438a9fdfdffefe29a4f33c70afc70153750a617f33ffdae7761cb</x:v>
      </x:c>
      <x:c r="H26" s="19"/>
    </x:row>
    <x:row r="27" ht="28" customHeight="1">
      <x:c r="A27" s="19" t="str">
        <x:v>https://www.hokkaido-airports.com/ja/hakodate/access/bus/</x:v>
      </x:c>
      <x:c r="B27" s="19" t="str">
        <x:v>已获取</x:v>
      </x:c>
      <x:c r="C27" s="20" t="n">
        <x:v>200</x:v>
      </x:c>
      <x:c r="D27" s="20" t="n">
        <x:v>64060</x:v>
      </x:c>
      <x:c r="E27" s="23" t="n">
        <x:v>46295</x:v>
      </x:c>
      <x:c r="F27" s="19" t="str">
        <x:v>https://www.hokkaido-airports.com/ja/hakodate/access/bus/</x:v>
      </x:c>
      <x:c r="G27" s="18" t="str">
        <x:v>c94485bb4d498b11867f1b6aa71cb90afef28acc62d085d1b6fe341e6f29296d</x:v>
      </x:c>
      <x:c r="H27" s="19"/>
    </x:row>
    <x:row r="28" ht="28" customHeight="1">
      <x:c r="A28" s="19" t="str">
        <x:v>https://www.hokkaido-airports.com/ja/kushiro/access/</x:v>
      </x:c>
      <x:c r="B28" s="19" t="str">
        <x:v>已获取</x:v>
      </x:c>
      <x:c r="C28" s="20" t="n">
        <x:v>200</x:v>
      </x:c>
      <x:c r="D28" s="20" t="n">
        <x:v>52998</x:v>
      </x:c>
      <x:c r="E28" s="23" t="n">
        <x:v>46295</x:v>
      </x:c>
      <x:c r="F28" s="19" t="str">
        <x:v>https://www.hokkaido-airports.com/ja/kushiro/access/</x:v>
      </x:c>
      <x:c r="G28" s="18" t="str">
        <x:v>5ab9147acd1e261145fdfd83b58878d0ee6cc6bac3d9d2a3d6a347c9e1e4aa01</x:v>
      </x:c>
      <x:c r="H28" s="19"/>
    </x:row>
    <x:row r="29" ht="28" customHeight="1">
      <x:c r="A29" s="19" t="str">
        <x:v>https://www.hokkaido-airports.com/ja/memanbetsu/access/</x:v>
      </x:c>
      <x:c r="B29" s="19" t="str">
        <x:v>已获取</x:v>
      </x:c>
      <x:c r="C29" s="20" t="n">
        <x:v>200</x:v>
      </x:c>
      <x:c r="D29" s="20" t="n">
        <x:v>45580</x:v>
      </x:c>
      <x:c r="E29" s="23" t="n">
        <x:v>46295</x:v>
      </x:c>
      <x:c r="F29" s="19" t="str">
        <x:v>https://www.hokkaido-airports.com/ja/memanbetsu/access/</x:v>
      </x:c>
      <x:c r="G29" s="18" t="str">
        <x:v>f21451884c9d1ca87407fd6f3048d117fdff92e783a07312f7dd73f154671379</x:v>
      </x:c>
      <x:c r="H29" s="19"/>
    </x:row>
    <x:row r="30" ht="28" customHeight="1">
      <x:c r="A30" s="19" t="str">
        <x:v>https://www.hokkaido-airports.com/ja/new-chitose/access/jr/</x:v>
      </x:c>
      <x:c r="B30" s="19" t="str">
        <x:v>已获取</x:v>
      </x:c>
      <x:c r="C30" s="20" t="n">
        <x:v>200</x:v>
      </x:c>
      <x:c r="D30" s="20" t="n">
        <x:v>74412</x:v>
      </x:c>
      <x:c r="E30" s="23" t="n">
        <x:v>46295</x:v>
      </x:c>
      <x:c r="F30" s="19" t="str">
        <x:v>https://www.hokkaido-airports.com/ja/new-chitose/access/jr/</x:v>
      </x:c>
      <x:c r="G30" s="18" t="str">
        <x:v>463ce7c24e867fbadf26d95a0b9526ac6153dc0a22bce00352afb9cdcff6c557</x:v>
      </x:c>
      <x:c r="H30" s="19"/>
    </x:row>
    <x:row r="31" ht="28" customHeight="1">
      <x:c r="A31" s="19" t="str">
        <x:v>https://www.hokkaido-airports.com/ja/obihiro/access/bus/</x:v>
      </x:c>
      <x:c r="B31" s="19" t="str">
        <x:v>已获取</x:v>
      </x:c>
      <x:c r="C31" s="20" t="n">
        <x:v>200</x:v>
      </x:c>
      <x:c r="D31" s="20" t="n">
        <x:v>46879</x:v>
      </x:c>
      <x:c r="E31" s="23" t="n">
        <x:v>46295</x:v>
      </x:c>
      <x:c r="F31" s="19" t="str">
        <x:v>https://www.hokkaido-airports.com/ja/obihiro/access/bus/</x:v>
      </x:c>
      <x:c r="G31" s="18" t="str">
        <x:v>cbda51fa1d21dd85ed11664e2668637a11c83a9c7f445e7e8c7d24cf426198c2</x:v>
      </x:c>
      <x:c r="H31" s="19"/>
    </x:row>
    <x:row r="32" ht="28" customHeight="1">
      <x:c r="A32" s="19" t="str">
        <x:v>https://www.hokkaido-airports.com/ja/wakkanai/access/</x:v>
      </x:c>
      <x:c r="B32" s="19" t="str">
        <x:v>已获取</x:v>
      </x:c>
      <x:c r="C32" s="20" t="n">
        <x:v>200</x:v>
      </x:c>
      <x:c r="D32" s="20" t="n">
        <x:v>50820</x:v>
      </x:c>
      <x:c r="E32" s="23" t="n">
        <x:v>46295</x:v>
      </x:c>
      <x:c r="F32" s="19" t="str">
        <x:v>https://www.hokkaido-airports.com/ja/wakkanai/access/</x:v>
      </x:c>
      <x:c r="G32" s="18" t="str">
        <x:v>8d4c49c13320ea9e03d9bb2809ec0d8adea0003142f89cf2abed3cf70de01f3e</x:v>
      </x:c>
      <x:c r="H32" s="19"/>
    </x:row>
    <x:row r="33" ht="28" customHeight="1">
      <x:c r="A33" s="19" t="str">
        <x:v>https://www.hokutetsu.co.jp/railway/asanogawasen/hokutetsukanazawa/</x:v>
      </x:c>
      <x:c r="B33" s="19" t="str">
        <x:v>已获取</x:v>
      </x:c>
      <x:c r="C33" s="20" t="n">
        <x:v>200</x:v>
      </x:c>
      <x:c r="D33" s="20" t="n">
        <x:v>46122</x:v>
      </x:c>
      <x:c r="E33" s="23" t="n">
        <x:v>46295</x:v>
      </x:c>
      <x:c r="F33" s="19" t="str">
        <x:v>https://www.hokutetsu.co.jp/railway/asanogawasen/hokutetsukanazawa/</x:v>
      </x:c>
      <x:c r="G33" s="18" t="str">
        <x:v>d6ad8ab1afef583617ceb0be13c384263a974942b43b6e698df7777401140e7d</x:v>
      </x:c>
      <x:c r="H33" s="19"/>
    </x:row>
    <x:row r="34" ht="28" customHeight="1">
      <x:c r="A34" s="19" t="str">
        <x:v>https://www.ishigaki-airport.co.jp/access/bus-taxi/index.html</x:v>
      </x:c>
      <x:c r="B34" s="19" t="str">
        <x:v>已获取</x:v>
      </x:c>
      <x:c r="C34" s="20" t="n">
        <x:v>200</x:v>
      </x:c>
      <x:c r="D34" s="20" t="n">
        <x:v>54059</x:v>
      </x:c>
      <x:c r="E34" s="23" t="n">
        <x:v>46295</x:v>
      </x:c>
      <x:c r="F34" s="19" t="str">
        <x:v>https://www.ishigaki-airport.co.jp/access/bus-taxi/index.html</x:v>
      </x:c>
      <x:c r="G34" s="18" t="str">
        <x:v>a756fd07eb668a760f5bb825e61b37e2de07de6f96723ef1005e2814e4140335</x:v>
      </x:c>
      <x:c r="H34" s="19"/>
    </x:row>
    <x:row r="35" ht="28" customHeight="1">
      <x:c r="A35" s="19" t="str">
        <x:v>https://www.jrbuskanto.co.jp/jwp/bus_stop/tokyo</x:v>
      </x:c>
      <x:c r="B35" s="19" t="str">
        <x:v>已获取</x:v>
      </x:c>
      <x:c r="C35" s="20" t="n">
        <x:v>200</x:v>
      </x:c>
      <x:c r="D35" s="20" t="n">
        <x:v>54361</x:v>
      </x:c>
      <x:c r="E35" s="23" t="n">
        <x:v>46295</x:v>
      </x:c>
      <x:c r="F35" s="19" t="str">
        <x:v>https://www.jrbuskanto.co.jp/jwp/bus_stop/tokyo</x:v>
      </x:c>
      <x:c r="G35" s="18" t="str">
        <x:v>9a3209d23e67e11ff60be96d8dfcc10ab35a24fa462142483d1e533d853515a0</x:v>
      </x:c>
      <x:c r="H35" s="19"/>
    </x:row>
    <x:row r="36" ht="28" customHeight="1">
      <x:c r="A36" s="19" t="str">
        <x:v>https://www.kairport.co.jp/access/portliner</x:v>
      </x:c>
      <x:c r="B36" s="19" t="str">
        <x:v>获取失败</x:v>
      </x:c>
      <x:c r="C36" s="20"/>
      <x:c r="D36" s="20"/>
      <x:c r="E36" s="23" t="n">
        <x:v>46295</x:v>
      </x:c>
      <x:c r="F36" s="19"/>
      <x:c r="G36" s="18"/>
      <x:c r="H36" s="19" t="str">
        <x:v>HTTP Error 403: Forbidden</x:v>
      </x:c>
    </x:row>
    <x:row r="37" ht="28" customHeight="1">
      <x:c r="A37" s="19" t="str">
        <x:v>https://www.kansai-airport.or.jp/access/from-airport/train</x:v>
      </x:c>
      <x:c r="B37" s="19" t="str">
        <x:v>获取失败</x:v>
      </x:c>
      <x:c r="C37" s="20"/>
      <x:c r="D37" s="20"/>
      <x:c r="E37" s="23" t="n">
        <x:v>46295</x:v>
      </x:c>
      <x:c r="F37" s="19"/>
      <x:c r="G37" s="18"/>
      <x:c r="H37" s="19" t="str">
        <x:v>HTTP Error 403: Forbidden</x:v>
      </x:c>
    </x:row>
    <x:row r="38" ht="28" customHeight="1">
      <x:c r="A38" s="19" t="str">
        <x:v>https://www.keneibus.jp/cellular/limousine/nagasaki/</x:v>
      </x:c>
      <x:c r="B38" s="19" t="str">
        <x:v>已获取</x:v>
      </x:c>
      <x:c r="C38" s="20" t="n">
        <x:v>200</x:v>
      </x:c>
      <x:c r="D38" s="20" t="n">
        <x:v>57861</x:v>
      </x:c>
      <x:c r="E38" s="23" t="n">
        <x:v>46295</x:v>
      </x:c>
      <x:c r="F38" s="19" t="str">
        <x:v>https://www.keneibus.jp/cellular/limousine/nagasaki/</x:v>
      </x:c>
      <x:c r="G38" s="18" t="str">
        <x:v>f157ea60418142a72a5dae94b1d1ef2fd8cc8d58d30ce2961346e10f59c6249d</x:v>
      </x:c>
      <x:c r="H38" s="19"/>
    </x:row>
    <x:row r="39" ht="28" customHeight="1">
      <x:c r="A39" s="19" t="str">
        <x:v>https://www.kitakyu-air.jp/rev-access/rev-access.php</x:v>
      </x:c>
      <x:c r="B39" s="19" t="str">
        <x:v>已获取</x:v>
      </x:c>
      <x:c r="C39" s="20" t="n">
        <x:v>200</x:v>
      </x:c>
      <x:c r="D39" s="20" t="n">
        <x:v>33445</x:v>
      </x:c>
      <x:c r="E39" s="23" t="n">
        <x:v>46295</x:v>
      </x:c>
      <x:c r="F39" s="19" t="str">
        <x:v>https://www.kitakyu-air.jp/rev-access/rev-access.php</x:v>
      </x:c>
      <x:c r="G39" s="18" t="str">
        <x:v>99ac4ea5c510062a0659a3d7bf4fa9a570659074b6eacfc29b683a5dffbc9452</x:v>
      </x:c>
      <x:c r="H39" s="19"/>
    </x:row>
    <x:row r="40" ht="28" customHeight="1">
      <x:c r="A40" s="19" t="str">
        <x:v>https://www.koj-ab.co.jp/ground-transportation/public-transportation-bus.html</x:v>
      </x:c>
      <x:c r="B40" s="19" t="str">
        <x:v>已获取</x:v>
      </x:c>
      <x:c r="C40" s="20" t="n">
        <x:v>200</x:v>
      </x:c>
      <x:c r="D40" s="20" t="n">
        <x:v>30757</x:v>
      </x:c>
      <x:c r="E40" s="23" t="n">
        <x:v>46295</x:v>
      </x:c>
      <x:c r="F40" s="19" t="str">
        <x:v>https://www.koj-ab.co.jp/ground-transportation/public-transportation-bus.html</x:v>
      </x:c>
      <x:c r="G40" s="18" t="str">
        <x:v>973f59933bcaf1107d6b7f6654d205fa4f6461231bed2d8bc7d52ed3000fe93b</x:v>
      </x:c>
      <x:c r="H40" s="19"/>
    </x:row>
    <x:row r="41" ht="28" customHeight="1">
      <x:c r="A41" s="19" t="str">
        <x:v>https://www.kotsu.metro.tokyo.jp/subway/stations/shinjuku.html</x:v>
      </x:c>
      <x:c r="B41" s="19" t="str">
        <x:v>已获取</x:v>
      </x:c>
      <x:c r="C41" s="20" t="n">
        <x:v>200</x:v>
      </x:c>
      <x:c r="D41" s="20" t="n">
        <x:v>212</x:v>
      </x:c>
      <x:c r="E41" s="23" t="n">
        <x:v>46295</x:v>
      </x:c>
      <x:c r="F41" s="19" t="str">
        <x:v>https://www.kotsu.metro.tokyo.jp/subway/stations/shinjuku.html</x:v>
      </x:c>
      <x:c r="G41" s="18" t="str">
        <x:v>d02032286070b4dd9d8fbd985a7bdca8af8edf52b89ff177db3bfcb2c8a9c43d</x:v>
      </x:c>
      <x:c r="H41" s="19"/>
    </x:row>
    <x:row r="42" ht="28" customHeight="1">
      <x:c r="A42" s="19" t="str">
        <x:v>https://www.kumamoto-airport.co.jp/ACCESS/</x:v>
      </x:c>
      <x:c r="B42" s="19" t="str">
        <x:v>已获取</x:v>
      </x:c>
      <x:c r="C42" s="20" t="n">
        <x:v>200</x:v>
      </x:c>
      <x:c r="D42" s="20" t="n">
        <x:v>220227</x:v>
      </x:c>
      <x:c r="E42" s="23" t="n">
        <x:v>46295</x:v>
      </x:c>
      <x:c r="F42" s="19" t="str">
        <x:v>https://www.kumamoto-airport.co.jp/ACCESS/</x:v>
      </x:c>
      <x:c r="G42" s="18" t="str">
        <x:v>34ca7df7395f59113539f61154f0e97536fea8f9f473ee034457adda366f47a5</x:v>
      </x:c>
      <x:c r="H42" s="19"/>
    </x:row>
    <x:row r="43" ht="28" customHeight="1">
      <x:c r="A43" s="19" t="str">
        <x:v>https://www.matsumoto-airport.co.jp/access/bus</x:v>
      </x:c>
      <x:c r="B43" s="19" t="str">
        <x:v>已获取</x:v>
      </x:c>
      <x:c r="C43" s="20" t="n">
        <x:v>200</x:v>
      </x:c>
      <x:c r="D43" s="20" t="n">
        <x:v>60354</x:v>
      </x:c>
      <x:c r="E43" s="23" t="n">
        <x:v>46295</x:v>
      </x:c>
      <x:c r="F43" s="19" t="str">
        <x:v>https://www.matsumoto-airport.co.jp/access/bus</x:v>
      </x:c>
      <x:c r="G43" s="18" t="str">
        <x:v>78da38528e1ebce3252ca7904e4df74194328cbd714abac883d554c5663783ef</x:v>
      </x:c>
      <x:c r="H43" s="19"/>
    </x:row>
    <x:row r="44" ht="28" customHeight="1">
      <x:c r="A44" s="19" t="str">
        <x:v>https://www.matsuyama-airport.co.jp/access/</x:v>
      </x:c>
      <x:c r="B44" s="19" t="str">
        <x:v>已获取</x:v>
      </x:c>
      <x:c r="C44" s="20" t="n">
        <x:v>200</x:v>
      </x:c>
      <x:c r="D44" s="20" t="n">
        <x:v>69758</x:v>
      </x:c>
      <x:c r="E44" s="23" t="n">
        <x:v>46295</x:v>
      </x:c>
      <x:c r="F44" s="19" t="str">
        <x:v>https://www.matsuyama-airport.co.jp/access/</x:v>
      </x:c>
      <x:c r="G44" s="18" t="str">
        <x:v>b3ca09a33c316865641704bfa5c9de08389754bf582576dd05424f14f53fc9dd</x:v>
      </x:c>
      <x:c r="H44" s="19"/>
    </x:row>
    <x:row r="45" ht="28" customHeight="1">
      <x:c r="A45" s="19" t="str">
        <x:v>https://www.miyakoh.co.jp/corp/inquiry/city.html</x:v>
      </x:c>
      <x:c r="B45" s="19" t="str">
        <x:v>已获取</x:v>
      </x:c>
      <x:c r="C45" s="20" t="n">
        <x:v>200</x:v>
      </x:c>
      <x:c r="D45" s="20" t="n">
        <x:v>15629</x:v>
      </x:c>
      <x:c r="E45" s="23" t="n">
        <x:v>46295</x:v>
      </x:c>
      <x:c r="F45" s="19" t="str">
        <x:v>https://www.miyakoh.co.jp/corp/inquiry/city.html</x:v>
      </x:c>
      <x:c r="G45" s="18" t="str">
        <x:v>5354e860ac23120381fe86f09b380ff339ac8deae2029b95c35234b6fecfffac</x:v>
      </x:c>
      <x:c r="H45" s="19"/>
    </x:row>
    <x:row r="46" ht="28" customHeight="1">
      <x:c r="A46" s="19" t="str">
        <x:v>https://www.miyakou.co.jp/bus-route/guide/sendai/</x:v>
      </x:c>
      <x:c r="B46" s="19" t="str">
        <x:v>已获取</x:v>
      </x:c>
      <x:c r="C46" s="20" t="n">
        <x:v>200</x:v>
      </x:c>
      <x:c r="D46" s="20" t="n">
        <x:v>86706</x:v>
      </x:c>
      <x:c r="E46" s="23" t="n">
        <x:v>46295</x:v>
      </x:c>
      <x:c r="F46" s="19" t="str">
        <x:v>https://www.miyakou.co.jp/bus-route/guide/sendai/</x:v>
      </x:c>
      <x:c r="G46" s="18" t="str">
        <x:v>939d0be900c99d4979448f7e080bb0f8baf22360bcc452c062b43cab96d6d486</x:v>
      </x:c>
      <x:c r="H46" s="19"/>
    </x:row>
    <x:row r="47" ht="28" customHeight="1">
      <x:c r="A47" s="19" t="str">
        <x:v>https://www.miyazaki-airport.co.jp/access/train</x:v>
      </x:c>
      <x:c r="B47" s="19" t="str">
        <x:v>已获取</x:v>
      </x:c>
      <x:c r="C47" s="20" t="n">
        <x:v>200</x:v>
      </x:c>
      <x:c r="D47" s="20" t="n">
        <x:v>44318</x:v>
      </x:c>
      <x:c r="E47" s="23" t="n">
        <x:v>46295</x:v>
      </x:c>
      <x:c r="F47" s="19" t="str">
        <x:v>https://www.miyazaki-airport.co.jp/access/train</x:v>
      </x:c>
      <x:c r="G47" s="18" t="str">
        <x:v>41aeaface5eb15cdd1d43e0a67a4679de3c6e296f1435fdcb4382e129fb33fae</x:v>
      </x:c>
      <x:c r="H47" s="19"/>
    </x:row>
    <x:row r="48" ht="28" customHeight="1">
      <x:c r="A48" s="19" t="str">
        <x:v>https://www.mm21railway.co.jp/station/yokohama/</x:v>
      </x:c>
      <x:c r="B48" s="19" t="str">
        <x:v>已获取</x:v>
      </x:c>
      <x:c r="C48" s="20" t="n">
        <x:v>200</x:v>
      </x:c>
      <x:c r="D48" s="20" t="n">
        <x:v>24745</x:v>
      </x:c>
      <x:c r="E48" s="23" t="n">
        <x:v>46295</x:v>
      </x:c>
      <x:c r="F48" s="19" t="str">
        <x:v>https://www.mm21railway.co.jp/station/yokohama/</x:v>
      </x:c>
      <x:c r="G48" s="18" t="str">
        <x:v>1f1bdc883ddd755bf90df8d64a7e653f89a464dd675e26ada5e3c3e29da03033</x:v>
      </x:c>
      <x:c r="H48" s="19"/>
    </x:row>
    <x:row r="49" ht="28" customHeight="1">
      <x:c r="A49" s="19" t="str">
        <x:v>https://www.mtfuji-shizuokaairport.jp/support/contact/access/</x:v>
      </x:c>
      <x:c r="B49" s="19" t="str">
        <x:v>已获取</x:v>
      </x:c>
      <x:c r="C49" s="20" t="n">
        <x:v>200</x:v>
      </x:c>
      <x:c r="D49" s="20" t="n">
        <x:v>52039</x:v>
      </x:c>
      <x:c r="E49" s="23" t="n">
        <x:v>46295</x:v>
      </x:c>
      <x:c r="F49" s="19" t="str">
        <x:v>https://www.mtfuji-shizuokaairport.jp/support/contact/access/</x:v>
      </x:c>
      <x:c r="G49" s="18" t="str">
        <x:v>1e246464e03afb7810c557bcb1198d2cc6b3f64d1795f01ee644de304fb6aeea</x:v>
      </x:c>
      <x:c r="H49" s="19"/>
    </x:row>
    <x:row r="50" ht="33" customHeight="1">
      <x:c r="A50" s="19" t="str">
        <x:v>https://www.nagasaki-airport.jp/question/</x:v>
      </x:c>
      <x:c r="B50" s="19" t="str">
        <x:v>获取失败</x:v>
      </x:c>
      <x:c r="C50" s="20"/>
      <x:c r="D50" s="20"/>
      <x:c r="E50" s="23" t="n">
        <x:v>46295</x:v>
      </x:c>
      <x:c r="F50" s="19"/>
      <x:c r="G50" s="18"/>
      <x:c r="H50" s="19" t="str">
        <x:v>&lt;urlopen error [SSL: CERTIFICATE_VERIFY_FAILED] certificate verify failed: Hostname mismatch, certificate is not valid for 'www.nagasaki-airport.jp'. (_ssl.c:1010)&gt;</x:v>
      </x:c>
    </x:row>
    <x:row r="51" ht="28" customHeight="1">
      <x:c r="A51" s="19" t="str">
        <x:v>https://www.naha-airport.co.jp/access/monorail/</x:v>
      </x:c>
      <x:c r="B51" s="19" t="str">
        <x:v>已获取</x:v>
      </x:c>
      <x:c r="C51" s="20" t="n">
        <x:v>200</x:v>
      </x:c>
      <x:c r="D51" s="20" t="n">
        <x:v>79454</x:v>
      </x:c>
      <x:c r="E51" s="23" t="n">
        <x:v>46295</x:v>
      </x:c>
      <x:c r="F51" s="19" t="str">
        <x:v>https://www.naha-airport.co.jp/access/monorail/</x:v>
      </x:c>
      <x:c r="G51" s="18" t="str">
        <x:v>1c1c6e6322f2abbcc20d8b49cddfb38538977d10a692b9f82487c9e401edf37e</x:v>
      </x:c>
      <x:c r="H51" s="19"/>
    </x:row>
    <x:row r="52" ht="28" customHeight="1">
      <x:c r="A52" s="19" t="str">
        <x:v>https://www.nakashibetsu-airport.jp/faq.php</x:v>
      </x:c>
      <x:c r="B52" s="19" t="str">
        <x:v>已获取</x:v>
      </x:c>
      <x:c r="C52" s="20" t="n">
        <x:v>200</x:v>
      </x:c>
      <x:c r="D52" s="20" t="n">
        <x:v>20745</x:v>
      </x:c>
      <x:c r="E52" s="23" t="n">
        <x:v>46295</x:v>
      </x:c>
      <x:c r="F52" s="19" t="str">
        <x:v>https://www.nakashibetsu-airport.jp/faq.php</x:v>
      </x:c>
      <x:c r="G52" s="18" t="str">
        <x:v>a07e5a80a16b9192dc2380f6bd8b54978ad53641e7cf1b4cdf525a25188d257e</x:v>
      </x:c>
      <x:c r="H52" s="19"/>
    </x:row>
    <x:row r="53" ht="28" customHeight="1">
      <x:c r="A53" s="19" t="str">
        <x:v>https://www.nankaibus.jp/highway/</x:v>
      </x:c>
      <x:c r="B53" s="19" t="str">
        <x:v>已获取</x:v>
      </x:c>
      <x:c r="C53" s="20" t="n">
        <x:v>200</x:v>
      </x:c>
      <x:c r="D53" s="20" t="n">
        <x:v>58955</x:v>
      </x:c>
      <x:c r="E53" s="23" t="n">
        <x:v>46295</x:v>
      </x:c>
      <x:c r="F53" s="19" t="str">
        <x:v>https://www.nankaibus.jp/highway/</x:v>
      </x:c>
      <x:c r="G53" s="18" t="str">
        <x:v>b89562d3b7408c922d501ddceca90b348279c79565cfb670eb35370d52b2fe2b</x:v>
      </x:c>
      <x:c r="H53" s="19"/>
    </x:row>
    <x:row r="54" ht="28" customHeight="1">
      <x:c r="A54" s="19" t="str">
        <x:v>https://www.narita-airport.jp/ja/access/train/</x:v>
      </x:c>
      <x:c r="B54" s="19" t="str">
        <x:v>已获取</x:v>
      </x:c>
      <x:c r="C54" s="20" t="n">
        <x:v>200</x:v>
      </x:c>
      <x:c r="D54" s="20" t="n">
        <x:v>155822</x:v>
      </x:c>
      <x:c r="E54" s="23" t="n">
        <x:v>46295</x:v>
      </x:c>
      <x:c r="F54" s="19" t="str">
        <x:v>https://www.narita-airport.jp/ja/access/train/</x:v>
      </x:c>
      <x:c r="G54" s="18" t="str">
        <x:v>5bd0e6a464a289cd52dd273eb02a2d32196cc245f7cc03889a62e0f7df532060</x:v>
      </x:c>
      <x:c r="H54" s="19"/>
    </x:row>
    <x:row r="55" ht="28" customHeight="1">
      <x:c r="A55" s="19" t="str">
        <x:v>https://www.niigata-airport.gr.jp/access/bus/</x:v>
      </x:c>
      <x:c r="B55" s="19" t="str">
        <x:v>已获取</x:v>
      </x:c>
      <x:c r="C55" s="20" t="n">
        <x:v>200</x:v>
      </x:c>
      <x:c r="D55" s="20" t="n">
        <x:v>29730</x:v>
      </x:c>
      <x:c r="E55" s="23" t="n">
        <x:v>46295</x:v>
      </x:c>
      <x:c r="F55" s="19" t="str">
        <x:v>https://www.niigata-airport.gr.jp/access/bus/</x:v>
      </x:c>
      <x:c r="G55" s="18" t="str">
        <x:v>69f55c164aa2a20a1a779daa83f77fe57a6b64359d5e819026b3582dcf738678</x:v>
      </x:c>
      <x:c r="H55" s="19"/>
    </x:row>
    <x:row r="56" ht="28" customHeight="1">
      <x:c r="A56" s="19" t="str">
        <x:v>https://www.nishitetsu.jp/bus/highwaybus/bus_terminal/</x:v>
      </x:c>
      <x:c r="B56" s="19" t="str">
        <x:v>已获取</x:v>
      </x:c>
      <x:c r="C56" s="20" t="n">
        <x:v>200</x:v>
      </x:c>
      <x:c r="D56" s="20" t="n">
        <x:v>16442</x:v>
      </x:c>
      <x:c r="E56" s="23" t="n">
        <x:v>46295</x:v>
      </x:c>
      <x:c r="F56" s="19" t="str">
        <x:v>https://www.nishitetsu.jp/bus/highwaybus/bus_terminal/</x:v>
      </x:c>
      <x:c r="G56" s="18" t="str">
        <x:v>d58cc1dbef866bea6afd18606f3f017f94bcf87a97aac69e7aee227b8e3484bb</x:v>
      </x:c>
      <x:c r="H56" s="19"/>
    </x:row>
    <x:row r="57" ht="28" customHeight="1">
      <x:c r="A57" s="19" t="str">
        <x:v>https://www.nouhibus.co.jp/route_bus/shirakawago/</x:v>
      </x:c>
      <x:c r="B57" s="19" t="str">
        <x:v>已获取</x:v>
      </x:c>
      <x:c r="C57" s="20" t="n">
        <x:v>200</x:v>
      </x:c>
      <x:c r="D57" s="20" t="n">
        <x:v>93832</x:v>
      </x:c>
      <x:c r="E57" s="23" t="n">
        <x:v>46295</x:v>
      </x:c>
      <x:c r="F57" s="19" t="str">
        <x:v>https://www.nouhibus.co.jp/route_bus/shirakawago/</x:v>
      </x:c>
      <x:c r="G57" s="18" t="str">
        <x:v>bd44f1ab0bcc535df507f724e81fbaf94bac9f687019646e4a6df7582894ad0c</x:v>
      </x:c>
      <x:c r="H57" s="19"/>
    </x:row>
    <x:row r="58" ht="28" customHeight="1">
      <x:c r="A58" s="19" t="str">
        <x:v>https://www.ocat.co.jp/highwaybus/</x:v>
      </x:c>
      <x:c r="B58" s="19" t="str">
        <x:v>已获取</x:v>
      </x:c>
      <x:c r="C58" s="20" t="n">
        <x:v>200</x:v>
      </x:c>
      <x:c r="D58" s="20" t="n">
        <x:v>90447</x:v>
      </x:c>
      <x:c r="E58" s="23" t="n">
        <x:v>46295</x:v>
      </x:c>
      <x:c r="F58" s="19" t="str">
        <x:v>https://www.ocat.co.jp/highwaybus/</x:v>
      </x:c>
      <x:c r="G58" s="18" t="str">
        <x:v>145a002cd6cdc1cf415c21c0377f45ce840f26d489a49f46da298ea6458b2a28</x:v>
      </x:c>
      <x:c r="H58" s="19"/>
    </x:row>
    <x:row r="59" ht="28" customHeight="1">
      <x:c r="A59" s="19" t="str">
        <x:v>https://www.oita-airport.jp/access/jr.html</x:v>
      </x:c>
      <x:c r="B59" s="19" t="str">
        <x:v>已获取</x:v>
      </x:c>
      <x:c r="C59" s="20" t="n">
        <x:v>200</x:v>
      </x:c>
      <x:c r="D59" s="20" t="n">
        <x:v>19960</x:v>
      </x:c>
      <x:c r="E59" s="23" t="n">
        <x:v>46295</x:v>
      </x:c>
      <x:c r="F59" s="19" t="str">
        <x:v>https://www.oita-airport.jp/access/jr.html</x:v>
      </x:c>
      <x:c r="G59" s="18" t="str">
        <x:v>49acf36e8522f97b70dc1d5fbc152ed7bcbe7f0b0a02b03ab11993d2b2cdfe43</x:v>
      </x:c>
      <x:c r="H59" s="19"/>
    </x:row>
    <x:row r="60" ht="28" customHeight="1">
      <x:c r="A60" s="19" t="str">
        <x:v>https://www.okayama-airport.org/faq/access</x:v>
      </x:c>
      <x:c r="B60" s="19" t="str">
        <x:v>已获取</x:v>
      </x:c>
      <x:c r="C60" s="20" t="n">
        <x:v>200</x:v>
      </x:c>
      <x:c r="D60" s="20" t="n">
        <x:v>58593</x:v>
      </x:c>
      <x:c r="E60" s="23" t="n">
        <x:v>46295</x:v>
      </x:c>
      <x:c r="F60" s="19" t="str">
        <x:v>https://www.okayama-airport.org/faq/access</x:v>
      </x:c>
      <x:c r="G60" s="18" t="str">
        <x:v>5f27ea952e69a95f06dbdebc9777f17b278ae13adda04bad2b74e6560fb5082a</x:v>
      </x:c>
      <x:c r="H60" s="19"/>
    </x:row>
    <x:row r="61" ht="28" customHeight="1">
      <x:c r="A61" s="19" t="str">
        <x:v>https://www.oki-airport.jp/access</x:v>
      </x:c>
      <x:c r="B61" s="19" t="str">
        <x:v>已获取</x:v>
      </x:c>
      <x:c r="C61" s="20" t="n">
        <x:v>200</x:v>
      </x:c>
      <x:c r="D61" s="20" t="n">
        <x:v>22864</x:v>
      </x:c>
      <x:c r="E61" s="23" t="n">
        <x:v>46295</x:v>
      </x:c>
      <x:c r="F61" s="19" t="str">
        <x:v>https://www.oki-airport.jp/access</x:v>
      </x:c>
      <x:c r="G61" s="18" t="str">
        <x:v>dffc02f7324fd772ff492087927b8bc0e4ff61a3f0fe06e420817b609ecde388</x:v>
      </x:c>
      <x:c r="H61" s="19"/>
    </x:row>
    <x:row r="62" ht="28" customHeight="1">
      <x:c r="A62" s="19" t="str">
        <x:v>https://www.osaka-airport.co.jp/access/from-airport</x:v>
      </x:c>
      <x:c r="B62" s="19" t="str">
        <x:v>获取失败</x:v>
      </x:c>
      <x:c r="C62" s="20"/>
      <x:c r="D62" s="20"/>
      <x:c r="E62" s="23" t="n">
        <x:v>46295</x:v>
      </x:c>
      <x:c r="F62" s="19"/>
      <x:c r="G62" s="18"/>
      <x:c r="H62" s="19" t="str">
        <x:v>HTTP Error 403: Forbidden</x:v>
      </x:c>
    </x:row>
    <x:row r="63" ht="28" customHeight="1">
      <x:c r="A63" s="19" t="str">
        <x:v>https://www.pref.fukui.lg.jp/doc/fukui-airport/index.html</x:v>
      </x:c>
      <x:c r="B63" s="19" t="str">
        <x:v>已获取</x:v>
      </x:c>
      <x:c r="C63" s="20" t="n">
        <x:v>200</x:v>
      </x:c>
      <x:c r="D63" s="20" t="n">
        <x:v>28152</x:v>
      </x:c>
      <x:c r="E63" s="23" t="n">
        <x:v>46295</x:v>
      </x:c>
      <x:c r="F63" s="19" t="str">
        <x:v>https://www.pref.fukui.lg.jp/doc/fukui-airport/index.html</x:v>
      </x:c>
      <x:c r="G63" s="18" t="str">
        <x:v>9cf74606ec32420329a8d72007e4916687345f3ba166f288490fe239fec9a8fb</x:v>
      </x:c>
      <x:c r="H63" s="19"/>
    </x:row>
    <x:row r="64" ht="28" customHeight="1">
      <x:c r="A64" s="19" t="str">
        <x:v>https://www.pref.kochi.lg.jp/doc/2018042700206/</x:v>
      </x:c>
      <x:c r="B64" s="19" t="str">
        <x:v>已获取</x:v>
      </x:c>
      <x:c r="C64" s="20" t="n">
        <x:v>200</x:v>
      </x:c>
      <x:c r="D64" s="20" t="n">
        <x:v>27184</x:v>
      </x:c>
      <x:c r="E64" s="23" t="n">
        <x:v>46295</x:v>
      </x:c>
      <x:c r="F64" s="19" t="str">
        <x:v>https://www.pref.kochi.lg.jp/doc/2018042700206/</x:v>
      </x:c>
      <x:c r="G64" s="18" t="str">
        <x:v>65f1c404837f9f653fb6ac4a21e59b850c8ac521b1cc72f6d1169b6d0b277af5</x:v>
      </x:c>
      <x:c r="H64" s="19"/>
    </x:row>
    <x:row r="65" ht="28" customHeight="1">
      <x:c r="A65" s="19" t="str">
        <x:v>https://www.pref.nagasaki.jp/shared/uploads/2024/06/1718342270-1.pdf</x:v>
      </x:c>
      <x:c r="B65" s="19" t="str">
        <x:v>获取失败</x:v>
      </x:c>
      <x:c r="C65" s="20"/>
      <x:c r="D65" s="20"/>
      <x:c r="E65" s="23" t="n">
        <x:v>46295</x:v>
      </x:c>
      <x:c r="F65" s="19"/>
      <x:c r="G65" s="18"/>
      <x:c r="H65" s="19" t="str">
        <x:v>HTTP Error 404: Not Found</x:v>
      </x:c>
    </x:row>
    <x:row r="66" ht="33" customHeight="1">
      <x:c r="A66" s="19" t="str">
        <x:v>https://www.pref.nara.jp/site/park/2687.html</x:v>
      </x:c>
      <x:c r="B66" s="19" t="str">
        <x:v>获取失败</x:v>
      </x:c>
      <x:c r="C66" s="20"/>
      <x:c r="D66" s="20"/>
      <x:c r="E66" s="23" t="n">
        <x:v>46295</x:v>
      </x:c>
      <x:c r="F66" s="19"/>
      <x:c r="G66" s="18"/>
      <x:c r="H66" s="19" t="str">
        <x:v>&lt;urlopen error [SSL: CERTIFICATE_VERIFY_FAILED] certificate verify failed: certificate has expired (_ssl.c:1010)&gt;</x:v>
      </x:c>
    </x:row>
    <x:row r="67" ht="28" customHeight="1">
      <x:c r="A67" s="19" t="str">
        <x:v>https://www.pref.okayama.jp/page/879734.html</x:v>
      </x:c>
      <x:c r="B67" s="19" t="str">
        <x:v>已获取</x:v>
      </x:c>
      <x:c r="C67" s="20" t="n">
        <x:v>200</x:v>
      </x:c>
      <x:c r="D67" s="20" t="n">
        <x:v>21905</x:v>
      </x:c>
      <x:c r="E67" s="23" t="n">
        <x:v>46295</x:v>
      </x:c>
      <x:c r="F67" s="19" t="str">
        <x:v>https://www.pref.okayama.jp/page/879734.html</x:v>
      </x:c>
      <x:c r="G67" s="18" t="str">
        <x:v>d33f07981ba743d5e07bfe6033ff8ef5dbaa2dfebc21d3873879f74fbe932de2</x:v>
      </x:c>
      <x:c r="H67" s="19"/>
    </x:row>
    <x:row r="68" ht="28" customHeight="1">
      <x:c r="A68" s="19" t="str">
        <x:v>https://www.pref.okinawa.lg.jp/machizukuri/kowankuko/1012617/1012639/1012642/1024031/1012649.html</x:v>
      </x:c>
      <x:c r="B68" s="19" t="str">
        <x:v>已获取</x:v>
      </x:c>
      <x:c r="C68" s="20" t="n">
        <x:v>200</x:v>
      </x:c>
      <x:c r="D68" s="20" t="n">
        <x:v>33467</x:v>
      </x:c>
      <x:c r="E68" s="23" t="n">
        <x:v>46295</x:v>
      </x:c>
      <x:c r="F68" s="19" t="str">
        <x:v>https://www.pref.okinawa.lg.jp/machizukuri/kowankuko/1012617/1012639/1012642/1024031/1012649.html</x:v>
      </x:c>
      <x:c r="G68" s="18" t="str">
        <x:v>41f808cfee66d2325f094959cb07f20787f43e568c5e896d1c89f4a56b2e160b</x:v>
      </x:c>
      <x:c r="H68" s="19"/>
    </x:row>
    <x:row r="69" ht="28" customHeight="1">
      <x:c r="A69" s="19" t="str">
        <x:v>https://www.sankobus.jp/busportal/wp-content/uploads/noriba_kuma-bt.pdf</x:v>
      </x:c>
      <x:c r="B69" s="19" t="str">
        <x:v>获取失败</x:v>
      </x:c>
      <x:c r="C69" s="20"/>
      <x:c r="D69" s="20"/>
      <x:c r="E69" s="23" t="n">
        <x:v>46295</x:v>
      </x:c>
      <x:c r="F69" s="19"/>
      <x:c r="G69" s="18"/>
      <x:c r="H69" s="19" t="str">
        <x:v>&lt;urlopen error [SSL: SSLV3_ALERT_HANDSHAKE_FAILURE] ssl/tls alert handshake failure (_ssl.c:1010)&gt;</x:v>
      </x:c>
    </x:row>
    <x:row r="70" ht="28" customHeight="1">
      <x:c r="A70" s="19" t="str">
        <x:v>https://www.sendai-airport.co.jp/access/</x:v>
      </x:c>
      <x:c r="B70" s="19" t="str">
        <x:v>已获取</x:v>
      </x:c>
      <x:c r="C70" s="20" t="n">
        <x:v>200</x:v>
      </x:c>
      <x:c r="D70" s="20" t="n">
        <x:v>39014</x:v>
      </x:c>
      <x:c r="E70" s="23" t="n">
        <x:v>46295</x:v>
      </x:c>
      <x:c r="F70" s="19" t="str">
        <x:v>https://www.sendai-airport.co.jp/access/</x:v>
      </x:c>
      <x:c r="G70" s="18" t="str">
        <x:v>d2b711c973fed03acc5c6fd2f078ebdb96aaae08485c0b67164e2edf294babca</x:v>
      </x:c>
      <x:c r="H70" s="19"/>
    </x:row>
    <x:row r="71" ht="28" customHeight="1">
      <x:c r="A71" s="19" t="str">
        <x:v>https://www.shinjuku-busterminal.co.jp/access/</x:v>
      </x:c>
      <x:c r="B71" s="19" t="str">
        <x:v>已获取</x:v>
      </x:c>
      <x:c r="C71" s="20" t="n">
        <x:v>200</x:v>
      </x:c>
      <x:c r="D71" s="20" t="n">
        <x:v>20881</x:v>
      </x:c>
      <x:c r="E71" s="23" t="n">
        <x:v>46295</x:v>
      </x:c>
      <x:c r="F71" s="19" t="str">
        <x:v>https://www.shinjuku-busterminal.co.jp/access/</x:v>
      </x:c>
      <x:c r="G71" s="18" t="str">
        <x:v>95afd7ff356a985643fda53eba08816abb822ba6402c38a08eb8601f2a00c087</x:v>
      </x:c>
      <x:c r="H71" s="19"/>
    </x:row>
    <x:row r="72" ht="28" customHeight="1">
      <x:c r="A72" s="19" t="str">
        <x:v>https://www.takamatsu-airport.com/access/bus/</x:v>
      </x:c>
      <x:c r="B72" s="19" t="str">
        <x:v>已获取</x:v>
      </x:c>
      <x:c r="C72" s="20" t="n">
        <x:v>200</x:v>
      </x:c>
      <x:c r="D72" s="20" t="n">
        <x:v>66097</x:v>
      </x:c>
      <x:c r="E72" s="23" t="n">
        <x:v>46295</x:v>
      </x:c>
      <x:c r="F72" s="19" t="str">
        <x:v>https://www.takamatsu-airport.com/access/bus/</x:v>
      </x:c>
      <x:c r="G72" s="18" t="str">
        <x:v>6c44c1d3522059bb09de761fba3fa10bbed170cf189acb360bec3d0cce96585b</x:v>
      </x:c>
      <x:c r="H72" s="19"/>
    </x:row>
    <x:row r="73" ht="28" customHeight="1">
      <x:c r="A73" s="19" t="str">
        <x:v>https://www.tokyo-haneda.com/access/train/index.html</x:v>
      </x:c>
      <x:c r="B73" s="19" t="str">
        <x:v>已获取</x:v>
      </x:c>
      <x:c r="C73" s="20" t="n">
        <x:v>200</x:v>
      </x:c>
      <x:c r="D73" s="20" t="n">
        <x:v>75595</x:v>
      </x:c>
      <x:c r="E73" s="23" t="n">
        <x:v>46295</x:v>
      </x:c>
      <x:c r="F73" s="19" t="str">
        <x:v>https://www.tokyo-haneda.com/access/train/index.html</x:v>
      </x:c>
      <x:c r="G73" s="18" t="str">
        <x:v>3499b2dd20f6b93abba803e52f3b6c9dab61596f68deed7af4d15b4f0a4d9d25</x:v>
      </x:c>
      <x:c r="H73" s="19"/>
    </x:row>
    <x:row r="74" ht="28" customHeight="1">
      <x:c r="A74" s="19" t="str">
        <x:v>https://www.toyama-airport.co.jp/access</x:v>
      </x:c>
      <x:c r="B74" s="19" t="str">
        <x:v>已获取</x:v>
      </x:c>
      <x:c r="C74" s="20" t="n">
        <x:v>200</x:v>
      </x:c>
      <x:c r="D74" s="20" t="n">
        <x:v>116163</x:v>
      </x:c>
      <x:c r="E74" s="23" t="n">
        <x:v>46295</x:v>
      </x:c>
      <x:c r="F74" s="19" t="str">
        <x:v>https://www.toyama-airport.co.jp/access</x:v>
      </x:c>
      <x:c r="G74" s="18" t="str">
        <x:v>d03c21b8d7f7eca02b896b96a8b864c2b705ff4925b68815429d3a98bc337dab</x:v>
      </x:c>
      <x:c r="H74" s="19"/>
    </x:row>
    <x:row r="75" ht="28" customHeight="1">
      <x:c r="A75" s="19" t="str">
        <x:v>https://www.yamagata-airport.co.jp/access/train.html</x:v>
      </x:c>
      <x:c r="B75" s="19" t="str">
        <x:v>已获取</x:v>
      </x:c>
      <x:c r="C75" s="20" t="n">
        <x:v>200</x:v>
      </x:c>
      <x:c r="D75" s="20" t="n">
        <x:v>19486</x:v>
      </x:c>
      <x:c r="E75" s="23" t="n">
        <x:v>46295</x:v>
      </x:c>
      <x:c r="F75" s="19" t="str">
        <x:v>https://www.yamagata-airport.co.jp/access/train.html</x:v>
      </x:c>
      <x:c r="G75" s="18" t="str">
        <x:v>96ead5c84f60368d3bead2064ad155f6b5dfc1b5696e9e37f9c5fc176ac9f03a</x:v>
      </x:c>
      <x:c r="H75" s="19"/>
    </x:row>
    <x:row r="76" ht="28" customHeight="1">
      <x:c r="A76" s="19" t="str">
        <x:v>https://www.yamaguchiube-airport.jp/mapaccess/train/</x:v>
      </x:c>
      <x:c r="B76" s="19" t="str">
        <x:v>已获取</x:v>
      </x:c>
      <x:c r="C76" s="20" t="n">
        <x:v>200</x:v>
      </x:c>
      <x:c r="D76" s="20" t="n">
        <x:v>30371</x:v>
      </x:c>
      <x:c r="E76" s="23" t="n">
        <x:v>46295</x:v>
      </x:c>
      <x:c r="F76" s="19" t="str">
        <x:v>https://www.yamaguchiube-airport.jp/mapaccess/train/</x:v>
      </x:c>
      <x:c r="G76" s="18" t="str">
        <x:v>57dd420581f61d93c74f86b34ed03c817aee651d354051f9c5264ddec74f03a0</x:v>
      </x:c>
      <x:c r="H76" s="19"/>
    </x:row>
    <x:row r="77" ht="28" customHeight="1">
      <x:c r="A77" s="19" t="str">
        <x:v>https://yakukan.jp/on-island.html</x:v>
      </x:c>
      <x:c r="B77" s="19" t="str">
        <x:v>已获取</x:v>
      </x:c>
      <x:c r="C77" s="20" t="n">
        <x:v>200</x:v>
      </x:c>
      <x:c r="D77" s="20" t="n">
        <x:v>73281</x:v>
      </x:c>
      <x:c r="E77" s="23" t="n">
        <x:v>46295</x:v>
      </x:c>
      <x:c r="F77" s="19" t="str">
        <x:v>https://yakukan.jp/on-island.html</x:v>
      </x:c>
      <x:c r="G77" s="18" t="str">
        <x:v>b56823bad8527338f6829fc5c9c13436e768865c0dcb8e9d585574ca6a085a97</x:v>
      </x:c>
      <x:c r="H77" s="19"/>
    </x:row>
  </x:sheetData>
  <x:conditionalFormatting sqref="B6:B77">
    <x:cfRule type="containsText" dxfId="23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8c0dbbc409604e68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20" hidden="0" customWidth="1"/>
    <x:col min="5" max="5" width="15" hidden="0" customWidth="1"/>
    <x:col min="6" max="6" width="36" hidden="0" customWidth="1"/>
    <x:col min="7" max="7" width="15" hidden="0" customWidth="1"/>
    <x:col min="8" max="8" width="90" hidden="0" customWidth="1"/>
    <x:col min="9" max="9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4" t="str">
        <x:v>国内 Ferry 港口统计参考</x:v>
      </x:c>
      <x:c r="B2" s="5"/>
      <x:c r="C2" s="5"/>
      <x:c r="D2" s="5"/>
      <x:c r="E2" s="5"/>
      <x:c r="F2" s="5"/>
      <x:c r="G2" s="5"/>
      <x:c r="H2" s="5"/>
      <x:c r="I2" s="2"/>
    </x:row>
    <x:row r="3">
      <x:c r="A3" s="6" t="str">
        <x:v>120 个港口汇总，CY2024。不能直接用作码头组件等级。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6" t="str">
        <x:v>来源：data/transport/nodes/task-084-b-v2-ferry-calibration/domestic-port-passengers-2024.jsonl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港口名</x:v>
      </x:c>
      <x:c r="B5" s="16" t="str">
        <x:v>港口码</x:v>
      </x:c>
      <x:c r="C5" s="16" t="str">
        <x:v>都道府县</x:v>
      </x:c>
      <x:c r="D5" s="16" t="str">
        <x:v>年度旅客量</x:v>
      </x:c>
      <x:c r="E5" s="16" t="str">
        <x:v>统计期间</x:v>
      </x:c>
      <x:c r="F5" s="16" t="str">
        <x:v>统计范围</x:v>
      </x:c>
      <x:c r="G5" s="16" t="str">
        <x:v>源表行</x:v>
      </x:c>
      <x:c r="H5" s="16" t="str">
        <x:v>官方来源</x:v>
      </x:c>
      <x:c r="I5" s="17" t="str">
        <x:v>源文件 SHA256</x:v>
      </x:c>
    </x:row>
    <x:row r="6" ht="28" customHeight="1">
      <x:c r="A6" s="18" t="str">
        <x:v>鹿児島</x:v>
      </x:c>
      <x:c r="B6" s="18" t="str">
        <x:v>46001</x:v>
      </x:c>
      <x:c r="C6" s="18" t="str">
        <x:v>鹿児島県</x:v>
      </x:c>
      <x:c r="D6" s="20" t="n">
        <x:v>4689076</x:v>
      </x:c>
      <x:c r="E6" s="18" t="str">
        <x:v>CY2024</x:v>
      </x:c>
      <x:c r="F6" s="18" t="str">
        <x:v>DOMESTIC_ROUTES_AT_PORT</x:v>
      </x:c>
      <x:c r="G6" s="20" t="n">
        <x:v>154</x:v>
      </x:c>
      <x:c r="H6" s="19" t="str">
        <x:v>https://www.mlit.go.jp/k-toukei/content/001974128.xlsx</x:v>
      </x:c>
      <x:c r="I6" s="18" t="str">
        <x:v>9b301a0ad79acb77aa0e4e018fc00319c78eb6bbfa4c25adfb4e8f52fc9a9bef</x:v>
      </x:c>
    </x:row>
    <x:row r="7" ht="28" customHeight="1">
      <x:c r="A7" s="18" t="str">
        <x:v>高松</x:v>
      </x:c>
      <x:c r="B7" s="18" t="str">
        <x:v>37001</x:v>
      </x:c>
      <x:c r="C7" s="18" t="str">
        <x:v>香川県</x:v>
      </x:c>
      <x:c r="D7" s="20" t="n">
        <x:v>2301478</x:v>
      </x:c>
      <x:c r="E7" s="18" t="str">
        <x:v>CY2024</x:v>
      </x:c>
      <x:c r="F7" s="18" t="str">
        <x:v>DOMESTIC_ROUTES_AT_PORT</x:v>
      </x:c>
      <x:c r="G7" s="20" t="n">
        <x:v>104</x:v>
      </x:c>
      <x:c r="H7" s="19" t="str">
        <x:v>https://www.mlit.go.jp/k-toukei/content/001974128.xlsx</x:v>
      </x:c>
      <x:c r="I7" s="18" t="str">
        <x:v>9b301a0ad79acb77aa0e4e018fc00319c78eb6bbfa4c25adfb4e8f52fc9a9bef</x:v>
      </x:c>
    </x:row>
    <x:row r="8" ht="28" customHeight="1">
      <x:c r="A8" s="18" t="str">
        <x:v>北九州</x:v>
      </x:c>
      <x:c r="B8" s="18" t="str">
        <x:v>40001</x:v>
      </x:c>
      <x:c r="C8" s="18" t="str">
        <x:v>福岡県</x:v>
      </x:c>
      <x:c r="D8" s="20" t="n">
        <x:v>1845682</x:v>
      </x:c>
      <x:c r="E8" s="18" t="str">
        <x:v>CY2024</x:v>
      </x:c>
      <x:c r="F8" s="18" t="str">
        <x:v>DOMESTIC_ROUTES_AT_PORT</x:v>
      </x:c>
      <x:c r="G8" s="20" t="n">
        <x:v>117</x:v>
      </x:c>
      <x:c r="H8" s="19" t="str">
        <x:v>https://www.mlit.go.jp/k-toukei/content/001974128.xlsx</x:v>
      </x:c>
      <x:c r="I8" s="18" t="str">
        <x:v>9b301a0ad79acb77aa0e4e018fc00319c78eb6bbfa4c25adfb4e8f52fc9a9bef</x:v>
      </x:c>
    </x:row>
    <x:row r="9" ht="28" customHeight="1">
      <x:c r="A9" s="18" t="str">
        <x:v>仙台塩釜</x:v>
      </x:c>
      <x:c r="B9" s="18" t="str">
        <x:v>04001</x:v>
      </x:c>
      <x:c r="C9" s="18" t="str">
        <x:v>宮城県</x:v>
      </x:c>
      <x:c r="D9" s="20" t="n">
        <x:v>1667102</x:v>
      </x:c>
      <x:c r="E9" s="18" t="str">
        <x:v>CY2024</x:v>
      </x:c>
      <x:c r="F9" s="18" t="str">
        <x:v>DOMESTIC_ROUTES_AT_PORT</x:v>
      </x:c>
      <x:c r="G9" s="20" t="n">
        <x:v>20</x:v>
      </x:c>
      <x:c r="H9" s="19" t="str">
        <x:v>https://www.mlit.go.jp/k-toukei/content/001974128.xlsx</x:v>
      </x:c>
      <x:c r="I9" s="18" t="str">
        <x:v>9b301a0ad79acb77aa0e4e018fc00319c78eb6bbfa4c25adfb4e8f52fc9a9bef</x:v>
      </x:c>
    </x:row>
    <x:row r="10" ht="28" customHeight="1">
      <x:c r="A10" s="18" t="str">
        <x:v>広島</x:v>
      </x:c>
      <x:c r="B10" s="18" t="str">
        <x:v>34003</x:v>
      </x:c>
      <x:c r="C10" s="18" t="str">
        <x:v>広島県</x:v>
      </x:c>
      <x:c r="D10" s="20" t="n">
        <x:v>1619122</x:v>
      </x:c>
      <x:c r="E10" s="18" t="str">
        <x:v>CY2024</x:v>
      </x:c>
      <x:c r="F10" s="18" t="str">
        <x:v>DOMESTIC_ROUTES_AT_PORT</x:v>
      </x:c>
      <x:c r="G10" s="20" t="n">
        <x:v>89</x:v>
      </x:c>
      <x:c r="H10" s="19" t="str">
        <x:v>https://www.mlit.go.jp/k-toukei/content/001974128.xlsx</x:v>
      </x:c>
      <x:c r="I10" s="18" t="str">
        <x:v>9b301a0ad79acb77aa0e4e018fc00319c78eb6bbfa4c25adfb4e8f52fc9a9bef</x:v>
      </x:c>
    </x:row>
    <x:row r="11" ht="28" customHeight="1">
      <x:c r="A11" s="18" t="str">
        <x:v>神戸</x:v>
      </x:c>
      <x:c r="B11" s="18" t="str">
        <x:v>28001</x:v>
      </x:c>
      <x:c r="C11" s="18" t="str">
        <x:v>兵庫県</x:v>
      </x:c>
      <x:c r="D11" s="20" t="n">
        <x:v>1566982</x:v>
      </x:c>
      <x:c r="E11" s="18" t="str">
        <x:v>CY2024</x:v>
      </x:c>
      <x:c r="F11" s="18" t="str">
        <x:v>DOMESTIC_ROUTES_AT_PORT</x:v>
      </x:c>
      <x:c r="G11" s="20" t="n">
        <x:v>65</x:v>
      </x:c>
      <x:c r="H11" s="19" t="str">
        <x:v>https://www.mlit.go.jp/k-toukei/content/001974128.xlsx</x:v>
      </x:c>
      <x:c r="I11" s="18" t="str">
        <x:v>9b301a0ad79acb77aa0e4e018fc00319c78eb6bbfa4c25adfb4e8f52fc9a9bef</x:v>
      </x:c>
    </x:row>
    <x:row r="12" ht="28" customHeight="1">
      <x:c r="A12" s="18" t="str">
        <x:v>石垣</x:v>
      </x:c>
      <x:c r="B12" s="18" t="str">
        <x:v>47004</x:v>
      </x:c>
      <x:c r="C12" s="18" t="str">
        <x:v>沖縄県</x:v>
      </x:c>
      <x:c r="D12" s="20" t="n">
        <x:v>1279239</x:v>
      </x:c>
      <x:c r="E12" s="18" t="str">
        <x:v>CY2024</x:v>
      </x:c>
      <x:c r="F12" s="18" t="str">
        <x:v>DOMESTIC_ROUTES_AT_PORT</x:v>
      </x:c>
      <x:c r="G12" s="20" t="n">
        <x:v>168</x:v>
      </x:c>
      <x:c r="H12" s="19" t="str">
        <x:v>https://www.mlit.go.jp/k-toukei/content/001974128.xlsx</x:v>
      </x:c>
      <x:c r="I12" s="18" t="str">
        <x:v>9b301a0ad79acb77aa0e4e018fc00319c78eb6bbfa4c25adfb4e8f52fc9a9bef</x:v>
      </x:c>
    </x:row>
    <x:row r="13" ht="28" customHeight="1">
      <x:c r="A13" s="18" t="str">
        <x:v>新潟</x:v>
      </x:c>
      <x:c r="B13" s="18" t="str">
        <x:v>15001</x:v>
      </x:c>
      <x:c r="C13" s="18" t="str">
        <x:v>新潟県</x:v>
      </x:c>
      <x:c r="D13" s="20" t="n">
        <x:v>1208084</x:v>
      </x:c>
      <x:c r="E13" s="18" t="str">
        <x:v>CY2024</x:v>
      </x:c>
      <x:c r="F13" s="18" t="str">
        <x:v>DOMESTIC_ROUTES_AT_PORT</x:v>
      </x:c>
      <x:c r="G13" s="20" t="n">
        <x:v>37</x:v>
      </x:c>
      <x:c r="H13" s="19" t="str">
        <x:v>https://www.mlit.go.jp/k-toukei/content/001974128.xlsx</x:v>
      </x:c>
      <x:c r="I13" s="18" t="str">
        <x:v>9b301a0ad79acb77aa0e4e018fc00319c78eb6bbfa4c25adfb4e8f52fc9a9bef</x:v>
      </x:c>
    </x:row>
    <x:row r="14" ht="28" customHeight="1">
      <x:c r="A14" s="18" t="str">
        <x:v>宇野</x:v>
      </x:c>
      <x:c r="B14" s="18" t="str">
        <x:v>33001</x:v>
      </x:c>
      <x:c r="C14" s="18" t="str">
        <x:v>岡山県</x:v>
      </x:c>
      <x:c r="D14" s="20" t="n">
        <x:v>1189319</x:v>
      </x:c>
      <x:c r="E14" s="18" t="str">
        <x:v>CY2024</x:v>
      </x:c>
      <x:c r="F14" s="18" t="str">
        <x:v>DOMESTIC_ROUTES_AT_PORT</x:v>
      </x:c>
      <x:c r="G14" s="20" t="n">
        <x:v>79</x:v>
      </x:c>
      <x:c r="H14" s="19" t="str">
        <x:v>https://www.mlit.go.jp/k-toukei/content/001974128.xlsx</x:v>
      </x:c>
      <x:c r="I14" s="18" t="str">
        <x:v>9b301a0ad79acb77aa0e4e018fc00319c78eb6bbfa4c25adfb4e8f52fc9a9bef</x:v>
      </x:c>
    </x:row>
    <x:row r="15" ht="28" customHeight="1">
      <x:c r="A15" s="18" t="str">
        <x:v>東京</x:v>
      </x:c>
      <x:c r="B15" s="18" t="str">
        <x:v>13001</x:v>
      </x:c>
      <x:c r="C15" s="18" t="str">
        <x:v>東京都</x:v>
      </x:c>
      <x:c r="D15" s="20" t="n">
        <x:v>1161340</x:v>
      </x:c>
      <x:c r="E15" s="18" t="str">
        <x:v>CY2024</x:v>
      </x:c>
      <x:c r="F15" s="18" t="str">
        <x:v>DOMESTIC_ROUTES_AT_PORT</x:v>
      </x:c>
      <x:c r="G15" s="20" t="n">
        <x:v>31</x:v>
      </x:c>
      <x:c r="H15" s="19" t="str">
        <x:v>https://www.mlit.go.jp/k-toukei/content/001974128.xlsx</x:v>
      </x:c>
      <x:c r="I15" s="18" t="str">
        <x:v>9b301a0ad79acb77aa0e4e018fc00319c78eb6bbfa4c25adfb4e8f52fc9a9bef</x:v>
      </x:c>
    </x:row>
    <x:row r="16" ht="28" customHeight="1">
      <x:c r="A16" s="18" t="str">
        <x:v>長崎</x:v>
      </x:c>
      <x:c r="B16" s="18" t="str">
        <x:v>42001</x:v>
      </x:c>
      <x:c r="C16" s="18" t="str">
        <x:v>長崎県</x:v>
      </x:c>
      <x:c r="D16" s="20" t="n">
        <x:v>1132730</x:v>
      </x:c>
      <x:c r="E16" s="18" t="str">
        <x:v>CY2024</x:v>
      </x:c>
      <x:c r="F16" s="18" t="str">
        <x:v>DOMESTIC_ROUTES_AT_PORT</x:v>
      </x:c>
      <x:c r="G16" s="20" t="n">
        <x:v>125</x:v>
      </x:c>
      <x:c r="H16" s="19" t="str">
        <x:v>https://www.mlit.go.jp/k-toukei/content/001974128.xlsx</x:v>
      </x:c>
      <x:c r="I16" s="18" t="str">
        <x:v>9b301a0ad79acb77aa0e4e018fc00319c78eb6bbfa4c25adfb4e8f52fc9a9bef</x:v>
      </x:c>
    </x:row>
    <x:row r="17" ht="28" customHeight="1">
      <x:c r="A17" s="18" t="str">
        <x:v>大阪</x:v>
      </x:c>
      <x:c r="B17" s="18" t="str">
        <x:v>27001</x:v>
      </x:c>
      <x:c r="C17" s="18" t="str">
        <x:v>大阪府</x:v>
      </x:c>
      <x:c r="D17" s="20" t="n">
        <x:v>1107600</x:v>
      </x:c>
      <x:c r="E17" s="18" t="str">
        <x:v>CY2024</x:v>
      </x:c>
      <x:c r="F17" s="18" t="str">
        <x:v>DOMESTIC_ROUTES_AT_PORT</x:v>
      </x:c>
      <x:c r="G17" s="20" t="n">
        <x:v>63</x:v>
      </x:c>
      <x:c r="H17" s="19" t="str">
        <x:v>https://www.mlit.go.jp/k-toukei/content/001974128.xlsx</x:v>
      </x:c>
      <x:c r="I17" s="18" t="str">
        <x:v>9b301a0ad79acb77aa0e4e018fc00319c78eb6bbfa4c25adfb4e8f52fc9a9bef</x:v>
      </x:c>
    </x:row>
    <x:row r="18" ht="28" customHeight="1">
      <x:c r="A18" s="18" t="str">
        <x:v>両津</x:v>
      </x:c>
      <x:c r="B18" s="18" t="str">
        <x:v>15002</x:v>
      </x:c>
      <x:c r="C18" s="18" t="str">
        <x:v>新潟県</x:v>
      </x:c>
      <x:c r="D18" s="20" t="n">
        <x:v>1075333</x:v>
      </x:c>
      <x:c r="E18" s="18" t="str">
        <x:v>CY2024</x:v>
      </x:c>
      <x:c r="F18" s="18" t="str">
        <x:v>DOMESTIC_ROUTES_AT_PORT</x:v>
      </x:c>
      <x:c r="G18" s="20" t="n">
        <x:v>39</x:v>
      </x:c>
      <x:c r="H18" s="19" t="str">
        <x:v>https://www.mlit.go.jp/k-toukei/content/001974128.xlsx</x:v>
      </x:c>
      <x:c r="I18" s="18" t="str">
        <x:v>9b301a0ad79acb77aa0e4e018fc00319c78eb6bbfa4c25adfb4e8f52fc9a9bef</x:v>
      </x:c>
    </x:row>
    <x:row r="19" ht="28" customHeight="1">
      <x:c r="A19" s="18" t="str">
        <x:v>博多</x:v>
      </x:c>
      <x:c r="B19" s="18" t="str">
        <x:v>40002</x:v>
      </x:c>
      <x:c r="C19" s="18" t="str">
        <x:v>福岡県</x:v>
      </x:c>
      <x:c r="D19" s="20" t="n">
        <x:v>913280</x:v>
      </x:c>
      <x:c r="E19" s="18" t="str">
        <x:v>CY2024</x:v>
      </x:c>
      <x:c r="F19" s="18" t="str">
        <x:v>DOMESTIC_ROUTES_AT_PORT</x:v>
      </x:c>
      <x:c r="G19" s="20" t="n">
        <x:v>115</x:v>
      </x:c>
      <x:c r="H19" s="19" t="str">
        <x:v>https://www.mlit.go.jp/k-toukei/content/001974128.xlsx</x:v>
      </x:c>
      <x:c r="I19" s="18" t="str">
        <x:v>9b301a0ad79acb77aa0e4e018fc00319c78eb6bbfa4c25adfb4e8f52fc9a9bef</x:v>
      </x:c>
    </x:row>
    <x:row r="20" ht="28" customHeight="1">
      <x:c r="A20" s="18" t="str">
        <x:v>松山</x:v>
      </x:c>
      <x:c r="B20" s="18" t="str">
        <x:v>38001</x:v>
      </x:c>
      <x:c r="C20" s="18" t="str">
        <x:v>愛媛県</x:v>
      </x:c>
      <x:c r="D20" s="20" t="n">
        <x:v>853209</x:v>
      </x:c>
      <x:c r="E20" s="18" t="str">
        <x:v>CY2024</x:v>
      </x:c>
      <x:c r="F20" s="18" t="str">
        <x:v>DOMESTIC_ROUTES_AT_PORT</x:v>
      </x:c>
      <x:c r="G20" s="20" t="n">
        <x:v>107</x:v>
      </x:c>
      <x:c r="H20" s="19" t="str">
        <x:v>https://www.mlit.go.jp/k-toukei/content/001974128.xlsx</x:v>
      </x:c>
      <x:c r="I20" s="18" t="str">
        <x:v>9b301a0ad79acb77aa0e4e018fc00319c78eb6bbfa4c25adfb4e8f52fc9a9bef</x:v>
      </x:c>
    </x:row>
    <x:row r="21" ht="28" customHeight="1">
      <x:c r="A21" s="18" t="str">
        <x:v>苫小牧</x:v>
      </x:c>
      <x:c r="B21" s="18" t="str">
        <x:v>01003</x:v>
      </x:c>
      <x:c r="C21" s="18" t="str">
        <x:v>北海道</x:v>
      </x:c>
      <x:c r="D21" s="20" t="n">
        <x:v>843075</x:v>
      </x:c>
      <x:c r="E21" s="18" t="str">
        <x:v>CY2024</x:v>
      </x:c>
      <x:c r="F21" s="18" t="str">
        <x:v>DOMESTIC_ROUTES_AT_PORT</x:v>
      </x:c>
      <x:c r="G21" s="20" t="n">
        <x:v>9</x:v>
      </x:c>
      <x:c r="H21" s="19" t="str">
        <x:v>https://www.mlit.go.jp/k-toukei/content/001974128.xlsx</x:v>
      </x:c>
      <x:c r="I21" s="18" t="str">
        <x:v>9b301a0ad79acb77aa0e4e018fc00319c78eb6bbfa4c25adfb4e8f52fc9a9bef</x:v>
      </x:c>
    </x:row>
    <x:row r="22" ht="28" customHeight="1">
      <x:c r="A22" s="18" t="str">
        <x:v>横須賀</x:v>
      </x:c>
      <x:c r="B22" s="18" t="str">
        <x:v>14003</x:v>
      </x:c>
      <x:c r="C22" s="18" t="str">
        <x:v>神奈川県</x:v>
      </x:c>
      <x:c r="D22" s="20" t="n">
        <x:v>705917</x:v>
      </x:c>
      <x:c r="E22" s="18" t="str">
        <x:v>CY2024</x:v>
      </x:c>
      <x:c r="F22" s="18" t="str">
        <x:v>DOMESTIC_ROUTES_AT_PORT</x:v>
      </x:c>
      <x:c r="G22" s="20" t="n">
        <x:v>36</x:v>
      </x:c>
      <x:c r="H22" s="19" t="str">
        <x:v>https://www.mlit.go.jp/k-toukei/content/001974128.xlsx</x:v>
      </x:c>
      <x:c r="I22" s="18" t="str">
        <x:v>9b301a0ad79acb77aa0e4e018fc00319c78eb6bbfa4c25adfb4e8f52fc9a9bef</x:v>
      </x:c>
    </x:row>
    <x:row r="23" ht="28" customHeight="1">
      <x:c r="A23" s="18" t="str">
        <x:v>下関</x:v>
      </x:c>
      <x:c r="B23" s="18" t="str">
        <x:v>35001</x:v>
      </x:c>
      <x:c r="C23" s="18" t="str">
        <x:v>山口県</x:v>
      </x:c>
      <x:c r="D23" s="20" t="n">
        <x:v>704208</x:v>
      </x:c>
      <x:c r="E23" s="18" t="str">
        <x:v>CY2024</x:v>
      </x:c>
      <x:c r="F23" s="18" t="str">
        <x:v>DOMESTIC_ROUTES_AT_PORT</x:v>
      </x:c>
      <x:c r="G23" s="20" t="n">
        <x:v>92</x:v>
      </x:c>
      <x:c r="H23" s="19" t="str">
        <x:v>https://www.mlit.go.jp/k-toukei/content/001974128.xlsx</x:v>
      </x:c>
      <x:c r="I23" s="18" t="str">
        <x:v>9b301a0ad79acb77aa0e4e018fc00319c78eb6bbfa4c25adfb4e8f52fc9a9bef</x:v>
      </x:c>
    </x:row>
    <x:row r="24" ht="28" customHeight="1">
      <x:c r="A24" s="18" t="str">
        <x:v>熊本</x:v>
      </x:c>
      <x:c r="B24" s="18" t="str">
        <x:v>43054</x:v>
      </x:c>
      <x:c r="C24" s="18" t="str">
        <x:v>熊本県</x:v>
      </x:c>
      <x:c r="D24" s="20" t="n">
        <x:v>685150</x:v>
      </x:c>
      <x:c r="E24" s="18" t="str">
        <x:v>CY2024</x:v>
      </x:c>
      <x:c r="F24" s="18" t="str">
        <x:v>DOMESTIC_ROUTES_AT_PORT</x:v>
      </x:c>
      <x:c r="G24" s="20" t="n">
        <x:v>138</x:v>
      </x:c>
      <x:c r="H24" s="19" t="str">
        <x:v>https://www.mlit.go.jp/k-toukei/content/001974128.xlsx</x:v>
      </x:c>
      <x:c r="I24" s="18" t="str">
        <x:v>9b301a0ad79acb77aa0e4e018fc00319c78eb6bbfa4c25adfb4e8f52fc9a9bef</x:v>
      </x:c>
    </x:row>
    <x:row r="25" ht="28" customHeight="1">
      <x:c r="A25" s="18" t="str">
        <x:v>姫路</x:v>
      </x:c>
      <x:c r="B25" s="18" t="str">
        <x:v>28002</x:v>
      </x:c>
      <x:c r="C25" s="18" t="str">
        <x:v>兵庫県</x:v>
      </x:c>
      <x:c r="D25" s="20" t="n">
        <x:v>679048</x:v>
      </x:c>
      <x:c r="E25" s="18" t="str">
        <x:v>CY2024</x:v>
      </x:c>
      <x:c r="F25" s="18" t="str">
        <x:v>DOMESTIC_ROUTES_AT_PORT</x:v>
      </x:c>
      <x:c r="G25" s="20" t="n">
        <x:v>67</x:v>
      </x:c>
      <x:c r="H25" s="19" t="str">
        <x:v>https://www.mlit.go.jp/k-toukei/content/001974128.xlsx</x:v>
      </x:c>
      <x:c r="I25" s="18" t="str">
        <x:v>9b301a0ad79acb77aa0e4e018fc00319c78eb6bbfa4c25adfb4e8f52fc9a9bef</x:v>
      </x:c>
    </x:row>
    <x:row r="26" ht="28" customHeight="1">
      <x:c r="A26" s="18" t="str">
        <x:v>佐賀関</x:v>
      </x:c>
      <x:c r="B26" s="18" t="str">
        <x:v>44009</x:v>
      </x:c>
      <x:c r="C26" s="18" t="str">
        <x:v>大分県</x:v>
      </x:c>
      <x:c r="D26" s="20" t="n">
        <x:v>662486</x:v>
      </x:c>
      <x:c r="E26" s="18" t="str">
        <x:v>CY2024</x:v>
      </x:c>
      <x:c r="F26" s="18" t="str">
        <x:v>DOMESTIC_ROUTES_AT_PORT</x:v>
      </x:c>
      <x:c r="G26" s="20" t="n">
        <x:v>143</x:v>
      </x:c>
      <x:c r="H26" s="19" t="str">
        <x:v>https://www.mlit.go.jp/k-toukei/content/001974128.xlsx</x:v>
      </x:c>
      <x:c r="I26" s="18" t="str">
        <x:v>9b301a0ad79acb77aa0e4e018fc00319c78eb6bbfa4c25adfb4e8f52fc9a9bef</x:v>
      </x:c>
    </x:row>
    <x:row r="27" ht="28" customHeight="1">
      <x:c r="A27" s="18" t="str">
        <x:v>那覇</x:v>
      </x:c>
      <x:c r="B27" s="18" t="str">
        <x:v>47001</x:v>
      </x:c>
      <x:c r="C27" s="18" t="str">
        <x:v>沖縄県</x:v>
      </x:c>
      <x:c r="D27" s="20" t="n">
        <x:v>652408</x:v>
      </x:c>
      <x:c r="E27" s="18" t="str">
        <x:v>CY2024</x:v>
      </x:c>
      <x:c r="F27" s="18" t="str">
        <x:v>DOMESTIC_ROUTES_AT_PORT</x:v>
      </x:c>
      <x:c r="G27" s="20" t="n">
        <x:v>162</x:v>
      </x:c>
      <x:c r="H27" s="19" t="str">
        <x:v>https://www.mlit.go.jp/k-toukei/content/001974128.xlsx</x:v>
      </x:c>
      <x:c r="I27" s="18" t="str">
        <x:v>9b301a0ad79acb77aa0e4e018fc00319c78eb6bbfa4c25adfb4e8f52fc9a9bef</x:v>
      </x:c>
    </x:row>
    <x:row r="28" ht="28" customHeight="1">
      <x:c r="A28" s="18" t="str">
        <x:v>明石</x:v>
      </x:c>
      <x:c r="B28" s="18" t="str">
        <x:v>28006</x:v>
      </x:c>
      <x:c r="C28" s="18" t="str">
        <x:v>兵庫県</x:v>
      </x:c>
      <x:c r="D28" s="20" t="n">
        <x:v>611739</x:v>
      </x:c>
      <x:c r="E28" s="18" t="str">
        <x:v>CY2024</x:v>
      </x:c>
      <x:c r="F28" s="18" t="str">
        <x:v>DOMESTIC_ROUTES_AT_PORT</x:v>
      </x:c>
      <x:c r="G28" s="20" t="n">
        <x:v>66</x:v>
      </x:c>
      <x:c r="H28" s="19" t="str">
        <x:v>https://www.mlit.go.jp/k-toukei/content/001974128.xlsx</x:v>
      </x:c>
      <x:c r="I28" s="18" t="str">
        <x:v>9b301a0ad79acb77aa0e4e018fc00319c78eb6bbfa4c25adfb4e8f52fc9a9bef</x:v>
      </x:c>
    </x:row>
    <x:row r="29" ht="28" customHeight="1">
      <x:c r="A29" s="18" t="str">
        <x:v>竹原</x:v>
      </x:c>
      <x:c r="B29" s="18" t="str">
        <x:v>34012</x:v>
      </x:c>
      <x:c r="C29" s="18" t="str">
        <x:v>広島県</x:v>
      </x:c>
      <x:c r="D29" s="20" t="n">
        <x:v>570732</x:v>
      </x:c>
      <x:c r="E29" s="18" t="str">
        <x:v>CY2024</x:v>
      </x:c>
      <x:c r="F29" s="18" t="str">
        <x:v>DOMESTIC_ROUTES_AT_PORT</x:v>
      </x:c>
      <x:c r="G29" s="20" t="n">
        <x:v>85</x:v>
      </x:c>
      <x:c r="H29" s="19" t="str">
        <x:v>https://www.mlit.go.jp/k-toukei/content/001974128.xlsx</x:v>
      </x:c>
      <x:c r="I29" s="18" t="str">
        <x:v>9b301a0ad79acb77aa0e4e018fc00319c78eb6bbfa4c25adfb4e8f52fc9a9bef</x:v>
      </x:c>
    </x:row>
    <x:row r="30" ht="28" customHeight="1">
      <x:c r="A30" s="18" t="str">
        <x:v>呉</x:v>
      </x:c>
      <x:c r="B30" s="18" t="str">
        <x:v>34004</x:v>
      </x:c>
      <x:c r="C30" s="18" t="str">
        <x:v>広島県</x:v>
      </x:c>
      <x:c r="D30" s="20" t="n">
        <x:v>534621</x:v>
      </x:c>
      <x:c r="E30" s="18" t="str">
        <x:v>CY2024</x:v>
      </x:c>
      <x:c r="F30" s="18" t="str">
        <x:v>DOMESTIC_ROUTES_AT_PORT</x:v>
      </x:c>
      <x:c r="G30" s="20" t="n">
        <x:v>87</x:v>
      </x:c>
      <x:c r="H30" s="19" t="str">
        <x:v>https://www.mlit.go.jp/k-toukei/content/001974128.xlsx</x:v>
      </x:c>
      <x:c r="I30" s="18" t="str">
        <x:v>9b301a0ad79acb77aa0e4e018fc00319c78eb6bbfa4c25adfb4e8f52fc9a9bef</x:v>
      </x:c>
    </x:row>
    <x:row r="31" ht="28" customHeight="1">
      <x:c r="A31" s="18" t="str">
        <x:v>福江</x:v>
      </x:c>
      <x:c r="B31" s="18" t="str">
        <x:v>42004</x:v>
      </x:c>
      <x:c r="C31" s="18" t="str">
        <x:v>長崎県</x:v>
      </x:c>
      <x:c r="D31" s="20" t="n">
        <x:v>530316</x:v>
      </x:c>
      <x:c r="E31" s="18" t="str">
        <x:v>CY2024</x:v>
      </x:c>
      <x:c r="F31" s="18" t="str">
        <x:v>DOMESTIC_ROUTES_AT_PORT</x:v>
      </x:c>
      <x:c r="G31" s="20" t="n">
        <x:v>134</x:v>
      </x:c>
      <x:c r="H31" s="19" t="str">
        <x:v>https://www.mlit.go.jp/k-toukei/content/001974128.xlsx</x:v>
      </x:c>
      <x:c r="I31" s="18" t="str">
        <x:v>9b301a0ad79acb77aa0e4e018fc00319c78eb6bbfa4c25adfb4e8f52fc9a9bef</x:v>
      </x:c>
    </x:row>
    <x:row r="32" ht="28" customHeight="1">
      <x:c r="A32" s="18" t="str">
        <x:v>本部</x:v>
      </x:c>
      <x:c r="B32" s="18" t="str">
        <x:v>47011</x:v>
      </x:c>
      <x:c r="C32" s="18" t="str">
        <x:v>沖縄県</x:v>
      </x:c>
      <x:c r="D32" s="20" t="n">
        <x:v>529455</x:v>
      </x:c>
      <x:c r="E32" s="18" t="str">
        <x:v>CY2024</x:v>
      </x:c>
      <x:c r="F32" s="18" t="str">
        <x:v>DOMESTIC_ROUTES_AT_PORT</x:v>
      </x:c>
      <x:c r="G32" s="20" t="n">
        <x:v>163</x:v>
      </x:c>
      <x:c r="H32" s="19" t="str">
        <x:v>https://www.mlit.go.jp/k-toukei/content/001974128.xlsx</x:v>
      </x:c>
      <x:c r="I32" s="18" t="str">
        <x:v>9b301a0ad79acb77aa0e4e018fc00319c78eb6bbfa4c25adfb4e8f52fc9a9bef</x:v>
      </x:c>
    </x:row>
    <x:row r="33" ht="28" customHeight="1">
      <x:c r="A33" s="18" t="str">
        <x:v>佐世保</x:v>
      </x:c>
      <x:c r="B33" s="18" t="str">
        <x:v>42005</x:v>
      </x:c>
      <x:c r="C33" s="18" t="str">
        <x:v>長崎県</x:v>
      </x:c>
      <x:c r="D33" s="20" t="n">
        <x:v>510884</x:v>
      </x:c>
      <x:c r="E33" s="18" t="str">
        <x:v>CY2024</x:v>
      </x:c>
      <x:c r="F33" s="18" t="str">
        <x:v>DOMESTIC_ROUTES_AT_PORT</x:v>
      </x:c>
      <x:c r="G33" s="20" t="n">
        <x:v>127</x:v>
      </x:c>
      <x:c r="H33" s="19" t="str">
        <x:v>https://www.mlit.go.jp/k-toukei/content/001974128.xlsx</x:v>
      </x:c>
      <x:c r="I33" s="18" t="str">
        <x:v>9b301a0ad79acb77aa0e4e018fc00319c78eb6bbfa4c25adfb4e8f52fc9a9bef</x:v>
      </x:c>
    </x:row>
    <x:row r="34" ht="28" customHeight="1">
      <x:c r="A34" s="18" t="str">
        <x:v>西之表</x:v>
      </x:c>
      <x:c r="B34" s="18" t="str">
        <x:v>46002</x:v>
      </x:c>
      <x:c r="C34" s="18" t="str">
        <x:v>鹿児島県</x:v>
      </x:c>
      <x:c r="D34" s="20" t="n">
        <x:v>480368</x:v>
      </x:c>
      <x:c r="E34" s="18" t="str">
        <x:v>CY2024</x:v>
      </x:c>
      <x:c r="F34" s="18" t="str">
        <x:v>DOMESTIC_ROUTES_AT_PORT</x:v>
      </x:c>
      <x:c r="G34" s="20" t="n">
        <x:v>157</x:v>
      </x:c>
      <x:c r="H34" s="19" t="str">
        <x:v>https://www.mlit.go.jp/k-toukei/content/001974128.xlsx</x:v>
      </x:c>
      <x:c r="I34" s="18" t="str">
        <x:v>9b301a0ad79acb77aa0e4e018fc00319c78eb6bbfa4c25adfb4e8f52fc9a9bef</x:v>
      </x:c>
    </x:row>
    <x:row r="35" ht="28" customHeight="1">
      <x:c r="A35" s="18" t="str">
        <x:v>島原</x:v>
      </x:c>
      <x:c r="B35" s="18" t="str">
        <x:v>42006</x:v>
      </x:c>
      <x:c r="C35" s="18" t="str">
        <x:v>長崎県</x:v>
      </x:c>
      <x:c r="D35" s="20" t="n">
        <x:v>467082</x:v>
      </x:c>
      <x:c r="E35" s="18" t="str">
        <x:v>CY2024</x:v>
      </x:c>
      <x:c r="F35" s="18" t="str">
        <x:v>DOMESTIC_ROUTES_AT_PORT</x:v>
      </x:c>
      <x:c r="G35" s="20" t="n">
        <x:v>123</x:v>
      </x:c>
      <x:c r="H35" s="19" t="str">
        <x:v>https://www.mlit.go.jp/k-toukei/content/001974128.xlsx</x:v>
      </x:c>
      <x:c r="I35" s="18" t="str">
        <x:v>9b301a0ad79acb77aa0e4e018fc00319c78eb6bbfa4c25adfb4e8f52fc9a9bef</x:v>
      </x:c>
    </x:row>
    <x:row r="36" ht="28" customHeight="1">
      <x:c r="A36" s="18" t="str">
        <x:v>青森</x:v>
      </x:c>
      <x:c r="B36" s="18" t="str">
        <x:v>02001</x:v>
      </x:c>
      <x:c r="C36" s="18" t="str">
        <x:v>青森県</x:v>
      </x:c>
      <x:c r="D36" s="20" t="n">
        <x:v>429355</x:v>
      </x:c>
      <x:c r="E36" s="18" t="str">
        <x:v>CY2024</x:v>
      </x:c>
      <x:c r="F36" s="18" t="str">
        <x:v>DOMESTIC_ROUTES_AT_PORT</x:v>
      </x:c>
      <x:c r="G36" s="20" t="n">
        <x:v>15</x:v>
      </x:c>
      <x:c r="H36" s="19" t="str">
        <x:v>https://www.mlit.go.jp/k-toukei/content/001974128.xlsx</x:v>
      </x:c>
      <x:c r="I36" s="18" t="str">
        <x:v>9b301a0ad79acb77aa0e4e018fc00319c78eb6bbfa4c25adfb4e8f52fc9a9bef</x:v>
      </x:c>
    </x:row>
    <x:row r="37" ht="28" customHeight="1">
      <x:c r="A37" s="18" t="str">
        <x:v>別府</x:v>
      </x:c>
      <x:c r="B37" s="18" t="str">
        <x:v>44003</x:v>
      </x:c>
      <x:c r="C37" s="18" t="str">
        <x:v>大分県</x:v>
      </x:c>
      <x:c r="D37" s="20" t="n">
        <x:v>418369</x:v>
      </x:c>
      <x:c r="E37" s="18" t="str">
        <x:v>CY2024</x:v>
      </x:c>
      <x:c r="F37" s="18" t="str">
        <x:v>DOMESTIC_ROUTES_AT_PORT</x:v>
      </x:c>
      <x:c r="G37" s="20" t="n">
        <x:v>141</x:v>
      </x:c>
      <x:c r="H37" s="19" t="str">
        <x:v>https://www.mlit.go.jp/k-toukei/content/001974128.xlsx</x:v>
      </x:c>
      <x:c r="I37" s="18" t="str">
        <x:v>9b301a0ad79acb77aa0e4e018fc00319c78eb6bbfa4c25adfb4e8f52fc9a9bef</x:v>
      </x:c>
    </x:row>
    <x:row r="38" ht="28" customHeight="1">
      <x:c r="A38" s="18" t="str">
        <x:v>尾道糸崎</x:v>
      </x:c>
      <x:c r="B38" s="18" t="str">
        <x:v>34002</x:v>
      </x:c>
      <x:c r="C38" s="18" t="str">
        <x:v>広島県</x:v>
      </x:c>
      <x:c r="D38" s="20" t="n">
        <x:v>398703</x:v>
      </x:c>
      <x:c r="E38" s="18" t="str">
        <x:v>CY2024</x:v>
      </x:c>
      <x:c r="F38" s="18" t="str">
        <x:v>DOMESTIC_ROUTES_AT_PORT</x:v>
      </x:c>
      <x:c r="G38" s="20" t="n">
        <x:v>84</x:v>
      </x:c>
      <x:c r="H38" s="19" t="str">
        <x:v>https://www.mlit.go.jp/k-toukei/content/001974128.xlsx</x:v>
      </x:c>
      <x:c r="I38" s="18" t="str">
        <x:v>9b301a0ad79acb77aa0e4e018fc00319c78eb6bbfa4c25adfb4e8f52fc9a9bef</x:v>
      </x:c>
    </x:row>
    <x:row r="39" ht="28" customHeight="1">
      <x:c r="A39" s="18" t="str">
        <x:v>函館</x:v>
      </x:c>
      <x:c r="B39" s="18" t="str">
        <x:v>01004</x:v>
      </x:c>
      <x:c r="C39" s="18" t="str">
        <x:v>北海道</x:v>
      </x:c>
      <x:c r="D39" s="20" t="n">
        <x:v>389262</x:v>
      </x:c>
      <x:c r="E39" s="18" t="str">
        <x:v>CY2024</x:v>
      </x:c>
      <x:c r="F39" s="18" t="str">
        <x:v>DOMESTIC_ROUTES_AT_PORT</x:v>
      </x:c>
      <x:c r="G39" s="20" t="n">
        <x:v>12</x:v>
      </x:c>
      <x:c r="H39" s="19" t="str">
        <x:v>https://www.mlit.go.jp/k-toukei/content/001974128.xlsx</x:v>
      </x:c>
      <x:c r="I39" s="18" t="str">
        <x:v>9b301a0ad79acb77aa0e4e018fc00319c78eb6bbfa4c25adfb4e8f52fc9a9bef</x:v>
      </x:c>
    </x:row>
    <x:row r="40" ht="28" customHeight="1">
      <x:c r="A40" s="18" t="str">
        <x:v>泉州</x:v>
      </x:c>
      <x:c r="B40" s="18" t="str">
        <x:v>27010</x:v>
      </x:c>
      <x:c r="C40" s="18" t="str">
        <x:v>大阪府</x:v>
      </x:c>
      <x:c r="D40" s="20" t="n">
        <x:v>340853</x:v>
      </x:c>
      <x:c r="E40" s="18" t="str">
        <x:v>CY2024</x:v>
      </x:c>
      <x:c r="F40" s="18" t="str">
        <x:v>DOMESTIC_ROUTES_AT_PORT</x:v>
      </x:c>
      <x:c r="G40" s="20" t="n">
        <x:v>60</x:v>
      </x:c>
      <x:c r="H40" s="19" t="str">
        <x:v>https://www.mlit.go.jp/k-toukei/content/001974128.xlsx</x:v>
      </x:c>
      <x:c r="I40" s="18" t="str">
        <x:v>9b301a0ad79acb77aa0e4e018fc00319c78eb6bbfa4c25adfb4e8f52fc9a9bef</x:v>
      </x:c>
    </x:row>
    <x:row r="41" ht="28" customHeight="1">
      <x:c r="A41" s="18" t="str">
        <x:v>郷ノ浦</x:v>
      </x:c>
      <x:c r="B41" s="18" t="str">
        <x:v>42003</x:v>
      </x:c>
      <x:c r="C41" s="18" t="str">
        <x:v>長崎県</x:v>
      </x:c>
      <x:c r="D41" s="20" t="n">
        <x:v>334836</x:v>
      </x:c>
      <x:c r="E41" s="18" t="str">
        <x:v>CY2024</x:v>
      </x:c>
      <x:c r="F41" s="18" t="str">
        <x:v>DOMESTIC_ROUTES_AT_PORT</x:v>
      </x:c>
      <x:c r="G41" s="20" t="n">
        <x:v>131</x:v>
      </x:c>
      <x:c r="H41" s="19" t="str">
        <x:v>https://www.mlit.go.jp/k-toukei/content/001974128.xlsx</x:v>
      </x:c>
      <x:c r="I41" s="18" t="str">
        <x:v>9b301a0ad79acb77aa0e4e018fc00319c78eb6bbfa4c25adfb4e8f52fc9a9bef</x:v>
      </x:c>
    </x:row>
    <x:row r="42" ht="28" customHeight="1">
      <x:c r="A42" s="18" t="str">
        <x:v>徳島小松島</x:v>
      </x:c>
      <x:c r="B42" s="18" t="str">
        <x:v>36001</x:v>
      </x:c>
      <x:c r="C42" s="18" t="str">
        <x:v>徳島県</x:v>
      </x:c>
      <x:c r="D42" s="20" t="n">
        <x:v>280032</x:v>
      </x:c>
      <x:c r="E42" s="18" t="str">
        <x:v>CY2024</x:v>
      </x:c>
      <x:c r="F42" s="18" t="str">
        <x:v>DOMESTIC_ROUTES_AT_PORT</x:v>
      </x:c>
      <x:c r="G42" s="20" t="n">
        <x:v>97</x:v>
      </x:c>
      <x:c r="H42" s="19" t="str">
        <x:v>https://www.mlit.go.jp/k-toukei/content/001974128.xlsx</x:v>
      </x:c>
      <x:c r="I42" s="18" t="str">
        <x:v>9b301a0ad79acb77aa0e4e018fc00319c78eb6bbfa4c25adfb4e8f52fc9a9bef</x:v>
      </x:c>
    </x:row>
    <x:row r="43" ht="28" customHeight="1">
      <x:c r="A43" s="18" t="str">
        <x:v>西郷</x:v>
      </x:c>
      <x:c r="B43" s="18" t="str">
        <x:v>32002</x:v>
      </x:c>
      <x:c r="C43" s="18" t="str">
        <x:v>島根県</x:v>
      </x:c>
      <x:c r="D43" s="20" t="n">
        <x:v>254857</x:v>
      </x:c>
      <x:c r="E43" s="18" t="str">
        <x:v>CY2024</x:v>
      </x:c>
      <x:c r="F43" s="18" t="str">
        <x:v>DOMESTIC_ROUTES_AT_PORT</x:v>
      </x:c>
      <x:c r="G43" s="20" t="n">
        <x:v>76</x:v>
      </x:c>
      <x:c r="H43" s="19" t="str">
        <x:v>https://www.mlit.go.jp/k-toukei/content/001974128.xlsx</x:v>
      </x:c>
      <x:c r="I43" s="18" t="str">
        <x:v>9b301a0ad79acb77aa0e4e018fc00319c78eb6bbfa4c25adfb4e8f52fc9a9bef</x:v>
      </x:c>
    </x:row>
    <x:row r="44" ht="28" customHeight="1">
      <x:c r="A44" s="18" t="str">
        <x:v>稚内</x:v>
      </x:c>
      <x:c r="B44" s="18" t="str">
        <x:v>01002</x:v>
      </x:c>
      <x:c r="C44" s="18" t="str">
        <x:v>北海道</x:v>
      </x:c>
      <x:c r="D44" s="20" t="n">
        <x:v>252831</x:v>
      </x:c>
      <x:c r="E44" s="18" t="str">
        <x:v>CY2024</x:v>
      </x:c>
      <x:c r="F44" s="18" t="str">
        <x:v>DOMESTIC_ROUTES_AT_PORT</x:v>
      </x:c>
      <x:c r="G44" s="20" t="n">
        <x:v>4</x:v>
      </x:c>
      <x:c r="H44" s="19" t="str">
        <x:v>https://www.mlit.go.jp/k-toukei/content/001974128.xlsx</x:v>
      </x:c>
      <x:c r="I44" s="18" t="str">
        <x:v>9b301a0ad79acb77aa0e4e018fc00319c78eb6bbfa4c25adfb4e8f52fc9a9bef</x:v>
      </x:c>
    </x:row>
    <x:row r="45" ht="28" customHeight="1">
      <x:c r="A45" s="18" t="str">
        <x:v>松島</x:v>
      </x:c>
      <x:c r="B45" s="18" t="str">
        <x:v>42040</x:v>
      </x:c>
      <x:c r="C45" s="18" t="str">
        <x:v>長崎県</x:v>
      </x:c>
      <x:c r="D45" s="20" t="n">
        <x:v>244977</x:v>
      </x:c>
      <x:c r="E45" s="18" t="str">
        <x:v>CY2024</x:v>
      </x:c>
      <x:c r="F45" s="18" t="str">
        <x:v>DOMESTIC_ROUTES_AT_PORT</x:v>
      </x:c>
      <x:c r="G45" s="20" t="n">
        <x:v>133</x:v>
      </x:c>
      <x:c r="H45" s="19" t="str">
        <x:v>https://www.mlit.go.jp/k-toukei/content/001974128.xlsx</x:v>
      </x:c>
      <x:c r="I45" s="18" t="str">
        <x:v>9b301a0ad79acb77aa0e4e018fc00319c78eb6bbfa4c25adfb4e8f52fc9a9bef</x:v>
      </x:c>
    </x:row>
    <x:row r="46" ht="28" customHeight="1">
      <x:c r="A46" s="18" t="str">
        <x:v>小樽</x:v>
      </x:c>
      <x:c r="B46" s="18" t="str">
        <x:v>01005</x:v>
      </x:c>
      <x:c r="C46" s="18" t="str">
        <x:v>北海道</x:v>
      </x:c>
      <x:c r="D46" s="20" t="n">
        <x:v>240189</x:v>
      </x:c>
      <x:c r="E46" s="18" t="str">
        <x:v>CY2024</x:v>
      </x:c>
      <x:c r="F46" s="18" t="str">
        <x:v>DOMESTIC_ROUTES_AT_PORT</x:v>
      </x:c>
      <x:c r="G46" s="20" t="n">
        <x:v>14</x:v>
      </x:c>
      <x:c r="H46" s="19" t="str">
        <x:v>https://www.mlit.go.jp/k-toukei/content/001974128.xlsx</x:v>
      </x:c>
      <x:c r="I46" s="18" t="str">
        <x:v>9b301a0ad79acb77aa0e4e018fc00319c78eb6bbfa4c25adfb4e8f52fc9a9bef</x:v>
      </x:c>
    </x:row>
    <x:row r="47" ht="28" customHeight="1">
      <x:c r="A47" s="18" t="str">
        <x:v>宮之浦(屋久島町)</x:v>
      </x:c>
      <x:c r="B47" s="18" t="str">
        <x:v>46010</x:v>
      </x:c>
      <x:c r="C47" s="18" t="str">
        <x:v>鹿児島県</x:v>
      </x:c>
      <x:c r="D47" s="20" t="n">
        <x:v>199117</x:v>
      </x:c>
      <x:c r="E47" s="18" t="str">
        <x:v>CY2024</x:v>
      </x:c>
      <x:c r="F47" s="18" t="str">
        <x:v>DOMESTIC_ROUTES_AT_PORT</x:v>
      </x:c>
      <x:c r="G47" s="20" t="n">
        <x:v>158</x:v>
      </x:c>
      <x:c r="H47" s="19" t="str">
        <x:v>https://www.mlit.go.jp/k-toukei/content/001974128.xlsx</x:v>
      </x:c>
      <x:c r="I47" s="18" t="str">
        <x:v>9b301a0ad79acb77aa0e4e018fc00319c78eb6bbfa4c25adfb4e8f52fc9a9bef</x:v>
      </x:c>
    </x:row>
    <x:row r="48" ht="28" customHeight="1">
      <x:c r="A48" s="18" t="str">
        <x:v>丸亀</x:v>
      </x:c>
      <x:c r="B48" s="18" t="str">
        <x:v>37009</x:v>
      </x:c>
      <x:c r="C48" s="18" t="str">
        <x:v>香川県</x:v>
      </x:c>
      <x:c r="D48" s="20" t="n">
        <x:v>195641</x:v>
      </x:c>
      <x:c r="E48" s="18" t="str">
        <x:v>CY2024</x:v>
      </x:c>
      <x:c r="F48" s="18" t="str">
        <x:v>DOMESTIC_ROUTES_AT_PORT</x:v>
      </x:c>
      <x:c r="G48" s="20" t="n">
        <x:v>101</x:v>
      </x:c>
      <x:c r="H48" s="19" t="str">
        <x:v>https://www.mlit.go.jp/k-toukei/content/001974128.xlsx</x:v>
      </x:c>
      <x:c r="I48" s="18" t="str">
        <x:v>9b301a0ad79acb77aa0e4e018fc00319c78eb6bbfa4c25adfb4e8f52fc9a9bef</x:v>
      </x:c>
    </x:row>
    <x:row r="49" ht="28" customHeight="1">
      <x:c r="A49" s="18" t="str">
        <x:v>厳原</x:v>
      </x:c>
      <x:c r="B49" s="18" t="str">
        <x:v>42002</x:v>
      </x:c>
      <x:c r="C49" s="18" t="str">
        <x:v>長崎県</x:v>
      </x:c>
      <x:c r="D49" s="20" t="n">
        <x:v>189015</x:v>
      </x:c>
      <x:c r="E49" s="18" t="str">
        <x:v>CY2024</x:v>
      </x:c>
      <x:c r="F49" s="18" t="str">
        <x:v>DOMESTIC_ROUTES_AT_PORT</x:v>
      </x:c>
      <x:c r="G49" s="20" t="n">
        <x:v>130</x:v>
      </x:c>
      <x:c r="H49" s="19" t="str">
        <x:v>https://www.mlit.go.jp/k-toukei/content/001974128.xlsx</x:v>
      </x:c>
      <x:c r="I49" s="18" t="str">
        <x:v>9b301a0ad79acb77aa0e4e018fc00319c78eb6bbfa4c25adfb4e8f52fc9a9bef</x:v>
      </x:c>
    </x:row>
    <x:row r="50" ht="28" customHeight="1">
      <x:c r="A50" s="18" t="str">
        <x:v>堺泉北</x:v>
      </x:c>
      <x:c r="B50" s="18" t="str">
        <x:v>27002</x:v>
      </x:c>
      <x:c r="C50" s="18" t="str">
        <x:v>大阪府</x:v>
      </x:c>
      <x:c r="D50" s="20" t="n">
        <x:v>187314</x:v>
      </x:c>
      <x:c r="E50" s="18" t="str">
        <x:v>CY2024</x:v>
      </x:c>
      <x:c r="F50" s="18" t="str">
        <x:v>DOMESTIC_ROUTES_AT_PORT</x:v>
      </x:c>
      <x:c r="G50" s="20" t="n">
        <x:v>61</x:v>
      </x:c>
      <x:c r="H50" s="19" t="str">
        <x:v>https://www.mlit.go.jp/k-toukei/content/001974128.xlsx</x:v>
      </x:c>
      <x:c r="I50" s="18" t="str">
        <x:v>9b301a0ad79acb77aa0e4e018fc00319c78eb6bbfa4c25adfb4e8f52fc9a9bef</x:v>
      </x:c>
    </x:row>
    <x:row r="51" ht="28" customHeight="1">
      <x:c r="A51" s="18" t="str">
        <x:v>津松阪</x:v>
      </x:c>
      <x:c r="B51" s="18" t="str">
        <x:v>24005</x:v>
      </x:c>
      <x:c r="C51" s="18" t="str">
        <x:v>三重県</x:v>
      </x:c>
      <x:c r="D51" s="20" t="n">
        <x:v>183081</x:v>
      </x:c>
      <x:c r="E51" s="18" t="str">
        <x:v>CY2024</x:v>
      </x:c>
      <x:c r="F51" s="18" t="str">
        <x:v>DOMESTIC_ROUTES_AT_PORT</x:v>
      </x:c>
      <x:c r="G51" s="20" t="n">
        <x:v>57</x:v>
      </x:c>
      <x:c r="H51" s="19" t="str">
        <x:v>https://www.mlit.go.jp/k-toukei/content/001974128.xlsx</x:v>
      </x:c>
      <x:c r="I51" s="18" t="str">
        <x:v>9b301a0ad79acb77aa0e4e018fc00319c78eb6bbfa4c25adfb4e8f52fc9a9bef</x:v>
      </x:c>
    </x:row>
    <x:row r="52" ht="28" customHeight="1">
      <x:c r="A52" s="18" t="str">
        <x:v>常滑</x:v>
      </x:c>
      <x:c r="B52" s="18" t="str">
        <x:v>23005</x:v>
      </x:c>
      <x:c r="C52" s="18" t="str">
        <x:v>愛知県</x:v>
      </x:c>
      <x:c r="D52" s="20" t="n">
        <x:v>182958</x:v>
      </x:c>
      <x:c r="E52" s="18" t="str">
        <x:v>CY2024</x:v>
      </x:c>
      <x:c r="F52" s="18" t="str">
        <x:v>DOMESTIC_ROUTES_AT_PORT</x:v>
      </x:c>
      <x:c r="G52" s="20" t="n">
        <x:v>53</x:v>
      </x:c>
      <x:c r="H52" s="19" t="str">
        <x:v>https://www.mlit.go.jp/k-toukei/content/001974128.xlsx</x:v>
      </x:c>
      <x:c r="I52" s="18" t="str">
        <x:v>9b301a0ad79acb77aa0e4e018fc00319c78eb6bbfa4c25adfb4e8f52fc9a9bef</x:v>
      </x:c>
    </x:row>
    <x:row r="53" ht="28" customHeight="1">
      <x:c r="A53" s="18" t="str">
        <x:v>安芸津</x:v>
      </x:c>
      <x:c r="B53" s="18" t="str">
        <x:v>34016</x:v>
      </x:c>
      <x:c r="C53" s="18" t="str">
        <x:v>広島県</x:v>
      </x:c>
      <x:c r="D53" s="20" t="n">
        <x:v>182633</x:v>
      </x:c>
      <x:c r="E53" s="18" t="str">
        <x:v>CY2024</x:v>
      </x:c>
      <x:c r="F53" s="18" t="str">
        <x:v>DOMESTIC_ROUTES_AT_PORT</x:v>
      </x:c>
      <x:c r="G53" s="20" t="n">
        <x:v>86</x:v>
      </x:c>
      <x:c r="H53" s="19" t="str">
        <x:v>https://www.mlit.go.jp/k-toukei/content/001974128.xlsx</x:v>
      </x:c>
      <x:c r="I53" s="18" t="str">
        <x:v>9b301a0ad79acb77aa0e4e018fc00319c78eb6bbfa4c25adfb4e8f52fc9a9bef</x:v>
      </x:c>
    </x:row>
    <x:row r="54" ht="28" customHeight="1">
      <x:c r="A54" s="18" t="str">
        <x:v>宮崎</x:v>
      </x:c>
      <x:c r="B54" s="18" t="str">
        <x:v>45017</x:v>
      </x:c>
      <x:c r="C54" s="18" t="str">
        <x:v>宮崎県</x:v>
      </x:c>
      <x:c r="D54" s="20" t="n">
        <x:v>178055</x:v>
      </x:c>
      <x:c r="E54" s="18" t="str">
        <x:v>CY2024</x:v>
      </x:c>
      <x:c r="F54" s="18" t="str">
        <x:v>DOMESTIC_ROUTES_AT_PORT</x:v>
      </x:c>
      <x:c r="G54" s="20" t="n">
        <x:v>148</x:v>
      </x:c>
      <x:c r="H54" s="19" t="str">
        <x:v>https://www.mlit.go.jp/k-toukei/content/001974128.xlsx</x:v>
      </x:c>
      <x:c r="I54" s="18" t="str">
        <x:v>9b301a0ad79acb77aa0e4e018fc00319c78eb6bbfa4c25adfb4e8f52fc9a9bef</x:v>
      </x:c>
    </x:row>
    <x:row r="55" ht="28" customHeight="1">
      <x:c r="A55" s="18" t="str">
        <x:v>福井</x:v>
      </x:c>
      <x:c r="B55" s="18" t="str">
        <x:v>18005</x:v>
      </x:c>
      <x:c r="C55" s="18" t="str">
        <x:v>福井県</x:v>
      </x:c>
      <x:c r="D55" s="20" t="n">
        <x:v>176964</x:v>
      </x:c>
      <x:c r="E55" s="18" t="str">
        <x:v>CY2024</x:v>
      </x:c>
      <x:c r="F55" s="18" t="str">
        <x:v>DOMESTIC_ROUTES_AT_PORT</x:v>
      </x:c>
      <x:c r="G55" s="20" t="n">
        <x:v>44</x:v>
      </x:c>
      <x:c r="H55" s="19" t="str">
        <x:v>https://www.mlit.go.jp/k-toukei/content/001974128.xlsx</x:v>
      </x:c>
      <x:c r="I55" s="18" t="str">
        <x:v>9b301a0ad79acb77aa0e4e018fc00319c78eb6bbfa4c25adfb4e8f52fc9a9bef</x:v>
      </x:c>
    </x:row>
    <x:row r="56" ht="28" customHeight="1">
      <x:c r="A56" s="18" t="str">
        <x:v>東予</x:v>
      </x:c>
      <x:c r="B56" s="18" t="str">
        <x:v>38006</x:v>
      </x:c>
      <x:c r="C56" s="18" t="str">
        <x:v>愛媛県</x:v>
      </x:c>
      <x:c r="D56" s="20" t="n">
        <x:v>174276</x:v>
      </x:c>
      <x:c r="E56" s="18" t="str">
        <x:v>CY2024</x:v>
      </x:c>
      <x:c r="F56" s="18" t="str">
        <x:v>DOMESTIC_ROUTES_AT_PORT</x:v>
      </x:c>
      <x:c r="G56" s="20" t="n">
        <x:v>109</x:v>
      </x:c>
      <x:c r="H56" s="19" t="str">
        <x:v>https://www.mlit.go.jp/k-toukei/content/001974128.xlsx</x:v>
      </x:c>
      <x:c r="I56" s="18" t="str">
        <x:v>9b301a0ad79acb77aa0e4e018fc00319c78eb6bbfa4c25adfb4e8f52fc9a9bef</x:v>
      </x:c>
    </x:row>
    <x:row r="57" ht="28" customHeight="1">
      <x:c r="A57" s="18" t="str">
        <x:v>茨城</x:v>
      </x:c>
      <x:c r="B57" s="18" t="str">
        <x:v>08009</x:v>
      </x:c>
      <x:c r="C57" s="18" t="str">
        <x:v>茨城県</x:v>
      </x:c>
      <x:c r="D57" s="20" t="n">
        <x:v>172601</x:v>
      </x:c>
      <x:c r="E57" s="18" t="str">
        <x:v>CY2024</x:v>
      </x:c>
      <x:c r="F57" s="18" t="str">
        <x:v>DOMESTIC_ROUTES_AT_PORT</x:v>
      </x:c>
      <x:c r="G57" s="20" t="n">
        <x:v>27</x:v>
      </x:c>
      <x:c r="H57" s="19" t="str">
        <x:v>https://www.mlit.go.jp/k-toukei/content/001974128.xlsx</x:v>
      </x:c>
      <x:c r="I57" s="18" t="str">
        <x:v>9b301a0ad79acb77aa0e4e018fc00319c78eb6bbfa4c25adfb4e8f52fc9a9bef</x:v>
      </x:c>
    </x:row>
    <x:row r="58" ht="28" customHeight="1">
      <x:c r="A58" s="18" t="str">
        <x:v>大分</x:v>
      </x:c>
      <x:c r="B58" s="18" t="str">
        <x:v>44001</x:v>
      </x:c>
      <x:c r="C58" s="18" t="str">
        <x:v>大分県</x:v>
      </x:c>
      <x:c r="D58" s="20" t="n">
        <x:v>166649</x:v>
      </x:c>
      <x:c r="E58" s="18" t="str">
        <x:v>CY2024</x:v>
      </x:c>
      <x:c r="F58" s="18" t="str">
        <x:v>DOMESTIC_ROUTES_AT_PORT</x:v>
      </x:c>
      <x:c r="G58" s="20" t="n">
        <x:v>142</x:v>
      </x:c>
      <x:c r="H58" s="19" t="str">
        <x:v>https://www.mlit.go.jp/k-toukei/content/001974128.xlsx</x:v>
      </x:c>
      <x:c r="I58" s="18" t="str">
        <x:v>9b301a0ad79acb77aa0e4e018fc00319c78eb6bbfa4c25adfb4e8f52fc9a9bef</x:v>
      </x:c>
    </x:row>
    <x:row r="59" ht="28" customHeight="1">
      <x:c r="A59" s="18" t="str">
        <x:v>肥前大島</x:v>
      </x:c>
      <x:c r="B59" s="18" t="str">
        <x:v>42020</x:v>
      </x:c>
      <x:c r="C59" s="18" t="str">
        <x:v>長崎県</x:v>
      </x:c>
      <x:c r="D59" s="20" t="n">
        <x:v>166387</x:v>
      </x:c>
      <x:c r="E59" s="18" t="str">
        <x:v>CY2024</x:v>
      </x:c>
      <x:c r="F59" s="18" t="str">
        <x:v>DOMESTIC_ROUTES_AT_PORT</x:v>
      </x:c>
      <x:c r="G59" s="20" t="n">
        <x:v>132</x:v>
      </x:c>
      <x:c r="H59" s="19" t="str">
        <x:v>https://www.mlit.go.jp/k-toukei/content/001974128.xlsx</x:v>
      </x:c>
      <x:c r="I59" s="18" t="str">
        <x:v>9b301a0ad79acb77aa0e4e018fc00319c78eb6bbfa4c25adfb4e8f52fc9a9bef</x:v>
      </x:c>
    </x:row>
    <x:row r="60" ht="28" customHeight="1">
      <x:c r="A60" s="18" t="str">
        <x:v>岡山</x:v>
      </x:c>
      <x:c r="B60" s="18" t="str">
        <x:v>33003</x:v>
      </x:c>
      <x:c r="C60" s="18" t="str">
        <x:v>岡山県</x:v>
      </x:c>
      <x:c r="D60" s="20" t="n">
        <x:v>159689</x:v>
      </x:c>
      <x:c r="E60" s="18" t="str">
        <x:v>CY2024</x:v>
      </x:c>
      <x:c r="F60" s="18" t="str">
        <x:v>DOMESTIC_ROUTES_AT_PORT</x:v>
      </x:c>
      <x:c r="G60" s="20" t="n">
        <x:v>78</x:v>
      </x:c>
      <x:c r="H60" s="19" t="str">
        <x:v>https://www.mlit.go.jp/k-toukei/content/001974128.xlsx</x:v>
      </x:c>
      <x:c r="I60" s="18" t="str">
        <x:v>9b301a0ad79acb77aa0e4e018fc00319c78eb6bbfa4c25adfb4e8f52fc9a9bef</x:v>
      </x:c>
    </x:row>
    <x:row r="61" ht="28" customHeight="1">
      <x:c r="A61" s="18" t="str">
        <x:v>八戸</x:v>
      </x:c>
      <x:c r="B61" s="18" t="str">
        <x:v>02002</x:v>
      </x:c>
      <x:c r="C61" s="18" t="str">
        <x:v>青森県</x:v>
      </x:c>
      <x:c r="D61" s="20" t="n">
        <x:v>151882</x:v>
      </x:c>
      <x:c r="E61" s="18" t="str">
        <x:v>CY2024</x:v>
      </x:c>
      <x:c r="F61" s="18" t="str">
        <x:v>DOMESTIC_ROUTES_AT_PORT</x:v>
      </x:c>
      <x:c r="G61" s="20" t="n">
        <x:v>16</x:v>
      </x:c>
      <x:c r="H61" s="19" t="str">
        <x:v>https://www.mlit.go.jp/k-toukei/content/001974128.xlsx</x:v>
      </x:c>
      <x:c r="I61" s="18" t="str">
        <x:v>9b301a0ad79acb77aa0e4e018fc00319c78eb6bbfa4c25adfb4e8f52fc9a9bef</x:v>
      </x:c>
    </x:row>
    <x:row r="62" ht="28" customHeight="1">
      <x:c r="A62" s="18" t="str">
        <x:v>志布志</x:v>
      </x:c>
      <x:c r="B62" s="18" t="str">
        <x:v>46025</x:v>
      </x:c>
      <x:c r="C62" s="18" t="str">
        <x:v>鹿児島県</x:v>
      </x:c>
      <x:c r="D62" s="20" t="n">
        <x:v>144976</x:v>
      </x:c>
      <x:c r="E62" s="18" t="str">
        <x:v>CY2024</x:v>
      </x:c>
      <x:c r="F62" s="18" t="str">
        <x:v>DOMESTIC_ROUTES_AT_PORT</x:v>
      </x:c>
      <x:c r="G62" s="20" t="n">
        <x:v>152</x:v>
      </x:c>
      <x:c r="H62" s="19" t="str">
        <x:v>https://www.mlit.go.jp/k-toukei/content/001974128.xlsx</x:v>
      </x:c>
      <x:c r="I62" s="18" t="str">
        <x:v>9b301a0ad79acb77aa0e4e018fc00319c78eb6bbfa4c25adfb4e8f52fc9a9bef</x:v>
      </x:c>
    </x:row>
    <x:row r="63" ht="28" customHeight="1">
      <x:c r="A63" s="18" t="str">
        <x:v>網走</x:v>
      </x:c>
      <x:c r="B63" s="18" t="str">
        <x:v>01030</x:v>
      </x:c>
      <x:c r="C63" s="18" t="str">
        <x:v>北海道</x:v>
      </x:c>
      <x:c r="D63" s="20" t="n">
        <x:v>140090</x:v>
      </x:c>
      <x:c r="E63" s="18" t="str">
        <x:v>CY2024</x:v>
      </x:c>
      <x:c r="F63" s="18" t="str">
        <x:v>DOMESTIC_ROUTES_AT_PORT</x:v>
      </x:c>
      <x:c r="G63" s="20" t="n">
        <x:v>7</x:v>
      </x:c>
      <x:c r="H63" s="19" t="str">
        <x:v>https://www.mlit.go.jp/k-toukei/content/001974128.xlsx</x:v>
      </x:c>
      <x:c r="I63" s="18" t="str">
        <x:v>9b301a0ad79acb77aa0e4e018fc00319c78eb6bbfa4c25adfb4e8f52fc9a9bef</x:v>
      </x:c>
    </x:row>
    <x:row r="64" ht="28" customHeight="1">
      <x:c r="A64" s="18" t="str">
        <x:v>和歌山下津</x:v>
      </x:c>
      <x:c r="B64" s="18" t="str">
        <x:v>30001</x:v>
      </x:c>
      <x:c r="C64" s="18" t="str">
        <x:v>和歌山県</x:v>
      </x:c>
      <x:c r="D64" s="20" t="n">
        <x:v>129879</x:v>
      </x:c>
      <x:c r="E64" s="18" t="str">
        <x:v>CY2024</x:v>
      </x:c>
      <x:c r="F64" s="18" t="str">
        <x:v>DOMESTIC_ROUTES_AT_PORT</x:v>
      </x:c>
      <x:c r="G64" s="20" t="n">
        <x:v>72</x:v>
      </x:c>
      <x:c r="H64" s="19" t="str">
        <x:v>https://www.mlit.go.jp/k-toukei/content/001974128.xlsx</x:v>
      </x:c>
      <x:c r="I64" s="18" t="str">
        <x:v>9b301a0ad79acb77aa0e4e018fc00319c78eb6bbfa4c25adfb4e8f52fc9a9bef</x:v>
      </x:c>
    </x:row>
    <x:row r="65" ht="28" customHeight="1">
      <x:c r="A65" s="18" t="str">
        <x:v>新居浜</x:v>
      </x:c>
      <x:c r="B65" s="18" t="str">
        <x:v>38003</x:v>
      </x:c>
      <x:c r="C65" s="18" t="str">
        <x:v>愛媛県</x:v>
      </x:c>
      <x:c r="D65" s="20" t="n">
        <x:v>128538</x:v>
      </x:c>
      <x:c r="E65" s="18" t="str">
        <x:v>CY2024</x:v>
      </x:c>
      <x:c r="F65" s="18" t="str">
        <x:v>DOMESTIC_ROUTES_AT_PORT</x:v>
      </x:c>
      <x:c r="G65" s="20" t="n">
        <x:v>110</x:v>
      </x:c>
      <x:c r="H65" s="19" t="str">
        <x:v>https://www.mlit.go.jp/k-toukei/content/001974128.xlsx</x:v>
      </x:c>
      <x:c r="I65" s="18" t="str">
        <x:v>9b301a0ad79acb77aa0e4e018fc00319c78eb6bbfa4c25adfb4e8f52fc9a9bef</x:v>
      </x:c>
    </x:row>
    <x:row r="66" ht="28" customHeight="1">
      <x:c r="A66" s="18" t="str">
        <x:v>運天</x:v>
      </x:c>
      <x:c r="B66" s="18" t="str">
        <x:v>47002</x:v>
      </x:c>
      <x:c r="C66" s="18" t="str">
        <x:v>沖縄県</x:v>
      </x:c>
      <x:c r="D66" s="20" t="n">
        <x:v>118575</x:v>
      </x:c>
      <x:c r="E66" s="18" t="str">
        <x:v>CY2024</x:v>
      </x:c>
      <x:c r="F66" s="18" t="str">
        <x:v>DOMESTIC_ROUTES_AT_PORT</x:v>
      </x:c>
      <x:c r="G66" s="20" t="n">
        <x:v>164</x:v>
      </x:c>
      <x:c r="H66" s="19" t="str">
        <x:v>https://www.mlit.go.jp/k-toukei/content/001974128.xlsx</x:v>
      </x:c>
      <x:c r="I66" s="18" t="str">
        <x:v>9b301a0ad79acb77aa0e4e018fc00319c78eb6bbfa4c25adfb4e8f52fc9a9bef</x:v>
      </x:c>
    </x:row>
    <x:row r="67" ht="28" customHeight="1">
      <x:c r="A67" s="18" t="str">
        <x:v>名瀬</x:v>
      </x:c>
      <x:c r="B67" s="18" t="str">
        <x:v>46003</x:v>
      </x:c>
      <x:c r="C67" s="18" t="str">
        <x:v>鹿児島県</x:v>
      </x:c>
      <x:c r="D67" s="20" t="n">
        <x:v>118172</x:v>
      </x:c>
      <x:c r="E67" s="18" t="str">
        <x:v>CY2024</x:v>
      </x:c>
      <x:c r="F67" s="18" t="str">
        <x:v>DOMESTIC_ROUTES_AT_PORT</x:v>
      </x:c>
      <x:c r="G67" s="20" t="n">
        <x:v>160</x:v>
      </x:c>
      <x:c r="H67" s="19" t="str">
        <x:v>https://www.mlit.go.jp/k-toukei/content/001974128.xlsx</x:v>
      </x:c>
      <x:c r="I67" s="18" t="str">
        <x:v>9b301a0ad79acb77aa0e4e018fc00319c78eb6bbfa4c25adfb4e8f52fc9a9bef</x:v>
      </x:c>
    </x:row>
    <x:row r="68" ht="28" customHeight="1">
      <x:c r="A68" s="18" t="str">
        <x:v>唐津</x:v>
      </x:c>
      <x:c r="B68" s="18" t="str">
        <x:v>41001</x:v>
      </x:c>
      <x:c r="C68" s="18" t="str">
        <x:v>佐賀県</x:v>
      </x:c>
      <x:c r="D68" s="20" t="n">
        <x:v>111936</x:v>
      </x:c>
      <x:c r="E68" s="18" t="str">
        <x:v>CY2024</x:v>
      </x:c>
      <x:c r="F68" s="18" t="str">
        <x:v>DOMESTIC_ROUTES_AT_PORT</x:v>
      </x:c>
      <x:c r="G68" s="20" t="n">
        <x:v>122</x:v>
      </x:c>
      <x:c r="H68" s="19" t="str">
        <x:v>https://www.mlit.go.jp/k-toukei/content/001974128.xlsx</x:v>
      </x:c>
      <x:c r="I68" s="18" t="str">
        <x:v>9b301a0ad79acb77aa0e4e018fc00319c78eb6bbfa4c25adfb4e8f52fc9a9bef</x:v>
      </x:c>
    </x:row>
    <x:row r="69" ht="28" customHeight="1">
      <x:c r="A69" s="18" t="str">
        <x:v>笠岡</x:v>
      </x:c>
      <x:c r="B69" s="18" t="str">
        <x:v>33013</x:v>
      </x:c>
      <x:c r="C69" s="18" t="str">
        <x:v>岡山県</x:v>
      </x:c>
      <x:c r="D69" s="20" t="n">
        <x:v>111665</x:v>
      </x:c>
      <x:c r="E69" s="18" t="str">
        <x:v>CY2024</x:v>
      </x:c>
      <x:c r="F69" s="18" t="str">
        <x:v>DOMESTIC_ROUTES_AT_PORT</x:v>
      </x:c>
      <x:c r="G69" s="20" t="n">
        <x:v>80</x:v>
      </x:c>
      <x:c r="H69" s="19" t="str">
        <x:v>https://www.mlit.go.jp/k-toukei/content/001974128.xlsx</x:v>
      </x:c>
      <x:c r="I69" s="18" t="str">
        <x:v>9b301a0ad79acb77aa0e4e018fc00319c78eb6bbfa4c25adfb4e8f52fc9a9bef</x:v>
      </x:c>
    </x:row>
    <x:row r="70" ht="28" customHeight="1">
      <x:c r="A70" s="18" t="str">
        <x:v>清水</x:v>
      </x:c>
      <x:c r="B70" s="18" t="str">
        <x:v>22001</x:v>
      </x:c>
      <x:c r="C70" s="18" t="str">
        <x:v>静岡県</x:v>
      </x:c>
      <x:c r="D70" s="20" t="n">
        <x:v>108766</x:v>
      </x:c>
      <x:c r="E70" s="18" t="str">
        <x:v>CY2024</x:v>
      </x:c>
      <x:c r="F70" s="18" t="str">
        <x:v>DOMESTIC_ROUTES_AT_PORT</x:v>
      </x:c>
      <x:c r="G70" s="20" t="n">
        <x:v>49</x:v>
      </x:c>
      <x:c r="H70" s="19" t="str">
        <x:v>https://www.mlit.go.jp/k-toukei/content/001974128.xlsx</x:v>
      </x:c>
      <x:c r="I70" s="18" t="str">
        <x:v>9b301a0ad79acb77aa0e4e018fc00319c78eb6bbfa4c25adfb4e8f52fc9a9bef</x:v>
      </x:c>
    </x:row>
    <x:row r="71" ht="28" customHeight="1">
      <x:c r="A71" s="18" t="str">
        <x:v>柳井</x:v>
      </x:c>
      <x:c r="B71" s="18" t="str">
        <x:v>35007</x:v>
      </x:c>
      <x:c r="C71" s="18" t="str">
        <x:v>山口県</x:v>
      </x:c>
      <x:c r="D71" s="20" t="n">
        <x:v>108584</x:v>
      </x:c>
      <x:c r="E71" s="18" t="str">
        <x:v>CY2024</x:v>
      </x:c>
      <x:c r="F71" s="18" t="str">
        <x:v>DOMESTIC_ROUTES_AT_PORT</x:v>
      </x:c>
      <x:c r="G71" s="20" t="n">
        <x:v>95</x:v>
      </x:c>
      <x:c r="H71" s="19" t="str">
        <x:v>https://www.mlit.go.jp/k-toukei/content/001974128.xlsx</x:v>
      </x:c>
      <x:c r="I71" s="18" t="str">
        <x:v>9b301a0ad79acb77aa0e4e018fc00319c78eb6bbfa4c25adfb4e8f52fc9a9bef</x:v>
      </x:c>
    </x:row>
    <x:row r="72" ht="28" customHeight="1">
      <x:c r="A72" s="18" t="str">
        <x:v>境</x:v>
      </x:c>
      <x:c r="B72" s="18" t="str">
        <x:v>31999</x:v>
      </x:c>
      <x:c r="C72" s="18" t="str">
        <x:v>鳥取県</x:v>
      </x:c>
      <x:c r="D72" s="20" t="n">
        <x:v>107570</x:v>
      </x:c>
      <x:c r="E72" s="18" t="str">
        <x:v>CY2024</x:v>
      </x:c>
      <x:c r="F72" s="18" t="str">
        <x:v>DOMESTIC_ROUTES_AT_PORT</x:v>
      </x:c>
      <x:c r="G72" s="20" t="n">
        <x:v>74</x:v>
      </x:c>
      <x:c r="H72" s="19" t="str">
        <x:v>https://www.mlit.go.jp/k-toukei/content/001974128.xlsx</x:v>
      </x:c>
      <x:c r="I72" s="18" t="str">
        <x:v>9b301a0ad79acb77aa0e4e018fc00319c78eb6bbfa4c25adfb4e8f52fc9a9bef</x:v>
      </x:c>
    </x:row>
    <x:row r="73" ht="28" customHeight="1">
      <x:c r="A73" s="18" t="str">
        <x:v>津久見</x:v>
      </x:c>
      <x:c r="B73" s="18" t="str">
        <x:v>44002</x:v>
      </x:c>
      <x:c r="C73" s="18" t="str">
        <x:v>大分県</x:v>
      </x:c>
      <x:c r="D73" s="20" t="n">
        <x:v>106282</x:v>
      </x:c>
      <x:c r="E73" s="18" t="str">
        <x:v>CY2024</x:v>
      </x:c>
      <x:c r="F73" s="18" t="str">
        <x:v>DOMESTIC_ROUTES_AT_PORT</x:v>
      </x:c>
      <x:c r="G73" s="20" t="n">
        <x:v>144</x:v>
      </x:c>
      <x:c r="H73" s="19" t="str">
        <x:v>https://www.mlit.go.jp/k-toukei/content/001974128.xlsx</x:v>
      </x:c>
      <x:c r="I73" s="18" t="str">
        <x:v>9b301a0ad79acb77aa0e4e018fc00319c78eb6bbfa4c25adfb4e8f52fc9a9bef</x:v>
      </x:c>
    </x:row>
    <x:row r="74" ht="28" customHeight="1">
      <x:c r="A74" s="18" t="str">
        <x:v>横浜</x:v>
      </x:c>
      <x:c r="B74" s="18" t="str">
        <x:v>14001</x:v>
      </x:c>
      <x:c r="C74" s="18" t="str">
        <x:v>神奈川県</x:v>
      </x:c>
      <x:c r="D74" s="20" t="n">
        <x:v>95796</x:v>
      </x:c>
      <x:c r="E74" s="18" t="str">
        <x:v>CY2024</x:v>
      </x:c>
      <x:c r="F74" s="18" t="str">
        <x:v>DOMESTIC_ROUTES_AT_PORT</x:v>
      </x:c>
      <x:c r="G74" s="20" t="n">
        <x:v>35</x:v>
      </x:c>
      <x:c r="H74" s="19" t="str">
        <x:v>https://www.mlit.go.jp/k-toukei/content/001974128.xlsx</x:v>
      </x:c>
      <x:c r="I74" s="18" t="str">
        <x:v>9b301a0ad79acb77aa0e4e018fc00319c78eb6bbfa4c25adfb4e8f52fc9a9bef</x:v>
      </x:c>
    </x:row>
    <x:row r="75" ht="28" customHeight="1">
      <x:c r="A75" s="18" t="str">
        <x:v>今治</x:v>
      </x:c>
      <x:c r="B75" s="18" t="str">
        <x:v>38004</x:v>
      </x:c>
      <x:c r="C75" s="18" t="str">
        <x:v>愛媛県</x:v>
      </x:c>
      <x:c r="D75" s="20" t="n">
        <x:v>92093</x:v>
      </x:c>
      <x:c r="E75" s="18" t="str">
        <x:v>CY2024</x:v>
      </x:c>
      <x:c r="F75" s="18" t="str">
        <x:v>DOMESTIC_ROUTES_AT_PORT</x:v>
      </x:c>
      <x:c r="G75" s="20" t="n">
        <x:v>108</x:v>
      </x:c>
      <x:c r="H75" s="19" t="str">
        <x:v>https://www.mlit.go.jp/k-toukei/content/001974128.xlsx</x:v>
      </x:c>
      <x:c r="I75" s="18" t="str">
        <x:v>9b301a0ad79acb77aa0e4e018fc00319c78eb6bbfa4c25adfb4e8f52fc9a9bef</x:v>
      </x:c>
    </x:row>
    <x:row r="76" ht="28" customHeight="1">
      <x:c r="A76" s="18" t="str">
        <x:v>名古屋</x:v>
      </x:c>
      <x:c r="B76" s="18" t="str">
        <x:v>23001</x:v>
      </x:c>
      <x:c r="C76" s="18" t="str">
        <x:v>愛知県</x:v>
      </x:c>
      <x:c r="D76" s="20" t="n">
        <x:v>88571</x:v>
      </x:c>
      <x:c r="E76" s="18" t="str">
        <x:v>CY2024</x:v>
      </x:c>
      <x:c r="F76" s="18" t="str">
        <x:v>DOMESTIC_ROUTES_AT_PORT</x:v>
      </x:c>
      <x:c r="G76" s="20" t="n">
        <x:v>55</x:v>
      </x:c>
      <x:c r="H76" s="19" t="str">
        <x:v>https://www.mlit.go.jp/k-toukei/content/001974128.xlsx</x:v>
      </x:c>
      <x:c r="I76" s="18" t="str">
        <x:v>9b301a0ad79acb77aa0e4e018fc00319c78eb6bbfa4c25adfb4e8f52fc9a9bef</x:v>
      </x:c>
    </x:row>
    <x:row r="77" ht="28" customHeight="1">
      <x:c r="A77" s="18" t="str">
        <x:v>敦賀</x:v>
      </x:c>
      <x:c r="B77" s="18" t="str">
        <x:v>18001</x:v>
      </x:c>
      <x:c r="C77" s="18" t="str">
        <x:v>福井県</x:v>
      </x:c>
      <x:c r="D77" s="20" t="n">
        <x:v>85830</x:v>
      </x:c>
      <x:c r="E77" s="18" t="str">
        <x:v>CY2024</x:v>
      </x:c>
      <x:c r="F77" s="18" t="str">
        <x:v>DOMESTIC_ROUTES_AT_PORT</x:v>
      </x:c>
      <x:c r="G77" s="20" t="n">
        <x:v>46</x:v>
      </x:c>
      <x:c r="H77" s="19" t="str">
        <x:v>https://www.mlit.go.jp/k-toukei/content/001974128.xlsx</x:v>
      </x:c>
      <x:c r="I77" s="18" t="str">
        <x:v>9b301a0ad79acb77aa0e4e018fc00319c78eb6bbfa4c25adfb4e8f52fc9a9bef</x:v>
      </x:c>
    </x:row>
    <x:row r="78" ht="28" customHeight="1">
      <x:c r="A78" s="18" t="str">
        <x:v>紋別</x:v>
      </x:c>
      <x:c r="B78" s="18" t="str">
        <x:v>01048</x:v>
      </x:c>
      <x:c r="C78" s="18" t="str">
        <x:v>北海道</x:v>
      </x:c>
      <x:c r="D78" s="20" t="n">
        <x:v>82922</x:v>
      </x:c>
      <x:c r="E78" s="18" t="str">
        <x:v>CY2024</x:v>
      </x:c>
      <x:c r="F78" s="18" t="str">
        <x:v>DOMESTIC_ROUTES_AT_PORT</x:v>
      </x:c>
      <x:c r="G78" s="20" t="n">
        <x:v>5</x:v>
      </x:c>
      <x:c r="H78" s="19" t="str">
        <x:v>https://www.mlit.go.jp/k-toukei/content/001974128.xlsx</x:v>
      </x:c>
      <x:c r="I78" s="18" t="str">
        <x:v>9b301a0ad79acb77aa0e4e018fc00319c78eb6bbfa4c25adfb4e8f52fc9a9bef</x:v>
      </x:c>
    </x:row>
    <x:row r="79" ht="28" customHeight="1">
      <x:c r="A79" s="18" t="str">
        <x:v>舞鶴</x:v>
      </x:c>
      <x:c r="B79" s="18" t="str">
        <x:v>26001</x:v>
      </x:c>
      <x:c r="C79" s="18" t="str">
        <x:v>京都府</x:v>
      </x:c>
      <x:c r="D79" s="20" t="n">
        <x:v>78947</x:v>
      </x:c>
      <x:c r="E79" s="18" t="str">
        <x:v>CY2024</x:v>
      </x:c>
      <x:c r="F79" s="18" t="str">
        <x:v>DOMESTIC_ROUTES_AT_PORT</x:v>
      </x:c>
      <x:c r="G79" s="20" t="n">
        <x:v>59</x:v>
      </x:c>
      <x:c r="H79" s="19" t="str">
        <x:v>https://www.mlit.go.jp/k-toukei/content/001974128.xlsx</x:v>
      </x:c>
      <x:c r="I79" s="18" t="str">
        <x:v>9b301a0ad79acb77aa0e4e018fc00319c78eb6bbfa4c25adfb4e8f52fc9a9bef</x:v>
      </x:c>
    </x:row>
    <x:row r="80" ht="28" customHeight="1">
      <x:c r="A80" s="18" t="str">
        <x:v>宮古</x:v>
      </x:c>
      <x:c r="B80" s="18" t="str">
        <x:v>03001</x:v>
      </x:c>
      <x:c r="C80" s="18" t="str">
        <x:v>岩手県</x:v>
      </x:c>
      <x:c r="D80" s="20" t="n">
        <x:v>75596</x:v>
      </x:c>
      <x:c r="E80" s="18" t="str">
        <x:v>CY2024</x:v>
      </x:c>
      <x:c r="F80" s="18" t="str">
        <x:v>DOMESTIC_ROUTES_AT_PORT</x:v>
      </x:c>
      <x:c r="G80" s="20" t="n">
        <x:v>18</x:v>
      </x:c>
      <x:c r="H80" s="19" t="str">
        <x:v>https://www.mlit.go.jp/k-toukei/content/001974128.xlsx</x:v>
      </x:c>
      <x:c r="I80" s="18" t="str">
        <x:v>9b301a0ad79acb77aa0e4e018fc00319c78eb6bbfa4c25adfb4e8f52fc9a9bef</x:v>
      </x:c>
    </x:row>
    <x:row r="81" ht="28" customHeight="1">
      <x:c r="A81" s="18" t="str">
        <x:v>詫間</x:v>
      </x:c>
      <x:c r="B81" s="18" t="str">
        <x:v>37011</x:v>
      </x:c>
      <x:c r="C81" s="18" t="str">
        <x:v>香川県</x:v>
      </x:c>
      <x:c r="D81" s="20" t="n">
        <x:v>73660</x:v>
      </x:c>
      <x:c r="E81" s="18" t="str">
        <x:v>CY2024</x:v>
      </x:c>
      <x:c r="F81" s="18" t="str">
        <x:v>DOMESTIC_ROUTES_AT_PORT</x:v>
      </x:c>
      <x:c r="G81" s="20" t="n">
        <x:v>99</x:v>
      </x:c>
      <x:c r="H81" s="19" t="str">
        <x:v>https://www.mlit.go.jp/k-toukei/content/001974128.xlsx</x:v>
      </x:c>
      <x:c r="I81" s="18" t="str">
        <x:v>9b301a0ad79acb77aa0e4e018fc00319c78eb6bbfa4c25adfb4e8f52fc9a9bef</x:v>
      </x:c>
    </x:row>
    <x:row r="82" ht="28" customHeight="1">
      <x:c r="A82" s="18" t="str">
        <x:v>風戸</x:v>
      </x:c>
      <x:c r="B82" s="18" t="str">
        <x:v>37024</x:v>
      </x:c>
      <x:c r="C82" s="18" t="str">
        <x:v>香川県</x:v>
      </x:c>
      <x:c r="D82" s="20" t="n">
        <x:v>72310</x:v>
      </x:c>
      <x:c r="E82" s="18" t="str">
        <x:v>CY2024</x:v>
      </x:c>
      <x:c r="F82" s="18" t="str">
        <x:v>DOMESTIC_ROUTES_AT_PORT</x:v>
      </x:c>
      <x:c r="G82" s="20" t="n">
        <x:v>105</x:v>
      </x:c>
      <x:c r="H82" s="19" t="str">
        <x:v>https://www.mlit.go.jp/k-toukei/content/001974128.xlsx</x:v>
      </x:c>
      <x:c r="I82" s="18" t="str">
        <x:v>9b301a0ad79acb77aa0e4e018fc00319c78eb6bbfa4c25adfb4e8f52fc9a9bef</x:v>
      </x:c>
    </x:row>
    <x:row r="83" ht="28" customHeight="1">
      <x:c r="A83" s="18" t="str">
        <x:v>直江津</x:v>
      </x:c>
      <x:c r="B83" s="18" t="str">
        <x:v>15003</x:v>
      </x:c>
      <x:c r="C83" s="18" t="str">
        <x:v>新潟県</x:v>
      </x:c>
      <x:c r="D83" s="20" t="n">
        <x:v>66202</x:v>
      </x:c>
      <x:c r="E83" s="18" t="str">
        <x:v>CY2024</x:v>
      </x:c>
      <x:c r="F83" s="18" t="str">
        <x:v>DOMESTIC_ROUTES_AT_PORT</x:v>
      </x:c>
      <x:c r="G83" s="20" t="n">
        <x:v>38</x:v>
      </x:c>
      <x:c r="H83" s="19" t="str">
        <x:v>https://www.mlit.go.jp/k-toukei/content/001974128.xlsx</x:v>
      </x:c>
      <x:c r="I83" s="18" t="str">
        <x:v>9b301a0ad79acb77aa0e4e018fc00319c78eb6bbfa4c25adfb4e8f52fc9a9bef</x:v>
      </x:c>
    </x:row>
    <x:row r="84" ht="28" customHeight="1">
      <x:c r="A84" s="18" t="str">
        <x:v>小木</x:v>
      </x:c>
      <x:c r="B84" s="18" t="str">
        <x:v>15012</x:v>
      </x:c>
      <x:c r="C84" s="18" t="str">
        <x:v>新潟県</x:v>
      </x:c>
      <x:c r="D84" s="20" t="n">
        <x:v>66202</x:v>
      </x:c>
      <x:c r="E84" s="18" t="str">
        <x:v>CY2024</x:v>
      </x:c>
      <x:c r="F84" s="18" t="str">
        <x:v>DOMESTIC_ROUTES_AT_PORT</x:v>
      </x:c>
      <x:c r="G84" s="20" t="n">
        <x:v>40</x:v>
      </x:c>
      <x:c r="H84" s="19" t="str">
        <x:v>https://www.mlit.go.jp/k-toukei/content/001974128.xlsx</x:v>
      </x:c>
      <x:c r="I84" s="18" t="str">
        <x:v>9b301a0ad79acb77aa0e4e018fc00319c78eb6bbfa4c25adfb4e8f52fc9a9bef</x:v>
      </x:c>
    </x:row>
    <x:row r="85" ht="28" customHeight="1">
      <x:c r="A85" s="18" t="str">
        <x:v>大竹</x:v>
      </x:c>
      <x:c r="B85" s="18" t="str">
        <x:v>34024</x:v>
      </x:c>
      <x:c r="C85" s="18" t="str">
        <x:v>広島県</x:v>
      </x:c>
      <x:c r="D85" s="20" t="n">
        <x:v>60031</x:v>
      </x:c>
      <x:c r="E85" s="18" t="str">
        <x:v>CY2024</x:v>
      </x:c>
      <x:c r="F85" s="18" t="str">
        <x:v>DOMESTIC_ROUTES_AT_PORT</x:v>
      </x:c>
      <x:c r="G85" s="20" t="n">
        <x:v>90</x:v>
      </x:c>
      <x:c r="H85" s="19" t="str">
        <x:v>https://www.mlit.go.jp/k-toukei/content/001974128.xlsx</x:v>
      </x:c>
      <x:c r="I85" s="18" t="str">
        <x:v>9b301a0ad79acb77aa0e4e018fc00319c78eb6bbfa4c25adfb4e8f52fc9a9bef</x:v>
      </x:c>
    </x:row>
    <x:row r="86" ht="28" customHeight="1">
      <x:c r="A86" s="18" t="str">
        <x:v>徳山下松</x:v>
      </x:c>
      <x:c r="B86" s="18" t="str">
        <x:v>35002</x:v>
      </x:c>
      <x:c r="C86" s="18" t="str">
        <x:v>山口県</x:v>
      </x:c>
      <x:c r="D86" s="20" t="n">
        <x:v>46700</x:v>
      </x:c>
      <x:c r="E86" s="18" t="str">
        <x:v>CY2024</x:v>
      </x:c>
      <x:c r="F86" s="18" t="str">
        <x:v>DOMESTIC_ROUTES_AT_PORT</x:v>
      </x:c>
      <x:c r="G86" s="20" t="n">
        <x:v>94</x:v>
      </x:c>
      <x:c r="H86" s="19" t="str">
        <x:v>https://www.mlit.go.jp/k-toukei/content/001974128.xlsx</x:v>
      </x:c>
      <x:c r="I86" s="18" t="str">
        <x:v>9b301a0ad79acb77aa0e4e018fc00319c78eb6bbfa4c25adfb4e8f52fc9a9bef</x:v>
      </x:c>
    </x:row>
    <x:row r="87" ht="28" customHeight="1">
      <x:c r="A87" s="18" t="str">
        <x:v>秋田</x:v>
      </x:c>
      <x:c r="B87" s="18" t="str">
        <x:v>05001</x:v>
      </x:c>
      <x:c r="C87" s="18" t="str">
        <x:v>秋田県</x:v>
      </x:c>
      <x:c r="D87" s="20" t="n">
        <x:v>43199</x:v>
      </x:c>
      <x:c r="E87" s="18" t="str">
        <x:v>CY2024</x:v>
      </x:c>
      <x:c r="F87" s="18" t="str">
        <x:v>DOMESTIC_ROUTES_AT_PORT</x:v>
      </x:c>
      <x:c r="G87" s="20" t="n">
        <x:v>22</x:v>
      </x:c>
      <x:c r="H87" s="19" t="str">
        <x:v>https://www.mlit.go.jp/k-toukei/content/001974128.xlsx</x:v>
      </x:c>
      <x:c r="I87" s="18" t="str">
        <x:v>9b301a0ad79acb77aa0e4e018fc00319c78eb6bbfa4c25adfb4e8f52fc9a9bef</x:v>
      </x:c>
    </x:row>
    <x:row r="88" ht="28" customHeight="1">
      <x:c r="A88" s="18" t="str">
        <x:v>福山</x:v>
      </x:c>
      <x:c r="B88" s="18" t="str">
        <x:v>34001</x:v>
      </x:c>
      <x:c r="C88" s="18" t="str">
        <x:v>広島県</x:v>
      </x:c>
      <x:c r="D88" s="20" t="n">
        <x:v>38941</x:v>
      </x:c>
      <x:c r="E88" s="18" t="str">
        <x:v>CY2024</x:v>
      </x:c>
      <x:c r="F88" s="18" t="str">
        <x:v>DOMESTIC_ROUTES_AT_PORT</x:v>
      </x:c>
      <x:c r="G88" s="20" t="n">
        <x:v>82</x:v>
      </x:c>
      <x:c r="H88" s="19" t="str">
        <x:v>https://www.mlit.go.jp/k-toukei/content/001974128.xlsx</x:v>
      </x:c>
      <x:c r="I88" s="18" t="str">
        <x:v>9b301a0ad79acb77aa0e4e018fc00319c78eb6bbfa4c25adfb4e8f52fc9a9bef</x:v>
      </x:c>
    </x:row>
    <x:row r="89" ht="28" customHeight="1">
      <x:c r="A89" s="18" t="str">
        <x:v>松浦</x:v>
      </x:c>
      <x:c r="B89" s="18" t="str">
        <x:v>42060</x:v>
      </x:c>
      <x:c r="C89" s="18" t="str">
        <x:v>長崎県</x:v>
      </x:c>
      <x:c r="D89" s="20" t="n">
        <x:v>36298</x:v>
      </x:c>
      <x:c r="E89" s="18" t="str">
        <x:v>CY2024</x:v>
      </x:c>
      <x:c r="F89" s="18" t="str">
        <x:v>DOMESTIC_ROUTES_AT_PORT</x:v>
      </x:c>
      <x:c r="G89" s="20" t="n">
        <x:v>128</x:v>
      </x:c>
      <x:c r="H89" s="19" t="str">
        <x:v>https://www.mlit.go.jp/k-toukei/content/001974128.xlsx</x:v>
      </x:c>
      <x:c r="I89" s="18" t="str">
        <x:v>9b301a0ad79acb77aa0e4e018fc00319c78eb6bbfa4c25adfb4e8f52fc9a9bef</x:v>
      </x:c>
    </x:row>
    <x:row r="90" ht="28" customHeight="1">
      <x:c r="A90" s="18" t="str">
        <x:v>多度津</x:v>
      </x:c>
      <x:c r="B90" s="18" t="str">
        <x:v>37010</x:v>
      </x:c>
      <x:c r="C90" s="18" t="str">
        <x:v>香川県</x:v>
      </x:c>
      <x:c r="D90" s="20" t="n">
        <x:v>33604</x:v>
      </x:c>
      <x:c r="E90" s="18" t="str">
        <x:v>CY2024</x:v>
      </x:c>
      <x:c r="F90" s="18" t="str">
        <x:v>DOMESTIC_ROUTES_AT_PORT</x:v>
      </x:c>
      <x:c r="G90" s="20" t="n">
        <x:v>100</x:v>
      </x:c>
      <x:c r="H90" s="19" t="str">
        <x:v>https://www.mlit.go.jp/k-toukei/content/001974128.xlsx</x:v>
      </x:c>
      <x:c r="I90" s="18" t="str">
        <x:v>9b301a0ad79acb77aa0e4e018fc00319c78eb6bbfa4c25adfb4e8f52fc9a9bef</x:v>
      </x:c>
    </x:row>
    <x:row r="91" ht="28" customHeight="1">
      <x:c r="A91" s="18" t="str">
        <x:v>川内</x:v>
      </x:c>
      <x:c r="B91" s="18" t="str">
        <x:v>46011</x:v>
      </x:c>
      <x:c r="C91" s="18" t="str">
        <x:v>鹿児島県</x:v>
      </x:c>
      <x:c r="D91" s="20" t="n">
        <x:v>28796</x:v>
      </x:c>
      <x:c r="E91" s="18" t="str">
        <x:v>CY2024</x:v>
      </x:c>
      <x:c r="F91" s="18" t="str">
        <x:v>DOMESTIC_ROUTES_AT_PORT</x:v>
      </x:c>
      <x:c r="G91" s="20" t="n">
        <x:v>155</x:v>
      </x:c>
      <x:c r="H91" s="19" t="str">
        <x:v>https://www.mlit.go.jp/k-toukei/content/001974128.xlsx</x:v>
      </x:c>
      <x:c r="I91" s="18" t="str">
        <x:v>9b301a0ad79acb77aa0e4e018fc00319c78eb6bbfa4c25adfb4e8f52fc9a9bef</x:v>
      </x:c>
    </x:row>
    <x:row r="92" ht="28" customHeight="1">
      <x:c r="A92" s="18" t="str">
        <x:v>東備</x:v>
      </x:c>
      <x:c r="B92" s="18" t="str">
        <x:v>33004</x:v>
      </x:c>
      <x:c r="C92" s="18" t="str">
        <x:v>岡山県</x:v>
      </x:c>
      <x:c r="D92" s="20" t="n">
        <x:v>28661</x:v>
      </x:c>
      <x:c r="E92" s="18" t="str">
        <x:v>CY2024</x:v>
      </x:c>
      <x:c r="F92" s="18" t="str">
        <x:v>DOMESTIC_ROUTES_AT_PORT</x:v>
      </x:c>
      <x:c r="G92" s="20" t="n">
        <x:v>77</x:v>
      </x:c>
      <x:c r="H92" s="19" t="str">
        <x:v>https://www.mlit.go.jp/k-toukei/content/001974128.xlsx</x:v>
      </x:c>
      <x:c r="I92" s="18" t="str">
        <x:v>9b301a0ad79acb77aa0e4e018fc00319c78eb6bbfa4c25adfb4e8f52fc9a9bef</x:v>
      </x:c>
    </x:row>
    <x:row r="93" ht="28" customHeight="1">
      <x:c r="A93" s="18" t="str">
        <x:v>室蘭</x:v>
      </x:c>
      <x:c r="B93" s="18" t="str">
        <x:v>01001</x:v>
      </x:c>
      <x:c r="C93" s="18" t="str">
        <x:v>北海道</x:v>
      </x:c>
      <x:c r="D93" s="20" t="n">
        <x:v>28560</x:v>
      </x:c>
      <x:c r="E93" s="18" t="str">
        <x:v>CY2024</x:v>
      </x:c>
      <x:c r="F93" s="18" t="str">
        <x:v>DOMESTIC_ROUTES_AT_PORT</x:v>
      </x:c>
      <x:c r="G93" s="20" t="n">
        <x:v>10</x:v>
      </x:c>
      <x:c r="H93" s="19" t="str">
        <x:v>https://www.mlit.go.jp/k-toukei/content/001974128.xlsx</x:v>
      </x:c>
      <x:c r="I93" s="18" t="str">
        <x:v>9b301a0ad79acb77aa0e4e018fc00319c78eb6bbfa4c25adfb4e8f52fc9a9bef</x:v>
      </x:c>
    </x:row>
    <x:row r="94" ht="28" customHeight="1">
      <x:c r="A94" s="18" t="str">
        <x:v>宇和島</x:v>
      </x:c>
      <x:c r="B94" s="18" t="str">
        <x:v>38002</x:v>
      </x:c>
      <x:c r="C94" s="18" t="str">
        <x:v>愛媛県</x:v>
      </x:c>
      <x:c r="D94" s="20" t="n">
        <x:v>27010</x:v>
      </x:c>
      <x:c r="E94" s="18" t="str">
        <x:v>CY2024</x:v>
      </x:c>
      <x:c r="F94" s="18" t="str">
        <x:v>DOMESTIC_ROUTES_AT_PORT</x:v>
      </x:c>
      <x:c r="G94" s="20" t="n">
        <x:v>106</x:v>
      </x:c>
      <x:c r="H94" s="19" t="str">
        <x:v>https://www.mlit.go.jp/k-toukei/content/001974128.xlsx</x:v>
      </x:c>
      <x:c r="I94" s="18" t="str">
        <x:v>9b301a0ad79acb77aa0e4e018fc00319c78eb6bbfa4c25adfb4e8f52fc9a9bef</x:v>
      </x:c>
    </x:row>
    <x:row r="95" ht="28" customHeight="1">
      <x:c r="A95" s="18" t="str">
        <x:v>三田尻中関</x:v>
      </x:c>
      <x:c r="B95" s="18" t="str">
        <x:v>35004</x:v>
      </x:c>
      <x:c r="C95" s="18" t="str">
        <x:v>山口県</x:v>
      </x:c>
      <x:c r="D95" s="20" t="n">
        <x:v>26700</x:v>
      </x:c>
      <x:c r="E95" s="18" t="str">
        <x:v>CY2024</x:v>
      </x:c>
      <x:c r="F95" s="18" t="str">
        <x:v>DOMESTIC_ROUTES_AT_PORT</x:v>
      </x:c>
      <x:c r="G95" s="20" t="n">
        <x:v>93</x:v>
      </x:c>
      <x:c r="H95" s="19" t="str">
        <x:v>https://www.mlit.go.jp/k-toukei/content/001974128.xlsx</x:v>
      </x:c>
      <x:c r="I95" s="18" t="str">
        <x:v>9b301a0ad79acb77aa0e4e018fc00319c78eb6bbfa4c25adfb4e8f52fc9a9bef</x:v>
      </x:c>
    </x:row>
    <x:row r="96" ht="28" customHeight="1">
      <x:c r="A96" s="18" t="str">
        <x:v>沼津</x:v>
      </x:c>
      <x:c r="B96" s="18" t="str">
        <x:v>22003</x:v>
      </x:c>
      <x:c r="C96" s="18" t="str">
        <x:v>静岡県</x:v>
      </x:c>
      <x:c r="D96" s="20" t="n">
        <x:v>23411</x:v>
      </x:c>
      <x:c r="E96" s="18" t="str">
        <x:v>CY2024</x:v>
      </x:c>
      <x:c r="F96" s="18" t="str">
        <x:v>DOMESTIC_ROUTES_AT_PORT</x:v>
      </x:c>
      <x:c r="G96" s="20" t="n">
        <x:v>47</x:v>
      </x:c>
      <x:c r="H96" s="19" t="str">
        <x:v>https://www.mlit.go.jp/k-toukei/content/001974128.xlsx</x:v>
      </x:c>
      <x:c r="I96" s="18" t="str">
        <x:v>9b301a0ad79acb77aa0e4e018fc00319c78eb6bbfa4c25adfb4e8f52fc9a9bef</x:v>
      </x:c>
    </x:row>
    <x:row r="97" ht="28" customHeight="1">
      <x:c r="A97" s="18" t="str">
        <x:v>三角</x:v>
      </x:c>
      <x:c r="B97" s="18" t="str">
        <x:v>43001</x:v>
      </x:c>
      <x:c r="C97" s="18" t="str">
        <x:v>熊本県</x:v>
      </x:c>
      <x:c r="D97" s="20" t="n">
        <x:v>23211</x:v>
      </x:c>
      <x:c r="E97" s="18" t="str">
        <x:v>CY2024</x:v>
      </x:c>
      <x:c r="F97" s="18" t="str">
        <x:v>DOMESTIC_ROUTES_AT_PORT</x:v>
      </x:c>
      <x:c r="G97" s="20" t="n">
        <x:v>137</x:v>
      </x:c>
      <x:c r="H97" s="19" t="str">
        <x:v>https://www.mlit.go.jp/k-toukei/content/001974128.xlsx</x:v>
      </x:c>
      <x:c r="I97" s="18" t="str">
        <x:v>9b301a0ad79acb77aa0e4e018fc00319c78eb6bbfa4c25adfb4e8f52fc9a9bef</x:v>
      </x:c>
    </x:row>
    <x:row r="98" ht="28" customHeight="1">
      <x:c r="A98" s="18" t="str">
        <x:v>酒田</x:v>
      </x:c>
      <x:c r="B98" s="18" t="str">
        <x:v>06001</x:v>
      </x:c>
      <x:c r="C98" s="18" t="str">
        <x:v>山形県</x:v>
      </x:c>
      <x:c r="D98" s="20" t="n">
        <x:v>19176</x:v>
      </x:c>
      <x:c r="E98" s="18" t="str">
        <x:v>CY2024</x:v>
      </x:c>
      <x:c r="F98" s="18" t="str">
        <x:v>DOMESTIC_ROUTES_AT_PORT</x:v>
      </x:c>
      <x:c r="G98" s="20" t="n">
        <x:v>24</x:v>
      </x:c>
      <x:c r="H98" s="19" t="str">
        <x:v>https://www.mlit.go.jp/k-toukei/content/001974128.xlsx</x:v>
      </x:c>
      <x:c r="I98" s="18" t="str">
        <x:v>9b301a0ad79acb77aa0e4e018fc00319c78eb6bbfa4c25adfb4e8f52fc9a9bef</x:v>
      </x:c>
    </x:row>
    <x:row r="99" ht="28" customHeight="1">
      <x:c r="A99" s="18" t="str">
        <x:v>三池</x:v>
      </x:c>
      <x:c r="B99" s="18" t="str">
        <x:v>40009</x:v>
      </x:c>
      <x:c r="C99" s="18" t="str">
        <x:v>福岡県</x:v>
      </x:c>
      <x:c r="D99" s="20" t="n">
        <x:v>16514</x:v>
      </x:c>
      <x:c r="E99" s="18" t="str">
        <x:v>CY2024</x:v>
      </x:c>
      <x:c r="F99" s="18" t="str">
        <x:v>DOMESTIC_ROUTES_AT_PORT</x:v>
      </x:c>
      <x:c r="G99" s="20" t="n">
        <x:v>119</x:v>
      </x:c>
      <x:c r="H99" s="19" t="str">
        <x:v>https://www.mlit.go.jp/k-toukei/content/001974128.xlsx</x:v>
      </x:c>
      <x:c r="I99" s="18" t="str">
        <x:v>9b301a0ad79acb77aa0e4e018fc00319c78eb6bbfa4c25adfb4e8f52fc9a9bef</x:v>
      </x:c>
    </x:row>
    <x:row r="100" ht="28" customHeight="1">
      <x:c r="A100" s="18" t="str">
        <x:v>宿毛湾</x:v>
      </x:c>
      <x:c r="B100" s="18" t="str">
        <x:v>39023</x:v>
      </x:c>
      <x:c r="C100" s="18" t="str">
        <x:v>高知県</x:v>
      </x:c>
      <x:c r="D100" s="20" t="n">
        <x:v>13757</x:v>
      </x:c>
      <x:c r="E100" s="18" t="str">
        <x:v>CY2024</x:v>
      </x:c>
      <x:c r="F100" s="18" t="str">
        <x:v>DOMESTIC_ROUTES_AT_PORT</x:v>
      </x:c>
      <x:c r="G100" s="20" t="n">
        <x:v>113</x:v>
      </x:c>
      <x:c r="H100" s="19" t="str">
        <x:v>https://www.mlit.go.jp/k-toukei/content/001974128.xlsx</x:v>
      </x:c>
      <x:c r="I100" s="18" t="str">
        <x:v>9b301a0ad79acb77aa0e4e018fc00319c78eb6bbfa4c25adfb4e8f52fc9a9bef</x:v>
      </x:c>
    </x:row>
    <x:row r="101" ht="28" customHeight="1">
      <x:c r="A101" s="18" t="str">
        <x:v>橘</x:v>
      </x:c>
      <x:c r="B101" s="18" t="str">
        <x:v>36002</x:v>
      </x:c>
      <x:c r="C101" s="18" t="str">
        <x:v>徳島県</x:v>
      </x:c>
      <x:c r="D101" s="20" t="n">
        <x:v>12954</x:v>
      </x:c>
      <x:c r="E101" s="18" t="str">
        <x:v>CY2024</x:v>
      </x:c>
      <x:c r="F101" s="18" t="str">
        <x:v>DOMESTIC_ROUTES_AT_PORT</x:v>
      </x:c>
      <x:c r="G101" s="20" t="n">
        <x:v>98</x:v>
      </x:c>
      <x:c r="H101" s="19" t="str">
        <x:v>https://www.mlit.go.jp/k-toukei/content/001974128.xlsx</x:v>
      </x:c>
      <x:c r="I101" s="18" t="str">
        <x:v>9b301a0ad79acb77aa0e4e018fc00319c78eb6bbfa4c25adfb4e8f52fc9a9bef</x:v>
      </x:c>
    </x:row>
    <x:row r="102" ht="28" customHeight="1">
      <x:c r="A102" s="18" t="str">
        <x:v>岩国</x:v>
      </x:c>
      <x:c r="B102" s="18" t="str">
        <x:v>35003</x:v>
      </x:c>
      <x:c r="C102" s="18" t="str">
        <x:v>山口県</x:v>
      </x:c>
      <x:c r="D102" s="20" t="n">
        <x:v>11984</x:v>
      </x:c>
      <x:c r="E102" s="18" t="str">
        <x:v>CY2024</x:v>
      </x:c>
      <x:c r="F102" s="18" t="str">
        <x:v>DOMESTIC_ROUTES_AT_PORT</x:v>
      </x:c>
      <x:c r="G102" s="20" t="n">
        <x:v>96</x:v>
      </x:c>
      <x:c r="H102" s="19" t="str">
        <x:v>https://www.mlit.go.jp/k-toukei/content/001974128.xlsx</x:v>
      </x:c>
      <x:c r="I102" s="18" t="str">
        <x:v>9b301a0ad79acb77aa0e4e018fc00319c78eb6bbfa4c25adfb4e8f52fc9a9bef</x:v>
      </x:c>
    </x:row>
    <x:row r="103" ht="28" customHeight="1">
      <x:c r="A103" s="18" t="str">
        <x:v>佐伯</x:v>
      </x:c>
      <x:c r="B103" s="18" t="str">
        <x:v>44010</x:v>
      </x:c>
      <x:c r="C103" s="18" t="str">
        <x:v>大分県</x:v>
      </x:c>
      <x:c r="D103" s="20" t="n">
        <x:v>9057</x:v>
      </x:c>
      <x:c r="E103" s="18" t="str">
        <x:v>CY2024</x:v>
      </x:c>
      <x:c r="F103" s="18" t="str">
        <x:v>DOMESTIC_ROUTES_AT_PORT</x:v>
      </x:c>
      <x:c r="G103" s="20" t="n">
        <x:v>145</x:v>
      </x:c>
      <x:c r="H103" s="19" t="str">
        <x:v>https://www.mlit.go.jp/k-toukei/content/001974128.xlsx</x:v>
      </x:c>
      <x:c r="I103" s="18" t="str">
        <x:v>9b301a0ad79acb77aa0e4e018fc00319c78eb6bbfa4c25adfb4e8f52fc9a9bef</x:v>
      </x:c>
    </x:row>
    <x:row r="104" ht="28" customHeight="1">
      <x:c r="A104" s="18" t="str">
        <x:v>金沢</x:v>
      </x:c>
      <x:c r="B104" s="18" t="str">
        <x:v>17002</x:v>
      </x:c>
      <x:c r="C104" s="18" t="str">
        <x:v>石川県</x:v>
      </x:c>
      <x:c r="D104" s="20" t="n">
        <x:v>7245</x:v>
      </x:c>
      <x:c r="E104" s="18" t="str">
        <x:v>CY2024</x:v>
      </x:c>
      <x:c r="F104" s="18" t="str">
        <x:v>DOMESTIC_ROUTES_AT_PORT</x:v>
      </x:c>
      <x:c r="G104" s="20" t="n">
        <x:v>43</x:v>
      </x:c>
      <x:c r="H104" s="19" t="str">
        <x:v>https://www.mlit.go.jp/k-toukei/content/001974128.xlsx</x:v>
      </x:c>
      <x:c r="I104" s="18" t="str">
        <x:v>9b301a0ad79acb77aa0e4e018fc00319c78eb6bbfa4c25adfb4e8f52fc9a9bef</x:v>
      </x:c>
    </x:row>
    <x:row r="105" ht="28" customHeight="1">
      <x:c r="A105" s="18" t="str">
        <x:v>大船渡</x:v>
      </x:c>
      <x:c r="B105" s="18" t="str">
        <x:v>03002</x:v>
      </x:c>
      <x:c r="C105" s="18" t="str">
        <x:v>岩手県</x:v>
      </x:c>
      <x:c r="D105" s="20" t="n">
        <x:v>6760</x:v>
      </x:c>
      <x:c r="E105" s="18" t="str">
        <x:v>CY2024</x:v>
      </x:c>
      <x:c r="F105" s="18" t="str">
        <x:v>DOMESTIC_ROUTES_AT_PORT</x:v>
      </x:c>
      <x:c r="G105" s="20" t="n">
        <x:v>19</x:v>
      </x:c>
      <x:c r="H105" s="19" t="str">
        <x:v>https://www.mlit.go.jp/k-toukei/content/001974128.xlsx</x:v>
      </x:c>
      <x:c r="I105" s="18" t="str">
        <x:v>9b301a0ad79acb77aa0e4e018fc00319c78eb6bbfa4c25adfb4e8f52fc9a9bef</x:v>
      </x:c>
    </x:row>
    <x:row r="106" ht="28" customHeight="1">
      <x:c r="A106" s="18" t="str">
        <x:v>伊万里</x:v>
      </x:c>
      <x:c r="B106" s="18" t="str">
        <x:v>41002</x:v>
      </x:c>
      <x:c r="C106" s="18" t="str">
        <x:v>佐賀県</x:v>
      </x:c>
      <x:c r="D106" s="20" t="n">
        <x:v>5642</x:v>
      </x:c>
      <x:c r="E106" s="18" t="str">
        <x:v>CY2024</x:v>
      </x:c>
      <x:c r="F106" s="18" t="str">
        <x:v>DOMESTIC_ROUTES_AT_PORT</x:v>
      </x:c>
      <x:c r="G106" s="20" t="n">
        <x:v>120</x:v>
      </x:c>
      <x:c r="H106" s="19" t="str">
        <x:v>https://www.mlit.go.jp/k-toukei/content/001974128.xlsx</x:v>
      </x:c>
      <x:c r="I106" s="18" t="str">
        <x:v>9b301a0ad79acb77aa0e4e018fc00319c78eb6bbfa4c25adfb4e8f52fc9a9bef</x:v>
      </x:c>
    </x:row>
    <x:row r="107" ht="28" customHeight="1">
      <x:c r="A107" s="18" t="str">
        <x:v>水俣</x:v>
      </x:c>
      <x:c r="B107" s="18" t="str">
        <x:v>43003</x:v>
      </x:c>
      <x:c r="C107" s="18" t="str">
        <x:v>熊本県</x:v>
      </x:c>
      <x:c r="D107" s="20" t="n">
        <x:v>5319</x:v>
      </x:c>
      <x:c r="E107" s="18" t="str">
        <x:v>CY2024</x:v>
      </x:c>
      <x:c r="F107" s="18" t="str">
        <x:v>DOMESTIC_ROUTES_AT_PORT</x:v>
      </x:c>
      <x:c r="G107" s="20" t="n">
        <x:v>135</x:v>
      </x:c>
      <x:c r="H107" s="19" t="str">
        <x:v>https://www.mlit.go.jp/k-toukei/content/001974128.xlsx</x:v>
      </x:c>
      <x:c r="I107" s="18" t="str">
        <x:v>9b301a0ad79acb77aa0e4e018fc00319c78eb6bbfa4c25adfb4e8f52fc9a9bef</x:v>
      </x:c>
    </x:row>
    <x:row r="108" ht="28" customHeight="1">
      <x:c r="A108" s="18" t="str">
        <x:v>平良</x:v>
      </x:c>
      <x:c r="B108" s="18" t="str">
        <x:v>47003</x:v>
      </x:c>
      <x:c r="C108" s="18" t="str">
        <x:v>沖縄県</x:v>
      </x:c>
      <x:c r="D108" s="20" t="n">
        <x:v>4468</x:v>
      </x:c>
      <x:c r="E108" s="18" t="str">
        <x:v>CY2024</x:v>
      </x:c>
      <x:c r="F108" s="18" t="str">
        <x:v>DOMESTIC_ROUTES_AT_PORT</x:v>
      </x:c>
      <x:c r="G108" s="20" t="n">
        <x:v>166</x:v>
      </x:c>
      <x:c r="H108" s="19" t="str">
        <x:v>https://www.mlit.go.jp/k-toukei/content/001974128.xlsx</x:v>
      </x:c>
      <x:c r="I108" s="18" t="str">
        <x:v>9b301a0ad79acb77aa0e4e018fc00319c78eb6bbfa4c25adfb4e8f52fc9a9bef</x:v>
      </x:c>
    </x:row>
    <x:row r="109" ht="28" customHeight="1">
      <x:c r="A109" s="18" t="str">
        <x:v>新宮</x:v>
      </x:c>
      <x:c r="B109" s="18" t="str">
        <x:v>30015</x:v>
      </x:c>
      <x:c r="C109" s="18" t="str">
        <x:v>和歌山県</x:v>
      </x:c>
      <x:c r="D109" s="20" t="n">
        <x:v>4396</x:v>
      </x:c>
      <x:c r="E109" s="18" t="str">
        <x:v>CY2024</x:v>
      </x:c>
      <x:c r="F109" s="18" t="str">
        <x:v>DOMESTIC_ROUTES_AT_PORT</x:v>
      </x:c>
      <x:c r="G109" s="20" t="n">
        <x:v>69</x:v>
      </x:c>
      <x:c r="H109" s="19" t="str">
        <x:v>https://www.mlit.go.jp/k-toukei/content/001974128.xlsx</x:v>
      </x:c>
      <x:c r="I109" s="18" t="str">
        <x:v>9b301a0ad79acb77aa0e4e018fc00319c78eb6bbfa4c25adfb4e8f52fc9a9bef</x:v>
      </x:c>
    </x:row>
    <x:row r="110" ht="28" customHeight="1">
      <x:c r="A110" s="18" t="str">
        <x:v>油津</x:v>
      </x:c>
      <x:c r="B110" s="18" t="str">
        <x:v>45002</x:v>
      </x:c>
      <x:c r="C110" s="18" t="str">
        <x:v>宮崎県</x:v>
      </x:c>
      <x:c r="D110" s="20" t="n">
        <x:v>3996</x:v>
      </x:c>
      <x:c r="E110" s="18" t="str">
        <x:v>CY2024</x:v>
      </x:c>
      <x:c r="F110" s="18" t="str">
        <x:v>DOMESTIC_ROUTES_AT_PORT</x:v>
      </x:c>
      <x:c r="G110" s="20" t="n">
        <x:v>150</x:v>
      </x:c>
      <x:c r="H110" s="19" t="str">
        <x:v>https://www.mlit.go.jp/k-toukei/content/001974128.xlsx</x:v>
      </x:c>
      <x:c r="I110" s="18" t="str">
        <x:v>9b301a0ad79acb77aa0e4e018fc00319c78eb6bbfa4c25adfb4e8f52fc9a9bef</x:v>
      </x:c>
    </x:row>
    <x:row r="111" ht="28" customHeight="1">
      <x:c r="A111" s="18" t="str">
        <x:v>細島</x:v>
      </x:c>
      <x:c r="B111" s="18" t="str">
        <x:v>45001</x:v>
      </x:c>
      <x:c r="C111" s="18" t="str">
        <x:v>宮崎県</x:v>
      </x:c>
      <x:c r="D111" s="20" t="n">
        <x:v>3059</x:v>
      </x:c>
      <x:c r="E111" s="18" t="str">
        <x:v>CY2024</x:v>
      </x:c>
      <x:c r="F111" s="18" t="str">
        <x:v>DOMESTIC_ROUTES_AT_PORT</x:v>
      </x:c>
      <x:c r="G111" s="20" t="n">
        <x:v>147</x:v>
      </x:c>
      <x:c r="H111" s="19" t="str">
        <x:v>https://www.mlit.go.jp/k-toukei/content/001974128.xlsx</x:v>
      </x:c>
      <x:c r="I111" s="18" t="str">
        <x:v>9b301a0ad79acb77aa0e4e018fc00319c78eb6bbfa4c25adfb4e8f52fc9a9bef</x:v>
      </x:c>
    </x:row>
    <x:row r="112" ht="28" customHeight="1">
      <x:c r="A112" s="18" t="str">
        <x:v>川崎</x:v>
      </x:c>
      <x:c r="B112" s="18" t="str">
        <x:v>14002</x:v>
      </x:c>
      <x:c r="C112" s="18" t="str">
        <x:v>神奈川県</x:v>
      </x:c>
      <x:c r="D112" s="20" t="n">
        <x:v>2775</x:v>
      </x:c>
      <x:c r="E112" s="18" t="str">
        <x:v>CY2024</x:v>
      </x:c>
      <x:c r="F112" s="18" t="str">
        <x:v>DOMESTIC_ROUTES_AT_PORT</x:v>
      </x:c>
      <x:c r="G112" s="20" t="n">
        <x:v>33</x:v>
      </x:c>
      <x:c r="H112" s="19" t="str">
        <x:v>https://www.mlit.go.jp/k-toukei/content/001974128.xlsx</x:v>
      </x:c>
      <x:c r="I112" s="18" t="str">
        <x:v>9b301a0ad79acb77aa0e4e018fc00319c78eb6bbfa4c25adfb4e8f52fc9a9bef</x:v>
      </x:c>
    </x:row>
    <x:row r="113" ht="28" customHeight="1">
      <x:c r="A113" s="18" t="str">
        <x:v>七尾</x:v>
      </x:c>
      <x:c r="B113" s="18" t="str">
        <x:v>17001</x:v>
      </x:c>
      <x:c r="C113" s="18" t="str">
        <x:v>石川県</x:v>
      </x:c>
      <x:c r="D113" s="20" t="n">
        <x:v>2680</x:v>
      </x:c>
      <x:c r="E113" s="18" t="str">
        <x:v>CY2024</x:v>
      </x:c>
      <x:c r="F113" s="18" t="str">
        <x:v>DOMESTIC_ROUTES_AT_PORT</x:v>
      </x:c>
      <x:c r="G113" s="20" t="n">
        <x:v>41</x:v>
      </x:c>
      <x:c r="H113" s="19" t="str">
        <x:v>https://www.mlit.go.jp/k-toukei/content/001974128.xlsx</x:v>
      </x:c>
      <x:c r="I113" s="18" t="str">
        <x:v>9b301a0ad79acb77aa0e4e018fc00319c78eb6bbfa4c25adfb4e8f52fc9a9bef</x:v>
      </x:c>
    </x:row>
    <x:row r="114" ht="28" customHeight="1">
      <x:c r="A114" s="18" t="str">
        <x:v>四日市</x:v>
      </x:c>
      <x:c r="B114" s="18" t="str">
        <x:v>24001</x:v>
      </x:c>
      <x:c r="C114" s="18" t="str">
        <x:v>三重県</x:v>
      </x:c>
      <x:c r="D114" s="20" t="n">
        <x:v>2151</x:v>
      </x:c>
      <x:c r="E114" s="18" t="str">
        <x:v>CY2024</x:v>
      </x:c>
      <x:c r="F114" s="18" t="str">
        <x:v>DOMESTIC_ROUTES_AT_PORT</x:v>
      </x:c>
      <x:c r="G114" s="20" t="n">
        <x:v>56</x:v>
      </x:c>
      <x:c r="H114" s="19" t="str">
        <x:v>https://www.mlit.go.jp/k-toukei/content/001974128.xlsx</x:v>
      </x:c>
      <x:c r="I114" s="18" t="str">
        <x:v>9b301a0ad79acb77aa0e4e018fc00319c78eb6bbfa4c25adfb4e8f52fc9a9bef</x:v>
      </x:c>
    </x:row>
    <x:row r="115" ht="28" customHeight="1">
      <x:c r="A115" s="18" t="str">
        <x:v>小名浜</x:v>
      </x:c>
      <x:c r="B115" s="18" t="str">
        <x:v>07001</x:v>
      </x:c>
      <x:c r="C115" s="18" t="str">
        <x:v>福島県</x:v>
      </x:c>
      <x:c r="D115" s="20" t="n">
        <x:v>2006</x:v>
      </x:c>
      <x:c r="E115" s="18" t="str">
        <x:v>CY2024</x:v>
      </x:c>
      <x:c r="F115" s="18" t="str">
        <x:v>DOMESTIC_ROUTES_AT_PORT</x:v>
      </x:c>
      <x:c r="G115" s="20" t="n">
        <x:v>25</x:v>
      </x:c>
      <x:c r="H115" s="19" t="str">
        <x:v>https://www.mlit.go.jp/k-toukei/content/001974128.xlsx</x:v>
      </x:c>
      <x:c r="I115" s="18" t="str">
        <x:v>9b301a0ad79acb77aa0e4e018fc00319c78eb6bbfa4c25adfb4e8f52fc9a9bef</x:v>
      </x:c>
    </x:row>
    <x:row r="116" ht="28" customHeight="1">
      <x:c r="A116" s="18" t="str">
        <x:v>千葉</x:v>
      </x:c>
      <x:c r="B116" s="18" t="str">
        <x:v>12001</x:v>
      </x:c>
      <x:c r="C116" s="18" t="str">
        <x:v>千葉県</x:v>
      </x:c>
      <x:c r="D116" s="20" t="n">
        <x:v>1770</x:v>
      </x:c>
      <x:c r="E116" s="18" t="str">
        <x:v>CY2024</x:v>
      </x:c>
      <x:c r="F116" s="18" t="str">
        <x:v>DOMESTIC_ROUTES_AT_PORT</x:v>
      </x:c>
      <x:c r="G116" s="20" t="n">
        <x:v>29</x:v>
      </x:c>
      <x:c r="H116" s="19" t="str">
        <x:v>https://www.mlit.go.jp/k-toukei/content/001974128.xlsx</x:v>
      </x:c>
      <x:c r="I116" s="18" t="str">
        <x:v>9b301a0ad79acb77aa0e4e018fc00319c78eb6bbfa4c25adfb4e8f52fc9a9bef</x:v>
      </x:c>
    </x:row>
    <x:row r="117" ht="28" customHeight="1">
      <x:c r="A117" s="18" t="str">
        <x:v>中津</x:v>
      </x:c>
      <x:c r="B117" s="18" t="str">
        <x:v>44011</x:v>
      </x:c>
      <x:c r="C117" s="18" t="str">
        <x:v>大分県</x:v>
      </x:c>
      <x:c r="D117" s="20" t="n">
        <x:v>1493</x:v>
      </x:c>
      <x:c r="E117" s="18" t="str">
        <x:v>CY2024</x:v>
      </x:c>
      <x:c r="F117" s="18" t="str">
        <x:v>DOMESTIC_ROUTES_AT_PORT</x:v>
      </x:c>
      <x:c r="G117" s="20" t="n">
        <x:v>139</x:v>
      </x:c>
      <x:c r="H117" s="19" t="str">
        <x:v>https://www.mlit.go.jp/k-toukei/content/001974128.xlsx</x:v>
      </x:c>
      <x:c r="I117" s="18" t="str">
        <x:v>9b301a0ad79acb77aa0e4e018fc00319c78eb6bbfa4c25adfb4e8f52fc9a9bef</x:v>
      </x:c>
    </x:row>
    <x:row r="118" ht="28" customHeight="1">
      <x:c r="A118" s="18" t="str">
        <x:v>木更津</x:v>
      </x:c>
      <x:c r="B118" s="18" t="str">
        <x:v>12002</x:v>
      </x:c>
      <x:c r="C118" s="18" t="str">
        <x:v>千葉県</x:v>
      </x:c>
      <x:c r="D118" s="20" t="n">
        <x:v>1088</x:v>
      </x:c>
      <x:c r="E118" s="18" t="str">
        <x:v>CY2024</x:v>
      </x:c>
      <x:c r="F118" s="18" t="str">
        <x:v>DOMESTIC_ROUTES_AT_PORT</x:v>
      </x:c>
      <x:c r="G118" s="20" t="n">
        <x:v>28</x:v>
      </x:c>
      <x:c r="H118" s="19" t="str">
        <x:v>https://www.mlit.go.jp/k-toukei/content/001974128.xlsx</x:v>
      </x:c>
      <x:c r="I118" s="18" t="str">
        <x:v>9b301a0ad79acb77aa0e4e018fc00319c78eb6bbfa4c25adfb4e8f52fc9a9bef</x:v>
      </x:c>
    </x:row>
    <x:row r="119" ht="28" customHeight="1">
      <x:c r="A119" s="18" t="str">
        <x:v>日高</x:v>
      </x:c>
      <x:c r="B119" s="18" t="str">
        <x:v>30013</x:v>
      </x:c>
      <x:c r="C119" s="18" t="str">
        <x:v>和歌山県</x:v>
      </x:c>
      <x:c r="D119" s="20" t="n">
        <x:v>700</x:v>
      </x:c>
      <x:c r="E119" s="18" t="str">
        <x:v>CY2024</x:v>
      </x:c>
      <x:c r="F119" s="18" t="str">
        <x:v>DOMESTIC_ROUTES_AT_PORT</x:v>
      </x:c>
      <x:c r="G119" s="20" t="n">
        <x:v>70</x:v>
      </x:c>
      <x:c r="H119" s="19" t="str">
        <x:v>https://www.mlit.go.jp/k-toukei/content/001974128.xlsx</x:v>
      </x:c>
      <x:c r="I119" s="18" t="str">
        <x:v>9b301a0ad79acb77aa0e4e018fc00319c78eb6bbfa4c25adfb4e8f52fc9a9bef</x:v>
      </x:c>
    </x:row>
    <x:row r="120" ht="28" customHeight="1">
      <x:c r="A120" s="18" t="str">
        <x:v>大井川</x:v>
      </x:c>
      <x:c r="B120" s="18" t="str">
        <x:v>22015</x:v>
      </x:c>
      <x:c r="C120" s="18" t="str">
        <x:v>静岡県</x:v>
      </x:c>
      <x:c r="D120" s="20" t="n">
        <x:v>654</x:v>
      </x:c>
      <x:c r="E120" s="18" t="str">
        <x:v>CY2024</x:v>
      </x:c>
      <x:c r="F120" s="18" t="str">
        <x:v>DOMESTIC_ROUTES_AT_PORT</x:v>
      </x:c>
      <x:c r="G120" s="20" t="n">
        <x:v>50</x:v>
      </x:c>
      <x:c r="H120" s="19" t="str">
        <x:v>https://www.mlit.go.jp/k-toukei/content/001974128.xlsx</x:v>
      </x:c>
      <x:c r="I120" s="18" t="str">
        <x:v>9b301a0ad79acb77aa0e4e018fc00319c78eb6bbfa4c25adfb4e8f52fc9a9bef</x:v>
      </x:c>
    </x:row>
    <x:row r="121" ht="28" customHeight="1">
      <x:c r="A121" s="18" t="str">
        <x:v>浜田</x:v>
      </x:c>
      <x:c r="B121" s="18" t="str">
        <x:v>32001</x:v>
      </x:c>
      <x:c r="C121" s="18" t="str">
        <x:v>島根県</x:v>
      </x:c>
      <x:c r="D121" s="20" t="n">
        <x:v>622</x:v>
      </x:c>
      <x:c r="E121" s="18" t="str">
        <x:v>CY2024</x:v>
      </x:c>
      <x:c r="F121" s="18" t="str">
        <x:v>DOMESTIC_ROUTES_AT_PORT</x:v>
      </x:c>
      <x:c r="G121" s="20" t="n">
        <x:v>75</x:v>
      </x:c>
      <x:c r="H121" s="19" t="str">
        <x:v>https://www.mlit.go.jp/k-toukei/content/001974128.xlsx</x:v>
      </x:c>
      <x:c r="I121" s="18" t="str">
        <x:v>9b301a0ad79acb77aa0e4e018fc00319c78eb6bbfa4c25adfb4e8f52fc9a9bef</x:v>
      </x:c>
    </x:row>
    <x:row r="122" ht="28" customHeight="1">
      <x:c r="A122" s="18" t="str">
        <x:v>高知</x:v>
      </x:c>
      <x:c r="B122" s="18" t="str">
        <x:v>39001</x:v>
      </x:c>
      <x:c r="C122" s="18" t="str">
        <x:v>高知県</x:v>
      </x:c>
      <x:c r="D122" s="20" t="n">
        <x:v>522</x:v>
      </x:c>
      <x:c r="E122" s="18" t="str">
        <x:v>CY2024</x:v>
      </x:c>
      <x:c r="F122" s="18" t="str">
        <x:v>DOMESTIC_ROUTES_AT_PORT</x:v>
      </x:c>
      <x:c r="G122" s="20" t="n">
        <x:v>112</x:v>
      </x:c>
      <x:c r="H122" s="19" t="str">
        <x:v>https://www.mlit.go.jp/k-toukei/content/001974128.xlsx</x:v>
      </x:c>
      <x:c r="I122" s="18" t="str">
        <x:v>9b301a0ad79acb77aa0e4e018fc00319c78eb6bbfa4c25adfb4e8f52fc9a9bef</x:v>
      </x:c>
    </x:row>
    <x:row r="123" ht="28" customHeight="1">
      <x:c r="A123" s="18" t="str">
        <x:v>宇島</x:v>
      </x:c>
      <x:c r="B123" s="18" t="str">
        <x:v>40006</x:v>
      </x:c>
      <x:c r="C123" s="18" t="str">
        <x:v>福岡県</x:v>
      </x:c>
      <x:c r="D123" s="20" t="n">
        <x:v>325</x:v>
      </x:c>
      <x:c r="E123" s="18" t="str">
        <x:v>CY2024</x:v>
      </x:c>
      <x:c r="F123" s="18" t="str">
        <x:v>DOMESTIC_ROUTES_AT_PORT</x:v>
      </x:c>
      <x:c r="G123" s="20" t="n">
        <x:v>118</x:v>
      </x:c>
      <x:c r="H123" s="19" t="str">
        <x:v>https://www.mlit.go.jp/k-toukei/content/001974128.xlsx</x:v>
      </x:c>
      <x:c r="I123" s="18" t="str">
        <x:v>9b301a0ad79acb77aa0e4e018fc00319c78eb6bbfa4c25adfb4e8f52fc9a9bef</x:v>
      </x:c>
    </x:row>
    <x:row r="124" ht="28" customHeight="1">
      <x:c r="A124" s="18" t="str">
        <x:v>三河</x:v>
      </x:c>
      <x:c r="B124" s="18" t="str">
        <x:v>23003</x:v>
      </x:c>
      <x:c r="C124" s="18" t="str">
        <x:v>愛知県</x:v>
      </x:c>
      <x:c r="D124" s="20" t="n">
        <x:v>269</x:v>
      </x:c>
      <x:c r="E124" s="18" t="str">
        <x:v>CY2024</x:v>
      </x:c>
      <x:c r="F124" s="18" t="str">
        <x:v>DOMESTIC_ROUTES_AT_PORT</x:v>
      </x:c>
      <x:c r="G124" s="20" t="n">
        <x:v>52</x:v>
      </x:c>
      <x:c r="H124" s="19" t="str">
        <x:v>https://www.mlit.go.jp/k-toukei/content/001974128.xlsx</x:v>
      </x:c>
      <x:c r="I124" s="18" t="str">
        <x:v>9b301a0ad79acb77aa0e4e018fc00319c78eb6bbfa4c25adfb4e8f52fc9a9bef</x:v>
      </x:c>
    </x:row>
    <x:row r="125" ht="28" customHeight="1">
      <x:c r="A125" s="18" t="str">
        <x:v>相生</x:v>
      </x:c>
      <x:c r="B125" s="18" t="str">
        <x:v>28013</x:v>
      </x:c>
      <x:c r="C125" s="18" t="str">
        <x:v>兵庫県</x:v>
      </x:c>
      <x:c r="D125" s="20" t="n">
        <x:v>63</x:v>
      </x:c>
      <x:c r="E125" s="18" t="str">
        <x:v>CY2024</x:v>
      </x:c>
      <x:c r="F125" s="18" t="str">
        <x:v>DOMESTIC_ROUTES_AT_PORT</x:v>
      </x:c>
      <x:c r="G125" s="20" t="n">
        <x:v>68</x:v>
      </x:c>
      <x:c r="H125" s="19" t="str">
        <x:v>https://www.mlit.go.jp/k-toukei/content/001974128.xlsx</x:v>
      </x:c>
      <x:c r="I125" s="18" t="str">
        <x:v>9b301a0ad79acb77aa0e4e018fc00319c78eb6bbfa4c25adfb4e8f52fc9a9bef</x:v>
      </x:c>
    </x:row>
  </x:sheetData>
  <x:pageMargins left="0.7" right="0.7" top="0.75" bottom="0.75" header="0.3" footer="0.3"/>
  <x:tableParts count="1">
    <x:tablePart xmlns:r="http://schemas.openxmlformats.org/officeDocument/2006/relationships" r:id="Racbe4dbf8fe24581"/>
  </x:tableParts>
</x:worksheet>
</file>